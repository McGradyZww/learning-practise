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82384\Desktop\开发文档\D2.Designs\资管报表\"/>
    </mc:Choice>
  </mc:AlternateContent>
  <xr:revisionPtr revIDLastSave="0" documentId="13_ncr:1_{0E9D9031-C6E5-4FAA-8DFC-2D425ADDFC49}" xr6:coauthVersionLast="43" xr6:coauthVersionMax="43" xr10:uidLastSave="{00000000-0000-0000-0000-000000000000}"/>
  <bookViews>
    <workbookView xWindow="-108" yWindow="-108" windowWidth="23256" windowHeight="12576" tabRatio="793" activeTab="2" xr2:uid="{00000000-000D-0000-FFFF-FFFF00000000}"/>
  </bookViews>
  <sheets>
    <sheet name="报表-资管报表-逻辑服务" sheetId="6" r:id="rId1"/>
    <sheet name="报表-资管报表-事务服务" sheetId="11" r:id="rId2"/>
    <sheet name="报表-资管报表-原子服务" sheetId="10" r:id="rId3"/>
    <sheet name="Sheet1" sheetId="12" r:id="rId4"/>
    <sheet name="Sheet2" sheetId="13" r:id="rId5"/>
  </sheets>
  <calcPr calcId="181029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846" i="10" l="1"/>
  <c r="H1801" i="10"/>
  <c r="H1758" i="10"/>
  <c r="H1714" i="10"/>
  <c r="H1940" i="11"/>
  <c r="H1892" i="11"/>
  <c r="H1846" i="11"/>
  <c r="H1800" i="11"/>
  <c r="H1708" i="6" l="1"/>
  <c r="O49" i="13" l="1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H2978" i="10"/>
  <c r="H2619" i="10"/>
  <c r="H2618" i="10"/>
  <c r="H2305" i="10"/>
  <c r="H2304" i="10"/>
  <c r="H2303" i="10"/>
  <c r="H2302" i="10"/>
  <c r="H2301" i="10"/>
  <c r="H2300" i="10"/>
  <c r="H2299" i="10"/>
  <c r="H2298" i="10"/>
  <c r="H2297" i="10"/>
  <c r="H2296" i="10"/>
  <c r="H2295" i="10"/>
  <c r="H2294" i="10"/>
  <c r="H2293" i="10"/>
  <c r="H2292" i="10"/>
  <c r="H2291" i="10"/>
  <c r="H2290" i="10"/>
  <c r="H2204" i="10"/>
  <c r="H2203" i="10"/>
  <c r="H2202" i="10"/>
  <c r="H2201" i="10"/>
  <c r="H2200" i="10"/>
  <c r="H2199" i="10"/>
  <c r="H2198" i="10"/>
  <c r="H2197" i="10"/>
  <c r="H2196" i="10"/>
  <c r="H2195" i="10"/>
  <c r="H2194" i="10"/>
  <c r="H2193" i="10"/>
  <c r="H2192" i="10"/>
  <c r="H2191" i="10"/>
  <c r="H2190" i="10"/>
  <c r="H2189" i="10"/>
  <c r="H2188" i="10"/>
  <c r="H2187" i="10"/>
  <c r="H2186" i="10"/>
  <c r="H2185" i="10"/>
  <c r="H2184" i="10"/>
  <c r="H2183" i="10"/>
  <c r="H2179" i="10"/>
  <c r="H2178" i="10"/>
  <c r="H1892" i="10"/>
  <c r="H1891" i="10"/>
  <c r="H1890" i="10"/>
  <c r="H1889" i="10"/>
  <c r="H1888" i="10"/>
  <c r="H1887" i="10"/>
  <c r="H1886" i="10"/>
  <c r="H1885" i="10"/>
  <c r="H1884" i="10"/>
  <c r="H1883" i="10"/>
  <c r="H1882" i="10"/>
  <c r="H1881" i="10"/>
  <c r="H1879" i="10"/>
  <c r="H1878" i="10"/>
  <c r="H1877" i="10"/>
  <c r="H1876" i="10"/>
  <c r="H1875" i="10"/>
  <c r="H1845" i="10"/>
  <c r="H1844" i="10"/>
  <c r="H1843" i="10"/>
  <c r="H1842" i="10"/>
  <c r="H1841" i="10"/>
  <c r="H1840" i="10"/>
  <c r="H1839" i="10"/>
  <c r="H1838" i="10"/>
  <c r="H1837" i="10"/>
  <c r="H1836" i="10"/>
  <c r="H1835" i="10"/>
  <c r="H1834" i="10"/>
  <c r="H1833" i="10"/>
  <c r="H1831" i="10"/>
  <c r="H1830" i="10"/>
  <c r="H1829" i="10"/>
  <c r="H1828" i="10"/>
  <c r="H1827" i="10"/>
  <c r="H1800" i="10"/>
  <c r="H1799" i="10"/>
  <c r="H1798" i="10"/>
  <c r="H1797" i="10"/>
  <c r="H1796" i="10"/>
  <c r="H1795" i="10"/>
  <c r="H1794" i="10"/>
  <c r="H1793" i="10"/>
  <c r="H1792" i="10"/>
  <c r="H1791" i="10"/>
  <c r="H1790" i="10"/>
  <c r="H1789" i="10"/>
  <c r="H1788" i="10"/>
  <c r="H1786" i="10"/>
  <c r="H1785" i="10"/>
  <c r="H1784" i="10"/>
  <c r="H1783" i="10"/>
  <c r="H1782" i="10"/>
  <c r="H1757" i="10"/>
  <c r="H1756" i="10"/>
  <c r="H1755" i="10"/>
  <c r="H1754" i="10"/>
  <c r="H1753" i="10"/>
  <c r="H1752" i="10"/>
  <c r="H1751" i="10"/>
  <c r="H1750" i="10"/>
  <c r="H1749" i="10"/>
  <c r="H1748" i="10"/>
  <c r="H1747" i="10"/>
  <c r="H1746" i="10"/>
  <c r="H1745" i="10"/>
  <c r="H1744" i="10"/>
  <c r="H1743" i="10"/>
  <c r="H1742" i="10"/>
  <c r="H1741" i="10"/>
  <c r="H1740" i="10"/>
  <c r="H1713" i="10"/>
  <c r="H1712" i="10"/>
  <c r="H1711" i="10"/>
  <c r="H1710" i="10"/>
  <c r="H1709" i="10"/>
  <c r="H1708" i="10"/>
  <c r="H1707" i="10"/>
  <c r="H1706" i="10"/>
  <c r="H1705" i="10"/>
  <c r="H1704" i="10"/>
  <c r="H1703" i="10"/>
  <c r="H1702" i="10"/>
  <c r="H1701" i="10"/>
  <c r="H1700" i="10"/>
  <c r="H1699" i="10"/>
  <c r="H1698" i="10"/>
  <c r="H1697" i="10"/>
  <c r="H1696" i="10"/>
  <c r="H908" i="10"/>
  <c r="H907" i="10"/>
  <c r="H906" i="10"/>
  <c r="H905" i="10"/>
  <c r="H904" i="10"/>
  <c r="H903" i="10"/>
  <c r="H902" i="10"/>
  <c r="H901" i="10"/>
  <c r="H900" i="10"/>
  <c r="H899" i="10"/>
  <c r="H830" i="10"/>
  <c r="H829" i="10"/>
  <c r="H736" i="10"/>
  <c r="H735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13" i="10"/>
  <c r="H12" i="10"/>
  <c r="H11" i="10"/>
  <c r="H10" i="10"/>
  <c r="H9" i="10"/>
  <c r="H8" i="10"/>
  <c r="H7" i="10"/>
  <c r="H2801" i="11"/>
  <c r="H2774" i="11"/>
  <c r="H2465" i="11"/>
  <c r="H2464" i="11"/>
  <c r="H2172" i="11"/>
  <c r="H2171" i="11"/>
  <c r="H2170" i="11"/>
  <c r="H2169" i="11"/>
  <c r="H2168" i="11"/>
  <c r="H2167" i="11"/>
  <c r="H2166" i="11"/>
  <c r="H2165" i="11"/>
  <c r="H2164" i="11"/>
  <c r="H2163" i="11"/>
  <c r="H2162" i="11"/>
  <c r="H2161" i="11"/>
  <c r="H2160" i="11"/>
  <c r="H2159" i="11"/>
  <c r="H2158" i="11"/>
  <c r="H2157" i="11"/>
  <c r="H2156" i="11"/>
  <c r="H2155" i="11"/>
  <c r="H2154" i="11"/>
  <c r="H2153" i="11"/>
  <c r="H2152" i="11"/>
  <c r="H2151" i="11"/>
  <c r="H2147" i="11"/>
  <c r="H2146" i="11"/>
  <c r="H1985" i="11"/>
  <c r="H1984" i="11"/>
  <c r="H1983" i="11"/>
  <c r="H1982" i="11"/>
  <c r="H1981" i="11"/>
  <c r="H1980" i="11"/>
  <c r="H1979" i="11"/>
  <c r="H1978" i="11"/>
  <c r="H1977" i="11"/>
  <c r="H1976" i="11"/>
  <c r="H1975" i="11"/>
  <c r="H1974" i="11"/>
  <c r="H1973" i="11"/>
  <c r="H1972" i="11"/>
  <c r="H1971" i="11"/>
  <c r="H1970" i="11"/>
  <c r="H1969" i="11"/>
  <c r="H1968" i="11"/>
  <c r="H1939" i="11"/>
  <c r="H1938" i="11"/>
  <c r="H1937" i="11"/>
  <c r="H1936" i="11"/>
  <c r="H1935" i="11"/>
  <c r="H1934" i="11"/>
  <c r="H1933" i="11"/>
  <c r="H1932" i="11"/>
  <c r="H1931" i="11"/>
  <c r="H1930" i="11"/>
  <c r="H1929" i="11"/>
  <c r="H1928" i="11"/>
  <c r="H1927" i="11"/>
  <c r="H1925" i="11"/>
  <c r="H1924" i="11"/>
  <c r="H1923" i="11"/>
  <c r="H1922" i="11"/>
  <c r="H1921" i="11"/>
  <c r="H1891" i="11"/>
  <c r="H1890" i="11"/>
  <c r="H1889" i="11"/>
  <c r="H1888" i="11"/>
  <c r="H1887" i="11"/>
  <c r="H1886" i="11"/>
  <c r="H1885" i="11"/>
  <c r="H1884" i="11"/>
  <c r="H1883" i="11"/>
  <c r="H1882" i="11"/>
  <c r="H1881" i="11"/>
  <c r="H1880" i="11"/>
  <c r="H1879" i="11"/>
  <c r="H1878" i="11"/>
  <c r="H1877" i="11"/>
  <c r="H1876" i="11"/>
  <c r="H1875" i="11"/>
  <c r="H1874" i="11"/>
  <c r="H1873" i="11"/>
  <c r="H1845" i="11"/>
  <c r="H1844" i="11"/>
  <c r="H1843" i="11"/>
  <c r="H1842" i="11"/>
  <c r="H1841" i="11"/>
  <c r="H1840" i="11"/>
  <c r="H1839" i="11"/>
  <c r="H1838" i="11"/>
  <c r="H1837" i="11"/>
  <c r="H1836" i="11"/>
  <c r="H1835" i="11"/>
  <c r="H1834" i="11"/>
  <c r="H1833" i="11"/>
  <c r="H1832" i="11"/>
  <c r="H1831" i="11"/>
  <c r="H1830" i="11"/>
  <c r="H1829" i="11"/>
  <c r="H1828" i="11"/>
  <c r="H1799" i="11"/>
  <c r="H1798" i="11"/>
  <c r="H1797" i="11"/>
  <c r="H1796" i="11"/>
  <c r="H1795" i="11"/>
  <c r="H1794" i="11"/>
  <c r="H1793" i="11"/>
  <c r="H1792" i="11"/>
  <c r="H1791" i="11"/>
  <c r="H1790" i="11"/>
  <c r="H1789" i="11"/>
  <c r="H1788" i="11"/>
  <c r="H1787" i="11"/>
  <c r="H1786" i="11"/>
  <c r="H1785" i="11"/>
  <c r="H1784" i="11"/>
  <c r="H1783" i="11"/>
  <c r="H1782" i="11"/>
  <c r="H1757" i="11"/>
  <c r="H1756" i="11"/>
  <c r="H1755" i="11"/>
  <c r="H1754" i="11"/>
  <c r="H1753" i="11"/>
  <c r="H1752" i="11"/>
  <c r="H1751" i="11"/>
  <c r="H1750" i="11"/>
  <c r="H1749" i="11"/>
  <c r="H1748" i="11"/>
  <c r="H1747" i="11"/>
  <c r="H1746" i="11"/>
  <c r="H1745" i="11"/>
  <c r="H1744" i="11"/>
  <c r="H1743" i="11"/>
  <c r="H1742" i="11"/>
  <c r="H1741" i="11"/>
  <c r="H1740" i="11"/>
  <c r="H1739" i="11"/>
  <c r="H1738" i="11"/>
  <c r="H1737" i="11"/>
  <c r="H1736" i="11"/>
  <c r="H1735" i="11"/>
  <c r="H1734" i="11"/>
  <c r="H1733" i="11"/>
  <c r="H1732" i="11"/>
  <c r="H1731" i="11"/>
  <c r="H1730" i="11"/>
  <c r="H1729" i="11"/>
  <c r="H1728" i="11"/>
  <c r="H1727" i="11"/>
  <c r="H1666" i="11"/>
  <c r="H1583" i="11"/>
  <c r="H1464" i="11"/>
  <c r="H1463" i="11"/>
  <c r="H1462" i="11"/>
  <c r="H1461" i="11"/>
  <c r="H1460" i="11"/>
  <c r="H1459" i="11"/>
  <c r="H1458" i="11"/>
  <c r="H1457" i="11"/>
  <c r="H1456" i="11"/>
  <c r="H1455" i="11"/>
  <c r="H1454" i="11"/>
  <c r="H1451" i="11"/>
  <c r="H1450" i="11"/>
  <c r="H1449" i="11"/>
  <c r="H1448" i="11"/>
  <c r="H1447" i="11"/>
  <c r="H1446" i="11"/>
  <c r="H1445" i="11"/>
  <c r="H1444" i="11"/>
  <c r="H1443" i="11"/>
  <c r="H1442" i="11"/>
  <c r="H1441" i="11"/>
  <c r="H1440" i="11"/>
  <c r="H1397" i="11"/>
  <c r="H1396" i="11"/>
  <c r="H1395" i="11"/>
  <c r="H1394" i="11"/>
  <c r="H1393" i="11"/>
  <c r="H1392" i="11"/>
  <c r="H1391" i="11"/>
  <c r="H1390" i="11"/>
  <c r="H1389" i="11"/>
  <c r="H1388" i="11"/>
  <c r="H1387" i="11"/>
  <c r="H1384" i="11"/>
  <c r="H1383" i="11"/>
  <c r="H1382" i="11"/>
  <c r="H1381" i="11"/>
  <c r="H1380" i="11"/>
  <c r="H1379" i="11"/>
  <c r="H1378" i="11"/>
  <c r="H1377" i="11"/>
  <c r="H1375" i="11"/>
  <c r="H1374" i="11"/>
  <c r="H1373" i="11"/>
  <c r="H1335" i="11"/>
  <c r="H1334" i="11"/>
  <c r="H1333" i="11"/>
  <c r="H1332" i="11"/>
  <c r="H1331" i="11"/>
  <c r="H1330" i="11"/>
  <c r="H1329" i="11"/>
  <c r="H1328" i="11"/>
  <c r="H1327" i="11"/>
  <c r="H1326" i="11"/>
  <c r="H1325" i="11"/>
  <c r="H1322" i="11"/>
  <c r="H1321" i="11"/>
  <c r="H1320" i="11"/>
  <c r="H1319" i="11"/>
  <c r="H1318" i="11"/>
  <c r="H1317" i="11"/>
  <c r="H1316" i="11"/>
  <c r="H1315" i="11"/>
  <c r="H1314" i="11"/>
  <c r="H1313" i="11"/>
  <c r="H1312" i="11"/>
  <c r="H1311" i="11"/>
  <c r="H1273" i="11"/>
  <c r="H1272" i="11"/>
  <c r="H1271" i="11"/>
  <c r="H1270" i="11"/>
  <c r="H1269" i="11"/>
  <c r="H1268" i="11"/>
  <c r="H1267" i="11"/>
  <c r="H1266" i="11"/>
  <c r="H1265" i="11"/>
  <c r="H1264" i="11"/>
  <c r="H1263" i="11"/>
  <c r="H1260" i="11"/>
  <c r="H1259" i="11"/>
  <c r="H1258" i="11"/>
  <c r="H1257" i="11"/>
  <c r="H1256" i="11"/>
  <c r="H1255" i="11"/>
  <c r="H1254" i="11"/>
  <c r="H1253" i="11"/>
  <c r="H1251" i="11"/>
  <c r="H1250" i="11"/>
  <c r="H1249" i="11"/>
  <c r="H712" i="11"/>
  <c r="H711" i="11"/>
  <c r="H710" i="11"/>
  <c r="H709" i="11"/>
  <c r="H708" i="11"/>
  <c r="H707" i="11"/>
  <c r="H706" i="11"/>
  <c r="H705" i="11"/>
  <c r="H704" i="11"/>
  <c r="H703" i="11"/>
  <c r="H663" i="11"/>
  <c r="H662" i="11"/>
  <c r="H613" i="11"/>
  <c r="H612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2527" i="6"/>
  <c r="H2220" i="6"/>
  <c r="H2219" i="6"/>
  <c r="H1938" i="6"/>
  <c r="H1937" i="6"/>
  <c r="H1936" i="6"/>
  <c r="H1935" i="6"/>
  <c r="H1934" i="6"/>
  <c r="H1933" i="6"/>
  <c r="H1932" i="6"/>
  <c r="H1931" i="6"/>
  <c r="H1930" i="6"/>
  <c r="H1929" i="6"/>
  <c r="H1928" i="6"/>
  <c r="H1927" i="6"/>
  <c r="H1926" i="6"/>
  <c r="H1925" i="6"/>
  <c r="H1924" i="6"/>
  <c r="H1923" i="6"/>
  <c r="H1922" i="6"/>
  <c r="H1921" i="6"/>
  <c r="H1920" i="6"/>
  <c r="H1919" i="6"/>
  <c r="H1918" i="6"/>
  <c r="H1917" i="6"/>
  <c r="H1913" i="6"/>
  <c r="H1912" i="6"/>
  <c r="H1884" i="6"/>
  <c r="H1883" i="6"/>
  <c r="H1882" i="6"/>
  <c r="H1881" i="6"/>
  <c r="H1880" i="6"/>
  <c r="H1879" i="6"/>
  <c r="H1878" i="6"/>
  <c r="H1877" i="6"/>
  <c r="H1876" i="6"/>
  <c r="H1875" i="6"/>
  <c r="H1874" i="6"/>
  <c r="H1873" i="6"/>
  <c r="H1871" i="6"/>
  <c r="H1870" i="6"/>
  <c r="H1869" i="6"/>
  <c r="H1868" i="6"/>
  <c r="H1867" i="6"/>
  <c r="H1841" i="6"/>
  <c r="H1840" i="6"/>
  <c r="H1839" i="6"/>
  <c r="H1838" i="6"/>
  <c r="H1837" i="6"/>
  <c r="H1836" i="6"/>
  <c r="H1835" i="6"/>
  <c r="H1834" i="6"/>
  <c r="H1833" i="6"/>
  <c r="H1832" i="6"/>
  <c r="H1831" i="6"/>
  <c r="H1830" i="6"/>
  <c r="H1829" i="6"/>
  <c r="H1827" i="6"/>
  <c r="H1826" i="6"/>
  <c r="H1825" i="6"/>
  <c r="H1824" i="6"/>
  <c r="H1823" i="6"/>
  <c r="H1795" i="6"/>
  <c r="H1794" i="6"/>
  <c r="H1793" i="6"/>
  <c r="H1792" i="6"/>
  <c r="H1791" i="6"/>
  <c r="H1790" i="6"/>
  <c r="H1789" i="6"/>
  <c r="H1788" i="6"/>
  <c r="H1787" i="6"/>
  <c r="H1786" i="6"/>
  <c r="H1785" i="6"/>
  <c r="H1784" i="6"/>
  <c r="H1783" i="6"/>
  <c r="H1781" i="6"/>
  <c r="H1780" i="6"/>
  <c r="H1779" i="6"/>
  <c r="H1778" i="6"/>
  <c r="H1777" i="6"/>
  <c r="H1751" i="6"/>
  <c r="H1750" i="6"/>
  <c r="H1749" i="6"/>
  <c r="H1748" i="6"/>
  <c r="H1747" i="6"/>
  <c r="H1746" i="6"/>
  <c r="H1745" i="6"/>
  <c r="H1744" i="6"/>
  <c r="H1743" i="6"/>
  <c r="H1742" i="6"/>
  <c r="H1741" i="6"/>
  <c r="H1740" i="6"/>
  <c r="H1739" i="6"/>
  <c r="H1738" i="6"/>
  <c r="H1737" i="6"/>
  <c r="H1736" i="6"/>
  <c r="H1735" i="6"/>
  <c r="H1734" i="6"/>
  <c r="H1707" i="6"/>
  <c r="H1706" i="6"/>
  <c r="H1705" i="6"/>
  <c r="H1704" i="6"/>
  <c r="H1703" i="6"/>
  <c r="H1702" i="6"/>
  <c r="H1701" i="6"/>
  <c r="H1700" i="6"/>
  <c r="H1699" i="6"/>
  <c r="H1698" i="6"/>
  <c r="H1697" i="6"/>
  <c r="H1696" i="6"/>
  <c r="H1695" i="6"/>
  <c r="H1694" i="6"/>
  <c r="H1693" i="6"/>
  <c r="H1692" i="6"/>
  <c r="H1691" i="6"/>
  <c r="H1690" i="6"/>
  <c r="H1669" i="6"/>
  <c r="H1668" i="6"/>
  <c r="H1667" i="6"/>
  <c r="H1666" i="6"/>
  <c r="H1665" i="6"/>
  <c r="H1664" i="6"/>
  <c r="H1663" i="6"/>
  <c r="H1662" i="6"/>
  <c r="H1661" i="6"/>
  <c r="H1660" i="6"/>
  <c r="H1659" i="6"/>
  <c r="H1658" i="6"/>
  <c r="H1657" i="6"/>
  <c r="H1656" i="6"/>
  <c r="H1655" i="6"/>
  <c r="H1654" i="6"/>
  <c r="H1653" i="6"/>
  <c r="H1652" i="6"/>
  <c r="H1651" i="6"/>
  <c r="H1650" i="6"/>
  <c r="H1649" i="6"/>
  <c r="H1648" i="6"/>
  <c r="H1647" i="6"/>
  <c r="H1646" i="6"/>
  <c r="H1645" i="6"/>
  <c r="H1644" i="6"/>
  <c r="H1643" i="6"/>
  <c r="H1642" i="6"/>
  <c r="H1641" i="6"/>
  <c r="H1640" i="6"/>
  <c r="H1639" i="6"/>
  <c r="H1579" i="6"/>
  <c r="H1501" i="6"/>
  <c r="H1388" i="6"/>
  <c r="H1387" i="6"/>
  <c r="H1386" i="6"/>
  <c r="H1385" i="6"/>
  <c r="H1384" i="6"/>
  <c r="H1383" i="6"/>
  <c r="H1382" i="6"/>
  <c r="H1381" i="6"/>
  <c r="H1380" i="6"/>
  <c r="H1379" i="6"/>
  <c r="H1378" i="6"/>
  <c r="H1375" i="6"/>
  <c r="H1374" i="6"/>
  <c r="H1373" i="6"/>
  <c r="H1372" i="6"/>
  <c r="H1371" i="6"/>
  <c r="H1370" i="6"/>
  <c r="H1369" i="6"/>
  <c r="H1368" i="6"/>
  <c r="H1367" i="6"/>
  <c r="H1366" i="6"/>
  <c r="H1365" i="6"/>
  <c r="H1364" i="6"/>
  <c r="H1322" i="6"/>
  <c r="H1321" i="6"/>
  <c r="H1320" i="6"/>
  <c r="H1319" i="6"/>
  <c r="H1318" i="6"/>
  <c r="H1317" i="6"/>
  <c r="H1316" i="6"/>
  <c r="H1315" i="6"/>
  <c r="H1314" i="6"/>
  <c r="H1313" i="6"/>
  <c r="H1312" i="6"/>
  <c r="H1309" i="6"/>
  <c r="H1308" i="6"/>
  <c r="H1307" i="6"/>
  <c r="H1306" i="6"/>
  <c r="H1305" i="6"/>
  <c r="H1304" i="6"/>
  <c r="H1303" i="6"/>
  <c r="H1302" i="6"/>
  <c r="H1300" i="6"/>
  <c r="H1299" i="6"/>
  <c r="H1298" i="6"/>
  <c r="H1257" i="6"/>
  <c r="H1256" i="6"/>
  <c r="H1255" i="6"/>
  <c r="H1254" i="6"/>
  <c r="H1253" i="6"/>
  <c r="H1252" i="6"/>
  <c r="H1251" i="6"/>
  <c r="H1250" i="6"/>
  <c r="H1249" i="6"/>
  <c r="H1248" i="6"/>
  <c r="H1247" i="6"/>
  <c r="H1244" i="6"/>
  <c r="H1243" i="6"/>
  <c r="H1242" i="6"/>
  <c r="H1241" i="6"/>
  <c r="H1240" i="6"/>
  <c r="H1239" i="6"/>
  <c r="H1238" i="6"/>
  <c r="H1237" i="6"/>
  <c r="H1236" i="6"/>
  <c r="H1235" i="6"/>
  <c r="H1234" i="6"/>
  <c r="H1233" i="6"/>
  <c r="H1193" i="6"/>
  <c r="H1192" i="6"/>
  <c r="H1191" i="6"/>
  <c r="H1190" i="6"/>
  <c r="H1189" i="6"/>
  <c r="H1188" i="6"/>
  <c r="H1187" i="6"/>
  <c r="H1186" i="6"/>
  <c r="H1185" i="6"/>
  <c r="H1184" i="6"/>
  <c r="H1183" i="6"/>
  <c r="H1180" i="6"/>
  <c r="H1179" i="6"/>
  <c r="H1178" i="6"/>
  <c r="H1177" i="6"/>
  <c r="H1176" i="6"/>
  <c r="H1175" i="6"/>
  <c r="H1174" i="6"/>
  <c r="H1173" i="6"/>
  <c r="H1171" i="6"/>
  <c r="H1170" i="6"/>
  <c r="H1169" i="6"/>
  <c r="H719" i="6"/>
  <c r="H718" i="6"/>
  <c r="H717" i="6"/>
  <c r="H716" i="6"/>
  <c r="H715" i="6"/>
  <c r="H714" i="6"/>
  <c r="H713" i="6"/>
  <c r="H712" i="6"/>
  <c r="H711" i="6"/>
  <c r="H710" i="6"/>
  <c r="H671" i="6"/>
  <c r="H670" i="6"/>
  <c r="H620" i="6"/>
  <c r="H619" i="6"/>
  <c r="I387" i="6"/>
  <c r="H387" i="6"/>
  <c r="I386" i="6"/>
  <c r="H386" i="6"/>
  <c r="I385" i="6"/>
  <c r="H385" i="6"/>
  <c r="I384" i="6"/>
  <c r="H384" i="6"/>
  <c r="I383" i="6"/>
  <c r="H383" i="6"/>
  <c r="I382" i="6"/>
  <c r="H382" i="6"/>
  <c r="I381" i="6"/>
  <c r="H381" i="6"/>
  <c r="I380" i="6"/>
  <c r="H380" i="6"/>
  <c r="I379" i="6"/>
  <c r="H379" i="6"/>
  <c r="I378" i="6"/>
  <c r="H378" i="6"/>
  <c r="I377" i="6"/>
  <c r="H377" i="6"/>
  <c r="I376" i="6"/>
  <c r="H376" i="6"/>
  <c r="I375" i="6"/>
  <c r="H375" i="6"/>
  <c r="I374" i="6"/>
  <c r="H374" i="6"/>
  <c r="I373" i="6"/>
  <c r="H373" i="6"/>
  <c r="I372" i="6"/>
  <c r="H372" i="6"/>
  <c r="I370" i="6"/>
  <c r="H370" i="6"/>
  <c r="I369" i="6"/>
  <c r="H369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</calcChain>
</file>

<file path=xl/sharedStrings.xml><?xml version="1.0" encoding="utf-8"?>
<sst xmlns="http://schemas.openxmlformats.org/spreadsheetml/2006/main" count="32425" uniqueCount="2484">
  <si>
    <t>报表</t>
  </si>
  <si>
    <t>输入</t>
  </si>
  <si>
    <t>参数名称</t>
  </si>
  <si>
    <t>参数</t>
  </si>
  <si>
    <t>参数类型</t>
  </si>
  <si>
    <t>默认值</t>
  </si>
  <si>
    <t>参数说明</t>
  </si>
  <si>
    <t>产品编号</t>
  </si>
  <si>
    <t>pd_no</t>
  </si>
  <si>
    <t>int</t>
  </si>
  <si>
    <t>Integer</t>
  </si>
  <si>
    <t>交易组编号</t>
  </si>
  <si>
    <t>Long</t>
  </si>
  <si>
    <t>资产账户编号</t>
  </si>
  <si>
    <t>市场编号</t>
  </si>
  <si>
    <t>证券代码编号</t>
  </si>
  <si>
    <t>初始化日期</t>
  </si>
  <si>
    <t>查询操作员编号</t>
  </si>
  <si>
    <t>输出</t>
  </si>
  <si>
    <t>持仓数量</t>
  </si>
  <si>
    <t>BigDecimal</t>
  </si>
  <si>
    <t>交易数量</t>
  </si>
  <si>
    <t>全部费用</t>
  </si>
  <si>
    <t>decimal(18,4)</t>
  </si>
  <si>
    <t>实现盈亏</t>
  </si>
  <si>
    <t>操作员编号</t>
  </si>
  <si>
    <t>收益率</t>
  </si>
  <si>
    <t>累计实现盈亏</t>
  </si>
  <si>
    <t>变量</t>
  </si>
  <si>
    <t>处理流程</t>
  </si>
  <si>
    <t>[事务_公共_公共接口_检查系统状态权限身份]</t>
  </si>
  <si>
    <t>[事务_报表_资管报表_T+0持仓盈亏查询]</t>
  </si>
  <si>
    <t>券源数量</t>
  </si>
  <si>
    <t>总多头当前数量</t>
  </si>
  <si>
    <t>总空头当前数量</t>
  </si>
  <si>
    <t>总多头开仓市值</t>
  </si>
  <si>
    <t>总空头开仓市值</t>
  </si>
  <si>
    <t>总多头开仓费用</t>
  </si>
  <si>
    <t>总空头开仓费用</t>
  </si>
  <si>
    <t>总多头平仓市值</t>
  </si>
  <si>
    <t>总空头平仓市值</t>
  </si>
  <si>
    <t>总多头平仓数量</t>
  </si>
  <si>
    <t>总空头平仓数量</t>
  </si>
  <si>
    <t>总多头平仓费用</t>
  </si>
  <si>
    <t>总空头平仓费用</t>
  </si>
  <si>
    <t>总实现盈亏</t>
  </si>
  <si>
    <t>多头当前数量</t>
  </si>
  <si>
    <t>空头当前数量</t>
  </si>
  <si>
    <t>多头开仓市值</t>
  </si>
  <si>
    <t>空头开仓市值</t>
  </si>
  <si>
    <t>多头开仓费用</t>
  </si>
  <si>
    <t>空头开仓费用</t>
  </si>
  <si>
    <t>多头平仓数量</t>
  </si>
  <si>
    <t>空头平仓数量</t>
  </si>
  <si>
    <t>多头平仓市值</t>
  </si>
  <si>
    <t>空头平仓市值</t>
  </si>
  <si>
    <t>多头平仓费用</t>
  </si>
  <si>
    <t>空头平仓费用</t>
  </si>
  <si>
    <t>隔夜盈亏</t>
  </si>
  <si>
    <t>[事务_报表_资管报表_T+0券源持仓报表查询]</t>
  </si>
  <si>
    <t>逻辑_报表_资管报表_T+0账户交易汇总查询</t>
  </si>
  <si>
    <t>期初金额</t>
  </si>
  <si>
    <t>持仓市值</t>
  </si>
  <si>
    <t>交易金额</t>
  </si>
  <si>
    <t>当日盈亏</t>
  </si>
  <si>
    <t>set @交易组编号串# =" ";</t>
  </si>
  <si>
    <t>set @产品编号串# =" ";</t>
  </si>
  <si>
    <t>set @机构编号串# =" ";</t>
  </si>
  <si>
    <t>set @操作权限# =0;</t>
  </si>
  <si>
    <t>set @操作权限#=1;</t>
  </si>
  <si>
    <t>set @查询操作员编号#=@操作员编号#;</t>
  </si>
  <si>
    <t>[事务_报表_资管报表_T+0账户交易汇总查询]</t>
  </si>
  <si>
    <t>逻辑_报表_资管报表_T+0持仓盈亏历史查询</t>
  </si>
  <si>
    <t>开始日期</t>
  </si>
  <si>
    <t>结束日期</t>
  </si>
  <si>
    <t>当前数量</t>
  </si>
  <si>
    <t>开仓市值</t>
  </si>
  <si>
    <t>平仓数量</t>
  </si>
  <si>
    <t>平仓市值</t>
  </si>
  <si>
    <t>[事务_报表_资管报表_T+0持仓盈亏历史查询]</t>
  </si>
  <si>
    <t>逻辑_报表_资管报表_T+0券源持仓报表历史查询</t>
  </si>
  <si>
    <t>[事务_报表_资管报表_T+0券源持仓报表历史查询]</t>
  </si>
  <si>
    <t>逻辑_报表_资管报表_T+0账户交易汇总历史查询</t>
  </si>
  <si>
    <t>set @临时-操作员编号#=@查询操作员编号#;</t>
  </si>
  <si>
    <t>set @查询操作员编号#=@临时-操作员编号#;</t>
  </si>
  <si>
    <t>[事务_报表_资管报表_T+0账户交易汇总历史查询]</t>
  </si>
  <si>
    <t>逻辑_报表_资管报表_报表产品持仓汇总查询</t>
  </si>
  <si>
    <t>证券类型</t>
  </si>
  <si>
    <t>当日买入数量</t>
  </si>
  <si>
    <t>当日卖出数量</t>
  </si>
  <si>
    <t>成本价</t>
  </si>
  <si>
    <t>今收盘价</t>
  </si>
  <si>
    <t>set @初始化日期# =0;</t>
  </si>
  <si>
    <t>[事务_报表_资管报表_报表产品持仓汇总查询]</t>
  </si>
  <si>
    <t>逻辑_报表_资管报表_报表机构持仓汇总查询</t>
  </si>
  <si>
    <t>持仓净值占比</t>
  </si>
  <si>
    <t>[事务_报表_资管报表_报表机构持仓汇总查询]</t>
  </si>
  <si>
    <t>逻辑_报表_资管报表_报表产品持仓交易汇总查询</t>
  </si>
  <si>
    <t>{市场编号},</t>
  </si>
  <si>
    <t>{证券类型},</t>
  </si>
  <si>
    <t>投资类型</t>
  </si>
  <si>
    <t>昨日持仓数量</t>
  </si>
  <si>
    <t>当日买入金额</t>
  </si>
  <si>
    <t>当日买入价格</t>
  </si>
  <si>
    <t>买入开始时间</t>
  </si>
  <si>
    <t>买入结束时间</t>
  </si>
  <si>
    <t>当日卖出金额</t>
  </si>
  <si>
    <t>当日卖出价格</t>
  </si>
  <si>
    <t>卖出开始时间</t>
  </si>
  <si>
    <t>卖出结束时间</t>
  </si>
  <si>
    <t>[事务_报表_资管报表_报表产品持仓交易汇总查询]</t>
  </si>
  <si>
    <t>逻辑_报表_资管报表_产品账户证券重仓股持仓查询</t>
  </si>
  <si>
    <t>机构编号</t>
  </si>
  <si>
    <t>co_no</t>
  </si>
  <si>
    <t>指定行数</t>
  </si>
  <si>
    <t>最新价</t>
  </si>
  <si>
    <t>期初数量</t>
  </si>
  <si>
    <t>成本金额</t>
  </si>
  <si>
    <t>浮动盈亏</t>
  </si>
  <si>
    <t>浮动盈亏比例</t>
  </si>
  <si>
    <t>市值占比</t>
  </si>
  <si>
    <t>净值占比</t>
  </si>
  <si>
    <t>set @配置值# =" ";</t>
  </si>
  <si>
    <t>set  @机构编号#=@操作员机构编号#;</t>
  </si>
  <si>
    <t>[事务_报表_资管报表_产品账户证券重仓股持仓查询]</t>
  </si>
  <si>
    <t>逻辑_报表_资管报表_交易单元证券重仓股持仓查询</t>
  </si>
  <si>
    <t>[事务_报表_资管报表_交易单元证券重仓股持仓查询]</t>
  </si>
  <si>
    <t>逻辑_报表_资管报表_证券持仓汇总查询</t>
  </si>
  <si>
    <t>记录序号</t>
  </si>
  <si>
    <t>row_id</t>
  </si>
  <si>
    <t>买入数量</t>
  </si>
  <si>
    <t>冻结数量</t>
  </si>
  <si>
    <t>解冻数量</t>
  </si>
  <si>
    <t>指令占用数量</t>
  </si>
  <si>
    <t>指令释放数量</t>
  </si>
  <si>
    <t>交易占用数量</t>
  </si>
  <si>
    <t>交易释放数量</t>
  </si>
  <si>
    <t>成交占用数量</t>
  </si>
  <si>
    <t>成交释放数量</t>
  </si>
  <si>
    <t>strike_releas_qty</t>
  </si>
  <si>
    <t>利息成本金额</t>
  </si>
  <si>
    <t>利息收益</t>
  </si>
  <si>
    <t>盈亏比例</t>
  </si>
  <si>
    <t>交易端可用数量</t>
  </si>
  <si>
    <t>指令端可用数量</t>
  </si>
  <si>
    <t>静态可用数量</t>
  </si>
  <si>
    <t>债券应收利息</t>
  </si>
  <si>
    <t>全价持仓市值</t>
  </si>
  <si>
    <t>质押数量</t>
  </si>
  <si>
    <t>[事务_报表_资管报表_证券持仓汇总查询]</t>
  </si>
  <si>
    <t>逻辑_报表_资管报表_历史证券持仓汇总查询</t>
  </si>
  <si>
    <t>[检查报错返回][@开始日期#&gt;@结束日期#][1]["开始日期不能大于结束日期"]</t>
  </si>
  <si>
    <t>[事务_报表_资管报表_历史证券持仓汇总查询]</t>
  </si>
  <si>
    <t>逻辑_报表_资管报表_T+0账户盈亏报表查询</t>
  </si>
  <si>
    <t>操作员名称</t>
  </si>
  <si>
    <t>产品编码</t>
  </si>
  <si>
    <t>产品名称</t>
  </si>
  <si>
    <t>交易组编码</t>
  </si>
  <si>
    <t>交易组名称</t>
  </si>
  <si>
    <t>证券代码</t>
  </si>
  <si>
    <t>汇总方式</t>
  </si>
  <si>
    <t>证券名称</t>
  </si>
  <si>
    <t>查询开始日期</t>
  </si>
  <si>
    <t>查询结束日期</t>
  </si>
  <si>
    <t>累计盈亏</t>
  </si>
  <si>
    <t>买入金额</t>
  </si>
  <si>
    <t>卖出数量</t>
  </si>
  <si>
    <t>卖出金额</t>
  </si>
  <si>
    <t>数量差额</t>
  </si>
  <si>
    <t>[事务_报表_资管报表_T+0账户盈亏报表查询]</t>
  </si>
  <si>
    <t>逻辑_报表_资管报表_T+0账户盈亏报表历史查询</t>
  </si>
  <si>
    <t>[事务_报表_资管报表_T+0账户盈亏报表历史查询]</t>
  </si>
  <si>
    <t>逻辑_报表_资管报表_T+0账户敞口报表查询</t>
  </si>
  <si>
    <t>INTEGER</t>
  </si>
  <si>
    <t>BIGINT</t>
  </si>
  <si>
    <t>int64</t>
  </si>
  <si>
    <t>ulong</t>
  </si>
  <si>
    <t>开仓费用</t>
  </si>
  <si>
    <t>平仓费用</t>
  </si>
  <si>
    <t>未平仓数量</t>
  </si>
  <si>
    <t>未平仓市值</t>
  </si>
  <si>
    <t>[事务_报表_资管报表_T+0账户敞口报表查询]</t>
  </si>
  <si>
    <t>逻辑_报表_资管报表_T+0账户敞口报表历史查询</t>
  </si>
  <si>
    <t>[事务_报表_资管报表_T+0账户敞口报表历史查询]</t>
  </si>
  <si>
    <t>逻辑_报表_资管报表_证券成交流水明细查询</t>
  </si>
  <si>
    <t>业务操作员编号</t>
  </si>
  <si>
    <t>证券类型串</t>
  </si>
  <si>
    <t>String</t>
  </si>
  <si>
    <t>市场编号串</t>
  </si>
  <si>
    <t>订单方向串</t>
  </si>
  <si>
    <t>查询方式</t>
  </si>
  <si>
    <t>指令序号</t>
  </si>
  <si>
    <t>排序方式</t>
  </si>
  <si>
    <t>客户端操作方式</t>
  </si>
  <si>
    <t>体外指令标志</t>
  </si>
  <si>
    <t>记录有效标志</t>
  </si>
  <si>
    <t>申报日期</t>
  </si>
  <si>
    <t>通道编号</t>
  </si>
  <si>
    <t>订单编号</t>
  </si>
  <si>
    <t>订单日期</t>
  </si>
  <si>
    <t>订单时间</t>
  </si>
  <si>
    <t>申报编号</t>
  </si>
  <si>
    <t>股东代码编号</t>
  </si>
  <si>
    <t>本币币种</t>
  </si>
  <si>
    <t>成交价格</t>
  </si>
  <si>
    <t>订单方向</t>
  </si>
  <si>
    <t>订单价格</t>
  </si>
  <si>
    <t>订单数量</t>
  </si>
  <si>
    <t>成交日期</t>
  </si>
  <si>
    <t>成交时间</t>
  </si>
  <si>
    <t>成交序号</t>
  </si>
  <si>
    <t>成交编号</t>
  </si>
  <si>
    <t>成交数量</t>
  </si>
  <si>
    <t>成交金额</t>
  </si>
  <si>
    <t>印花税</t>
  </si>
  <si>
    <t>过户费</t>
  </si>
  <si>
    <t>经手费</t>
  </si>
  <si>
    <t>证管费</t>
  </si>
  <si>
    <t>其他费用</t>
  </si>
  <si>
    <t>交易佣金</t>
  </si>
  <si>
    <t>其他佣金</t>
  </si>
  <si>
    <t>操作方式</t>
  </si>
  <si>
    <t>业务操作员名称</t>
  </si>
  <si>
    <t>债券计提利息</t>
  </si>
  <si>
    <t>净价标志</t>
  </si>
  <si>
    <t>全价成交金额</t>
  </si>
  <si>
    <t>成交均价</t>
  </si>
  <si>
    <t>set @机构编号串# = concat("",@操作员机构编号#);</t>
  </si>
  <si>
    <t>#[事务_权限检查]</t>
  </si>
  <si>
    <t>D:\osm\branches\1.5\document\D2.Designs\系统\设计模板(系统-权限).xlsx,'系统-权限-事务服务'!E2</t>
  </si>
  <si>
    <t>#[事务_公共_公共接口_检查系统状态]</t>
  </si>
  <si>
    <t>D:\ldtamp\trunk\document\D2.Designs\公共\设计模板(公共-公共接口).xlsx,'公共-公共接口-事务服务'!E433</t>
  </si>
  <si>
    <t>set @查询操作员编号# = @操作员编号#;</t>
  </si>
  <si>
    <t>set @操作权限# = 1;</t>
  </si>
  <si>
    <t>#[事务_公共_交易接口_检查市场状态权限身份获取操作员权限串]</t>
  </si>
  <si>
    <t>D:\ldtamp\trunk\document\D2.Designs\公共\设计模板(公共-交易接口).xlsx,'公共-交易接口-事务服务'!E829</t>
  </si>
  <si>
    <t>[事务_报表_资管报表_证券成交流水明细查询]</t>
  </si>
  <si>
    <t>逻辑_报表_资管报表_证券成交流水历史查询</t>
  </si>
  <si>
    <t>[事务_报表_资管报表_证券成交流水历史查询]</t>
  </si>
  <si>
    <t>逻辑_报表_资管报表_T+0账户月盈亏报表查询</t>
  </si>
  <si>
    <t>当月盈亏</t>
  </si>
  <si>
    <t>销售金额</t>
  </si>
  <si>
    <t>set @交易组编号串# ="0";</t>
  </si>
  <si>
    <t>set @产品编号串# ="0";</t>
  </si>
  <si>
    <t>##[事务_权限检查]</t>
  </si>
  <si>
    <t>[事务_报表_资管报表_T+0账户月盈亏报表查询]</t>
  </si>
  <si>
    <t>逻辑_报表_资管报表_T+0账户月盈亏报表历史查询</t>
  </si>
  <si>
    <t>当前月份</t>
  </si>
  <si>
    <t>[事务_报表_资管报表_T+0账户月盈亏报表历史查询]</t>
  </si>
  <si>
    <t>逻辑_报表_资管报表_T+0账户盈亏专用报表查询</t>
  </si>
  <si>
    <t>[事务_报表_资管报表_T+0账户盈亏专用报表查询]</t>
  </si>
  <si>
    <t>逻辑_报表_资管报表_T+0账户盈亏专用报表历史查询</t>
  </si>
  <si>
    <t>[事务_报表_资管报表_T+0账户盈亏专用报表历史查询]</t>
  </si>
  <si>
    <t>逻辑_报表_资管报表_查询全部交易组</t>
  </si>
  <si>
    <t>交易组状态</t>
  </si>
  <si>
    <t>默认组标志</t>
  </si>
  <si>
    <t>set @机构编号#=@操作员机构编号#;</t>
  </si>
  <si>
    <t>[事务_报表_资管报表_查询全部交易组]</t>
  </si>
  <si>
    <t>逻辑_报表_资管报表_查询全部操作员信息</t>
  </si>
  <si>
    <t>是否交易员</t>
  </si>
  <si>
    <t>操作员状态串</t>
  </si>
  <si>
    <t>操作员类型</t>
  </si>
  <si>
    <t>操作员状态</t>
  </si>
  <si>
    <t>[事务_报表_资管报表_查询全部操作员信息]</t>
  </si>
  <si>
    <t>逻辑_报表_资管报表_查询产品资产</t>
  </si>
  <si>
    <t>产品编号串</t>
  </si>
  <si>
    <t>产品总份额</t>
  </si>
  <si>
    <t>当前份额</t>
  </si>
  <si>
    <t>净资产</t>
  </si>
  <si>
    <t>单位净值</t>
  </si>
  <si>
    <t>昨日净值</t>
  </si>
  <si>
    <t>净值波动</t>
  </si>
  <si>
    <t>现金资产</t>
  </si>
  <si>
    <t>股票资产</t>
  </si>
  <si>
    <t>债券资产</t>
  </si>
  <si>
    <t>基金资产</t>
  </si>
  <si>
    <t>货币基金资产</t>
  </si>
  <si>
    <t>非货币基金资产</t>
  </si>
  <si>
    <t>回购资产</t>
  </si>
  <si>
    <t>其他资产</t>
  </si>
  <si>
    <t>港股通资产</t>
  </si>
  <si>
    <t>期货资产</t>
  </si>
  <si>
    <t>可分配金额</t>
  </si>
  <si>
    <t>当日收益率</t>
  </si>
  <si>
    <t>可提现金额</t>
  </si>
  <si>
    <t>股票资产占比</t>
  </si>
  <si>
    <t>证券占比</t>
  </si>
  <si>
    <t>基金资产占比</t>
  </si>
  <si>
    <t>累计应付金额</t>
  </si>
  <si>
    <t>累计应收金额</t>
  </si>
  <si>
    <t>可用资金</t>
  </si>
  <si>
    <t>资金余额</t>
  </si>
  <si>
    <t>可用金额</t>
  </si>
  <si>
    <t>红冲蓝补金额</t>
  </si>
  <si>
    <t>期货现金资产</t>
  </si>
  <si>
    <t>总现金资产</t>
  </si>
  <si>
    <t>证券现金资产</t>
  </si>
  <si>
    <t>占用保证金</t>
  </si>
  <si>
    <t>总融资负债</t>
  </si>
  <si>
    <t>总融券负债</t>
  </si>
  <si>
    <t>[事务_报表_资管报表_查询产品资产]</t>
  </si>
  <si>
    <t>逻辑_报表_资管报表_查询交易组资产</t>
  </si>
  <si>
    <t>交易组编号串</t>
  </si>
  <si>
    <t>交易组产品份额</t>
  </si>
  <si>
    <t>累计实现收益</t>
  </si>
  <si>
    <t>累计收益率</t>
  </si>
  <si>
    <t>持股比例</t>
  </si>
  <si>
    <t>港股可用金额</t>
  </si>
  <si>
    <t>[事务_报表_资管报表_查询交易组资产]</t>
  </si>
  <si>
    <t>逻辑_报表_资管报表_查询产品资产_历史</t>
  </si>
  <si>
    <t>[事务_报表_资管报表_查询产品资产_历史]</t>
  </si>
  <si>
    <t>逻辑_报表_资管报表_查询交易组资产_历史</t>
  </si>
  <si>
    <t>[事务_报表_资管报表_查询交易组资产_历史]</t>
  </si>
  <si>
    <t>逻辑_报表_资管报表_查询_产品_证券持仓</t>
  </si>
  <si>
    <t>uint64</t>
  </si>
  <si>
    <t>待交收数量</t>
  </si>
  <si>
    <t>指令冻结数量</t>
  </si>
  <si>
    <t>指令解冻数量</t>
  </si>
  <si>
    <t>交易冻结数量</t>
  </si>
  <si>
    <t>交易解冻数量</t>
  </si>
  <si>
    <t>成交冻结数量</t>
  </si>
  <si>
    <t>成交解冻数量</t>
  </si>
  <si>
    <t>买入待交割数量</t>
  </si>
  <si>
    <t>卖出待交割数量</t>
  </si>
  <si>
    <t>可用数量</t>
  </si>
  <si>
    <t>净价</t>
  </si>
  <si>
    <t>全价</t>
  </si>
  <si>
    <t>昨收盘价</t>
  </si>
  <si>
    <t>大宗交易持仓市值</t>
  </si>
  <si>
    <t>资产类型</t>
  </si>
  <si>
    <t>公允价格</t>
  </si>
  <si>
    <t>债券利率类型</t>
  </si>
  <si>
    <t>质押比例</t>
  </si>
  <si>
    <t>总股本</t>
  </si>
  <si>
    <t>流通股本</t>
  </si>
  <si>
    <t>备注信息</t>
  </si>
  <si>
    <t>[事务_报表_资管报表_查询_产品_证券持仓]</t>
  </si>
  <si>
    <t>逻辑_报表_资管报表_查询_交易组_证券持仓</t>
  </si>
  <si>
    <t>[事务_报表_资管报表_查询_交易组_证券持仓]</t>
  </si>
  <si>
    <t>逻辑_报表_资管报表_查询_产品_证券持仓_历史</t>
  </si>
  <si>
    <t>[事务_报表_资管报表_查询_产品_证券持仓_历史]</t>
  </si>
  <si>
    <t>逻辑_报表_资管报表_查询_交易组_证券持仓_历史</t>
  </si>
  <si>
    <t>#[事务_获取机构配置]</t>
  </si>
  <si>
    <t>[事务_报表_资管报表_查询_交易组_证券持仓_历史]</t>
  </si>
  <si>
    <t>逻辑_报表_资管报表_查询_产品_期货持仓</t>
  </si>
  <si>
    <t>合约代码编号</t>
  </si>
  <si>
    <t>交易编码编号</t>
  </si>
  <si>
    <t>多空类型</t>
  </si>
  <si>
    <t>套保标志</t>
  </si>
  <si>
    <t>开仓价格</t>
  </si>
  <si>
    <t>盯市盈亏</t>
  </si>
  <si>
    <t>应收保证金</t>
  </si>
  <si>
    <t>今仓成交占用数量</t>
  </si>
  <si>
    <t>[事务_报表_资管报表_查询_产品_期货持仓]</t>
  </si>
  <si>
    <t>逻辑_报表_资管报表_查询_产品_期货持仓_历史</t>
  </si>
  <si>
    <t>[事务_报表_资管报表_查询_产品_期货持仓_历史]</t>
  </si>
  <si>
    <t>逻辑_报表_资管报表_查询_交易组_期货持仓</t>
  </si>
  <si>
    <t>[事务_报表_资管报表_查询_交易组_期货持仓]</t>
  </si>
  <si>
    <t>逻辑_报表_资管报表_查询_交易组_期货持仓_历史</t>
  </si>
  <si>
    <t>[事务_报表_资管报表_查询_交易组_期货持仓_历史]</t>
  </si>
  <si>
    <t>逻辑_报表_资管报表_查询_交易组_期货持仓明细</t>
  </si>
  <si>
    <t>开仓日期</t>
  </si>
  <si>
    <t>开仓时间</t>
  </si>
  <si>
    <t>平仓盈亏</t>
  </si>
  <si>
    <t>[事务_报表_资管报表_查询_交易组_期货持仓明细]</t>
  </si>
  <si>
    <t>逻辑_报表_资管报表_查询T0交易员开平仓明细历史</t>
  </si>
  <si>
    <t>开平方向</t>
  </si>
  <si>
    <t>平仓日期</t>
  </si>
  <si>
    <t>平仓时间</t>
  </si>
  <si>
    <t>平仓价格</t>
  </si>
  <si>
    <t>F:\code\1.5\document\D2.Designs\系统\设计模板(系统-基础).xlsx,'系统-基础-事务服务'!E2</t>
  </si>
  <si>
    <t>[事务_报表_资管报表_查询T0交易员开平仓明细历史]</t>
  </si>
  <si>
    <t>逻辑_报表_资管报表_查询产品上日资产</t>
  </si>
  <si>
    <t>昨日份额</t>
  </si>
  <si>
    <t>期初净资产</t>
  </si>
  <si>
    <t>股票成本</t>
  </si>
  <si>
    <t>债券成本</t>
  </si>
  <si>
    <t>基金成本</t>
  </si>
  <si>
    <t>回购成本</t>
  </si>
  <si>
    <t>其他成本</t>
  </si>
  <si>
    <t>期货成本</t>
  </si>
  <si>
    <t>港股通成本</t>
  </si>
  <si>
    <t>货币基金成本</t>
  </si>
  <si>
    <t>单位累计净值</t>
  </si>
  <si>
    <t>单位分红</t>
  </si>
  <si>
    <t>分组序号</t>
  </si>
  <si>
    <t>上月净值</t>
  </si>
  <si>
    <t>外部账号</t>
  </si>
  <si>
    <t>上日现金资产</t>
  </si>
  <si>
    <t>上日股票资产</t>
  </si>
  <si>
    <t>上日债券资产</t>
  </si>
  <si>
    <t>上日基金资产</t>
  </si>
  <si>
    <t>上日回购资产</t>
  </si>
  <si>
    <t>上日其他资产</t>
  </si>
  <si>
    <t>上日期货资产</t>
  </si>
  <si>
    <t>上日港股通资产</t>
  </si>
  <si>
    <t>上日货币基金资产</t>
  </si>
  <si>
    <t>上日股票成本</t>
  </si>
  <si>
    <t>上日债券成本</t>
  </si>
  <si>
    <t>上日基金成本</t>
  </si>
  <si>
    <t>上日回购成本</t>
  </si>
  <si>
    <t>上日其他成本</t>
  </si>
  <si>
    <t>上日期货成本</t>
  </si>
  <si>
    <t>上日港股通成本</t>
  </si>
  <si>
    <t>上日货币基金成本</t>
  </si>
  <si>
    <t>[事务_报表_资管报表_查询产品上日资产]</t>
  </si>
  <si>
    <t>逻辑_报表_资管报表_查询产品汇总成交证券类型</t>
  </si>
  <si>
    <t>累计交易金额</t>
  </si>
  <si>
    <t>累计成交佣金</t>
  </si>
  <si>
    <t>A股交易金额</t>
  </si>
  <si>
    <t>A股成交佣金</t>
  </si>
  <si>
    <t>债券交易金额</t>
  </si>
  <si>
    <t>债券成交佣金</t>
  </si>
  <si>
    <t>基金交易金额</t>
  </si>
  <si>
    <t>基金成交佣金</t>
  </si>
  <si>
    <t>货币基金交易金额</t>
  </si>
  <si>
    <t>货币基金成交佣金</t>
  </si>
  <si>
    <t>港股通交易金额</t>
  </si>
  <si>
    <t>港股通成交佣金</t>
  </si>
  <si>
    <t>回购交易金额</t>
  </si>
  <si>
    <t>回购成交佣金</t>
  </si>
  <si>
    <t>期权交易金额</t>
  </si>
  <si>
    <t>期权成交佣金</t>
  </si>
  <si>
    <t>期货交易金额</t>
  </si>
  <si>
    <t>期货成交佣金</t>
  </si>
  <si>
    <t>累计交易笔数</t>
  </si>
  <si>
    <t>A股交易笔数</t>
  </si>
  <si>
    <t>债券交易笔数</t>
  </si>
  <si>
    <t>基金交易笔数</t>
  </si>
  <si>
    <t>货币基金交易笔数</t>
  </si>
  <si>
    <t>港股通交易笔数</t>
  </si>
  <si>
    <t>回购交易笔数</t>
  </si>
  <si>
    <t>期权交易笔数</t>
  </si>
  <si>
    <t>期货交易笔数</t>
  </si>
  <si>
    <t>[事务_报表_资管报表_查询产品汇总成交证券类型]</t>
  </si>
  <si>
    <t>逻辑_报表_资管报表_查询成交明细</t>
  </si>
  <si>
    <t>uint32</t>
  </si>
  <si>
    <t>订单操作方式</t>
  </si>
  <si>
    <t>VARCHAR</t>
  </si>
  <si>
    <t>bytevector</t>
  </si>
  <si>
    <t>指令批号</t>
  </si>
  <si>
    <t>订单批号</t>
  </si>
  <si>
    <t>int32</t>
  </si>
  <si>
    <t>组合代码</t>
  </si>
  <si>
    <t>订单序号</t>
  </si>
  <si>
    <t>DECIMAL</t>
  </si>
  <si>
    <t>double</t>
  </si>
  <si>
    <t>交易征费</t>
  </si>
  <si>
    <t>交易费</t>
  </si>
  <si>
    <t>交易系统使用费</t>
  </si>
  <si>
    <t>股份交收费</t>
  </si>
  <si>
    <t>成交债券计提利息</t>
  </si>
  <si>
    <t>更新次数</t>
  </si>
  <si>
    <t>update_times</t>
  </si>
  <si>
    <t>外部编号</t>
  </si>
  <si>
    <t>行情成交数量</t>
  </si>
  <si>
    <t>行情成交金额</t>
  </si>
  <si>
    <t>F:\code\2.0\公共\设计模板(公共-公共接口).xlsx,'公共-公共接口-事务服务'!E838</t>
  </si>
  <si>
    <t>[事务_报表_资管报表_查询成交明细]</t>
  </si>
  <si>
    <t>逻辑_报表_资管报表_查询证券行情</t>
  </si>
  <si>
    <t>涨停价</t>
  </si>
  <si>
    <t>跌停价</t>
  </si>
  <si>
    <t>今开盘价</t>
  </si>
  <si>
    <t>今最高价</t>
  </si>
  <si>
    <t>今最低价</t>
  </si>
  <si>
    <t>买一价</t>
  </si>
  <si>
    <t>买一量</t>
  </si>
  <si>
    <t>买二价</t>
  </si>
  <si>
    <t>买二量</t>
  </si>
  <si>
    <t>买三价</t>
  </si>
  <si>
    <t>买三量</t>
  </si>
  <si>
    <t>买四价</t>
  </si>
  <si>
    <t>买四量</t>
  </si>
  <si>
    <t>买五价</t>
  </si>
  <si>
    <t>买五量</t>
  </si>
  <si>
    <t>卖一价</t>
  </si>
  <si>
    <t>卖一量</t>
  </si>
  <si>
    <t>卖二价</t>
  </si>
  <si>
    <t>卖二量</t>
  </si>
  <si>
    <t>卖三价</t>
  </si>
  <si>
    <t>卖三量</t>
  </si>
  <si>
    <t>卖四价</t>
  </si>
  <si>
    <t>卖四量</t>
  </si>
  <si>
    <t>卖五价</t>
  </si>
  <si>
    <t>卖五量</t>
  </si>
  <si>
    <t>市盈率</t>
  </si>
  <si>
    <t>时间戳</t>
  </si>
  <si>
    <t>[事务_报表_资管报表_查询证券行情]</t>
  </si>
  <si>
    <t>逻辑_报表_资管报表_查询产品指令统计</t>
  </si>
  <si>
    <t>指令笔数</t>
  </si>
  <si>
    <t>指令数量</t>
  </si>
  <si>
    <t>指令金额</t>
  </si>
  <si>
    <t>订单笔数</t>
  </si>
  <si>
    <t>订单金额</t>
  </si>
  <si>
    <t>未成交金额</t>
  </si>
  <si>
    <t>成交笔数</t>
  </si>
  <si>
    <t>[事务_报表_资管报表_查询产品指令统计]</t>
  </si>
  <si>
    <t>逻辑_报表_资管报表_查询产品交易操作效率</t>
  </si>
  <si>
    <t>持仓不动收益率</t>
  </si>
  <si>
    <t>绝对操作效率</t>
  </si>
  <si>
    <t>日均净资产</t>
  </si>
  <si>
    <t>期初份额累计净值</t>
  </si>
  <si>
    <t>期初单位净值</t>
  </si>
  <si>
    <t>期初份额总额</t>
  </si>
  <si>
    <t>期末净资产</t>
  </si>
  <si>
    <t>期末份额累计净值</t>
  </si>
  <si>
    <t>期末份额总额</t>
  </si>
  <si>
    <t>期末单位净值</t>
  </si>
  <si>
    <t>[事务_报表_资管报表_查询产品交易操作效率]</t>
  </si>
  <si>
    <t>逻辑_报表_资管报表_查询产品汇总持仓</t>
  </si>
  <si>
    <t>[事务_报表_资管报表_查询产品汇总持仓]</t>
  </si>
  <si>
    <t>逻辑_报表_资管报表_查询产品佣金统计报表</t>
  </si>
  <si>
    <t>[事务_报表_资管报表_查询产品佣金统计报表]</t>
  </si>
  <si>
    <t>逻辑_报表_资管报表_产品当日成交统计查询</t>
  </si>
  <si>
    <t>成交占用金额</t>
  </si>
  <si>
    <t>成交释放金额</t>
  </si>
  <si>
    <t>set @成交占用金额#=0;</t>
  </si>
  <si>
    <t>set @成交释放金额#=0;</t>
  </si>
  <si>
    <t>[事务_报表_资管报表_产品当日成交统计查询]</t>
  </si>
  <si>
    <t>[获取结果集][lpFastMsg]</t>
  </si>
  <si>
    <t>[遍历结果集开始][lpFastMsg]</t>
  </si>
  <si>
    <t xml:space="preserve">    if @订单方向# = 《订单方向-买入》  then</t>
  </si>
  <si>
    <t xml:space="preserve">      set @成交占用金额#=@成交占用金额#+@成交金额#;</t>
  </si>
  <si>
    <t xml:space="preserve">   else</t>
  </si>
  <si>
    <t xml:space="preserve">      set @成交释放金额#=@成交释放金额#+@成交金额#;</t>
  </si>
  <si>
    <t xml:space="preserve">   end if;</t>
  </si>
  <si>
    <t>[遍历结果集结束]</t>
  </si>
  <si>
    <t>逻辑_报表_资管报表_产品持仓汇总统计查询</t>
  </si>
  <si>
    <t>持仓盈亏</t>
  </si>
  <si>
    <t>[事务_报表_资管报表_产品持仓汇总统计查询]</t>
  </si>
  <si>
    <t>逻辑_报表_资管报表_查询_交易组_新证券持仓</t>
  </si>
  <si>
    <t>[事务_报表_资管报表_查询_交易组_新证券持仓]</t>
  </si>
  <si>
    <t>事务_报表_资管报表_T+0持仓盈亏查询</t>
  </si>
  <si>
    <t>[原子_报表_资管报表_T+0持仓盈亏查询]</t>
  </si>
  <si>
    <t>事务_报表_资管报表_T+0券源持仓报表查询</t>
  </si>
  <si>
    <t>[原子_报表_资管报表_T+0券源持仓报表查询]</t>
  </si>
  <si>
    <t>事务_报表_资管报表_T+0账户交易汇总查询</t>
  </si>
  <si>
    <t>LPCTSTR</t>
  </si>
  <si>
    <t>机构编号串</t>
  </si>
  <si>
    <t>[原子_报表_资管报表_T+0账户交易汇总查询]</t>
  </si>
  <si>
    <t>事务_报表_资管报表_T+0持仓盈亏历史查询</t>
  </si>
  <si>
    <t>[原子_报表_资管报表_T+0持仓盈亏历史查询]</t>
  </si>
  <si>
    <t>事务_报表_资管报表_T+0券源持仓报表历史查询</t>
  </si>
  <si>
    <t>[原子_报表_资管报表_T+0券源持仓报表历史查询]</t>
  </si>
  <si>
    <t>事务_报表_资管报表_T+0账户交易汇总历史查询</t>
  </si>
  <si>
    <t>[原子_报表_资管报表_T+0账户交易汇总历史查询]</t>
  </si>
  <si>
    <t>事务_报表_资管报表_报表产品持仓汇总查询</t>
  </si>
  <si>
    <t>[原子_报表_资管报表_报表产品持仓汇总查询]</t>
  </si>
  <si>
    <t>事务_报表_资管报表_报表机构持仓汇总查询</t>
  </si>
  <si>
    <t>[原子_报表_资管报表_报表机构持仓汇总查询]</t>
  </si>
  <si>
    <t>事务_报表_资管报表_报表产品持仓交易汇总查询</t>
  </si>
  <si>
    <t>[原子_报表_资管报表_报表产品持仓交易汇总查询]</t>
  </si>
  <si>
    <t>事务_报表_资管报表_产品账户证券重仓股持仓查询</t>
  </si>
  <si>
    <t>配置值</t>
  </si>
  <si>
    <t>[原子_报表_资管报表_产品账户证券重仓股持仓查询]</t>
  </si>
  <si>
    <t>账户</t>
  </si>
  <si>
    <t>事务_报表_资管报表_交易单元证券重仓股持仓查询</t>
  </si>
  <si>
    <t>[原子_报表_资管报表_交易单元证券重仓股持仓查询]</t>
  </si>
  <si>
    <t>事务_报表_资管报表_证券持仓汇总查询</t>
  </si>
  <si>
    <t xml:space="preserve">if @指定行数#&gt;65535 or @指定行数#&lt;1 then </t>
  </si>
  <si>
    <t xml:space="preserve">  set @指定行数#=65535;</t>
  </si>
  <si>
    <t>end if;</t>
  </si>
  <si>
    <t>[原子_报表_资管报表_证券持仓汇总查询]</t>
  </si>
  <si>
    <t>事务_报表_资管报表_历史证券持仓汇总查询</t>
  </si>
  <si>
    <t>[原子_报表_资管报表_历史证券持仓汇总查询]</t>
  </si>
  <si>
    <t>事务_报表_资管报表_T+0账户盈亏报表查询</t>
  </si>
  <si>
    <t>D:\ldtamp\trunk\document\D2.Designs\报表\设计模板(报表-报表基础).xlsx,'报表-报表基础-原子服务'!E68</t>
  </si>
  <si>
    <t>[原子_报表_资管报表_T+0账户盈亏报表查询]</t>
  </si>
  <si>
    <t>事务_报表_资管报表_T+0账户盈亏报表历史查询</t>
  </si>
  <si>
    <t>[原子_报表_资管报表_T+0账户盈亏报表历史查询]</t>
  </si>
  <si>
    <t>事务_报表_资管报表_T+0账户敞口报表查询</t>
  </si>
  <si>
    <t>[原子_报表_资管报表_T+0账户敞口报表查询]</t>
  </si>
  <si>
    <t>事务_报表_资管报表_T+0账户敞口报表历史查询</t>
  </si>
  <si>
    <t>[原子_报表_资管报表_T+0账户敞口报表历史查询]</t>
  </si>
  <si>
    <t>事务_报表_资管报表_证券成交流水明细查询</t>
  </si>
  <si>
    <r>
      <rPr>
        <sz val="10.5"/>
        <rFont val="微软雅黑"/>
        <family val="2"/>
        <charset val="134"/>
      </rPr>
      <t>机构编号串</t>
    </r>
  </si>
  <si>
    <t>资产账户</t>
  </si>
  <si>
    <t>股东代码</t>
  </si>
  <si>
    <t>if @指定行数# &gt; 500 then</t>
  </si>
  <si>
    <t xml:space="preserve">  set @指定行数# = 500;</t>
  </si>
  <si>
    <t>[检查正常赋值][isnull(@机构编号串#)][@机构编号串#]["-1"]</t>
  </si>
  <si>
    <t>[检查正常赋值][isnull(@产品编号串#)][@产品编号串#]["-1"]</t>
  </si>
  <si>
    <t>[检查正常赋值][isnull(@交易组编号串#)][@交易组编号串#]["-1"]</t>
  </si>
  <si>
    <t>set @查询条件# = "1&lt;&gt;1";</t>
  </si>
  <si>
    <t>set @查询条件# = concat('(', @查询条件#);</t>
  </si>
  <si>
    <t>[按条件拼字符串][@查询条件#][@交易组编号串#&lt;&gt;"0" and @交易组编号串#&lt;&gt;"-1"][' or ({产品编号}, {交易组编号}) in (select {产品编号},{交易组编号} from ~报表_资管报表_公共-用户-操作员所属交易组表^ where {操作员编号} = ', @操作员编号#,')']</t>
  </si>
  <si>
    <t>set @查询条件# = concat(@查询条件#, ')');</t>
  </si>
  <si>
    <t>if @查询条件# = "(1&lt;&gt;1)" then</t>
  </si>
  <si>
    <t xml:space="preserve">  set @查询条件# = "1=1";</t>
  </si>
  <si>
    <t>if @排序方式# &lt;&gt; 2 then</t>
  </si>
  <si>
    <t>if @排序方式# = 2 then</t>
  </si>
  <si>
    <t>if @查询方式# = 2 then</t>
  </si>
  <si>
    <t xml:space="preserve">  set @查询条件# = concat(@查询条件#,' group by {机构编号}, {产品编号}, {交易组编号}, {资产账户编号}, {市场编号}, {证券代码编号}, {订单方向} ');</t>
  </si>
  <si>
    <t>elseif @查询方式# = 3 then</t>
  </si>
  <si>
    <t xml:space="preserve">  set @查询条件# = concat(@查询条件#,' group by {机构编号}, {产品编号}, {市场编号}, {证券代码编号}, {订单方向} ');</t>
  </si>
  <si>
    <t>elseif @查询方式# = 4 then</t>
  </si>
  <si>
    <t xml:space="preserve">  set @查询条件# = concat(@查询条件#,' group by {机构编号}, {操作员编号}, {产品编号}, {市场编号}, {证券代码编号}, {订单方向} ');</t>
  </si>
  <si>
    <t>elseif @查询方式# = 5 then</t>
  </si>
  <si>
    <t xml:space="preserve">  set @查询条件# = concat(@查询条件#,' group by {机构编号}, {市场编号}, {证券代码}, {订单方向} ');</t>
  </si>
  <si>
    <t>[原子_报表_资管报表_证券成交流水明细查询]</t>
  </si>
  <si>
    <t>事务_报表_资管报表_证券成交流水历史查询</t>
  </si>
  <si>
    <t>[检查报错返回][@开始日期# = 0 or @结束日期# = 0][1][concat("请指定查询起止日期, 开始日期 = ", @开始日期#, ", 结束日期", @结束日期#)]</t>
  </si>
  <si>
    <t>[检查报错返回][@结束日期# &lt; @开始日期#][2][concat("查询起始日期不能大于结束日期, 开始日期 = ", @开始日期#, ", 结束日期", @结束日期#)]</t>
  </si>
  <si>
    <t>[按条件拼字符串][@查询条件#][@体外指令标志#&lt;&gt;0][' and {体外指令标志} = ',@体外指令标志#]</t>
  </si>
  <si>
    <t>[按条件拼字符串][@查询条件#][@记录有效标志#&lt;&gt;0][' and {记录有效标志} = ',@记录有效标志#]</t>
  </si>
  <si>
    <t xml:space="preserve">  set @查询条件# = concat(@查询条件#,' group by {成交日期}, {机构编号}, {资产账户编号}, {市场编号}, {证券代码编号}, {订单方向} ');</t>
  </si>
  <si>
    <t xml:space="preserve">  set @查询条件# = concat(@查询条件#,' group by {成交日期}, {机构编号}, {市场编号}, {证券代码编号}, {订单方向} ');</t>
  </si>
  <si>
    <t xml:space="preserve">  set @查询条件# = concat(@查询条件#,' group by {成交日期}, {机构编号}, {操作员编号}, {市场编号}, {证券代码编号}, {订单方向} ');</t>
  </si>
  <si>
    <t>[原子_报表_资管报表_证券成交流水历史查询]</t>
  </si>
  <si>
    <t>事务_报表_资管报表_T+0账户月盈亏报表查询</t>
  </si>
  <si>
    <t>set @机构编号串# =trim(ifnull(@机构编号串#,""));</t>
  </si>
  <si>
    <t>set @机构编号串# = if(@机构编号串# = "",@操作员机构编号#,@机构编号串#);</t>
  </si>
  <si>
    <t>[原子_报表_资管报表_T+0账户月盈亏报表查询]</t>
  </si>
  <si>
    <t>事务_报表_资管报表_T+0账户月盈亏报表历史查询</t>
  </si>
  <si>
    <t>[原子_报表_资管报表_T+0账户月盈亏报表历史查询]</t>
  </si>
  <si>
    <t>事务_报表_资管报表_T+0账户盈亏专用报表查询</t>
  </si>
  <si>
    <t>[原子_报表_资管报表_T+0账户盈亏专用报表查询]</t>
  </si>
  <si>
    <t>事务_报表_资管报表_T+0账户盈亏专用报表历史查询</t>
  </si>
  <si>
    <t>[原子_报表_资管报表_T+0账户盈亏专用报表历史查询]</t>
  </si>
  <si>
    <t>事务_报表_资管报表_查询全部交易组</t>
  </si>
  <si>
    <t>[原子_报表_资管报表_查询全部交易组]</t>
  </si>
  <si>
    <t>事务_报表_资管报表_查询全部操作员信息</t>
  </si>
  <si>
    <t>set @机构编号# = @操作员机构编号#;</t>
  </si>
  <si>
    <t>if @操作员状态串# &lt;&gt; " " then</t>
  </si>
  <si>
    <t xml:space="preserve">    set @操作员状态串# = concat(";", @操作员状态串#, ";");</t>
  </si>
  <si>
    <t>[原子_报表_资管报表_查询全部操作员信息]</t>
  </si>
  <si>
    <t>事务_报表_资管报表_查询产品资产</t>
  </si>
  <si>
    <t>[原子_报表_资管报表_查询产品资产]</t>
  </si>
  <si>
    <t>事务_报表_资管报表_查询交易组资产</t>
  </si>
  <si>
    <t>[原子_报表_资管报表_查询交易组资产]</t>
  </si>
  <si>
    <t>事务_报表_资管报表_查询产品资产_历史</t>
  </si>
  <si>
    <t>[原子_报表_资管报表_查询产品资产_历史]</t>
  </si>
  <si>
    <t>事务_报表_资管报表_查询交易组资产_历史</t>
  </si>
  <si>
    <t>[原子_报表_资管报表_查询交易组资产_历史]</t>
  </si>
  <si>
    <t>事务_报表_资管报表_查询_产品_证券持仓</t>
  </si>
  <si>
    <t>[原子_报表_资管报表_查询_产品_证券持仓]</t>
  </si>
  <si>
    <t>事务_报表_资管报表_查询_交易组_证券持仓</t>
  </si>
  <si>
    <t>[原子_报表_资管报表_查询_交易组_证券持仓]</t>
  </si>
  <si>
    <t>事务_报表_资管报表_查询_产品_证券持仓_历史</t>
  </si>
  <si>
    <t>[原子_报表_资管报表_查询_产品_证券持仓_历史]</t>
  </si>
  <si>
    <t>事务_报表_资管报表_查询_交易组_证券持仓_历史</t>
  </si>
  <si>
    <t>[原子_报表_资管报表_查询_交易组_证券持仓_历史]</t>
  </si>
  <si>
    <t>事务_报表_资管报表_查询_产品_期货持仓</t>
  </si>
  <si>
    <t>[原子_报表_资管报表_查询_产品_期货持仓]</t>
  </si>
  <si>
    <t>事务_报表_资管报表_查询_产品_期货持仓_历史</t>
  </si>
  <si>
    <t>[原子_报表_资管报表_查询_产品_期货持仓_历史]</t>
  </si>
  <si>
    <t>事务_报表_资管报表_查询_交易组_期货持仓</t>
  </si>
  <si>
    <t>[原子_报表_资管报表_查询_交易组_期货持仓]</t>
  </si>
  <si>
    <t>事务_报表_资管报表_查询_交易组_期货持仓_历史</t>
  </si>
  <si>
    <t>[原子_报表_资管报表_查询_交易组_期货持仓_历史]</t>
  </si>
  <si>
    <t>事务_报表_资管报表_查询_交易组_期货持仓明细</t>
  </si>
  <si>
    <t>[原子_报表_资管报表_查询_交易组_期货持仓明细]</t>
  </si>
  <si>
    <t>事务_报表_资管报表_T+0券源持仓查询</t>
  </si>
  <si>
    <t>买入可用数量</t>
  </si>
  <si>
    <t>卖出可用数量</t>
  </si>
  <si>
    <t>当日交易费</t>
  </si>
  <si>
    <t>[原子_报表_资管报表_T+0券源持仓查询]</t>
  </si>
  <si>
    <t>事务_报表_资管报表_T+0持仓分笔查询</t>
  </si>
  <si>
    <t>明细持仓序号</t>
  </si>
  <si>
    <t>[原子_报表_资管报表_T+0持仓分笔查询]</t>
  </si>
  <si>
    <t>事务_报表_资管报表_T+0持仓合笔查询</t>
  </si>
  <si>
    <t>set @初始化日期# = 0;</t>
  </si>
  <si>
    <t>[原子_报表_资管报表_T+0持仓合笔查询]</t>
  </si>
  <si>
    <t>事务_报表_资管报表_T+0账户汇总信息查询</t>
  </si>
  <si>
    <t>[事务开始]</t>
  </si>
  <si>
    <t>[原子_报表_资管报表_T+0账户汇总信息查询]</t>
  </si>
  <si>
    <t>[事务结束]</t>
  </si>
  <si>
    <t>事务_报表_资管报表_查询T0交易员开平仓明细历史</t>
  </si>
  <si>
    <t>F:\code\2.0\公共\设计模板(公共-公共接口).xlsx,'公共-公共接口-事务服务'!E62</t>
  </si>
  <si>
    <t>[原子_报表_资管报表_查询T0交易员开平仓明细历史]</t>
  </si>
  <si>
    <t>事务_报表_资管报表_查询产品上日资产</t>
  </si>
  <si>
    <t>[原子_报表_资管报表_查询产品上日资产]</t>
  </si>
  <si>
    <t>事务_报表_资管报表_查询产品汇总成交证券类型</t>
  </si>
  <si>
    <t>[原子_报表_资管报表_查询产品汇总成交证券类型]</t>
  </si>
  <si>
    <t>事务_报表_资管报表_查询成交明细</t>
  </si>
  <si>
    <t>[原子_报表_资管报表_查询成交明细]</t>
  </si>
  <si>
    <t>事务_报表_资管报表_查询证券行情</t>
  </si>
  <si>
    <t>F:\code\2.0\公共\设计模板(公共-公共接口).xlsx,'公共-公共接口-原子服务'!E838</t>
  </si>
  <si>
    <t>[原子_报表_资管报表_查询证券行情]</t>
  </si>
  <si>
    <t>事务_报表_资管报表_查询产品指令统计</t>
  </si>
  <si>
    <t>[原子_报表_资管报表_查询产品指令统计]</t>
  </si>
  <si>
    <t>事务_报表_资管报表_查询产品交易操作效率</t>
  </si>
  <si>
    <t>[原子_报表_资管报表_查询产品交易操作效率]</t>
  </si>
  <si>
    <t>事务_报表_资管报表_查询产品汇总持仓</t>
  </si>
  <si>
    <t>[原子_报表_资管报表_查询产品汇总持仓]</t>
  </si>
  <si>
    <t>事务_报表_资管报表_查询产品佣金统计报表</t>
  </si>
  <si>
    <t>[原子_报表_资管报表_查询产品佣金统计报表]</t>
  </si>
  <si>
    <t>事务_报表_资管报表_产品当日成交统计查询</t>
  </si>
  <si>
    <t>[原子_报表_资管报表_产品当日成交统计查询]</t>
  </si>
  <si>
    <t>事务_报表_资管报表_产品持仓汇总统计查询</t>
  </si>
  <si>
    <t>[原子_报表_资管报表_产品持仓汇总统计查询]</t>
  </si>
  <si>
    <t>事务_报表_资管报表_证券代码映射查询</t>
  </si>
  <si>
    <t>[原子_报表_资管报表_证券代码映射查询]</t>
  </si>
  <si>
    <t>事务_报表_资管报表_查询_交易组_新证券持仓</t>
  </si>
  <si>
    <t>[原子_报表_资管报表_查询_交易组_新证券持仓]</t>
  </si>
  <si>
    <t>事务_报表_资管报表_更新期货行情</t>
  </si>
  <si>
    <t>合约代码</t>
  </si>
  <si>
    <t>昨结算价</t>
  </si>
  <si>
    <t>结算价</t>
  </si>
  <si>
    <t>持仓量</t>
  </si>
  <si>
    <t xml:space="preserve">    [原子_报表_资管报表_更新期货行情]</t>
  </si>
  <si>
    <t>原子_报表_资管报表_T+0持仓盈亏查询</t>
  </si>
  <si>
    <t xml:space="preserve">select </t>
  </si>
  <si>
    <t>t.{产品编号},t.{交易组编号},t.{资产账户编号},t.{市场编号},t.{证券代码编号},t.{操作员编号},</t>
  </si>
  <si>
    <t>SUM(t.{当前数量}) as {当前数量},</t>
  </si>
  <si>
    <t>SUM(t.{开仓市值}) as {开仓市值},</t>
  </si>
  <si>
    <t>SUM(t.{平仓数量}) as {平仓数量},</t>
  </si>
  <si>
    <t>SUM(t.{平仓市值}) as {平仓市值},</t>
  </si>
  <si>
    <t>SUM(t.{实现盈亏}) as {实现盈亏},</t>
  </si>
  <si>
    <t>SUM(t.{隔夜盈亏}) as {隔夜盈亏},</t>
  </si>
  <si>
    <t>SUM(t.{开仓市值} + t.{平仓市值}) as {交易金额},</t>
  </si>
  <si>
    <t>撤单率</t>
  </si>
  <si>
    <t>SUM(case when t.{多空类型}=1 then t.{当前数量}- t.{平仓数量} when t.{多空类型}=2 then -1*(t.{当前数量}- t.{平仓数量}) end) as {持仓数量},</t>
  </si>
  <si>
    <t>SUM(t.{当前数量} - t.{平仓数量}) as {未平仓数量},</t>
  </si>
  <si>
    <t>SUM(t.{当前数量}+if(t.{持仓状态}=3,0,t.{平仓数量})) as {交易数量},</t>
  </si>
  <si>
    <t>SUM(t.{开仓费用}+t.{平仓费用}) as {全部费用},</t>
  </si>
  <si>
    <t>IFNULL(SUM(t.{实现盈亏}) / sum(t.{平仓市值}),0) as {收益率},</t>
  </si>
  <si>
    <t xml:space="preserve">SUM(t.{实现盈亏}+t.{隔夜盈亏}) as {累计实现盈亏} </t>
  </si>
  <si>
    <t>and (@产品编号# = 0 or t.{产品编号} = @产品编号#)</t>
  </si>
  <si>
    <t>and (@交易组编号# = 0 or t.{交易组编号} = @交易组编号#)</t>
  </si>
  <si>
    <t>and (@资产账户编号# = 0 or t.{资产账户编号} = @资产账户编号#)</t>
  </si>
  <si>
    <t>#and t.{持仓状态}&lt;&gt;《持仓状态-已作废》</t>
  </si>
  <si>
    <t>and (@市场编号# = 0 or t.{市场编号} = @市场编号#)</t>
  </si>
  <si>
    <t>and (@证券代码编号# = 0 or t.{证券代码编号} = @证券代码编号#)</t>
  </si>
  <si>
    <t>and (@查询操作员编号# = 0 or t.{操作员编号} = @查询操作员编号#)</t>
  </si>
  <si>
    <t>group by t.{产品编号},t.{交易组编号},t.{资产账户编号},t.{市场编号},t.{证券代码编号},t.{操作员编号}</t>
  </si>
  <si>
    <t>;</t>
  </si>
  <si>
    <t>原子_报表_资管报表_T+0券源持仓报表查询</t>
  </si>
  <si>
    <t>select t.{业务控制配置串} into @机构业务控制配置串# from db_dc.tb_base_co_info t where t.{机构编号} = @操作员机构编号#;</t>
  </si>
  <si>
    <t>set @T0限额方式# = substring(@机构业务控制配置串#, 23, 1);</t>
  </si>
  <si>
    <t>select f_get_init_date() as {初始化日期},</t>
  </si>
  <si>
    <t>t.{产品编号},t.{交易组编号},t.{资产账户编号},t.{证券代码编号},t.{市场编号},</t>
  </si>
  <si>
    <t>if(@T0限额方式# = 《T0限额方式-限额》, t.{券源数量}, t.{券源数量} + t.{数量差额}) as {券源数量},</t>
  </si>
  <si>
    <t>IFNULL(b.{总多头当前数量},0) as {总多头当前数量},</t>
  </si>
  <si>
    <t>IFNULL(b.{总空头当前数量},0) as {总空头当前数量},</t>
  </si>
  <si>
    <t>IFNULL(b.{总多头开仓市值},0) as {总多头开仓市值},</t>
  </si>
  <si>
    <t>IFNULL(b.{总空头开仓市值},0) as {总空头开仓市值},</t>
  </si>
  <si>
    <t>IFNULL(b.{总多头开仓费用},0) as {总多头开仓费用},</t>
  </si>
  <si>
    <t>IFNULL(b.{总空头开仓费用},0) as {总空头开仓费用},</t>
  </si>
  <si>
    <t>IFNULL(b.{总多头平仓市值},0) as {总多头平仓市值},</t>
  </si>
  <si>
    <t>IFNULL(b.{总空头平仓市值},0) as {总空头平仓市值},</t>
  </si>
  <si>
    <t>IFNULL(b.{总多头平仓数量},0) as {总多头平仓数量},</t>
  </si>
  <si>
    <t>IFNULL(b.{总空头平仓数量},0) as {总空头平仓数量},</t>
  </si>
  <si>
    <t>IFNULL(b.{总多头平仓费用},0) as {总多头平仓费用},</t>
  </si>
  <si>
    <t>IFNULL(b.{总空头平仓费用},0) as {总空头平仓费用},</t>
  </si>
  <si>
    <t>IFNULL(b.{总实现盈亏},0) as {总实现盈亏},</t>
  </si>
  <si>
    <t>IFNULL(b.{多头当前数量},0) as {多头当前数量},</t>
  </si>
  <si>
    <t>IFNULL(b.{空头当前数量},0) as {空头当前数量},</t>
  </si>
  <si>
    <t>IFNULL(b.{多头开仓市值},0) as {多头开仓市值},</t>
  </si>
  <si>
    <t>IFNULL(b.{空头开仓市值},0) as {空头开仓市值},</t>
  </si>
  <si>
    <t>IFNULL(b.{多头开仓费用},0) as {多头开仓费用},</t>
  </si>
  <si>
    <t>IFNULL(b.{空头开仓费用},0) as {空头开仓费用},</t>
  </si>
  <si>
    <t>IFNULL(b.{多头平仓数量},0) as {多头平仓数量},</t>
  </si>
  <si>
    <t>IFNULL(b.{空头平仓数量},0) as {空头平仓数量},</t>
  </si>
  <si>
    <t>IFNULL(b.{多头平仓市值},0) as {多头平仓市值},</t>
  </si>
  <si>
    <t>IFNULL(b.{空头平仓市值},0) as {空头平仓市值},</t>
  </si>
  <si>
    <t>IFNULL(b.{多头平仓费用},0) as {多头平仓费用},</t>
  </si>
  <si>
    <t>IFNULL(b.{空头平仓费用},0) as {空头平仓费用},</t>
  </si>
  <si>
    <t>IFNULL(b.{实现盈亏},0) as {实现盈亏},</t>
  </si>
  <si>
    <t>IFNULL(b.{隔夜盈亏},0) as {隔夜盈亏},</t>
  </si>
  <si>
    <t>IFNULL((t.{总开仓费用} + t.{总平仓费用}),0) as {全部费用},</t>
  </si>
  <si>
    <t>IFNULL(b.{总实现盈亏} / (b.{总多头平仓市值} + b.{总空头平仓市值}),0) as {收益率},</t>
  </si>
  <si>
    <t>IFNULL(t.{累计实现盈亏},0) as {累计实现盈亏}</t>
  </si>
  <si>
    <t xml:space="preserve">where (t.{机构编号} = @操作员机构编号#) </t>
  </si>
  <si>
    <t># and t.{当前数量} &gt; 0</t>
  </si>
  <si>
    <t># group by t.{产品编号},t.{交易组编号},t.{资产账户编号},t.{证券代码编号},t.{市场编号}</t>
  </si>
  <si>
    <t>原子_报表_资管报表_T+0账户交易汇总查询</t>
  </si>
  <si>
    <t>set @查询条件# = concat('(',@查询条件#);</t>
  </si>
  <si>
    <t>[按条件拼字符串][@查询条件#][@机构编号串#&lt;&gt;"0"][' or a.{机构编号} in (',@机构编号串#,')']</t>
  </si>
  <si>
    <t>[按条件拼字符串][@查询条件#][@产品编号串#&lt;&gt;"0"][' or a.{产品编号} in (',@产品编号串#,')']</t>
  </si>
  <si>
    <t>[按条件拼字符串][@查询条件#][@交易组编号串#&lt;&gt;"0"][' or a.{交易组编号} in (',@交易组编号串#,')']</t>
  </si>
  <si>
    <t>set @查询条件# = concat(@查询条件#,')');</t>
  </si>
  <si>
    <t xml:space="preserve"> set @查询条件# = "1=1";</t>
  </si>
  <si>
    <t>[按条件拼字符串][@查询条件#][@产品编号#&lt;&gt;0][' and a.{产品编号}="',@产品编号#,'"']</t>
  </si>
  <si>
    <t>[按条件拼字符串][@查询条件#][@交易组编号#&lt;&gt;0][' and a.{交易组编号}="',@交易组编号#,'"']</t>
  </si>
  <si>
    <t>[按条件拼字符串][@查询条件#][@资产账户编号#&lt;&gt;0][' and a.{资产账户编号}="',@资产账户编号#,'"']</t>
  </si>
  <si>
    <t>set @查询条件# = concat(@查询条件#,' and a.{机构编号}=',@操作员机构编号#);</t>
  </si>
  <si>
    <t>[执行语句][concat('select a.{产品编号} as {产品编号},a.{交易组编号} as {交易组编号},a.{资产账户编号} as {资产账户编号},Round(ifnull(b.{期初金额},0),2) as {期初金额},0 as {持仓市值},Round(ifnull(SUM(a.{开仓市值}+ a.{平仓市值}),0),2) as {交易金额},Round(ifnull(SUM(a.{实现盈亏}),0),2) as {当日盈亏},Round(ifnull(SUM(a.{开仓费用}+a.{平仓费用}),0),2) as {全部费用},ifnull(Round(ifnull(SUM(a.{实现盈亏}),0) / sum(a.{平仓市值}),5),0) as {收益率} from ~报表_资管报表_T0_证券持仓明细表^ a,~报表_资管报表_产品证券-资金-交易组资金表^ b where a.{产品编号} = b.{产品编号} and a.{交易组编号} = b.{交易组编号} and a.{机构编号} = b.{机构编号} and a.{资产账户编号} = b.{资产账户编号} and a.{操作员编号} = ',@操作员编号#,' and ',@查询条件#,' group by a.{产品编号},a.{交易组编号},a.{资产账户编号}')]</t>
  </si>
  <si>
    <t>原子_报表_资管报表_T+0持仓盈亏历史查询</t>
  </si>
  <si>
    <t>t.{初始化日期},</t>
  </si>
  <si>
    <t>and t.{初始化日期} between @开始日期# and @结束日期#</t>
  </si>
  <si>
    <t>group by t.{初始化日期},t.{产品编号},t.{交易组编号},t.{资产账户编号},t.{市场编号},t.{证券代码编号},t.{操作员编号}</t>
  </si>
  <si>
    <t>原子_报表_资管报表_T+0券源持仓报表历史查询</t>
  </si>
  <si>
    <t>原子_报表_资管报表_T+0账户交易汇总历史查询</t>
  </si>
  <si>
    <t>查询条件</t>
  </si>
  <si>
    <t>[按条件拼字符串][@查询条件#][@机构编号串#&lt;&gt;"0"][' or {机构编号} in (',@机构编号串#,')']</t>
  </si>
  <si>
    <t>[按条件拼字符串][@查询条件#][@产品编号串#&lt;&gt;"0"][' or {产品编号} in (',@产品编号串#,')']</t>
  </si>
  <si>
    <t>[按条件拼字符串][@查询条件#][@交易组编号串#&lt;&gt;"0"][' or {交易组编号} in (',@交易组编号串#,')']</t>
  </si>
  <si>
    <t>set @查询条件# = concat(@查询条件#,'  limit 65535)');</t>
  </si>
  <si>
    <t>[按条件拼字符串][@查询条件#][@产品编号#&lt;&gt;0][' and {产品编号}="',@产品编号#,'"']</t>
  </si>
  <si>
    <t>[按条件拼字符串][@查询条件#][@交易组编号#&lt;&gt;0][' and {交易组编号}="',@交易组编号#,'"']</t>
  </si>
  <si>
    <t>[按条件拼字符串][@查询条件#][@资产账户编号#&lt;&gt;0][' and {资产账户编号}="',@资产账户编号#,'"']</t>
  </si>
  <si>
    <t>[按条件拼字符串][@查询条件#][@查询操作员编号#&lt;&gt;0][' and {操作员编号}=',@查询操作员编号#]</t>
  </si>
  <si>
    <t>set @查询条件# = concat(@查询条件#,' and {操作员编号} = ',@操作员编号#,' and {初始化日期} &gt;=',@开始日期#,' and {初始化日期}&lt;=',@结束日期#,' and {机构编号}=',@操作员机构编号#);</t>
  </si>
  <si>
    <t>[执行语句][concat('select {初始化日期},{产品编号},{交易组编号},{资产账户编号},Round(ifnull({期初金额},0),2) as {期初金额},Round(ifnull({持仓市值},0),2) as {持仓市值},Round(ifnull({交易金额},0),2) as {交易金额},Round(ifnull({全部费用},0),2) as {全部费用},Round(ifnull({实现盈亏},0),2) as {当日盈亏},ifnull(Round(ifnull({实现盈亏},0) / {平仓市值},5),0) as {收益率} from ~报表_资管报表_交易证券-T0-账户交易信息历史表^ where ',@查询条件#)]</t>
  </si>
  <si>
    <t>原子_报表_资管报表_报表产品持仓汇总查询</t>
  </si>
  <si>
    <t>原子_报表_资管报表_报表机构持仓汇总查询</t>
  </si>
  <si>
    <t>产品编码串</t>
  </si>
  <si>
    <t>更新精度</t>
  </si>
  <si>
    <t>[获取表记录串][报表_资管报表_产品-账户-产品信息表][{产品编号}][@产品编号串#][{机构编号}=@机构编号#]</t>
  </si>
  <si>
    <t>if @产品编号串# is not null then</t>
  </si>
  <si>
    <t xml:space="preserve"> set @更新精度#=1;</t>
  </si>
  <si>
    <t xml:space="preserve"> set @本币币种#="CNY";</t>
  </si>
  <si>
    <t>原子_报表_资管报表_报表产品持仓交易汇总查询</t>
  </si>
  <si>
    <t># set @指定行数# = if(@指定行数# = 0,99999999,@指定行数#);</t>
  </si>
  <si>
    <t>set @汇率# = f_get_hk_avg_rate(f_get_init_date(), 3);</t>
  </si>
  <si>
    <t>t.*,</t>
  </si>
  <si>
    <t>ifnull(a.{买入数量},0) as {当日买入数量},</t>
  </si>
  <si>
    <t>ifnull(a.{买入金额},0) as {当日买入金额},</t>
  </si>
  <si>
    <t>ifnull(a.{买入成交价},0) as {当日买入价格},</t>
  </si>
  <si>
    <t>ifnull(a.{买入开始时间},0) as {买入开始时间},</t>
  </si>
  <si>
    <t>ifnull(a.{买入结束时间},0) as {买入结束时间},</t>
  </si>
  <si>
    <t>ifnull(a.{卖出数量},0) as {当日卖出数量},</t>
  </si>
  <si>
    <t>ifnull(a.{销售金额},0) as {当日卖出金额},</t>
  </si>
  <si>
    <t>ifnull(a.{卖出成交价},0) as {当日卖出价格},</t>
  </si>
  <si>
    <t>ifnull(a.{卖出开始时间},0) as {卖出开始时间},</t>
  </si>
  <si>
    <t>ifnull(a.{卖出结束时间},0) as {卖出结束时间}</t>
  </si>
  <si>
    <t>from (</t>
  </si>
  <si>
    <t>select t.{机构编号}, t.{产品编号}, t.{证券代码编号}, t.{市场编号}, t.{投资类型},t.{证券类型}</t>
  </si>
  <si>
    <t>, sum(ifnull(t.{期初数量},0)) as {昨日持仓数量}</t>
  </si>
  <si>
    <t>, sum(ifnull(t.{当前数量},0)) as {持仓数量}</t>
  </si>
  <si>
    <t xml:space="preserve"> , f_get_stock_full_price(t.asset_type,t.fair_price,stq.{最新价},t.net_price_flag, t.bond_rate_type, t.bond_accr_intrst) as {全价}</t>
  </si>
  <si>
    <t xml:space="preserve"> , sum(if(t.bond_rate_type = '3', 0, ifnull(t.curr_qty,0)* ifnull(t.bond_accr_intrst,0))) as {债券应收利息}</t>
  </si>
  <si>
    <t xml:space="preserve"> , stq.{最新价} as {今收盘价} , stq.{昨收盘价}</t>
  </si>
  <si>
    <t xml:space="preserve">  , stq.{最新价}, stq.{成交数量} as {行情成交数量}, stq.{成交金额} as {行情成交金额}</t>
  </si>
  <si>
    <t xml:space="preserve">where </t>
  </si>
  <si>
    <t xml:space="preserve">(t.{机构编号}=@操作员机构编号#) and (@产品编号# = 0 or t.{产品编号} = @产品编号#) </t>
  </si>
  <si>
    <t xml:space="preserve">and (@证券代码编号# = 0 or t.{证券代码编号} = @证券代码编号#) </t>
  </si>
  <si>
    <t xml:space="preserve">and (@市场编号# = 0 or t.{市场编号} = @市场编号#) </t>
  </si>
  <si>
    <t xml:space="preserve">and (@证券类型# = 0 or t.{证券类型} = @证券类型#) </t>
  </si>
  <si>
    <t xml:space="preserve">and (t.{机构编号},t.{产品编号}) in (select {机构编号},{产品编号} from ~报表_资管报表_公共-用户-操作员可操作产品表^ opr where opr.{操作员编号} = @操作员编号#) </t>
  </si>
  <si>
    <t>group by t.{机构编号}, t.{产品编号}, t.{证券代码编号}, t.{市场编号}</t>
  </si>
  <si>
    <t xml:space="preserve"> ) t</t>
  </si>
  <si>
    <t>where (a.{成交金额} &lt;&gt; 0 or t.{昨日持仓数量} &lt;&gt;0 or a.{买入数量}&lt;&gt;0 or a.{卖出数量}&lt;&gt;0 )</t>
  </si>
  <si>
    <t xml:space="preserve">order by {持仓市值} desc </t>
  </si>
  <si>
    <t>原子_报表_资管报表_产品账户证券重仓股持仓查询</t>
  </si>
  <si>
    <t>##[原子_获取产品编码]</t>
  </si>
  <si>
    <t>D:\osm\branches\1.5\document\D2.Designs\账户\设计模板(账户-基础).xlsx,'账户-基础-原子服务'!E1447</t>
  </si>
  <si>
    <t>set @本币币种#="CNY";</t>
  </si>
  <si>
    <t>set @更新精度#=1;</t>
  </si>
  <si>
    <t>#[原子_获取产品净资产]</t>
  </si>
  <si>
    <t>D:\osm\branches\1.5\document\D2.Designs\账户\设计模板(账户-证券资产).xlsx,'账户-证券资产-原子服务'!E901</t>
  </si>
  <si>
    <t>commit;</t>
  </si>
  <si>
    <t>[执行语句][concat("select a.{证券代码编号},a.{市场编号},sum(a.{期初数量}) as {期初数量},b.{最新价},sum(a.{当前数量}) as {当前数量},(case when b.{公允价格} &gt; 0 then b.{公允价格} else b.{最新价} end)*sum(a.{当前数量}) as {持仓市值},sum(a.{成本金额}) as {成本金额},ifnull(sum(a.{成本金额})/sum(a.{当前数量}),0) as {成本价},sum(a.{实现盈亏}) as {实现盈亏},b.{最新价}*sum(a.{当前数量})-sum(a.{成本金额}) as {浮动盈亏},ifnull((b.{最新价}*sum(a.{当前数量})-sum(a.{成本金额}))/abs(sum(a.{成本金额})),0) as {浮动盈亏比例},ifnull(b.{最新价}*sum(a.{当前数量})/",@股票资产#,",0) as {市值占比},ifnull(b.{最新价}*sum(a.{当前数量})/",@净资产#,",0) as {净值占比} from ~报表_资管报表_公共-用户-操作员信息表^ a,~报表_资管报表_视图-证券基础数据-证券行情表^ b where b.{市场编号}=a.{市场编号} and a.{证券代码编号}=b.{证券代码编号} and b.{资产类型} in (11,51,52,53,54,55) and a.{机构编号}=",@机构编号#," and a.{产品编号}=",@产品编号#," group by a.{产品编号},a.{市场编号},a.{证券代码编号} having sum(a.{当前数量})&lt;&gt;0 order by (case when b.{公允价格} &gt; 0 then b.{公允价格} else b.{最新价} end)*sum(a.{当前数量}) desc limit ",@指定行数#)]</t>
  </si>
  <si>
    <t>原子_报表_资管报表_交易单元证券重仓股持仓查询</t>
  </si>
  <si>
    <t>#[原子_获取交易单元]</t>
  </si>
  <si>
    <t>D:\osm\branches\1.5\document\D2.Designs\账户\设计模板(账户-基础).xlsx,'账户-基础-原子服务'!E1428</t>
  </si>
  <si>
    <t>#[原子_获取单元净资产]</t>
  </si>
  <si>
    <t>D:\osm\branches\1.5\document\D2.Designs\账户\设计模板(账户-证券资产).xlsx,'账户-证券资产-原子服务'!E724</t>
  </si>
  <si>
    <t>[执行语句][concat("select a.{证券代码编号},a.{市场编号},(case when b.{公允价格} &gt; 0 then b.{公允价格} else b.{最新价} end)*sum(a.{当前数量}) as {持仓市值},sum(a.{期初数量}) as {期初数量},sum(a.{当前数量}) as {当前数量},sum(a.{成本金额}) as {成本金额},sum(a.{实现盈亏}) as {实现盈亏},b.{最新价},ifnull(sum(a.{成本金额})/sum(a.{当前数量}),0) as {成本价},b.{最新价}*sum(a.{当前数量})-sum(a.{成本金额}) as {浮动盈亏},ifnull((b.{最新价}*sum(a.{当前数量})-sum(a.{成本金额}))/abs(sum(a.{成本金额})),0) as {浮动盈亏比例},ifnull(b.{最新价}*sum(a.{当前数量})/",@股票资产#,",0) as {市值占比},ifnull(b.{最新价}*sum(a.{当前数量})/",@净资产#,",0) as {净值占比} from ~报表_资管报表_产品证券-持仓-交易组持仓表^ a ,~报表_资管报表_视图-证券基础数据-证券行情表^ b where a.{市场编号}=b.{市场编号} and a.{证券代码编号}=b.{证券代码编号} and b.{资产类型} in (11,51,52,53,54,55) and a.{机构编号}=",@机构编号#," and a.{产品编号}=",@产品编号#," and a.{交易组编号}=",@交易组编号#," group by a.{交易组编号},a.{市场编号},a.{证券代码编号} having sum(a.{当前数量})&lt;&gt;0 order by (case when b.{公允价格} &gt; 0 then b.{公允价格} else b.{最新价} end)*sum(a.{当前数量}) desc limit ",@指定行数#)]</t>
  </si>
  <si>
    <t>原子_报表_资管报表_证券持仓汇总查询</t>
  </si>
  <si>
    <t>set @指定行数# = if(@指定行数# = 0,99999999,@指定行数#);</t>
  </si>
  <si>
    <t xml:space="preserve">SELECT </t>
  </si>
  <si>
    <t xml:space="preserve"> m.{记录序号} AS {记录序号},f_get_init_date() AS {初始化日期},m.{机构编号},</t>
  </si>
  <si>
    <t xml:space="preserve"> m.{市场编号},m.{证券代码编号},m.{投资类型},m.{证券类型},</t>
  </si>
  <si>
    <t>m.{期初数量},m.{当前数量},m.{冻结数量},m.{解冻数量},</t>
  </si>
  <si>
    <t xml:space="preserve"> m.{成本金额},m.{实现盈亏},m.{利息成本金额},m.{利息收益},m.{交易端可用数量},m.{指令端可用数量},m.{指令占用数量},m.{指令释放数量},m.{交易占用数量},m.{交易释放数量},m.{成交占用数量},m.{成交释放数量},m.{静态可用数量}</t>
  </si>
  <si>
    <t xml:space="preserve">, ifnull(m.{持仓市值}/a.{净资产},0) AS {持仓净值占比},ifnull((m.{持仓市值} - m.{成本金额}),0) / {成本金额} AS {盈亏比例},ifnull(m.{成本金额}/m.{当前数量},0) AS {成本价} </t>
  </si>
  <si>
    <t>, (m.{持仓市值} - m.{成本金额}) as {浮动盈亏}</t>
  </si>
  <si>
    <t>, ifnull(a.{净资产},0) AS {净资产},m.{质押数量},m.{债券应收利息},m.{持仓市值},m.{全价持仓市值}</t>
  </si>
  <si>
    <t>, if(m.{投资类型} = 3, ifnull(m.{持仓市值} / m.{当前数量},0) , m.{最新价}) as {最新价}</t>
  </si>
  <si>
    <t xml:space="preserve"> FROM (</t>
  </si>
  <si>
    <t xml:space="preserve">  SELECT  t.{机构编号},t.{市场编号},t.{证券代码编号},t.{投资类型},t.{证券类型}</t>
  </si>
  <si>
    <t>,max(t.{记录序号}) AS {记录序号},SUM(t.{期初数量}) AS {期初数量},SUM(t.{当前数量}) AS {当前数量},SUM(t.{冻结数量}) AS {冻结数量},SUM(t.{解冻数量}) AS {解冻数量}</t>
  </si>
  <si>
    <t>, stq.{最新价}</t>
  </si>
  <si>
    <t>, SUM(t.{成本金额}) AS {成本金额},SUM(t.{实现盈亏}) AS {实现盈亏},SUM(t.{利息成本金额}) AS {利息成本金额},SUM(t.{利息收益}) AS {利息收益},SUM(t.{交易端可用数量}) AS {交易端可用数量},SUM(t.{指令端可用数量})  AS {指令端可用数量},SUM(t.{指令占用数量}) AS {指令占用数量},SUM(t.{指令释放数量}) AS {指令释放数量},SUM(t.{交易占用数量}) AS {交易占用数量},SUM(t.{交易释放数量}) AS {交易释放数量},SUM(t.{成交占用数量}) AS {成交占用数量},SUM(t.{成交释放数量}) AS {成交释放数量},SUM(t.{静态可用数量}) AS {静态可用数量},SUM(t.{质押数量}) AS {质押数量}</t>
  </si>
  <si>
    <t>, SUM( if(t.bond_rate_type = '3', 0, ifnull(t.curr_qty,0)* ifnull(t.bond_accr_intrst,0))) AS {债券应收利息}</t>
  </si>
  <si>
    <t xml:space="preserve">  WHERE (t.{机构编号}=@操作员机构编号#) and (@证券类型# = 0 or t.{证券类型}=@证券类型#) and (@证券代码编号# = 0 or t.{证券代码编号}=@证券代码编号#)</t>
  </si>
  <si>
    <t xml:space="preserve"> and (t.{当前数量} &lt;&gt; 0 or t.{期初数量} &lt;&gt; 0) </t>
  </si>
  <si>
    <t xml:space="preserve"> and (t.{机构编号},t.{产品编号},t.{交易组编号} ) in (select {机构编号},{产品编号},{交易组编号}  from ~报表_资管报表_公共-用户-操作员所属交易组表^ opr where opr.{操作员编号} = @操作员编号#)</t>
  </si>
  <si>
    <t xml:space="preserve">  GROUP BY t.{机构编号},t.{市场编号},t.{证券代码编号},t.{投资类型},t.{证券类型}</t>
  </si>
  <si>
    <t xml:space="preserve"> ) m  </t>
  </si>
  <si>
    <t xml:space="preserve">  WHERE (a.{机构编号}=@操作员机构编号#)</t>
  </si>
  <si>
    <t xml:space="preserve"> and (a.{机构编号},a.{产品编号},a.{交易组编号} ) in (select {机构编号},{产品编号},{交易组编号}  from ~报表_资管报表_公共-用户-操作员所属交易组表^ opr where opr.{操作员编号} = @操作员编号#)</t>
  </si>
  <si>
    <t xml:space="preserve"> group by a.{机构编号}</t>
  </si>
  <si>
    <t>) a on (a.{机构编号}) = (m.{机构编号})</t>
  </si>
  <si>
    <t xml:space="preserve"> where {记录序号} &gt; @记录序号#</t>
  </si>
  <si>
    <t>and {记录序号} &gt; @记录序号# order by {记录序号} limit @指定行数#</t>
  </si>
  <si>
    <t>原子_报表_资管报表_历史证券持仓汇总查询</t>
  </si>
  <si>
    <t xml:space="preserve"> m.{记录序号} AS {记录序号},m.{初始化日期} AS {初始化日期},m.{机构编号},m.{市场编号},m.{证券代码编号},m.{投资类型},m.{证券类型},m.{最新价},m.{期初数量},m.{当前数量},m.{冻结数量},m.{解冻数量},m.{成本金额},m.{实现盈亏},m.{利息成本金额},m.{利息收益},0 AS {交易端可用数量},0 AS {指令端可用数量},0 AS {指令占用数量},0 AS {指令释放数量},0 AS {交易占用数量},0 AS {交易释放数量},0 AS {成交占用数量},0 AS {成交释放数量},0 AS {静态可用数量},ifnull(a.{净资产},0) AS {净资产},m.{质押数量},m.{债券应收利息},m.{持仓市值},m.{浮动盈亏},m.{全价持仓市值},ifnull(m.{持仓市值}/a.{净资产},0) AS {持仓净值占比},ifnull((m.{持仓市值} - m.{成本金额}),0) / {成本金额} AS {盈亏比例},ifnull(m.{成本金额}/m.{当前数量},0) AS {成本价} </t>
  </si>
  <si>
    <t xml:space="preserve">  SELECT  t.{机构编号},t.{市场编号},t.{证券代码编号},t.{投资类型},t.{证券类型},t.{初始化日期},max({最新价}) AS {最新价},max({记录序号}) AS {记录序号},SUM(t.{期初数量}) AS {期初数量},SUM(t.{当前数量}) AS {当前数量},SUM(t.{冻结数量}) AS {冻结数量},SUM(t.{解冻数量}) AS {解冻数量},SUM(t.{成本金额}) AS {成本金额},SUM(t.{实现盈亏}) AS {实现盈亏},SUM(t.{利息成本金额}) AS {利息成本金额},SUM(t.{利息收益}) AS {利息收益},SUM(t.{质押数量}) AS {质押数量},SUM(t.{债券应收利息}) AS {债券应收利息},SUM(t.{持仓市值}) AS {持仓市值},SUM(t.{浮动盈亏}) AS {浮动盈亏},SUM(t.{全价持仓市值}) AS {全价持仓市值} </t>
  </si>
  <si>
    <t xml:space="preserve">  WHERE  t.{初始化日期} between @开始日期# and @结束日期# </t>
  </si>
  <si>
    <t xml:space="preserve">  and (t.{机构编号}=@操作员机构编号#) and (@证券类型# = 0 or t.{证券类型}=@证券类型#) and (@证券代码编号# = 0 or t.{证券代码编号}=@证券代码编号#) </t>
  </si>
  <si>
    <t xml:space="preserve">  and (t.{当前数量} &lt;&gt; 0 or t.{期初数量} &lt;&gt; 0) </t>
  </si>
  <si>
    <t xml:space="preserve">  and (t.{机构编号},t.{产品编号},t.{交易组编号} ) in (select {机构编号},{产品编号},{交易组编号}  from ~报表_资管报表_公共-用户-操作员所属交易组表^ opr where opr.{操作员编号} = @操作员编号#)</t>
  </si>
  <si>
    <t xml:space="preserve">  GROUP BY t.{初始化日期},t.{机构编号},t.{市场编号},t.{证券代码编号},t.{投资类型},t.{证券类型}</t>
  </si>
  <si>
    <t xml:space="preserve"> and (a.{初始化日期} between @开始日期# and @结束日期#) </t>
  </si>
  <si>
    <t xml:space="preserve"> group by a.{初始化日期},a.{机构编号}</t>
  </si>
  <si>
    <t>) a on (a.{初始化日期},a.{机构编号}) = (m.{初始化日期},m.{机构编号})</t>
  </si>
  <si>
    <t>原子_报表_资管报表_T+0账户盈亏报表查询</t>
  </si>
  <si>
    <t>[按条件拼字符串][@查询条件#][1=1][' and t.{机构编号}=',@操作员机构编号#]</t>
  </si>
  <si>
    <t>[按条件拼字符串][@查询条件#][@查询操作员编号#&lt;&gt; 0][' and t.{操作员编号}=',@查询操作员编号#]</t>
  </si>
  <si>
    <t>[按条件拼字符串][@查询条件#][@查询开始日期#&lt;&gt;0][' and t.{初始化日期}&gt;=',@查询开始日期#]</t>
  </si>
  <si>
    <t>[按条件拼字符串][@查询条件#][@查询结束日期#&lt;&gt;0][' and t.{初始化日期}&lt;=',@查询结束日期#]</t>
  </si>
  <si>
    <t>[按条件拼字符串][@查询条件#][@产品编号#&lt;&gt;0][' and t.{产品编号}=',@产品编号#]</t>
  </si>
  <si>
    <t>[按条件拼字符串][@查询条件#][@交易组编号#&lt;&gt;0][' and t.{交易组编号}=',@交易组编号#]</t>
  </si>
  <si>
    <t>[按条件拼字符串][@查询条件#][@市场编号#&lt;&gt;0][' and t.{市场编号}=',@市场编号#]</t>
  </si>
  <si>
    <t>[按条件拼字符串][@查询条件#][@证券代码编号#&lt;&gt;0][' and t.{证券代码编号}=',@证券代码编号#]</t>
  </si>
  <si>
    <t>[按条件拼字符串][@查询条件#][@资产账户编号#&lt;&gt;0][' and t.{资产账户编号}=',@资产账户编号#]</t>
  </si>
  <si>
    <t># 产品权限</t>
  </si>
  <si>
    <t>#[按条件拼字符串][@查询条件#][@操作员编号#&lt;&gt;0]['  and {持仓状态} &lt;&gt;  3 and ({机构编号},{产品编号}) in (select {机构编号},{产品编号} from ~报表_资管报表_公共-用户-操作员可操作产品表^ opr where opr.{操作员编号} = ',@操作员编号#,')']</t>
  </si>
  <si>
    <t>[按条件拼字符串][@查询条件#][@操作员编号#&lt;&gt;0]['  and  ({机构编号},{产品编号}) in (select {机构编号},{产品编号} from ~报表_资管报表_公共-用户-操作员可操作产品表^ opr where opr.{操作员编号} = ',@操作员编号#,')']</t>
  </si>
  <si>
    <t>set @查询语句# = "";</t>
  </si>
  <si>
    <t>set @查询语句# = concat(ifnull(@查询语句#,""),"t.{初始化日期} as {初始化日期},t.{证券代码}");</t>
  </si>
  <si>
    <t>set @查询语句# =  concat(@查询语句#,",ifnull(SUM(t.{开仓市值} + t.{平仓市值}),0) as {交易金额},ifnull(SUM(t.{平仓市值}),0) as {平仓市值},SUM(t.{开仓费用}+t.{平仓费用}) as {全部费用}");</t>
  </si>
  <si>
    <t>set @查询语句# = concat(@查询语句#,",sum(if(t.{多空类型} =1,t.{当前数量},t.{平仓数量})) as {买入数量},sum(if(t.{多空类型} =1,t.{平仓数量},t.{当前数量})) as {卖出数量},sum(if(t.{多空类型} =1,t.{开仓市值},t.{平仓市值})) as {买入金额},sum(if(t.{多空类型} =1,t.{平仓市值},t.{开仓市值})) as {卖出金额},sum(if(t.{多空类型} =1,(t.{当前数量} - t.{平仓数量}),(t.{平仓数量} - t.{当前数量}))) as {数量差额}");</t>
  </si>
  <si>
    <t>set @查询语句# = concat(@查询语句#,",SUM(t.{实现盈亏}) as {实现盈亏},SUM(t.{隔夜盈亏}) as {隔夜盈亏}");</t>
  </si>
  <si>
    <t>set @查询语句# = concat(@查询语句#,",SUM(t.{开仓市值}) as {开仓市值},SUM(t.{平仓数量}) as {平仓数量},SUM(t.{当前数量}) as {当前数量} ");</t>
  </si>
  <si>
    <t>set @查询语句# = concat(@查询语句#,",SUM(t.{当前数量}+if(t.{持仓状态}=3,0,t.{平仓数量})) as {交易数量},IFNULL(SUM(t.{实现盈亏}) / sum(t.{平仓市值}),0) as {收益率},SUM(t.{实现盈亏}+t.{隔夜盈亏}) as {累计实现盈亏} ");</t>
  </si>
  <si>
    <t>set @查询语句# = concat(@查询语句#,",SUM(case when t.{多空类型}=1 then t.{当前数量}- t.{平仓数量} when t.{多空类型}=2 then -1*(t.{当前数量}- t.{平仓数量}) end) as {持仓数量}");</t>
  </si>
  <si>
    <t>if (@查询开始日期# = 0) and (@查询结束日期# = 0) then</t>
  </si>
  <si>
    <t>set @查询语句# = concat(@查询语句#," from ~报表_资管报表_T0_证券持仓明细表^ t where ",@查询条件#);</t>
  </si>
  <si>
    <t xml:space="preserve">else </t>
  </si>
  <si>
    <t>set @查询语句# = concat(@查询语句#," from ~报表_资管报表_T0_证券持仓明细表历史^ t where ",@查询条件#);</t>
  </si>
  <si>
    <t>if @汇总方式# = 2 then</t>
  </si>
  <si>
    <t>set @执行语句# = concat('select t.{产品编号} as {产品编号},t.{交易组编号} as {交易组编号},0 as {操作员编号},0 as {证券代码编号},0 as {市场编号},t.{资产账户编号},',@查询语句#,' group by t.{初始化日期},t.{产品编号},t.{交易组编号}');</t>
  </si>
  <si>
    <t>elseif @汇总方式# = 3 then</t>
  </si>
  <si>
    <t>set @执行语句# = concat('select 0 as {产品编号},0 as {交易组编号},t.{操作员编号} as {操作员编号},0 as {证券代码编号},0 as {市场编号},0 as {资产账户编号},',@查询语句#,' group by t.{初始化日期},t.{操作员编号}');</t>
  </si>
  <si>
    <t>elseif @汇总方式# =  4 then</t>
  </si>
  <si>
    <t>set @执行语句# = concat('select 0 as {产品编号},0 as {交易组编号},t.{操作员编号} as {操作员编号},t.{证券代码编号} as {证券代码编号},t.{市场编号} as {市场编号},0 as {资产账户编号},',@查询语句#,' group by t.{初始化日期},t.{操作员编号},t.{证券代码编号},t.{市场编号}');</t>
  </si>
  <si>
    <t>else</t>
  </si>
  <si>
    <t>set @执行语句# = concat('select t.{产品编号} as {产品编号},0 as {交易组编号},0 as {操作员编号},0 as {证券代码编号},0 as {市场编号},0 as {资产账户编号},',@查询语句#,' group by t.{初始化日期},t.{产品编号}');</t>
  </si>
  <si>
    <t>set @执行语句# = concat(@执行语句#," order by {初始化日期},{产品编号},{交易组编号},{操作员编号},{市场编号}  limit 65535");</t>
  </si>
  <si>
    <t>[执行语句][@执行语句#]</t>
  </si>
  <si>
    <t>原子_报表_资管报表_T+0账户盈亏报表历史查询</t>
  </si>
  <si>
    <t>原子_报表_资管报表_T+0账户敞口报表查询</t>
  </si>
  <si>
    <t>[按条件拼字符串][@查询条件#][1=1][' and a.{机构编号}=',@操作员机构编号#]</t>
  </si>
  <si>
    <t>[按条件拼字符串][@查询条件#][@查询操作员编号#&lt;&gt; 0][' and a.{操作员编号}=',@查询操作员编号#]</t>
  </si>
  <si>
    <t>[按条件拼字符串][@查询条件#][@查询开始日期#&lt;&gt;0][' and a.{初始化日期}&gt;=',@查询开始日期#]</t>
  </si>
  <si>
    <t>[按条件拼字符串][@查询条件#][@查询结束日期#&lt;&gt;0][' and a.{初始化日期}&lt;=',@查询结束日期#]</t>
  </si>
  <si>
    <t>[按条件拼字符串][@查询条件#][@产品编号#&lt;&gt;0][' and a.{产品编号}=',@产品编号#]</t>
  </si>
  <si>
    <t>[按条件拼字符串][@查询条件#][@交易组编号#&lt;&gt;0][' and a.{交易组编号}=',@交易组编号#]</t>
  </si>
  <si>
    <t>[按条件拼字符串][@查询条件#][@市场编号#&lt;&gt;0][' and a.{市场编号}=',@市场编号#]</t>
  </si>
  <si>
    <t>[按条件拼字符串][@查询条件#][@证券代码编号#&lt;&gt;0][' and a.{证券代码编号}=',@证券代码编号#]</t>
  </si>
  <si>
    <t>[按条件拼字符串][@查询条件#][@资产账户编号#&lt;&gt;0][' and a.{资产账户编号}=',@资产账户编号#]</t>
  </si>
  <si>
    <t>[按条件拼字符串][@查询条件#][@操作员编号#&lt;&gt;0][' and ({机构编号},{产品编号}) in (select {机构编号},{产品编号} from ~报表_资管报表_公共-用户-操作员可操作产品表^ opr where opr.{操作员编号} = ',@操作员编号#,')']</t>
  </si>
  <si>
    <t>set @查询语句# = concat(ifnull(@查询语句#,""),"a.{初始化日期} as {初始化日期}");</t>
  </si>
  <si>
    <t>set @查询语句# = concat(@查询语句# ,",SUM(a.{开仓市值}) as {开仓市值},SUM(a.{开仓费用}) as {开仓费用},SUM(a.{平仓数量}) as {平仓数量},SUM(a.{平仓市值}) as {平仓市值},SUM(a.{平仓费用}) as {平仓费用}");</t>
  </si>
  <si>
    <t>set @查询语句# = concat(@查询语句#,",SUM(a.{当前数量}) as {当前数量},SUM(a.{实现盈亏}) as {实现盈亏},SUM(a.{隔夜盈亏}) as {隔夜盈亏}");</t>
  </si>
  <si>
    <t>set @查询语句# = concat(@查询语句#," where ",@查询条件#);</t>
  </si>
  <si>
    <t>set @执行语句# = concat('select a.{初始化日期} as {初始化日期},a.{产品编号} as {产品编号},a.{交易组编号} as {交易组编号},0 as {操作员编号},a.{市场编号},a.{证券代码编号},0 as {资产账户编号},' ,@查询语句#,' group by a.{初始化日期},a.{产品编号},a.{交易组编号},a.{市场编号},a.{证券代码编号}');</t>
  </si>
  <si>
    <t>set @执行语句# = concat('select a.{初始化日期} as {初始化日期},0 as {产品编号},0 as {交易组编号},a.{操作员编号} as {操作员编号},a.{市场编号} as {市场编号},a.{证券代码编号},0 as {资产账户编号},' ,@查询语句#,' group by a.{初始化日期},a.{操作员编号},a.{市场编号},a.{证券代码编号}');</t>
  </si>
  <si>
    <t>set @执行语句# = concat('select a.{初始化日期} as {初始化日期},a.{产品编号} as {产品编号},0 as {交易组编号},0 as {操作员编号},a.{市场编号},a.{证券代码编号},0 as {资产账户编号},' ,@查询语句#,' group by a.{初始化日期},a.{产品编号},a.{市场编号},a.{证券代码编号}');</t>
  </si>
  <si>
    <t>set @执行语句# = concat(@执行语句#," order by {初始化日期},{产品编号},{交易组编号},{操作员编号},{市场编号} limit 65535");</t>
  </si>
  <si>
    <t>原子_报表_资管报表_T+0账户敞口报表历史查询</t>
  </si>
  <si>
    <t>原子_报表_资管报表_证券成交流水明细查询</t>
  </si>
  <si>
    <t xml:space="preserve"> [执行查询语句][报表_资管报表_交易证券-报盘-成交表][{机构编号},{产品编号},{交易组编号},0 as {申报日期},{通道编号},0 as {指令序号},{订单日期},0 as {订单时间},0 as {申报编号},{资产账户编号},{股东代码编号},{市场编号},{证券类型},{证券代码编号},Round(sum({成交金额})/sum({成交数量}),4)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{其他佣金},min({记录序号}) as {记录序号},0 as {业务操作员编号},sum({债券计提利息}) as {债券计提利息},'0' as {净价标志},sum({成交金额}+{债券计提利息}) as {全价成交金额},ifnull(Round(sum({成交金额})/sum({成交数量}),4),0) as {成交均价},{体外指令标志},{记录有效标志},0 as {成交序号}][@查询条件#][@指定行数#]</t>
  </si>
  <si>
    <t xml:space="preserve"> [执行查询语句][报表_资管报表_交易证券-报盘-成交表][{机构编号},{产品编号},' ' as {交易组编号},0 as {申报日期},{通道编号},0 as {指令序号},{订单日期},0 as {订单时间},0 as {申报编号},' ' as {资产账户编号},' ' as 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{其他佣金},min({记录序号}) as {记录序号},0 as {业务操作员编号},sum({债券计提利息}) as {债券计提利息},'0' as {净价标志},sum({成交金额}+{债券计提利息}) as {全价成交金额},ifnull(Round(sum({成交金额})/sum({成交数量}),4),0) as {成交均价},{体外指令标志},{记录有效标志},0 as {成交序号}][@查询条件#][@指定行数#]</t>
  </si>
  <si>
    <t xml:space="preserve"> elseif @查询方式# = 4 then</t>
  </si>
  <si>
    <t xml:space="preserve"> [执行查询语句][报表_资管报表_交易证券-报盘-成交表][{机构编号},{产品编号},' ' as {交易组编号},0 as {申报日期},{通道编号},0 as {指令序号},{订单日期},0 as {订单时间},0 as {申报编号},' ' as {资产账户编号},' ' as 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{其他佣金},min({记录序号}) as {记录序号},{操作员编号} as {业务操作员编号},sum({债券计提利息}) as {债券计提利息},'0' as {净价标志},sum({成交金额}+{债券计提利息}) as {全价成交金额},ifnull(Round(sum({成交金额})/sum({成交数量}),4),0) as {成交均价},{体外指令标志},{记录有效标志},0 as {成交序号}][@查询条件#][@指定行数#]</t>
  </si>
  <si>
    <t xml:space="preserve"> [执行查询语句][报表_资管报表_交易证券-报盘-成交表][{机构编号},' ' as {产品编号},' ' as {交易组编号},0 as {申报日期},{通道编号},0 as {指令序号},{订单日期},0 as {订单时间},0 as {申报编号},' ' as {资产账户编号},' ' as 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{其他佣金},min({记录序号}) as {记录序号},0 as {业务操作员编号},sum({债券计提利息}) as {债券计提利息},'0' as {净价标志},sum({成交金额}+{债券计提利息}) as {全价成交金额},ifnull(Round(sum({成交金额})/sum({成交数量}),4),0) as {成交均价},{体外指令标志},{记录有效标志},0 as {成交序号}][@查询条件#][@指定行数#]</t>
  </si>
  <si>
    <t xml:space="preserve"> [执行查询语句][报表_资管报表_交易证券-报盘-成交表][{机构编号},{产品编号},{交易组编号},{申报日期},{通道编号},{指令序号},{订单日期},{订单时间},{申报编号},{资产账户编号},{股东代码编号},{市场编号},{证券类型},{证券代码编号},{成交价格},{订单方向},{订单价格},{订单数量},{成交日期},{成交时间},{成交编号},{成交数量},{成交金额},{全部费用},{印花税},{过户费},{经手费},{证管费},{其他费用},{交易佣金},{其他佣金},{记录序号},{操作员编号} as {业务操作员编号},{债券计提利息},{净价标志},{成交金额}+{债券计提利息} as {全价成交金额},{成交价格} as {成交均价},{体外指令标志},{记录有效标志},{记录序号} as {成交序号}][@查询条件#][@指定行数#]</t>
  </si>
  <si>
    <t xml:space="preserve"> [执行查询语句][报表_资管报表_交易证券-报盘-成交表][{机构编号},{产品编号},{交易组编号},0 as {申报日期},{通道编号},0 as {指令序号},{订单日期},0 as {订单时间},0 as {申报编号},{资产账户编号},{股东代码编号},{市场编号},{证券类型},{证券代码编号},Round(sum({成交金额})/sum({成交数量}),4)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{其他佣金},max({记录序号}) as {记录序号},0 as {业务操作员编号},sum({债券计提利息}) as {债券计提利息},'0' as {净价标志},sum({成交金额}+{债券计提利息}) as {全价成交金额},ifnull(Round(sum({成交金额})/sum({成交数量}),4),0) as {成交均价},{体外指令标志},{记录有效标志},0 as {成交序号}][@查询条件#][@指定行数#]</t>
  </si>
  <si>
    <t xml:space="preserve"> [执行查询语句][报表_资管报表_交易证券-报盘-成交表][{机构编号},{产品编号},' ' as {交易组编号},0 as {申报日期},{通道编号},0 as {指令序号},{订单日期},0 as {订单时间},0 as {申报编号},' ' as {资产账户编号},' ' as 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{其他佣金},max({记录序号}) as {记录序号},0 as {业务操作员编号},sum({债券计提利息}) as {债券计提利息},'0' as {净价标志},sum({成交金额}+{债券计提利息}) as {全价成交金额},ifnull(Round(sum({成交金额})/sum({成交数量}),4),0) as {成交均价},{体外指令标志},{记录有效标志},0 as {成交序号}][@查询条件#][@指定行数#]</t>
  </si>
  <si>
    <t xml:space="preserve"> [执行查询语句][报表_资管报表_交易证券-报盘-成交表][{机构编号},{产品编号},' ' as {交易组编号},0 as {申报日期},{通道编号},0 as {指令序号},{订单日期},0 as {订单时间},0 as {申报编号},' ' as {资产账户编号},' ' as 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{其他佣金},max({记录序号}) as {记录序号},{操作员编号} as {业务操作员编号},sum({债券计提利息}) as {债券计提利息},'0' as {净价标志},sum({成交金额}+{债券计提利息}) as {全价成交金额},ifnull(Round(sum({成交金额})/sum({成交数量}),4),0) as {成交均价},{体外指令标志},{记录有效标志},0 as {成交序号}][@查询条件#][@指定行数#]</t>
  </si>
  <si>
    <t xml:space="preserve"> [执行查询语句][报表_资管报表_交易证券-报盘-成交表][{机构编号},' ' as {产品编号},' ' as {交易组编号},0 as {申报日期},{通道编号},0 as {指令序号},{订单日期},0 as {订单时间},0 as {申报编号},' ' as {资产账户编号},' ' as 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{其他佣金},max({记录序号}) as {记录序号},0 as {业务操作员编号},sum({债券计提利息}) as {债券计提利息},'0' as {净价标志},sum({成交金额}+{债券计提利息}) as {全价成交金额},ifnull(Round(sum({成交金额})/sum({成交数量}),4),0) as {成交均价},{体外指令标志},{记录有效标志},0 as {成交序号}][@查询条件#][@指定行数#]</t>
  </si>
  <si>
    <t>原子_报表_资管报表_证券成交流水历史查询</t>
  </si>
  <si>
    <t xml:space="preserve"> [执行查询语句][报表_资管报表_交易证券-报盘-成交表-历史][{机构编号},{产品编号},{交易组编号},0 as {申报日期},{通道编号},0 as {指令序号},0 as {订单日期},0 as {订单时间},0 as {申报编号},{资产账户编号},{股东代码编号},{市场编号},{证券类型},{证券代码编号},Round(sum({成交金额})/sum({成交数量}),4)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{其他佣金},min({记录序号}) as {记录序号},0 as {业务操作员编号},sum({债券计提利息}) as {债券计提利息},'0' as {净价标志},sum({成交金额}+{债券计提利息}) as {全价成交金额},ifnull(Round(sum({成交金额})/sum({成交数量}),0),4) as {成交均价},{体外指令标志},{记录有效标志},0 as {成交序号}][@查询条件#][@指定行数#]</t>
  </si>
  <si>
    <t xml:space="preserve"> [执行查询语句][报表_资管报表_交易证券-报盘-成交表-历史][{机构编号},{产品编号},' ' as {交易组编号},0 as {申报日期},{通道编号},0 as {指令序号},0 as {订单日期},0 as {订单时间},0 as {申报编号},' ' as {资产账户编号},' ' as 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{其他佣金},min({记录序号}) as {记录序号},0 as {业务操作员编号},sum({债券计提利息}) as {债券计提利息},'0' as {净价标志},sum({成交金额}+{债券计提利息}) as {全价成交金额},ifnull(Round(sum({成交金额})/sum({成交数量}),4),0) as {成交均价},{体外指令标志},{记录有效标志},0 as {成交序号}][@查询条件#][@指定行数#]</t>
  </si>
  <si>
    <t xml:space="preserve"> [执行查询语句][报表_资管报表_交易证券-报盘-成交表-历史][{机构编号},{产品编号},' ' as {交易组编号},0 as {申报日期},{通道编号},0 as {指令序号},0 as {订单日期},0 as {订单时间},0 as {申报编号},' ' as {资产账户编号},' ' as 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{其他佣金},min({记录序号}) as {记录序号},{操作员编号} as {业务操作员编号},sum({债券计提利息}) as {债券计提利息},'0' as {净价标志},sum({成交金额}+{债券计提利息}) as {全价成交金额},ifnull(Round(sum({成交金额})/sum({成交数量}),4),0) as {成交均价},{体外指令标志},{记录有效标志},0 as {成交序号}][@查询条件#][@指定行数#]</t>
  </si>
  <si>
    <t xml:space="preserve"> [执行查询语句][报表_资管报表_交易证券-报盘-成交表-历史][{机构编号},' ' as {产品编号},' ' as {交易组编号},0 as {申报日期},{通道编号},0 as {指令序号},0 as {订单日期},0 as {订单时间},0 as {申报编号},' ' as {资产账户编号},' ' as 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{其他佣金},min({记录序号}) as {记录序号},0 as {业务操作员编号},sum({债券计提利息}) as {债券计提利息},'0' as {净价标志},sum({成交金额}+{债券计提利息}) as {全价成交金额},ifnull(Round(sum({成交金额})/sum({成交数量}),4),0) as {成交均价},{体外指令标志},{记录有效标志},0 as {成交序号}][@查询条件#][@指定行数#]</t>
  </si>
  <si>
    <t xml:space="preserve"> [执行查询语句][报表_资管报表_交易证券-报盘-成交表-历史][{机构编号},{产品编号},{交易组编号},{申报日期},{通道编号},{指令序号},{订单日期},{订单时间},{申报编号},{资产账户编号},{股东代码编号},{市场编号},{证券类型},{证券代码编号},{成交价格},{订单方向},{订单价格},{订单数量},{成交日期},{成交时间},{成交编号},{成交数量},{成交金额},{全部费用},{印花税},{过户费},{经手费},{证管费},{其他费用},{交易佣金},{其他佣金},{记录序号},{操作员编号} as {业务操作员编号},{债券计提利息},{净价标志},{成交金额}+{债券计提利息} as {全价成交金额},ifnull(Round({成交金额}/{成交数量},4),0) as {成交均价},{体外指令标志},{记录有效标志},{记录序号} as {成交序号}][@查询条件#][@指定行数#]</t>
  </si>
  <si>
    <t xml:space="preserve"> [执行查询语句][报表_资管报表_交易证券-报盘-成交表-历史][{机构编号},{产品编号},{交易组编号},0 as {申报日期},{通道编号},0 as {指令序号},0 as {订单日期},0 as {订单时间},0 as {申报编号},{资产账户编号},{股东代码编号},{市场编号},{证券类型},{证券代码编号},Round(sum({成交金额})/sum({成交数量}),4)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{其他佣金},max({记录序号}) as {记录序号},0 as {业务操作员编号},sum({债券计提利息}) as {债券计提利息},'0' as {净价标志},sum({成交金额}+{债券计提利息}) as {全价成交金额},ifnull(Round(sum({成交金额})/sum({成交数量}),0),4) as {成交均价},{体外指令标志},{记录有效标志},0 as {成交序号}][@查询条件#][@指定行数#]</t>
  </si>
  <si>
    <t xml:space="preserve"> [执行查询语句][报表_资管报表_交易证券-报盘-成交表-历史][{机构编号},{产品编号},' ' as {交易组编号},0 as {申报日期},{通道编号},0 as {指令序号},0 as {订单日期},0 as {订单时间},0 as {申报编号},' ' as {资产账户编号},' ' as 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{其他佣金},max({记录序号}) as {记录序号},0 as {业务操作员编号},sum({债券计提利息}) as {债券计提利息},'0' as {净价标志},sum({成交金额}+{债券计提利息}) as {全价成交金额},ifnull(Round(sum({成交金额})/sum({成交数量}),4),0) as {成交均价},{体外指令标志},{记录有效标志},0 as {成交序号}][@查询条件#][@指定行数#]</t>
  </si>
  <si>
    <t xml:space="preserve"> [执行查询语句][报表_资管报表_交易证券-报盘-成交表-历史][{机构编号},{产品编号},' ' as {交易组编号},0 as {申报日期},{通道编号},0 as {指令序号},0 as {订单日期},0 as {订单时间},0 as {申报编号},' ' as {资产账户编号},' ' as 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{其他佣金},max({记录序号}) as {记录序号},{操作员编号} as {业务操作员编号},sum({债券计提利息}) as {债券计提利息},'0' as {净价标志},sum({成交金额}+{债券计提利息}) as {全价成交金额},ifnull(Round(sum({成交金额})/sum({成交数量}),4),0) as {成交均价},{体外指令标志},{记录有效标志},0 as {成交序号}][@查询条件#][@指定行数#]</t>
  </si>
  <si>
    <t xml:space="preserve"> [执行查询语句][报表_资管报表_交易证券-报盘-成交表-历史][{机构编号},' ' as {产品编号},' ' as {交易组编号},0 as {申报日期},{通道编号},0 as {指令序号},0 as {订单日期},0 as {订单时间},0 as {申报编号},' ' as {资产账户编号},' ' as {股东代码编号},{市场编号},{证券类型},{证券代码编号},Round(sum({成交金额})/sum({成交数量}),4) as {成交价格},{订单方向},0 as {订单价格},0 as {订单数量},{成交日期},0 as {成交时间},0 as {成交编号},sum({成交数量}) as {成交数量},sum({成交金额}) as {成交金额},sum({全部费用}) as {全部费用},sum({印花税}) as {印花税},sum({过户费}) as {过户费},sum({经手费}) as {经手费},sum({证管费}) as {证管费},sum({其他费用}) as {其他费用},sum({交易佣金}) as {交易佣金},sum({其他佣金}) as {其他佣金},max({记录序号}) as {记录序号},0 as {业务操作员编号},sum({债券计提利息}) as {债券计提利息},'0' as {净价标志},sum({成交金额}+{债券计提利息}) as {全价成交金额},ifnull(Round(sum({成交金额})/sum({成交数量}),4),0) as {成交均价},{体外指令标志},{记录有效标志},0 as {成交序号}][@查询条件#][@指定行数#]</t>
  </si>
  <si>
    <t>原子_报表_资管报表_T+0账户月盈亏报表查询</t>
  </si>
  <si>
    <t>原子_报表_资管报表_T+0账户月盈亏报表历史查询</t>
  </si>
  <si>
    <t>[按条件拼字符串][@查询条件#][@业务操作员编号#&lt;&gt; 0][' and a.{操作员编号}=',@业务操作员编号#]</t>
  </si>
  <si>
    <t>[按条件拼字符串][@查询条件#][@开始日期#&lt;&gt;0][' and a.{初始化日期}&gt;="',@开始日期#,'"']</t>
  </si>
  <si>
    <t>[按条件拼字符串][@查询条件#][@结束日期#&lt;&gt;0][' and a.{初始化日期}&lt;="',@结束日期#,'"']</t>
  </si>
  <si>
    <t>set @查询语句# = "ifnull(sum(a.{交易金额}),0) as {交易金额},ifnull(sum(a.{平仓市值}),0) as {平仓市值},Round(ifnull(sum(a.{实现盈亏}),0),2) as {当月盈亏},Round(ifnull(sum(a.{全部费用}),0),2) as {全部费用}";</t>
  </si>
  <si>
    <t>set @查询语句# = concat(@查询语句#,",Round(ifnull(sum(a.{买入金额}),0),2) as {买入金额},Round(ifnull(sum(a.{销售金额}),0),2) as {销售金额}");</t>
  </si>
  <si>
    <t>set @查询语句# = concat(@查询语句#,",Round(ifnull(SUM(a.{实现盈亏})/SUM(a.{平仓市值}),0),4) as {收益率},0 as {撤单率}");</t>
  </si>
  <si>
    <t>set @查询语句# = concat(@查询语句#," from ~报表_资管报表_交易证券-T0-账户交易信息历史表^ a where ",@查询条件#);</t>
  </si>
  <si>
    <t>set @执行语句# = concat('select left(a.{初始化日期},6) as {当前月份},a.{产品编号} as {产品编号},a.{交易组编号} as {交易组编号},0 as {操作员编号},',@查询语句#,' group by left(a.{初始化日期},6),a.{产品编号},a.{交易组编号}');</t>
  </si>
  <si>
    <t>set @执行语句# = concat('select left(a.{初始化日期},6) as {当前月份},0 as {产品编号},0 as {交易组编号},a.{操作员编号} as {操作员编号},',@查询语句#,' group by left(a.{初始化日期},6),a.{操作员编号}');</t>
  </si>
  <si>
    <t>set @执行语句# = concat('select left(a.{初始化日期},6) as {当前月份},a.{产品编号} as {产品编号},0 as {交易组编号},0 as {操作员编号},',@查询语句#,' group by left(a.{初始化日期},6),a.{产品编号}');</t>
  </si>
  <si>
    <t>set @执行语句# = concat(@执行语句#," order by {当前月份},{产品编号},{交易组编号},{操作员编号}  limit 65535");</t>
  </si>
  <si>
    <t>原子_报表_资管报表_T+0账户盈亏专用报表查询</t>
  </si>
  <si>
    <t>select  f_get_init_date() as {初始化日期},</t>
  </si>
  <si>
    <t>SUM(t.{开仓市值} - t.{平仓市值}) as {未平仓市值},</t>
  </si>
  <si>
    <t>SUM(t.{当前数量}+t.{平仓数量}) as {交易数量},</t>
  </si>
  <si>
    <t>group by t.{产品编号},t.{交易组编号},t.{资产账户编号},t.{市场编号},t.{证券代码编号},t.{操作员编号}  limit 65535</t>
  </si>
  <si>
    <t>#民享增强交易盈亏报表需求：1、按操作员、股票代码、日期汇总；2、隔夜仓但当日无平仓操作的不显示（筛选条件：操作员+日期+代码+产品编码+单元编码）  ，有平仓操作需要显示；   --开仓时间不为init_date，并且新增的字段为空3、未平仓完的数据实现盈亏为0，累计盈亏为0</t>
  </si>
  <si>
    <t>原子_报表_资管报表_T+0账户盈亏专用报表历史查询</t>
  </si>
  <si>
    <t>select t.{初始化日期},</t>
  </si>
  <si>
    <t>group by t.{产品编号},t.{交易组编号},t.{资产账户编号},t.{市场编号},t.{证券代码编号},t.{操作员编号} limit  65535</t>
  </si>
  <si>
    <t>原子_报表_资管报表_查询全部交易组</t>
  </si>
  <si>
    <t>[获取表全记录][报表_资管报表_公共-用户-交易组信息表][{交易组编号},{机构编号},{交易组编码},{交易组名称},{交易组状态},{默认组标志},{产品编号}][(@机构编号#=0 or {机构编号}=@机构编号#) and (@产品编号#=0 or {产品编号}=@产品编号#) and (@交易组编号#=0 or {交易组编号}=@交易组编号#) and (@交易组状态#=" " or {交易组状态}=@交易组状态#)]</t>
  </si>
  <si>
    <t>原子_报表_资管报表_查询全部操作员信息</t>
  </si>
  <si>
    <t>[获取表记录][报表_资管报表_视图-公共-用户-操作员信息表][字段][(@机构编号# = 0 or {机构编号}=@机构编号#) and (@查询操作员编号# = 0 or {操作员编号}=@查询操作员编号#) and {记录序号} &gt; @记录序号# order by {记录序号}][@指定行数#]</t>
  </si>
  <si>
    <t>原子_报表_资管报表_查询产品资产</t>
  </si>
  <si>
    <t># A股可用资金 = 当前金额(产品证券模块)+ 解冻金额(产品证券模块)- 冻结金额 (产品证券模块)+ 成交释放金额(交易证券模块) - 成交占用金额(交易证券模块)+沪深可用调整金额(产品证券模块)+ 金额核对差额(产品证券模块) - 成交占用金额(交易证券模块；币种：HK)* 卖出参考汇率 - 交易占用金额(交易证券模块)</t>
  </si>
  <si>
    <t># [获取表全记录][报表_资管报表_视图-查询产品资产][{初始化日期},{产品编号},{产品总份额},{当前份额},{净资产},{单位净值},{昨日净值},{净值波动},{现金资产},{股票资产},{债券资产},{基金资产},{回购资产},{其他资产},{港股通资产},{期货资产},{可分配金额},{本币币种},{当日盈亏},{当日收益率},{可提现金额},{股票资产占比},{证券占比},{基金资产占比},{累计应付金额},{累计应收金额}][({机构编号}=@操作员机构编号#) and (@产品编号#=0 or {产品编号}=@产品编号#) and ({机构编号},{产品编号}) in (select {机构编号},{产品编号} from ~报表_资管报表_公共-用户-操作员可操作产品表^ opr where opr.{操作员编号} = @操作员编号#)]</t>
  </si>
  <si>
    <t xml:space="preserve"> t.*</t>
  </si>
  <si>
    <t>and ({机构编号},{产品编号}) in (select {机构编号},{产品编号} from ~报表_资管报表_公共-用户-操作员可操作产品表^ opr where opr.{操作员编号} = @操作员编号#)  limit 65535</t>
  </si>
  <si>
    <t>原子_报表_资管报表_查询交易组资产</t>
  </si>
  <si>
    <t># 交易证券_账户_交易组业务资金表 tb_tdseac_exgp_busi_capit</t>
  </si>
  <si>
    <t># [获取表全记录][报表_资管报表_视图-查询交易组资产][{初始化日期},{产品编号},{交易组编号},{净资产},{交易组产品份额},{单位净值},{昨日净值},{净值波动},{可用资金},{现金资产},{股票资产},{债券资产},{基金资产},{回购资产},{其他资产},{港股通资产},{期货资产},{可分配金额},{本币币种},{当日盈亏},{当日收益率},{累计实现收益},{累计收益率},{持股比例},{累计应付金额},{累计应收金额}][({机构编号}=@操作员机构编号#) and (@产品编号#=0 or {产品编号}=@产品编号#) and (@交易组编号#=0 or {交易组编号}=@交易组编号#) and ({机构编号},{产品编号},{交易组编号}) in (select {机构编号},{产品编号},{交易组编号} from ~报表_资管报表_公共-用户-操作员所属交易组表^ opr where opr.{操作员编号} = @操作员编号#)]</t>
  </si>
  <si>
    <t>[获取表全记录][报表_资管报表_交易组资产查询表][字段][({机构编号}=@操作员机构编号#) and (@产品编号#=0 or {产品编号}=@产品编号#) and (@交易组编号#=0 or {交易组编号}=@交易组编号#) and ({机构编号},{产品编号},{交易组编号}) in (select {机构编号},{产品编号},{交易组编号} from ~报表_资管报表_公共-用户-操作员所属交易组表^ opr where opr.{操作员编号} = @操作员编号#)]</t>
  </si>
  <si>
    <t>--  {交易组可用金额} = {当前金额} + {沪深可用调整金额} - {冻结金额} + {解冻金额}+{金额核对差额};</t>
  </si>
  <si>
    <t>--  {沪深交易可用金额} = {成交释放金额} - ({成交占用金额} + {交易占用金额})</t>
  </si>
  <si>
    <t>tb_tdseac_asac_busi_capit</t>
  </si>
  <si>
    <t>交易证券_账户_资产账户业务资金表</t>
  </si>
  <si>
    <t>--  {港股交易可用金额} = {成交释放金额} * f_get_hk_buy_rate(f_get_init_date(),3) - ({成交占用金额} + {交易占用金额}) * f_get_hk_sell_rate(f_get_init_date(),3)</t>
  </si>
  <si>
    <t>--  可用-日初:</t>
  </si>
  <si>
    <t xml:space="preserve">--  set {可用金额} ={交易组可用金额}+{沪深交易可用金额} + </t>
  </si>
  <si>
    <t xml:space="preserve">--                  {交易组T日当日港股卖出金额}-{交易组T日当日港股买入金额} + </t>
  </si>
  <si>
    <t>--                  least(0,{交易组T1日当日港股卖出金额}-{交易组T1日当日港股买入金额})+</t>
  </si>
  <si>
    <t>--                  least(0,greatest(0,{交易组T1日当日港股卖出金额}-{交易组T1日当日港股买入金额}) + {港股交易可用金额});</t>
  </si>
  <si>
    <t>--  日终： 交易组：</t>
  </si>
  <si>
    <t xml:space="preserve">-- set {可用金额} ={交易组可用金额}+{沪深交易可用金额} + </t>
  </si>
  <si>
    <t xml:space="preserve">--                 least(0,{交易组T日当日港股卖出金额}-{交易组T日当日港股买入金额}) + </t>
  </si>
  <si>
    <t>--                least(0,greatest(0,{交易组T日当日港股卖出金额}-{交易组T日当日港股买入金额})+{交易组T1日当日港股卖出金额}-{交易组T1日当日港股买入金额})+</t>
  </si>
  <si>
    <t>--                 least(0,greatest(0,greatest(0,{交易组T日当日港股卖出金额}-{交易组T日当日港股买入金额})+{交易组T1日当日港股卖出金额}-{交易组T1日当日港股买入金额}) + {港股交易可用金额});</t>
  </si>
  <si>
    <t xml:space="preserve">--  资金余额=curr_amt+pre_settle_amt+amt_check_diff-A股买入金额+A股卖出金额-港股买入金额*卖出参考汇率+港股卖出金额*买入参考汇率
</t>
  </si>
  <si>
    <t>--  {A股交易金额} = {成交释放金额} - {成交占用金额};</t>
  </si>
  <si>
    <t>--  {港股通交易金额} = {成交释放金额}  * f_get_hk_buy_rate(f_get_init_date(),3) - {成交占用金额} * f_get_hk_sell_rate(f_get_init_date(),3);</t>
  </si>
  <si>
    <t>--  {资金余额} = {当前金额} + {待交收金额} +{金额核对差额} + {A股交易金额} + {港股通交易金额};</t>
  </si>
  <si>
    <t>原子_报表_资管报表_查询产品资产_历史</t>
  </si>
  <si>
    <t># [获取表全记录][报表_资管报表_视图-查询产品资产-历史][{初始化日期},{产品编号},{产品总份额},{当前份额},{净资产},{单位净值},{昨日净值},{净值波动},{现金资产},{股票资产},{债券资产},{基金资产},{回购资产},{其他资产},{港股通资产},{期货资产},{本币币种},{当日盈亏},{当日收益率},{可分配金额},{可提现金额},{可用资金},{股票资产占比},{证券占比},{基金资产占比},{累计应付金额},{累计应收金额}][({机构编号}=@操作员机构编号# and {初始化日期} between @开始日期# and @结束日期# ) and (@产品编号#=0 or {产品编号}=@产品编号#) and ({机构编号},{产品编号}) in (select {机构编号},{产品编号} from ~报表_资管报表_公共-用户-操作员可操作产品表^ opr where opr.{操作员编号} = @操作员编号#)]</t>
  </si>
  <si>
    <t>[获取表全记录][报表_资管报表_产品资产查询历表][字段][({机构编号}=@操作员机构编号# and {初始化日期} between @开始日期# and @结束日期# ) and (@产品编号#=0 or {产品编号}=@产品编号#) and ({机构编号},{产品编号}) in (select {机构编号},{产品编号} from ~报表_资管报表_公共-用户-操作员可操作产品表^ opr where opr.{操作员编号} = @操作员编号#)]</t>
  </si>
  <si>
    <t>原子_报表_资管报表_查询交易组资产_历史</t>
  </si>
  <si>
    <t># [获取表记录][报表_资管报表_视图-查询交易组资产-历史][{初始化日期},{产品编号},{交易组编号},{净资产},{交易组产品份额},{单位净值},{昨日净值},{净值波动},{可用资金},{现金资产},{股票资产},{债券资产},{基金资产},{回购资产},{其他资产},{期货资产},{港股通资产},{可分配金额},{本币币种},{当日盈亏},{当日收益率},{累计实现收益},{累计收益率},{持股比例},{累计应付金额},{累计应收金额}][({机构编号}=@操作员机构编号# and {初始化日期} between @开始日期# and @结束日期#) and (@产品编号#=0 or {产品编号}=@产品编号#) and (@交易组编号#=0 or {交易组编号}=@交易组编号#) and ({机构编号},{产品编号},{交易组编号}) in (select {机构编号},{产品编号},{交易组编号} from ~报表_资管报表_公共-用户-操作员所属交易组表^ opr where opr.{操作员编号} = @操作员编号#) and {记录序号} &gt; @记录序号# order by {记录序号}][@指定行数#]</t>
  </si>
  <si>
    <t>[获取表记录][报表_资管报表_交易组资产查询历表][字段][({机构编号}=@操作员机构编号# and {初始化日期} between @开始日期# and @结束日期#) and (@产品编号#=0 or {产品编号}=@产品编号#) and (@交易组编号#=0 or {交易组编号}=@交易组编号#) and ({机构编号},{产品编号},{交易组编号}) in (select {机构编号},{产品编号},{交易组编号} from ~报表_资管报表_公共-用户-操作员所属交易组表^ opr where opr.{操作员编号} = @操作员编号#) and {记录序号} &gt; @记录序号# order by {记录序号}][@指定行数#]</t>
  </si>
  <si>
    <t>原子_报表_资管报表_查询_产品_证券持仓</t>
  </si>
  <si>
    <t># [获取表记录][报表_资管报表_产品持仓查询表][{记录序号},{初始化日期},{机构编号},{产品编号},{资产账户编号},{证券代码编号},{证券类型},{市场编号},{持仓市值},{投资类型},{期初数量},{当前数量},{冻结数量},{解冻数量},{买入待交割数量},{卖出待交割数量},{成本金额},{实现盈亏},{利息成本金额},{利息收益},{可用数量},{持仓净值占比},{净资产},{债券应收利息},{质押数量},{全价持仓市值}][({机构编号}=@操作员机构编号#) and (@证券类型# = 0 or {证券类型}=@证券类型#) and (@证券代码编号# = 0 or {证券代码编号}=@证券代码编号#) and ({机构编号},{产品编号}) in (select {机构编号},{产品编号} from ~报表_资管报表_公共-用户-操作员可操作产品表^ opr where opr.{操作员编号} = @操作员编号#) and {记录序号} &gt; @记录序号# order by {记录序号}][@指定行数#]</t>
  </si>
  <si>
    <t>set @指定行数# = if(@指定行数# = 0,65535,@指定行数#);</t>
  </si>
  <si>
    <t xml:space="preserve"> , if(t.bond_rate_type = '3', 0, ifnull(t.curr_qty,0)* ifnull(t.bond_accr_intrst,0)) as {债券应收利息}</t>
  </si>
  <si>
    <t xml:space="preserve"> , stq.{最新价} as {净价} , stq.{昨收盘价}</t>
  </si>
  <si>
    <t>,rk.{备注信息}</t>
  </si>
  <si>
    <t>left join （select a.{证券代码编号},a.{机构编号},a.{维度类型编码},GROUP_CONCAT(b.{维度类型名称}) as {备注信息} from  db_dc.tb_rksedm_user_dimension_stock a,db_dc.tb_rksedm_user_dimension_type b 
where a.co_no=b.co_no and a.dime_type_code = b.dime_type_code  group by a.co_no,a.stock_code_no)  rk on (t.{证券代码编号}=rk.{证券代码编号}) and t.{机构编号}=rk.{机构编号}</t>
  </si>
  <si>
    <t>where (t.{机构编号} = @操作员机构编号#) and (@产品编号# = 0 or t.{产品编号} = @产品编号#)</t>
  </si>
  <si>
    <t xml:space="preserve">and ({当前数量} &lt;&gt; 0 or {期初数量} &lt;&gt; 0) and (@证券类型# = 0 or t.{证券类型}=@证券类型#) and (@证券代码编号# = 0 or t.{证券代码编号}=@证券代码编号#)  </t>
  </si>
  <si>
    <t xml:space="preserve">and (t.{机构编号},{产品编号}) in (select {机构编号},{产品编号} from ~报表_资管报表_公共-用户-操作员可操作产品表^ opr where opr.{操作员编号} = @操作员编号#) </t>
  </si>
  <si>
    <t>and t.{记录序号} &gt; @记录序号# order by {记录序号} limit @指定行数#</t>
  </si>
  <si>
    <t>原子_报表_资管报表_查询_交易组_证券持仓</t>
  </si>
  <si>
    <t># [获取表记录][报表_资管报表_交易组持仓查询表][字段][({机构编号}=@操作员机构编号#) and ({当前数量} &lt;&gt; 0 or {期初数量} &lt;&gt; 0) and (@证券类型# = 0 or {证券类型}=@证券类型#) and (@证券代码编号# = 0 or {证券代码编号}=@证券代码编号#)  and ({机构编号},{产品编号},{交易组编号}) in (select {机构编号},{产品编号},{交易组编号} from ~报表_资管报表_公共-用户-操作员所属交易组表^ opr where opr.{操作员编号} = @操作员编号#) and {记录序号} &gt; @记录序号# order by {记录序号}][@指定行数#]</t>
  </si>
  <si>
    <t>where (t.{机构编号} = @操作员机构编号#) and (@产品编号# = 0 or t.{产品编号} = @产品编号#) and (@交易组编号# = 0 or t.{交易组编号} = @交易组编号#)</t>
  </si>
  <si>
    <t xml:space="preserve">and (t.{机构编号},{产品编号},{交易组编号}) in (select {机构编号},{产品编号},{交易组编号} from ~报表_资管报表_公共-用户-操作员所属交易组表^ opr where opr.{操作员编号} = @操作员编号#) </t>
  </si>
  <si>
    <t>原子_报表_资管报表_查询_产品_证券持仓_历史</t>
  </si>
  <si>
    <t>#[获取表记录][报表_资管报表_产品持仓查询历表][{记录序号},{初始化日期},{机构编号},{产品编号},{资产账户编号},{证券代码编号},{证券类型},{市场编号},{持仓市值},{投资类型},{期初数量},{当前数量},{冻结数量},{解冻数量},{买入待交割数量},{卖出待交割数量},{成本金额},{实现盈亏},{利息成本金额},{利息收益},{可用数量},{持仓净值占比},{净资产},{债券应收利息},{质押数量},{全价持仓市值}][({机构编号}=@操作员机构编号#) and (@证券类型# = 0 or {证券类型}=@证券类型#) and (@证券代码编号# = 0 or {证券代码编号}=@证券代码编号#) and ({初始化日期} between @开始日期# and @结束日期#) and ({机构编号},{产品编号}) in (select {机构编号},{产品编号} from ~报表_资管报表_公共-用户-操作员可操作产品表^ opr where opr.{操作员编号} = @操作员编号#) and {记录序号} &gt; @记录序号# order by {记录序号}][@指定行数#]</t>
  </si>
  <si>
    <t>select t.*,rk.{备注信息}</t>
  </si>
  <si>
    <t>left join （select a.{证券代码编号},a.{机构编号},a.{维度类型编码},GROUP_CONCAT(b.{维度类型名称}) as {备注信息} from  db_dc.tb_rksedm_user_dimension_stock a,db_dc.tb_rksedm_user_dimension_type b  
where a.co_no=b.co_no and a.dime_type_code = b.dime_type_code  group by a.co_no,a.stock_code_no )  rk on (t.{证券代码编号}=rk.{证券代码编号}) and t.{机构编号}=rk.{机构编号}</t>
  </si>
  <si>
    <t xml:space="preserve">and (@产品编号# = 0 or {产品编号}=@产品编号#) </t>
  </si>
  <si>
    <t xml:space="preserve">and (@证券类型# = 0 or {证券类型}=@证券类型#) </t>
  </si>
  <si>
    <t xml:space="preserve">and (@证券代码编号# = 0 or t.{证券代码编号}=@证券代码编号#) </t>
  </si>
  <si>
    <t xml:space="preserve">and ({初始化日期} between @开始日期# and @结束日期#) </t>
  </si>
  <si>
    <t>原子_报表_资管报表_查询_交易组_证券持仓_历史</t>
  </si>
  <si>
    <t>#[获取表记录][报表_资管报表_交易组持仓查询历表][{记录序号},{初始化日期},{机构编号},{产品编号},{资产账户编号},{交易组编号},{市场编号},{投资类型},{证券代码编号},{证券类型},{期初数量},{当前数量},{冻结数量},{解冻数量},{交易端可用数量},{指令端可用数量},{成本金额},{实现盈亏},{利息成本金额},{利息收益},{成本价},{最新价},{昨收盘价},{净资产},{持仓市值},{持仓净值占比},{全价持仓市值},{浮动盈亏},{盈亏比例},{债券应收利息},{质押数量}][({机构编号}=@操作员机构编号#) and (@产品编号# = 0 or {产品编号}=@产品编号#) and (@交易组编号# = 0 or {交易组编号}=@交易组编号#) and (@证券类型# = 0 or {证券类型}=@证券类型#) and (@证券代码编号# = 0 or {证券代码编号}=@证券代码编号#) and ({初始化日期} between @开始日期# and @结束日期#) and ({机构编号},{产品编号},{交易组编号}) in (select {机构编号},{产品编号},{交易组编号} from ~报表_资管报表_公共-用户-操作员所属交易组表^ opr where opr.{操作员编号} = @操作员编号#) and {记录序号} &gt; @记录序号# order by {记录序号}][@指定行数#]</t>
  </si>
  <si>
    <t>left join （select a.{证券代码编号},a.{机构编号},a.{维度类型编码},GROUP_CONCAT(b.{维度类型名称}) as {备注信息} from  db_dc.tb_rksedm_user_dimension_stock a,db_dc.tb_rksedm_user_dimension_type b 
where a.co_no=b.co_no and a.dime_type_code = b.dime_type_code   group by a.co_no,a.stock_code_no )  rk on (t.{证券代码编号}=rk.{证券代码编号}) and t.{机构编号}=rk.{机构编号}</t>
  </si>
  <si>
    <t xml:space="preserve">and (@交易组编号# = 0 or {交易组编号}=@交易组编号#) </t>
  </si>
  <si>
    <t>原子_报表_资管报表_查询_产品_期货持仓</t>
  </si>
  <si>
    <t>原子_报表_资管报表_查询_产品_期货持仓_历史</t>
  </si>
  <si>
    <t>原子_报表_资管报表_查询_交易组_期货持仓</t>
  </si>
  <si>
    <t>原子_报表_资管报表_查询_交易组_期货持仓_历史</t>
  </si>
  <si>
    <t>原子_报表_资管报表_查询_交易组_期货持仓明细</t>
  </si>
  <si>
    <t>[获取表记录][报表_资管报表_视图-期货交易组持仓明细][{记录序号},{初始化日期},{机构编号},{产品编号},{资产账户编号},{交易组编号},{市场编号},{交易编码编号},{合约代码编号},{多空类型},{套保标志},{当前数量},{开仓价格},{开仓日期},{开仓时间},{平仓盈亏},{盯市盈亏},{应收保证金}][({机构编号}=@操作员机构编号#) and  (@合约代码编号# = 0 or {合约代码编号}=@合约代码编号#) and ({产品编号} = @产品编号# or @产品编号# = 0) and ({机构编号},{产品编号},{交易组编号}) in (select {机构编号},{产品编号},{交易组编号} from ~报表_资管报表_公共-用户-操作员所属交易组表^ opr where opr.{操作员编号} = @操作员编号#) and  {记录序号} &gt; @记录序号# order by {记录序号}][@指定行数#]</t>
  </si>
  <si>
    <t>原子_报表_资管报表_T+0券源持仓查询</t>
  </si>
  <si>
    <t>(case when c.{限额设置状态} = 《限额设置状态-启用》 and c.{交易限额数量} &gt;=0 and c.{限额设置类型}=《限额设置类型-外部》 then LEAST(t.{当前数量},IFNULL(c.{交易限额数量},0)) else t.{当前数量} end) as {券源数量},</t>
  </si>
  <si>
    <t>(case when c.{限额设置状态} = 《限额设置状态-启用》 and c.{交易限额数量} &gt;=0 and c.{限额设置类型}=《限额设置类型-外部》 then (LEAST(t.{当前数量},IFNULL(c.{交易限额数量},0))-(IFNULL(c.{交易释放数量},0) + IFNULL(c.{成交释放数量},0))) else (t.{当前数量} - (IFNULL(c.{交易释放数量},0) + IFNULL(c.{成交释放数量},0))) end) as {买入可用数量},</t>
  </si>
  <si>
    <t>(case when c.{限额设置状态} = 《限额设置状态-启用》 and c.{交易限额数量} &gt;=0 and c.{限额设置类型}=《限额设置类型-外部》 then LEAST((t.{当前数量}),(IFNULL(c.{交易限额数量},0) - (IFNULL(c.{交易占用数量},0) + IFNULL(c.{成交占用数量},0)))) else (t.{当前数量}) end) as {卖出可用数量},</t>
  </si>
  <si>
    <t>(IFNULL(c.{成交释放数量},0) - IFNULL(c.{成交占用数量},0)) as {持仓数量},</t>
  </si>
  <si>
    <t>round(ifnull(sum(b.{实现盈亏}),0),2) as {当日盈亏},</t>
  </si>
  <si>
    <t>round(ifnull(sum(b.{开仓费用} + b.{平仓费用}),0),2) as {当日交易费}</t>
  </si>
  <si>
    <t>left join ~报表_资管报表_T0_证券持仓明细表^ b on (t.{机构编号},t.{产品编号},t.{资产账户编号},t.{市场编号},t.{证券代码编号},t.{股东代码编号}) = (b.{机构编号},b.{产品编号},b.{资产账户编号},b.{市场编号},b.{证券代码编号},b.{股东代码编号}) and (b.{操作员编号} = @操作员编号#)</t>
  </si>
  <si>
    <t>left join ~报表_资管报表_T0_操作员券源设置表^ c on (t.{机构编号},t.{产品编号},t.{资产账户编号},t.{市场编号},t.{证券代码编号},t.{股东代码编号}) = (c.{机构编号},c.{产品编号},c.{资产账户编号},c.{市场编号},c.{证券代码编号},c.{股东代码编号}) and (c.{操作员编号} = @操作员编号#)</t>
  </si>
  <si>
    <t>and (@操作员编号# = 0 or t.{操作员编号} = @查询操作员编号#)</t>
  </si>
  <si>
    <t>and t.{当前数量} &gt; 0</t>
  </si>
  <si>
    <t>group by t.{产品编号},t.{交易组编号},t.{资产账户编号},t.{证券代码编号},t.{市场编号}  limit 65535</t>
  </si>
  <si>
    <t>原子_报表_资管报表_T+0持仓分笔查询</t>
  </si>
  <si>
    <t>if @产品编号# &lt;&gt; ' ' and @资产账户编号# &lt;&gt; ' ' then</t>
  </si>
  <si>
    <t>select _x000D_
a.{证券代码编号} as {证券代码编号},_x000D_
a.{市场编号} as {市场编号},_x000D_
case when a.{多空类型}=1 then a.{当前数量}- a.{平仓数量} when a.{多空类型}=2 then -1*(a.{当前数量}- a.{平仓数量}) end as {持仓数量},_x000D_
a.{当前数量} as {当前数量},_x000D_
a.{开仓市值} as {开仓市值},_x000D_
a.{开仓费用} as {开仓费用},_x000D_
case when a.{开仓日期}&lt;@初始化日期# then 0 when a.{开仓日期}&gt;=@初始化日期# then a.{开仓时间} end as {开仓时间},_x000D_
a.{产品编号} as {产品编号},a.{交易组编号} as {交易组编号},a.{资产账户编号} as {资产账户编号}_x000D_
from ~报表_资管报表_T0_证券持仓明细表^ a _x000D_
where _x000D_
a.{机构编号} = @操作员机构编号#_x000D_
and a.{操作员编号} = @操作员编号#_x000D_
and a.{产品编号} = @产品编号#_x000D_
and a.{资产账户编号} = @资产账户编号#_x000D_
and a.{持仓状态} = '1';</t>
  </si>
  <si>
    <t>[按条件拼字符串][@查询条件#][@资产账户编号#&lt;&gt;" "][' and a.{资产账户编号}="',@资产账户编号#,'"']</t>
  </si>
  <si>
    <t>set @查询条件# = concat(@查询条件#,' and a.{机构编号}=',@操作员机构编号#,' and a.{操作员编号}=',@操作员编号#);</t>
  </si>
  <si>
    <t>[执行语句][concat("select a.{证券代码编号} as {证券代码编号},a.{市场编号} as {市场编号},case when a.{多空类型}=1 then a.{当前数量}- a.{平仓数量} when a.{多空类型}=2 then -1*(a.{当前数量}- a.{平仓数量}) end as {持仓数量},a.{当前数量} as {当前数量},a.{开仓市值} as {开仓市值},a.{开仓费用} as {开仓费用},case when a.{开仓日期}&lt;",@初始化日期#," then 0 when a.{开仓日期}&gt;=",@初始化日期#," then a.{开仓时间} end as {开仓时间},a.{产品编号} as {产品编号},a.{交易组编号} as {交易组编号},a.{资产账户编号} as {资产账户编号} from ~报表_资管报表_T0_证券持仓明细表^ a where ",@查询条件#," and a.{持仓状态} = '1'  limit 65535")]</t>
  </si>
  <si>
    <t>原子_报表_资管报表_T+0持仓合笔查询</t>
  </si>
  <si>
    <t>if @产品编号# &lt;&gt; 0 and @资产账户编号# &lt;&gt; 0 then</t>
  </si>
  <si>
    <t>select _x000D_
a.{证券代码编号} as {证券代码编号},_x000D_
a.{市场编号} as {市场编号},_x000D_
SUM(case when a.{多空类型}=1 then a.{当前数量}- a.{平仓数量} when a.{多空类型}=2 then -1*(a.{当前数量}- a.{平仓数量}) end) as {持仓数量},_x000D_
SUM(a.{当前数量}) as {当前数量},_x000D_
SUM(a.{开仓市值}) as {开仓市值},_x000D_
SUM(a.{开仓费用}) as {开仓费用},_x000D_
Min(case when a.{开仓日期}&lt;@初始化日期# then 0 when a.{开仓日期}&gt;=@初始化日期# then a.{开仓时间} end) as {开仓时间},_x000D_
a.{产品编号} as {产品编号},a.{交易组编号} as {交易组编号},a.{资产账户编号} as {资产账户编号}_x000D_
from ~报表_资管报表_T0_证券持仓明细表^ a _x000D_
where _x000D_
a.{机构编号} = @操作员机构编号#_x000D_
and a.{操作员编号} = @操作员编号#_x000D_
and a.{产品编号} = @产品编号#_x000D_
and a.{交易组编号} = @交易组编号#_x000D_
and a.{资产账户编号} = @资产账户编号#_x000D_
and a.{持仓状态} = '1'_x000D_
group by_x000D_
a.{产品编号},a.{资产账户编号},a.{证券代码编号},a.{市场编号},a.{多空类型} order by a.{证券代码编号},a.{产品编号},a.{资产账户编号};</t>
  </si>
  <si>
    <t>[执行语句][concat("select a.{证券代码编号} as {证券代码编号},a.{市场编号} as {市场编号},SUM(case when a.{多空类型}=1 then a.{当前数量}- a.{平仓数量} when a.{多空类型}=2 then -1*(a.{当前数量}- a.{平仓数量}) end) as {持仓数量},SUM(a.{当前数量}) as {当前数量},SUM(a.{开仓市值}) as {开仓市值},SUM(a.{开仓费用}) as {开仓费用},Min(case when a.{开仓日期}&lt;",@初始化日期#," then 0 when a.{开仓日期}&gt;=",@初始化日期#," then a.{开仓时间} end) as {开仓时间},a.{产品编号} as {产品编号},a.{交易组编号} as {交易组编号},a.{资产账户编号} as {资产账户编号} from ~报表_资管报表_T0_证券持仓明细表^ a where ",@查询条件#," and a.{持仓状态} = '1' group by a.{产品编号},a.{资产账户编号},a.{证券代码编号},a.{市场编号},a.{多空类型} order by a.{证券代码编号},a.{产品编号},a.{交易组编号},a.{资产账户编号} limit  65535")]</t>
  </si>
  <si>
    <t>原子_报表_资管报表_T+0账户汇总信息查询</t>
  </si>
  <si>
    <t>资金可用日期</t>
  </si>
  <si>
    <t>set @交易金额#=0;</t>
  </si>
  <si>
    <t>set @交易数量#=0;</t>
  </si>
  <si>
    <t>set @实现盈亏#=0;</t>
  </si>
  <si>
    <t>set @开仓市值#=0;</t>
  </si>
  <si>
    <t>set @全部费用#=0;</t>
  </si>
  <si>
    <t>set @冻结金额#=0;</t>
  </si>
  <si>
    <t>set @当前金额#=0;</t>
  </si>
  <si>
    <t>set @可用金额#=0;</t>
  </si>
  <si>
    <t>select _x000D_
SUM(a.{开仓市值}+ a.{平仓市值}) as {交易金额},_x000D_
SUM(a.{当前数量}+ a.{平仓数量}) as {交易数量},_x000D_
SUM(a.{实现盈亏}) as {实现盈亏},_x000D_
SUM(a.{开仓市值}) as {开仓市值},_x000D_
SUM(a.{开仓费用}+a.{平仓费用}) as {全部费用}_x000D_
into @交易金额#,@交易数量#,@实现盈亏#,@开仓市值#,@全部费用#_x000D_
from ~报表_资管报表_T0_证券持仓明细表^ a _x000D_
where _x000D_
a.{机构编号} = @操作员机构编号#_x000D_
and a.{产品编号} = @产品编号#_x000D_
and a.{交易组编号} = @交易组编号#_x000D_
and a.{资产账户编号} = @资产账户编号#_x000D_
and a.{操作员编号} = @操作员编号#;</t>
  </si>
  <si>
    <t>SET @交易金额# = Round(ifnull(@交易金额#,0),2);</t>
  </si>
  <si>
    <t>SET @交易数量# = ifnull(@交易数量#,0);</t>
  </si>
  <si>
    <t>SET @实现盈亏# = Round(ifnull(@实现盈亏#,0),2);</t>
  </si>
  <si>
    <t>SET @开仓市值# = Round(ifnull(@开仓市值#,0),2);</t>
  </si>
  <si>
    <t>SET @全部费用# = Round(ifnull(@全部费用#,0),2);</t>
  </si>
  <si>
    <t>if @开仓市值# &gt; 0 then</t>
  </si>
  <si>
    <t xml:space="preserve"> SET @收益率# = Round(@实现盈亏#/@开仓市值#,5);</t>
  </si>
  <si>
    <t>SET @资金可用日期# = 1;</t>
  </si>
  <si>
    <t>#[原子_计算交易端证券资金可用]</t>
  </si>
  <si>
    <t>D:\osm\branches\1.5\document\D2.Designs\账户\设计模板(账户-证券业务可用).xlsx,'账户-证券业务可用-原子服务'!E47</t>
  </si>
  <si>
    <t>set @临时-查询条件# = concat(@查询条件#,' and a.{机构编号}=',@操作员机构编号#,' and a.{操作员编号} =' ,@操作员编号#);</t>
  </si>
  <si>
    <t>[创建临时表结构][temp_t0unittradeinfo_function][{交易金额} decimal(32,4),{交易数量} decimal(18,2),{实现盈亏} decimal(32,4),{开仓市值} decimal(32,4),{全部费用} decimal(32,4)]</t>
  </si>
  <si>
    <t>[执行语句][concat("insert into temp_t0unittradeinfo_function ({交易金额},{交易数量},{实现盈亏},{开仓市值},{全部费用}) select SUM(a.{开仓市值}+ a.{平仓市值}) as {交易金额},SUM(a.{当前数量}+ a.{平仓数量}) as {交易数量},SUM(a.{实现盈亏}) as {实现盈亏},SUM(a.{开仓市值}) as {开仓市值},SUM(a.{开仓费用}+a.{平仓费用}) as {全部费用} from ~报表_资管报表_T0_证券持仓明细表^ a where ",@临时-查询条件#)]</t>
  </si>
  <si>
    <t>select {交易金额},{交易数量},{实现盈亏},{开仓市值},{全部费用} into @交易金额#,@交易数量#,@实现盈亏#,@开仓市值#,@全部费用# from temp_t0unittradeinfo_function where 1=1 limit 1;</t>
  </si>
  <si>
    <t>[创建临时表结构][temp_t0unitavailable_function][{当前金额} decimal(32,4),{解冻金额} decimal(32,4),{冻结金额} decimal(32,4)]</t>
  </si>
  <si>
    <t>[执行语句][concat("insert into temp_t0unitavailable_function({当前金额},{冻结金额},{解冻金额}) select ifnull(sum({当前金额}),0) as {当前金额},ifnull(sum({冻结金额}),0) as {冻结金额},ifnull(sum({解冻金额}),0) as {解冻金额} from ~报表_资管报表_产品证券-资金-交易组资金表^ a where ",@查询条件#," and {本币币种}='",@本币币种#,"'")]</t>
  </si>
  <si>
    <t>select {当前金额},{冻结金额},{解冻金额} into @当前金额#,@冻结金额#,@解冻金额# from temp_t0unitavailable_function where 1=1 limit 1;</t>
  </si>
  <si>
    <t>SET @可用金额#=@当前金额#+@解冻金额#-@冻结金额#;</t>
  </si>
  <si>
    <t>if @资金可用日期#=1 then</t>
  </si>
  <si>
    <t xml:space="preserve"> set @可用金额#=@可用金额#;</t>
  </si>
  <si>
    <t>原子_报表_资管报表_获取单元证券持仓信息</t>
  </si>
  <si>
    <t>查询记录序号</t>
  </si>
  <si>
    <t>[表记录变量不检验][报表_资管报表_产品证券-持仓-交易组持仓表][{记录序号},{市场编号},{证券代码编号},{股东代码编号},{资产账户编号},{当前数量},{冻结数量},{解冻数量},{成本金额},{利息成本金额}][@记录序号#,@市场编号#,@证券代码编号#,@股东代码编号#,@资产账户编号#,@当前数量#,@冻结数量#,@解冻数量#,@成本金额#,@利息成本金额#][{机构编号}=@操作员机构编号# and {产品编号}=@产品编号# and {交易组编号}=@交易组编号# and {记录序号}&gt;@查询记录序号# order by {记录序号}]</t>
  </si>
  <si>
    <t>原子_报表_资管报表_查询T0交易员开平仓明细历史</t>
  </si>
  <si>
    <t>set @查询语句# = concat(@查询语句#," select 1 as {开平方向}");</t>
  </si>
  <si>
    <t>set @查询语句# = concat(@查询语句#," ,t.{记录序号},t.{初始化日期},t.{操作员编号},t.{机构编号},t.{产品编号},t.{交易组编号},t.{市场编号},t.{股东代码编号},t.{证券代码编号},t.{资产账户编号},t.{多空类型}
");</t>
  </si>
  <si>
    <t>set @查询语句# = concat(@查询语句#," ,t.{当前数量},t.{开仓日期},t.{开仓时间},t.{开仓价格},t.{开仓市值},t.{开仓费用},0 as {平仓日期},0 as {平仓时间},0 as {平仓价格}, 0 as {平仓市值},0 as {平仓费用},t.{成交编号},0 as {平仓数量},0 as {实现盈亏},t.{隔夜盈亏}");</t>
  </si>
  <si>
    <t># set @查询语句# = concat(@查询语句#,"  and (t.{初始化日期} = t.{开仓日期}) ");</t>
  </si>
  <si>
    <t>set @查询语句# = concat(@查询语句#," union all");</t>
  </si>
  <si>
    <t>set @查询语句# = concat(@查询语句#," select 2 as {开平方向}");</t>
  </si>
  <si>
    <t>set @查询语句# = concat(@查询语句#,",0 as {当前数量},0 as {开仓日期},0 as {开仓时间},0 as {开仓价格},0 as {开仓市值},0 as {开仓费用},t.{平仓日期},t.{平仓时间},t.{平仓价格},t.{平仓市值},t.{平仓费用},t.{成交编号},t.{平仓数量},t.{实现盈亏},0 as {隔夜盈亏}");</t>
  </si>
  <si>
    <t>set @执行语句# = concat(@查询语句#," order by {成交编号} DESC  limit 65535");</t>
  </si>
  <si>
    <t>原子_报表_资管报表_查询产品上日资产</t>
  </si>
  <si>
    <t>SELECT t.*,</t>
  </si>
  <si>
    <t>a.{现金资产} as {上日现金资产},</t>
  </si>
  <si>
    <t>a.{股票资产} as {上日股票资产},</t>
  </si>
  <si>
    <t>a.{债券资产} as {上日债券资产},</t>
  </si>
  <si>
    <t>a.{基金资产} as {上日基金资产},</t>
  </si>
  <si>
    <t>a.{回购资产} as {上日回购资产},</t>
  </si>
  <si>
    <t>a.{其他资产} as {上日其他资产},</t>
  </si>
  <si>
    <t>a.{期货资产} as {上日期货资产},</t>
  </si>
  <si>
    <t>a.{港股通资产} as {上日港股通资产},</t>
  </si>
  <si>
    <t>a.{货币基金资产} as {上日货币基金资产},</t>
  </si>
  <si>
    <t>a.{股票成本} as {上日股票成本},</t>
  </si>
  <si>
    <t>a.{债券成本} as {上日债券成本},</t>
  </si>
  <si>
    <t>a.{基金成本} as {上日基金成本},</t>
  </si>
  <si>
    <t>a.{回购成本} as {上日回购成本},</t>
  </si>
  <si>
    <t>a.{其他成本} as {上日其他成本},</t>
  </si>
  <si>
    <t>a.{期货成本} as {上日期货成本},</t>
  </si>
  <si>
    <t>a.{港股通成本} as {上日港股通成本},</t>
  </si>
  <si>
    <t>a.{货币基金成本} as {上日货币基金成本}</t>
  </si>
  <si>
    <t xml:space="preserve"> from ~报表_资管报表_产品资产查询历表^ t</t>
  </si>
  <si>
    <t>left join ~报表_资管报表_产品资产查询历表^ a on (t.{机构编号},t.{产品编号},t.{分组序号}) = (a.{机构编号},a.{产品编号},a.{分组序号}+1)</t>
  </si>
  <si>
    <t xml:space="preserve"> where (t.{机构编号} = @操作员机构编号#) </t>
  </si>
  <si>
    <t>and t.{初始化日期} between @查询开始日期# and @查询结束日期#</t>
  </si>
  <si>
    <t>原子_报表_资管报表_查询产品汇总成交证券类型</t>
  </si>
  <si>
    <t># if (@查询开始日期# = 0) and (@查询结束日期# = 0) then</t>
  </si>
  <si>
    <t xml:space="preserve"># else </t>
  </si>
  <si>
    <t>t.{机构编号},t.{产品编号},</t>
  </si>
  <si>
    <t>MIN(t.{初始化日期}) as {开始日期},MAX(t.{初始化日期}) as {结束日期},</t>
  </si>
  <si>
    <t>COUNT(*) as {累计交易笔数},</t>
  </si>
  <si>
    <t>SUM(t.{成交金额}) as {累计交易金额},</t>
  </si>
  <si>
    <t>SUM(t.{交易佣金}) as {累计成交佣金},</t>
  </si>
  <si>
    <t>SUM(IF(t.{证券类型} in (1) and t.{市场编号} in (1,2),1,0)) as {A股交易笔数},</t>
  </si>
  <si>
    <t>SUM(IF(t.{证券类型} in (1) and t.{市场编号} in (1,2),t.{成交金额},0)) as {A股交易金额},</t>
  </si>
  <si>
    <t>SUM(IF(t.{证券类型} in (1) and t.{市场编号} in (1,2),t.{交易佣金},0)) as {A股成交佣金},</t>
  </si>
  <si>
    <t>SUM(IF((t.{证券类型} between 21 and 45) and t.{证券类型} not in (26,27) and t.{市场编号} in (1,2),1,0)) as {债券交易笔数},</t>
  </si>
  <si>
    <t>SUM(IF((t.{证券类型} between 21 and 45) and t.{证券类型} not in (26,27) and t.{市场编号} in (1,2),t.{成交金额},0)) as {债券交易金额},</t>
  </si>
  <si>
    <t>SUM(IF((t.{证券类型} between 21 and 45) and t.{证券类型} not in (26,27) and t.{市场编号} in (1,2),t.{交易佣金},0)) as {债券成交佣金},</t>
  </si>
  <si>
    <t>SUM(IF((t.{证券类型} between 51 and 64) and t.{市场编号} in (1,2),1,0)) as {基金交易笔数},</t>
  </si>
  <si>
    <t>SUM(IF((t.{证券类型} between 51 and 64) and t.{市场编号} in (1,2),t.{成交金额},0)) as {基金交易金额},</t>
  </si>
  <si>
    <t>SUM(IF((t.{证券类型} between 51 and 64) and t.{市场编号} in (1,2),t.{交易佣金},0)) as {基金成交佣金},</t>
  </si>
  <si>
    <t>SUM(IF(t.{证券类型} in (57,63) and t.{市场编号} in (1,2),1,0)) as {货币基金交易笔数},</t>
  </si>
  <si>
    <t>SUM(IF(t.{证券类型} in (57,63) and t.{市场编号} in (1,2),t.{成交金额},0)) as {货币基金交易金额},</t>
  </si>
  <si>
    <t>SUM(IF(t.{证券类型} in (57,63) and t.{市场编号} in (1,2),t.{交易佣金},0)) as {货币基金成交佣金},</t>
  </si>
  <si>
    <t>SUM(IF(t.{证券类型} in (26,27) and t.{市场编号} in (1,2),1,0)) as {回购交易笔数},</t>
  </si>
  <si>
    <t>SUM(IF(t.{证券类型} in (26,27) and t.{市场编号} in (1,2),t.{成交金额},0)) as {回购交易金额},</t>
  </si>
  <si>
    <t>SUM(IF(t.{证券类型} in (26,27) and t.{市场编号} in (1,2),t.{交易佣金},0)) as {回购成交佣金},</t>
  </si>
  <si>
    <t>SUM(IF(t.{证券类型} in (1) and t.{市场编号} in (3,4),1,0)) as {港股通交易笔数},</t>
  </si>
  <si>
    <t>SUM(IF(t.{证券类型} in (1) and t.{市场编号} in (3,4),t.{成交金额},0)) as {港股通交易金额},</t>
  </si>
  <si>
    <t>SUM(IF(t.{证券类型} in (1) and t.{市场编号} in (3,4),t.{交易佣金},0)) as {港股通成交佣金},</t>
  </si>
  <si>
    <t>SUM(IF(t.{证券类型} in (101,102) and t.{市场编号} in (1,2),1,0)) as {期权交易笔数},</t>
  </si>
  <si>
    <t>SUM(IF(t.{证券类型} in (101,102) and t.{市场编号} in (1,2),t.{成交金额},0)) as {期权交易金额},</t>
  </si>
  <si>
    <t>SUM(IF(t.{证券类型} in (101,102) and t.{市场编号} in (1,2),t.{交易佣金},0)) as {期权成交佣金},</t>
  </si>
  <si>
    <t>SUM(IF(t.{市场编号} in (11,12,13,14),1,0)) as {期货交易笔数},</t>
  </si>
  <si>
    <t>SUM(IF(t.{市场编号} in (11,12,13,14),t.{成交金额},0)) as {期货交易金额},</t>
  </si>
  <si>
    <t>SUM(IF(t.{市场编号} in (11,12,13,14),t.{交易佣金},0)) as {期货成交佣金}</t>
  </si>
  <si>
    <t xml:space="preserve">  from db_dc.tb_tdserp_strike_his t force index(idx_tb_tdserp_strike_his_6)  where ({机构编号} = @操作员机构编号#) </t>
  </si>
  <si>
    <t>and  (@产品编号# = 0 or t.{产品编号} = @产品编号#)</t>
  </si>
  <si>
    <t>and (@证券类型# = 0 or t.{证券类型} = @证券类型#)  and {记录有效标志}&lt;&gt;2</t>
  </si>
  <si>
    <t>group by {机构编号},{产品编号}  limit 65535</t>
  </si>
  <si>
    <t># end if;</t>
  </si>
  <si>
    <t>原子_报表_资管报表_查询成交明细</t>
  </si>
  <si>
    <t>t.{记录序号},t.{操作员编号},t.{初始化日期},t.{机构编号},t.{产品编号},t.{交易组编号},t.{资产账户编号},t.{通道编号},t.{外部账号},t.{市场编号},t.{股东代码编号},t.{证券代码编号},t.{证券类型},t.{指令序号},t.{指令批号},t.{成交日期},t.{成交时间},t.{成交编号},t.{申报日期},t.{申报编号},t.{订单日期},t.{订单时间},t.{订单序号},t.{订单批号},t.{订单方向},t.{订单价格},t.{订单数量},t.{成交数量},t.{成交价格},t.{成交金额},t.{全部费用},t.{印花税},t.{过户费},t.{经手费},t.{证管费},t.{其他费用},t.{交易佣金},t.{其他佣金},t.{交易征费},t.{交易费},t.{交易系统使用费},t.{股份交收费},t.{债券计提利息},t.{成交债券计提利息},t.{净价标志},t.{订单操作方式},t.{体外指令标志},t.{记录有效标志},t.{更新次数},t.{外部编号},t.{组合代码}</t>
  </si>
  <si>
    <t xml:space="preserve"> ,stq.{成交数量} as {行情成交数量}, stq.{成交金额} as {行情成交金额}</t>
  </si>
  <si>
    <t xml:space="preserve"> where (t.{机构编号} = @机构编号#) </t>
  </si>
  <si>
    <t xml:space="preserve"> and (@业务操作员编号#=0 or t.{操作员编号}=@业务操作员编号#) and (@机构编号#=0 or t.{机构编号}=@机构编号#) and (@产品编号#=0 or t.{产品编号}=@产品编号#) and (@交易组编号#=0 or t.{交易组编号}=@交易组编号#) and (@通道编号#=0 or t.{通道编号}=@通道编号#) and (@体外指令标志# = 0 or t.{体外指令标志} = @体外指令标志#) and (t.{记录有效标志}&lt;&gt;2) and  (@订单操作方式#=" " or t.{订单操作方式}=@订单操作方式#) and (@市场编号串#=" " or instr(@市场编号串#,concat(";",t.{市场编号},";"))&gt;0) and (@证券代码编号#=0 or t.{证券代码编号}=@证券代码编号#) and (@证券类型串#=" " or instr(@证券类型串#,concat(";",t.{证券类型},";"))&gt;0) and (@指令序号#=0 or t.{指令序号}=@指令序号#) and (@指令批号#=0 or t.{指令批号}=@指令批号#) and (@订单批号#=0 or t.{订单批号}=@订单批号#) and (@订单方向串#=" " or instr(@订单方向串#,concat(";",t.{订单方向},";"))&gt;0) and (@组合代码# = " " or t.{组合代码} = @组合代码#)</t>
  </si>
  <si>
    <t>#    [获取表记录][报表_资管报表_交易证券-报盘-成交表][字段][(@业务操作员编号#=0 or {操作员编号}=@业务操作员编号#) and (@机构编号#=0 or {机构编号}=@机构编号#) and (@产品编号#=0 or {产品编号}=@产品编号#) and (@交易组编号#=0 or {交易组编号}=@交易组编号#) and (@通道编号#=0 or {通道编号}=@通道编号#) and (@体外指令标志# = 0 or {体外指令标志} = @体外指令标志#) and (@记录有效标志# = 0 or {记录有效标志}=@记录有效标志#) and  (@订单操作方式#=" " or {订单操作方式}=@订单操作方式#) and (@市场编号串#=" " or instr(@市场编号串#,concat(";",{市场编号},";"))&gt;0) and (@证券代码编号#=0 or {证券代码编号}=@证券代码编号#) and (@证券类型串#=" " or instr(@证券类型串#,concat(";",{证券类型},";"))&gt;0) and (@指令序号#=0 or {指令序号}=@指令序号#) and (@指令批号#=0 or {指令批号}=@指令批号#) and (@订单批号#=0 or {订单批号}=@订单批号#) and (@订单方向串#=" " or instr(@订单方向串#,concat(";",{订单方向},";"))&gt;0) and (@组合代码# = " " or {组合代码} = @组合代码#) and {记录序号}&gt;@记录序号# order by {记录序号}][@指定行数#]</t>
  </si>
  <si>
    <t xml:space="preserve"> #   [获取表记录][报表_资管报表_交易证券-报盘-成交表-历史][字段][(@业务操作员编号#=0 or {操作员编号}=@业务操作员编号#) and ( {初始化日期} between @查询开始日期# and @查询结束日期#) and (@机构编号#=0 or {机构编号}=@机构编号#) and (@产品编号#=0 or {产品编号}=@产品编号#) and (@交易组编号#=0 or {交易组编号}=@交易组编号#) and (@通道编号#=0 or {通道编号}=@通道编号#) and (@体外指令标志# = 0 or {体外指令标志} = @体外指令标志#) and (@记录有效标志# = 0 or {记录有效标志}=@记录有效标志#) and  (@订单操作方式#=" " or {订单操作方式}=@订单操作方式#) and (@市场编号串#=" " or instr(@市场编号串#,concat(";",{市场编号},";"))&gt;0) and (@证券代码编号#=0 or {证券代码编号}=@证券代码编号#) and (@证券类型串#=" " or instr(@证券类型串#,concat(";",{证券类型},";"))&gt;0) and (@指令序号#=0 or {指令序号}=@指令序号#) and (@指令批号#=0 or {指令批号}=@指令批号#) and (@订单批号#=0 or {订单批号}=@订单批号#) and (@订单方向串#=" " or instr(@订单方向串#,concat(";",{订单方向},";"))&gt;0) and (@组合代码# = " " or {组合代码} = @组合代码#) and {记录序号}&gt;@记录序号# order by {记录序号}][@指定行数#]</t>
  </si>
  <si>
    <t>, t.{行情成交数量}, t.{行情成交金额}</t>
  </si>
  <si>
    <t>from ~历史_报表_资管报表_报表汇总产品证券成交^ t</t>
  </si>
  <si>
    <t>and (t.{初始化日期} between @查询开始日期# and @查询结束日期#)</t>
  </si>
  <si>
    <t xml:space="preserve"> else </t>
  </si>
  <si>
    <t xml:space="preserve"> end if;</t>
  </si>
  <si>
    <t>原子_报表_资管报表_查询产品指令统计</t>
  </si>
  <si>
    <t xml:space="preserve"> # if (@查询开始日期# = 0) and (@查询结束日期# = 0) then</t>
  </si>
  <si>
    <t xml:space="preserve"> # else </t>
  </si>
  <si>
    <t>and (@证券类型# = 0 or t.{证券类型} = @证券类型#)</t>
  </si>
  <si>
    <t>and (@资产类型# = 0 or t.{资产类型} = @资产类型#)</t>
  </si>
  <si>
    <t xml:space="preserve"> # end if;</t>
  </si>
  <si>
    <t>原子_报表_资管报表_查询产品交易操作效率</t>
  </si>
  <si>
    <t xml:space="preserve"> and t.{开始日期} = @查询开始日期# </t>
  </si>
  <si>
    <t xml:space="preserve"> and t.{结束日期} = @查询结束日期# </t>
  </si>
  <si>
    <t>原子_报表_资管报表_查询产品汇总持仓</t>
  </si>
  <si>
    <t>select *</t>
  </si>
  <si>
    <t xml:space="preserve">and (@证券代码编号# = 0 or {证券代码编号}=@证券代码编号#) </t>
  </si>
  <si>
    <t>and (t.{当前数量} &lt;&gt; 0 or t.{期初数量} &lt;&gt; 0)</t>
  </si>
  <si>
    <t xml:space="preserve">and ({机构编号},{产品编号}) in (select {机构编号},{产品编号} from ~报表_资管报表_公共-用户-操作员可操作产品表^ opr where opr.{操作员编号} = @操作员编号#) </t>
  </si>
  <si>
    <t>原子_报表_资管报表_查询产品佣金统计报表</t>
  </si>
  <si>
    <t>select init_date into @初始化日期#  from db_dc.tb_base_sys_info;</t>
  </si>
  <si>
    <t>if @查询开始日期# &gt;= @初始化日期# then</t>
  </si>
  <si>
    <t xml:space="preserve">   #只查当前成交表</t>
  </si>
  <si>
    <t xml:space="preserve">  select  t.{机构编号},t.{产品编号},MIN(t.{初始化日期}) as {开始日期},MAX(t.{初始化日期}) as {结束日期},SUM(t.{成交金额}) as {A股交易金额},SUM( t.{交易佣金}) as {A股成交佣金}</t>
  </si>
  <si>
    <t xml:space="preserve">  from db_dc.tb_tdserp_strike t where (t.{机构编号} = @操作员机构编号#) </t>
  </si>
  <si>
    <t xml:space="preserve">  and  (@产品编号# = 0 or t.{产品编号} = @产品编号#) and {证券类型}=1 and ({市场编号}=1 or {市场编号}=2) and {记录有效标志}&lt;&gt;2</t>
  </si>
  <si>
    <t xml:space="preserve">  group by {机构编号},{产品编号}  limit  @指定行数# ;</t>
  </si>
  <si>
    <t>elseif @查询结束日期#&lt; @初始化日期# then</t>
  </si>
  <si>
    <t xml:space="preserve">   #只查历史的</t>
  </si>
  <si>
    <t xml:space="preserve">  select  {机构编号},{产品编号},MIN({初始化日期}) as {开始日期},MAX({初始化日期}) as {结束日期},SUM({成交金额}) as {A股交易金额},SUM( {交易佣金}) as {A股成交佣金}</t>
  </si>
  <si>
    <t xml:space="preserve">  from db_dc.tb_tdserp_strike_his force index(idx_tb_tdserp_strike_his_6)  where ({机构编号} = @操作员机构编号#) </t>
  </si>
  <si>
    <t xml:space="preserve">  and  (@产品编号# = 0 or {产品编号} = @产品编号#) and {证券类型}=1 and ({市场编号}=1 or {市场编号}=2) and {记录有效标志}&lt;&gt;2</t>
  </si>
  <si>
    <t xml:space="preserve">  and {初始化日期} between @查询开始日期# and @查询结束日期#</t>
  </si>
  <si>
    <t xml:space="preserve">  group by {机构编号},{产品编号}   limit  @指定行数#  ;</t>
  </si>
  <si>
    <t xml:space="preserve">  select  t.{机构编号},t.{产品编号},MIN(t.{开始日期}) as {开始日期},MAX(t.{结束日期}) as {结束日期},SUM(t.{成交金额}) as {A股交易金额},SUM( t.{交易佣金}) as {A股成交佣金}</t>
  </si>
  <si>
    <t xml:space="preserve">  from ( </t>
  </si>
  <si>
    <t xml:space="preserve">           select  {机构编号},{产品编号},MIN({初始化日期}) as {开始日期},MAX({初始化日期}) as {结束日期},SUM({成交金额}) as {成交金额},SUM({交易佣金}) as {交易佣金}</t>
  </si>
  <si>
    <t xml:space="preserve">             from db_dc.tb_tdserp_strike_his  force index(idx_tb_tdserp_strike_his_6)  where ({机构编号} = @操作员机构编号#) </t>
  </si>
  <si>
    <t xml:space="preserve">             and  (@产品编号# = 0 or {产品编号} = @产品编号#) and {证券类型}=1 and ({市场编号}=1 or {市场编号}=2)  and {记录有效标志}&lt;&gt;2</t>
  </si>
  <si>
    <t xml:space="preserve">             and {初始化日期} between @查询开始日期# and @查询结束日期#</t>
  </si>
  <si>
    <t xml:space="preserve">             group by {机构编号},{产品编号} </t>
  </si>
  <si>
    <t xml:space="preserve">          union all</t>
  </si>
  <si>
    <t xml:space="preserve">             select  {机构编号},{产品编号},MIN({初始化日期}) as {开始日期},MAX({初始化日期}) as {结束日期},SUM({成交金额}) as {成交金额},SUM( {交易佣金}) as {交易佣金}</t>
  </si>
  <si>
    <t xml:space="preserve">             from db_dc.tb_tdserp_strike  where ({机构编号} = @操作员机构编号#) </t>
  </si>
  <si>
    <t xml:space="preserve">  ) t</t>
  </si>
  <si>
    <t xml:space="preserve"> group by {机构编号},{产品编号}   limit  @指定行数# ;</t>
  </si>
  <si>
    <t>原子_报表_资管报表_产品当日成交统计查询</t>
  </si>
  <si>
    <t>set @买入参考汇率# = f_get_hk_buy_rate(f_get_init_date(), 3);</t>
  </si>
  <si>
    <t>set @卖出参考汇率# = f_get_hk_sell_rate(f_get_init_date(), 3);</t>
  </si>
  <si>
    <t xml:space="preserve">  select sum(if({市场编号} in(3,4),if({订单方向}=1,@卖出参考汇率#,@买入参考汇率#)*{成交金额},{成交金额})) as {成交金额},{订单方向}</t>
  </si>
  <si>
    <t xml:space="preserve">  and  (@产品编号# = 0 or t.{产品编号} = @产品编号#)   and {记录有效标志}&lt;&gt;2</t>
  </si>
  <si>
    <t xml:space="preserve">  and   {证券类型} &lt;&gt; 《证券类型-货币ETF基金》 and  {证券类型} &lt;&gt;《证券类型-普通货币基金》</t>
  </si>
  <si>
    <t xml:space="preserve">  and {订单方向} in(1,2,31)  and {产品编号} in (select {产品编号} from ~报表_资管报表_公共-用户-操作员可操作产品表^ opr where opr.{操作员编号} = @操作员编号#)</t>
  </si>
  <si>
    <t xml:space="preserve">  group by {订单方向}    limit  65535;</t>
  </si>
  <si>
    <t>原子_报表_资管报表_产品持仓汇总统计查询</t>
  </si>
  <si>
    <t>set @持仓市值#=0;</t>
  </si>
  <si>
    <t xml:space="preserve"> set @成本金额#=0;</t>
  </si>
  <si>
    <t>set @持仓盈亏#=@持仓市值#-@成本金额#;</t>
  </si>
  <si>
    <t>原子_报表_资管报表_证券代码映射查询</t>
  </si>
  <si>
    <t xml:space="preserve">  select {证券代码} ,{证券名称},{证券代码编号}  from db_dc.tb_basesedt_stock_code_info t where (@证券代码编号#=0 or {证券代码编号}=@证券代码编号#)  limit 65535;</t>
  </si>
  <si>
    <t>原子_报表_资管报表_查询_交易组_新证券持仓</t>
  </si>
  <si>
    <t xml:space="preserve"> , ifnull(t.curr_qty * if(t.exch_no in (3,4), if(t.{投资类型} = 3, t.{公允价格},stq.{最新价}) * @汇率# ,if(t.{投资类型} = 3, t.{公允价格},stq.{最新价})),0) as {持仓市值}</t>
  </si>
  <si>
    <t xml:space="preserve"> , ifnull(t.curr_qty * if(t.exch_no in (3,4), f_get_stock_full_price(t.asset_type,t.fair_price,stq.{最新价},t.net_price_flag, t.bond_rate_type, t.bond_accr_intrst) * @汇率# , f_get_stock_full_price(t.asset_type,t.fair_price,stq.{最新价},t.net_price_flag, t.bond_rate_type, t.bond_accr_intrst)),0) as {全价持仓市值}</t>
  </si>
  <si>
    <t>,ifnull(stq.{证券代码}," ") as {证券代码}</t>
  </si>
  <si>
    <t xml:space="preserve">,ifnull(stq.{证券名称}," ") as {证券名称} </t>
  </si>
  <si>
    <t xml:space="preserve">and ({机构编号},{产品编号},{交易组编号}) in (select {机构编号},{产品编号},{交易组编号} from ~报表_资管报表_公共-用户-操作员所属交易组表^ opr where opr.{操作员编号} = @操作员编号#) </t>
  </si>
  <si>
    <t>原子_报表_资管报表_更新期货行情</t>
  </si>
  <si>
    <t>update db_dc.tb_basefudt_futu_quot set {更新日期} = @更新日期#, {更新时间} = @更新时间#, {更新次数} = {更新次数} + 1,{买一价}=@买一价#,{卖一价}=@卖一价#,{最新价} = case when @最新价# &lt;&gt; 0 then @最新价# else {最新价} end, {涨停价} = case when @涨停价# &lt;&gt; 0 then @涨停价# else {涨停价} end, {跌停价} = case when @跌停价# &lt;&gt; 0 then @跌停价# else {跌停价} end, {昨结算价} = case when @昨结算价# &lt;&gt; 0 then @昨结算价# else {昨结算价} end,{结算价} = case when @结算价# &lt;&gt; 0 then @结算价# else {结算价} end,{今收盘价} = case when @今收盘价# &lt;&gt; 0 then @今收盘价# else {今收盘价} end,{昨收盘价} = case when @昨收盘价# &lt;&gt; 0 then @昨收盘价# else {昨收盘价} end where  {市场编号}=@市场编号# and {合约代码} = @合约代码#;</t>
  </si>
  <si>
    <t>if  @错误编码#&lt;&gt;'0'  then</t>
  </si>
  <si>
    <t xml:space="preserve">   set @错误信息#=concat("市场编号=",v_exch_no,",","合约代码=",v_contrc_code);</t>
  </si>
  <si>
    <t>update_time</t>
  </si>
  <si>
    <t xml:space="preserve">  from db_dc.tb_tdserp_strike t where (t.{机构编号} = @操作员机构编号#) </t>
    <phoneticPr fontId="35" type="noConversion"/>
  </si>
  <si>
    <t>rptL.4.116</t>
    <phoneticPr fontId="35" type="noConversion"/>
  </si>
  <si>
    <t>逻辑_报表_资管报表_交易组当日成交统计查询</t>
    <phoneticPr fontId="35" type="noConversion"/>
  </si>
  <si>
    <t>funcl_rptasset_QryExgpCurStrikeSum</t>
    <phoneticPr fontId="35" type="noConversion"/>
  </si>
  <si>
    <t>prl_rptasset_QryExgpCurStrikeSum</t>
    <phoneticPr fontId="35" type="noConversion"/>
  </si>
  <si>
    <t>交易组编号</t>
    <phoneticPr fontId="35" type="noConversion"/>
  </si>
  <si>
    <t>[事务_报表_资管报表_交易组当日成交统计查询]</t>
    <phoneticPr fontId="35" type="noConversion"/>
  </si>
  <si>
    <t>rptT.4.118</t>
    <phoneticPr fontId="35" type="noConversion"/>
  </si>
  <si>
    <t>事务_报表_资管报表_交易组当日成交统计查询</t>
    <phoneticPr fontId="35" type="noConversion"/>
  </si>
  <si>
    <t>funct_rptasset_QryExgpCurStrikeSum</t>
    <phoneticPr fontId="35" type="noConversion"/>
  </si>
  <si>
    <t>prt_rptasset_QryExgpCurStrikeSum</t>
    <phoneticPr fontId="35" type="noConversion"/>
  </si>
  <si>
    <t>[原子_报表_资管报表_交易组当日成交统计查询]</t>
    <phoneticPr fontId="35" type="noConversion"/>
  </si>
  <si>
    <t>rptA.4.118</t>
    <phoneticPr fontId="35" type="noConversion"/>
  </si>
  <si>
    <t>原子_报表_资管报表_交易组当日成交统计查询</t>
    <phoneticPr fontId="35" type="noConversion"/>
  </si>
  <si>
    <t>pra_rptasset_QryExgpCurStrikeSum</t>
    <phoneticPr fontId="35" type="noConversion"/>
  </si>
  <si>
    <t>funca_rptasset_QryExgpCurStrikeSum</t>
    <phoneticPr fontId="35" type="noConversion"/>
  </si>
  <si>
    <t>set @成交占用金额#=0;</t>
    <phoneticPr fontId="35" type="noConversion"/>
  </si>
  <si>
    <t>功能编码</t>
    <phoneticPr fontId="35" type="noConversion"/>
  </si>
  <si>
    <t>rptL.4.1</t>
    <phoneticPr fontId="35" type="noConversion"/>
  </si>
  <si>
    <t>功能名称</t>
    <phoneticPr fontId="35" type="noConversion"/>
  </si>
  <si>
    <t>功能名</t>
    <phoneticPr fontId="35" type="noConversion"/>
  </si>
  <si>
    <t>funcl_rptasset_QueryT0HoldingPandL</t>
    <phoneticPr fontId="35" type="noConversion"/>
  </si>
  <si>
    <t>所属子系统</t>
    <phoneticPr fontId="35" type="noConversion"/>
  </si>
  <si>
    <t>报表</t>
    <phoneticPr fontId="35" type="noConversion"/>
  </si>
  <si>
    <t>存储过程名称</t>
    <phoneticPr fontId="35" type="noConversion"/>
  </si>
  <si>
    <t>prl_rptasset_QueryT0HoldingPandL</t>
    <phoneticPr fontId="35" type="noConversion"/>
  </si>
  <si>
    <t>功能说明</t>
    <phoneticPr fontId="35" type="noConversion"/>
  </si>
  <si>
    <t>actL.2.27</t>
    <phoneticPr fontId="35" type="noConversion"/>
  </si>
  <si>
    <t>是否结果集返回</t>
    <phoneticPr fontId="35" type="noConversion"/>
  </si>
  <si>
    <t>Y</t>
    <phoneticPr fontId="35" type="noConversion"/>
  </si>
  <si>
    <t>优先级</t>
    <phoneticPr fontId="35" type="noConversion"/>
  </si>
  <si>
    <t>所属模块</t>
    <phoneticPr fontId="35" type="noConversion"/>
  </si>
  <si>
    <t>资管报表</t>
    <phoneticPr fontId="35" type="noConversion"/>
  </si>
  <si>
    <t>rptL.4.2</t>
    <phoneticPr fontId="35" type="noConversion"/>
  </si>
  <si>
    <t>funcl_rptasset_QueryT0SourceStockHoldingPositionReport</t>
    <phoneticPr fontId="35" type="noConversion"/>
  </si>
  <si>
    <t>prl_rptasset_QueryT0SourceStockHoldingPositionReport</t>
    <phoneticPr fontId="35" type="noConversion"/>
  </si>
  <si>
    <t>actL.2.28</t>
    <phoneticPr fontId="35" type="noConversion"/>
  </si>
  <si>
    <t>rptL.4.3</t>
    <phoneticPr fontId="35" type="noConversion"/>
  </si>
  <si>
    <t>funcl_rptasset_QueryT0UnitTradeTotalInfo</t>
    <phoneticPr fontId="35" type="noConversion"/>
  </si>
  <si>
    <t>prl_rptasset_QueryT0UnitTradeTotalInfo</t>
    <phoneticPr fontId="35" type="noConversion"/>
  </si>
  <si>
    <t>actL.2.29</t>
    <phoneticPr fontId="35" type="noConversion"/>
  </si>
  <si>
    <t>rptL.4.4</t>
    <phoneticPr fontId="35" type="noConversion"/>
  </si>
  <si>
    <t>funcl_rptasset_QueryHisT0HoldingPandL</t>
    <phoneticPr fontId="35" type="noConversion"/>
  </si>
  <si>
    <t>prl_rptasset_QueryHisT0HoldingPandL</t>
    <phoneticPr fontId="35" type="noConversion"/>
  </si>
  <si>
    <t>actL.2.30</t>
    <phoneticPr fontId="35" type="noConversion"/>
  </si>
  <si>
    <t>rptL.4.5</t>
    <phoneticPr fontId="35" type="noConversion"/>
  </si>
  <si>
    <t>funcl_rptasset_QueryHisT0SourceStockHoldingPositionReport</t>
    <phoneticPr fontId="35" type="noConversion"/>
  </si>
  <si>
    <t>prl_rptasset_QueryHisT0SourceStockHoldingPositionReport</t>
    <phoneticPr fontId="35" type="noConversion"/>
  </si>
  <si>
    <t>actL.2.31</t>
    <phoneticPr fontId="35" type="noConversion"/>
  </si>
  <si>
    <t>rptL.4.6</t>
    <phoneticPr fontId="35" type="noConversion"/>
  </si>
  <si>
    <t>funcl_rptasset_QueryHisT0UnitTradeTotalInfo</t>
    <phoneticPr fontId="35" type="noConversion"/>
  </si>
  <si>
    <t>prl_rptasset_QueryHisT0UnitTradeTotalInfo</t>
    <phoneticPr fontId="35" type="noConversion"/>
  </si>
  <si>
    <t>actL.2.32</t>
    <phoneticPr fontId="35" type="noConversion"/>
  </si>
  <si>
    <t>rptL.4.7</t>
    <phoneticPr fontId="35" type="noConversion"/>
  </si>
  <si>
    <t>funcl_rptasset_ReportProductPositionQuery</t>
    <phoneticPr fontId="35" type="noConversion"/>
  </si>
  <si>
    <t>prl_rptasset_ReportProductPositionQuery</t>
    <phoneticPr fontId="35" type="noConversion"/>
  </si>
  <si>
    <t>actL.2.43</t>
    <phoneticPr fontId="35" type="noConversion"/>
  </si>
  <si>
    <t>rptL.4.8</t>
    <phoneticPr fontId="35" type="noConversion"/>
  </si>
  <si>
    <t>funcl_rptasset_ReportCompanyPositionQuery</t>
    <phoneticPr fontId="35" type="noConversion"/>
  </si>
  <si>
    <t>prl_rptasset_ReportCompanyPositionQuery</t>
    <phoneticPr fontId="35" type="noConversion"/>
  </si>
  <si>
    <t>actL.2.44</t>
    <phoneticPr fontId="35" type="noConversion"/>
  </si>
  <si>
    <t>rptL.4.9</t>
    <phoneticPr fontId="35" type="noConversion"/>
  </si>
  <si>
    <t>funcl_rptasset_ReportProductPositionTradeQuery</t>
    <phoneticPr fontId="35" type="noConversion"/>
  </si>
  <si>
    <t>prl_rptasset_ReportProductPositionTradeQuery</t>
    <phoneticPr fontId="35" type="noConversion"/>
  </si>
  <si>
    <t>actL.2.45</t>
    <phoneticPr fontId="35" type="noConversion"/>
  </si>
  <si>
    <t>rptL.4.10</t>
    <phoneticPr fontId="35" type="noConversion"/>
  </si>
  <si>
    <t>funcl_rptasset_QueryProductPositionTop</t>
    <phoneticPr fontId="35" type="noConversion"/>
  </si>
  <si>
    <t>prl_rptasset_QueryProductPositionTop</t>
    <phoneticPr fontId="35" type="noConversion"/>
  </si>
  <si>
    <t>actL.2.46</t>
    <phoneticPr fontId="35" type="noConversion"/>
  </si>
  <si>
    <t>rptL.4.11</t>
    <phoneticPr fontId="35" type="noConversion"/>
  </si>
  <si>
    <t>funcl_rptasset_QueryUniteQuitiesPositionTop</t>
    <phoneticPr fontId="35" type="noConversion"/>
  </si>
  <si>
    <t>prl_rptasset_QueryUniteQuitiesPositionTop</t>
    <phoneticPr fontId="35" type="noConversion"/>
  </si>
  <si>
    <t>actL.2.47</t>
    <phoneticPr fontId="35" type="noConversion"/>
  </si>
  <si>
    <t>rptL.4.12</t>
    <phoneticPr fontId="35" type="noConversion"/>
  </si>
  <si>
    <t>funcl_rptasset_EquitiesPositionSummary</t>
    <phoneticPr fontId="35" type="noConversion"/>
  </si>
  <si>
    <t>prl_rptasset_EquitiesPositionSummary</t>
    <phoneticPr fontId="35" type="noConversion"/>
  </si>
  <si>
    <t>actL.2.63</t>
    <phoneticPr fontId="35" type="noConversion"/>
  </si>
  <si>
    <t>rptL.4.13</t>
    <phoneticPr fontId="35" type="noConversion"/>
  </si>
  <si>
    <t>funcl_rptasset_EquitiesPositionSummary_His</t>
    <phoneticPr fontId="35" type="noConversion"/>
  </si>
  <si>
    <t>prl_rptasset_EquitiesPositionSummary_His</t>
    <phoneticPr fontId="35" type="noConversion"/>
  </si>
  <si>
    <t>actL.2.64</t>
    <phoneticPr fontId="35" type="noConversion"/>
  </si>
  <si>
    <t>rptL.4.14</t>
    <phoneticPr fontId="35" type="noConversion"/>
  </si>
  <si>
    <t>funcl_rptasset_QueryT0UnitPandlReport</t>
    <phoneticPr fontId="35" type="noConversion"/>
  </si>
  <si>
    <t>prl_rptasset_QueryT0UnitPandlReport</t>
    <phoneticPr fontId="35" type="noConversion"/>
  </si>
  <si>
    <t>actL.2.72</t>
    <phoneticPr fontId="35" type="noConversion"/>
  </si>
  <si>
    <t>rptL.4.15</t>
    <phoneticPr fontId="35" type="noConversion"/>
  </si>
  <si>
    <t>funcl_rptasset_QueryHisT0UnitPandlReport</t>
    <phoneticPr fontId="35" type="noConversion"/>
  </si>
  <si>
    <t>prl_rptasset_QueryHisT0UnitPandlReport</t>
    <phoneticPr fontId="35" type="noConversion"/>
  </si>
  <si>
    <t>actL.2.73</t>
    <phoneticPr fontId="35" type="noConversion"/>
  </si>
  <si>
    <t>rptL.4.16</t>
    <phoneticPr fontId="35" type="noConversion"/>
  </si>
  <si>
    <t>funcl_rptasset_QueryT0UnitExposureReport</t>
    <phoneticPr fontId="35" type="noConversion"/>
  </si>
  <si>
    <t>prl_rptasset_QueryT0UnitExposureReport</t>
    <phoneticPr fontId="35" type="noConversion"/>
  </si>
  <si>
    <t>actL.2.74</t>
    <phoneticPr fontId="35" type="noConversion"/>
  </si>
  <si>
    <t>rptL.4.17</t>
    <phoneticPr fontId="35" type="noConversion"/>
  </si>
  <si>
    <t>funcl_rptasset_QueryHisT0UnitExposureReport</t>
    <phoneticPr fontId="35" type="noConversion"/>
  </si>
  <si>
    <t>prl_rptasset_QueryHisT0UnitExposureReport</t>
    <phoneticPr fontId="35" type="noConversion"/>
  </si>
  <si>
    <t>actL.2.75</t>
    <phoneticPr fontId="35" type="noConversion"/>
  </si>
  <si>
    <t>rptL.4.18</t>
    <phoneticPr fontId="35" type="noConversion"/>
  </si>
  <si>
    <t>funcl_rptasset_trd_secu_execution_query</t>
    <phoneticPr fontId="35" type="noConversion"/>
  </si>
  <si>
    <t>prl_rptasset_trd_secu_execution_query</t>
    <phoneticPr fontId="35" type="noConversion"/>
  </si>
  <si>
    <t>trdL.1.7</t>
    <phoneticPr fontId="35" type="noConversion"/>
  </si>
  <si>
    <t>rptL.4.19</t>
    <phoneticPr fontId="35" type="noConversion"/>
  </si>
  <si>
    <t>funcl_rptasset_trd_secu_HisExecutionQuery</t>
    <phoneticPr fontId="35" type="noConversion"/>
  </si>
  <si>
    <t>prl_rptasset_trd_secu_HisExecutionQuery</t>
    <phoneticPr fontId="35" type="noConversion"/>
  </si>
  <si>
    <t>trdL.1.14</t>
    <phoneticPr fontId="35" type="noConversion"/>
  </si>
  <si>
    <t>rptL.4.20</t>
    <phoneticPr fontId="35" type="noConversion"/>
  </si>
  <si>
    <t>funcl_rptasset_Month_QueryT0UnitPandlReport</t>
    <phoneticPr fontId="35" type="noConversion"/>
  </si>
  <si>
    <t>prl_rptasset_Month_QueryT0UnitPandlReport</t>
    <phoneticPr fontId="35" type="noConversion"/>
  </si>
  <si>
    <t>统计操作员、单元、</t>
    <phoneticPr fontId="35" type="noConversion"/>
  </si>
  <si>
    <t>rptL.4.21</t>
    <phoneticPr fontId="35" type="noConversion"/>
  </si>
  <si>
    <t>funcl_rptasset_Month_QueryHisT0UnitPandlReport</t>
    <phoneticPr fontId="35" type="noConversion"/>
  </si>
  <si>
    <t>prl_rptasset_Month_QueryHisT0UnitPandlReport</t>
    <phoneticPr fontId="35" type="noConversion"/>
  </si>
  <si>
    <t>rptL.4.27</t>
    <phoneticPr fontId="35" type="noConversion"/>
  </si>
  <si>
    <t>funcl_QueryT0UnitPandlSpecialReport</t>
    <phoneticPr fontId="35" type="noConversion"/>
  </si>
  <si>
    <t>prl_QueryT0UnitPandlSpecialReport</t>
    <phoneticPr fontId="35" type="noConversion"/>
  </si>
  <si>
    <t>rptL.4.28</t>
    <phoneticPr fontId="35" type="noConversion"/>
  </si>
  <si>
    <t>funcl_QueryHisT0UnitPandlSpecialReport</t>
    <phoneticPr fontId="35" type="noConversion"/>
  </si>
  <si>
    <t>prl_QueryHisT0UnitPandlSpecialReport</t>
    <phoneticPr fontId="35" type="noConversion"/>
  </si>
  <si>
    <t>rptL.4.31</t>
    <phoneticPr fontId="35" type="noConversion"/>
  </si>
  <si>
    <t>funcl_rptasset_Qry_Pd_Asset</t>
    <phoneticPr fontId="35" type="noConversion"/>
  </si>
  <si>
    <t>prl_rptasset_Qry_Pd_Asset</t>
    <phoneticPr fontId="35" type="noConversion"/>
  </si>
  <si>
    <t>产品资产</t>
    <phoneticPr fontId="35" type="noConversion"/>
  </si>
  <si>
    <t>rptL.4.32</t>
    <phoneticPr fontId="35" type="noConversion"/>
  </si>
  <si>
    <t>funcl_rptasset_Qry_ExGrp_Asset</t>
    <phoneticPr fontId="35" type="noConversion"/>
  </si>
  <si>
    <t>prl_rptasset_Qry_ExGrp_Asset</t>
    <phoneticPr fontId="35" type="noConversion"/>
  </si>
  <si>
    <t>rptL.4.33</t>
    <phoneticPr fontId="35" type="noConversion"/>
  </si>
  <si>
    <t>funcl_rptasset_Qry_Pd_Asset_His</t>
    <phoneticPr fontId="35" type="noConversion"/>
  </si>
  <si>
    <t>prl_rptasset_Qry_Pd_Asset_His</t>
    <phoneticPr fontId="35" type="noConversion"/>
  </si>
  <si>
    <t>交易组资产</t>
    <phoneticPr fontId="35" type="noConversion"/>
  </si>
  <si>
    <t>rptL.4.34</t>
    <phoneticPr fontId="35" type="noConversion"/>
  </si>
  <si>
    <t>funcl_rptasset_Qry_ExGrp_Asset_His</t>
    <phoneticPr fontId="35" type="noConversion"/>
  </si>
  <si>
    <t>prl_rptasset_Qry_ExGrp_Asset_His</t>
    <phoneticPr fontId="35" type="noConversion"/>
  </si>
  <si>
    <t>rptL.4.35</t>
    <phoneticPr fontId="35" type="noConversion"/>
  </si>
  <si>
    <t>funcl_rptasset_Qry_Pd_Posi</t>
    <phoneticPr fontId="35" type="noConversion"/>
  </si>
  <si>
    <t>prl_rptasset_Qry_Pd_Posi</t>
    <phoneticPr fontId="35" type="noConversion"/>
  </si>
  <si>
    <t>产品持仓</t>
    <phoneticPr fontId="35" type="noConversion"/>
  </si>
  <si>
    <t>rptL.4.36</t>
    <phoneticPr fontId="35" type="noConversion"/>
  </si>
  <si>
    <t>funcl_rptasset_Qry_ExGrp_Posi</t>
    <phoneticPr fontId="35" type="noConversion"/>
  </si>
  <si>
    <t>prl_rptasset_Qry_ExGrp_Posi</t>
    <phoneticPr fontId="35" type="noConversion"/>
  </si>
  <si>
    <t>交易组持仓</t>
    <phoneticPr fontId="35" type="noConversion"/>
  </si>
  <si>
    <t>rptL.4.37</t>
    <phoneticPr fontId="35" type="noConversion"/>
  </si>
  <si>
    <t>funcl_rptasset_Qry_Pd_Posi_His</t>
    <phoneticPr fontId="35" type="noConversion"/>
  </si>
  <si>
    <t>prl_rptasset_Qry_Pd_Posi_His</t>
    <phoneticPr fontId="35" type="noConversion"/>
  </si>
  <si>
    <t>历史产品持仓</t>
    <phoneticPr fontId="35" type="noConversion"/>
  </si>
  <si>
    <t>rptL.4.38</t>
    <phoneticPr fontId="35" type="noConversion"/>
  </si>
  <si>
    <t>funcl_rptasset_Qry_ExGrp_Posi_His</t>
    <phoneticPr fontId="35" type="noConversion"/>
  </si>
  <si>
    <t>prl_rptasset_Qry_ExGrp_Posi_His</t>
    <phoneticPr fontId="35" type="noConversion"/>
  </si>
  <si>
    <t>历史交易组持仓</t>
    <phoneticPr fontId="35" type="noConversion"/>
  </si>
  <si>
    <t>rptL.4.41</t>
    <phoneticPr fontId="35" type="noConversion"/>
  </si>
  <si>
    <t>funcl_rptasset_Qry_Pdfutu_Posi</t>
    <phoneticPr fontId="35" type="noConversion"/>
  </si>
  <si>
    <t>prl_rptasset_Qry_Pdfutu_Posi</t>
    <phoneticPr fontId="35" type="noConversion"/>
  </si>
  <si>
    <t>rptL.4.42</t>
    <phoneticPr fontId="35" type="noConversion"/>
  </si>
  <si>
    <t>funcl_rptasset_Qry_Pdfutu_Posi_his</t>
    <phoneticPr fontId="35" type="noConversion"/>
  </si>
  <si>
    <t>prl_rptasset_Qry_Pdfutu_Posi_his</t>
    <phoneticPr fontId="35" type="noConversion"/>
  </si>
  <si>
    <t>rptL.4.43</t>
    <phoneticPr fontId="35" type="noConversion"/>
  </si>
  <si>
    <t>funcl_rptasset_Qry_Grpfutu_Posi</t>
    <phoneticPr fontId="35" type="noConversion"/>
  </si>
  <si>
    <t>prl_rptasset_Qry_Grpfutu_Posi</t>
    <phoneticPr fontId="35" type="noConversion"/>
  </si>
  <si>
    <t>rptL.4.44</t>
    <phoneticPr fontId="35" type="noConversion"/>
  </si>
  <si>
    <t>funcl_rptasset_Qry_Grpfutu_Posi_his</t>
    <phoneticPr fontId="35" type="noConversion"/>
  </si>
  <si>
    <t>prl_rptasset_Qry_Grpfutu_Posi_his</t>
    <phoneticPr fontId="35" type="noConversion"/>
  </si>
  <si>
    <t>rptL.4.45</t>
    <phoneticPr fontId="35" type="noConversion"/>
  </si>
  <si>
    <t>funcl_rptasset_Qry_Grpfutu_Posi_detail</t>
    <phoneticPr fontId="35" type="noConversion"/>
  </si>
  <si>
    <t>prl_rptasset_Qry_Grpfutu_Posi_detail</t>
    <phoneticPr fontId="35" type="noConversion"/>
  </si>
  <si>
    <t>rptL.4.46</t>
    <phoneticPr fontId="35" type="noConversion"/>
  </si>
  <si>
    <t>funcl_rptasset_QryHis_T0OporPosiDetail</t>
    <phoneticPr fontId="35" type="noConversion"/>
  </si>
  <si>
    <t>prl_rptasset_QryHis_T0OporPosiDetail</t>
    <phoneticPr fontId="35" type="noConversion"/>
  </si>
  <si>
    <t>rptL.4.47</t>
    <phoneticPr fontId="35" type="noConversion"/>
  </si>
  <si>
    <t>funcl_rptasset_QryStrikeDetail</t>
    <phoneticPr fontId="35" type="noConversion"/>
  </si>
  <si>
    <t>prl_rptasset_QryStrikeDetail</t>
    <phoneticPr fontId="35" type="noConversion"/>
  </si>
  <si>
    <t>rptL.4.101</t>
    <phoneticPr fontId="35" type="noConversion"/>
  </si>
  <si>
    <t>funcl_rptasset_QueryAllExchGroup</t>
    <phoneticPr fontId="35" type="noConversion"/>
  </si>
  <si>
    <t>prl_rptasset_QueryAllExchGroup</t>
    <phoneticPr fontId="35" type="noConversion"/>
  </si>
  <si>
    <t>rptL.4.102</t>
    <phoneticPr fontId="35" type="noConversion"/>
  </si>
  <si>
    <t>funcl_rptasset_QueryAllOperatorInfo</t>
    <phoneticPr fontId="35" type="noConversion"/>
  </si>
  <si>
    <t>prl_rptasset_QueryAllOperatorInfo</t>
    <phoneticPr fontId="35" type="noConversion"/>
  </si>
  <si>
    <t>rptL.4.103</t>
    <phoneticPr fontId="35" type="noConversion"/>
  </si>
  <si>
    <t>funcl_rptasset_Qry_Pd_Pre_Asset</t>
    <phoneticPr fontId="35" type="noConversion"/>
  </si>
  <si>
    <t>prl_rptasset_Qry_Pd_Pre_Asset</t>
    <phoneticPr fontId="35" type="noConversion"/>
  </si>
  <si>
    <t>rptL.4.104</t>
    <phoneticPr fontId="35" type="noConversion"/>
  </si>
  <si>
    <t>funcl_rptasset_Qry_Pd_Sum_Strike_StockType</t>
    <phoneticPr fontId="35" type="noConversion"/>
  </si>
  <si>
    <t>prl_rptasset_Qry_Pd_Sum_Strike_StockType</t>
    <phoneticPr fontId="35" type="noConversion"/>
  </si>
  <si>
    <t>rptL.4.106</t>
    <phoneticPr fontId="35" type="noConversion"/>
  </si>
  <si>
    <t>funcl_rptasset_Qry_Stock_Quot</t>
    <phoneticPr fontId="35" type="noConversion"/>
  </si>
  <si>
    <t>prl_rptasset_Qry_Stock_Quot</t>
    <phoneticPr fontId="35" type="noConversion"/>
  </si>
  <si>
    <t>rptL.4.107</t>
    <phoneticPr fontId="35" type="noConversion"/>
  </si>
  <si>
    <t>funcl_rptasset_Qry_Pd_Stat_Command</t>
    <phoneticPr fontId="35" type="noConversion"/>
  </si>
  <si>
    <t>prl_rptasset_Qry_Pd_Stat_Command</t>
    <phoneticPr fontId="35" type="noConversion"/>
  </si>
  <si>
    <t>rptL.4.108</t>
    <phoneticPr fontId="35" type="noConversion"/>
  </si>
  <si>
    <t>funcl_rptasset_Qry_Pd_Stat_Trade_Oper</t>
    <phoneticPr fontId="35" type="noConversion"/>
  </si>
  <si>
    <t>prl_rptasset_Qry_Pd_Stat_Trade_Oper</t>
    <phoneticPr fontId="35" type="noConversion"/>
  </si>
  <si>
    <t>rptL.4.111</t>
    <phoneticPr fontId="35" type="noConversion"/>
  </si>
  <si>
    <t>funcl_rptasset_Qry_Pd_Sum_Posi</t>
    <phoneticPr fontId="35" type="noConversion"/>
  </si>
  <si>
    <t>prl_rptasset_Qry_Pd_Sum_Posi</t>
    <phoneticPr fontId="35" type="noConversion"/>
  </si>
  <si>
    <t>按产品资产</t>
    <phoneticPr fontId="35" type="noConversion"/>
  </si>
  <si>
    <t>rptL.4.112</t>
    <phoneticPr fontId="35" type="noConversion"/>
  </si>
  <si>
    <t>funcl_rptasset_QryPdCommisSum</t>
    <phoneticPr fontId="35" type="noConversion"/>
  </si>
  <si>
    <t>prl_rptasset_QryPdCommisSum</t>
    <phoneticPr fontId="35" type="noConversion"/>
  </si>
  <si>
    <t>rptL.4.113</t>
    <phoneticPr fontId="35" type="noConversion"/>
  </si>
  <si>
    <t>funcl_rptasset_QryPdCurStrikeSum</t>
    <phoneticPr fontId="35" type="noConversion"/>
  </si>
  <si>
    <t>prl_rptasset_QryPdCurStrikeSum</t>
    <phoneticPr fontId="35" type="noConversion"/>
  </si>
  <si>
    <t>rptL.4.114</t>
    <phoneticPr fontId="35" type="noConversion"/>
  </si>
  <si>
    <t>funcl_rptasset_QryPdPosiSum</t>
    <phoneticPr fontId="35" type="noConversion"/>
  </si>
  <si>
    <t>prl_rptasset_QryPdPosiSum</t>
    <phoneticPr fontId="35" type="noConversion"/>
  </si>
  <si>
    <t>rptL.4.115</t>
    <phoneticPr fontId="35" type="noConversion"/>
  </si>
  <si>
    <t>funcl_rptasset_Qry_ExGrp_PosiNew</t>
    <phoneticPr fontId="35" type="noConversion"/>
  </si>
  <si>
    <t>prl_rptasset_Qry_ExGrp_PosiNew</t>
    <phoneticPr fontId="35" type="noConversion"/>
  </si>
  <si>
    <t>pd_no</t>
    <phoneticPr fontId="35" type="noConversion"/>
  </si>
  <si>
    <t>int</t>
    <phoneticPr fontId="35" type="noConversion"/>
  </si>
  <si>
    <t>input</t>
    <phoneticPr fontId="35" type="noConversion"/>
  </si>
  <si>
    <t>系统内部流水号，系统内唯一</t>
    <phoneticPr fontId="35" type="noConversion"/>
  </si>
  <si>
    <t>exch_group_no</t>
    <phoneticPr fontId="35" type="noConversion"/>
  </si>
  <si>
    <t>产品的交易小组的编号</t>
    <phoneticPr fontId="35" type="noConversion"/>
  </si>
  <si>
    <t>asset_acco_no</t>
    <phoneticPr fontId="35" type="noConversion"/>
  </si>
  <si>
    <t>exch_no</t>
    <phoneticPr fontId="35" type="noConversion"/>
  </si>
  <si>
    <t>select</t>
    <phoneticPr fontId="35" type="noConversion"/>
  </si>
  <si>
    <t>沪市、深市、郑州商品交易所、大连商品交易所等</t>
    <phoneticPr fontId="35" type="noConversion"/>
  </si>
  <si>
    <t>stock_code_no</t>
    <phoneticPr fontId="35" type="noConversion"/>
  </si>
  <si>
    <t>init_date</t>
    <phoneticPr fontId="35" type="noConversion"/>
  </si>
  <si>
    <t>date_format(curdate(),'%Y%m%d')</t>
    <phoneticPr fontId="35" type="noConversion"/>
  </si>
  <si>
    <t>datepicker</t>
    <phoneticPr fontId="35" type="noConversion"/>
  </si>
  <si>
    <t>订单下单时的系统日期</t>
    <phoneticPr fontId="35" type="noConversion"/>
  </si>
  <si>
    <t>query_opor_no</t>
    <phoneticPr fontId="35" type="noConversion"/>
  </si>
  <si>
    <t>操作人员编号</t>
    <phoneticPr fontId="35" type="noConversion"/>
  </si>
  <si>
    <t>posi_qty</t>
    <phoneticPr fontId="35" type="noConversion"/>
  </si>
  <si>
    <t>decimal(18,2)</t>
    <phoneticPr fontId="35" type="noConversion"/>
  </si>
  <si>
    <t>trade_qty</t>
    <phoneticPr fontId="35" type="noConversion"/>
  </si>
  <si>
    <t>all_fee</t>
    <phoneticPr fontId="35" type="noConversion"/>
  </si>
  <si>
    <t>decimal(18,4)</t>
    <phoneticPr fontId="35" type="noConversion"/>
  </si>
  <si>
    <t>交易商收取的税费合计</t>
    <phoneticPr fontId="35" type="noConversion"/>
  </si>
  <si>
    <t>realize_pandl</t>
    <phoneticPr fontId="35" type="noConversion"/>
  </si>
  <si>
    <t>opor_no</t>
    <phoneticPr fontId="35" type="noConversion"/>
  </si>
  <si>
    <t>yield_rate</t>
    <phoneticPr fontId="35" type="noConversion"/>
  </si>
  <si>
    <t>decimal(18,12)</t>
    <phoneticPr fontId="35" type="noConversion"/>
  </si>
  <si>
    <t>sum_realize_pandl</t>
    <phoneticPr fontId="35" type="noConversion"/>
  </si>
  <si>
    <t>source_stock_qty</t>
    <phoneticPr fontId="35" type="noConversion"/>
  </si>
  <si>
    <t>total_long_curr_qty</t>
    <phoneticPr fontId="35" type="noConversion"/>
  </si>
  <si>
    <t>total_short_curr_qty</t>
    <phoneticPr fontId="35" type="noConversion"/>
  </si>
  <si>
    <t>total_long_open_posi_value</t>
    <phoneticPr fontId="35" type="noConversion"/>
  </si>
  <si>
    <t>total_short_open_posi_value</t>
    <phoneticPr fontId="35" type="noConversion"/>
  </si>
  <si>
    <t>total_long_open_posi_fee</t>
    <phoneticPr fontId="35" type="noConversion"/>
  </si>
  <si>
    <t>total_short_open_posi_fee</t>
    <phoneticPr fontId="35" type="noConversion"/>
  </si>
  <si>
    <t>total_long_close_posi_value</t>
    <phoneticPr fontId="35" type="noConversion"/>
  </si>
  <si>
    <t>total_short_close_posi_value</t>
    <phoneticPr fontId="35" type="noConversion"/>
  </si>
  <si>
    <t>total_long_close_posi_qty</t>
    <phoneticPr fontId="35" type="noConversion"/>
  </si>
  <si>
    <t>total_short_close_posi_qty</t>
    <phoneticPr fontId="35" type="noConversion"/>
  </si>
  <si>
    <t>total_long_close_posi_fee</t>
    <phoneticPr fontId="35" type="noConversion"/>
  </si>
  <si>
    <t>total_short_close_posi_fee</t>
    <phoneticPr fontId="35" type="noConversion"/>
  </si>
  <si>
    <t>total_realize_pandl</t>
    <phoneticPr fontId="35" type="noConversion"/>
  </si>
  <si>
    <t>long_curr_qty</t>
    <phoneticPr fontId="35" type="noConversion"/>
  </si>
  <si>
    <t>short_curr_qty</t>
    <phoneticPr fontId="35" type="noConversion"/>
  </si>
  <si>
    <t>long_open_posi_value</t>
    <phoneticPr fontId="35" type="noConversion"/>
  </si>
  <si>
    <t>short_open_posi_value</t>
    <phoneticPr fontId="35" type="noConversion"/>
  </si>
  <si>
    <t>long_open_posi_fee</t>
    <phoneticPr fontId="35" type="noConversion"/>
  </si>
  <si>
    <t>short_open_posi_fee</t>
    <phoneticPr fontId="35" type="noConversion"/>
  </si>
  <si>
    <t>long_close_posi_qty</t>
    <phoneticPr fontId="35" type="noConversion"/>
  </si>
  <si>
    <t>short_close_posi_qty</t>
    <phoneticPr fontId="35" type="noConversion"/>
  </si>
  <si>
    <t>long_close_posi_value</t>
    <phoneticPr fontId="35" type="noConversion"/>
  </si>
  <si>
    <t>short_close_posi_value</t>
    <phoneticPr fontId="35" type="noConversion"/>
  </si>
  <si>
    <t>long_close_posi_fee</t>
    <phoneticPr fontId="35" type="noConversion"/>
  </si>
  <si>
    <t>short_close_posi_fee</t>
    <phoneticPr fontId="35" type="noConversion"/>
  </si>
  <si>
    <t>over_night_pandl</t>
    <phoneticPr fontId="35" type="noConversion"/>
  </si>
  <si>
    <t>begin_amt</t>
    <phoneticPr fontId="35" type="noConversion"/>
  </si>
  <si>
    <t>账户期初的资金额</t>
    <phoneticPr fontId="35" type="noConversion"/>
  </si>
  <si>
    <t>posi_market_value</t>
    <phoneticPr fontId="35" type="noConversion"/>
  </si>
  <si>
    <t>trade_amt</t>
    <phoneticPr fontId="35" type="noConversion"/>
  </si>
  <si>
    <t>today_pandl</t>
    <phoneticPr fontId="35" type="noConversion"/>
  </si>
  <si>
    <t>begin_date</t>
    <phoneticPr fontId="35" type="noConversion"/>
  </si>
  <si>
    <t>end_date</t>
    <phoneticPr fontId="35" type="noConversion"/>
  </si>
  <si>
    <t>curr_qty</t>
    <phoneticPr fontId="35" type="noConversion"/>
  </si>
  <si>
    <t>账户当前的数量</t>
    <phoneticPr fontId="35" type="noConversion"/>
  </si>
  <si>
    <t>open_posi_value</t>
    <phoneticPr fontId="35" type="noConversion"/>
  </si>
  <si>
    <t>close_posi_qty</t>
    <phoneticPr fontId="35" type="noConversion"/>
  </si>
  <si>
    <t>close_posi_market_value</t>
    <phoneticPr fontId="35" type="noConversion"/>
  </si>
  <si>
    <t>stock_type</t>
    <phoneticPr fontId="35" type="noConversion"/>
  </si>
  <si>
    <t>today_buy_qty</t>
    <phoneticPr fontId="35" type="noConversion"/>
  </si>
  <si>
    <t>today_sell_qty</t>
    <phoneticPr fontId="35" type="noConversion"/>
  </si>
  <si>
    <t>cost_price</t>
    <phoneticPr fontId="35" type="noConversion"/>
  </si>
  <si>
    <t>decimal(16,9)</t>
    <phoneticPr fontId="35" type="noConversion"/>
  </si>
  <si>
    <t>持仓的成本价格</t>
    <phoneticPr fontId="35" type="noConversion"/>
  </si>
  <si>
    <t>today_close_price</t>
    <phoneticPr fontId="35" type="noConversion"/>
  </si>
  <si>
    <t>posi_nav_ratio</t>
    <phoneticPr fontId="35" type="noConversion"/>
  </si>
  <si>
    <t>invest_type</t>
    <phoneticPr fontId="35" type="noConversion"/>
  </si>
  <si>
    <t>可交易、持有到期</t>
    <phoneticPr fontId="35" type="noConversion"/>
  </si>
  <si>
    <t>pre_holding_qty</t>
    <phoneticPr fontId="35" type="noConversion"/>
  </si>
  <si>
    <t>today_buy_amt</t>
    <phoneticPr fontId="35" type="noConversion"/>
  </si>
  <si>
    <t>today_buy_price</t>
    <phoneticPr fontId="35" type="noConversion"/>
  </si>
  <si>
    <t>buy_begin_time</t>
    <phoneticPr fontId="35" type="noConversion"/>
  </si>
  <si>
    <t>date_format(curtime(),'%H%i%s')</t>
    <phoneticPr fontId="35" type="noConversion"/>
  </si>
  <si>
    <t>buy_end_time</t>
    <phoneticPr fontId="35" type="noConversion"/>
  </si>
  <si>
    <t>today_sell_amt</t>
    <phoneticPr fontId="35" type="noConversion"/>
  </si>
  <si>
    <t>today_sell_price</t>
    <phoneticPr fontId="35" type="noConversion"/>
  </si>
  <si>
    <t>sell_begin_time</t>
    <phoneticPr fontId="35" type="noConversion"/>
  </si>
  <si>
    <t>sell_end_time</t>
    <phoneticPr fontId="35" type="noConversion"/>
  </si>
  <si>
    <t>co_no</t>
    <phoneticPr fontId="35" type="noConversion"/>
  </si>
  <si>
    <t>系统内唯一的组织机构编号</t>
    <phoneticPr fontId="35" type="noConversion"/>
  </si>
  <si>
    <t>row_count</t>
    <phoneticPr fontId="35" type="noConversion"/>
  </si>
  <si>
    <t>last_price</t>
    <phoneticPr fontId="35" type="noConversion"/>
  </si>
  <si>
    <t>begin_qty</t>
    <phoneticPr fontId="35" type="noConversion"/>
  </si>
  <si>
    <t>账户期初的数量</t>
    <phoneticPr fontId="35" type="noConversion"/>
  </si>
  <si>
    <t>cost_amt</t>
    <phoneticPr fontId="35" type="noConversion"/>
  </si>
  <si>
    <t>float_pandl</t>
    <phoneticPr fontId="35" type="noConversion"/>
  </si>
  <si>
    <t>float_pandl_ratio</t>
    <phoneticPr fontId="35" type="noConversion"/>
  </si>
  <si>
    <t>market_value_ratio</t>
    <phoneticPr fontId="35" type="noConversion"/>
  </si>
  <si>
    <t>nav_ratio</t>
    <phoneticPr fontId="35" type="noConversion"/>
  </si>
  <si>
    <t>row_id</t>
    <phoneticPr fontId="35" type="noConversion"/>
  </si>
  <si>
    <t>bigint</t>
    <phoneticPr fontId="35" type="noConversion"/>
  </si>
  <si>
    <t>frozen_qty</t>
    <phoneticPr fontId="35" type="noConversion"/>
  </si>
  <si>
    <t>账户冻结的数量</t>
    <phoneticPr fontId="35" type="noConversion"/>
  </si>
  <si>
    <t>unfroz_qty</t>
    <phoneticPr fontId="35" type="noConversion"/>
  </si>
  <si>
    <t>账户解冻的数量</t>
    <phoneticPr fontId="35" type="noConversion"/>
  </si>
  <si>
    <t>comm_capt_qty</t>
    <phoneticPr fontId="35" type="noConversion"/>
  </si>
  <si>
    <t>comm_releas_qty</t>
    <phoneticPr fontId="35" type="noConversion"/>
  </si>
  <si>
    <t>trade_capt_qty</t>
    <phoneticPr fontId="35" type="noConversion"/>
  </si>
  <si>
    <t>trade_releas_qty</t>
    <phoneticPr fontId="35" type="noConversion"/>
  </si>
  <si>
    <t>strike_capt_qty</t>
    <phoneticPr fontId="35" type="noConversion"/>
  </si>
  <si>
    <t>strike_releas_qty</t>
    <phoneticPr fontId="35" type="noConversion"/>
  </si>
  <si>
    <t>intrst_cost_amt</t>
    <phoneticPr fontId="35" type="noConversion"/>
  </si>
  <si>
    <t>intrst_pandl</t>
    <phoneticPr fontId="35" type="noConversion"/>
  </si>
  <si>
    <t>pandl_ratio</t>
    <phoneticPr fontId="35" type="noConversion"/>
  </si>
  <si>
    <t>trade_avail_qty</t>
    <phoneticPr fontId="35" type="noConversion"/>
  </si>
  <si>
    <t>只用在单元证券持仓查询</t>
    <phoneticPr fontId="35" type="noConversion"/>
  </si>
  <si>
    <t>comm_avail_qty</t>
    <phoneticPr fontId="35" type="noConversion"/>
  </si>
  <si>
    <t>static_avail_qty</t>
    <phoneticPr fontId="35" type="noConversion"/>
  </si>
  <si>
    <t>bond_receivable_amt</t>
    <phoneticPr fontId="35" type="noConversion"/>
  </si>
  <si>
    <t>full_holding_amt</t>
    <phoneticPr fontId="35" type="noConversion"/>
  </si>
  <si>
    <t>impawn_qty</t>
    <phoneticPr fontId="35" type="noConversion"/>
  </si>
  <si>
    <t>sum_type</t>
    <phoneticPr fontId="35" type="noConversion"/>
  </si>
  <si>
    <t>qry_begin_date</t>
    <phoneticPr fontId="35" type="noConversion"/>
  </si>
  <si>
    <t>报表&lt;银叶&gt;盈亏分析：</t>
    <phoneticPr fontId="35" type="noConversion"/>
  </si>
  <si>
    <t>qry_end_date</t>
    <phoneticPr fontId="35" type="noConversion"/>
  </si>
  <si>
    <t>stock_code</t>
    <phoneticPr fontId="35" type="noConversion"/>
  </si>
  <si>
    <t>varchar(6)</t>
    <phoneticPr fontId="35" type="noConversion"/>
  </si>
  <si>
    <t>" "</t>
    <phoneticPr fontId="35" type="noConversion"/>
  </si>
  <si>
    <t>与交易所一致的证券代码</t>
    <phoneticPr fontId="35" type="noConversion"/>
  </si>
  <si>
    <t>buy_qty</t>
    <phoneticPr fontId="35" type="noConversion"/>
  </si>
  <si>
    <t>buy_amt</t>
    <phoneticPr fontId="35" type="noConversion"/>
  </si>
  <si>
    <t>sell_qty</t>
    <phoneticPr fontId="35" type="noConversion"/>
  </si>
  <si>
    <t>sellout_amt</t>
    <phoneticPr fontId="35" type="noConversion"/>
  </si>
  <si>
    <t>open_posi_fee</t>
    <phoneticPr fontId="35" type="noConversion"/>
  </si>
  <si>
    <t>close_posi_fee</t>
    <phoneticPr fontId="35" type="noConversion"/>
  </si>
  <si>
    <t>un_close_posi_qty</t>
    <phoneticPr fontId="35" type="noConversion"/>
  </si>
  <si>
    <t>un_close_marke_value</t>
    <phoneticPr fontId="35" type="noConversion"/>
  </si>
  <si>
    <t>busi_opor_no</t>
    <phoneticPr fontId="35" type="noConversion"/>
  </si>
  <si>
    <t>stock_type_str</t>
    <phoneticPr fontId="35" type="noConversion"/>
  </si>
  <si>
    <t>varchar(2048)</t>
    <phoneticPr fontId="35" type="noConversion"/>
  </si>
  <si>
    <t>exch_no_str</t>
    <phoneticPr fontId="35" type="noConversion"/>
  </si>
  <si>
    <t>order_dir_str</t>
    <phoneticPr fontId="35" type="noConversion"/>
  </si>
  <si>
    <t>varchar(1024)</t>
    <phoneticPr fontId="35" type="noConversion"/>
  </si>
  <si>
    <t>query_type</t>
    <phoneticPr fontId="35" type="noConversion"/>
  </si>
  <si>
    <t>comm_id</t>
    <phoneticPr fontId="35" type="noConversion"/>
  </si>
  <si>
    <t>系统内按日期唯一的指令表记录号(区分业务表)</t>
    <phoneticPr fontId="35" type="noConversion"/>
  </si>
  <si>
    <t>sort_type</t>
    <phoneticPr fontId="35" type="noConversion"/>
  </si>
  <si>
    <t>1顺序 2逆序</t>
    <phoneticPr fontId="35" type="noConversion"/>
  </si>
  <si>
    <t>client_oper_kind</t>
    <phoneticPr fontId="35" type="noConversion"/>
  </si>
  <si>
    <t>varchar(2)</t>
    <phoneticPr fontId="35" type="noConversion"/>
  </si>
  <si>
    <t>"0"</t>
    <phoneticPr fontId="35" type="noConversion"/>
  </si>
  <si>
    <t>exter_comm_flag</t>
    <phoneticPr fontId="35" type="noConversion"/>
  </si>
  <si>
    <t>1：体内；2：体外</t>
    <phoneticPr fontId="35" type="noConversion"/>
  </si>
  <si>
    <t>record_valid_flag</t>
    <phoneticPr fontId="35" type="noConversion"/>
  </si>
  <si>
    <t>1：有效；2：无效</t>
    <phoneticPr fontId="35" type="noConversion"/>
  </si>
  <si>
    <t>report_date</t>
    <phoneticPr fontId="35" type="noConversion"/>
  </si>
  <si>
    <t>订单申报时的系统日期</t>
    <phoneticPr fontId="35" type="noConversion"/>
  </si>
  <si>
    <t>pass_no</t>
    <phoneticPr fontId="35" type="noConversion"/>
  </si>
  <si>
    <t>系统内唯一</t>
    <phoneticPr fontId="35" type="noConversion"/>
  </si>
  <si>
    <t>order_no</t>
    <phoneticPr fontId="35" type="noConversion"/>
  </si>
  <si>
    <t>订单下单时的订单顺序编号</t>
    <phoneticPr fontId="35" type="noConversion"/>
  </si>
  <si>
    <t>order_date</t>
    <phoneticPr fontId="35" type="noConversion"/>
  </si>
  <si>
    <t>order_time</t>
    <phoneticPr fontId="35" type="noConversion"/>
  </si>
  <si>
    <t>订单下单时的系统时间</t>
    <phoneticPr fontId="35" type="noConversion"/>
  </si>
  <si>
    <t>report_no</t>
    <phoneticPr fontId="35" type="noConversion"/>
  </si>
  <si>
    <t>varchar(32)</t>
    <phoneticPr fontId="35" type="noConversion"/>
  </si>
  <si>
    <t>订单申报时的编号</t>
    <phoneticPr fontId="35" type="noConversion"/>
  </si>
  <si>
    <t>stock_acco_no</t>
    <phoneticPr fontId="35" type="noConversion"/>
  </si>
  <si>
    <t>crncy_type</t>
    <phoneticPr fontId="35" type="noConversion"/>
  </si>
  <si>
    <t>varchar(3)</t>
    <phoneticPr fontId="35" type="noConversion"/>
  </si>
  <si>
    <t>"CNY"</t>
    <phoneticPr fontId="35" type="noConversion"/>
  </si>
  <si>
    <t>strike_price</t>
    <phoneticPr fontId="35" type="noConversion"/>
  </si>
  <si>
    <t>订单实际成交的均价</t>
    <phoneticPr fontId="35" type="noConversion"/>
  </si>
  <si>
    <t>order_dir</t>
    <phoneticPr fontId="35" type="noConversion"/>
  </si>
  <si>
    <t>买、卖、融资回购、融券回购等</t>
    <phoneticPr fontId="35" type="noConversion"/>
  </si>
  <si>
    <t>order_price</t>
    <phoneticPr fontId="35" type="noConversion"/>
  </si>
  <si>
    <t>订单所填报的交易价格</t>
    <phoneticPr fontId="35" type="noConversion"/>
  </si>
  <si>
    <t>order_qty</t>
    <phoneticPr fontId="35" type="noConversion"/>
  </si>
  <si>
    <t>订单所填报的交易数量</t>
    <phoneticPr fontId="35" type="noConversion"/>
  </si>
  <si>
    <t>strike_date</t>
    <phoneticPr fontId="35" type="noConversion"/>
  </si>
  <si>
    <t>成交的券商端日期</t>
    <phoneticPr fontId="35" type="noConversion"/>
  </si>
  <si>
    <t>strike_time</t>
    <phoneticPr fontId="35" type="noConversion"/>
  </si>
  <si>
    <t>成交的券商端时间</t>
    <phoneticPr fontId="35" type="noConversion"/>
  </si>
  <si>
    <t>strike_id</t>
    <phoneticPr fontId="35" type="noConversion"/>
  </si>
  <si>
    <t>strike_no</t>
    <phoneticPr fontId="35" type="noConversion"/>
  </si>
  <si>
    <t>varchar(64)</t>
    <phoneticPr fontId="35" type="noConversion"/>
  </si>
  <si>
    <t>交易所返回的成交编号，交易市场唯一</t>
    <phoneticPr fontId="35" type="noConversion"/>
  </si>
  <si>
    <t>strike_qty</t>
    <phoneticPr fontId="35" type="noConversion"/>
  </si>
  <si>
    <t>订单实际成交的数量</t>
    <phoneticPr fontId="35" type="noConversion"/>
  </si>
  <si>
    <t>strike_amt</t>
    <phoneticPr fontId="35" type="noConversion"/>
  </si>
  <si>
    <t>订单实际成交的成交总金额</t>
    <phoneticPr fontId="35" type="noConversion"/>
  </si>
  <si>
    <t>stamp_tax</t>
    <phoneticPr fontId="35" type="noConversion"/>
  </si>
  <si>
    <t>市场收取的费用1,印花税</t>
    <phoneticPr fontId="35" type="noConversion"/>
  </si>
  <si>
    <t>trans_fee</t>
    <phoneticPr fontId="35" type="noConversion"/>
  </si>
  <si>
    <t>brkage_fee</t>
    <phoneticPr fontId="35" type="noConversion"/>
  </si>
  <si>
    <t>市场收取的费用3,经手费</t>
    <phoneticPr fontId="35" type="noConversion"/>
  </si>
  <si>
    <t>SEC_charges</t>
    <phoneticPr fontId="35" type="noConversion"/>
  </si>
  <si>
    <t>市场收取的费用4,证管费</t>
    <phoneticPr fontId="35" type="noConversion"/>
  </si>
  <si>
    <t>other_fee</t>
    <phoneticPr fontId="35" type="noConversion"/>
  </si>
  <si>
    <t>市场收取的其他费用</t>
    <phoneticPr fontId="35" type="noConversion"/>
  </si>
  <si>
    <t>trade_commis</t>
    <phoneticPr fontId="35" type="noConversion"/>
  </si>
  <si>
    <t>交易商收取的佣金费用</t>
    <phoneticPr fontId="35" type="noConversion"/>
  </si>
  <si>
    <t>other_commis</t>
    <phoneticPr fontId="35" type="noConversion"/>
  </si>
  <si>
    <t>其他方式计算的佣金费用</t>
    <phoneticPr fontId="35" type="noConversion"/>
  </si>
  <si>
    <t>oper_way</t>
    <phoneticPr fontId="35" type="noConversion"/>
  </si>
  <si>
    <t>操作人员进行业务操作时的方式</t>
    <phoneticPr fontId="35" type="noConversion"/>
  </si>
  <si>
    <t>busi_opor_name</t>
    <phoneticPr fontId="35" type="noConversion"/>
  </si>
  <si>
    <t>bond_accr_intrst</t>
    <phoneticPr fontId="35" type="noConversion"/>
  </si>
  <si>
    <t>net_price_flag</t>
    <phoneticPr fontId="35" type="noConversion"/>
  </si>
  <si>
    <t>full_execution_amt</t>
    <phoneticPr fontId="35" type="noConversion"/>
  </si>
  <si>
    <t>strike_aver_price</t>
    <phoneticPr fontId="35" type="noConversion"/>
  </si>
  <si>
    <t>opor_name</t>
    <phoneticPr fontId="35" type="noConversion"/>
  </si>
  <si>
    <t>month_pandl</t>
    <phoneticPr fontId="35" type="noConversion"/>
  </si>
  <si>
    <t>本月的盈亏金额</t>
    <phoneticPr fontId="35" type="noConversion"/>
  </si>
  <si>
    <t>sell_amt</t>
    <phoneticPr fontId="35" type="noConversion"/>
  </si>
  <si>
    <t>curr_month</t>
    <phoneticPr fontId="35" type="noConversion"/>
  </si>
  <si>
    <t>exch_group_status</t>
    <phoneticPr fontId="35" type="noConversion"/>
  </si>
  <si>
    <t>exch_group_code</t>
    <phoneticPr fontId="35" type="noConversion"/>
  </si>
  <si>
    <t>产品的交易小组用户可见编码</t>
    <phoneticPr fontId="35" type="noConversion"/>
  </si>
  <si>
    <t>exch_group_name</t>
    <phoneticPr fontId="35" type="noConversion"/>
  </si>
  <si>
    <t>default_group_flag</t>
    <phoneticPr fontId="35" type="noConversion"/>
  </si>
  <si>
    <t>is_trader</t>
    <phoneticPr fontId="35" type="noConversion"/>
  </si>
  <si>
    <t>opor_status_str</t>
    <phoneticPr fontId="35" type="noConversion"/>
  </si>
  <si>
    <t>opor_type</t>
    <phoneticPr fontId="35" type="noConversion"/>
  </si>
  <si>
    <t>opor_status</t>
    <phoneticPr fontId="35" type="noConversion"/>
  </si>
  <si>
    <t>pd_no_str</t>
    <phoneticPr fontId="35" type="noConversion"/>
  </si>
  <si>
    <t>pd_all_share</t>
    <phoneticPr fontId="35" type="noConversion"/>
  </si>
  <si>
    <t>curr_share</t>
    <phoneticPr fontId="35" type="noConversion"/>
  </si>
  <si>
    <t>nav_asset</t>
    <phoneticPr fontId="35" type="noConversion"/>
  </si>
  <si>
    <t>unit_nav</t>
    <phoneticPr fontId="35" type="noConversion"/>
  </si>
  <si>
    <t>pre_nav</t>
    <phoneticPr fontId="35" type="noConversion"/>
  </si>
  <si>
    <t>nav_fluct</t>
    <phoneticPr fontId="35" type="noConversion"/>
  </si>
  <si>
    <t>cash_asset</t>
    <phoneticPr fontId="35" type="noConversion"/>
  </si>
  <si>
    <t>stock_asset</t>
    <phoneticPr fontId="35" type="noConversion"/>
  </si>
  <si>
    <t>bond_asset</t>
    <phoneticPr fontId="35" type="noConversion"/>
  </si>
  <si>
    <t>fund_asset</t>
    <phoneticPr fontId="35" type="noConversion"/>
  </si>
  <si>
    <t>money_fund_asset</t>
    <phoneticPr fontId="35" type="noConversion"/>
  </si>
  <si>
    <t>not_money_fund_asset</t>
    <phoneticPr fontId="35" type="noConversion"/>
  </si>
  <si>
    <t>repo_asset</t>
    <phoneticPr fontId="35" type="noConversion"/>
  </si>
  <si>
    <t>other_asset</t>
    <phoneticPr fontId="35" type="noConversion"/>
  </si>
  <si>
    <t>hk_thrgh_stock_asset</t>
    <phoneticPr fontId="35" type="noConversion"/>
  </si>
  <si>
    <t>futu_asset</t>
    <phoneticPr fontId="35" type="noConversion"/>
  </si>
  <si>
    <t>assign_avail_amt</t>
    <phoneticPr fontId="35" type="noConversion"/>
  </si>
  <si>
    <t>daily_pandl_ratio</t>
    <phoneticPr fontId="35" type="noConversion"/>
  </si>
  <si>
    <t>cash_out_amt</t>
    <phoneticPr fontId="35" type="noConversion"/>
  </si>
  <si>
    <t>stock_asset_ratio</t>
    <phoneticPr fontId="35" type="noConversion"/>
  </si>
  <si>
    <t>securities_ratio</t>
    <phoneticPr fontId="35" type="noConversion"/>
  </si>
  <si>
    <t>fund_asset_ratio</t>
    <phoneticPr fontId="35" type="noConversion"/>
  </si>
  <si>
    <t>total_payab_amt</t>
    <phoneticPr fontId="35" type="noConversion"/>
  </si>
  <si>
    <t>total_rece_amt</t>
    <phoneticPr fontId="35" type="noConversion"/>
  </si>
  <si>
    <t>avail_cash</t>
    <phoneticPr fontId="35" type="noConversion"/>
  </si>
  <si>
    <t>capit_bala</t>
    <phoneticPr fontId="35" type="noConversion"/>
  </si>
  <si>
    <t>avail_amt</t>
    <phoneticPr fontId="35" type="noConversion"/>
  </si>
  <si>
    <t>total_change_amt</t>
    <phoneticPr fontId="35" type="noConversion"/>
  </si>
  <si>
    <t>futu_cash_asset</t>
    <phoneticPr fontId="35" type="noConversion"/>
  </si>
  <si>
    <t>total_cash_asset</t>
    <phoneticPr fontId="35" type="noConversion"/>
  </si>
  <si>
    <t>stock_cash_asset</t>
    <phoneticPr fontId="35" type="noConversion"/>
  </si>
  <si>
    <t>capt_margin</t>
    <phoneticPr fontId="35" type="noConversion"/>
  </si>
  <si>
    <t>total_fina_debt</t>
    <phoneticPr fontId="35" type="noConversion"/>
  </si>
  <si>
    <t>total_loan_debt</t>
    <phoneticPr fontId="35" type="noConversion"/>
  </si>
  <si>
    <t>exch_group_no_str</t>
    <phoneticPr fontId="35" type="noConversion"/>
  </si>
  <si>
    <t>exch_group_pd_share</t>
    <phoneticPr fontId="35" type="noConversion"/>
  </si>
  <si>
    <t>total_realiz_pandl</t>
    <phoneticPr fontId="35" type="noConversion"/>
  </si>
  <si>
    <t>total_realiz_pandl_ratio</t>
    <phoneticPr fontId="35" type="noConversion"/>
  </si>
  <si>
    <t>posi_ratio</t>
    <phoneticPr fontId="35" type="noConversion"/>
  </si>
  <si>
    <t>hk_avail_amt</t>
    <phoneticPr fontId="35" type="noConversion"/>
  </si>
  <si>
    <t>pre_settle_qty</t>
    <phoneticPr fontId="35" type="noConversion"/>
  </si>
  <si>
    <t>comm_frozen_qty</t>
    <phoneticPr fontId="35" type="noConversion"/>
  </si>
  <si>
    <t>comm_unfroz_qty</t>
    <phoneticPr fontId="35" type="noConversion"/>
  </si>
  <si>
    <t>trade_frozen_qty</t>
    <phoneticPr fontId="35" type="noConversion"/>
  </si>
  <si>
    <t>trade_unfroz_qty</t>
    <phoneticPr fontId="35" type="noConversion"/>
  </si>
  <si>
    <t>strike_frozen_qty</t>
    <phoneticPr fontId="35" type="noConversion"/>
  </si>
  <si>
    <t>strike_unfroz_qty</t>
    <phoneticPr fontId="35" type="noConversion"/>
  </si>
  <si>
    <t>buy_pre_sett_qty</t>
    <phoneticPr fontId="35" type="noConversion"/>
  </si>
  <si>
    <t>sell_pre_sett_qty</t>
    <phoneticPr fontId="35" type="noConversion"/>
  </si>
  <si>
    <t>avail_qty</t>
    <phoneticPr fontId="35" type="noConversion"/>
  </si>
  <si>
    <t>net_price</t>
    <phoneticPr fontId="35" type="noConversion"/>
  </si>
  <si>
    <t>full_price</t>
    <phoneticPr fontId="35" type="noConversion"/>
  </si>
  <si>
    <t>pre_close_price</t>
    <phoneticPr fontId="35" type="noConversion"/>
  </si>
  <si>
    <t>block_trade_posi_market_value</t>
    <phoneticPr fontId="35" type="noConversion"/>
  </si>
  <si>
    <t>asset_type</t>
    <phoneticPr fontId="35" type="noConversion"/>
  </si>
  <si>
    <t>股票、基金、国债、期货等</t>
    <phoneticPr fontId="35" type="noConversion"/>
  </si>
  <si>
    <t>fair_price</t>
    <phoneticPr fontId="35" type="noConversion"/>
  </si>
  <si>
    <t>bond_rate_type</t>
    <phoneticPr fontId="35" type="noConversion"/>
  </si>
  <si>
    <t>impawn_ratio</t>
    <phoneticPr fontId="35" type="noConversion"/>
  </si>
  <si>
    <t>total_stock_issue</t>
    <phoneticPr fontId="35" type="noConversion"/>
  </si>
  <si>
    <t>circl_stock_capit</t>
    <phoneticPr fontId="35" type="noConversion"/>
  </si>
  <si>
    <t>contrc_code_no</t>
    <phoneticPr fontId="35" type="noConversion"/>
  </si>
  <si>
    <t>futu_acco_no</t>
    <phoneticPr fontId="35" type="noConversion"/>
  </si>
  <si>
    <t>lngsht_type</t>
    <phoneticPr fontId="35" type="noConversion"/>
  </si>
  <si>
    <t>hedge_type</t>
    <phoneticPr fontId="35" type="noConversion"/>
  </si>
  <si>
    <t>open_posi_price</t>
    <phoneticPr fontId="35" type="noConversion"/>
  </si>
  <si>
    <t>marked_pandl</t>
    <phoneticPr fontId="35" type="noConversion"/>
  </si>
  <si>
    <t>rece_margin</t>
    <phoneticPr fontId="35" type="noConversion"/>
  </si>
  <si>
    <t>期货持仓按标准应收取的保证金金额</t>
    <phoneticPr fontId="35" type="noConversion"/>
  </si>
  <si>
    <t>today_strike_capt_qty</t>
    <phoneticPr fontId="35" type="noConversion"/>
  </si>
  <si>
    <t>open_posi_date</t>
    <phoneticPr fontId="35" type="noConversion"/>
  </si>
  <si>
    <t>open_posi_time</t>
    <phoneticPr fontId="35" type="noConversion"/>
  </si>
  <si>
    <t>close_pandl</t>
    <phoneticPr fontId="35" type="noConversion"/>
  </si>
  <si>
    <t>contrc_dir</t>
    <phoneticPr fontId="35" type="noConversion"/>
  </si>
  <si>
    <t>开仓、平仓、平今仓</t>
    <phoneticPr fontId="35" type="noConversion"/>
  </si>
  <si>
    <t>close_posi_date</t>
    <phoneticPr fontId="35" type="noConversion"/>
  </si>
  <si>
    <t>close_posi_time</t>
    <phoneticPr fontId="35" type="noConversion"/>
  </si>
  <si>
    <t>close_posi_price</t>
    <phoneticPr fontId="35" type="noConversion"/>
  </si>
  <si>
    <t>pre_share</t>
    <phoneticPr fontId="35" type="noConversion"/>
  </si>
  <si>
    <t>begin_NAV</t>
    <phoneticPr fontId="35" type="noConversion"/>
  </si>
  <si>
    <t>stock_cost</t>
    <phoneticPr fontId="35" type="noConversion"/>
  </si>
  <si>
    <t>bond_cost</t>
    <phoneticPr fontId="35" type="noConversion"/>
  </si>
  <si>
    <t>fund_cost</t>
    <phoneticPr fontId="35" type="noConversion"/>
  </si>
  <si>
    <t>repo_cost</t>
    <phoneticPr fontId="35" type="noConversion"/>
  </si>
  <si>
    <t>other_cost</t>
    <phoneticPr fontId="35" type="noConversion"/>
  </si>
  <si>
    <t>futu_cost</t>
    <phoneticPr fontId="35" type="noConversion"/>
  </si>
  <si>
    <t>hk_thrgh_stock_cost</t>
    <phoneticPr fontId="35" type="noConversion"/>
  </si>
  <si>
    <t>money_fund_cost</t>
    <phoneticPr fontId="35" type="noConversion"/>
  </si>
  <si>
    <t>unit_nav_total</t>
    <phoneticPr fontId="35" type="noConversion"/>
  </si>
  <si>
    <t>unit_divi_amt</t>
    <phoneticPr fontId="35" type="noConversion"/>
  </si>
  <si>
    <t>grp_row</t>
    <phoneticPr fontId="35" type="noConversion"/>
  </si>
  <si>
    <t>last_month_pd_nav</t>
    <phoneticPr fontId="35" type="noConversion"/>
  </si>
  <si>
    <t>out_acco</t>
    <phoneticPr fontId="35" type="noConversion"/>
  </si>
  <si>
    <t>pre_cash_asset</t>
    <phoneticPr fontId="35" type="noConversion"/>
  </si>
  <si>
    <t>pre_stock_asset</t>
    <phoneticPr fontId="35" type="noConversion"/>
  </si>
  <si>
    <t>pre_bond_asset</t>
    <phoneticPr fontId="35" type="noConversion"/>
  </si>
  <si>
    <t>pre_fund_asset</t>
    <phoneticPr fontId="35" type="noConversion"/>
  </si>
  <si>
    <t>pre_repo_asset</t>
    <phoneticPr fontId="35" type="noConversion"/>
  </si>
  <si>
    <t>pre_other_asset</t>
    <phoneticPr fontId="35" type="noConversion"/>
  </si>
  <si>
    <t>pre_futu_asset</t>
    <phoneticPr fontId="35" type="noConversion"/>
  </si>
  <si>
    <t>pre_hk_thrgh_stock_asset</t>
    <phoneticPr fontId="35" type="noConversion"/>
  </si>
  <si>
    <t>pre_money_fund_asset</t>
    <phoneticPr fontId="35" type="noConversion"/>
  </si>
  <si>
    <t>pre_stock_cost</t>
    <phoneticPr fontId="35" type="noConversion"/>
  </si>
  <si>
    <t>pre_bond_cost</t>
    <phoneticPr fontId="35" type="noConversion"/>
  </si>
  <si>
    <t>pre_fund_cost</t>
    <phoneticPr fontId="35" type="noConversion"/>
  </si>
  <si>
    <t>pre_repo_cost</t>
    <phoneticPr fontId="35" type="noConversion"/>
  </si>
  <si>
    <t>pre_other_cost</t>
    <phoneticPr fontId="35" type="noConversion"/>
  </si>
  <si>
    <t>pre_futu_cost</t>
    <phoneticPr fontId="35" type="noConversion"/>
  </si>
  <si>
    <t>pre_hk_thrgh_stock_cost</t>
    <phoneticPr fontId="35" type="noConversion"/>
  </si>
  <si>
    <t>pre_money_fund_cost</t>
    <phoneticPr fontId="35" type="noConversion"/>
  </si>
  <si>
    <t>total_trade_amt</t>
    <phoneticPr fontId="35" type="noConversion"/>
  </si>
  <si>
    <t>total_strike_commis</t>
    <phoneticPr fontId="35" type="noConversion"/>
  </si>
  <si>
    <t>stock_trade_amt</t>
    <phoneticPr fontId="35" type="noConversion"/>
  </si>
  <si>
    <t>stock_strike_commis</t>
    <phoneticPr fontId="35" type="noConversion"/>
  </si>
  <si>
    <t>bond_trade_amt</t>
    <phoneticPr fontId="35" type="noConversion"/>
  </si>
  <si>
    <t>bond_strike_commis</t>
    <phoneticPr fontId="35" type="noConversion"/>
  </si>
  <si>
    <t>fund_trade_amt</t>
    <phoneticPr fontId="35" type="noConversion"/>
  </si>
  <si>
    <t>fund_strike_commis</t>
    <phoneticPr fontId="35" type="noConversion"/>
  </si>
  <si>
    <t>money_fund_trade_amt</t>
    <phoneticPr fontId="35" type="noConversion"/>
  </si>
  <si>
    <t>money_fund_strike_commis</t>
    <phoneticPr fontId="35" type="noConversion"/>
  </si>
  <si>
    <t>hk_thrgh_trade_amt</t>
    <phoneticPr fontId="35" type="noConversion"/>
  </si>
  <si>
    <t>hk_thrgh_strike_commis</t>
    <phoneticPr fontId="35" type="noConversion"/>
  </si>
  <si>
    <t>repo_trade_amt</t>
    <phoneticPr fontId="35" type="noConversion"/>
  </si>
  <si>
    <t>repo_strike_commis</t>
    <phoneticPr fontId="35" type="noConversion"/>
  </si>
  <si>
    <t>option_trade_amt</t>
    <phoneticPr fontId="35" type="noConversion"/>
  </si>
  <si>
    <t>option_strike_commis</t>
    <phoneticPr fontId="35" type="noConversion"/>
  </si>
  <si>
    <t>futu_trade_amt</t>
    <phoneticPr fontId="35" type="noConversion"/>
  </si>
  <si>
    <t>futu_strike_commis</t>
    <phoneticPr fontId="35" type="noConversion"/>
  </si>
  <si>
    <t>total_trade_cnt</t>
    <phoneticPr fontId="35" type="noConversion"/>
  </si>
  <si>
    <t>stock_trade_cnt</t>
    <phoneticPr fontId="35" type="noConversion"/>
  </si>
  <si>
    <t>bond_trade_cnt</t>
    <phoneticPr fontId="35" type="noConversion"/>
  </si>
  <si>
    <t>fund_trade_cnt</t>
    <phoneticPr fontId="35" type="noConversion"/>
  </si>
  <si>
    <t>money_fund_trade_cnt</t>
    <phoneticPr fontId="35" type="noConversion"/>
  </si>
  <si>
    <t>hk_thrgh_trade_cnt</t>
    <phoneticPr fontId="35" type="noConversion"/>
  </si>
  <si>
    <t>repo_trade_cnt</t>
    <phoneticPr fontId="35" type="noConversion"/>
  </si>
  <si>
    <t>option_trade_cnt</t>
    <phoneticPr fontId="35" type="noConversion"/>
  </si>
  <si>
    <t>futu_trade_cnt</t>
    <phoneticPr fontId="35" type="noConversion"/>
  </si>
  <si>
    <t>order_oper_way</t>
    <phoneticPr fontId="35" type="noConversion"/>
  </si>
  <si>
    <t>comm_batch_no</t>
    <phoneticPr fontId="35" type="noConversion"/>
  </si>
  <si>
    <t>order_batch_no</t>
    <phoneticPr fontId="35" type="noConversion"/>
  </si>
  <si>
    <t>外部编号，不唯一</t>
    <phoneticPr fontId="35" type="noConversion"/>
  </si>
  <si>
    <t>combo_code</t>
    <phoneticPr fontId="35" type="noConversion"/>
  </si>
  <si>
    <t>order_id</t>
    <phoneticPr fontId="35" type="noConversion"/>
  </si>
  <si>
    <t>trade_tax</t>
    <phoneticPr fontId="35" type="noConversion"/>
  </si>
  <si>
    <t>trade_cost_fee</t>
    <phoneticPr fontId="35" type="noConversion"/>
  </si>
  <si>
    <t>trade_system_use_fee</t>
    <phoneticPr fontId="35" type="noConversion"/>
  </si>
  <si>
    <t>stock_settle_fee</t>
    <phoneticPr fontId="35" type="noConversion"/>
  </si>
  <si>
    <t>strike_bond_accr_intrst</t>
    <phoneticPr fontId="35" type="noConversion"/>
  </si>
  <si>
    <t>update_times</t>
    <phoneticPr fontId="35" type="noConversion"/>
  </si>
  <si>
    <t>external_no</t>
    <phoneticPr fontId="35" type="noConversion"/>
  </si>
  <si>
    <t>外部唯一编号，系统内可依据该请求进行去重判断（待定）</t>
    <phoneticPr fontId="35" type="noConversion"/>
  </si>
  <si>
    <t>quot_strike_qty</t>
    <phoneticPr fontId="35" type="noConversion"/>
  </si>
  <si>
    <t>quot_strike_amt</t>
    <phoneticPr fontId="35" type="noConversion"/>
  </si>
  <si>
    <t>stock_name</t>
    <phoneticPr fontId="35" type="noConversion"/>
  </si>
  <si>
    <t>up_limit_price</t>
    <phoneticPr fontId="35" type="noConversion"/>
  </si>
  <si>
    <t>down_limit_price</t>
    <phoneticPr fontId="35" type="noConversion"/>
  </si>
  <si>
    <t>today_open_price</t>
    <phoneticPr fontId="35" type="noConversion"/>
  </si>
  <si>
    <t>today_max_price</t>
    <phoneticPr fontId="35" type="noConversion"/>
  </si>
  <si>
    <t>today_min_price</t>
    <phoneticPr fontId="35" type="noConversion"/>
  </si>
  <si>
    <t>buy_price_1</t>
    <phoneticPr fontId="35" type="noConversion"/>
  </si>
  <si>
    <t>buy_qty_1</t>
    <phoneticPr fontId="35" type="noConversion"/>
  </si>
  <si>
    <t>buy_price_2</t>
    <phoneticPr fontId="35" type="noConversion"/>
  </si>
  <si>
    <t>buy_qty_2</t>
    <phoneticPr fontId="35" type="noConversion"/>
  </si>
  <si>
    <t>buy_price_3</t>
    <phoneticPr fontId="35" type="noConversion"/>
  </si>
  <si>
    <t>buy_qty_3</t>
    <phoneticPr fontId="35" type="noConversion"/>
  </si>
  <si>
    <t>buy_price_4</t>
    <phoneticPr fontId="35" type="noConversion"/>
  </si>
  <si>
    <t>buy_qty_4</t>
    <phoneticPr fontId="35" type="noConversion"/>
  </si>
  <si>
    <t>buy_price_5</t>
    <phoneticPr fontId="35" type="noConversion"/>
  </si>
  <si>
    <t>buy_qty_5</t>
    <phoneticPr fontId="35" type="noConversion"/>
  </si>
  <si>
    <t>sell_price_1</t>
    <phoneticPr fontId="35" type="noConversion"/>
  </si>
  <si>
    <t>sell_qty_1</t>
    <phoneticPr fontId="35" type="noConversion"/>
  </si>
  <si>
    <t>sell_price_2</t>
    <phoneticPr fontId="35" type="noConversion"/>
  </si>
  <si>
    <t>sell_qty_2</t>
    <phoneticPr fontId="35" type="noConversion"/>
  </si>
  <si>
    <t>sell_price_3</t>
    <phoneticPr fontId="35" type="noConversion"/>
  </si>
  <si>
    <t>sell_qty_3</t>
    <phoneticPr fontId="35" type="noConversion"/>
  </si>
  <si>
    <t>sell_price_4</t>
    <phoneticPr fontId="35" type="noConversion"/>
  </si>
  <si>
    <t>sell_qty_4</t>
    <phoneticPr fontId="35" type="noConversion"/>
  </si>
  <si>
    <t>sell_price_5</t>
    <phoneticPr fontId="35" type="noConversion"/>
  </si>
  <si>
    <t>sell_qty_5</t>
    <phoneticPr fontId="35" type="noConversion"/>
  </si>
  <si>
    <t>pe_ratio</t>
    <phoneticPr fontId="35" type="noConversion"/>
  </si>
  <si>
    <t>time_stamp</t>
    <phoneticPr fontId="35" type="noConversion"/>
  </si>
  <si>
    <t>unix_timestamp()</t>
    <phoneticPr fontId="35" type="noConversion"/>
  </si>
  <si>
    <t>commd_cnt</t>
    <phoneticPr fontId="35" type="noConversion"/>
  </si>
  <si>
    <t>comm_qty</t>
    <phoneticPr fontId="35" type="noConversion"/>
  </si>
  <si>
    <t>comm_amt</t>
    <phoneticPr fontId="35" type="noConversion"/>
  </si>
  <si>
    <t>order_num</t>
    <phoneticPr fontId="35" type="noConversion"/>
  </si>
  <si>
    <t>order_amt</t>
    <phoneticPr fontId="35" type="noConversion"/>
  </si>
  <si>
    <t>undeal_amt</t>
    <phoneticPr fontId="35" type="noConversion"/>
  </si>
  <si>
    <t>strike_num</t>
    <phoneticPr fontId="35" type="noConversion"/>
  </si>
  <si>
    <t>posi_yield_rate</t>
    <phoneticPr fontId="35" type="noConversion"/>
  </si>
  <si>
    <t>real_trade_oper_rate</t>
    <phoneticPr fontId="35" type="noConversion"/>
  </si>
  <si>
    <t>avg_nav_asset</t>
    <phoneticPr fontId="35" type="noConversion"/>
  </si>
  <si>
    <t>begin_share_net_total</t>
    <phoneticPr fontId="35" type="noConversion"/>
  </si>
  <si>
    <t>pd_begin_unit_nav</t>
    <phoneticPr fontId="35" type="noConversion"/>
  </si>
  <si>
    <t>begin_net_all</t>
    <phoneticPr fontId="35" type="noConversion"/>
  </si>
  <si>
    <t>end_nav_asset</t>
    <phoneticPr fontId="35" type="noConversion"/>
  </si>
  <si>
    <t>end_share_net_total</t>
    <phoneticPr fontId="35" type="noConversion"/>
  </si>
  <si>
    <t>end_net_all</t>
    <phoneticPr fontId="35" type="noConversion"/>
  </si>
  <si>
    <t>end_unit_nav</t>
    <phoneticPr fontId="35" type="noConversion"/>
  </si>
  <si>
    <t>strike_capt_amt</t>
    <phoneticPr fontId="35" type="noConversion"/>
  </si>
  <si>
    <t>strike_releas_amt</t>
    <phoneticPr fontId="35" type="noConversion"/>
  </si>
  <si>
    <t>rptT.4.1</t>
    <phoneticPr fontId="35" type="noConversion"/>
  </si>
  <si>
    <t>funct_rptasset_QueryT0HoldingPandL</t>
    <phoneticPr fontId="35" type="noConversion"/>
  </si>
  <si>
    <t>prt_rptasset_QueryT0HoldingPandL</t>
    <phoneticPr fontId="35" type="noConversion"/>
  </si>
  <si>
    <t>rptT.4.2</t>
    <phoneticPr fontId="35" type="noConversion"/>
  </si>
  <si>
    <t>funct_rptasset_QueryT0SourceStockHoldingPositionReport</t>
    <phoneticPr fontId="35" type="noConversion"/>
  </si>
  <si>
    <t>prt_rptasset_QueryT0SourceStockHoldingPositionReport</t>
    <phoneticPr fontId="35" type="noConversion"/>
  </si>
  <si>
    <t>rptT.4.3</t>
    <phoneticPr fontId="35" type="noConversion"/>
  </si>
  <si>
    <t>funct_rptasset_QueryT0UnitTradeTotalInfo</t>
    <phoneticPr fontId="35" type="noConversion"/>
  </si>
  <si>
    <t>prt_rptasset_QueryT0UnitTradeTotalInfo</t>
    <phoneticPr fontId="35" type="noConversion"/>
  </si>
  <si>
    <t>rptT.4.4</t>
    <phoneticPr fontId="35" type="noConversion"/>
  </si>
  <si>
    <t>funct_rptasset_QueryHisT0HoldingPandL</t>
    <phoneticPr fontId="35" type="noConversion"/>
  </si>
  <si>
    <t>prt_rptasset_QueryHisT0HoldingPandL</t>
    <phoneticPr fontId="35" type="noConversion"/>
  </si>
  <si>
    <t>rptT.4.5</t>
    <phoneticPr fontId="35" type="noConversion"/>
  </si>
  <si>
    <t>funct_rptasset_QueryHisT0SourceStockHoldingPositionReport</t>
    <phoneticPr fontId="35" type="noConversion"/>
  </si>
  <si>
    <t>prt_rptasset_QueryHisT0SourceStockHoldingPositionReport</t>
    <phoneticPr fontId="35" type="noConversion"/>
  </si>
  <si>
    <t>rptT.4.6</t>
    <phoneticPr fontId="35" type="noConversion"/>
  </si>
  <si>
    <t>funct_rptasset_QueryHisT0UnitTradeTotalInfo</t>
    <phoneticPr fontId="35" type="noConversion"/>
  </si>
  <si>
    <t>prt_rptasset_QueryHisT0UnitTradeTotalInfo</t>
    <phoneticPr fontId="35" type="noConversion"/>
  </si>
  <si>
    <t>rptT.4.7</t>
    <phoneticPr fontId="35" type="noConversion"/>
  </si>
  <si>
    <t>funct_rptasset_ReportProductPositionQuery</t>
    <phoneticPr fontId="35" type="noConversion"/>
  </si>
  <si>
    <t>prt_rptasset_ReportProductPositionQuery</t>
    <phoneticPr fontId="35" type="noConversion"/>
  </si>
  <si>
    <t>rptT.4.8</t>
    <phoneticPr fontId="35" type="noConversion"/>
  </si>
  <si>
    <t>funct_rptasset_ReportCompanyPositionQuery</t>
    <phoneticPr fontId="35" type="noConversion"/>
  </si>
  <si>
    <t>prt_rptasset_ReportCompanyPositionQuery</t>
    <phoneticPr fontId="35" type="noConversion"/>
  </si>
  <si>
    <t>rptT.4.9</t>
    <phoneticPr fontId="35" type="noConversion"/>
  </si>
  <si>
    <t>funct_rptasset_ReportProductPositionTradeQuery</t>
    <phoneticPr fontId="35" type="noConversion"/>
  </si>
  <si>
    <t>prt_rptasset_ReportProductPositionTradeQuery</t>
    <phoneticPr fontId="35" type="noConversion"/>
  </si>
  <si>
    <t>rptT.4.10</t>
    <phoneticPr fontId="35" type="noConversion"/>
  </si>
  <si>
    <t>funct_rptasset_QueryProductPositionTop</t>
    <phoneticPr fontId="35" type="noConversion"/>
  </si>
  <si>
    <t>prt_rptasset_QueryProductPositionTop</t>
    <phoneticPr fontId="35" type="noConversion"/>
  </si>
  <si>
    <t>rptT.4.11</t>
    <phoneticPr fontId="35" type="noConversion"/>
  </si>
  <si>
    <t>funct_rptasset_QueryUniteQuitiesPositionTop</t>
    <phoneticPr fontId="35" type="noConversion"/>
  </si>
  <si>
    <t>prt_rptasset_QueryUniteQuitiesPositionTop</t>
    <phoneticPr fontId="35" type="noConversion"/>
  </si>
  <si>
    <t>rptT.4.12</t>
    <phoneticPr fontId="35" type="noConversion"/>
  </si>
  <si>
    <t>funct_rptasset_EquitiesPositionSummary</t>
    <phoneticPr fontId="35" type="noConversion"/>
  </si>
  <si>
    <t>prt_rptasset_EquitiesPositionSummary</t>
    <phoneticPr fontId="35" type="noConversion"/>
  </si>
  <si>
    <t>rptT.4.13</t>
    <phoneticPr fontId="35" type="noConversion"/>
  </si>
  <si>
    <t>funct_rptasset_EquitiesPositionSummary_His</t>
    <phoneticPr fontId="35" type="noConversion"/>
  </si>
  <si>
    <t>prt_rptasset_EquitiesPositionSummary_His</t>
    <phoneticPr fontId="35" type="noConversion"/>
  </si>
  <si>
    <t>rptT.4.14</t>
    <phoneticPr fontId="35" type="noConversion"/>
  </si>
  <si>
    <t>funct_rptasset_QueryT0UnitPandlReport</t>
    <phoneticPr fontId="35" type="noConversion"/>
  </si>
  <si>
    <t>prt_rptasset_QueryT0UnitPandlReport</t>
    <phoneticPr fontId="35" type="noConversion"/>
  </si>
  <si>
    <t>rptT.4.15</t>
    <phoneticPr fontId="35" type="noConversion"/>
  </si>
  <si>
    <t>funct_rptasset_QueryHisT0UnitPandlReport</t>
    <phoneticPr fontId="35" type="noConversion"/>
  </si>
  <si>
    <t>prt_rptasset_QueryHisT0UnitPandlReport</t>
    <phoneticPr fontId="35" type="noConversion"/>
  </si>
  <si>
    <t>rptT.4.16</t>
    <phoneticPr fontId="35" type="noConversion"/>
  </si>
  <si>
    <t>funct_rptasset_QueryT0UnitExposureReport</t>
    <phoneticPr fontId="35" type="noConversion"/>
  </si>
  <si>
    <t>prt_rptasset_QueryT0UnitExposureReport</t>
    <phoneticPr fontId="35" type="noConversion"/>
  </si>
  <si>
    <t>rptT.4.17</t>
    <phoneticPr fontId="35" type="noConversion"/>
  </si>
  <si>
    <t>funct_rptasset_QueryHisT0UnitExposureReport</t>
    <phoneticPr fontId="35" type="noConversion"/>
  </si>
  <si>
    <t>prt_rptasset_QueryHisT0UnitExposureReport</t>
    <phoneticPr fontId="35" type="noConversion"/>
  </si>
  <si>
    <t>rptT.4.18</t>
    <phoneticPr fontId="35" type="noConversion"/>
  </si>
  <si>
    <t>funct_rptasset_trd_secu_execution_query</t>
    <phoneticPr fontId="35" type="noConversion"/>
  </si>
  <si>
    <t>prt_rptasset_trd_secu_execution_query</t>
    <phoneticPr fontId="35" type="noConversion"/>
  </si>
  <si>
    <t>rptT.4.19</t>
    <phoneticPr fontId="35" type="noConversion"/>
  </si>
  <si>
    <t>funct_rptasset_trd_secu_HisExecutionQuery</t>
    <phoneticPr fontId="35" type="noConversion"/>
  </si>
  <si>
    <t>prt_rptasset_trd_secu_HisExecutionQuery</t>
    <phoneticPr fontId="35" type="noConversion"/>
  </si>
  <si>
    <t>rptT.4.20</t>
    <phoneticPr fontId="35" type="noConversion"/>
  </si>
  <si>
    <t>funct_rptasset_Month_QueryT0UnitPandlReport</t>
    <phoneticPr fontId="35" type="noConversion"/>
  </si>
  <si>
    <t>prt_rptasset_Month_QueryT0UnitPandlReport</t>
    <phoneticPr fontId="35" type="noConversion"/>
  </si>
  <si>
    <t>rptT.4.21</t>
    <phoneticPr fontId="35" type="noConversion"/>
  </si>
  <si>
    <t>funct_rptasset_Month_QueryHisT0UnitPandlReport</t>
    <phoneticPr fontId="35" type="noConversion"/>
  </si>
  <si>
    <t>prt_rptasset_Month_QueryHisT0UnitPandlReport</t>
    <phoneticPr fontId="35" type="noConversion"/>
  </si>
  <si>
    <t>rptT.4.27</t>
    <phoneticPr fontId="35" type="noConversion"/>
  </si>
  <si>
    <t>funct_QueryT0UnitPandlSpecialReport</t>
    <phoneticPr fontId="35" type="noConversion"/>
  </si>
  <si>
    <t>prt_QueryT0UnitPandlSpecialReport</t>
    <phoneticPr fontId="35" type="noConversion"/>
  </si>
  <si>
    <t>rptT.4.28</t>
    <phoneticPr fontId="35" type="noConversion"/>
  </si>
  <si>
    <t>funct_QueryHisT0UnitPandlSpecialReport</t>
    <phoneticPr fontId="35" type="noConversion"/>
  </si>
  <si>
    <t>prt_QueryHisT0UnitPandlSpecialReport</t>
    <phoneticPr fontId="35" type="noConversion"/>
  </si>
  <si>
    <t>rptT.4.31</t>
    <phoneticPr fontId="35" type="noConversion"/>
  </si>
  <si>
    <t>funct_rptasset_Qry_Pd_Asset</t>
    <phoneticPr fontId="35" type="noConversion"/>
  </si>
  <si>
    <t>prt_rptasset_Qry_Pd_Asset</t>
    <phoneticPr fontId="35" type="noConversion"/>
  </si>
  <si>
    <t>rptT.4.32</t>
    <phoneticPr fontId="35" type="noConversion"/>
  </si>
  <si>
    <t>funct_rptasset_Qry_ExGrp_Asset</t>
    <phoneticPr fontId="35" type="noConversion"/>
  </si>
  <si>
    <t>prt_rptasset_Qry_ExGrp_Asset</t>
    <phoneticPr fontId="35" type="noConversion"/>
  </si>
  <si>
    <t>rptT.4.33</t>
    <phoneticPr fontId="35" type="noConversion"/>
  </si>
  <si>
    <t>funct_rptasset_Qry_Pd_Asset_His</t>
    <phoneticPr fontId="35" type="noConversion"/>
  </si>
  <si>
    <t>prt_rptasset_Qry_Pd_Asset_His</t>
    <phoneticPr fontId="35" type="noConversion"/>
  </si>
  <si>
    <t>rptT.4.34</t>
    <phoneticPr fontId="35" type="noConversion"/>
  </si>
  <si>
    <t>funct_rptasset_Qry_ExGrp_Asset_His</t>
    <phoneticPr fontId="35" type="noConversion"/>
  </si>
  <si>
    <t>prt_rptasset_Qry_ExGrp_Asset_His</t>
    <phoneticPr fontId="35" type="noConversion"/>
  </si>
  <si>
    <t>rptT.4.35</t>
    <phoneticPr fontId="35" type="noConversion"/>
  </si>
  <si>
    <t>funct_rptasset_Qry_Pd_Posi</t>
    <phoneticPr fontId="35" type="noConversion"/>
  </si>
  <si>
    <t>prt_rptasset_Qry_Pd_Posi</t>
    <phoneticPr fontId="35" type="noConversion"/>
  </si>
  <si>
    <t>rptT.4.36</t>
    <phoneticPr fontId="35" type="noConversion"/>
  </si>
  <si>
    <t>funct_rptasset_Qry_ExGrp_Posi</t>
    <phoneticPr fontId="35" type="noConversion"/>
  </si>
  <si>
    <t>prt_rptasset_Qry_ExGrp_Posi</t>
    <phoneticPr fontId="35" type="noConversion"/>
  </si>
  <si>
    <t>rptT.4.37</t>
    <phoneticPr fontId="35" type="noConversion"/>
  </si>
  <si>
    <t>funct_rptasset_Qry_Pd_Posi_His</t>
    <phoneticPr fontId="35" type="noConversion"/>
  </si>
  <si>
    <t>prt_rptasset_Qry_Pd_Posi_His</t>
    <phoneticPr fontId="35" type="noConversion"/>
  </si>
  <si>
    <t>rptT.4.38</t>
    <phoneticPr fontId="35" type="noConversion"/>
  </si>
  <si>
    <t>funct_rptasset_Qry_ExGrp_Posi_His</t>
    <phoneticPr fontId="35" type="noConversion"/>
  </si>
  <si>
    <t>prt_rptasset_Qry_ExGrp_Posi_His</t>
    <phoneticPr fontId="35" type="noConversion"/>
  </si>
  <si>
    <t>rptT.4.41</t>
    <phoneticPr fontId="35" type="noConversion"/>
  </si>
  <si>
    <t>funct_rptasset_Qry_Pdfutu_Posi</t>
    <phoneticPr fontId="35" type="noConversion"/>
  </si>
  <si>
    <t>prt_rptasset_Qry_Pdfutu_Posi</t>
    <phoneticPr fontId="35" type="noConversion"/>
  </si>
  <si>
    <t>rptT.4.42</t>
    <phoneticPr fontId="35" type="noConversion"/>
  </si>
  <si>
    <t>funct_rptasset_Qry_Pdfutu_Posi_his</t>
    <phoneticPr fontId="35" type="noConversion"/>
  </si>
  <si>
    <t>prt_rptasset_Qry_Pdfutu_Posi_his</t>
    <phoneticPr fontId="35" type="noConversion"/>
  </si>
  <si>
    <t>rptT.4.43</t>
    <phoneticPr fontId="35" type="noConversion"/>
  </si>
  <si>
    <t>funct_rptasset_Qry_Grpfutu_Posi</t>
    <phoneticPr fontId="35" type="noConversion"/>
  </si>
  <si>
    <t>prt_rptasset_Qry_Grpfutu_Posi</t>
    <phoneticPr fontId="35" type="noConversion"/>
  </si>
  <si>
    <t>rptT.4.44</t>
    <phoneticPr fontId="35" type="noConversion"/>
  </si>
  <si>
    <t>funct_rptasset_Qry_Grpfutu_Posi_his</t>
    <phoneticPr fontId="35" type="noConversion"/>
  </si>
  <si>
    <t>prt_rptasset_Qry_Grpfutu_Posi_his</t>
    <phoneticPr fontId="35" type="noConversion"/>
  </si>
  <si>
    <t>rptT.4.45</t>
    <phoneticPr fontId="35" type="noConversion"/>
  </si>
  <si>
    <t>funct_rptasset_Qry_Grpfutu_Posi_detail</t>
    <phoneticPr fontId="35" type="noConversion"/>
  </si>
  <si>
    <t>prt_rptasset_Qry_Grpfutu_Posi_detail</t>
    <phoneticPr fontId="35" type="noConversion"/>
  </si>
  <si>
    <t>rptT.4.46</t>
    <phoneticPr fontId="35" type="noConversion"/>
  </si>
  <si>
    <t>funct_rptasset_QryHis_T0OporPosiDetail</t>
    <phoneticPr fontId="35" type="noConversion"/>
  </si>
  <si>
    <t>prt_rptasset_QryHis_T0OporPosiDetail</t>
    <phoneticPr fontId="35" type="noConversion"/>
  </si>
  <si>
    <t>rptT.4.47</t>
    <phoneticPr fontId="35" type="noConversion"/>
  </si>
  <si>
    <t>funct_rptasset_QryStrikeDetail</t>
    <phoneticPr fontId="35" type="noConversion"/>
  </si>
  <si>
    <t>prt_rptasset_QryStrikeDetail</t>
    <phoneticPr fontId="35" type="noConversion"/>
  </si>
  <si>
    <t>rptT.4.51</t>
    <phoneticPr fontId="35" type="noConversion"/>
  </si>
  <si>
    <t>funct_rptasset_QueryT0SourceStockHoldingPosition</t>
    <phoneticPr fontId="35" type="noConversion"/>
  </si>
  <si>
    <t>prt_rptasset_QueryT0SourceStockHoldingPosition</t>
    <phoneticPr fontId="35" type="noConversion"/>
  </si>
  <si>
    <t>rptT.4.52</t>
    <phoneticPr fontId="35" type="noConversion"/>
  </si>
  <si>
    <t>funct_rptasset_QueryT0HoldingPositionDetail</t>
    <phoneticPr fontId="35" type="noConversion"/>
  </si>
  <si>
    <t>prt_rptasset_QueryT0HoldingPositionDetail</t>
    <phoneticPr fontId="35" type="noConversion"/>
  </si>
  <si>
    <t>rptT.4.53</t>
    <phoneticPr fontId="35" type="noConversion"/>
  </si>
  <si>
    <t>funct_rptasset_QueryT0HoldingPositionCombi</t>
    <phoneticPr fontId="35" type="noConversion"/>
  </si>
  <si>
    <t>prt_rptasset_QueryT0HoldingPositionCombi</t>
    <phoneticPr fontId="35" type="noConversion"/>
  </si>
  <si>
    <t>rptT.4.54</t>
    <phoneticPr fontId="35" type="noConversion"/>
  </si>
  <si>
    <t>funct_rptasset_QueryT0UnitTradeInfo</t>
    <phoneticPr fontId="35" type="noConversion"/>
  </si>
  <si>
    <t>prt_rptasset_QueryT0UnitTradeInfo</t>
    <phoneticPr fontId="35" type="noConversion"/>
  </si>
  <si>
    <t>rptT.4.101</t>
    <phoneticPr fontId="35" type="noConversion"/>
  </si>
  <si>
    <t>funct_rptasset_QueryAllExchGroup</t>
    <phoneticPr fontId="35" type="noConversion"/>
  </si>
  <si>
    <t>prt_rptasset_QueryAllExchGroup</t>
    <phoneticPr fontId="35" type="noConversion"/>
  </si>
  <si>
    <t>rptT.4.102</t>
    <phoneticPr fontId="35" type="noConversion"/>
  </si>
  <si>
    <t>funct_rptasset_QueryAllOperatorInfo</t>
    <phoneticPr fontId="35" type="noConversion"/>
  </si>
  <si>
    <t>prt_rptasset_QueryAllOperatorInfo</t>
    <phoneticPr fontId="35" type="noConversion"/>
  </si>
  <si>
    <t>rptT.4.103</t>
    <phoneticPr fontId="35" type="noConversion"/>
  </si>
  <si>
    <t>funct_rptasset_Qry_Pd_Pre_Asset</t>
    <phoneticPr fontId="35" type="noConversion"/>
  </si>
  <si>
    <t>prt_rptasset_Qry_Pd_Pre_Asset</t>
    <phoneticPr fontId="35" type="noConversion"/>
  </si>
  <si>
    <t>rptT.4.104</t>
    <phoneticPr fontId="35" type="noConversion"/>
  </si>
  <si>
    <t>funct_rptasset_Qry_Pd_Sum_Strike_StockType</t>
    <phoneticPr fontId="35" type="noConversion"/>
  </si>
  <si>
    <t>prt_rptasset_Qry_Pd_Sum_Strike_StockType</t>
    <phoneticPr fontId="35" type="noConversion"/>
  </si>
  <si>
    <t>rptT.4.106</t>
    <phoneticPr fontId="35" type="noConversion"/>
  </si>
  <si>
    <t>funct_rptasset_Qry_Stock_Quot</t>
    <phoneticPr fontId="35" type="noConversion"/>
  </si>
  <si>
    <t>prt_rptasset_Qry_Stock_Quot</t>
    <phoneticPr fontId="35" type="noConversion"/>
  </si>
  <si>
    <t>rptT.4.107</t>
    <phoneticPr fontId="35" type="noConversion"/>
  </si>
  <si>
    <t>funct_rptasset_Qry_Pd_Stat_Command</t>
    <phoneticPr fontId="35" type="noConversion"/>
  </si>
  <si>
    <t>prt_rptasset_Qry_Pd_Stat_Command</t>
    <phoneticPr fontId="35" type="noConversion"/>
  </si>
  <si>
    <t>rptT.4.108</t>
    <phoneticPr fontId="35" type="noConversion"/>
  </si>
  <si>
    <t>funct_rptasset_Qry_Pd_Stat_Trade_Oper</t>
    <phoneticPr fontId="35" type="noConversion"/>
  </si>
  <si>
    <t>prt_rptasset_Qry_Pd_Stat_Trade_Oper</t>
    <phoneticPr fontId="35" type="noConversion"/>
  </si>
  <si>
    <t>rptT.4.111</t>
    <phoneticPr fontId="35" type="noConversion"/>
  </si>
  <si>
    <t>funct_rptasset_Qry_Pd_Sum_Posi</t>
    <phoneticPr fontId="35" type="noConversion"/>
  </si>
  <si>
    <t>prt_rptasset_Qry_Pd_Sum_Posi</t>
    <phoneticPr fontId="35" type="noConversion"/>
  </si>
  <si>
    <t>rptT.4.112</t>
    <phoneticPr fontId="35" type="noConversion"/>
  </si>
  <si>
    <t>funct_rptasset_QryPdCommisSum</t>
    <phoneticPr fontId="35" type="noConversion"/>
  </si>
  <si>
    <t>prt_rptasset_QryPdCommisSum</t>
    <phoneticPr fontId="35" type="noConversion"/>
  </si>
  <si>
    <t>rptT.4.113</t>
    <phoneticPr fontId="35" type="noConversion"/>
  </si>
  <si>
    <t>funct_rptasset_QryPdCurStrikeSum</t>
    <phoneticPr fontId="35" type="noConversion"/>
  </si>
  <si>
    <t>prt_rptasset_QryPdCurStrikeSum</t>
    <phoneticPr fontId="35" type="noConversion"/>
  </si>
  <si>
    <t>rptT.4.114</t>
    <phoneticPr fontId="35" type="noConversion"/>
  </si>
  <si>
    <t>funct_rptasset_QryPdPosiSum</t>
    <phoneticPr fontId="35" type="noConversion"/>
  </si>
  <si>
    <t>prt_rptasset_QryPdPosiSum</t>
    <phoneticPr fontId="35" type="noConversion"/>
  </si>
  <si>
    <t>rptT.4.115</t>
    <phoneticPr fontId="35" type="noConversion"/>
  </si>
  <si>
    <t>funct_rptasset_QryStockInfoMap</t>
    <phoneticPr fontId="35" type="noConversion"/>
  </si>
  <si>
    <t>prt_rptasset_QryStockInfoMap</t>
    <phoneticPr fontId="35" type="noConversion"/>
  </si>
  <si>
    <t>rptT.4.116</t>
    <phoneticPr fontId="35" type="noConversion"/>
  </si>
  <si>
    <t>funct_rptasset_Qry_ExGrp_PosiNew</t>
    <phoneticPr fontId="35" type="noConversion"/>
  </si>
  <si>
    <t>prt_rptasset_Qry_ExGrp_PosiNew</t>
    <phoneticPr fontId="35" type="noConversion"/>
  </si>
  <si>
    <t>rptT.4.117</t>
    <phoneticPr fontId="35" type="noConversion"/>
  </si>
  <si>
    <t>funct_rptasset_UpdateFutuQuote</t>
    <phoneticPr fontId="35" type="noConversion"/>
  </si>
  <si>
    <t>prt_rptasset_UpdateFutuQuote</t>
    <phoneticPr fontId="35" type="noConversion"/>
  </si>
  <si>
    <t>co_no_str</t>
    <phoneticPr fontId="35" type="noConversion"/>
  </si>
  <si>
    <t>config_value</t>
    <phoneticPr fontId="35" type="noConversion"/>
  </si>
  <si>
    <t>pd_name</t>
    <phoneticPr fontId="35" type="noConversion"/>
  </si>
  <si>
    <t>textarea</t>
    <phoneticPr fontId="35" type="noConversion"/>
  </si>
  <si>
    <t>用户自定义</t>
    <phoneticPr fontId="35" type="noConversion"/>
  </si>
  <si>
    <t>asset_acco</t>
    <phoneticPr fontId="35" type="noConversion"/>
  </si>
  <si>
    <t>varchar(16)</t>
    <phoneticPr fontId="35" type="noConversion"/>
  </si>
  <si>
    <t>stock_acco</t>
    <phoneticPr fontId="35" type="noConversion"/>
  </si>
  <si>
    <t>buy_avail_qty</t>
    <phoneticPr fontId="35" type="noConversion"/>
  </si>
  <si>
    <t>sell_avail_qty</t>
    <phoneticPr fontId="35" type="noConversion"/>
  </si>
  <si>
    <t>today_trade_fee</t>
    <phoneticPr fontId="35" type="noConversion"/>
  </si>
  <si>
    <t>detail_posi_id</t>
    <phoneticPr fontId="35" type="noConversion"/>
  </si>
  <si>
    <t>contrc_code</t>
    <phoneticPr fontId="35" type="noConversion"/>
  </si>
  <si>
    <t>pre_settle_price</t>
    <phoneticPr fontId="35" type="noConversion"/>
  </si>
  <si>
    <t>sett_price</t>
    <phoneticPr fontId="35" type="noConversion"/>
  </si>
  <si>
    <t>hold_qty</t>
    <phoneticPr fontId="35" type="noConversion"/>
  </si>
  <si>
    <r>
      <t># [</t>
    </r>
    <r>
      <rPr>
        <sz val="10.5"/>
        <rFont val="微软雅黑"/>
        <family val="2"/>
        <charset val="134"/>
      </rPr>
      <t>按条件拼字符串][@查询条件#][@机构编号串#&lt;&gt;"0" and @机构编号串#&lt;&gt;"-1"][' or {机构编号} in (',@机构编号串#,')']</t>
    </r>
  </si>
  <si>
    <r>
      <t># [</t>
    </r>
    <r>
      <rPr>
        <sz val="10.5"/>
        <rFont val="微软雅黑"/>
        <family val="2"/>
        <charset val="134"/>
      </rPr>
      <t>按条件拼字符串][@查询条件#][@产品编号串#&lt;&gt;"0" and @产品编号串#&lt;&gt;"-1"][' or {产品编号} in (',@产品编号串#,')']</t>
    </r>
  </si>
  <si>
    <r>
      <t>[</t>
    </r>
    <r>
      <rPr>
        <sz val="10.5"/>
        <rFont val="微软雅黑"/>
        <family val="2"/>
        <charset val="134"/>
      </rPr>
      <t>按条件拼字符串][@查询条件#][1=1][' and {机构编号} = ',@机构编号#]</t>
    </r>
  </si>
  <si>
    <r>
      <t>[</t>
    </r>
    <r>
      <rPr>
        <sz val="10.5"/>
        <rFont val="微软雅黑"/>
        <family val="2"/>
        <charset val="134"/>
      </rPr>
      <t>按条件拼字符串][@查询条件#][@业务操作员编号#&lt;&gt;0][' and {操作员编号} = ',@业务操作员编号#]</t>
    </r>
  </si>
  <si>
    <r>
      <t>[</t>
    </r>
    <r>
      <rPr>
        <sz val="10.5"/>
        <rFont val="微软雅黑"/>
        <family val="2"/>
        <charset val="134"/>
      </rPr>
      <t>按条件拼字符串][@查询条件#][@指令序号#&lt;&gt;0][' and {指令序号} = ',@指令序号#]</t>
    </r>
  </si>
  <si>
    <r>
      <t>[</t>
    </r>
    <r>
      <rPr>
        <sz val="10.5"/>
        <rFont val="微软雅黑"/>
        <family val="2"/>
        <charset val="134"/>
      </rPr>
      <t>按条件拼字符串][@查询条件#][@产品编号#&lt;&gt;" "][' and {产品编号} = "',@产品编号#,'"']</t>
    </r>
  </si>
  <si>
    <r>
      <t>[</t>
    </r>
    <r>
      <rPr>
        <sz val="10.5"/>
        <rFont val="微软雅黑"/>
        <family val="2"/>
        <charset val="134"/>
      </rPr>
      <t>按条件拼字符串][@查询条件#][@交易组编号#&lt;&gt;" "][' and {交易组编号} = "',@交易组编号#,'"']</t>
    </r>
  </si>
  <si>
    <r>
      <t>[</t>
    </r>
    <r>
      <rPr>
        <sz val="10.5"/>
        <rFont val="微软雅黑"/>
        <family val="2"/>
        <charset val="134"/>
      </rPr>
      <t>按条件拼字符串][@查询条件#][@证券代码#&lt;&gt;" "][' and {证券代码} = "',@证券代码#,'"']</t>
    </r>
  </si>
  <si>
    <r>
      <t>[</t>
    </r>
    <r>
      <rPr>
        <sz val="10.5"/>
        <rFont val="微软雅黑"/>
        <family val="2"/>
        <charset val="134"/>
      </rPr>
      <t>按条件拼字符串][@查询条件#][@市场编号串#&lt;&gt;' '][' and {市场编号} in (',replace(@市场编号串#,';',','),')']</t>
    </r>
  </si>
  <si>
    <r>
      <t>[</t>
    </r>
    <r>
      <rPr>
        <sz val="10.5"/>
        <rFont val="微软雅黑"/>
        <family val="2"/>
        <charset val="134"/>
      </rPr>
      <t>按条件拼字符串][@查询条件#][@证券类型串#&lt;&gt;' '][' and {证券类型} in (',replace(@证券类型串#,';',','),')']</t>
    </r>
  </si>
  <si>
    <r>
      <t>[</t>
    </r>
    <r>
      <rPr>
        <sz val="10.5"/>
        <rFont val="微软雅黑"/>
        <family val="2"/>
        <charset val="134"/>
      </rPr>
      <t>按条件拼字符串][@查询条件#][@订单方向串#&lt;&gt;' '][' and {订单方向} in (',replace(@订单方向串#,';',','),')']</t>
    </r>
  </si>
  <si>
    <r>
      <t>#[</t>
    </r>
    <r>
      <rPr>
        <sz val="10.5"/>
        <rFont val="微软雅黑"/>
        <family val="2"/>
        <charset val="134"/>
      </rPr>
      <t>按条件拼字符串][@查询条件#][@客户端操作方式#&lt;&gt;" "][' and {操作方式} = "',@客户端操作方式#,'"']</t>
    </r>
  </si>
  <si>
    <r>
      <t>[</t>
    </r>
    <r>
      <rPr>
        <sz val="10.5"/>
        <rFont val="微软雅黑"/>
        <family val="2"/>
        <charset val="134"/>
      </rPr>
      <t>按条件拼字符串][@查询条件#][@体外指令标志#&lt;&gt;0][' and {体外指令标志} = ',@体外指令标志#]</t>
    </r>
  </si>
  <si>
    <r>
      <t>[</t>
    </r>
    <r>
      <rPr>
        <sz val="10.5"/>
        <rFont val="微软雅黑"/>
        <family val="2"/>
        <charset val="134"/>
      </rPr>
      <t>按条件拼字符串][@查询条件#][@记录有效标志#&lt;&gt;0][' and {记录有效标志} = ',@记录有效标志#]</t>
    </r>
  </si>
  <si>
    <r>
      <t xml:space="preserve">  [</t>
    </r>
    <r>
      <rPr>
        <sz val="10.5"/>
        <rFont val="微软雅黑"/>
        <family val="2"/>
        <charset val="134"/>
      </rPr>
      <t>按条件拼字符串][@查询条件#][@记录序号#&lt;&gt;0][' and {记录序号} &gt; ',@记录序号#]</t>
    </r>
  </si>
  <si>
    <r>
      <t xml:space="preserve">  [</t>
    </r>
    <r>
      <rPr>
        <sz val="10.5"/>
        <rFont val="微软雅黑"/>
        <family val="2"/>
        <charset val="134"/>
      </rPr>
      <t>按条件拼字符串][@查询条件#][@记录序号#&lt;&gt;0][' and {记录序号} &lt; ',@记录序号#]</t>
    </r>
  </si>
  <si>
    <r>
      <t>[</t>
    </r>
    <r>
      <rPr>
        <sz val="10.5"/>
        <rFont val="微软雅黑"/>
        <family val="2"/>
        <charset val="134"/>
      </rPr>
      <t>按条件拼字符串][@查询条件#][@排序方式# &lt;&gt; 2][' order by {记录序号}']</t>
    </r>
  </si>
  <si>
    <r>
      <t>[</t>
    </r>
    <r>
      <rPr>
        <sz val="10.5"/>
        <rFont val="微软雅黑"/>
        <family val="2"/>
        <charset val="134"/>
      </rPr>
      <t>按条件拼字符串][@查询条件#][@排序方式# = 2][' order by {记录序号} desc']</t>
    </r>
  </si>
  <si>
    <r>
      <t>[</t>
    </r>
    <r>
      <rPr>
        <sz val="10.5"/>
        <rFont val="微软雅黑"/>
        <family val="2"/>
        <charset val="134"/>
      </rPr>
      <t>按条件拼字符串][@查询条件#][@开始日期#&lt;&gt;0][' and {成交日期} &gt;= ',@开始日期#]</t>
    </r>
  </si>
  <si>
    <r>
      <t>[</t>
    </r>
    <r>
      <rPr>
        <sz val="10.5"/>
        <rFont val="微软雅黑"/>
        <family val="2"/>
        <charset val="134"/>
      </rPr>
      <t>按条件拼字符串][@查询条件#][@结束日期#&lt;&gt;0][' and {成交日期} &lt;= ',@结束日期#]</t>
    </r>
  </si>
  <si>
    <r>
      <t>[</t>
    </r>
    <r>
      <rPr>
        <sz val="10.5"/>
        <rFont val="微软雅黑"/>
        <family val="2"/>
        <charset val="134"/>
      </rPr>
      <t>按条件拼字符串][@查询条件#][@证券代码编号#&lt;&gt;" "][' and {证券代码编号} = "',@证券代码编号#,'"']</t>
    </r>
  </si>
  <si>
    <t>rptA.4.1</t>
    <phoneticPr fontId="35" type="noConversion"/>
  </si>
  <si>
    <t>funca_rptasset_QueryT0HoldingPandL</t>
    <phoneticPr fontId="35" type="noConversion"/>
  </si>
  <si>
    <t>pra_rptasset_QueryT0HoldingPandL</t>
    <phoneticPr fontId="35" type="noConversion"/>
  </si>
  <si>
    <t>rptA.4.2</t>
    <phoneticPr fontId="35" type="noConversion"/>
  </si>
  <si>
    <t>funca_rptasset_QueryT0SourceStockHoldingPositionReport</t>
    <phoneticPr fontId="35" type="noConversion"/>
  </si>
  <si>
    <t>pra_rptasset_QueryT0SourceStockHoldingPositionReport</t>
    <phoneticPr fontId="35" type="noConversion"/>
  </si>
  <si>
    <t>rptA.4.3</t>
    <phoneticPr fontId="35" type="noConversion"/>
  </si>
  <si>
    <t>funca_rptasset_QueryT0UnitTradeTotalInfo</t>
    <phoneticPr fontId="35" type="noConversion"/>
  </si>
  <si>
    <t>pra_rptasset_QueryT0UnitTradeTotalInfo</t>
    <phoneticPr fontId="35" type="noConversion"/>
  </si>
  <si>
    <t>rptA.4.4</t>
    <phoneticPr fontId="35" type="noConversion"/>
  </si>
  <si>
    <t>funca_rptasset_QueryHisT0HoldingPandL</t>
    <phoneticPr fontId="35" type="noConversion"/>
  </si>
  <si>
    <t>pra_rptasset_QueryHisT0HoldingPandL</t>
    <phoneticPr fontId="35" type="noConversion"/>
  </si>
  <si>
    <t>rptA.4.5</t>
    <phoneticPr fontId="35" type="noConversion"/>
  </si>
  <si>
    <t>funca_rptasset_QueryHisT0SourceStockHoldingPositionReport</t>
    <phoneticPr fontId="35" type="noConversion"/>
  </si>
  <si>
    <t>pra_rptasset_QueryHisT0SourceStockHoldingPositionReport</t>
    <phoneticPr fontId="35" type="noConversion"/>
  </si>
  <si>
    <t>rptA.4.6</t>
    <phoneticPr fontId="35" type="noConversion"/>
  </si>
  <si>
    <t>funca_rptasset_QueryHisT0UnitTradeTotalInfo</t>
    <phoneticPr fontId="35" type="noConversion"/>
  </si>
  <si>
    <t>pra_rptasset_QueryHisT0UnitTradeTotalInfo</t>
    <phoneticPr fontId="35" type="noConversion"/>
  </si>
  <si>
    <t>rptA.4.7</t>
    <phoneticPr fontId="35" type="noConversion"/>
  </si>
  <si>
    <t>funca_rptasset_ReportProductPositionQuery</t>
    <phoneticPr fontId="35" type="noConversion"/>
  </si>
  <si>
    <t>pra_rptasset_ReportProductPositionQuery</t>
    <phoneticPr fontId="35" type="noConversion"/>
  </si>
  <si>
    <t>rptA.4.8</t>
    <phoneticPr fontId="35" type="noConversion"/>
  </si>
  <si>
    <t>funca_rptasset_ReportCompanyPositionQuery</t>
    <phoneticPr fontId="35" type="noConversion"/>
  </si>
  <si>
    <t>pra_rptasset_ReportCompanyPositionQuery</t>
    <phoneticPr fontId="35" type="noConversion"/>
  </si>
  <si>
    <t>rptA.4.9</t>
    <phoneticPr fontId="35" type="noConversion"/>
  </si>
  <si>
    <t>funca_rptasset_ReportProductPositionTradeQuery</t>
    <phoneticPr fontId="35" type="noConversion"/>
  </si>
  <si>
    <t>pra_rptasset_ReportProductPositionTradeQuery</t>
    <phoneticPr fontId="35" type="noConversion"/>
  </si>
  <si>
    <t>rptA.4.10</t>
    <phoneticPr fontId="35" type="noConversion"/>
  </si>
  <si>
    <t>funca_rptasset_QueryProductPositionTop</t>
    <phoneticPr fontId="35" type="noConversion"/>
  </si>
  <si>
    <t>pra_rptasset_QueryProductPositionTop</t>
    <phoneticPr fontId="35" type="noConversion"/>
  </si>
  <si>
    <t>rptA.4.11</t>
    <phoneticPr fontId="35" type="noConversion"/>
  </si>
  <si>
    <t>funca_rptasset_QueryUniteQuitiesPositionTop</t>
    <phoneticPr fontId="35" type="noConversion"/>
  </si>
  <si>
    <t>pra_rptasset_QueryUniteQuitiesPositionTop</t>
    <phoneticPr fontId="35" type="noConversion"/>
  </si>
  <si>
    <t>rptA.4.12</t>
    <phoneticPr fontId="35" type="noConversion"/>
  </si>
  <si>
    <t>funca_rptasset_EquitiesPositionSummary</t>
    <phoneticPr fontId="35" type="noConversion"/>
  </si>
  <si>
    <t>pra_rptasset_EquitiesPositionSummary</t>
    <phoneticPr fontId="35" type="noConversion"/>
  </si>
  <si>
    <t>rptA.4.13</t>
    <phoneticPr fontId="35" type="noConversion"/>
  </si>
  <si>
    <t>funca_rptasset_EquitiesPositionSummary_His</t>
    <phoneticPr fontId="35" type="noConversion"/>
  </si>
  <si>
    <t>pra_rptasset_EquitiesPositionSummary_His</t>
    <phoneticPr fontId="35" type="noConversion"/>
  </si>
  <si>
    <t>rptA.4.14</t>
    <phoneticPr fontId="35" type="noConversion"/>
  </si>
  <si>
    <t>funca_rptasset_QueryT0UnitPandlReport</t>
    <phoneticPr fontId="35" type="noConversion"/>
  </si>
  <si>
    <t>pra_rptasset_QueryT0UnitPandlReport</t>
    <phoneticPr fontId="35" type="noConversion"/>
  </si>
  <si>
    <t>rptA.4.15</t>
    <phoneticPr fontId="35" type="noConversion"/>
  </si>
  <si>
    <t>funca_rptasset_QueryHisT0UnitPandlReport</t>
    <phoneticPr fontId="35" type="noConversion"/>
  </si>
  <si>
    <t>pra_rptasset_QueryHisT0UnitPandlReport</t>
    <phoneticPr fontId="35" type="noConversion"/>
  </si>
  <si>
    <t>rptA.4.16</t>
    <phoneticPr fontId="35" type="noConversion"/>
  </si>
  <si>
    <t>funca_rptasset_QueryT0UnitExposureReport</t>
    <phoneticPr fontId="35" type="noConversion"/>
  </si>
  <si>
    <t>pra_rptasset_QueryT0UnitExposureReport</t>
    <phoneticPr fontId="35" type="noConversion"/>
  </si>
  <si>
    <t>rptA.4.17</t>
    <phoneticPr fontId="35" type="noConversion"/>
  </si>
  <si>
    <t>funca_rptasset_QueryHisT0UnitExposureReport</t>
    <phoneticPr fontId="35" type="noConversion"/>
  </si>
  <si>
    <t>pra_rptasset_QueryHisT0UnitExposureReport</t>
    <phoneticPr fontId="35" type="noConversion"/>
  </si>
  <si>
    <t>rptA.4.18</t>
    <phoneticPr fontId="35" type="noConversion"/>
  </si>
  <si>
    <t>funca_rptasset_trd_secu_execution_query</t>
    <phoneticPr fontId="35" type="noConversion"/>
  </si>
  <si>
    <t>pra_rptasset_trd_secu_execution_query</t>
    <phoneticPr fontId="35" type="noConversion"/>
  </si>
  <si>
    <t>rptA.4.19</t>
    <phoneticPr fontId="35" type="noConversion"/>
  </si>
  <si>
    <t>funca_rptasset_trd_secu_HisExecutionQuery</t>
    <phoneticPr fontId="35" type="noConversion"/>
  </si>
  <si>
    <t>pra_rptasset_trd_secu_HisExecutionQuery</t>
    <phoneticPr fontId="35" type="noConversion"/>
  </si>
  <si>
    <t>rptA.4.20</t>
    <phoneticPr fontId="35" type="noConversion"/>
  </si>
  <si>
    <t>funca_rptasset_Month_QueryT0UnitPandlReport</t>
    <phoneticPr fontId="35" type="noConversion"/>
  </si>
  <si>
    <t>pra_rptasset_Month_QueryT0UnitPandlReport</t>
    <phoneticPr fontId="35" type="noConversion"/>
  </si>
  <si>
    <t>rptA.4.21</t>
    <phoneticPr fontId="35" type="noConversion"/>
  </si>
  <si>
    <t>funca_rptasset_Month_QueryHisT0UnitPandlReport</t>
    <phoneticPr fontId="35" type="noConversion"/>
  </si>
  <si>
    <t>pra_rptasset_Month_QueryHisT0UnitPandlReport</t>
    <phoneticPr fontId="35" type="noConversion"/>
  </si>
  <si>
    <t>rptA.4.27</t>
    <phoneticPr fontId="35" type="noConversion"/>
  </si>
  <si>
    <t>funca_QueryT0UnitPandlSpecialReport</t>
    <phoneticPr fontId="35" type="noConversion"/>
  </si>
  <si>
    <t>pra_QueryT0UnitPandlSpecialReport</t>
    <phoneticPr fontId="35" type="noConversion"/>
  </si>
  <si>
    <t>rptA.4.28</t>
    <phoneticPr fontId="35" type="noConversion"/>
  </si>
  <si>
    <t>funca_QueryHisT0UnitPandlSpecialReport</t>
    <phoneticPr fontId="35" type="noConversion"/>
  </si>
  <si>
    <t>pra_QueryHisT0UnitPandlSpecialReport</t>
    <phoneticPr fontId="35" type="noConversion"/>
  </si>
  <si>
    <t>rptA.4.31</t>
    <phoneticPr fontId="35" type="noConversion"/>
  </si>
  <si>
    <t>funca_rptasset_Qry_Pd_Asset</t>
    <phoneticPr fontId="35" type="noConversion"/>
  </si>
  <si>
    <t>pra_rptasset_Qry_Pd_Asset</t>
    <phoneticPr fontId="35" type="noConversion"/>
  </si>
  <si>
    <t>rptA.4.32</t>
    <phoneticPr fontId="35" type="noConversion"/>
  </si>
  <si>
    <t>funca_rptasset_Qry_ExGrp_Asset</t>
    <phoneticPr fontId="35" type="noConversion"/>
  </si>
  <si>
    <t>pra_rptasset_Qry_ExGrp_Asset</t>
    <phoneticPr fontId="35" type="noConversion"/>
  </si>
  <si>
    <t>rptA.4.33</t>
    <phoneticPr fontId="35" type="noConversion"/>
  </si>
  <si>
    <t>funca_rptasset_Qry_Pd_Asset_His</t>
    <phoneticPr fontId="35" type="noConversion"/>
  </si>
  <si>
    <t>pra_rptasset_Qry_Pd_Asset_His</t>
    <phoneticPr fontId="35" type="noConversion"/>
  </si>
  <si>
    <t>rptA.4.34</t>
    <phoneticPr fontId="35" type="noConversion"/>
  </si>
  <si>
    <t>funca_rptasset_Qry_ExGrp_Asset_His</t>
    <phoneticPr fontId="35" type="noConversion"/>
  </si>
  <si>
    <t>pra_rptasset_Qry_ExGrp_Asset_His</t>
    <phoneticPr fontId="35" type="noConversion"/>
  </si>
  <si>
    <t>rptA.4.35</t>
    <phoneticPr fontId="35" type="noConversion"/>
  </si>
  <si>
    <t>funca_rptasset_Qry_Pd_Posi</t>
    <phoneticPr fontId="35" type="noConversion"/>
  </si>
  <si>
    <t>pra_rptasset_Qry_Pd_Posi</t>
    <phoneticPr fontId="35" type="noConversion"/>
  </si>
  <si>
    <t>rptA.4.36</t>
    <phoneticPr fontId="35" type="noConversion"/>
  </si>
  <si>
    <t>funca_rptasset_Qry_ExGrp_Posi</t>
    <phoneticPr fontId="35" type="noConversion"/>
  </si>
  <si>
    <t>pra_rptasset_Qry_ExGrp_Posi</t>
    <phoneticPr fontId="35" type="noConversion"/>
  </si>
  <si>
    <t>rptA.4.37</t>
    <phoneticPr fontId="35" type="noConversion"/>
  </si>
  <si>
    <t>funca_rptasset_Qry_Pd_Posi_His</t>
    <phoneticPr fontId="35" type="noConversion"/>
  </si>
  <si>
    <t>pra_rptasset_Qry_Pd_Posi_His</t>
    <phoneticPr fontId="35" type="noConversion"/>
  </si>
  <si>
    <t>rptA.4.38</t>
    <phoneticPr fontId="35" type="noConversion"/>
  </si>
  <si>
    <t>funca_rptasset_Qry_ExGrp_Posi_His</t>
    <phoneticPr fontId="35" type="noConversion"/>
  </si>
  <si>
    <t>pra_rptasset_Qry_ExGrp_Posi_His</t>
    <phoneticPr fontId="35" type="noConversion"/>
  </si>
  <si>
    <t>rptA.4.41</t>
    <phoneticPr fontId="35" type="noConversion"/>
  </si>
  <si>
    <t>funca_rptasset_Qry_Pdfutu_Posi</t>
    <phoneticPr fontId="35" type="noConversion"/>
  </si>
  <si>
    <t>pra_rptasset_Qry_Pdfutu_Posi</t>
    <phoneticPr fontId="35" type="noConversion"/>
  </si>
  <si>
    <t>rptA.4.42</t>
    <phoneticPr fontId="35" type="noConversion"/>
  </si>
  <si>
    <t>funca_rptasset_Qry_Pdfutu_Posi_his</t>
    <phoneticPr fontId="35" type="noConversion"/>
  </si>
  <si>
    <t>pra_rptasset_Qry_Pdfutu_Posi_his</t>
    <phoneticPr fontId="35" type="noConversion"/>
  </si>
  <si>
    <t>rptA.4.43</t>
    <phoneticPr fontId="35" type="noConversion"/>
  </si>
  <si>
    <t>funca_rptasset_Qry_Grpfutu_Posi</t>
    <phoneticPr fontId="35" type="noConversion"/>
  </si>
  <si>
    <t>pra_rptasset_Qry_Grpfutu_Posi</t>
    <phoneticPr fontId="35" type="noConversion"/>
  </si>
  <si>
    <t>rptA.4.44</t>
    <phoneticPr fontId="35" type="noConversion"/>
  </si>
  <si>
    <t>funca_rptasset_Qry_Grpfutu_Posi_his</t>
    <phoneticPr fontId="35" type="noConversion"/>
  </si>
  <si>
    <t>pra_rptasset_Qry_Grpfutu_Posi_his</t>
    <phoneticPr fontId="35" type="noConversion"/>
  </si>
  <si>
    <t>rptA.4.45</t>
    <phoneticPr fontId="35" type="noConversion"/>
  </si>
  <si>
    <t>funca_rptasset_Qry_Grpfutu_Posi_detail</t>
    <phoneticPr fontId="35" type="noConversion"/>
  </si>
  <si>
    <t>pra_rptasset_Qry_Grpfutu_Posi_detail</t>
    <phoneticPr fontId="35" type="noConversion"/>
  </si>
  <si>
    <t>rptA.4.46</t>
    <phoneticPr fontId="35" type="noConversion"/>
  </si>
  <si>
    <t>funca_rptasset_QryHis_T0OporPosiDetail</t>
    <phoneticPr fontId="35" type="noConversion"/>
  </si>
  <si>
    <t>pra_rptasset_QryHis_T0OporPosiDetail</t>
    <phoneticPr fontId="35" type="noConversion"/>
  </si>
  <si>
    <t>rptA.4.47</t>
    <phoneticPr fontId="35" type="noConversion"/>
  </si>
  <si>
    <t>funca_rptasset_QryStrikeDetail</t>
    <phoneticPr fontId="35" type="noConversion"/>
  </si>
  <si>
    <t>pra_rptasset_QryStrikeDetail</t>
    <phoneticPr fontId="35" type="noConversion"/>
  </si>
  <si>
    <t>rptA.4.51</t>
    <phoneticPr fontId="35" type="noConversion"/>
  </si>
  <si>
    <t>funca_rptasset_QueryT0SourceStockHoldingPosition</t>
    <phoneticPr fontId="35" type="noConversion"/>
  </si>
  <si>
    <t>pra_rptasset_QueryT0SourceStockHoldingPosition</t>
    <phoneticPr fontId="35" type="noConversion"/>
  </si>
  <si>
    <t>rptA.4.52</t>
    <phoneticPr fontId="35" type="noConversion"/>
  </si>
  <si>
    <t>funca_rptasset_QueryT0HoldingPositionDetail</t>
    <phoneticPr fontId="35" type="noConversion"/>
  </si>
  <si>
    <t>pra_rptasset_QueryT0HoldingPositionDetail</t>
    <phoneticPr fontId="35" type="noConversion"/>
  </si>
  <si>
    <t>rptA.4.53</t>
    <phoneticPr fontId="35" type="noConversion"/>
  </si>
  <si>
    <t>funca_rptasset_QueryT0HoldingPositionCombi</t>
    <phoneticPr fontId="35" type="noConversion"/>
  </si>
  <si>
    <t>pra_rptasset_QueryT0HoldingPositionCombi</t>
    <phoneticPr fontId="35" type="noConversion"/>
  </si>
  <si>
    <t>rptA.4.54</t>
    <phoneticPr fontId="35" type="noConversion"/>
  </si>
  <si>
    <t>funca_rptasset_QueryT0UnitTradeInfo</t>
    <phoneticPr fontId="35" type="noConversion"/>
  </si>
  <si>
    <t>pra_rptasset_QueryT0UnitTradeInfo</t>
    <phoneticPr fontId="35" type="noConversion"/>
  </si>
  <si>
    <t>rptA.4.60</t>
    <phoneticPr fontId="35" type="noConversion"/>
  </si>
  <si>
    <t>funca_rptasset_GetUnitPositionInfo</t>
    <phoneticPr fontId="35" type="noConversion"/>
  </si>
  <si>
    <t>pra_rptasset_GetUnitPositionInfo</t>
    <phoneticPr fontId="35" type="noConversion"/>
  </si>
  <si>
    <t>rptA.4.101</t>
    <phoneticPr fontId="35" type="noConversion"/>
  </si>
  <si>
    <t>funca_rptasset_QueryAllExchGroup</t>
    <phoneticPr fontId="35" type="noConversion"/>
  </si>
  <si>
    <t>pra_rptasset_QueryAllExchGroup</t>
    <phoneticPr fontId="35" type="noConversion"/>
  </si>
  <si>
    <t>rptA.4.102</t>
    <phoneticPr fontId="35" type="noConversion"/>
  </si>
  <si>
    <t>funca_rptasset_QueryAllOperatorInfo</t>
    <phoneticPr fontId="35" type="noConversion"/>
  </si>
  <si>
    <t>pra_rptasset_QueryAllOperatorInfo</t>
    <phoneticPr fontId="35" type="noConversion"/>
  </si>
  <si>
    <t>rptA.4.103</t>
    <phoneticPr fontId="35" type="noConversion"/>
  </si>
  <si>
    <t>funca_rptasset_Qry_Pd_Pre_Asset</t>
    <phoneticPr fontId="35" type="noConversion"/>
  </si>
  <si>
    <t>pra_rptasset_Qry_Pd_Pre_Asset</t>
    <phoneticPr fontId="35" type="noConversion"/>
  </si>
  <si>
    <t>rptA.4.104</t>
    <phoneticPr fontId="35" type="noConversion"/>
  </si>
  <si>
    <t>funca_rptasset_Qry_Pd_Sum_Strike_StockType</t>
    <phoneticPr fontId="35" type="noConversion"/>
  </si>
  <si>
    <t>pra_rptasset_Qry_Pd_Sum_Strike_StockType</t>
    <phoneticPr fontId="35" type="noConversion"/>
  </si>
  <si>
    <t>rptA.4.106</t>
    <phoneticPr fontId="35" type="noConversion"/>
  </si>
  <si>
    <t>funca_rptasset_Qry_Stock_Quot</t>
    <phoneticPr fontId="35" type="noConversion"/>
  </si>
  <si>
    <t>pra_rptasset_Qry_Stock_Quot</t>
    <phoneticPr fontId="35" type="noConversion"/>
  </si>
  <si>
    <t>rptA.4.107</t>
    <phoneticPr fontId="35" type="noConversion"/>
  </si>
  <si>
    <t>funca_rptasset_Qry_Pd_Stat_Command</t>
    <phoneticPr fontId="35" type="noConversion"/>
  </si>
  <si>
    <t>pra_rptasset_Qry_Pd_Stat_Command</t>
    <phoneticPr fontId="35" type="noConversion"/>
  </si>
  <si>
    <t>rptA.4.108</t>
    <phoneticPr fontId="35" type="noConversion"/>
  </si>
  <si>
    <t>funca_rptasset_Qry_Pd_Stat_Trade_Oper</t>
    <phoneticPr fontId="35" type="noConversion"/>
  </si>
  <si>
    <t>pra_rptasset_Qry_Pd_Stat_Trade_Oper</t>
    <phoneticPr fontId="35" type="noConversion"/>
  </si>
  <si>
    <t>rptA.4.111</t>
    <phoneticPr fontId="35" type="noConversion"/>
  </si>
  <si>
    <t>funca_rptasset_Qry_Pd_Sum_Posi</t>
    <phoneticPr fontId="35" type="noConversion"/>
  </si>
  <si>
    <t>pra_rptasset_Qry_Pd_Sum_Posi</t>
    <phoneticPr fontId="35" type="noConversion"/>
  </si>
  <si>
    <t>rptA.4.112</t>
    <phoneticPr fontId="35" type="noConversion"/>
  </si>
  <si>
    <t>funca_rptasset_QryPdCommisSum</t>
    <phoneticPr fontId="35" type="noConversion"/>
  </si>
  <si>
    <t>pra_rptasset_QryPdCommisSum</t>
    <phoneticPr fontId="35" type="noConversion"/>
  </si>
  <si>
    <t>rptA.4.113</t>
    <phoneticPr fontId="35" type="noConversion"/>
  </si>
  <si>
    <t>funca_rptasset_QryPdCurStrikeSum</t>
    <phoneticPr fontId="35" type="noConversion"/>
  </si>
  <si>
    <t>pra_rptasset_QryPdCurStrikeSum</t>
    <phoneticPr fontId="35" type="noConversion"/>
  </si>
  <si>
    <t>rptA.4.114</t>
    <phoneticPr fontId="35" type="noConversion"/>
  </si>
  <si>
    <t>funca_rptasset_QryPdPosiSum</t>
    <phoneticPr fontId="35" type="noConversion"/>
  </si>
  <si>
    <t>pra_rptasset_QryPdPosiSum</t>
    <phoneticPr fontId="35" type="noConversion"/>
  </si>
  <si>
    <t>rptA.4.115</t>
    <phoneticPr fontId="35" type="noConversion"/>
  </si>
  <si>
    <t>funca_rptasset_QryStockInfoMap</t>
    <phoneticPr fontId="35" type="noConversion"/>
  </si>
  <si>
    <t>pra_rptasset_QryStockInfoMap</t>
    <phoneticPr fontId="35" type="noConversion"/>
  </si>
  <si>
    <t>rptA.4.116</t>
    <phoneticPr fontId="35" type="noConversion"/>
  </si>
  <si>
    <t>funca_rptasset_Qry_ExGrp_PosiNew</t>
    <phoneticPr fontId="35" type="noConversion"/>
  </si>
  <si>
    <t>pra_rptasset_Qry_ExGrp_PosiNew</t>
    <phoneticPr fontId="35" type="noConversion"/>
  </si>
  <si>
    <t>rptA.4.117</t>
    <phoneticPr fontId="35" type="noConversion"/>
  </si>
  <si>
    <t>funca_rptasset_UpdateFutuQuote</t>
    <phoneticPr fontId="35" type="noConversion"/>
  </si>
  <si>
    <t>pra_rptasset_UpdateFutuQuote</t>
    <phoneticPr fontId="35" type="noConversion"/>
  </si>
  <si>
    <t>query_cond</t>
    <phoneticPr fontId="35" type="noConversion"/>
  </si>
  <si>
    <t>"1=1"</t>
    <phoneticPr fontId="35" type="noConversion"/>
  </si>
  <si>
    <t>pd_code_str</t>
    <phoneticPr fontId="35" type="noConversion"/>
  </si>
  <si>
    <t>update_preci_type</t>
    <phoneticPr fontId="35" type="noConversion"/>
  </si>
  <si>
    <t>cash_avail_date_type</t>
    <phoneticPr fontId="35" type="noConversion"/>
  </si>
  <si>
    <t>query_row_id</t>
    <phoneticPr fontId="35" type="noConversion"/>
  </si>
  <si>
    <t>用于查询参数的记录序号</t>
    <phoneticPr fontId="35" type="noConversion"/>
  </si>
  <si>
    <r>
      <t>from ~</t>
    </r>
    <r>
      <rPr>
        <sz val="10.5"/>
        <color rgb="FFFF0000"/>
        <rFont val="微软雅黑"/>
        <family val="2"/>
        <charset val="134"/>
      </rPr>
      <t>报表_资管报表_T0_证券持仓明细表</t>
    </r>
    <r>
      <rPr>
        <sz val="10.5"/>
        <color theme="1"/>
        <rFont val="微软雅黑"/>
        <family val="2"/>
        <charset val="134"/>
      </rPr>
      <t xml:space="preserve">^ t where (t.{机构编号} = @操作员机构编号#) </t>
    </r>
  </si>
  <si>
    <r>
      <t>from ~</t>
    </r>
    <r>
      <rPr>
        <sz val="10.5"/>
        <color rgb="FFFF0000"/>
        <rFont val="微软雅黑"/>
        <family val="2"/>
        <charset val="134"/>
      </rPr>
      <t>报表_资管报表_T0_操作员券源设置表</t>
    </r>
    <r>
      <rPr>
        <sz val="10.5"/>
        <color theme="1"/>
        <rFont val="微软雅黑"/>
        <family val="2"/>
        <charset val="134"/>
      </rPr>
      <t xml:space="preserve">^ t </t>
    </r>
  </si>
  <si>
    <r>
      <t xml:space="preserve"> left join ~</t>
    </r>
    <r>
      <rPr>
        <sz val="10.5"/>
        <color rgb="FFFF0000"/>
        <rFont val="微软雅黑"/>
        <family val="2"/>
        <charset val="134"/>
      </rPr>
      <t>报表_资管报表_T0_证券持仓汇总表</t>
    </r>
    <r>
      <rPr>
        <sz val="10.5"/>
        <rFont val="微软雅黑"/>
        <family val="2"/>
        <charset val="134"/>
      </rPr>
      <t>^ b on (t.{机构编号},t.{产品编号},t.{交易组编号},t.{资产账户编号},t.{市场编号},t.{证券代码编号},t.{股东代码编号}) = (b.{机构编号},b.{产品编号},b.{交易组编号},b.{资产账户编号},b.{市场编号},b.{证券代码编号},b.{股东代码编号}) and (b.{操作员编号} = @操作员编号#)</t>
    </r>
  </si>
  <si>
    <r>
      <t>from ~</t>
    </r>
    <r>
      <rPr>
        <sz val="10.5"/>
        <color rgb="FFFF0000"/>
        <rFont val="微软雅黑"/>
        <family val="2"/>
        <charset val="134"/>
      </rPr>
      <t>报表_资管报表_T0_证券持仓明细表历史</t>
    </r>
    <r>
      <rPr>
        <sz val="10.5"/>
        <color theme="1"/>
        <rFont val="微软雅黑"/>
        <family val="2"/>
        <charset val="134"/>
      </rPr>
      <t xml:space="preserve">^ t where (t.{机构编号} = @操作员机构编号#) </t>
    </r>
  </si>
  <si>
    <r>
      <t>from ~</t>
    </r>
    <r>
      <rPr>
        <sz val="10.5"/>
        <color rgb="FFFF0000"/>
        <rFont val="微软雅黑"/>
        <family val="2"/>
        <charset val="134"/>
      </rPr>
      <t>报表_资管报表_T0_操作员券源设置表历史</t>
    </r>
    <r>
      <rPr>
        <sz val="10.5"/>
        <color theme="1"/>
        <rFont val="微软雅黑"/>
        <family val="2"/>
        <charset val="134"/>
      </rPr>
      <t xml:space="preserve">^ t </t>
    </r>
  </si>
  <si>
    <r>
      <t xml:space="preserve"> left join ~</t>
    </r>
    <r>
      <rPr>
        <sz val="10.5"/>
        <color rgb="FFFF0000"/>
        <rFont val="微软雅黑"/>
        <family val="2"/>
        <charset val="134"/>
      </rPr>
      <t>报表_资管报表_T0_证券持仓汇总表历史</t>
    </r>
    <r>
      <rPr>
        <sz val="10.5"/>
        <rFont val="微软雅黑"/>
        <family val="2"/>
        <charset val="134"/>
      </rPr>
      <t>^ b on (t.{初始化日期},t.{机构编号},t.{产品编号},t.{交易组编号},t.{资产账户编号},t.{市场编号},t.{证券代码编号},t.{股东代码编号}) = (b.{初始化日期},b.{机构编号},b.{产品编号},b.{交易组编号},b.{资产账户编号},b.{市场编号},b.{证券代码编号},b.{股东代码编号}) and (b.{操作员编号} = @操作员编号#)</t>
    </r>
  </si>
  <si>
    <r>
      <t># from ~</t>
    </r>
    <r>
      <rPr>
        <sz val="10.5"/>
        <color rgb="FFFF0000"/>
        <rFont val="微软雅黑"/>
        <family val="2"/>
        <charset val="134"/>
      </rPr>
      <t>报表_资管报表_产品持仓查询表</t>
    </r>
    <r>
      <rPr>
        <sz val="10.5"/>
        <color rgb="FF9C5700"/>
        <rFont val="微软雅黑"/>
        <family val="2"/>
        <charset val="134"/>
      </rPr>
      <t>^ t</t>
    </r>
  </si>
  <si>
    <r>
      <t>from ~</t>
    </r>
    <r>
      <rPr>
        <sz val="10.5"/>
        <color rgb="FFFF0000"/>
        <rFont val="微软雅黑"/>
        <family val="2"/>
        <charset val="134"/>
      </rPr>
      <t>报表_资管报表_产品持仓查询表</t>
    </r>
    <r>
      <rPr>
        <sz val="10.5"/>
        <color theme="1"/>
        <rFont val="微软雅黑"/>
        <family val="2"/>
        <charset val="134"/>
      </rPr>
      <t>^ t</t>
    </r>
  </si>
  <si>
    <r>
      <t xml:space="preserve"> left join </t>
    </r>
    <r>
      <rPr>
        <sz val="10.5"/>
        <color rgb="FFFF0000"/>
        <rFont val="微软雅黑"/>
        <family val="2"/>
        <charset val="134"/>
      </rPr>
      <t>db_dc.tb_basesedt_stock_quot stq</t>
    </r>
    <r>
      <rPr>
        <sz val="10.5"/>
        <color theme="1"/>
        <rFont val="微软雅黑"/>
        <family val="2"/>
        <charset val="134"/>
      </rPr>
      <t xml:space="preserve"> on (t.{证券代码编号}) = (stq.{证券代码编号})</t>
    </r>
  </si>
  <si>
    <r>
      <t>left join ~</t>
    </r>
    <r>
      <rPr>
        <sz val="10.5"/>
        <color rgb="FFFF0000"/>
        <rFont val="微软雅黑"/>
        <family val="2"/>
        <charset val="134"/>
      </rPr>
      <t>报表_资管报表_视图-汇总-产品-证券-成交</t>
    </r>
    <r>
      <rPr>
        <sz val="10.5"/>
        <color rgb="FF9C5700"/>
        <rFont val="微软雅黑"/>
        <family val="2"/>
        <charset val="134"/>
      </rPr>
      <t>^ a on (t.{机构编号},t.{产品编号},t.{证券代码编号}) = (a.{机构编号},a.{产品编号},a.{证券代码编号}) and t.{投资类型} = 1</t>
    </r>
  </si>
  <si>
    <r>
      <t xml:space="preserve">  from  ~</t>
    </r>
    <r>
      <rPr>
        <sz val="10.5"/>
        <color rgb="FFFF0000"/>
        <rFont val="微软雅黑"/>
        <family val="2"/>
        <charset val="134"/>
      </rPr>
      <t>报表_资管报表_交易组持仓查询表</t>
    </r>
    <r>
      <rPr>
        <sz val="10.5"/>
        <color theme="1"/>
        <rFont val="微软雅黑"/>
        <family val="2"/>
        <charset val="134"/>
      </rPr>
      <t xml:space="preserve">^ t </t>
    </r>
  </si>
  <si>
    <r>
      <t xml:space="preserve"> left join ( SELECT  a.{机构编号},sum(a.{净资产}) as {净资产} from ~</t>
    </r>
    <r>
      <rPr>
        <sz val="10.5"/>
        <color rgb="FFFF0000"/>
        <rFont val="微软雅黑"/>
        <family val="2"/>
        <charset val="134"/>
      </rPr>
      <t>报表_资管报表_交易组资产查询表</t>
    </r>
    <r>
      <rPr>
        <sz val="10.5"/>
        <color theme="1"/>
        <rFont val="微软雅黑"/>
        <family val="2"/>
        <charset val="134"/>
      </rPr>
      <t>^ a</t>
    </r>
  </si>
  <si>
    <r>
      <t xml:space="preserve">  from  ~</t>
    </r>
    <r>
      <rPr>
        <sz val="10.5"/>
        <color rgb="FFFF0000"/>
        <rFont val="微软雅黑"/>
        <family val="2"/>
        <charset val="134"/>
      </rPr>
      <t>报表_资管报表_交易组持仓查询历表</t>
    </r>
    <r>
      <rPr>
        <sz val="10.5"/>
        <color theme="1"/>
        <rFont val="微软雅黑"/>
        <family val="2"/>
        <charset val="134"/>
      </rPr>
      <t xml:space="preserve">^ t </t>
    </r>
  </si>
  <si>
    <r>
      <t xml:space="preserve"> left join ( SELECT  a.{初始化日期},a.{机构编号},sum(a.{净资产}) as {净资产} from ~</t>
    </r>
    <r>
      <rPr>
        <sz val="10.5"/>
        <color rgb="FFFF0000"/>
        <rFont val="微软雅黑"/>
        <family val="2"/>
        <charset val="134"/>
      </rPr>
      <t>报表_资管报表_交易组资产查询历表</t>
    </r>
    <r>
      <rPr>
        <sz val="10.5"/>
        <color theme="1"/>
        <rFont val="微软雅黑"/>
        <family val="2"/>
        <charset val="134"/>
      </rPr>
      <t>^ a</t>
    </r>
  </si>
  <si>
    <r>
      <t>set @查询语句# = concat(@查询语句#,",SUM(a.{当前数量} - a.{平仓数量}) as {未平仓数量},SUM(a.{当前数量} - a.{平仓数量})</t>
    </r>
    <r>
      <rPr>
        <sz val="10.5"/>
        <color rgb="FFFF0000"/>
        <rFont val="微软雅黑"/>
        <family val="2"/>
        <charset val="134"/>
      </rPr>
      <t>*sq.{最新价</t>
    </r>
    <r>
      <rPr>
        <sz val="10.5"/>
        <color theme="1" tint="4.9989318521683403E-2"/>
        <rFont val="微软雅黑"/>
        <family val="2"/>
        <charset val="134"/>
      </rPr>
      <t>} as {未平仓市值}");</t>
    </r>
  </si>
  <si>
    <r>
      <t>set @查询语句# = concat(@查询语句#," from ~</t>
    </r>
    <r>
      <rPr>
        <sz val="10.5"/>
        <color rgb="FFFF0000"/>
        <rFont val="微软雅黑"/>
        <family val="2"/>
        <charset val="134"/>
      </rPr>
      <t>报表_资管报表_T0_证券持仓明细表</t>
    </r>
    <r>
      <rPr>
        <sz val="10.5"/>
        <color rgb="FF9C5700"/>
        <rFont val="微软雅黑"/>
        <family val="2"/>
        <charset val="134"/>
      </rPr>
      <t>^ a ");</t>
    </r>
  </si>
  <si>
    <r>
      <t>set @查询语句# = concat(@查询语句#," join ~</t>
    </r>
    <r>
      <rPr>
        <sz val="10.5"/>
        <color rgb="FFFF0000"/>
        <rFont val="微软雅黑"/>
        <family val="2"/>
        <charset val="134"/>
      </rPr>
      <t>报表_资管报表_视图-证券基础数据-证券行情表</t>
    </r>
    <r>
      <rPr>
        <sz val="10.5"/>
        <color rgb="FF9C5700"/>
        <rFont val="微软雅黑"/>
        <family val="2"/>
        <charset val="134"/>
      </rPr>
      <t>^ sq on (a.{证券代码编号}) = (sq.{证券代码编号}) ");</t>
    </r>
  </si>
  <si>
    <r>
      <t>set @查询语句# = concat(@查询语句#," from ~</t>
    </r>
    <r>
      <rPr>
        <sz val="10.5"/>
        <color rgb="FFFF0000"/>
        <rFont val="微软雅黑"/>
        <family val="2"/>
        <charset val="134"/>
      </rPr>
      <t>报表_资管报表_T0_证券持仓明细表历史</t>
    </r>
    <r>
      <rPr>
        <sz val="10.5"/>
        <color rgb="FF9C5700"/>
        <rFont val="微软雅黑"/>
        <family val="2"/>
        <charset val="134"/>
      </rPr>
      <t>^ a ");</t>
    </r>
  </si>
  <si>
    <r>
      <t>set @查询语句# = concat(@查询语句#," join ~</t>
    </r>
    <r>
      <rPr>
        <sz val="10.5"/>
        <color rgb="FFFF0000"/>
        <rFont val="微软雅黑"/>
        <family val="2"/>
        <charset val="134"/>
      </rPr>
      <t>报表_资管报表_视图-证券基础数据-历史证券行情表</t>
    </r>
    <r>
      <rPr>
        <sz val="10.5"/>
        <color rgb="FF9C5700"/>
        <rFont val="微软雅黑"/>
        <family val="2"/>
        <charset val="134"/>
      </rPr>
      <t>^ sq on (a.{证券代码编号},a.{初始化日期}) = (sq.{证券代码编号},sq.{初始化日期}) ");</t>
    </r>
  </si>
  <si>
    <r>
      <t>from ~</t>
    </r>
    <r>
      <rPr>
        <sz val="10.5"/>
        <color rgb="FFFF0000"/>
        <rFont val="微软雅黑"/>
        <family val="2"/>
        <charset val="134"/>
      </rPr>
      <t>报表_资管报表_产品资产查询表</t>
    </r>
    <r>
      <rPr>
        <sz val="10.5"/>
        <color theme="1"/>
        <rFont val="微软雅黑"/>
        <family val="2"/>
        <charset val="134"/>
      </rPr>
      <t xml:space="preserve">^ t where (t.{机构编号} = @操作员机构编号#) </t>
    </r>
  </si>
  <si>
    <r>
      <t>from ~</t>
    </r>
    <r>
      <rPr>
        <sz val="10.5"/>
        <color rgb="FFFF0000"/>
        <rFont val="微软雅黑"/>
        <family val="2"/>
        <charset val="134"/>
      </rPr>
      <t>报表_资管报表_交易组持仓查询表</t>
    </r>
    <r>
      <rPr>
        <sz val="10.5"/>
        <color theme="1"/>
        <rFont val="微软雅黑"/>
        <family val="2"/>
        <charset val="134"/>
      </rPr>
      <t>^ t</t>
    </r>
  </si>
  <si>
    <r>
      <t>from ~</t>
    </r>
    <r>
      <rPr>
        <sz val="10.5"/>
        <color rgb="FFFF0000"/>
        <rFont val="微软雅黑"/>
        <family val="2"/>
        <charset val="134"/>
      </rPr>
      <t>报表_资管报表_产品持仓查询历表</t>
    </r>
    <r>
      <rPr>
        <sz val="10.5"/>
        <color theme="1"/>
        <rFont val="微软雅黑"/>
        <family val="2"/>
        <charset val="134"/>
      </rPr>
      <t xml:space="preserve">^ t </t>
    </r>
  </si>
  <si>
    <r>
      <t>from ~</t>
    </r>
    <r>
      <rPr>
        <sz val="10.5"/>
        <color rgb="FFFF0000"/>
        <rFont val="微软雅黑"/>
        <family val="2"/>
        <charset val="134"/>
      </rPr>
      <t>报表_资管报表_交易组持仓查询历表</t>
    </r>
    <r>
      <rPr>
        <sz val="10.5"/>
        <color theme="1"/>
        <rFont val="微软雅黑"/>
        <family val="2"/>
        <charset val="134"/>
      </rPr>
      <t xml:space="preserve">^ t </t>
    </r>
  </si>
  <si>
    <r>
      <t xml:space="preserve">from </t>
    </r>
    <r>
      <rPr>
        <sz val="10.5"/>
        <color rgb="FFFF0000"/>
        <rFont val="微软雅黑"/>
        <family val="2"/>
        <charset val="134"/>
      </rPr>
      <t xml:space="preserve">~报表_资管报表_产品证券-持仓-交易组持仓表^ </t>
    </r>
    <r>
      <rPr>
        <sz val="10.5"/>
        <color theme="1"/>
        <rFont val="微软雅黑"/>
        <family val="2"/>
        <charset val="134"/>
      </rPr>
      <t xml:space="preserve">t </t>
    </r>
  </si>
  <si>
    <r>
      <t>[按条件拼字符串][@查询条件#][@操作员编号#&lt;&gt;0]['  and ({机构编号},{产品编号},{交易组编号}) in (select {机构编号},{产品编号},{交易组编号} from ~</t>
    </r>
    <r>
      <rPr>
        <sz val="10.5"/>
        <color rgb="FFFF0000"/>
        <rFont val="微软雅黑"/>
        <family val="2"/>
        <charset val="134"/>
      </rPr>
      <t>报表_资管报表_公共-用户-操作员所属交易组表</t>
    </r>
    <r>
      <rPr>
        <sz val="10.5"/>
        <color rgb="FF0070C0"/>
        <rFont val="微软雅黑"/>
        <family val="2"/>
        <charset val="134"/>
      </rPr>
      <t>^ oprg where oprg.{操作员编号} = ',@操作员编号#,')']</t>
    </r>
  </si>
  <si>
    <r>
      <t># set @查询语句# = concat(@查询语句#," and (t.{记录序号}) in (select MIN(x.{记录序号}) as {记录序号} from ~</t>
    </r>
    <r>
      <rPr>
        <sz val="10.5"/>
        <color rgb="FFFF0000"/>
        <rFont val="微软雅黑"/>
        <family val="2"/>
        <charset val="134"/>
      </rPr>
      <t>报表_资管报表_T0_证券持仓明细表历史</t>
    </r>
    <r>
      <rPr>
        <sz val="10.5"/>
        <color theme="7" tint="-0.499984740745262"/>
        <rFont val="微软雅黑"/>
        <family val="2"/>
        <charset val="134"/>
      </rPr>
      <t>^ x where ",replace(@查询条件#,'t.','x.'),"  GROUP BY x.{成交编号})");</t>
    </r>
  </si>
  <si>
    <r>
      <t>set @查询语句# = concat(@查询语句#," from ~</t>
    </r>
    <r>
      <rPr>
        <sz val="10.5"/>
        <color rgb="FFFF0000"/>
        <rFont val="微软雅黑"/>
        <family val="2"/>
        <charset val="134"/>
      </rPr>
      <t>报表_资管报表_T0_证券平仓成交明细表历史</t>
    </r>
    <r>
      <rPr>
        <sz val="10.5"/>
        <color theme="7" tint="-0.499984740745262"/>
        <rFont val="微软雅黑"/>
        <family val="2"/>
        <charset val="134"/>
      </rPr>
      <t>^ t where ",@查询条件#);</t>
    </r>
  </si>
  <si>
    <r>
      <t>set @查询语句# =replace(@查询语句#,'~</t>
    </r>
    <r>
      <rPr>
        <sz val="10.5"/>
        <color rgb="FFFF0000"/>
        <rFont val="微软雅黑"/>
        <family val="2"/>
        <charset val="134"/>
      </rPr>
      <t>报表_资管报表_T0_证券持仓明细表历史</t>
    </r>
    <r>
      <rPr>
        <sz val="10.5"/>
        <color theme="3" tint="-0.499984740745262"/>
        <rFont val="微软雅黑"/>
        <family val="2"/>
        <charset val="134"/>
      </rPr>
      <t>^','~</t>
    </r>
    <r>
      <rPr>
        <sz val="10.5"/>
        <color rgb="FFFF0000"/>
        <rFont val="微软雅黑"/>
        <family val="2"/>
        <charset val="134"/>
      </rPr>
      <t>报表_资管报表_T0_证券持仓明细表</t>
    </r>
    <r>
      <rPr>
        <sz val="10.5"/>
        <color theme="3" tint="-0.499984740745262"/>
        <rFont val="微软雅黑"/>
        <family val="2"/>
        <charset val="134"/>
      </rPr>
      <t>^');</t>
    </r>
  </si>
  <si>
    <r>
      <t>set @查询语句# =replace(@查询语句#,'~</t>
    </r>
    <r>
      <rPr>
        <sz val="10.5"/>
        <color rgb="FFFF0000"/>
        <rFont val="微软雅黑"/>
        <family val="2"/>
        <charset val="134"/>
      </rPr>
      <t>报表_资管报表_T0_证券平仓成交明细表历史</t>
    </r>
    <r>
      <rPr>
        <sz val="10.5"/>
        <color theme="3" tint="-0.499984740745262"/>
        <rFont val="微软雅黑"/>
        <family val="2"/>
        <charset val="134"/>
      </rPr>
      <t>^','~</t>
    </r>
    <r>
      <rPr>
        <sz val="10.5"/>
        <color rgb="FFFF0000"/>
        <rFont val="微软雅黑"/>
        <family val="2"/>
        <charset val="134"/>
      </rPr>
      <t>报表_资管报表_T0_证券平仓成交明细表</t>
    </r>
    <r>
      <rPr>
        <sz val="10.5"/>
        <color theme="3" tint="-0.499984740745262"/>
        <rFont val="微软雅黑"/>
        <family val="2"/>
        <charset val="134"/>
      </rPr>
      <t>^');</t>
    </r>
  </si>
  <si>
    <r>
      <t>from ~</t>
    </r>
    <r>
      <rPr>
        <sz val="10.5"/>
        <color rgb="FFFF0000"/>
        <rFont val="微软雅黑"/>
        <family val="2"/>
        <charset val="134"/>
      </rPr>
      <t>报表_资管报表_交易证券-报盘-成交表</t>
    </r>
    <r>
      <rPr>
        <sz val="10.5"/>
        <color theme="1"/>
        <rFont val="微软雅黑"/>
        <family val="2"/>
        <charset val="134"/>
      </rPr>
      <t>^ t</t>
    </r>
  </si>
  <si>
    <r>
      <t>from ~</t>
    </r>
    <r>
      <rPr>
        <sz val="10.5"/>
        <color rgb="FFFF0000"/>
        <rFont val="微软雅黑"/>
        <family val="2"/>
        <charset val="134"/>
      </rPr>
      <t>报表_资管报表_视图-证券基础数据-证券行情表</t>
    </r>
    <r>
      <rPr>
        <sz val="10.5"/>
        <color theme="1"/>
        <rFont val="微软雅黑"/>
        <family val="2"/>
        <charset val="134"/>
      </rPr>
      <t xml:space="preserve">^ t where (@证券代码编号# = 0 or t.{证券代码编号} = @证券代码编号#) </t>
    </r>
  </si>
  <si>
    <r>
      <t>from ~</t>
    </r>
    <r>
      <rPr>
        <sz val="10.5"/>
        <color rgb="FFFF0000"/>
        <rFont val="微软雅黑"/>
        <family val="2"/>
        <charset val="134"/>
      </rPr>
      <t>报表_资管报表_指令统计表</t>
    </r>
    <r>
      <rPr>
        <sz val="10.5"/>
        <color theme="1"/>
        <rFont val="微软雅黑"/>
        <family val="2"/>
        <charset val="134"/>
      </rPr>
      <t xml:space="preserve">^ t where (t.{机构编号} = @机构编号#) </t>
    </r>
  </si>
  <si>
    <r>
      <t>from ~</t>
    </r>
    <r>
      <rPr>
        <sz val="10.5"/>
        <color rgb="FFFF0000"/>
        <rFont val="微软雅黑"/>
        <family val="2"/>
        <charset val="134"/>
      </rPr>
      <t>报表_资管报表_交易操作效率表</t>
    </r>
    <r>
      <rPr>
        <sz val="10.5"/>
        <color theme="1"/>
        <rFont val="微软雅黑"/>
        <family val="2"/>
        <charset val="134"/>
      </rPr>
      <t xml:space="preserve">^ t where (t.{机构编号} = @机构编号#) </t>
    </r>
  </si>
  <si>
    <r>
      <t>from ~</t>
    </r>
    <r>
      <rPr>
        <sz val="10.5"/>
        <color rgb="FFFF0000"/>
        <rFont val="微软雅黑"/>
        <family val="2"/>
        <charset val="134"/>
      </rPr>
      <t>报表_资管报表_产品汇总持仓表</t>
    </r>
    <r>
      <rPr>
        <sz val="10.5"/>
        <color theme="1"/>
        <rFont val="微软雅黑"/>
        <family val="2"/>
        <charset val="134"/>
      </rPr>
      <t xml:space="preserve">^ t where (t.{机构编号} = @操作员机构编号#) </t>
    </r>
  </si>
  <si>
    <r>
      <t>from ~</t>
    </r>
    <r>
      <rPr>
        <sz val="10.5"/>
        <color rgb="FFFF0000"/>
        <rFont val="微软雅黑"/>
        <family val="2"/>
        <charset val="134"/>
      </rPr>
      <t>报表_资管报表_产品汇总持仓历史</t>
    </r>
    <r>
      <rPr>
        <sz val="10.5"/>
        <color theme="1"/>
        <rFont val="微软雅黑"/>
        <family val="2"/>
        <charset val="134"/>
      </rPr>
      <t xml:space="preserve">^ t where (t.{机构编号} = @操作员机构编号#) </t>
    </r>
  </si>
  <si>
    <t xml:space="preserve">  and t.{交易组编号} in (select {交易组编号} from ~报表_资管报表_公共-用户-操作员所属交易组表^ op where op.{操作员编号} = @操作员编号#);</t>
    <phoneticPr fontId="35" type="noConversion"/>
  </si>
  <si>
    <t xml:space="preserve">  select sum(if(t.{订单方向} =1,if(t.{市场编号} in(3,4),t.{成交金额}*@卖出参考汇率#,t.{成交金额}),0)),sum(if(t.{订单方向} =2,if(t.{市场编号} in(3,4),t.{成交金额}*@买入参考汇率#,t.{成交金额}),0))  into @成交占用金额#,@成交释放金额#</t>
    <phoneticPr fontId="35" type="noConversion"/>
  </si>
  <si>
    <t xml:space="preserve">  and  (@产品编号# = 0 or t.{产品编号} = @产品编号#) and  (@交易组编号# = 0 or t.{交易组编号} = @交易组编号#)    and t.{记录有效标志}&lt;&gt;2</t>
    <phoneticPr fontId="35" type="noConversion"/>
  </si>
  <si>
    <t xml:space="preserve">  and   t.{证券类型} &lt;&gt; 《证券类型-货币ETF基金》 and  t.{证券类型} &lt;&gt;《证券类型-普通货币基金》</t>
    <phoneticPr fontId="35" type="noConversion"/>
  </si>
  <si>
    <t xml:space="preserve">  and t.{订单方向} in(1,2,31)  and t.{产品编号} in (select {产品编号} from ~报表_资管报表_公共-用户-操作员可操作产品表^ opr where opr.{操作员编号} = @操作员编号#)</t>
    <phoneticPr fontId="35" type="noConversion"/>
  </si>
  <si>
    <t>逻辑_报表_资管报表_T+0持仓盈亏查询</t>
    <phoneticPr fontId="35" type="noConversion"/>
  </si>
  <si>
    <t>逻辑_报表_资管报表_T+0券源持仓报表查询</t>
    <phoneticPr fontId="35" type="noConversion"/>
  </si>
  <si>
    <t xml:space="preserve"> , ifnull(t.curr_qty * f_get_marketprice(t.stock_code_no,t.stock_code,t.exch_no,if(t.exch_no in (3,4), if(t.{投资类型} = 3, if(t.{公允价格}&lt;0.001,stq.{最新价},t.{公允价格}),stq.{最新价}) * @汇率# , if(t.{投资类型} = 3, if(t.{公允价格}&lt;0.001,stq.{最新价},t.{公允价格}),stq.{最新价}))),0) as {持仓市值}</t>
    <phoneticPr fontId="35" type="noConversion"/>
  </si>
  <si>
    <t xml:space="preserve"> , ifnull(t.curr_qty * f_get_marketprice(t.stock_code_no,t.stock_code,t.exch_no,if(t.exch_no in (3,4), f_get_stock_full_price(t.asset_type,t.fair_price,stq.{最新价},t.net_price_flag, t.bond_rate_type, t.bond_accr_intrst) * @汇率# , f_get_stock_full_price(t.asset_type,t.fair_price,stq.{最新价},t.net_price_flag, t.bond_rate_type, t.bond_accr_intrst))),0) as {全价持仓市值}</t>
    <phoneticPr fontId="35" type="noConversion"/>
  </si>
  <si>
    <t xml:space="preserve"> , ifnull(t.curr_qty * f_get_marketprice(t.stock_code_no,t.stock_code,t.exch_no,if(t.exch_no in (3,4), if(t.{投资类型} = 3, if(t.{公允价格}&lt;0.001,stq.{最新价},t.{公允价格}),stq.{最新价}) * @汇率# ,if(t.{投资类型} = 3, if(t.{公允价格}&lt;0.001,stq.{最新价},t.{公允价格}),stq.{最新价}))),0) as {持仓市值}</t>
    <phoneticPr fontId="35" type="noConversion"/>
  </si>
  <si>
    <t xml:space="preserve"> , ifnull(t.curr_qty *f_get_marketprice(t.stock_code_no, t.stock_code,t.exch_no,if(t.exch_no in (3,4), f_get_stock_full_price(t.asset_type,t.fair_price,stq.{最新价},t.net_price_flag, t.bond_rate_type, t.bond_accr_intrst) * @汇率# , f_get_stock_full_price(t.asset_type,t.fair_price,stq.{最新价},t.net_price_flag, t.bond_rate_type, t.bond_accr_intrst))),0) as {全价持仓市值}</t>
    <phoneticPr fontId="35" type="noConversion"/>
  </si>
  <si>
    <t xml:space="preserve">  select sum({成本金额})  ,sum( ifnull(t.curr_qty * if(t.exch_no in (3,4), if(t.{投资类型} = 3, t.{公允价格},stq.{最新价}) * @汇率# , if(t.{投资类型} = 3, if(t.{公允价格}&lt;0.0001,t.{公允价格},stq.{最新价}),stq.{最新价})),0)) into  @成本金额#, @持仓市值#   from ~报表_资管报表_产品持仓查询表^ t , db_dc.tb_basesedt_stock_quot stq where (t.{证券代码编号}) = (stq.{证券代码编号}) and t.{证券类型} &lt;&gt;《证券类型-回购标准券》 and ({机构编号} = @操作员机构编号#)  and  (@产品编号# = 0 or {产品编号} = @产品编号#)  and {产品编号} in (select {产品编号} from ~报表_资管报表_公共-用户-操作员可操作产品表^ opr where opr.{操作员编号} = @操作员编号#) ;</t>
    <phoneticPr fontId="35" type="noConversion"/>
  </si>
  <si>
    <t>, SUM( if(t.{投资类型} = 3, t.{大宗交易持仓市值},ifnull(t.curr_qty * f_get_marketprice(t.stock_code_no,t.stock_code,t.exch_no,if(t.exch_no in (3,4), if(t.{投资类型} = 3, t.{公允价格}, stq.{最新价}) * @汇率# , if(t.{投资类型} = 3, t.{公允价格}, stq.{最新价}))),0)) ) AS {持仓市值}</t>
    <phoneticPr fontId="35" type="noConversion"/>
  </si>
  <si>
    <t xml:space="preserve">, SUM(  if(t.{投资类型} = 3, t.{大宗交易持仓市值}, ifnull(t.curr_qty * f_get_marketprice(t.stock_code_no,t.stock_code,t.exch_no,if(t.exch_no in (3,4), f_get_stock_full_price(t.asset_type,t.fair_price,stq.{最新价},t.net_price_flag, t.bond_rate_type, t.bond_accr_intrst) * @汇率# , f_get_stock_full_price(t.asset_type,t.fair_price,stq.{最新价},t.net_price_flag, t.bond_rate_type, t.bond_accr_intrst))),0) )) AS {全价持仓市值} </t>
    <phoneticPr fontId="35" type="noConversion"/>
  </si>
  <si>
    <t xml:space="preserve"> , sum(ifnull(t.curr_qty * f_get_marketprice(t.stock_code_no,t.stock_code,t.exch_no,if(t.exch_no in (3,4), if(t.{投资类型} = 3, t.{公允价格},stq.{最新价}) * @汇率# , if(t.{投资类型} = 3, t.{公允价格},stq.{最新价}))),0)) as {持仓市值}</t>
    <phoneticPr fontId="35" type="noConversion"/>
  </si>
  <si>
    <t xml:space="preserve"> , sum(ifnull(t.curr_qty * f_get_marketprice(t.stock_code_no,t.stock_code,t.exch_no,if(t.exch_no in (3,4), f_get_stock_full_price(t.asset_type,t.fair_price,stq.{最新价},t.net_price_flag, t.bond_rate_type, t.bond_accr_intrst) * @汇率# , f_get_stock_full_price(t.asset_type,t.fair_price,stq.{最新价},t.net_price_flag, t.bond_rate_type, t.bond_accr_intrst))),0)) as {全价持仓市值}</t>
    <phoneticPr fontId="35" type="noConversion"/>
  </si>
  <si>
    <r>
      <t>set @查询语句# = concat(@查询语句#," from ~</t>
    </r>
    <r>
      <rPr>
        <sz val="10.5"/>
        <color rgb="FFFF0000"/>
        <rFont val="微软雅黑"/>
        <family val="2"/>
        <charset val="134"/>
      </rPr>
      <t>报表_资管报表_T0_证券持仓明细表历史</t>
    </r>
    <r>
      <rPr>
        <sz val="10.5"/>
        <color theme="7" tint="-0.499984740745262"/>
        <rFont val="微软雅黑"/>
        <family val="2"/>
        <charset val="134"/>
      </rPr>
      <t>^ t where ","  t.{持仓状态}&lt;&gt;3 and ",@查询条件#);</t>
    </r>
    <phoneticPr fontId="35" type="noConversion"/>
  </si>
  <si>
    <t>SELECT_x000D_
 a.{市场编号},_x000D_
 a.{证券代码编号},_x000D_
 b.{证券类型},_x000D_
 sum(_x000D_
 a.{当前数量} - a.{成交占用数量}+ a.{成交释放数量}
 ) AS {持仓数量},_x000D_
 sum(a.{成交释放数量}) AS {当日买入数量},
 sum(a.{成交占用数量}) AS {当日卖出数量},
b.{最新价} as {今收盘价},_x000D_
 f_get_hk_amt(a.{初始化日期},a.{市场编号},sum(_x000D_
 a.{当前数量}_x000D_ - a.{成交占用数量} + a.{成交释放数量}
 )*f_get_marketprice(a.stock_code_no,b.stock_code,b.exch_no,b.net_price)) as {持仓市值},_x000D_
ifnull(_x000D_
f_get_hk_amt(a.{初始化日期},a.{市场编号},	sum(_x000D_
 a.{当前数量}_x000D_ - a.{成交占用数量} + a.{成交释放数量}
 )*f_get_marketprice(a.stock_code_no,b.stock_code,b.exch_no,b.net_price))/@净资产#,0) as {持仓净值占比}_x000D_
FROM_x000D_
 ~报表_资管报表_视图-数据-产品-资产账户-持仓^ a,_x000D_
 ~报表_资管报表_视图-证券基础数据-证券行情表^ b
WHERE_x000D_ a.{市场编号} = b.{市场编号}_x000D_
AND a.{证券代码编号} = b.{证券代码编号}_x000D_
AND (a.{期初数量}&lt;&gt;0 or a.{当前数量} &lt;&gt;0 
or a.{成交占用数量}&lt;&gt;0 or a.{成交释放数量}&lt;&gt;0 or a.{冻结数量}&lt;&gt;0 or a.{解冻数量}&lt;&gt;0)_x000D_
AND (a.{机构编号} = @操作员机构编号#) and (@市场编号# = 0 or a.{市场编号} = @市场编号#) and (@证券代码编号# = 0 or a.{证券代码编号} = @证券代码编号#)  and (@证券类型# = 0 or b.{证券类型} = @证券类型#) 
GROUP BY_x000D_
 a.{市场编号},_x000D_
 b.{证券类型},_x000D_
 a.{证券代码编号}_x000D_
order by _x000D_
 a.{市场编号},_x000D_
 b.{证券类型},_x000D_
 a.{证券代码编号};</t>
    <phoneticPr fontId="35" type="noConversion"/>
  </si>
  <si>
    <t xml:space="preserve">SELECT_x000D_
 a.{产品编号},_x000D_
 a.{市场编号},_x000D_
 a.{证券代码编号},_x000D_b.{证券类型},
 sum(_x000D_ a.{当前数量}_x000D_ - a.{成交占用数量} + a.{成交释放数量} ) AS {持仓数量},_x000D_
 sum(a.{成交释放数量}) AS {当日买入数量},
 sum(a.{成交占用数量}) AS {当日卖出数量},
 ifnull(_x000D_ sum(a.{成本金额}) / sum(_x000D_ a.{当前数量}_x000D_ - a.{成交占用数量} + a.{成交释放数量}),_x000D_ 0_x000D_) AS {成本价},_x000D_
 b.{最新价} AS {今收盘价},_x000D_
 f_get_hk_amt(a.{初始化日期},a.{市场编号},sum(_x000D_ (_x000D_a.{当前数量}_x000D_ - a.{成交占用数量} + a.{成交释放数量})_x000D_) *f_get_marketprice(a.{证券代码编号},b.stock_code,b.exch_no,b.net_price)) AS {持仓市值}_x000D_
FROM_x000D_
 ~报表_资管报表_视图-证券基础数据-证券行情表^ b,_x000D_
 ~报表_资管报表_视图-数据-产品-资产账户-持仓^ a
WHERE_x000D_
 a.{市场编号} = b.{市场编号}_x000D_
AND a.{证券代码编号} = b.{证券代码编号}_x000D_
AND (a.{机构编号} = @操作员机构编号#)_x000D_ and (@产品编号# = 0 or a.{产品编号} = @产品编号#) and (@市场编号# = 0 or a.{市场编号} = @市场编号#) and (@证券代码编号# = 0 or a.{证券代码编号} = @证券代码编号#)  and (@证券类型# = 0 or b.{证券类型} = @证券类型#) 
AND (a.{期初数量}&lt;&gt;0 or a.{当前数量} &lt;&gt; 0 
 or a.{成交占用数量}&lt;&gt;0 or a.{成交释放数量}&lt;&gt;0 or a.{冻结数量}&lt;&gt;0 or a.{解冻数量}&lt;&gt;0)_x000D_
GROUP BY_x000D_
 a.{产品编号},_x000D_
 a.{市场编号},_x000D_
 a.{证券代码编号}_x000D_
ORDER BY_x000D_
 a.{产品编号},_x000D_
 a.{市场编号},_x000D_
 a.{证券代码编号};_x000D_
</t>
    <phoneticPr fontId="35" type="noConversion"/>
  </si>
  <si>
    <t>开仓均价</t>
    <phoneticPr fontId="35" type="noConversion"/>
  </si>
  <si>
    <t>open_aver_price</t>
    <phoneticPr fontId="35" type="noConversion"/>
  </si>
  <si>
    <t>[获取表记录][报表_资管报表_视图-期货交易组持仓][{记录序号},{初始化日期},{机构编号},{产品编号},{资产账户编号},{交易组编号},{市场编号},{交易编码编号},{合约代码编号},{多空类型},{套保标志},{当前数量},{开仓价格},{盯市盈亏},{应收保证金},{成交释放数量},{今仓成交占用数量},{持仓市值},{持仓净值占比},{开仓均价}][({机构编号}=@操作员机构编号#) and  (@合约代码编号# = 0 or {合约代码编号}=@合约代码编号#)  and  ({产品编号} = @产品编号# or @产品编号# = 0) and ({机构编号},{产品编号},{交易组编号}) in (select {机构编号},{产品编号},{交易组编号} from ~报表_资管报表_公共-用户-操作员所属交易组表^ opr where opr.{操作员编号} = @操作员编号#) and {记录序号} &gt; @记录序号# order by {记录序号}][@指定行数#]</t>
    <phoneticPr fontId="35" type="noConversion"/>
  </si>
  <si>
    <t>[获取表记录][报表_资管报表_视图-期货产品持仓][{记录序号},{初始化日期},{机构编号},{产品编号},{资产账户编号},{市场编号},{交易编码编号},{合约代码编号},{多空类型},{套保标志},{当前数量},{开仓价格},{盯市盈亏},{应收保证金},{成交释放数量},{今仓成交占用数量},{持仓市值},{持仓净值占比},{开仓均价}][({机构编号}=@操作员机构编号#) and  (@合约代码编号# = 0 or {合约代码编号}=@合约代码编号#) and ({产品编号} = @产品编号# or @产品编号# = 0) and ({机构编号},{产品编号}) in (select {机构编号},{产品编号} from ~报表_资管报表_公共-用户-操作员可操作产品表^ opr where opr.{操作员编号} = @操作员编号#)  and  {记录序号} &gt; @记录序号# order by {记录序号}][@指定行数#]</t>
    <phoneticPr fontId="35" type="noConversion"/>
  </si>
  <si>
    <t>按产品资产</t>
    <phoneticPr fontId="35" type="noConversion"/>
  </si>
  <si>
    <t>input</t>
    <phoneticPr fontId="35" type="noConversion"/>
  </si>
  <si>
    <t>remark_info</t>
    <phoneticPr fontId="35" type="noConversion"/>
  </si>
  <si>
    <t>varchar(255)</t>
    <phoneticPr fontId="35" type="noConversion"/>
  </si>
  <si>
    <t>" "</t>
    <phoneticPr fontId="35" type="noConversion"/>
  </si>
  <si>
    <t>业务发生的备注信息</t>
    <phoneticPr fontId="35" type="noConversion"/>
  </si>
  <si>
    <t>select</t>
    <phoneticPr fontId="35" type="noConversion"/>
  </si>
  <si>
    <t>投机、套保、套利等</t>
    <phoneticPr fontId="35" type="noConversion"/>
  </si>
  <si>
    <t>open_aver_price</t>
  </si>
  <si>
    <t>holder_profit</t>
    <phoneticPr fontId="35" type="noConversion"/>
  </si>
  <si>
    <t>decimal(18,4)</t>
    <phoneticPr fontId="35" type="noConversion"/>
  </si>
  <si>
    <t>varchar(6)</t>
    <phoneticPr fontId="35" type="noConversion"/>
  </si>
  <si>
    <t>与交易所一致的证券代码</t>
    <phoneticPr fontId="35" type="noConversion"/>
  </si>
  <si>
    <t>varchar(64)</t>
    <phoneticPr fontId="35" type="noConversion"/>
  </si>
  <si>
    <t>exch_group_no</t>
    <phoneticPr fontId="35" type="noConversion"/>
  </si>
  <si>
    <t>int</t>
    <phoneticPr fontId="35" type="noConversion"/>
  </si>
  <si>
    <t>产品的交易小组的编号</t>
    <phoneticPr fontId="35" type="noConversion"/>
  </si>
  <si>
    <t>strike_capt_amt</t>
    <phoneticPr fontId="35" type="noConversion"/>
  </si>
  <si>
    <t>订单实际成交的成交总金额</t>
    <phoneticPr fontId="35" type="noConversion"/>
  </si>
  <si>
    <t>买、卖、融资回购、融券回购等</t>
    <phoneticPr fontId="35" type="noConversion"/>
  </si>
  <si>
    <t>报表&lt;银叶&gt;盈亏分析：</t>
    <phoneticPr fontId="35" type="noConversion"/>
  </si>
  <si>
    <t>strike_releas_amt</t>
    <phoneticPr fontId="35" type="noConversion"/>
  </si>
  <si>
    <t>C:\Users\82384\Desktop\开发文档\D2.Designs\公共\设计模板(公共-公共接口).xlsx,'公共-公共接口-事务服务'!E2</t>
    <phoneticPr fontId="35" type="noConversion"/>
  </si>
  <si>
    <t>C:\Users\gambl\Desktop\osm备份3\D2.Designs\资管报表\设计模板(报表-资管报表).xlsx,'报表-资管报表-事务服务'!E2</t>
    <phoneticPr fontId="35" type="noConversion"/>
  </si>
  <si>
    <t>C:\Users\gambl\Desktop\osm备份3\D2.Designs\资管报表\设计模板(报表-资管报表).xlsx,'报表-资管报表-事务服务'!E42</t>
    <phoneticPr fontId="35" type="noConversion"/>
  </si>
  <si>
    <t>C:\Users\gambl\Desktop\osm备份3\D2.Designs\资管报表\设计模板(报表-资管报表).xlsx,'报表-资管报表-事务服务'!E100</t>
    <phoneticPr fontId="35" type="noConversion"/>
  </si>
  <si>
    <t>C:\Users\gambl\Desktop\osm备份3\D2.Designs\资管报表\设计模板(报表-资管报表).xlsx,'报表-资管报表-事务服务'!E132</t>
    <phoneticPr fontId="35" type="noConversion"/>
  </si>
  <si>
    <t>C:\Users\gambl\Desktop\osm备份3\D2.Designs\资管报表\设计模板(报表-资管报表).xlsx,'报表-资管报表-事务服务'!E176</t>
    <phoneticPr fontId="35" type="noConversion"/>
  </si>
  <si>
    <t>C:\Users\gambl\Desktop\osm备份3\D2.Designs\资管报表\设计模板(报表-资管报表).xlsx,'报表-资管报表-事务服务'!E239</t>
    <phoneticPr fontId="35" type="noConversion"/>
  </si>
  <si>
    <t>C:\Users\gambl\Desktop\osm备份3\D2.Designs\资管报表\设计模板(报表-资管报表).xlsx,'报表-资管报表-事务服务'!E274</t>
    <phoneticPr fontId="35" type="noConversion"/>
  </si>
  <si>
    <t>C:\Users\gambl\Desktop\osm备份3\D2.Designs\资管报表\设计模板(报表-资管报表).xlsx,'报表-资管报表-事务服务'!E308</t>
    <phoneticPr fontId="35" type="noConversion"/>
  </si>
  <si>
    <t>C:\Users\gambl\Desktop\osm备份3\D2.Designs\资管报表\设计模板(报表-资管报表).xlsx,'报表-资管报表-事务服务'!E340</t>
    <phoneticPr fontId="35" type="noConversion"/>
  </si>
  <si>
    <t>C:\Users\gambl\Desktop\osm备份3\D2.Designs\资管报表\设计模板(报表-资管报表).xlsx,'报表-资管报表-事务服务'!E382</t>
    <phoneticPr fontId="35" type="noConversion"/>
  </si>
  <si>
    <t>C:\Users\gambl\Desktop\osm备份3\D2.Designs\资管报表\设计模板(报表-资管报表).xlsx,'报表-资管报表-事务服务'!E420</t>
    <phoneticPr fontId="35" type="noConversion"/>
  </si>
  <si>
    <t>C:\Users\gambl\Desktop\osm备份3\D2.Designs\资管报表\设计模板(报表-资管报表).xlsx,'报表-资管报表-事务服务'!E457</t>
    <phoneticPr fontId="35" type="noConversion"/>
  </si>
  <si>
    <t>C:\Users\gambl\Desktop\osm备份3\D2.Designs\资管报表\设计模板(报表-资管报表).xlsx,'报表-资管报表-事务服务'!E520</t>
    <phoneticPr fontId="35" type="noConversion"/>
  </si>
  <si>
    <t>C:\Users\gambl\Desktop\osm备份3\D2.Designs\资管报表\设计模板(报表-资管报表).xlsx,'报表-资管报表-事务服务'!E586</t>
    <phoneticPr fontId="35" type="noConversion"/>
  </si>
  <si>
    <t>C:\Users\gambl\Desktop\osm备份3\D2.Designs\资管报表\设计模板(报表-资管报表).xlsx,'报表-资管报表-事务服务'!E636</t>
    <phoneticPr fontId="35" type="noConversion"/>
  </si>
  <si>
    <t>C:\Users\gambl\Desktop\osm备份3\D2.Designs\资管报表\设计模板(报表-资管报表).xlsx,'报表-资管报表-事务服务'!E678</t>
    <phoneticPr fontId="35" type="noConversion"/>
  </si>
  <si>
    <t>C:\Users\gambl\Desktop\osm备份3\D2.Designs\资管报表\设计模板(报表-资管报表).xlsx,'报表-资管报表-事务服务'!E721</t>
    <phoneticPr fontId="35" type="noConversion"/>
  </si>
  <si>
    <t>C:\Users\gambl\Desktop\osm备份3\D2.Designs\资管报表\设计模板(报表-资管报表).xlsx,'报表-资管报表-事务服务'!E770</t>
    <phoneticPr fontId="35" type="noConversion"/>
  </si>
  <si>
    <t>C:\Users\gambl\Desktop\osm备份3\D2.Designs\资管报表\设计模板(报表-资管报表).xlsx,'报表-资管报表-事务服务'!E894</t>
    <phoneticPr fontId="35" type="noConversion"/>
  </si>
  <si>
    <t>C:\Users\gambl\Desktop\osm备份3\D2.Designs\资管报表\设计模板(报表-资管报表).xlsx,'报表-资管报表-事务服务'!E1022</t>
    <phoneticPr fontId="35" type="noConversion"/>
  </si>
  <si>
    <t>C:\Users\gambl\Desktop\osm备份3\D2.Designs\资管报表\设计模板(报表-资管报表).xlsx,'报表-资管报表-事务服务'!E1056</t>
    <phoneticPr fontId="35" type="noConversion"/>
  </si>
  <si>
    <t>C:\Users\gambl\Desktop\osm备份3\D2.Designs\资管报表\设计模板(报表-资管报表).xlsx,'报表-资管报表-事务服务'!E1092</t>
    <phoneticPr fontId="35" type="noConversion"/>
  </si>
  <si>
    <t>C:\Users\gambl\Desktop\osm备份3\D2.Designs\资管报表\设计模板(报表-资管报表).xlsx,'报表-资管报表-事务服务'!E1133</t>
    <phoneticPr fontId="35" type="noConversion"/>
  </si>
  <si>
    <t>C:\Users\gambl\Desktop\osm备份3\D2.Designs\资管报表\设计模板(报表-资管报表).xlsx,'报表-资管报表-事务服务'!E1176</t>
    <phoneticPr fontId="35" type="noConversion"/>
  </si>
  <si>
    <t>C:\Users\gambl\Desktop\osm备份3\D2.Designs\资管报表\设计模板(报表-资管报表).xlsx,'报表-资管报表-事务服务'!E1202</t>
    <phoneticPr fontId="35" type="noConversion"/>
  </si>
  <si>
    <t>C:\Users\gambl\Desktop\osm备份3\D2.Designs\资管报表\设计模板(报表-资管报表).xlsx,'报表-资管报表-事务服务'!E1237</t>
    <phoneticPr fontId="35" type="noConversion"/>
  </si>
  <si>
    <t>C:\Users\gambl\Desktop\osm备份3\D2.Designs\资管报表\设计模板(报表-资管报表).xlsx,'报表-资管报表-事务服务'!E1298</t>
    <phoneticPr fontId="35" type="noConversion"/>
  </si>
  <si>
    <t>C:\Users\gambl\Desktop\osm备份3\D2.Designs\资管报表\设计模板(报表-资管报表).xlsx,'报表-资管报表-事务服务'!E1356</t>
    <phoneticPr fontId="35" type="noConversion"/>
  </si>
  <si>
    <t>C:\Users\gambl\Desktop\osm备份3\D2.Designs\资管报表\设计模板(报表-资管报表).xlsx,'报表-资管报表-事务服务'!E1422</t>
    <phoneticPr fontId="35" type="noConversion"/>
  </si>
  <si>
    <t>C:\Users\gambl\Desktop\osm备份3\D2.Designs\资管报表\设计模板(报表-资管报表).xlsx,'报表-资管报表-事务服务'!E1489</t>
    <phoneticPr fontId="35" type="noConversion"/>
  </si>
  <si>
    <t>C:\Users\gambl\Desktop\osm备份3\D2.Designs\资管报表\设计模板(报表-资管报表).xlsx,'报表-资管报表-事务服务'!E1568</t>
    <phoneticPr fontId="35" type="noConversion"/>
  </si>
  <si>
    <t>C:\Users\gambl\Desktop\osm备份3\D2.Designs\资管报表\设计模板(报表-资管报表).xlsx,'报表-资管报表-事务服务'!E1650</t>
    <phoneticPr fontId="35" type="noConversion"/>
  </si>
  <si>
    <t>C:\Users\gambl\Desktop\osm备份3\D2.Designs\资管报表\设计模板(报表-资管报表).xlsx,'报表-资管报表-事务服务'!E1710</t>
    <phoneticPr fontId="35" type="noConversion"/>
  </si>
  <si>
    <t>C:\Users\gambl\Desktop\osm备份3\D2.Designs\资管报表\设计模板(报表-资管报表).xlsx,'报表-资管报表-事务服务'!E1770</t>
    <phoneticPr fontId="35" type="noConversion"/>
  </si>
  <si>
    <t>C:\Users\gambl\Desktop\osm备份3\D2.Designs\资管报表\设计模板(报表-资管报表).xlsx,'报表-资管报表-事务服务'!E1813</t>
    <phoneticPr fontId="35" type="noConversion"/>
  </si>
  <si>
    <t>C:\Users\gambl\Desktop\osm备份3\D2.Designs\资管报表\设计模板(报表-资管报表).xlsx,'报表-资管报表-事务服务'!E1859</t>
    <phoneticPr fontId="35" type="noConversion"/>
  </si>
  <si>
    <t>C:\Users\gambl\Desktop\osm备份3\D2.Designs\资管报表\设计模板(报表-资管报表).xlsx,'报表-资管报表-事务服务'!E1904</t>
    <phoneticPr fontId="35" type="noConversion"/>
  </si>
  <si>
    <t>C:\Users\gambl\Desktop\osm备份3\D2.Designs\资管报表\设计模板(报表-资管报表).xlsx,'报表-资管报表-事务服务'!E1952</t>
    <phoneticPr fontId="35" type="noConversion"/>
  </si>
  <si>
    <t>C:\Users\gambl\Desktop\osm备份3\D2.Designs\资管报表\设计模板(报表-资管报表).xlsx,'报表-资管报表-事务服务'!E2126</t>
    <phoneticPr fontId="35" type="noConversion"/>
  </si>
  <si>
    <t>C:\Users\gambl\Desktop\osm备份3\D2.Designs\资管报表\设计模板(报表-资管报表).xlsx,'报表-资管报表-事务服务'!E2184</t>
    <phoneticPr fontId="35" type="noConversion"/>
  </si>
  <si>
    <t>C:\Users\gambl\Desktop\osm备份3\D2.Designs\资管报表\设计模板(报表-资管报表).xlsx,'报表-资管报表-事务服务'!E2280</t>
    <phoneticPr fontId="35" type="noConversion"/>
  </si>
  <si>
    <t>C:\Users\gambl\Desktop\osm备份3\D2.Designs\资管报表\设计模板(报表-资管报表).xlsx,'报表-资管报表-事务服务'!E2343</t>
    <phoneticPr fontId="35" type="noConversion"/>
  </si>
  <si>
    <t>C:\Users\gambl\Desktop\osm备份3\D2.Designs\资管报表\设计模板(报表-资管报表).xlsx,'报表-资管报表-事务服务'!E2438</t>
    <phoneticPr fontId="35" type="noConversion"/>
  </si>
  <si>
    <t>C:\Users\gambl\Desktop\osm备份3\D2.Designs\资管报表\设计模板(报表-资管报表).xlsx,'报表-资管报表-事务服务'!E2508</t>
    <phoneticPr fontId="35" type="noConversion"/>
  </si>
  <si>
    <t>C:\Users\gambl\Desktop\osm备份3\D2.Designs\资管报表\设计模板(报表-资管报表).xlsx,'报表-资管报表-事务服务'!E2563</t>
    <phoneticPr fontId="35" type="noConversion"/>
  </si>
  <si>
    <t>C:\Users\gambl\Desktop\osm备份3\D2.Designs\资管报表\设计模板(报表-资管报表).xlsx,'报表-资管报表-事务服务'!E2611</t>
    <phoneticPr fontId="35" type="noConversion"/>
  </si>
  <si>
    <t>C:\Users\gambl\Desktop\osm备份3\D2.Designs\资管报表\设计模板(报表-资管报表).xlsx,'报表-资管报表-事务服务'!E2691</t>
    <phoneticPr fontId="35" type="noConversion"/>
  </si>
  <si>
    <t>C:\Users\gambl\Desktop\osm备份3\D2.Designs\资管报表\设计模板(报表-资管报表).xlsx,'报表-资管报表-事务服务'!E2723</t>
    <phoneticPr fontId="35" type="noConversion"/>
  </si>
  <si>
    <t>C:\Users\gambl\Desktop\osm备份3\D2.Designs\资管报表\设计模板(报表-资管报表).xlsx,'报表-资管报表-事务服务'!E2741</t>
    <phoneticPr fontId="35" type="noConversion"/>
  </si>
  <si>
    <t>C:\Users\gambl\Desktop\osm备份3\D2.Designs\资管报表\设计模板(报表-资管报表).xlsx,'报表-资管报表-事务服务'!E2782</t>
    <phoneticPr fontId="35" type="noConversion"/>
  </si>
  <si>
    <t>C:\Users\gambl\Desktop\osm备份3\D2.Designs\资管报表\设计模板(报表-资管报表).xlsx,'报表-资管报表-事务服务'!E2895</t>
    <phoneticPr fontId="35" type="noConversion"/>
  </si>
  <si>
    <t>C:\Users\gambl\Desktop\osm备份3\D2.Designs\资管报表\设计模板(报表-资管报表).xlsx,'报表-资管报表-原子服务'!E2</t>
    <phoneticPr fontId="35" type="noConversion"/>
  </si>
  <si>
    <t>C:\Users\gambl\Desktop\osm备份3\D2.Designs\资管报表\设计模板(报表-资管报表).xlsx,'报表-资管报表-原子服务'!E65</t>
    <phoneticPr fontId="35" type="noConversion"/>
  </si>
  <si>
    <t>C:\Users\gambl\Desktop\osm备份3\D2.Designs\资管报表\设计模板(报表-资管报表).xlsx,'报表-资管报表-原子服务'!E176</t>
    <phoneticPr fontId="35" type="noConversion"/>
  </si>
  <si>
    <t>C:\Users\gambl\Desktop\osm备份3\D2.Designs\资管报表\设计模板(报表-资管报表).xlsx,'报表-资管报表-原子服务'!E206</t>
    <phoneticPr fontId="35" type="noConversion"/>
  </si>
  <si>
    <t>C:\Users\gambl\Desktop\osm备份3\D2.Designs\资管报表\设计模板(报表-资管报表).xlsx,'报表-资管报表-原子服务'!E274</t>
    <phoneticPr fontId="35" type="noConversion"/>
  </si>
  <si>
    <t>C:\Users\gambl\Desktop\osm备份3\D2.Designs\资管报表\设计模板(报表-资管报表).xlsx,'报表-资管报表-原子服务'!E390</t>
    <phoneticPr fontId="35" type="noConversion"/>
  </si>
  <si>
    <t>C:\Users\gambl\Desktop\osm备份3\D2.Designs\资管报表\设计模板(报表-资管报表).xlsx,'报表-资管报表-原子服务'!E428</t>
    <phoneticPr fontId="35" type="noConversion"/>
  </si>
  <si>
    <t>C:\Users\gambl\Desktop\osm备份3\D2.Designs\资管报表\设计模板(报表-资管报表).xlsx,'报表-资管报表-原子服务'!E447</t>
    <phoneticPr fontId="35" type="noConversion"/>
  </si>
  <si>
    <t>C:\Users\gambl\Desktop\osm备份3\D2.Designs\资管报表\设计模板(报表-资管报表).xlsx,'报表-资管报表-原子服务'!E478</t>
    <phoneticPr fontId="35" type="noConversion"/>
  </si>
  <si>
    <t>C:\Users\gambl\Desktop\osm备份3\D2.Designs\资管报表\设计模板(报表-资管报表).xlsx,'报表-资管报表-原子服务'!E536</t>
    <phoneticPr fontId="35" type="noConversion"/>
  </si>
  <si>
    <t>C:\Users\gambl\Desktop\osm备份3\D2.Designs\资管报表\设计模板(报表-资管报表).xlsx,'报表-资管报表-原子服务'!E561</t>
    <phoneticPr fontId="35" type="noConversion"/>
  </si>
  <si>
    <t>C:\Users\gambl\Desktop\osm备份3\D2.Designs\资管报表\设计模板(报表-资管报表).xlsx,'报表-资管报表-原子服务'!E599</t>
    <phoneticPr fontId="35" type="noConversion"/>
  </si>
  <si>
    <t>C:\Users\gambl\Desktop\osm备份3\D2.Designs\资管报表\设计模板(报表-资管报表).xlsx,'报表-资管报表-原子服务'!E664</t>
    <phoneticPr fontId="35" type="noConversion"/>
  </si>
  <si>
    <t>C:\Users\gambl\Desktop\osm备份3\D2.Designs\资管报表\设计模板(报表-资管报表).xlsx,'报表-资管报表-原子服务'!E709</t>
    <phoneticPr fontId="35" type="noConversion"/>
  </si>
  <si>
    <t>C:\Users\gambl\Desktop\osm备份3\D2.Designs\资管报表\设计模板(报表-资管报表).xlsx,'报表-资管报表-原子服务'!E803</t>
    <phoneticPr fontId="35" type="noConversion"/>
  </si>
  <si>
    <t>C:\Users\gambl\Desktop\osm备份3\D2.Designs\资管报表\设计模板(报表-资管报表).xlsx,'报表-资管报表-原子服务'!E874</t>
    <phoneticPr fontId="35" type="noConversion"/>
  </si>
  <si>
    <t>C:\Users\gambl\Desktop\osm备份3\D2.Designs\资管报表\设计模板(报表-资管报表).xlsx,'报表-资管报表-原子服务'!E956</t>
    <phoneticPr fontId="35" type="noConversion"/>
  </si>
  <si>
    <t>C:\Users\gambl\Desktop\osm备份3\D2.Designs\资管报表\设计模板(报表-资管报表).xlsx,'报表-资管报表-原子服务'!E1030</t>
    <phoneticPr fontId="35" type="noConversion"/>
  </si>
  <si>
    <t>C:\Users\gambl\Desktop\osm备份3\D2.Designs\资管报表\设计模板(报表-资管报表).xlsx,'报表-资管报表-原子服务'!E1070</t>
    <phoneticPr fontId="35" type="noConversion"/>
  </si>
  <si>
    <t>C:\Users\gambl\Desktop\osm备份3\D2.Designs\资管报表\设计模板(报表-资管报表).xlsx,'报表-资管报表-原子服务'!E1109</t>
    <phoneticPr fontId="35" type="noConversion"/>
  </si>
  <si>
    <t>C:\Users\gambl\Desktop\osm备份3\D2.Designs\资管报表\设计模板(报表-资管报表).xlsx,'报表-资管报表-原子服务'!E1134</t>
    <phoneticPr fontId="35" type="noConversion"/>
  </si>
  <si>
    <t>C:\Users\gambl\Desktop\osm备份3\D2.Designs\资管报表\设计模板(报表-资管报表).xlsx,'报表-资管报表-原子服务'!E1184</t>
    <phoneticPr fontId="35" type="noConversion"/>
  </si>
  <si>
    <t>C:\Users\gambl\Desktop\osm备份3\D2.Designs\资管报表\设计模板(报表-资管报表).xlsx,'报表-资管报表-原子服务'!E1252</t>
    <phoneticPr fontId="35" type="noConversion"/>
  </si>
  <si>
    <t>C:\Users\gambl\Desktop\osm备份3\D2.Designs\资管报表\设计模板(报表-资管报表).xlsx,'报表-资管报表-原子服务'!E1321</t>
    <phoneticPr fontId="35" type="noConversion"/>
  </si>
  <si>
    <t>C:\Users\gambl\Desktop\osm备份3\D2.Designs\资管报表\设计模板(报表-资管报表).xlsx,'报表-资管报表-原子服务'!E1341</t>
    <phoneticPr fontId="35" type="noConversion"/>
  </si>
  <si>
    <t>C:\Users\gambl\Desktop\osm备份3\D2.Designs\资管报表\设计模板(报表-资管报表).xlsx,'报表-资管报表-原子服务'!E1362</t>
    <phoneticPr fontId="35" type="noConversion"/>
  </si>
  <si>
    <t>C:\Users\gambl\Desktop\osm备份3\D2.Designs\资管报表\设计模板(报表-资管报表).xlsx,'报表-资管报表-原子服务'!E1392</t>
    <phoneticPr fontId="35" type="noConversion"/>
  </si>
  <si>
    <t>C:\Users\gambl\Desktop\osm备份3\D2.Designs\资管报表\设计模板(报表-资管报表).xlsx,'报表-资管报表-原子服务'!E1448</t>
    <phoneticPr fontId="35" type="noConversion"/>
  </si>
  <si>
    <t>C:\Users\gambl\Desktop\osm备份3\D2.Designs\资管报表\设计模板(报表-资管报表).xlsx,'报表-资管报表-原子服务'!E1477</t>
    <phoneticPr fontId="35" type="noConversion"/>
  </si>
  <si>
    <t>C:\Users\gambl\Desktop\osm备份3\D2.Designs\资管报表\设计模板(报表-资管报表).xlsx,'报表-资管报表-原子服务'!E1507</t>
    <phoneticPr fontId="35" type="noConversion"/>
  </si>
  <si>
    <t>C:\Users\gambl\Desktop\osm备份3\D2.Designs\资管报表\设计模板(报表-资管报表).xlsx,'报表-资管报表-原子服务'!E1555</t>
    <phoneticPr fontId="35" type="noConversion"/>
  </si>
  <si>
    <t>C:\Users\gambl\Desktop\osm备份3\D2.Designs\资管报表\设计模板(报表-资管报表).xlsx,'报表-资管报表-原子服务'!E1606</t>
    <phoneticPr fontId="35" type="noConversion"/>
  </si>
  <si>
    <t>C:\Users\gambl\Desktop\osm备份3\D2.Designs\资管报表\设计模板(报表-资管报表).xlsx,'报表-资管报表-原子服务'!E1645</t>
    <phoneticPr fontId="35" type="noConversion"/>
  </si>
  <si>
    <t>C:\Users\gambl\Desktop\osm备份3\D2.Designs\资管报表\设计模板(报表-资管报表).xlsx,'报表-资管报表-原子服务'!E1684</t>
    <phoneticPr fontId="35" type="noConversion"/>
  </si>
  <si>
    <t>C:\Users\gambl\Desktop\osm备份3\D2.Designs\资管报表\设计模板(报表-资管报表).xlsx,'报表-资管报表-原子服务'!E1725</t>
    <phoneticPr fontId="35" type="noConversion"/>
  </si>
  <si>
    <t>C:\Users\gambl\Desktop\osm备份3\D2.Designs\资管报表\设计模板(报表-资管报表).xlsx,'报表-资管报表-原子服务'!E1768</t>
    <phoneticPr fontId="35" type="noConversion"/>
  </si>
  <si>
    <t>C:\Users\gambl\Desktop\osm备份3\D2.Designs\资管报表\设计模板(报表-资管报表).xlsx,'报表-资管报表-原子服务'!E1810</t>
    <phoneticPr fontId="35" type="noConversion"/>
  </si>
  <si>
    <t>C:\Users\gambl\Desktop\osm备份3\D2.Designs\资管报表\设计模板(报表-资管报表).xlsx,'报表-资管报表-原子服务'!E1859</t>
    <phoneticPr fontId="35" type="noConversion"/>
  </si>
  <si>
    <t>C:\Users\gambl\Desktop\osm备份3\D2.Designs\资管报表\设计模板(报表-资管报表).xlsx,'报表-资管报表-原子服务'!E1900</t>
    <phoneticPr fontId="35" type="noConversion"/>
  </si>
  <si>
    <t>C:\Users\gambl\Desktop\osm备份3\D2.Designs\资管报表\设计模板(报表-资管报表).xlsx,'报表-资管报表-原子服务'!E1949</t>
    <phoneticPr fontId="35" type="noConversion"/>
  </si>
  <si>
    <t>C:\Users\gambl\Desktop\osm备份3\D2.Designs\资管报表\设计模板(报表-资管报表).xlsx,'报表-资管报表-原子服务'!E1992</t>
    <phoneticPr fontId="35" type="noConversion"/>
  </si>
  <si>
    <t>C:\Users\gambl\Desktop\osm备份3\D2.Designs\资管报表\设计模板(报表-资管报表).xlsx,'报表-资管报表-原子服务'!E2034</t>
    <phoneticPr fontId="35" type="noConversion"/>
  </si>
  <si>
    <t>C:\Users\gambl\Desktop\osm备份3\D2.Designs\资管报表\设计模板(报表-资管报表).xlsx,'报表-资管报表-原子服务'!E2158</t>
    <phoneticPr fontId="35" type="noConversion"/>
  </si>
  <si>
    <t>C:\Users\gambl\Desktop\osm备份3\D2.Designs\资管报表\设计模板(报表-资管报表).xlsx,'报表-资管报表-原子服务'!E2250</t>
    <phoneticPr fontId="35" type="noConversion"/>
  </si>
  <si>
    <t>C:\Users\gambl\Desktop\osm备份3\D2.Designs\资管报表\设计模板(报表-资管报表).xlsx,'报表-资管报表-原子服务'!E2368</t>
    <phoneticPr fontId="35" type="noConversion"/>
  </si>
  <si>
    <t>C:\Users\gambl\Desktop\osm备份3\D2.Designs\资管报表\设计模板(报表-资管报表).xlsx,'报表-资管报表-原子服务'!E2477</t>
    <phoneticPr fontId="35" type="noConversion"/>
  </si>
  <si>
    <t>C:\Users\gambl\Desktop\osm备份3\D2.Designs\资管报表\设计模板(报表-资管报表).xlsx,'报表-资管报表-原子服务'!E2592</t>
    <phoneticPr fontId="35" type="noConversion"/>
  </si>
  <si>
    <t>C:\Users\gambl\Desktop\osm备份3\D2.Designs\资管报表\设计模板(报表-资管报表).xlsx,'报表-资管报表-原子服务'!E2683</t>
    <phoneticPr fontId="35" type="noConversion"/>
  </si>
  <si>
    <t>C:\Users\gambl\Desktop\osm备份3\D2.Designs\资管报表\设计模板(报表-资管报表).xlsx,'报表-资管报表-原子服务'!E2752</t>
    <phoneticPr fontId="35" type="noConversion"/>
  </si>
  <si>
    <t>C:\Users\gambl\Desktop\osm备份3\D2.Designs\资管报表\设计模板(报表-资管报表).xlsx,'报表-资管报表-原子服务'!E2803</t>
    <phoneticPr fontId="35" type="noConversion"/>
  </si>
  <si>
    <t>C:\Users\gambl\Desktop\osm备份3\D2.Designs\资管报表\设计模板(报表-资管报表).xlsx,'报表-资管报表-原子服务'!E2852</t>
    <phoneticPr fontId="35" type="noConversion"/>
  </si>
  <si>
    <t>C:\Users\gambl\Desktop\osm备份3\D2.Designs\资管报表\设计模板(报表-资管报表).xlsx,'报表-资管报表-原子服务'!E2907</t>
    <phoneticPr fontId="35" type="noConversion"/>
  </si>
  <si>
    <t>C:\Users\gambl\Desktop\osm备份3\D2.Designs\资管报表\设计模板(报表-资管报表).xlsx,'报表-资管报表-原子服务'!E2938</t>
    <phoneticPr fontId="35" type="noConversion"/>
  </si>
  <si>
    <t>C:\Users\gambl\Desktop\osm备份3\D2.Designs\资管报表\设计模板(报表-资管报表).xlsx,'报表-资管报表-原子服务'!E2961</t>
    <phoneticPr fontId="35" type="noConversion"/>
  </si>
  <si>
    <t>C:\Users\gambl\Desktop\osm备份3\D2.Designs\资管报表\设计模板(报表-资管报表).xlsx,'报表-资管报表-原子服务'!E2984</t>
    <phoneticPr fontId="35" type="noConversion"/>
  </si>
  <si>
    <t>C:\Users\gambl\Desktop\osm备份3\D2.Designs\资管报表\设计模板(报表-资管报表).xlsx,'报表-资管报表-原子服务'!E3035</t>
    <phoneticPr fontId="35" type="noConversion"/>
  </si>
  <si>
    <t>C:\Users\gambl\Desktop\osm备份3\D2.Designs\资管报表\设计模板(报表-资管报表).xlsx,'报表-资管报表-原子服务'!E3063</t>
    <phoneticPr fontId="35" type="noConversion"/>
  </si>
  <si>
    <t>select t.{记录序号},t.{初始化日期},t.{机构编号},t.{产品编号},t.{资产账户编号},t.{市场编号},t.{交易编码编号},t.{合约代码编号},t.{多空类型},t.{套保标志},t.{当前数量},t.{结算价} as {开仓价格},0 as {盯市盈亏},t.{应收保证金},0 as {成交释放数量},0 as {今仓成交占用数量},ifnull(t.curr_qty * t.sett_price * t.contrc_unit,0) as {持仓市值},ifnull( t.rece_margin / t.nav_asset, 0) as {持仓净值占比} ,ifnull(t.open_amount / t.curr_qty,0) as {开仓均价} from db_dc.tb_pdfupo_asac_posi_his t, db_dc.tb_pdacco_pd_limit c where t.{产品编号}=c.{产品编号} and c.{注销日期}=0 and (t.{机构编号}=@操作员机构编号#) and  (@合约代码编号# = 0 or t.{合约代码编号}=@合约代码编号#) and (t.{产品编号} = @产品编号# or @产品编号# = 0) and  (t.{初始化日期} between @开始日期# and @结束日期#) and (t.{机构编号},t.{产品编号}) in (select t.{机构编号},t.{产品编号} from ~报表_资管报表_公共-用户-操作员可操作产品表^ opr where opr.{操作员编号} = @操作员编号#) and t.{记录序号} &gt; @记录序号# order by t.{记录序号} limit @指定行数#;</t>
    <phoneticPr fontId="35" type="noConversion"/>
  </si>
  <si>
    <t>select  t.{记录序号},t.{初始化日期},t.{机构编号},t.{产品编号},t.{资产账户编号},t.{交易组编号},t.{市场编号},t.{交易编码编号},t.{合约代码编号},t.{多空类型},t.{套保标志},t.{当前数量},t.{结算价} as {开仓价格},0 as {盯市盈亏},t.{应收保证金},0 as {成交释放数量},0 as {今仓成交占用数量},ifnull(t.curr_qty * t.sett_price * t.contrc_unit,0) as {持仓市值},ifnull(t.rece_margin / t.nav_asset, 0)  as {持仓净值占比}, ifnull(t.open_amount / t.curr_qty,0) as {开仓均价} from db_dc.tb_pdfupo_exgp_posi_his t ,db_dc.tb_user_exch_group_info c where c.{注销日期}=0 and t.{交易组编号}=c.{交易组编号}  and (t.{机构编号}=@操作员机构编号#) and  (@合约代码编号# = 0 or t.{合约代码编号}=@合约代码编号#) and (t.{产品编号} = @产品编号# or @产品编号# = 0) and  (t.{初始化日期} between @开始日期# and @结束日期#) and (t.{交易组编号}) in (select {交易组编号} from ~报表_资管报表_公共-用户-操作员所属交易组表^ opr where opr.{操作员编号} = @操作员编号#) and t.{记录序号} &gt; @记录序号# order by t.{记录序号} limit @指定行数#;</t>
    <phoneticPr fontId="35" type="noConversion"/>
  </si>
  <si>
    <t xml:space="preserve">select t.init_date into @临时-初始化日期# from db_dc.tb_base_sys_info t;
</t>
    <phoneticPr fontId="35" type="noConversion"/>
  </si>
  <si>
    <t>and t.{记录序号} &gt; @记录序号#   order by {记录序号} limit @指定行数#</t>
    <phoneticPr fontId="35" type="noConversion"/>
  </si>
  <si>
    <t xml:space="preserve"> if (@查询开始日期# = @临时-初始化日期#) or (@查询结束日期# = @临时-初始化日期#)  then</t>
    <phoneticPr fontId="35" type="noConversion"/>
  </si>
  <si>
    <t>set @临时-初始化日期# = 0;</t>
    <phoneticPr fontId="35" type="noConversion"/>
  </si>
  <si>
    <t xml:space="preserve">select </t>
    <phoneticPr fontId="35" type="noConversion"/>
  </si>
  <si>
    <t>end if;</t>
    <phoneticPr fontId="35" type="noConversion"/>
  </si>
  <si>
    <t>原子_报表_资管报表_查询证券行情</t>
    <phoneticPr fontId="35" type="noConversion"/>
  </si>
  <si>
    <t>and a.{初始化日期} between @查询开始日期# and @查询结束日期#</t>
    <phoneticPr fontId="35" type="noConversion"/>
  </si>
  <si>
    <t xml:space="preserve">from db_dc.tb_basesedt_stock_quot_his a where  (@证券代码编号# = 0 or a.{证券代码编号} = @证券代码编号#) </t>
    <phoneticPr fontId="35" type="noConversion"/>
  </si>
  <si>
    <t>and a.{记录序号} &gt; @记录序号# order by {记录序号} limit @指定行数#) as t left join db_dc.tb_basesedt_stock_code_info b on t.stock_code=b.stock_code</t>
    <phoneticPr fontId="35" type="noConversion"/>
  </si>
  <si>
    <t>and (@市场编号# = 0 or a.{市场编号} = @市场编号#)</t>
    <phoneticPr fontId="35" type="noConversion"/>
  </si>
  <si>
    <t xml:space="preserve">from( select a.{记录序号},a.{证券代码编号},a.{市场编号},a.{证券代码},a.{证券名称},a.{涨停价},a.{跌停价},a.{最新价},a.{昨收盘价},a.{今开盘价},a.{今收盘价},a.{今最高价},a.{今最低价},a.{买一价},a.{买一量},a.{买二价},a.{买二量},a.{买三价},a.{买三量},a.{买四价},a.{买四量},a.{买五价},a.{买五量},a.{卖一价},a.{卖一量},a.{卖二价},a.{卖二量},a.{卖三价},a.{卖三量},a.{卖四价},a.{卖四量},a.{卖五价},a.{卖五量},a.{成交数量},a.{成交金额},a.{市盈率},a.{时间戳}
</t>
  </si>
  <si>
    <t xml:space="preserve">select t.{记录序号},t.{证券代码编号},t.{市场编号},t.{证券代码},t.{证券名称},b.{证券类型},b.{资产类型},t.{涨停价},t.{跌停价},t.{最新价},t.{昨收盘价},t.{今开盘价},t.{今收盘价},t.{今最高价},t.{今最低价},t.{买一价},t.{买一量},t.{买二价},t.{买二量},t.{买三价},t.{买三量},t.{买四价},t.{买四量},t.{买五价},t.{买五量},t.{卖一价},t.{卖一量},t.{卖二价},t.{卖二量},t.{卖三价},t.{卖三量},t.{卖四价},t.{卖四量},t.{卖五价},t.{卖五量},t.{成交数量},t.{成交金额},t.{市盈率},t.{时间戳} </t>
    <phoneticPr fontId="35" type="noConversion"/>
  </si>
  <si>
    <t xml:space="preserve"> if (@机器时间# &lt;930 or @机器时间# &gt;1530) then</t>
    <phoneticPr fontId="35" type="noConversion"/>
  </si>
  <si>
    <t>[获取机器时间][@机器时间#]</t>
    <phoneticPr fontId="35" type="noConversion"/>
  </si>
  <si>
    <t xml:space="preserve"> t.{记录序号},t.{证券代码编号},t.{市场编号},t.{证券代码},t.{证券名称},t.{证券类型},t.{资产类型},t.{涨停价},t.{跌停价},t.{最新价},t.{昨收盘价},t.{今开盘价},t.{今收盘价},t.{今最高价},t.{今最低价},t.{买一价},t.{买一量},t.{买二价},t.{买二量},t.{买三价},t.{买三量},t.{买四价},t.{买四量},t.{买五价},t.{买五量},t.{卖一价},t.{卖一量},t.{卖二价},t.{卖二量},t.{卖三价},t.{卖三量},t.{卖四价},t.{卖四量},t.{卖五价},t.{卖五量},t.{成交数量},t.{成交金额},t.{市盈率},t.{时间戳} 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</si>
</sst>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006100"/>
      <name val="微软雅黑"/>
      <family val="2"/>
      <charset val="134"/>
    </font>
    <font>
      <sz val="10.5"/>
      <color theme="3" tint="-0.499984740745262"/>
      <name val="微软雅黑"/>
      <family val="2"/>
      <charset val="134"/>
    </font>
    <font>
      <sz val="10.5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10.5"/>
      <color theme="2" tint="-0.89996032593768116"/>
      <name val="微软雅黑"/>
      <family val="2"/>
      <charset val="134"/>
    </font>
    <font>
      <sz val="10.5"/>
      <color rgb="FFC00000"/>
      <name val="微软雅黑"/>
      <family val="2"/>
      <charset val="134"/>
    </font>
    <font>
      <sz val="10.5"/>
      <color rgb="FF0070C0"/>
      <name val="微软雅黑"/>
      <family val="2"/>
      <charset val="134"/>
    </font>
    <font>
      <sz val="10.5"/>
      <color theme="6" tint="-0.249977111117893"/>
      <name val="微软雅黑"/>
      <family val="2"/>
      <charset val="134"/>
    </font>
    <font>
      <sz val="10.5"/>
      <color rgb="FFFFC000"/>
      <name val="微软雅黑"/>
      <family val="2"/>
      <charset val="134"/>
    </font>
    <font>
      <sz val="10.5"/>
      <color theme="0" tint="-0.34998626667073579"/>
      <name val="微软雅黑"/>
      <family val="2"/>
      <charset val="134"/>
    </font>
    <font>
      <sz val="10.5"/>
      <color theme="9" tint="-0.249977111117893"/>
      <name val="微软雅黑"/>
      <family val="2"/>
      <charset val="134"/>
    </font>
    <font>
      <sz val="10.5"/>
      <color theme="4" tint="-0.249977111117893"/>
      <name val="微软雅黑"/>
      <family val="2"/>
      <charset val="134"/>
    </font>
    <font>
      <sz val="10.5"/>
      <color rgb="FF9C0006"/>
      <name val="微软雅黑"/>
      <family val="2"/>
      <charset val="134"/>
    </font>
    <font>
      <u/>
      <sz val="10.5"/>
      <color theme="10"/>
      <name val="微软雅黑"/>
      <family val="2"/>
      <charset val="134"/>
    </font>
    <font>
      <sz val="10.5"/>
      <color rgb="FF9C5700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0.5"/>
      <color theme="5" tint="-0.249977111117893"/>
      <name val="微软雅黑"/>
      <family val="2"/>
      <charset val="134"/>
    </font>
    <font>
      <sz val="10.5"/>
      <color theme="3"/>
      <name val="微软雅黑"/>
      <family val="2"/>
      <charset val="134"/>
    </font>
    <font>
      <sz val="10.5"/>
      <color theme="1" tint="4.9989318521683403E-2"/>
      <name val="微软雅黑"/>
      <family val="2"/>
      <charset val="134"/>
    </font>
    <font>
      <sz val="10.5"/>
      <color theme="5" tint="-0.499984740745262"/>
      <name val="微软雅黑"/>
      <family val="2"/>
      <charset val="134"/>
    </font>
    <font>
      <sz val="10.5"/>
      <color rgb="FFFA7D00"/>
      <name val="微软雅黑"/>
      <family val="2"/>
      <charset val="134"/>
    </font>
    <font>
      <sz val="10.5"/>
      <color theme="7" tint="-0.499984740745262"/>
      <name val="微软雅黑"/>
      <family val="2"/>
      <charset val="134"/>
    </font>
    <font>
      <sz val="10.5"/>
      <color rgb="FF3F3F3F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0.5"/>
      <color theme="1" tint="0.499984740745262"/>
      <name val="微软雅黑"/>
      <family val="2"/>
      <charset val="134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57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FFFFCC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rgb="FF7F7F7F"/>
      </top>
      <bottom style="thin">
        <color auto="1"/>
      </bottom>
      <diagonal/>
    </border>
    <border>
      <left/>
      <right/>
      <top style="thin">
        <color rgb="FF7F7F7F"/>
      </top>
      <bottom style="thin">
        <color auto="1"/>
      </bottom>
      <diagonal/>
    </border>
    <border>
      <left/>
      <right style="medium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2">
    <xf numFmtId="0" fontId="0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23" borderId="26" applyNumberFormat="0" applyFont="0" applyAlignment="0" applyProtection="0">
      <alignment vertical="center"/>
    </xf>
    <xf numFmtId="0" fontId="30" fillId="17" borderId="32" applyNumberFormat="0" applyAlignment="0" applyProtection="0">
      <alignment vertical="center"/>
    </xf>
    <xf numFmtId="0" fontId="31" fillId="17" borderId="31" applyNumberFormat="0" applyAlignment="0" applyProtection="0">
      <alignment vertical="center"/>
    </xf>
    <xf numFmtId="0" fontId="29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9" fillId="0" borderId="0">
      <alignment vertical="center"/>
    </xf>
  </cellStyleXfs>
  <cellXfs count="4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/>
    <xf numFmtId="0" fontId="2" fillId="3" borderId="0" xfId="11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4" borderId="0" xfId="7" applyFont="1" applyAlignment="1">
      <alignment vertical="center"/>
    </xf>
    <xf numFmtId="0" fontId="2" fillId="5" borderId="0" xfId="0" applyFont="1" applyFill="1" applyAlignment="1">
      <alignment vertical="center"/>
    </xf>
    <xf numFmtId="0" fontId="3" fillId="5" borderId="0" xfId="7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8" borderId="11" xfId="0" applyFont="1" applyFill="1" applyBorder="1" applyAlignment="1">
      <alignment vertical="center"/>
    </xf>
    <xf numFmtId="0" fontId="2" fillId="8" borderId="12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7" borderId="10" xfId="11" applyFont="1" applyFill="1" applyBorder="1" applyAlignment="1">
      <alignment vertical="center"/>
    </xf>
    <xf numFmtId="0" fontId="2" fillId="7" borderId="11" xfId="11" applyFont="1" applyFill="1" applyBorder="1" applyAlignment="1">
      <alignment vertical="center"/>
    </xf>
    <xf numFmtId="0" fontId="2" fillId="7" borderId="12" xfId="1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6" fillId="5" borderId="10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2" fillId="0" borderId="13" xfId="11" applyFont="1" applyBorder="1" applyAlignment="1">
      <alignment vertical="center"/>
    </xf>
    <xf numFmtId="0" fontId="2" fillId="0" borderId="14" xfId="11" applyFont="1" applyBorder="1" applyAlignment="1">
      <alignment vertical="center"/>
    </xf>
    <xf numFmtId="0" fontId="2" fillId="0" borderId="15" xfId="11" applyFont="1" applyBorder="1" applyAlignment="1">
      <alignment vertical="center"/>
    </xf>
    <xf numFmtId="0" fontId="7" fillId="5" borderId="10" xfId="1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2" fillId="9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6" fillId="0" borderId="13" xfId="11" applyFont="1" applyBorder="1" applyAlignment="1">
      <alignment vertical="center"/>
    </xf>
    <xf numFmtId="0" fontId="2" fillId="5" borderId="19" xfId="10" applyFont="1" applyFill="1" applyBorder="1" applyAlignment="1">
      <alignment vertical="center"/>
    </xf>
    <xf numFmtId="0" fontId="2" fillId="5" borderId="20" xfId="10" applyFont="1" applyFill="1" applyBorder="1" applyAlignment="1">
      <alignment vertical="center"/>
    </xf>
    <xf numFmtId="0" fontId="2" fillId="5" borderId="21" xfId="10" applyFont="1" applyFill="1" applyBorder="1" applyAlignment="1">
      <alignment vertical="center"/>
    </xf>
    <xf numFmtId="0" fontId="2" fillId="5" borderId="4" xfId="9" applyFont="1" applyFill="1" applyBorder="1" applyAlignment="1">
      <alignment vertical="center"/>
    </xf>
    <xf numFmtId="0" fontId="2" fillId="5" borderId="5" xfId="9" applyFont="1" applyFill="1" applyBorder="1" applyAlignment="1">
      <alignment vertical="center"/>
    </xf>
    <xf numFmtId="0" fontId="2" fillId="5" borderId="6" xfId="9" applyFont="1" applyFill="1" applyBorder="1" applyAlignment="1">
      <alignment vertical="center"/>
    </xf>
    <xf numFmtId="0" fontId="2" fillId="0" borderId="0" xfId="9" applyFont="1" applyAlignment="1">
      <alignment vertical="center"/>
    </xf>
    <xf numFmtId="0" fontId="2" fillId="0" borderId="10" xfId="11" applyFont="1" applyBorder="1" applyAlignment="1">
      <alignment vertical="center"/>
    </xf>
    <xf numFmtId="0" fontId="2" fillId="0" borderId="11" xfId="11" applyFont="1" applyBorder="1" applyAlignment="1">
      <alignment vertical="center"/>
    </xf>
    <xf numFmtId="0" fontId="2" fillId="0" borderId="12" xfId="11" applyFont="1" applyBorder="1" applyAlignment="1">
      <alignment vertical="center"/>
    </xf>
    <xf numFmtId="0" fontId="2" fillId="0" borderId="4" xfId="11" applyFont="1" applyBorder="1" applyAlignment="1">
      <alignment vertical="center"/>
    </xf>
    <xf numFmtId="0" fontId="12" fillId="5" borderId="10" xfId="0" applyFont="1" applyFill="1" applyBorder="1" applyAlignment="1">
      <alignment vertical="center"/>
    </xf>
    <xf numFmtId="0" fontId="12" fillId="5" borderId="11" xfId="0" applyFont="1" applyFill="1" applyBorder="1" applyAlignment="1">
      <alignment vertical="center"/>
    </xf>
    <xf numFmtId="0" fontId="12" fillId="5" borderId="12" xfId="0" applyFont="1" applyFill="1" applyBorder="1" applyAlignment="1">
      <alignment vertical="center"/>
    </xf>
    <xf numFmtId="0" fontId="13" fillId="5" borderId="10" xfId="0" applyFont="1" applyFill="1" applyBorder="1" applyAlignment="1">
      <alignment vertical="center"/>
    </xf>
    <xf numFmtId="0" fontId="13" fillId="5" borderId="11" xfId="0" applyFont="1" applyFill="1" applyBorder="1" applyAlignment="1">
      <alignment vertical="center"/>
    </xf>
    <xf numFmtId="0" fontId="13" fillId="5" borderId="12" xfId="0" applyFont="1" applyFill="1" applyBorder="1" applyAlignment="1">
      <alignment vertical="center"/>
    </xf>
    <xf numFmtId="0" fontId="13" fillId="0" borderId="13" xfId="11" applyFont="1" applyBorder="1" applyAlignment="1">
      <alignment vertical="center"/>
    </xf>
    <xf numFmtId="0" fontId="13" fillId="0" borderId="14" xfId="11" applyFont="1" applyBorder="1" applyAlignment="1">
      <alignment vertical="center"/>
    </xf>
    <xf numFmtId="0" fontId="13" fillId="0" borderId="15" xfId="11" applyFont="1" applyBorder="1" applyAlignment="1">
      <alignment vertical="center"/>
    </xf>
    <xf numFmtId="0" fontId="2" fillId="3" borderId="0" xfId="10" applyFont="1" applyFill="1" applyAlignment="1">
      <alignment vertical="center"/>
    </xf>
    <xf numFmtId="0" fontId="2" fillId="5" borderId="10" xfId="9" applyFont="1" applyFill="1" applyBorder="1" applyAlignment="1">
      <alignment vertical="center"/>
    </xf>
    <xf numFmtId="0" fontId="2" fillId="5" borderId="11" xfId="10" applyFont="1" applyFill="1" applyBorder="1" applyAlignment="1">
      <alignment vertical="center"/>
    </xf>
    <xf numFmtId="0" fontId="2" fillId="5" borderId="12" xfId="10" applyFont="1" applyFill="1" applyBorder="1" applyAlignment="1">
      <alignment vertical="center"/>
    </xf>
    <xf numFmtId="0" fontId="2" fillId="5" borderId="10" xfId="10" applyFont="1" applyFill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5" xfId="11" applyFont="1" applyBorder="1" applyAlignment="1">
      <alignment vertical="center"/>
    </xf>
    <xf numFmtId="0" fontId="2" fillId="0" borderId="6" xfId="11" applyFont="1" applyBorder="1" applyAlignment="1">
      <alignment vertical="center"/>
    </xf>
    <xf numFmtId="0" fontId="14" fillId="5" borderId="4" xfId="0" applyFont="1" applyFill="1" applyBorder="1" applyAlignment="1">
      <alignment horizontal="left" vertical="center"/>
    </xf>
    <xf numFmtId="0" fontId="12" fillId="9" borderId="4" xfId="0" applyFont="1" applyFill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0" fontId="15" fillId="10" borderId="4" xfId="1" applyFont="1" applyBorder="1" applyAlignment="1">
      <alignment horizontal="left" vertical="center"/>
    </xf>
    <xf numFmtId="0" fontId="2" fillId="11" borderId="4" xfId="0" applyFont="1" applyFill="1" applyBorder="1" applyAlignment="1">
      <alignment vertical="center"/>
    </xf>
    <xf numFmtId="0" fontId="2" fillId="0" borderId="16" xfId="11" applyFont="1" applyBorder="1" applyAlignment="1">
      <alignment vertical="center"/>
    </xf>
    <xf numFmtId="0" fontId="2" fillId="0" borderId="17" xfId="11" applyFont="1" applyBorder="1" applyAlignment="1">
      <alignment vertical="center"/>
    </xf>
    <xf numFmtId="0" fontId="2" fillId="0" borderId="18" xfId="11" applyFont="1" applyBorder="1" applyAlignment="1">
      <alignment vertical="center"/>
    </xf>
    <xf numFmtId="0" fontId="2" fillId="8" borderId="10" xfId="11" applyFont="1" applyFill="1" applyBorder="1" applyAlignment="1">
      <alignment vertical="center"/>
    </xf>
    <xf numFmtId="0" fontId="2" fillId="8" borderId="11" xfId="11" applyFont="1" applyFill="1" applyBorder="1" applyAlignment="1">
      <alignment vertical="center"/>
    </xf>
    <xf numFmtId="0" fontId="2" fillId="8" borderId="12" xfId="11" applyFont="1" applyFill="1" applyBorder="1" applyAlignment="1">
      <alignment vertical="center"/>
    </xf>
    <xf numFmtId="0" fontId="2" fillId="5" borderId="13" xfId="11" applyFont="1" applyFill="1" applyBorder="1" applyAlignment="1">
      <alignment vertical="center"/>
    </xf>
    <xf numFmtId="0" fontId="2" fillId="5" borderId="14" xfId="11" applyFont="1" applyFill="1" applyBorder="1" applyAlignment="1">
      <alignment vertical="center"/>
    </xf>
    <xf numFmtId="0" fontId="2" fillId="5" borderId="15" xfId="11" applyFont="1" applyFill="1" applyBorder="1" applyAlignment="1">
      <alignment vertical="center"/>
    </xf>
    <xf numFmtId="0" fontId="2" fillId="5" borderId="4" xfId="11" applyFont="1" applyFill="1" applyBorder="1" applyAlignment="1">
      <alignment vertical="center"/>
    </xf>
    <xf numFmtId="0" fontId="2" fillId="5" borderId="5" xfId="11" applyFont="1" applyFill="1" applyBorder="1" applyAlignment="1">
      <alignment vertical="center"/>
    </xf>
    <xf numFmtId="0" fontId="2" fillId="5" borderId="6" xfId="11" applyFont="1" applyFill="1" applyBorder="1" applyAlignment="1">
      <alignment vertical="center"/>
    </xf>
    <xf numFmtId="0" fontId="6" fillId="0" borderId="16" xfId="11" applyFont="1" applyBorder="1" applyAlignment="1">
      <alignment vertical="center"/>
    </xf>
    <xf numFmtId="0" fontId="16" fillId="0" borderId="4" xfId="2" applyFont="1" applyBorder="1" applyAlignment="1">
      <alignment vertical="center"/>
    </xf>
    <xf numFmtId="0" fontId="16" fillId="0" borderId="12" xfId="2" applyFont="1" applyBorder="1" applyAlignment="1">
      <alignment vertical="center"/>
    </xf>
    <xf numFmtId="0" fontId="3" fillId="2" borderId="10" xfId="7" applyFont="1" applyFill="1" applyBorder="1" applyAlignment="1">
      <alignment vertical="center"/>
    </xf>
    <xf numFmtId="0" fontId="3" fillId="4" borderId="11" xfId="7" applyFont="1" applyBorder="1" applyAlignment="1">
      <alignment vertical="center"/>
    </xf>
    <xf numFmtId="0" fontId="3" fillId="4" borderId="12" xfId="7" applyFont="1" applyBorder="1" applyAlignment="1">
      <alignment vertical="center"/>
    </xf>
    <xf numFmtId="0" fontId="16" fillId="0" borderId="6" xfId="2" applyFont="1" applyBorder="1" applyAlignment="1">
      <alignment vertical="center"/>
    </xf>
    <xf numFmtId="0" fontId="5" fillId="0" borderId="4" xfId="2" applyFont="1" applyBorder="1" applyAlignment="1">
      <alignment vertical="center"/>
    </xf>
    <xf numFmtId="0" fontId="5" fillId="0" borderId="4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7" fillId="12" borderId="4" xfId="8" applyFont="1" applyBorder="1" applyAlignment="1">
      <alignment horizontal="left" vertical="center"/>
    </xf>
    <xf numFmtId="0" fontId="2" fillId="9" borderId="4" xfId="0" applyFont="1" applyFill="1" applyBorder="1" applyAlignment="1">
      <alignment horizontal="left" vertical="center"/>
    </xf>
    <xf numFmtId="0" fontId="17" fillId="12" borderId="4" xfId="8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8" fillId="13" borderId="19" xfId="0" applyFont="1" applyFill="1" applyBorder="1" applyAlignment="1">
      <alignment vertical="center"/>
    </xf>
    <xf numFmtId="0" fontId="18" fillId="13" borderId="11" xfId="0" applyFont="1" applyFill="1" applyBorder="1" applyAlignment="1">
      <alignment vertical="center"/>
    </xf>
    <xf numFmtId="0" fontId="18" fillId="13" borderId="12" xfId="0" applyFont="1" applyFill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6" fillId="5" borderId="6" xfId="2" applyFont="1" applyFill="1" applyBorder="1" applyAlignment="1">
      <alignment vertical="center"/>
    </xf>
    <xf numFmtId="0" fontId="2" fillId="0" borderId="10" xfId="0" applyFont="1" applyBorder="1" applyAlignment="1"/>
    <xf numFmtId="0" fontId="6" fillId="0" borderId="10" xfId="0" applyFont="1" applyBorder="1" applyAlignment="1">
      <alignment vertical="center"/>
    </xf>
    <xf numFmtId="0" fontId="2" fillId="14" borderId="2" xfId="0" applyFont="1" applyFill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6" fillId="2" borderId="10" xfId="7" applyFont="1" applyFill="1" applyBorder="1" applyAlignment="1">
      <alignment vertical="center"/>
    </xf>
    <xf numFmtId="0" fontId="16" fillId="4" borderId="12" xfId="2" applyFont="1" applyFill="1" applyBorder="1" applyAlignment="1">
      <alignment vertical="center"/>
    </xf>
    <xf numFmtId="0" fontId="2" fillId="0" borderId="23" xfId="7" applyFont="1" applyFill="1" applyBorder="1" applyAlignment="1">
      <alignment vertical="center"/>
    </xf>
    <xf numFmtId="0" fontId="16" fillId="5" borderId="12" xfId="2" applyFont="1" applyFill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6" fillId="0" borderId="10" xfId="11" applyFont="1" applyBorder="1" applyAlignment="1">
      <alignment vertical="center"/>
    </xf>
    <xf numFmtId="0" fontId="6" fillId="0" borderId="11" xfId="11" applyFont="1" applyBorder="1" applyAlignment="1">
      <alignment vertical="center"/>
    </xf>
    <xf numFmtId="0" fontId="2" fillId="8" borderId="4" xfId="11" applyFont="1" applyFill="1" applyBorder="1" applyAlignment="1">
      <alignment vertical="center"/>
    </xf>
    <xf numFmtId="0" fontId="2" fillId="8" borderId="5" xfId="11" applyFont="1" applyFill="1" applyBorder="1" applyAlignment="1">
      <alignment vertical="center"/>
    </xf>
    <xf numFmtId="0" fontId="2" fillId="8" borderId="6" xfId="11" applyFont="1" applyFill="1" applyBorder="1" applyAlignment="1">
      <alignment vertical="center"/>
    </xf>
    <xf numFmtId="0" fontId="2" fillId="15" borderId="10" xfId="10" applyFont="1" applyFill="1" applyBorder="1" applyAlignment="1">
      <alignment vertical="center"/>
    </xf>
    <xf numFmtId="0" fontId="3" fillId="0" borderId="26" xfId="3" applyFont="1" applyFill="1" applyAlignment="1">
      <alignment vertical="center"/>
    </xf>
    <xf numFmtId="0" fontId="6" fillId="0" borderId="26" xfId="3" applyFont="1" applyFill="1" applyAlignment="1">
      <alignment vertical="center"/>
    </xf>
    <xf numFmtId="0" fontId="15" fillId="10" borderId="4" xfId="1" applyFont="1" applyBorder="1" applyAlignment="1">
      <alignment vertical="center"/>
    </xf>
    <xf numFmtId="0" fontId="9" fillId="0" borderId="26" xfId="3" applyFont="1" applyFill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20" fillId="5" borderId="10" xfId="10" applyFont="1" applyFill="1" applyBorder="1" applyAlignment="1">
      <alignment vertical="center"/>
    </xf>
    <xf numFmtId="0" fontId="7" fillId="2" borderId="10" xfId="10" applyFont="1" applyFill="1" applyBorder="1" applyAlignment="1">
      <alignment vertical="center"/>
    </xf>
    <xf numFmtId="0" fontId="2" fillId="2" borderId="13" xfId="11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6" fillId="0" borderId="19" xfId="11" applyFont="1" applyBorder="1" applyAlignment="1">
      <alignment vertical="center"/>
    </xf>
    <xf numFmtId="0" fontId="2" fillId="5" borderId="0" xfId="9" applyFont="1" applyFill="1" applyBorder="1" applyAlignment="1">
      <alignment vertical="center"/>
    </xf>
    <xf numFmtId="0" fontId="5" fillId="15" borderId="4" xfId="8" applyFont="1" applyFill="1" applyBorder="1" applyAlignment="1">
      <alignment vertical="center"/>
    </xf>
    <xf numFmtId="0" fontId="2" fillId="16" borderId="4" xfId="0" applyFont="1" applyFill="1" applyBorder="1" applyAlignment="1">
      <alignment vertical="center"/>
    </xf>
    <xf numFmtId="0" fontId="16" fillId="5" borderId="5" xfId="2" applyFont="1" applyFill="1" applyBorder="1" applyAlignment="1">
      <alignment vertical="center"/>
    </xf>
    <xf numFmtId="0" fontId="3" fillId="4" borderId="4" xfId="7" applyFont="1" applyBorder="1" applyAlignment="1">
      <alignment vertical="center"/>
    </xf>
    <xf numFmtId="0" fontId="3" fillId="4" borderId="16" xfId="7" applyFont="1" applyBorder="1" applyAlignment="1">
      <alignment vertical="center"/>
    </xf>
    <xf numFmtId="0" fontId="8" fillId="11" borderId="4" xfId="0" applyFont="1" applyFill="1" applyBorder="1" applyAlignment="1">
      <alignment vertical="center"/>
    </xf>
    <xf numFmtId="0" fontId="6" fillId="5" borderId="10" xfId="10" applyFont="1" applyFill="1" applyBorder="1" applyAlignment="1">
      <alignment vertical="center"/>
    </xf>
    <xf numFmtId="0" fontId="21" fillId="12" borderId="4" xfId="8" applyFont="1" applyBorder="1" applyAlignment="1">
      <alignment vertical="center"/>
    </xf>
    <xf numFmtId="0" fontId="3" fillId="4" borderId="4" xfId="7" applyFont="1" applyBorder="1" applyAlignment="1">
      <alignment horizontal="left" vertical="center"/>
    </xf>
    <xf numFmtId="0" fontId="22" fillId="5" borderId="4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vertical="center"/>
    </xf>
    <xf numFmtId="0" fontId="2" fillId="5" borderId="17" xfId="0" applyFont="1" applyFill="1" applyBorder="1" applyAlignment="1">
      <alignment vertical="center"/>
    </xf>
    <xf numFmtId="0" fontId="2" fillId="5" borderId="18" xfId="0" applyFont="1" applyFill="1" applyBorder="1" applyAlignment="1">
      <alignment vertical="center"/>
    </xf>
    <xf numFmtId="0" fontId="2" fillId="8" borderId="1" xfId="11" applyFont="1" applyFill="1" applyBorder="1" applyAlignment="1">
      <alignment vertical="center"/>
    </xf>
    <xf numFmtId="0" fontId="2" fillId="2" borderId="2" xfId="11" applyFont="1" applyFill="1" applyBorder="1" applyAlignment="1">
      <alignment vertical="center"/>
    </xf>
    <xf numFmtId="0" fontId="2" fillId="8" borderId="2" xfId="11" applyFont="1" applyFill="1" applyBorder="1" applyAlignment="1">
      <alignment vertical="center"/>
    </xf>
    <xf numFmtId="0" fontId="2" fillId="0" borderId="2" xfId="11" applyFont="1" applyBorder="1" applyAlignment="1">
      <alignment vertical="center"/>
    </xf>
    <xf numFmtId="0" fontId="2" fillId="0" borderId="3" xfId="11" applyFont="1" applyBorder="1" applyAlignment="1">
      <alignment vertical="center"/>
    </xf>
    <xf numFmtId="0" fontId="2" fillId="7" borderId="16" xfId="11" applyFont="1" applyFill="1" applyBorder="1" applyAlignment="1">
      <alignment vertical="center"/>
    </xf>
    <xf numFmtId="0" fontId="2" fillId="5" borderId="17" xfId="11" applyFont="1" applyFill="1" applyBorder="1" applyAlignment="1">
      <alignment vertical="center"/>
    </xf>
    <xf numFmtId="0" fontId="2" fillId="7" borderId="17" xfId="11" applyFont="1" applyFill="1" applyBorder="1" applyAlignment="1">
      <alignment vertical="center"/>
    </xf>
    <xf numFmtId="0" fontId="2" fillId="5" borderId="18" xfId="11" applyFont="1" applyFill="1" applyBorder="1" applyAlignment="1">
      <alignment vertical="center"/>
    </xf>
    <xf numFmtId="0" fontId="16" fillId="0" borderId="17" xfId="2" applyFont="1" applyBorder="1" applyAlignment="1">
      <alignment vertical="center"/>
    </xf>
    <xf numFmtId="0" fontId="2" fillId="0" borderId="23" xfId="11" applyFont="1" applyBorder="1" applyAlignment="1">
      <alignment vertical="center"/>
    </xf>
    <xf numFmtId="0" fontId="2" fillId="0" borderId="0" xfId="11" applyFont="1" applyBorder="1" applyAlignment="1">
      <alignment vertical="center"/>
    </xf>
    <xf numFmtId="0" fontId="2" fillId="0" borderId="27" xfId="11" applyFont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5" borderId="20" xfId="0" applyFont="1" applyFill="1" applyBorder="1" applyAlignment="1">
      <alignment vertical="center"/>
    </xf>
    <xf numFmtId="0" fontId="2" fillId="5" borderId="21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0" borderId="10" xfId="0" applyNumberFormat="1" applyFont="1" applyFill="1" applyBorder="1" applyAlignment="1" applyProtection="1">
      <alignment vertical="center"/>
    </xf>
    <xf numFmtId="0" fontId="2" fillId="0" borderId="4" xfId="0" applyNumberFormat="1" applyFont="1" applyFill="1" applyBorder="1" applyAlignment="1" applyProtection="1">
      <alignment vertical="center"/>
    </xf>
    <xf numFmtId="0" fontId="2" fillId="0" borderId="14" xfId="0" applyFont="1" applyBorder="1" applyAlignment="1">
      <alignment vertical="center"/>
    </xf>
    <xf numFmtId="0" fontId="16" fillId="0" borderId="15" xfId="2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7" borderId="16" xfId="0" applyFont="1" applyFill="1" applyBorder="1" applyAlignment="1">
      <alignment vertical="center"/>
    </xf>
    <xf numFmtId="0" fontId="2" fillId="7" borderId="17" xfId="0" applyFont="1" applyFill="1" applyBorder="1" applyAlignment="1">
      <alignment vertical="center"/>
    </xf>
    <xf numFmtId="0" fontId="2" fillId="5" borderId="19" xfId="0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18" fillId="13" borderId="10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3" fillId="4" borderId="10" xfId="7" applyFont="1" applyBorder="1" applyAlignment="1">
      <alignment vertical="center"/>
    </xf>
    <xf numFmtId="0" fontId="3" fillId="4" borderId="17" xfId="7" applyFont="1" applyBorder="1" applyAlignment="1">
      <alignment vertical="center"/>
    </xf>
    <xf numFmtId="0" fontId="3" fillId="4" borderId="18" xfId="7" applyFont="1" applyBorder="1" applyAlignment="1">
      <alignment vertical="center"/>
    </xf>
    <xf numFmtId="0" fontId="3" fillId="4" borderId="19" xfId="7" applyFont="1" applyBorder="1" applyAlignment="1">
      <alignment vertical="center"/>
    </xf>
    <xf numFmtId="0" fontId="3" fillId="4" borderId="20" xfId="7" applyFont="1" applyBorder="1" applyAlignment="1">
      <alignment vertical="center"/>
    </xf>
    <xf numFmtId="0" fontId="3" fillId="4" borderId="21" xfId="7" applyFont="1" applyBorder="1" applyAlignment="1">
      <alignment vertical="center"/>
    </xf>
    <xf numFmtId="0" fontId="3" fillId="4" borderId="5" xfId="7" applyFont="1" applyBorder="1" applyAlignment="1">
      <alignment vertical="center"/>
    </xf>
    <xf numFmtId="0" fontId="3" fillId="4" borderId="6" xfId="7" applyFont="1" applyBorder="1" applyAlignment="1">
      <alignment vertical="center"/>
    </xf>
    <xf numFmtId="0" fontId="3" fillId="5" borderId="10" xfId="7" applyFont="1" applyFill="1" applyBorder="1" applyAlignment="1">
      <alignment vertical="center"/>
    </xf>
    <xf numFmtId="0" fontId="3" fillId="5" borderId="11" xfId="7" applyFont="1" applyFill="1" applyBorder="1" applyAlignment="1">
      <alignment vertical="center"/>
    </xf>
    <xf numFmtId="0" fontId="3" fillId="5" borderId="12" xfId="7" applyFont="1" applyFill="1" applyBorder="1" applyAlignment="1">
      <alignment vertical="center"/>
    </xf>
    <xf numFmtId="0" fontId="17" fillId="5" borderId="10" xfId="8" applyFont="1" applyFill="1" applyBorder="1" applyAlignment="1">
      <alignment vertical="center"/>
    </xf>
    <xf numFmtId="0" fontId="15" fillId="5" borderId="10" xfId="1" applyFont="1" applyFill="1" applyBorder="1" applyAlignment="1">
      <alignment vertical="center"/>
    </xf>
    <xf numFmtId="0" fontId="3" fillId="5" borderId="16" xfId="7" applyFont="1" applyFill="1" applyBorder="1" applyAlignment="1">
      <alignment vertical="center"/>
    </xf>
    <xf numFmtId="0" fontId="3" fillId="5" borderId="17" xfId="7" applyFont="1" applyFill="1" applyBorder="1" applyAlignment="1">
      <alignment vertical="center"/>
    </xf>
    <xf numFmtId="0" fontId="3" fillId="5" borderId="18" xfId="7" applyFont="1" applyFill="1" applyBorder="1" applyAlignment="1">
      <alignment vertical="center"/>
    </xf>
    <xf numFmtId="0" fontId="17" fillId="12" borderId="10" xfId="8" applyFont="1" applyBorder="1" applyAlignment="1">
      <alignment vertical="center"/>
    </xf>
    <xf numFmtId="0" fontId="15" fillId="10" borderId="10" xfId="1" applyFont="1" applyBorder="1" applyAlignment="1">
      <alignment vertical="center"/>
    </xf>
    <xf numFmtId="0" fontId="23" fillId="17" borderId="31" xfId="5" applyFont="1" applyAlignment="1">
      <alignment vertical="center"/>
    </xf>
    <xf numFmtId="0" fontId="15" fillId="10" borderId="31" xfId="1" applyFont="1" applyBorder="1" applyAlignment="1">
      <alignment vertical="center"/>
    </xf>
    <xf numFmtId="0" fontId="3" fillId="2" borderId="11" xfId="7" applyFont="1" applyFill="1" applyBorder="1" applyAlignment="1">
      <alignment vertical="center"/>
    </xf>
    <xf numFmtId="0" fontId="3" fillId="2" borderId="12" xfId="7" applyFont="1" applyFill="1" applyBorder="1" applyAlignment="1">
      <alignment vertical="center"/>
    </xf>
    <xf numFmtId="0" fontId="3" fillId="4" borderId="13" xfId="7" applyFont="1" applyBorder="1" applyAlignment="1">
      <alignment horizontal="left" vertical="center"/>
    </xf>
    <xf numFmtId="0" fontId="3" fillId="4" borderId="20" xfId="7" applyFont="1" applyBorder="1" applyAlignment="1">
      <alignment horizontal="center" vertical="center"/>
    </xf>
    <xf numFmtId="0" fontId="3" fillId="4" borderId="21" xfId="7" applyFont="1" applyBorder="1" applyAlignment="1">
      <alignment horizontal="center" vertical="center"/>
    </xf>
    <xf numFmtId="0" fontId="3" fillId="4" borderId="13" xfId="7" applyFont="1" applyBorder="1" applyAlignment="1">
      <alignment horizontal="center" vertical="center"/>
    </xf>
    <xf numFmtId="0" fontId="2" fillId="15" borderId="2" xfId="0" applyFont="1" applyFill="1" applyBorder="1" applyAlignment="1">
      <alignment vertical="center"/>
    </xf>
    <xf numFmtId="0" fontId="3" fillId="4" borderId="31" xfId="7" applyFont="1" applyBorder="1" applyAlignment="1">
      <alignment vertical="center"/>
    </xf>
    <xf numFmtId="0" fontId="3" fillId="2" borderId="4" xfId="7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7" fillId="12" borderId="31" xfId="8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18" borderId="10" xfId="0" applyFont="1" applyFill="1" applyBorder="1" applyAlignment="1">
      <alignment vertical="center"/>
    </xf>
    <xf numFmtId="0" fontId="2" fillId="18" borderId="11" xfId="0" applyFont="1" applyFill="1" applyBorder="1" applyAlignment="1">
      <alignment vertical="center"/>
    </xf>
    <xf numFmtId="0" fontId="16" fillId="18" borderId="12" xfId="2" applyFont="1" applyFill="1" applyBorder="1" applyAlignment="1">
      <alignment vertical="center"/>
    </xf>
    <xf numFmtId="0" fontId="18" fillId="18" borderId="11" xfId="0" applyFont="1" applyFill="1" applyBorder="1" applyAlignment="1">
      <alignment vertical="center"/>
    </xf>
    <xf numFmtId="0" fontId="2" fillId="19" borderId="11" xfId="0" applyFont="1" applyFill="1" applyBorder="1" applyAlignment="1">
      <alignment vertical="center"/>
    </xf>
    <xf numFmtId="0" fontId="2" fillId="5" borderId="16" xfId="9" applyFont="1" applyFill="1" applyBorder="1" applyAlignment="1">
      <alignment vertical="center"/>
    </xf>
    <xf numFmtId="0" fontId="2" fillId="5" borderId="11" xfId="9" applyFont="1" applyFill="1" applyBorder="1" applyAlignment="1">
      <alignment vertical="center"/>
    </xf>
    <xf numFmtId="0" fontId="2" fillId="5" borderId="12" xfId="9" applyFont="1" applyFill="1" applyBorder="1" applyAlignment="1">
      <alignment vertical="center"/>
    </xf>
    <xf numFmtId="0" fontId="2" fillId="2" borderId="10" xfId="10" applyFont="1" applyFill="1" applyBorder="1" applyAlignment="1">
      <alignment vertical="center"/>
    </xf>
    <xf numFmtId="0" fontId="4" fillId="3" borderId="0" xfId="11" applyFont="1" applyFill="1" applyAlignment="1">
      <alignment vertical="center"/>
    </xf>
    <xf numFmtId="0" fontId="24" fillId="0" borderId="26" xfId="3" applyFont="1" applyFill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4" fillId="0" borderId="4" xfId="8" applyFont="1" applyFill="1" applyBorder="1" applyAlignment="1">
      <alignment vertical="center"/>
    </xf>
    <xf numFmtId="0" fontId="4" fillId="0" borderId="26" xfId="3" applyFont="1" applyFill="1" applyAlignment="1">
      <alignment vertical="center"/>
    </xf>
    <xf numFmtId="0" fontId="4" fillId="5" borderId="4" xfId="9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0" borderId="26" xfId="3" applyFont="1" applyFill="1" applyAlignment="1">
      <alignment horizontal="left" vertical="center"/>
    </xf>
    <xf numFmtId="0" fontId="6" fillId="0" borderId="2" xfId="0" applyFont="1" applyFill="1" applyBorder="1" applyAlignment="1">
      <alignment vertical="center"/>
    </xf>
    <xf numFmtId="0" fontId="15" fillId="10" borderId="19" xfId="1" applyFont="1" applyBorder="1" applyAlignment="1">
      <alignment vertical="center"/>
    </xf>
    <xf numFmtId="0" fontId="15" fillId="10" borderId="30" xfId="1" applyFont="1" applyBorder="1" applyAlignment="1">
      <alignment vertical="center"/>
    </xf>
    <xf numFmtId="0" fontId="15" fillId="10" borderId="25" xfId="1" applyFont="1" applyBorder="1" applyAlignment="1">
      <alignment vertical="center"/>
    </xf>
    <xf numFmtId="0" fontId="5" fillId="13" borderId="19" xfId="0" applyFont="1" applyFill="1" applyBorder="1" applyAlignment="1">
      <alignment vertical="center"/>
    </xf>
    <xf numFmtId="0" fontId="5" fillId="13" borderId="30" xfId="0" applyFont="1" applyFill="1" applyBorder="1" applyAlignment="1">
      <alignment vertical="center"/>
    </xf>
    <xf numFmtId="0" fontId="5" fillId="13" borderId="25" xfId="0" applyFont="1" applyFill="1" applyBorder="1" applyAlignment="1">
      <alignment vertical="center"/>
    </xf>
    <xf numFmtId="0" fontId="5" fillId="20" borderId="30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0" fontId="5" fillId="20" borderId="11" xfId="0" applyFont="1" applyFill="1" applyBorder="1" applyAlignment="1">
      <alignment vertical="center"/>
    </xf>
    <xf numFmtId="0" fontId="5" fillId="13" borderId="11" xfId="0" applyFont="1" applyFill="1" applyBorder="1" applyAlignment="1">
      <alignment vertical="center"/>
    </xf>
    <xf numFmtId="0" fontId="5" fillId="13" borderId="12" xfId="0" applyFont="1" applyFill="1" applyBorder="1" applyAlignment="1">
      <alignment vertical="center"/>
    </xf>
    <xf numFmtId="0" fontId="15" fillId="10" borderId="11" xfId="1" applyFont="1" applyBorder="1" applyAlignment="1">
      <alignment vertical="center"/>
    </xf>
    <xf numFmtId="0" fontId="3" fillId="4" borderId="30" xfId="7" applyFont="1" applyBorder="1" applyAlignment="1">
      <alignment vertical="center"/>
    </xf>
    <xf numFmtId="0" fontId="3" fillId="4" borderId="25" xfId="7" applyFont="1" applyBorder="1" applyAlignment="1">
      <alignment vertical="center"/>
    </xf>
    <xf numFmtId="0" fontId="2" fillId="5" borderId="23" xfId="0" applyFont="1" applyFill="1" applyBorder="1" applyAlignment="1">
      <alignment vertical="center"/>
    </xf>
    <xf numFmtId="0" fontId="2" fillId="5" borderId="24" xfId="0" applyFont="1" applyFill="1" applyBorder="1" applyAlignment="1">
      <alignment vertical="center"/>
    </xf>
    <xf numFmtId="0" fontId="2" fillId="5" borderId="25" xfId="0" applyFont="1" applyFill="1" applyBorder="1" applyAlignment="1">
      <alignment vertical="center"/>
    </xf>
    <xf numFmtId="0" fontId="2" fillId="8" borderId="19" xfId="0" applyFont="1" applyFill="1" applyBorder="1" applyAlignment="1">
      <alignment vertical="center"/>
    </xf>
    <xf numFmtId="0" fontId="2" fillId="8" borderId="30" xfId="0" applyFont="1" applyFill="1" applyBorder="1" applyAlignment="1">
      <alignment vertical="center"/>
    </xf>
    <xf numFmtId="0" fontId="2" fillId="8" borderId="25" xfId="0" applyFont="1" applyFill="1" applyBorder="1" applyAlignment="1">
      <alignment vertical="center"/>
    </xf>
    <xf numFmtId="0" fontId="17" fillId="12" borderId="6" xfId="8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6" fillId="0" borderId="25" xfId="2" applyFont="1" applyBorder="1" applyAlignment="1">
      <alignment vertical="center"/>
    </xf>
    <xf numFmtId="0" fontId="2" fillId="21" borderId="10" xfId="0" applyFont="1" applyFill="1" applyBorder="1" applyAlignment="1">
      <alignment vertical="center"/>
    </xf>
    <xf numFmtId="0" fontId="2" fillId="22" borderId="10" xfId="0" applyFont="1" applyFill="1" applyBorder="1" applyAlignment="1">
      <alignment vertical="center"/>
    </xf>
    <xf numFmtId="0" fontId="5" fillId="3" borderId="0" xfId="10" applyFont="1" applyFill="1" applyAlignment="1">
      <alignment vertical="center"/>
    </xf>
    <xf numFmtId="0" fontId="5" fillId="0" borderId="11" xfId="0" applyFont="1" applyBorder="1" applyAlignment="1">
      <alignment vertical="center"/>
    </xf>
    <xf numFmtId="0" fontId="5" fillId="13" borderId="10" xfId="0" applyFont="1" applyFill="1" applyBorder="1" applyAlignment="1">
      <alignment vertical="center"/>
    </xf>
    <xf numFmtId="0" fontId="25" fillId="17" borderId="32" xfId="4" applyFont="1" applyAlignment="1">
      <alignment horizontal="justify" vertical="center"/>
    </xf>
    <xf numFmtId="0" fontId="8" fillId="4" borderId="10" xfId="7" applyFont="1" applyBorder="1" applyAlignment="1">
      <alignment vertical="center"/>
    </xf>
    <xf numFmtId="0" fontId="5" fillId="17" borderId="31" xfId="5" applyFont="1" applyAlignment="1"/>
    <xf numFmtId="0" fontId="14" fillId="17" borderId="31" xfId="5" applyFont="1" applyAlignment="1">
      <alignment horizontal="justify" vertical="center"/>
    </xf>
    <xf numFmtId="0" fontId="24" fillId="17" borderId="31" xfId="5" applyFont="1" applyAlignment="1">
      <alignment horizontal="justify" vertical="center"/>
    </xf>
    <xf numFmtId="0" fontId="24" fillId="17" borderId="33" xfId="5" applyFont="1" applyBorder="1" applyAlignment="1">
      <alignment horizontal="justify" vertical="center"/>
    </xf>
    <xf numFmtId="0" fontId="6" fillId="5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3" fillId="5" borderId="0" xfId="7" applyFont="1" applyFill="1" applyAlignment="1"/>
    <xf numFmtId="0" fontId="3" fillId="4" borderId="0" xfId="7" applyFont="1" applyAlignment="1"/>
    <xf numFmtId="0" fontId="3" fillId="4" borderId="31" xfId="7" applyFont="1" applyBorder="1" applyAlignment="1"/>
    <xf numFmtId="0" fontId="6" fillId="6" borderId="0" xfId="0" applyFont="1" applyFill="1" applyAlignment="1">
      <alignment vertical="center"/>
    </xf>
    <xf numFmtId="0" fontId="3" fillId="5" borderId="4" xfId="7" applyFont="1" applyFill="1" applyBorder="1" applyAlignment="1">
      <alignment vertical="center"/>
    </xf>
    <xf numFmtId="0" fontId="3" fillId="5" borderId="5" xfId="7" applyFont="1" applyFill="1" applyBorder="1" applyAlignment="1">
      <alignment vertical="center"/>
    </xf>
    <xf numFmtId="0" fontId="3" fillId="5" borderId="6" xfId="7" applyFont="1" applyFill="1" applyBorder="1" applyAlignment="1">
      <alignment vertical="center"/>
    </xf>
    <xf numFmtId="0" fontId="3" fillId="5" borderId="34" xfId="7" applyNumberFormat="1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35" xfId="11" applyFont="1" applyBorder="1" applyAlignment="1">
      <alignment vertical="center"/>
    </xf>
    <xf numFmtId="0" fontId="3" fillId="4" borderId="34" xfId="7" applyNumberFormat="1" applyFont="1" applyBorder="1" applyAlignment="1">
      <alignment vertical="center"/>
    </xf>
    <xf numFmtId="0" fontId="2" fillId="0" borderId="34" xfId="11" applyNumberFormat="1" applyFont="1" applyBorder="1" applyAlignment="1">
      <alignment vertical="center"/>
    </xf>
    <xf numFmtId="0" fontId="3" fillId="0" borderId="4" xfId="7" applyFont="1" applyFill="1" applyBorder="1" applyAlignment="1">
      <alignment vertical="center"/>
    </xf>
    <xf numFmtId="0" fontId="3" fillId="0" borderId="5" xfId="7" applyFont="1" applyFill="1" applyBorder="1" applyAlignment="1">
      <alignment vertical="center"/>
    </xf>
    <xf numFmtId="0" fontId="3" fillId="0" borderId="6" xfId="7" applyFont="1" applyFill="1" applyBorder="1" applyAlignment="1">
      <alignment vertical="center"/>
    </xf>
    <xf numFmtId="0" fontId="3" fillId="0" borderId="16" xfId="7" applyFont="1" applyFill="1" applyBorder="1" applyAlignment="1">
      <alignment vertical="center"/>
    </xf>
    <xf numFmtId="0" fontId="3" fillId="0" borderId="17" xfId="7" applyFont="1" applyFill="1" applyBorder="1" applyAlignment="1">
      <alignment vertical="center"/>
    </xf>
    <xf numFmtId="0" fontId="3" fillId="0" borderId="18" xfId="7" applyFont="1" applyFill="1" applyBorder="1" applyAlignment="1">
      <alignment vertical="center"/>
    </xf>
    <xf numFmtId="0" fontId="3" fillId="0" borderId="10" xfId="7" applyFont="1" applyFill="1" applyBorder="1" applyAlignment="1">
      <alignment vertical="center"/>
    </xf>
    <xf numFmtId="0" fontId="3" fillId="0" borderId="11" xfId="7" applyFont="1" applyFill="1" applyBorder="1" applyAlignment="1">
      <alignment vertical="center"/>
    </xf>
    <xf numFmtId="0" fontId="3" fillId="0" borderId="12" xfId="7" applyFont="1" applyFill="1" applyBorder="1" applyAlignment="1">
      <alignment vertical="center"/>
    </xf>
    <xf numFmtId="0" fontId="3" fillId="0" borderId="19" xfId="7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2" fillId="5" borderId="27" xfId="0" applyFont="1" applyFill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5" borderId="22" xfId="0" applyFont="1" applyFill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13" borderId="23" xfId="0" applyFont="1" applyFill="1" applyBorder="1" applyAlignment="1">
      <alignment vertical="center"/>
    </xf>
    <xf numFmtId="0" fontId="5" fillId="13" borderId="24" xfId="0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2" fillId="0" borderId="23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8" borderId="10" xfId="0" applyFont="1" applyFill="1" applyBorder="1" applyAlignment="1">
      <alignment vertical="top"/>
    </xf>
    <xf numFmtId="0" fontId="17" fillId="12" borderId="19" xfId="8" applyFont="1" applyBorder="1" applyAlignment="1">
      <alignment vertical="center"/>
    </xf>
    <xf numFmtId="0" fontId="17" fillId="12" borderId="30" xfId="8" applyFont="1" applyBorder="1" applyAlignment="1">
      <alignment vertical="center"/>
    </xf>
    <xf numFmtId="0" fontId="17" fillId="12" borderId="25" xfId="8" applyFont="1" applyBorder="1" applyAlignment="1">
      <alignment vertical="center"/>
    </xf>
    <xf numFmtId="0" fontId="17" fillId="12" borderId="11" xfId="8" applyFont="1" applyBorder="1" applyAlignment="1">
      <alignment vertical="center"/>
    </xf>
    <xf numFmtId="0" fontId="17" fillId="12" borderId="12" xfId="8" applyFont="1" applyBorder="1" applyAlignment="1">
      <alignment vertical="center"/>
    </xf>
    <xf numFmtId="0" fontId="17" fillId="12" borderId="0" xfId="8" applyFont="1" applyAlignment="1"/>
    <xf numFmtId="0" fontId="17" fillId="12" borderId="34" xfId="8" applyFont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2" fillId="5" borderId="15" xfId="0" applyFont="1" applyFill="1" applyBorder="1" applyAlignment="1">
      <alignment vertical="center"/>
    </xf>
    <xf numFmtId="0" fontId="2" fillId="0" borderId="39" xfId="11" applyFont="1" applyBorder="1" applyAlignment="1">
      <alignment vertical="center"/>
    </xf>
    <xf numFmtId="0" fontId="2" fillId="15" borderId="2" xfId="11" applyFont="1" applyFill="1" applyBorder="1" applyAlignment="1">
      <alignment vertical="center"/>
    </xf>
    <xf numFmtId="0" fontId="2" fillId="0" borderId="10" xfId="11" applyFont="1" applyFill="1" applyBorder="1" applyAlignment="1">
      <alignment vertical="center"/>
    </xf>
    <xf numFmtId="0" fontId="2" fillId="0" borderId="11" xfId="11" applyFont="1" applyFill="1" applyBorder="1" applyAlignment="1">
      <alignment vertical="center"/>
    </xf>
    <xf numFmtId="0" fontId="2" fillId="0" borderId="12" xfId="11" applyFont="1" applyFill="1" applyBorder="1" applyAlignment="1">
      <alignment vertical="center"/>
    </xf>
    <xf numFmtId="0" fontId="2" fillId="0" borderId="4" xfId="11" applyFont="1" applyFill="1" applyBorder="1" applyAlignment="1">
      <alignment vertical="center"/>
    </xf>
    <xf numFmtId="0" fontId="2" fillId="0" borderId="5" xfId="11" applyFont="1" applyFill="1" applyBorder="1" applyAlignment="1">
      <alignment vertical="center"/>
    </xf>
    <xf numFmtId="0" fontId="2" fillId="0" borderId="6" xfId="11" applyFont="1" applyFill="1" applyBorder="1" applyAlignment="1">
      <alignment vertical="center"/>
    </xf>
    <xf numFmtId="0" fontId="2" fillId="0" borderId="22" xfId="11" applyFont="1" applyFill="1" applyBorder="1" applyAlignment="1">
      <alignment horizontal="left" vertical="center"/>
    </xf>
    <xf numFmtId="0" fontId="2" fillId="0" borderId="24" xfId="11" applyFont="1" applyFill="1" applyBorder="1" applyAlignment="1">
      <alignment horizontal="center" vertical="center"/>
    </xf>
    <xf numFmtId="0" fontId="2" fillId="0" borderId="25" xfId="1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16" fillId="0" borderId="12" xfId="2" applyFont="1" applyFill="1" applyBorder="1" applyAlignment="1">
      <alignment vertical="center"/>
    </xf>
    <xf numFmtId="0" fontId="6" fillId="0" borderId="16" xfId="11" applyFont="1" applyFill="1" applyBorder="1" applyAlignment="1">
      <alignment vertical="center"/>
    </xf>
    <xf numFmtId="0" fontId="2" fillId="0" borderId="17" xfId="11" applyFont="1" applyFill="1" applyBorder="1" applyAlignment="1">
      <alignment vertical="center"/>
    </xf>
    <xf numFmtId="0" fontId="2" fillId="0" borderId="18" xfId="11" applyFont="1" applyFill="1" applyBorder="1" applyAlignment="1">
      <alignment vertical="center"/>
    </xf>
    <xf numFmtId="0" fontId="2" fillId="8" borderId="22" xfId="11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18" borderId="2" xfId="11" applyFont="1" applyFill="1" applyBorder="1" applyAlignment="1">
      <alignment vertical="center"/>
    </xf>
    <xf numFmtId="0" fontId="16" fillId="3" borderId="0" xfId="2" applyFont="1" applyFill="1" applyAlignment="1">
      <alignment vertical="center"/>
    </xf>
    <xf numFmtId="0" fontId="2" fillId="7" borderId="22" xfId="0" applyFont="1" applyFill="1" applyBorder="1" applyAlignment="1">
      <alignment horizontal="center" vertical="center"/>
    </xf>
    <xf numFmtId="0" fontId="27" fillId="5" borderId="10" xfId="0" applyFont="1" applyFill="1" applyBorder="1" applyAlignment="1">
      <alignment vertical="center"/>
    </xf>
    <xf numFmtId="0" fontId="27" fillId="5" borderId="11" xfId="0" applyFont="1" applyFill="1" applyBorder="1" applyAlignment="1">
      <alignment vertical="center"/>
    </xf>
    <xf numFmtId="0" fontId="27" fillId="5" borderId="12" xfId="0" applyFont="1" applyFill="1" applyBorder="1" applyAlignment="1">
      <alignment vertical="center"/>
    </xf>
    <xf numFmtId="0" fontId="2" fillId="5" borderId="40" xfId="0" applyFont="1" applyFill="1" applyBorder="1" applyAlignment="1">
      <alignment vertical="center"/>
    </xf>
    <xf numFmtId="0" fontId="2" fillId="5" borderId="28" xfId="0" applyFont="1" applyFill="1" applyBorder="1" applyAlignment="1">
      <alignment vertical="center"/>
    </xf>
    <xf numFmtId="0" fontId="2" fillId="5" borderId="29" xfId="0" applyFont="1" applyFill="1" applyBorder="1" applyAlignment="1">
      <alignment vertical="center"/>
    </xf>
    <xf numFmtId="0" fontId="23" fillId="17" borderId="31" xfId="5" quotePrefix="1" applyFont="1" applyAlignment="1">
      <alignment vertical="center"/>
    </xf>
    <xf numFmtId="0" fontId="2" fillId="0" borderId="4" xfId="0" quotePrefix="1" applyFont="1" applyBorder="1" applyAlignment="1">
      <alignment vertical="center"/>
    </xf>
    <xf numFmtId="0" fontId="3" fillId="4" borderId="4" xfId="7" quotePrefix="1" applyFont="1" applyBorder="1" applyAlignment="1">
      <alignment vertical="center"/>
    </xf>
    <xf numFmtId="0" fontId="2" fillId="8" borderId="24" xfId="11" applyFont="1" applyFill="1" applyBorder="1" applyAlignment="1">
      <alignment horizontal="center" vertical="center"/>
    </xf>
    <xf numFmtId="0" fontId="2" fillId="8" borderId="25" xfId="1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26" fillId="0" borderId="12" xfId="2" applyBorder="1" applyAlignment="1">
      <alignment vertical="center"/>
    </xf>
    <xf numFmtId="0" fontId="26" fillId="0" borderId="12" xfId="2" applyFill="1" applyBorder="1" applyAlignment="1">
      <alignment vertical="center"/>
    </xf>
    <xf numFmtId="0" fontId="26" fillId="0" borderId="6" xfId="2" applyBorder="1" applyAlignment="1">
      <alignment vertical="center"/>
    </xf>
    <xf numFmtId="0" fontId="26" fillId="5" borderId="6" xfId="2" applyFill="1" applyBorder="1" applyAlignment="1">
      <alignment vertical="center"/>
    </xf>
    <xf numFmtId="0" fontId="26" fillId="5" borderId="12" xfId="2" applyFill="1" applyBorder="1" applyAlignment="1">
      <alignment vertical="center"/>
    </xf>
    <xf numFmtId="0" fontId="26" fillId="0" borderId="25" xfId="2" applyBorder="1" applyAlignment="1">
      <alignment vertical="center"/>
    </xf>
    <xf numFmtId="0" fontId="26" fillId="4" borderId="12" xfId="2" applyFill="1" applyBorder="1" applyAlignment="1">
      <alignment vertical="center"/>
    </xf>
    <xf numFmtId="0" fontId="26" fillId="5" borderId="21" xfId="2" applyFill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8" borderId="1" xfId="11" applyFont="1" applyFill="1" applyBorder="1" applyAlignment="1">
      <alignment horizontal="center" vertical="center"/>
    </xf>
    <xf numFmtId="0" fontId="2" fillId="8" borderId="2" xfId="11" applyFont="1" applyFill="1" applyBorder="1" applyAlignment="1">
      <alignment horizontal="center" vertical="center"/>
    </xf>
    <xf numFmtId="0" fontId="2" fillId="8" borderId="3" xfId="11" applyFont="1" applyFill="1" applyBorder="1" applyAlignment="1">
      <alignment horizontal="center" vertical="center"/>
    </xf>
    <xf numFmtId="0" fontId="2" fillId="8" borderId="23" xfId="11" applyFont="1" applyFill="1" applyBorder="1" applyAlignment="1">
      <alignment horizontal="center" vertical="center"/>
    </xf>
    <xf numFmtId="0" fontId="2" fillId="8" borderId="24" xfId="11" applyFont="1" applyFill="1" applyBorder="1" applyAlignment="1">
      <alignment horizontal="center" vertical="center"/>
    </xf>
    <xf numFmtId="0" fontId="2" fillId="8" borderId="25" xfId="11" applyFont="1" applyFill="1" applyBorder="1" applyAlignment="1">
      <alignment horizontal="center" vertical="center"/>
    </xf>
    <xf numFmtId="0" fontId="2" fillId="7" borderId="1" xfId="11" applyFont="1" applyFill="1" applyBorder="1" applyAlignment="1">
      <alignment horizontal="center" vertical="center"/>
    </xf>
    <xf numFmtId="0" fontId="2" fillId="7" borderId="2" xfId="11" applyFont="1" applyFill="1" applyBorder="1" applyAlignment="1">
      <alignment horizontal="center" vertical="center"/>
    </xf>
    <xf numFmtId="0" fontId="2" fillId="7" borderId="3" xfId="11" applyFont="1" applyFill="1" applyBorder="1" applyAlignment="1">
      <alignment horizontal="center" vertical="center"/>
    </xf>
    <xf numFmtId="0" fontId="2" fillId="7" borderId="7" xfId="11" applyFont="1" applyFill="1" applyBorder="1" applyAlignment="1">
      <alignment horizontal="center" vertical="center"/>
    </xf>
    <xf numFmtId="0" fontId="2" fillId="7" borderId="8" xfId="11" applyFont="1" applyFill="1" applyBorder="1" applyAlignment="1">
      <alignment horizontal="center" vertical="center"/>
    </xf>
    <xf numFmtId="0" fontId="2" fillId="7" borderId="9" xfId="11" applyFont="1" applyFill="1" applyBorder="1" applyAlignment="1">
      <alignment horizontal="center" vertical="center"/>
    </xf>
    <xf numFmtId="0" fontId="2" fillId="8" borderId="7" xfId="11" applyFont="1" applyFill="1" applyBorder="1" applyAlignment="1">
      <alignment horizontal="center" vertical="center"/>
    </xf>
    <xf numFmtId="0" fontId="2" fillId="8" borderId="8" xfId="11" applyFont="1" applyFill="1" applyBorder="1" applyAlignment="1">
      <alignment horizontal="center" vertical="center"/>
    </xf>
    <xf numFmtId="0" fontId="2" fillId="8" borderId="9" xfId="1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3" fillId="4" borderId="36" xfId="7" applyFont="1" applyBorder="1" applyAlignment="1">
      <alignment horizontal="center" vertical="center"/>
    </xf>
    <xf numFmtId="0" fontId="3" fillId="4" borderId="37" xfId="7" applyFont="1" applyBorder="1" applyAlignment="1">
      <alignment horizontal="center" vertical="center"/>
    </xf>
    <xf numFmtId="0" fontId="3" fillId="4" borderId="38" xfId="7" applyFont="1" applyBorder="1" applyAlignment="1">
      <alignment horizontal="center" vertical="center"/>
    </xf>
    <xf numFmtId="0" fontId="3" fillId="4" borderId="7" xfId="7" applyFont="1" applyBorder="1" applyAlignment="1">
      <alignment horizontal="center" vertical="center"/>
    </xf>
    <xf numFmtId="0" fontId="3" fillId="4" borderId="8" xfId="7" applyFont="1" applyBorder="1" applyAlignment="1">
      <alignment horizontal="center" vertical="center"/>
    </xf>
    <xf numFmtId="0" fontId="3" fillId="4" borderId="9" xfId="7" applyFont="1" applyBorder="1" applyAlignment="1">
      <alignment horizontal="center" vertical="center"/>
    </xf>
    <xf numFmtId="0" fontId="3" fillId="4" borderId="23" xfId="7" applyFont="1" applyBorder="1" applyAlignment="1">
      <alignment horizontal="center" vertical="center"/>
    </xf>
    <xf numFmtId="0" fontId="3" fillId="4" borderId="24" xfId="7" applyFont="1" applyBorder="1" applyAlignment="1">
      <alignment horizontal="center" vertical="center"/>
    </xf>
    <xf numFmtId="0" fontId="3" fillId="4" borderId="25" xfId="7" applyFont="1" applyBorder="1" applyAlignment="1">
      <alignment horizontal="center" vertical="center"/>
    </xf>
    <xf numFmtId="0" fontId="3" fillId="0" borderId="7" xfId="7" applyFont="1" applyFill="1" applyBorder="1" applyAlignment="1">
      <alignment horizontal="center" vertical="center"/>
    </xf>
    <xf numFmtId="0" fontId="3" fillId="0" borderId="8" xfId="7" applyFont="1" applyFill="1" applyBorder="1" applyAlignment="1">
      <alignment horizontal="center" vertical="center"/>
    </xf>
    <xf numFmtId="0" fontId="3" fillId="0" borderId="9" xfId="7" applyFont="1" applyFill="1" applyBorder="1" applyAlignment="1">
      <alignment horizontal="center" vertical="center"/>
    </xf>
    <xf numFmtId="0" fontId="3" fillId="0" borderId="23" xfId="7" applyFont="1" applyFill="1" applyBorder="1" applyAlignment="1">
      <alignment horizontal="center" vertical="center"/>
    </xf>
    <xf numFmtId="0" fontId="3" fillId="0" borderId="24" xfId="7" applyFont="1" applyFill="1" applyBorder="1" applyAlignment="1">
      <alignment horizontal="center" vertical="center"/>
    </xf>
    <xf numFmtId="0" fontId="3" fillId="0" borderId="25" xfId="7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7" borderId="38" xfId="0" applyFont="1" applyFill="1" applyBorder="1" applyAlignment="1">
      <alignment horizontal="center" vertical="center"/>
    </xf>
  </cellXfs>
  <cellStyles count="12">
    <cellStyle name="差" xfId="1" builtinId="27"/>
    <cellStyle name="常规" xfId="0" builtinId="0"/>
    <cellStyle name="常规 2" xfId="9" xr:uid="{00000000-0005-0000-0000-000002000000}"/>
    <cellStyle name="常规 257" xfId="6" xr:uid="{00000000-0005-0000-0000-000003000000}"/>
    <cellStyle name="常规 3" xfId="10" xr:uid="{00000000-0005-0000-0000-000004000000}"/>
    <cellStyle name="常规 4" xfId="11" xr:uid="{00000000-0005-0000-0000-000005000000}"/>
    <cellStyle name="超链接" xfId="2" builtinId="8"/>
    <cellStyle name="好" xfId="7" builtinId="26"/>
    <cellStyle name="计算" xfId="5" builtinId="22"/>
    <cellStyle name="适中" xfId="8" builtinId="28"/>
    <cellStyle name="输出" xfId="4" builtinId="21"/>
    <cellStyle name="注释" xfId="3" builtinId="10"/>
  </cellStyles>
  <dxfs count="110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&#31995;&#32479;/&#35774;&#35745;&#27169;&#26495;(&#31995;&#32479;-&#26435;&#38480;).xlsx" TargetMode="External"/><Relationship Id="rId117" Type="http://schemas.openxmlformats.org/officeDocument/2006/relationships/hyperlink" Target="../&#20844;&#20849;/&#35774;&#35745;&#27169;&#26495;(&#20844;&#20849;-&#20844;&#20849;&#25509;&#21475;).xlsx" TargetMode="External"/><Relationship Id="rId21" Type="http://schemas.openxmlformats.org/officeDocument/2006/relationships/hyperlink" Target="../../../../../osm/branches/1.5/document/D2.Designs/&#31995;&#32479;/&#35774;&#35745;&#27169;&#26495;(&#31995;&#32479;-&#26435;&#38480;).xlsx" TargetMode="External"/><Relationship Id="rId42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7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63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68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84" Type="http://schemas.openxmlformats.org/officeDocument/2006/relationships/hyperlink" Target="../&#20844;&#20849;/&#35774;&#35745;&#27169;&#26495;(&#20844;&#20849;-&#20844;&#20849;&#25509;&#21475;).xlsx" TargetMode="External"/><Relationship Id="rId89" Type="http://schemas.openxmlformats.org/officeDocument/2006/relationships/hyperlink" Target="../&#20844;&#20849;/&#35774;&#35745;&#27169;&#26495;(&#20844;&#20849;-&#20844;&#20849;&#25509;&#21475;).xlsx" TargetMode="External"/><Relationship Id="rId112" Type="http://schemas.openxmlformats.org/officeDocument/2006/relationships/hyperlink" Target="../&#20844;&#20849;/&#35774;&#35745;&#27169;&#26495;(&#20844;&#20849;-&#20844;&#20849;&#25509;&#21475;).xlsx" TargetMode="External"/><Relationship Id="rId16" Type="http://schemas.openxmlformats.org/officeDocument/2006/relationships/hyperlink" Target="../&#20844;&#20849;/&#35774;&#35745;&#27169;&#26495;(&#20844;&#20849;-&#20844;&#20849;&#25509;&#21475;).xlsx" TargetMode="External"/><Relationship Id="rId107" Type="http://schemas.openxmlformats.org/officeDocument/2006/relationships/hyperlink" Target="../&#20844;&#20849;/&#35774;&#35745;&#27169;&#26495;(&#20844;&#20849;-&#20844;&#20849;&#25509;&#21475;).xlsx" TargetMode="External"/><Relationship Id="rId11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2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7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53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58" Type="http://schemas.openxmlformats.org/officeDocument/2006/relationships/hyperlink" Target="../&#20844;&#20849;/&#35774;&#35745;&#27169;&#26495;(&#20844;&#20849;-&#20844;&#20849;&#25509;&#21475;).xlsx" TargetMode="External"/><Relationship Id="rId74" Type="http://schemas.openxmlformats.org/officeDocument/2006/relationships/hyperlink" Target="../&#20844;&#20849;/&#35774;&#35745;&#27169;&#26495;(&#20844;&#20849;-&#20844;&#20849;&#25509;&#21475;).xlsx" TargetMode="External"/><Relationship Id="rId79" Type="http://schemas.openxmlformats.org/officeDocument/2006/relationships/hyperlink" Target="../&#20844;&#20849;/&#35774;&#35745;&#27169;&#26495;(&#20844;&#20849;-&#20844;&#20849;&#25509;&#21475;).xlsx" TargetMode="External"/><Relationship Id="rId102" Type="http://schemas.openxmlformats.org/officeDocument/2006/relationships/hyperlink" Target="../&#20844;&#20849;/&#35774;&#35745;&#27169;&#26495;(&#20844;&#20849;-&#20844;&#20849;&#25509;&#21475;).xlsx" TargetMode="External"/><Relationship Id="rId5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61" Type="http://schemas.openxmlformats.org/officeDocument/2006/relationships/hyperlink" Target="../&#20844;&#20849;/&#35774;&#35745;&#27169;&#26495;(&#20844;&#20849;-&#20844;&#20849;&#25509;&#21475;).xlsx" TargetMode="External"/><Relationship Id="rId82" Type="http://schemas.openxmlformats.org/officeDocument/2006/relationships/hyperlink" Target="../&#20844;&#20849;/&#35774;&#35745;&#27169;&#26495;(&#20844;&#20849;-&#20844;&#20849;&#25509;&#21475;).xlsx" TargetMode="External"/><Relationship Id="rId90" Type="http://schemas.openxmlformats.org/officeDocument/2006/relationships/hyperlink" Target="../&#20844;&#20849;/&#35774;&#35745;&#27169;&#26495;(&#20844;&#20849;-&#20844;&#20849;&#25509;&#21475;).xlsx" TargetMode="External"/><Relationship Id="rId95" Type="http://schemas.openxmlformats.org/officeDocument/2006/relationships/hyperlink" Target="../&#20844;&#20849;/&#35774;&#35745;&#27169;&#26495;(&#20844;&#20849;-&#20844;&#20849;&#25509;&#21475;).xlsx" TargetMode="External"/><Relationship Id="rId19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4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2" Type="http://schemas.openxmlformats.org/officeDocument/2006/relationships/hyperlink" Target="../&#20844;&#20849;/&#35774;&#35745;&#27169;&#26495;(&#20844;&#20849;-&#20132;&#26131;&#25509;&#21475;).xlsx" TargetMode="External"/><Relationship Id="rId27" Type="http://schemas.openxmlformats.org/officeDocument/2006/relationships/hyperlink" Target="../&#20844;&#20849;/&#35774;&#35745;&#27169;&#26495;(&#20844;&#20849;-&#20132;&#26131;&#25509;&#21475;).xlsx" TargetMode="External"/><Relationship Id="rId30" Type="http://schemas.openxmlformats.org/officeDocument/2006/relationships/hyperlink" Target="../&#31995;&#32479;/&#35774;&#35745;&#27169;&#26495;(&#31995;&#32479;-&#26435;&#38480;).xlsx" TargetMode="External"/><Relationship Id="rId35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3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8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56" Type="http://schemas.openxmlformats.org/officeDocument/2006/relationships/hyperlink" Target="../&#20844;&#20849;/&#35774;&#35745;&#27169;&#26495;(&#20844;&#20849;-&#20844;&#20849;&#25509;&#21475;).xlsx" TargetMode="External"/><Relationship Id="rId64" Type="http://schemas.openxmlformats.org/officeDocument/2006/relationships/hyperlink" Target="../&#20844;&#20849;/&#35774;&#35745;&#27169;&#26495;(&#20844;&#20849;-&#20844;&#20849;&#25509;&#21475;).xlsx" TargetMode="External"/><Relationship Id="rId69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77" Type="http://schemas.openxmlformats.org/officeDocument/2006/relationships/hyperlink" Target="../&#20844;&#20849;/&#35774;&#35745;&#27169;&#26495;(&#20844;&#20849;-&#20844;&#20849;&#25509;&#21475;).xlsx" TargetMode="External"/><Relationship Id="rId100" Type="http://schemas.openxmlformats.org/officeDocument/2006/relationships/hyperlink" Target="../&#20844;&#20849;/&#35774;&#35745;&#27169;&#26495;(&#20844;&#20849;-&#20844;&#20849;&#25509;&#21475;).xlsx" TargetMode="External"/><Relationship Id="rId105" Type="http://schemas.openxmlformats.org/officeDocument/2006/relationships/hyperlink" Target="../&#20844;&#20849;/&#35774;&#35745;&#27169;&#26495;(&#20844;&#20849;-&#20844;&#20849;&#25509;&#21475;).xlsx" TargetMode="External"/><Relationship Id="rId113" Type="http://schemas.openxmlformats.org/officeDocument/2006/relationships/hyperlink" Target="../&#20844;&#20849;/&#35774;&#35745;&#27169;&#26495;(&#20844;&#20849;-&#20844;&#20849;&#25509;&#21475;).xlsx" TargetMode="External"/><Relationship Id="rId118" Type="http://schemas.openxmlformats.org/officeDocument/2006/relationships/hyperlink" Target="../&#20844;&#20849;/&#35774;&#35745;&#27169;&#26495;(&#20844;&#20849;-&#20844;&#20849;&#25509;&#21475;).xlsx" TargetMode="External"/><Relationship Id="rId8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51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72" Type="http://schemas.openxmlformats.org/officeDocument/2006/relationships/hyperlink" Target="../&#20844;&#20849;/&#35774;&#35745;&#27169;&#26495;(&#20844;&#20849;-&#20844;&#20849;&#25509;&#21475;).xlsx" TargetMode="External"/><Relationship Id="rId80" Type="http://schemas.openxmlformats.org/officeDocument/2006/relationships/hyperlink" Target="../&#20844;&#20849;/&#35774;&#35745;&#27169;&#26495;(&#20844;&#20849;-&#20844;&#20849;&#25509;&#21475;).xlsx" TargetMode="External"/><Relationship Id="rId85" Type="http://schemas.openxmlformats.org/officeDocument/2006/relationships/hyperlink" Target="../&#20844;&#20849;/&#35774;&#35745;&#27169;&#26495;(&#20844;&#20849;-&#20844;&#20849;&#25509;&#21475;).xlsx" TargetMode="External"/><Relationship Id="rId93" Type="http://schemas.openxmlformats.org/officeDocument/2006/relationships/hyperlink" Target="../&#20844;&#20849;/&#35774;&#35745;&#27169;&#26495;(&#20844;&#20849;-&#20844;&#20849;&#25509;&#21475;).xlsx" TargetMode="External"/><Relationship Id="rId98" Type="http://schemas.openxmlformats.org/officeDocument/2006/relationships/hyperlink" Target="../&#20844;&#20849;/&#35774;&#35745;&#27169;&#26495;(&#20844;&#20849;-&#20844;&#20849;&#25509;&#21475;).xlsx" TargetMode="External"/><Relationship Id="rId121" Type="http://schemas.openxmlformats.org/officeDocument/2006/relationships/hyperlink" Target="../&#20844;&#20849;/&#35774;&#35745;&#27169;&#26495;(&#20844;&#20849;-&#20844;&#20849;&#25509;&#21475;).xlsx" TargetMode="External"/><Relationship Id="rId3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2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7" Type="http://schemas.openxmlformats.org/officeDocument/2006/relationships/hyperlink" Target="../../../../../osm/branches/1.5/document/D2.Designs/&#31995;&#32479;/&#35774;&#35745;&#27169;&#26495;(&#31995;&#32479;-&#26435;&#38480;).xlsx" TargetMode="External"/><Relationship Id="rId25" Type="http://schemas.openxmlformats.org/officeDocument/2006/relationships/hyperlink" Target="../&#20844;&#20849;/&#35774;&#35745;&#27169;&#26495;(&#20844;&#20849;-&#20844;&#20849;&#25509;&#21475;).xlsx" TargetMode="External"/><Relationship Id="rId33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8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6" Type="http://schemas.openxmlformats.org/officeDocument/2006/relationships/hyperlink" Target="..\..\..\..\..\gambl\Desktop\osm&#22791;&#20221;3\D2.Designs\&#36164;&#31649;&#25253;&#34920;\&#35774;&#35745;&#27169;&#26495;(&#25253;&#34920;-&#36164;&#31649;&#25253;&#34920;).xlsx" TargetMode="External"/><Relationship Id="rId59" Type="http://schemas.openxmlformats.org/officeDocument/2006/relationships/hyperlink" Target="../&#20844;&#20849;/&#35774;&#35745;&#27169;&#26495;(&#20844;&#20849;-&#20844;&#20849;&#25509;&#21475;).xlsx" TargetMode="External"/><Relationship Id="rId67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03" Type="http://schemas.openxmlformats.org/officeDocument/2006/relationships/hyperlink" Target="../&#20844;&#20849;/&#35774;&#35745;&#27169;&#26495;(&#20844;&#20849;-&#20844;&#20849;&#25509;&#21475;).xlsx" TargetMode="External"/><Relationship Id="rId108" Type="http://schemas.openxmlformats.org/officeDocument/2006/relationships/hyperlink" Target="../&#20844;&#20849;/&#35774;&#35745;&#27169;&#26495;(&#20844;&#20849;-&#20844;&#20849;&#25509;&#21475;).xlsx" TargetMode="External"/><Relationship Id="rId116" Type="http://schemas.openxmlformats.org/officeDocument/2006/relationships/hyperlink" Target="../&#20844;&#20849;/&#35774;&#35745;&#27169;&#26495;(&#20844;&#20849;-&#20844;&#20849;&#25509;&#21475;).xlsx" TargetMode="External"/><Relationship Id="rId20" Type="http://schemas.openxmlformats.org/officeDocument/2006/relationships/hyperlink" Target="../&#20844;&#20849;/&#35774;&#35745;&#27169;&#26495;(&#20844;&#20849;-&#20844;&#20849;&#25509;&#21475;).xlsx" TargetMode="External"/><Relationship Id="rId41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54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62" Type="http://schemas.openxmlformats.org/officeDocument/2006/relationships/hyperlink" Target="../&#20844;&#20849;/&#35774;&#35745;&#27169;&#26495;(&#20844;&#20849;-&#20844;&#20849;&#25509;&#21475;).xlsx" TargetMode="External"/><Relationship Id="rId70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75" Type="http://schemas.openxmlformats.org/officeDocument/2006/relationships/hyperlink" Target="../&#20844;&#20849;/&#35774;&#35745;&#27169;&#26495;(&#20844;&#20849;-&#20844;&#20849;&#25509;&#21475;).xlsx" TargetMode="External"/><Relationship Id="rId83" Type="http://schemas.openxmlformats.org/officeDocument/2006/relationships/hyperlink" Target="../&#20844;&#20849;/&#35774;&#35745;&#27169;&#26495;(&#20844;&#20849;-&#20844;&#20849;&#25509;&#21475;).xlsx" TargetMode="External"/><Relationship Id="rId88" Type="http://schemas.openxmlformats.org/officeDocument/2006/relationships/hyperlink" Target="../&#20844;&#20849;/&#35774;&#35745;&#27169;&#26495;(&#20844;&#20849;-&#20844;&#20849;&#25509;&#21475;).xlsx" TargetMode="External"/><Relationship Id="rId91" Type="http://schemas.openxmlformats.org/officeDocument/2006/relationships/hyperlink" Target="../&#20844;&#20849;/&#35774;&#35745;&#27169;&#26495;(&#20844;&#20849;-&#20844;&#20849;&#25509;&#21475;).xlsx" TargetMode="External"/><Relationship Id="rId96" Type="http://schemas.openxmlformats.org/officeDocument/2006/relationships/hyperlink" Target="../&#20844;&#20849;/&#35774;&#35745;&#27169;&#26495;(&#20844;&#20849;-&#20844;&#20849;&#25509;&#21475;).xlsx" TargetMode="External"/><Relationship Id="rId111" Type="http://schemas.openxmlformats.org/officeDocument/2006/relationships/hyperlink" Target="../&#20844;&#20849;/&#35774;&#35745;&#27169;&#26495;(&#20844;&#20849;-&#20844;&#20849;&#25509;&#21475;).xlsx" TargetMode="External"/><Relationship Id="rId1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6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5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3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8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6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9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57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06" Type="http://schemas.openxmlformats.org/officeDocument/2006/relationships/hyperlink" Target="../&#20844;&#20849;/&#35774;&#35745;&#27169;&#26495;(&#20844;&#20849;-&#20844;&#20849;&#25509;&#21475;).xlsx" TargetMode="External"/><Relationship Id="rId114" Type="http://schemas.openxmlformats.org/officeDocument/2006/relationships/hyperlink" Target="../&#20844;&#20849;/&#35774;&#35745;&#27169;&#26495;(&#20844;&#20849;-&#20844;&#20849;&#25509;&#21475;).xlsx" TargetMode="External"/><Relationship Id="rId119" Type="http://schemas.openxmlformats.org/officeDocument/2006/relationships/hyperlink" Target="../&#20844;&#20849;/&#35774;&#35745;&#27169;&#26495;(&#20844;&#20849;-&#20844;&#20849;&#25509;&#21475;).xlsx" TargetMode="External"/><Relationship Id="rId10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1" Type="http://schemas.openxmlformats.org/officeDocument/2006/relationships/hyperlink" Target="../&#20844;&#20849;/&#35774;&#35745;&#27169;&#26495;(&#20844;&#20849;-&#20132;&#26131;&#25509;&#21475;).xlsx" TargetMode="External"/><Relationship Id="rId44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52" Type="http://schemas.openxmlformats.org/officeDocument/2006/relationships/hyperlink" Target="../&#31995;&#32479;/&#35774;&#35745;&#27169;&#26495;(&#31995;&#32479;-&#22522;&#30784;).xlsx" TargetMode="External"/><Relationship Id="rId60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65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73" Type="http://schemas.openxmlformats.org/officeDocument/2006/relationships/hyperlink" Target="../&#20844;&#20849;/&#35774;&#35745;&#27169;&#26495;(&#20844;&#20849;-&#20844;&#20849;&#25509;&#21475;).xlsx" TargetMode="External"/><Relationship Id="rId78" Type="http://schemas.openxmlformats.org/officeDocument/2006/relationships/hyperlink" Target="../&#20844;&#20849;/&#35774;&#35745;&#27169;&#26495;(&#20844;&#20849;-&#20844;&#20849;&#25509;&#21475;).xlsx" TargetMode="External"/><Relationship Id="rId81" Type="http://schemas.openxmlformats.org/officeDocument/2006/relationships/hyperlink" Target="../&#20844;&#20849;/&#35774;&#35745;&#27169;&#26495;(&#20844;&#20849;-&#20844;&#20849;&#25509;&#21475;).xlsx" TargetMode="External"/><Relationship Id="rId86" Type="http://schemas.openxmlformats.org/officeDocument/2006/relationships/hyperlink" Target="../&#20844;&#20849;/&#35774;&#35745;&#27169;&#26495;(&#20844;&#20849;-&#20844;&#20849;&#25509;&#21475;).xlsx" TargetMode="External"/><Relationship Id="rId94" Type="http://schemas.openxmlformats.org/officeDocument/2006/relationships/hyperlink" Target="../&#20844;&#20849;/&#35774;&#35745;&#27169;&#26495;(&#20844;&#20849;-&#20844;&#20849;&#25509;&#21475;).xlsx" TargetMode="External"/><Relationship Id="rId99" Type="http://schemas.openxmlformats.org/officeDocument/2006/relationships/hyperlink" Target="../&#20844;&#20849;/&#35774;&#35745;&#27169;&#26495;(&#20844;&#20849;-&#20844;&#20849;&#25509;&#21475;).xlsx" TargetMode="External"/><Relationship Id="rId101" Type="http://schemas.openxmlformats.org/officeDocument/2006/relationships/hyperlink" Target="../&#20844;&#20849;/&#35774;&#35745;&#27169;&#26495;(&#20844;&#20849;-&#20844;&#20849;&#25509;&#21475;).xlsx" TargetMode="External"/><Relationship Id="rId4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9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3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8" Type="http://schemas.openxmlformats.org/officeDocument/2006/relationships/hyperlink" Target="../&#20844;&#20849;/&#35774;&#35745;&#27169;&#26495;(&#20844;&#20849;-&#20132;&#26131;&#25509;&#21475;).xlsx" TargetMode="External"/><Relationship Id="rId39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09" Type="http://schemas.openxmlformats.org/officeDocument/2006/relationships/hyperlink" Target="../&#20844;&#20849;/&#35774;&#35745;&#27169;&#26495;(&#20844;&#20849;-&#20844;&#20849;&#25509;&#21475;).xlsx" TargetMode="External"/><Relationship Id="rId34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50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55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76" Type="http://schemas.openxmlformats.org/officeDocument/2006/relationships/hyperlink" Target="../&#20844;&#20849;/&#35774;&#35745;&#27169;&#26495;(&#20844;&#20849;-&#20844;&#20849;&#25509;&#21475;).xlsx" TargetMode="External"/><Relationship Id="rId97" Type="http://schemas.openxmlformats.org/officeDocument/2006/relationships/hyperlink" Target="../&#20844;&#20849;/&#35774;&#35745;&#27169;&#26495;(&#20844;&#20849;-&#20844;&#20849;&#25509;&#21475;).xlsx" TargetMode="External"/><Relationship Id="rId104" Type="http://schemas.openxmlformats.org/officeDocument/2006/relationships/hyperlink" Target="../&#20844;&#20849;/&#35774;&#35745;&#27169;&#26495;(&#20844;&#20849;-&#20844;&#20849;&#25509;&#21475;).xlsx" TargetMode="External"/><Relationship Id="rId120" Type="http://schemas.openxmlformats.org/officeDocument/2006/relationships/hyperlink" Target="../&#20844;&#20849;/&#35774;&#35745;&#27169;&#26495;(&#20844;&#20849;-&#20844;&#20849;&#25509;&#21475;).xlsx" TargetMode="External"/><Relationship Id="rId7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71" Type="http://schemas.openxmlformats.org/officeDocument/2006/relationships/hyperlink" Target="../&#20844;&#20849;/&#35774;&#35745;&#27169;&#26495;(&#20844;&#20849;-&#20844;&#20849;&#25509;&#21475;).xlsx" TargetMode="External"/><Relationship Id="rId92" Type="http://schemas.openxmlformats.org/officeDocument/2006/relationships/hyperlink" Target="../&#20844;&#20849;/&#35774;&#35745;&#27169;&#26495;(&#20844;&#20849;-&#20844;&#20849;&#25509;&#21475;).xlsx" TargetMode="External"/><Relationship Id="rId2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9" Type="http://schemas.openxmlformats.org/officeDocument/2006/relationships/hyperlink" Target="../&#20844;&#20849;/&#35774;&#35745;&#27169;&#26495;(&#20844;&#20849;-&#20844;&#20849;&#25509;&#21475;).xlsx" TargetMode="External"/><Relationship Id="rId24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0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5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66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87" Type="http://schemas.openxmlformats.org/officeDocument/2006/relationships/hyperlink" Target="../&#20844;&#20849;/&#35774;&#35745;&#27169;&#26495;(&#20844;&#20849;-&#20844;&#20849;&#25509;&#21475;).xlsx" TargetMode="External"/><Relationship Id="rId110" Type="http://schemas.openxmlformats.org/officeDocument/2006/relationships/hyperlink" Target="../&#20844;&#20849;/&#35774;&#35745;&#27169;&#26495;(&#20844;&#20849;-&#20844;&#20849;&#25509;&#21475;).xlsx" TargetMode="External"/><Relationship Id="rId115" Type="http://schemas.openxmlformats.org/officeDocument/2006/relationships/hyperlink" Target="../&#20844;&#20849;/&#35774;&#35745;&#27169;&#26495;(&#20844;&#20849;-&#20844;&#20849;&#25509;&#21475;).xlsx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8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6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9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1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4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2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7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50" Type="http://schemas.openxmlformats.org/officeDocument/2006/relationships/hyperlink" Target="../&#20844;&#20849;/&#35774;&#35745;&#27169;&#26495;(&#20844;&#20849;-&#20844;&#20849;&#25509;&#21475;).xlsx" TargetMode="External"/><Relationship Id="rId55" Type="http://schemas.openxmlformats.org/officeDocument/2006/relationships/hyperlink" Target="../&#20844;&#20849;/&#35774;&#35745;&#27169;&#26495;(&#20844;&#20849;-&#20844;&#20849;&#25509;&#21475;).xlsx" TargetMode="External"/><Relationship Id="rId63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68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7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6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9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6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1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4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2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7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0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5" Type="http://schemas.openxmlformats.org/officeDocument/2006/relationships/hyperlink" Target="../&#20844;&#20849;/&#35774;&#35745;&#27169;&#26495;(&#20844;&#20849;-&#20844;&#20849;&#25509;&#21475;).xlsx" TargetMode="External"/><Relationship Id="rId53" Type="http://schemas.openxmlformats.org/officeDocument/2006/relationships/hyperlink" Target="../&#20844;&#20849;/&#35774;&#35745;&#27169;&#26495;(&#20844;&#20849;-&#20844;&#20849;&#25509;&#21475;).xlsx" TargetMode="External"/><Relationship Id="rId58" Type="http://schemas.openxmlformats.org/officeDocument/2006/relationships/hyperlink" Target="../&#20844;&#20849;/&#35774;&#35745;&#27169;&#26495;(&#20844;&#20849;-&#20844;&#20849;&#25509;&#21475;).xlsx" TargetMode="External"/><Relationship Id="rId66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5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5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3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8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6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9" Type="http://schemas.openxmlformats.org/officeDocument/2006/relationships/hyperlink" Target="../&#20844;&#20849;/&#35774;&#35745;&#27169;&#26495;(&#20844;&#20849;-&#20844;&#20849;&#25509;&#21475;).xlsx" TargetMode="External"/><Relationship Id="rId57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61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0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9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1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4" Type="http://schemas.openxmlformats.org/officeDocument/2006/relationships/hyperlink" Target="../&#31995;&#32479;/&#35774;&#35745;&#27169;&#26495;(&#31995;&#32479;-&#22522;&#30784;).xlsx" TargetMode="External"/><Relationship Id="rId52" Type="http://schemas.openxmlformats.org/officeDocument/2006/relationships/hyperlink" Target="../&#20844;&#20849;/&#35774;&#35745;&#27169;&#26495;(&#20844;&#20849;-&#20844;&#20849;&#25509;&#21475;).xlsx" TargetMode="External"/><Relationship Id="rId60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65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9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4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2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7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0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5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3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8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56" Type="http://schemas.openxmlformats.org/officeDocument/2006/relationships/hyperlink" Target="../&#20844;&#20849;/&#35774;&#35745;&#27169;&#26495;(&#20844;&#20849;-&#20844;&#20849;&#25509;&#21475;).xlsx" TargetMode="External"/><Relationship Id="rId64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8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51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2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17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5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3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38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6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59" Type="http://schemas.openxmlformats.org/officeDocument/2006/relationships/hyperlink" Target="../&#20844;&#20849;/&#35774;&#35745;&#27169;&#26495;(&#20844;&#20849;-&#20844;&#20849;&#25509;&#21475;).xlsx" TargetMode="External"/><Relationship Id="rId67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20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41" Type="http://schemas.openxmlformats.org/officeDocument/2006/relationships/hyperlink" Target="&#35774;&#35745;&#27169;&#26495;(&#24179;&#21488;&#25253;&#34920;-&#25253;&#34920;&#22522;&#30784;).xlsx" TargetMode="External"/><Relationship Id="rId54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Relationship Id="rId62" Type="http://schemas.openxmlformats.org/officeDocument/2006/relationships/hyperlink" Target="../../../../../gambl/Desktop/osm&#22791;&#20221;3/D2.Designs/&#36164;&#31649;&#25253;&#34920;/&#35774;&#35745;&#27169;&#26495;(&#25253;&#34920;-&#36164;&#31649;&#25253;&#34920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844;&#20849;-&#29992;&#25143;).xlsx" TargetMode="External"/><Relationship Id="rId13" Type="http://schemas.openxmlformats.org/officeDocument/2006/relationships/hyperlink" Target="&#35774;&#35745;&#27169;&#26495;(&#20844;&#20849;-&#29992;&#25143;).xlsx" TargetMode="External"/><Relationship Id="rId18" Type="http://schemas.openxmlformats.org/officeDocument/2006/relationships/hyperlink" Target="../&#20844;&#20849;/&#35774;&#35745;&#27169;&#26495;(&#20844;&#20849;-&#20844;&#20849;&#25509;&#21475;).xlsx" TargetMode="External"/><Relationship Id="rId3" Type="http://schemas.openxmlformats.org/officeDocument/2006/relationships/hyperlink" Target="&#35774;&#35745;&#27169;&#26495;(&#36134;&#25143;-&#35777;&#21048;&#36164;&#20135;).xlsx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&#35774;&#35745;&#27169;&#26495;(&#20844;&#20849;-&#29992;&#25143;).xlsx" TargetMode="External"/><Relationship Id="rId12" Type="http://schemas.openxmlformats.org/officeDocument/2006/relationships/hyperlink" Target="&#35774;&#35745;&#27169;&#26495;(&#20844;&#20849;-&#29992;&#25143;).xlsx" TargetMode="External"/><Relationship Id="rId17" Type="http://schemas.openxmlformats.org/officeDocument/2006/relationships/hyperlink" Target="../&#20844;&#20849;/&#35774;&#35745;&#27169;&#26495;(&#20844;&#20849;-&#20844;&#20849;&#25509;&#21475;).xlsx" TargetMode="External"/><Relationship Id="rId2" Type="http://schemas.openxmlformats.org/officeDocument/2006/relationships/hyperlink" Target="&#35774;&#35745;&#27169;&#26495;(&#36134;&#25143;-&#22522;&#30784;).xlsx" TargetMode="External"/><Relationship Id="rId16" Type="http://schemas.openxmlformats.org/officeDocument/2006/relationships/hyperlink" Target="../&#20844;&#20849;/&#35774;&#35745;&#27169;&#26495;(&#20844;&#20849;-&#20844;&#20849;&#25509;&#21475;).xlsx" TargetMode="External"/><Relationship Id="rId20" Type="http://schemas.openxmlformats.org/officeDocument/2006/relationships/hyperlink" Target="&#35774;&#35745;&#27169;&#26495;(&#20844;&#20849;-&#29992;&#25143;).xlsx" TargetMode="External"/><Relationship Id="rId1" Type="http://schemas.openxmlformats.org/officeDocument/2006/relationships/hyperlink" Target="&#35774;&#35745;&#27169;&#26495;(&#36134;&#25143;-&#35777;&#21048;&#19994;&#21153;&#21487;&#29992;).xlsx" TargetMode="External"/><Relationship Id="rId6" Type="http://schemas.openxmlformats.org/officeDocument/2006/relationships/hyperlink" Target="&#35774;&#35745;&#27169;&#26495;(&#36134;&#25143;-&#22522;&#30784;).xlsx" TargetMode="External"/><Relationship Id="rId11" Type="http://schemas.openxmlformats.org/officeDocument/2006/relationships/hyperlink" Target="&#35774;&#35745;&#27169;&#26495;(&#20844;&#20849;-&#29992;&#25143;).xlsx" TargetMode="External"/><Relationship Id="rId5" Type="http://schemas.openxmlformats.org/officeDocument/2006/relationships/hyperlink" Target="&#35774;&#35745;&#27169;&#26495;(&#36134;&#25143;-&#22522;&#30784;).xlsx" TargetMode="External"/><Relationship Id="rId15" Type="http://schemas.openxmlformats.org/officeDocument/2006/relationships/hyperlink" Target="../&#20844;&#20849;/&#35774;&#35745;&#27169;&#26495;(&#20844;&#20849;-&#20844;&#20849;&#25509;&#21475;).xlsx" TargetMode="External"/><Relationship Id="rId10" Type="http://schemas.openxmlformats.org/officeDocument/2006/relationships/hyperlink" Target="&#35774;&#35745;&#27169;&#26495;(&#20844;&#20849;-&#29992;&#25143;).xlsx" TargetMode="External"/><Relationship Id="rId19" Type="http://schemas.openxmlformats.org/officeDocument/2006/relationships/hyperlink" Target="../&#20844;&#20849;/&#35774;&#35745;&#27169;&#26495;(&#20844;&#20849;-&#20844;&#20849;&#25509;&#21475;).xlsx" TargetMode="External"/><Relationship Id="rId4" Type="http://schemas.openxmlformats.org/officeDocument/2006/relationships/hyperlink" Target="&#35774;&#35745;&#27169;&#26495;(&#36134;&#25143;-&#35777;&#21048;&#36164;&#20135;).xlsx" TargetMode="External"/><Relationship Id="rId9" Type="http://schemas.openxmlformats.org/officeDocument/2006/relationships/hyperlink" Target="&#35774;&#35745;&#27169;&#26495;(&#20844;&#20849;-&#29992;&#25143;).xlsx" TargetMode="External"/><Relationship Id="rId14" Type="http://schemas.openxmlformats.org/officeDocument/2006/relationships/hyperlink" Target="../&#20844;&#20849;/&#35774;&#35745;&#27169;&#26495;(&#20844;&#20849;-&#20844;&#20849;&#25509;&#21475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22"/>
  <sheetViews>
    <sheetView topLeftCell="A1743" workbookViewId="0">
      <selection activeCell="G1760" sqref="G1760"/>
    </sheetView>
  </sheetViews>
  <sheetFormatPr defaultColWidth="9" defaultRowHeight="15.6" outlineLevelRow="1" x14ac:dyDescent="0.25"/>
  <cols>
    <col min="1" max="1" width="2.88671875" style="14" customWidth="1"/>
    <col min="2" max="2" width="21.33203125" style="14" customWidth="1"/>
    <col min="3" max="3" width="20.77734375" style="14" customWidth="1"/>
    <col min="4" max="4" width="14.88671875" style="14" customWidth="1"/>
    <col min="5" max="5" width="55.6640625" style="14" customWidth="1"/>
    <col min="6" max="6" width="10.77734375" style="14" customWidth="1"/>
    <col min="7" max="7" width="59" style="14" customWidth="1"/>
    <col min="8" max="8" width="9" style="14"/>
    <col min="9" max="9" width="15.44140625" style="14" customWidth="1"/>
    <col min="10" max="16384" width="9" style="14"/>
  </cols>
  <sheetData>
    <row r="1" spans="1:14" ht="16.2" thickBot="1" x14ac:dyDescent="0.3"/>
    <row r="2" spans="1:14" s="4" customFormat="1" ht="17.399999999999999" customHeight="1" thickBot="1" x14ac:dyDescent="0.4">
      <c r="A2" s="5"/>
      <c r="B2" s="166" t="s">
        <v>1279</v>
      </c>
      <c r="C2" s="169" t="s">
        <v>1280</v>
      </c>
      <c r="D2" s="168" t="s">
        <v>1281</v>
      </c>
      <c r="E2" s="169" t="s">
        <v>2317</v>
      </c>
      <c r="F2" s="168" t="s">
        <v>1282</v>
      </c>
      <c r="G2" s="170" t="s">
        <v>1283</v>
      </c>
      <c r="H2" s="5"/>
      <c r="I2" s="5"/>
      <c r="J2" s="5"/>
      <c r="K2" s="5"/>
      <c r="L2" s="5"/>
      <c r="M2" s="5"/>
    </row>
    <row r="3" spans="1:14" s="4" customFormat="1" ht="17.399999999999999" hidden="1" customHeight="1" outlineLevel="1" x14ac:dyDescent="0.35">
      <c r="A3" s="5"/>
      <c r="B3" s="136" t="s">
        <v>1284</v>
      </c>
      <c r="C3" s="84" t="s">
        <v>1285</v>
      </c>
      <c r="D3" s="137" t="s">
        <v>1286</v>
      </c>
      <c r="E3" s="84" t="s">
        <v>1287</v>
      </c>
      <c r="F3" s="137" t="s">
        <v>1288</v>
      </c>
      <c r="G3" s="85" t="s">
        <v>1289</v>
      </c>
      <c r="H3" s="5"/>
      <c r="I3" s="5"/>
      <c r="J3" s="5"/>
      <c r="K3" s="5"/>
      <c r="L3" s="5"/>
      <c r="M3" s="5"/>
    </row>
    <row r="4" spans="1:14" s="4" customFormat="1" ht="17.399999999999999" hidden="1" customHeight="1" outlineLevel="1" thickBot="1" x14ac:dyDescent="0.4">
      <c r="A4" s="5"/>
      <c r="B4" s="171" t="s">
        <v>1290</v>
      </c>
      <c r="C4" s="172" t="s">
        <v>1291</v>
      </c>
      <c r="D4" s="173" t="s">
        <v>1292</v>
      </c>
      <c r="E4" s="172">
        <v>5</v>
      </c>
      <c r="F4" s="173" t="s">
        <v>1293</v>
      </c>
      <c r="G4" s="174" t="s">
        <v>1294</v>
      </c>
      <c r="H4" s="5"/>
      <c r="I4" s="5"/>
      <c r="J4" s="5"/>
      <c r="K4" s="5"/>
      <c r="L4" s="5"/>
      <c r="M4" s="5"/>
    </row>
    <row r="5" spans="1:14" s="4" customFormat="1" ht="17.399999999999999" hidden="1" customHeight="1" outlineLevel="1" x14ac:dyDescent="0.35">
      <c r="A5" s="5"/>
      <c r="B5" s="380" t="s">
        <v>1</v>
      </c>
      <c r="C5" s="381"/>
      <c r="D5" s="381"/>
      <c r="E5" s="381"/>
      <c r="F5" s="381"/>
      <c r="G5" s="382"/>
      <c r="H5" s="5"/>
      <c r="I5" s="5"/>
      <c r="J5" s="5"/>
      <c r="K5" s="5"/>
      <c r="L5" s="5"/>
      <c r="M5" s="5"/>
    </row>
    <row r="6" spans="1:14" s="4" customFormat="1" ht="17.399999999999999" hidden="1" customHeight="1" outlineLevel="1" x14ac:dyDescent="0.35">
      <c r="A6" s="5"/>
      <c r="B6" s="94" t="s">
        <v>2</v>
      </c>
      <c r="C6" s="95" t="s">
        <v>3</v>
      </c>
      <c r="D6" s="95" t="s">
        <v>4</v>
      </c>
      <c r="E6" s="95" t="s">
        <v>5</v>
      </c>
      <c r="F6" s="95"/>
      <c r="G6" s="96" t="s">
        <v>6</v>
      </c>
      <c r="H6" s="5"/>
      <c r="I6" s="5"/>
      <c r="J6" s="5"/>
      <c r="K6" s="5"/>
      <c r="L6" s="5"/>
      <c r="M6" s="5"/>
    </row>
    <row r="7" spans="1:14" s="4" customFormat="1" ht="17.399999999999999" hidden="1" customHeight="1" outlineLevel="1" x14ac:dyDescent="0.35">
      <c r="A7" s="5"/>
      <c r="B7" s="57" t="s">
        <v>7</v>
      </c>
      <c r="C7" s="58" t="s">
        <v>1468</v>
      </c>
      <c r="D7" s="58" t="s">
        <v>1469</v>
      </c>
      <c r="E7" s="58">
        <v>0</v>
      </c>
      <c r="F7" s="58" t="s">
        <v>1470</v>
      </c>
      <c r="G7" s="59" t="s">
        <v>1471</v>
      </c>
      <c r="J7" s="4" t="s">
        <v>10</v>
      </c>
      <c r="N7" s="4">
        <v>1112</v>
      </c>
    </row>
    <row r="8" spans="1:14" s="4" customFormat="1" ht="17.399999999999999" hidden="1" customHeight="1" outlineLevel="1" x14ac:dyDescent="0.35">
      <c r="A8" s="5"/>
      <c r="B8" s="57" t="s">
        <v>11</v>
      </c>
      <c r="C8" s="58" t="s">
        <v>1472</v>
      </c>
      <c r="D8" s="58" t="s">
        <v>1469</v>
      </c>
      <c r="E8" s="58">
        <v>0</v>
      </c>
      <c r="F8" s="58" t="s">
        <v>1470</v>
      </c>
      <c r="G8" s="59" t="s">
        <v>1473</v>
      </c>
      <c r="J8" s="4" t="s">
        <v>12</v>
      </c>
      <c r="N8" s="4">
        <v>1700</v>
      </c>
    </row>
    <row r="9" spans="1:14" s="4" customFormat="1" ht="17.399999999999999" hidden="1" customHeight="1" outlineLevel="1" x14ac:dyDescent="0.35">
      <c r="A9" s="5"/>
      <c r="B9" s="60" t="s">
        <v>13</v>
      </c>
      <c r="C9" s="61" t="s">
        <v>1474</v>
      </c>
      <c r="D9" s="61" t="s">
        <v>1469</v>
      </c>
      <c r="E9" s="61">
        <v>0</v>
      </c>
      <c r="F9" s="61" t="s">
        <v>1470</v>
      </c>
      <c r="G9" s="62"/>
      <c r="H9" s="63"/>
      <c r="J9" s="4" t="s">
        <v>10</v>
      </c>
      <c r="N9" s="4">
        <v>2534</v>
      </c>
    </row>
    <row r="10" spans="1:14" s="4" customFormat="1" ht="17.399999999999999" hidden="1" customHeight="1" outlineLevel="1" x14ac:dyDescent="0.35">
      <c r="A10" s="5"/>
      <c r="B10" s="60" t="s">
        <v>14</v>
      </c>
      <c r="C10" s="61" t="s">
        <v>1475</v>
      </c>
      <c r="D10" s="61" t="s">
        <v>1469</v>
      </c>
      <c r="E10" s="61">
        <v>0</v>
      </c>
      <c r="F10" s="61" t="s">
        <v>1476</v>
      </c>
      <c r="G10" s="62" t="s">
        <v>1477</v>
      </c>
      <c r="H10" s="63"/>
      <c r="J10" s="4" t="s">
        <v>10</v>
      </c>
      <c r="N10" s="4">
        <v>2155</v>
      </c>
    </row>
    <row r="11" spans="1:14" s="4" customFormat="1" ht="17.399999999999999" hidden="1" customHeight="1" outlineLevel="1" x14ac:dyDescent="0.35">
      <c r="A11" s="5"/>
      <c r="B11" s="60" t="s">
        <v>15</v>
      </c>
      <c r="C11" s="61" t="s">
        <v>1478</v>
      </c>
      <c r="D11" s="61" t="s">
        <v>1469</v>
      </c>
      <c r="E11" s="61">
        <v>0</v>
      </c>
      <c r="F11" s="61" t="s">
        <v>1470</v>
      </c>
      <c r="G11" s="62"/>
      <c r="H11" s="63"/>
      <c r="J11" s="4" t="s">
        <v>10</v>
      </c>
      <c r="N11" s="4">
        <v>2430</v>
      </c>
    </row>
    <row r="12" spans="1:14" s="4" customFormat="1" ht="17.399999999999999" hidden="1" customHeight="1" outlineLevel="1" x14ac:dyDescent="0.35">
      <c r="A12" s="5"/>
      <c r="B12" s="64" t="s">
        <v>16</v>
      </c>
      <c r="C12" s="65" t="s">
        <v>1479</v>
      </c>
      <c r="D12" s="65" t="s">
        <v>1469</v>
      </c>
      <c r="E12" s="65" t="s">
        <v>1480</v>
      </c>
      <c r="F12" s="65" t="s">
        <v>1481</v>
      </c>
      <c r="G12" s="66" t="s">
        <v>1482</v>
      </c>
      <c r="H12" s="5"/>
      <c r="I12" s="5"/>
      <c r="J12" s="5" t="s">
        <v>10</v>
      </c>
      <c r="K12" s="5"/>
      <c r="L12" s="5"/>
      <c r="M12" s="5"/>
      <c r="N12" s="4">
        <v>1211</v>
      </c>
    </row>
    <row r="13" spans="1:14" s="4" customFormat="1" ht="17.399999999999999" hidden="1" customHeight="1" outlineLevel="1" x14ac:dyDescent="0.35">
      <c r="A13" s="5"/>
      <c r="B13" s="134" t="s">
        <v>17</v>
      </c>
      <c r="C13" s="135" t="s">
        <v>1483</v>
      </c>
      <c r="D13" s="135" t="s">
        <v>1469</v>
      </c>
      <c r="E13" s="65">
        <v>0</v>
      </c>
      <c r="F13" s="65" t="s">
        <v>1470</v>
      </c>
      <c r="G13" s="66" t="s">
        <v>1484</v>
      </c>
      <c r="H13" s="5"/>
      <c r="I13" s="5"/>
      <c r="J13" s="5" t="s">
        <v>10</v>
      </c>
      <c r="K13" s="5"/>
      <c r="L13" s="5"/>
      <c r="M13" s="5"/>
      <c r="N13" s="4">
        <v>1097</v>
      </c>
    </row>
    <row r="14" spans="1:14" s="4" customFormat="1" ht="17.399999999999999" hidden="1" customHeight="1" outlineLevel="1" thickBot="1" x14ac:dyDescent="0.4">
      <c r="A14" s="5"/>
      <c r="B14" s="91"/>
      <c r="C14" s="92"/>
      <c r="D14" s="92"/>
      <c r="E14" s="92"/>
      <c r="F14" s="92"/>
      <c r="G14" s="93"/>
      <c r="H14" s="5"/>
      <c r="I14" s="5"/>
      <c r="J14" s="5"/>
      <c r="K14" s="5"/>
      <c r="L14" s="5"/>
      <c r="M14" s="5"/>
    </row>
    <row r="15" spans="1:14" s="4" customFormat="1" ht="17.399999999999999" hidden="1" customHeight="1" outlineLevel="1" x14ac:dyDescent="0.35">
      <c r="A15" s="5"/>
      <c r="B15" s="383" t="s">
        <v>18</v>
      </c>
      <c r="C15" s="384"/>
      <c r="D15" s="384"/>
      <c r="E15" s="384"/>
      <c r="F15" s="384"/>
      <c r="G15" s="385"/>
      <c r="H15" s="5"/>
      <c r="I15" s="5"/>
      <c r="J15" s="5"/>
      <c r="K15" s="5"/>
      <c r="L15" s="5"/>
      <c r="M15" s="5"/>
    </row>
    <row r="16" spans="1:14" s="4" customFormat="1" ht="17.399999999999999" hidden="1" customHeight="1" outlineLevel="1" x14ac:dyDescent="0.35">
      <c r="A16" s="5"/>
      <c r="B16" s="94" t="s">
        <v>2</v>
      </c>
      <c r="C16" s="95" t="s">
        <v>3</v>
      </c>
      <c r="D16" s="95" t="s">
        <v>4</v>
      </c>
      <c r="E16" s="95" t="s">
        <v>5</v>
      </c>
      <c r="F16" s="95"/>
      <c r="G16" s="96" t="s">
        <v>6</v>
      </c>
      <c r="H16" s="5"/>
      <c r="I16" s="5"/>
      <c r="J16" s="5"/>
      <c r="K16" s="5"/>
      <c r="L16" s="5"/>
      <c r="M16" s="5"/>
    </row>
    <row r="17" spans="1:14" s="4" customFormat="1" ht="17.399999999999999" hidden="1" customHeight="1" outlineLevel="1" x14ac:dyDescent="0.35">
      <c r="A17" s="5"/>
      <c r="B17" s="57" t="s">
        <v>7</v>
      </c>
      <c r="C17" s="58" t="s">
        <v>1468</v>
      </c>
      <c r="D17" s="58" t="s">
        <v>1469</v>
      </c>
      <c r="E17" s="58">
        <v>0</v>
      </c>
      <c r="F17" s="58" t="s">
        <v>1470</v>
      </c>
      <c r="G17" s="59" t="s">
        <v>1471</v>
      </c>
      <c r="J17" s="4" t="s">
        <v>10</v>
      </c>
      <c r="N17" s="4">
        <v>1112</v>
      </c>
    </row>
    <row r="18" spans="1:14" s="4" customFormat="1" ht="17.399999999999999" hidden="1" customHeight="1" outlineLevel="1" x14ac:dyDescent="0.35">
      <c r="A18" s="5"/>
      <c r="B18" s="57" t="s">
        <v>11</v>
      </c>
      <c r="C18" s="58" t="s">
        <v>1472</v>
      </c>
      <c r="D18" s="58" t="s">
        <v>1469</v>
      </c>
      <c r="E18" s="58">
        <v>0</v>
      </c>
      <c r="F18" s="58" t="s">
        <v>1470</v>
      </c>
      <c r="G18" s="59" t="s">
        <v>1473</v>
      </c>
      <c r="J18" s="4" t="s">
        <v>12</v>
      </c>
      <c r="N18" s="4">
        <v>1700</v>
      </c>
    </row>
    <row r="19" spans="1:14" s="4" customFormat="1" ht="17.399999999999999" hidden="1" customHeight="1" outlineLevel="1" x14ac:dyDescent="0.35">
      <c r="A19" s="5"/>
      <c r="B19" s="57" t="s">
        <v>13</v>
      </c>
      <c r="C19" s="58" t="s">
        <v>1474</v>
      </c>
      <c r="D19" s="58" t="s">
        <v>1469</v>
      </c>
      <c r="E19" s="58">
        <v>0</v>
      </c>
      <c r="F19" s="58" t="s">
        <v>1470</v>
      </c>
      <c r="G19" s="59"/>
      <c r="J19" s="4" t="s">
        <v>10</v>
      </c>
      <c r="N19" s="4">
        <v>2534</v>
      </c>
    </row>
    <row r="20" spans="1:14" s="4" customFormat="1" ht="17.399999999999999" hidden="1" customHeight="1" outlineLevel="1" x14ac:dyDescent="0.35">
      <c r="A20" s="5"/>
      <c r="B20" s="57" t="s">
        <v>14</v>
      </c>
      <c r="C20" s="58" t="s">
        <v>1475</v>
      </c>
      <c r="D20" s="58" t="s">
        <v>1469</v>
      </c>
      <c r="E20" s="58">
        <v>0</v>
      </c>
      <c r="F20" s="58" t="s">
        <v>1476</v>
      </c>
      <c r="G20" s="59" t="s">
        <v>1477</v>
      </c>
      <c r="J20" s="4" t="s">
        <v>10</v>
      </c>
      <c r="N20" s="4">
        <v>2155</v>
      </c>
    </row>
    <row r="21" spans="1:14" s="4" customFormat="1" ht="17.399999999999999" hidden="1" customHeight="1" outlineLevel="1" x14ac:dyDescent="0.35">
      <c r="A21" s="5"/>
      <c r="B21" s="57" t="s">
        <v>15</v>
      </c>
      <c r="C21" s="58" t="s">
        <v>1478</v>
      </c>
      <c r="D21" s="58" t="s">
        <v>1469</v>
      </c>
      <c r="E21" s="58">
        <v>0</v>
      </c>
      <c r="F21" s="58" t="s">
        <v>1470</v>
      </c>
      <c r="G21" s="59"/>
      <c r="J21" s="4" t="s">
        <v>10</v>
      </c>
      <c r="N21" s="4">
        <v>2430</v>
      </c>
    </row>
    <row r="22" spans="1:14" s="4" customFormat="1" ht="17.399999999999999" hidden="1" customHeight="1" outlineLevel="1" x14ac:dyDescent="0.35">
      <c r="A22" s="5"/>
      <c r="B22" s="57" t="s">
        <v>19</v>
      </c>
      <c r="C22" s="58" t="s">
        <v>1485</v>
      </c>
      <c r="D22" s="58" t="s">
        <v>1486</v>
      </c>
      <c r="E22" s="58">
        <v>0</v>
      </c>
      <c r="F22" s="58"/>
      <c r="G22" s="59"/>
      <c r="J22" s="4" t="s">
        <v>20</v>
      </c>
      <c r="N22" s="4">
        <v>1203</v>
      </c>
    </row>
    <row r="23" spans="1:14" s="4" customFormat="1" ht="17.399999999999999" hidden="1" customHeight="1" outlineLevel="1" x14ac:dyDescent="0.35">
      <c r="A23" s="5"/>
      <c r="B23" s="57" t="s">
        <v>21</v>
      </c>
      <c r="C23" s="58" t="s">
        <v>1487</v>
      </c>
      <c r="D23" s="58" t="s">
        <v>1486</v>
      </c>
      <c r="E23" s="58">
        <v>0</v>
      </c>
      <c r="F23" s="58"/>
      <c r="G23" s="59"/>
      <c r="J23" s="4" t="s">
        <v>20</v>
      </c>
      <c r="N23" s="4">
        <v>1689</v>
      </c>
    </row>
    <row r="24" spans="1:14" s="4" customFormat="1" ht="17.399999999999999" hidden="1" customHeight="1" outlineLevel="1" x14ac:dyDescent="0.35">
      <c r="A24" s="5"/>
      <c r="B24" s="57" t="s">
        <v>22</v>
      </c>
      <c r="C24" s="58" t="s">
        <v>1488</v>
      </c>
      <c r="D24" s="58" t="s">
        <v>1489</v>
      </c>
      <c r="E24" s="58">
        <v>0</v>
      </c>
      <c r="F24" s="58" t="s">
        <v>1470</v>
      </c>
      <c r="G24" s="59" t="s">
        <v>1490</v>
      </c>
      <c r="J24" s="4" t="s">
        <v>20</v>
      </c>
      <c r="N24" s="4">
        <v>2052</v>
      </c>
    </row>
    <row r="25" spans="1:14" s="4" customFormat="1" ht="17.399999999999999" hidden="1" customHeight="1" outlineLevel="1" x14ac:dyDescent="0.35">
      <c r="A25" s="5"/>
      <c r="B25" s="57" t="s">
        <v>24</v>
      </c>
      <c r="C25" s="58" t="s">
        <v>1491</v>
      </c>
      <c r="D25" s="58" t="s">
        <v>1489</v>
      </c>
      <c r="E25" s="58">
        <v>0</v>
      </c>
      <c r="F25" s="58" t="s">
        <v>1470</v>
      </c>
      <c r="G25" s="59"/>
      <c r="J25" s="4" t="s">
        <v>20</v>
      </c>
      <c r="N25" s="4">
        <v>2153</v>
      </c>
    </row>
    <row r="26" spans="1:14" s="4" customFormat="1" ht="17.399999999999999" hidden="1" customHeight="1" outlineLevel="1" x14ac:dyDescent="0.35">
      <c r="A26" s="5"/>
      <c r="B26" s="57" t="s">
        <v>25</v>
      </c>
      <c r="C26" s="58" t="s">
        <v>1492</v>
      </c>
      <c r="D26" s="58" t="s">
        <v>1469</v>
      </c>
      <c r="E26" s="58">
        <v>0</v>
      </c>
      <c r="F26" s="58" t="s">
        <v>1470</v>
      </c>
      <c r="G26" s="59" t="s">
        <v>1484</v>
      </c>
      <c r="J26" s="4" t="s">
        <v>10</v>
      </c>
      <c r="N26" s="4">
        <v>1080</v>
      </c>
    </row>
    <row r="27" spans="1:14" s="4" customFormat="1" ht="17.399999999999999" hidden="1" customHeight="1" outlineLevel="1" x14ac:dyDescent="0.35">
      <c r="A27" s="5"/>
      <c r="B27" s="57" t="s">
        <v>26</v>
      </c>
      <c r="C27" s="58" t="s">
        <v>1493</v>
      </c>
      <c r="D27" s="58" t="s">
        <v>1494</v>
      </c>
      <c r="E27" s="58">
        <v>0</v>
      </c>
      <c r="F27" s="58" t="s">
        <v>1470</v>
      </c>
      <c r="G27" s="59"/>
      <c r="J27" s="4" t="s">
        <v>20</v>
      </c>
      <c r="N27" s="4">
        <v>2183</v>
      </c>
    </row>
    <row r="28" spans="1:14" s="4" customFormat="1" ht="17.399999999999999" hidden="1" customHeight="1" outlineLevel="1" thickBot="1" x14ac:dyDescent="0.4">
      <c r="A28" s="5"/>
      <c r="B28" s="41" t="s">
        <v>27</v>
      </c>
      <c r="C28" s="42" t="s">
        <v>1495</v>
      </c>
      <c r="D28" s="42" t="s">
        <v>1489</v>
      </c>
      <c r="E28" s="42">
        <v>0</v>
      </c>
      <c r="F28" s="42" t="s">
        <v>1470</v>
      </c>
      <c r="G28" s="43"/>
      <c r="H28" s="5"/>
      <c r="I28" s="5"/>
      <c r="J28" s="5" t="s">
        <v>20</v>
      </c>
      <c r="K28" s="5"/>
      <c r="L28" s="5"/>
      <c r="M28" s="5"/>
    </row>
    <row r="29" spans="1:14" s="4" customFormat="1" ht="17.399999999999999" hidden="1" customHeight="1" outlineLevel="1" x14ac:dyDescent="0.35">
      <c r="A29" s="5"/>
      <c r="B29" s="386" t="s">
        <v>28</v>
      </c>
      <c r="C29" s="387"/>
      <c r="D29" s="387"/>
      <c r="E29" s="387"/>
      <c r="F29" s="387"/>
      <c r="G29" s="388"/>
      <c r="H29" s="5"/>
      <c r="I29" s="5"/>
      <c r="J29" s="5"/>
      <c r="K29" s="5"/>
      <c r="L29" s="5"/>
      <c r="M29" s="5"/>
    </row>
    <row r="30" spans="1:14" s="4" customFormat="1" ht="17.399999999999999" hidden="1" customHeight="1" outlineLevel="1" x14ac:dyDescent="0.35">
      <c r="A30" s="5"/>
      <c r="B30" s="32" t="s">
        <v>2</v>
      </c>
      <c r="C30" s="33" t="s">
        <v>3</v>
      </c>
      <c r="D30" s="33" t="s">
        <v>4</v>
      </c>
      <c r="E30" s="33"/>
      <c r="F30" s="33"/>
      <c r="G30" s="34" t="s">
        <v>6</v>
      </c>
      <c r="H30" s="5"/>
      <c r="I30" s="5"/>
      <c r="J30" s="5"/>
      <c r="K30" s="5"/>
      <c r="L30" s="5"/>
      <c r="M30" s="5"/>
    </row>
    <row r="31" spans="1:14" s="4" customFormat="1" ht="17.399999999999999" hidden="1" customHeight="1" outlineLevel="1" thickBot="1" x14ac:dyDescent="0.4">
      <c r="A31" s="5"/>
      <c r="B31" s="100"/>
      <c r="C31" s="101"/>
      <c r="D31" s="101"/>
      <c r="E31" s="101"/>
      <c r="F31" s="101"/>
      <c r="G31" s="102"/>
      <c r="H31" s="5"/>
      <c r="I31" s="5"/>
      <c r="J31" s="5"/>
      <c r="K31" s="5"/>
      <c r="L31" s="5"/>
      <c r="M31" s="5"/>
    </row>
    <row r="32" spans="1:14" s="4" customFormat="1" ht="17.399999999999999" hidden="1" customHeight="1" outlineLevel="1" x14ac:dyDescent="0.35">
      <c r="A32" s="5"/>
      <c r="B32" s="380" t="s">
        <v>29</v>
      </c>
      <c r="C32" s="381"/>
      <c r="D32" s="381"/>
      <c r="E32" s="381"/>
      <c r="F32" s="381"/>
      <c r="G32" s="382"/>
      <c r="H32" s="5"/>
      <c r="I32" s="5"/>
      <c r="J32" s="5"/>
      <c r="K32" s="5"/>
      <c r="L32" s="5"/>
      <c r="M32" s="5"/>
    </row>
    <row r="33" spans="1:14" s="4" customFormat="1" ht="17.399999999999999" hidden="1" customHeight="1" outlineLevel="1" x14ac:dyDescent="0.35">
      <c r="A33" s="5"/>
      <c r="B33" s="67"/>
      <c r="C33" s="65"/>
      <c r="D33" s="28"/>
      <c r="E33" s="65"/>
      <c r="F33" s="65"/>
      <c r="G33" s="105"/>
      <c r="H33" s="5"/>
      <c r="I33" s="5"/>
      <c r="J33" s="5"/>
      <c r="K33" s="5"/>
      <c r="L33" s="5"/>
      <c r="M33" s="5"/>
    </row>
    <row r="34" spans="1:14" s="4" customFormat="1" ht="17.399999999999999" hidden="1" customHeight="1" outlineLevel="1" x14ac:dyDescent="0.35">
      <c r="A34" s="5"/>
      <c r="B34" s="67" t="s">
        <v>30</v>
      </c>
      <c r="C34" s="65"/>
      <c r="D34" s="65"/>
      <c r="E34" s="65"/>
      <c r="F34" s="65"/>
      <c r="G34" s="371" t="s">
        <v>2357</v>
      </c>
      <c r="H34" s="5"/>
      <c r="I34" s="5"/>
      <c r="J34" s="5"/>
      <c r="K34" s="5"/>
      <c r="L34" s="5"/>
      <c r="M34" s="5"/>
    </row>
    <row r="35" spans="1:14" s="4" customFormat="1" ht="17.399999999999999" hidden="1" customHeight="1" outlineLevel="1" x14ac:dyDescent="0.35">
      <c r="A35" s="5"/>
      <c r="B35" s="67" t="s">
        <v>31</v>
      </c>
      <c r="C35" s="65"/>
      <c r="D35" s="65"/>
      <c r="E35" s="65"/>
      <c r="F35" s="65"/>
      <c r="G35" s="371" t="s">
        <v>2358</v>
      </c>
      <c r="H35" s="5"/>
      <c r="I35" s="5"/>
      <c r="J35" s="5"/>
      <c r="K35" s="5"/>
      <c r="L35" s="5"/>
      <c r="M35" s="5"/>
    </row>
    <row r="36" spans="1:14" s="4" customFormat="1" ht="17.399999999999999" hidden="1" customHeight="1" outlineLevel="1" thickBot="1" x14ac:dyDescent="0.4">
      <c r="A36" s="5"/>
      <c r="B36" s="103"/>
      <c r="C36" s="92"/>
      <c r="D36" s="92"/>
      <c r="E36" s="92"/>
      <c r="F36" s="92"/>
      <c r="G36" s="93"/>
    </row>
    <row r="37" spans="1:14" s="4" customFormat="1" ht="17.399999999999999" hidden="1" customHeight="1" outlineLevel="1" x14ac:dyDescent="0.35">
      <c r="A37" s="5"/>
      <c r="B37" s="5"/>
      <c r="C37" s="5"/>
      <c r="D37" s="5"/>
      <c r="E37" s="5"/>
      <c r="F37" s="5"/>
      <c r="G37" s="5"/>
    </row>
    <row r="38" spans="1:14" s="4" customFormat="1" ht="17.399999999999999" hidden="1" customHeight="1" outlineLevel="1" thickBot="1" x14ac:dyDescent="0.4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4" s="4" customFormat="1" ht="17.399999999999999" customHeight="1" collapsed="1" thickBot="1" x14ac:dyDescent="0.4">
      <c r="A39" s="5"/>
      <c r="B39" s="166" t="s">
        <v>1279</v>
      </c>
      <c r="C39" s="169" t="s">
        <v>1295</v>
      </c>
      <c r="D39" s="168" t="s">
        <v>1281</v>
      </c>
      <c r="E39" s="169" t="s">
        <v>2318</v>
      </c>
      <c r="F39" s="168" t="s">
        <v>1282</v>
      </c>
      <c r="G39" s="170" t="s">
        <v>1296</v>
      </c>
      <c r="H39" s="5"/>
      <c r="I39" s="5"/>
      <c r="J39" s="5"/>
      <c r="K39" s="5"/>
      <c r="L39" s="5"/>
      <c r="M39" s="5"/>
    </row>
    <row r="40" spans="1:14" s="4" customFormat="1" ht="17.399999999999999" hidden="1" customHeight="1" outlineLevel="1" x14ac:dyDescent="0.35">
      <c r="A40" s="5"/>
      <c r="B40" s="136" t="s">
        <v>1284</v>
      </c>
      <c r="C40" s="84" t="s">
        <v>1285</v>
      </c>
      <c r="D40" s="137" t="s">
        <v>1286</v>
      </c>
      <c r="E40" s="84" t="s">
        <v>1297</v>
      </c>
      <c r="F40" s="137" t="s">
        <v>1288</v>
      </c>
      <c r="G40" s="85" t="s">
        <v>1298</v>
      </c>
      <c r="H40" s="5"/>
      <c r="I40" s="5"/>
      <c r="J40" s="5"/>
      <c r="K40" s="5"/>
      <c r="L40" s="5"/>
      <c r="M40" s="5"/>
    </row>
    <row r="41" spans="1:14" s="4" customFormat="1" ht="17.399999999999999" hidden="1" customHeight="1" outlineLevel="1" thickBot="1" x14ac:dyDescent="0.4">
      <c r="A41" s="5"/>
      <c r="B41" s="171" t="s">
        <v>1290</v>
      </c>
      <c r="C41" s="172" t="s">
        <v>1291</v>
      </c>
      <c r="D41" s="173" t="s">
        <v>1292</v>
      </c>
      <c r="E41" s="172">
        <v>5</v>
      </c>
      <c r="F41" s="173" t="s">
        <v>1293</v>
      </c>
      <c r="G41" s="174" t="s">
        <v>1294</v>
      </c>
      <c r="H41" s="5"/>
      <c r="I41" s="5"/>
      <c r="J41" s="5"/>
      <c r="K41" s="5"/>
      <c r="L41" s="5"/>
      <c r="M41" s="5"/>
    </row>
    <row r="42" spans="1:14" s="4" customFormat="1" ht="17.399999999999999" hidden="1" customHeight="1" outlineLevel="1" x14ac:dyDescent="0.35">
      <c r="A42" s="5"/>
      <c r="B42" s="380" t="s">
        <v>1</v>
      </c>
      <c r="C42" s="381"/>
      <c r="D42" s="381"/>
      <c r="E42" s="381"/>
      <c r="F42" s="381"/>
      <c r="G42" s="382"/>
      <c r="H42" s="5"/>
      <c r="I42" s="5"/>
      <c r="J42" s="5"/>
      <c r="K42" s="5"/>
      <c r="L42" s="5"/>
      <c r="M42" s="5"/>
    </row>
    <row r="43" spans="1:14" s="4" customFormat="1" ht="17.399999999999999" hidden="1" customHeight="1" outlineLevel="1" x14ac:dyDescent="0.35">
      <c r="A43" s="5"/>
      <c r="B43" s="94" t="s">
        <v>2</v>
      </c>
      <c r="C43" s="95" t="s">
        <v>3</v>
      </c>
      <c r="D43" s="95" t="s">
        <v>4</v>
      </c>
      <c r="E43" s="95" t="s">
        <v>5</v>
      </c>
      <c r="F43" s="95"/>
      <c r="G43" s="96" t="s">
        <v>6</v>
      </c>
      <c r="H43" s="5"/>
      <c r="I43" s="5"/>
      <c r="J43" s="5"/>
      <c r="K43" s="5"/>
      <c r="L43" s="5"/>
      <c r="M43" s="5"/>
    </row>
    <row r="44" spans="1:14" s="4" customFormat="1" ht="17.399999999999999" hidden="1" customHeight="1" outlineLevel="1" x14ac:dyDescent="0.35">
      <c r="A44" s="5"/>
      <c r="B44" s="57" t="s">
        <v>7</v>
      </c>
      <c r="C44" s="58" t="s">
        <v>1468</v>
      </c>
      <c r="D44" s="58" t="s">
        <v>1469</v>
      </c>
      <c r="E44" s="58">
        <v>0</v>
      </c>
      <c r="F44" s="58" t="s">
        <v>1470</v>
      </c>
      <c r="G44" s="59" t="s">
        <v>1471</v>
      </c>
      <c r="J44" s="4" t="s">
        <v>10</v>
      </c>
      <c r="N44" s="4">
        <v>1112</v>
      </c>
    </row>
    <row r="45" spans="1:14" s="4" customFormat="1" ht="17.399999999999999" hidden="1" customHeight="1" outlineLevel="1" x14ac:dyDescent="0.35">
      <c r="A45" s="5"/>
      <c r="B45" s="57" t="s">
        <v>11</v>
      </c>
      <c r="C45" s="58" t="s">
        <v>1472</v>
      </c>
      <c r="D45" s="58" t="s">
        <v>1469</v>
      </c>
      <c r="E45" s="58">
        <v>0</v>
      </c>
      <c r="F45" s="58" t="s">
        <v>1470</v>
      </c>
      <c r="G45" s="59" t="s">
        <v>1473</v>
      </c>
      <c r="J45" s="4" t="s">
        <v>12</v>
      </c>
      <c r="N45" s="4">
        <v>1700</v>
      </c>
    </row>
    <row r="46" spans="1:14" s="4" customFormat="1" ht="17.399999999999999" hidden="1" customHeight="1" outlineLevel="1" x14ac:dyDescent="0.35">
      <c r="A46" s="5"/>
      <c r="B46" s="60" t="s">
        <v>13</v>
      </c>
      <c r="C46" s="61" t="s">
        <v>1474</v>
      </c>
      <c r="D46" s="61" t="s">
        <v>1469</v>
      </c>
      <c r="E46" s="61">
        <v>0</v>
      </c>
      <c r="F46" s="61" t="s">
        <v>1470</v>
      </c>
      <c r="G46" s="62"/>
      <c r="H46" s="63"/>
      <c r="J46" s="4" t="s">
        <v>10</v>
      </c>
      <c r="N46" s="4">
        <v>2534</v>
      </c>
    </row>
    <row r="47" spans="1:14" s="4" customFormat="1" ht="17.399999999999999" hidden="1" customHeight="1" outlineLevel="1" x14ac:dyDescent="0.35">
      <c r="A47" s="5"/>
      <c r="B47" s="60" t="s">
        <v>14</v>
      </c>
      <c r="C47" s="61" t="s">
        <v>1475</v>
      </c>
      <c r="D47" s="61" t="s">
        <v>1469</v>
      </c>
      <c r="E47" s="61">
        <v>0</v>
      </c>
      <c r="F47" s="61" t="s">
        <v>1476</v>
      </c>
      <c r="G47" s="62" t="s">
        <v>1477</v>
      </c>
      <c r="H47" s="63"/>
      <c r="J47" s="4" t="s">
        <v>10</v>
      </c>
      <c r="N47" s="4">
        <v>2155</v>
      </c>
    </row>
    <row r="48" spans="1:14" s="4" customFormat="1" ht="17.399999999999999" hidden="1" customHeight="1" outlineLevel="1" x14ac:dyDescent="0.35">
      <c r="A48" s="5"/>
      <c r="B48" s="60" t="s">
        <v>15</v>
      </c>
      <c r="C48" s="61" t="s">
        <v>1478</v>
      </c>
      <c r="D48" s="61" t="s">
        <v>1469</v>
      </c>
      <c r="E48" s="61">
        <v>0</v>
      </c>
      <c r="F48" s="61" t="s">
        <v>1470</v>
      </c>
      <c r="G48" s="62"/>
      <c r="H48" s="63"/>
      <c r="J48" s="4" t="s">
        <v>10</v>
      </c>
      <c r="N48" s="4">
        <v>2430</v>
      </c>
    </row>
    <row r="49" spans="1:14" s="4" customFormat="1" ht="17.399999999999999" hidden="1" customHeight="1" outlineLevel="1" x14ac:dyDescent="0.35">
      <c r="A49" s="5"/>
      <c r="B49" s="64" t="s">
        <v>16</v>
      </c>
      <c r="C49" s="65" t="s">
        <v>1479</v>
      </c>
      <c r="D49" s="65" t="s">
        <v>1469</v>
      </c>
      <c r="E49" s="65" t="s">
        <v>1480</v>
      </c>
      <c r="F49" s="65" t="s">
        <v>1481</v>
      </c>
      <c r="G49" s="66" t="s">
        <v>1482</v>
      </c>
      <c r="H49" s="5"/>
      <c r="I49" s="5"/>
      <c r="J49" s="5" t="s">
        <v>10</v>
      </c>
      <c r="K49" s="5"/>
      <c r="L49" s="5"/>
      <c r="M49" s="5"/>
      <c r="N49" s="4">
        <v>1211</v>
      </c>
    </row>
    <row r="50" spans="1:14" s="4" customFormat="1" ht="17.399999999999999" hidden="1" customHeight="1" outlineLevel="1" x14ac:dyDescent="0.35">
      <c r="A50" s="5"/>
      <c r="B50" s="64" t="s">
        <v>17</v>
      </c>
      <c r="C50" s="65" t="s">
        <v>1483</v>
      </c>
      <c r="D50" s="65" t="s">
        <v>1469</v>
      </c>
      <c r="E50" s="65">
        <v>0</v>
      </c>
      <c r="F50" s="65" t="s">
        <v>1470</v>
      </c>
      <c r="G50" s="66" t="s">
        <v>1484</v>
      </c>
      <c r="H50" s="5"/>
      <c r="I50" s="5"/>
      <c r="J50" s="5" t="s">
        <v>10</v>
      </c>
      <c r="K50" s="5"/>
      <c r="L50" s="5"/>
      <c r="M50" s="5"/>
      <c r="N50" s="4">
        <v>1097</v>
      </c>
    </row>
    <row r="51" spans="1:14" s="4" customFormat="1" ht="17.399999999999999" hidden="1" customHeight="1" outlineLevel="1" thickBot="1" x14ac:dyDescent="0.4">
      <c r="A51" s="5"/>
      <c r="B51" s="91"/>
      <c r="C51" s="92"/>
      <c r="D51" s="92"/>
      <c r="E51" s="92"/>
      <c r="F51" s="92"/>
      <c r="G51" s="93"/>
      <c r="H51" s="5"/>
      <c r="I51" s="5"/>
      <c r="J51" s="5"/>
      <c r="K51" s="5"/>
      <c r="L51" s="5"/>
      <c r="M51" s="5"/>
    </row>
    <row r="52" spans="1:14" s="4" customFormat="1" ht="17.399999999999999" hidden="1" customHeight="1" outlineLevel="1" x14ac:dyDescent="0.35">
      <c r="A52" s="5"/>
      <c r="B52" s="383" t="s">
        <v>18</v>
      </c>
      <c r="C52" s="384"/>
      <c r="D52" s="384"/>
      <c r="E52" s="384"/>
      <c r="F52" s="384"/>
      <c r="G52" s="385"/>
      <c r="H52" s="5"/>
      <c r="I52" s="5"/>
      <c r="J52" s="5"/>
      <c r="K52" s="5"/>
      <c r="L52" s="5"/>
      <c r="M52" s="5"/>
    </row>
    <row r="53" spans="1:14" s="4" customFormat="1" ht="17.399999999999999" hidden="1" customHeight="1" outlineLevel="1" x14ac:dyDescent="0.35">
      <c r="A53" s="5"/>
      <c r="B53" s="94" t="s">
        <v>2</v>
      </c>
      <c r="C53" s="95" t="s">
        <v>3</v>
      </c>
      <c r="D53" s="95" t="s">
        <v>4</v>
      </c>
      <c r="E53" s="95" t="s">
        <v>5</v>
      </c>
      <c r="F53" s="95"/>
      <c r="G53" s="96" t="s">
        <v>6</v>
      </c>
      <c r="H53" s="5"/>
      <c r="I53" s="5"/>
      <c r="J53" s="5"/>
      <c r="K53" s="5"/>
      <c r="L53" s="5"/>
      <c r="M53" s="5"/>
    </row>
    <row r="54" spans="1:14" s="4" customFormat="1" ht="17.399999999999999" hidden="1" customHeight="1" outlineLevel="1" x14ac:dyDescent="0.35">
      <c r="A54" s="5"/>
      <c r="B54" s="67" t="s">
        <v>16</v>
      </c>
      <c r="C54" s="65" t="s">
        <v>1479</v>
      </c>
      <c r="D54" s="65" t="s">
        <v>1469</v>
      </c>
      <c r="E54" s="65" t="s">
        <v>1480</v>
      </c>
      <c r="F54" s="65" t="s">
        <v>1481</v>
      </c>
      <c r="G54" s="66" t="s">
        <v>1482</v>
      </c>
      <c r="H54" s="5"/>
      <c r="I54" s="5"/>
      <c r="J54" s="5"/>
      <c r="K54" s="5"/>
      <c r="L54" s="5"/>
      <c r="M54" s="5"/>
    </row>
    <row r="55" spans="1:14" s="3" customFormat="1" hidden="1" outlineLevel="1" x14ac:dyDescent="0.25">
      <c r="B55" s="68" t="s">
        <v>7</v>
      </c>
      <c r="C55" s="69" t="s">
        <v>1468</v>
      </c>
      <c r="D55" s="69" t="s">
        <v>1469</v>
      </c>
      <c r="E55" s="69">
        <v>0</v>
      </c>
      <c r="F55" s="69" t="s">
        <v>1470</v>
      </c>
      <c r="G55" s="70" t="s">
        <v>1471</v>
      </c>
      <c r="J55" s="3" t="s">
        <v>10</v>
      </c>
      <c r="N55" s="3">
        <v>1112</v>
      </c>
    </row>
    <row r="56" spans="1:14" s="3" customFormat="1" hidden="1" outlineLevel="1" x14ac:dyDescent="0.25">
      <c r="B56" s="68" t="s">
        <v>11</v>
      </c>
      <c r="C56" s="69" t="s">
        <v>1472</v>
      </c>
      <c r="D56" s="69" t="s">
        <v>1469</v>
      </c>
      <c r="E56" s="69">
        <v>0</v>
      </c>
      <c r="F56" s="69" t="s">
        <v>1470</v>
      </c>
      <c r="G56" s="70" t="s">
        <v>1473</v>
      </c>
      <c r="J56" s="3" t="s">
        <v>12</v>
      </c>
      <c r="N56" s="3">
        <v>1700</v>
      </c>
    </row>
    <row r="57" spans="1:14" s="3" customFormat="1" hidden="1" outlineLevel="1" x14ac:dyDescent="0.25">
      <c r="B57" s="68" t="s">
        <v>13</v>
      </c>
      <c r="C57" s="69" t="s">
        <v>1474</v>
      </c>
      <c r="D57" s="69" t="s">
        <v>1469</v>
      </c>
      <c r="E57" s="69">
        <v>0</v>
      </c>
      <c r="F57" s="69" t="s">
        <v>1470</v>
      </c>
      <c r="G57" s="70"/>
      <c r="J57" s="3" t="s">
        <v>10</v>
      </c>
      <c r="N57" s="3">
        <v>2534</v>
      </c>
    </row>
    <row r="58" spans="1:14" s="3" customFormat="1" hidden="1" outlineLevel="1" x14ac:dyDescent="0.25">
      <c r="B58" s="68" t="s">
        <v>14</v>
      </c>
      <c r="C58" s="69" t="s">
        <v>1475</v>
      </c>
      <c r="D58" s="69" t="s">
        <v>1469</v>
      </c>
      <c r="E58" s="69">
        <v>0</v>
      </c>
      <c r="F58" s="69" t="s">
        <v>1476</v>
      </c>
      <c r="G58" s="70" t="s">
        <v>1477</v>
      </c>
      <c r="J58" s="3" t="s">
        <v>10</v>
      </c>
      <c r="N58" s="3">
        <v>2155</v>
      </c>
    </row>
    <row r="59" spans="1:14" s="3" customFormat="1" hidden="1" outlineLevel="1" x14ac:dyDescent="0.25">
      <c r="B59" s="68" t="s">
        <v>15</v>
      </c>
      <c r="C59" s="69" t="s">
        <v>1478</v>
      </c>
      <c r="D59" s="69" t="s">
        <v>1469</v>
      </c>
      <c r="E59" s="69">
        <v>0</v>
      </c>
      <c r="F59" s="69" t="s">
        <v>1470</v>
      </c>
      <c r="G59" s="70"/>
      <c r="J59" s="3" t="s">
        <v>10</v>
      </c>
      <c r="N59" s="3">
        <v>2430</v>
      </c>
    </row>
    <row r="60" spans="1:14" s="3" customFormat="1" hidden="1" outlineLevel="1" x14ac:dyDescent="0.25">
      <c r="B60" s="71" t="s">
        <v>32</v>
      </c>
      <c r="C60" s="72" t="s">
        <v>1496</v>
      </c>
      <c r="D60" s="72" t="s">
        <v>1486</v>
      </c>
      <c r="E60" s="72">
        <v>0</v>
      </c>
      <c r="F60" s="72"/>
      <c r="G60" s="73"/>
      <c r="J60" s="3" t="s">
        <v>20</v>
      </c>
      <c r="N60" s="3">
        <v>2055</v>
      </c>
    </row>
    <row r="61" spans="1:14" s="3" customFormat="1" hidden="1" outlineLevel="1" x14ac:dyDescent="0.25">
      <c r="B61" s="71" t="s">
        <v>22</v>
      </c>
      <c r="C61" s="72" t="s">
        <v>1488</v>
      </c>
      <c r="D61" s="72" t="s">
        <v>1489</v>
      </c>
      <c r="E61" s="72">
        <v>0</v>
      </c>
      <c r="F61" s="72" t="s">
        <v>1470</v>
      </c>
      <c r="G61" s="73" t="s">
        <v>1490</v>
      </c>
      <c r="J61" s="3" t="s">
        <v>20</v>
      </c>
      <c r="N61" s="3">
        <v>2052</v>
      </c>
    </row>
    <row r="62" spans="1:14" s="3" customFormat="1" hidden="1" outlineLevel="1" x14ac:dyDescent="0.25">
      <c r="B62" s="28" t="s">
        <v>26</v>
      </c>
      <c r="C62" s="29" t="s">
        <v>1493</v>
      </c>
      <c r="D62" s="29" t="s">
        <v>1494</v>
      </c>
      <c r="E62" s="29">
        <v>0</v>
      </c>
      <c r="F62" s="29" t="s">
        <v>1470</v>
      </c>
      <c r="G62" s="30"/>
      <c r="J62" s="3" t="s">
        <v>20</v>
      </c>
      <c r="N62" s="3">
        <v>2183</v>
      </c>
    </row>
    <row r="63" spans="1:14" s="4" customFormat="1" ht="17.399999999999999" hidden="1" customHeight="1" outlineLevel="1" x14ac:dyDescent="0.35">
      <c r="A63" s="5"/>
      <c r="B63" s="74" t="s">
        <v>27</v>
      </c>
      <c r="C63" s="75" t="s">
        <v>1495</v>
      </c>
      <c r="D63" s="75" t="s">
        <v>1489</v>
      </c>
      <c r="E63" s="75">
        <v>0</v>
      </c>
      <c r="F63" s="75" t="s">
        <v>1470</v>
      </c>
      <c r="G63" s="76"/>
      <c r="H63" s="5"/>
      <c r="I63" s="5"/>
      <c r="J63" s="5" t="s">
        <v>20</v>
      </c>
      <c r="K63" s="5"/>
      <c r="L63" s="5"/>
      <c r="M63" s="5"/>
    </row>
    <row r="64" spans="1:14" s="3" customFormat="1" hidden="1" outlineLevel="1" x14ac:dyDescent="0.25">
      <c r="A64" s="77"/>
      <c r="B64" s="78" t="s">
        <v>33</v>
      </c>
      <c r="C64" s="79" t="s">
        <v>1497</v>
      </c>
      <c r="D64" s="79" t="s">
        <v>1486</v>
      </c>
      <c r="E64" s="79">
        <v>0</v>
      </c>
      <c r="F64" s="79"/>
      <c r="G64" s="80"/>
      <c r="H64" s="3" t="str">
        <f t="shared" ref="H64:H90" si="0">"TRUNCATE TABLE "&amp;C64&amp;";#"&amp;E64</f>
        <v>TRUNCATE TABLE total_long_curr_qty;#0</v>
      </c>
    </row>
    <row r="65" spans="1:8" s="3" customFormat="1" ht="16.5" hidden="1" customHeight="1" outlineLevel="1" x14ac:dyDescent="0.25">
      <c r="A65" s="77"/>
      <c r="B65" s="78" t="s">
        <v>34</v>
      </c>
      <c r="C65" s="79" t="s">
        <v>1498</v>
      </c>
      <c r="D65" s="79" t="s">
        <v>1486</v>
      </c>
      <c r="E65" s="79">
        <v>0</v>
      </c>
      <c r="F65" s="79"/>
      <c r="G65" s="80"/>
      <c r="H65" s="3" t="str">
        <f t="shared" si="0"/>
        <v>TRUNCATE TABLE total_short_curr_qty;#0</v>
      </c>
    </row>
    <row r="66" spans="1:8" s="3" customFormat="1" hidden="1" outlineLevel="1" x14ac:dyDescent="0.25">
      <c r="A66" s="77"/>
      <c r="B66" s="78" t="s">
        <v>35</v>
      </c>
      <c r="C66" s="79" t="s">
        <v>1499</v>
      </c>
      <c r="D66" s="79" t="s">
        <v>1489</v>
      </c>
      <c r="E66" s="79">
        <v>0</v>
      </c>
      <c r="F66" s="79"/>
      <c r="G66" s="80"/>
      <c r="H66" s="3" t="str">
        <f t="shared" si="0"/>
        <v>TRUNCATE TABLE total_long_open_posi_value;#0</v>
      </c>
    </row>
    <row r="67" spans="1:8" s="3" customFormat="1" hidden="1" outlineLevel="1" x14ac:dyDescent="0.25">
      <c r="A67" s="77"/>
      <c r="B67" s="78" t="s">
        <v>36</v>
      </c>
      <c r="C67" s="79" t="s">
        <v>1500</v>
      </c>
      <c r="D67" s="79" t="s">
        <v>1489</v>
      </c>
      <c r="E67" s="79">
        <v>0</v>
      </c>
      <c r="F67" s="79"/>
      <c r="G67" s="80"/>
      <c r="H67" s="3" t="str">
        <f t="shared" si="0"/>
        <v>TRUNCATE TABLE total_short_open_posi_value;#0</v>
      </c>
    </row>
    <row r="68" spans="1:8" s="3" customFormat="1" hidden="1" outlineLevel="1" x14ac:dyDescent="0.25">
      <c r="A68" s="77"/>
      <c r="B68" s="78" t="s">
        <v>37</v>
      </c>
      <c r="C68" s="79" t="s">
        <v>1501</v>
      </c>
      <c r="D68" s="79" t="s">
        <v>1489</v>
      </c>
      <c r="E68" s="79">
        <v>0</v>
      </c>
      <c r="F68" s="79"/>
      <c r="G68" s="80"/>
      <c r="H68" s="3" t="str">
        <f t="shared" si="0"/>
        <v>TRUNCATE TABLE total_long_open_posi_fee;#0</v>
      </c>
    </row>
    <row r="69" spans="1:8" s="3" customFormat="1" hidden="1" outlineLevel="1" x14ac:dyDescent="0.25">
      <c r="A69" s="77"/>
      <c r="B69" s="78" t="s">
        <v>38</v>
      </c>
      <c r="C69" s="79" t="s">
        <v>1502</v>
      </c>
      <c r="D69" s="79" t="s">
        <v>1489</v>
      </c>
      <c r="E69" s="79">
        <v>0</v>
      </c>
      <c r="F69" s="79"/>
      <c r="G69" s="80"/>
      <c r="H69" s="3" t="str">
        <f t="shared" si="0"/>
        <v>TRUNCATE TABLE total_short_open_posi_fee;#0</v>
      </c>
    </row>
    <row r="70" spans="1:8" s="3" customFormat="1" hidden="1" outlineLevel="1" x14ac:dyDescent="0.25">
      <c r="A70" s="77"/>
      <c r="B70" s="78" t="s">
        <v>39</v>
      </c>
      <c r="C70" s="79" t="s">
        <v>1503</v>
      </c>
      <c r="D70" s="79" t="s">
        <v>1489</v>
      </c>
      <c r="E70" s="79">
        <v>0</v>
      </c>
      <c r="F70" s="79"/>
      <c r="G70" s="80"/>
      <c r="H70" s="3" t="str">
        <f t="shared" si="0"/>
        <v>TRUNCATE TABLE total_long_close_posi_value;#0</v>
      </c>
    </row>
    <row r="71" spans="1:8" s="3" customFormat="1" hidden="1" outlineLevel="1" x14ac:dyDescent="0.25">
      <c r="A71" s="77"/>
      <c r="B71" s="78" t="s">
        <v>40</v>
      </c>
      <c r="C71" s="79" t="s">
        <v>1504</v>
      </c>
      <c r="D71" s="79" t="s">
        <v>1489</v>
      </c>
      <c r="E71" s="79">
        <v>0</v>
      </c>
      <c r="F71" s="79"/>
      <c r="G71" s="80"/>
      <c r="H71" s="3" t="str">
        <f t="shared" si="0"/>
        <v>TRUNCATE TABLE total_short_close_posi_value;#0</v>
      </c>
    </row>
    <row r="72" spans="1:8" s="3" customFormat="1" hidden="1" outlineLevel="1" x14ac:dyDescent="0.25">
      <c r="A72" s="77"/>
      <c r="B72" s="78" t="s">
        <v>41</v>
      </c>
      <c r="C72" s="79" t="s">
        <v>1505</v>
      </c>
      <c r="D72" s="79" t="s">
        <v>1486</v>
      </c>
      <c r="E72" s="79">
        <v>0</v>
      </c>
      <c r="F72" s="79"/>
      <c r="G72" s="80"/>
      <c r="H72" s="3" t="str">
        <f t="shared" si="0"/>
        <v>TRUNCATE TABLE total_long_close_posi_qty;#0</v>
      </c>
    </row>
    <row r="73" spans="1:8" s="3" customFormat="1" hidden="1" outlineLevel="1" x14ac:dyDescent="0.25">
      <c r="A73" s="77"/>
      <c r="B73" s="78" t="s">
        <v>42</v>
      </c>
      <c r="C73" s="79" t="s">
        <v>1506</v>
      </c>
      <c r="D73" s="79" t="s">
        <v>1486</v>
      </c>
      <c r="E73" s="79">
        <v>0</v>
      </c>
      <c r="F73" s="79"/>
      <c r="G73" s="80"/>
      <c r="H73" s="3" t="str">
        <f t="shared" si="0"/>
        <v>TRUNCATE TABLE total_short_close_posi_qty;#0</v>
      </c>
    </row>
    <row r="74" spans="1:8" s="3" customFormat="1" hidden="1" outlineLevel="1" x14ac:dyDescent="0.25">
      <c r="A74" s="77"/>
      <c r="B74" s="78" t="s">
        <v>43</v>
      </c>
      <c r="C74" s="79" t="s">
        <v>1507</v>
      </c>
      <c r="D74" s="79" t="s">
        <v>1489</v>
      </c>
      <c r="E74" s="79">
        <v>0</v>
      </c>
      <c r="F74" s="79"/>
      <c r="G74" s="80"/>
      <c r="H74" s="3" t="str">
        <f t="shared" si="0"/>
        <v>TRUNCATE TABLE total_long_close_posi_fee;#0</v>
      </c>
    </row>
    <row r="75" spans="1:8" s="3" customFormat="1" hidden="1" outlineLevel="1" x14ac:dyDescent="0.25">
      <c r="A75" s="77"/>
      <c r="B75" s="78" t="s">
        <v>44</v>
      </c>
      <c r="C75" s="79" t="s">
        <v>1508</v>
      </c>
      <c r="D75" s="79" t="s">
        <v>1489</v>
      </c>
      <c r="E75" s="79">
        <v>0</v>
      </c>
      <c r="F75" s="79"/>
      <c r="G75" s="80"/>
      <c r="H75" s="3" t="str">
        <f t="shared" si="0"/>
        <v>TRUNCATE TABLE total_short_close_posi_fee;#0</v>
      </c>
    </row>
    <row r="76" spans="1:8" s="3" customFormat="1" hidden="1" outlineLevel="1" x14ac:dyDescent="0.25">
      <c r="A76" s="77"/>
      <c r="B76" s="78" t="s">
        <v>45</v>
      </c>
      <c r="C76" s="79" t="s">
        <v>1509</v>
      </c>
      <c r="D76" s="79" t="s">
        <v>1489</v>
      </c>
      <c r="E76" s="79">
        <v>0</v>
      </c>
      <c r="F76" s="79"/>
      <c r="G76" s="80"/>
      <c r="H76" s="3" t="str">
        <f t="shared" si="0"/>
        <v>TRUNCATE TABLE total_realize_pandl;#0</v>
      </c>
    </row>
    <row r="77" spans="1:8" s="3" customFormat="1" hidden="1" outlineLevel="1" x14ac:dyDescent="0.25">
      <c r="A77" s="77"/>
      <c r="B77" s="28" t="s">
        <v>46</v>
      </c>
      <c r="C77" s="79" t="s">
        <v>1510</v>
      </c>
      <c r="D77" s="79" t="s">
        <v>1486</v>
      </c>
      <c r="E77" s="79">
        <v>0</v>
      </c>
      <c r="F77" s="79" t="s">
        <v>1470</v>
      </c>
      <c r="G77" s="80"/>
      <c r="H77" s="3" t="str">
        <f t="shared" si="0"/>
        <v>TRUNCATE TABLE long_curr_qty;#0</v>
      </c>
    </row>
    <row r="78" spans="1:8" s="3" customFormat="1" hidden="1" outlineLevel="1" x14ac:dyDescent="0.25">
      <c r="A78" s="77"/>
      <c r="B78" s="28" t="s">
        <v>47</v>
      </c>
      <c r="C78" s="79" t="s">
        <v>1511</v>
      </c>
      <c r="D78" s="79" t="s">
        <v>1486</v>
      </c>
      <c r="E78" s="79">
        <v>0</v>
      </c>
      <c r="F78" s="79" t="s">
        <v>1470</v>
      </c>
      <c r="G78" s="80"/>
      <c r="H78" s="3" t="str">
        <f t="shared" si="0"/>
        <v>TRUNCATE TABLE short_curr_qty;#0</v>
      </c>
    </row>
    <row r="79" spans="1:8" s="3" customFormat="1" hidden="1" outlineLevel="1" x14ac:dyDescent="0.25">
      <c r="A79" s="77"/>
      <c r="B79" s="28" t="s">
        <v>48</v>
      </c>
      <c r="C79" s="79" t="s">
        <v>1512</v>
      </c>
      <c r="D79" s="79" t="s">
        <v>1489</v>
      </c>
      <c r="E79" s="79">
        <v>0</v>
      </c>
      <c r="F79" s="79"/>
      <c r="G79" s="80"/>
      <c r="H79" s="3" t="str">
        <f t="shared" si="0"/>
        <v>TRUNCATE TABLE long_open_posi_value;#0</v>
      </c>
    </row>
    <row r="80" spans="1:8" s="3" customFormat="1" hidden="1" outlineLevel="1" x14ac:dyDescent="0.25">
      <c r="A80" s="77"/>
      <c r="B80" s="28" t="s">
        <v>49</v>
      </c>
      <c r="C80" s="79" t="s">
        <v>1513</v>
      </c>
      <c r="D80" s="79" t="s">
        <v>1489</v>
      </c>
      <c r="E80" s="79">
        <v>0</v>
      </c>
      <c r="F80" s="79"/>
      <c r="G80" s="80"/>
      <c r="H80" s="3" t="str">
        <f t="shared" si="0"/>
        <v>TRUNCATE TABLE short_open_posi_value;#0</v>
      </c>
    </row>
    <row r="81" spans="1:13" s="3" customFormat="1" hidden="1" outlineLevel="1" x14ac:dyDescent="0.25">
      <c r="A81" s="77"/>
      <c r="B81" s="28" t="s">
        <v>50</v>
      </c>
      <c r="C81" s="79" t="s">
        <v>1514</v>
      </c>
      <c r="D81" s="79" t="s">
        <v>1489</v>
      </c>
      <c r="E81" s="79">
        <v>0</v>
      </c>
      <c r="F81" s="79" t="s">
        <v>1470</v>
      </c>
      <c r="G81" s="80"/>
      <c r="H81" s="3" t="str">
        <f t="shared" si="0"/>
        <v>TRUNCATE TABLE long_open_posi_fee;#0</v>
      </c>
    </row>
    <row r="82" spans="1:13" s="3" customFormat="1" hidden="1" outlineLevel="1" x14ac:dyDescent="0.25">
      <c r="A82" s="77"/>
      <c r="B82" s="28" t="s">
        <v>51</v>
      </c>
      <c r="C82" s="79" t="s">
        <v>1515</v>
      </c>
      <c r="D82" s="79" t="s">
        <v>1489</v>
      </c>
      <c r="E82" s="79">
        <v>0</v>
      </c>
      <c r="F82" s="79" t="s">
        <v>1470</v>
      </c>
      <c r="G82" s="80"/>
      <c r="H82" s="3" t="str">
        <f t="shared" si="0"/>
        <v>TRUNCATE TABLE short_open_posi_fee;#0</v>
      </c>
    </row>
    <row r="83" spans="1:13" s="3" customFormat="1" hidden="1" outlineLevel="1" x14ac:dyDescent="0.25">
      <c r="A83" s="77"/>
      <c r="B83" s="28" t="s">
        <v>52</v>
      </c>
      <c r="C83" s="79" t="s">
        <v>1516</v>
      </c>
      <c r="D83" s="79" t="s">
        <v>1486</v>
      </c>
      <c r="E83" s="79">
        <v>0</v>
      </c>
      <c r="F83" s="79" t="s">
        <v>1470</v>
      </c>
      <c r="G83" s="80"/>
      <c r="H83" s="3" t="str">
        <f t="shared" si="0"/>
        <v>TRUNCATE TABLE long_close_posi_qty;#0</v>
      </c>
    </row>
    <row r="84" spans="1:13" s="3" customFormat="1" hidden="1" outlineLevel="1" x14ac:dyDescent="0.25">
      <c r="A84" s="77"/>
      <c r="B84" s="28" t="s">
        <v>53</v>
      </c>
      <c r="C84" s="79" t="s">
        <v>1517</v>
      </c>
      <c r="D84" s="79" t="s">
        <v>1486</v>
      </c>
      <c r="E84" s="79">
        <v>0</v>
      </c>
      <c r="F84" s="79" t="s">
        <v>1470</v>
      </c>
      <c r="G84" s="80"/>
      <c r="H84" s="3" t="str">
        <f t="shared" si="0"/>
        <v>TRUNCATE TABLE short_close_posi_qty;#0</v>
      </c>
    </row>
    <row r="85" spans="1:13" s="3" customFormat="1" hidden="1" outlineLevel="1" x14ac:dyDescent="0.25">
      <c r="A85" s="77"/>
      <c r="B85" s="28" t="s">
        <v>54</v>
      </c>
      <c r="C85" s="79" t="s">
        <v>1518</v>
      </c>
      <c r="D85" s="79" t="s">
        <v>1489</v>
      </c>
      <c r="E85" s="79">
        <v>0</v>
      </c>
      <c r="F85" s="79"/>
      <c r="G85" s="80"/>
      <c r="H85" s="3" t="str">
        <f t="shared" si="0"/>
        <v>TRUNCATE TABLE long_close_posi_value;#0</v>
      </c>
    </row>
    <row r="86" spans="1:13" s="3" customFormat="1" hidden="1" outlineLevel="1" x14ac:dyDescent="0.25">
      <c r="A86" s="77"/>
      <c r="B86" s="28" t="s">
        <v>55</v>
      </c>
      <c r="C86" s="79" t="s">
        <v>1519</v>
      </c>
      <c r="D86" s="79" t="s">
        <v>1489</v>
      </c>
      <c r="E86" s="79">
        <v>0</v>
      </c>
      <c r="F86" s="79"/>
      <c r="G86" s="80"/>
      <c r="H86" s="3" t="str">
        <f t="shared" si="0"/>
        <v>TRUNCATE TABLE short_close_posi_value;#0</v>
      </c>
    </row>
    <row r="87" spans="1:13" s="3" customFormat="1" hidden="1" outlineLevel="1" x14ac:dyDescent="0.25">
      <c r="A87" s="77"/>
      <c r="B87" s="28" t="s">
        <v>56</v>
      </c>
      <c r="C87" s="79" t="s">
        <v>1520</v>
      </c>
      <c r="D87" s="79" t="s">
        <v>1489</v>
      </c>
      <c r="E87" s="79">
        <v>0</v>
      </c>
      <c r="F87" s="79"/>
      <c r="G87" s="80"/>
      <c r="H87" s="3" t="str">
        <f t="shared" si="0"/>
        <v>TRUNCATE TABLE long_close_posi_fee;#0</v>
      </c>
    </row>
    <row r="88" spans="1:13" s="3" customFormat="1" hidden="1" outlineLevel="1" x14ac:dyDescent="0.25">
      <c r="A88" s="77"/>
      <c r="B88" s="28" t="s">
        <v>57</v>
      </c>
      <c r="C88" s="79" t="s">
        <v>1521</v>
      </c>
      <c r="D88" s="79" t="s">
        <v>1489</v>
      </c>
      <c r="E88" s="79">
        <v>0</v>
      </c>
      <c r="F88" s="79"/>
      <c r="G88" s="80"/>
      <c r="H88" s="3" t="str">
        <f t="shared" si="0"/>
        <v>TRUNCATE TABLE short_close_posi_fee;#0</v>
      </c>
    </row>
    <row r="89" spans="1:13" s="3" customFormat="1" hidden="1" outlineLevel="1" x14ac:dyDescent="0.25">
      <c r="A89" s="77"/>
      <c r="B89" s="81" t="s">
        <v>24</v>
      </c>
      <c r="C89" s="79" t="s">
        <v>1491</v>
      </c>
      <c r="D89" s="79" t="s">
        <v>1489</v>
      </c>
      <c r="E89" s="79">
        <v>0</v>
      </c>
      <c r="F89" s="79" t="s">
        <v>1470</v>
      </c>
      <c r="G89" s="80"/>
      <c r="H89" s="3" t="str">
        <f t="shared" si="0"/>
        <v>TRUNCATE TABLE realize_pandl;#0</v>
      </c>
    </row>
    <row r="90" spans="1:13" s="3" customFormat="1" hidden="1" outlineLevel="1" x14ac:dyDescent="0.25">
      <c r="A90" s="77"/>
      <c r="B90" s="81" t="s">
        <v>58</v>
      </c>
      <c r="C90" s="79" t="s">
        <v>1522</v>
      </c>
      <c r="D90" s="79" t="s">
        <v>1489</v>
      </c>
      <c r="E90" s="79">
        <v>0</v>
      </c>
      <c r="F90" s="79" t="s">
        <v>1470</v>
      </c>
      <c r="G90" s="80"/>
      <c r="H90" s="3" t="str">
        <f t="shared" si="0"/>
        <v>TRUNCATE TABLE over_night_pandl;#0</v>
      </c>
    </row>
    <row r="91" spans="1:13" s="4" customFormat="1" ht="17.399999999999999" hidden="1" customHeight="1" outlineLevel="1" thickBot="1" x14ac:dyDescent="0.4">
      <c r="A91" s="5"/>
      <c r="B91" s="67"/>
      <c r="C91" s="84"/>
      <c r="D91" s="84"/>
      <c r="E91" s="84"/>
      <c r="F91" s="84"/>
      <c r="G91" s="85"/>
      <c r="H91" s="5"/>
      <c r="I91" s="5"/>
      <c r="J91" s="5"/>
      <c r="K91" s="5"/>
      <c r="L91" s="5"/>
      <c r="M91" s="5"/>
    </row>
    <row r="92" spans="1:13" s="4" customFormat="1" ht="17.399999999999999" hidden="1" customHeight="1" outlineLevel="1" x14ac:dyDescent="0.35">
      <c r="A92" s="5"/>
      <c r="B92" s="386" t="s">
        <v>28</v>
      </c>
      <c r="C92" s="387"/>
      <c r="D92" s="387"/>
      <c r="E92" s="387"/>
      <c r="F92" s="387"/>
      <c r="G92" s="388"/>
      <c r="H92" s="5"/>
      <c r="I92" s="5"/>
      <c r="J92" s="5"/>
      <c r="K92" s="5"/>
      <c r="L92" s="5"/>
      <c r="M92" s="5"/>
    </row>
    <row r="93" spans="1:13" s="4" customFormat="1" ht="17.399999999999999" hidden="1" customHeight="1" outlineLevel="1" x14ac:dyDescent="0.35">
      <c r="A93" s="5"/>
      <c r="B93" s="32" t="s">
        <v>2</v>
      </c>
      <c r="C93" s="33" t="s">
        <v>3</v>
      </c>
      <c r="D93" s="33" t="s">
        <v>4</v>
      </c>
      <c r="E93" s="33"/>
      <c r="F93" s="33"/>
      <c r="G93" s="34" t="s">
        <v>6</v>
      </c>
      <c r="H93" s="5"/>
      <c r="I93" s="5"/>
      <c r="J93" s="5"/>
      <c r="K93" s="5"/>
      <c r="L93" s="5"/>
      <c r="M93" s="5"/>
    </row>
    <row r="94" spans="1:13" s="4" customFormat="1" ht="17.399999999999999" hidden="1" customHeight="1" outlineLevel="1" thickBot="1" x14ac:dyDescent="0.4">
      <c r="A94" s="5"/>
      <c r="B94" s="31"/>
      <c r="C94" s="84"/>
      <c r="D94" s="84"/>
      <c r="E94" s="84"/>
      <c r="F94" s="84"/>
      <c r="G94" s="336"/>
    </row>
    <row r="95" spans="1:13" s="4" customFormat="1" ht="17.399999999999999" hidden="1" customHeight="1" outlineLevel="1" x14ac:dyDescent="0.35">
      <c r="A95" s="5"/>
      <c r="B95" s="380" t="s">
        <v>29</v>
      </c>
      <c r="C95" s="381"/>
      <c r="D95" s="381"/>
      <c r="E95" s="381"/>
      <c r="F95" s="381"/>
      <c r="G95" s="382"/>
      <c r="H95" s="5"/>
      <c r="I95" s="5"/>
      <c r="J95" s="5"/>
      <c r="K95" s="5"/>
      <c r="L95" s="5"/>
      <c r="M95" s="5"/>
    </row>
    <row r="96" spans="1:13" s="4" customFormat="1" ht="17.399999999999999" hidden="1" customHeight="1" outlineLevel="1" x14ac:dyDescent="0.35">
      <c r="A96" s="5"/>
      <c r="B96" s="67"/>
      <c r="C96" s="65"/>
      <c r="D96" s="65"/>
      <c r="E96" s="65"/>
      <c r="F96" s="65"/>
      <c r="G96" s="66"/>
      <c r="H96" s="5"/>
      <c r="I96" s="5"/>
      <c r="J96" s="5"/>
      <c r="K96" s="5"/>
      <c r="L96" s="5"/>
      <c r="M96" s="5"/>
    </row>
    <row r="97" spans="1:14" s="4" customFormat="1" ht="17.399999999999999" hidden="1" customHeight="1" outlineLevel="1" x14ac:dyDescent="0.35">
      <c r="A97" s="5"/>
      <c r="B97" s="67" t="s">
        <v>30</v>
      </c>
      <c r="C97" s="65"/>
      <c r="D97" s="65"/>
      <c r="E97" s="65"/>
      <c r="F97" s="65"/>
      <c r="G97" s="371" t="s">
        <v>2357</v>
      </c>
      <c r="H97" s="5"/>
      <c r="I97" s="5"/>
      <c r="J97" s="5"/>
      <c r="K97" s="5"/>
      <c r="L97" s="5"/>
      <c r="M97" s="5"/>
    </row>
    <row r="98" spans="1:14" s="4" customFormat="1" ht="17.399999999999999" hidden="1" customHeight="1" outlineLevel="1" x14ac:dyDescent="0.35">
      <c r="A98" s="5"/>
      <c r="B98" s="67" t="s">
        <v>59</v>
      </c>
      <c r="C98" s="65"/>
      <c r="D98" s="65"/>
      <c r="E98" s="65"/>
      <c r="F98" s="65"/>
      <c r="G98" s="371" t="s">
        <v>2359</v>
      </c>
      <c r="H98" s="5"/>
      <c r="I98" s="5"/>
      <c r="J98" s="5"/>
      <c r="K98" s="5"/>
      <c r="L98" s="5"/>
      <c r="M98" s="5"/>
    </row>
    <row r="99" spans="1:14" s="4" customFormat="1" ht="17.399999999999999" hidden="1" customHeight="1" outlineLevel="1" thickBot="1" x14ac:dyDescent="0.4">
      <c r="A99" s="5"/>
      <c r="B99" s="103"/>
      <c r="C99" s="92"/>
      <c r="D99" s="92"/>
      <c r="E99" s="92"/>
      <c r="F99" s="92"/>
      <c r="G99" s="93"/>
    </row>
    <row r="100" spans="1:14" s="4" customFormat="1" ht="17.399999999999999" hidden="1" customHeight="1" outlineLevel="1" x14ac:dyDescent="0.35">
      <c r="A100" s="5"/>
      <c r="B100" s="5"/>
      <c r="C100" s="5"/>
      <c r="D100" s="5"/>
      <c r="E100" s="5"/>
      <c r="F100" s="5"/>
      <c r="G100" s="5"/>
    </row>
    <row r="101" spans="1:14" s="4" customFormat="1" ht="17.399999999999999" hidden="1" customHeight="1" outlineLevel="1" thickBot="1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1:14" s="4" customFormat="1" ht="17.399999999999999" customHeight="1" collapsed="1" thickBot="1" x14ac:dyDescent="0.4">
      <c r="A102" s="5"/>
      <c r="B102" s="166" t="s">
        <v>1279</v>
      </c>
      <c r="C102" s="169" t="s">
        <v>1299</v>
      </c>
      <c r="D102" s="168" t="s">
        <v>1281</v>
      </c>
      <c r="E102" s="169" t="s">
        <v>60</v>
      </c>
      <c r="F102" s="168" t="s">
        <v>1282</v>
      </c>
      <c r="G102" s="170" t="s">
        <v>1300</v>
      </c>
      <c r="H102" s="5"/>
      <c r="I102" s="5"/>
      <c r="J102" s="5"/>
      <c r="K102" s="5"/>
      <c r="L102" s="5"/>
      <c r="M102" s="5"/>
    </row>
    <row r="103" spans="1:14" s="4" customFormat="1" ht="17.399999999999999" hidden="1" customHeight="1" outlineLevel="1" x14ac:dyDescent="0.35">
      <c r="A103" s="5"/>
      <c r="B103" s="136" t="s">
        <v>1284</v>
      </c>
      <c r="C103" s="84" t="s">
        <v>1285</v>
      </c>
      <c r="D103" s="137" t="s">
        <v>1286</v>
      </c>
      <c r="E103" s="84" t="s">
        <v>1301</v>
      </c>
      <c r="F103" s="137" t="s">
        <v>1288</v>
      </c>
      <c r="G103" s="85" t="s">
        <v>1302</v>
      </c>
      <c r="H103" s="5"/>
      <c r="I103" s="5"/>
      <c r="J103" s="5"/>
      <c r="K103" s="5"/>
      <c r="L103" s="5"/>
      <c r="M103" s="5"/>
    </row>
    <row r="104" spans="1:14" s="4" customFormat="1" ht="17.399999999999999" hidden="1" customHeight="1" outlineLevel="1" thickBot="1" x14ac:dyDescent="0.4">
      <c r="A104" s="5"/>
      <c r="B104" s="171" t="s">
        <v>1290</v>
      </c>
      <c r="C104" s="172" t="s">
        <v>1291</v>
      </c>
      <c r="D104" s="173" t="s">
        <v>1292</v>
      </c>
      <c r="E104" s="172">
        <v>5</v>
      </c>
      <c r="F104" s="173" t="s">
        <v>1293</v>
      </c>
      <c r="G104" s="174" t="s">
        <v>1294</v>
      </c>
      <c r="H104" s="5"/>
      <c r="I104" s="5"/>
      <c r="J104" s="5"/>
      <c r="K104" s="5"/>
      <c r="L104" s="5"/>
      <c r="M104" s="5"/>
    </row>
    <row r="105" spans="1:14" s="4" customFormat="1" ht="17.399999999999999" hidden="1" customHeight="1" outlineLevel="1" x14ac:dyDescent="0.35">
      <c r="A105" s="5"/>
      <c r="B105" s="380" t="s">
        <v>1</v>
      </c>
      <c r="C105" s="381"/>
      <c r="D105" s="381"/>
      <c r="E105" s="381"/>
      <c r="F105" s="381"/>
      <c r="G105" s="382"/>
      <c r="H105" s="5"/>
      <c r="I105" s="5"/>
      <c r="J105" s="5"/>
      <c r="K105" s="5"/>
      <c r="L105" s="5"/>
      <c r="M105" s="5"/>
    </row>
    <row r="106" spans="1:14" s="4" customFormat="1" ht="17.399999999999999" hidden="1" customHeight="1" outlineLevel="1" x14ac:dyDescent="0.35">
      <c r="A106" s="5"/>
      <c r="B106" s="94" t="s">
        <v>2</v>
      </c>
      <c r="C106" s="95" t="s">
        <v>3</v>
      </c>
      <c r="D106" s="95" t="s">
        <v>4</v>
      </c>
      <c r="E106" s="95" t="s">
        <v>5</v>
      </c>
      <c r="F106" s="95"/>
      <c r="G106" s="96" t="s">
        <v>6</v>
      </c>
      <c r="H106" s="5"/>
      <c r="I106" s="5"/>
      <c r="J106" s="5"/>
      <c r="K106" s="5"/>
      <c r="L106" s="5"/>
      <c r="M106" s="5"/>
    </row>
    <row r="107" spans="1:14" s="4" customFormat="1" ht="17.399999999999999" hidden="1" customHeight="1" outlineLevel="1" x14ac:dyDescent="0.35">
      <c r="A107" s="5"/>
      <c r="B107" s="57" t="s">
        <v>7</v>
      </c>
      <c r="C107" s="58" t="s">
        <v>1468</v>
      </c>
      <c r="D107" s="58" t="s">
        <v>1469</v>
      </c>
      <c r="E107" s="58">
        <v>0</v>
      </c>
      <c r="F107" s="58" t="s">
        <v>1470</v>
      </c>
      <c r="G107" s="59" t="s">
        <v>1471</v>
      </c>
      <c r="J107" s="4" t="s">
        <v>10</v>
      </c>
      <c r="N107" s="4">
        <v>1112</v>
      </c>
    </row>
    <row r="108" spans="1:14" s="4" customFormat="1" ht="17.399999999999999" hidden="1" customHeight="1" outlineLevel="1" x14ac:dyDescent="0.35">
      <c r="A108" s="5"/>
      <c r="B108" s="57" t="s">
        <v>11</v>
      </c>
      <c r="C108" s="58" t="s">
        <v>1472</v>
      </c>
      <c r="D108" s="58" t="s">
        <v>1469</v>
      </c>
      <c r="E108" s="58">
        <v>0</v>
      </c>
      <c r="F108" s="58" t="s">
        <v>1470</v>
      </c>
      <c r="G108" s="59" t="s">
        <v>1473</v>
      </c>
      <c r="J108" s="4" t="s">
        <v>12</v>
      </c>
      <c r="N108" s="4">
        <v>1700</v>
      </c>
    </row>
    <row r="109" spans="1:14" s="4" customFormat="1" ht="17.399999999999999" hidden="1" customHeight="1" outlineLevel="1" x14ac:dyDescent="0.35">
      <c r="A109" s="5"/>
      <c r="B109" s="60" t="s">
        <v>13</v>
      </c>
      <c r="C109" s="61" t="s">
        <v>1474</v>
      </c>
      <c r="D109" s="61" t="s">
        <v>1469</v>
      </c>
      <c r="E109" s="61">
        <v>0</v>
      </c>
      <c r="F109" s="61" t="s">
        <v>1470</v>
      </c>
      <c r="G109" s="62"/>
      <c r="H109" s="63"/>
      <c r="J109" s="4" t="s">
        <v>10</v>
      </c>
      <c r="N109" s="4">
        <v>2534</v>
      </c>
    </row>
    <row r="110" spans="1:14" s="4" customFormat="1" ht="17.399999999999999" hidden="1" customHeight="1" outlineLevel="1" x14ac:dyDescent="0.35">
      <c r="A110" s="5"/>
      <c r="B110" s="64" t="s">
        <v>16</v>
      </c>
      <c r="C110" s="65" t="s">
        <v>1479</v>
      </c>
      <c r="D110" s="65" t="s">
        <v>1469</v>
      </c>
      <c r="E110" s="65" t="s">
        <v>1480</v>
      </c>
      <c r="F110" s="65" t="s">
        <v>1481</v>
      </c>
      <c r="G110" s="66" t="s">
        <v>1482</v>
      </c>
      <c r="H110" s="5"/>
      <c r="I110" s="5"/>
      <c r="J110" s="5" t="s">
        <v>10</v>
      </c>
      <c r="K110" s="5"/>
      <c r="L110" s="5"/>
      <c r="M110" s="5"/>
      <c r="N110" s="4">
        <v>1211</v>
      </c>
    </row>
    <row r="111" spans="1:14" s="4" customFormat="1" ht="17.399999999999999" hidden="1" customHeight="1" outlineLevel="1" thickBot="1" x14ac:dyDescent="0.4">
      <c r="A111" s="5"/>
      <c r="B111" s="91"/>
      <c r="C111" s="92"/>
      <c r="D111" s="92"/>
      <c r="E111" s="92"/>
      <c r="F111" s="92"/>
      <c r="G111" s="93"/>
      <c r="H111" s="5"/>
      <c r="I111" s="5"/>
      <c r="J111" s="5"/>
      <c r="K111" s="5"/>
      <c r="L111" s="5"/>
      <c r="M111" s="5"/>
    </row>
    <row r="112" spans="1:14" s="4" customFormat="1" ht="17.399999999999999" hidden="1" customHeight="1" outlineLevel="1" x14ac:dyDescent="0.35">
      <c r="A112" s="5"/>
      <c r="B112" s="383" t="s">
        <v>18</v>
      </c>
      <c r="C112" s="384"/>
      <c r="D112" s="384"/>
      <c r="E112" s="384"/>
      <c r="F112" s="384"/>
      <c r="G112" s="385"/>
      <c r="H112" s="5"/>
      <c r="I112" s="5"/>
      <c r="J112" s="5"/>
      <c r="K112" s="5"/>
      <c r="L112" s="5"/>
      <c r="M112" s="5"/>
    </row>
    <row r="113" spans="1:14" s="4" customFormat="1" ht="17.399999999999999" hidden="1" customHeight="1" outlineLevel="1" x14ac:dyDescent="0.35">
      <c r="A113" s="5"/>
      <c r="B113" s="94" t="s">
        <v>2</v>
      </c>
      <c r="C113" s="95" t="s">
        <v>3</v>
      </c>
      <c r="D113" s="95" t="s">
        <v>4</v>
      </c>
      <c r="E113" s="95" t="s">
        <v>5</v>
      </c>
      <c r="F113" s="95"/>
      <c r="G113" s="96" t="s">
        <v>6</v>
      </c>
      <c r="H113" s="5"/>
      <c r="I113" s="5"/>
      <c r="J113" s="5"/>
      <c r="K113" s="5"/>
      <c r="L113" s="5"/>
      <c r="M113" s="5"/>
    </row>
    <row r="114" spans="1:14" s="4" customFormat="1" ht="17.399999999999999" hidden="1" customHeight="1" outlineLevel="1" x14ac:dyDescent="0.35">
      <c r="A114" s="5"/>
      <c r="B114" s="57" t="s">
        <v>7</v>
      </c>
      <c r="C114" s="58" t="s">
        <v>1468</v>
      </c>
      <c r="D114" s="58" t="s">
        <v>1469</v>
      </c>
      <c r="E114" s="58">
        <v>0</v>
      </c>
      <c r="F114" s="58" t="s">
        <v>1470</v>
      </c>
      <c r="G114" s="59" t="s">
        <v>1471</v>
      </c>
      <c r="J114" s="4" t="s">
        <v>10</v>
      </c>
      <c r="N114" s="4">
        <v>1112</v>
      </c>
    </row>
    <row r="115" spans="1:14" s="4" customFormat="1" ht="17.399999999999999" hidden="1" customHeight="1" outlineLevel="1" x14ac:dyDescent="0.35">
      <c r="A115" s="5"/>
      <c r="B115" s="57" t="s">
        <v>11</v>
      </c>
      <c r="C115" s="58" t="s">
        <v>1472</v>
      </c>
      <c r="D115" s="58" t="s">
        <v>1469</v>
      </c>
      <c r="E115" s="58">
        <v>0</v>
      </c>
      <c r="F115" s="58" t="s">
        <v>1470</v>
      </c>
      <c r="G115" s="59" t="s">
        <v>1473</v>
      </c>
      <c r="J115" s="4" t="s">
        <v>12</v>
      </c>
      <c r="N115" s="4">
        <v>1700</v>
      </c>
    </row>
    <row r="116" spans="1:14" s="4" customFormat="1" ht="17.399999999999999" hidden="1" customHeight="1" outlineLevel="1" x14ac:dyDescent="0.35">
      <c r="A116" s="5"/>
      <c r="B116" s="57" t="s">
        <v>13</v>
      </c>
      <c r="C116" s="58" t="s">
        <v>1474</v>
      </c>
      <c r="D116" s="58" t="s">
        <v>1469</v>
      </c>
      <c r="E116" s="58">
        <v>0</v>
      </c>
      <c r="F116" s="58" t="s">
        <v>1470</v>
      </c>
      <c r="G116" s="59"/>
      <c r="J116" s="4" t="s">
        <v>10</v>
      </c>
      <c r="N116" s="4">
        <v>2534</v>
      </c>
    </row>
    <row r="117" spans="1:14" s="4" customFormat="1" ht="17.399999999999999" hidden="1" customHeight="1" outlineLevel="1" x14ac:dyDescent="0.35">
      <c r="A117" s="5"/>
      <c r="B117" s="57" t="s">
        <v>61</v>
      </c>
      <c r="C117" s="58" t="s">
        <v>1523</v>
      </c>
      <c r="D117" s="58" t="s">
        <v>1489</v>
      </c>
      <c r="E117" s="58">
        <v>0</v>
      </c>
      <c r="F117" s="58" t="s">
        <v>1470</v>
      </c>
      <c r="G117" s="59" t="s">
        <v>1524</v>
      </c>
      <c r="J117" s="4" t="s">
        <v>20</v>
      </c>
      <c r="N117" s="4">
        <v>1984</v>
      </c>
    </row>
    <row r="118" spans="1:14" s="4" customFormat="1" ht="17.399999999999999" hidden="1" customHeight="1" outlineLevel="1" x14ac:dyDescent="0.35">
      <c r="A118" s="5"/>
      <c r="B118" s="57" t="s">
        <v>62</v>
      </c>
      <c r="C118" s="58" t="s">
        <v>1525</v>
      </c>
      <c r="D118" s="58" t="s">
        <v>1489</v>
      </c>
      <c r="E118" s="58">
        <v>0</v>
      </c>
      <c r="F118" s="58"/>
      <c r="G118" s="59"/>
      <c r="J118" s="4" t="s">
        <v>20</v>
      </c>
      <c r="N118" s="4">
        <v>1202</v>
      </c>
    </row>
    <row r="119" spans="1:14" s="4" customFormat="1" ht="17.399999999999999" hidden="1" customHeight="1" outlineLevel="1" x14ac:dyDescent="0.35">
      <c r="A119" s="5"/>
      <c r="B119" s="57" t="s">
        <v>63</v>
      </c>
      <c r="C119" s="58" t="s">
        <v>1526</v>
      </c>
      <c r="D119" s="58" t="s">
        <v>1489</v>
      </c>
      <c r="E119" s="58">
        <v>0</v>
      </c>
      <c r="F119" s="58"/>
      <c r="G119" s="59"/>
      <c r="J119" s="4" t="s">
        <v>20</v>
      </c>
      <c r="N119" s="4">
        <v>1682</v>
      </c>
    </row>
    <row r="120" spans="1:14" s="4" customFormat="1" ht="17.399999999999999" hidden="1" customHeight="1" outlineLevel="1" x14ac:dyDescent="0.35">
      <c r="A120" s="5"/>
      <c r="B120" s="57" t="s">
        <v>64</v>
      </c>
      <c r="C120" s="58" t="s">
        <v>1527</v>
      </c>
      <c r="D120" s="58" t="s">
        <v>1489</v>
      </c>
      <c r="E120" s="58">
        <v>0</v>
      </c>
      <c r="F120" s="58"/>
      <c r="G120" s="59"/>
      <c r="J120" s="4" t="s">
        <v>20</v>
      </c>
      <c r="N120" s="4">
        <v>1274</v>
      </c>
    </row>
    <row r="121" spans="1:14" s="4" customFormat="1" ht="17.399999999999999" hidden="1" customHeight="1" outlineLevel="1" x14ac:dyDescent="0.35">
      <c r="A121" s="5"/>
      <c r="B121" s="57" t="s">
        <v>22</v>
      </c>
      <c r="C121" s="58" t="s">
        <v>1488</v>
      </c>
      <c r="D121" s="58" t="s">
        <v>1489</v>
      </c>
      <c r="E121" s="58">
        <v>0</v>
      </c>
      <c r="F121" s="58" t="s">
        <v>1470</v>
      </c>
      <c r="G121" s="59" t="s">
        <v>1490</v>
      </c>
      <c r="J121" s="4" t="s">
        <v>20</v>
      </c>
      <c r="N121" s="4">
        <v>2052</v>
      </c>
    </row>
    <row r="122" spans="1:14" s="4" customFormat="1" ht="17.399999999999999" hidden="1" customHeight="1" outlineLevel="1" thickBot="1" x14ac:dyDescent="0.4">
      <c r="A122" s="5"/>
      <c r="B122" s="57" t="s">
        <v>26</v>
      </c>
      <c r="C122" s="58" t="s">
        <v>1493</v>
      </c>
      <c r="D122" s="58" t="s">
        <v>1494</v>
      </c>
      <c r="E122" s="58">
        <v>0</v>
      </c>
      <c r="F122" s="58" t="s">
        <v>1470</v>
      </c>
      <c r="G122" s="59"/>
      <c r="J122" s="4" t="s">
        <v>20</v>
      </c>
      <c r="N122" s="4">
        <v>2183</v>
      </c>
    </row>
    <row r="123" spans="1:14" s="4" customFormat="1" ht="17.399999999999999" hidden="1" customHeight="1" outlineLevel="1" x14ac:dyDescent="0.35">
      <c r="A123" s="5"/>
      <c r="B123" s="386" t="s">
        <v>28</v>
      </c>
      <c r="C123" s="387"/>
      <c r="D123" s="387"/>
      <c r="E123" s="387"/>
      <c r="F123" s="387"/>
      <c r="G123" s="388"/>
      <c r="H123" s="5"/>
      <c r="I123" s="5"/>
      <c r="J123" s="5"/>
      <c r="K123" s="5"/>
      <c r="L123" s="5"/>
      <c r="M123" s="5"/>
    </row>
    <row r="124" spans="1:14" s="4" customFormat="1" ht="17.399999999999999" hidden="1" customHeight="1" outlineLevel="1" x14ac:dyDescent="0.35">
      <c r="A124" s="5"/>
      <c r="B124" s="32" t="s">
        <v>2</v>
      </c>
      <c r="C124" s="33" t="s">
        <v>3</v>
      </c>
      <c r="D124" s="33" t="s">
        <v>4</v>
      </c>
      <c r="E124" s="33"/>
      <c r="F124" s="33"/>
      <c r="G124" s="34" t="s">
        <v>6</v>
      </c>
      <c r="H124" s="5"/>
      <c r="I124" s="5"/>
      <c r="J124" s="5"/>
      <c r="K124" s="5"/>
      <c r="L124" s="5"/>
      <c r="M124" s="5"/>
    </row>
    <row r="125" spans="1:14" s="4" customFormat="1" ht="17.399999999999999" hidden="1" customHeight="1" outlineLevel="1" thickBot="1" x14ac:dyDescent="0.4">
      <c r="A125" s="5"/>
      <c r="B125" s="67"/>
      <c r="C125" s="101"/>
      <c r="D125" s="101"/>
      <c r="E125" s="101"/>
      <c r="F125" s="101"/>
      <c r="G125" s="102"/>
      <c r="H125" s="5"/>
      <c r="I125" s="5"/>
      <c r="J125" s="5"/>
      <c r="K125" s="5"/>
      <c r="L125" s="5"/>
      <c r="M125" s="5"/>
    </row>
    <row r="126" spans="1:14" s="4" customFormat="1" ht="17.399999999999999" hidden="1" customHeight="1" outlineLevel="1" x14ac:dyDescent="0.35">
      <c r="A126" s="5"/>
      <c r="B126" s="380" t="s">
        <v>29</v>
      </c>
      <c r="C126" s="381"/>
      <c r="D126" s="381"/>
      <c r="E126" s="381"/>
      <c r="F126" s="381"/>
      <c r="G126" s="382"/>
      <c r="H126" s="5"/>
      <c r="I126" s="5"/>
      <c r="J126" s="5"/>
      <c r="K126" s="5"/>
      <c r="L126" s="5"/>
      <c r="M126" s="5"/>
    </row>
    <row r="127" spans="1:14" s="4" customFormat="1" ht="17.399999999999999" hidden="1" customHeight="1" outlineLevel="1" x14ac:dyDescent="0.35">
      <c r="A127" s="5"/>
      <c r="B127" s="67" t="s">
        <v>65</v>
      </c>
      <c r="C127" s="65"/>
      <c r="D127" s="65"/>
      <c r="E127" s="65"/>
      <c r="F127" s="65"/>
      <c r="G127" s="66"/>
      <c r="H127" s="5"/>
      <c r="I127" s="5"/>
      <c r="J127" s="5"/>
      <c r="K127" s="5"/>
      <c r="L127" s="5"/>
      <c r="M127" s="5"/>
    </row>
    <row r="128" spans="1:14" s="4" customFormat="1" ht="17.399999999999999" hidden="1" customHeight="1" outlineLevel="1" x14ac:dyDescent="0.35">
      <c r="A128" s="5"/>
      <c r="B128" s="67" t="s">
        <v>66</v>
      </c>
      <c r="C128" s="65"/>
      <c r="D128" s="65"/>
      <c r="E128" s="65"/>
      <c r="F128" s="65"/>
      <c r="G128" s="66"/>
      <c r="H128" s="5"/>
      <c r="I128" s="5"/>
      <c r="J128" s="5"/>
      <c r="K128" s="5"/>
      <c r="L128" s="5"/>
      <c r="M128" s="5"/>
    </row>
    <row r="129" spans="1:14" s="4" customFormat="1" ht="17.399999999999999" hidden="1" customHeight="1" outlineLevel="1" x14ac:dyDescent="0.35">
      <c r="A129" s="5"/>
      <c r="B129" s="67" t="s">
        <v>67</v>
      </c>
      <c r="C129" s="65"/>
      <c r="D129" s="65"/>
      <c r="E129" s="65"/>
      <c r="F129" s="65"/>
      <c r="G129" s="66"/>
      <c r="H129" s="5"/>
      <c r="I129" s="5"/>
      <c r="J129" s="5"/>
      <c r="K129" s="5"/>
      <c r="L129" s="5"/>
      <c r="M129" s="5"/>
    </row>
    <row r="130" spans="1:14" s="4" customFormat="1" ht="17.399999999999999" hidden="1" customHeight="1" outlineLevel="1" x14ac:dyDescent="0.35">
      <c r="A130" s="5"/>
      <c r="B130" s="67" t="s">
        <v>68</v>
      </c>
      <c r="C130" s="65"/>
      <c r="D130" s="65"/>
      <c r="E130" s="65"/>
      <c r="F130" s="65"/>
      <c r="G130" s="66"/>
      <c r="H130" s="5"/>
      <c r="I130" s="5"/>
      <c r="J130" s="5"/>
      <c r="K130" s="5"/>
      <c r="L130" s="5"/>
      <c r="M130" s="5"/>
    </row>
    <row r="131" spans="1:14" s="4" customFormat="1" ht="17.399999999999999" hidden="1" customHeight="1" outlineLevel="1" x14ac:dyDescent="0.35">
      <c r="A131" s="5"/>
      <c r="B131" s="67" t="s">
        <v>30</v>
      </c>
      <c r="C131" s="65"/>
      <c r="D131" s="65"/>
      <c r="E131" s="65"/>
      <c r="F131" s="65"/>
      <c r="G131" s="371" t="s">
        <v>2357</v>
      </c>
      <c r="H131" s="5"/>
      <c r="I131" s="5"/>
      <c r="J131" s="5"/>
      <c r="K131" s="5"/>
      <c r="L131" s="5"/>
      <c r="M131" s="5"/>
    </row>
    <row r="132" spans="1:14" s="4" customFormat="1" ht="17.399999999999999" hidden="1" customHeight="1" outlineLevel="1" x14ac:dyDescent="0.35">
      <c r="A132" s="5"/>
      <c r="B132" s="67" t="s">
        <v>69</v>
      </c>
      <c r="C132" s="65"/>
      <c r="D132" s="65"/>
      <c r="E132" s="65"/>
      <c r="F132" s="65"/>
      <c r="G132" s="66"/>
      <c r="H132" s="5"/>
      <c r="I132" s="5"/>
      <c r="J132" s="5"/>
      <c r="K132" s="5"/>
      <c r="L132" s="5"/>
      <c r="M132" s="5"/>
    </row>
    <row r="133" spans="1:14" s="4" customFormat="1" ht="17.399999999999999" hidden="1" customHeight="1" outlineLevel="1" x14ac:dyDescent="0.35">
      <c r="A133" s="5"/>
      <c r="B133" s="67" t="s">
        <v>70</v>
      </c>
      <c r="C133" s="65"/>
      <c r="D133" s="65"/>
      <c r="E133" s="65"/>
      <c r="F133" s="65"/>
      <c r="G133" s="66"/>
      <c r="H133" s="5"/>
      <c r="I133" s="5"/>
      <c r="J133" s="5"/>
      <c r="K133" s="5"/>
      <c r="L133" s="5"/>
      <c r="M133" s="5"/>
    </row>
    <row r="134" spans="1:14" s="4" customFormat="1" ht="17.399999999999999" hidden="1" customHeight="1" outlineLevel="1" x14ac:dyDescent="0.35">
      <c r="A134" s="5"/>
      <c r="B134" s="67" t="s">
        <v>71</v>
      </c>
      <c r="C134" s="65"/>
      <c r="D134" s="65"/>
      <c r="E134" s="65"/>
      <c r="F134" s="65"/>
      <c r="G134" s="371" t="s">
        <v>2360</v>
      </c>
      <c r="H134" s="5"/>
      <c r="I134" s="5"/>
      <c r="J134" s="5"/>
      <c r="K134" s="5"/>
      <c r="L134" s="5"/>
      <c r="M134" s="5"/>
    </row>
    <row r="135" spans="1:14" s="4" customFormat="1" ht="17.399999999999999" hidden="1" customHeight="1" outlineLevel="1" thickBot="1" x14ac:dyDescent="0.4">
      <c r="A135" s="5"/>
      <c r="B135" s="103"/>
      <c r="C135" s="92"/>
      <c r="D135" s="92"/>
      <c r="E135" s="92"/>
      <c r="F135" s="92"/>
      <c r="G135" s="93"/>
    </row>
    <row r="136" spans="1:14" s="4" customFormat="1" ht="17.399999999999999" hidden="1" customHeight="1" outlineLevel="1" x14ac:dyDescent="0.35">
      <c r="A136" s="5"/>
      <c r="B136" s="5"/>
      <c r="C136" s="5"/>
      <c r="D136" s="5"/>
      <c r="E136" s="5"/>
      <c r="F136" s="5"/>
      <c r="G136" s="5"/>
    </row>
    <row r="137" spans="1:14" s="4" customFormat="1" ht="17.399999999999999" hidden="1" customHeight="1" outlineLevel="1" thickBot="1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14" s="4" customFormat="1" ht="17.399999999999999" customHeight="1" collapsed="1" thickBot="1" x14ac:dyDescent="0.4">
      <c r="A138" s="5"/>
      <c r="B138" s="166" t="s">
        <v>1279</v>
      </c>
      <c r="C138" s="169" t="s">
        <v>1303</v>
      </c>
      <c r="D138" s="168" t="s">
        <v>1281</v>
      </c>
      <c r="E138" s="169" t="s">
        <v>72</v>
      </c>
      <c r="F138" s="168" t="s">
        <v>1282</v>
      </c>
      <c r="G138" s="170" t="s">
        <v>1304</v>
      </c>
      <c r="H138" s="5"/>
      <c r="I138" s="5"/>
      <c r="J138" s="5"/>
      <c r="K138" s="5"/>
      <c r="L138" s="5"/>
      <c r="M138" s="5"/>
    </row>
    <row r="139" spans="1:14" s="4" customFormat="1" ht="17.399999999999999" hidden="1" customHeight="1" outlineLevel="1" x14ac:dyDescent="0.35">
      <c r="A139" s="5"/>
      <c r="B139" s="136" t="s">
        <v>1284</v>
      </c>
      <c r="C139" s="84" t="s">
        <v>1285</v>
      </c>
      <c r="D139" s="137" t="s">
        <v>1286</v>
      </c>
      <c r="E139" s="84" t="s">
        <v>1305</v>
      </c>
      <c r="F139" s="137" t="s">
        <v>1288</v>
      </c>
      <c r="G139" s="85" t="s">
        <v>1306</v>
      </c>
      <c r="H139" s="5"/>
      <c r="I139" s="5"/>
      <c r="J139" s="5"/>
      <c r="K139" s="5"/>
      <c r="L139" s="5"/>
      <c r="M139" s="5"/>
    </row>
    <row r="140" spans="1:14" s="4" customFormat="1" ht="17.399999999999999" hidden="1" customHeight="1" outlineLevel="1" thickBot="1" x14ac:dyDescent="0.4">
      <c r="A140" s="5"/>
      <c r="B140" s="171" t="s">
        <v>1290</v>
      </c>
      <c r="C140" s="172" t="s">
        <v>1291</v>
      </c>
      <c r="D140" s="173" t="s">
        <v>1292</v>
      </c>
      <c r="E140" s="172">
        <v>5</v>
      </c>
      <c r="F140" s="173" t="s">
        <v>1293</v>
      </c>
      <c r="G140" s="174" t="s">
        <v>1294</v>
      </c>
      <c r="H140" s="5"/>
      <c r="I140" s="5"/>
      <c r="J140" s="5"/>
      <c r="K140" s="5"/>
      <c r="L140" s="5"/>
      <c r="M140" s="5"/>
    </row>
    <row r="141" spans="1:14" s="4" customFormat="1" ht="17.399999999999999" hidden="1" customHeight="1" outlineLevel="1" x14ac:dyDescent="0.35">
      <c r="A141" s="5"/>
      <c r="B141" s="380" t="s">
        <v>1</v>
      </c>
      <c r="C141" s="381"/>
      <c r="D141" s="381"/>
      <c r="E141" s="381"/>
      <c r="F141" s="381"/>
      <c r="G141" s="382"/>
      <c r="H141" s="5"/>
      <c r="I141" s="5"/>
      <c r="J141" s="5"/>
      <c r="K141" s="5"/>
      <c r="L141" s="5"/>
      <c r="M141" s="5"/>
    </row>
    <row r="142" spans="1:14" s="4" customFormat="1" ht="17.399999999999999" hidden="1" customHeight="1" outlineLevel="1" x14ac:dyDescent="0.35">
      <c r="A142" s="5"/>
      <c r="B142" s="94" t="s">
        <v>2</v>
      </c>
      <c r="C142" s="95" t="s">
        <v>3</v>
      </c>
      <c r="D142" s="95" t="s">
        <v>4</v>
      </c>
      <c r="E142" s="95" t="s">
        <v>5</v>
      </c>
      <c r="F142" s="95"/>
      <c r="G142" s="96" t="s">
        <v>6</v>
      </c>
      <c r="H142" s="5"/>
      <c r="I142" s="5"/>
      <c r="J142" s="5"/>
      <c r="K142" s="5"/>
      <c r="L142" s="5"/>
      <c r="M142" s="5"/>
    </row>
    <row r="143" spans="1:14" s="4" customFormat="1" ht="17.399999999999999" hidden="1" customHeight="1" outlineLevel="1" x14ac:dyDescent="0.35">
      <c r="A143" s="5"/>
      <c r="B143" s="57" t="s">
        <v>7</v>
      </c>
      <c r="C143" s="58" t="s">
        <v>1468</v>
      </c>
      <c r="D143" s="58" t="s">
        <v>1469</v>
      </c>
      <c r="E143" s="58">
        <v>0</v>
      </c>
      <c r="F143" s="58" t="s">
        <v>1470</v>
      </c>
      <c r="G143" s="59" t="s">
        <v>1471</v>
      </c>
      <c r="J143" s="4" t="s">
        <v>10</v>
      </c>
      <c r="N143" s="4">
        <v>1112</v>
      </c>
    </row>
    <row r="144" spans="1:14" s="4" customFormat="1" ht="17.399999999999999" hidden="1" customHeight="1" outlineLevel="1" x14ac:dyDescent="0.35">
      <c r="A144" s="5"/>
      <c r="B144" s="57" t="s">
        <v>11</v>
      </c>
      <c r="C144" s="58" t="s">
        <v>1472</v>
      </c>
      <c r="D144" s="58" t="s">
        <v>1469</v>
      </c>
      <c r="E144" s="58">
        <v>0</v>
      </c>
      <c r="F144" s="58" t="s">
        <v>1470</v>
      </c>
      <c r="G144" s="59" t="s">
        <v>1473</v>
      </c>
      <c r="J144" s="4" t="s">
        <v>12</v>
      </c>
      <c r="N144" s="4">
        <v>1700</v>
      </c>
    </row>
    <row r="145" spans="1:14" s="4" customFormat="1" ht="17.399999999999999" hidden="1" customHeight="1" outlineLevel="1" x14ac:dyDescent="0.35">
      <c r="A145" s="5"/>
      <c r="B145" s="60" t="s">
        <v>13</v>
      </c>
      <c r="C145" s="61" t="s">
        <v>1474</v>
      </c>
      <c r="D145" s="61" t="s">
        <v>1469</v>
      </c>
      <c r="E145" s="61">
        <v>0</v>
      </c>
      <c r="F145" s="61" t="s">
        <v>1470</v>
      </c>
      <c r="G145" s="62"/>
      <c r="H145" s="63"/>
      <c r="J145" s="4" t="s">
        <v>10</v>
      </c>
      <c r="N145" s="4">
        <v>2534</v>
      </c>
    </row>
    <row r="146" spans="1:14" s="4" customFormat="1" ht="17.399999999999999" hidden="1" customHeight="1" outlineLevel="1" x14ac:dyDescent="0.35">
      <c r="A146" s="5"/>
      <c r="B146" s="60" t="s">
        <v>14</v>
      </c>
      <c r="C146" s="61" t="s">
        <v>1475</v>
      </c>
      <c r="D146" s="61" t="s">
        <v>1469</v>
      </c>
      <c r="E146" s="61">
        <v>0</v>
      </c>
      <c r="F146" s="61" t="s">
        <v>1476</v>
      </c>
      <c r="G146" s="62" t="s">
        <v>1477</v>
      </c>
      <c r="H146" s="63"/>
      <c r="J146" s="4" t="s">
        <v>10</v>
      </c>
      <c r="N146" s="4">
        <v>2155</v>
      </c>
    </row>
    <row r="147" spans="1:14" s="4" customFormat="1" ht="17.399999999999999" hidden="1" customHeight="1" outlineLevel="1" x14ac:dyDescent="0.35">
      <c r="A147" s="5"/>
      <c r="B147" s="60" t="s">
        <v>15</v>
      </c>
      <c r="C147" s="61" t="s">
        <v>1478</v>
      </c>
      <c r="D147" s="61" t="s">
        <v>1469</v>
      </c>
      <c r="E147" s="61">
        <v>0</v>
      </c>
      <c r="F147" s="61" t="s">
        <v>1470</v>
      </c>
      <c r="G147" s="62"/>
      <c r="H147" s="63"/>
      <c r="J147" s="4" t="s">
        <v>10</v>
      </c>
      <c r="N147" s="4">
        <v>2430</v>
      </c>
    </row>
    <row r="148" spans="1:14" s="4" customFormat="1" ht="17.399999999999999" hidden="1" customHeight="1" outlineLevel="1" x14ac:dyDescent="0.35">
      <c r="A148" s="5"/>
      <c r="B148" s="64" t="s">
        <v>73</v>
      </c>
      <c r="C148" s="65" t="s">
        <v>1528</v>
      </c>
      <c r="D148" s="65" t="s">
        <v>1469</v>
      </c>
      <c r="E148" s="65" t="s">
        <v>1480</v>
      </c>
      <c r="F148" s="65" t="s">
        <v>1481</v>
      </c>
      <c r="G148" s="66"/>
      <c r="H148" s="5"/>
      <c r="I148" s="5"/>
      <c r="J148" s="5" t="s">
        <v>10</v>
      </c>
      <c r="K148" s="5"/>
      <c r="L148" s="5"/>
      <c r="M148" s="5"/>
      <c r="N148" s="4">
        <v>1767</v>
      </c>
    </row>
    <row r="149" spans="1:14" s="4" customFormat="1" ht="17.399999999999999" hidden="1" customHeight="1" outlineLevel="1" x14ac:dyDescent="0.35">
      <c r="A149" s="5"/>
      <c r="B149" s="64" t="s">
        <v>74</v>
      </c>
      <c r="C149" s="65" t="s">
        <v>1529</v>
      </c>
      <c r="D149" s="65" t="s">
        <v>1469</v>
      </c>
      <c r="E149" s="65" t="s">
        <v>1480</v>
      </c>
      <c r="F149" s="65" t="s">
        <v>1481</v>
      </c>
      <c r="G149" s="66"/>
      <c r="H149" s="5"/>
      <c r="I149" s="5"/>
      <c r="J149" s="5" t="s">
        <v>10</v>
      </c>
      <c r="K149" s="5"/>
      <c r="L149" s="5"/>
      <c r="M149" s="5"/>
      <c r="N149" s="4">
        <v>1713</v>
      </c>
    </row>
    <row r="150" spans="1:14" s="4" customFormat="1" ht="17.399999999999999" hidden="1" customHeight="1" outlineLevel="1" x14ac:dyDescent="0.35">
      <c r="A150" s="5"/>
      <c r="B150" s="67" t="s">
        <v>17</v>
      </c>
      <c r="C150" s="84" t="s">
        <v>1483</v>
      </c>
      <c r="D150" s="84" t="s">
        <v>1469</v>
      </c>
      <c r="E150" s="84">
        <v>0</v>
      </c>
      <c r="F150" s="84" t="s">
        <v>1470</v>
      </c>
      <c r="G150" s="85" t="s">
        <v>1484</v>
      </c>
      <c r="H150" s="5"/>
      <c r="I150" s="5"/>
      <c r="J150" s="5" t="s">
        <v>10</v>
      </c>
      <c r="K150" s="5"/>
      <c r="L150" s="5"/>
      <c r="M150" s="5"/>
      <c r="N150" s="4">
        <v>1097</v>
      </c>
    </row>
    <row r="151" spans="1:14" s="4" customFormat="1" ht="17.399999999999999" hidden="1" customHeight="1" outlineLevel="1" thickBot="1" x14ac:dyDescent="0.4">
      <c r="A151" s="5"/>
      <c r="B151" s="91"/>
      <c r="C151" s="92"/>
      <c r="D151" s="92"/>
      <c r="E151" s="92"/>
      <c r="F151" s="92"/>
      <c r="G151" s="93"/>
      <c r="H151" s="5"/>
      <c r="I151" s="5"/>
      <c r="J151" s="5"/>
      <c r="K151" s="5"/>
      <c r="L151" s="5"/>
      <c r="M151" s="5"/>
    </row>
    <row r="152" spans="1:14" s="4" customFormat="1" ht="17.399999999999999" hidden="1" customHeight="1" outlineLevel="1" x14ac:dyDescent="0.35">
      <c r="A152" s="5"/>
      <c r="B152" s="383" t="s">
        <v>18</v>
      </c>
      <c r="C152" s="384"/>
      <c r="D152" s="384"/>
      <c r="E152" s="384"/>
      <c r="F152" s="384"/>
      <c r="G152" s="385"/>
      <c r="H152" s="5"/>
      <c r="I152" s="5"/>
      <c r="J152" s="5"/>
      <c r="K152" s="5"/>
      <c r="L152" s="5"/>
      <c r="M152" s="5"/>
    </row>
    <row r="153" spans="1:14" s="4" customFormat="1" ht="17.399999999999999" hidden="1" customHeight="1" outlineLevel="1" x14ac:dyDescent="0.35">
      <c r="A153" s="5"/>
      <c r="B153" s="94" t="s">
        <v>2</v>
      </c>
      <c r="C153" s="95" t="s">
        <v>3</v>
      </c>
      <c r="D153" s="95" t="s">
        <v>4</v>
      </c>
      <c r="E153" s="95" t="s">
        <v>5</v>
      </c>
      <c r="F153" s="95"/>
      <c r="G153" s="96" t="s">
        <v>6</v>
      </c>
      <c r="H153" s="5"/>
      <c r="I153" s="5"/>
      <c r="J153" s="5"/>
      <c r="K153" s="5"/>
      <c r="L153" s="5"/>
      <c r="M153" s="5"/>
    </row>
    <row r="154" spans="1:14" s="4" customFormat="1" ht="17.399999999999999" hidden="1" customHeight="1" outlineLevel="1" x14ac:dyDescent="0.35">
      <c r="A154" s="5"/>
      <c r="B154" s="67" t="s">
        <v>16</v>
      </c>
      <c r="C154" s="65" t="s">
        <v>1479</v>
      </c>
      <c r="D154" s="65" t="s">
        <v>1469</v>
      </c>
      <c r="E154" s="65" t="s">
        <v>1480</v>
      </c>
      <c r="F154" s="65" t="s">
        <v>1481</v>
      </c>
      <c r="G154" s="66" t="s">
        <v>1482</v>
      </c>
      <c r="H154" s="5"/>
      <c r="I154" s="5"/>
      <c r="J154" s="5"/>
      <c r="K154" s="5"/>
      <c r="L154" s="5"/>
      <c r="M154" s="5"/>
    </row>
    <row r="155" spans="1:14" s="3" customFormat="1" hidden="1" outlineLevel="1" x14ac:dyDescent="0.25">
      <c r="B155" s="28" t="s">
        <v>7</v>
      </c>
      <c r="C155" s="29" t="s">
        <v>1468</v>
      </c>
      <c r="D155" s="29" t="s">
        <v>1469</v>
      </c>
      <c r="E155" s="29">
        <v>0</v>
      </c>
      <c r="F155" s="29" t="s">
        <v>1470</v>
      </c>
      <c r="G155" s="30" t="s">
        <v>1471</v>
      </c>
      <c r="J155" s="3" t="s">
        <v>10</v>
      </c>
      <c r="N155" s="3">
        <v>1112</v>
      </c>
    </row>
    <row r="156" spans="1:14" s="3" customFormat="1" hidden="1" outlineLevel="1" x14ac:dyDescent="0.25">
      <c r="B156" s="28" t="s">
        <v>11</v>
      </c>
      <c r="C156" s="29" t="s">
        <v>1472</v>
      </c>
      <c r="D156" s="29" t="s">
        <v>1469</v>
      </c>
      <c r="E156" s="29">
        <v>0</v>
      </c>
      <c r="F156" s="29" t="s">
        <v>1470</v>
      </c>
      <c r="G156" s="30" t="s">
        <v>1473</v>
      </c>
      <c r="J156" s="3" t="s">
        <v>12</v>
      </c>
      <c r="N156" s="3">
        <v>1700</v>
      </c>
    </row>
    <row r="157" spans="1:14" s="3" customFormat="1" hidden="1" outlineLevel="1" x14ac:dyDescent="0.25">
      <c r="B157" s="28" t="s">
        <v>13</v>
      </c>
      <c r="C157" s="29" t="s">
        <v>1474</v>
      </c>
      <c r="D157" s="29" t="s">
        <v>1469</v>
      </c>
      <c r="E157" s="29">
        <v>0</v>
      </c>
      <c r="F157" s="29" t="s">
        <v>1470</v>
      </c>
      <c r="G157" s="30"/>
      <c r="J157" s="3" t="s">
        <v>10</v>
      </c>
      <c r="N157" s="3">
        <v>2534</v>
      </c>
    </row>
    <row r="158" spans="1:14" s="3" customFormat="1" hidden="1" outlineLevel="1" x14ac:dyDescent="0.25">
      <c r="B158" s="35" t="s">
        <v>25</v>
      </c>
      <c r="C158" s="36" t="s">
        <v>1492</v>
      </c>
      <c r="D158" s="36" t="s">
        <v>1469</v>
      </c>
      <c r="E158" s="36">
        <v>0</v>
      </c>
      <c r="F158" s="36" t="s">
        <v>1470</v>
      </c>
      <c r="G158" s="37" t="s">
        <v>1484</v>
      </c>
      <c r="J158" s="3" t="s">
        <v>10</v>
      </c>
      <c r="N158" s="3">
        <v>2155</v>
      </c>
    </row>
    <row r="159" spans="1:14" s="3" customFormat="1" hidden="1" outlineLevel="1" x14ac:dyDescent="0.25">
      <c r="B159" s="28" t="s">
        <v>14</v>
      </c>
      <c r="C159" s="29" t="s">
        <v>1475</v>
      </c>
      <c r="D159" s="29" t="s">
        <v>1469</v>
      </c>
      <c r="E159" s="29">
        <v>0</v>
      </c>
      <c r="F159" s="29" t="s">
        <v>1476</v>
      </c>
      <c r="G159" s="30" t="s">
        <v>1477</v>
      </c>
      <c r="J159" s="3" t="s">
        <v>10</v>
      </c>
      <c r="N159" s="3">
        <v>2430</v>
      </c>
    </row>
    <row r="160" spans="1:14" s="3" customFormat="1" hidden="1" outlineLevel="1" x14ac:dyDescent="0.25">
      <c r="B160" s="28" t="s">
        <v>15</v>
      </c>
      <c r="C160" s="29" t="s">
        <v>1478</v>
      </c>
      <c r="D160" s="29" t="s">
        <v>1469</v>
      </c>
      <c r="E160" s="29">
        <v>0</v>
      </c>
      <c r="F160" s="29" t="s">
        <v>1470</v>
      </c>
      <c r="G160" s="30"/>
      <c r="J160" s="3" t="s">
        <v>20</v>
      </c>
      <c r="N160" s="3">
        <v>1203</v>
      </c>
    </row>
    <row r="161" spans="1:14" s="3" customFormat="1" hidden="1" outlineLevel="1" x14ac:dyDescent="0.25">
      <c r="B161" s="38" t="s">
        <v>19</v>
      </c>
      <c r="C161" s="39" t="s">
        <v>1485</v>
      </c>
      <c r="D161" s="39" t="s">
        <v>1486</v>
      </c>
      <c r="E161" s="39">
        <v>0</v>
      </c>
      <c r="F161" s="39"/>
      <c r="G161" s="40"/>
      <c r="J161" s="3" t="s">
        <v>20</v>
      </c>
      <c r="N161" s="3">
        <v>1689</v>
      </c>
    </row>
    <row r="162" spans="1:14" s="3" customFormat="1" hidden="1" outlineLevel="1" x14ac:dyDescent="0.25">
      <c r="B162" s="28" t="s">
        <v>21</v>
      </c>
      <c r="C162" s="29" t="s">
        <v>1487</v>
      </c>
      <c r="D162" s="29" t="s">
        <v>1486</v>
      </c>
      <c r="E162" s="29">
        <v>0</v>
      </c>
      <c r="F162" s="29"/>
      <c r="G162" s="30"/>
      <c r="J162" s="3" t="s">
        <v>20</v>
      </c>
      <c r="N162" s="3">
        <v>2052</v>
      </c>
    </row>
    <row r="163" spans="1:14" s="3" customFormat="1" hidden="1" outlineLevel="1" x14ac:dyDescent="0.25">
      <c r="B163" s="28" t="s">
        <v>22</v>
      </c>
      <c r="C163" s="29" t="s">
        <v>1488</v>
      </c>
      <c r="D163" s="29" t="s">
        <v>1489</v>
      </c>
      <c r="E163" s="29">
        <v>0</v>
      </c>
      <c r="F163" s="29" t="s">
        <v>1470</v>
      </c>
      <c r="G163" s="30" t="s">
        <v>1490</v>
      </c>
      <c r="J163" s="3" t="s">
        <v>20</v>
      </c>
      <c r="N163" s="3">
        <v>2153</v>
      </c>
    </row>
    <row r="164" spans="1:14" s="3" customFormat="1" hidden="1" outlineLevel="1" x14ac:dyDescent="0.25">
      <c r="B164" s="28" t="s">
        <v>26</v>
      </c>
      <c r="C164" s="29" t="s">
        <v>1493</v>
      </c>
      <c r="D164" s="29" t="s">
        <v>1494</v>
      </c>
      <c r="E164" s="29">
        <v>0</v>
      </c>
      <c r="F164" s="29" t="s">
        <v>1470</v>
      </c>
      <c r="G164" s="30"/>
      <c r="J164" s="3" t="s">
        <v>20</v>
      </c>
      <c r="N164" s="3">
        <v>2183</v>
      </c>
    </row>
    <row r="165" spans="1:14" s="4" customFormat="1" ht="17.399999999999999" hidden="1" customHeight="1" outlineLevel="1" x14ac:dyDescent="0.35">
      <c r="A165" s="5"/>
      <c r="B165" s="41" t="s">
        <v>27</v>
      </c>
      <c r="C165" s="42" t="s">
        <v>1495</v>
      </c>
      <c r="D165" s="42" t="s">
        <v>1489</v>
      </c>
      <c r="E165" s="42">
        <v>0</v>
      </c>
      <c r="F165" s="42" t="s">
        <v>1470</v>
      </c>
      <c r="G165" s="43"/>
      <c r="J165" s="5" t="s">
        <v>20</v>
      </c>
      <c r="K165" s="5"/>
      <c r="L165" s="5"/>
      <c r="M165" s="5"/>
    </row>
    <row r="166" spans="1:14" s="3" customFormat="1" hidden="1" outlineLevel="1" x14ac:dyDescent="0.25">
      <c r="B166" s="44" t="s">
        <v>75</v>
      </c>
      <c r="C166" s="39" t="s">
        <v>1530</v>
      </c>
      <c r="D166" s="39" t="s">
        <v>1486</v>
      </c>
      <c r="E166" s="39">
        <v>0</v>
      </c>
      <c r="F166" s="39" t="s">
        <v>1470</v>
      </c>
      <c r="G166" s="40" t="s">
        <v>1531</v>
      </c>
    </row>
    <row r="167" spans="1:14" s="3" customFormat="1" hidden="1" outlineLevel="1" x14ac:dyDescent="0.25">
      <c r="B167" s="44" t="s">
        <v>76</v>
      </c>
      <c r="C167" s="29" t="s">
        <v>1532</v>
      </c>
      <c r="D167" s="29" t="s">
        <v>1489</v>
      </c>
      <c r="E167" s="29">
        <v>0</v>
      </c>
      <c r="F167" s="29"/>
      <c r="G167" s="30"/>
    </row>
    <row r="168" spans="1:14" s="3" customFormat="1" hidden="1" outlineLevel="1" x14ac:dyDescent="0.25">
      <c r="B168" s="44" t="s">
        <v>77</v>
      </c>
      <c r="C168" s="29" t="s">
        <v>1533</v>
      </c>
      <c r="D168" s="29" t="s">
        <v>1486</v>
      </c>
      <c r="E168" s="29">
        <v>0</v>
      </c>
      <c r="F168" s="29" t="s">
        <v>1470</v>
      </c>
      <c r="G168" s="30"/>
    </row>
    <row r="169" spans="1:14" s="3" customFormat="1" hidden="1" outlineLevel="1" x14ac:dyDescent="0.25">
      <c r="B169" s="44" t="s">
        <v>78</v>
      </c>
      <c r="C169" s="29" t="s">
        <v>1534</v>
      </c>
      <c r="D169" s="29" t="s">
        <v>1489</v>
      </c>
      <c r="E169" s="29">
        <v>0</v>
      </c>
      <c r="F169" s="29"/>
      <c r="G169" s="30"/>
    </row>
    <row r="170" spans="1:14" s="3" customFormat="1" hidden="1" outlineLevel="1" x14ac:dyDescent="0.25">
      <c r="B170" s="44" t="s">
        <v>24</v>
      </c>
      <c r="C170" s="29" t="s">
        <v>1491</v>
      </c>
      <c r="D170" s="29" t="s">
        <v>1489</v>
      </c>
      <c r="E170" s="29">
        <v>0</v>
      </c>
      <c r="F170" s="29" t="s">
        <v>1470</v>
      </c>
      <c r="G170" s="30"/>
    </row>
    <row r="171" spans="1:14" s="4" customFormat="1" ht="17.399999999999999" hidden="1" customHeight="1" outlineLevel="1" x14ac:dyDescent="0.35">
      <c r="A171" s="5"/>
      <c r="B171" s="44" t="s">
        <v>58</v>
      </c>
      <c r="C171" s="42" t="s">
        <v>1522</v>
      </c>
      <c r="D171" s="42" t="s">
        <v>1489</v>
      </c>
      <c r="E171" s="42">
        <v>0</v>
      </c>
      <c r="F171" s="42" t="s">
        <v>1470</v>
      </c>
      <c r="G171" s="43"/>
      <c r="K171" s="5"/>
      <c r="L171" s="5"/>
      <c r="M171" s="5"/>
    </row>
    <row r="172" spans="1:14" s="3" customFormat="1" ht="16.2" hidden="1" outlineLevel="1" thickBot="1" x14ac:dyDescent="0.3">
      <c r="A172" s="5"/>
      <c r="B172" s="45" t="s">
        <v>63</v>
      </c>
      <c r="C172" s="20" t="s">
        <v>1526</v>
      </c>
      <c r="D172" s="20" t="s">
        <v>1489</v>
      </c>
      <c r="E172" s="20">
        <v>0</v>
      </c>
      <c r="F172" s="20"/>
      <c r="G172" s="22"/>
    </row>
    <row r="173" spans="1:14" s="4" customFormat="1" ht="17.399999999999999" hidden="1" customHeight="1" outlineLevel="1" x14ac:dyDescent="0.35">
      <c r="A173" s="5"/>
      <c r="B173" s="389" t="s">
        <v>28</v>
      </c>
      <c r="C173" s="390"/>
      <c r="D173" s="390"/>
      <c r="E173" s="390"/>
      <c r="F173" s="390"/>
      <c r="G173" s="391"/>
      <c r="H173" s="5"/>
      <c r="I173" s="5"/>
      <c r="J173" s="5"/>
      <c r="K173" s="5"/>
      <c r="L173" s="5"/>
      <c r="M173" s="5"/>
    </row>
    <row r="174" spans="1:14" s="4" customFormat="1" ht="17.399999999999999" hidden="1" customHeight="1" outlineLevel="1" x14ac:dyDescent="0.35">
      <c r="A174" s="5"/>
      <c r="B174" s="32" t="s">
        <v>2</v>
      </c>
      <c r="C174" s="33" t="s">
        <v>3</v>
      </c>
      <c r="D174" s="33" t="s">
        <v>4</v>
      </c>
      <c r="E174" s="33"/>
      <c r="F174" s="33"/>
      <c r="G174" s="34" t="s">
        <v>6</v>
      </c>
      <c r="H174" s="5"/>
      <c r="I174" s="5"/>
      <c r="J174" s="5"/>
      <c r="K174" s="5"/>
      <c r="L174" s="5"/>
      <c r="M174" s="5"/>
    </row>
    <row r="175" spans="1:14" s="4" customFormat="1" ht="17.399999999999999" hidden="1" customHeight="1" outlineLevel="1" thickBot="1" x14ac:dyDescent="0.4">
      <c r="A175" s="5"/>
      <c r="B175" s="298"/>
      <c r="C175" s="299"/>
      <c r="D175" s="299"/>
      <c r="E175" s="299"/>
      <c r="F175" s="299"/>
      <c r="G175" s="177"/>
      <c r="H175" s="5"/>
      <c r="I175" s="5"/>
      <c r="J175" s="5"/>
      <c r="K175" s="5"/>
      <c r="L175" s="5"/>
      <c r="M175" s="5"/>
    </row>
    <row r="176" spans="1:14" s="4" customFormat="1" ht="17.399999999999999" hidden="1" customHeight="1" outlineLevel="1" x14ac:dyDescent="0.35">
      <c r="A176" s="5"/>
      <c r="B176" s="380" t="s">
        <v>29</v>
      </c>
      <c r="C176" s="381"/>
      <c r="D176" s="381"/>
      <c r="E176" s="381"/>
      <c r="F176" s="381"/>
      <c r="G176" s="382"/>
      <c r="H176" s="5"/>
      <c r="I176" s="5"/>
      <c r="J176" s="5"/>
      <c r="K176" s="5"/>
      <c r="L176" s="5"/>
      <c r="M176" s="5"/>
    </row>
    <row r="177" spans="1:14" s="4" customFormat="1" ht="17.399999999999999" hidden="1" customHeight="1" outlineLevel="1" x14ac:dyDescent="0.35">
      <c r="A177" s="5"/>
      <c r="B177" s="67"/>
      <c r="C177" s="65"/>
      <c r="D177" s="65"/>
      <c r="E177" s="65"/>
      <c r="F177" s="65"/>
      <c r="G177" s="66"/>
      <c r="H177" s="5"/>
      <c r="I177" s="5"/>
      <c r="J177" s="5"/>
      <c r="K177" s="5"/>
      <c r="L177" s="5"/>
      <c r="M177" s="5"/>
    </row>
    <row r="178" spans="1:14" s="4" customFormat="1" ht="17.399999999999999" hidden="1" customHeight="1" outlineLevel="1" x14ac:dyDescent="0.35">
      <c r="A178" s="5"/>
      <c r="B178" s="67"/>
      <c r="C178" s="65"/>
      <c r="D178" s="65"/>
      <c r="E178" s="65"/>
      <c r="F178" s="65"/>
      <c r="G178" s="66"/>
      <c r="H178" s="5"/>
      <c r="I178" s="5"/>
      <c r="J178" s="5"/>
      <c r="K178" s="5"/>
      <c r="L178" s="5"/>
      <c r="M178" s="5"/>
    </row>
    <row r="179" spans="1:14" s="4" customFormat="1" ht="17.399999999999999" hidden="1" customHeight="1" outlineLevel="1" x14ac:dyDescent="0.35">
      <c r="A179" s="5"/>
      <c r="B179" s="67" t="s">
        <v>30</v>
      </c>
      <c r="C179" s="65"/>
      <c r="D179" s="65"/>
      <c r="E179" s="65"/>
      <c r="F179" s="65"/>
      <c r="G179" s="371" t="s">
        <v>2357</v>
      </c>
      <c r="H179" s="5"/>
      <c r="I179" s="5"/>
      <c r="J179" s="5"/>
      <c r="K179" s="5"/>
      <c r="L179" s="5"/>
      <c r="M179" s="5"/>
    </row>
    <row r="180" spans="1:14" s="4" customFormat="1" ht="17.399999999999999" hidden="1" customHeight="1" outlineLevel="1" x14ac:dyDescent="0.35">
      <c r="A180" s="5"/>
      <c r="B180" s="67" t="s">
        <v>79</v>
      </c>
      <c r="C180" s="65"/>
      <c r="D180" s="65"/>
      <c r="E180" s="65"/>
      <c r="F180" s="65"/>
      <c r="G180" s="371" t="s">
        <v>2361</v>
      </c>
      <c r="H180" s="5"/>
      <c r="I180" s="5"/>
      <c r="J180" s="5"/>
      <c r="K180" s="5"/>
      <c r="L180" s="5"/>
      <c r="M180" s="5"/>
    </row>
    <row r="181" spans="1:14" s="4" customFormat="1" ht="17.399999999999999" hidden="1" customHeight="1" outlineLevel="1" thickBot="1" x14ac:dyDescent="0.4">
      <c r="A181" s="5"/>
      <c r="B181" s="103"/>
      <c r="C181" s="92"/>
      <c r="D181" s="92"/>
      <c r="E181" s="92"/>
      <c r="F181" s="92"/>
      <c r="G181" s="93"/>
    </row>
    <row r="182" spans="1:14" s="4" customFormat="1" ht="17.399999999999999" hidden="1" customHeight="1" outlineLevel="1" x14ac:dyDescent="0.35">
      <c r="A182" s="5"/>
      <c r="B182" s="5"/>
      <c r="C182" s="5"/>
      <c r="D182" s="5"/>
      <c r="E182" s="5"/>
      <c r="F182" s="5"/>
      <c r="G182" s="5"/>
    </row>
    <row r="183" spans="1:14" s="4" customFormat="1" ht="17.399999999999999" hidden="1" customHeight="1" outlineLevel="1" thickBot="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4" s="4" customFormat="1" ht="17.399999999999999" customHeight="1" collapsed="1" thickBot="1" x14ac:dyDescent="0.4">
      <c r="A184" s="5"/>
      <c r="B184" s="166" t="s">
        <v>1279</v>
      </c>
      <c r="C184" s="169" t="s">
        <v>1307</v>
      </c>
      <c r="D184" s="168" t="s">
        <v>1281</v>
      </c>
      <c r="E184" s="169" t="s">
        <v>80</v>
      </c>
      <c r="F184" s="168" t="s">
        <v>1282</v>
      </c>
      <c r="G184" s="170" t="s">
        <v>1308</v>
      </c>
      <c r="H184" s="5"/>
      <c r="I184" s="5"/>
      <c r="J184" s="5"/>
      <c r="K184" s="5"/>
      <c r="L184" s="5"/>
      <c r="M184" s="5"/>
    </row>
    <row r="185" spans="1:14" s="4" customFormat="1" ht="17.399999999999999" hidden="1" customHeight="1" outlineLevel="1" x14ac:dyDescent="0.35">
      <c r="A185" s="5"/>
      <c r="B185" s="136" t="s">
        <v>1284</v>
      </c>
      <c r="C185" s="84" t="s">
        <v>1285</v>
      </c>
      <c r="D185" s="137" t="s">
        <v>1286</v>
      </c>
      <c r="E185" s="84" t="s">
        <v>1309</v>
      </c>
      <c r="F185" s="137" t="s">
        <v>1288</v>
      </c>
      <c r="G185" s="85" t="s">
        <v>1310</v>
      </c>
      <c r="H185" s="5"/>
      <c r="I185" s="5"/>
      <c r="J185" s="5"/>
      <c r="K185" s="5"/>
      <c r="L185" s="5"/>
      <c r="M185" s="5"/>
    </row>
    <row r="186" spans="1:14" s="4" customFormat="1" ht="17.399999999999999" hidden="1" customHeight="1" outlineLevel="1" thickBot="1" x14ac:dyDescent="0.4">
      <c r="A186" s="5"/>
      <c r="B186" s="171" t="s">
        <v>1290</v>
      </c>
      <c r="C186" s="172" t="s">
        <v>1291</v>
      </c>
      <c r="D186" s="173" t="s">
        <v>1292</v>
      </c>
      <c r="E186" s="172">
        <v>5</v>
      </c>
      <c r="F186" s="173" t="s">
        <v>1293</v>
      </c>
      <c r="G186" s="174" t="s">
        <v>1294</v>
      </c>
      <c r="H186" s="5"/>
      <c r="I186" s="5"/>
      <c r="J186" s="5"/>
      <c r="K186" s="5"/>
      <c r="L186" s="5"/>
      <c r="M186" s="5"/>
    </row>
    <row r="187" spans="1:14" s="4" customFormat="1" ht="17.399999999999999" hidden="1" customHeight="1" outlineLevel="1" x14ac:dyDescent="0.35">
      <c r="A187" s="5"/>
      <c r="B187" s="380" t="s">
        <v>1</v>
      </c>
      <c r="C187" s="381"/>
      <c r="D187" s="381"/>
      <c r="E187" s="381"/>
      <c r="F187" s="381"/>
      <c r="G187" s="382"/>
      <c r="H187" s="5"/>
      <c r="I187" s="5"/>
      <c r="J187" s="5"/>
      <c r="K187" s="5"/>
      <c r="L187" s="5"/>
      <c r="M187" s="5"/>
    </row>
    <row r="188" spans="1:14" s="4" customFormat="1" ht="17.399999999999999" hidden="1" customHeight="1" outlineLevel="1" x14ac:dyDescent="0.35">
      <c r="A188" s="5"/>
      <c r="B188" s="94" t="s">
        <v>2</v>
      </c>
      <c r="C188" s="95" t="s">
        <v>3</v>
      </c>
      <c r="D188" s="95" t="s">
        <v>4</v>
      </c>
      <c r="E188" s="95" t="s">
        <v>5</v>
      </c>
      <c r="F188" s="95"/>
      <c r="G188" s="96" t="s">
        <v>6</v>
      </c>
      <c r="H188" s="5"/>
      <c r="I188" s="5"/>
      <c r="J188" s="5"/>
      <c r="K188" s="5"/>
      <c r="L188" s="5"/>
      <c r="M188" s="5"/>
    </row>
    <row r="189" spans="1:14" s="4" customFormat="1" ht="17.399999999999999" hidden="1" customHeight="1" outlineLevel="1" x14ac:dyDescent="0.35">
      <c r="A189" s="5"/>
      <c r="B189" s="57" t="s">
        <v>7</v>
      </c>
      <c r="C189" s="58" t="s">
        <v>1468</v>
      </c>
      <c r="D189" s="58" t="s">
        <v>1469</v>
      </c>
      <c r="E189" s="58">
        <v>0</v>
      </c>
      <c r="F189" s="58" t="s">
        <v>1470</v>
      </c>
      <c r="G189" s="59" t="s">
        <v>1471</v>
      </c>
      <c r="J189" s="4" t="s">
        <v>10</v>
      </c>
      <c r="N189" s="4">
        <v>1112</v>
      </c>
    </row>
    <row r="190" spans="1:14" s="4" customFormat="1" ht="17.399999999999999" hidden="1" customHeight="1" outlineLevel="1" x14ac:dyDescent="0.35">
      <c r="A190" s="5"/>
      <c r="B190" s="57" t="s">
        <v>11</v>
      </c>
      <c r="C190" s="58" t="s">
        <v>1472</v>
      </c>
      <c r="D190" s="58" t="s">
        <v>1469</v>
      </c>
      <c r="E190" s="58">
        <v>0</v>
      </c>
      <c r="F190" s="58" t="s">
        <v>1470</v>
      </c>
      <c r="G190" s="59" t="s">
        <v>1473</v>
      </c>
      <c r="J190" s="4" t="s">
        <v>12</v>
      </c>
      <c r="N190" s="4">
        <v>1700</v>
      </c>
    </row>
    <row r="191" spans="1:14" s="4" customFormat="1" ht="17.399999999999999" hidden="1" customHeight="1" outlineLevel="1" x14ac:dyDescent="0.35">
      <c r="A191" s="5"/>
      <c r="B191" s="60" t="s">
        <v>13</v>
      </c>
      <c r="C191" s="61" t="s">
        <v>1474</v>
      </c>
      <c r="D191" s="61" t="s">
        <v>1469</v>
      </c>
      <c r="E191" s="61">
        <v>0</v>
      </c>
      <c r="F191" s="61" t="s">
        <v>1470</v>
      </c>
      <c r="G191" s="62"/>
      <c r="H191" s="63"/>
      <c r="J191" s="4" t="s">
        <v>10</v>
      </c>
      <c r="N191" s="4">
        <v>2534</v>
      </c>
    </row>
    <row r="192" spans="1:14" s="4" customFormat="1" ht="17.399999999999999" hidden="1" customHeight="1" outlineLevel="1" x14ac:dyDescent="0.35">
      <c r="A192" s="5"/>
      <c r="B192" s="60" t="s">
        <v>14</v>
      </c>
      <c r="C192" s="61" t="s">
        <v>1475</v>
      </c>
      <c r="D192" s="61" t="s">
        <v>1469</v>
      </c>
      <c r="E192" s="61">
        <v>0</v>
      </c>
      <c r="F192" s="61" t="s">
        <v>1476</v>
      </c>
      <c r="G192" s="62" t="s">
        <v>1477</v>
      </c>
      <c r="H192" s="63"/>
      <c r="J192" s="4" t="s">
        <v>10</v>
      </c>
      <c r="N192" s="4">
        <v>2155</v>
      </c>
    </row>
    <row r="193" spans="1:14" s="4" customFormat="1" ht="17.399999999999999" hidden="1" customHeight="1" outlineLevel="1" x14ac:dyDescent="0.35">
      <c r="A193" s="5"/>
      <c r="B193" s="60" t="s">
        <v>15</v>
      </c>
      <c r="C193" s="61" t="s">
        <v>1478</v>
      </c>
      <c r="D193" s="61" t="s">
        <v>1469</v>
      </c>
      <c r="E193" s="61">
        <v>0</v>
      </c>
      <c r="F193" s="61" t="s">
        <v>1470</v>
      </c>
      <c r="G193" s="62"/>
      <c r="H193" s="63"/>
      <c r="J193" s="4" t="s">
        <v>10</v>
      </c>
      <c r="N193" s="4">
        <v>2430</v>
      </c>
    </row>
    <row r="194" spans="1:14" s="4" customFormat="1" ht="17.399999999999999" hidden="1" customHeight="1" outlineLevel="1" x14ac:dyDescent="0.35">
      <c r="A194" s="5"/>
      <c r="B194" s="64" t="s">
        <v>73</v>
      </c>
      <c r="C194" s="65" t="s">
        <v>1528</v>
      </c>
      <c r="D194" s="65" t="s">
        <v>1469</v>
      </c>
      <c r="E194" s="65" t="s">
        <v>1480</v>
      </c>
      <c r="F194" s="65" t="s">
        <v>1481</v>
      </c>
      <c r="G194" s="66"/>
      <c r="H194" s="5"/>
      <c r="I194" s="5"/>
      <c r="J194" s="5" t="s">
        <v>10</v>
      </c>
      <c r="K194" s="5"/>
      <c r="L194" s="5"/>
      <c r="M194" s="5"/>
      <c r="N194" s="4">
        <v>1767</v>
      </c>
    </row>
    <row r="195" spans="1:14" s="4" customFormat="1" ht="17.399999999999999" hidden="1" customHeight="1" outlineLevel="1" x14ac:dyDescent="0.35">
      <c r="A195" s="5"/>
      <c r="B195" s="64" t="s">
        <v>74</v>
      </c>
      <c r="C195" s="65" t="s">
        <v>1529</v>
      </c>
      <c r="D195" s="65" t="s">
        <v>1469</v>
      </c>
      <c r="E195" s="65" t="s">
        <v>1480</v>
      </c>
      <c r="F195" s="65" t="s">
        <v>1481</v>
      </c>
      <c r="G195" s="66"/>
      <c r="H195" s="5"/>
      <c r="I195" s="5"/>
      <c r="J195" s="5" t="s">
        <v>10</v>
      </c>
      <c r="K195" s="5"/>
      <c r="L195" s="5"/>
      <c r="M195" s="5"/>
      <c r="N195" s="4">
        <v>1713</v>
      </c>
    </row>
    <row r="196" spans="1:14" s="4" customFormat="1" ht="17.399999999999999" hidden="1" customHeight="1" outlineLevel="1" x14ac:dyDescent="0.35">
      <c r="A196" s="5"/>
      <c r="B196" s="64" t="s">
        <v>17</v>
      </c>
      <c r="C196" s="65" t="s">
        <v>1483</v>
      </c>
      <c r="D196" s="65" t="s">
        <v>1469</v>
      </c>
      <c r="E196" s="65">
        <v>0</v>
      </c>
      <c r="F196" s="65" t="s">
        <v>1470</v>
      </c>
      <c r="G196" s="66" t="s">
        <v>1484</v>
      </c>
      <c r="H196" s="5"/>
      <c r="I196" s="5"/>
      <c r="J196" s="5" t="s">
        <v>10</v>
      </c>
      <c r="K196" s="5"/>
      <c r="L196" s="5"/>
      <c r="M196" s="5"/>
      <c r="N196" s="4">
        <v>1097</v>
      </c>
    </row>
    <row r="197" spans="1:14" s="4" customFormat="1" ht="17.399999999999999" hidden="1" customHeight="1" outlineLevel="1" thickBot="1" x14ac:dyDescent="0.4">
      <c r="A197" s="5"/>
      <c r="B197" s="91"/>
      <c r="C197" s="92"/>
      <c r="D197" s="92"/>
      <c r="E197" s="92"/>
      <c r="F197" s="92"/>
      <c r="G197" s="93"/>
      <c r="H197" s="5"/>
      <c r="I197" s="5"/>
      <c r="J197" s="5"/>
      <c r="K197" s="5"/>
      <c r="L197" s="5"/>
      <c r="M197" s="5"/>
    </row>
    <row r="198" spans="1:14" s="4" customFormat="1" ht="17.399999999999999" hidden="1" customHeight="1" outlineLevel="1" x14ac:dyDescent="0.35">
      <c r="A198" s="5"/>
      <c r="B198" s="383" t="s">
        <v>18</v>
      </c>
      <c r="C198" s="384"/>
      <c r="D198" s="384"/>
      <c r="E198" s="384"/>
      <c r="F198" s="384"/>
      <c r="G198" s="385"/>
      <c r="H198" s="5"/>
      <c r="I198" s="5"/>
      <c r="J198" s="5"/>
      <c r="K198" s="5"/>
      <c r="L198" s="5"/>
      <c r="M198" s="5"/>
    </row>
    <row r="199" spans="1:14" s="4" customFormat="1" ht="17.399999999999999" hidden="1" customHeight="1" outlineLevel="1" x14ac:dyDescent="0.35">
      <c r="A199" s="5"/>
      <c r="B199" s="94" t="s">
        <v>2</v>
      </c>
      <c r="C199" s="95" t="s">
        <v>3</v>
      </c>
      <c r="D199" s="95" t="s">
        <v>4</v>
      </c>
      <c r="E199" s="95" t="s">
        <v>5</v>
      </c>
      <c r="F199" s="95"/>
      <c r="G199" s="96" t="s">
        <v>6</v>
      </c>
      <c r="H199" s="5"/>
      <c r="I199" s="5"/>
      <c r="J199" s="5"/>
      <c r="K199" s="5"/>
      <c r="L199" s="5"/>
      <c r="M199" s="5"/>
    </row>
    <row r="200" spans="1:14" s="4" customFormat="1" ht="17.399999999999999" hidden="1" customHeight="1" outlineLevel="1" x14ac:dyDescent="0.35">
      <c r="A200" s="5"/>
      <c r="B200" s="67" t="s">
        <v>16</v>
      </c>
      <c r="C200" s="65" t="s">
        <v>1479</v>
      </c>
      <c r="D200" s="65" t="s">
        <v>1469</v>
      </c>
      <c r="E200" s="65" t="s">
        <v>1480</v>
      </c>
      <c r="F200" s="65" t="s">
        <v>1481</v>
      </c>
      <c r="G200" s="66" t="s">
        <v>1482</v>
      </c>
      <c r="H200" s="5"/>
      <c r="I200" s="5"/>
      <c r="J200" s="5"/>
      <c r="K200" s="5"/>
      <c r="L200" s="5"/>
      <c r="M200" s="5"/>
    </row>
    <row r="201" spans="1:14" s="3" customFormat="1" hidden="1" outlineLevel="1" x14ac:dyDescent="0.25">
      <c r="B201" s="68" t="s">
        <v>7</v>
      </c>
      <c r="C201" s="69" t="s">
        <v>1468</v>
      </c>
      <c r="D201" s="69" t="s">
        <v>1469</v>
      </c>
      <c r="E201" s="69">
        <v>0</v>
      </c>
      <c r="F201" s="69" t="s">
        <v>1470</v>
      </c>
      <c r="G201" s="70" t="s">
        <v>1471</v>
      </c>
      <c r="J201" s="3" t="s">
        <v>10</v>
      </c>
      <c r="N201" s="3">
        <v>1112</v>
      </c>
    </row>
    <row r="202" spans="1:14" s="3" customFormat="1" hidden="1" outlineLevel="1" x14ac:dyDescent="0.25">
      <c r="B202" s="68" t="s">
        <v>11</v>
      </c>
      <c r="C202" s="69" t="s">
        <v>1472</v>
      </c>
      <c r="D202" s="69" t="s">
        <v>1469</v>
      </c>
      <c r="E202" s="69">
        <v>0</v>
      </c>
      <c r="F202" s="69" t="s">
        <v>1470</v>
      </c>
      <c r="G202" s="70" t="s">
        <v>1473</v>
      </c>
      <c r="J202" s="3" t="s">
        <v>12</v>
      </c>
      <c r="N202" s="3">
        <v>1700</v>
      </c>
    </row>
    <row r="203" spans="1:14" s="3" customFormat="1" hidden="1" outlineLevel="1" x14ac:dyDescent="0.25">
      <c r="B203" s="68" t="s">
        <v>13</v>
      </c>
      <c r="C203" s="69" t="s">
        <v>1474</v>
      </c>
      <c r="D203" s="69" t="s">
        <v>1469</v>
      </c>
      <c r="E203" s="69">
        <v>0</v>
      </c>
      <c r="F203" s="69" t="s">
        <v>1470</v>
      </c>
      <c r="G203" s="70"/>
      <c r="J203" s="3" t="s">
        <v>10</v>
      </c>
      <c r="N203" s="3">
        <v>2534</v>
      </c>
    </row>
    <row r="204" spans="1:14" s="3" customFormat="1" hidden="1" outlineLevel="1" x14ac:dyDescent="0.25">
      <c r="B204" s="68" t="s">
        <v>14</v>
      </c>
      <c r="C204" s="69" t="s">
        <v>1475</v>
      </c>
      <c r="D204" s="69" t="s">
        <v>1469</v>
      </c>
      <c r="E204" s="69">
        <v>0</v>
      </c>
      <c r="F204" s="69" t="s">
        <v>1476</v>
      </c>
      <c r="G204" s="70" t="s">
        <v>1477</v>
      </c>
      <c r="J204" s="3" t="s">
        <v>10</v>
      </c>
      <c r="N204" s="3">
        <v>2155</v>
      </c>
    </row>
    <row r="205" spans="1:14" s="3" customFormat="1" hidden="1" outlineLevel="1" x14ac:dyDescent="0.25">
      <c r="B205" s="68" t="s">
        <v>15</v>
      </c>
      <c r="C205" s="69" t="s">
        <v>1478</v>
      </c>
      <c r="D205" s="69" t="s">
        <v>1469</v>
      </c>
      <c r="E205" s="69">
        <v>0</v>
      </c>
      <c r="F205" s="69" t="s">
        <v>1470</v>
      </c>
      <c r="G205" s="70"/>
      <c r="J205" s="3" t="s">
        <v>10</v>
      </c>
      <c r="N205" s="3">
        <v>2430</v>
      </c>
    </row>
    <row r="206" spans="1:14" s="3" customFormat="1" hidden="1" outlineLevel="1" x14ac:dyDescent="0.25">
      <c r="B206" s="71" t="s">
        <v>32</v>
      </c>
      <c r="C206" s="72" t="s">
        <v>1496</v>
      </c>
      <c r="D206" s="72" t="s">
        <v>1486</v>
      </c>
      <c r="E206" s="72">
        <v>0</v>
      </c>
      <c r="F206" s="72"/>
      <c r="G206" s="73"/>
      <c r="J206" s="3" t="s">
        <v>20</v>
      </c>
      <c r="N206" s="3">
        <v>2055</v>
      </c>
    </row>
    <row r="207" spans="1:14" s="3" customFormat="1" hidden="1" outlineLevel="1" x14ac:dyDescent="0.25">
      <c r="B207" s="71" t="s">
        <v>22</v>
      </c>
      <c r="C207" s="72" t="s">
        <v>1488</v>
      </c>
      <c r="D207" s="72" t="s">
        <v>1489</v>
      </c>
      <c r="E207" s="72">
        <v>0</v>
      </c>
      <c r="F207" s="72" t="s">
        <v>1470</v>
      </c>
      <c r="G207" s="73" t="s">
        <v>1490</v>
      </c>
      <c r="J207" s="3" t="s">
        <v>20</v>
      </c>
      <c r="N207" s="3">
        <v>2052</v>
      </c>
    </row>
    <row r="208" spans="1:14" s="3" customFormat="1" hidden="1" outlineLevel="1" x14ac:dyDescent="0.25">
      <c r="B208" s="28" t="s">
        <v>26</v>
      </c>
      <c r="C208" s="29" t="s">
        <v>1493</v>
      </c>
      <c r="D208" s="29" t="s">
        <v>1494</v>
      </c>
      <c r="E208" s="29">
        <v>0</v>
      </c>
      <c r="F208" s="29" t="s">
        <v>1470</v>
      </c>
      <c r="G208" s="30"/>
      <c r="J208" s="3" t="s">
        <v>20</v>
      </c>
      <c r="N208" s="3">
        <v>2183</v>
      </c>
    </row>
    <row r="209" spans="1:13" s="4" customFormat="1" ht="17.399999999999999" hidden="1" customHeight="1" outlineLevel="1" x14ac:dyDescent="0.35">
      <c r="A209" s="5"/>
      <c r="B209" s="74" t="s">
        <v>27</v>
      </c>
      <c r="C209" s="75" t="s">
        <v>1495</v>
      </c>
      <c r="D209" s="75" t="s">
        <v>1489</v>
      </c>
      <c r="E209" s="75">
        <v>0</v>
      </c>
      <c r="F209" s="75" t="s">
        <v>1470</v>
      </c>
      <c r="G209" s="76"/>
      <c r="H209" s="5"/>
      <c r="I209" s="5"/>
      <c r="J209" s="5" t="s">
        <v>20</v>
      </c>
      <c r="K209" s="5"/>
      <c r="L209" s="5"/>
      <c r="M209" s="5"/>
    </row>
    <row r="210" spans="1:13" s="3" customFormat="1" hidden="1" outlineLevel="1" x14ac:dyDescent="0.25">
      <c r="A210" s="77"/>
      <c r="B210" s="78" t="s">
        <v>33</v>
      </c>
      <c r="C210" s="79" t="s">
        <v>1497</v>
      </c>
      <c r="D210" s="79" t="s">
        <v>1486</v>
      </c>
      <c r="E210" s="79">
        <v>0</v>
      </c>
      <c r="F210" s="79"/>
      <c r="G210" s="80"/>
      <c r="H210" s="3" t="str">
        <f t="shared" ref="H210:H236" si="1">"TRUNCATE TABLE "&amp;C210&amp;";#"&amp;E210</f>
        <v>TRUNCATE TABLE total_long_curr_qty;#0</v>
      </c>
    </row>
    <row r="211" spans="1:13" s="3" customFormat="1" ht="16.5" hidden="1" customHeight="1" outlineLevel="1" x14ac:dyDescent="0.25">
      <c r="A211" s="77"/>
      <c r="B211" s="78" t="s">
        <v>34</v>
      </c>
      <c r="C211" s="79" t="s">
        <v>1498</v>
      </c>
      <c r="D211" s="79" t="s">
        <v>1486</v>
      </c>
      <c r="E211" s="79">
        <v>0</v>
      </c>
      <c r="F211" s="79"/>
      <c r="G211" s="80"/>
      <c r="H211" s="3" t="str">
        <f t="shared" si="1"/>
        <v>TRUNCATE TABLE total_short_curr_qty;#0</v>
      </c>
    </row>
    <row r="212" spans="1:13" s="3" customFormat="1" hidden="1" outlineLevel="1" x14ac:dyDescent="0.25">
      <c r="A212" s="77"/>
      <c r="B212" s="78" t="s">
        <v>35</v>
      </c>
      <c r="C212" s="79" t="s">
        <v>1499</v>
      </c>
      <c r="D212" s="79" t="s">
        <v>1489</v>
      </c>
      <c r="E212" s="79">
        <v>0</v>
      </c>
      <c r="F212" s="79"/>
      <c r="G212" s="80"/>
      <c r="H212" s="3" t="str">
        <f t="shared" si="1"/>
        <v>TRUNCATE TABLE total_long_open_posi_value;#0</v>
      </c>
    </row>
    <row r="213" spans="1:13" s="3" customFormat="1" hidden="1" outlineLevel="1" x14ac:dyDescent="0.25">
      <c r="A213" s="77"/>
      <c r="B213" s="78" t="s">
        <v>36</v>
      </c>
      <c r="C213" s="79" t="s">
        <v>1500</v>
      </c>
      <c r="D213" s="79" t="s">
        <v>1489</v>
      </c>
      <c r="E213" s="79">
        <v>0</v>
      </c>
      <c r="F213" s="79"/>
      <c r="G213" s="80"/>
      <c r="H213" s="3" t="str">
        <f t="shared" si="1"/>
        <v>TRUNCATE TABLE total_short_open_posi_value;#0</v>
      </c>
    </row>
    <row r="214" spans="1:13" s="3" customFormat="1" hidden="1" outlineLevel="1" x14ac:dyDescent="0.25">
      <c r="A214" s="77"/>
      <c r="B214" s="78" t="s">
        <v>37</v>
      </c>
      <c r="C214" s="79" t="s">
        <v>1501</v>
      </c>
      <c r="D214" s="79" t="s">
        <v>1489</v>
      </c>
      <c r="E214" s="79">
        <v>0</v>
      </c>
      <c r="F214" s="79"/>
      <c r="G214" s="80"/>
      <c r="H214" s="3" t="str">
        <f t="shared" si="1"/>
        <v>TRUNCATE TABLE total_long_open_posi_fee;#0</v>
      </c>
    </row>
    <row r="215" spans="1:13" s="3" customFormat="1" hidden="1" outlineLevel="1" x14ac:dyDescent="0.25">
      <c r="A215" s="77"/>
      <c r="B215" s="78" t="s">
        <v>38</v>
      </c>
      <c r="C215" s="79" t="s">
        <v>1502</v>
      </c>
      <c r="D215" s="79" t="s">
        <v>1489</v>
      </c>
      <c r="E215" s="79">
        <v>0</v>
      </c>
      <c r="F215" s="79"/>
      <c r="G215" s="80"/>
      <c r="H215" s="3" t="str">
        <f t="shared" si="1"/>
        <v>TRUNCATE TABLE total_short_open_posi_fee;#0</v>
      </c>
    </row>
    <row r="216" spans="1:13" s="3" customFormat="1" hidden="1" outlineLevel="1" x14ac:dyDescent="0.25">
      <c r="A216" s="77"/>
      <c r="B216" s="78" t="s">
        <v>39</v>
      </c>
      <c r="C216" s="79" t="s">
        <v>1503</v>
      </c>
      <c r="D216" s="79" t="s">
        <v>1489</v>
      </c>
      <c r="E216" s="79">
        <v>0</v>
      </c>
      <c r="F216" s="79"/>
      <c r="G216" s="80"/>
      <c r="H216" s="3" t="str">
        <f t="shared" si="1"/>
        <v>TRUNCATE TABLE total_long_close_posi_value;#0</v>
      </c>
    </row>
    <row r="217" spans="1:13" s="3" customFormat="1" hidden="1" outlineLevel="1" x14ac:dyDescent="0.25">
      <c r="A217" s="77"/>
      <c r="B217" s="78" t="s">
        <v>40</v>
      </c>
      <c r="C217" s="79" t="s">
        <v>1504</v>
      </c>
      <c r="D217" s="79" t="s">
        <v>1489</v>
      </c>
      <c r="E217" s="79">
        <v>0</v>
      </c>
      <c r="F217" s="79"/>
      <c r="G217" s="80"/>
      <c r="H217" s="3" t="str">
        <f t="shared" si="1"/>
        <v>TRUNCATE TABLE total_short_close_posi_value;#0</v>
      </c>
    </row>
    <row r="218" spans="1:13" s="3" customFormat="1" hidden="1" outlineLevel="1" x14ac:dyDescent="0.25">
      <c r="A218" s="77"/>
      <c r="B218" s="78" t="s">
        <v>41</v>
      </c>
      <c r="C218" s="79" t="s">
        <v>1505</v>
      </c>
      <c r="D218" s="79" t="s">
        <v>1486</v>
      </c>
      <c r="E218" s="79">
        <v>0</v>
      </c>
      <c r="F218" s="79"/>
      <c r="G218" s="80"/>
      <c r="H218" s="3" t="str">
        <f t="shared" si="1"/>
        <v>TRUNCATE TABLE total_long_close_posi_qty;#0</v>
      </c>
    </row>
    <row r="219" spans="1:13" s="3" customFormat="1" hidden="1" outlineLevel="1" x14ac:dyDescent="0.25">
      <c r="A219" s="77"/>
      <c r="B219" s="78" t="s">
        <v>42</v>
      </c>
      <c r="C219" s="79" t="s">
        <v>1506</v>
      </c>
      <c r="D219" s="79" t="s">
        <v>1486</v>
      </c>
      <c r="E219" s="79">
        <v>0</v>
      </c>
      <c r="F219" s="79"/>
      <c r="G219" s="80"/>
      <c r="H219" s="3" t="str">
        <f t="shared" si="1"/>
        <v>TRUNCATE TABLE total_short_close_posi_qty;#0</v>
      </c>
    </row>
    <row r="220" spans="1:13" s="3" customFormat="1" hidden="1" outlineLevel="1" x14ac:dyDescent="0.25">
      <c r="A220" s="77"/>
      <c r="B220" s="78" t="s">
        <v>43</v>
      </c>
      <c r="C220" s="79" t="s">
        <v>1507</v>
      </c>
      <c r="D220" s="79" t="s">
        <v>1489</v>
      </c>
      <c r="E220" s="79">
        <v>0</v>
      </c>
      <c r="F220" s="79"/>
      <c r="G220" s="80"/>
      <c r="H220" s="3" t="str">
        <f t="shared" si="1"/>
        <v>TRUNCATE TABLE total_long_close_posi_fee;#0</v>
      </c>
    </row>
    <row r="221" spans="1:13" s="3" customFormat="1" hidden="1" outlineLevel="1" x14ac:dyDescent="0.25">
      <c r="A221" s="77"/>
      <c r="B221" s="78" t="s">
        <v>44</v>
      </c>
      <c r="C221" s="79" t="s">
        <v>1508</v>
      </c>
      <c r="D221" s="79" t="s">
        <v>1489</v>
      </c>
      <c r="E221" s="79">
        <v>0</v>
      </c>
      <c r="F221" s="79"/>
      <c r="G221" s="80"/>
      <c r="H221" s="3" t="str">
        <f t="shared" si="1"/>
        <v>TRUNCATE TABLE total_short_close_posi_fee;#0</v>
      </c>
    </row>
    <row r="222" spans="1:13" s="3" customFormat="1" hidden="1" outlineLevel="1" x14ac:dyDescent="0.25">
      <c r="A222" s="77"/>
      <c r="B222" s="78" t="s">
        <v>45</v>
      </c>
      <c r="C222" s="79" t="s">
        <v>1509</v>
      </c>
      <c r="D222" s="79" t="s">
        <v>1489</v>
      </c>
      <c r="E222" s="79">
        <v>0</v>
      </c>
      <c r="F222" s="79"/>
      <c r="G222" s="80"/>
      <c r="H222" s="3" t="str">
        <f t="shared" si="1"/>
        <v>TRUNCATE TABLE total_realize_pandl;#0</v>
      </c>
    </row>
    <row r="223" spans="1:13" s="3" customFormat="1" hidden="1" outlineLevel="1" x14ac:dyDescent="0.25">
      <c r="A223" s="77"/>
      <c r="B223" s="28" t="s">
        <v>46</v>
      </c>
      <c r="C223" s="79" t="s">
        <v>1510</v>
      </c>
      <c r="D223" s="79" t="s">
        <v>1486</v>
      </c>
      <c r="E223" s="79">
        <v>0</v>
      </c>
      <c r="F223" s="79" t="s">
        <v>1470</v>
      </c>
      <c r="G223" s="80"/>
      <c r="H223" s="3" t="str">
        <f t="shared" si="1"/>
        <v>TRUNCATE TABLE long_curr_qty;#0</v>
      </c>
    </row>
    <row r="224" spans="1:13" s="3" customFormat="1" hidden="1" outlineLevel="1" x14ac:dyDescent="0.25">
      <c r="A224" s="77"/>
      <c r="B224" s="28" t="s">
        <v>47</v>
      </c>
      <c r="C224" s="79" t="s">
        <v>1511</v>
      </c>
      <c r="D224" s="79" t="s">
        <v>1486</v>
      </c>
      <c r="E224" s="79">
        <v>0</v>
      </c>
      <c r="F224" s="79" t="s">
        <v>1470</v>
      </c>
      <c r="G224" s="80"/>
      <c r="H224" s="3" t="str">
        <f t="shared" si="1"/>
        <v>TRUNCATE TABLE short_curr_qty;#0</v>
      </c>
    </row>
    <row r="225" spans="1:13" s="3" customFormat="1" hidden="1" outlineLevel="1" x14ac:dyDescent="0.25">
      <c r="A225" s="77"/>
      <c r="B225" s="28" t="s">
        <v>48</v>
      </c>
      <c r="C225" s="79" t="s">
        <v>1512</v>
      </c>
      <c r="D225" s="79" t="s">
        <v>1489</v>
      </c>
      <c r="E225" s="79">
        <v>0</v>
      </c>
      <c r="F225" s="79"/>
      <c r="G225" s="80"/>
      <c r="H225" s="3" t="str">
        <f t="shared" si="1"/>
        <v>TRUNCATE TABLE long_open_posi_value;#0</v>
      </c>
    </row>
    <row r="226" spans="1:13" s="3" customFormat="1" hidden="1" outlineLevel="1" x14ac:dyDescent="0.25">
      <c r="A226" s="77"/>
      <c r="B226" s="28" t="s">
        <v>49</v>
      </c>
      <c r="C226" s="79" t="s">
        <v>1513</v>
      </c>
      <c r="D226" s="79" t="s">
        <v>1489</v>
      </c>
      <c r="E226" s="79">
        <v>0</v>
      </c>
      <c r="F226" s="79"/>
      <c r="G226" s="80"/>
      <c r="H226" s="3" t="str">
        <f t="shared" si="1"/>
        <v>TRUNCATE TABLE short_open_posi_value;#0</v>
      </c>
    </row>
    <row r="227" spans="1:13" s="3" customFormat="1" hidden="1" outlineLevel="1" x14ac:dyDescent="0.25">
      <c r="A227" s="77"/>
      <c r="B227" s="28" t="s">
        <v>50</v>
      </c>
      <c r="C227" s="79" t="s">
        <v>1514</v>
      </c>
      <c r="D227" s="79" t="s">
        <v>1489</v>
      </c>
      <c r="E227" s="79">
        <v>0</v>
      </c>
      <c r="F227" s="79" t="s">
        <v>1470</v>
      </c>
      <c r="G227" s="80"/>
      <c r="H227" s="3" t="str">
        <f t="shared" si="1"/>
        <v>TRUNCATE TABLE long_open_posi_fee;#0</v>
      </c>
    </row>
    <row r="228" spans="1:13" s="3" customFormat="1" hidden="1" outlineLevel="1" x14ac:dyDescent="0.25">
      <c r="A228" s="77"/>
      <c r="B228" s="28" t="s">
        <v>51</v>
      </c>
      <c r="C228" s="79" t="s">
        <v>1515</v>
      </c>
      <c r="D228" s="79" t="s">
        <v>1489</v>
      </c>
      <c r="E228" s="79">
        <v>0</v>
      </c>
      <c r="F228" s="79" t="s">
        <v>1470</v>
      </c>
      <c r="G228" s="80"/>
      <c r="H228" s="3" t="str">
        <f t="shared" si="1"/>
        <v>TRUNCATE TABLE short_open_posi_fee;#0</v>
      </c>
    </row>
    <row r="229" spans="1:13" s="3" customFormat="1" hidden="1" outlineLevel="1" x14ac:dyDescent="0.25">
      <c r="A229" s="77"/>
      <c r="B229" s="28" t="s">
        <v>52</v>
      </c>
      <c r="C229" s="79" t="s">
        <v>1516</v>
      </c>
      <c r="D229" s="79" t="s">
        <v>1486</v>
      </c>
      <c r="E229" s="79">
        <v>0</v>
      </c>
      <c r="F229" s="79" t="s">
        <v>1470</v>
      </c>
      <c r="G229" s="80"/>
      <c r="H229" s="3" t="str">
        <f t="shared" si="1"/>
        <v>TRUNCATE TABLE long_close_posi_qty;#0</v>
      </c>
    </row>
    <row r="230" spans="1:13" s="3" customFormat="1" hidden="1" outlineLevel="1" x14ac:dyDescent="0.25">
      <c r="A230" s="77"/>
      <c r="B230" s="28" t="s">
        <v>53</v>
      </c>
      <c r="C230" s="79" t="s">
        <v>1517</v>
      </c>
      <c r="D230" s="79" t="s">
        <v>1486</v>
      </c>
      <c r="E230" s="79">
        <v>0</v>
      </c>
      <c r="F230" s="79" t="s">
        <v>1470</v>
      </c>
      <c r="G230" s="80"/>
      <c r="H230" s="3" t="str">
        <f t="shared" si="1"/>
        <v>TRUNCATE TABLE short_close_posi_qty;#0</v>
      </c>
    </row>
    <row r="231" spans="1:13" s="3" customFormat="1" hidden="1" outlineLevel="1" x14ac:dyDescent="0.25">
      <c r="A231" s="77"/>
      <c r="B231" s="28" t="s">
        <v>54</v>
      </c>
      <c r="C231" s="79" t="s">
        <v>1518</v>
      </c>
      <c r="D231" s="79" t="s">
        <v>1489</v>
      </c>
      <c r="E231" s="79">
        <v>0</v>
      </c>
      <c r="F231" s="79"/>
      <c r="G231" s="80"/>
      <c r="H231" s="3" t="str">
        <f t="shared" si="1"/>
        <v>TRUNCATE TABLE long_close_posi_value;#0</v>
      </c>
    </row>
    <row r="232" spans="1:13" s="3" customFormat="1" hidden="1" outlineLevel="1" x14ac:dyDescent="0.25">
      <c r="A232" s="77"/>
      <c r="B232" s="28" t="s">
        <v>55</v>
      </c>
      <c r="C232" s="79" t="s">
        <v>1519</v>
      </c>
      <c r="D232" s="79" t="s">
        <v>1489</v>
      </c>
      <c r="E232" s="79">
        <v>0</v>
      </c>
      <c r="F232" s="79"/>
      <c r="G232" s="80"/>
      <c r="H232" s="3" t="str">
        <f t="shared" si="1"/>
        <v>TRUNCATE TABLE short_close_posi_value;#0</v>
      </c>
    </row>
    <row r="233" spans="1:13" s="3" customFormat="1" hidden="1" outlineLevel="1" x14ac:dyDescent="0.25">
      <c r="A233" s="77"/>
      <c r="B233" s="28" t="s">
        <v>56</v>
      </c>
      <c r="C233" s="79" t="s">
        <v>1520</v>
      </c>
      <c r="D233" s="79" t="s">
        <v>1489</v>
      </c>
      <c r="E233" s="79">
        <v>0</v>
      </c>
      <c r="F233" s="79"/>
      <c r="G233" s="80"/>
      <c r="H233" s="3" t="str">
        <f t="shared" si="1"/>
        <v>TRUNCATE TABLE long_close_posi_fee;#0</v>
      </c>
    </row>
    <row r="234" spans="1:13" s="3" customFormat="1" hidden="1" outlineLevel="1" x14ac:dyDescent="0.25">
      <c r="A234" s="77"/>
      <c r="B234" s="28" t="s">
        <v>57</v>
      </c>
      <c r="C234" s="79" t="s">
        <v>1521</v>
      </c>
      <c r="D234" s="79" t="s">
        <v>1489</v>
      </c>
      <c r="E234" s="79">
        <v>0</v>
      </c>
      <c r="F234" s="79"/>
      <c r="G234" s="80"/>
      <c r="H234" s="3" t="str">
        <f t="shared" si="1"/>
        <v>TRUNCATE TABLE short_close_posi_fee;#0</v>
      </c>
    </row>
    <row r="235" spans="1:13" s="3" customFormat="1" hidden="1" outlineLevel="1" x14ac:dyDescent="0.25">
      <c r="A235" s="77"/>
      <c r="B235" s="81" t="s">
        <v>24</v>
      </c>
      <c r="C235" s="79" t="s">
        <v>1491</v>
      </c>
      <c r="D235" s="79" t="s">
        <v>1489</v>
      </c>
      <c r="E235" s="79">
        <v>0</v>
      </c>
      <c r="F235" s="79" t="s">
        <v>1470</v>
      </c>
      <c r="G235" s="80"/>
      <c r="H235" s="3" t="str">
        <f t="shared" si="1"/>
        <v>TRUNCATE TABLE realize_pandl;#0</v>
      </c>
    </row>
    <row r="236" spans="1:13" s="3" customFormat="1" hidden="1" outlineLevel="1" x14ac:dyDescent="0.25">
      <c r="A236" s="77"/>
      <c r="B236" s="81" t="s">
        <v>58</v>
      </c>
      <c r="C236" s="79" t="s">
        <v>1522</v>
      </c>
      <c r="D236" s="79" t="s">
        <v>1489</v>
      </c>
      <c r="E236" s="79">
        <v>0</v>
      </c>
      <c r="F236" s="79" t="s">
        <v>1470</v>
      </c>
      <c r="G236" s="80"/>
      <c r="H236" s="3" t="str">
        <f t="shared" si="1"/>
        <v>TRUNCATE TABLE over_night_pandl;#0</v>
      </c>
    </row>
    <row r="237" spans="1:13" s="4" customFormat="1" ht="17.399999999999999" hidden="1" customHeight="1" outlineLevel="1" thickBot="1" x14ac:dyDescent="0.4">
      <c r="A237" s="5"/>
      <c r="B237" s="67"/>
      <c r="C237" s="84"/>
      <c r="D237" s="84"/>
      <c r="E237" s="84"/>
      <c r="F237" s="84"/>
      <c r="G237" s="85"/>
      <c r="H237" s="5"/>
      <c r="I237" s="5"/>
      <c r="J237" s="5"/>
      <c r="K237" s="5"/>
      <c r="L237" s="5"/>
      <c r="M237" s="5"/>
    </row>
    <row r="238" spans="1:13" s="4" customFormat="1" ht="17.399999999999999" hidden="1" customHeight="1" outlineLevel="1" x14ac:dyDescent="0.35">
      <c r="A238" s="5"/>
      <c r="B238" s="386" t="s">
        <v>28</v>
      </c>
      <c r="C238" s="387"/>
      <c r="D238" s="387"/>
      <c r="E238" s="387"/>
      <c r="F238" s="387"/>
      <c r="G238" s="388"/>
      <c r="H238" s="5"/>
      <c r="I238" s="5"/>
      <c r="J238" s="5"/>
      <c r="K238" s="5"/>
      <c r="L238" s="5"/>
      <c r="M238" s="5"/>
    </row>
    <row r="239" spans="1:13" s="4" customFormat="1" ht="17.399999999999999" hidden="1" customHeight="1" outlineLevel="1" x14ac:dyDescent="0.35">
      <c r="A239" s="5"/>
      <c r="B239" s="32" t="s">
        <v>2</v>
      </c>
      <c r="C239" s="33" t="s">
        <v>3</v>
      </c>
      <c r="D239" s="33" t="s">
        <v>4</v>
      </c>
      <c r="E239" s="33"/>
      <c r="F239" s="33"/>
      <c r="G239" s="34" t="s">
        <v>6</v>
      </c>
      <c r="H239" s="5"/>
      <c r="I239" s="5"/>
      <c r="J239" s="5"/>
      <c r="K239" s="5"/>
      <c r="L239" s="5"/>
      <c r="M239" s="5"/>
    </row>
    <row r="240" spans="1:13" s="4" customFormat="1" ht="17.399999999999999" hidden="1" customHeight="1" outlineLevel="1" thickBot="1" x14ac:dyDescent="0.4">
      <c r="A240" s="5"/>
      <c r="B240" s="97"/>
      <c r="C240" s="98"/>
      <c r="D240" s="98"/>
      <c r="E240" s="98"/>
      <c r="F240" s="98"/>
      <c r="G240" s="99"/>
      <c r="H240" s="5"/>
      <c r="I240" s="5"/>
      <c r="J240" s="5"/>
      <c r="K240" s="5"/>
      <c r="L240" s="5"/>
      <c r="M240" s="5"/>
    </row>
    <row r="241" spans="1:13" s="4" customFormat="1" ht="17.399999999999999" hidden="1" customHeight="1" outlineLevel="1" x14ac:dyDescent="0.35">
      <c r="A241" s="5"/>
      <c r="B241" s="380" t="s">
        <v>29</v>
      </c>
      <c r="C241" s="381"/>
      <c r="D241" s="381"/>
      <c r="E241" s="381"/>
      <c r="F241" s="381"/>
      <c r="G241" s="382"/>
      <c r="H241" s="5"/>
      <c r="I241" s="5"/>
      <c r="J241" s="5"/>
      <c r="K241" s="5"/>
      <c r="L241" s="5"/>
      <c r="M241" s="5"/>
    </row>
    <row r="242" spans="1:13" s="4" customFormat="1" ht="17.399999999999999" hidden="1" customHeight="1" outlineLevel="1" x14ac:dyDescent="0.35">
      <c r="A242" s="5"/>
      <c r="B242" s="64"/>
      <c r="C242" s="65"/>
      <c r="D242" s="65"/>
      <c r="E242" s="65"/>
      <c r="F242" s="65"/>
      <c r="G242" s="66"/>
      <c r="H242" s="5"/>
      <c r="I242" s="5"/>
      <c r="J242" s="5"/>
      <c r="K242" s="5"/>
      <c r="L242" s="5"/>
      <c r="M242" s="5"/>
    </row>
    <row r="243" spans="1:13" s="4" customFormat="1" ht="17.399999999999999" hidden="1" customHeight="1" outlineLevel="1" x14ac:dyDescent="0.35">
      <c r="A243" s="5"/>
      <c r="B243" s="67" t="s">
        <v>30</v>
      </c>
      <c r="C243" s="65"/>
      <c r="D243" s="65"/>
      <c r="E243" s="65"/>
      <c r="F243" s="65"/>
      <c r="G243" s="371" t="s">
        <v>2357</v>
      </c>
      <c r="H243" s="5"/>
      <c r="I243" s="5"/>
      <c r="J243" s="5"/>
      <c r="K243" s="5"/>
      <c r="L243" s="5"/>
      <c r="M243" s="5"/>
    </row>
    <row r="244" spans="1:13" s="4" customFormat="1" ht="17.399999999999999" hidden="1" customHeight="1" outlineLevel="1" x14ac:dyDescent="0.35">
      <c r="A244" s="5"/>
      <c r="B244" s="67"/>
      <c r="C244" s="65"/>
      <c r="D244" s="65"/>
      <c r="E244" s="65"/>
      <c r="F244" s="65"/>
      <c r="G244" s="66"/>
      <c r="H244" s="5"/>
      <c r="I244" s="5"/>
      <c r="J244" s="5"/>
      <c r="K244" s="5"/>
      <c r="L244" s="5"/>
      <c r="M244" s="5"/>
    </row>
    <row r="245" spans="1:13" s="4" customFormat="1" ht="17.399999999999999" hidden="1" customHeight="1" outlineLevel="1" x14ac:dyDescent="0.35">
      <c r="A245" s="5"/>
      <c r="B245" s="67"/>
      <c r="C245" s="65"/>
      <c r="D245" s="65"/>
      <c r="E245" s="65"/>
      <c r="F245" s="65"/>
      <c r="G245" s="66"/>
      <c r="H245" s="5"/>
      <c r="I245" s="5"/>
      <c r="J245" s="5"/>
      <c r="K245" s="5"/>
      <c r="L245" s="5"/>
      <c r="M245" s="5"/>
    </row>
    <row r="246" spans="1:13" s="4" customFormat="1" ht="17.399999999999999" hidden="1" customHeight="1" outlineLevel="1" x14ac:dyDescent="0.35">
      <c r="A246" s="5"/>
      <c r="B246" s="67"/>
      <c r="C246" s="65"/>
      <c r="D246" s="65"/>
      <c r="E246" s="65"/>
      <c r="F246" s="65"/>
      <c r="G246" s="66"/>
      <c r="H246" s="5"/>
      <c r="I246" s="5"/>
      <c r="J246" s="5"/>
      <c r="K246" s="5"/>
      <c r="L246" s="5"/>
      <c r="M246" s="5"/>
    </row>
    <row r="247" spans="1:13" s="4" customFormat="1" ht="17.399999999999999" hidden="1" customHeight="1" outlineLevel="1" x14ac:dyDescent="0.35">
      <c r="A247" s="5"/>
      <c r="B247" s="67"/>
      <c r="C247" s="65"/>
      <c r="D247" s="65"/>
      <c r="E247" s="65"/>
      <c r="F247" s="65"/>
      <c r="G247" s="66"/>
      <c r="H247" s="5"/>
      <c r="I247" s="5"/>
      <c r="J247" s="5"/>
      <c r="K247" s="5"/>
      <c r="L247" s="5"/>
      <c r="M247" s="5"/>
    </row>
    <row r="248" spans="1:13" s="4" customFormat="1" ht="17.399999999999999" hidden="1" customHeight="1" outlineLevel="1" x14ac:dyDescent="0.35">
      <c r="A248" s="5"/>
      <c r="B248" s="67"/>
      <c r="C248" s="65"/>
      <c r="D248" s="65"/>
      <c r="E248" s="65"/>
      <c r="F248" s="65"/>
      <c r="G248" s="105"/>
      <c r="H248" s="5"/>
      <c r="I248" s="5"/>
      <c r="J248" s="5"/>
      <c r="K248" s="5"/>
      <c r="L248" s="5"/>
      <c r="M248" s="5"/>
    </row>
    <row r="249" spans="1:13" s="4" customFormat="1" ht="17.399999999999999" hidden="1" customHeight="1" outlineLevel="1" x14ac:dyDescent="0.35">
      <c r="A249" s="5"/>
      <c r="B249" s="67"/>
      <c r="C249" s="65"/>
      <c r="D249" s="65"/>
      <c r="E249" s="65"/>
      <c r="F249" s="65"/>
      <c r="G249" s="105"/>
      <c r="H249" s="5"/>
      <c r="I249" s="5"/>
      <c r="J249" s="5"/>
      <c r="K249" s="5"/>
      <c r="L249" s="5"/>
      <c r="M249" s="5"/>
    </row>
    <row r="250" spans="1:13" s="4" customFormat="1" ht="17.399999999999999" hidden="1" customHeight="1" outlineLevel="1" x14ac:dyDescent="0.35">
      <c r="A250" s="5"/>
      <c r="B250" s="67"/>
      <c r="C250" s="65"/>
      <c r="D250" s="65"/>
      <c r="E250" s="65"/>
      <c r="F250" s="65"/>
      <c r="G250" s="66"/>
      <c r="H250" s="5"/>
      <c r="I250" s="5"/>
      <c r="J250" s="5"/>
      <c r="K250" s="5"/>
      <c r="L250" s="5"/>
      <c r="M250" s="5"/>
    </row>
    <row r="251" spans="1:13" s="4" customFormat="1" ht="17.399999999999999" hidden="1" customHeight="1" outlineLevel="1" x14ac:dyDescent="0.35">
      <c r="A251" s="5"/>
      <c r="B251" s="67"/>
      <c r="C251" s="65"/>
      <c r="D251" s="65"/>
      <c r="E251" s="65"/>
      <c r="F251" s="65"/>
      <c r="G251" s="66"/>
      <c r="H251" s="5"/>
      <c r="I251" s="5"/>
      <c r="J251" s="5"/>
      <c r="K251" s="5"/>
      <c r="L251" s="5"/>
      <c r="M251" s="5"/>
    </row>
    <row r="252" spans="1:13" s="4" customFormat="1" ht="17.399999999999999" hidden="1" customHeight="1" outlineLevel="1" x14ac:dyDescent="0.35">
      <c r="A252" s="5"/>
      <c r="B252" s="67"/>
      <c r="C252" s="65"/>
      <c r="D252" s="65"/>
      <c r="E252" s="65"/>
      <c r="F252" s="65"/>
      <c r="G252" s="105"/>
      <c r="H252" s="5"/>
      <c r="I252" s="5"/>
      <c r="J252" s="5"/>
      <c r="K252" s="5"/>
      <c r="L252" s="5"/>
      <c r="M252" s="5"/>
    </row>
    <row r="253" spans="1:13" s="4" customFormat="1" ht="17.399999999999999" hidden="1" customHeight="1" outlineLevel="1" x14ac:dyDescent="0.35">
      <c r="A253" s="5"/>
      <c r="B253" s="31" t="s">
        <v>81</v>
      </c>
      <c r="C253" s="65"/>
      <c r="D253" s="65"/>
      <c r="E253" s="65"/>
      <c r="F253" s="65"/>
      <c r="G253" s="371" t="s">
        <v>2362</v>
      </c>
      <c r="H253" s="5"/>
      <c r="I253" s="5"/>
      <c r="J253" s="5"/>
      <c r="K253" s="5"/>
      <c r="L253" s="5"/>
      <c r="M253" s="5"/>
    </row>
    <row r="254" spans="1:13" s="4" customFormat="1" ht="17.399999999999999" hidden="1" customHeight="1" outlineLevel="1" thickBot="1" x14ac:dyDescent="0.4">
      <c r="A254" s="5"/>
      <c r="B254" s="103"/>
      <c r="C254" s="92"/>
      <c r="D254" s="92"/>
      <c r="E254" s="92"/>
      <c r="F254" s="92"/>
      <c r="G254" s="93"/>
    </row>
    <row r="255" spans="1:13" s="4" customFormat="1" ht="17.399999999999999" hidden="1" customHeight="1" outlineLevel="1" x14ac:dyDescent="0.35">
      <c r="A255" s="5"/>
      <c r="B255" s="5"/>
      <c r="C255" s="5"/>
      <c r="D255" s="5"/>
      <c r="E255" s="5"/>
      <c r="F255" s="5"/>
      <c r="G255" s="5"/>
    </row>
    <row r="256" spans="1:13" s="4" customFormat="1" ht="17.399999999999999" hidden="1" customHeight="1" outlineLevel="1" thickBot="1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4" s="4" customFormat="1" ht="17.399999999999999" customHeight="1" collapsed="1" thickBot="1" x14ac:dyDescent="0.4">
      <c r="A257" s="5"/>
      <c r="B257" s="166" t="s">
        <v>1279</v>
      </c>
      <c r="C257" s="169" t="s">
        <v>1311</v>
      </c>
      <c r="D257" s="168" t="s">
        <v>1281</v>
      </c>
      <c r="E257" s="169" t="s">
        <v>82</v>
      </c>
      <c r="F257" s="168" t="s">
        <v>1282</v>
      </c>
      <c r="G257" s="170" t="s">
        <v>1312</v>
      </c>
      <c r="H257" s="5"/>
      <c r="I257" s="5"/>
      <c r="J257" s="5"/>
      <c r="K257" s="5"/>
      <c r="L257" s="5"/>
      <c r="M257" s="5"/>
    </row>
    <row r="258" spans="1:14" s="4" customFormat="1" ht="17.399999999999999" hidden="1" customHeight="1" outlineLevel="1" x14ac:dyDescent="0.35">
      <c r="A258" s="5"/>
      <c r="B258" s="136" t="s">
        <v>1284</v>
      </c>
      <c r="C258" s="84" t="s">
        <v>1285</v>
      </c>
      <c r="D258" s="137" t="s">
        <v>1286</v>
      </c>
      <c r="E258" s="84" t="s">
        <v>1313</v>
      </c>
      <c r="F258" s="137" t="s">
        <v>1288</v>
      </c>
      <c r="G258" s="85" t="s">
        <v>1314</v>
      </c>
      <c r="H258" s="5"/>
      <c r="I258" s="5"/>
      <c r="J258" s="5"/>
      <c r="K258" s="5"/>
      <c r="L258" s="5"/>
      <c r="M258" s="5"/>
    </row>
    <row r="259" spans="1:14" s="4" customFormat="1" ht="17.399999999999999" hidden="1" customHeight="1" outlineLevel="1" thickBot="1" x14ac:dyDescent="0.4">
      <c r="A259" s="5"/>
      <c r="B259" s="171" t="s">
        <v>1290</v>
      </c>
      <c r="C259" s="172" t="s">
        <v>1291</v>
      </c>
      <c r="D259" s="173" t="s">
        <v>1292</v>
      </c>
      <c r="E259" s="172">
        <v>5</v>
      </c>
      <c r="F259" s="173" t="s">
        <v>1293</v>
      </c>
      <c r="G259" s="174" t="s">
        <v>1294</v>
      </c>
      <c r="H259" s="5"/>
      <c r="I259" s="5"/>
      <c r="J259" s="5"/>
      <c r="K259" s="5"/>
      <c r="L259" s="5"/>
      <c r="M259" s="5"/>
    </row>
    <row r="260" spans="1:14" s="4" customFormat="1" ht="17.399999999999999" hidden="1" customHeight="1" outlineLevel="1" x14ac:dyDescent="0.35">
      <c r="A260" s="5"/>
      <c r="B260" s="380" t="s">
        <v>1</v>
      </c>
      <c r="C260" s="381"/>
      <c r="D260" s="381"/>
      <c r="E260" s="381"/>
      <c r="F260" s="381"/>
      <c r="G260" s="382"/>
      <c r="H260" s="5"/>
      <c r="I260" s="5"/>
      <c r="J260" s="5"/>
      <c r="K260" s="5"/>
      <c r="L260" s="5"/>
      <c r="M260" s="5"/>
    </row>
    <row r="261" spans="1:14" s="4" customFormat="1" ht="17.399999999999999" hidden="1" customHeight="1" outlineLevel="1" x14ac:dyDescent="0.35">
      <c r="A261" s="5"/>
      <c r="B261" s="94" t="s">
        <v>2</v>
      </c>
      <c r="C261" s="95" t="s">
        <v>3</v>
      </c>
      <c r="D261" s="95" t="s">
        <v>4</v>
      </c>
      <c r="E261" s="95" t="s">
        <v>5</v>
      </c>
      <c r="F261" s="95"/>
      <c r="G261" s="96" t="s">
        <v>6</v>
      </c>
      <c r="H261" s="5"/>
      <c r="I261" s="5"/>
      <c r="J261" s="5"/>
      <c r="K261" s="5"/>
      <c r="L261" s="5"/>
      <c r="M261" s="5"/>
    </row>
    <row r="262" spans="1:14" s="4" customFormat="1" ht="17.399999999999999" hidden="1" customHeight="1" outlineLevel="1" x14ac:dyDescent="0.35">
      <c r="A262" s="5"/>
      <c r="B262" s="60" t="s">
        <v>13</v>
      </c>
      <c r="C262" s="61" t="s">
        <v>1474</v>
      </c>
      <c r="D262" s="61" t="s">
        <v>1469</v>
      </c>
      <c r="E262" s="61">
        <v>0</v>
      </c>
      <c r="F262" s="61" t="s">
        <v>1470</v>
      </c>
      <c r="G262" s="62"/>
      <c r="H262" s="63"/>
      <c r="J262" s="4" t="s">
        <v>10</v>
      </c>
      <c r="N262" s="4">
        <v>2534</v>
      </c>
    </row>
    <row r="263" spans="1:14" s="4" customFormat="1" ht="17.399999999999999" hidden="1" customHeight="1" outlineLevel="1" x14ac:dyDescent="0.35">
      <c r="A263" s="5"/>
      <c r="B263" s="64" t="s">
        <v>73</v>
      </c>
      <c r="C263" s="65" t="s">
        <v>1528</v>
      </c>
      <c r="D263" s="65" t="s">
        <v>1469</v>
      </c>
      <c r="E263" s="65" t="s">
        <v>1480</v>
      </c>
      <c r="F263" s="65" t="s">
        <v>1481</v>
      </c>
      <c r="G263" s="66"/>
      <c r="H263" s="5"/>
      <c r="I263" s="5"/>
      <c r="J263" s="5" t="s">
        <v>10</v>
      </c>
      <c r="K263" s="5"/>
      <c r="L263" s="5"/>
      <c r="M263" s="5"/>
      <c r="N263" s="4">
        <v>1767</v>
      </c>
    </row>
    <row r="264" spans="1:14" s="4" customFormat="1" ht="17.399999999999999" hidden="1" customHeight="1" outlineLevel="1" x14ac:dyDescent="0.35">
      <c r="A264" s="5"/>
      <c r="B264" s="64" t="s">
        <v>74</v>
      </c>
      <c r="C264" s="65" t="s">
        <v>1529</v>
      </c>
      <c r="D264" s="65" t="s">
        <v>1469</v>
      </c>
      <c r="E264" s="65" t="s">
        <v>1480</v>
      </c>
      <c r="F264" s="65" t="s">
        <v>1481</v>
      </c>
      <c r="G264" s="66"/>
      <c r="H264" s="5"/>
      <c r="I264" s="5"/>
      <c r="J264" s="5" t="s">
        <v>10</v>
      </c>
      <c r="K264" s="5"/>
      <c r="L264" s="5"/>
      <c r="M264" s="5"/>
      <c r="N264" s="4">
        <v>1713</v>
      </c>
    </row>
    <row r="265" spans="1:14" s="4" customFormat="1" ht="17.399999999999999" hidden="1" customHeight="1" outlineLevel="1" x14ac:dyDescent="0.35">
      <c r="A265" s="5"/>
      <c r="B265" s="67" t="s">
        <v>17</v>
      </c>
      <c r="C265" s="84" t="s">
        <v>1483</v>
      </c>
      <c r="D265" s="84" t="s">
        <v>1469</v>
      </c>
      <c r="E265" s="84">
        <v>0</v>
      </c>
      <c r="F265" s="84" t="s">
        <v>1470</v>
      </c>
      <c r="G265" s="85" t="s">
        <v>1484</v>
      </c>
      <c r="H265" s="5"/>
      <c r="I265" s="5"/>
      <c r="J265" s="5" t="s">
        <v>10</v>
      </c>
      <c r="K265" s="5"/>
      <c r="L265" s="5"/>
      <c r="M265" s="5"/>
      <c r="N265" s="4">
        <v>1097</v>
      </c>
    </row>
    <row r="266" spans="1:14" s="4" customFormat="1" ht="17.399999999999999" hidden="1" customHeight="1" outlineLevel="1" thickBot="1" x14ac:dyDescent="0.4">
      <c r="A266" s="5"/>
      <c r="B266" s="91"/>
      <c r="C266" s="92"/>
      <c r="D266" s="92"/>
      <c r="E266" s="92"/>
      <c r="F266" s="92"/>
      <c r="G266" s="93"/>
      <c r="H266" s="5"/>
      <c r="I266" s="5"/>
      <c r="J266" s="5"/>
      <c r="K266" s="5"/>
      <c r="L266" s="5"/>
      <c r="M266" s="5"/>
    </row>
    <row r="267" spans="1:14" s="4" customFormat="1" ht="17.399999999999999" hidden="1" customHeight="1" outlineLevel="1" x14ac:dyDescent="0.35">
      <c r="A267" s="5"/>
      <c r="B267" s="383" t="s">
        <v>18</v>
      </c>
      <c r="C267" s="384"/>
      <c r="D267" s="384"/>
      <c r="E267" s="384"/>
      <c r="F267" s="384"/>
      <c r="G267" s="385"/>
      <c r="H267" s="5"/>
      <c r="I267" s="5"/>
      <c r="J267" s="5"/>
      <c r="K267" s="5"/>
      <c r="L267" s="5"/>
      <c r="M267" s="5"/>
    </row>
    <row r="268" spans="1:14" s="4" customFormat="1" ht="17.399999999999999" hidden="1" customHeight="1" outlineLevel="1" x14ac:dyDescent="0.35">
      <c r="A268" s="5"/>
      <c r="B268" s="94" t="s">
        <v>2</v>
      </c>
      <c r="C268" s="95" t="s">
        <v>3</v>
      </c>
      <c r="D268" s="95" t="s">
        <v>4</v>
      </c>
      <c r="E268" s="95" t="s">
        <v>5</v>
      </c>
      <c r="F268" s="95"/>
      <c r="G268" s="96" t="s">
        <v>6</v>
      </c>
      <c r="H268" s="5"/>
      <c r="I268" s="5"/>
      <c r="J268" s="5"/>
      <c r="K268" s="5"/>
      <c r="L268" s="5"/>
      <c r="M268" s="5"/>
    </row>
    <row r="269" spans="1:14" s="4" customFormat="1" ht="17.399999999999999" hidden="1" customHeight="1" outlineLevel="1" x14ac:dyDescent="0.35">
      <c r="A269" s="5"/>
      <c r="B269" s="67" t="s">
        <v>7</v>
      </c>
      <c r="C269" s="65" t="s">
        <v>1468</v>
      </c>
      <c r="D269" s="65" t="s">
        <v>1469</v>
      </c>
      <c r="E269" s="65">
        <v>0</v>
      </c>
      <c r="F269" s="65" t="s">
        <v>1470</v>
      </c>
      <c r="G269" s="66" t="s">
        <v>1471</v>
      </c>
      <c r="H269" s="5"/>
      <c r="I269" s="5"/>
      <c r="J269" s="5" t="s">
        <v>10</v>
      </c>
      <c r="K269" s="5"/>
      <c r="L269" s="5"/>
      <c r="M269" s="5"/>
      <c r="N269" s="4">
        <v>1112</v>
      </c>
    </row>
    <row r="270" spans="1:14" s="4" customFormat="1" ht="17.399999999999999" hidden="1" customHeight="1" outlineLevel="1" x14ac:dyDescent="0.35">
      <c r="A270" s="5"/>
      <c r="B270" s="67" t="s">
        <v>11</v>
      </c>
      <c r="C270" s="65" t="s">
        <v>1472</v>
      </c>
      <c r="D270" s="65" t="s">
        <v>1469</v>
      </c>
      <c r="E270" s="65">
        <v>0</v>
      </c>
      <c r="F270" s="65" t="s">
        <v>1470</v>
      </c>
      <c r="G270" s="66" t="s">
        <v>1473</v>
      </c>
      <c r="H270" s="5"/>
      <c r="I270" s="5"/>
      <c r="J270" s="5" t="s">
        <v>12</v>
      </c>
      <c r="K270" s="5"/>
      <c r="L270" s="5"/>
      <c r="M270" s="5"/>
      <c r="N270" s="4">
        <v>1700</v>
      </c>
    </row>
    <row r="271" spans="1:14" s="4" customFormat="1" ht="17.399999999999999" hidden="1" customHeight="1" outlineLevel="1" x14ac:dyDescent="0.35">
      <c r="A271" s="5"/>
      <c r="B271" s="67" t="s">
        <v>13</v>
      </c>
      <c r="C271" s="65" t="s">
        <v>1474</v>
      </c>
      <c r="D271" s="65" t="s">
        <v>1469</v>
      </c>
      <c r="E271" s="65">
        <v>0</v>
      </c>
      <c r="F271" s="65" t="s">
        <v>1470</v>
      </c>
      <c r="G271" s="66"/>
      <c r="H271" s="5"/>
      <c r="I271" s="5"/>
      <c r="J271" s="5" t="s">
        <v>10</v>
      </c>
      <c r="K271" s="5"/>
      <c r="L271" s="5"/>
      <c r="M271" s="5"/>
      <c r="N271" s="4">
        <v>2534</v>
      </c>
    </row>
    <row r="272" spans="1:14" s="4" customFormat="1" ht="17.399999999999999" hidden="1" customHeight="1" outlineLevel="1" x14ac:dyDescent="0.35">
      <c r="A272" s="5"/>
      <c r="B272" s="67" t="s">
        <v>25</v>
      </c>
      <c r="C272" s="65" t="s">
        <v>1492</v>
      </c>
      <c r="D272" s="65" t="s">
        <v>1469</v>
      </c>
      <c r="E272" s="65">
        <v>0</v>
      </c>
      <c r="F272" s="65" t="s">
        <v>1470</v>
      </c>
      <c r="G272" s="66" t="s">
        <v>1484</v>
      </c>
      <c r="H272" s="5"/>
      <c r="I272" s="5"/>
      <c r="J272" s="5" t="s">
        <v>10</v>
      </c>
      <c r="K272" s="5"/>
      <c r="L272" s="5"/>
      <c r="M272" s="5"/>
      <c r="N272" s="4">
        <v>1080</v>
      </c>
    </row>
    <row r="273" spans="1:14" s="4" customFormat="1" ht="17.399999999999999" hidden="1" customHeight="1" outlineLevel="1" x14ac:dyDescent="0.35">
      <c r="A273" s="5"/>
      <c r="B273" s="67" t="s">
        <v>61</v>
      </c>
      <c r="C273" s="65" t="s">
        <v>1523</v>
      </c>
      <c r="D273" s="65" t="s">
        <v>1489</v>
      </c>
      <c r="E273" s="65">
        <v>0</v>
      </c>
      <c r="F273" s="65" t="s">
        <v>1470</v>
      </c>
      <c r="G273" s="66" t="s">
        <v>1524</v>
      </c>
      <c r="H273" s="5"/>
      <c r="I273" s="5"/>
      <c r="J273" s="5" t="s">
        <v>20</v>
      </c>
      <c r="K273" s="5"/>
      <c r="L273" s="5"/>
      <c r="M273" s="5"/>
      <c r="N273" s="4">
        <v>1984</v>
      </c>
    </row>
    <row r="274" spans="1:14" s="4" customFormat="1" ht="17.399999999999999" hidden="1" customHeight="1" outlineLevel="1" x14ac:dyDescent="0.35">
      <c r="A274" s="5"/>
      <c r="B274" s="67" t="s">
        <v>62</v>
      </c>
      <c r="C274" s="65" t="s">
        <v>1525</v>
      </c>
      <c r="D274" s="65" t="s">
        <v>1489</v>
      </c>
      <c r="E274" s="65">
        <v>0</v>
      </c>
      <c r="F274" s="65"/>
      <c r="G274" s="66"/>
      <c r="H274" s="5"/>
      <c r="I274" s="5"/>
      <c r="J274" s="5" t="s">
        <v>20</v>
      </c>
      <c r="K274" s="5"/>
      <c r="L274" s="5"/>
      <c r="M274" s="5"/>
      <c r="N274" s="4">
        <v>1202</v>
      </c>
    </row>
    <row r="275" spans="1:14" s="4" customFormat="1" ht="17.399999999999999" hidden="1" customHeight="1" outlineLevel="1" x14ac:dyDescent="0.35">
      <c r="A275" s="5"/>
      <c r="B275" s="67" t="s">
        <v>63</v>
      </c>
      <c r="C275" s="65" t="s">
        <v>1526</v>
      </c>
      <c r="D275" s="65" t="s">
        <v>1489</v>
      </c>
      <c r="E275" s="65">
        <v>0</v>
      </c>
      <c r="F275" s="65"/>
      <c r="G275" s="66"/>
      <c r="H275" s="5"/>
      <c r="I275" s="5"/>
      <c r="J275" s="5" t="s">
        <v>20</v>
      </c>
      <c r="K275" s="5"/>
      <c r="L275" s="5"/>
      <c r="M275" s="5"/>
      <c r="N275" s="4">
        <v>1682</v>
      </c>
    </row>
    <row r="276" spans="1:14" s="4" customFormat="1" ht="17.399999999999999" hidden="1" customHeight="1" outlineLevel="1" x14ac:dyDescent="0.35">
      <c r="A276" s="5"/>
      <c r="B276" s="67" t="s">
        <v>64</v>
      </c>
      <c r="C276" s="65" t="s">
        <v>1527</v>
      </c>
      <c r="D276" s="65" t="s">
        <v>1489</v>
      </c>
      <c r="E276" s="65">
        <v>0</v>
      </c>
      <c r="F276" s="65"/>
      <c r="G276" s="66"/>
      <c r="H276" s="5"/>
      <c r="I276" s="5"/>
      <c r="J276" s="5" t="s">
        <v>20</v>
      </c>
      <c r="K276" s="5"/>
      <c r="L276" s="5"/>
      <c r="M276" s="5"/>
      <c r="N276" s="4">
        <v>1274</v>
      </c>
    </row>
    <row r="277" spans="1:14" s="4" customFormat="1" ht="17.399999999999999" hidden="1" customHeight="1" outlineLevel="1" x14ac:dyDescent="0.35">
      <c r="A277" s="5"/>
      <c r="B277" s="67" t="s">
        <v>22</v>
      </c>
      <c r="C277" s="65" t="s">
        <v>1488</v>
      </c>
      <c r="D277" s="65" t="s">
        <v>1489</v>
      </c>
      <c r="E277" s="65">
        <v>0</v>
      </c>
      <c r="F277" s="65" t="s">
        <v>1470</v>
      </c>
      <c r="G277" s="66" t="s">
        <v>1490</v>
      </c>
      <c r="H277" s="5"/>
      <c r="I277" s="5"/>
      <c r="J277" s="5" t="s">
        <v>20</v>
      </c>
      <c r="K277" s="5"/>
      <c r="L277" s="5"/>
      <c r="M277" s="5"/>
      <c r="N277" s="4">
        <v>2052</v>
      </c>
    </row>
    <row r="278" spans="1:14" s="4" customFormat="1" ht="17.399999999999999" hidden="1" customHeight="1" outlineLevel="1" thickBot="1" x14ac:dyDescent="0.4">
      <c r="A278" s="5"/>
      <c r="B278" s="67" t="s">
        <v>26</v>
      </c>
      <c r="C278" s="65" t="s">
        <v>1493</v>
      </c>
      <c r="D278" s="65" t="s">
        <v>1494</v>
      </c>
      <c r="E278" s="65">
        <v>0</v>
      </c>
      <c r="F278" s="65" t="s">
        <v>1470</v>
      </c>
      <c r="G278" s="66"/>
      <c r="H278" s="5"/>
      <c r="I278" s="5"/>
      <c r="J278" s="5" t="s">
        <v>20</v>
      </c>
      <c r="K278" s="5"/>
      <c r="L278" s="5"/>
      <c r="M278" s="5"/>
      <c r="N278" s="4">
        <v>2183</v>
      </c>
    </row>
    <row r="279" spans="1:14" s="4" customFormat="1" ht="17.399999999999999" hidden="1" customHeight="1" outlineLevel="1" x14ac:dyDescent="0.35">
      <c r="A279" s="5"/>
      <c r="B279" s="386" t="s">
        <v>28</v>
      </c>
      <c r="C279" s="387"/>
      <c r="D279" s="387"/>
      <c r="E279" s="387"/>
      <c r="F279" s="387"/>
      <c r="G279" s="388"/>
      <c r="H279" s="5"/>
      <c r="I279" s="5"/>
      <c r="J279" s="5"/>
      <c r="K279" s="5"/>
      <c r="L279" s="5"/>
      <c r="M279" s="5"/>
    </row>
    <row r="280" spans="1:14" s="4" customFormat="1" ht="17.399999999999999" hidden="1" customHeight="1" outlineLevel="1" x14ac:dyDescent="0.35">
      <c r="A280" s="5"/>
      <c r="B280" s="32" t="s">
        <v>2</v>
      </c>
      <c r="C280" s="33" t="s">
        <v>3</v>
      </c>
      <c r="D280" s="33" t="s">
        <v>4</v>
      </c>
      <c r="E280" s="33"/>
      <c r="F280" s="33"/>
      <c r="G280" s="34" t="s">
        <v>6</v>
      </c>
      <c r="H280" s="5"/>
      <c r="I280" s="5"/>
      <c r="J280" s="5"/>
      <c r="K280" s="5"/>
      <c r="L280" s="5"/>
      <c r="M280" s="5"/>
    </row>
    <row r="281" spans="1:14" s="4" customFormat="1" ht="17.399999999999999" hidden="1" customHeight="1" outlineLevel="1" x14ac:dyDescent="0.35">
      <c r="A281" s="5"/>
      <c r="B281" s="67"/>
      <c r="C281" s="58"/>
      <c r="D281" s="58"/>
      <c r="E281" s="58"/>
      <c r="F281" s="58"/>
      <c r="G281" s="58"/>
    </row>
    <row r="282" spans="1:14" s="4" customFormat="1" ht="17.399999999999999" hidden="1" customHeight="1" outlineLevel="1" thickBot="1" x14ac:dyDescent="0.4">
      <c r="A282" s="5"/>
      <c r="B282" s="100"/>
      <c r="C282" s="101"/>
      <c r="D282" s="101"/>
      <c r="E282" s="101"/>
      <c r="F282" s="101"/>
      <c r="G282" s="102"/>
      <c r="H282" s="5"/>
      <c r="I282" s="5"/>
      <c r="J282" s="5"/>
      <c r="K282" s="5"/>
      <c r="L282" s="5"/>
      <c r="M282" s="5"/>
    </row>
    <row r="283" spans="1:14" s="4" customFormat="1" ht="17.399999999999999" hidden="1" customHeight="1" outlineLevel="1" x14ac:dyDescent="0.35">
      <c r="A283" s="5"/>
      <c r="B283" s="380" t="s">
        <v>29</v>
      </c>
      <c r="C283" s="381"/>
      <c r="D283" s="381"/>
      <c r="E283" s="381"/>
      <c r="F283" s="381"/>
      <c r="G283" s="382"/>
      <c r="H283" s="5"/>
      <c r="I283" s="5"/>
      <c r="J283" s="5"/>
      <c r="K283" s="5"/>
      <c r="L283" s="5"/>
      <c r="M283" s="5"/>
    </row>
    <row r="284" spans="1:14" s="4" customFormat="1" ht="17.399999999999999" hidden="1" customHeight="1" outlineLevel="1" x14ac:dyDescent="0.35">
      <c r="A284" s="5"/>
      <c r="B284" s="67" t="s">
        <v>65</v>
      </c>
      <c r="C284" s="65"/>
      <c r="D284" s="65"/>
      <c r="E284" s="65"/>
      <c r="F284" s="65"/>
      <c r="G284" s="105"/>
      <c r="H284" s="5"/>
      <c r="I284" s="5"/>
      <c r="J284" s="5"/>
      <c r="K284" s="5"/>
      <c r="L284" s="5"/>
      <c r="M284" s="5"/>
    </row>
    <row r="285" spans="1:14" s="4" customFormat="1" ht="17.399999999999999" hidden="1" customHeight="1" outlineLevel="1" x14ac:dyDescent="0.35">
      <c r="A285" s="5"/>
      <c r="B285" s="67" t="s">
        <v>66</v>
      </c>
      <c r="C285" s="65"/>
      <c r="D285" s="65"/>
      <c r="E285" s="65"/>
      <c r="F285" s="65"/>
      <c r="G285" s="105"/>
      <c r="H285" s="5"/>
      <c r="I285" s="5"/>
      <c r="J285" s="5"/>
      <c r="K285" s="5"/>
      <c r="L285" s="5"/>
      <c r="M285" s="5"/>
    </row>
    <row r="286" spans="1:14" s="4" customFormat="1" ht="17.399999999999999" hidden="1" customHeight="1" outlineLevel="1" x14ac:dyDescent="0.35">
      <c r="A286" s="5"/>
      <c r="B286" s="67" t="s">
        <v>67</v>
      </c>
      <c r="C286" s="65"/>
      <c r="D286" s="65"/>
      <c r="E286" s="65"/>
      <c r="F286" s="65"/>
      <c r="G286" s="105"/>
      <c r="H286" s="5"/>
      <c r="I286" s="5"/>
      <c r="J286" s="5"/>
      <c r="K286" s="5"/>
      <c r="L286" s="5"/>
      <c r="M286" s="5"/>
    </row>
    <row r="287" spans="1:14" s="4" customFormat="1" ht="17.399999999999999" hidden="1" customHeight="1" outlineLevel="1" x14ac:dyDescent="0.35">
      <c r="A287" s="5"/>
      <c r="B287" s="67" t="s">
        <v>68</v>
      </c>
      <c r="C287" s="65"/>
      <c r="D287" s="65"/>
      <c r="E287" s="65"/>
      <c r="F287" s="65"/>
      <c r="G287" s="105"/>
      <c r="H287" s="5"/>
      <c r="I287" s="5"/>
      <c r="J287" s="5"/>
      <c r="K287" s="5"/>
      <c r="L287" s="5"/>
      <c r="M287" s="5"/>
    </row>
    <row r="288" spans="1:14" s="4" customFormat="1" ht="17.399999999999999" hidden="1" customHeight="1" outlineLevel="1" x14ac:dyDescent="0.35">
      <c r="A288" s="5"/>
      <c r="B288" s="67"/>
      <c r="C288" s="65"/>
      <c r="D288" s="65"/>
      <c r="E288" s="65"/>
      <c r="F288" s="65"/>
      <c r="G288" s="105"/>
      <c r="H288" s="5"/>
      <c r="I288" s="5"/>
      <c r="J288" s="5"/>
      <c r="K288" s="5"/>
      <c r="L288" s="5"/>
      <c r="M288" s="5"/>
    </row>
    <row r="289" spans="1:14" s="4" customFormat="1" ht="17.399999999999999" hidden="1" customHeight="1" outlineLevel="1" x14ac:dyDescent="0.35">
      <c r="A289" s="5"/>
      <c r="B289" s="67" t="s">
        <v>83</v>
      </c>
      <c r="C289" s="65"/>
      <c r="D289" s="65"/>
      <c r="E289" s="65"/>
      <c r="F289" s="65"/>
      <c r="G289" s="105"/>
      <c r="H289" s="5"/>
      <c r="I289" s="5"/>
      <c r="J289" s="5"/>
      <c r="K289" s="5"/>
      <c r="L289" s="5"/>
      <c r="M289" s="5"/>
    </row>
    <row r="290" spans="1:14" s="4" customFormat="1" ht="17.399999999999999" hidden="1" customHeight="1" outlineLevel="1" x14ac:dyDescent="0.35">
      <c r="A290" s="5"/>
      <c r="B290" s="67" t="s">
        <v>70</v>
      </c>
      <c r="C290" s="65"/>
      <c r="D290" s="65"/>
      <c r="E290" s="65"/>
      <c r="F290" s="65"/>
      <c r="G290" s="66"/>
      <c r="H290" s="5"/>
      <c r="I290" s="5"/>
      <c r="J290" s="5"/>
      <c r="K290" s="5"/>
      <c r="L290" s="5"/>
      <c r="M290" s="5"/>
    </row>
    <row r="291" spans="1:14" s="4" customFormat="1" ht="17.399999999999999" hidden="1" customHeight="1" outlineLevel="1" x14ac:dyDescent="0.35">
      <c r="A291" s="5"/>
      <c r="B291" s="67" t="s">
        <v>69</v>
      </c>
      <c r="C291" s="65"/>
      <c r="D291" s="65"/>
      <c r="E291" s="65"/>
      <c r="F291" s="65"/>
      <c r="G291" s="66"/>
      <c r="H291" s="5"/>
      <c r="I291" s="5"/>
      <c r="J291" s="5"/>
      <c r="K291" s="5"/>
      <c r="L291" s="5"/>
      <c r="M291" s="5"/>
    </row>
    <row r="292" spans="1:14" s="4" customFormat="1" ht="17.399999999999999" hidden="1" customHeight="1" outlineLevel="1" x14ac:dyDescent="0.35">
      <c r="A292" s="5"/>
      <c r="B292" s="67" t="s">
        <v>30</v>
      </c>
      <c r="C292" s="65"/>
      <c r="D292" s="65"/>
      <c r="E292" s="65"/>
      <c r="F292" s="65"/>
      <c r="G292" s="371" t="s">
        <v>2357</v>
      </c>
      <c r="H292" s="5"/>
      <c r="I292" s="5"/>
      <c r="J292" s="5"/>
      <c r="K292" s="5"/>
      <c r="L292" s="5"/>
      <c r="M292" s="5"/>
    </row>
    <row r="293" spans="1:14" s="4" customFormat="1" ht="17.399999999999999" hidden="1" customHeight="1" outlineLevel="1" x14ac:dyDescent="0.35">
      <c r="A293" s="5"/>
      <c r="B293" s="67" t="s">
        <v>84</v>
      </c>
      <c r="C293" s="65"/>
      <c r="D293" s="65"/>
      <c r="E293" s="65"/>
      <c r="F293" s="65"/>
      <c r="G293" s="105"/>
      <c r="H293" s="5"/>
      <c r="I293" s="5"/>
      <c r="J293" s="5"/>
      <c r="K293" s="5"/>
      <c r="L293" s="5"/>
      <c r="M293" s="5"/>
    </row>
    <row r="294" spans="1:14" s="4" customFormat="1" ht="17.399999999999999" hidden="1" customHeight="1" outlineLevel="1" x14ac:dyDescent="0.35">
      <c r="A294" s="5"/>
      <c r="B294" s="31" t="s">
        <v>85</v>
      </c>
      <c r="C294" s="65"/>
      <c r="D294" s="65"/>
      <c r="E294" s="65"/>
      <c r="F294" s="65"/>
      <c r="G294" s="371" t="s">
        <v>2363</v>
      </c>
      <c r="H294" s="5"/>
      <c r="I294" s="5"/>
      <c r="J294" s="5"/>
      <c r="K294" s="5"/>
      <c r="L294" s="5"/>
      <c r="M294" s="5"/>
    </row>
    <row r="295" spans="1:14" s="4" customFormat="1" ht="17.399999999999999" hidden="1" customHeight="1" outlineLevel="1" thickBot="1" x14ac:dyDescent="0.4">
      <c r="A295" s="5"/>
      <c r="B295" s="103"/>
      <c r="C295" s="92"/>
      <c r="D295" s="92"/>
      <c r="E295" s="92"/>
      <c r="F295" s="92"/>
      <c r="G295" s="93"/>
    </row>
    <row r="296" spans="1:14" hidden="1" outlineLevel="1" x14ac:dyDescent="0.25"/>
    <row r="297" spans="1:14" ht="16.2" hidden="1" outlineLevel="1" thickBot="1" x14ac:dyDescent="0.3"/>
    <row r="298" spans="1:14" s="4" customFormat="1" ht="17.399999999999999" customHeight="1" collapsed="1" thickBot="1" x14ac:dyDescent="0.4">
      <c r="A298" s="5"/>
      <c r="B298" s="166" t="s">
        <v>1279</v>
      </c>
      <c r="C298" s="169" t="s">
        <v>1315</v>
      </c>
      <c r="D298" s="168" t="s">
        <v>1281</v>
      </c>
      <c r="E298" s="337" t="s">
        <v>86</v>
      </c>
      <c r="F298" s="168" t="s">
        <v>1282</v>
      </c>
      <c r="G298" s="170" t="s">
        <v>1316</v>
      </c>
      <c r="H298" s="5"/>
      <c r="I298" s="5"/>
      <c r="J298" s="5"/>
      <c r="K298" s="5"/>
      <c r="L298" s="5"/>
      <c r="M298" s="5"/>
    </row>
    <row r="299" spans="1:14" s="4" customFormat="1" ht="17.399999999999999" hidden="1" customHeight="1" outlineLevel="1" x14ac:dyDescent="0.35">
      <c r="A299" s="5"/>
      <c r="B299" s="136" t="s">
        <v>1284</v>
      </c>
      <c r="C299" s="84" t="s">
        <v>1285</v>
      </c>
      <c r="D299" s="137" t="s">
        <v>1286</v>
      </c>
      <c r="E299" s="84" t="s">
        <v>1317</v>
      </c>
      <c r="F299" s="137" t="s">
        <v>1288</v>
      </c>
      <c r="G299" s="85" t="s">
        <v>1318</v>
      </c>
      <c r="H299" s="5"/>
      <c r="I299" s="5"/>
      <c r="J299" s="5"/>
      <c r="K299" s="5"/>
      <c r="L299" s="5"/>
      <c r="M299" s="5"/>
    </row>
    <row r="300" spans="1:14" s="4" customFormat="1" ht="17.399999999999999" hidden="1" customHeight="1" outlineLevel="1" thickBot="1" x14ac:dyDescent="0.4">
      <c r="A300" s="5"/>
      <c r="B300" s="171" t="s">
        <v>1290</v>
      </c>
      <c r="C300" s="172" t="s">
        <v>1291</v>
      </c>
      <c r="D300" s="173" t="s">
        <v>1292</v>
      </c>
      <c r="E300" s="172">
        <v>5</v>
      </c>
      <c r="F300" s="173" t="s">
        <v>1293</v>
      </c>
      <c r="G300" s="174" t="s">
        <v>1294</v>
      </c>
      <c r="H300" s="5"/>
      <c r="I300" s="5"/>
      <c r="J300" s="5"/>
      <c r="K300" s="5"/>
      <c r="L300" s="5"/>
      <c r="M300" s="5"/>
    </row>
    <row r="301" spans="1:14" s="4" customFormat="1" ht="17.399999999999999" hidden="1" customHeight="1" outlineLevel="1" x14ac:dyDescent="0.35">
      <c r="A301" s="5"/>
      <c r="B301" s="380" t="s">
        <v>1</v>
      </c>
      <c r="C301" s="381"/>
      <c r="D301" s="381"/>
      <c r="E301" s="381"/>
      <c r="F301" s="381"/>
      <c r="G301" s="382"/>
      <c r="H301" s="5"/>
      <c r="I301" s="5"/>
      <c r="J301" s="5"/>
      <c r="K301" s="5"/>
      <c r="L301" s="5"/>
      <c r="M301" s="5"/>
    </row>
    <row r="302" spans="1:14" s="4" customFormat="1" ht="17.399999999999999" hidden="1" customHeight="1" outlineLevel="1" x14ac:dyDescent="0.35">
      <c r="A302" s="5"/>
      <c r="B302" s="94" t="s">
        <v>2</v>
      </c>
      <c r="C302" s="95" t="s">
        <v>3</v>
      </c>
      <c r="D302" s="95" t="s">
        <v>4</v>
      </c>
      <c r="E302" s="95" t="s">
        <v>5</v>
      </c>
      <c r="F302" s="95"/>
      <c r="G302" s="96" t="s">
        <v>6</v>
      </c>
      <c r="H302" s="5"/>
      <c r="I302" s="5"/>
      <c r="J302" s="5"/>
      <c r="K302" s="5"/>
      <c r="L302" s="5"/>
      <c r="M302" s="5"/>
    </row>
    <row r="303" spans="1:14" s="4" customFormat="1" ht="17.399999999999999" hidden="1" customHeight="1" outlineLevel="1" x14ac:dyDescent="0.35">
      <c r="A303" s="5"/>
      <c r="B303" s="60" t="s">
        <v>7</v>
      </c>
      <c r="C303" s="61" t="s">
        <v>1468</v>
      </c>
      <c r="D303" s="61" t="s">
        <v>1469</v>
      </c>
      <c r="E303" s="61">
        <v>0</v>
      </c>
      <c r="F303" s="61" t="s">
        <v>1470</v>
      </c>
      <c r="G303" s="62" t="s">
        <v>1471</v>
      </c>
      <c r="H303" s="63"/>
      <c r="J303" s="4" t="s">
        <v>10</v>
      </c>
      <c r="N303" s="4">
        <v>1112</v>
      </c>
    </row>
    <row r="304" spans="1:14" s="4" customFormat="1" ht="17.399999999999999" hidden="1" customHeight="1" outlineLevel="1" x14ac:dyDescent="0.35">
      <c r="A304" s="5"/>
      <c r="B304" s="64" t="s">
        <v>14</v>
      </c>
      <c r="C304" s="65" t="s">
        <v>1475</v>
      </c>
      <c r="D304" s="65" t="s">
        <v>1469</v>
      </c>
      <c r="E304" s="65">
        <v>0</v>
      </c>
      <c r="F304" s="65" t="s">
        <v>1476</v>
      </c>
      <c r="G304" s="66" t="s">
        <v>1477</v>
      </c>
      <c r="H304" s="5"/>
      <c r="I304" s="5"/>
      <c r="J304" s="5" t="s">
        <v>10</v>
      </c>
      <c r="K304" s="5"/>
      <c r="L304" s="5"/>
      <c r="M304" s="5"/>
      <c r="N304" s="4">
        <v>2155</v>
      </c>
    </row>
    <row r="305" spans="1:14" s="4" customFormat="1" ht="17.399999999999999" hidden="1" customHeight="1" outlineLevel="1" x14ac:dyDescent="0.35">
      <c r="A305" s="5"/>
      <c r="B305" s="64" t="s">
        <v>15</v>
      </c>
      <c r="C305" s="65" t="s">
        <v>1478</v>
      </c>
      <c r="D305" s="65" t="s">
        <v>1469</v>
      </c>
      <c r="E305" s="65">
        <v>0</v>
      </c>
      <c r="F305" s="65" t="s">
        <v>1470</v>
      </c>
      <c r="G305" s="66"/>
      <c r="H305" s="5"/>
      <c r="I305" s="5"/>
      <c r="J305" s="5" t="s">
        <v>10</v>
      </c>
      <c r="K305" s="5"/>
      <c r="L305" s="5"/>
      <c r="M305" s="5"/>
      <c r="N305" s="4">
        <v>2430</v>
      </c>
    </row>
    <row r="306" spans="1:14" s="4" customFormat="1" ht="17.399999999999999" hidden="1" customHeight="1" outlineLevel="1" thickBot="1" x14ac:dyDescent="0.4">
      <c r="A306" s="5"/>
      <c r="B306" s="67" t="s">
        <v>87</v>
      </c>
      <c r="C306" s="84" t="s">
        <v>1535</v>
      </c>
      <c r="D306" s="84" t="s">
        <v>1469</v>
      </c>
      <c r="E306" s="84">
        <v>0</v>
      </c>
      <c r="F306" s="84" t="s">
        <v>1476</v>
      </c>
      <c r="G306" s="85"/>
      <c r="H306" s="5"/>
      <c r="I306" s="5"/>
      <c r="J306" s="5" t="s">
        <v>10</v>
      </c>
      <c r="K306" s="5"/>
      <c r="L306" s="5"/>
      <c r="M306" s="5"/>
      <c r="N306" s="4">
        <v>2433</v>
      </c>
    </row>
    <row r="307" spans="1:14" s="4" customFormat="1" ht="17.399999999999999" hidden="1" customHeight="1" outlineLevel="1" x14ac:dyDescent="0.35">
      <c r="A307" s="5"/>
      <c r="B307" s="380" t="s">
        <v>18</v>
      </c>
      <c r="C307" s="381"/>
      <c r="D307" s="381"/>
      <c r="E307" s="381"/>
      <c r="F307" s="381"/>
      <c r="G307" s="382"/>
      <c r="H307" s="5"/>
      <c r="I307" s="5"/>
      <c r="J307" s="5"/>
      <c r="K307" s="5"/>
      <c r="L307" s="5"/>
      <c r="M307" s="5"/>
    </row>
    <row r="308" spans="1:14" s="4" customFormat="1" ht="17.399999999999999" hidden="1" customHeight="1" outlineLevel="1" x14ac:dyDescent="0.35">
      <c r="A308" s="5"/>
      <c r="B308" s="94" t="s">
        <v>2</v>
      </c>
      <c r="C308" s="95" t="s">
        <v>3</v>
      </c>
      <c r="D308" s="95" t="s">
        <v>4</v>
      </c>
      <c r="E308" s="95" t="s">
        <v>5</v>
      </c>
      <c r="F308" s="95"/>
      <c r="G308" s="96" t="s">
        <v>6</v>
      </c>
      <c r="H308" s="5"/>
      <c r="I308" s="5"/>
      <c r="J308" s="5"/>
      <c r="K308" s="5"/>
      <c r="L308" s="5"/>
      <c r="M308" s="5"/>
    </row>
    <row r="309" spans="1:14" s="4" customFormat="1" ht="17.399999999999999" hidden="1" customHeight="1" outlineLevel="1" x14ac:dyDescent="0.35">
      <c r="A309" s="5"/>
      <c r="B309" s="64" t="s">
        <v>7</v>
      </c>
      <c r="C309" s="65" t="s">
        <v>1468</v>
      </c>
      <c r="D309" s="65" t="s">
        <v>1469</v>
      </c>
      <c r="E309" s="65">
        <v>0</v>
      </c>
      <c r="F309" s="65" t="s">
        <v>1470</v>
      </c>
      <c r="G309" s="66" t="s">
        <v>1471</v>
      </c>
      <c r="H309" s="5"/>
      <c r="I309" s="5"/>
      <c r="J309" s="5" t="s">
        <v>10</v>
      </c>
      <c r="K309" s="5"/>
      <c r="L309" s="5"/>
      <c r="M309" s="5"/>
      <c r="N309" s="4">
        <v>1112</v>
      </c>
    </row>
    <row r="310" spans="1:14" s="4" customFormat="1" ht="17.399999999999999" hidden="1" customHeight="1" outlineLevel="1" x14ac:dyDescent="0.35">
      <c r="A310" s="5"/>
      <c r="B310" s="64" t="s">
        <v>14</v>
      </c>
      <c r="C310" s="65" t="s">
        <v>1475</v>
      </c>
      <c r="D310" s="65" t="s">
        <v>1469</v>
      </c>
      <c r="E310" s="65">
        <v>0</v>
      </c>
      <c r="F310" s="65" t="s">
        <v>1476</v>
      </c>
      <c r="G310" s="66" t="s">
        <v>1477</v>
      </c>
      <c r="H310" s="5"/>
      <c r="I310" s="5"/>
      <c r="J310" s="5" t="s">
        <v>10</v>
      </c>
      <c r="K310" s="5"/>
      <c r="L310" s="5"/>
      <c r="M310" s="5"/>
      <c r="N310" s="4">
        <v>2155</v>
      </c>
    </row>
    <row r="311" spans="1:14" s="4" customFormat="1" ht="17.399999999999999" hidden="1" customHeight="1" outlineLevel="1" x14ac:dyDescent="0.35">
      <c r="A311" s="5"/>
      <c r="B311" s="64" t="s">
        <v>15</v>
      </c>
      <c r="C311" s="65" t="s">
        <v>1478</v>
      </c>
      <c r="D311" s="65" t="s">
        <v>1469</v>
      </c>
      <c r="E311" s="65">
        <v>0</v>
      </c>
      <c r="F311" s="65" t="s">
        <v>1470</v>
      </c>
      <c r="G311" s="66"/>
      <c r="H311" s="5"/>
      <c r="I311" s="5"/>
      <c r="J311" s="5" t="s">
        <v>10</v>
      </c>
      <c r="K311" s="5"/>
      <c r="L311" s="5"/>
      <c r="M311" s="5"/>
      <c r="N311" s="4">
        <v>2430</v>
      </c>
    </row>
    <row r="312" spans="1:14" s="4" customFormat="1" ht="17.399999999999999" hidden="1" customHeight="1" outlineLevel="1" x14ac:dyDescent="0.35">
      <c r="A312" s="5"/>
      <c r="B312" s="64" t="s">
        <v>87</v>
      </c>
      <c r="C312" s="65" t="s">
        <v>1535</v>
      </c>
      <c r="D312" s="65" t="s">
        <v>1469</v>
      </c>
      <c r="E312" s="65">
        <v>0</v>
      </c>
      <c r="F312" s="65" t="s">
        <v>1476</v>
      </c>
      <c r="G312" s="66"/>
      <c r="H312" s="5"/>
      <c r="I312" s="5"/>
      <c r="J312" s="5" t="s">
        <v>10</v>
      </c>
      <c r="K312" s="5"/>
      <c r="L312" s="5"/>
      <c r="M312" s="5"/>
      <c r="N312" s="4">
        <v>2433</v>
      </c>
    </row>
    <row r="313" spans="1:14" s="4" customFormat="1" ht="17.399999999999999" hidden="1" customHeight="1" outlineLevel="1" x14ac:dyDescent="0.35">
      <c r="A313" s="5"/>
      <c r="B313" s="64" t="s">
        <v>88</v>
      </c>
      <c r="C313" s="65" t="s">
        <v>1536</v>
      </c>
      <c r="D313" s="65" t="s">
        <v>1486</v>
      </c>
      <c r="E313" s="65">
        <v>0</v>
      </c>
      <c r="F313" s="65"/>
      <c r="G313" s="66"/>
      <c r="H313" s="5"/>
      <c r="I313" s="5"/>
      <c r="J313" s="5" t="s">
        <v>20</v>
      </c>
      <c r="K313" s="5"/>
      <c r="L313" s="5"/>
      <c r="M313" s="5"/>
      <c r="N313" s="4">
        <v>1270</v>
      </c>
    </row>
    <row r="314" spans="1:14" s="4" customFormat="1" ht="17.399999999999999" hidden="1" customHeight="1" outlineLevel="1" x14ac:dyDescent="0.35">
      <c r="A314" s="5"/>
      <c r="B314" s="64" t="s">
        <v>89</v>
      </c>
      <c r="C314" s="65" t="s">
        <v>1537</v>
      </c>
      <c r="D314" s="65" t="s">
        <v>1486</v>
      </c>
      <c r="E314" s="65">
        <v>0</v>
      </c>
      <c r="F314" s="65"/>
      <c r="G314" s="66"/>
      <c r="H314" s="5"/>
      <c r="I314" s="5"/>
      <c r="J314" s="5" t="s">
        <v>20</v>
      </c>
      <c r="K314" s="5"/>
      <c r="L314" s="5"/>
      <c r="M314" s="5"/>
      <c r="N314" s="4">
        <v>1273</v>
      </c>
    </row>
    <row r="315" spans="1:14" s="4" customFormat="1" ht="17.399999999999999" hidden="1" customHeight="1" outlineLevel="1" x14ac:dyDescent="0.35">
      <c r="A315" s="5"/>
      <c r="B315" s="64" t="s">
        <v>19</v>
      </c>
      <c r="C315" s="65" t="s">
        <v>1485</v>
      </c>
      <c r="D315" s="65" t="s">
        <v>1486</v>
      </c>
      <c r="E315" s="65">
        <v>0</v>
      </c>
      <c r="F315" s="65"/>
      <c r="G315" s="66"/>
      <c r="H315" s="5"/>
      <c r="I315" s="5"/>
      <c r="J315" s="5" t="s">
        <v>20</v>
      </c>
      <c r="K315" s="5"/>
      <c r="L315" s="5"/>
      <c r="M315" s="5"/>
      <c r="N315" s="4">
        <v>1203</v>
      </c>
    </row>
    <row r="316" spans="1:14" s="4" customFormat="1" ht="17.399999999999999" hidden="1" customHeight="1" outlineLevel="1" x14ac:dyDescent="0.35">
      <c r="A316" s="5"/>
      <c r="B316" s="64" t="s">
        <v>90</v>
      </c>
      <c r="C316" s="65" t="s">
        <v>1538</v>
      </c>
      <c r="D316" s="65" t="s">
        <v>1539</v>
      </c>
      <c r="E316" s="65">
        <v>0</v>
      </c>
      <c r="F316" s="65" t="s">
        <v>1470</v>
      </c>
      <c r="G316" s="66" t="s">
        <v>1540</v>
      </c>
      <c r="H316" s="5"/>
      <c r="I316" s="5"/>
      <c r="J316" s="5" t="s">
        <v>20</v>
      </c>
      <c r="K316" s="5"/>
      <c r="L316" s="5"/>
      <c r="M316" s="5"/>
      <c r="N316" s="4">
        <v>1162</v>
      </c>
    </row>
    <row r="317" spans="1:14" s="4" customFormat="1" ht="17.399999999999999" hidden="1" customHeight="1" outlineLevel="1" x14ac:dyDescent="0.35">
      <c r="A317" s="5"/>
      <c r="B317" s="64" t="s">
        <v>91</v>
      </c>
      <c r="C317" s="65" t="s">
        <v>1541</v>
      </c>
      <c r="D317" s="65" t="s">
        <v>1539</v>
      </c>
      <c r="E317" s="65">
        <v>0</v>
      </c>
      <c r="F317" s="65" t="s">
        <v>1470</v>
      </c>
      <c r="G317" s="66"/>
      <c r="H317" s="5"/>
      <c r="I317" s="5"/>
      <c r="J317" s="5" t="s">
        <v>20</v>
      </c>
      <c r="K317" s="5"/>
      <c r="L317" s="5"/>
      <c r="M317" s="5"/>
      <c r="N317" s="4">
        <v>1727</v>
      </c>
    </row>
    <row r="318" spans="1:14" s="4" customFormat="1" ht="17.399999999999999" hidden="1" customHeight="1" outlineLevel="1" x14ac:dyDescent="0.35">
      <c r="A318" s="5"/>
      <c r="B318" s="64" t="s">
        <v>62</v>
      </c>
      <c r="C318" s="65" t="s">
        <v>1525</v>
      </c>
      <c r="D318" s="65" t="s">
        <v>1489</v>
      </c>
      <c r="E318" s="65">
        <v>0</v>
      </c>
      <c r="F318" s="65"/>
      <c r="G318" s="66"/>
      <c r="H318" s="5"/>
      <c r="I318" s="5"/>
      <c r="J318" s="5" t="s">
        <v>20</v>
      </c>
      <c r="K318" s="5"/>
      <c r="L318" s="5"/>
      <c r="M318" s="5"/>
      <c r="N318" s="4">
        <v>1202</v>
      </c>
    </row>
    <row r="319" spans="1:14" s="4" customFormat="1" ht="17.399999999999999" hidden="1" customHeight="1" outlineLevel="1" x14ac:dyDescent="0.35">
      <c r="A319" s="5"/>
      <c r="B319" s="64"/>
      <c r="C319" s="65"/>
      <c r="D319" s="65"/>
      <c r="E319" s="65"/>
      <c r="F319" s="65"/>
      <c r="G319" s="66"/>
      <c r="H319" s="5"/>
      <c r="I319" s="5"/>
      <c r="J319" s="5"/>
      <c r="K319" s="5"/>
      <c r="L319" s="5"/>
      <c r="M319" s="5"/>
    </row>
    <row r="320" spans="1:14" s="4" customFormat="1" ht="17.399999999999999" hidden="1" customHeight="1" outlineLevel="1" x14ac:dyDescent="0.35">
      <c r="A320" s="5"/>
      <c r="B320" s="64"/>
      <c r="C320" s="65"/>
      <c r="D320" s="65"/>
      <c r="E320" s="65"/>
      <c r="F320" s="65"/>
      <c r="G320" s="66"/>
      <c r="H320" s="5"/>
      <c r="I320" s="5"/>
      <c r="J320" s="5"/>
      <c r="K320" s="5"/>
      <c r="L320" s="5"/>
      <c r="M320" s="5"/>
    </row>
    <row r="321" spans="1:14" s="4" customFormat="1" ht="17.399999999999999" hidden="1" customHeight="1" outlineLevel="1" thickBot="1" x14ac:dyDescent="0.4">
      <c r="A321" s="5"/>
      <c r="B321" s="64"/>
      <c r="C321" s="65"/>
      <c r="D321" s="65"/>
      <c r="E321" s="65"/>
      <c r="F321" s="65"/>
      <c r="G321" s="66"/>
      <c r="H321" s="5"/>
      <c r="I321" s="5"/>
      <c r="J321" s="5"/>
      <c r="K321" s="5"/>
      <c r="L321" s="5"/>
      <c r="M321" s="5"/>
    </row>
    <row r="322" spans="1:14" s="4" customFormat="1" ht="17.399999999999999" hidden="1" customHeight="1" outlineLevel="1" x14ac:dyDescent="0.35">
      <c r="A322" s="5"/>
      <c r="B322" s="380" t="s">
        <v>29</v>
      </c>
      <c r="C322" s="381"/>
      <c r="D322" s="381"/>
      <c r="E322" s="381"/>
      <c r="F322" s="381"/>
      <c r="G322" s="382"/>
      <c r="H322" s="5"/>
      <c r="I322" s="5"/>
      <c r="J322" s="5"/>
      <c r="K322" s="5"/>
      <c r="L322" s="5"/>
      <c r="M322" s="5"/>
    </row>
    <row r="323" spans="1:14" s="4" customFormat="1" ht="17.399999999999999" hidden="1" customHeight="1" outlineLevel="1" x14ac:dyDescent="0.35">
      <c r="A323" s="5"/>
      <c r="B323" s="64" t="s">
        <v>92</v>
      </c>
      <c r="C323" s="65"/>
      <c r="D323" s="65"/>
      <c r="E323" s="65"/>
      <c r="F323" s="65"/>
      <c r="G323" s="66"/>
      <c r="H323" s="5"/>
      <c r="I323" s="5"/>
      <c r="J323" s="5"/>
      <c r="K323" s="5"/>
      <c r="L323" s="5"/>
      <c r="M323" s="5"/>
    </row>
    <row r="324" spans="1:14" s="4" customFormat="1" ht="17.399999999999999" hidden="1" customHeight="1" outlineLevel="1" x14ac:dyDescent="0.35">
      <c r="A324" s="5"/>
      <c r="B324" s="67" t="s">
        <v>30</v>
      </c>
      <c r="C324" s="65"/>
      <c r="D324" s="65"/>
      <c r="E324" s="65"/>
      <c r="F324" s="65"/>
      <c r="G324" s="371" t="s">
        <v>2357</v>
      </c>
      <c r="H324" s="5"/>
      <c r="I324" s="5"/>
      <c r="J324" s="5"/>
      <c r="K324" s="5"/>
      <c r="L324" s="5"/>
      <c r="M324" s="5"/>
    </row>
    <row r="325" spans="1:14" s="4" customFormat="1" ht="17.399999999999999" hidden="1" customHeight="1" outlineLevel="1" x14ac:dyDescent="0.35">
      <c r="A325" s="5"/>
      <c r="B325" s="64" t="s">
        <v>93</v>
      </c>
      <c r="C325" s="65"/>
      <c r="D325" s="65"/>
      <c r="E325" s="65"/>
      <c r="F325" s="65"/>
      <c r="G325" s="371" t="s">
        <v>2364</v>
      </c>
      <c r="H325" s="5"/>
      <c r="I325" s="5"/>
      <c r="J325" s="5"/>
      <c r="K325" s="5"/>
      <c r="L325" s="5"/>
      <c r="M325" s="5"/>
    </row>
    <row r="326" spans="1:14" s="4" customFormat="1" ht="17.399999999999999" hidden="1" customHeight="1" outlineLevel="1" x14ac:dyDescent="0.35">
      <c r="A326" s="5"/>
      <c r="B326" s="64"/>
      <c r="C326" s="65"/>
      <c r="D326" s="65"/>
      <c r="E326" s="65"/>
      <c r="F326" s="65"/>
      <c r="G326" s="66"/>
      <c r="H326" s="5"/>
      <c r="I326" s="5"/>
      <c r="J326" s="5"/>
      <c r="K326" s="5"/>
      <c r="L326" s="5"/>
      <c r="M326" s="5"/>
    </row>
    <row r="327" spans="1:14" s="4" customFormat="1" ht="17.399999999999999" hidden="1" customHeight="1" outlineLevel="1" thickBot="1" x14ac:dyDescent="0.4">
      <c r="A327" s="5"/>
      <c r="B327" s="91"/>
      <c r="C327" s="92"/>
      <c r="D327" s="92"/>
      <c r="E327" s="92"/>
      <c r="F327" s="92"/>
      <c r="G327" s="93"/>
      <c r="H327" s="5"/>
      <c r="I327" s="5"/>
      <c r="J327" s="5"/>
      <c r="K327" s="5"/>
      <c r="L327" s="5"/>
      <c r="M327" s="5"/>
    </row>
    <row r="328" spans="1:14" ht="16.2" hidden="1" outlineLevel="1" thickBot="1" x14ac:dyDescent="0.3"/>
    <row r="329" spans="1:14" s="4" customFormat="1" ht="17.399999999999999" customHeight="1" collapsed="1" thickBot="1" x14ac:dyDescent="0.4">
      <c r="A329" s="5"/>
      <c r="B329" s="166" t="s">
        <v>1279</v>
      </c>
      <c r="C329" s="169" t="s">
        <v>1319</v>
      </c>
      <c r="D329" s="168" t="s">
        <v>1281</v>
      </c>
      <c r="E329" s="337" t="s">
        <v>94</v>
      </c>
      <c r="F329" s="168" t="s">
        <v>1282</v>
      </c>
      <c r="G329" s="170" t="s">
        <v>1320</v>
      </c>
      <c r="H329" s="5"/>
      <c r="I329" s="5"/>
      <c r="J329" s="5"/>
      <c r="K329" s="5"/>
      <c r="L329" s="5"/>
      <c r="M329" s="5"/>
    </row>
    <row r="330" spans="1:14" s="4" customFormat="1" ht="17.399999999999999" hidden="1" customHeight="1" outlineLevel="1" x14ac:dyDescent="0.35">
      <c r="A330" s="5"/>
      <c r="B330" s="136" t="s">
        <v>1284</v>
      </c>
      <c r="C330" s="84" t="s">
        <v>1285</v>
      </c>
      <c r="D330" s="137" t="s">
        <v>1286</v>
      </c>
      <c r="E330" s="84" t="s">
        <v>1321</v>
      </c>
      <c r="F330" s="137" t="s">
        <v>1288</v>
      </c>
      <c r="G330" s="85" t="s">
        <v>1322</v>
      </c>
      <c r="H330" s="5"/>
      <c r="I330" s="5"/>
      <c r="J330" s="5"/>
      <c r="K330" s="5"/>
      <c r="L330" s="5"/>
      <c r="M330" s="5"/>
    </row>
    <row r="331" spans="1:14" s="4" customFormat="1" ht="17.399999999999999" hidden="1" customHeight="1" outlineLevel="1" thickBot="1" x14ac:dyDescent="0.4">
      <c r="A331" s="5"/>
      <c r="B331" s="171" t="s">
        <v>1290</v>
      </c>
      <c r="C331" s="172" t="s">
        <v>1291</v>
      </c>
      <c r="D331" s="173" t="s">
        <v>1292</v>
      </c>
      <c r="E331" s="172">
        <v>5</v>
      </c>
      <c r="F331" s="173" t="s">
        <v>1293</v>
      </c>
      <c r="G331" s="174" t="s">
        <v>1294</v>
      </c>
      <c r="H331" s="5"/>
      <c r="I331" s="5"/>
      <c r="J331" s="5"/>
      <c r="K331" s="5"/>
      <c r="L331" s="5"/>
      <c r="M331" s="5"/>
    </row>
    <row r="332" spans="1:14" s="4" customFormat="1" ht="17.399999999999999" hidden="1" customHeight="1" outlineLevel="1" x14ac:dyDescent="0.35">
      <c r="A332" s="5"/>
      <c r="B332" s="380" t="s">
        <v>1</v>
      </c>
      <c r="C332" s="381"/>
      <c r="D332" s="381"/>
      <c r="E332" s="381"/>
      <c r="F332" s="381"/>
      <c r="G332" s="382"/>
      <c r="H332" s="5"/>
      <c r="I332" s="5"/>
      <c r="J332" s="5"/>
      <c r="K332" s="5"/>
      <c r="L332" s="5"/>
      <c r="M332" s="5"/>
    </row>
    <row r="333" spans="1:14" s="4" customFormat="1" ht="17.399999999999999" hidden="1" customHeight="1" outlineLevel="1" x14ac:dyDescent="0.35">
      <c r="A333" s="5"/>
      <c r="B333" s="94" t="s">
        <v>2</v>
      </c>
      <c r="C333" s="95" t="s">
        <v>3</v>
      </c>
      <c r="D333" s="95" t="s">
        <v>4</v>
      </c>
      <c r="E333" s="95" t="s">
        <v>5</v>
      </c>
      <c r="F333" s="95"/>
      <c r="G333" s="96" t="s">
        <v>6</v>
      </c>
      <c r="H333" s="5"/>
      <c r="I333" s="5"/>
      <c r="J333" s="5"/>
      <c r="K333" s="5"/>
      <c r="L333" s="5"/>
      <c r="M333" s="5"/>
    </row>
    <row r="334" spans="1:14" s="4" customFormat="1" ht="17.399999999999999" hidden="1" customHeight="1" outlineLevel="1" x14ac:dyDescent="0.35">
      <c r="A334" s="5"/>
      <c r="B334" s="60" t="s">
        <v>14</v>
      </c>
      <c r="C334" s="61" t="s">
        <v>1475</v>
      </c>
      <c r="D334" s="61" t="s">
        <v>1469</v>
      </c>
      <c r="E334" s="61">
        <v>0</v>
      </c>
      <c r="F334" s="61" t="s">
        <v>1476</v>
      </c>
      <c r="G334" s="62" t="s">
        <v>1477</v>
      </c>
      <c r="H334" s="63"/>
      <c r="J334" s="4" t="s">
        <v>10</v>
      </c>
      <c r="N334" s="4">
        <v>2155</v>
      </c>
    </row>
    <row r="335" spans="1:14" s="4" customFormat="1" ht="17.399999999999999" hidden="1" customHeight="1" outlineLevel="1" x14ac:dyDescent="0.35">
      <c r="A335" s="5"/>
      <c r="B335" s="64" t="s">
        <v>15</v>
      </c>
      <c r="C335" s="65" t="s">
        <v>1478</v>
      </c>
      <c r="D335" s="65" t="s">
        <v>1469</v>
      </c>
      <c r="E335" s="65">
        <v>0</v>
      </c>
      <c r="F335" s="65" t="s">
        <v>1470</v>
      </c>
      <c r="G335" s="66"/>
      <c r="H335" s="5"/>
      <c r="I335" s="5"/>
      <c r="J335" s="5" t="s">
        <v>10</v>
      </c>
      <c r="K335" s="5"/>
      <c r="L335" s="5"/>
      <c r="M335" s="5"/>
      <c r="N335" s="4">
        <v>2430</v>
      </c>
    </row>
    <row r="336" spans="1:14" s="4" customFormat="1" ht="17.399999999999999" hidden="1" customHeight="1" outlineLevel="1" thickBot="1" x14ac:dyDescent="0.4">
      <c r="A336" s="5"/>
      <c r="B336" s="64" t="s">
        <v>87</v>
      </c>
      <c r="C336" s="65" t="s">
        <v>1535</v>
      </c>
      <c r="D336" s="65" t="s">
        <v>1469</v>
      </c>
      <c r="E336" s="65">
        <v>0</v>
      </c>
      <c r="F336" s="65" t="s">
        <v>1476</v>
      </c>
      <c r="G336" s="66"/>
      <c r="H336" s="5"/>
      <c r="I336" s="5"/>
      <c r="J336" s="5" t="s">
        <v>10</v>
      </c>
      <c r="K336" s="5"/>
      <c r="L336" s="5"/>
      <c r="M336" s="5"/>
      <c r="N336" s="4">
        <v>2433</v>
      </c>
    </row>
    <row r="337" spans="1:14" s="4" customFormat="1" ht="17.399999999999999" hidden="1" customHeight="1" outlineLevel="1" x14ac:dyDescent="0.35">
      <c r="A337" s="5"/>
      <c r="B337" s="380" t="s">
        <v>18</v>
      </c>
      <c r="C337" s="381"/>
      <c r="D337" s="381"/>
      <c r="E337" s="381"/>
      <c r="F337" s="381"/>
      <c r="G337" s="382"/>
      <c r="H337" s="5"/>
      <c r="I337" s="5"/>
      <c r="J337" s="5"/>
      <c r="K337" s="5"/>
      <c r="L337" s="5"/>
      <c r="M337" s="5"/>
    </row>
    <row r="338" spans="1:14" s="4" customFormat="1" ht="17.399999999999999" hidden="1" customHeight="1" outlineLevel="1" x14ac:dyDescent="0.35">
      <c r="A338" s="5"/>
      <c r="B338" s="338" t="s">
        <v>2</v>
      </c>
      <c r="C338" s="339" t="s">
        <v>3</v>
      </c>
      <c r="D338" s="339" t="s">
        <v>4</v>
      </c>
      <c r="E338" s="339" t="s">
        <v>5</v>
      </c>
      <c r="F338" s="339"/>
      <c r="G338" s="340" t="s">
        <v>6</v>
      </c>
      <c r="H338" s="5"/>
      <c r="I338" s="5"/>
      <c r="J338" s="5"/>
      <c r="K338" s="5"/>
      <c r="L338" s="5"/>
      <c r="M338" s="5"/>
    </row>
    <row r="339" spans="1:14" s="4" customFormat="1" ht="17.399999999999999" hidden="1" customHeight="1" outlineLevel="1" x14ac:dyDescent="0.35">
      <c r="A339" s="5"/>
      <c r="B339" s="67" t="s">
        <v>14</v>
      </c>
      <c r="C339" s="65" t="s">
        <v>1475</v>
      </c>
      <c r="D339" s="65" t="s">
        <v>1469</v>
      </c>
      <c r="E339" s="65">
        <v>0</v>
      </c>
      <c r="F339" s="65" t="s">
        <v>1476</v>
      </c>
      <c r="G339" s="66" t="s">
        <v>1477</v>
      </c>
      <c r="H339" s="5"/>
      <c r="I339" s="5"/>
      <c r="J339" s="5" t="s">
        <v>10</v>
      </c>
      <c r="K339" s="5"/>
      <c r="L339" s="5"/>
      <c r="M339" s="5"/>
      <c r="N339" s="4">
        <v>2155</v>
      </c>
    </row>
    <row r="340" spans="1:14" s="4" customFormat="1" ht="17.399999999999999" hidden="1" customHeight="1" outlineLevel="1" x14ac:dyDescent="0.35">
      <c r="A340" s="5"/>
      <c r="B340" s="67" t="s">
        <v>15</v>
      </c>
      <c r="C340" s="65" t="s">
        <v>1478</v>
      </c>
      <c r="D340" s="65" t="s">
        <v>1469</v>
      </c>
      <c r="E340" s="65">
        <v>0</v>
      </c>
      <c r="F340" s="65" t="s">
        <v>1470</v>
      </c>
      <c r="G340" s="66"/>
      <c r="H340" s="5"/>
      <c r="I340" s="5"/>
      <c r="J340" s="5" t="s">
        <v>10</v>
      </c>
      <c r="K340" s="5"/>
      <c r="L340" s="5"/>
      <c r="M340" s="5"/>
      <c r="N340" s="4">
        <v>2430</v>
      </c>
    </row>
    <row r="341" spans="1:14" s="4" customFormat="1" ht="17.399999999999999" hidden="1" customHeight="1" outlineLevel="1" x14ac:dyDescent="0.35">
      <c r="A341" s="5"/>
      <c r="B341" s="67" t="s">
        <v>87</v>
      </c>
      <c r="C341" s="65" t="s">
        <v>1535</v>
      </c>
      <c r="D341" s="65" t="s">
        <v>1469</v>
      </c>
      <c r="E341" s="65">
        <v>0</v>
      </c>
      <c r="F341" s="65" t="s">
        <v>1476</v>
      </c>
      <c r="G341" s="66"/>
      <c r="H341" s="5"/>
      <c r="I341" s="5"/>
      <c r="J341" s="5" t="s">
        <v>10</v>
      </c>
      <c r="K341" s="5"/>
      <c r="L341" s="5"/>
      <c r="M341" s="5"/>
      <c r="N341" s="4">
        <v>2433</v>
      </c>
    </row>
    <row r="342" spans="1:14" s="4" customFormat="1" ht="17.399999999999999" hidden="1" customHeight="1" outlineLevel="1" x14ac:dyDescent="0.35">
      <c r="A342" s="5"/>
      <c r="B342" s="67" t="s">
        <v>88</v>
      </c>
      <c r="C342" s="65" t="s">
        <v>1536</v>
      </c>
      <c r="D342" s="65" t="s">
        <v>1486</v>
      </c>
      <c r="E342" s="65">
        <v>0</v>
      </c>
      <c r="F342" s="65"/>
      <c r="G342" s="66"/>
      <c r="H342" s="5"/>
      <c r="I342" s="5"/>
      <c r="J342" s="5" t="s">
        <v>20</v>
      </c>
      <c r="K342" s="5"/>
      <c r="L342" s="5"/>
      <c r="M342" s="5"/>
      <c r="N342" s="4">
        <v>1270</v>
      </c>
    </row>
    <row r="343" spans="1:14" s="4" customFormat="1" ht="17.399999999999999" hidden="1" customHeight="1" outlineLevel="1" x14ac:dyDescent="0.35">
      <c r="A343" s="5"/>
      <c r="B343" s="67" t="s">
        <v>89</v>
      </c>
      <c r="C343" s="65" t="s">
        <v>1537</v>
      </c>
      <c r="D343" s="65" t="s">
        <v>1486</v>
      </c>
      <c r="E343" s="65">
        <v>0</v>
      </c>
      <c r="F343" s="65"/>
      <c r="G343" s="66"/>
      <c r="H343" s="5"/>
      <c r="I343" s="5"/>
      <c r="J343" s="5" t="s">
        <v>20</v>
      </c>
      <c r="K343" s="5"/>
      <c r="L343" s="5"/>
      <c r="M343" s="5"/>
      <c r="N343" s="4">
        <v>1273</v>
      </c>
    </row>
    <row r="344" spans="1:14" s="4" customFormat="1" ht="17.399999999999999" hidden="1" customHeight="1" outlineLevel="1" x14ac:dyDescent="0.35">
      <c r="A344" s="5"/>
      <c r="B344" s="67" t="s">
        <v>19</v>
      </c>
      <c r="C344" s="65" t="s">
        <v>1485</v>
      </c>
      <c r="D344" s="65" t="s">
        <v>1486</v>
      </c>
      <c r="E344" s="65">
        <v>0</v>
      </c>
      <c r="F344" s="65"/>
      <c r="G344" s="66"/>
      <c r="H344" s="5"/>
      <c r="I344" s="5"/>
      <c r="J344" s="5" t="s">
        <v>20</v>
      </c>
      <c r="K344" s="5"/>
      <c r="L344" s="5"/>
      <c r="M344" s="5"/>
      <c r="N344" s="4">
        <v>1203</v>
      </c>
    </row>
    <row r="345" spans="1:14" s="4" customFormat="1" ht="17.399999999999999" hidden="1" customHeight="1" outlineLevel="1" x14ac:dyDescent="0.35">
      <c r="A345" s="5"/>
      <c r="B345" s="67" t="s">
        <v>91</v>
      </c>
      <c r="C345" s="65" t="s">
        <v>1541</v>
      </c>
      <c r="D345" s="65" t="s">
        <v>1539</v>
      </c>
      <c r="E345" s="65">
        <v>0</v>
      </c>
      <c r="F345" s="65" t="s">
        <v>1470</v>
      </c>
      <c r="G345" s="66"/>
      <c r="H345" s="5"/>
      <c r="I345" s="5"/>
      <c r="J345" s="5" t="s">
        <v>20</v>
      </c>
      <c r="K345" s="5"/>
      <c r="L345" s="5"/>
      <c r="M345" s="5"/>
      <c r="N345" s="4">
        <v>1727</v>
      </c>
    </row>
    <row r="346" spans="1:14" s="4" customFormat="1" ht="17.399999999999999" hidden="1" customHeight="1" outlineLevel="1" x14ac:dyDescent="0.35">
      <c r="A346" s="5"/>
      <c r="B346" s="67" t="s">
        <v>62</v>
      </c>
      <c r="C346" s="65" t="s">
        <v>1525</v>
      </c>
      <c r="D346" s="65" t="s">
        <v>1489</v>
      </c>
      <c r="E346" s="65">
        <v>0</v>
      </c>
      <c r="F346" s="65"/>
      <c r="G346" s="66"/>
      <c r="H346" s="5"/>
      <c r="I346" s="5"/>
      <c r="J346" s="5" t="s">
        <v>20</v>
      </c>
      <c r="K346" s="5"/>
      <c r="L346" s="5"/>
      <c r="M346" s="5"/>
      <c r="N346" s="4">
        <v>1202</v>
      </c>
    </row>
    <row r="347" spans="1:14" s="4" customFormat="1" ht="17.399999999999999" hidden="1" customHeight="1" outlineLevel="1" x14ac:dyDescent="0.35">
      <c r="A347" s="5"/>
      <c r="B347" s="67" t="s">
        <v>95</v>
      </c>
      <c r="C347" s="65" t="s">
        <v>1542</v>
      </c>
      <c r="D347" s="65" t="s">
        <v>1494</v>
      </c>
      <c r="E347" s="65">
        <v>0</v>
      </c>
      <c r="F347" s="65"/>
      <c r="G347" s="66"/>
      <c r="H347" s="5"/>
      <c r="I347" s="5"/>
      <c r="J347" s="5" t="s">
        <v>20</v>
      </c>
      <c r="K347" s="5"/>
      <c r="L347" s="5"/>
      <c r="M347" s="5"/>
      <c r="N347" s="4">
        <v>1197</v>
      </c>
    </row>
    <row r="348" spans="1:14" s="4" customFormat="1" ht="17.399999999999999" hidden="1" customHeight="1" outlineLevel="1" x14ac:dyDescent="0.35">
      <c r="A348" s="5"/>
      <c r="B348" s="338"/>
      <c r="C348" s="339"/>
      <c r="D348" s="339"/>
      <c r="E348" s="339"/>
      <c r="F348" s="339"/>
      <c r="G348" s="340"/>
      <c r="H348" s="5"/>
      <c r="I348" s="5"/>
      <c r="J348" s="5"/>
      <c r="K348" s="5"/>
      <c r="L348" s="5"/>
      <c r="M348" s="5"/>
    </row>
    <row r="349" spans="1:14" s="4" customFormat="1" ht="17.399999999999999" hidden="1" customHeight="1" outlineLevel="1" thickBot="1" x14ac:dyDescent="0.4">
      <c r="A349" s="5"/>
      <c r="B349" s="341"/>
      <c r="C349" s="342"/>
      <c r="D349" s="342"/>
      <c r="E349" s="342"/>
      <c r="F349" s="342"/>
      <c r="G349" s="343"/>
      <c r="H349" s="5"/>
      <c r="I349" s="5"/>
      <c r="J349" s="5"/>
      <c r="K349" s="5"/>
      <c r="L349" s="5"/>
      <c r="M349" s="5"/>
    </row>
    <row r="350" spans="1:14" s="4" customFormat="1" ht="17.399999999999999" hidden="1" customHeight="1" outlineLevel="1" x14ac:dyDescent="0.35">
      <c r="A350" s="5"/>
      <c r="B350" s="380" t="s">
        <v>29</v>
      </c>
      <c r="C350" s="381"/>
      <c r="D350" s="381"/>
      <c r="E350" s="381"/>
      <c r="F350" s="381"/>
      <c r="G350" s="382"/>
      <c r="H350" s="5"/>
      <c r="I350" s="5"/>
      <c r="J350" s="5"/>
      <c r="K350" s="5"/>
      <c r="L350" s="5"/>
      <c r="M350" s="5"/>
    </row>
    <row r="351" spans="1:14" s="4" customFormat="1" ht="17.399999999999999" hidden="1" customHeight="1" outlineLevel="1" x14ac:dyDescent="0.35">
      <c r="A351" s="5"/>
      <c r="B351" s="344" t="s">
        <v>92</v>
      </c>
      <c r="C351" s="345"/>
      <c r="D351" s="345"/>
      <c r="E351" s="345"/>
      <c r="F351" s="345"/>
      <c r="G351" s="346"/>
      <c r="H351" s="5"/>
      <c r="I351" s="5"/>
      <c r="J351" s="5"/>
      <c r="K351" s="5"/>
      <c r="L351" s="5"/>
      <c r="M351" s="5"/>
    </row>
    <row r="352" spans="1:14" s="4" customFormat="1" ht="17.399999999999999" hidden="1" customHeight="1" outlineLevel="1" x14ac:dyDescent="0.35">
      <c r="A352" s="5"/>
      <c r="B352" s="67" t="s">
        <v>30</v>
      </c>
      <c r="C352" s="65"/>
      <c r="D352" s="65"/>
      <c r="E352" s="65"/>
      <c r="F352" s="65"/>
      <c r="G352" s="371" t="s">
        <v>2357</v>
      </c>
      <c r="H352" s="5"/>
      <c r="I352" s="5"/>
      <c r="J352" s="5"/>
      <c r="K352" s="5"/>
      <c r="L352" s="5"/>
      <c r="M352" s="5"/>
    </row>
    <row r="353" spans="1:14" s="4" customFormat="1" ht="17.399999999999999" hidden="1" customHeight="1" outlineLevel="1" x14ac:dyDescent="0.35">
      <c r="A353" s="5"/>
      <c r="B353" s="341" t="s">
        <v>96</v>
      </c>
      <c r="C353" s="339"/>
      <c r="D353" s="339"/>
      <c r="E353" s="339"/>
      <c r="F353" s="339"/>
      <c r="G353" s="372" t="s">
        <v>2365</v>
      </c>
      <c r="H353" s="5"/>
      <c r="I353" s="5"/>
      <c r="J353" s="5"/>
      <c r="K353" s="5"/>
      <c r="L353" s="5"/>
      <c r="M353" s="5"/>
    </row>
    <row r="354" spans="1:14" s="3" customFormat="1" ht="17.399999999999999" hidden="1" customHeight="1" outlineLevel="1" x14ac:dyDescent="0.25">
      <c r="A354" s="5"/>
      <c r="B354" s="347"/>
      <c r="C354" s="339"/>
      <c r="D354" s="339"/>
      <c r="E354" s="339"/>
      <c r="F354" s="339"/>
      <c r="G354" s="348"/>
    </row>
    <row r="355" spans="1:14" s="4" customFormat="1" ht="17.399999999999999" hidden="1" customHeight="1" outlineLevel="1" thickBot="1" x14ac:dyDescent="0.4">
      <c r="A355" s="5"/>
      <c r="B355" s="349"/>
      <c r="C355" s="350"/>
      <c r="D355" s="350"/>
      <c r="E355" s="350"/>
      <c r="F355" s="350"/>
      <c r="G355" s="351"/>
    </row>
    <row r="356" spans="1:14" ht="16.2" hidden="1" outlineLevel="1" thickBot="1" x14ac:dyDescent="0.3"/>
    <row r="357" spans="1:14" s="4" customFormat="1" ht="17.399999999999999" customHeight="1" collapsed="1" thickBot="1" x14ac:dyDescent="0.4">
      <c r="A357" s="5"/>
      <c r="B357" s="166" t="s">
        <v>1279</v>
      </c>
      <c r="C357" s="169" t="s">
        <v>1323</v>
      </c>
      <c r="D357" s="168" t="s">
        <v>1281</v>
      </c>
      <c r="E357" s="169" t="s">
        <v>97</v>
      </c>
      <c r="F357" s="168" t="s">
        <v>1282</v>
      </c>
      <c r="G357" s="170" t="s">
        <v>1324</v>
      </c>
      <c r="H357" s="5"/>
      <c r="I357" s="5"/>
      <c r="J357" s="5"/>
      <c r="K357" s="5"/>
      <c r="L357" s="5"/>
      <c r="M357" s="5"/>
    </row>
    <row r="358" spans="1:14" s="4" customFormat="1" ht="17.399999999999999" hidden="1" customHeight="1" outlineLevel="1" x14ac:dyDescent="0.35">
      <c r="A358" s="5"/>
      <c r="B358" s="136" t="s">
        <v>1284</v>
      </c>
      <c r="C358" s="84" t="s">
        <v>1285</v>
      </c>
      <c r="D358" s="137" t="s">
        <v>1286</v>
      </c>
      <c r="E358" s="84" t="s">
        <v>1325</v>
      </c>
      <c r="F358" s="137" t="s">
        <v>1288</v>
      </c>
      <c r="G358" s="85" t="s">
        <v>1326</v>
      </c>
      <c r="H358" s="5"/>
      <c r="I358" s="5"/>
      <c r="J358" s="5"/>
      <c r="K358" s="5"/>
      <c r="L358" s="5"/>
      <c r="M358" s="5"/>
    </row>
    <row r="359" spans="1:14" s="4" customFormat="1" ht="17.399999999999999" hidden="1" customHeight="1" outlineLevel="1" thickBot="1" x14ac:dyDescent="0.4">
      <c r="A359" s="5"/>
      <c r="B359" s="171" t="s">
        <v>1290</v>
      </c>
      <c r="C359" s="172" t="s">
        <v>1291</v>
      </c>
      <c r="D359" s="173" t="s">
        <v>1292</v>
      </c>
      <c r="E359" s="172">
        <v>5</v>
      </c>
      <c r="F359" s="173" t="s">
        <v>1293</v>
      </c>
      <c r="G359" s="174" t="s">
        <v>1294</v>
      </c>
      <c r="H359" s="5"/>
      <c r="I359" s="5"/>
      <c r="J359" s="5"/>
      <c r="K359" s="5"/>
      <c r="L359" s="5"/>
      <c r="M359" s="5"/>
    </row>
    <row r="360" spans="1:14" s="4" customFormat="1" ht="17.399999999999999" hidden="1" customHeight="1" outlineLevel="1" x14ac:dyDescent="0.35">
      <c r="A360" s="5"/>
      <c r="B360" s="380" t="s">
        <v>1</v>
      </c>
      <c r="C360" s="381"/>
      <c r="D360" s="381"/>
      <c r="E360" s="381"/>
      <c r="F360" s="381"/>
      <c r="G360" s="382"/>
      <c r="H360" s="5"/>
      <c r="I360" s="5"/>
      <c r="J360" s="5"/>
      <c r="K360" s="5"/>
      <c r="L360" s="5"/>
      <c r="M360" s="5"/>
    </row>
    <row r="361" spans="1:14" s="4" customFormat="1" ht="17.399999999999999" hidden="1" customHeight="1" outlineLevel="1" x14ac:dyDescent="0.35">
      <c r="A361" s="5"/>
      <c r="B361" s="94" t="s">
        <v>2</v>
      </c>
      <c r="C361" s="95" t="s">
        <v>3</v>
      </c>
      <c r="D361" s="95" t="s">
        <v>4</v>
      </c>
      <c r="E361" s="95" t="s">
        <v>5</v>
      </c>
      <c r="F361" s="95"/>
      <c r="G361" s="96" t="s">
        <v>6</v>
      </c>
      <c r="H361" s="5"/>
      <c r="I361" s="5"/>
      <c r="J361" s="5"/>
      <c r="K361" s="5"/>
      <c r="L361" s="5"/>
      <c r="M361" s="5"/>
    </row>
    <row r="362" spans="1:14" s="4" customFormat="1" ht="17.399999999999999" hidden="1" customHeight="1" outlineLevel="1" x14ac:dyDescent="0.35">
      <c r="A362" s="5"/>
      <c r="B362" s="60" t="s">
        <v>7</v>
      </c>
      <c r="C362" s="61" t="s">
        <v>1468</v>
      </c>
      <c r="D362" s="61" t="s">
        <v>1469</v>
      </c>
      <c r="E362" s="61">
        <v>0</v>
      </c>
      <c r="F362" s="61" t="s">
        <v>1470</v>
      </c>
      <c r="G362" s="62" t="s">
        <v>1471</v>
      </c>
      <c r="H362" s="63"/>
      <c r="J362" s="4" t="s">
        <v>10</v>
      </c>
      <c r="N362" s="4">
        <v>1112</v>
      </c>
    </row>
    <row r="363" spans="1:14" s="4" customFormat="1" ht="17.399999999999999" hidden="1" customHeight="1" outlineLevel="1" x14ac:dyDescent="0.35">
      <c r="A363" s="5"/>
      <c r="B363" s="64" t="s">
        <v>15</v>
      </c>
      <c r="C363" s="65" t="s">
        <v>1478</v>
      </c>
      <c r="D363" s="65" t="s">
        <v>1469</v>
      </c>
      <c r="E363" s="65">
        <v>0</v>
      </c>
      <c r="F363" s="65" t="s">
        <v>1470</v>
      </c>
      <c r="G363" s="66"/>
      <c r="H363" s="5"/>
      <c r="I363" s="5"/>
      <c r="J363" s="5" t="s">
        <v>10</v>
      </c>
      <c r="K363" s="5"/>
      <c r="L363" s="5"/>
      <c r="M363" s="5"/>
      <c r="N363" s="4">
        <v>2430</v>
      </c>
    </row>
    <row r="364" spans="1:14" s="4" customFormat="1" ht="17.399999999999999" hidden="1" customHeight="1" outlineLevel="1" x14ac:dyDescent="0.35">
      <c r="A364" s="5"/>
      <c r="B364" s="64" t="s">
        <v>14</v>
      </c>
      <c r="C364" s="65" t="s">
        <v>1475</v>
      </c>
      <c r="D364" s="65" t="s">
        <v>1469</v>
      </c>
      <c r="E364" s="65">
        <v>0</v>
      </c>
      <c r="F364" s="65" t="s">
        <v>1476</v>
      </c>
      <c r="G364" s="66" t="s">
        <v>1477</v>
      </c>
      <c r="H364" s="5" t="s">
        <v>98</v>
      </c>
      <c r="I364" s="5"/>
      <c r="J364" s="5" t="s">
        <v>10</v>
      </c>
      <c r="K364" s="5"/>
      <c r="L364" s="5"/>
      <c r="M364" s="5"/>
      <c r="N364" s="4">
        <v>2155</v>
      </c>
    </row>
    <row r="365" spans="1:14" s="4" customFormat="1" ht="17.399999999999999" hidden="1" customHeight="1" outlineLevel="1" x14ac:dyDescent="0.35">
      <c r="A365" s="5"/>
      <c r="B365" s="67" t="s">
        <v>87</v>
      </c>
      <c r="C365" s="65" t="s">
        <v>1535</v>
      </c>
      <c r="D365" s="65" t="s">
        <v>1469</v>
      </c>
      <c r="E365" s="65">
        <v>0</v>
      </c>
      <c r="F365" s="65" t="s">
        <v>1476</v>
      </c>
      <c r="G365" s="66"/>
      <c r="H365" s="5" t="s">
        <v>99</v>
      </c>
      <c r="I365" s="5"/>
      <c r="J365" s="5" t="s">
        <v>10</v>
      </c>
      <c r="K365" s="5"/>
      <c r="L365" s="5"/>
      <c r="M365" s="5"/>
      <c r="N365" s="4">
        <v>2433</v>
      </c>
    </row>
    <row r="366" spans="1:14" s="4" customFormat="1" ht="17.399999999999999" hidden="1" customHeight="1" outlineLevel="1" thickBot="1" x14ac:dyDescent="0.4">
      <c r="A366" s="5"/>
      <c r="B366" s="91"/>
      <c r="C366" s="92"/>
      <c r="D366" s="92"/>
      <c r="E366" s="92"/>
      <c r="F366" s="92"/>
      <c r="G366" s="93"/>
      <c r="H366" s="5"/>
      <c r="I366" s="5"/>
      <c r="J366" s="5"/>
      <c r="K366" s="5"/>
      <c r="L366" s="5"/>
      <c r="M366" s="5"/>
    </row>
    <row r="367" spans="1:14" s="4" customFormat="1" ht="17.399999999999999" hidden="1" customHeight="1" outlineLevel="1" x14ac:dyDescent="0.35">
      <c r="A367" s="5"/>
      <c r="B367" s="392" t="s">
        <v>18</v>
      </c>
      <c r="C367" s="393"/>
      <c r="D367" s="393"/>
      <c r="E367" s="393"/>
      <c r="F367" s="393"/>
      <c r="G367" s="394"/>
      <c r="H367" s="5"/>
      <c r="I367" s="5"/>
      <c r="J367" s="5"/>
      <c r="K367" s="5"/>
      <c r="L367" s="5"/>
      <c r="M367" s="5"/>
    </row>
    <row r="368" spans="1:14" s="4" customFormat="1" ht="17.399999999999999" hidden="1" customHeight="1" outlineLevel="1" x14ac:dyDescent="0.35">
      <c r="A368" s="5"/>
      <c r="B368" s="94" t="s">
        <v>2</v>
      </c>
      <c r="C368" s="95" t="s">
        <v>3</v>
      </c>
      <c r="D368" s="95" t="s">
        <v>4</v>
      </c>
      <c r="E368" s="95" t="s">
        <v>5</v>
      </c>
      <c r="F368" s="95"/>
      <c r="G368" s="96" t="s">
        <v>6</v>
      </c>
      <c r="H368" s="5"/>
      <c r="I368" s="5"/>
      <c r="J368" s="5"/>
      <c r="K368" s="5"/>
      <c r="L368" s="5"/>
      <c r="M368" s="5"/>
    </row>
    <row r="369" spans="1:14" s="4" customFormat="1" ht="17.399999999999999" hidden="1" customHeight="1" outlineLevel="1" x14ac:dyDescent="0.35">
      <c r="A369" s="5"/>
      <c r="B369" s="67" t="s">
        <v>7</v>
      </c>
      <c r="C369" s="65" t="s">
        <v>1468</v>
      </c>
      <c r="D369" s="65" t="s">
        <v>1469</v>
      </c>
      <c r="E369" s="65">
        <v>0</v>
      </c>
      <c r="F369" s="65" t="s">
        <v>1470</v>
      </c>
      <c r="G369" s="66" t="s">
        <v>1471</v>
      </c>
      <c r="H369" s="5" t="str">
        <f>"{"&amp;B369&amp;"},"</f>
        <v>{产品编号},</v>
      </c>
      <c r="I369" s="5" t="str">
        <f>"{title: '"&amp;B369&amp;"',field: '"&amp;C369&amp;"',formatter:function(value){return format('number', '$####.##', value)}},"</f>
        <v>{title: '产品编号',field: 'pd_no',formatter:function(value){return format('number', '$####.##', value)}},</v>
      </c>
      <c r="J369" s="5" t="s">
        <v>10</v>
      </c>
      <c r="K369" s="5"/>
      <c r="L369" s="5"/>
      <c r="M369" s="5"/>
      <c r="N369" s="4">
        <v>1112</v>
      </c>
    </row>
    <row r="370" spans="1:14" s="4" customFormat="1" ht="17.399999999999999" hidden="1" customHeight="1" outlineLevel="1" x14ac:dyDescent="0.35">
      <c r="A370" s="5"/>
      <c r="B370" s="67" t="s">
        <v>14</v>
      </c>
      <c r="C370" s="65" t="s">
        <v>1475</v>
      </c>
      <c r="D370" s="65" t="s">
        <v>1469</v>
      </c>
      <c r="E370" s="65">
        <v>0</v>
      </c>
      <c r="F370" s="65" t="s">
        <v>1476</v>
      </c>
      <c r="G370" s="66" t="s">
        <v>1477</v>
      </c>
      <c r="H370" s="5" t="str">
        <f t="shared" ref="H370:H387" si="2">"{"&amp;B370&amp;"},"</f>
        <v>{市场编号},</v>
      </c>
      <c r="I370" s="5" t="str">
        <f t="shared" ref="I370:I387" si="3">"{title: '"&amp;B370&amp;"',field: '"&amp;C370&amp;"',formatter:function(value){return format('number', '$####.##', value)}},"</f>
        <v>{title: '市场编号',field: 'exch_no',formatter:function(value){return format('number', '$####.##', value)}},</v>
      </c>
      <c r="J370" s="5" t="s">
        <v>10</v>
      </c>
      <c r="K370" s="5"/>
      <c r="L370" s="5"/>
      <c r="M370" s="5"/>
      <c r="N370" s="4">
        <v>2155</v>
      </c>
    </row>
    <row r="371" spans="1:14" s="4" customFormat="1" ht="17.399999999999999" hidden="1" customHeight="1" outlineLevel="1" x14ac:dyDescent="0.35">
      <c r="A371" s="5"/>
      <c r="B371" s="67" t="s">
        <v>100</v>
      </c>
      <c r="C371" s="65" t="s">
        <v>1543</v>
      </c>
      <c r="D371" s="65" t="s">
        <v>1469</v>
      </c>
      <c r="E371" s="65">
        <v>0</v>
      </c>
      <c r="F371" s="65" t="s">
        <v>1476</v>
      </c>
      <c r="G371" s="66" t="s">
        <v>1544</v>
      </c>
      <c r="H371" s="5"/>
      <c r="I371" s="5"/>
      <c r="J371" s="5"/>
      <c r="K371" s="5"/>
      <c r="L371" s="5"/>
      <c r="M371" s="5"/>
    </row>
    <row r="372" spans="1:14" s="4" customFormat="1" ht="17.399999999999999" hidden="1" customHeight="1" outlineLevel="1" x14ac:dyDescent="0.35">
      <c r="A372" s="5"/>
      <c r="B372" s="67" t="s">
        <v>15</v>
      </c>
      <c r="C372" s="65" t="s">
        <v>1478</v>
      </c>
      <c r="D372" s="65" t="s">
        <v>1469</v>
      </c>
      <c r="E372" s="65">
        <v>0</v>
      </c>
      <c r="F372" s="65" t="s">
        <v>1470</v>
      </c>
      <c r="G372" s="66"/>
      <c r="H372" s="5" t="str">
        <f t="shared" si="2"/>
        <v>{证券代码编号},</v>
      </c>
      <c r="I372" s="5" t="str">
        <f t="shared" si="3"/>
        <v>{title: '证券代码编号',field: 'stock_code_no',formatter:function(value){return format('number', '$####.##', value)}},</v>
      </c>
      <c r="J372" s="5" t="s">
        <v>10</v>
      </c>
      <c r="K372" s="5"/>
      <c r="L372" s="5"/>
      <c r="M372" s="5"/>
      <c r="N372" s="4">
        <v>2430</v>
      </c>
    </row>
    <row r="373" spans="1:14" s="4" customFormat="1" ht="17.399999999999999" hidden="1" customHeight="1" outlineLevel="1" x14ac:dyDescent="0.35">
      <c r="A373" s="5"/>
      <c r="B373" s="67" t="s">
        <v>87</v>
      </c>
      <c r="C373" s="65" t="s">
        <v>1535</v>
      </c>
      <c r="D373" s="65" t="s">
        <v>1469</v>
      </c>
      <c r="E373" s="65">
        <v>0</v>
      </c>
      <c r="F373" s="65" t="s">
        <v>1476</v>
      </c>
      <c r="G373" s="66"/>
      <c r="H373" s="5" t="str">
        <f t="shared" si="2"/>
        <v>{证券类型},</v>
      </c>
      <c r="I373" s="5" t="str">
        <f t="shared" si="3"/>
        <v>{title: '证券类型',field: 'stock_type',formatter:function(value){return format('number', '$####.##', value)}},</v>
      </c>
      <c r="J373" s="5" t="s">
        <v>10</v>
      </c>
      <c r="K373" s="5"/>
      <c r="L373" s="5"/>
      <c r="M373" s="5"/>
      <c r="N373" s="4">
        <v>2433</v>
      </c>
    </row>
    <row r="374" spans="1:14" s="4" customFormat="1" ht="17.399999999999999" hidden="1" customHeight="1" outlineLevel="1" x14ac:dyDescent="0.35">
      <c r="A374" s="5"/>
      <c r="B374" s="67" t="s">
        <v>101</v>
      </c>
      <c r="C374" s="65" t="s">
        <v>1545</v>
      </c>
      <c r="D374" s="65" t="s">
        <v>1486</v>
      </c>
      <c r="E374" s="65">
        <v>0</v>
      </c>
      <c r="F374" s="65" t="s">
        <v>1470</v>
      </c>
      <c r="G374" s="66"/>
      <c r="H374" s="5" t="str">
        <f t="shared" si="2"/>
        <v>{昨日持仓数量},</v>
      </c>
      <c r="I374" s="5" t="str">
        <f t="shared" si="3"/>
        <v>{title: '昨日持仓数量',field: 'pre_holding_qty',formatter:function(value){return format('number', '$####.##', value)}},</v>
      </c>
      <c r="J374" s="5" t="s">
        <v>20</v>
      </c>
      <c r="K374" s="5"/>
      <c r="L374" s="5"/>
      <c r="M374" s="5"/>
      <c r="N374" s="4">
        <v>2591</v>
      </c>
    </row>
    <row r="375" spans="1:14" s="4" customFormat="1" ht="17.399999999999999" hidden="1" customHeight="1" outlineLevel="1" x14ac:dyDescent="0.35">
      <c r="A375" s="5"/>
      <c r="B375" s="67" t="s">
        <v>88</v>
      </c>
      <c r="C375" s="65" t="s">
        <v>1536</v>
      </c>
      <c r="D375" s="65" t="s">
        <v>1486</v>
      </c>
      <c r="E375" s="65">
        <v>0</v>
      </c>
      <c r="F375" s="65"/>
      <c r="G375" s="66"/>
      <c r="H375" s="5" t="str">
        <f t="shared" si="2"/>
        <v>{当日买入数量},</v>
      </c>
      <c r="I375" s="5" t="str">
        <f t="shared" si="3"/>
        <v>{title: '当日买入数量',field: 'today_buy_qty',formatter:function(value){return format('number', '$####.##', value)}},</v>
      </c>
      <c r="J375" s="5" t="s">
        <v>20</v>
      </c>
      <c r="K375" s="5"/>
      <c r="L375" s="5"/>
      <c r="M375" s="5"/>
      <c r="N375" s="4">
        <v>1270</v>
      </c>
    </row>
    <row r="376" spans="1:14" s="4" customFormat="1" ht="17.399999999999999" hidden="1" customHeight="1" outlineLevel="1" x14ac:dyDescent="0.35">
      <c r="A376" s="5"/>
      <c r="B376" s="67" t="s">
        <v>102</v>
      </c>
      <c r="C376" s="65" t="s">
        <v>1546</v>
      </c>
      <c r="D376" s="65" t="s">
        <v>1489</v>
      </c>
      <c r="E376" s="65">
        <v>0</v>
      </c>
      <c r="F376" s="65"/>
      <c r="G376" s="66"/>
      <c r="H376" s="5" t="str">
        <f t="shared" si="2"/>
        <v>{当日买入金额},</v>
      </c>
      <c r="I376" s="5" t="str">
        <f t="shared" si="3"/>
        <v>{title: '当日买入金额',field: 'today_buy_amt',formatter:function(value){return format('number', '$####.##', value)}},</v>
      </c>
      <c r="J376" s="5" t="s">
        <v>20</v>
      </c>
      <c r="K376" s="5"/>
      <c r="L376" s="5"/>
      <c r="M376" s="5"/>
      <c r="N376" s="4">
        <v>1269</v>
      </c>
    </row>
    <row r="377" spans="1:14" s="4" customFormat="1" ht="17.399999999999999" hidden="1" customHeight="1" outlineLevel="1" x14ac:dyDescent="0.35">
      <c r="A377" s="5"/>
      <c r="B377" s="67" t="s">
        <v>103</v>
      </c>
      <c r="C377" s="65" t="s">
        <v>1547</v>
      </c>
      <c r="D377" s="65" t="s">
        <v>1539</v>
      </c>
      <c r="E377" s="65">
        <v>0</v>
      </c>
      <c r="F377" s="65"/>
      <c r="G377" s="66"/>
      <c r="H377" s="5" t="str">
        <f t="shared" si="2"/>
        <v>{当日买入价格},</v>
      </c>
      <c r="I377" s="5" t="str">
        <f t="shared" si="3"/>
        <v>{title: '当日买入价格',field: 'today_buy_price',formatter:function(value){return format('number', '$####.##', value)}},</v>
      </c>
      <c r="J377" s="5" t="s">
        <v>20</v>
      </c>
      <c r="K377" s="5"/>
      <c r="L377" s="5"/>
      <c r="M377" s="5"/>
      <c r="N377" s="4">
        <v>1268</v>
      </c>
    </row>
    <row r="378" spans="1:14" s="4" customFormat="1" ht="17.399999999999999" hidden="1" customHeight="1" outlineLevel="1" x14ac:dyDescent="0.35">
      <c r="A378" s="5"/>
      <c r="B378" s="67" t="s">
        <v>104</v>
      </c>
      <c r="C378" s="65" t="s">
        <v>1548</v>
      </c>
      <c r="D378" s="65" t="s">
        <v>1469</v>
      </c>
      <c r="E378" s="65" t="s">
        <v>1549</v>
      </c>
      <c r="F378" s="65"/>
      <c r="G378" s="66"/>
      <c r="H378" s="5" t="str">
        <f t="shared" si="2"/>
        <v>{买入开始时间},</v>
      </c>
      <c r="I378" s="5" t="str">
        <f t="shared" si="3"/>
        <v>{title: '买入开始时间',field: 'buy_begin_time',formatter:function(value){return format('number', '$####.##', value)}},</v>
      </c>
      <c r="J378" s="5" t="s">
        <v>10</v>
      </c>
      <c r="K378" s="5"/>
      <c r="L378" s="5"/>
      <c r="M378" s="5"/>
      <c r="N378" s="4">
        <v>1877</v>
      </c>
    </row>
    <row r="379" spans="1:14" s="4" customFormat="1" ht="17.399999999999999" hidden="1" customHeight="1" outlineLevel="1" x14ac:dyDescent="0.35">
      <c r="A379" s="5"/>
      <c r="B379" s="67" t="s">
        <v>105</v>
      </c>
      <c r="C379" s="65" t="s">
        <v>1550</v>
      </c>
      <c r="D379" s="65" t="s">
        <v>1469</v>
      </c>
      <c r="E379" s="65" t="s">
        <v>1549</v>
      </c>
      <c r="F379" s="65"/>
      <c r="G379" s="66"/>
      <c r="H379" s="5" t="str">
        <f t="shared" si="2"/>
        <v>{买入结束时间},</v>
      </c>
      <c r="I379" s="5" t="str">
        <f t="shared" si="3"/>
        <v>{title: '买入结束时间',field: 'buy_end_time',formatter:function(value){return format('number', '$####.##', value)}},</v>
      </c>
      <c r="J379" s="5" t="s">
        <v>10</v>
      </c>
      <c r="K379" s="5"/>
      <c r="L379" s="5"/>
      <c r="M379" s="5"/>
      <c r="N379" s="4">
        <v>1876</v>
      </c>
    </row>
    <row r="380" spans="1:14" s="4" customFormat="1" ht="17.399999999999999" hidden="1" customHeight="1" outlineLevel="1" x14ac:dyDescent="0.35">
      <c r="A380" s="5"/>
      <c r="B380" s="67" t="s">
        <v>89</v>
      </c>
      <c r="C380" s="65" t="s">
        <v>1537</v>
      </c>
      <c r="D380" s="65" t="s">
        <v>1486</v>
      </c>
      <c r="E380" s="65">
        <v>0</v>
      </c>
      <c r="F380" s="65"/>
      <c r="G380" s="66"/>
      <c r="H380" s="5" t="str">
        <f t="shared" si="2"/>
        <v>{当日卖出数量},</v>
      </c>
      <c r="I380" s="5" t="str">
        <f t="shared" si="3"/>
        <v>{title: '当日卖出数量',field: 'today_sell_qty',formatter:function(value){return format('number', '$####.##', value)}},</v>
      </c>
      <c r="J380" s="5" t="s">
        <v>20</v>
      </c>
      <c r="K380" s="5"/>
      <c r="L380" s="5"/>
      <c r="M380" s="5"/>
      <c r="N380" s="4">
        <v>1273</v>
      </c>
    </row>
    <row r="381" spans="1:14" s="4" customFormat="1" ht="17.399999999999999" hidden="1" customHeight="1" outlineLevel="1" x14ac:dyDescent="0.35">
      <c r="A381" s="5"/>
      <c r="B381" s="67" t="s">
        <v>106</v>
      </c>
      <c r="C381" s="65" t="s">
        <v>1551</v>
      </c>
      <c r="D381" s="65" t="s">
        <v>1489</v>
      </c>
      <c r="E381" s="65">
        <v>0</v>
      </c>
      <c r="F381" s="65"/>
      <c r="G381" s="66"/>
      <c r="H381" s="5" t="str">
        <f t="shared" si="2"/>
        <v>{当日卖出金额},</v>
      </c>
      <c r="I381" s="5" t="str">
        <f t="shared" si="3"/>
        <v>{title: '当日卖出金额',field: 'today_sell_amt',formatter:function(value){return format('number', '$####.##', value)}},</v>
      </c>
      <c r="J381" s="5" t="s">
        <v>20</v>
      </c>
      <c r="K381" s="5"/>
      <c r="L381" s="5"/>
      <c r="M381" s="5"/>
      <c r="N381" s="4">
        <v>1272</v>
      </c>
    </row>
    <row r="382" spans="1:14" s="4" customFormat="1" ht="17.399999999999999" hidden="1" customHeight="1" outlineLevel="1" x14ac:dyDescent="0.35">
      <c r="A382" s="5"/>
      <c r="B382" s="67" t="s">
        <v>107</v>
      </c>
      <c r="C382" s="65" t="s">
        <v>1552</v>
      </c>
      <c r="D382" s="65" t="s">
        <v>1539</v>
      </c>
      <c r="E382" s="65">
        <v>0</v>
      </c>
      <c r="F382" s="65"/>
      <c r="G382" s="66"/>
      <c r="H382" s="5" t="str">
        <f t="shared" si="2"/>
        <v>{当日卖出价格},</v>
      </c>
      <c r="I382" s="5" t="str">
        <f t="shared" si="3"/>
        <v>{title: '当日卖出价格',field: 'today_sell_price',formatter:function(value){return format('number', '$####.##', value)}},</v>
      </c>
      <c r="J382" s="5" t="s">
        <v>20</v>
      </c>
      <c r="K382" s="5"/>
      <c r="L382" s="5"/>
      <c r="M382" s="5"/>
      <c r="N382" s="4">
        <v>1271</v>
      </c>
    </row>
    <row r="383" spans="1:14" s="4" customFormat="1" ht="17.399999999999999" hidden="1" customHeight="1" outlineLevel="1" x14ac:dyDescent="0.35">
      <c r="A383" s="5"/>
      <c r="B383" s="67" t="s">
        <v>108</v>
      </c>
      <c r="C383" s="65" t="s">
        <v>1553</v>
      </c>
      <c r="D383" s="65" t="s">
        <v>1469</v>
      </c>
      <c r="E383" s="65" t="s">
        <v>1549</v>
      </c>
      <c r="F383" s="65"/>
      <c r="G383" s="66"/>
      <c r="H383" s="5" t="str">
        <f t="shared" si="2"/>
        <v>{卖出开始时间},</v>
      </c>
      <c r="I383" s="5" t="str">
        <f t="shared" si="3"/>
        <v>{title: '卖出开始时间',field: 'sell_begin_time',formatter:function(value){return format('number', '$####.##', value)}},</v>
      </c>
      <c r="J383" s="5" t="s">
        <v>10</v>
      </c>
      <c r="K383" s="5"/>
      <c r="L383" s="5"/>
      <c r="M383" s="5"/>
      <c r="N383" s="4">
        <v>1893</v>
      </c>
    </row>
    <row r="384" spans="1:14" s="4" customFormat="1" ht="17.399999999999999" hidden="1" customHeight="1" outlineLevel="1" x14ac:dyDescent="0.35">
      <c r="A384" s="5"/>
      <c r="B384" s="67" t="s">
        <v>109</v>
      </c>
      <c r="C384" s="65" t="s">
        <v>1554</v>
      </c>
      <c r="D384" s="65" t="s">
        <v>1469</v>
      </c>
      <c r="E384" s="65" t="s">
        <v>1549</v>
      </c>
      <c r="F384" s="65"/>
      <c r="G384" s="66"/>
      <c r="H384" s="5" t="str">
        <f t="shared" si="2"/>
        <v>{卖出结束时间},</v>
      </c>
      <c r="I384" s="5" t="str">
        <f t="shared" si="3"/>
        <v>{title: '卖出结束时间',field: 'sell_end_time',formatter:function(value){return format('number', '$####.##', value)}},</v>
      </c>
      <c r="J384" s="5" t="s">
        <v>10</v>
      </c>
      <c r="K384" s="5"/>
      <c r="L384" s="5"/>
      <c r="M384" s="5"/>
      <c r="N384" s="4">
        <v>1892</v>
      </c>
    </row>
    <row r="385" spans="1:14" s="4" customFormat="1" ht="17.399999999999999" hidden="1" customHeight="1" outlineLevel="1" x14ac:dyDescent="0.35">
      <c r="A385" s="5"/>
      <c r="B385" s="67" t="s">
        <v>19</v>
      </c>
      <c r="C385" s="65" t="s">
        <v>1485</v>
      </c>
      <c r="D385" s="65" t="s">
        <v>1486</v>
      </c>
      <c r="E385" s="65">
        <v>0</v>
      </c>
      <c r="F385" s="65"/>
      <c r="G385" s="66"/>
      <c r="H385" s="5" t="str">
        <f t="shared" si="2"/>
        <v>{持仓数量},</v>
      </c>
      <c r="I385" s="5" t="str">
        <f t="shared" si="3"/>
        <v>{title: '持仓数量',field: 'posi_qty',formatter:function(value){return format('number', '$####.##', value)}},</v>
      </c>
      <c r="J385" s="5" t="s">
        <v>20</v>
      </c>
      <c r="K385" s="5"/>
      <c r="L385" s="5"/>
      <c r="M385" s="5"/>
      <c r="N385" s="4">
        <v>1203</v>
      </c>
    </row>
    <row r="386" spans="1:14" s="4" customFormat="1" ht="17.399999999999999" hidden="1" customHeight="1" outlineLevel="1" x14ac:dyDescent="0.35">
      <c r="A386" s="5"/>
      <c r="B386" s="67" t="s">
        <v>91</v>
      </c>
      <c r="C386" s="65" t="s">
        <v>1541</v>
      </c>
      <c r="D386" s="65" t="s">
        <v>1539</v>
      </c>
      <c r="E386" s="65">
        <v>0</v>
      </c>
      <c r="F386" s="65" t="s">
        <v>1470</v>
      </c>
      <c r="G386" s="66"/>
      <c r="H386" s="5" t="str">
        <f t="shared" si="2"/>
        <v>{今收盘价},</v>
      </c>
      <c r="I386" s="5" t="str">
        <f t="shared" si="3"/>
        <v>{title: '今收盘价',field: 'today_close_price',formatter:function(value){return format('number', '$####.##', value)}},</v>
      </c>
      <c r="J386" s="5" t="s">
        <v>20</v>
      </c>
      <c r="K386" s="5"/>
      <c r="L386" s="5"/>
      <c r="M386" s="5"/>
      <c r="N386" s="4">
        <v>1727</v>
      </c>
    </row>
    <row r="387" spans="1:14" s="4" customFormat="1" ht="17.399999999999999" hidden="1" customHeight="1" outlineLevel="1" x14ac:dyDescent="0.35">
      <c r="A387" s="5"/>
      <c r="B387" s="67" t="s">
        <v>62</v>
      </c>
      <c r="C387" s="65" t="s">
        <v>1525</v>
      </c>
      <c r="D387" s="65" t="s">
        <v>1489</v>
      </c>
      <c r="E387" s="65">
        <v>0</v>
      </c>
      <c r="F387" s="65"/>
      <c r="G387" s="66"/>
      <c r="H387" s="5" t="str">
        <f t="shared" si="2"/>
        <v>{持仓市值},</v>
      </c>
      <c r="I387" s="5" t="str">
        <f t="shared" si="3"/>
        <v>{title: '持仓市值',field: 'posi_market_value',formatter:function(value){return format('number', '$####.##', value)}},</v>
      </c>
      <c r="J387" s="5" t="s">
        <v>20</v>
      </c>
      <c r="K387" s="5"/>
      <c r="L387" s="5"/>
      <c r="M387" s="5"/>
      <c r="N387" s="4">
        <v>1202</v>
      </c>
    </row>
    <row r="388" spans="1:14" s="4" customFormat="1" ht="17.399999999999999" hidden="1" customHeight="1" outlineLevel="1" x14ac:dyDescent="0.35">
      <c r="A388" s="5"/>
      <c r="B388" s="64"/>
      <c r="C388" s="65"/>
      <c r="D388" s="65"/>
      <c r="E388" s="65"/>
      <c r="F388" s="65"/>
      <c r="G388" s="66"/>
      <c r="H388" s="5"/>
      <c r="I388" s="5"/>
      <c r="J388" s="5"/>
      <c r="K388" s="5"/>
      <c r="L388" s="5"/>
      <c r="M388" s="5"/>
    </row>
    <row r="389" spans="1:14" s="4" customFormat="1" ht="17.399999999999999" hidden="1" customHeight="1" outlineLevel="1" thickBot="1" x14ac:dyDescent="0.4">
      <c r="A389" s="5"/>
      <c r="B389" s="64"/>
      <c r="C389" s="65"/>
      <c r="D389" s="65"/>
      <c r="E389" s="65"/>
      <c r="F389" s="65"/>
      <c r="G389" s="66"/>
      <c r="H389" s="5"/>
      <c r="I389" s="5"/>
      <c r="J389" s="5"/>
      <c r="K389" s="5"/>
      <c r="L389" s="5"/>
      <c r="M389" s="5"/>
    </row>
    <row r="390" spans="1:14" s="4" customFormat="1" ht="17.399999999999999" hidden="1" customHeight="1" outlineLevel="1" x14ac:dyDescent="0.35">
      <c r="A390" s="5"/>
      <c r="B390" s="389" t="s">
        <v>28</v>
      </c>
      <c r="C390" s="390"/>
      <c r="D390" s="390"/>
      <c r="E390" s="390"/>
      <c r="F390" s="390"/>
      <c r="G390" s="391"/>
      <c r="H390" s="5"/>
      <c r="I390" s="5"/>
      <c r="J390" s="5"/>
      <c r="K390" s="5"/>
      <c r="L390" s="5"/>
      <c r="M390" s="5"/>
    </row>
    <row r="391" spans="1:14" s="4" customFormat="1" ht="17.399999999999999" hidden="1" customHeight="1" outlineLevel="1" x14ac:dyDescent="0.35">
      <c r="A391" s="5"/>
      <c r="B391" s="32" t="s">
        <v>2</v>
      </c>
      <c r="C391" s="33" t="s">
        <v>3</v>
      </c>
      <c r="D391" s="33" t="s">
        <v>4</v>
      </c>
      <c r="E391" s="33"/>
      <c r="F391" s="33"/>
      <c r="G391" s="34" t="s">
        <v>6</v>
      </c>
      <c r="H391" s="5"/>
      <c r="I391" s="5"/>
      <c r="J391" s="5"/>
      <c r="K391" s="5"/>
      <c r="L391" s="5"/>
      <c r="M391" s="5"/>
    </row>
    <row r="392" spans="1:14" s="4" customFormat="1" ht="17.399999999999999" hidden="1" customHeight="1" outlineLevel="1" x14ac:dyDescent="0.35">
      <c r="A392" s="5"/>
      <c r="B392" s="31"/>
      <c r="C392" s="65"/>
      <c r="D392" s="65"/>
      <c r="E392" s="65"/>
      <c r="F392" s="65"/>
      <c r="G392" s="66"/>
    </row>
    <row r="393" spans="1:14" s="4" customFormat="1" ht="17.399999999999999" hidden="1" customHeight="1" outlineLevel="1" thickBot="1" x14ac:dyDescent="0.4">
      <c r="A393" s="5"/>
      <c r="B393" s="31"/>
      <c r="C393" s="65"/>
      <c r="D393" s="65"/>
      <c r="E393" s="65"/>
      <c r="F393" s="65"/>
      <c r="G393" s="66"/>
      <c r="H393" s="5"/>
      <c r="I393" s="5"/>
      <c r="J393" s="5"/>
      <c r="K393" s="5"/>
      <c r="L393" s="5"/>
      <c r="M393" s="5"/>
    </row>
    <row r="394" spans="1:14" s="4" customFormat="1" ht="17.399999999999999" hidden="1" customHeight="1" outlineLevel="1" x14ac:dyDescent="0.35">
      <c r="A394" s="5"/>
      <c r="B394" s="392" t="s">
        <v>29</v>
      </c>
      <c r="C394" s="393"/>
      <c r="D394" s="393"/>
      <c r="E394" s="393"/>
      <c r="F394" s="393"/>
      <c r="G394" s="394"/>
      <c r="H394" s="5"/>
      <c r="I394" s="5"/>
      <c r="J394" s="5"/>
      <c r="K394" s="5"/>
      <c r="L394" s="5"/>
      <c r="M394" s="5"/>
    </row>
    <row r="395" spans="1:14" s="4" customFormat="1" ht="17.399999999999999" hidden="1" customHeight="1" outlineLevel="1" x14ac:dyDescent="0.35">
      <c r="A395" s="5"/>
      <c r="B395" s="352" t="s">
        <v>92</v>
      </c>
      <c r="C395" s="366"/>
      <c r="D395" s="366"/>
      <c r="E395" s="366"/>
      <c r="F395" s="366"/>
      <c r="G395" s="367"/>
      <c r="H395" s="5"/>
      <c r="I395" s="5"/>
      <c r="J395" s="5"/>
      <c r="K395" s="5"/>
      <c r="L395" s="5"/>
      <c r="M395" s="5"/>
    </row>
    <row r="396" spans="1:14" s="4" customFormat="1" ht="17.399999999999999" hidden="1" customHeight="1" outlineLevel="1" x14ac:dyDescent="0.35">
      <c r="A396" s="5"/>
      <c r="B396" s="67" t="s">
        <v>30</v>
      </c>
      <c r="C396" s="65"/>
      <c r="D396" s="65"/>
      <c r="E396" s="65"/>
      <c r="F396" s="65"/>
      <c r="G396" s="371" t="s">
        <v>2357</v>
      </c>
      <c r="H396" s="5"/>
      <c r="I396" s="5"/>
      <c r="J396" s="5"/>
      <c r="K396" s="5"/>
      <c r="L396" s="5"/>
      <c r="M396" s="5"/>
    </row>
    <row r="397" spans="1:14" s="4" customFormat="1" ht="17.399999999999999" hidden="1" customHeight="1" outlineLevel="1" x14ac:dyDescent="0.35">
      <c r="A397" s="5"/>
      <c r="B397" s="67" t="s">
        <v>110</v>
      </c>
      <c r="C397" s="65"/>
      <c r="D397" s="65"/>
      <c r="E397" s="65"/>
      <c r="F397" s="65"/>
      <c r="G397" s="371" t="s">
        <v>2366</v>
      </c>
      <c r="H397" s="5"/>
      <c r="I397" s="5"/>
      <c r="J397" s="5"/>
      <c r="K397" s="5"/>
      <c r="L397" s="5"/>
      <c r="M397" s="5"/>
    </row>
    <row r="398" spans="1:14" s="3" customFormat="1" ht="17.399999999999999" hidden="1" customHeight="1" outlineLevel="1" x14ac:dyDescent="0.25">
      <c r="A398" s="5"/>
      <c r="B398" s="31"/>
      <c r="C398" s="65"/>
      <c r="D398" s="65"/>
      <c r="E398" s="65"/>
      <c r="F398" s="65"/>
      <c r="G398" s="105"/>
    </row>
    <row r="399" spans="1:14" s="4" customFormat="1" ht="17.399999999999999" hidden="1" customHeight="1" outlineLevel="1" thickBot="1" x14ac:dyDescent="0.4">
      <c r="A399" s="5"/>
      <c r="B399" s="103"/>
      <c r="C399" s="92"/>
      <c r="D399" s="92"/>
      <c r="E399" s="92"/>
      <c r="F399" s="92"/>
      <c r="G399" s="93"/>
    </row>
    <row r="400" spans="1:14" hidden="1" outlineLevel="1" x14ac:dyDescent="0.25"/>
    <row r="401" spans="1:14" s="3" customFormat="1" ht="17.399999999999999" hidden="1" customHeight="1" outlineLevel="1" thickBot="1" x14ac:dyDescent="0.3">
      <c r="A401" s="5"/>
    </row>
    <row r="402" spans="1:14" s="3" customFormat="1" ht="17.399999999999999" customHeight="1" collapsed="1" thickBot="1" x14ac:dyDescent="0.3">
      <c r="A402" s="5"/>
      <c r="B402" s="15" t="s">
        <v>1279</v>
      </c>
      <c r="C402" s="169" t="s">
        <v>1327</v>
      </c>
      <c r="D402" s="17" t="s">
        <v>1281</v>
      </c>
      <c r="E402" s="353" t="s">
        <v>111</v>
      </c>
      <c r="F402" s="17" t="s">
        <v>1282</v>
      </c>
      <c r="G402" s="18" t="s">
        <v>1328</v>
      </c>
    </row>
    <row r="403" spans="1:14" s="3" customFormat="1" ht="17.399999999999999" hidden="1" customHeight="1" outlineLevel="1" x14ac:dyDescent="0.25">
      <c r="A403" s="5"/>
      <c r="B403" s="19" t="s">
        <v>1284</v>
      </c>
      <c r="C403" s="20" t="s">
        <v>1285</v>
      </c>
      <c r="D403" s="21" t="s">
        <v>1286</v>
      </c>
      <c r="E403" s="20" t="s">
        <v>1329</v>
      </c>
      <c r="F403" s="21" t="s">
        <v>1288</v>
      </c>
      <c r="G403" s="22" t="s">
        <v>1330</v>
      </c>
    </row>
    <row r="404" spans="1:14" s="3" customFormat="1" ht="17.399999999999999" hidden="1" customHeight="1" outlineLevel="1" thickBot="1" x14ac:dyDescent="0.3">
      <c r="A404" s="5"/>
      <c r="B404" s="19" t="s">
        <v>1290</v>
      </c>
      <c r="C404" s="23" t="s">
        <v>1291</v>
      </c>
      <c r="D404" s="21" t="s">
        <v>1292</v>
      </c>
      <c r="E404" s="23">
        <v>5</v>
      </c>
      <c r="F404" s="21" t="s">
        <v>1293</v>
      </c>
      <c r="G404" s="24" t="s">
        <v>1294</v>
      </c>
    </row>
    <row r="405" spans="1:14" s="3" customFormat="1" ht="17.399999999999999" hidden="1" customHeight="1" outlineLevel="1" x14ac:dyDescent="0.25">
      <c r="A405" s="5"/>
      <c r="B405" s="395" t="s">
        <v>1</v>
      </c>
      <c r="C405" s="396"/>
      <c r="D405" s="396"/>
      <c r="E405" s="396"/>
      <c r="F405" s="396"/>
      <c r="G405" s="397"/>
    </row>
    <row r="406" spans="1:14" s="3" customFormat="1" ht="17.399999999999999" hidden="1" customHeight="1" outlineLevel="1" x14ac:dyDescent="0.25">
      <c r="A406" s="5"/>
      <c r="B406" s="25" t="s">
        <v>2</v>
      </c>
      <c r="C406" s="26" t="s">
        <v>3</v>
      </c>
      <c r="D406" s="26" t="s">
        <v>4</v>
      </c>
      <c r="E406" s="26" t="s">
        <v>5</v>
      </c>
      <c r="F406" s="26"/>
      <c r="G406" s="27" t="s">
        <v>6</v>
      </c>
    </row>
    <row r="407" spans="1:14" s="3" customFormat="1" ht="17.399999999999999" hidden="1" customHeight="1" outlineLevel="1" x14ac:dyDescent="0.25">
      <c r="A407" s="5"/>
      <c r="B407" s="116" t="s">
        <v>112</v>
      </c>
      <c r="C407" s="117" t="s">
        <v>1555</v>
      </c>
      <c r="D407" s="117" t="s">
        <v>1469</v>
      </c>
      <c r="E407" s="117">
        <v>0</v>
      </c>
      <c r="F407" s="117" t="s">
        <v>1470</v>
      </c>
      <c r="G407" s="118" t="s">
        <v>1556</v>
      </c>
      <c r="J407" s="3" t="s">
        <v>10</v>
      </c>
      <c r="N407" s="3">
        <v>1606</v>
      </c>
    </row>
    <row r="408" spans="1:14" s="3" customFormat="1" ht="17.399999999999999" hidden="1" customHeight="1" outlineLevel="1" x14ac:dyDescent="0.25">
      <c r="A408" s="5"/>
      <c r="B408" s="31" t="s">
        <v>7</v>
      </c>
      <c r="C408" s="20" t="s">
        <v>1468</v>
      </c>
      <c r="D408" s="20" t="s">
        <v>1469</v>
      </c>
      <c r="E408" s="20">
        <v>0</v>
      </c>
      <c r="F408" s="20" t="s">
        <v>1470</v>
      </c>
      <c r="G408" s="22" t="s">
        <v>1471</v>
      </c>
      <c r="J408" s="3" t="s">
        <v>10</v>
      </c>
      <c r="N408" s="3">
        <v>1112</v>
      </c>
    </row>
    <row r="409" spans="1:14" s="3" customFormat="1" ht="17.399999999999999" hidden="1" customHeight="1" outlineLevel="1" x14ac:dyDescent="0.25">
      <c r="A409" s="5"/>
      <c r="B409" s="31" t="s">
        <v>114</v>
      </c>
      <c r="C409" s="20" t="s">
        <v>1557</v>
      </c>
      <c r="D409" s="20" t="s">
        <v>1469</v>
      </c>
      <c r="E409" s="20">
        <v>-1</v>
      </c>
      <c r="F409" s="20" t="s">
        <v>1470</v>
      </c>
      <c r="G409" s="22"/>
      <c r="J409" s="3" t="s">
        <v>10</v>
      </c>
      <c r="N409" s="3">
        <v>2449</v>
      </c>
    </row>
    <row r="410" spans="1:14" s="3" customFormat="1" ht="17.399999999999999" hidden="1" customHeight="1" outlineLevel="1" x14ac:dyDescent="0.25">
      <c r="A410" s="5"/>
      <c r="B410" s="31"/>
      <c r="C410" s="20"/>
      <c r="D410" s="20"/>
      <c r="E410" s="20"/>
      <c r="F410" s="20"/>
      <c r="G410" s="22"/>
    </row>
    <row r="411" spans="1:14" s="3" customFormat="1" ht="17.399999999999999" hidden="1" customHeight="1" outlineLevel="1" x14ac:dyDescent="0.25">
      <c r="A411" s="5"/>
      <c r="B411" s="398" t="s">
        <v>18</v>
      </c>
      <c r="C411" s="399"/>
      <c r="D411" s="399"/>
      <c r="E411" s="399"/>
      <c r="F411" s="399"/>
      <c r="G411" s="400"/>
    </row>
    <row r="412" spans="1:14" s="3" customFormat="1" ht="17.399999999999999" hidden="1" customHeight="1" outlineLevel="1" x14ac:dyDescent="0.25">
      <c r="A412" s="5"/>
      <c r="B412" s="25" t="s">
        <v>2</v>
      </c>
      <c r="C412" s="26" t="s">
        <v>3</v>
      </c>
      <c r="D412" s="26" t="s">
        <v>4</v>
      </c>
      <c r="E412" s="26" t="s">
        <v>5</v>
      </c>
      <c r="F412" s="26"/>
      <c r="G412" s="27" t="s">
        <v>6</v>
      </c>
    </row>
    <row r="413" spans="1:14" s="4" customFormat="1" ht="17.399999999999999" hidden="1" customHeight="1" outlineLevel="1" x14ac:dyDescent="0.35">
      <c r="A413" s="5"/>
      <c r="B413" s="67" t="s">
        <v>15</v>
      </c>
      <c r="C413" s="65" t="s">
        <v>1478</v>
      </c>
      <c r="D413" s="65" t="s">
        <v>1469</v>
      </c>
      <c r="E413" s="65">
        <v>0</v>
      </c>
      <c r="F413" s="65" t="s">
        <v>1470</v>
      </c>
      <c r="G413" s="66"/>
      <c r="H413" s="5"/>
      <c r="I413" s="5"/>
      <c r="J413" s="5" t="s">
        <v>10</v>
      </c>
      <c r="K413" s="5"/>
      <c r="L413" s="5"/>
      <c r="M413" s="5"/>
      <c r="N413" s="4">
        <v>2430</v>
      </c>
    </row>
    <row r="414" spans="1:14" s="4" customFormat="1" ht="17.399999999999999" hidden="1" customHeight="1" outlineLevel="1" x14ac:dyDescent="0.35">
      <c r="A414" s="5"/>
      <c r="B414" s="67" t="s">
        <v>14</v>
      </c>
      <c r="C414" s="65" t="s">
        <v>1475</v>
      </c>
      <c r="D414" s="65" t="s">
        <v>1469</v>
      </c>
      <c r="E414" s="65">
        <v>0</v>
      </c>
      <c r="F414" s="65" t="s">
        <v>1476</v>
      </c>
      <c r="G414" s="66" t="s">
        <v>1477</v>
      </c>
      <c r="H414" s="5"/>
      <c r="I414" s="5"/>
      <c r="J414" s="5" t="s">
        <v>10</v>
      </c>
      <c r="K414" s="5"/>
      <c r="L414" s="5"/>
      <c r="M414" s="5"/>
      <c r="N414" s="4">
        <v>2155</v>
      </c>
    </row>
    <row r="415" spans="1:14" s="4" customFormat="1" ht="17.399999999999999" hidden="1" customHeight="1" outlineLevel="1" x14ac:dyDescent="0.35">
      <c r="A415" s="5"/>
      <c r="B415" s="67" t="s">
        <v>115</v>
      </c>
      <c r="C415" s="65" t="s">
        <v>1558</v>
      </c>
      <c r="D415" s="65" t="s">
        <v>1539</v>
      </c>
      <c r="E415" s="65">
        <v>0</v>
      </c>
      <c r="F415" s="65" t="s">
        <v>1470</v>
      </c>
      <c r="G415" s="66"/>
      <c r="H415" s="5"/>
      <c r="I415" s="5"/>
      <c r="J415" s="5" t="s">
        <v>20</v>
      </c>
      <c r="K415" s="5"/>
      <c r="L415" s="5"/>
      <c r="M415" s="5"/>
      <c r="N415" s="4">
        <v>2586</v>
      </c>
    </row>
    <row r="416" spans="1:14" s="4" customFormat="1" ht="17.399999999999999" hidden="1" customHeight="1" outlineLevel="1" x14ac:dyDescent="0.35">
      <c r="A416" s="5"/>
      <c r="B416" s="67" t="s">
        <v>116</v>
      </c>
      <c r="C416" s="65" t="s">
        <v>1559</v>
      </c>
      <c r="D416" s="65" t="s">
        <v>1486</v>
      </c>
      <c r="E416" s="65">
        <v>0</v>
      </c>
      <c r="F416" s="65" t="s">
        <v>1470</v>
      </c>
      <c r="G416" s="66" t="s">
        <v>1560</v>
      </c>
      <c r="H416" s="5"/>
      <c r="I416" s="5"/>
      <c r="J416" s="5" t="s">
        <v>20</v>
      </c>
      <c r="K416" s="5"/>
      <c r="L416" s="5"/>
      <c r="M416" s="5"/>
      <c r="N416" s="4">
        <v>1986</v>
      </c>
    </row>
    <row r="417" spans="1:14" s="4" customFormat="1" ht="17.399999999999999" hidden="1" customHeight="1" outlineLevel="1" x14ac:dyDescent="0.35">
      <c r="A417" s="5"/>
      <c r="B417" s="67" t="s">
        <v>75</v>
      </c>
      <c r="C417" s="65" t="s">
        <v>1530</v>
      </c>
      <c r="D417" s="65" t="s">
        <v>1486</v>
      </c>
      <c r="E417" s="65">
        <v>0</v>
      </c>
      <c r="F417" s="65" t="s">
        <v>1470</v>
      </c>
      <c r="G417" s="66" t="s">
        <v>1531</v>
      </c>
      <c r="H417" s="5"/>
      <c r="I417" s="5"/>
      <c r="J417" s="5" t="s">
        <v>20</v>
      </c>
      <c r="K417" s="5"/>
      <c r="L417" s="5"/>
      <c r="M417" s="5"/>
      <c r="N417" s="4">
        <v>1262</v>
      </c>
    </row>
    <row r="418" spans="1:14" s="4" customFormat="1" ht="17.399999999999999" hidden="1" customHeight="1" outlineLevel="1" x14ac:dyDescent="0.35">
      <c r="A418" s="5"/>
      <c r="B418" s="67" t="s">
        <v>62</v>
      </c>
      <c r="C418" s="65" t="s">
        <v>1525</v>
      </c>
      <c r="D418" s="65" t="s">
        <v>1489</v>
      </c>
      <c r="E418" s="65">
        <v>0</v>
      </c>
      <c r="F418" s="65"/>
      <c r="G418" s="66"/>
      <c r="H418" s="5"/>
      <c r="I418" s="5"/>
      <c r="J418" s="5" t="s">
        <v>20</v>
      </c>
      <c r="K418" s="5"/>
      <c r="L418" s="5"/>
      <c r="M418" s="5"/>
      <c r="N418" s="4">
        <v>1202</v>
      </c>
    </row>
    <row r="419" spans="1:14" s="4" customFormat="1" ht="17.399999999999999" hidden="1" customHeight="1" outlineLevel="1" x14ac:dyDescent="0.35">
      <c r="A419" s="5"/>
      <c r="B419" s="67" t="s">
        <v>117</v>
      </c>
      <c r="C419" s="65" t="s">
        <v>1561</v>
      </c>
      <c r="D419" s="65" t="s">
        <v>1489</v>
      </c>
      <c r="E419" s="65">
        <v>0</v>
      </c>
      <c r="F419" s="65" t="s">
        <v>1470</v>
      </c>
      <c r="G419" s="66"/>
      <c r="H419" s="5"/>
      <c r="I419" s="5"/>
      <c r="J419" s="5" t="s">
        <v>20</v>
      </c>
      <c r="K419" s="5"/>
      <c r="L419" s="5"/>
      <c r="M419" s="5"/>
      <c r="N419" s="4">
        <v>1163</v>
      </c>
    </row>
    <row r="420" spans="1:14" s="4" customFormat="1" ht="17.399999999999999" hidden="1" customHeight="1" outlineLevel="1" x14ac:dyDescent="0.35">
      <c r="A420" s="5"/>
      <c r="B420" s="67" t="s">
        <v>90</v>
      </c>
      <c r="C420" s="65" t="s">
        <v>1538</v>
      </c>
      <c r="D420" s="65" t="s">
        <v>1539</v>
      </c>
      <c r="E420" s="65">
        <v>0</v>
      </c>
      <c r="F420" s="65" t="s">
        <v>1470</v>
      </c>
      <c r="G420" s="66" t="s">
        <v>1540</v>
      </c>
      <c r="H420" s="5"/>
      <c r="I420" s="5"/>
      <c r="J420" s="5" t="s">
        <v>20</v>
      </c>
      <c r="K420" s="5"/>
      <c r="L420" s="5"/>
      <c r="M420" s="5"/>
      <c r="N420" s="4">
        <v>1162</v>
      </c>
    </row>
    <row r="421" spans="1:14" s="4" customFormat="1" ht="17.399999999999999" hidden="1" customHeight="1" outlineLevel="1" x14ac:dyDescent="0.35">
      <c r="A421" s="5"/>
      <c r="B421" s="67" t="s">
        <v>24</v>
      </c>
      <c r="C421" s="65" t="s">
        <v>1491</v>
      </c>
      <c r="D421" s="65" t="s">
        <v>1489</v>
      </c>
      <c r="E421" s="65">
        <v>0</v>
      </c>
      <c r="F421" s="65" t="s">
        <v>1470</v>
      </c>
      <c r="G421" s="66"/>
      <c r="H421" s="5"/>
      <c r="I421" s="5"/>
      <c r="J421" s="5" t="s">
        <v>20</v>
      </c>
      <c r="K421" s="5"/>
      <c r="L421" s="5"/>
      <c r="M421" s="5"/>
      <c r="N421" s="4">
        <v>2153</v>
      </c>
    </row>
    <row r="422" spans="1:14" s="4" customFormat="1" ht="17.399999999999999" hidden="1" customHeight="1" outlineLevel="1" x14ac:dyDescent="0.35">
      <c r="A422" s="5"/>
      <c r="B422" s="67" t="s">
        <v>118</v>
      </c>
      <c r="C422" s="65" t="s">
        <v>1562</v>
      </c>
      <c r="D422" s="65" t="s">
        <v>1489</v>
      </c>
      <c r="E422" s="65">
        <v>0</v>
      </c>
      <c r="F422" s="65"/>
      <c r="G422" s="66"/>
      <c r="H422" s="5"/>
      <c r="I422" s="5"/>
      <c r="J422" s="5" t="s">
        <v>20</v>
      </c>
      <c r="K422" s="5"/>
      <c r="L422" s="5"/>
      <c r="M422" s="5"/>
      <c r="N422" s="4">
        <v>1461</v>
      </c>
    </row>
    <row r="423" spans="1:14" s="4" customFormat="1" ht="17.399999999999999" hidden="1" customHeight="1" outlineLevel="1" x14ac:dyDescent="0.35">
      <c r="A423" s="5"/>
      <c r="B423" s="67" t="s">
        <v>119</v>
      </c>
      <c r="C423" s="65" t="s">
        <v>1563</v>
      </c>
      <c r="D423" s="65" t="s">
        <v>1494</v>
      </c>
      <c r="E423" s="65">
        <v>0</v>
      </c>
      <c r="F423" s="65"/>
      <c r="G423" s="66"/>
      <c r="H423" s="5"/>
      <c r="I423" s="5"/>
      <c r="J423" s="5" t="s">
        <v>20</v>
      </c>
      <c r="K423" s="5"/>
      <c r="L423" s="5"/>
      <c r="M423" s="5"/>
      <c r="N423" s="4">
        <v>1462</v>
      </c>
    </row>
    <row r="424" spans="1:14" s="4" customFormat="1" ht="17.399999999999999" hidden="1" customHeight="1" outlineLevel="1" x14ac:dyDescent="0.35">
      <c r="A424" s="5"/>
      <c r="B424" s="67" t="s">
        <v>120</v>
      </c>
      <c r="C424" s="65" t="s">
        <v>1564</v>
      </c>
      <c r="D424" s="65" t="s">
        <v>1494</v>
      </c>
      <c r="E424" s="65">
        <v>0</v>
      </c>
      <c r="F424" s="65"/>
      <c r="G424" s="66"/>
      <c r="H424" s="5"/>
      <c r="I424" s="5"/>
      <c r="J424" s="5" t="s">
        <v>20</v>
      </c>
      <c r="K424" s="5"/>
      <c r="L424" s="5"/>
      <c r="M424" s="5"/>
      <c r="N424" s="4">
        <v>2169</v>
      </c>
    </row>
    <row r="425" spans="1:14" s="4" customFormat="1" ht="17.399999999999999" hidden="1" customHeight="1" outlineLevel="1" x14ac:dyDescent="0.35">
      <c r="A425" s="5"/>
      <c r="B425" s="67" t="s">
        <v>121</v>
      </c>
      <c r="C425" s="65" t="s">
        <v>1565</v>
      </c>
      <c r="D425" s="65" t="s">
        <v>1494</v>
      </c>
      <c r="E425" s="65">
        <v>0</v>
      </c>
      <c r="F425" s="65"/>
      <c r="G425" s="66"/>
      <c r="H425" s="5"/>
      <c r="I425" s="5"/>
      <c r="J425" s="5" t="s">
        <v>20</v>
      </c>
      <c r="K425" s="5"/>
      <c r="L425" s="5"/>
      <c r="M425" s="5"/>
      <c r="N425" s="4">
        <v>1740</v>
      </c>
    </row>
    <row r="426" spans="1:14" s="3" customFormat="1" ht="17.399999999999999" hidden="1" customHeight="1" outlineLevel="1" thickBot="1" x14ac:dyDescent="0.3">
      <c r="A426" s="5"/>
      <c r="B426" s="31"/>
      <c r="C426" s="20"/>
      <c r="D426" s="20"/>
      <c r="E426" s="20"/>
      <c r="F426" s="20"/>
      <c r="G426" s="22"/>
    </row>
    <row r="427" spans="1:14" s="3" customFormat="1" ht="17.399999999999999" hidden="1" customHeight="1" outlineLevel="1" x14ac:dyDescent="0.25">
      <c r="A427" s="5"/>
      <c r="B427" s="401" t="s">
        <v>29</v>
      </c>
      <c r="C427" s="402"/>
      <c r="D427" s="402"/>
      <c r="E427" s="402"/>
      <c r="F427" s="402"/>
      <c r="G427" s="403"/>
    </row>
    <row r="428" spans="1:14" s="3" customFormat="1" ht="17.399999999999999" hidden="1" customHeight="1" outlineLevel="1" x14ac:dyDescent="0.25">
      <c r="A428" s="5"/>
      <c r="B428" s="116" t="s">
        <v>122</v>
      </c>
      <c r="C428" s="117"/>
      <c r="D428" s="117"/>
      <c r="E428" s="117"/>
      <c r="F428" s="117"/>
      <c r="G428" s="105"/>
      <c r="H428" s="5"/>
      <c r="I428" s="5"/>
      <c r="J428" s="5"/>
      <c r="K428" s="5"/>
    </row>
    <row r="429" spans="1:14" s="3" customFormat="1" ht="17.399999999999999" hidden="1" customHeight="1" outlineLevel="1" x14ac:dyDescent="0.25">
      <c r="A429" s="5"/>
      <c r="B429" s="116" t="s">
        <v>123</v>
      </c>
      <c r="C429" s="117"/>
      <c r="D429" s="117"/>
      <c r="E429" s="117"/>
      <c r="F429" s="117"/>
      <c r="G429" s="105"/>
      <c r="H429" s="5"/>
      <c r="I429" s="5"/>
      <c r="J429" s="5"/>
      <c r="K429" s="5"/>
    </row>
    <row r="430" spans="1:14" s="4" customFormat="1" ht="17.399999999999999" hidden="1" customHeight="1" outlineLevel="1" x14ac:dyDescent="0.35">
      <c r="A430" s="5"/>
      <c r="B430" s="67" t="s">
        <v>30</v>
      </c>
      <c r="C430" s="65"/>
      <c r="D430" s="65"/>
      <c r="E430" s="65"/>
      <c r="F430" s="65"/>
      <c r="G430" s="371" t="s">
        <v>2357</v>
      </c>
      <c r="H430" s="5"/>
      <c r="I430" s="5"/>
      <c r="J430" s="5"/>
      <c r="K430" s="5"/>
      <c r="L430" s="5"/>
      <c r="M430" s="5"/>
    </row>
    <row r="431" spans="1:14" s="3" customFormat="1" ht="17.399999999999999" hidden="1" customHeight="1" outlineLevel="1" x14ac:dyDescent="0.25">
      <c r="A431" s="5"/>
      <c r="B431" s="116" t="s">
        <v>124</v>
      </c>
      <c r="C431" s="117"/>
      <c r="D431" s="122" t="s">
        <v>0</v>
      </c>
      <c r="E431" s="117"/>
      <c r="F431" s="117"/>
      <c r="G431" s="371" t="s">
        <v>2367</v>
      </c>
    </row>
    <row r="432" spans="1:14" s="3" customFormat="1" ht="17.399999999999999" hidden="1" customHeight="1" outlineLevel="1" x14ac:dyDescent="0.25">
      <c r="A432" s="5"/>
      <c r="B432" s="125"/>
      <c r="C432" s="117"/>
      <c r="D432" s="117"/>
      <c r="E432" s="117"/>
      <c r="F432" s="117"/>
      <c r="G432" s="118"/>
    </row>
    <row r="433" spans="1:14" s="3" customFormat="1" ht="17.399999999999999" hidden="1" customHeight="1" outlineLevel="1" x14ac:dyDescent="0.25">
      <c r="A433" s="5"/>
      <c r="B433" s="116"/>
      <c r="C433" s="117"/>
      <c r="D433" s="117"/>
      <c r="E433" s="117"/>
      <c r="F433" s="117"/>
      <c r="G433" s="118"/>
    </row>
    <row r="434" spans="1:14" s="3" customFormat="1" ht="17.399999999999999" hidden="1" customHeight="1" outlineLevel="1" thickBot="1" x14ac:dyDescent="0.3">
      <c r="A434" s="5"/>
      <c r="B434" s="132"/>
      <c r="C434" s="53"/>
      <c r="D434" s="53"/>
      <c r="E434" s="53"/>
      <c r="F434" s="53"/>
      <c r="G434" s="54"/>
    </row>
    <row r="435" spans="1:14" s="3" customFormat="1" ht="17.399999999999999" hidden="1" customHeight="1" outlineLevel="1" thickBot="1" x14ac:dyDescent="0.3">
      <c r="A435" s="5"/>
    </row>
    <row r="436" spans="1:14" s="3" customFormat="1" ht="17.399999999999999" customHeight="1" collapsed="1" thickBot="1" x14ac:dyDescent="0.3">
      <c r="A436" s="5"/>
      <c r="B436" s="15" t="s">
        <v>1279</v>
      </c>
      <c r="C436" s="169" t="s">
        <v>1331</v>
      </c>
      <c r="D436" s="17" t="s">
        <v>1281</v>
      </c>
      <c r="E436" s="353" t="s">
        <v>125</v>
      </c>
      <c r="F436" s="17" t="s">
        <v>1282</v>
      </c>
      <c r="G436" s="18" t="s">
        <v>1332</v>
      </c>
    </row>
    <row r="437" spans="1:14" s="3" customFormat="1" ht="17.399999999999999" hidden="1" customHeight="1" outlineLevel="1" x14ac:dyDescent="0.25">
      <c r="A437" s="5"/>
      <c r="B437" s="19" t="s">
        <v>1284</v>
      </c>
      <c r="C437" s="20" t="s">
        <v>1285</v>
      </c>
      <c r="D437" s="21" t="s">
        <v>1286</v>
      </c>
      <c r="E437" s="20" t="s">
        <v>1333</v>
      </c>
      <c r="F437" s="21" t="s">
        <v>1288</v>
      </c>
      <c r="G437" s="22" t="s">
        <v>1334</v>
      </c>
    </row>
    <row r="438" spans="1:14" s="3" customFormat="1" ht="17.399999999999999" hidden="1" customHeight="1" outlineLevel="1" thickBot="1" x14ac:dyDescent="0.3">
      <c r="A438" s="5"/>
      <c r="B438" s="19" t="s">
        <v>1290</v>
      </c>
      <c r="C438" s="23" t="s">
        <v>1291</v>
      </c>
      <c r="D438" s="21" t="s">
        <v>1292</v>
      </c>
      <c r="E438" s="23">
        <v>5</v>
      </c>
      <c r="F438" s="21" t="s">
        <v>1293</v>
      </c>
      <c r="G438" s="24" t="s">
        <v>1294</v>
      </c>
    </row>
    <row r="439" spans="1:14" s="3" customFormat="1" ht="17.399999999999999" hidden="1" customHeight="1" outlineLevel="1" x14ac:dyDescent="0.25">
      <c r="A439" s="5"/>
      <c r="B439" s="395" t="s">
        <v>1</v>
      </c>
      <c r="C439" s="396"/>
      <c r="D439" s="396"/>
      <c r="E439" s="396"/>
      <c r="F439" s="396"/>
      <c r="G439" s="397"/>
    </row>
    <row r="440" spans="1:14" s="3" customFormat="1" ht="17.399999999999999" hidden="1" customHeight="1" outlineLevel="1" x14ac:dyDescent="0.25">
      <c r="A440" s="5"/>
      <c r="B440" s="25" t="s">
        <v>2</v>
      </c>
      <c r="C440" s="26" t="s">
        <v>3</v>
      </c>
      <c r="D440" s="26" t="s">
        <v>4</v>
      </c>
      <c r="E440" s="26" t="s">
        <v>5</v>
      </c>
      <c r="F440" s="26"/>
      <c r="G440" s="27" t="s">
        <v>6</v>
      </c>
    </row>
    <row r="441" spans="1:14" s="3" customFormat="1" ht="17.399999999999999" hidden="1" customHeight="1" outlineLevel="1" x14ac:dyDescent="0.25">
      <c r="A441" s="5"/>
      <c r="B441" s="116" t="s">
        <v>112</v>
      </c>
      <c r="C441" s="117" t="s">
        <v>1555</v>
      </c>
      <c r="D441" s="117" t="s">
        <v>1469</v>
      </c>
      <c r="E441" s="117">
        <v>0</v>
      </c>
      <c r="F441" s="117" t="s">
        <v>1470</v>
      </c>
      <c r="G441" s="118" t="s">
        <v>1556</v>
      </c>
      <c r="J441" s="3" t="s">
        <v>10</v>
      </c>
      <c r="N441" s="3">
        <v>1606</v>
      </c>
    </row>
    <row r="442" spans="1:14" s="3" customFormat="1" ht="17.399999999999999" hidden="1" customHeight="1" outlineLevel="1" x14ac:dyDescent="0.25">
      <c r="A442" s="5"/>
      <c r="B442" s="31" t="s">
        <v>7</v>
      </c>
      <c r="C442" s="20" t="s">
        <v>1468</v>
      </c>
      <c r="D442" s="20" t="s">
        <v>1469</v>
      </c>
      <c r="E442" s="20">
        <v>0</v>
      </c>
      <c r="F442" s="20" t="s">
        <v>1470</v>
      </c>
      <c r="G442" s="22" t="s">
        <v>1471</v>
      </c>
      <c r="J442" s="3" t="s">
        <v>10</v>
      </c>
      <c r="N442" s="3">
        <v>1112</v>
      </c>
    </row>
    <row r="443" spans="1:14" s="3" customFormat="1" ht="17.399999999999999" hidden="1" customHeight="1" outlineLevel="1" x14ac:dyDescent="0.25">
      <c r="A443" s="5"/>
      <c r="B443" s="31" t="s">
        <v>11</v>
      </c>
      <c r="C443" s="20" t="s">
        <v>1472</v>
      </c>
      <c r="D443" s="20" t="s">
        <v>1469</v>
      </c>
      <c r="E443" s="20">
        <v>0</v>
      </c>
      <c r="F443" s="20" t="s">
        <v>1470</v>
      </c>
      <c r="G443" s="22" t="s">
        <v>1473</v>
      </c>
      <c r="J443" s="3" t="s">
        <v>12</v>
      </c>
      <c r="N443" s="3">
        <v>1700</v>
      </c>
    </row>
    <row r="444" spans="1:14" s="3" customFormat="1" ht="17.399999999999999" hidden="1" customHeight="1" outlineLevel="1" x14ac:dyDescent="0.25">
      <c r="A444" s="5"/>
      <c r="B444" s="31" t="s">
        <v>114</v>
      </c>
      <c r="C444" s="20" t="s">
        <v>1557</v>
      </c>
      <c r="D444" s="20" t="s">
        <v>1469</v>
      </c>
      <c r="E444" s="20">
        <v>-1</v>
      </c>
      <c r="F444" s="20" t="s">
        <v>1470</v>
      </c>
      <c r="G444" s="22"/>
      <c r="J444" s="3" t="s">
        <v>10</v>
      </c>
      <c r="N444" s="3">
        <v>2449</v>
      </c>
    </row>
    <row r="445" spans="1:14" s="3" customFormat="1" ht="17.399999999999999" hidden="1" customHeight="1" outlineLevel="1" thickBot="1" x14ac:dyDescent="0.3">
      <c r="A445" s="5"/>
      <c r="B445" s="52"/>
      <c r="C445" s="53"/>
      <c r="D445" s="53"/>
      <c r="E445" s="53"/>
      <c r="F445" s="53"/>
      <c r="G445" s="54"/>
    </row>
    <row r="446" spans="1:14" s="3" customFormat="1" ht="17.399999999999999" hidden="1" customHeight="1" outlineLevel="1" x14ac:dyDescent="0.25">
      <c r="A446" s="5"/>
      <c r="B446" s="398" t="s">
        <v>18</v>
      </c>
      <c r="C446" s="399"/>
      <c r="D446" s="399"/>
      <c r="E446" s="399"/>
      <c r="F446" s="399"/>
      <c r="G446" s="400"/>
    </row>
    <row r="447" spans="1:14" s="3" customFormat="1" ht="17.399999999999999" hidden="1" customHeight="1" outlineLevel="1" x14ac:dyDescent="0.25">
      <c r="A447" s="5"/>
      <c r="B447" s="25" t="s">
        <v>2</v>
      </c>
      <c r="C447" s="26" t="s">
        <v>3</v>
      </c>
      <c r="D447" s="26" t="s">
        <v>4</v>
      </c>
      <c r="E447" s="26" t="s">
        <v>5</v>
      </c>
      <c r="F447" s="26"/>
      <c r="G447" s="27" t="s">
        <v>6</v>
      </c>
    </row>
    <row r="448" spans="1:14" s="4" customFormat="1" ht="17.399999999999999" hidden="1" customHeight="1" outlineLevel="1" x14ac:dyDescent="0.35">
      <c r="A448" s="5"/>
      <c r="B448" s="67" t="s">
        <v>15</v>
      </c>
      <c r="C448" s="65" t="s">
        <v>1478</v>
      </c>
      <c r="D448" s="65" t="s">
        <v>1469</v>
      </c>
      <c r="E448" s="65">
        <v>0</v>
      </c>
      <c r="F448" s="65" t="s">
        <v>1470</v>
      </c>
      <c r="G448" s="66"/>
      <c r="H448" s="5"/>
      <c r="I448" s="5"/>
      <c r="J448" s="5" t="s">
        <v>10</v>
      </c>
      <c r="K448" s="5"/>
      <c r="L448" s="5"/>
      <c r="M448" s="5"/>
      <c r="N448" s="4">
        <v>2430</v>
      </c>
    </row>
    <row r="449" spans="1:14" s="4" customFormat="1" ht="17.399999999999999" hidden="1" customHeight="1" outlineLevel="1" x14ac:dyDescent="0.35">
      <c r="A449" s="5"/>
      <c r="B449" s="67" t="s">
        <v>14</v>
      </c>
      <c r="C449" s="65" t="s">
        <v>1475</v>
      </c>
      <c r="D449" s="65" t="s">
        <v>1469</v>
      </c>
      <c r="E449" s="65">
        <v>0</v>
      </c>
      <c r="F449" s="65" t="s">
        <v>1476</v>
      </c>
      <c r="G449" s="66" t="s">
        <v>1477</v>
      </c>
      <c r="H449" s="5"/>
      <c r="I449" s="5"/>
      <c r="J449" s="5" t="s">
        <v>10</v>
      </c>
      <c r="K449" s="5"/>
      <c r="L449" s="5"/>
      <c r="M449" s="5"/>
      <c r="N449" s="4">
        <v>2155</v>
      </c>
    </row>
    <row r="450" spans="1:14" s="4" customFormat="1" ht="17.399999999999999" hidden="1" customHeight="1" outlineLevel="1" x14ac:dyDescent="0.35">
      <c r="A450" s="5"/>
      <c r="B450" s="67" t="s">
        <v>62</v>
      </c>
      <c r="C450" s="65" t="s">
        <v>1525</v>
      </c>
      <c r="D450" s="65" t="s">
        <v>1489</v>
      </c>
      <c r="E450" s="65">
        <v>0</v>
      </c>
      <c r="F450" s="65"/>
      <c r="G450" s="66"/>
      <c r="H450" s="5"/>
      <c r="I450" s="5"/>
      <c r="J450" s="5" t="s">
        <v>20</v>
      </c>
      <c r="K450" s="5"/>
      <c r="L450" s="5"/>
      <c r="M450" s="5"/>
      <c r="N450" s="4">
        <v>1202</v>
      </c>
    </row>
    <row r="451" spans="1:14" s="4" customFormat="1" ht="17.399999999999999" hidden="1" customHeight="1" outlineLevel="1" x14ac:dyDescent="0.35">
      <c r="A451" s="5"/>
      <c r="B451" s="67" t="s">
        <v>116</v>
      </c>
      <c r="C451" s="65" t="s">
        <v>1559</v>
      </c>
      <c r="D451" s="65" t="s">
        <v>1486</v>
      </c>
      <c r="E451" s="65">
        <v>0</v>
      </c>
      <c r="F451" s="65" t="s">
        <v>1470</v>
      </c>
      <c r="G451" s="66" t="s">
        <v>1560</v>
      </c>
      <c r="H451" s="5"/>
      <c r="I451" s="5"/>
      <c r="J451" s="5" t="s">
        <v>20</v>
      </c>
      <c r="K451" s="5"/>
      <c r="L451" s="5"/>
      <c r="M451" s="5"/>
      <c r="N451" s="4">
        <v>1986</v>
      </c>
    </row>
    <row r="452" spans="1:14" s="4" customFormat="1" ht="17.399999999999999" hidden="1" customHeight="1" outlineLevel="1" x14ac:dyDescent="0.35">
      <c r="A452" s="5"/>
      <c r="B452" s="67" t="s">
        <v>75</v>
      </c>
      <c r="C452" s="65" t="s">
        <v>1530</v>
      </c>
      <c r="D452" s="65" t="s">
        <v>1486</v>
      </c>
      <c r="E452" s="65">
        <v>0</v>
      </c>
      <c r="F452" s="65" t="s">
        <v>1470</v>
      </c>
      <c r="G452" s="66" t="s">
        <v>1531</v>
      </c>
      <c r="H452" s="5"/>
      <c r="I452" s="5"/>
      <c r="J452" s="5" t="s">
        <v>20</v>
      </c>
      <c r="K452" s="5"/>
      <c r="L452" s="5"/>
      <c r="M452" s="5"/>
      <c r="N452" s="4">
        <v>1262</v>
      </c>
    </row>
    <row r="453" spans="1:14" s="4" customFormat="1" ht="17.399999999999999" hidden="1" customHeight="1" outlineLevel="1" x14ac:dyDescent="0.35">
      <c r="A453" s="5"/>
      <c r="B453" s="67" t="s">
        <v>117</v>
      </c>
      <c r="C453" s="65" t="s">
        <v>1561</v>
      </c>
      <c r="D453" s="65" t="s">
        <v>1489</v>
      </c>
      <c r="E453" s="65">
        <v>0</v>
      </c>
      <c r="F453" s="65" t="s">
        <v>1470</v>
      </c>
      <c r="G453" s="66"/>
      <c r="H453" s="5"/>
      <c r="I453" s="5"/>
      <c r="J453" s="5" t="s">
        <v>20</v>
      </c>
      <c r="K453" s="5"/>
      <c r="L453" s="5"/>
      <c r="M453" s="5"/>
      <c r="N453" s="4">
        <v>1163</v>
      </c>
    </row>
    <row r="454" spans="1:14" s="4" customFormat="1" ht="17.399999999999999" hidden="1" customHeight="1" outlineLevel="1" x14ac:dyDescent="0.35">
      <c r="A454" s="5"/>
      <c r="B454" s="67" t="s">
        <v>24</v>
      </c>
      <c r="C454" s="65" t="s">
        <v>1491</v>
      </c>
      <c r="D454" s="65" t="s">
        <v>1489</v>
      </c>
      <c r="E454" s="65">
        <v>0</v>
      </c>
      <c r="F454" s="65" t="s">
        <v>1470</v>
      </c>
      <c r="G454" s="66"/>
      <c r="H454" s="5"/>
      <c r="I454" s="5"/>
      <c r="J454" s="5" t="s">
        <v>20</v>
      </c>
      <c r="K454" s="5"/>
      <c r="L454" s="5"/>
      <c r="M454" s="5"/>
      <c r="N454" s="4">
        <v>2153</v>
      </c>
    </row>
    <row r="455" spans="1:14" s="4" customFormat="1" ht="17.399999999999999" hidden="1" customHeight="1" outlineLevel="1" x14ac:dyDescent="0.35">
      <c r="A455" s="5"/>
      <c r="B455" s="67" t="s">
        <v>90</v>
      </c>
      <c r="C455" s="65" t="s">
        <v>1538</v>
      </c>
      <c r="D455" s="65" t="s">
        <v>1539</v>
      </c>
      <c r="E455" s="65">
        <v>0</v>
      </c>
      <c r="F455" s="65" t="s">
        <v>1470</v>
      </c>
      <c r="G455" s="66" t="s">
        <v>1540</v>
      </c>
      <c r="H455" s="5"/>
      <c r="I455" s="5"/>
      <c r="J455" s="5" t="s">
        <v>20</v>
      </c>
      <c r="K455" s="5"/>
      <c r="L455" s="5"/>
      <c r="M455" s="5"/>
      <c r="N455" s="4">
        <v>1162</v>
      </c>
    </row>
    <row r="456" spans="1:14" s="4" customFormat="1" ht="17.399999999999999" hidden="1" customHeight="1" outlineLevel="1" x14ac:dyDescent="0.35">
      <c r="A456" s="5"/>
      <c r="B456" s="67" t="s">
        <v>115</v>
      </c>
      <c r="C456" s="65" t="s">
        <v>1558</v>
      </c>
      <c r="D456" s="65" t="s">
        <v>1539</v>
      </c>
      <c r="E456" s="65">
        <v>0</v>
      </c>
      <c r="F456" s="65" t="s">
        <v>1470</v>
      </c>
      <c r="G456" s="66"/>
      <c r="H456" s="5"/>
      <c r="I456" s="5"/>
      <c r="J456" s="5" t="s">
        <v>20</v>
      </c>
      <c r="K456" s="5"/>
      <c r="L456" s="5"/>
      <c r="M456" s="5"/>
      <c r="N456" s="4">
        <v>2586</v>
      </c>
    </row>
    <row r="457" spans="1:14" s="4" customFormat="1" ht="17.399999999999999" hidden="1" customHeight="1" outlineLevel="1" x14ac:dyDescent="0.35">
      <c r="A457" s="5"/>
      <c r="B457" s="67" t="s">
        <v>118</v>
      </c>
      <c r="C457" s="65" t="s">
        <v>1562</v>
      </c>
      <c r="D457" s="65" t="s">
        <v>1489</v>
      </c>
      <c r="E457" s="65">
        <v>0</v>
      </c>
      <c r="F457" s="65"/>
      <c r="G457" s="66"/>
      <c r="H457" s="5"/>
      <c r="I457" s="5"/>
      <c r="J457" s="5" t="s">
        <v>20</v>
      </c>
      <c r="K457" s="5"/>
      <c r="L457" s="5"/>
      <c r="M457" s="5"/>
      <c r="N457" s="4">
        <v>1461</v>
      </c>
    </row>
    <row r="458" spans="1:14" s="4" customFormat="1" ht="17.399999999999999" hidden="1" customHeight="1" outlineLevel="1" x14ac:dyDescent="0.35">
      <c r="A458" s="5"/>
      <c r="B458" s="67" t="s">
        <v>119</v>
      </c>
      <c r="C458" s="65" t="s">
        <v>1563</v>
      </c>
      <c r="D458" s="65" t="s">
        <v>1494</v>
      </c>
      <c r="E458" s="65">
        <v>0</v>
      </c>
      <c r="F458" s="65"/>
      <c r="G458" s="66"/>
      <c r="H458" s="5"/>
      <c r="I458" s="5"/>
      <c r="J458" s="5" t="s">
        <v>20</v>
      </c>
      <c r="K458" s="5"/>
      <c r="L458" s="5"/>
      <c r="M458" s="5"/>
      <c r="N458" s="4">
        <v>1462</v>
      </c>
    </row>
    <row r="459" spans="1:14" s="4" customFormat="1" ht="17.399999999999999" hidden="1" customHeight="1" outlineLevel="1" x14ac:dyDescent="0.35">
      <c r="A459" s="5"/>
      <c r="B459" s="67" t="s">
        <v>120</v>
      </c>
      <c r="C459" s="65" t="s">
        <v>1564</v>
      </c>
      <c r="D459" s="65" t="s">
        <v>1494</v>
      </c>
      <c r="E459" s="65">
        <v>0</v>
      </c>
      <c r="F459" s="65"/>
      <c r="G459" s="66"/>
      <c r="H459" s="5"/>
      <c r="I459" s="5"/>
      <c r="J459" s="5" t="s">
        <v>20</v>
      </c>
      <c r="K459" s="5"/>
      <c r="L459" s="5"/>
      <c r="M459" s="5"/>
      <c r="N459" s="4">
        <v>2169</v>
      </c>
    </row>
    <row r="460" spans="1:14" s="4" customFormat="1" ht="17.399999999999999" hidden="1" customHeight="1" outlineLevel="1" x14ac:dyDescent="0.35">
      <c r="A460" s="5"/>
      <c r="B460" s="67" t="s">
        <v>121</v>
      </c>
      <c r="C460" s="65" t="s">
        <v>1565</v>
      </c>
      <c r="D460" s="65" t="s">
        <v>1494</v>
      </c>
      <c r="E460" s="65">
        <v>0</v>
      </c>
      <c r="F460" s="65"/>
      <c r="G460" s="66"/>
      <c r="H460" s="5"/>
      <c r="I460" s="5"/>
      <c r="J460" s="5" t="s">
        <v>20</v>
      </c>
      <c r="K460" s="5"/>
      <c r="L460" s="5"/>
      <c r="M460" s="5"/>
      <c r="N460" s="4">
        <v>1740</v>
      </c>
    </row>
    <row r="461" spans="1:14" s="3" customFormat="1" ht="17.399999999999999" hidden="1" customHeight="1" outlineLevel="1" x14ac:dyDescent="0.25">
      <c r="A461" s="5"/>
      <c r="B461" s="31"/>
      <c r="C461" s="20"/>
      <c r="D461" s="20"/>
      <c r="E461" s="20"/>
      <c r="F461" s="20"/>
      <c r="G461" s="22"/>
    </row>
    <row r="462" spans="1:14" s="3" customFormat="1" ht="17.399999999999999" hidden="1" customHeight="1" outlineLevel="1" x14ac:dyDescent="0.25">
      <c r="A462" s="5"/>
      <c r="B462" s="31"/>
      <c r="C462" s="20"/>
      <c r="D462" s="20"/>
      <c r="E462" s="20"/>
      <c r="F462" s="20"/>
      <c r="G462" s="22"/>
    </row>
    <row r="463" spans="1:14" s="3" customFormat="1" ht="17.399999999999999" hidden="1" customHeight="1" outlineLevel="1" thickBot="1" x14ac:dyDescent="0.3">
      <c r="A463" s="5"/>
      <c r="B463" s="31"/>
      <c r="C463" s="20"/>
      <c r="D463" s="20"/>
      <c r="E463" s="20"/>
      <c r="F463" s="20"/>
      <c r="G463" s="22"/>
    </row>
    <row r="464" spans="1:14" s="3" customFormat="1" ht="17.399999999999999" hidden="1" customHeight="1" outlineLevel="1" x14ac:dyDescent="0.25">
      <c r="A464" s="5"/>
      <c r="B464" s="401" t="s">
        <v>29</v>
      </c>
      <c r="C464" s="402"/>
      <c r="D464" s="402"/>
      <c r="E464" s="402"/>
      <c r="F464" s="402"/>
      <c r="G464" s="403"/>
    </row>
    <row r="465" spans="1:14" s="3" customFormat="1" ht="17.399999999999999" hidden="1" customHeight="1" outlineLevel="1" x14ac:dyDescent="0.25">
      <c r="A465" s="5"/>
      <c r="B465" s="116" t="s">
        <v>122</v>
      </c>
      <c r="C465" s="117"/>
      <c r="D465" s="117"/>
      <c r="E465" s="117"/>
      <c r="F465" s="117"/>
      <c r="G465" s="105"/>
      <c r="H465" s="5"/>
      <c r="I465" s="5"/>
      <c r="J465" s="5"/>
      <c r="K465" s="5"/>
    </row>
    <row r="466" spans="1:14" s="3" customFormat="1" ht="17.399999999999999" hidden="1" customHeight="1" outlineLevel="1" x14ac:dyDescent="0.25">
      <c r="A466" s="5"/>
      <c r="B466" s="116" t="s">
        <v>123</v>
      </c>
      <c r="C466" s="117"/>
      <c r="D466" s="117"/>
      <c r="E466" s="117"/>
      <c r="F466" s="117"/>
      <c r="G466" s="105"/>
      <c r="H466" s="5"/>
      <c r="I466" s="5"/>
      <c r="J466" s="5"/>
      <c r="K466" s="5"/>
    </row>
    <row r="467" spans="1:14" s="4" customFormat="1" ht="17.399999999999999" hidden="1" customHeight="1" outlineLevel="1" x14ac:dyDescent="0.35">
      <c r="A467" s="5"/>
      <c r="B467" s="67" t="s">
        <v>30</v>
      </c>
      <c r="C467" s="65"/>
      <c r="D467" s="65"/>
      <c r="E467" s="65"/>
      <c r="F467" s="65"/>
      <c r="G467" s="371" t="s">
        <v>2357</v>
      </c>
      <c r="H467" s="5"/>
      <c r="I467" s="5"/>
      <c r="J467" s="5"/>
      <c r="K467" s="5"/>
      <c r="L467" s="5"/>
      <c r="M467" s="5"/>
    </row>
    <row r="468" spans="1:14" s="3" customFormat="1" ht="17.399999999999999" hidden="1" customHeight="1" outlineLevel="1" x14ac:dyDescent="0.25">
      <c r="A468" s="5"/>
      <c r="B468" s="116" t="s">
        <v>126</v>
      </c>
      <c r="C468" s="117"/>
      <c r="D468" s="122"/>
      <c r="E468" s="117"/>
      <c r="F468" s="117"/>
      <c r="G468" s="371" t="s">
        <v>2368</v>
      </c>
    </row>
    <row r="469" spans="1:14" s="3" customFormat="1" ht="17.399999999999999" hidden="1" customHeight="1" outlineLevel="1" x14ac:dyDescent="0.25">
      <c r="A469" s="5"/>
      <c r="B469" s="125"/>
      <c r="C469" s="117"/>
      <c r="D469" s="117"/>
      <c r="E469" s="117"/>
      <c r="F469" s="117"/>
      <c r="G469" s="118"/>
    </row>
    <row r="470" spans="1:14" ht="16.2" hidden="1" outlineLevel="1" thickBot="1" x14ac:dyDescent="0.3"/>
    <row r="471" spans="1:14" s="4" customFormat="1" ht="17.399999999999999" customHeight="1" collapsed="1" thickBot="1" x14ac:dyDescent="0.4">
      <c r="A471" s="5"/>
      <c r="B471" s="166" t="s">
        <v>1279</v>
      </c>
      <c r="C471" s="169" t="s">
        <v>1335</v>
      </c>
      <c r="D471" s="168" t="s">
        <v>1281</v>
      </c>
      <c r="E471" s="354" t="s">
        <v>127</v>
      </c>
      <c r="F471" s="168" t="s">
        <v>1282</v>
      </c>
      <c r="G471" s="170" t="s">
        <v>1336</v>
      </c>
    </row>
    <row r="472" spans="1:14" s="4" customFormat="1" ht="17.399999999999999" hidden="1" customHeight="1" outlineLevel="1" x14ac:dyDescent="0.35">
      <c r="A472" s="5"/>
      <c r="B472" s="136" t="s">
        <v>1284</v>
      </c>
      <c r="C472" s="84" t="s">
        <v>1285</v>
      </c>
      <c r="D472" s="137" t="s">
        <v>1286</v>
      </c>
      <c r="E472" s="84" t="s">
        <v>1337</v>
      </c>
      <c r="F472" s="137" t="s">
        <v>1288</v>
      </c>
      <c r="G472" s="85" t="s">
        <v>1338</v>
      </c>
    </row>
    <row r="473" spans="1:14" s="4" customFormat="1" ht="17.399999999999999" hidden="1" customHeight="1" outlineLevel="1" thickBot="1" x14ac:dyDescent="0.4">
      <c r="A473" s="5"/>
      <c r="B473" s="136" t="s">
        <v>1290</v>
      </c>
      <c r="C473" s="172" t="s">
        <v>1291</v>
      </c>
      <c r="D473" s="137" t="s">
        <v>1292</v>
      </c>
      <c r="E473" s="172">
        <v>5</v>
      </c>
      <c r="F473" s="137" t="s">
        <v>1293</v>
      </c>
      <c r="G473" s="174" t="s">
        <v>1294</v>
      </c>
    </row>
    <row r="474" spans="1:14" s="4" customFormat="1" ht="17.399999999999999" hidden="1" customHeight="1" outlineLevel="1" x14ac:dyDescent="0.35">
      <c r="A474" s="5"/>
      <c r="B474" s="380" t="s">
        <v>1</v>
      </c>
      <c r="C474" s="381"/>
      <c r="D474" s="381"/>
      <c r="E474" s="381"/>
      <c r="F474" s="381"/>
      <c r="G474" s="382"/>
    </row>
    <row r="475" spans="1:14" s="4" customFormat="1" ht="17.399999999999999" hidden="1" customHeight="1" outlineLevel="1" x14ac:dyDescent="0.35">
      <c r="A475" s="5"/>
      <c r="B475" s="94" t="s">
        <v>2</v>
      </c>
      <c r="C475" s="95" t="s">
        <v>3</v>
      </c>
      <c r="D475" s="95" t="s">
        <v>4</v>
      </c>
      <c r="E475" s="95" t="s">
        <v>5</v>
      </c>
      <c r="F475" s="95"/>
      <c r="G475" s="96" t="s">
        <v>6</v>
      </c>
    </row>
    <row r="476" spans="1:14" s="4" customFormat="1" ht="17.399999999999999" hidden="1" customHeight="1" outlineLevel="1" x14ac:dyDescent="0.35">
      <c r="A476" s="5"/>
      <c r="B476" s="67" t="s">
        <v>112</v>
      </c>
      <c r="C476" s="65" t="s">
        <v>1555</v>
      </c>
      <c r="D476" s="65" t="s">
        <v>1469</v>
      </c>
      <c r="E476" s="65">
        <v>0</v>
      </c>
      <c r="F476" s="65" t="s">
        <v>1470</v>
      </c>
      <c r="G476" s="66" t="s">
        <v>1556</v>
      </c>
      <c r="H476" s="5"/>
      <c r="I476" s="5"/>
      <c r="J476" s="5" t="s">
        <v>10</v>
      </c>
      <c r="K476" s="5"/>
      <c r="L476" s="5"/>
      <c r="M476" s="5"/>
      <c r="N476" s="4">
        <v>1606</v>
      </c>
    </row>
    <row r="477" spans="1:14" s="4" customFormat="1" ht="17.399999999999999" hidden="1" customHeight="1" outlineLevel="1" x14ac:dyDescent="0.35">
      <c r="A477" s="5"/>
      <c r="B477" s="67" t="s">
        <v>15</v>
      </c>
      <c r="C477" s="65" t="s">
        <v>1478</v>
      </c>
      <c r="D477" s="65" t="s">
        <v>1469</v>
      </c>
      <c r="E477" s="65">
        <v>0</v>
      </c>
      <c r="F477" s="65" t="s">
        <v>1470</v>
      </c>
      <c r="G477" s="66"/>
      <c r="H477" s="5"/>
      <c r="I477" s="5"/>
      <c r="J477" s="5" t="s">
        <v>10</v>
      </c>
      <c r="K477" s="5"/>
      <c r="L477" s="5"/>
      <c r="M477" s="5"/>
      <c r="N477" s="4">
        <v>2430</v>
      </c>
    </row>
    <row r="478" spans="1:14" s="4" customFormat="1" ht="17.399999999999999" hidden="1" customHeight="1" outlineLevel="1" x14ac:dyDescent="0.35">
      <c r="A478" s="5"/>
      <c r="B478" s="67" t="s">
        <v>14</v>
      </c>
      <c r="C478" s="65" t="s">
        <v>1475</v>
      </c>
      <c r="D478" s="65" t="s">
        <v>1469</v>
      </c>
      <c r="E478" s="65">
        <v>0</v>
      </c>
      <c r="F478" s="65" t="s">
        <v>1476</v>
      </c>
      <c r="G478" s="66" t="s">
        <v>1477</v>
      </c>
      <c r="H478" s="5"/>
      <c r="I478" s="5"/>
      <c r="J478" s="5" t="s">
        <v>10</v>
      </c>
      <c r="K478" s="5"/>
      <c r="L478" s="5"/>
      <c r="M478" s="5"/>
      <c r="N478" s="4">
        <v>2155</v>
      </c>
    </row>
    <row r="479" spans="1:14" s="4" customFormat="1" ht="17.399999999999999" hidden="1" customHeight="1" outlineLevel="1" x14ac:dyDescent="0.35">
      <c r="A479" s="5"/>
      <c r="B479" s="67" t="s">
        <v>87</v>
      </c>
      <c r="C479" s="65" t="s">
        <v>1535</v>
      </c>
      <c r="D479" s="65" t="s">
        <v>1469</v>
      </c>
      <c r="E479" s="65">
        <v>0</v>
      </c>
      <c r="F479" s="65" t="s">
        <v>1476</v>
      </c>
      <c r="G479" s="66"/>
      <c r="H479" s="5"/>
      <c r="I479" s="5"/>
      <c r="J479" s="5" t="s">
        <v>10</v>
      </c>
      <c r="K479" s="5"/>
      <c r="L479" s="5"/>
      <c r="M479" s="5"/>
      <c r="N479" s="4">
        <v>2433</v>
      </c>
    </row>
    <row r="480" spans="1:14" s="4" customFormat="1" ht="17.399999999999999" hidden="1" customHeight="1" outlineLevel="1" x14ac:dyDescent="0.35">
      <c r="A480" s="5"/>
      <c r="B480" s="67" t="s">
        <v>128</v>
      </c>
      <c r="C480" s="65" t="s">
        <v>1566</v>
      </c>
      <c r="D480" s="65" t="s">
        <v>1567</v>
      </c>
      <c r="E480" s="65">
        <v>0</v>
      </c>
      <c r="F480" s="65" t="s">
        <v>1470</v>
      </c>
      <c r="G480" s="66"/>
      <c r="H480" s="5"/>
      <c r="I480" s="5"/>
      <c r="J480" s="5" t="s">
        <v>12</v>
      </c>
      <c r="K480" s="5"/>
      <c r="L480" s="5"/>
      <c r="M480" s="5"/>
      <c r="N480" s="4">
        <v>1629</v>
      </c>
    </row>
    <row r="481" spans="1:14" s="4" customFormat="1" ht="17.399999999999999" hidden="1" customHeight="1" outlineLevel="1" x14ac:dyDescent="0.35">
      <c r="A481" s="5"/>
      <c r="B481" s="67" t="s">
        <v>114</v>
      </c>
      <c r="C481" s="65" t="s">
        <v>1557</v>
      </c>
      <c r="D481" s="65" t="s">
        <v>1469</v>
      </c>
      <c r="E481" s="65">
        <v>-1</v>
      </c>
      <c r="F481" s="65" t="s">
        <v>1470</v>
      </c>
      <c r="G481" s="66"/>
      <c r="H481" s="5"/>
      <c r="I481" s="5"/>
      <c r="J481" s="5" t="s">
        <v>10</v>
      </c>
      <c r="K481" s="5"/>
      <c r="L481" s="5"/>
      <c r="M481" s="5"/>
      <c r="N481" s="4">
        <v>2449</v>
      </c>
    </row>
    <row r="482" spans="1:14" s="4" customFormat="1" ht="17.399999999999999" hidden="1" customHeight="1" outlineLevel="1" thickBot="1" x14ac:dyDescent="0.4">
      <c r="A482" s="5"/>
      <c r="B482" s="91"/>
      <c r="C482" s="92"/>
      <c r="D482" s="92"/>
      <c r="E482" s="92"/>
      <c r="F482" s="92"/>
      <c r="G482" s="93"/>
    </row>
    <row r="483" spans="1:14" s="4" customFormat="1" ht="17.399999999999999" hidden="1" customHeight="1" outlineLevel="1" x14ac:dyDescent="0.35">
      <c r="A483" s="5"/>
      <c r="B483" s="383" t="s">
        <v>18</v>
      </c>
      <c r="C483" s="384"/>
      <c r="D483" s="384"/>
      <c r="E483" s="384"/>
      <c r="F483" s="384"/>
      <c r="G483" s="385"/>
    </row>
    <row r="484" spans="1:14" s="4" customFormat="1" ht="17.399999999999999" hidden="1" customHeight="1" outlineLevel="1" x14ac:dyDescent="0.35">
      <c r="A484" s="5"/>
      <c r="B484" s="136" t="s">
        <v>2</v>
      </c>
      <c r="C484" s="137" t="s">
        <v>3</v>
      </c>
      <c r="D484" s="137" t="s">
        <v>4</v>
      </c>
      <c r="E484" s="137" t="s">
        <v>5</v>
      </c>
      <c r="F484" s="137"/>
      <c r="G484" s="138" t="s">
        <v>6</v>
      </c>
    </row>
    <row r="485" spans="1:14" s="4" customFormat="1" ht="17.399999999999999" hidden="1" customHeight="1" outlineLevel="1" x14ac:dyDescent="0.35">
      <c r="A485" s="5"/>
      <c r="B485" s="67" t="s">
        <v>128</v>
      </c>
      <c r="C485" s="65" t="s">
        <v>1566</v>
      </c>
      <c r="D485" s="65" t="s">
        <v>1567</v>
      </c>
      <c r="E485" s="65">
        <v>0</v>
      </c>
      <c r="F485" s="65" t="s">
        <v>1470</v>
      </c>
      <c r="G485" s="66"/>
      <c r="H485" s="5"/>
      <c r="I485" s="5"/>
      <c r="J485" s="5" t="s">
        <v>12</v>
      </c>
      <c r="K485" s="5"/>
      <c r="L485" s="5"/>
      <c r="M485" s="5"/>
      <c r="N485" s="4">
        <v>1629</v>
      </c>
    </row>
    <row r="486" spans="1:14" s="6" customFormat="1" hidden="1" outlineLevel="1" x14ac:dyDescent="0.25">
      <c r="A486" s="5"/>
      <c r="B486" s="81" t="s">
        <v>16</v>
      </c>
      <c r="C486" s="20" t="s">
        <v>1479</v>
      </c>
      <c r="D486" s="20" t="s">
        <v>1469</v>
      </c>
      <c r="E486" s="20" t="s">
        <v>1480</v>
      </c>
      <c r="F486" s="20" t="s">
        <v>1481</v>
      </c>
      <c r="G486" s="22" t="s">
        <v>1482</v>
      </c>
      <c r="J486" s="3" t="s">
        <v>78</v>
      </c>
      <c r="K486" s="3" t="s">
        <v>130</v>
      </c>
    </row>
    <row r="487" spans="1:14" s="4" customFormat="1" ht="17.399999999999999" hidden="1" customHeight="1" outlineLevel="1" x14ac:dyDescent="0.35">
      <c r="A487" s="5"/>
      <c r="B487" s="67" t="s">
        <v>112</v>
      </c>
      <c r="C487" s="65" t="s">
        <v>1555</v>
      </c>
      <c r="D487" s="65" t="s">
        <v>1469</v>
      </c>
      <c r="E487" s="65">
        <v>0</v>
      </c>
      <c r="F487" s="65" t="s">
        <v>1470</v>
      </c>
      <c r="G487" s="66" t="s">
        <v>1556</v>
      </c>
      <c r="H487" s="5"/>
      <c r="I487" s="5"/>
      <c r="J487" s="5" t="s">
        <v>10</v>
      </c>
      <c r="K487" s="5"/>
      <c r="L487" s="5"/>
      <c r="M487" s="5"/>
      <c r="N487" s="4">
        <v>1606</v>
      </c>
    </row>
    <row r="488" spans="1:14" s="4" customFormat="1" ht="17.399999999999999" hidden="1" customHeight="1" outlineLevel="1" x14ac:dyDescent="0.35">
      <c r="A488" s="5"/>
      <c r="B488" s="67" t="s">
        <v>15</v>
      </c>
      <c r="C488" s="65" t="s">
        <v>1478</v>
      </c>
      <c r="D488" s="65" t="s">
        <v>1469</v>
      </c>
      <c r="E488" s="65">
        <v>0</v>
      </c>
      <c r="F488" s="65" t="s">
        <v>1470</v>
      </c>
      <c r="G488" s="66"/>
      <c r="H488" s="5"/>
      <c r="I488" s="5"/>
      <c r="J488" s="5" t="s">
        <v>10</v>
      </c>
      <c r="K488" s="5"/>
      <c r="L488" s="5"/>
      <c r="M488" s="5"/>
      <c r="N488" s="4">
        <v>2430</v>
      </c>
    </row>
    <row r="489" spans="1:14" s="4" customFormat="1" ht="17.399999999999999" hidden="1" customHeight="1" outlineLevel="1" x14ac:dyDescent="0.35">
      <c r="A489" s="5"/>
      <c r="B489" s="67" t="s">
        <v>14</v>
      </c>
      <c r="C489" s="65" t="s">
        <v>1475</v>
      </c>
      <c r="D489" s="65" t="s">
        <v>1469</v>
      </c>
      <c r="E489" s="65">
        <v>0</v>
      </c>
      <c r="F489" s="65" t="s">
        <v>1476</v>
      </c>
      <c r="G489" s="66" t="s">
        <v>1477</v>
      </c>
      <c r="H489" s="5"/>
      <c r="I489" s="5"/>
      <c r="J489" s="5" t="s">
        <v>10</v>
      </c>
      <c r="K489" s="5"/>
      <c r="L489" s="5"/>
      <c r="M489" s="5"/>
      <c r="N489" s="4">
        <v>2155</v>
      </c>
    </row>
    <row r="490" spans="1:14" s="4" customFormat="1" ht="17.399999999999999" hidden="1" customHeight="1" outlineLevel="1" x14ac:dyDescent="0.35">
      <c r="A490" s="5"/>
      <c r="B490" s="67" t="s">
        <v>100</v>
      </c>
      <c r="C490" s="65" t="s">
        <v>1543</v>
      </c>
      <c r="D490" s="65" t="s">
        <v>1469</v>
      </c>
      <c r="E490" s="65">
        <v>0</v>
      </c>
      <c r="F490" s="65" t="s">
        <v>1476</v>
      </c>
      <c r="G490" s="66" t="s">
        <v>1544</v>
      </c>
      <c r="H490" s="5"/>
      <c r="I490" s="5"/>
      <c r="J490" s="5"/>
      <c r="K490" s="5"/>
      <c r="L490" s="5"/>
      <c r="M490" s="5"/>
    </row>
    <row r="491" spans="1:14" s="4" customFormat="1" ht="17.399999999999999" hidden="1" customHeight="1" outlineLevel="1" x14ac:dyDescent="0.35">
      <c r="A491" s="5"/>
      <c r="B491" s="67" t="s">
        <v>87</v>
      </c>
      <c r="C491" s="65" t="s">
        <v>1535</v>
      </c>
      <c r="D491" s="65" t="s">
        <v>1469</v>
      </c>
      <c r="E491" s="65">
        <v>0</v>
      </c>
      <c r="F491" s="65" t="s">
        <v>1476</v>
      </c>
      <c r="G491" s="66"/>
      <c r="H491" s="5"/>
      <c r="I491" s="5"/>
      <c r="J491" s="5" t="s">
        <v>10</v>
      </c>
      <c r="K491" s="5"/>
      <c r="L491" s="5"/>
      <c r="M491" s="5"/>
      <c r="N491" s="4">
        <v>2433</v>
      </c>
    </row>
    <row r="492" spans="1:14" s="4" customFormat="1" ht="17.399999999999999" hidden="1" customHeight="1" outlineLevel="1" x14ac:dyDescent="0.35">
      <c r="A492" s="5"/>
      <c r="B492" s="67" t="s">
        <v>62</v>
      </c>
      <c r="C492" s="65" t="s">
        <v>1525</v>
      </c>
      <c r="D492" s="65" t="s">
        <v>1489</v>
      </c>
      <c r="E492" s="65">
        <v>0</v>
      </c>
      <c r="F492" s="65"/>
      <c r="G492" s="66"/>
      <c r="H492" s="5"/>
      <c r="I492" s="5"/>
      <c r="J492" s="5" t="s">
        <v>20</v>
      </c>
      <c r="K492" s="5"/>
      <c r="L492" s="5"/>
      <c r="M492" s="5"/>
      <c r="N492" s="4">
        <v>1202</v>
      </c>
    </row>
    <row r="493" spans="1:14" s="4" customFormat="1" ht="17.399999999999999" hidden="1" customHeight="1" outlineLevel="1" x14ac:dyDescent="0.35">
      <c r="A493" s="5"/>
      <c r="B493" s="67" t="s">
        <v>116</v>
      </c>
      <c r="C493" s="65" t="s">
        <v>1559</v>
      </c>
      <c r="D493" s="65" t="s">
        <v>1486</v>
      </c>
      <c r="E493" s="65">
        <v>0</v>
      </c>
      <c r="F493" s="65" t="s">
        <v>1470</v>
      </c>
      <c r="G493" s="66" t="s">
        <v>1560</v>
      </c>
      <c r="H493" s="5"/>
      <c r="I493" s="5"/>
      <c r="J493" s="5" t="s">
        <v>20</v>
      </c>
      <c r="K493" s="5"/>
      <c r="L493" s="5"/>
      <c r="M493" s="5"/>
      <c r="N493" s="4">
        <v>1986</v>
      </c>
    </row>
    <row r="494" spans="1:14" s="4" customFormat="1" ht="17.399999999999999" hidden="1" customHeight="1" outlineLevel="1" x14ac:dyDescent="0.35">
      <c r="A494" s="5"/>
      <c r="B494" s="67" t="s">
        <v>75</v>
      </c>
      <c r="C494" s="65" t="s">
        <v>1530</v>
      </c>
      <c r="D494" s="65" t="s">
        <v>1486</v>
      </c>
      <c r="E494" s="65">
        <v>0</v>
      </c>
      <c r="F494" s="65" t="s">
        <v>1470</v>
      </c>
      <c r="G494" s="66" t="s">
        <v>1531</v>
      </c>
      <c r="H494" s="5"/>
      <c r="I494" s="5"/>
      <c r="J494" s="5" t="s">
        <v>20</v>
      </c>
      <c r="K494" s="5"/>
      <c r="L494" s="5"/>
      <c r="M494" s="5"/>
      <c r="N494" s="4">
        <v>1262</v>
      </c>
    </row>
    <row r="495" spans="1:14" s="4" customFormat="1" ht="17.399999999999999" hidden="1" customHeight="1" outlineLevel="1" x14ac:dyDescent="0.35">
      <c r="A495" s="5"/>
      <c r="B495" s="67" t="s">
        <v>131</v>
      </c>
      <c r="C495" s="65" t="s">
        <v>1568</v>
      </c>
      <c r="D495" s="65" t="s">
        <v>1486</v>
      </c>
      <c r="E495" s="65">
        <v>0</v>
      </c>
      <c r="F495" s="65" t="s">
        <v>1470</v>
      </c>
      <c r="G495" s="66" t="s">
        <v>1569</v>
      </c>
      <c r="H495" s="5"/>
      <c r="I495" s="5"/>
      <c r="J495" s="5" t="s">
        <v>20</v>
      </c>
      <c r="K495" s="5"/>
      <c r="L495" s="5"/>
      <c r="M495" s="5"/>
      <c r="N495" s="4">
        <v>1317</v>
      </c>
    </row>
    <row r="496" spans="1:14" s="4" customFormat="1" ht="17.399999999999999" hidden="1" customHeight="1" outlineLevel="1" x14ac:dyDescent="0.35">
      <c r="A496" s="5"/>
      <c r="B496" s="67" t="s">
        <v>132</v>
      </c>
      <c r="C496" s="65" t="s">
        <v>1570</v>
      </c>
      <c r="D496" s="65" t="s">
        <v>1486</v>
      </c>
      <c r="E496" s="65">
        <v>0</v>
      </c>
      <c r="F496" s="65" t="s">
        <v>1470</v>
      </c>
      <c r="G496" s="66" t="s">
        <v>1571</v>
      </c>
      <c r="H496" s="5"/>
      <c r="I496" s="5"/>
      <c r="J496" s="5" t="s">
        <v>20</v>
      </c>
      <c r="K496" s="5"/>
      <c r="L496" s="5"/>
      <c r="M496" s="5"/>
      <c r="N496" s="4">
        <v>1721</v>
      </c>
    </row>
    <row r="497" spans="1:14" s="4" customFormat="1" ht="17.399999999999999" hidden="1" customHeight="1" outlineLevel="1" x14ac:dyDescent="0.35">
      <c r="A497" s="5"/>
      <c r="B497" s="67" t="s">
        <v>133</v>
      </c>
      <c r="C497" s="65" t="s">
        <v>1572</v>
      </c>
      <c r="D497" s="65" t="s">
        <v>1486</v>
      </c>
      <c r="E497" s="65">
        <v>0</v>
      </c>
      <c r="F497" s="65" t="s">
        <v>1470</v>
      </c>
      <c r="G497" s="66"/>
      <c r="H497" s="5"/>
      <c r="I497" s="5"/>
      <c r="J497" s="5" t="s">
        <v>20</v>
      </c>
      <c r="K497" s="5"/>
      <c r="L497" s="5"/>
      <c r="M497" s="5"/>
      <c r="N497" s="4">
        <v>2498</v>
      </c>
    </row>
    <row r="498" spans="1:14" s="4" customFormat="1" ht="17.399999999999999" hidden="1" customHeight="1" outlineLevel="1" x14ac:dyDescent="0.35">
      <c r="A498" s="5"/>
      <c r="B498" s="67" t="s">
        <v>134</v>
      </c>
      <c r="C498" s="65" t="s">
        <v>1573</v>
      </c>
      <c r="D498" s="65" t="s">
        <v>1486</v>
      </c>
      <c r="E498" s="65">
        <v>0</v>
      </c>
      <c r="F498" s="65" t="s">
        <v>1470</v>
      </c>
      <c r="G498" s="66"/>
      <c r="H498" s="5"/>
      <c r="I498" s="5"/>
      <c r="J498" s="5" t="s">
        <v>20</v>
      </c>
      <c r="K498" s="5"/>
      <c r="L498" s="5"/>
      <c r="M498" s="5"/>
      <c r="N498" s="4">
        <v>2486</v>
      </c>
    </row>
    <row r="499" spans="1:14" s="4" customFormat="1" ht="17.399999999999999" hidden="1" customHeight="1" outlineLevel="1" x14ac:dyDescent="0.35">
      <c r="A499" s="5"/>
      <c r="B499" s="67" t="s">
        <v>135</v>
      </c>
      <c r="C499" s="65" t="s">
        <v>1574</v>
      </c>
      <c r="D499" s="65" t="s">
        <v>1486</v>
      </c>
      <c r="E499" s="65">
        <v>0</v>
      </c>
      <c r="F499" s="65" t="s">
        <v>1470</v>
      </c>
      <c r="G499" s="66"/>
      <c r="H499" s="5"/>
      <c r="I499" s="5"/>
      <c r="J499" s="5" t="s">
        <v>20</v>
      </c>
      <c r="K499" s="5"/>
      <c r="L499" s="5"/>
      <c r="M499" s="5"/>
      <c r="N499" s="4">
        <v>1699</v>
      </c>
    </row>
    <row r="500" spans="1:14" s="4" customFormat="1" ht="17.399999999999999" hidden="1" customHeight="1" outlineLevel="1" x14ac:dyDescent="0.35">
      <c r="A500" s="5"/>
      <c r="B500" s="67" t="s">
        <v>136</v>
      </c>
      <c r="C500" s="65" t="s">
        <v>1575</v>
      </c>
      <c r="D500" s="65" t="s">
        <v>1486</v>
      </c>
      <c r="E500" s="65">
        <v>0</v>
      </c>
      <c r="F500" s="65" t="s">
        <v>1470</v>
      </c>
      <c r="G500" s="66"/>
      <c r="H500" s="5"/>
      <c r="I500" s="5"/>
      <c r="J500" s="5" t="s">
        <v>20</v>
      </c>
      <c r="K500" s="5"/>
      <c r="L500" s="5"/>
      <c r="M500" s="5"/>
      <c r="N500" s="4">
        <v>1688</v>
      </c>
    </row>
    <row r="501" spans="1:14" s="4" customFormat="1" ht="17.399999999999999" hidden="1" customHeight="1" outlineLevel="1" x14ac:dyDescent="0.35">
      <c r="A501" s="5"/>
      <c r="B501" s="67" t="s">
        <v>137</v>
      </c>
      <c r="C501" s="65" t="s">
        <v>1576</v>
      </c>
      <c r="D501" s="65" t="s">
        <v>1486</v>
      </c>
      <c r="E501" s="65">
        <v>0</v>
      </c>
      <c r="F501" s="65" t="s">
        <v>1470</v>
      </c>
      <c r="G501" s="66"/>
      <c r="H501" s="5"/>
      <c r="I501" s="5"/>
      <c r="J501" s="5" t="s">
        <v>20</v>
      </c>
      <c r="K501" s="5"/>
      <c r="L501" s="5"/>
      <c r="M501" s="5"/>
      <c r="N501" s="4">
        <v>1191</v>
      </c>
    </row>
    <row r="502" spans="1:14" s="4" customFormat="1" ht="17.399999999999999" hidden="1" customHeight="1" outlineLevel="1" x14ac:dyDescent="0.35">
      <c r="A502" s="5"/>
      <c r="B502" s="67" t="s">
        <v>138</v>
      </c>
      <c r="C502" s="65" t="s">
        <v>1577</v>
      </c>
      <c r="D502" s="65" t="s">
        <v>1486</v>
      </c>
      <c r="E502" s="65">
        <v>0</v>
      </c>
      <c r="F502" s="65" t="s">
        <v>1470</v>
      </c>
      <c r="G502" s="66"/>
      <c r="H502" s="5"/>
      <c r="I502" s="5"/>
      <c r="J502" s="5" t="s">
        <v>20</v>
      </c>
      <c r="K502" s="5"/>
      <c r="L502" s="5"/>
      <c r="M502" s="5"/>
      <c r="N502" s="4">
        <v>1187</v>
      </c>
    </row>
    <row r="503" spans="1:14" s="4" customFormat="1" ht="17.399999999999999" hidden="1" customHeight="1" outlineLevel="1" x14ac:dyDescent="0.35">
      <c r="A503" s="5"/>
      <c r="B503" s="67" t="s">
        <v>117</v>
      </c>
      <c r="C503" s="65" t="s">
        <v>1561</v>
      </c>
      <c r="D503" s="65" t="s">
        <v>1489</v>
      </c>
      <c r="E503" s="65">
        <v>0</v>
      </c>
      <c r="F503" s="65" t="s">
        <v>1470</v>
      </c>
      <c r="G503" s="66"/>
      <c r="H503" s="5"/>
      <c r="I503" s="5"/>
      <c r="J503" s="5" t="s">
        <v>20</v>
      </c>
      <c r="K503" s="5"/>
      <c r="L503" s="5"/>
      <c r="M503" s="5"/>
      <c r="N503" s="4">
        <v>1163</v>
      </c>
    </row>
    <row r="504" spans="1:14" s="4" customFormat="1" ht="17.399999999999999" hidden="1" customHeight="1" outlineLevel="1" x14ac:dyDescent="0.35">
      <c r="A504" s="5"/>
      <c r="B504" s="67" t="s">
        <v>24</v>
      </c>
      <c r="C504" s="65" t="s">
        <v>1491</v>
      </c>
      <c r="D504" s="65" t="s">
        <v>1489</v>
      </c>
      <c r="E504" s="65">
        <v>0</v>
      </c>
      <c r="F504" s="65" t="s">
        <v>1470</v>
      </c>
      <c r="G504" s="66"/>
      <c r="H504" s="5"/>
      <c r="I504" s="5"/>
      <c r="J504" s="5" t="s">
        <v>20</v>
      </c>
      <c r="K504" s="5"/>
      <c r="L504" s="5"/>
      <c r="M504" s="5"/>
      <c r="N504" s="4">
        <v>2153</v>
      </c>
    </row>
    <row r="505" spans="1:14" s="4" customFormat="1" ht="17.399999999999999" hidden="1" customHeight="1" outlineLevel="1" x14ac:dyDescent="0.35">
      <c r="A505" s="5"/>
      <c r="B505" s="67" t="s">
        <v>140</v>
      </c>
      <c r="C505" s="65" t="s">
        <v>1578</v>
      </c>
      <c r="D505" s="65" t="s">
        <v>1489</v>
      </c>
      <c r="E505" s="65">
        <v>0</v>
      </c>
      <c r="F505" s="65" t="s">
        <v>1470</v>
      </c>
      <c r="G505" s="66"/>
      <c r="H505" s="5"/>
      <c r="I505" s="5"/>
      <c r="J505" s="5" t="s">
        <v>20</v>
      </c>
      <c r="K505" s="5"/>
      <c r="L505" s="5"/>
      <c r="M505" s="5"/>
      <c r="N505" s="4">
        <v>1852</v>
      </c>
    </row>
    <row r="506" spans="1:14" s="4" customFormat="1" ht="17.399999999999999" hidden="1" customHeight="1" outlineLevel="1" x14ac:dyDescent="0.35">
      <c r="A506" s="5"/>
      <c r="B506" s="67" t="s">
        <v>141</v>
      </c>
      <c r="C506" s="65" t="s">
        <v>1579</v>
      </c>
      <c r="D506" s="65" t="s">
        <v>1489</v>
      </c>
      <c r="E506" s="65">
        <v>0</v>
      </c>
      <c r="F506" s="65" t="s">
        <v>1470</v>
      </c>
      <c r="G506" s="66"/>
      <c r="H506" s="5"/>
      <c r="I506" s="5"/>
      <c r="J506" s="5" t="s">
        <v>20</v>
      </c>
      <c r="K506" s="5"/>
      <c r="L506" s="5"/>
      <c r="M506" s="5"/>
      <c r="N506" s="4">
        <v>1857</v>
      </c>
    </row>
    <row r="507" spans="1:14" s="4" customFormat="1" ht="17.399999999999999" hidden="1" customHeight="1" outlineLevel="1" x14ac:dyDescent="0.35">
      <c r="A507" s="5"/>
      <c r="B507" s="67" t="s">
        <v>90</v>
      </c>
      <c r="C507" s="65" t="s">
        <v>1538</v>
      </c>
      <c r="D507" s="65" t="s">
        <v>1539</v>
      </c>
      <c r="E507" s="65">
        <v>0</v>
      </c>
      <c r="F507" s="65" t="s">
        <v>1470</v>
      </c>
      <c r="G507" s="66" t="s">
        <v>1540</v>
      </c>
      <c r="H507" s="5"/>
      <c r="I507" s="5"/>
      <c r="J507" s="5" t="s">
        <v>20</v>
      </c>
      <c r="K507" s="5"/>
      <c r="L507" s="5"/>
      <c r="M507" s="5"/>
      <c r="N507" s="4">
        <v>1162</v>
      </c>
    </row>
    <row r="508" spans="1:14" s="4" customFormat="1" ht="17.399999999999999" hidden="1" customHeight="1" outlineLevel="1" x14ac:dyDescent="0.35">
      <c r="A508" s="5"/>
      <c r="B508" s="67" t="s">
        <v>115</v>
      </c>
      <c r="C508" s="65" t="s">
        <v>1558</v>
      </c>
      <c r="D508" s="65" t="s">
        <v>1539</v>
      </c>
      <c r="E508" s="65">
        <v>0</v>
      </c>
      <c r="F508" s="65" t="s">
        <v>1470</v>
      </c>
      <c r="G508" s="66"/>
      <c r="H508" s="5"/>
      <c r="I508" s="5"/>
      <c r="J508" s="5" t="s">
        <v>20</v>
      </c>
      <c r="K508" s="5"/>
      <c r="L508" s="5"/>
      <c r="M508" s="5"/>
      <c r="N508" s="4">
        <v>2586</v>
      </c>
    </row>
    <row r="509" spans="1:14" s="4" customFormat="1" ht="17.399999999999999" hidden="1" customHeight="1" outlineLevel="1" x14ac:dyDescent="0.35">
      <c r="A509" s="5"/>
      <c r="B509" s="67" t="s">
        <v>118</v>
      </c>
      <c r="C509" s="65" t="s">
        <v>1562</v>
      </c>
      <c r="D509" s="65" t="s">
        <v>1489</v>
      </c>
      <c r="E509" s="65">
        <v>0</v>
      </c>
      <c r="F509" s="65"/>
      <c r="G509" s="66"/>
      <c r="H509" s="5"/>
      <c r="I509" s="5"/>
      <c r="J509" s="5" t="s">
        <v>20</v>
      </c>
      <c r="K509" s="5"/>
      <c r="L509" s="5"/>
      <c r="M509" s="5"/>
      <c r="N509" s="4">
        <v>1461</v>
      </c>
    </row>
    <row r="510" spans="1:14" s="4" customFormat="1" ht="17.399999999999999" hidden="1" customHeight="1" outlineLevel="1" x14ac:dyDescent="0.35">
      <c r="A510" s="5"/>
      <c r="B510" s="67" t="s">
        <v>142</v>
      </c>
      <c r="C510" s="65" t="s">
        <v>1580</v>
      </c>
      <c r="D510" s="65" t="s">
        <v>1494</v>
      </c>
      <c r="E510" s="65">
        <v>0</v>
      </c>
      <c r="F510" s="65"/>
      <c r="G510" s="66"/>
      <c r="H510" s="5"/>
      <c r="I510" s="5"/>
      <c r="J510" s="5" t="s">
        <v>20</v>
      </c>
      <c r="K510" s="5"/>
      <c r="L510" s="5"/>
      <c r="M510" s="5"/>
      <c r="N510" s="4">
        <v>2346</v>
      </c>
    </row>
    <row r="511" spans="1:14" s="4" customFormat="1" ht="17.399999999999999" hidden="1" customHeight="1" outlineLevel="1" x14ac:dyDescent="0.35">
      <c r="A511" s="5"/>
      <c r="B511" s="67" t="s">
        <v>143</v>
      </c>
      <c r="C511" s="65" t="s">
        <v>1581</v>
      </c>
      <c r="D511" s="65" t="s">
        <v>1486</v>
      </c>
      <c r="E511" s="65">
        <v>0</v>
      </c>
      <c r="F511" s="65"/>
      <c r="G511" s="66" t="s">
        <v>1582</v>
      </c>
      <c r="H511" s="5"/>
      <c r="I511" s="5"/>
      <c r="J511" s="5" t="s">
        <v>20</v>
      </c>
      <c r="K511" s="5"/>
      <c r="L511" s="5"/>
      <c r="M511" s="5"/>
      <c r="N511" s="4">
        <v>1677</v>
      </c>
    </row>
    <row r="512" spans="1:14" s="4" customFormat="1" ht="17.399999999999999" hidden="1" customHeight="1" outlineLevel="1" x14ac:dyDescent="0.35">
      <c r="A512" s="5"/>
      <c r="B512" s="67" t="s">
        <v>144</v>
      </c>
      <c r="C512" s="65" t="s">
        <v>1583</v>
      </c>
      <c r="D512" s="65" t="s">
        <v>1486</v>
      </c>
      <c r="E512" s="65">
        <v>0</v>
      </c>
      <c r="F512" s="65"/>
      <c r="G512" s="66" t="s">
        <v>1582</v>
      </c>
      <c r="H512" s="5"/>
      <c r="I512" s="5"/>
      <c r="J512" s="5" t="s">
        <v>20</v>
      </c>
      <c r="K512" s="5"/>
      <c r="L512" s="5"/>
      <c r="M512" s="5"/>
      <c r="N512" s="4">
        <v>2459</v>
      </c>
    </row>
    <row r="513" spans="1:14" s="4" customFormat="1" ht="17.399999999999999" hidden="1" customHeight="1" outlineLevel="1" x14ac:dyDescent="0.35">
      <c r="A513" s="5"/>
      <c r="B513" s="67" t="s">
        <v>145</v>
      </c>
      <c r="C513" s="65" t="s">
        <v>1584</v>
      </c>
      <c r="D513" s="65" t="s">
        <v>1486</v>
      </c>
      <c r="E513" s="65">
        <v>0</v>
      </c>
      <c r="F513" s="65"/>
      <c r="G513" s="66"/>
      <c r="H513" s="5"/>
      <c r="I513" s="5"/>
      <c r="J513" s="5" t="s">
        <v>20</v>
      </c>
      <c r="K513" s="5"/>
      <c r="L513" s="5"/>
      <c r="M513" s="5"/>
      <c r="N513" s="4">
        <v>1744</v>
      </c>
    </row>
    <row r="514" spans="1:14" s="4" customFormat="1" ht="17.399999999999999" hidden="1" customHeight="1" outlineLevel="1" x14ac:dyDescent="0.35">
      <c r="A514" s="5"/>
      <c r="B514" s="67" t="s">
        <v>95</v>
      </c>
      <c r="C514" s="65" t="s">
        <v>1542</v>
      </c>
      <c r="D514" s="65" t="s">
        <v>1494</v>
      </c>
      <c r="E514" s="65">
        <v>0</v>
      </c>
      <c r="F514" s="65"/>
      <c r="G514" s="66"/>
      <c r="H514" s="5"/>
      <c r="I514" s="5"/>
      <c r="J514" s="5" t="s">
        <v>20</v>
      </c>
      <c r="K514" s="5"/>
      <c r="L514" s="5"/>
      <c r="M514" s="5"/>
      <c r="N514" s="4">
        <v>1197</v>
      </c>
    </row>
    <row r="515" spans="1:14" s="4" customFormat="1" ht="17.399999999999999" hidden="1" customHeight="1" outlineLevel="1" x14ac:dyDescent="0.35">
      <c r="A515" s="5"/>
      <c r="B515" s="67" t="s">
        <v>146</v>
      </c>
      <c r="C515" s="65" t="s">
        <v>1585</v>
      </c>
      <c r="D515" s="65" t="s">
        <v>1489</v>
      </c>
      <c r="E515" s="65">
        <v>0</v>
      </c>
      <c r="F515" s="65"/>
      <c r="G515" s="66"/>
      <c r="H515" s="5"/>
      <c r="I515" s="5"/>
      <c r="J515" s="5" t="s">
        <v>20</v>
      </c>
      <c r="K515" s="5"/>
      <c r="L515" s="5"/>
      <c r="M515" s="5"/>
    </row>
    <row r="516" spans="1:14" s="4" customFormat="1" ht="17.399999999999999" hidden="1" customHeight="1" outlineLevel="1" x14ac:dyDescent="0.35">
      <c r="A516" s="5"/>
      <c r="B516" s="67" t="s">
        <v>147</v>
      </c>
      <c r="C516" s="65" t="s">
        <v>1586</v>
      </c>
      <c r="D516" s="65" t="s">
        <v>1489</v>
      </c>
      <c r="E516" s="65">
        <v>0</v>
      </c>
      <c r="F516" s="65"/>
      <c r="G516" s="66"/>
      <c r="H516" s="5"/>
      <c r="I516" s="5"/>
      <c r="J516" s="5" t="s">
        <v>20</v>
      </c>
      <c r="K516" s="5"/>
      <c r="L516" s="5"/>
      <c r="M516" s="5"/>
    </row>
    <row r="517" spans="1:14" s="4" customFormat="1" ht="17.399999999999999" hidden="1" customHeight="1" outlineLevel="1" x14ac:dyDescent="0.35">
      <c r="A517" s="5"/>
      <c r="B517" s="67" t="s">
        <v>148</v>
      </c>
      <c r="C517" s="65" t="s">
        <v>1587</v>
      </c>
      <c r="D517" s="65" t="s">
        <v>1486</v>
      </c>
      <c r="E517" s="65">
        <v>0</v>
      </c>
      <c r="F517" s="65" t="s">
        <v>1470</v>
      </c>
      <c r="G517" s="66"/>
      <c r="H517" s="5"/>
      <c r="I517" s="5"/>
      <c r="J517" s="5" t="s">
        <v>20</v>
      </c>
      <c r="K517" s="5"/>
      <c r="L517" s="5"/>
      <c r="M517" s="5"/>
      <c r="N517" s="4">
        <v>2511</v>
      </c>
    </row>
    <row r="518" spans="1:14" s="4" customFormat="1" ht="17.399999999999999" hidden="1" customHeight="1" outlineLevel="1" thickBot="1" x14ac:dyDescent="0.4">
      <c r="A518" s="5"/>
      <c r="B518" s="91"/>
      <c r="C518" s="92"/>
      <c r="D518" s="92"/>
      <c r="E518" s="92"/>
      <c r="F518" s="92"/>
      <c r="G518" s="93"/>
    </row>
    <row r="519" spans="1:14" s="4" customFormat="1" ht="17.399999999999999" hidden="1" customHeight="1" outlineLevel="1" x14ac:dyDescent="0.35">
      <c r="A519" s="5"/>
      <c r="B519" s="380" t="s">
        <v>29</v>
      </c>
      <c r="C519" s="381"/>
      <c r="D519" s="381"/>
      <c r="E519" s="381"/>
      <c r="F519" s="381"/>
      <c r="G519" s="382"/>
    </row>
    <row r="520" spans="1:14" s="4" customFormat="1" ht="17.399999999999999" hidden="1" customHeight="1" outlineLevel="1" x14ac:dyDescent="0.35">
      <c r="A520" s="5"/>
      <c r="B520" s="67" t="s">
        <v>70</v>
      </c>
      <c r="C520" s="65"/>
      <c r="D520" s="65"/>
      <c r="E520" s="65"/>
      <c r="F520" s="65"/>
      <c r="G520" s="66"/>
      <c r="H520" s="5"/>
      <c r="I520" s="5"/>
      <c r="J520" s="5"/>
      <c r="K520" s="5"/>
      <c r="L520" s="5"/>
      <c r="M520" s="5"/>
    </row>
    <row r="521" spans="1:14" s="3" customFormat="1" ht="17.399999999999999" hidden="1" customHeight="1" outlineLevel="1" x14ac:dyDescent="0.25">
      <c r="A521" s="5"/>
      <c r="B521" s="116" t="s">
        <v>123</v>
      </c>
      <c r="C521" s="117"/>
      <c r="D521" s="117"/>
      <c r="E521" s="117"/>
      <c r="F521" s="117"/>
      <c r="G521" s="105"/>
      <c r="H521" s="5"/>
      <c r="I521" s="5"/>
      <c r="J521" s="5"/>
      <c r="K521" s="5"/>
    </row>
    <row r="522" spans="1:14" s="4" customFormat="1" ht="17.399999999999999" hidden="1" customHeight="1" outlineLevel="1" x14ac:dyDescent="0.35">
      <c r="A522" s="5"/>
      <c r="B522" s="67" t="s">
        <v>69</v>
      </c>
      <c r="C522" s="65"/>
      <c r="D522" s="65"/>
      <c r="E522" s="65"/>
      <c r="F522" s="65"/>
      <c r="G522" s="66"/>
      <c r="H522" s="5"/>
      <c r="I522" s="5"/>
      <c r="J522" s="5"/>
      <c r="K522" s="5"/>
      <c r="L522" s="5"/>
      <c r="M522" s="5"/>
    </row>
    <row r="523" spans="1:14" s="4" customFormat="1" ht="17.399999999999999" hidden="1" customHeight="1" outlineLevel="1" x14ac:dyDescent="0.35">
      <c r="A523" s="5"/>
      <c r="B523" s="67" t="s">
        <v>30</v>
      </c>
      <c r="C523" s="65"/>
      <c r="D523" s="65"/>
      <c r="E523" s="65"/>
      <c r="F523" s="65"/>
      <c r="G523" s="371" t="s">
        <v>2357</v>
      </c>
      <c r="H523" s="5"/>
      <c r="I523" s="5"/>
      <c r="J523" s="5"/>
      <c r="K523" s="5"/>
      <c r="L523" s="5"/>
      <c r="M523" s="5"/>
    </row>
    <row r="524" spans="1:14" s="4" customFormat="1" ht="17.399999999999999" hidden="1" customHeight="1" outlineLevel="1" x14ac:dyDescent="0.35">
      <c r="A524" s="5"/>
      <c r="B524" s="67" t="s">
        <v>149</v>
      </c>
      <c r="C524" s="65"/>
      <c r="D524" s="65"/>
      <c r="E524" s="65"/>
      <c r="F524" s="65"/>
      <c r="G524" s="371" t="s">
        <v>2369</v>
      </c>
      <c r="H524" s="5"/>
      <c r="I524" s="5"/>
      <c r="J524" s="5"/>
      <c r="K524" s="5"/>
      <c r="L524" s="5"/>
      <c r="M524" s="5"/>
    </row>
    <row r="525" spans="1:14" s="4" customFormat="1" ht="17.399999999999999" hidden="1" customHeight="1" outlineLevel="1" x14ac:dyDescent="0.35">
      <c r="A525" s="5"/>
      <c r="B525" s="67"/>
      <c r="C525" s="65"/>
      <c r="D525" s="65"/>
      <c r="E525" s="65"/>
      <c r="F525" s="65"/>
      <c r="G525" s="66"/>
      <c r="H525" s="5"/>
      <c r="I525" s="5"/>
      <c r="J525" s="5"/>
      <c r="K525" s="5"/>
      <c r="L525" s="5"/>
      <c r="M525" s="5"/>
    </row>
    <row r="526" spans="1:14" s="4" customFormat="1" ht="17.399999999999999" hidden="1" customHeight="1" outlineLevel="1" thickBot="1" x14ac:dyDescent="0.4">
      <c r="A526" s="5"/>
      <c r="B526" s="103"/>
      <c r="C526" s="92"/>
      <c r="D526" s="92"/>
      <c r="E526" s="92"/>
      <c r="F526" s="92"/>
      <c r="G526" s="93"/>
    </row>
    <row r="527" spans="1:14" ht="16.2" hidden="1" outlineLevel="1" thickBot="1" x14ac:dyDescent="0.3"/>
    <row r="528" spans="1:14" s="6" customFormat="1" ht="16.2" collapsed="1" thickBot="1" x14ac:dyDescent="0.3">
      <c r="A528" s="5"/>
      <c r="B528" s="166" t="s">
        <v>1279</v>
      </c>
      <c r="C528" s="169" t="s">
        <v>1339</v>
      </c>
      <c r="D528" s="168" t="s">
        <v>1281</v>
      </c>
      <c r="E528" s="169" t="s">
        <v>150</v>
      </c>
      <c r="F528" s="168" t="s">
        <v>1282</v>
      </c>
      <c r="G528" s="170" t="s">
        <v>1340</v>
      </c>
    </row>
    <row r="529" spans="1:14" s="3" customFormat="1" ht="17.399999999999999" hidden="1" customHeight="1" outlineLevel="1" x14ac:dyDescent="0.25">
      <c r="A529" s="5"/>
      <c r="B529" s="19" t="s">
        <v>1284</v>
      </c>
      <c r="C529" s="20" t="s">
        <v>1285</v>
      </c>
      <c r="D529" s="21" t="s">
        <v>1286</v>
      </c>
      <c r="E529" s="20" t="s">
        <v>1341</v>
      </c>
      <c r="F529" s="21" t="s">
        <v>1288</v>
      </c>
      <c r="G529" s="22" t="s">
        <v>1342</v>
      </c>
    </row>
    <row r="530" spans="1:14" s="3" customFormat="1" ht="17.399999999999999" hidden="1" customHeight="1" outlineLevel="1" thickBot="1" x14ac:dyDescent="0.3">
      <c r="A530" s="5"/>
      <c r="B530" s="19" t="s">
        <v>1290</v>
      </c>
      <c r="C530" s="23" t="s">
        <v>1291</v>
      </c>
      <c r="D530" s="21" t="s">
        <v>1292</v>
      </c>
      <c r="E530" s="23">
        <v>5</v>
      </c>
      <c r="F530" s="21" t="s">
        <v>1293</v>
      </c>
      <c r="G530" s="24" t="s">
        <v>1294</v>
      </c>
    </row>
    <row r="531" spans="1:14" s="3" customFormat="1" ht="17.399999999999999" hidden="1" customHeight="1" outlineLevel="1" x14ac:dyDescent="0.25">
      <c r="A531" s="5"/>
      <c r="B531" s="395" t="s">
        <v>1</v>
      </c>
      <c r="C531" s="396"/>
      <c r="D531" s="396"/>
      <c r="E531" s="396"/>
      <c r="F531" s="396"/>
      <c r="G531" s="397"/>
    </row>
    <row r="532" spans="1:14" s="3" customFormat="1" ht="17.399999999999999" hidden="1" customHeight="1" outlineLevel="1" x14ac:dyDescent="0.25">
      <c r="A532" s="5"/>
      <c r="B532" s="25" t="s">
        <v>2</v>
      </c>
      <c r="C532" s="26" t="s">
        <v>3</v>
      </c>
      <c r="D532" s="26" t="s">
        <v>4</v>
      </c>
      <c r="E532" s="26" t="s">
        <v>5</v>
      </c>
      <c r="F532" s="26"/>
      <c r="G532" s="27" t="s">
        <v>6</v>
      </c>
    </row>
    <row r="533" spans="1:14" s="3" customFormat="1" ht="17.399999999999999" hidden="1" customHeight="1" outlineLevel="1" x14ac:dyDescent="0.25">
      <c r="A533" s="5"/>
      <c r="B533" s="116" t="s">
        <v>73</v>
      </c>
      <c r="C533" s="117" t="s">
        <v>1528</v>
      </c>
      <c r="D533" s="122" t="s">
        <v>1469</v>
      </c>
      <c r="E533" s="117" t="s">
        <v>1480</v>
      </c>
      <c r="F533" s="117" t="s">
        <v>1481</v>
      </c>
      <c r="G533" s="105"/>
      <c r="J533" s="3" t="s">
        <v>10</v>
      </c>
      <c r="N533" s="3">
        <v>1767</v>
      </c>
    </row>
    <row r="534" spans="1:14" s="3" customFormat="1" ht="17.399999999999999" hidden="1" customHeight="1" outlineLevel="1" x14ac:dyDescent="0.25">
      <c r="A534" s="5"/>
      <c r="B534" s="116" t="s">
        <v>74</v>
      </c>
      <c r="C534" s="117" t="s">
        <v>1529</v>
      </c>
      <c r="D534" s="122" t="s">
        <v>1469</v>
      </c>
      <c r="E534" s="117" t="s">
        <v>1480</v>
      </c>
      <c r="F534" s="117" t="s">
        <v>1481</v>
      </c>
      <c r="G534" s="105"/>
      <c r="J534" s="3" t="s">
        <v>10</v>
      </c>
      <c r="N534" s="3">
        <v>1713</v>
      </c>
    </row>
    <row r="535" spans="1:14" s="3" customFormat="1" ht="17.399999999999999" hidden="1" customHeight="1" outlineLevel="1" x14ac:dyDescent="0.25">
      <c r="A535" s="5"/>
      <c r="B535" s="116" t="s">
        <v>112</v>
      </c>
      <c r="C535" s="117" t="s">
        <v>1555</v>
      </c>
      <c r="D535" s="122" t="s">
        <v>1469</v>
      </c>
      <c r="E535" s="117">
        <v>0</v>
      </c>
      <c r="F535" s="117" t="s">
        <v>1470</v>
      </c>
      <c r="G535" s="105" t="s">
        <v>1556</v>
      </c>
      <c r="J535" s="3" t="s">
        <v>10</v>
      </c>
      <c r="N535" s="3">
        <v>1606</v>
      </c>
    </row>
    <row r="536" spans="1:14" s="3" customFormat="1" ht="17.399999999999999" hidden="1" customHeight="1" outlineLevel="1" x14ac:dyDescent="0.25">
      <c r="A536" s="5"/>
      <c r="B536" s="116" t="s">
        <v>15</v>
      </c>
      <c r="C536" s="117" t="s">
        <v>1478</v>
      </c>
      <c r="D536" s="122" t="s">
        <v>1469</v>
      </c>
      <c r="E536" s="117">
        <v>0</v>
      </c>
      <c r="F536" s="117" t="s">
        <v>1470</v>
      </c>
      <c r="G536" s="105"/>
      <c r="J536" s="3" t="s">
        <v>10</v>
      </c>
      <c r="N536" s="3">
        <v>2430</v>
      </c>
    </row>
    <row r="537" spans="1:14" s="3" customFormat="1" ht="17.399999999999999" hidden="1" customHeight="1" outlineLevel="1" x14ac:dyDescent="0.25">
      <c r="A537" s="5"/>
      <c r="B537" s="116" t="s">
        <v>14</v>
      </c>
      <c r="C537" s="117" t="s">
        <v>1475</v>
      </c>
      <c r="D537" s="122" t="s">
        <v>1469</v>
      </c>
      <c r="E537" s="117">
        <v>0</v>
      </c>
      <c r="F537" s="117" t="s">
        <v>1476</v>
      </c>
      <c r="G537" s="105" t="s">
        <v>1477</v>
      </c>
      <c r="J537" s="3" t="s">
        <v>10</v>
      </c>
      <c r="N537" s="3">
        <v>2155</v>
      </c>
    </row>
    <row r="538" spans="1:14" s="3" customFormat="1" ht="17.399999999999999" hidden="1" customHeight="1" outlineLevel="1" x14ac:dyDescent="0.25">
      <c r="A538" s="5"/>
      <c r="B538" s="31" t="s">
        <v>87</v>
      </c>
      <c r="C538" s="20" t="s">
        <v>1535</v>
      </c>
      <c r="D538" s="20" t="s">
        <v>1469</v>
      </c>
      <c r="E538" s="20">
        <v>0</v>
      </c>
      <c r="F538" s="20" t="s">
        <v>1476</v>
      </c>
      <c r="G538" s="22"/>
      <c r="J538" s="3" t="s">
        <v>10</v>
      </c>
      <c r="N538" s="3">
        <v>2433</v>
      </c>
    </row>
    <row r="539" spans="1:14" s="3" customFormat="1" ht="17.399999999999999" hidden="1" customHeight="1" outlineLevel="1" x14ac:dyDescent="0.25">
      <c r="A539" s="5"/>
      <c r="B539" s="31" t="s">
        <v>128</v>
      </c>
      <c r="C539" s="20" t="s">
        <v>1566</v>
      </c>
      <c r="D539" s="20" t="s">
        <v>1567</v>
      </c>
      <c r="E539" s="20">
        <v>0</v>
      </c>
      <c r="F539" s="20" t="s">
        <v>1470</v>
      </c>
      <c r="G539" s="22"/>
      <c r="J539" s="3" t="s">
        <v>12</v>
      </c>
      <c r="N539" s="3">
        <v>1629</v>
      </c>
    </row>
    <row r="540" spans="1:14" s="3" customFormat="1" ht="17.399999999999999" hidden="1" customHeight="1" outlineLevel="1" x14ac:dyDescent="0.25">
      <c r="A540" s="5"/>
      <c r="B540" s="31" t="s">
        <v>114</v>
      </c>
      <c r="C540" s="20" t="s">
        <v>1557</v>
      </c>
      <c r="D540" s="20" t="s">
        <v>1469</v>
      </c>
      <c r="E540" s="20">
        <v>-1</v>
      </c>
      <c r="F540" s="20" t="s">
        <v>1470</v>
      </c>
      <c r="G540" s="22"/>
      <c r="J540" s="3" t="s">
        <v>10</v>
      </c>
      <c r="N540" s="3">
        <v>2449</v>
      </c>
    </row>
    <row r="541" spans="1:14" s="3" customFormat="1" ht="17.399999999999999" hidden="1" customHeight="1" outlineLevel="1" thickBot="1" x14ac:dyDescent="0.3">
      <c r="A541" s="5"/>
      <c r="B541" s="52"/>
      <c r="C541" s="53"/>
      <c r="D541" s="53"/>
      <c r="E541" s="53"/>
      <c r="F541" s="53"/>
      <c r="G541" s="54"/>
    </row>
    <row r="542" spans="1:14" s="3" customFormat="1" ht="17.399999999999999" hidden="1" customHeight="1" outlineLevel="1" x14ac:dyDescent="0.25">
      <c r="A542" s="5"/>
      <c r="B542" s="398" t="s">
        <v>18</v>
      </c>
      <c r="C542" s="399"/>
      <c r="D542" s="399"/>
      <c r="E542" s="399"/>
      <c r="F542" s="399"/>
      <c r="G542" s="400"/>
    </row>
    <row r="543" spans="1:14" s="3" customFormat="1" ht="17.399999999999999" hidden="1" customHeight="1" outlineLevel="1" x14ac:dyDescent="0.25">
      <c r="A543" s="5"/>
      <c r="B543" s="25" t="s">
        <v>2</v>
      </c>
      <c r="C543" s="26" t="s">
        <v>3</v>
      </c>
      <c r="D543" s="26" t="s">
        <v>4</v>
      </c>
      <c r="E543" s="26" t="s">
        <v>5</v>
      </c>
      <c r="F543" s="26"/>
      <c r="G543" s="27" t="s">
        <v>6</v>
      </c>
    </row>
    <row r="544" spans="1:14" s="3" customFormat="1" ht="17.399999999999999" hidden="1" customHeight="1" outlineLevel="1" x14ac:dyDescent="0.25">
      <c r="A544" s="5"/>
      <c r="B544" s="116" t="s">
        <v>128</v>
      </c>
      <c r="C544" s="117" t="s">
        <v>1566</v>
      </c>
      <c r="D544" s="117" t="s">
        <v>1567</v>
      </c>
      <c r="E544" s="117">
        <v>0</v>
      </c>
      <c r="F544" s="117" t="s">
        <v>1470</v>
      </c>
      <c r="G544" s="118"/>
      <c r="J544" s="3" t="s">
        <v>12</v>
      </c>
      <c r="N544" s="3">
        <v>1629</v>
      </c>
    </row>
    <row r="545" spans="1:14" s="6" customFormat="1" hidden="1" outlineLevel="1" x14ac:dyDescent="0.25">
      <c r="A545" s="5"/>
      <c r="B545" s="81" t="s">
        <v>16</v>
      </c>
      <c r="C545" s="20" t="s">
        <v>1479</v>
      </c>
      <c r="D545" s="20" t="s">
        <v>1469</v>
      </c>
      <c r="E545" s="20" t="s">
        <v>1480</v>
      </c>
      <c r="F545" s="20" t="s">
        <v>1481</v>
      </c>
      <c r="G545" s="22" t="s">
        <v>1482</v>
      </c>
      <c r="J545" s="3" t="s">
        <v>78</v>
      </c>
      <c r="K545" s="3" t="s">
        <v>130</v>
      </c>
    </row>
    <row r="546" spans="1:14" s="3" customFormat="1" ht="17.399999999999999" hidden="1" customHeight="1" outlineLevel="1" x14ac:dyDescent="0.25">
      <c r="A546" s="5"/>
      <c r="B546" s="116" t="s">
        <v>112</v>
      </c>
      <c r="C546" s="117" t="s">
        <v>1555</v>
      </c>
      <c r="D546" s="117" t="s">
        <v>1469</v>
      </c>
      <c r="E546" s="117">
        <v>0</v>
      </c>
      <c r="F546" s="117" t="s">
        <v>1470</v>
      </c>
      <c r="G546" s="118" t="s">
        <v>1556</v>
      </c>
      <c r="J546" s="3" t="s">
        <v>10</v>
      </c>
      <c r="N546" s="3">
        <v>1606</v>
      </c>
    </row>
    <row r="547" spans="1:14" s="3" customFormat="1" ht="17.399999999999999" hidden="1" customHeight="1" outlineLevel="1" x14ac:dyDescent="0.25">
      <c r="A547" s="5"/>
      <c r="B547" s="116" t="s">
        <v>15</v>
      </c>
      <c r="C547" s="117" t="s">
        <v>1478</v>
      </c>
      <c r="D547" s="117" t="s">
        <v>1469</v>
      </c>
      <c r="E547" s="117">
        <v>0</v>
      </c>
      <c r="F547" s="117" t="s">
        <v>1470</v>
      </c>
      <c r="G547" s="118"/>
      <c r="J547" s="3" t="s">
        <v>10</v>
      </c>
      <c r="N547" s="3">
        <v>2430</v>
      </c>
    </row>
    <row r="548" spans="1:14" s="3" customFormat="1" ht="17.399999999999999" hidden="1" customHeight="1" outlineLevel="1" x14ac:dyDescent="0.25">
      <c r="A548" s="5"/>
      <c r="B548" s="116" t="s">
        <v>14</v>
      </c>
      <c r="C548" s="117" t="s">
        <v>1475</v>
      </c>
      <c r="D548" s="117" t="s">
        <v>1469</v>
      </c>
      <c r="E548" s="117">
        <v>0</v>
      </c>
      <c r="F548" s="117" t="s">
        <v>1476</v>
      </c>
      <c r="G548" s="118" t="s">
        <v>1477</v>
      </c>
      <c r="J548" s="3" t="s">
        <v>10</v>
      </c>
      <c r="N548" s="3">
        <v>2155</v>
      </c>
    </row>
    <row r="549" spans="1:14" s="4" customFormat="1" ht="17.399999999999999" hidden="1" customHeight="1" outlineLevel="1" x14ac:dyDescent="0.35">
      <c r="A549" s="5"/>
      <c r="B549" s="67" t="s">
        <v>100</v>
      </c>
      <c r="C549" s="65" t="s">
        <v>1543</v>
      </c>
      <c r="D549" s="65" t="s">
        <v>1469</v>
      </c>
      <c r="E549" s="65">
        <v>0</v>
      </c>
      <c r="F549" s="65" t="s">
        <v>1476</v>
      </c>
      <c r="G549" s="66" t="s">
        <v>1544</v>
      </c>
      <c r="H549" s="5"/>
      <c r="I549" s="5"/>
      <c r="J549" s="5"/>
      <c r="K549" s="5"/>
      <c r="L549" s="5"/>
      <c r="M549" s="5"/>
    </row>
    <row r="550" spans="1:14" s="3" customFormat="1" ht="17.399999999999999" hidden="1" customHeight="1" outlineLevel="1" x14ac:dyDescent="0.25">
      <c r="A550" s="5"/>
      <c r="B550" s="116" t="s">
        <v>87</v>
      </c>
      <c r="C550" s="117" t="s">
        <v>1535</v>
      </c>
      <c r="D550" s="117" t="s">
        <v>1469</v>
      </c>
      <c r="E550" s="117">
        <v>0</v>
      </c>
      <c r="F550" s="117" t="s">
        <v>1476</v>
      </c>
      <c r="G550" s="118"/>
      <c r="J550" s="3" t="s">
        <v>10</v>
      </c>
      <c r="N550" s="3">
        <v>2433</v>
      </c>
    </row>
    <row r="551" spans="1:14" s="3" customFormat="1" ht="17.399999999999999" hidden="1" customHeight="1" outlineLevel="1" x14ac:dyDescent="0.25">
      <c r="A551" s="5"/>
      <c r="B551" s="116" t="s">
        <v>62</v>
      </c>
      <c r="C551" s="117" t="s">
        <v>1525</v>
      </c>
      <c r="D551" s="117" t="s">
        <v>1489</v>
      </c>
      <c r="E551" s="117">
        <v>0</v>
      </c>
      <c r="F551" s="117"/>
      <c r="G551" s="118"/>
      <c r="J551" s="3" t="s">
        <v>20</v>
      </c>
      <c r="N551" s="3">
        <v>1202</v>
      </c>
    </row>
    <row r="552" spans="1:14" s="3" customFormat="1" ht="17.399999999999999" hidden="1" customHeight="1" outlineLevel="1" x14ac:dyDescent="0.25">
      <c r="A552" s="5"/>
      <c r="B552" s="116" t="s">
        <v>116</v>
      </c>
      <c r="C552" s="117" t="s">
        <v>1559</v>
      </c>
      <c r="D552" s="117" t="s">
        <v>1486</v>
      </c>
      <c r="E552" s="117">
        <v>0</v>
      </c>
      <c r="F552" s="117" t="s">
        <v>1470</v>
      </c>
      <c r="G552" s="118" t="s">
        <v>1560</v>
      </c>
      <c r="J552" s="3" t="s">
        <v>20</v>
      </c>
      <c r="N552" s="3">
        <v>1986</v>
      </c>
    </row>
    <row r="553" spans="1:14" s="3" customFormat="1" ht="17.399999999999999" hidden="1" customHeight="1" outlineLevel="1" x14ac:dyDescent="0.25">
      <c r="A553" s="5"/>
      <c r="B553" s="116" t="s">
        <v>75</v>
      </c>
      <c r="C553" s="117" t="s">
        <v>1530</v>
      </c>
      <c r="D553" s="117" t="s">
        <v>1486</v>
      </c>
      <c r="E553" s="117">
        <v>0</v>
      </c>
      <c r="F553" s="117" t="s">
        <v>1470</v>
      </c>
      <c r="G553" s="118" t="s">
        <v>1531</v>
      </c>
      <c r="J553" s="3" t="s">
        <v>20</v>
      </c>
      <c r="N553" s="3">
        <v>1262</v>
      </c>
    </row>
    <row r="554" spans="1:14" s="3" customFormat="1" ht="17.399999999999999" hidden="1" customHeight="1" outlineLevel="1" x14ac:dyDescent="0.25">
      <c r="A554" s="5"/>
      <c r="B554" s="116" t="s">
        <v>131</v>
      </c>
      <c r="C554" s="117" t="s">
        <v>1568</v>
      </c>
      <c r="D554" s="117" t="s">
        <v>1486</v>
      </c>
      <c r="E554" s="117">
        <v>0</v>
      </c>
      <c r="F554" s="117" t="s">
        <v>1470</v>
      </c>
      <c r="G554" s="118" t="s">
        <v>1569</v>
      </c>
      <c r="J554" s="3" t="s">
        <v>20</v>
      </c>
      <c r="N554" s="3">
        <v>1317</v>
      </c>
    </row>
    <row r="555" spans="1:14" s="3" customFormat="1" ht="17.399999999999999" hidden="1" customHeight="1" outlineLevel="1" x14ac:dyDescent="0.25">
      <c r="A555" s="5"/>
      <c r="B555" s="116" t="s">
        <v>132</v>
      </c>
      <c r="C555" s="117" t="s">
        <v>1570</v>
      </c>
      <c r="D555" s="117" t="s">
        <v>1486</v>
      </c>
      <c r="E555" s="117">
        <v>0</v>
      </c>
      <c r="F555" s="117" t="s">
        <v>1470</v>
      </c>
      <c r="G555" s="118" t="s">
        <v>1571</v>
      </c>
      <c r="J555" s="3" t="s">
        <v>20</v>
      </c>
      <c r="N555" s="3">
        <v>1721</v>
      </c>
    </row>
    <row r="556" spans="1:14" s="3" customFormat="1" ht="17.399999999999999" hidden="1" customHeight="1" outlineLevel="1" x14ac:dyDescent="0.25">
      <c r="A556" s="5"/>
      <c r="B556" s="116" t="s">
        <v>133</v>
      </c>
      <c r="C556" s="117" t="s">
        <v>1572</v>
      </c>
      <c r="D556" s="117" t="s">
        <v>1486</v>
      </c>
      <c r="E556" s="117">
        <v>0</v>
      </c>
      <c r="F556" s="117" t="s">
        <v>1470</v>
      </c>
      <c r="G556" s="118"/>
      <c r="J556" s="3" t="s">
        <v>20</v>
      </c>
      <c r="N556" s="3">
        <v>2498</v>
      </c>
    </row>
    <row r="557" spans="1:14" s="3" customFormat="1" ht="17.399999999999999" hidden="1" customHeight="1" outlineLevel="1" x14ac:dyDescent="0.25">
      <c r="A557" s="5"/>
      <c r="B557" s="116" t="s">
        <v>134</v>
      </c>
      <c r="C557" s="117" t="s">
        <v>1573</v>
      </c>
      <c r="D557" s="117" t="s">
        <v>1486</v>
      </c>
      <c r="E557" s="117">
        <v>0</v>
      </c>
      <c r="F557" s="117" t="s">
        <v>1470</v>
      </c>
      <c r="G557" s="118"/>
      <c r="J557" s="3" t="s">
        <v>20</v>
      </c>
      <c r="N557" s="3">
        <v>2486</v>
      </c>
    </row>
    <row r="558" spans="1:14" s="3" customFormat="1" ht="17.399999999999999" hidden="1" customHeight="1" outlineLevel="1" x14ac:dyDescent="0.25">
      <c r="A558" s="5"/>
      <c r="B558" s="116" t="s">
        <v>135</v>
      </c>
      <c r="C558" s="117" t="s">
        <v>1574</v>
      </c>
      <c r="D558" s="117" t="s">
        <v>1486</v>
      </c>
      <c r="E558" s="117">
        <v>0</v>
      </c>
      <c r="F558" s="117" t="s">
        <v>1470</v>
      </c>
      <c r="G558" s="118"/>
      <c r="J558" s="3" t="s">
        <v>20</v>
      </c>
      <c r="N558" s="3">
        <v>1699</v>
      </c>
    </row>
    <row r="559" spans="1:14" s="3" customFormat="1" ht="17.399999999999999" hidden="1" customHeight="1" outlineLevel="1" x14ac:dyDescent="0.25">
      <c r="A559" s="5"/>
      <c r="B559" s="116" t="s">
        <v>136</v>
      </c>
      <c r="C559" s="117" t="s">
        <v>1575</v>
      </c>
      <c r="D559" s="117" t="s">
        <v>1486</v>
      </c>
      <c r="E559" s="117">
        <v>0</v>
      </c>
      <c r="F559" s="117" t="s">
        <v>1470</v>
      </c>
      <c r="G559" s="118"/>
      <c r="J559" s="3" t="s">
        <v>20</v>
      </c>
      <c r="N559" s="3">
        <v>1688</v>
      </c>
    </row>
    <row r="560" spans="1:14" s="3" customFormat="1" ht="17.399999999999999" hidden="1" customHeight="1" outlineLevel="1" x14ac:dyDescent="0.25">
      <c r="A560" s="5"/>
      <c r="B560" s="116" t="s">
        <v>137</v>
      </c>
      <c r="C560" s="117" t="s">
        <v>1576</v>
      </c>
      <c r="D560" s="117" t="s">
        <v>1486</v>
      </c>
      <c r="E560" s="117">
        <v>0</v>
      </c>
      <c r="F560" s="117" t="s">
        <v>1470</v>
      </c>
      <c r="G560" s="118"/>
      <c r="J560" s="3" t="s">
        <v>20</v>
      </c>
      <c r="N560" s="3">
        <v>1191</v>
      </c>
    </row>
    <row r="561" spans="1:14" s="3" customFormat="1" ht="17.399999999999999" hidden="1" customHeight="1" outlineLevel="1" x14ac:dyDescent="0.25">
      <c r="A561" s="5"/>
      <c r="B561" s="116" t="s">
        <v>138</v>
      </c>
      <c r="C561" s="117" t="s">
        <v>1577</v>
      </c>
      <c r="D561" s="117" t="s">
        <v>1486</v>
      </c>
      <c r="E561" s="117">
        <v>0</v>
      </c>
      <c r="F561" s="117" t="s">
        <v>1470</v>
      </c>
      <c r="G561" s="118"/>
      <c r="J561" s="3" t="s">
        <v>20</v>
      </c>
      <c r="N561" s="3">
        <v>1187</v>
      </c>
    </row>
    <row r="562" spans="1:14" s="3" customFormat="1" ht="17.399999999999999" hidden="1" customHeight="1" outlineLevel="1" x14ac:dyDescent="0.25">
      <c r="A562" s="5"/>
      <c r="B562" s="116" t="s">
        <v>117</v>
      </c>
      <c r="C562" s="117" t="s">
        <v>1561</v>
      </c>
      <c r="D562" s="117" t="s">
        <v>1489</v>
      </c>
      <c r="E562" s="117">
        <v>0</v>
      </c>
      <c r="F562" s="117" t="s">
        <v>1470</v>
      </c>
      <c r="G562" s="118"/>
      <c r="J562" s="3" t="s">
        <v>20</v>
      </c>
      <c r="N562" s="3">
        <v>1163</v>
      </c>
    </row>
    <row r="563" spans="1:14" s="3" customFormat="1" ht="17.399999999999999" hidden="1" customHeight="1" outlineLevel="1" x14ac:dyDescent="0.25">
      <c r="A563" s="5"/>
      <c r="B563" s="116" t="s">
        <v>24</v>
      </c>
      <c r="C563" s="117" t="s">
        <v>1491</v>
      </c>
      <c r="D563" s="117" t="s">
        <v>1489</v>
      </c>
      <c r="E563" s="117">
        <v>0</v>
      </c>
      <c r="F563" s="117" t="s">
        <v>1470</v>
      </c>
      <c r="G563" s="118"/>
      <c r="J563" s="3" t="s">
        <v>20</v>
      </c>
      <c r="N563" s="3">
        <v>2153</v>
      </c>
    </row>
    <row r="564" spans="1:14" s="3" customFormat="1" ht="17.399999999999999" hidden="1" customHeight="1" outlineLevel="1" x14ac:dyDescent="0.25">
      <c r="A564" s="5"/>
      <c r="B564" s="31" t="s">
        <v>140</v>
      </c>
      <c r="C564" s="20" t="s">
        <v>1578</v>
      </c>
      <c r="D564" s="20" t="s">
        <v>1489</v>
      </c>
      <c r="E564" s="20">
        <v>0</v>
      </c>
      <c r="F564" s="20" t="s">
        <v>1470</v>
      </c>
      <c r="G564" s="22"/>
      <c r="J564" s="3" t="s">
        <v>20</v>
      </c>
      <c r="N564" s="3">
        <v>1852</v>
      </c>
    </row>
    <row r="565" spans="1:14" s="3" customFormat="1" ht="17.399999999999999" hidden="1" customHeight="1" outlineLevel="1" x14ac:dyDescent="0.25">
      <c r="A565" s="5"/>
      <c r="B565" s="31" t="s">
        <v>141</v>
      </c>
      <c r="C565" s="20" t="s">
        <v>1579</v>
      </c>
      <c r="D565" s="20" t="s">
        <v>1489</v>
      </c>
      <c r="E565" s="20">
        <v>0</v>
      </c>
      <c r="F565" s="20" t="s">
        <v>1470</v>
      </c>
      <c r="G565" s="22"/>
      <c r="J565" s="3" t="s">
        <v>20</v>
      </c>
      <c r="N565" s="3">
        <v>1857</v>
      </c>
    </row>
    <row r="566" spans="1:14" s="3" customFormat="1" ht="17.399999999999999" hidden="1" customHeight="1" outlineLevel="1" x14ac:dyDescent="0.25">
      <c r="A566" s="5"/>
      <c r="B566" s="31" t="s">
        <v>90</v>
      </c>
      <c r="C566" s="20" t="s">
        <v>1538</v>
      </c>
      <c r="D566" s="20" t="s">
        <v>1539</v>
      </c>
      <c r="E566" s="20">
        <v>0</v>
      </c>
      <c r="F566" s="20" t="s">
        <v>1470</v>
      </c>
      <c r="G566" s="22" t="s">
        <v>1540</v>
      </c>
      <c r="J566" s="3" t="s">
        <v>20</v>
      </c>
      <c r="N566" s="3">
        <v>1162</v>
      </c>
    </row>
    <row r="567" spans="1:14" s="3" customFormat="1" ht="17.399999999999999" hidden="1" customHeight="1" outlineLevel="1" x14ac:dyDescent="0.25">
      <c r="A567" s="5"/>
      <c r="B567" s="31" t="s">
        <v>115</v>
      </c>
      <c r="C567" s="20" t="s">
        <v>1558</v>
      </c>
      <c r="D567" s="20" t="s">
        <v>1539</v>
      </c>
      <c r="E567" s="20">
        <v>0</v>
      </c>
      <c r="F567" s="20" t="s">
        <v>1470</v>
      </c>
      <c r="G567" s="22"/>
      <c r="J567" s="3" t="s">
        <v>20</v>
      </c>
      <c r="N567" s="3">
        <v>2586</v>
      </c>
    </row>
    <row r="568" spans="1:14" s="3" customFormat="1" ht="17.399999999999999" hidden="1" customHeight="1" outlineLevel="1" x14ac:dyDescent="0.25">
      <c r="A568" s="5"/>
      <c r="B568" s="31" t="s">
        <v>118</v>
      </c>
      <c r="C568" s="20" t="s">
        <v>1562</v>
      </c>
      <c r="D568" s="20" t="s">
        <v>1489</v>
      </c>
      <c r="E568" s="20">
        <v>0</v>
      </c>
      <c r="F568" s="20"/>
      <c r="G568" s="22"/>
      <c r="J568" s="3" t="s">
        <v>20</v>
      </c>
      <c r="N568" s="3">
        <v>1461</v>
      </c>
    </row>
    <row r="569" spans="1:14" s="3" customFormat="1" ht="17.399999999999999" hidden="1" customHeight="1" outlineLevel="1" x14ac:dyDescent="0.25">
      <c r="A569" s="5"/>
      <c r="B569" s="31" t="s">
        <v>142</v>
      </c>
      <c r="C569" s="20" t="s">
        <v>1580</v>
      </c>
      <c r="D569" s="20" t="s">
        <v>1494</v>
      </c>
      <c r="E569" s="20">
        <v>0</v>
      </c>
      <c r="F569" s="20"/>
      <c r="G569" s="22"/>
      <c r="J569" s="3" t="s">
        <v>20</v>
      </c>
      <c r="N569" s="3">
        <v>2346</v>
      </c>
    </row>
    <row r="570" spans="1:14" s="3" customFormat="1" ht="17.399999999999999" hidden="1" customHeight="1" outlineLevel="1" x14ac:dyDescent="0.25">
      <c r="A570" s="5"/>
      <c r="B570" s="31" t="s">
        <v>143</v>
      </c>
      <c r="C570" s="20" t="s">
        <v>1581</v>
      </c>
      <c r="D570" s="20" t="s">
        <v>1486</v>
      </c>
      <c r="E570" s="20">
        <v>0</v>
      </c>
      <c r="F570" s="20"/>
      <c r="G570" s="22" t="s">
        <v>1582</v>
      </c>
      <c r="J570" s="3" t="s">
        <v>20</v>
      </c>
      <c r="N570" s="3">
        <v>1677</v>
      </c>
    </row>
    <row r="571" spans="1:14" s="3" customFormat="1" ht="17.399999999999999" hidden="1" customHeight="1" outlineLevel="1" x14ac:dyDescent="0.25">
      <c r="A571" s="5"/>
      <c r="B571" s="31" t="s">
        <v>144</v>
      </c>
      <c r="C571" s="20" t="s">
        <v>1583</v>
      </c>
      <c r="D571" s="20" t="s">
        <v>1486</v>
      </c>
      <c r="E571" s="20">
        <v>0</v>
      </c>
      <c r="F571" s="20"/>
      <c r="G571" s="22" t="s">
        <v>1582</v>
      </c>
      <c r="J571" s="3" t="s">
        <v>20</v>
      </c>
      <c r="N571" s="3">
        <v>2459</v>
      </c>
    </row>
    <row r="572" spans="1:14" s="3" customFormat="1" ht="17.399999999999999" hidden="1" customHeight="1" outlineLevel="1" x14ac:dyDescent="0.25">
      <c r="A572" s="5"/>
      <c r="B572" s="31" t="s">
        <v>145</v>
      </c>
      <c r="C572" s="20" t="s">
        <v>1584</v>
      </c>
      <c r="D572" s="20" t="s">
        <v>1486</v>
      </c>
      <c r="E572" s="20">
        <v>0</v>
      </c>
      <c r="F572" s="20"/>
      <c r="G572" s="22"/>
      <c r="J572" s="3" t="s">
        <v>20</v>
      </c>
      <c r="N572" s="3">
        <v>1744</v>
      </c>
    </row>
    <row r="573" spans="1:14" s="3" customFormat="1" ht="17.399999999999999" hidden="1" customHeight="1" outlineLevel="1" x14ac:dyDescent="0.25">
      <c r="A573" s="5"/>
      <c r="B573" s="31" t="s">
        <v>95</v>
      </c>
      <c r="C573" s="20" t="s">
        <v>1542</v>
      </c>
      <c r="D573" s="20" t="s">
        <v>1494</v>
      </c>
      <c r="E573" s="20">
        <v>0</v>
      </c>
      <c r="F573" s="20"/>
      <c r="G573" s="22"/>
      <c r="J573" s="3" t="s">
        <v>20</v>
      </c>
      <c r="N573" s="3">
        <v>1197</v>
      </c>
    </row>
    <row r="574" spans="1:14" s="3" customFormat="1" ht="17.399999999999999" hidden="1" customHeight="1" outlineLevel="1" x14ac:dyDescent="0.25">
      <c r="A574" s="5"/>
      <c r="B574" s="31" t="s">
        <v>146</v>
      </c>
      <c r="C574" s="20" t="s">
        <v>1585</v>
      </c>
      <c r="D574" s="20" t="s">
        <v>1489</v>
      </c>
      <c r="E574" s="20">
        <v>0</v>
      </c>
      <c r="F574" s="20"/>
      <c r="G574" s="22"/>
      <c r="J574" s="3" t="s">
        <v>20</v>
      </c>
    </row>
    <row r="575" spans="1:14" s="3" customFormat="1" ht="17.399999999999999" hidden="1" customHeight="1" outlineLevel="1" x14ac:dyDescent="0.25">
      <c r="A575" s="5"/>
      <c r="B575" s="31" t="s">
        <v>147</v>
      </c>
      <c r="C575" s="20" t="s">
        <v>1586</v>
      </c>
      <c r="D575" s="20" t="s">
        <v>1489</v>
      </c>
      <c r="E575" s="20">
        <v>0</v>
      </c>
      <c r="F575" s="20"/>
      <c r="G575" s="22"/>
      <c r="J575" s="3" t="s">
        <v>20</v>
      </c>
    </row>
    <row r="576" spans="1:14" s="3" customFormat="1" ht="17.399999999999999" hidden="1" customHeight="1" outlineLevel="1" x14ac:dyDescent="0.25">
      <c r="A576" s="5"/>
      <c r="B576" s="31" t="s">
        <v>148</v>
      </c>
      <c r="C576" s="20" t="s">
        <v>1587</v>
      </c>
      <c r="D576" s="20" t="s">
        <v>1486</v>
      </c>
      <c r="E576" s="20">
        <v>0</v>
      </c>
      <c r="F576" s="20" t="s">
        <v>1470</v>
      </c>
      <c r="G576" s="22"/>
      <c r="J576" s="3" t="s">
        <v>20</v>
      </c>
      <c r="N576" s="3">
        <v>2511</v>
      </c>
    </row>
    <row r="577" spans="1:13" s="3" customFormat="1" ht="17.399999999999999" hidden="1" customHeight="1" outlineLevel="1" x14ac:dyDescent="0.25">
      <c r="A577" s="5"/>
      <c r="B577" s="31"/>
      <c r="C577" s="20"/>
      <c r="D577" s="20"/>
      <c r="E577" s="20"/>
      <c r="F577" s="20"/>
      <c r="G577" s="22"/>
    </row>
    <row r="578" spans="1:13" s="3" customFormat="1" ht="17.399999999999999" hidden="1" customHeight="1" outlineLevel="1" x14ac:dyDescent="0.25">
      <c r="A578" s="5"/>
      <c r="B578" s="31"/>
      <c r="C578" s="20"/>
      <c r="D578" s="20"/>
      <c r="E578" s="20"/>
      <c r="F578" s="20"/>
      <c r="G578" s="22"/>
    </row>
    <row r="579" spans="1:13" s="3" customFormat="1" ht="17.399999999999999" hidden="1" customHeight="1" outlineLevel="1" x14ac:dyDescent="0.25">
      <c r="A579" s="5"/>
      <c r="B579" s="398" t="s">
        <v>28</v>
      </c>
      <c r="C579" s="399"/>
      <c r="D579" s="399"/>
      <c r="E579" s="399"/>
      <c r="F579" s="399"/>
      <c r="G579" s="400"/>
    </row>
    <row r="580" spans="1:13" s="3" customFormat="1" ht="17.399999999999999" hidden="1" customHeight="1" outlineLevel="1" x14ac:dyDescent="0.25">
      <c r="A580" s="5"/>
      <c r="B580" s="25" t="s">
        <v>2</v>
      </c>
      <c r="C580" s="26" t="s">
        <v>3</v>
      </c>
      <c r="D580" s="26" t="s">
        <v>4</v>
      </c>
      <c r="E580" s="26" t="s">
        <v>5</v>
      </c>
      <c r="F580" s="26"/>
      <c r="G580" s="27" t="s">
        <v>6</v>
      </c>
    </row>
    <row r="581" spans="1:13" s="3" customFormat="1" ht="17.399999999999999" hidden="1" customHeight="1" outlineLevel="1" x14ac:dyDescent="0.25">
      <c r="A581" s="5"/>
      <c r="B581" s="195"/>
      <c r="C581" s="20"/>
      <c r="D581" s="20"/>
      <c r="E581" s="20"/>
      <c r="F581" s="20"/>
      <c r="G581" s="22"/>
    </row>
    <row r="582" spans="1:13" s="3" customFormat="1" ht="17.399999999999999" hidden="1" customHeight="1" outlineLevel="1" thickBot="1" x14ac:dyDescent="0.3">
      <c r="A582" s="5"/>
      <c r="B582" s="195"/>
      <c r="C582" s="20"/>
      <c r="D582" s="20"/>
      <c r="E582" s="20"/>
      <c r="F582" s="20"/>
      <c r="G582" s="22"/>
    </row>
    <row r="583" spans="1:13" s="3" customFormat="1" ht="17.399999999999999" hidden="1" customHeight="1" outlineLevel="1" x14ac:dyDescent="0.25">
      <c r="A583" s="5"/>
      <c r="B583" s="395" t="s">
        <v>29</v>
      </c>
      <c r="C583" s="396"/>
      <c r="D583" s="396"/>
      <c r="E583" s="396"/>
      <c r="F583" s="396"/>
      <c r="G583" s="397"/>
    </row>
    <row r="584" spans="1:13" s="3" customFormat="1" ht="17.399999999999999" hidden="1" customHeight="1" outlineLevel="1" x14ac:dyDescent="0.25">
      <c r="A584" s="5"/>
      <c r="B584" s="31" t="s">
        <v>151</v>
      </c>
      <c r="C584" s="20"/>
      <c r="D584" s="20"/>
      <c r="E584" s="20"/>
      <c r="F584" s="20"/>
      <c r="G584" s="22"/>
    </row>
    <row r="585" spans="1:13" s="3" customFormat="1" ht="17.399999999999999" hidden="1" customHeight="1" outlineLevel="1" x14ac:dyDescent="0.25">
      <c r="A585" s="5"/>
      <c r="B585" s="116" t="s">
        <v>123</v>
      </c>
      <c r="C585" s="117"/>
      <c r="D585" s="117"/>
      <c r="E585" s="117"/>
      <c r="F585" s="117"/>
      <c r="G585" s="105"/>
      <c r="H585" s="5"/>
      <c r="I585" s="5"/>
      <c r="J585" s="5"/>
      <c r="K585" s="5"/>
    </row>
    <row r="586" spans="1:13" s="3" customFormat="1" ht="17.399999999999999" hidden="1" customHeight="1" outlineLevel="1" x14ac:dyDescent="0.25">
      <c r="A586" s="5"/>
      <c r="B586" s="31" t="s">
        <v>70</v>
      </c>
      <c r="C586" s="20"/>
      <c r="D586" s="20"/>
      <c r="E586" s="20"/>
      <c r="F586" s="20"/>
      <c r="G586" s="22"/>
    </row>
    <row r="587" spans="1:13" s="3" customFormat="1" ht="17.399999999999999" hidden="1" customHeight="1" outlineLevel="1" x14ac:dyDescent="0.25">
      <c r="A587" s="5"/>
      <c r="B587" s="31" t="s">
        <v>69</v>
      </c>
      <c r="C587" s="20"/>
      <c r="D587" s="20"/>
      <c r="E587" s="20"/>
      <c r="F587" s="20"/>
      <c r="G587" s="22"/>
    </row>
    <row r="588" spans="1:13" s="4" customFormat="1" ht="17.399999999999999" hidden="1" customHeight="1" outlineLevel="1" x14ac:dyDescent="0.35">
      <c r="A588" s="5"/>
      <c r="B588" s="67" t="s">
        <v>30</v>
      </c>
      <c r="C588" s="65"/>
      <c r="D588" s="65"/>
      <c r="E588" s="65"/>
      <c r="F588" s="65"/>
      <c r="G588" s="371" t="s">
        <v>2357</v>
      </c>
      <c r="H588" s="5"/>
      <c r="I588" s="5"/>
      <c r="J588" s="5"/>
      <c r="K588" s="5"/>
      <c r="L588" s="5"/>
      <c r="M588" s="5"/>
    </row>
    <row r="589" spans="1:13" s="3" customFormat="1" ht="17.399999999999999" hidden="1" customHeight="1" outlineLevel="1" x14ac:dyDescent="0.25">
      <c r="A589" s="5"/>
      <c r="B589" s="31" t="s">
        <v>152</v>
      </c>
      <c r="C589" s="20"/>
      <c r="D589" s="20"/>
      <c r="E589" s="20"/>
      <c r="F589" s="20"/>
      <c r="G589" s="373" t="s">
        <v>2370</v>
      </c>
    </row>
    <row r="590" spans="1:13" s="3" customFormat="1" ht="16.5" hidden="1" customHeight="1" outlineLevel="1" x14ac:dyDescent="0.25">
      <c r="A590" s="5"/>
      <c r="B590" s="116"/>
      <c r="C590" s="117"/>
      <c r="D590" s="117"/>
      <c r="E590" s="117"/>
      <c r="F590" s="117"/>
      <c r="G590" s="118"/>
    </row>
    <row r="591" spans="1:13" s="3" customFormat="1" ht="17.399999999999999" hidden="1" customHeight="1" outlineLevel="1" thickBot="1" x14ac:dyDescent="0.3">
      <c r="A591" s="5"/>
      <c r="B591" s="132"/>
      <c r="C591" s="53"/>
      <c r="D591" s="53"/>
      <c r="E591" s="53"/>
      <c r="F591" s="53"/>
      <c r="G591" s="54"/>
    </row>
    <row r="592" spans="1:13" ht="16.2" hidden="1" outlineLevel="1" thickBot="1" x14ac:dyDescent="0.3"/>
    <row r="593" spans="1:14" s="6" customFormat="1" ht="16.2" collapsed="1" thickBot="1" x14ac:dyDescent="0.3">
      <c r="A593" s="5"/>
      <c r="B593" s="166" t="s">
        <v>1279</v>
      </c>
      <c r="C593" s="167" t="s">
        <v>1343</v>
      </c>
      <c r="D593" s="168" t="s">
        <v>1281</v>
      </c>
      <c r="E593" s="169" t="s">
        <v>153</v>
      </c>
      <c r="F593" s="168" t="s">
        <v>1282</v>
      </c>
      <c r="G593" s="170" t="s">
        <v>1344</v>
      </c>
    </row>
    <row r="594" spans="1:14" s="6" customFormat="1" hidden="1" outlineLevel="1" x14ac:dyDescent="0.25">
      <c r="A594" s="5"/>
      <c r="B594" s="136" t="s">
        <v>1284</v>
      </c>
      <c r="C594" s="84" t="s">
        <v>1285</v>
      </c>
      <c r="D594" s="137" t="s">
        <v>1286</v>
      </c>
      <c r="E594" s="84" t="s">
        <v>1345</v>
      </c>
      <c r="F594" s="137" t="s">
        <v>1288</v>
      </c>
      <c r="G594" s="85" t="s">
        <v>1346</v>
      </c>
    </row>
    <row r="595" spans="1:14" s="6" customFormat="1" ht="16.2" hidden="1" outlineLevel="1" thickBot="1" x14ac:dyDescent="0.3">
      <c r="A595" s="5"/>
      <c r="B595" s="136" t="s">
        <v>1290</v>
      </c>
      <c r="C595" s="172" t="s">
        <v>1291</v>
      </c>
      <c r="D595" s="137" t="s">
        <v>1292</v>
      </c>
      <c r="E595" s="172">
        <v>5</v>
      </c>
      <c r="F595" s="137" t="s">
        <v>1293</v>
      </c>
      <c r="G595" s="174" t="s">
        <v>1294</v>
      </c>
    </row>
    <row r="596" spans="1:14" s="6" customFormat="1" hidden="1" outlineLevel="1" x14ac:dyDescent="0.25">
      <c r="A596" s="5"/>
      <c r="B596" s="380" t="s">
        <v>1</v>
      </c>
      <c r="C596" s="381"/>
      <c r="D596" s="381"/>
      <c r="E596" s="381"/>
      <c r="F596" s="381"/>
      <c r="G596" s="382"/>
    </row>
    <row r="597" spans="1:14" s="6" customFormat="1" hidden="1" outlineLevel="1" x14ac:dyDescent="0.25">
      <c r="A597" s="5"/>
      <c r="B597" s="94" t="s">
        <v>2</v>
      </c>
      <c r="C597" s="95" t="s">
        <v>3</v>
      </c>
      <c r="D597" s="95" t="s">
        <v>4</v>
      </c>
      <c r="E597" s="95" t="s">
        <v>5</v>
      </c>
      <c r="F597" s="95"/>
      <c r="G597" s="96" t="s">
        <v>6</v>
      </c>
      <c r="J597" s="3" t="s">
        <v>16</v>
      </c>
      <c r="K597" s="3" t="s">
        <v>16</v>
      </c>
    </row>
    <row r="598" spans="1:14" s="4" customFormat="1" ht="17.399999999999999" hidden="1" customHeight="1" outlineLevel="1" x14ac:dyDescent="0.35">
      <c r="A598" s="5"/>
      <c r="B598" s="57" t="s">
        <v>7</v>
      </c>
      <c r="C598" s="58" t="s">
        <v>1468</v>
      </c>
      <c r="D598" s="58" t="s">
        <v>1469</v>
      </c>
      <c r="E598" s="58">
        <v>0</v>
      </c>
      <c r="F598" s="58" t="s">
        <v>1470</v>
      </c>
      <c r="G598" s="59" t="s">
        <v>1471</v>
      </c>
      <c r="J598" s="3" t="s">
        <v>154</v>
      </c>
      <c r="K598" s="81" t="s">
        <v>112</v>
      </c>
      <c r="N598" s="4">
        <v>1112</v>
      </c>
    </row>
    <row r="599" spans="1:14" s="4" customFormat="1" ht="17.399999999999999" hidden="1" customHeight="1" outlineLevel="1" x14ac:dyDescent="0.35">
      <c r="A599" s="5"/>
      <c r="B599" s="57" t="s">
        <v>11</v>
      </c>
      <c r="C599" s="58" t="s">
        <v>1472</v>
      </c>
      <c r="D599" s="58" t="s">
        <v>1469</v>
      </c>
      <c r="E599" s="58">
        <v>0</v>
      </c>
      <c r="F599" s="58" t="s">
        <v>1470</v>
      </c>
      <c r="G599" s="59" t="s">
        <v>1473</v>
      </c>
      <c r="J599" s="3" t="s">
        <v>155</v>
      </c>
      <c r="K599" s="81" t="s">
        <v>7</v>
      </c>
      <c r="N599" s="4">
        <v>1700</v>
      </c>
    </row>
    <row r="600" spans="1:14" s="4" customFormat="1" ht="17.399999999999999" hidden="1" customHeight="1" outlineLevel="1" x14ac:dyDescent="0.35">
      <c r="A600" s="5"/>
      <c r="B600" s="60" t="s">
        <v>13</v>
      </c>
      <c r="C600" s="61" t="s">
        <v>1474</v>
      </c>
      <c r="D600" s="61" t="s">
        <v>1469</v>
      </c>
      <c r="E600" s="61">
        <v>0</v>
      </c>
      <c r="F600" s="61" t="s">
        <v>1470</v>
      </c>
      <c r="G600" s="62"/>
      <c r="H600" s="63"/>
      <c r="J600" s="3" t="s">
        <v>156</v>
      </c>
      <c r="K600" s="81" t="s">
        <v>11</v>
      </c>
      <c r="N600" s="4">
        <v>2534</v>
      </c>
    </row>
    <row r="601" spans="1:14" s="4" customFormat="1" ht="17.399999999999999" hidden="1" customHeight="1" outlineLevel="1" x14ac:dyDescent="0.35">
      <c r="A601" s="5"/>
      <c r="B601" s="60" t="s">
        <v>14</v>
      </c>
      <c r="C601" s="61" t="s">
        <v>1475</v>
      </c>
      <c r="D601" s="61" t="s">
        <v>1469</v>
      </c>
      <c r="E601" s="61">
        <v>0</v>
      </c>
      <c r="F601" s="61" t="s">
        <v>1476</v>
      </c>
      <c r="G601" s="62" t="s">
        <v>1477</v>
      </c>
      <c r="H601" s="63"/>
      <c r="J601" s="3" t="s">
        <v>157</v>
      </c>
      <c r="K601" s="78" t="s">
        <v>13</v>
      </c>
      <c r="N601" s="4">
        <v>2155</v>
      </c>
    </row>
    <row r="602" spans="1:14" s="4" customFormat="1" ht="17.399999999999999" hidden="1" customHeight="1" outlineLevel="1" x14ac:dyDescent="0.35">
      <c r="A602" s="5"/>
      <c r="B602" s="60" t="s">
        <v>15</v>
      </c>
      <c r="C602" s="61" t="s">
        <v>1478</v>
      </c>
      <c r="D602" s="61" t="s">
        <v>1469</v>
      </c>
      <c r="E602" s="61">
        <v>0</v>
      </c>
      <c r="F602" s="61" t="s">
        <v>1470</v>
      </c>
      <c r="G602" s="62"/>
      <c r="H602" s="63"/>
      <c r="J602" s="3" t="s">
        <v>158</v>
      </c>
      <c r="K602" s="81" t="s">
        <v>14</v>
      </c>
      <c r="N602" s="4">
        <v>2430</v>
      </c>
    </row>
    <row r="603" spans="1:14" s="4" customFormat="1" ht="17.399999999999999" hidden="1" customHeight="1" outlineLevel="1" x14ac:dyDescent="0.35">
      <c r="A603" s="5"/>
      <c r="B603" s="134" t="s">
        <v>17</v>
      </c>
      <c r="C603" s="135" t="s">
        <v>1483</v>
      </c>
      <c r="D603" s="135" t="s">
        <v>1469</v>
      </c>
      <c r="E603" s="65">
        <v>0</v>
      </c>
      <c r="F603" s="65" t="s">
        <v>1470</v>
      </c>
      <c r="G603" s="66" t="s">
        <v>1484</v>
      </c>
      <c r="H603" s="5"/>
      <c r="I603" s="5"/>
      <c r="J603" s="3" t="s">
        <v>159</v>
      </c>
      <c r="K603" s="78" t="s">
        <v>15</v>
      </c>
      <c r="L603" s="5"/>
      <c r="M603" s="5"/>
      <c r="N603" s="4">
        <v>1097</v>
      </c>
    </row>
    <row r="604" spans="1:14" s="3" customFormat="1" hidden="1" outlineLevel="1" x14ac:dyDescent="0.25">
      <c r="A604" s="5"/>
      <c r="B604" s="31" t="s">
        <v>160</v>
      </c>
      <c r="C604" s="20" t="s">
        <v>1588</v>
      </c>
      <c r="D604" s="20" t="s">
        <v>1469</v>
      </c>
      <c r="E604" s="20">
        <v>0</v>
      </c>
      <c r="F604" s="20"/>
      <c r="G604" s="22"/>
      <c r="J604" s="3" t="s">
        <v>161</v>
      </c>
      <c r="K604" s="3" t="s">
        <v>64</v>
      </c>
      <c r="N604" s="3">
        <v>1604</v>
      </c>
    </row>
    <row r="605" spans="1:14" s="3" customFormat="1" hidden="1" outlineLevel="1" x14ac:dyDescent="0.25">
      <c r="A605" s="5"/>
      <c r="B605" s="31" t="s">
        <v>162</v>
      </c>
      <c r="C605" s="20" t="s">
        <v>1589</v>
      </c>
      <c r="D605" s="20" t="s">
        <v>1469</v>
      </c>
      <c r="E605" s="20">
        <v>0</v>
      </c>
      <c r="F605" s="20"/>
      <c r="G605" s="22" t="s">
        <v>1590</v>
      </c>
    </row>
    <row r="606" spans="1:14" s="3" customFormat="1" hidden="1" outlineLevel="1" x14ac:dyDescent="0.25">
      <c r="A606" s="5"/>
      <c r="B606" s="31" t="s">
        <v>163</v>
      </c>
      <c r="C606" s="20" t="s">
        <v>1591</v>
      </c>
      <c r="D606" s="20" t="s">
        <v>1469</v>
      </c>
      <c r="E606" s="20">
        <v>0</v>
      </c>
      <c r="F606" s="20"/>
      <c r="G606" s="22" t="s">
        <v>1590</v>
      </c>
    </row>
    <row r="607" spans="1:14" s="3" customFormat="1" hidden="1" outlineLevel="1" x14ac:dyDescent="0.25">
      <c r="A607" s="5"/>
      <c r="B607" s="31"/>
      <c r="C607" s="20"/>
      <c r="D607" s="20"/>
      <c r="E607" s="20"/>
      <c r="F607" s="20"/>
      <c r="G607" s="22"/>
      <c r="J607" s="3" t="s">
        <v>64</v>
      </c>
      <c r="K607" s="3" t="s">
        <v>164</v>
      </c>
    </row>
    <row r="608" spans="1:14" s="6" customFormat="1" ht="16.2" hidden="1" outlineLevel="1" thickBot="1" x14ac:dyDescent="0.4">
      <c r="A608" s="5"/>
      <c r="B608" s="91"/>
      <c r="C608" s="92"/>
      <c r="D608" s="92"/>
      <c r="E608" s="92"/>
      <c r="F608" s="92"/>
      <c r="G608" s="93"/>
      <c r="J608" s="3" t="s">
        <v>164</v>
      </c>
      <c r="K608" s="4" t="s">
        <v>22</v>
      </c>
    </row>
    <row r="609" spans="1:14" s="6" customFormat="1" hidden="1" outlineLevel="1" x14ac:dyDescent="0.35">
      <c r="A609" s="5"/>
      <c r="B609" s="383" t="s">
        <v>18</v>
      </c>
      <c r="C609" s="384"/>
      <c r="D609" s="384"/>
      <c r="E609" s="384"/>
      <c r="F609" s="384"/>
      <c r="G609" s="385"/>
      <c r="J609" s="4" t="s">
        <v>22</v>
      </c>
      <c r="K609" s="3" t="s">
        <v>63</v>
      </c>
    </row>
    <row r="610" spans="1:14" s="6" customFormat="1" hidden="1" outlineLevel="1" x14ac:dyDescent="0.25">
      <c r="A610" s="5"/>
      <c r="B610" s="136" t="s">
        <v>2</v>
      </c>
      <c r="C610" s="137" t="s">
        <v>3</v>
      </c>
      <c r="D610" s="137" t="s">
        <v>4</v>
      </c>
      <c r="E610" s="137" t="s">
        <v>5</v>
      </c>
      <c r="F610" s="137"/>
      <c r="G610" s="138" t="s">
        <v>6</v>
      </c>
      <c r="J610" s="3" t="s">
        <v>63</v>
      </c>
      <c r="K610" s="3" t="s">
        <v>78</v>
      </c>
    </row>
    <row r="611" spans="1:14" s="6" customFormat="1" hidden="1" outlineLevel="1" x14ac:dyDescent="0.25">
      <c r="A611" s="5"/>
      <c r="B611" s="81" t="s">
        <v>16</v>
      </c>
      <c r="C611" s="20" t="s">
        <v>1479</v>
      </c>
      <c r="D611" s="20" t="s">
        <v>1469</v>
      </c>
      <c r="E611" s="20" t="s">
        <v>1480</v>
      </c>
      <c r="F611" s="20" t="s">
        <v>1481</v>
      </c>
      <c r="G611" s="22" t="s">
        <v>1482</v>
      </c>
      <c r="J611" s="3" t="s">
        <v>78</v>
      </c>
      <c r="K611" s="3" t="s">
        <v>130</v>
      </c>
    </row>
    <row r="612" spans="1:14" s="3" customFormat="1" hidden="1" outlineLevel="1" x14ac:dyDescent="0.25">
      <c r="B612" s="81" t="s">
        <v>7</v>
      </c>
      <c r="C612" s="29" t="s">
        <v>1468</v>
      </c>
      <c r="D612" s="29" t="s">
        <v>1469</v>
      </c>
      <c r="E612" s="29">
        <v>0</v>
      </c>
      <c r="F612" s="29" t="s">
        <v>1470</v>
      </c>
      <c r="G612" s="30" t="s">
        <v>1471</v>
      </c>
      <c r="J612" s="3" t="s">
        <v>165</v>
      </c>
      <c r="K612" s="3" t="s">
        <v>166</v>
      </c>
      <c r="N612" s="3">
        <v>2534</v>
      </c>
    </row>
    <row r="613" spans="1:14" s="3" customFormat="1" hidden="1" outlineLevel="1" x14ac:dyDescent="0.35">
      <c r="B613" s="81" t="s">
        <v>11</v>
      </c>
      <c r="C613" s="29" t="s">
        <v>1472</v>
      </c>
      <c r="D613" s="29" t="s">
        <v>1469</v>
      </c>
      <c r="E613" s="29">
        <v>0</v>
      </c>
      <c r="F613" s="29" t="s">
        <v>1470</v>
      </c>
      <c r="G613" s="30" t="s">
        <v>1473</v>
      </c>
      <c r="J613" s="3" t="s">
        <v>166</v>
      </c>
      <c r="K613" s="4" t="s">
        <v>167</v>
      </c>
      <c r="N613" s="3">
        <v>1700</v>
      </c>
    </row>
    <row r="614" spans="1:14" s="3" customFormat="1" hidden="1" outlineLevel="1" x14ac:dyDescent="0.35">
      <c r="B614" s="81" t="s">
        <v>13</v>
      </c>
      <c r="C614" s="39" t="s">
        <v>1474</v>
      </c>
      <c r="D614" s="39" t="s">
        <v>1469</v>
      </c>
      <c r="E614" s="39">
        <v>0</v>
      </c>
      <c r="F614" s="39" t="s">
        <v>1470</v>
      </c>
      <c r="G614" s="40"/>
      <c r="J614" s="4" t="s">
        <v>167</v>
      </c>
      <c r="K614" s="3" t="s">
        <v>168</v>
      </c>
      <c r="N614" s="3">
        <v>1689</v>
      </c>
    </row>
    <row r="615" spans="1:14" s="4" customFormat="1" hidden="1" outlineLevel="1" x14ac:dyDescent="0.35">
      <c r="A615" s="5"/>
      <c r="B615" s="57" t="s">
        <v>25</v>
      </c>
      <c r="C615" s="58" t="s">
        <v>1492</v>
      </c>
      <c r="D615" s="58" t="s">
        <v>1469</v>
      </c>
      <c r="E615" s="58">
        <v>0</v>
      </c>
      <c r="F615" s="58" t="s">
        <v>1470</v>
      </c>
      <c r="G615" s="59" t="s">
        <v>1484</v>
      </c>
      <c r="J615" s="4" t="s">
        <v>10</v>
      </c>
      <c r="N615" s="4">
        <v>1080</v>
      </c>
    </row>
    <row r="616" spans="1:14" s="3" customFormat="1" hidden="1" outlineLevel="1" x14ac:dyDescent="0.25">
      <c r="B616" s="81" t="s">
        <v>14</v>
      </c>
      <c r="C616" s="29" t="s">
        <v>1475</v>
      </c>
      <c r="D616" s="29" t="s">
        <v>1469</v>
      </c>
      <c r="E616" s="29">
        <v>0</v>
      </c>
      <c r="F616" s="29" t="s">
        <v>1476</v>
      </c>
      <c r="G616" s="30" t="s">
        <v>1477</v>
      </c>
      <c r="J616" s="3" t="s">
        <v>168</v>
      </c>
      <c r="N616" s="3">
        <v>2052</v>
      </c>
    </row>
    <row r="617" spans="1:14" s="3" customFormat="1" hidden="1" outlineLevel="1" x14ac:dyDescent="0.25">
      <c r="B617" s="81" t="s">
        <v>159</v>
      </c>
      <c r="C617" s="29" t="s">
        <v>1592</v>
      </c>
      <c r="D617" s="29" t="s">
        <v>1593</v>
      </c>
      <c r="E617" s="29" t="s">
        <v>1594</v>
      </c>
      <c r="F617" s="29" t="s">
        <v>1470</v>
      </c>
      <c r="G617" s="30" t="s">
        <v>1595</v>
      </c>
      <c r="N617" s="3">
        <v>2153</v>
      </c>
    </row>
    <row r="618" spans="1:14" s="3" customFormat="1" hidden="1" outlineLevel="1" x14ac:dyDescent="0.25">
      <c r="B618" s="81" t="s">
        <v>15</v>
      </c>
      <c r="C618" s="29" t="s">
        <v>1478</v>
      </c>
      <c r="D618" s="29" t="s">
        <v>1469</v>
      </c>
      <c r="E618" s="29">
        <v>0</v>
      </c>
      <c r="F618" s="29" t="s">
        <v>1470</v>
      </c>
      <c r="G618" s="30"/>
      <c r="N618" s="3">
        <v>2183</v>
      </c>
    </row>
    <row r="619" spans="1:14" s="3" customFormat="1" hidden="1" outlineLevel="1" x14ac:dyDescent="0.25">
      <c r="A619" s="77"/>
      <c r="B619" s="81" t="s">
        <v>24</v>
      </c>
      <c r="C619" s="79" t="s">
        <v>1491</v>
      </c>
      <c r="D619" s="79" t="s">
        <v>1489</v>
      </c>
      <c r="E619" s="79">
        <v>0</v>
      </c>
      <c r="F619" s="79" t="s">
        <v>1470</v>
      </c>
      <c r="G619" s="80"/>
      <c r="H619" s="3" t="str">
        <f t="shared" ref="H619:H620" si="4">"TRUNCATE TABLE "&amp;C619&amp;";#"&amp;E619</f>
        <v>TRUNCATE TABLE realize_pandl;#0</v>
      </c>
    </row>
    <row r="620" spans="1:14" s="3" customFormat="1" hidden="1" outlineLevel="1" x14ac:dyDescent="0.25">
      <c r="A620" s="77"/>
      <c r="B620" s="81" t="s">
        <v>58</v>
      </c>
      <c r="C620" s="79" t="s">
        <v>1522</v>
      </c>
      <c r="D620" s="79" t="s">
        <v>1489</v>
      </c>
      <c r="E620" s="79">
        <v>0</v>
      </c>
      <c r="F620" s="79" t="s">
        <v>1470</v>
      </c>
      <c r="G620" s="80"/>
      <c r="H620" s="3" t="str">
        <f t="shared" si="4"/>
        <v>TRUNCATE TABLE over_night_pandl;#0</v>
      </c>
    </row>
    <row r="621" spans="1:14" s="3" customFormat="1" hidden="1" outlineLevel="1" x14ac:dyDescent="0.25">
      <c r="B621" s="145" t="s">
        <v>22</v>
      </c>
      <c r="C621" s="39" t="s">
        <v>1488</v>
      </c>
      <c r="D621" s="39" t="s">
        <v>1489</v>
      </c>
      <c r="E621" s="39">
        <v>0</v>
      </c>
      <c r="F621" s="39" t="s">
        <v>1470</v>
      </c>
      <c r="G621" s="40" t="s">
        <v>1490</v>
      </c>
    </row>
    <row r="622" spans="1:14" s="3" customFormat="1" hidden="1" outlineLevel="1" x14ac:dyDescent="0.25">
      <c r="B622" s="145" t="s">
        <v>63</v>
      </c>
      <c r="C622" s="39" t="s">
        <v>1526</v>
      </c>
      <c r="D622" s="39" t="s">
        <v>1489</v>
      </c>
      <c r="E622" s="39">
        <v>0</v>
      </c>
      <c r="F622" s="39"/>
      <c r="G622" s="40"/>
    </row>
    <row r="623" spans="1:14" s="3" customFormat="1" hidden="1" outlineLevel="1" x14ac:dyDescent="0.25">
      <c r="B623" s="145" t="s">
        <v>78</v>
      </c>
      <c r="C623" s="39" t="s">
        <v>1534</v>
      </c>
      <c r="D623" s="39" t="s">
        <v>1489</v>
      </c>
      <c r="E623" s="39">
        <v>0</v>
      </c>
      <c r="F623" s="39"/>
      <c r="G623" s="40"/>
    </row>
    <row r="624" spans="1:14" s="3" customFormat="1" hidden="1" outlineLevel="1" x14ac:dyDescent="0.25">
      <c r="B624" s="145" t="s">
        <v>130</v>
      </c>
      <c r="C624" s="29" t="s">
        <v>1596</v>
      </c>
      <c r="D624" s="29" t="s">
        <v>1486</v>
      </c>
      <c r="E624" s="29">
        <v>0</v>
      </c>
      <c r="F624" s="29"/>
      <c r="G624" s="30"/>
    </row>
    <row r="625" spans="1:13" s="3" customFormat="1" hidden="1" outlineLevel="1" x14ac:dyDescent="0.25">
      <c r="B625" s="145" t="s">
        <v>165</v>
      </c>
      <c r="C625" s="29" t="s">
        <v>1597</v>
      </c>
      <c r="D625" s="29" t="s">
        <v>1489</v>
      </c>
      <c r="E625" s="29">
        <v>0</v>
      </c>
      <c r="F625" s="29"/>
      <c r="G625" s="30"/>
    </row>
    <row r="626" spans="1:13" s="3" customFormat="1" hidden="1" outlineLevel="1" x14ac:dyDescent="0.25">
      <c r="B626" s="145" t="s">
        <v>166</v>
      </c>
      <c r="C626" s="29" t="s">
        <v>1598</v>
      </c>
      <c r="D626" s="29" t="s">
        <v>1486</v>
      </c>
      <c r="E626" s="29">
        <v>0</v>
      </c>
      <c r="F626" s="29"/>
      <c r="G626" s="30"/>
    </row>
    <row r="627" spans="1:13" s="3" customFormat="1" hidden="1" outlineLevel="1" x14ac:dyDescent="0.25">
      <c r="B627" s="145" t="s">
        <v>167</v>
      </c>
      <c r="C627" s="29" t="s">
        <v>1599</v>
      </c>
      <c r="D627" s="29" t="s">
        <v>1489</v>
      </c>
      <c r="E627" s="29">
        <v>0</v>
      </c>
      <c r="F627" s="29"/>
      <c r="G627" s="30"/>
    </row>
    <row r="628" spans="1:13" s="3" customFormat="1" hidden="1" outlineLevel="1" x14ac:dyDescent="0.25">
      <c r="B628" s="139" t="s">
        <v>77</v>
      </c>
      <c r="C628" s="23" t="s">
        <v>1533</v>
      </c>
      <c r="D628" s="23" t="s">
        <v>1486</v>
      </c>
      <c r="E628" s="23">
        <v>0</v>
      </c>
      <c r="F628" s="23" t="s">
        <v>1470</v>
      </c>
      <c r="G628" s="24"/>
      <c r="M628" s="147" t="s">
        <v>27</v>
      </c>
    </row>
    <row r="629" spans="1:13" s="3" customFormat="1" hidden="1" outlineLevel="1" x14ac:dyDescent="0.25">
      <c r="B629" s="139" t="s">
        <v>26</v>
      </c>
      <c r="C629" s="23" t="s">
        <v>1493</v>
      </c>
      <c r="D629" s="23" t="s">
        <v>1494</v>
      </c>
      <c r="E629" s="23">
        <v>0</v>
      </c>
      <c r="F629" s="23" t="s">
        <v>1470</v>
      </c>
      <c r="G629" s="24"/>
      <c r="M629" s="146" t="s">
        <v>75</v>
      </c>
    </row>
    <row r="630" spans="1:13" s="3" customFormat="1" hidden="1" outlineLevel="1" x14ac:dyDescent="0.25">
      <c r="B630" s="139" t="s">
        <v>27</v>
      </c>
      <c r="C630" s="23" t="s">
        <v>1495</v>
      </c>
      <c r="D630" s="23" t="s">
        <v>1489</v>
      </c>
      <c r="E630" s="23">
        <v>0</v>
      </c>
      <c r="F630" s="23" t="s">
        <v>1470</v>
      </c>
      <c r="G630" s="24"/>
      <c r="M630" s="148" t="s">
        <v>19</v>
      </c>
    </row>
    <row r="631" spans="1:13" s="3" customFormat="1" hidden="1" outlineLevel="1" x14ac:dyDescent="0.25">
      <c r="B631" s="139" t="s">
        <v>75</v>
      </c>
      <c r="C631" s="23" t="s">
        <v>1530</v>
      </c>
      <c r="D631" s="23" t="s">
        <v>1486</v>
      </c>
      <c r="E631" s="23">
        <v>0</v>
      </c>
      <c r="F631" s="23" t="s">
        <v>1470</v>
      </c>
      <c r="G631" s="24" t="s">
        <v>1531</v>
      </c>
      <c r="M631" s="28" t="s">
        <v>21</v>
      </c>
    </row>
    <row r="632" spans="1:13" s="3" customFormat="1" hidden="1" outlineLevel="1" x14ac:dyDescent="0.25">
      <c r="B632" s="139" t="s">
        <v>19</v>
      </c>
      <c r="C632" s="23" t="s">
        <v>1485</v>
      </c>
      <c r="D632" s="23" t="s">
        <v>1486</v>
      </c>
      <c r="E632" s="23">
        <v>0</v>
      </c>
      <c r="F632" s="23"/>
      <c r="G632" s="24"/>
      <c r="M632" s="44" t="s">
        <v>76</v>
      </c>
    </row>
    <row r="633" spans="1:13" s="3" customFormat="1" hidden="1" outlineLevel="1" x14ac:dyDescent="0.25">
      <c r="B633" s="139" t="s">
        <v>21</v>
      </c>
      <c r="C633" s="23" t="s">
        <v>1487</v>
      </c>
      <c r="D633" s="23" t="s">
        <v>1486</v>
      </c>
      <c r="E633" s="23">
        <v>0</v>
      </c>
      <c r="F633" s="23"/>
      <c r="G633" s="24"/>
      <c r="M633" s="149"/>
    </row>
    <row r="634" spans="1:13" s="3" customFormat="1" hidden="1" outlineLevel="1" x14ac:dyDescent="0.25">
      <c r="B634" s="139" t="s">
        <v>76</v>
      </c>
      <c r="C634" s="23" t="s">
        <v>1532</v>
      </c>
      <c r="D634" s="23" t="s">
        <v>1489</v>
      </c>
      <c r="E634" s="23">
        <v>0</v>
      </c>
      <c r="F634" s="23"/>
      <c r="G634" s="24"/>
      <c r="M634" s="149"/>
    </row>
    <row r="635" spans="1:13" s="3" customFormat="1" hidden="1" outlineLevel="1" x14ac:dyDescent="0.25">
      <c r="A635" s="5"/>
      <c r="B635" s="45"/>
      <c r="C635" s="20"/>
      <c r="D635" s="20"/>
      <c r="E635" s="20"/>
      <c r="F635" s="20"/>
      <c r="G635" s="22"/>
    </row>
    <row r="636" spans="1:13" s="3" customFormat="1" ht="16.2" hidden="1" outlineLevel="1" thickBot="1" x14ac:dyDescent="0.3">
      <c r="A636" s="5"/>
      <c r="B636" s="31"/>
      <c r="C636" s="20"/>
      <c r="D636" s="20"/>
      <c r="E636" s="20"/>
      <c r="F636" s="20"/>
      <c r="G636" s="22"/>
    </row>
    <row r="637" spans="1:13" s="6" customFormat="1" hidden="1" outlineLevel="1" x14ac:dyDescent="0.25">
      <c r="A637" s="5"/>
      <c r="B637" s="380" t="s">
        <v>29</v>
      </c>
      <c r="C637" s="381"/>
      <c r="D637" s="381"/>
      <c r="E637" s="381"/>
      <c r="F637" s="381"/>
      <c r="G637" s="382"/>
    </row>
    <row r="638" spans="1:13" s="3" customFormat="1" hidden="1" outlineLevel="1" x14ac:dyDescent="0.25">
      <c r="A638" s="5"/>
      <c r="B638" s="31"/>
      <c r="C638" s="20"/>
      <c r="D638" s="20"/>
      <c r="E638" s="20"/>
      <c r="F638" s="20"/>
      <c r="G638" s="22"/>
    </row>
    <row r="639" spans="1:13" s="4" customFormat="1" ht="17.399999999999999" hidden="1" customHeight="1" outlineLevel="1" x14ac:dyDescent="0.35">
      <c r="A639" s="5"/>
      <c r="B639" s="67" t="s">
        <v>30</v>
      </c>
      <c r="C639" s="65"/>
      <c r="D639" s="65"/>
      <c r="E639" s="65"/>
      <c r="F639" s="65"/>
      <c r="G639" s="371" t="s">
        <v>2357</v>
      </c>
      <c r="H639" s="5"/>
      <c r="I639" s="5"/>
      <c r="J639" s="5"/>
      <c r="K639" s="5"/>
      <c r="L639" s="5"/>
      <c r="M639" s="5"/>
    </row>
    <row r="640" spans="1:13" s="3" customFormat="1" hidden="1" outlineLevel="1" x14ac:dyDescent="0.25">
      <c r="A640" s="5"/>
      <c r="B640" s="31"/>
      <c r="C640" s="20"/>
      <c r="D640" s="20"/>
      <c r="E640" s="20"/>
      <c r="F640" s="20"/>
      <c r="G640" s="22"/>
    </row>
    <row r="641" spans="1:14" s="3" customFormat="1" hidden="1" outlineLevel="1" x14ac:dyDescent="0.25">
      <c r="A641" s="5"/>
      <c r="B641" s="31" t="s">
        <v>169</v>
      </c>
      <c r="C641" s="20"/>
      <c r="D641" s="20"/>
      <c r="E641" s="20"/>
      <c r="F641" s="20"/>
      <c r="G641" s="373" t="s">
        <v>2371</v>
      </c>
    </row>
    <row r="642" spans="1:14" s="4" customFormat="1" ht="16.2" hidden="1" outlineLevel="1" thickBot="1" x14ac:dyDescent="0.4">
      <c r="A642" s="5"/>
      <c r="B642" s="103"/>
      <c r="C642" s="92"/>
      <c r="D642" s="92"/>
      <c r="E642" s="92"/>
      <c r="F642" s="92"/>
      <c r="G642" s="93"/>
    </row>
    <row r="643" spans="1:14" ht="16.2" hidden="1" outlineLevel="1" thickBot="1" x14ac:dyDescent="0.3"/>
    <row r="644" spans="1:14" s="6" customFormat="1" ht="16.2" collapsed="1" thickBot="1" x14ac:dyDescent="0.3">
      <c r="A644" s="5"/>
      <c r="B644" s="166" t="s">
        <v>1279</v>
      </c>
      <c r="C644" s="167" t="s">
        <v>1347</v>
      </c>
      <c r="D644" s="168" t="s">
        <v>1281</v>
      </c>
      <c r="E644" s="169" t="s">
        <v>170</v>
      </c>
      <c r="F644" s="168" t="s">
        <v>1282</v>
      </c>
      <c r="G644" s="170" t="s">
        <v>1348</v>
      </c>
    </row>
    <row r="645" spans="1:14" s="6" customFormat="1" hidden="1" outlineLevel="1" x14ac:dyDescent="0.25">
      <c r="A645" s="5"/>
      <c r="B645" s="136" t="s">
        <v>1284</v>
      </c>
      <c r="C645" s="84" t="s">
        <v>1285</v>
      </c>
      <c r="D645" s="137" t="s">
        <v>1286</v>
      </c>
      <c r="E645" s="84" t="s">
        <v>1349</v>
      </c>
      <c r="F645" s="137" t="s">
        <v>1288</v>
      </c>
      <c r="G645" s="85" t="s">
        <v>1350</v>
      </c>
    </row>
    <row r="646" spans="1:14" s="6" customFormat="1" ht="16.2" hidden="1" outlineLevel="1" thickBot="1" x14ac:dyDescent="0.3">
      <c r="A646" s="5"/>
      <c r="B646" s="136" t="s">
        <v>1290</v>
      </c>
      <c r="C646" s="172" t="s">
        <v>1291</v>
      </c>
      <c r="D646" s="137" t="s">
        <v>1292</v>
      </c>
      <c r="E646" s="172">
        <v>5</v>
      </c>
      <c r="F646" s="137" t="s">
        <v>1293</v>
      </c>
      <c r="G646" s="174" t="s">
        <v>1294</v>
      </c>
    </row>
    <row r="647" spans="1:14" s="6" customFormat="1" hidden="1" outlineLevel="1" x14ac:dyDescent="0.25">
      <c r="A647" s="5"/>
      <c r="B647" s="380" t="s">
        <v>1</v>
      </c>
      <c r="C647" s="381"/>
      <c r="D647" s="381"/>
      <c r="E647" s="381"/>
      <c r="F647" s="381"/>
      <c r="G647" s="382"/>
    </row>
    <row r="648" spans="1:14" s="6" customFormat="1" hidden="1" outlineLevel="1" x14ac:dyDescent="0.25">
      <c r="A648" s="5"/>
      <c r="B648" s="94" t="s">
        <v>2</v>
      </c>
      <c r="C648" s="95" t="s">
        <v>3</v>
      </c>
      <c r="D648" s="95" t="s">
        <v>4</v>
      </c>
      <c r="E648" s="95" t="s">
        <v>5</v>
      </c>
      <c r="F648" s="95"/>
      <c r="G648" s="96" t="s">
        <v>6</v>
      </c>
    </row>
    <row r="649" spans="1:14" s="4" customFormat="1" ht="17.399999999999999" hidden="1" customHeight="1" outlineLevel="1" x14ac:dyDescent="0.35">
      <c r="A649" s="5"/>
      <c r="B649" s="57" t="s">
        <v>7</v>
      </c>
      <c r="C649" s="58" t="s">
        <v>1468</v>
      </c>
      <c r="D649" s="58" t="s">
        <v>1469</v>
      </c>
      <c r="E649" s="58">
        <v>0</v>
      </c>
      <c r="F649" s="58" t="s">
        <v>1470</v>
      </c>
      <c r="G649" s="59" t="s">
        <v>1471</v>
      </c>
      <c r="J649" s="3" t="s">
        <v>154</v>
      </c>
      <c r="K649" s="81" t="s">
        <v>112</v>
      </c>
      <c r="N649" s="4">
        <v>1112</v>
      </c>
    </row>
    <row r="650" spans="1:14" s="4" customFormat="1" ht="17.399999999999999" hidden="1" customHeight="1" outlineLevel="1" x14ac:dyDescent="0.35">
      <c r="A650" s="5"/>
      <c r="B650" s="57" t="s">
        <v>11</v>
      </c>
      <c r="C650" s="58" t="s">
        <v>1472</v>
      </c>
      <c r="D650" s="58" t="s">
        <v>1469</v>
      </c>
      <c r="E650" s="58">
        <v>0</v>
      </c>
      <c r="F650" s="58" t="s">
        <v>1470</v>
      </c>
      <c r="G650" s="59" t="s">
        <v>1473</v>
      </c>
      <c r="J650" s="3" t="s">
        <v>155</v>
      </c>
      <c r="K650" s="81" t="s">
        <v>7</v>
      </c>
      <c r="N650" s="4">
        <v>1700</v>
      </c>
    </row>
    <row r="651" spans="1:14" s="4" customFormat="1" ht="17.399999999999999" hidden="1" customHeight="1" outlineLevel="1" x14ac:dyDescent="0.35">
      <c r="A651" s="5"/>
      <c r="B651" s="60" t="s">
        <v>13</v>
      </c>
      <c r="C651" s="61" t="s">
        <v>1474</v>
      </c>
      <c r="D651" s="61" t="s">
        <v>1469</v>
      </c>
      <c r="E651" s="61">
        <v>0</v>
      </c>
      <c r="F651" s="61" t="s">
        <v>1470</v>
      </c>
      <c r="G651" s="62"/>
      <c r="H651" s="63"/>
      <c r="J651" s="3" t="s">
        <v>156</v>
      </c>
      <c r="K651" s="81" t="s">
        <v>11</v>
      </c>
      <c r="N651" s="4">
        <v>2534</v>
      </c>
    </row>
    <row r="652" spans="1:14" s="4" customFormat="1" ht="17.399999999999999" hidden="1" customHeight="1" outlineLevel="1" x14ac:dyDescent="0.35">
      <c r="A652" s="5"/>
      <c r="B652" s="60" t="s">
        <v>14</v>
      </c>
      <c r="C652" s="61" t="s">
        <v>1475</v>
      </c>
      <c r="D652" s="61" t="s">
        <v>1469</v>
      </c>
      <c r="E652" s="61">
        <v>0</v>
      </c>
      <c r="F652" s="61" t="s">
        <v>1476</v>
      </c>
      <c r="G652" s="62" t="s">
        <v>1477</v>
      </c>
      <c r="H652" s="63"/>
      <c r="J652" s="3" t="s">
        <v>157</v>
      </c>
      <c r="K652" s="78" t="s">
        <v>13</v>
      </c>
      <c r="N652" s="4">
        <v>2155</v>
      </c>
    </row>
    <row r="653" spans="1:14" s="4" customFormat="1" ht="17.399999999999999" hidden="1" customHeight="1" outlineLevel="1" x14ac:dyDescent="0.35">
      <c r="A653" s="5"/>
      <c r="B653" s="60" t="s">
        <v>15</v>
      </c>
      <c r="C653" s="61" t="s">
        <v>1478</v>
      </c>
      <c r="D653" s="61" t="s">
        <v>1469</v>
      </c>
      <c r="E653" s="61">
        <v>0</v>
      </c>
      <c r="F653" s="61" t="s">
        <v>1470</v>
      </c>
      <c r="G653" s="62"/>
      <c r="H653" s="63"/>
      <c r="J653" s="3" t="s">
        <v>158</v>
      </c>
      <c r="K653" s="81" t="s">
        <v>14</v>
      </c>
      <c r="N653" s="4">
        <v>2430</v>
      </c>
    </row>
    <row r="654" spans="1:14" s="4" customFormat="1" ht="17.399999999999999" hidden="1" customHeight="1" outlineLevel="1" x14ac:dyDescent="0.35">
      <c r="A654" s="5"/>
      <c r="B654" s="134" t="s">
        <v>17</v>
      </c>
      <c r="C654" s="135" t="s">
        <v>1483</v>
      </c>
      <c r="D654" s="135" t="s">
        <v>1469</v>
      </c>
      <c r="E654" s="65">
        <v>0</v>
      </c>
      <c r="F654" s="65" t="s">
        <v>1470</v>
      </c>
      <c r="G654" s="66" t="s">
        <v>1484</v>
      </c>
      <c r="H654" s="5"/>
      <c r="I654" s="5"/>
      <c r="J654" s="3" t="s">
        <v>159</v>
      </c>
      <c r="K654" s="78" t="s">
        <v>15</v>
      </c>
      <c r="L654" s="5"/>
      <c r="M654" s="5"/>
      <c r="N654" s="4">
        <v>1097</v>
      </c>
    </row>
    <row r="655" spans="1:14" s="3" customFormat="1" hidden="1" outlineLevel="1" x14ac:dyDescent="0.25">
      <c r="A655" s="5"/>
      <c r="B655" s="31" t="s">
        <v>160</v>
      </c>
      <c r="C655" s="20" t="s">
        <v>1588</v>
      </c>
      <c r="D655" s="20" t="s">
        <v>1469</v>
      </c>
      <c r="E655" s="20">
        <v>0</v>
      </c>
      <c r="F655" s="20"/>
      <c r="G655" s="22"/>
      <c r="J655" s="3" t="s">
        <v>161</v>
      </c>
      <c r="K655" s="3" t="s">
        <v>64</v>
      </c>
      <c r="N655" s="3">
        <v>1604</v>
      </c>
    </row>
    <row r="656" spans="1:14" s="3" customFormat="1" hidden="1" outlineLevel="1" x14ac:dyDescent="0.25">
      <c r="A656" s="5"/>
      <c r="B656" s="31" t="s">
        <v>162</v>
      </c>
      <c r="C656" s="20" t="s">
        <v>1589</v>
      </c>
      <c r="D656" s="20" t="s">
        <v>1469</v>
      </c>
      <c r="E656" s="20">
        <v>0</v>
      </c>
      <c r="F656" s="20"/>
      <c r="G656" s="22" t="s">
        <v>1590</v>
      </c>
    </row>
    <row r="657" spans="1:14" s="3" customFormat="1" hidden="1" outlineLevel="1" x14ac:dyDescent="0.25">
      <c r="A657" s="5"/>
      <c r="B657" s="31" t="s">
        <v>163</v>
      </c>
      <c r="C657" s="20" t="s">
        <v>1591</v>
      </c>
      <c r="D657" s="20" t="s">
        <v>1469</v>
      </c>
      <c r="E657" s="20">
        <v>0</v>
      </c>
      <c r="F657" s="20"/>
      <c r="G657" s="22" t="s">
        <v>1590</v>
      </c>
    </row>
    <row r="658" spans="1:14" s="3" customFormat="1" hidden="1" outlineLevel="1" x14ac:dyDescent="0.25">
      <c r="A658" s="5"/>
      <c r="B658" s="31"/>
      <c r="C658" s="20"/>
      <c r="D658" s="20"/>
      <c r="E658" s="20"/>
      <c r="F658" s="20"/>
      <c r="G658" s="22"/>
      <c r="J658" s="3" t="s">
        <v>64</v>
      </c>
      <c r="K658" s="3" t="s">
        <v>164</v>
      </c>
    </row>
    <row r="659" spans="1:14" s="6" customFormat="1" ht="16.2" hidden="1" outlineLevel="1" thickBot="1" x14ac:dyDescent="0.4">
      <c r="A659" s="5"/>
      <c r="B659" s="91"/>
      <c r="C659" s="92"/>
      <c r="D659" s="92"/>
      <c r="E659" s="92"/>
      <c r="F659" s="92"/>
      <c r="G659" s="93"/>
      <c r="J659" s="3" t="s">
        <v>164</v>
      </c>
      <c r="K659" s="4" t="s">
        <v>22</v>
      </c>
    </row>
    <row r="660" spans="1:14" s="6" customFormat="1" hidden="1" outlineLevel="1" x14ac:dyDescent="0.35">
      <c r="A660" s="5"/>
      <c r="B660" s="383" t="s">
        <v>18</v>
      </c>
      <c r="C660" s="384"/>
      <c r="D660" s="384"/>
      <c r="E660" s="384"/>
      <c r="F660" s="384"/>
      <c r="G660" s="385"/>
      <c r="J660" s="4" t="s">
        <v>22</v>
      </c>
      <c r="K660" s="3" t="s">
        <v>63</v>
      </c>
    </row>
    <row r="661" spans="1:14" s="6" customFormat="1" hidden="1" outlineLevel="1" x14ac:dyDescent="0.25">
      <c r="A661" s="5"/>
      <c r="B661" s="136" t="s">
        <v>2</v>
      </c>
      <c r="C661" s="137" t="s">
        <v>3</v>
      </c>
      <c r="D661" s="137" t="s">
        <v>4</v>
      </c>
      <c r="E661" s="137" t="s">
        <v>5</v>
      </c>
      <c r="F661" s="137"/>
      <c r="G661" s="138" t="s">
        <v>6</v>
      </c>
      <c r="J661" s="3" t="s">
        <v>63</v>
      </c>
      <c r="K661" s="3" t="s">
        <v>78</v>
      </c>
    </row>
    <row r="662" spans="1:14" s="6" customFormat="1" hidden="1" outlineLevel="1" x14ac:dyDescent="0.25">
      <c r="A662" s="5"/>
      <c r="B662" s="81" t="s">
        <v>16</v>
      </c>
      <c r="C662" s="20" t="s">
        <v>1479</v>
      </c>
      <c r="D662" s="20" t="s">
        <v>1469</v>
      </c>
      <c r="E662" s="20" t="s">
        <v>1480</v>
      </c>
      <c r="F662" s="20" t="s">
        <v>1481</v>
      </c>
      <c r="G662" s="22" t="s">
        <v>1482</v>
      </c>
      <c r="J662" s="3" t="s">
        <v>78</v>
      </c>
      <c r="K662" s="3" t="s">
        <v>130</v>
      </c>
    </row>
    <row r="663" spans="1:14" s="3" customFormat="1" hidden="1" outlineLevel="1" x14ac:dyDescent="0.25">
      <c r="B663" s="81" t="s">
        <v>7</v>
      </c>
      <c r="C663" s="29" t="s">
        <v>1468</v>
      </c>
      <c r="D663" s="29" t="s">
        <v>1469</v>
      </c>
      <c r="E663" s="29">
        <v>0</v>
      </c>
      <c r="F663" s="29" t="s">
        <v>1470</v>
      </c>
      <c r="G663" s="30" t="s">
        <v>1471</v>
      </c>
      <c r="J663" s="3" t="s">
        <v>165</v>
      </c>
      <c r="K663" s="3" t="s">
        <v>166</v>
      </c>
      <c r="N663" s="3">
        <v>2534</v>
      </c>
    </row>
    <row r="664" spans="1:14" s="3" customFormat="1" hidden="1" outlineLevel="1" x14ac:dyDescent="0.35">
      <c r="B664" s="81" t="s">
        <v>11</v>
      </c>
      <c r="C664" s="29" t="s">
        <v>1472</v>
      </c>
      <c r="D664" s="29" t="s">
        <v>1469</v>
      </c>
      <c r="E664" s="29">
        <v>0</v>
      </c>
      <c r="F664" s="29" t="s">
        <v>1470</v>
      </c>
      <c r="G664" s="30" t="s">
        <v>1473</v>
      </c>
      <c r="J664" s="3" t="s">
        <v>166</v>
      </c>
      <c r="K664" s="4" t="s">
        <v>167</v>
      </c>
      <c r="N664" s="3">
        <v>1700</v>
      </c>
    </row>
    <row r="665" spans="1:14" s="3" customFormat="1" hidden="1" outlineLevel="1" x14ac:dyDescent="0.35">
      <c r="B665" s="81" t="s">
        <v>13</v>
      </c>
      <c r="C665" s="39" t="s">
        <v>1474</v>
      </c>
      <c r="D665" s="39" t="s">
        <v>1469</v>
      </c>
      <c r="E665" s="39">
        <v>0</v>
      </c>
      <c r="F665" s="39" t="s">
        <v>1470</v>
      </c>
      <c r="G665" s="40"/>
      <c r="J665" s="4" t="s">
        <v>167</v>
      </c>
      <c r="K665" s="3" t="s">
        <v>168</v>
      </c>
      <c r="N665" s="3">
        <v>1689</v>
      </c>
    </row>
    <row r="666" spans="1:14" s="3" customFormat="1" hidden="1" outlineLevel="1" x14ac:dyDescent="0.25">
      <c r="B666" s="81" t="s">
        <v>14</v>
      </c>
      <c r="C666" s="29" t="s">
        <v>1475</v>
      </c>
      <c r="D666" s="29" t="s">
        <v>1469</v>
      </c>
      <c r="E666" s="29">
        <v>0</v>
      </c>
      <c r="F666" s="29" t="s">
        <v>1476</v>
      </c>
      <c r="G666" s="30" t="s">
        <v>1477</v>
      </c>
      <c r="J666" s="3" t="s">
        <v>168</v>
      </c>
      <c r="N666" s="3">
        <v>2052</v>
      </c>
    </row>
    <row r="667" spans="1:14" s="3" customFormat="1" hidden="1" outlineLevel="1" x14ac:dyDescent="0.25">
      <c r="B667" s="81" t="s">
        <v>159</v>
      </c>
      <c r="C667" s="29" t="s">
        <v>1592</v>
      </c>
      <c r="D667" s="29" t="s">
        <v>1593</v>
      </c>
      <c r="E667" s="29" t="s">
        <v>1594</v>
      </c>
      <c r="F667" s="29" t="s">
        <v>1470</v>
      </c>
      <c r="G667" s="30" t="s">
        <v>1595</v>
      </c>
      <c r="N667" s="3">
        <v>2153</v>
      </c>
    </row>
    <row r="668" spans="1:14" s="3" customFormat="1" hidden="1" outlineLevel="1" x14ac:dyDescent="0.25">
      <c r="B668" s="81" t="s">
        <v>15</v>
      </c>
      <c r="C668" s="29" t="s">
        <v>1478</v>
      </c>
      <c r="D668" s="29" t="s">
        <v>1469</v>
      </c>
      <c r="E668" s="29">
        <v>0</v>
      </c>
      <c r="F668" s="29" t="s">
        <v>1470</v>
      </c>
      <c r="G668" s="30"/>
      <c r="N668" s="3">
        <v>2183</v>
      </c>
    </row>
    <row r="669" spans="1:14" s="4" customFormat="1" ht="17.399999999999999" hidden="1" customHeight="1" outlineLevel="1" x14ac:dyDescent="0.35">
      <c r="A669" s="5"/>
      <c r="B669" s="145" t="s">
        <v>64</v>
      </c>
      <c r="C669" s="42" t="s">
        <v>1527</v>
      </c>
      <c r="D669" s="42" t="s">
        <v>1489</v>
      </c>
      <c r="E669" s="42">
        <v>0</v>
      </c>
      <c r="F669" s="42"/>
      <c r="G669" s="43"/>
      <c r="J669" s="5"/>
      <c r="K669" s="5"/>
      <c r="L669" s="5"/>
      <c r="M669" s="5"/>
    </row>
    <row r="670" spans="1:14" s="3" customFormat="1" hidden="1" outlineLevel="1" x14ac:dyDescent="0.25">
      <c r="A670" s="77"/>
      <c r="B670" s="81" t="s">
        <v>24</v>
      </c>
      <c r="C670" s="79" t="s">
        <v>1491</v>
      </c>
      <c r="D670" s="79" t="s">
        <v>1489</v>
      </c>
      <c r="E670" s="79">
        <v>0</v>
      </c>
      <c r="F670" s="79" t="s">
        <v>1470</v>
      </c>
      <c r="G670" s="80"/>
      <c r="H670" s="3" t="str">
        <f t="shared" ref="H670:H671" si="5">"TRUNCATE TABLE "&amp;C670&amp;";#"&amp;E670</f>
        <v>TRUNCATE TABLE realize_pandl;#0</v>
      </c>
    </row>
    <row r="671" spans="1:14" s="3" customFormat="1" hidden="1" outlineLevel="1" x14ac:dyDescent="0.25">
      <c r="A671" s="77"/>
      <c r="B671" s="81" t="s">
        <v>58</v>
      </c>
      <c r="C671" s="79" t="s">
        <v>1522</v>
      </c>
      <c r="D671" s="79" t="s">
        <v>1489</v>
      </c>
      <c r="E671" s="79">
        <v>0</v>
      </c>
      <c r="F671" s="79" t="s">
        <v>1470</v>
      </c>
      <c r="G671" s="80"/>
      <c r="H671" s="3" t="str">
        <f t="shared" si="5"/>
        <v>TRUNCATE TABLE over_night_pandl;#0</v>
      </c>
    </row>
    <row r="672" spans="1:14" s="3" customFormat="1" hidden="1" outlineLevel="1" x14ac:dyDescent="0.25">
      <c r="B672" s="145" t="s">
        <v>22</v>
      </c>
      <c r="C672" s="39" t="s">
        <v>1488</v>
      </c>
      <c r="D672" s="39" t="s">
        <v>1489</v>
      </c>
      <c r="E672" s="39">
        <v>0</v>
      </c>
      <c r="F672" s="39" t="s">
        <v>1470</v>
      </c>
      <c r="G672" s="40" t="s">
        <v>1490</v>
      </c>
    </row>
    <row r="673" spans="1:13" s="3" customFormat="1" hidden="1" outlineLevel="1" x14ac:dyDescent="0.25">
      <c r="B673" s="145" t="s">
        <v>63</v>
      </c>
      <c r="C673" s="39" t="s">
        <v>1526</v>
      </c>
      <c r="D673" s="39" t="s">
        <v>1489</v>
      </c>
      <c r="E673" s="39">
        <v>0</v>
      </c>
      <c r="F673" s="39"/>
      <c r="G673" s="40"/>
    </row>
    <row r="674" spans="1:13" s="3" customFormat="1" hidden="1" outlineLevel="1" x14ac:dyDescent="0.25">
      <c r="B674" s="145" t="s">
        <v>78</v>
      </c>
      <c r="C674" s="39" t="s">
        <v>1534</v>
      </c>
      <c r="D674" s="39" t="s">
        <v>1489</v>
      </c>
      <c r="E674" s="39">
        <v>0</v>
      </c>
      <c r="F674" s="39"/>
      <c r="G674" s="40"/>
    </row>
    <row r="675" spans="1:13" s="3" customFormat="1" hidden="1" outlineLevel="1" x14ac:dyDescent="0.25">
      <c r="B675" s="145" t="s">
        <v>130</v>
      </c>
      <c r="C675" s="29" t="s">
        <v>1596</v>
      </c>
      <c r="D675" s="29" t="s">
        <v>1486</v>
      </c>
      <c r="E675" s="29">
        <v>0</v>
      </c>
      <c r="F675" s="29"/>
      <c r="G675" s="30"/>
    </row>
    <row r="676" spans="1:13" s="3" customFormat="1" hidden="1" outlineLevel="1" x14ac:dyDescent="0.25">
      <c r="B676" s="145" t="s">
        <v>165</v>
      </c>
      <c r="C676" s="29" t="s">
        <v>1597</v>
      </c>
      <c r="D676" s="29" t="s">
        <v>1489</v>
      </c>
      <c r="E676" s="29">
        <v>0</v>
      </c>
      <c r="F676" s="29"/>
      <c r="G676" s="30"/>
    </row>
    <row r="677" spans="1:13" s="3" customFormat="1" hidden="1" outlineLevel="1" x14ac:dyDescent="0.25">
      <c r="B677" s="145" t="s">
        <v>166</v>
      </c>
      <c r="C677" s="29" t="s">
        <v>1598</v>
      </c>
      <c r="D677" s="29" t="s">
        <v>1486</v>
      </c>
      <c r="E677" s="29">
        <v>0</v>
      </c>
      <c r="F677" s="29"/>
      <c r="G677" s="30"/>
    </row>
    <row r="678" spans="1:13" s="3" customFormat="1" hidden="1" outlineLevel="1" x14ac:dyDescent="0.25">
      <c r="B678" s="145" t="s">
        <v>167</v>
      </c>
      <c r="C678" s="29" t="s">
        <v>1599</v>
      </c>
      <c r="D678" s="29" t="s">
        <v>1489</v>
      </c>
      <c r="E678" s="29">
        <v>0</v>
      </c>
      <c r="F678" s="29"/>
      <c r="G678" s="30"/>
    </row>
    <row r="679" spans="1:13" s="4" customFormat="1" ht="17.399999999999999" hidden="1" customHeight="1" outlineLevel="1" thickBot="1" x14ac:dyDescent="0.4">
      <c r="A679" s="5"/>
      <c r="B679" s="103"/>
      <c r="C679" s="92"/>
      <c r="D679" s="92"/>
      <c r="E679" s="92"/>
      <c r="F679" s="92"/>
      <c r="G679" s="93"/>
    </row>
    <row r="680" spans="1:13" s="6" customFormat="1" hidden="1" outlineLevel="1" x14ac:dyDescent="0.25">
      <c r="A680" s="5"/>
      <c r="B680" s="380" t="s">
        <v>29</v>
      </c>
      <c r="C680" s="381"/>
      <c r="D680" s="381"/>
      <c r="E680" s="381"/>
      <c r="F680" s="381"/>
      <c r="G680" s="382"/>
    </row>
    <row r="681" spans="1:13" s="4" customFormat="1" ht="17.399999999999999" hidden="1" customHeight="1" outlineLevel="1" x14ac:dyDescent="0.35">
      <c r="A681" s="5"/>
      <c r="B681" s="67" t="s">
        <v>30</v>
      </c>
      <c r="C681" s="65"/>
      <c r="D681" s="65"/>
      <c r="E681" s="65"/>
      <c r="F681" s="65"/>
      <c r="G681" s="371" t="s">
        <v>2357</v>
      </c>
      <c r="H681" s="5"/>
      <c r="I681" s="5"/>
      <c r="J681" s="5"/>
      <c r="K681" s="5"/>
      <c r="L681" s="5"/>
      <c r="M681" s="5"/>
    </row>
    <row r="682" spans="1:13" s="3" customFormat="1" ht="17.399999999999999" hidden="1" customHeight="1" outlineLevel="1" x14ac:dyDescent="0.25">
      <c r="A682" s="5"/>
      <c r="B682" s="31" t="s">
        <v>171</v>
      </c>
      <c r="C682" s="20"/>
      <c r="D682" s="20"/>
      <c r="E682" s="20"/>
      <c r="F682" s="20"/>
      <c r="G682" s="373" t="s">
        <v>2372</v>
      </c>
    </row>
    <row r="683" spans="1:13" s="4" customFormat="1" ht="17.399999999999999" hidden="1" customHeight="1" outlineLevel="1" thickBot="1" x14ac:dyDescent="0.4">
      <c r="A683" s="5"/>
      <c r="B683" s="103"/>
      <c r="C683" s="92"/>
      <c r="D683" s="92"/>
      <c r="E683" s="92"/>
      <c r="F683" s="92"/>
      <c r="G683" s="93"/>
    </row>
    <row r="684" spans="1:13" ht="16.2" hidden="1" outlineLevel="1" thickBot="1" x14ac:dyDescent="0.3"/>
    <row r="685" spans="1:13" s="6" customFormat="1" ht="16.2" collapsed="1" thickBot="1" x14ac:dyDescent="0.3">
      <c r="A685" s="5"/>
      <c r="B685" s="166" t="s">
        <v>1279</v>
      </c>
      <c r="C685" s="167" t="s">
        <v>1351</v>
      </c>
      <c r="D685" s="168" t="s">
        <v>1281</v>
      </c>
      <c r="E685" s="169" t="s">
        <v>172</v>
      </c>
      <c r="F685" s="168" t="s">
        <v>1282</v>
      </c>
      <c r="G685" s="170" t="s">
        <v>1352</v>
      </c>
    </row>
    <row r="686" spans="1:13" s="6" customFormat="1" hidden="1" outlineLevel="1" x14ac:dyDescent="0.25">
      <c r="A686" s="5"/>
      <c r="B686" s="136" t="s">
        <v>1284</v>
      </c>
      <c r="C686" s="84" t="s">
        <v>1285</v>
      </c>
      <c r="D686" s="137" t="s">
        <v>1286</v>
      </c>
      <c r="E686" s="84" t="s">
        <v>1353</v>
      </c>
      <c r="F686" s="137" t="s">
        <v>1288</v>
      </c>
      <c r="G686" s="85" t="s">
        <v>1354</v>
      </c>
    </row>
    <row r="687" spans="1:13" s="6" customFormat="1" ht="16.2" hidden="1" outlineLevel="1" thickBot="1" x14ac:dyDescent="0.3">
      <c r="A687" s="5"/>
      <c r="B687" s="136" t="s">
        <v>1290</v>
      </c>
      <c r="C687" s="172" t="s">
        <v>1291</v>
      </c>
      <c r="D687" s="137" t="s">
        <v>1292</v>
      </c>
      <c r="E687" s="172">
        <v>5</v>
      </c>
      <c r="F687" s="137" t="s">
        <v>1293</v>
      </c>
      <c r="G687" s="174" t="s">
        <v>1294</v>
      </c>
    </row>
    <row r="688" spans="1:13" s="6" customFormat="1" hidden="1" outlineLevel="1" x14ac:dyDescent="0.25">
      <c r="A688" s="5"/>
      <c r="B688" s="380" t="s">
        <v>1</v>
      </c>
      <c r="C688" s="381"/>
      <c r="D688" s="381"/>
      <c r="E688" s="381"/>
      <c r="F688" s="381"/>
      <c r="G688" s="382"/>
    </row>
    <row r="689" spans="1:14" s="6" customFormat="1" hidden="1" outlineLevel="1" x14ac:dyDescent="0.25">
      <c r="A689" s="5"/>
      <c r="B689" s="94" t="s">
        <v>2</v>
      </c>
      <c r="C689" s="95" t="s">
        <v>3</v>
      </c>
      <c r="D689" s="95" t="s">
        <v>4</v>
      </c>
      <c r="E689" s="95" t="s">
        <v>5</v>
      </c>
      <c r="F689" s="95"/>
      <c r="G689" s="96" t="s">
        <v>6</v>
      </c>
    </row>
    <row r="690" spans="1:14" s="4" customFormat="1" ht="17.399999999999999" hidden="1" customHeight="1" outlineLevel="1" x14ac:dyDescent="0.35">
      <c r="A690" s="5"/>
      <c r="B690" s="57" t="s">
        <v>7</v>
      </c>
      <c r="C690" s="58" t="s">
        <v>1468</v>
      </c>
      <c r="D690" s="58" t="s">
        <v>1469</v>
      </c>
      <c r="E690" s="58">
        <v>0</v>
      </c>
      <c r="F690" s="58" t="s">
        <v>1470</v>
      </c>
      <c r="G690" s="59" t="s">
        <v>1471</v>
      </c>
      <c r="J690" s="4" t="s">
        <v>10</v>
      </c>
      <c r="K690" s="4" t="s">
        <v>173</v>
      </c>
      <c r="L690" s="4" t="s">
        <v>9</v>
      </c>
      <c r="M690" s="4" t="s">
        <v>9</v>
      </c>
      <c r="N690" s="4">
        <v>1112</v>
      </c>
    </row>
    <row r="691" spans="1:14" s="4" customFormat="1" ht="17.399999999999999" hidden="1" customHeight="1" outlineLevel="1" x14ac:dyDescent="0.35">
      <c r="A691" s="5"/>
      <c r="B691" s="57" t="s">
        <v>11</v>
      </c>
      <c r="C691" s="58" t="s">
        <v>1472</v>
      </c>
      <c r="D691" s="58" t="s">
        <v>1469</v>
      </c>
      <c r="E691" s="58">
        <v>0</v>
      </c>
      <c r="F691" s="58" t="s">
        <v>1470</v>
      </c>
      <c r="G691" s="59" t="s">
        <v>1473</v>
      </c>
      <c r="J691" s="4" t="s">
        <v>12</v>
      </c>
      <c r="K691" s="4" t="s">
        <v>174</v>
      </c>
      <c r="L691" s="4" t="s">
        <v>175</v>
      </c>
      <c r="M691" s="4" t="s">
        <v>176</v>
      </c>
      <c r="N691" s="4">
        <v>1700</v>
      </c>
    </row>
    <row r="692" spans="1:14" s="4" customFormat="1" ht="17.399999999999999" hidden="1" customHeight="1" outlineLevel="1" x14ac:dyDescent="0.35">
      <c r="A692" s="5"/>
      <c r="B692" s="60" t="s">
        <v>13</v>
      </c>
      <c r="C692" s="61" t="s">
        <v>1474</v>
      </c>
      <c r="D692" s="61" t="s">
        <v>1469</v>
      </c>
      <c r="E692" s="61">
        <v>0</v>
      </c>
      <c r="F692" s="61" t="s">
        <v>1470</v>
      </c>
      <c r="G692" s="62"/>
      <c r="H692" s="63"/>
      <c r="J692" s="4" t="s">
        <v>10</v>
      </c>
      <c r="K692" s="4" t="s">
        <v>173</v>
      </c>
      <c r="L692" s="4" t="s">
        <v>9</v>
      </c>
      <c r="M692" s="4" t="s">
        <v>9</v>
      </c>
      <c r="N692" s="4">
        <v>2534</v>
      </c>
    </row>
    <row r="693" spans="1:14" s="4" customFormat="1" ht="17.399999999999999" hidden="1" customHeight="1" outlineLevel="1" x14ac:dyDescent="0.35">
      <c r="A693" s="5"/>
      <c r="B693" s="60" t="s">
        <v>14</v>
      </c>
      <c r="C693" s="61" t="s">
        <v>1475</v>
      </c>
      <c r="D693" s="61" t="s">
        <v>1469</v>
      </c>
      <c r="E693" s="61">
        <v>0</v>
      </c>
      <c r="F693" s="61" t="s">
        <v>1476</v>
      </c>
      <c r="G693" s="62" t="s">
        <v>1477</v>
      </c>
      <c r="H693" s="63"/>
      <c r="J693" s="4" t="s">
        <v>10</v>
      </c>
      <c r="K693" s="4" t="s">
        <v>173</v>
      </c>
      <c r="L693" s="4" t="s">
        <v>9</v>
      </c>
      <c r="M693" s="4" t="s">
        <v>9</v>
      </c>
      <c r="N693" s="4">
        <v>2155</v>
      </c>
    </row>
    <row r="694" spans="1:14" s="4" customFormat="1" ht="17.399999999999999" hidden="1" customHeight="1" outlineLevel="1" x14ac:dyDescent="0.35">
      <c r="A694" s="5"/>
      <c r="B694" s="60" t="s">
        <v>15</v>
      </c>
      <c r="C694" s="61" t="s">
        <v>1478</v>
      </c>
      <c r="D694" s="61" t="s">
        <v>1469</v>
      </c>
      <c r="E694" s="61">
        <v>0</v>
      </c>
      <c r="F694" s="61" t="s">
        <v>1470</v>
      </c>
      <c r="G694" s="62"/>
      <c r="H694" s="63"/>
      <c r="J694" s="4" t="s">
        <v>10</v>
      </c>
      <c r="K694" s="4" t="s">
        <v>173</v>
      </c>
      <c r="L694" s="4" t="s">
        <v>9</v>
      </c>
      <c r="M694" s="4" t="s">
        <v>9</v>
      </c>
      <c r="N694" s="4">
        <v>2430</v>
      </c>
    </row>
    <row r="695" spans="1:14" s="4" customFormat="1" ht="17.399999999999999" hidden="1" customHeight="1" outlineLevel="1" x14ac:dyDescent="0.35">
      <c r="A695" s="5"/>
      <c r="B695" s="134" t="s">
        <v>17</v>
      </c>
      <c r="C695" s="135" t="s">
        <v>1483</v>
      </c>
      <c r="D695" s="135" t="s">
        <v>1469</v>
      </c>
      <c r="E695" s="65">
        <v>0</v>
      </c>
      <c r="F695" s="65" t="s">
        <v>1470</v>
      </c>
      <c r="G695" s="66" t="s">
        <v>1484</v>
      </c>
      <c r="H695" s="5"/>
      <c r="I695" s="5"/>
      <c r="J695" s="5" t="s">
        <v>10</v>
      </c>
      <c r="K695" s="5" t="s">
        <v>173</v>
      </c>
      <c r="L695" s="5" t="s">
        <v>9</v>
      </c>
      <c r="M695" s="5" t="s">
        <v>9</v>
      </c>
      <c r="N695" s="4">
        <v>1097</v>
      </c>
    </row>
    <row r="696" spans="1:14" s="3" customFormat="1" hidden="1" outlineLevel="1" x14ac:dyDescent="0.25">
      <c r="A696" s="5"/>
      <c r="B696" s="31" t="s">
        <v>160</v>
      </c>
      <c r="C696" s="20" t="s">
        <v>1588</v>
      </c>
      <c r="D696" s="20" t="s">
        <v>1469</v>
      </c>
      <c r="E696" s="20">
        <v>0</v>
      </c>
      <c r="F696" s="20"/>
      <c r="G696" s="22"/>
      <c r="J696" s="3" t="s">
        <v>10</v>
      </c>
      <c r="K696" s="3" t="s">
        <v>173</v>
      </c>
      <c r="L696" s="3" t="s">
        <v>9</v>
      </c>
      <c r="M696" s="3" t="s">
        <v>9</v>
      </c>
      <c r="N696" s="3">
        <v>1604</v>
      </c>
    </row>
    <row r="697" spans="1:14" s="3" customFormat="1" hidden="1" outlineLevel="1" x14ac:dyDescent="0.25">
      <c r="A697" s="5"/>
      <c r="B697" s="31" t="s">
        <v>162</v>
      </c>
      <c r="C697" s="20" t="s">
        <v>1589</v>
      </c>
      <c r="D697" s="20" t="s">
        <v>1469</v>
      </c>
      <c r="E697" s="20">
        <v>0</v>
      </c>
      <c r="F697" s="20"/>
      <c r="G697" s="22" t="s">
        <v>1590</v>
      </c>
    </row>
    <row r="698" spans="1:14" s="3" customFormat="1" hidden="1" outlineLevel="1" x14ac:dyDescent="0.25">
      <c r="A698" s="5"/>
      <c r="B698" s="31" t="s">
        <v>163</v>
      </c>
      <c r="C698" s="20" t="s">
        <v>1591</v>
      </c>
      <c r="D698" s="20" t="s">
        <v>1469</v>
      </c>
      <c r="E698" s="20">
        <v>0</v>
      </c>
      <c r="F698" s="20"/>
      <c r="G698" s="22" t="s">
        <v>1590</v>
      </c>
    </row>
    <row r="699" spans="1:14" s="6" customFormat="1" hidden="1" outlineLevel="1" x14ac:dyDescent="0.25">
      <c r="A699" s="5"/>
      <c r="B699" s="64"/>
      <c r="C699" s="65"/>
      <c r="D699" s="65"/>
      <c r="E699" s="65"/>
      <c r="F699" s="65"/>
      <c r="G699" s="66"/>
    </row>
    <row r="700" spans="1:14" s="6" customFormat="1" ht="16.2" hidden="1" outlineLevel="1" thickBot="1" x14ac:dyDescent="0.3">
      <c r="A700" s="5"/>
      <c r="B700" s="91"/>
      <c r="C700" s="92"/>
      <c r="D700" s="92"/>
      <c r="E700" s="92"/>
      <c r="F700" s="92"/>
      <c r="G700" s="93"/>
    </row>
    <row r="701" spans="1:14" s="6" customFormat="1" hidden="1" outlineLevel="1" x14ac:dyDescent="0.25">
      <c r="A701" s="5"/>
      <c r="B701" s="383" t="s">
        <v>18</v>
      </c>
      <c r="C701" s="384"/>
      <c r="D701" s="384"/>
      <c r="E701" s="384"/>
      <c r="F701" s="384"/>
      <c r="G701" s="385"/>
    </row>
    <row r="702" spans="1:14" s="6" customFormat="1" hidden="1" outlineLevel="1" x14ac:dyDescent="0.25">
      <c r="A702" s="5"/>
      <c r="B702" s="136" t="s">
        <v>2</v>
      </c>
      <c r="C702" s="137" t="s">
        <v>3</v>
      </c>
      <c r="D702" s="137" t="s">
        <v>4</v>
      </c>
      <c r="E702" s="137" t="s">
        <v>5</v>
      </c>
      <c r="F702" s="137"/>
      <c r="G702" s="138" t="s">
        <v>6</v>
      </c>
    </row>
    <row r="703" spans="1:14" s="3" customFormat="1" ht="17.399999999999999" hidden="1" customHeight="1" outlineLevel="1" x14ac:dyDescent="0.25">
      <c r="A703" s="5"/>
      <c r="B703" s="31" t="s">
        <v>16</v>
      </c>
      <c r="C703" s="20" t="s">
        <v>1479</v>
      </c>
      <c r="D703" s="20" t="s">
        <v>1469</v>
      </c>
      <c r="E703" s="20" t="s">
        <v>1480</v>
      </c>
      <c r="F703" s="20" t="s">
        <v>1481</v>
      </c>
      <c r="G703" s="22" t="s">
        <v>1482</v>
      </c>
      <c r="J703" s="3" t="s">
        <v>10</v>
      </c>
      <c r="N703" s="3">
        <v>1211</v>
      </c>
    </row>
    <row r="704" spans="1:14" s="3" customFormat="1" hidden="1" outlineLevel="1" x14ac:dyDescent="0.25">
      <c r="B704" s="28" t="s">
        <v>7</v>
      </c>
      <c r="C704" s="29" t="s">
        <v>1468</v>
      </c>
      <c r="D704" s="29" t="s">
        <v>1469</v>
      </c>
      <c r="E704" s="29">
        <v>0</v>
      </c>
      <c r="F704" s="29" t="s">
        <v>1470</v>
      </c>
      <c r="G704" s="30" t="s">
        <v>1471</v>
      </c>
      <c r="J704" s="3" t="s">
        <v>10</v>
      </c>
      <c r="N704" s="3">
        <v>1112</v>
      </c>
    </row>
    <row r="705" spans="1:14" s="3" customFormat="1" hidden="1" outlineLevel="1" x14ac:dyDescent="0.25">
      <c r="B705" s="28" t="s">
        <v>11</v>
      </c>
      <c r="C705" s="29" t="s">
        <v>1472</v>
      </c>
      <c r="D705" s="29" t="s">
        <v>1469</v>
      </c>
      <c r="E705" s="29">
        <v>0</v>
      </c>
      <c r="F705" s="29" t="s">
        <v>1470</v>
      </c>
      <c r="G705" s="30" t="s">
        <v>1473</v>
      </c>
      <c r="J705" s="3" t="s">
        <v>12</v>
      </c>
      <c r="N705" s="3">
        <v>1700</v>
      </c>
    </row>
    <row r="706" spans="1:14" s="3" customFormat="1" hidden="1" outlineLevel="1" x14ac:dyDescent="0.25">
      <c r="B706" s="28" t="s">
        <v>13</v>
      </c>
      <c r="C706" s="29" t="s">
        <v>1474</v>
      </c>
      <c r="D706" s="29" t="s">
        <v>1469</v>
      </c>
      <c r="E706" s="29">
        <v>0</v>
      </c>
      <c r="F706" s="29" t="s">
        <v>1470</v>
      </c>
      <c r="G706" s="30"/>
      <c r="J706" s="3" t="s">
        <v>10</v>
      </c>
      <c r="N706" s="3">
        <v>2534</v>
      </c>
    </row>
    <row r="707" spans="1:14" s="3" customFormat="1" ht="17.399999999999999" hidden="1" customHeight="1" outlineLevel="1" x14ac:dyDescent="0.25">
      <c r="A707" s="5"/>
      <c r="B707" s="31" t="s">
        <v>25</v>
      </c>
      <c r="C707" s="20" t="s">
        <v>1492</v>
      </c>
      <c r="D707" s="20" t="s">
        <v>1469</v>
      </c>
      <c r="E707" s="20">
        <v>0</v>
      </c>
      <c r="F707" s="20" t="s">
        <v>1470</v>
      </c>
      <c r="G707" s="22" t="s">
        <v>1484</v>
      </c>
      <c r="J707" s="3" t="s">
        <v>10</v>
      </c>
      <c r="N707" s="3">
        <v>2155</v>
      </c>
    </row>
    <row r="708" spans="1:14" s="3" customFormat="1" ht="17.399999999999999" hidden="1" customHeight="1" outlineLevel="1" x14ac:dyDescent="0.25">
      <c r="A708" s="5"/>
      <c r="B708" s="31" t="s">
        <v>14</v>
      </c>
      <c r="C708" s="20" t="s">
        <v>1475</v>
      </c>
      <c r="D708" s="20" t="s">
        <v>1469</v>
      </c>
      <c r="E708" s="20">
        <v>0</v>
      </c>
      <c r="F708" s="20" t="s">
        <v>1476</v>
      </c>
      <c r="G708" s="22" t="s">
        <v>1477</v>
      </c>
      <c r="J708" s="3" t="s">
        <v>10</v>
      </c>
      <c r="N708" s="3">
        <v>2430</v>
      </c>
    </row>
    <row r="709" spans="1:14" s="3" customFormat="1" ht="17.399999999999999" hidden="1" customHeight="1" outlineLevel="1" x14ac:dyDescent="0.25">
      <c r="A709" s="5"/>
      <c r="B709" s="31" t="s">
        <v>15</v>
      </c>
      <c r="C709" s="20" t="s">
        <v>1478</v>
      </c>
      <c r="D709" s="20" t="s">
        <v>1469</v>
      </c>
      <c r="E709" s="20">
        <v>0</v>
      </c>
      <c r="F709" s="20" t="s">
        <v>1470</v>
      </c>
      <c r="G709" s="22"/>
      <c r="J709" s="3" t="s">
        <v>20</v>
      </c>
      <c r="N709" s="3">
        <v>1203</v>
      </c>
    </row>
    <row r="710" spans="1:14" s="3" customFormat="1" ht="17.399999999999999" hidden="1" customHeight="1" outlineLevel="1" x14ac:dyDescent="0.25">
      <c r="A710" s="5"/>
      <c r="B710" s="159" t="s">
        <v>75</v>
      </c>
      <c r="C710" s="20" t="s">
        <v>1530</v>
      </c>
      <c r="D710" s="20" t="s">
        <v>1486</v>
      </c>
      <c r="E710" s="20">
        <v>0</v>
      </c>
      <c r="F710" s="20" t="s">
        <v>1470</v>
      </c>
      <c r="G710" s="22" t="s">
        <v>1531</v>
      </c>
      <c r="H710" s="3" t="str">
        <f>",SUM(a.{"&amp;B710&amp;"}) as {"&amp;B710&amp;"}"</f>
        <v>,SUM(a.{当前数量}) as {当前数量}</v>
      </c>
    </row>
    <row r="711" spans="1:14" s="3" customFormat="1" ht="17.399999999999999" hidden="1" customHeight="1" outlineLevel="1" x14ac:dyDescent="0.25">
      <c r="A711" s="5"/>
      <c r="B711" s="31" t="s">
        <v>76</v>
      </c>
      <c r="C711" s="20" t="s">
        <v>1532</v>
      </c>
      <c r="D711" s="20" t="s">
        <v>1489</v>
      </c>
      <c r="E711" s="20">
        <v>0</v>
      </c>
      <c r="F711" s="20"/>
      <c r="G711" s="22"/>
      <c r="H711" s="3" t="str">
        <f t="shared" ref="H711:H719" si="6">",SUM(a.{"&amp;B711&amp;"}) as {"&amp;B711&amp;"}"</f>
        <v>,SUM(a.{开仓市值}) as {开仓市值}</v>
      </c>
    </row>
    <row r="712" spans="1:14" s="3" customFormat="1" ht="17.399999999999999" hidden="1" customHeight="1" outlineLevel="1" x14ac:dyDescent="0.25">
      <c r="A712" s="5"/>
      <c r="B712" s="81" t="s">
        <v>177</v>
      </c>
      <c r="C712" s="20" t="s">
        <v>1600</v>
      </c>
      <c r="D712" s="20" t="s">
        <v>1489</v>
      </c>
      <c r="E712" s="20">
        <v>0</v>
      </c>
      <c r="F712" s="20" t="s">
        <v>1470</v>
      </c>
      <c r="G712" s="22"/>
      <c r="H712" s="3" t="str">
        <f t="shared" si="6"/>
        <v>,SUM(a.{开仓费用}) as {开仓费用}</v>
      </c>
    </row>
    <row r="713" spans="1:14" s="3" customFormat="1" ht="17.399999999999999" hidden="1" customHeight="1" outlineLevel="1" x14ac:dyDescent="0.25">
      <c r="A713" s="5"/>
      <c r="B713" s="31" t="s">
        <v>77</v>
      </c>
      <c r="C713" s="20" t="s">
        <v>1533</v>
      </c>
      <c r="D713" s="20" t="s">
        <v>1486</v>
      </c>
      <c r="E713" s="20">
        <v>0</v>
      </c>
      <c r="F713" s="20" t="s">
        <v>1470</v>
      </c>
      <c r="G713" s="22"/>
      <c r="H713" s="3" t="str">
        <f t="shared" si="6"/>
        <v>,SUM(a.{平仓数量}) as {平仓数量}</v>
      </c>
    </row>
    <row r="714" spans="1:14" s="3" customFormat="1" ht="17.399999999999999" hidden="1" customHeight="1" outlineLevel="1" x14ac:dyDescent="0.25">
      <c r="A714" s="5"/>
      <c r="B714" s="31" t="s">
        <v>78</v>
      </c>
      <c r="C714" s="20" t="s">
        <v>1534</v>
      </c>
      <c r="D714" s="20" t="s">
        <v>1489</v>
      </c>
      <c r="E714" s="20">
        <v>0</v>
      </c>
      <c r="F714" s="20"/>
      <c r="G714" s="22"/>
      <c r="H714" s="3" t="str">
        <f t="shared" si="6"/>
        <v>,SUM(a.{平仓市值}) as {平仓市值}</v>
      </c>
    </row>
    <row r="715" spans="1:14" s="3" customFormat="1" ht="17.399999999999999" hidden="1" customHeight="1" outlineLevel="1" x14ac:dyDescent="0.25">
      <c r="A715" s="5"/>
      <c r="B715" s="81" t="s">
        <v>178</v>
      </c>
      <c r="C715" s="20" t="s">
        <v>1601</v>
      </c>
      <c r="D715" s="20" t="s">
        <v>1489</v>
      </c>
      <c r="E715" s="20">
        <v>0</v>
      </c>
      <c r="F715" s="20" t="s">
        <v>1470</v>
      </c>
      <c r="G715" s="22"/>
      <c r="H715" s="3" t="str">
        <f t="shared" si="6"/>
        <v>,SUM(a.{平仓费用}) as {平仓费用}</v>
      </c>
    </row>
    <row r="716" spans="1:14" s="3" customFormat="1" hidden="1" outlineLevel="1" x14ac:dyDescent="0.25">
      <c r="B716" s="159" t="s">
        <v>179</v>
      </c>
      <c r="C716" s="29" t="s">
        <v>1602</v>
      </c>
      <c r="D716" s="29" t="s">
        <v>1486</v>
      </c>
      <c r="E716" s="29">
        <v>0</v>
      </c>
      <c r="F716" s="29" t="s">
        <v>1470</v>
      </c>
      <c r="G716" s="30"/>
      <c r="H716" s="3" t="str">
        <f t="shared" si="6"/>
        <v>,SUM(a.{未平仓数量}) as {未平仓数量}</v>
      </c>
    </row>
    <row r="717" spans="1:14" s="3" customFormat="1" hidden="1" outlineLevel="1" x14ac:dyDescent="0.25">
      <c r="B717" s="159" t="s">
        <v>180</v>
      </c>
      <c r="C717" s="29" t="s">
        <v>1603</v>
      </c>
      <c r="D717" s="29" t="s">
        <v>1489</v>
      </c>
      <c r="E717" s="29">
        <v>0</v>
      </c>
      <c r="F717" s="29" t="s">
        <v>1470</v>
      </c>
      <c r="G717" s="30"/>
      <c r="H717" s="3" t="str">
        <f t="shared" si="6"/>
        <v>,SUM(a.{未平仓市值}) as {未平仓市值}</v>
      </c>
    </row>
    <row r="718" spans="1:14" s="3" customFormat="1" hidden="1" outlineLevel="1" x14ac:dyDescent="0.25">
      <c r="B718" s="81" t="s">
        <v>24</v>
      </c>
      <c r="C718" s="23" t="s">
        <v>1491</v>
      </c>
      <c r="D718" s="23" t="s">
        <v>1489</v>
      </c>
      <c r="E718" s="23">
        <v>0</v>
      </c>
      <c r="F718" s="23" t="s">
        <v>1470</v>
      </c>
      <c r="G718" s="24"/>
      <c r="H718" s="3" t="str">
        <f t="shared" si="6"/>
        <v>,SUM(a.{实现盈亏}) as {实现盈亏}</v>
      </c>
    </row>
    <row r="719" spans="1:14" s="3" customFormat="1" hidden="1" outlineLevel="1" x14ac:dyDescent="0.25">
      <c r="B719" s="81" t="s">
        <v>58</v>
      </c>
      <c r="C719" s="23" t="s">
        <v>1522</v>
      </c>
      <c r="D719" s="23" t="s">
        <v>1489</v>
      </c>
      <c r="E719" s="23">
        <v>0</v>
      </c>
      <c r="F719" s="23" t="s">
        <v>1470</v>
      </c>
      <c r="G719" s="24"/>
      <c r="H719" s="3" t="str">
        <f t="shared" si="6"/>
        <v>,SUM(a.{隔夜盈亏}) as {隔夜盈亏}</v>
      </c>
    </row>
    <row r="720" spans="1:14" s="3" customFormat="1" ht="17.399999999999999" hidden="1" customHeight="1" outlineLevel="1" thickBot="1" x14ac:dyDescent="0.3">
      <c r="A720" s="5"/>
      <c r="B720" s="103"/>
      <c r="C720" s="92"/>
      <c r="D720" s="92"/>
      <c r="E720" s="92"/>
      <c r="F720" s="92"/>
      <c r="G720" s="93"/>
    </row>
    <row r="721" spans="1:14" s="6" customFormat="1" hidden="1" outlineLevel="1" x14ac:dyDescent="0.25">
      <c r="A721" s="5"/>
      <c r="B721" s="392" t="s">
        <v>29</v>
      </c>
      <c r="C721" s="393"/>
      <c r="D721" s="393"/>
      <c r="E721" s="393"/>
      <c r="F721" s="393"/>
      <c r="G721" s="394"/>
    </row>
    <row r="722" spans="1:14" s="4" customFormat="1" ht="17.399999999999999" hidden="1" customHeight="1" outlineLevel="1" x14ac:dyDescent="0.35">
      <c r="A722" s="5"/>
      <c r="B722" s="67" t="s">
        <v>30</v>
      </c>
      <c r="C722" s="65"/>
      <c r="D722" s="65"/>
      <c r="E722" s="65"/>
      <c r="F722" s="65"/>
      <c r="G722" s="371" t="s">
        <v>2357</v>
      </c>
      <c r="H722" s="5"/>
      <c r="I722" s="5"/>
      <c r="J722" s="5"/>
      <c r="K722" s="5"/>
      <c r="L722" s="5"/>
      <c r="M722" s="5"/>
    </row>
    <row r="723" spans="1:14" s="3" customFormat="1" ht="17.399999999999999" hidden="1" customHeight="1" outlineLevel="1" x14ac:dyDescent="0.25">
      <c r="A723" s="5"/>
      <c r="B723" s="31" t="s">
        <v>181</v>
      </c>
      <c r="C723" s="20"/>
      <c r="D723" s="20"/>
      <c r="E723" s="20"/>
      <c r="F723" s="20"/>
      <c r="G723" s="373" t="s">
        <v>2373</v>
      </c>
    </row>
    <row r="724" spans="1:14" s="4" customFormat="1" ht="17.399999999999999" hidden="1" customHeight="1" outlineLevel="1" thickBot="1" x14ac:dyDescent="0.4">
      <c r="A724" s="5"/>
      <c r="B724" s="103"/>
      <c r="C724" s="92"/>
      <c r="D724" s="92"/>
      <c r="E724" s="92"/>
      <c r="F724" s="92"/>
      <c r="G724" s="93"/>
    </row>
    <row r="725" spans="1:14" ht="16.2" hidden="1" outlineLevel="1" thickBot="1" x14ac:dyDescent="0.3"/>
    <row r="726" spans="1:14" s="6" customFormat="1" ht="16.2" collapsed="1" thickBot="1" x14ac:dyDescent="0.3">
      <c r="A726" s="5"/>
      <c r="B726" s="166" t="s">
        <v>1279</v>
      </c>
      <c r="C726" s="167" t="s">
        <v>1355</v>
      </c>
      <c r="D726" s="168" t="s">
        <v>1281</v>
      </c>
      <c r="E726" s="169" t="s">
        <v>182</v>
      </c>
      <c r="F726" s="168" t="s">
        <v>1282</v>
      </c>
      <c r="G726" s="170" t="s">
        <v>1356</v>
      </c>
    </row>
    <row r="727" spans="1:14" s="6" customFormat="1" hidden="1" outlineLevel="1" x14ac:dyDescent="0.25">
      <c r="A727" s="5"/>
      <c r="B727" s="136" t="s">
        <v>1284</v>
      </c>
      <c r="C727" s="84" t="s">
        <v>1285</v>
      </c>
      <c r="D727" s="137" t="s">
        <v>1286</v>
      </c>
      <c r="E727" s="84" t="s">
        <v>1357</v>
      </c>
      <c r="F727" s="137" t="s">
        <v>1288</v>
      </c>
      <c r="G727" s="85" t="s">
        <v>1358</v>
      </c>
    </row>
    <row r="728" spans="1:14" s="6" customFormat="1" ht="16.2" hidden="1" outlineLevel="1" thickBot="1" x14ac:dyDescent="0.3">
      <c r="A728" s="5"/>
      <c r="B728" s="136" t="s">
        <v>1290</v>
      </c>
      <c r="C728" s="172" t="s">
        <v>1291</v>
      </c>
      <c r="D728" s="137" t="s">
        <v>1292</v>
      </c>
      <c r="E728" s="172">
        <v>5</v>
      </c>
      <c r="F728" s="137" t="s">
        <v>1293</v>
      </c>
      <c r="G728" s="174" t="s">
        <v>1294</v>
      </c>
    </row>
    <row r="729" spans="1:14" s="6" customFormat="1" hidden="1" outlineLevel="1" x14ac:dyDescent="0.25">
      <c r="A729" s="5"/>
      <c r="B729" s="380" t="s">
        <v>1</v>
      </c>
      <c r="C729" s="381"/>
      <c r="D729" s="381"/>
      <c r="E729" s="381"/>
      <c r="F729" s="381"/>
      <c r="G729" s="382"/>
    </row>
    <row r="730" spans="1:14" s="6" customFormat="1" hidden="1" outlineLevel="1" x14ac:dyDescent="0.25">
      <c r="A730" s="5"/>
      <c r="B730" s="94" t="s">
        <v>2</v>
      </c>
      <c r="C730" s="95" t="s">
        <v>3</v>
      </c>
      <c r="D730" s="95" t="s">
        <v>4</v>
      </c>
      <c r="E730" s="95" t="s">
        <v>5</v>
      </c>
      <c r="F730" s="95"/>
      <c r="G730" s="96" t="s">
        <v>6</v>
      </c>
    </row>
    <row r="731" spans="1:14" s="4" customFormat="1" ht="17.399999999999999" hidden="1" customHeight="1" outlineLevel="1" x14ac:dyDescent="0.35">
      <c r="A731" s="5"/>
      <c r="B731" s="57" t="s">
        <v>7</v>
      </c>
      <c r="C731" s="58" t="s">
        <v>1468</v>
      </c>
      <c r="D731" s="58" t="s">
        <v>1469</v>
      </c>
      <c r="E731" s="58">
        <v>0</v>
      </c>
      <c r="F731" s="58" t="s">
        <v>1470</v>
      </c>
      <c r="G731" s="59" t="s">
        <v>1471</v>
      </c>
      <c r="J731" s="4" t="s">
        <v>10</v>
      </c>
      <c r="N731" s="4">
        <v>1112</v>
      </c>
    </row>
    <row r="732" spans="1:14" s="4" customFormat="1" ht="17.399999999999999" hidden="1" customHeight="1" outlineLevel="1" x14ac:dyDescent="0.35">
      <c r="A732" s="5"/>
      <c r="B732" s="57" t="s">
        <v>11</v>
      </c>
      <c r="C732" s="58" t="s">
        <v>1472</v>
      </c>
      <c r="D732" s="58" t="s">
        <v>1469</v>
      </c>
      <c r="E732" s="58">
        <v>0</v>
      </c>
      <c r="F732" s="58" t="s">
        <v>1470</v>
      </c>
      <c r="G732" s="59" t="s">
        <v>1473</v>
      </c>
      <c r="J732" s="4" t="s">
        <v>12</v>
      </c>
      <c r="N732" s="4">
        <v>1700</v>
      </c>
    </row>
    <row r="733" spans="1:14" s="4" customFormat="1" ht="17.399999999999999" hidden="1" customHeight="1" outlineLevel="1" x14ac:dyDescent="0.35">
      <c r="A733" s="5"/>
      <c r="B733" s="60" t="s">
        <v>13</v>
      </c>
      <c r="C733" s="61" t="s">
        <v>1474</v>
      </c>
      <c r="D733" s="61" t="s">
        <v>1469</v>
      </c>
      <c r="E733" s="61">
        <v>0</v>
      </c>
      <c r="F733" s="61" t="s">
        <v>1470</v>
      </c>
      <c r="G733" s="62"/>
      <c r="H733" s="63"/>
      <c r="J733" s="4" t="s">
        <v>10</v>
      </c>
      <c r="N733" s="4">
        <v>2534</v>
      </c>
    </row>
    <row r="734" spans="1:14" s="4" customFormat="1" ht="17.399999999999999" hidden="1" customHeight="1" outlineLevel="1" x14ac:dyDescent="0.35">
      <c r="A734" s="5"/>
      <c r="B734" s="60" t="s">
        <v>14</v>
      </c>
      <c r="C734" s="61" t="s">
        <v>1475</v>
      </c>
      <c r="D734" s="61" t="s">
        <v>1469</v>
      </c>
      <c r="E734" s="61">
        <v>0</v>
      </c>
      <c r="F734" s="61" t="s">
        <v>1476</v>
      </c>
      <c r="G734" s="62" t="s">
        <v>1477</v>
      </c>
      <c r="H734" s="63"/>
      <c r="J734" s="4" t="s">
        <v>10</v>
      </c>
      <c r="N734" s="4">
        <v>2155</v>
      </c>
    </row>
    <row r="735" spans="1:14" s="4" customFormat="1" ht="17.399999999999999" hidden="1" customHeight="1" outlineLevel="1" x14ac:dyDescent="0.35">
      <c r="A735" s="5"/>
      <c r="B735" s="60" t="s">
        <v>15</v>
      </c>
      <c r="C735" s="61" t="s">
        <v>1478</v>
      </c>
      <c r="D735" s="61" t="s">
        <v>1469</v>
      </c>
      <c r="E735" s="61">
        <v>0</v>
      </c>
      <c r="F735" s="61" t="s">
        <v>1470</v>
      </c>
      <c r="G735" s="62"/>
      <c r="H735" s="63"/>
      <c r="J735" s="4" t="s">
        <v>10</v>
      </c>
      <c r="N735" s="4">
        <v>2430</v>
      </c>
    </row>
    <row r="736" spans="1:14" s="4" customFormat="1" ht="17.399999999999999" hidden="1" customHeight="1" outlineLevel="1" x14ac:dyDescent="0.35">
      <c r="A736" s="5"/>
      <c r="B736" s="134" t="s">
        <v>17</v>
      </c>
      <c r="C736" s="135" t="s">
        <v>1483</v>
      </c>
      <c r="D736" s="135" t="s">
        <v>1469</v>
      </c>
      <c r="E736" s="65">
        <v>0</v>
      </c>
      <c r="F736" s="65" t="s">
        <v>1470</v>
      </c>
      <c r="G736" s="66" t="s">
        <v>1484</v>
      </c>
      <c r="H736" s="5"/>
      <c r="I736" s="5"/>
      <c r="J736" s="5" t="s">
        <v>10</v>
      </c>
      <c r="K736" s="5"/>
      <c r="L736" s="5"/>
      <c r="M736" s="5"/>
      <c r="N736" s="4">
        <v>1097</v>
      </c>
    </row>
    <row r="737" spans="1:14" s="3" customFormat="1" hidden="1" outlineLevel="1" x14ac:dyDescent="0.25">
      <c r="A737" s="5"/>
      <c r="B737" s="31" t="s">
        <v>160</v>
      </c>
      <c r="C737" s="20" t="s">
        <v>1588</v>
      </c>
      <c r="D737" s="20" t="s">
        <v>1469</v>
      </c>
      <c r="E737" s="20">
        <v>0</v>
      </c>
      <c r="F737" s="20"/>
      <c r="G737" s="22"/>
      <c r="J737" s="3" t="s">
        <v>10</v>
      </c>
      <c r="N737" s="3">
        <v>1604</v>
      </c>
    </row>
    <row r="738" spans="1:14" s="3" customFormat="1" ht="17.399999999999999" hidden="1" customHeight="1" outlineLevel="1" x14ac:dyDescent="0.25">
      <c r="A738" s="5"/>
      <c r="B738" s="64" t="s">
        <v>73</v>
      </c>
      <c r="C738" s="65" t="s">
        <v>1528</v>
      </c>
      <c r="D738" s="65" t="s">
        <v>1469</v>
      </c>
      <c r="E738" s="65" t="s">
        <v>1480</v>
      </c>
      <c r="F738" s="65" t="s">
        <v>1481</v>
      </c>
      <c r="G738" s="66"/>
      <c r="J738" s="3" t="s">
        <v>10</v>
      </c>
      <c r="N738" s="3">
        <v>1767</v>
      </c>
    </row>
    <row r="739" spans="1:14" s="3" customFormat="1" ht="17.399999999999999" hidden="1" customHeight="1" outlineLevel="1" thickBot="1" x14ac:dyDescent="0.3">
      <c r="A739" s="5"/>
      <c r="B739" s="91" t="s">
        <v>74</v>
      </c>
      <c r="C739" s="92" t="s">
        <v>1529</v>
      </c>
      <c r="D739" s="92" t="s">
        <v>1469</v>
      </c>
      <c r="E739" s="92" t="s">
        <v>1480</v>
      </c>
      <c r="F739" s="92" t="s">
        <v>1481</v>
      </c>
      <c r="G739" s="93"/>
      <c r="J739" s="3" t="s">
        <v>10</v>
      </c>
      <c r="N739" s="3">
        <v>1713</v>
      </c>
    </row>
    <row r="740" spans="1:14" s="3" customFormat="1" ht="17.399999999999999" hidden="1" customHeight="1" outlineLevel="1" x14ac:dyDescent="0.25">
      <c r="A740" s="5"/>
      <c r="B740" s="383" t="s">
        <v>18</v>
      </c>
      <c r="C740" s="384"/>
      <c r="D740" s="384"/>
      <c r="E740" s="384"/>
      <c r="F740" s="384"/>
      <c r="G740" s="385"/>
    </row>
    <row r="741" spans="1:14" s="3" customFormat="1" ht="17.399999999999999" hidden="1" customHeight="1" outlineLevel="1" x14ac:dyDescent="0.25">
      <c r="A741" s="5"/>
      <c r="B741" s="94" t="s">
        <v>2</v>
      </c>
      <c r="C741" s="95" t="s">
        <v>3</v>
      </c>
      <c r="D741" s="95" t="s">
        <v>4</v>
      </c>
      <c r="E741" s="95" t="s">
        <v>5</v>
      </c>
      <c r="F741" s="95"/>
      <c r="G741" s="96" t="s">
        <v>6</v>
      </c>
    </row>
    <row r="742" spans="1:14" s="3" customFormat="1" ht="17.399999999999999" hidden="1" customHeight="1" outlineLevel="1" x14ac:dyDescent="0.25">
      <c r="A742" s="5"/>
      <c r="B742" s="31" t="s">
        <v>16</v>
      </c>
      <c r="C742" s="20" t="s">
        <v>1479</v>
      </c>
      <c r="D742" s="20" t="s">
        <v>1469</v>
      </c>
      <c r="E742" s="20" t="s">
        <v>1480</v>
      </c>
      <c r="F742" s="20" t="s">
        <v>1481</v>
      </c>
      <c r="G742" s="22" t="s">
        <v>1482</v>
      </c>
      <c r="J742" s="3" t="s">
        <v>10</v>
      </c>
      <c r="N742" s="3">
        <v>1211</v>
      </c>
    </row>
    <row r="743" spans="1:14" s="3" customFormat="1" hidden="1" outlineLevel="1" x14ac:dyDescent="0.25">
      <c r="B743" s="28" t="s">
        <v>7</v>
      </c>
      <c r="C743" s="29" t="s">
        <v>1468</v>
      </c>
      <c r="D743" s="29" t="s">
        <v>1469</v>
      </c>
      <c r="E743" s="29">
        <v>0</v>
      </c>
      <c r="F743" s="29" t="s">
        <v>1470</v>
      </c>
      <c r="G743" s="30" t="s">
        <v>1471</v>
      </c>
      <c r="J743" s="3" t="s">
        <v>10</v>
      </c>
      <c r="N743" s="3">
        <v>1112</v>
      </c>
    </row>
    <row r="744" spans="1:14" s="3" customFormat="1" hidden="1" outlineLevel="1" x14ac:dyDescent="0.25">
      <c r="B744" s="28" t="s">
        <v>11</v>
      </c>
      <c r="C744" s="29" t="s">
        <v>1472</v>
      </c>
      <c r="D744" s="29" t="s">
        <v>1469</v>
      </c>
      <c r="E744" s="29">
        <v>0</v>
      </c>
      <c r="F744" s="29" t="s">
        <v>1470</v>
      </c>
      <c r="G744" s="30" t="s">
        <v>1473</v>
      </c>
      <c r="J744" s="3" t="s">
        <v>12</v>
      </c>
      <c r="N744" s="3">
        <v>1700</v>
      </c>
    </row>
    <row r="745" spans="1:14" s="3" customFormat="1" hidden="1" outlineLevel="1" x14ac:dyDescent="0.25">
      <c r="B745" s="28" t="s">
        <v>13</v>
      </c>
      <c r="C745" s="29" t="s">
        <v>1474</v>
      </c>
      <c r="D745" s="29" t="s">
        <v>1469</v>
      </c>
      <c r="E745" s="29">
        <v>0</v>
      </c>
      <c r="F745" s="29" t="s">
        <v>1470</v>
      </c>
      <c r="G745" s="30"/>
      <c r="J745" s="3" t="s">
        <v>10</v>
      </c>
      <c r="N745" s="3">
        <v>2534</v>
      </c>
    </row>
    <row r="746" spans="1:14" s="3" customFormat="1" ht="17.399999999999999" hidden="1" customHeight="1" outlineLevel="1" x14ac:dyDescent="0.25">
      <c r="A746" s="5"/>
      <c r="B746" s="31" t="s">
        <v>25</v>
      </c>
      <c r="C746" s="20" t="s">
        <v>1492</v>
      </c>
      <c r="D746" s="20" t="s">
        <v>1469</v>
      </c>
      <c r="E746" s="20">
        <v>0</v>
      </c>
      <c r="F746" s="20" t="s">
        <v>1470</v>
      </c>
      <c r="G746" s="22" t="s">
        <v>1484</v>
      </c>
      <c r="J746" s="3" t="s">
        <v>10</v>
      </c>
      <c r="N746" s="3">
        <v>2155</v>
      </c>
    </row>
    <row r="747" spans="1:14" s="3" customFormat="1" ht="17.399999999999999" hidden="1" customHeight="1" outlineLevel="1" x14ac:dyDescent="0.25">
      <c r="A747" s="5"/>
      <c r="B747" s="31" t="s">
        <v>14</v>
      </c>
      <c r="C747" s="20" t="s">
        <v>1475</v>
      </c>
      <c r="D747" s="20" t="s">
        <v>1469</v>
      </c>
      <c r="E747" s="20">
        <v>0</v>
      </c>
      <c r="F747" s="20" t="s">
        <v>1476</v>
      </c>
      <c r="G747" s="22" t="s">
        <v>1477</v>
      </c>
      <c r="J747" s="3" t="s">
        <v>10</v>
      </c>
      <c r="N747" s="3">
        <v>2430</v>
      </c>
    </row>
    <row r="748" spans="1:14" s="3" customFormat="1" ht="17.399999999999999" hidden="1" customHeight="1" outlineLevel="1" x14ac:dyDescent="0.25">
      <c r="A748" s="5"/>
      <c r="B748" s="31" t="s">
        <v>15</v>
      </c>
      <c r="C748" s="20" t="s">
        <v>1478</v>
      </c>
      <c r="D748" s="20" t="s">
        <v>1469</v>
      </c>
      <c r="E748" s="20">
        <v>0</v>
      </c>
      <c r="F748" s="20" t="s">
        <v>1470</v>
      </c>
      <c r="G748" s="22"/>
      <c r="J748" s="3" t="s">
        <v>20</v>
      </c>
      <c r="N748" s="3">
        <v>1203</v>
      </c>
    </row>
    <row r="749" spans="1:14" s="3" customFormat="1" ht="17.399999999999999" hidden="1" customHeight="1" outlineLevel="1" x14ac:dyDescent="0.25">
      <c r="A749" s="5"/>
      <c r="B749" s="31" t="s">
        <v>19</v>
      </c>
      <c r="C749" s="20" t="s">
        <v>1485</v>
      </c>
      <c r="D749" s="20" t="s">
        <v>1486</v>
      </c>
      <c r="E749" s="20">
        <v>0</v>
      </c>
      <c r="F749" s="20"/>
      <c r="G749" s="22"/>
      <c r="J749" s="3" t="s">
        <v>20</v>
      </c>
      <c r="N749" s="3">
        <v>1689</v>
      </c>
    </row>
    <row r="750" spans="1:14" s="3" customFormat="1" ht="17.399999999999999" hidden="1" customHeight="1" outlineLevel="1" x14ac:dyDescent="0.25">
      <c r="A750" s="5"/>
      <c r="B750" s="31" t="s">
        <v>21</v>
      </c>
      <c r="C750" s="20" t="s">
        <v>1487</v>
      </c>
      <c r="D750" s="20" t="s">
        <v>1486</v>
      </c>
      <c r="E750" s="20">
        <v>0</v>
      </c>
      <c r="F750" s="20"/>
      <c r="G750" s="22"/>
      <c r="J750" s="3" t="s">
        <v>20</v>
      </c>
      <c r="N750" s="3">
        <v>2052</v>
      </c>
    </row>
    <row r="751" spans="1:14" s="3" customFormat="1" ht="17.399999999999999" hidden="1" customHeight="1" outlineLevel="1" x14ac:dyDescent="0.25">
      <c r="A751" s="5"/>
      <c r="B751" s="31" t="s">
        <v>22</v>
      </c>
      <c r="C751" s="20" t="s">
        <v>1488</v>
      </c>
      <c r="D751" s="20" t="s">
        <v>1489</v>
      </c>
      <c r="E751" s="20">
        <v>0</v>
      </c>
      <c r="F751" s="20" t="s">
        <v>1470</v>
      </c>
      <c r="G751" s="22" t="s">
        <v>1490</v>
      </c>
      <c r="J751" s="3" t="s">
        <v>20</v>
      </c>
      <c r="N751" s="3">
        <v>2153</v>
      </c>
    </row>
    <row r="752" spans="1:14" s="3" customFormat="1" ht="17.399999999999999" hidden="1" customHeight="1" outlineLevel="1" x14ac:dyDescent="0.25">
      <c r="A752" s="5"/>
      <c r="B752" s="31" t="s">
        <v>26</v>
      </c>
      <c r="C752" s="20" t="s">
        <v>1493</v>
      </c>
      <c r="D752" s="20" t="s">
        <v>1494</v>
      </c>
      <c r="E752" s="20">
        <v>0</v>
      </c>
      <c r="F752" s="20" t="s">
        <v>1470</v>
      </c>
      <c r="G752" s="22"/>
      <c r="J752" s="3" t="s">
        <v>20</v>
      </c>
      <c r="N752" s="3">
        <v>2183</v>
      </c>
    </row>
    <row r="753" spans="1:13" s="3" customFormat="1" ht="17.399999999999999" hidden="1" customHeight="1" outlineLevel="1" x14ac:dyDescent="0.25">
      <c r="A753" s="5"/>
      <c r="B753" s="31" t="s">
        <v>27</v>
      </c>
      <c r="C753" s="20" t="s">
        <v>1495</v>
      </c>
      <c r="D753" s="20" t="s">
        <v>1489</v>
      </c>
      <c r="E753" s="20">
        <v>0</v>
      </c>
      <c r="F753" s="20" t="s">
        <v>1470</v>
      </c>
      <c r="G753" s="22"/>
      <c r="J753" s="3" t="s">
        <v>20</v>
      </c>
    </row>
    <row r="754" spans="1:13" s="3" customFormat="1" ht="17.399999999999999" hidden="1" customHeight="1" outlineLevel="1" x14ac:dyDescent="0.25">
      <c r="A754" s="5"/>
      <c r="B754" s="31" t="s">
        <v>75</v>
      </c>
      <c r="C754" s="20" t="s">
        <v>1530</v>
      </c>
      <c r="D754" s="20" t="s">
        <v>1486</v>
      </c>
      <c r="E754" s="20">
        <v>0</v>
      </c>
      <c r="F754" s="20" t="s">
        <v>1470</v>
      </c>
      <c r="G754" s="22" t="s">
        <v>1531</v>
      </c>
    </row>
    <row r="755" spans="1:13" s="3" customFormat="1" ht="17.399999999999999" hidden="1" customHeight="1" outlineLevel="1" x14ac:dyDescent="0.25">
      <c r="A755" s="5"/>
      <c r="B755" s="31" t="s">
        <v>76</v>
      </c>
      <c r="C755" s="20" t="s">
        <v>1532</v>
      </c>
      <c r="D755" s="20" t="s">
        <v>1489</v>
      </c>
      <c r="E755" s="20">
        <v>0</v>
      </c>
      <c r="F755" s="20"/>
      <c r="G755" s="22"/>
    </row>
    <row r="756" spans="1:13" s="3" customFormat="1" ht="17.399999999999999" hidden="1" customHeight="1" outlineLevel="1" x14ac:dyDescent="0.25">
      <c r="A756" s="5"/>
      <c r="B756" s="31" t="s">
        <v>77</v>
      </c>
      <c r="C756" s="20" t="s">
        <v>1533</v>
      </c>
      <c r="D756" s="20" t="s">
        <v>1486</v>
      </c>
      <c r="E756" s="20">
        <v>0</v>
      </c>
      <c r="F756" s="20" t="s">
        <v>1470</v>
      </c>
      <c r="G756" s="22"/>
    </row>
    <row r="757" spans="1:13" s="3" customFormat="1" ht="17.399999999999999" hidden="1" customHeight="1" outlineLevel="1" x14ac:dyDescent="0.25">
      <c r="A757" s="5"/>
      <c r="B757" s="31" t="s">
        <v>78</v>
      </c>
      <c r="C757" s="20" t="s">
        <v>1534</v>
      </c>
      <c r="D757" s="20" t="s">
        <v>1489</v>
      </c>
      <c r="E757" s="20">
        <v>0</v>
      </c>
      <c r="F757" s="20"/>
      <c r="G757" s="22"/>
    </row>
    <row r="758" spans="1:13" s="3" customFormat="1" ht="17.399999999999999" hidden="1" customHeight="1" outlineLevel="1" x14ac:dyDescent="0.25">
      <c r="A758" s="5"/>
      <c r="B758" s="31" t="s">
        <v>24</v>
      </c>
      <c r="C758" s="20" t="s">
        <v>1491</v>
      </c>
      <c r="D758" s="20" t="s">
        <v>1489</v>
      </c>
      <c r="E758" s="20">
        <v>0</v>
      </c>
      <c r="F758" s="20" t="s">
        <v>1470</v>
      </c>
      <c r="G758" s="22"/>
    </row>
    <row r="759" spans="1:13" s="3" customFormat="1" ht="17.399999999999999" hidden="1" customHeight="1" outlineLevel="1" x14ac:dyDescent="0.25">
      <c r="A759" s="5"/>
      <c r="B759" s="31" t="s">
        <v>58</v>
      </c>
      <c r="C759" s="20" t="s">
        <v>1522</v>
      </c>
      <c r="D759" s="20" t="s">
        <v>1489</v>
      </c>
      <c r="E759" s="20">
        <v>0</v>
      </c>
      <c r="F759" s="20" t="s">
        <v>1470</v>
      </c>
      <c r="G759" s="22"/>
    </row>
    <row r="760" spans="1:13" s="3" customFormat="1" ht="17.399999999999999" hidden="1" customHeight="1" outlineLevel="1" x14ac:dyDescent="0.25">
      <c r="A760" s="5"/>
      <c r="B760" s="31" t="s">
        <v>63</v>
      </c>
      <c r="C760" s="20" t="s">
        <v>1526</v>
      </c>
      <c r="D760" s="20" t="s">
        <v>1489</v>
      </c>
      <c r="E760" s="20">
        <v>0</v>
      </c>
      <c r="F760" s="20"/>
      <c r="G760" s="22"/>
    </row>
    <row r="761" spans="1:13" s="3" customFormat="1" hidden="1" outlineLevel="1" x14ac:dyDescent="0.25">
      <c r="B761" s="159" t="s">
        <v>179</v>
      </c>
      <c r="C761" s="29" t="s">
        <v>1602</v>
      </c>
      <c r="D761" s="29" t="s">
        <v>1486</v>
      </c>
      <c r="E761" s="29">
        <v>0</v>
      </c>
      <c r="F761" s="29" t="s">
        <v>1470</v>
      </c>
      <c r="G761" s="30"/>
    </row>
    <row r="762" spans="1:13" s="3" customFormat="1" hidden="1" outlineLevel="1" x14ac:dyDescent="0.25">
      <c r="B762" s="159" t="s">
        <v>180</v>
      </c>
      <c r="C762" s="29" t="s">
        <v>1603</v>
      </c>
      <c r="D762" s="29" t="s">
        <v>1489</v>
      </c>
      <c r="E762" s="29">
        <v>0</v>
      </c>
      <c r="F762" s="29" t="s">
        <v>1470</v>
      </c>
      <c r="G762" s="30"/>
    </row>
    <row r="763" spans="1:13" s="4" customFormat="1" ht="17.399999999999999" hidden="1" customHeight="1" outlineLevel="1" x14ac:dyDescent="0.35">
      <c r="A763" s="5"/>
      <c r="B763" s="44"/>
      <c r="C763" s="42"/>
      <c r="D763" s="42"/>
      <c r="E763" s="42"/>
      <c r="F763" s="42"/>
      <c r="G763" s="43"/>
      <c r="K763" s="5"/>
      <c r="L763" s="5"/>
      <c r="M763" s="5"/>
    </row>
    <row r="764" spans="1:13" s="3" customFormat="1" hidden="1" outlineLevel="1" x14ac:dyDescent="0.25">
      <c r="A764" s="5"/>
      <c r="B764" s="45"/>
      <c r="C764" s="20"/>
      <c r="D764" s="20"/>
      <c r="E764" s="20"/>
      <c r="F764" s="20"/>
      <c r="G764" s="22"/>
    </row>
    <row r="765" spans="1:13" s="3" customFormat="1" ht="17.399999999999999" hidden="1" customHeight="1" outlineLevel="1" thickBot="1" x14ac:dyDescent="0.3">
      <c r="A765" s="5"/>
      <c r="B765" s="103"/>
      <c r="C765" s="92"/>
      <c r="D765" s="92"/>
      <c r="E765" s="92"/>
      <c r="F765" s="92"/>
      <c r="G765" s="93"/>
    </row>
    <row r="766" spans="1:13" s="3" customFormat="1" ht="17.399999999999999" hidden="1" customHeight="1" outlineLevel="1" x14ac:dyDescent="0.25">
      <c r="A766" s="5"/>
      <c r="B766" s="386" t="s">
        <v>28</v>
      </c>
      <c r="C766" s="387"/>
      <c r="D766" s="387"/>
      <c r="E766" s="387"/>
      <c r="F766" s="387"/>
      <c r="G766" s="388"/>
    </row>
    <row r="767" spans="1:13" s="3" customFormat="1" ht="17.399999999999999" hidden="1" customHeight="1" outlineLevel="1" x14ac:dyDescent="0.25">
      <c r="A767" s="5"/>
      <c r="B767" s="32" t="s">
        <v>2</v>
      </c>
      <c r="C767" s="33" t="s">
        <v>3</v>
      </c>
      <c r="D767" s="33" t="s">
        <v>4</v>
      </c>
      <c r="E767" s="33"/>
      <c r="F767" s="33"/>
      <c r="G767" s="34" t="s">
        <v>6</v>
      </c>
    </row>
    <row r="768" spans="1:13" s="3" customFormat="1" ht="17.399999999999999" hidden="1" customHeight="1" outlineLevel="1" thickBot="1" x14ac:dyDescent="0.3">
      <c r="A768" s="5"/>
      <c r="B768" s="67"/>
      <c r="C768" s="101"/>
      <c r="D768" s="101"/>
      <c r="E768" s="101"/>
      <c r="F768" s="101"/>
      <c r="G768" s="102"/>
    </row>
    <row r="769" spans="1:14" s="3" customFormat="1" ht="17.399999999999999" hidden="1" customHeight="1" outlineLevel="1" x14ac:dyDescent="0.25">
      <c r="A769" s="5"/>
      <c r="B769" s="380" t="s">
        <v>29</v>
      </c>
      <c r="C769" s="381"/>
      <c r="D769" s="381"/>
      <c r="E769" s="381"/>
      <c r="F769" s="381"/>
      <c r="G769" s="382"/>
    </row>
    <row r="770" spans="1:14" s="3" customFormat="1" ht="17.399999999999999" hidden="1" customHeight="1" outlineLevel="1" x14ac:dyDescent="0.25">
      <c r="A770" s="5"/>
      <c r="B770" s="67"/>
      <c r="C770" s="65"/>
      <c r="D770" s="65"/>
      <c r="E770" s="65"/>
      <c r="F770" s="65"/>
      <c r="G770" s="66"/>
    </row>
    <row r="771" spans="1:14" s="4" customFormat="1" ht="17.399999999999999" hidden="1" customHeight="1" outlineLevel="1" x14ac:dyDescent="0.35">
      <c r="A771" s="5"/>
      <c r="B771" s="67" t="s">
        <v>30</v>
      </c>
      <c r="C771" s="65"/>
      <c r="D771" s="65"/>
      <c r="E771" s="65"/>
      <c r="F771" s="65"/>
      <c r="G771" s="371" t="s">
        <v>2357</v>
      </c>
      <c r="H771" s="5"/>
      <c r="I771" s="5"/>
      <c r="J771" s="5"/>
      <c r="K771" s="5"/>
      <c r="L771" s="5"/>
      <c r="M771" s="5"/>
    </row>
    <row r="772" spans="1:14" s="3" customFormat="1" ht="17.399999999999999" hidden="1" customHeight="1" outlineLevel="1" x14ac:dyDescent="0.25">
      <c r="A772" s="5"/>
      <c r="B772" s="67" t="s">
        <v>183</v>
      </c>
      <c r="C772" s="65"/>
      <c r="D772" s="65"/>
      <c r="E772" s="65"/>
      <c r="F772" s="65"/>
      <c r="G772" s="371" t="s">
        <v>2374</v>
      </c>
    </row>
    <row r="773" spans="1:14" s="3" customFormat="1" ht="17.399999999999999" hidden="1" customHeight="1" outlineLevel="1" thickBot="1" x14ac:dyDescent="0.3">
      <c r="A773" s="5"/>
      <c r="B773" s="103"/>
      <c r="C773" s="92"/>
      <c r="D773" s="92"/>
      <c r="E773" s="92"/>
      <c r="F773" s="92"/>
      <c r="G773" s="93"/>
    </row>
    <row r="774" spans="1:14" ht="16.2" hidden="1" outlineLevel="1" thickBot="1" x14ac:dyDescent="0.3"/>
    <row r="775" spans="1:14" s="3" customFormat="1" ht="17.399999999999999" customHeight="1" collapsed="1" thickBot="1" x14ac:dyDescent="0.3">
      <c r="A775" s="5"/>
      <c r="B775" s="15" t="s">
        <v>1279</v>
      </c>
      <c r="C775" s="16" t="s">
        <v>1359</v>
      </c>
      <c r="D775" s="17" t="s">
        <v>1281</v>
      </c>
      <c r="E775" s="16" t="s">
        <v>184</v>
      </c>
      <c r="F775" s="17" t="s">
        <v>1282</v>
      </c>
      <c r="G775" s="18" t="s">
        <v>1360</v>
      </c>
    </row>
    <row r="776" spans="1:14" s="3" customFormat="1" ht="17.399999999999999" hidden="1" customHeight="1" outlineLevel="1" x14ac:dyDescent="0.25">
      <c r="A776" s="5"/>
      <c r="B776" s="19" t="s">
        <v>1284</v>
      </c>
      <c r="C776" s="20" t="s">
        <v>1285</v>
      </c>
      <c r="D776" s="21" t="s">
        <v>1286</v>
      </c>
      <c r="E776" s="20" t="s">
        <v>1361</v>
      </c>
      <c r="F776" s="21" t="s">
        <v>1288</v>
      </c>
      <c r="G776" s="22" t="s">
        <v>1362</v>
      </c>
    </row>
    <row r="777" spans="1:14" s="3" customFormat="1" ht="17.399999999999999" hidden="1" customHeight="1" outlineLevel="1" thickBot="1" x14ac:dyDescent="0.3">
      <c r="A777" s="5"/>
      <c r="B777" s="19" t="s">
        <v>1290</v>
      </c>
      <c r="C777" s="23" t="s">
        <v>1291</v>
      </c>
      <c r="D777" s="21" t="s">
        <v>1292</v>
      </c>
      <c r="E777" s="23">
        <v>5</v>
      </c>
      <c r="F777" s="21" t="s">
        <v>1293</v>
      </c>
      <c r="G777" s="24" t="s">
        <v>1294</v>
      </c>
    </row>
    <row r="778" spans="1:14" s="3" customFormat="1" ht="17.399999999999999" hidden="1" customHeight="1" outlineLevel="1" x14ac:dyDescent="0.25">
      <c r="A778" s="5"/>
      <c r="B778" s="395" t="s">
        <v>1</v>
      </c>
      <c r="C778" s="396"/>
      <c r="D778" s="396"/>
      <c r="E778" s="396"/>
      <c r="F778" s="396"/>
      <c r="G778" s="397"/>
    </row>
    <row r="779" spans="1:14" s="3" customFormat="1" ht="17.399999999999999" hidden="1" customHeight="1" outlineLevel="1" x14ac:dyDescent="0.25">
      <c r="A779" s="5"/>
      <c r="B779" s="25" t="s">
        <v>2</v>
      </c>
      <c r="C779" s="26" t="s">
        <v>3</v>
      </c>
      <c r="D779" s="26" t="s">
        <v>4</v>
      </c>
      <c r="E779" s="26" t="s">
        <v>5</v>
      </c>
      <c r="F779" s="26"/>
      <c r="G779" s="27" t="s">
        <v>6</v>
      </c>
    </row>
    <row r="780" spans="1:14" s="3" customFormat="1" hidden="1" outlineLevel="1" x14ac:dyDescent="0.25">
      <c r="B780" s="28" t="s">
        <v>112</v>
      </c>
      <c r="C780" s="29" t="s">
        <v>1555</v>
      </c>
      <c r="D780" s="29" t="s">
        <v>1469</v>
      </c>
      <c r="E780" s="29">
        <v>0</v>
      </c>
      <c r="F780" s="29" t="s">
        <v>1470</v>
      </c>
      <c r="G780" s="30" t="s">
        <v>1556</v>
      </c>
      <c r="J780" s="3" t="s">
        <v>10</v>
      </c>
      <c r="N780" s="3">
        <v>1606</v>
      </c>
    </row>
    <row r="781" spans="1:14" s="3" customFormat="1" hidden="1" outlineLevel="1" x14ac:dyDescent="0.25">
      <c r="B781" s="28" t="s">
        <v>185</v>
      </c>
      <c r="C781" s="29" t="s">
        <v>1604</v>
      </c>
      <c r="D781" s="29" t="s">
        <v>1469</v>
      </c>
      <c r="E781" s="29">
        <v>0</v>
      </c>
      <c r="F781" s="29" t="s">
        <v>1470</v>
      </c>
      <c r="G781" s="30"/>
      <c r="J781" s="3" t="s">
        <v>10</v>
      </c>
      <c r="N781" s="3">
        <v>2330</v>
      </c>
    </row>
    <row r="782" spans="1:14" s="3" customFormat="1" hidden="1" outlineLevel="1" x14ac:dyDescent="0.25">
      <c r="B782" s="28" t="s">
        <v>7</v>
      </c>
      <c r="C782" s="29" t="s">
        <v>1468</v>
      </c>
      <c r="D782" s="29" t="s">
        <v>1469</v>
      </c>
      <c r="E782" s="29">
        <v>0</v>
      </c>
      <c r="F782" s="29" t="s">
        <v>1470</v>
      </c>
      <c r="G782" s="30" t="s">
        <v>1471</v>
      </c>
      <c r="J782" s="3" t="s">
        <v>10</v>
      </c>
      <c r="N782" s="3">
        <v>1112</v>
      </c>
    </row>
    <row r="783" spans="1:14" s="3" customFormat="1" hidden="1" outlineLevel="1" x14ac:dyDescent="0.25">
      <c r="B783" s="28" t="s">
        <v>186</v>
      </c>
      <c r="C783" s="29" t="s">
        <v>1605</v>
      </c>
      <c r="D783" s="29" t="s">
        <v>1606</v>
      </c>
      <c r="E783" s="29" t="s">
        <v>1594</v>
      </c>
      <c r="F783" s="29"/>
      <c r="G783" s="30"/>
      <c r="J783" s="3" t="s">
        <v>187</v>
      </c>
      <c r="N783" s="3">
        <v>2434</v>
      </c>
    </row>
    <row r="784" spans="1:14" s="3" customFormat="1" hidden="1" outlineLevel="1" x14ac:dyDescent="0.25">
      <c r="B784" s="28" t="s">
        <v>188</v>
      </c>
      <c r="C784" s="29" t="s">
        <v>1607</v>
      </c>
      <c r="D784" s="29" t="s">
        <v>1606</v>
      </c>
      <c r="E784" s="29" t="s">
        <v>1594</v>
      </c>
      <c r="F784" s="29"/>
      <c r="G784" s="30"/>
      <c r="J784" s="3" t="s">
        <v>187</v>
      </c>
      <c r="N784" s="3">
        <v>2156</v>
      </c>
    </row>
    <row r="785" spans="1:14" s="3" customFormat="1" hidden="1" outlineLevel="1" x14ac:dyDescent="0.25">
      <c r="B785" s="28" t="s">
        <v>15</v>
      </c>
      <c r="C785" s="29" t="s">
        <v>1478</v>
      </c>
      <c r="D785" s="29" t="s">
        <v>1469</v>
      </c>
      <c r="E785" s="29">
        <v>0</v>
      </c>
      <c r="F785" s="29" t="s">
        <v>1470</v>
      </c>
      <c r="G785" s="30"/>
      <c r="J785" s="3" t="s">
        <v>10</v>
      </c>
      <c r="N785" s="3">
        <v>2430</v>
      </c>
    </row>
    <row r="786" spans="1:14" s="3" customFormat="1" hidden="1" outlineLevel="1" x14ac:dyDescent="0.25">
      <c r="B786" s="28" t="s">
        <v>189</v>
      </c>
      <c r="C786" s="29" t="s">
        <v>1608</v>
      </c>
      <c r="D786" s="29" t="s">
        <v>1609</v>
      </c>
      <c r="E786" s="29" t="s">
        <v>1594</v>
      </c>
      <c r="F786" s="29"/>
      <c r="G786" s="30"/>
      <c r="J786" s="3" t="s">
        <v>187</v>
      </c>
      <c r="N786" s="3">
        <v>1303</v>
      </c>
    </row>
    <row r="787" spans="1:14" s="3" customFormat="1" hidden="1" outlineLevel="1" x14ac:dyDescent="0.25">
      <c r="B787" s="28" t="s">
        <v>190</v>
      </c>
      <c r="C787" s="29" t="s">
        <v>1610</v>
      </c>
      <c r="D787" s="29" t="s">
        <v>1469</v>
      </c>
      <c r="E787" s="29">
        <v>0</v>
      </c>
      <c r="F787" s="29"/>
      <c r="G787" s="30"/>
      <c r="J787" s="3" t="s">
        <v>10</v>
      </c>
      <c r="N787" s="3">
        <v>1099</v>
      </c>
    </row>
    <row r="788" spans="1:14" s="3" customFormat="1" hidden="1" outlineLevel="1" x14ac:dyDescent="0.25">
      <c r="B788" s="28" t="s">
        <v>128</v>
      </c>
      <c r="C788" s="29" t="s">
        <v>1566</v>
      </c>
      <c r="D788" s="29" t="s">
        <v>1567</v>
      </c>
      <c r="E788" s="29">
        <v>0</v>
      </c>
      <c r="F788" s="29" t="s">
        <v>1470</v>
      </c>
      <c r="G788" s="30"/>
      <c r="J788" s="3" t="s">
        <v>12</v>
      </c>
      <c r="N788" s="3">
        <v>1629</v>
      </c>
    </row>
    <row r="789" spans="1:14" s="3" customFormat="1" hidden="1" outlineLevel="1" x14ac:dyDescent="0.25">
      <c r="B789" s="28" t="s">
        <v>114</v>
      </c>
      <c r="C789" s="29" t="s">
        <v>1557</v>
      </c>
      <c r="D789" s="29" t="s">
        <v>1469</v>
      </c>
      <c r="E789" s="29">
        <v>-1</v>
      </c>
      <c r="F789" s="29" t="s">
        <v>1470</v>
      </c>
      <c r="G789" s="30"/>
      <c r="J789" s="3" t="s">
        <v>10</v>
      </c>
      <c r="N789" s="3">
        <v>2449</v>
      </c>
    </row>
    <row r="790" spans="1:14" s="3" customFormat="1" hidden="1" outlineLevel="1" x14ac:dyDescent="0.25">
      <c r="B790" s="28" t="s">
        <v>191</v>
      </c>
      <c r="C790" s="29" t="s">
        <v>1611</v>
      </c>
      <c r="D790" s="29" t="s">
        <v>1567</v>
      </c>
      <c r="E790" s="29">
        <v>0</v>
      </c>
      <c r="F790" s="29" t="s">
        <v>1470</v>
      </c>
      <c r="G790" s="30" t="s">
        <v>1612</v>
      </c>
      <c r="J790" s="3" t="s">
        <v>12</v>
      </c>
      <c r="N790" s="3">
        <v>2495</v>
      </c>
    </row>
    <row r="791" spans="1:14" s="3" customFormat="1" hidden="1" outlineLevel="1" x14ac:dyDescent="0.25">
      <c r="B791" s="28" t="s">
        <v>192</v>
      </c>
      <c r="C791" s="29" t="s">
        <v>1613</v>
      </c>
      <c r="D791" s="29" t="s">
        <v>1469</v>
      </c>
      <c r="E791" s="29">
        <v>1</v>
      </c>
      <c r="F791" s="29" t="s">
        <v>1470</v>
      </c>
      <c r="G791" s="30" t="s">
        <v>1614</v>
      </c>
      <c r="J791" s="3" t="s">
        <v>10</v>
      </c>
      <c r="N791" s="3">
        <v>1951</v>
      </c>
    </row>
    <row r="792" spans="1:14" s="3" customFormat="1" hidden="1" outlineLevel="1" x14ac:dyDescent="0.25">
      <c r="B792" s="28" t="s">
        <v>193</v>
      </c>
      <c r="C792" s="29" t="s">
        <v>1615</v>
      </c>
      <c r="D792" s="29" t="s">
        <v>1616</v>
      </c>
      <c r="E792" s="29" t="s">
        <v>1617</v>
      </c>
      <c r="F792" s="29" t="s">
        <v>1476</v>
      </c>
      <c r="G792" s="30"/>
    </row>
    <row r="793" spans="1:14" s="3" customFormat="1" hidden="1" outlineLevel="1" x14ac:dyDescent="0.25">
      <c r="B793" s="28" t="s">
        <v>194</v>
      </c>
      <c r="C793" s="29" t="s">
        <v>1618</v>
      </c>
      <c r="D793" s="29" t="s">
        <v>1469</v>
      </c>
      <c r="E793" s="29">
        <v>0</v>
      </c>
      <c r="F793" s="29"/>
      <c r="G793" s="30" t="s">
        <v>1619</v>
      </c>
      <c r="J793" s="3" t="s">
        <v>10</v>
      </c>
      <c r="N793" s="3">
        <v>3169</v>
      </c>
    </row>
    <row r="794" spans="1:14" s="3" customFormat="1" ht="16.2" hidden="1" outlineLevel="1" thickBot="1" x14ac:dyDescent="0.3">
      <c r="B794" s="28" t="s">
        <v>195</v>
      </c>
      <c r="C794" s="29" t="s">
        <v>1620</v>
      </c>
      <c r="D794" s="29" t="s">
        <v>1469</v>
      </c>
      <c r="E794" s="29">
        <v>0</v>
      </c>
      <c r="F794" s="29"/>
      <c r="G794" s="30" t="s">
        <v>1621</v>
      </c>
      <c r="J794" s="3" t="s">
        <v>10</v>
      </c>
      <c r="N794" s="3">
        <v>3168</v>
      </c>
    </row>
    <row r="795" spans="1:14" s="3" customFormat="1" ht="17.399999999999999" hidden="1" customHeight="1" outlineLevel="1" x14ac:dyDescent="0.25">
      <c r="A795" s="5"/>
      <c r="B795" s="395" t="s">
        <v>18</v>
      </c>
      <c r="C795" s="396"/>
      <c r="D795" s="396"/>
      <c r="E795" s="396"/>
      <c r="F795" s="396"/>
      <c r="G795" s="397"/>
    </row>
    <row r="796" spans="1:14" s="3" customFormat="1" ht="17.399999999999999" hidden="1" customHeight="1" outlineLevel="1" x14ac:dyDescent="0.25">
      <c r="A796" s="5"/>
      <c r="B796" s="25" t="s">
        <v>2</v>
      </c>
      <c r="C796" s="26" t="s">
        <v>3</v>
      </c>
      <c r="D796" s="26" t="s">
        <v>4</v>
      </c>
      <c r="E796" s="26" t="s">
        <v>5</v>
      </c>
      <c r="F796" s="26"/>
      <c r="G796" s="27" t="s">
        <v>6</v>
      </c>
    </row>
    <row r="797" spans="1:14" s="3" customFormat="1" hidden="1" outlineLevel="1" x14ac:dyDescent="0.25">
      <c r="B797" s="195" t="s">
        <v>112</v>
      </c>
      <c r="C797" s="183" t="s">
        <v>1555</v>
      </c>
      <c r="D797" s="183" t="s">
        <v>1469</v>
      </c>
      <c r="E797" s="183">
        <v>0</v>
      </c>
      <c r="F797" s="183" t="s">
        <v>1470</v>
      </c>
      <c r="G797" s="184" t="s">
        <v>1556</v>
      </c>
      <c r="J797" s="3" t="s">
        <v>10</v>
      </c>
      <c r="N797" s="3">
        <v>1606</v>
      </c>
    </row>
    <row r="798" spans="1:14" s="3" customFormat="1" hidden="1" outlineLevel="1" x14ac:dyDescent="0.25">
      <c r="B798" s="195" t="s">
        <v>7</v>
      </c>
      <c r="C798" s="183" t="s">
        <v>1468</v>
      </c>
      <c r="D798" s="183" t="s">
        <v>1469</v>
      </c>
      <c r="E798" s="183">
        <v>0</v>
      </c>
      <c r="F798" s="183" t="s">
        <v>1470</v>
      </c>
      <c r="G798" s="184" t="s">
        <v>1471</v>
      </c>
      <c r="J798" s="3" t="s">
        <v>10</v>
      </c>
      <c r="N798" s="3">
        <v>1112</v>
      </c>
    </row>
    <row r="799" spans="1:14" s="3" customFormat="1" hidden="1" outlineLevel="1" x14ac:dyDescent="0.25">
      <c r="B799" s="195" t="s">
        <v>11</v>
      </c>
      <c r="C799" s="183" t="s">
        <v>1472</v>
      </c>
      <c r="D799" s="183" t="s">
        <v>1469</v>
      </c>
      <c r="E799" s="183">
        <v>0</v>
      </c>
      <c r="F799" s="183" t="s">
        <v>1470</v>
      </c>
      <c r="G799" s="184" t="s">
        <v>1473</v>
      </c>
      <c r="J799" s="3" t="s">
        <v>12</v>
      </c>
      <c r="N799" s="3">
        <v>1700</v>
      </c>
    </row>
    <row r="800" spans="1:14" s="3" customFormat="1" hidden="1" outlineLevel="1" x14ac:dyDescent="0.25">
      <c r="B800" s="195" t="s">
        <v>196</v>
      </c>
      <c r="C800" s="183" t="s">
        <v>1622</v>
      </c>
      <c r="D800" s="183" t="s">
        <v>1469</v>
      </c>
      <c r="E800" s="183" t="s">
        <v>1480</v>
      </c>
      <c r="F800" s="183" t="s">
        <v>1481</v>
      </c>
      <c r="G800" s="184" t="s">
        <v>1623</v>
      </c>
      <c r="J800" s="3" t="s">
        <v>10</v>
      </c>
      <c r="N800" s="3">
        <v>2130</v>
      </c>
    </row>
    <row r="801" spans="2:14" s="3" customFormat="1" hidden="1" outlineLevel="1" x14ac:dyDescent="0.25">
      <c r="B801" s="28" t="s">
        <v>197</v>
      </c>
      <c r="C801" s="29" t="s">
        <v>1624</v>
      </c>
      <c r="D801" s="29" t="s">
        <v>1469</v>
      </c>
      <c r="E801" s="29">
        <v>0</v>
      </c>
      <c r="F801" s="29" t="s">
        <v>1470</v>
      </c>
      <c r="G801" s="24" t="s">
        <v>1625</v>
      </c>
      <c r="J801" s="3" t="s">
        <v>10</v>
      </c>
      <c r="N801" s="3">
        <v>2204</v>
      </c>
    </row>
    <row r="802" spans="2:14" s="3" customFormat="1" hidden="1" outlineLevel="1" x14ac:dyDescent="0.25">
      <c r="B802" s="28" t="s">
        <v>198</v>
      </c>
      <c r="C802" s="29" t="s">
        <v>1626</v>
      </c>
      <c r="D802" s="29" t="s">
        <v>1469</v>
      </c>
      <c r="E802" s="29">
        <v>0</v>
      </c>
      <c r="F802" s="29" t="s">
        <v>1470</v>
      </c>
      <c r="G802" s="24" t="s">
        <v>1627</v>
      </c>
      <c r="J802" s="3" t="s">
        <v>10</v>
      </c>
      <c r="N802" s="3">
        <v>1295</v>
      </c>
    </row>
    <row r="803" spans="2:14" s="3" customFormat="1" hidden="1" outlineLevel="1" x14ac:dyDescent="0.25">
      <c r="B803" s="28" t="s">
        <v>191</v>
      </c>
      <c r="C803" s="29" t="s">
        <v>1611</v>
      </c>
      <c r="D803" s="29" t="s">
        <v>1567</v>
      </c>
      <c r="E803" s="29">
        <v>0</v>
      </c>
      <c r="F803" s="29" t="s">
        <v>1470</v>
      </c>
      <c r="G803" s="24" t="s">
        <v>1612</v>
      </c>
      <c r="J803" s="3" t="s">
        <v>12</v>
      </c>
      <c r="N803" s="3">
        <v>2495</v>
      </c>
    </row>
    <row r="804" spans="2:14" s="3" customFormat="1" hidden="1" outlineLevel="1" x14ac:dyDescent="0.25">
      <c r="B804" s="28" t="s">
        <v>199</v>
      </c>
      <c r="C804" s="29" t="s">
        <v>1628</v>
      </c>
      <c r="D804" s="29" t="s">
        <v>1469</v>
      </c>
      <c r="E804" s="29" t="s">
        <v>1480</v>
      </c>
      <c r="F804" s="29" t="s">
        <v>1481</v>
      </c>
      <c r="G804" s="24" t="s">
        <v>1482</v>
      </c>
      <c r="J804" s="3" t="s">
        <v>10</v>
      </c>
      <c r="N804" s="3">
        <v>1308</v>
      </c>
    </row>
    <row r="805" spans="2:14" s="3" customFormat="1" hidden="1" outlineLevel="1" x14ac:dyDescent="0.25">
      <c r="B805" s="28" t="s">
        <v>200</v>
      </c>
      <c r="C805" s="29" t="s">
        <v>1629</v>
      </c>
      <c r="D805" s="29" t="s">
        <v>1469</v>
      </c>
      <c r="E805" s="29" t="s">
        <v>1549</v>
      </c>
      <c r="F805" s="29" t="s">
        <v>1481</v>
      </c>
      <c r="G805" s="24" t="s">
        <v>1630</v>
      </c>
      <c r="J805" s="3" t="s">
        <v>10</v>
      </c>
      <c r="N805" s="3">
        <v>1309</v>
      </c>
    </row>
    <row r="806" spans="2:14" s="3" customFormat="1" hidden="1" outlineLevel="1" x14ac:dyDescent="0.25">
      <c r="B806" s="28" t="s">
        <v>201</v>
      </c>
      <c r="C806" s="29" t="s">
        <v>1631</v>
      </c>
      <c r="D806" s="29" t="s">
        <v>1632</v>
      </c>
      <c r="E806" s="29" t="s">
        <v>1594</v>
      </c>
      <c r="F806" s="29" t="s">
        <v>1470</v>
      </c>
      <c r="G806" s="24" t="s">
        <v>1633</v>
      </c>
      <c r="J806" s="3" t="s">
        <v>10</v>
      </c>
      <c r="N806" s="3">
        <v>2127</v>
      </c>
    </row>
    <row r="807" spans="2:14" s="3" customFormat="1" hidden="1" outlineLevel="1" x14ac:dyDescent="0.25">
      <c r="B807" s="28" t="s">
        <v>13</v>
      </c>
      <c r="C807" s="29" t="s">
        <v>1474</v>
      </c>
      <c r="D807" s="29" t="s">
        <v>1469</v>
      </c>
      <c r="E807" s="29">
        <v>0</v>
      </c>
      <c r="F807" s="29" t="s">
        <v>1470</v>
      </c>
      <c r="G807" s="30"/>
      <c r="J807" s="3" t="s">
        <v>10</v>
      </c>
      <c r="N807" s="3">
        <v>2534</v>
      </c>
    </row>
    <row r="808" spans="2:14" s="3" customFormat="1" hidden="1" outlineLevel="1" x14ac:dyDescent="0.25">
      <c r="B808" s="28" t="s">
        <v>202</v>
      </c>
      <c r="C808" s="29" t="s">
        <v>1634</v>
      </c>
      <c r="D808" s="29" t="s">
        <v>1469</v>
      </c>
      <c r="E808" s="29">
        <v>0</v>
      </c>
      <c r="F808" s="29" t="s">
        <v>1470</v>
      </c>
      <c r="G808" s="30"/>
      <c r="J808" s="3" t="s">
        <v>10</v>
      </c>
      <c r="N808" s="3">
        <v>1498</v>
      </c>
    </row>
    <row r="809" spans="2:14" s="3" customFormat="1" hidden="1" outlineLevel="1" x14ac:dyDescent="0.25">
      <c r="B809" s="28" t="s">
        <v>14</v>
      </c>
      <c r="C809" s="29" t="s">
        <v>1475</v>
      </c>
      <c r="D809" s="29" t="s">
        <v>1469</v>
      </c>
      <c r="E809" s="29">
        <v>0</v>
      </c>
      <c r="F809" s="29" t="s">
        <v>1476</v>
      </c>
      <c r="G809" s="30" t="s">
        <v>1477</v>
      </c>
      <c r="J809" s="3" t="s">
        <v>10</v>
      </c>
      <c r="N809" s="3">
        <v>2155</v>
      </c>
    </row>
    <row r="810" spans="2:14" s="3" customFormat="1" hidden="1" outlineLevel="1" x14ac:dyDescent="0.25">
      <c r="B810" s="28" t="s">
        <v>87</v>
      </c>
      <c r="C810" s="29" t="s">
        <v>1535</v>
      </c>
      <c r="D810" s="29" t="s">
        <v>1469</v>
      </c>
      <c r="E810" s="29">
        <v>0</v>
      </c>
      <c r="F810" s="29" t="s">
        <v>1476</v>
      </c>
      <c r="G810" s="30"/>
      <c r="J810" s="3" t="s">
        <v>10</v>
      </c>
      <c r="N810" s="3">
        <v>2433</v>
      </c>
    </row>
    <row r="811" spans="2:14" s="3" customFormat="1" hidden="1" outlineLevel="1" x14ac:dyDescent="0.25">
      <c r="B811" s="28" t="s">
        <v>15</v>
      </c>
      <c r="C811" s="29" t="s">
        <v>1478</v>
      </c>
      <c r="D811" s="29" t="s">
        <v>1469</v>
      </c>
      <c r="E811" s="29">
        <v>0</v>
      </c>
      <c r="F811" s="29" t="s">
        <v>1470</v>
      </c>
      <c r="G811" s="30"/>
      <c r="J811" s="3" t="s">
        <v>10</v>
      </c>
      <c r="N811" s="3">
        <v>2430</v>
      </c>
    </row>
    <row r="812" spans="2:14" s="3" customFormat="1" hidden="1" outlineLevel="1" x14ac:dyDescent="0.25">
      <c r="B812" s="28" t="s">
        <v>203</v>
      </c>
      <c r="C812" s="29" t="s">
        <v>1635</v>
      </c>
      <c r="D812" s="29" t="s">
        <v>1636</v>
      </c>
      <c r="E812" s="29" t="s">
        <v>1637</v>
      </c>
      <c r="F812" s="29" t="s">
        <v>1476</v>
      </c>
      <c r="G812" s="24"/>
      <c r="J812" s="3" t="s">
        <v>187</v>
      </c>
      <c r="N812" s="3">
        <v>1041</v>
      </c>
    </row>
    <row r="813" spans="2:14" s="3" customFormat="1" hidden="1" outlineLevel="1" x14ac:dyDescent="0.25">
      <c r="B813" s="28" t="s">
        <v>204</v>
      </c>
      <c r="C813" s="29" t="s">
        <v>1638</v>
      </c>
      <c r="D813" s="29" t="s">
        <v>1539</v>
      </c>
      <c r="E813" s="29">
        <v>0</v>
      </c>
      <c r="F813" s="29" t="s">
        <v>1470</v>
      </c>
      <c r="G813" s="24" t="s">
        <v>1639</v>
      </c>
      <c r="J813" s="3" t="s">
        <v>20</v>
      </c>
      <c r="N813" s="3">
        <v>1179</v>
      </c>
    </row>
    <row r="814" spans="2:14" s="3" customFormat="1" hidden="1" outlineLevel="1" x14ac:dyDescent="0.25">
      <c r="B814" s="28" t="s">
        <v>205</v>
      </c>
      <c r="C814" s="29" t="s">
        <v>1640</v>
      </c>
      <c r="D814" s="29" t="s">
        <v>1469</v>
      </c>
      <c r="E814" s="29">
        <v>0</v>
      </c>
      <c r="F814" s="29" t="s">
        <v>1476</v>
      </c>
      <c r="G814" s="24" t="s">
        <v>1641</v>
      </c>
      <c r="J814" s="3" t="s">
        <v>10</v>
      </c>
      <c r="N814" s="3">
        <v>1302</v>
      </c>
    </row>
    <row r="815" spans="2:14" s="3" customFormat="1" hidden="1" outlineLevel="1" x14ac:dyDescent="0.25">
      <c r="B815" s="28" t="s">
        <v>206</v>
      </c>
      <c r="C815" s="29" t="s">
        <v>1642</v>
      </c>
      <c r="D815" s="29" t="s">
        <v>1539</v>
      </c>
      <c r="E815" s="29">
        <v>0</v>
      </c>
      <c r="F815" s="29" t="s">
        <v>1470</v>
      </c>
      <c r="G815" s="24" t="s">
        <v>1643</v>
      </c>
      <c r="J815" s="3" t="s">
        <v>20</v>
      </c>
      <c r="N815" s="3">
        <v>1306</v>
      </c>
    </row>
    <row r="816" spans="2:14" s="3" customFormat="1" hidden="1" outlineLevel="1" x14ac:dyDescent="0.25">
      <c r="B816" s="28" t="s">
        <v>207</v>
      </c>
      <c r="C816" s="29" t="s">
        <v>1644</v>
      </c>
      <c r="D816" s="29" t="s">
        <v>1486</v>
      </c>
      <c r="E816" s="29">
        <v>0</v>
      </c>
      <c r="F816" s="29" t="s">
        <v>1470</v>
      </c>
      <c r="G816" s="24" t="s">
        <v>1645</v>
      </c>
      <c r="J816" s="3" t="s">
        <v>20</v>
      </c>
      <c r="N816" s="3">
        <v>1310</v>
      </c>
    </row>
    <row r="817" spans="2:14" s="3" customFormat="1" hidden="1" outlineLevel="1" x14ac:dyDescent="0.25">
      <c r="B817" s="195" t="s">
        <v>208</v>
      </c>
      <c r="C817" s="183" t="s">
        <v>1646</v>
      </c>
      <c r="D817" s="183" t="s">
        <v>1469</v>
      </c>
      <c r="E817" s="183" t="s">
        <v>1480</v>
      </c>
      <c r="F817" s="183" t="s">
        <v>1481</v>
      </c>
      <c r="G817" s="184" t="s">
        <v>1647</v>
      </c>
      <c r="J817" s="3" t="s">
        <v>10</v>
      </c>
      <c r="N817" s="3">
        <v>1184</v>
      </c>
    </row>
    <row r="818" spans="2:14" s="3" customFormat="1" hidden="1" outlineLevel="1" x14ac:dyDescent="0.25">
      <c r="B818" s="195" t="s">
        <v>209</v>
      </c>
      <c r="C818" s="183" t="s">
        <v>1648</v>
      </c>
      <c r="D818" s="183" t="s">
        <v>1469</v>
      </c>
      <c r="E818" s="183" t="s">
        <v>1549</v>
      </c>
      <c r="F818" s="183" t="s">
        <v>1481</v>
      </c>
      <c r="G818" s="184" t="s">
        <v>1649</v>
      </c>
      <c r="J818" s="3" t="s">
        <v>10</v>
      </c>
      <c r="N818" s="3">
        <v>1185</v>
      </c>
    </row>
    <row r="819" spans="2:14" s="3" customFormat="1" hidden="1" outlineLevel="1" x14ac:dyDescent="0.25">
      <c r="B819" s="195" t="s">
        <v>210</v>
      </c>
      <c r="C819" s="183" t="s">
        <v>1650</v>
      </c>
      <c r="D819" s="183" t="s">
        <v>1567</v>
      </c>
      <c r="E819" s="183">
        <v>0</v>
      </c>
      <c r="F819" s="183"/>
      <c r="G819" s="184"/>
      <c r="J819" s="3" t="s">
        <v>12</v>
      </c>
      <c r="N819" s="3">
        <v>1189</v>
      </c>
    </row>
    <row r="820" spans="2:14" s="3" customFormat="1" hidden="1" outlineLevel="1" x14ac:dyDescent="0.25">
      <c r="B820" s="28" t="s">
        <v>211</v>
      </c>
      <c r="C820" s="29" t="s">
        <v>1651</v>
      </c>
      <c r="D820" s="29" t="s">
        <v>1652</v>
      </c>
      <c r="E820" s="29" t="s">
        <v>1594</v>
      </c>
      <c r="F820" s="29" t="s">
        <v>1470</v>
      </c>
      <c r="G820" s="30" t="s">
        <v>1653</v>
      </c>
      <c r="J820" s="3" t="s">
        <v>10</v>
      </c>
      <c r="N820" s="3">
        <v>1173</v>
      </c>
    </row>
    <row r="821" spans="2:14" s="3" customFormat="1" hidden="1" outlineLevel="1" x14ac:dyDescent="0.25">
      <c r="B821" s="28" t="s">
        <v>212</v>
      </c>
      <c r="C821" s="29" t="s">
        <v>1654</v>
      </c>
      <c r="D821" s="29" t="s">
        <v>1486</v>
      </c>
      <c r="E821" s="29">
        <v>0</v>
      </c>
      <c r="F821" s="29" t="s">
        <v>1470</v>
      </c>
      <c r="G821" s="24" t="s">
        <v>1655</v>
      </c>
      <c r="J821" s="3" t="s">
        <v>20</v>
      </c>
      <c r="N821" s="3">
        <v>1188</v>
      </c>
    </row>
    <row r="822" spans="2:14" s="3" customFormat="1" hidden="1" outlineLevel="1" x14ac:dyDescent="0.25">
      <c r="B822" s="185" t="s">
        <v>213</v>
      </c>
      <c r="C822" s="23" t="s">
        <v>1656</v>
      </c>
      <c r="D822" s="23" t="s">
        <v>1489</v>
      </c>
      <c r="E822" s="23">
        <v>0</v>
      </c>
      <c r="F822" s="23" t="s">
        <v>1470</v>
      </c>
      <c r="G822" s="24" t="s">
        <v>1657</v>
      </c>
      <c r="J822" s="3" t="s">
        <v>20</v>
      </c>
      <c r="N822" s="3">
        <v>1180</v>
      </c>
    </row>
    <row r="823" spans="2:14" s="3" customFormat="1" hidden="1" outlineLevel="1" x14ac:dyDescent="0.25">
      <c r="B823" s="28" t="s">
        <v>22</v>
      </c>
      <c r="C823" s="23" t="s">
        <v>1488</v>
      </c>
      <c r="D823" s="23" t="s">
        <v>1489</v>
      </c>
      <c r="E823" s="23">
        <v>0</v>
      </c>
      <c r="F823" s="23" t="s">
        <v>1470</v>
      </c>
      <c r="G823" s="24" t="s">
        <v>1490</v>
      </c>
      <c r="J823" s="3" t="s">
        <v>20</v>
      </c>
      <c r="N823" s="3">
        <v>2052</v>
      </c>
    </row>
    <row r="824" spans="2:14" s="3" customFormat="1" hidden="1" outlineLevel="1" x14ac:dyDescent="0.25">
      <c r="B824" s="28" t="s">
        <v>214</v>
      </c>
      <c r="C824" s="23" t="s">
        <v>1658</v>
      </c>
      <c r="D824" s="23" t="s">
        <v>1489</v>
      </c>
      <c r="E824" s="23">
        <v>0</v>
      </c>
      <c r="F824" s="23" t="s">
        <v>1470</v>
      </c>
      <c r="G824" s="24" t="s">
        <v>1659</v>
      </c>
      <c r="J824" s="3" t="s">
        <v>20</v>
      </c>
      <c r="N824" s="3">
        <v>2345</v>
      </c>
    </row>
    <row r="825" spans="2:14" s="3" customFormat="1" hidden="1" outlineLevel="1" x14ac:dyDescent="0.25">
      <c r="B825" s="28" t="s">
        <v>215</v>
      </c>
      <c r="C825" s="23" t="s">
        <v>1660</v>
      </c>
      <c r="D825" s="23" t="s">
        <v>1489</v>
      </c>
      <c r="E825" s="23">
        <v>0</v>
      </c>
      <c r="F825" s="23" t="s">
        <v>1470</v>
      </c>
      <c r="G825" s="24"/>
      <c r="J825" s="3" t="s">
        <v>20</v>
      </c>
      <c r="N825" s="3">
        <v>1518</v>
      </c>
    </row>
    <row r="826" spans="2:14" s="3" customFormat="1" hidden="1" outlineLevel="1" x14ac:dyDescent="0.25">
      <c r="B826" s="28" t="s">
        <v>216</v>
      </c>
      <c r="C826" s="23" t="s">
        <v>1661</v>
      </c>
      <c r="D826" s="23" t="s">
        <v>1489</v>
      </c>
      <c r="E826" s="23">
        <v>0</v>
      </c>
      <c r="F826" s="23" t="s">
        <v>1470</v>
      </c>
      <c r="G826" s="24" t="s">
        <v>1662</v>
      </c>
      <c r="J826" s="3" t="s">
        <v>20</v>
      </c>
      <c r="N826" s="3">
        <v>1735</v>
      </c>
    </row>
    <row r="827" spans="2:14" s="3" customFormat="1" hidden="1" outlineLevel="1" x14ac:dyDescent="0.25">
      <c r="B827" s="28" t="s">
        <v>217</v>
      </c>
      <c r="C827" s="23" t="s">
        <v>1663</v>
      </c>
      <c r="D827" s="23" t="s">
        <v>1489</v>
      </c>
      <c r="E827" s="23">
        <v>0</v>
      </c>
      <c r="F827" s="23" t="s">
        <v>1470</v>
      </c>
      <c r="G827" s="24" t="s">
        <v>1664</v>
      </c>
      <c r="J827" s="3" t="s">
        <v>20</v>
      </c>
      <c r="N827" s="3">
        <v>2424</v>
      </c>
    </row>
    <row r="828" spans="2:14" s="3" customFormat="1" hidden="1" outlineLevel="1" x14ac:dyDescent="0.25">
      <c r="B828" s="28" t="s">
        <v>218</v>
      </c>
      <c r="C828" s="23" t="s">
        <v>1665</v>
      </c>
      <c r="D828" s="23" t="s">
        <v>1489</v>
      </c>
      <c r="E828" s="23">
        <v>0</v>
      </c>
      <c r="F828" s="23" t="s">
        <v>1470</v>
      </c>
      <c r="G828" s="24" t="s">
        <v>1666</v>
      </c>
      <c r="J828" s="3" t="s">
        <v>20</v>
      </c>
      <c r="N828" s="3">
        <v>1994</v>
      </c>
    </row>
    <row r="829" spans="2:14" s="3" customFormat="1" hidden="1" outlineLevel="1" x14ac:dyDescent="0.25">
      <c r="B829" s="28" t="s">
        <v>219</v>
      </c>
      <c r="C829" s="23" t="s">
        <v>1667</v>
      </c>
      <c r="D829" s="23" t="s">
        <v>1489</v>
      </c>
      <c r="E829" s="23">
        <v>0</v>
      </c>
      <c r="F829" s="23" t="s">
        <v>1470</v>
      </c>
      <c r="G829" s="24" t="s">
        <v>1668</v>
      </c>
      <c r="J829" s="3" t="s">
        <v>20</v>
      </c>
      <c r="N829" s="3">
        <v>1692</v>
      </c>
    </row>
    <row r="830" spans="2:14" s="3" customFormat="1" hidden="1" outlineLevel="1" x14ac:dyDescent="0.25">
      <c r="B830" s="28" t="s">
        <v>220</v>
      </c>
      <c r="C830" s="23" t="s">
        <v>1669</v>
      </c>
      <c r="D830" s="23" t="s">
        <v>1489</v>
      </c>
      <c r="E830" s="23">
        <v>0</v>
      </c>
      <c r="F830" s="23" t="s">
        <v>1470</v>
      </c>
      <c r="G830" s="24" t="s">
        <v>1670</v>
      </c>
      <c r="J830" s="3" t="s">
        <v>20</v>
      </c>
      <c r="N830" s="3">
        <v>1996</v>
      </c>
    </row>
    <row r="831" spans="2:14" s="3" customFormat="1" hidden="1" outlineLevel="1" x14ac:dyDescent="0.25">
      <c r="B831" s="28" t="s">
        <v>128</v>
      </c>
      <c r="C831" s="23" t="s">
        <v>1566</v>
      </c>
      <c r="D831" s="23" t="s">
        <v>1567</v>
      </c>
      <c r="E831" s="23">
        <v>0</v>
      </c>
      <c r="F831" s="23" t="s">
        <v>1470</v>
      </c>
      <c r="G831" s="24"/>
      <c r="J831" s="3" t="s">
        <v>12</v>
      </c>
      <c r="N831" s="3">
        <v>1629</v>
      </c>
    </row>
    <row r="832" spans="2:14" s="3" customFormat="1" hidden="1" outlineLevel="1" x14ac:dyDescent="0.25">
      <c r="B832" s="28" t="s">
        <v>221</v>
      </c>
      <c r="C832" s="23" t="s">
        <v>1671</v>
      </c>
      <c r="D832" s="23" t="s">
        <v>1616</v>
      </c>
      <c r="E832" s="23" t="s">
        <v>1617</v>
      </c>
      <c r="F832" s="23" t="s">
        <v>1476</v>
      </c>
      <c r="G832" s="24" t="s">
        <v>1672</v>
      </c>
      <c r="J832" s="3" t="s">
        <v>187</v>
      </c>
      <c r="N832" s="3">
        <v>1073</v>
      </c>
    </row>
    <row r="833" spans="1:14" s="3" customFormat="1" hidden="1" outlineLevel="1" x14ac:dyDescent="0.25">
      <c r="B833" s="28" t="s">
        <v>185</v>
      </c>
      <c r="C833" s="23" t="s">
        <v>1604</v>
      </c>
      <c r="D833" s="23" t="s">
        <v>1469</v>
      </c>
      <c r="E833" s="23">
        <v>0</v>
      </c>
      <c r="F833" s="23" t="s">
        <v>1470</v>
      </c>
      <c r="G833" s="24"/>
      <c r="J833" s="3" t="s">
        <v>10</v>
      </c>
      <c r="N833" s="3">
        <v>2330</v>
      </c>
    </row>
    <row r="834" spans="1:14" s="3" customFormat="1" hidden="1" outlineLevel="1" x14ac:dyDescent="0.25">
      <c r="B834" s="28" t="s">
        <v>222</v>
      </c>
      <c r="C834" s="23" t="s">
        <v>1673</v>
      </c>
      <c r="D834" s="23" t="s">
        <v>1652</v>
      </c>
      <c r="E834" s="23" t="s">
        <v>1594</v>
      </c>
      <c r="F834" s="23" t="s">
        <v>1470</v>
      </c>
      <c r="G834" s="24"/>
      <c r="J834" s="3" t="s">
        <v>187</v>
      </c>
      <c r="N834" s="3">
        <v>2331</v>
      </c>
    </row>
    <row r="835" spans="1:14" s="3" customFormat="1" hidden="1" outlineLevel="1" x14ac:dyDescent="0.25">
      <c r="B835" s="28" t="s">
        <v>223</v>
      </c>
      <c r="C835" s="23" t="s">
        <v>1674</v>
      </c>
      <c r="D835" s="23" t="s">
        <v>1494</v>
      </c>
      <c r="E835" s="23">
        <v>0</v>
      </c>
      <c r="F835" s="23" t="s">
        <v>1470</v>
      </c>
      <c r="G835" s="24"/>
      <c r="J835" s="3" t="s">
        <v>20</v>
      </c>
      <c r="N835" s="3">
        <v>2398</v>
      </c>
    </row>
    <row r="836" spans="1:14" s="3" customFormat="1" hidden="1" outlineLevel="1" x14ac:dyDescent="0.25">
      <c r="B836" s="28" t="s">
        <v>224</v>
      </c>
      <c r="C836" s="23" t="s">
        <v>1675</v>
      </c>
      <c r="D836" s="23" t="s">
        <v>1469</v>
      </c>
      <c r="E836" s="23">
        <v>0</v>
      </c>
      <c r="F836" s="23" t="s">
        <v>1476</v>
      </c>
      <c r="G836" s="24"/>
      <c r="J836" s="3" t="s">
        <v>10</v>
      </c>
      <c r="N836" s="3">
        <v>1737</v>
      </c>
    </row>
    <row r="837" spans="1:14" s="3" customFormat="1" hidden="1" outlineLevel="1" x14ac:dyDescent="0.25">
      <c r="B837" s="28" t="s">
        <v>225</v>
      </c>
      <c r="C837" s="23" t="s">
        <v>1676</v>
      </c>
      <c r="D837" s="23" t="s">
        <v>1489</v>
      </c>
      <c r="E837" s="23">
        <v>0</v>
      </c>
      <c r="F837" s="23" t="s">
        <v>1470</v>
      </c>
      <c r="G837" s="24"/>
      <c r="J837" s="3" t="s">
        <v>20</v>
      </c>
    </row>
    <row r="838" spans="1:14" s="3" customFormat="1" hidden="1" outlineLevel="1" x14ac:dyDescent="0.25">
      <c r="B838" s="28" t="s">
        <v>226</v>
      </c>
      <c r="C838" s="23" t="s">
        <v>1677</v>
      </c>
      <c r="D838" s="23" t="s">
        <v>1539</v>
      </c>
      <c r="E838" s="23">
        <v>0</v>
      </c>
      <c r="F838" s="23" t="s">
        <v>1470</v>
      </c>
      <c r="G838" s="24"/>
      <c r="J838" s="3" t="s">
        <v>20</v>
      </c>
      <c r="N838" s="3">
        <v>1182</v>
      </c>
    </row>
    <row r="839" spans="1:14" s="3" customFormat="1" hidden="1" outlineLevel="1" x14ac:dyDescent="0.25">
      <c r="B839" s="28" t="s">
        <v>194</v>
      </c>
      <c r="C839" s="23" t="s">
        <v>1618</v>
      </c>
      <c r="D839" s="23" t="s">
        <v>1469</v>
      </c>
      <c r="E839" s="23">
        <v>0</v>
      </c>
      <c r="F839" s="23"/>
      <c r="G839" s="24" t="s">
        <v>1619</v>
      </c>
      <c r="J839" s="3" t="s">
        <v>10</v>
      </c>
      <c r="N839" s="3">
        <v>3169</v>
      </c>
    </row>
    <row r="840" spans="1:14" s="6" customFormat="1" ht="16.2" hidden="1" outlineLevel="1" thickBot="1" x14ac:dyDescent="0.3">
      <c r="A840" s="5"/>
      <c r="B840" s="91" t="s">
        <v>195</v>
      </c>
      <c r="C840" s="92" t="s">
        <v>1620</v>
      </c>
      <c r="D840" s="92" t="s">
        <v>1469</v>
      </c>
      <c r="E840" s="92">
        <v>0</v>
      </c>
      <c r="F840" s="92"/>
      <c r="G840" s="93" t="s">
        <v>1621</v>
      </c>
      <c r="J840" s="6" t="s">
        <v>10</v>
      </c>
      <c r="N840" s="6">
        <v>3168</v>
      </c>
    </row>
    <row r="841" spans="1:14" s="6" customFormat="1" hidden="1" outlineLevel="1" x14ac:dyDescent="0.25">
      <c r="A841" s="5"/>
      <c r="B841" s="380" t="s">
        <v>29</v>
      </c>
      <c r="C841" s="381"/>
      <c r="D841" s="381"/>
      <c r="E841" s="381"/>
      <c r="F841" s="381"/>
      <c r="G841" s="382"/>
    </row>
    <row r="842" spans="1:14" s="6" customFormat="1" hidden="1" outlineLevel="1" x14ac:dyDescent="0.25">
      <c r="A842" s="5"/>
      <c r="B842" s="67" t="s">
        <v>68</v>
      </c>
      <c r="C842" s="65"/>
      <c r="D842" s="65"/>
      <c r="E842" s="65"/>
      <c r="F842" s="65"/>
      <c r="G842" s="66"/>
    </row>
    <row r="843" spans="1:14" s="6" customFormat="1" hidden="1" outlineLevel="1" x14ac:dyDescent="0.25">
      <c r="A843" s="5"/>
      <c r="B843" s="67" t="s">
        <v>92</v>
      </c>
      <c r="C843" s="65"/>
      <c r="D843" s="65"/>
      <c r="E843" s="65"/>
      <c r="F843" s="65"/>
      <c r="G843" s="66"/>
    </row>
    <row r="844" spans="1:14" s="6" customFormat="1" hidden="1" outlineLevel="1" x14ac:dyDescent="0.25">
      <c r="A844" s="5"/>
      <c r="B844" s="67" t="s">
        <v>227</v>
      </c>
      <c r="C844" s="65"/>
      <c r="D844" s="65"/>
      <c r="E844" s="65"/>
      <c r="F844" s="65"/>
      <c r="G844" s="66"/>
    </row>
    <row r="845" spans="1:14" s="6" customFormat="1" hidden="1" outlineLevel="1" x14ac:dyDescent="0.25">
      <c r="A845" s="5"/>
      <c r="B845" s="67" t="s">
        <v>66</v>
      </c>
      <c r="C845" s="65"/>
      <c r="D845" s="65"/>
      <c r="E845" s="65"/>
      <c r="F845" s="65"/>
      <c r="G845" s="66"/>
    </row>
    <row r="846" spans="1:14" s="6" customFormat="1" hidden="1" outlineLevel="1" x14ac:dyDescent="0.25">
      <c r="A846" s="5"/>
      <c r="B846" s="67" t="s">
        <v>65</v>
      </c>
      <c r="C846" s="65"/>
      <c r="D846" s="65"/>
      <c r="E846" s="65"/>
      <c r="F846" s="65"/>
      <c r="G846" s="66"/>
    </row>
    <row r="847" spans="1:14" s="4" customFormat="1" ht="17.399999999999999" hidden="1" customHeight="1" outlineLevel="1" x14ac:dyDescent="0.35">
      <c r="A847" s="5"/>
      <c r="B847" s="67" t="s">
        <v>30</v>
      </c>
      <c r="C847" s="65"/>
      <c r="D847" s="65"/>
      <c r="E847" s="65"/>
      <c r="F847" s="65"/>
      <c r="G847" s="371" t="s">
        <v>2357</v>
      </c>
      <c r="H847" s="5"/>
      <c r="I847" s="5"/>
      <c r="J847" s="5"/>
      <c r="K847" s="5"/>
      <c r="L847" s="5"/>
      <c r="M847" s="5"/>
    </row>
    <row r="848" spans="1:14" s="6" customFormat="1" hidden="1" outlineLevel="1" x14ac:dyDescent="0.25">
      <c r="A848" s="5"/>
      <c r="B848" s="67" t="s">
        <v>228</v>
      </c>
      <c r="C848" s="65"/>
      <c r="D848" s="65"/>
      <c r="E848" s="65"/>
      <c r="F848" s="65"/>
      <c r="G848" s="66" t="s">
        <v>229</v>
      </c>
    </row>
    <row r="849" spans="1:14" s="6" customFormat="1" hidden="1" outlineLevel="1" x14ac:dyDescent="0.25">
      <c r="A849" s="5"/>
      <c r="B849" s="67" t="s">
        <v>230</v>
      </c>
      <c r="C849" s="65"/>
      <c r="D849" s="65"/>
      <c r="E849" s="65"/>
      <c r="F849" s="65"/>
      <c r="G849" s="66" t="s">
        <v>231</v>
      </c>
    </row>
    <row r="850" spans="1:14" s="6" customFormat="1" hidden="1" outlineLevel="1" x14ac:dyDescent="0.25">
      <c r="A850" s="5"/>
      <c r="B850" s="67" t="s">
        <v>232</v>
      </c>
      <c r="C850" s="65"/>
      <c r="D850" s="65"/>
      <c r="E850" s="65"/>
      <c r="F850" s="65"/>
      <c r="G850" s="66"/>
    </row>
    <row r="851" spans="1:14" s="6" customFormat="1" hidden="1" outlineLevel="1" x14ac:dyDescent="0.25">
      <c r="A851" s="5"/>
      <c r="B851" s="67" t="s">
        <v>233</v>
      </c>
      <c r="C851" s="65"/>
      <c r="D851" s="65"/>
      <c r="E851" s="65"/>
      <c r="F851" s="65"/>
      <c r="G851" s="66"/>
    </row>
    <row r="852" spans="1:14" s="6" customFormat="1" hidden="1" outlineLevel="1" x14ac:dyDescent="0.25">
      <c r="A852" s="5"/>
      <c r="B852" s="67" t="s">
        <v>234</v>
      </c>
      <c r="C852" s="65"/>
      <c r="D852" s="65"/>
      <c r="E852" s="65"/>
      <c r="F852" s="65"/>
      <c r="G852" s="66" t="s">
        <v>235</v>
      </c>
    </row>
    <row r="853" spans="1:14" s="6" customFormat="1" hidden="1" outlineLevel="1" x14ac:dyDescent="0.25">
      <c r="A853" s="5"/>
      <c r="B853" s="67" t="s">
        <v>236</v>
      </c>
      <c r="C853" s="65"/>
      <c r="D853" s="65"/>
      <c r="E853" s="65"/>
      <c r="F853" s="65"/>
      <c r="G853" s="371" t="s">
        <v>2375</v>
      </c>
    </row>
    <row r="854" spans="1:14" s="4" customFormat="1" ht="17.399999999999999" hidden="1" customHeight="1" outlineLevel="1" thickBot="1" x14ac:dyDescent="0.4">
      <c r="A854" s="5"/>
      <c r="B854" s="103"/>
      <c r="C854" s="92"/>
      <c r="D854" s="92"/>
      <c r="E854" s="92"/>
      <c r="F854" s="92"/>
      <c r="G854" s="93"/>
    </row>
    <row r="855" spans="1:14" ht="16.2" hidden="1" outlineLevel="1" thickBot="1" x14ac:dyDescent="0.3"/>
    <row r="856" spans="1:14" s="6" customFormat="1" ht="16.2" collapsed="1" thickBot="1" x14ac:dyDescent="0.3">
      <c r="A856" s="5"/>
      <c r="B856" s="166" t="s">
        <v>1279</v>
      </c>
      <c r="C856" s="169" t="s">
        <v>1363</v>
      </c>
      <c r="D856" s="168" t="s">
        <v>1281</v>
      </c>
      <c r="E856" s="169" t="s">
        <v>237</v>
      </c>
      <c r="F856" s="168" t="s">
        <v>1282</v>
      </c>
      <c r="G856" s="170" t="s">
        <v>1364</v>
      </c>
    </row>
    <row r="857" spans="1:14" s="6" customFormat="1" hidden="1" outlineLevel="1" x14ac:dyDescent="0.25">
      <c r="A857" s="5"/>
      <c r="B857" s="136" t="s">
        <v>1284</v>
      </c>
      <c r="C857" s="84" t="s">
        <v>1285</v>
      </c>
      <c r="D857" s="137" t="s">
        <v>1286</v>
      </c>
      <c r="E857" s="84" t="s">
        <v>1365</v>
      </c>
      <c r="F857" s="137" t="s">
        <v>1288</v>
      </c>
      <c r="G857" s="85" t="s">
        <v>1366</v>
      </c>
    </row>
    <row r="858" spans="1:14" s="6" customFormat="1" ht="16.2" hidden="1" outlineLevel="1" thickBot="1" x14ac:dyDescent="0.3">
      <c r="A858" s="5"/>
      <c r="B858" s="136" t="s">
        <v>1290</v>
      </c>
      <c r="C858" s="172" t="s">
        <v>1291</v>
      </c>
      <c r="D858" s="137" t="s">
        <v>1292</v>
      </c>
      <c r="E858" s="172">
        <v>5</v>
      </c>
      <c r="F858" s="137" t="s">
        <v>1293</v>
      </c>
      <c r="G858" s="174" t="s">
        <v>1294</v>
      </c>
    </row>
    <row r="859" spans="1:14" s="6" customFormat="1" hidden="1" outlineLevel="1" x14ac:dyDescent="0.25">
      <c r="A859" s="5"/>
      <c r="B859" s="380" t="s">
        <v>1</v>
      </c>
      <c r="C859" s="381"/>
      <c r="D859" s="381"/>
      <c r="E859" s="381"/>
      <c r="F859" s="381"/>
      <c r="G859" s="382"/>
    </row>
    <row r="860" spans="1:14" s="6" customFormat="1" hidden="1" outlineLevel="1" x14ac:dyDescent="0.25">
      <c r="A860" s="5"/>
      <c r="B860" s="94" t="s">
        <v>2</v>
      </c>
      <c r="C860" s="95" t="s">
        <v>3</v>
      </c>
      <c r="D860" s="95" t="s">
        <v>4</v>
      </c>
      <c r="E860" s="95" t="s">
        <v>5</v>
      </c>
      <c r="F860" s="95"/>
      <c r="G860" s="96" t="s">
        <v>6</v>
      </c>
    </row>
    <row r="861" spans="1:14" s="6" customFormat="1" hidden="1" outlineLevel="1" x14ac:dyDescent="0.25">
      <c r="A861" s="5"/>
      <c r="B861" s="67" t="s">
        <v>73</v>
      </c>
      <c r="C861" s="65" t="s">
        <v>1528</v>
      </c>
      <c r="D861" s="65" t="s">
        <v>1469</v>
      </c>
      <c r="E861" s="65" t="s">
        <v>1480</v>
      </c>
      <c r="F861" s="65" t="s">
        <v>1481</v>
      </c>
      <c r="G861" s="66"/>
      <c r="J861" s="6" t="s">
        <v>10</v>
      </c>
      <c r="N861" s="6">
        <v>1767</v>
      </c>
    </row>
    <row r="862" spans="1:14" s="6" customFormat="1" hidden="1" outlineLevel="1" x14ac:dyDescent="0.25">
      <c r="A862" s="5"/>
      <c r="B862" s="67" t="s">
        <v>74</v>
      </c>
      <c r="C862" s="65" t="s">
        <v>1529</v>
      </c>
      <c r="D862" s="65" t="s">
        <v>1469</v>
      </c>
      <c r="E862" s="65" t="s">
        <v>1480</v>
      </c>
      <c r="F862" s="65" t="s">
        <v>1481</v>
      </c>
      <c r="G862" s="66"/>
      <c r="J862" s="6" t="s">
        <v>10</v>
      </c>
      <c r="N862" s="6">
        <v>1713</v>
      </c>
    </row>
    <row r="863" spans="1:14" s="6" customFormat="1" hidden="1" outlineLevel="1" x14ac:dyDescent="0.25">
      <c r="A863" s="5"/>
      <c r="B863" s="67" t="s">
        <v>112</v>
      </c>
      <c r="C863" s="65" t="s">
        <v>1555</v>
      </c>
      <c r="D863" s="65" t="s">
        <v>1469</v>
      </c>
      <c r="E863" s="65">
        <v>0</v>
      </c>
      <c r="F863" s="65" t="s">
        <v>1470</v>
      </c>
      <c r="G863" s="66" t="s">
        <v>1556</v>
      </c>
      <c r="J863" s="6" t="s">
        <v>10</v>
      </c>
      <c r="N863" s="6">
        <v>1606</v>
      </c>
    </row>
    <row r="864" spans="1:14" s="6" customFormat="1" hidden="1" outlineLevel="1" x14ac:dyDescent="0.25">
      <c r="A864" s="5"/>
      <c r="B864" s="67" t="s">
        <v>185</v>
      </c>
      <c r="C864" s="65" t="s">
        <v>1604</v>
      </c>
      <c r="D864" s="65" t="s">
        <v>1469</v>
      </c>
      <c r="E864" s="65">
        <v>0</v>
      </c>
      <c r="F864" s="65" t="s">
        <v>1470</v>
      </c>
      <c r="G864" s="66"/>
      <c r="J864" s="6" t="s">
        <v>10</v>
      </c>
      <c r="N864" s="6">
        <v>2330</v>
      </c>
    </row>
    <row r="865" spans="1:14" s="6" customFormat="1" hidden="1" outlineLevel="1" x14ac:dyDescent="0.25">
      <c r="A865" s="5"/>
      <c r="B865" s="67" t="s">
        <v>186</v>
      </c>
      <c r="C865" s="65" t="s">
        <v>1605</v>
      </c>
      <c r="D865" s="65" t="s">
        <v>1606</v>
      </c>
      <c r="E865" s="65" t="s">
        <v>1594</v>
      </c>
      <c r="F865" s="65"/>
      <c r="G865" s="66"/>
      <c r="J865" s="6" t="s">
        <v>187</v>
      </c>
      <c r="N865" s="6">
        <v>2434</v>
      </c>
    </row>
    <row r="866" spans="1:14" s="6" customFormat="1" hidden="1" outlineLevel="1" x14ac:dyDescent="0.25">
      <c r="A866" s="5"/>
      <c r="B866" s="67" t="s">
        <v>188</v>
      </c>
      <c r="C866" s="65" t="s">
        <v>1607</v>
      </c>
      <c r="D866" s="65" t="s">
        <v>1606</v>
      </c>
      <c r="E866" s="65" t="s">
        <v>1594</v>
      </c>
      <c r="F866" s="65"/>
      <c r="G866" s="66"/>
      <c r="J866" s="6" t="s">
        <v>187</v>
      </c>
      <c r="N866" s="6">
        <v>2156</v>
      </c>
    </row>
    <row r="867" spans="1:14" s="6" customFormat="1" hidden="1" outlineLevel="1" x14ac:dyDescent="0.25">
      <c r="A867" s="5"/>
      <c r="B867" s="67" t="s">
        <v>15</v>
      </c>
      <c r="C867" s="65" t="s">
        <v>1478</v>
      </c>
      <c r="D867" s="65" t="s">
        <v>1469</v>
      </c>
      <c r="E867" s="65">
        <v>0</v>
      </c>
      <c r="F867" s="65" t="s">
        <v>1470</v>
      </c>
      <c r="G867" s="66"/>
      <c r="J867" s="6" t="s">
        <v>10</v>
      </c>
      <c r="N867" s="6">
        <v>2430</v>
      </c>
    </row>
    <row r="868" spans="1:14" s="6" customFormat="1" hidden="1" outlineLevel="1" x14ac:dyDescent="0.25">
      <c r="A868" s="5"/>
      <c r="B868" s="67" t="s">
        <v>189</v>
      </c>
      <c r="C868" s="65" t="s">
        <v>1608</v>
      </c>
      <c r="D868" s="65" t="s">
        <v>1609</v>
      </c>
      <c r="E868" s="65" t="s">
        <v>1594</v>
      </c>
      <c r="F868" s="65"/>
      <c r="G868" s="66"/>
      <c r="J868" s="6" t="s">
        <v>187</v>
      </c>
      <c r="N868" s="6">
        <v>1303</v>
      </c>
    </row>
    <row r="869" spans="1:14" s="6" customFormat="1" hidden="1" outlineLevel="1" x14ac:dyDescent="0.25">
      <c r="A869" s="5"/>
      <c r="B869" s="67" t="s">
        <v>190</v>
      </c>
      <c r="C869" s="65" t="s">
        <v>1610</v>
      </c>
      <c r="D869" s="65" t="s">
        <v>1469</v>
      </c>
      <c r="E869" s="65">
        <v>0</v>
      </c>
      <c r="F869" s="65"/>
      <c r="G869" s="66"/>
      <c r="J869" s="6" t="s">
        <v>10</v>
      </c>
      <c r="N869" s="6">
        <v>1099</v>
      </c>
    </row>
    <row r="870" spans="1:14" s="6" customFormat="1" hidden="1" outlineLevel="1" x14ac:dyDescent="0.25">
      <c r="A870" s="5"/>
      <c r="B870" s="67" t="s">
        <v>128</v>
      </c>
      <c r="C870" s="65" t="s">
        <v>1566</v>
      </c>
      <c r="D870" s="65" t="s">
        <v>1567</v>
      </c>
      <c r="E870" s="65">
        <v>0</v>
      </c>
      <c r="F870" s="65" t="s">
        <v>1470</v>
      </c>
      <c r="G870" s="66"/>
      <c r="J870" s="6" t="s">
        <v>12</v>
      </c>
      <c r="N870" s="6">
        <v>1629</v>
      </c>
    </row>
    <row r="871" spans="1:14" s="6" customFormat="1" hidden="1" outlineLevel="1" x14ac:dyDescent="0.25">
      <c r="A871" s="5"/>
      <c r="B871" s="67" t="s">
        <v>114</v>
      </c>
      <c r="C871" s="65" t="s">
        <v>1557</v>
      </c>
      <c r="D871" s="65" t="s">
        <v>1469</v>
      </c>
      <c r="E871" s="65">
        <v>-1</v>
      </c>
      <c r="F871" s="65" t="s">
        <v>1470</v>
      </c>
      <c r="G871" s="66"/>
      <c r="J871" s="6" t="s">
        <v>10</v>
      </c>
      <c r="N871" s="6">
        <v>2449</v>
      </c>
    </row>
    <row r="872" spans="1:14" s="6" customFormat="1" hidden="1" outlineLevel="1" x14ac:dyDescent="0.25">
      <c r="A872" s="5"/>
      <c r="B872" s="67" t="s">
        <v>191</v>
      </c>
      <c r="C872" s="65" t="s">
        <v>1611</v>
      </c>
      <c r="D872" s="65" t="s">
        <v>1567</v>
      </c>
      <c r="E872" s="65">
        <v>0</v>
      </c>
      <c r="F872" s="65" t="s">
        <v>1470</v>
      </c>
      <c r="G872" s="66" t="s">
        <v>1612</v>
      </c>
      <c r="J872" s="6" t="s">
        <v>12</v>
      </c>
      <c r="N872" s="6">
        <v>2495</v>
      </c>
    </row>
    <row r="873" spans="1:14" s="6" customFormat="1" hidden="1" outlineLevel="1" x14ac:dyDescent="0.25">
      <c r="A873" s="5"/>
      <c r="B873" s="67" t="s">
        <v>192</v>
      </c>
      <c r="C873" s="65" t="s">
        <v>1613</v>
      </c>
      <c r="D873" s="65" t="s">
        <v>1469</v>
      </c>
      <c r="E873" s="65">
        <v>1</v>
      </c>
      <c r="F873" s="65" t="s">
        <v>1470</v>
      </c>
      <c r="G873" s="66" t="s">
        <v>1614</v>
      </c>
      <c r="J873" s="6" t="s">
        <v>10</v>
      </c>
      <c r="N873" s="6">
        <v>1951</v>
      </c>
    </row>
    <row r="874" spans="1:14" s="6" customFormat="1" hidden="1" outlineLevel="1" x14ac:dyDescent="0.25">
      <c r="A874" s="5"/>
      <c r="B874" s="67" t="s">
        <v>193</v>
      </c>
      <c r="C874" s="65" t="s">
        <v>1615</v>
      </c>
      <c r="D874" s="65" t="s">
        <v>1616</v>
      </c>
      <c r="E874" s="65" t="s">
        <v>1617</v>
      </c>
      <c r="F874" s="65" t="s">
        <v>1476</v>
      </c>
      <c r="G874" s="66"/>
    </row>
    <row r="875" spans="1:14" s="6" customFormat="1" hidden="1" outlineLevel="1" x14ac:dyDescent="0.25">
      <c r="A875" s="5"/>
      <c r="B875" s="67" t="s">
        <v>194</v>
      </c>
      <c r="C875" s="65" t="s">
        <v>1618</v>
      </c>
      <c r="D875" s="65" t="s">
        <v>1469</v>
      </c>
      <c r="E875" s="65">
        <v>0</v>
      </c>
      <c r="F875" s="65"/>
      <c r="G875" s="66" t="s">
        <v>1619</v>
      </c>
      <c r="J875" s="6" t="s">
        <v>10</v>
      </c>
      <c r="N875" s="6">
        <v>3169</v>
      </c>
    </row>
    <row r="876" spans="1:14" s="6" customFormat="1" ht="16.2" hidden="1" outlineLevel="1" thickBot="1" x14ac:dyDescent="0.3">
      <c r="A876" s="5"/>
      <c r="B876" s="91" t="s">
        <v>195</v>
      </c>
      <c r="C876" s="92" t="s">
        <v>1620</v>
      </c>
      <c r="D876" s="92" t="s">
        <v>1469</v>
      </c>
      <c r="E876" s="92">
        <v>0</v>
      </c>
      <c r="F876" s="92"/>
      <c r="G876" s="93" t="s">
        <v>1621</v>
      </c>
      <c r="J876" s="6" t="s">
        <v>10</v>
      </c>
      <c r="N876" s="6">
        <v>3168</v>
      </c>
    </row>
    <row r="877" spans="1:14" s="6" customFormat="1" hidden="1" outlineLevel="1" x14ac:dyDescent="0.25">
      <c r="A877" s="5"/>
      <c r="B877" s="380" t="s">
        <v>18</v>
      </c>
      <c r="C877" s="381"/>
      <c r="D877" s="381"/>
      <c r="E877" s="381"/>
      <c r="F877" s="381"/>
      <c r="G877" s="382"/>
    </row>
    <row r="878" spans="1:14" s="6" customFormat="1" hidden="1" outlineLevel="1" x14ac:dyDescent="0.25">
      <c r="A878" s="5"/>
      <c r="B878" s="94" t="s">
        <v>2</v>
      </c>
      <c r="C878" s="95" t="s">
        <v>3</v>
      </c>
      <c r="D878" s="95" t="s">
        <v>4</v>
      </c>
      <c r="E878" s="95" t="s">
        <v>5</v>
      </c>
      <c r="F878" s="95"/>
      <c r="G878" s="96" t="s">
        <v>6</v>
      </c>
    </row>
    <row r="879" spans="1:14" s="3" customFormat="1" hidden="1" outlineLevel="1" x14ac:dyDescent="0.25">
      <c r="B879" s="195" t="s">
        <v>112</v>
      </c>
      <c r="C879" s="183" t="s">
        <v>1555</v>
      </c>
      <c r="D879" s="183" t="s">
        <v>1469</v>
      </c>
      <c r="E879" s="183">
        <v>0</v>
      </c>
      <c r="F879" s="183" t="s">
        <v>1470</v>
      </c>
      <c r="G879" s="184" t="s">
        <v>1556</v>
      </c>
      <c r="J879" s="3" t="s">
        <v>10</v>
      </c>
      <c r="N879" s="3">
        <v>1606</v>
      </c>
    </row>
    <row r="880" spans="1:14" s="3" customFormat="1" hidden="1" outlineLevel="1" x14ac:dyDescent="0.25">
      <c r="B880" s="195" t="s">
        <v>7</v>
      </c>
      <c r="C880" s="183" t="s">
        <v>1468</v>
      </c>
      <c r="D880" s="183" t="s">
        <v>1469</v>
      </c>
      <c r="E880" s="183">
        <v>0</v>
      </c>
      <c r="F880" s="183" t="s">
        <v>1470</v>
      </c>
      <c r="G880" s="184" t="s">
        <v>1471</v>
      </c>
      <c r="J880" s="3" t="s">
        <v>10</v>
      </c>
      <c r="N880" s="3">
        <v>1112</v>
      </c>
    </row>
    <row r="881" spans="2:14" s="3" customFormat="1" hidden="1" outlineLevel="1" x14ac:dyDescent="0.25">
      <c r="B881" s="195" t="s">
        <v>11</v>
      </c>
      <c r="C881" s="183" t="s">
        <v>1472</v>
      </c>
      <c r="D881" s="183" t="s">
        <v>1469</v>
      </c>
      <c r="E881" s="183">
        <v>0</v>
      </c>
      <c r="F881" s="183" t="s">
        <v>1470</v>
      </c>
      <c r="G881" s="184" t="s">
        <v>1473</v>
      </c>
      <c r="J881" s="3" t="s">
        <v>12</v>
      </c>
      <c r="N881" s="3">
        <v>1700</v>
      </c>
    </row>
    <row r="882" spans="2:14" s="3" customFormat="1" hidden="1" outlineLevel="1" x14ac:dyDescent="0.25">
      <c r="B882" s="195" t="s">
        <v>196</v>
      </c>
      <c r="C882" s="183" t="s">
        <v>1622</v>
      </c>
      <c r="D882" s="183" t="s">
        <v>1469</v>
      </c>
      <c r="E882" s="183" t="s">
        <v>1480</v>
      </c>
      <c r="F882" s="183" t="s">
        <v>1481</v>
      </c>
      <c r="G882" s="184" t="s">
        <v>1623</v>
      </c>
      <c r="J882" s="3" t="s">
        <v>10</v>
      </c>
      <c r="N882" s="3">
        <v>2130</v>
      </c>
    </row>
    <row r="883" spans="2:14" s="3" customFormat="1" hidden="1" outlineLevel="1" x14ac:dyDescent="0.25">
      <c r="B883" s="28" t="s">
        <v>197</v>
      </c>
      <c r="C883" s="29" t="s">
        <v>1624</v>
      </c>
      <c r="D883" s="29" t="s">
        <v>1469</v>
      </c>
      <c r="E883" s="29">
        <v>0</v>
      </c>
      <c r="F883" s="29" t="s">
        <v>1470</v>
      </c>
      <c r="G883" s="24" t="s">
        <v>1625</v>
      </c>
      <c r="J883" s="3" t="s">
        <v>10</v>
      </c>
      <c r="N883" s="3">
        <v>2204</v>
      </c>
    </row>
    <row r="884" spans="2:14" s="3" customFormat="1" hidden="1" outlineLevel="1" x14ac:dyDescent="0.25">
      <c r="B884" s="28" t="s">
        <v>198</v>
      </c>
      <c r="C884" s="29" t="s">
        <v>1626</v>
      </c>
      <c r="D884" s="29" t="s">
        <v>1469</v>
      </c>
      <c r="E884" s="29">
        <v>0</v>
      </c>
      <c r="F884" s="29" t="s">
        <v>1470</v>
      </c>
      <c r="G884" s="24" t="s">
        <v>1627</v>
      </c>
      <c r="J884" s="3" t="s">
        <v>10</v>
      </c>
      <c r="N884" s="3">
        <v>1295</v>
      </c>
    </row>
    <row r="885" spans="2:14" s="3" customFormat="1" hidden="1" outlineLevel="1" x14ac:dyDescent="0.25">
      <c r="B885" s="28" t="s">
        <v>191</v>
      </c>
      <c r="C885" s="29" t="s">
        <v>1611</v>
      </c>
      <c r="D885" s="29" t="s">
        <v>1567</v>
      </c>
      <c r="E885" s="29">
        <v>0</v>
      </c>
      <c r="F885" s="29" t="s">
        <v>1470</v>
      </c>
      <c r="G885" s="24" t="s">
        <v>1612</v>
      </c>
      <c r="J885" s="3" t="s">
        <v>12</v>
      </c>
      <c r="N885" s="3">
        <v>2495</v>
      </c>
    </row>
    <row r="886" spans="2:14" s="3" customFormat="1" hidden="1" outlineLevel="1" x14ac:dyDescent="0.25">
      <c r="B886" s="28" t="s">
        <v>199</v>
      </c>
      <c r="C886" s="29" t="s">
        <v>1628</v>
      </c>
      <c r="D886" s="29" t="s">
        <v>1469</v>
      </c>
      <c r="E886" s="29" t="s">
        <v>1480</v>
      </c>
      <c r="F886" s="29" t="s">
        <v>1481</v>
      </c>
      <c r="G886" s="24" t="s">
        <v>1482</v>
      </c>
      <c r="J886" s="3" t="s">
        <v>10</v>
      </c>
      <c r="N886" s="3">
        <v>1308</v>
      </c>
    </row>
    <row r="887" spans="2:14" s="3" customFormat="1" hidden="1" outlineLevel="1" x14ac:dyDescent="0.25">
      <c r="B887" s="28" t="s">
        <v>200</v>
      </c>
      <c r="C887" s="29" t="s">
        <v>1629</v>
      </c>
      <c r="D887" s="29" t="s">
        <v>1469</v>
      </c>
      <c r="E887" s="29" t="s">
        <v>1549</v>
      </c>
      <c r="F887" s="29" t="s">
        <v>1481</v>
      </c>
      <c r="G887" s="24" t="s">
        <v>1630</v>
      </c>
      <c r="J887" s="3" t="s">
        <v>10</v>
      </c>
      <c r="N887" s="3">
        <v>1309</v>
      </c>
    </row>
    <row r="888" spans="2:14" s="3" customFormat="1" hidden="1" outlineLevel="1" x14ac:dyDescent="0.25">
      <c r="B888" s="28" t="s">
        <v>201</v>
      </c>
      <c r="C888" s="29" t="s">
        <v>1631</v>
      </c>
      <c r="D888" s="29" t="s">
        <v>1632</v>
      </c>
      <c r="E888" s="29" t="s">
        <v>1594</v>
      </c>
      <c r="F888" s="29" t="s">
        <v>1470</v>
      </c>
      <c r="G888" s="24" t="s">
        <v>1633</v>
      </c>
      <c r="J888" s="3" t="s">
        <v>10</v>
      </c>
      <c r="N888" s="3">
        <v>2127</v>
      </c>
    </row>
    <row r="889" spans="2:14" s="3" customFormat="1" hidden="1" outlineLevel="1" x14ac:dyDescent="0.25">
      <c r="B889" s="28" t="s">
        <v>13</v>
      </c>
      <c r="C889" s="29" t="s">
        <v>1474</v>
      </c>
      <c r="D889" s="29" t="s">
        <v>1469</v>
      </c>
      <c r="E889" s="29">
        <v>0</v>
      </c>
      <c r="F889" s="29" t="s">
        <v>1470</v>
      </c>
      <c r="G889" s="30"/>
      <c r="J889" s="3" t="s">
        <v>10</v>
      </c>
      <c r="N889" s="3">
        <v>2534</v>
      </c>
    </row>
    <row r="890" spans="2:14" s="3" customFormat="1" hidden="1" outlineLevel="1" x14ac:dyDescent="0.25">
      <c r="B890" s="28" t="s">
        <v>202</v>
      </c>
      <c r="C890" s="29" t="s">
        <v>1634</v>
      </c>
      <c r="D890" s="29" t="s">
        <v>1469</v>
      </c>
      <c r="E890" s="29">
        <v>0</v>
      </c>
      <c r="F890" s="29" t="s">
        <v>1470</v>
      </c>
      <c r="G890" s="30"/>
      <c r="J890" s="3" t="s">
        <v>10</v>
      </c>
      <c r="N890" s="3">
        <v>1498</v>
      </c>
    </row>
    <row r="891" spans="2:14" s="3" customFormat="1" hidden="1" outlineLevel="1" x14ac:dyDescent="0.25">
      <c r="B891" s="28" t="s">
        <v>14</v>
      </c>
      <c r="C891" s="29" t="s">
        <v>1475</v>
      </c>
      <c r="D891" s="29" t="s">
        <v>1469</v>
      </c>
      <c r="E891" s="29">
        <v>0</v>
      </c>
      <c r="F891" s="29" t="s">
        <v>1476</v>
      </c>
      <c r="G891" s="30" t="s">
        <v>1477</v>
      </c>
      <c r="J891" s="3" t="s">
        <v>10</v>
      </c>
      <c r="N891" s="3">
        <v>2155</v>
      </c>
    </row>
    <row r="892" spans="2:14" s="3" customFormat="1" hidden="1" outlineLevel="1" x14ac:dyDescent="0.25">
      <c r="B892" s="28" t="s">
        <v>87</v>
      </c>
      <c r="C892" s="29" t="s">
        <v>1535</v>
      </c>
      <c r="D892" s="29" t="s">
        <v>1469</v>
      </c>
      <c r="E892" s="29">
        <v>0</v>
      </c>
      <c r="F892" s="29" t="s">
        <v>1476</v>
      </c>
      <c r="G892" s="30"/>
      <c r="J892" s="3" t="s">
        <v>10</v>
      </c>
      <c r="N892" s="3">
        <v>2433</v>
      </c>
    </row>
    <row r="893" spans="2:14" s="3" customFormat="1" hidden="1" outlineLevel="1" x14ac:dyDescent="0.25">
      <c r="B893" s="28" t="s">
        <v>15</v>
      </c>
      <c r="C893" s="29" t="s">
        <v>1478</v>
      </c>
      <c r="D893" s="29" t="s">
        <v>1469</v>
      </c>
      <c r="E893" s="29">
        <v>0</v>
      </c>
      <c r="F893" s="29" t="s">
        <v>1470</v>
      </c>
      <c r="G893" s="30"/>
      <c r="J893" s="3" t="s">
        <v>10</v>
      </c>
      <c r="N893" s="3">
        <v>2430</v>
      </c>
    </row>
    <row r="894" spans="2:14" s="3" customFormat="1" hidden="1" outlineLevel="1" x14ac:dyDescent="0.25">
      <c r="B894" s="28" t="s">
        <v>203</v>
      </c>
      <c r="C894" s="29" t="s">
        <v>1635</v>
      </c>
      <c r="D894" s="29" t="s">
        <v>1636</v>
      </c>
      <c r="E894" s="29" t="s">
        <v>1637</v>
      </c>
      <c r="F894" s="29" t="s">
        <v>1476</v>
      </c>
      <c r="G894" s="24"/>
      <c r="J894" s="3" t="s">
        <v>187</v>
      </c>
      <c r="N894" s="3">
        <v>1041</v>
      </c>
    </row>
    <row r="895" spans="2:14" s="3" customFormat="1" hidden="1" outlineLevel="1" x14ac:dyDescent="0.25">
      <c r="B895" s="28" t="s">
        <v>204</v>
      </c>
      <c r="C895" s="29" t="s">
        <v>1638</v>
      </c>
      <c r="D895" s="29" t="s">
        <v>1539</v>
      </c>
      <c r="E895" s="29">
        <v>0</v>
      </c>
      <c r="F895" s="29" t="s">
        <v>1470</v>
      </c>
      <c r="G895" s="24" t="s">
        <v>1639</v>
      </c>
      <c r="J895" s="3" t="s">
        <v>20</v>
      </c>
      <c r="N895" s="3">
        <v>1179</v>
      </c>
    </row>
    <row r="896" spans="2:14" s="3" customFormat="1" hidden="1" outlineLevel="1" x14ac:dyDescent="0.25">
      <c r="B896" s="28" t="s">
        <v>205</v>
      </c>
      <c r="C896" s="29" t="s">
        <v>1640</v>
      </c>
      <c r="D896" s="29" t="s">
        <v>1469</v>
      </c>
      <c r="E896" s="29">
        <v>0</v>
      </c>
      <c r="F896" s="29" t="s">
        <v>1476</v>
      </c>
      <c r="G896" s="24" t="s">
        <v>1641</v>
      </c>
      <c r="J896" s="3" t="s">
        <v>10</v>
      </c>
      <c r="N896" s="3">
        <v>1302</v>
      </c>
    </row>
    <row r="897" spans="2:14" s="3" customFormat="1" hidden="1" outlineLevel="1" x14ac:dyDescent="0.25">
      <c r="B897" s="28" t="s">
        <v>206</v>
      </c>
      <c r="C897" s="29" t="s">
        <v>1642</v>
      </c>
      <c r="D897" s="29" t="s">
        <v>1539</v>
      </c>
      <c r="E897" s="29">
        <v>0</v>
      </c>
      <c r="F897" s="29" t="s">
        <v>1470</v>
      </c>
      <c r="G897" s="24" t="s">
        <v>1643</v>
      </c>
      <c r="J897" s="3" t="s">
        <v>20</v>
      </c>
      <c r="N897" s="3">
        <v>1306</v>
      </c>
    </row>
    <row r="898" spans="2:14" s="3" customFormat="1" hidden="1" outlineLevel="1" x14ac:dyDescent="0.25">
      <c r="B898" s="28" t="s">
        <v>207</v>
      </c>
      <c r="C898" s="29" t="s">
        <v>1644</v>
      </c>
      <c r="D898" s="29" t="s">
        <v>1486</v>
      </c>
      <c r="E898" s="29">
        <v>0</v>
      </c>
      <c r="F898" s="29" t="s">
        <v>1470</v>
      </c>
      <c r="G898" s="24" t="s">
        <v>1645</v>
      </c>
      <c r="J898" s="3" t="s">
        <v>20</v>
      </c>
      <c r="N898" s="3">
        <v>1310</v>
      </c>
    </row>
    <row r="899" spans="2:14" s="3" customFormat="1" hidden="1" outlineLevel="1" x14ac:dyDescent="0.25">
      <c r="B899" s="195" t="s">
        <v>208</v>
      </c>
      <c r="C899" s="183" t="s">
        <v>1646</v>
      </c>
      <c r="D899" s="183" t="s">
        <v>1469</v>
      </c>
      <c r="E899" s="183" t="s">
        <v>1480</v>
      </c>
      <c r="F899" s="183" t="s">
        <v>1481</v>
      </c>
      <c r="G899" s="184" t="s">
        <v>1647</v>
      </c>
      <c r="J899" s="3" t="s">
        <v>10</v>
      </c>
      <c r="N899" s="3">
        <v>1184</v>
      </c>
    </row>
    <row r="900" spans="2:14" s="3" customFormat="1" hidden="1" outlineLevel="1" x14ac:dyDescent="0.25">
      <c r="B900" s="195" t="s">
        <v>209</v>
      </c>
      <c r="C900" s="183" t="s">
        <v>1648</v>
      </c>
      <c r="D900" s="183" t="s">
        <v>1469</v>
      </c>
      <c r="E900" s="183" t="s">
        <v>1549</v>
      </c>
      <c r="F900" s="183" t="s">
        <v>1481</v>
      </c>
      <c r="G900" s="184" t="s">
        <v>1649</v>
      </c>
      <c r="J900" s="3" t="s">
        <v>10</v>
      </c>
      <c r="N900" s="3">
        <v>1185</v>
      </c>
    </row>
    <row r="901" spans="2:14" s="3" customFormat="1" hidden="1" outlineLevel="1" x14ac:dyDescent="0.25">
      <c r="B901" s="195" t="s">
        <v>210</v>
      </c>
      <c r="C901" s="183" t="s">
        <v>1650</v>
      </c>
      <c r="D901" s="183" t="s">
        <v>1567</v>
      </c>
      <c r="E901" s="183">
        <v>0</v>
      </c>
      <c r="F901" s="183"/>
      <c r="G901" s="184"/>
      <c r="J901" s="3" t="s">
        <v>12</v>
      </c>
      <c r="N901" s="3">
        <v>1189</v>
      </c>
    </row>
    <row r="902" spans="2:14" s="3" customFormat="1" hidden="1" outlineLevel="1" x14ac:dyDescent="0.25">
      <c r="B902" s="28" t="s">
        <v>211</v>
      </c>
      <c r="C902" s="29" t="s">
        <v>1651</v>
      </c>
      <c r="D902" s="29" t="s">
        <v>1652</v>
      </c>
      <c r="E902" s="29" t="s">
        <v>1594</v>
      </c>
      <c r="F902" s="29" t="s">
        <v>1470</v>
      </c>
      <c r="G902" s="30" t="s">
        <v>1653</v>
      </c>
      <c r="J902" s="3" t="s">
        <v>10</v>
      </c>
      <c r="N902" s="3">
        <v>1173</v>
      </c>
    </row>
    <row r="903" spans="2:14" s="3" customFormat="1" hidden="1" outlineLevel="1" x14ac:dyDescent="0.25">
      <c r="B903" s="28" t="s">
        <v>212</v>
      </c>
      <c r="C903" s="29" t="s">
        <v>1654</v>
      </c>
      <c r="D903" s="29" t="s">
        <v>1486</v>
      </c>
      <c r="E903" s="29">
        <v>0</v>
      </c>
      <c r="F903" s="29" t="s">
        <v>1470</v>
      </c>
      <c r="G903" s="24" t="s">
        <v>1655</v>
      </c>
      <c r="J903" s="3" t="s">
        <v>20</v>
      </c>
      <c r="N903" s="3">
        <v>1188</v>
      </c>
    </row>
    <row r="904" spans="2:14" s="3" customFormat="1" hidden="1" outlineLevel="1" x14ac:dyDescent="0.25">
      <c r="B904" s="185" t="s">
        <v>213</v>
      </c>
      <c r="C904" s="23" t="s">
        <v>1656</v>
      </c>
      <c r="D904" s="23" t="s">
        <v>1489</v>
      </c>
      <c r="E904" s="23">
        <v>0</v>
      </c>
      <c r="F904" s="23" t="s">
        <v>1470</v>
      </c>
      <c r="G904" s="24" t="s">
        <v>1657</v>
      </c>
      <c r="J904" s="3" t="s">
        <v>20</v>
      </c>
      <c r="N904" s="3">
        <v>1180</v>
      </c>
    </row>
    <row r="905" spans="2:14" s="3" customFormat="1" hidden="1" outlineLevel="1" x14ac:dyDescent="0.25">
      <c r="B905" s="28" t="s">
        <v>22</v>
      </c>
      <c r="C905" s="23" t="s">
        <v>1488</v>
      </c>
      <c r="D905" s="23" t="s">
        <v>1489</v>
      </c>
      <c r="E905" s="23">
        <v>0</v>
      </c>
      <c r="F905" s="23" t="s">
        <v>1470</v>
      </c>
      <c r="G905" s="24" t="s">
        <v>1490</v>
      </c>
      <c r="J905" s="3" t="s">
        <v>20</v>
      </c>
      <c r="N905" s="3">
        <v>2052</v>
      </c>
    </row>
    <row r="906" spans="2:14" s="3" customFormat="1" hidden="1" outlineLevel="1" x14ac:dyDescent="0.25">
      <c r="B906" s="28" t="s">
        <v>214</v>
      </c>
      <c r="C906" s="23" t="s">
        <v>1658</v>
      </c>
      <c r="D906" s="23" t="s">
        <v>1489</v>
      </c>
      <c r="E906" s="23">
        <v>0</v>
      </c>
      <c r="F906" s="23" t="s">
        <v>1470</v>
      </c>
      <c r="G906" s="24" t="s">
        <v>1659</v>
      </c>
      <c r="J906" s="3" t="s">
        <v>20</v>
      </c>
      <c r="N906" s="3">
        <v>2345</v>
      </c>
    </row>
    <row r="907" spans="2:14" s="3" customFormat="1" hidden="1" outlineLevel="1" x14ac:dyDescent="0.25">
      <c r="B907" s="28" t="s">
        <v>215</v>
      </c>
      <c r="C907" s="23" t="s">
        <v>1660</v>
      </c>
      <c r="D907" s="23" t="s">
        <v>1489</v>
      </c>
      <c r="E907" s="23">
        <v>0</v>
      </c>
      <c r="F907" s="23" t="s">
        <v>1470</v>
      </c>
      <c r="G907" s="24"/>
      <c r="J907" s="3" t="s">
        <v>20</v>
      </c>
      <c r="N907" s="3">
        <v>1518</v>
      </c>
    </row>
    <row r="908" spans="2:14" s="3" customFormat="1" hidden="1" outlineLevel="1" x14ac:dyDescent="0.25">
      <c r="B908" s="28" t="s">
        <v>216</v>
      </c>
      <c r="C908" s="23" t="s">
        <v>1661</v>
      </c>
      <c r="D908" s="23" t="s">
        <v>1489</v>
      </c>
      <c r="E908" s="23">
        <v>0</v>
      </c>
      <c r="F908" s="23" t="s">
        <v>1470</v>
      </c>
      <c r="G908" s="24" t="s">
        <v>1662</v>
      </c>
      <c r="J908" s="3" t="s">
        <v>20</v>
      </c>
      <c r="N908" s="3">
        <v>1735</v>
      </c>
    </row>
    <row r="909" spans="2:14" s="3" customFormat="1" hidden="1" outlineLevel="1" x14ac:dyDescent="0.25">
      <c r="B909" s="28" t="s">
        <v>217</v>
      </c>
      <c r="C909" s="23" t="s">
        <v>1663</v>
      </c>
      <c r="D909" s="23" t="s">
        <v>1489</v>
      </c>
      <c r="E909" s="23">
        <v>0</v>
      </c>
      <c r="F909" s="23" t="s">
        <v>1470</v>
      </c>
      <c r="G909" s="24" t="s">
        <v>1664</v>
      </c>
      <c r="J909" s="3" t="s">
        <v>20</v>
      </c>
      <c r="N909" s="3">
        <v>2424</v>
      </c>
    </row>
    <row r="910" spans="2:14" s="3" customFormat="1" hidden="1" outlineLevel="1" x14ac:dyDescent="0.25">
      <c r="B910" s="28" t="s">
        <v>218</v>
      </c>
      <c r="C910" s="23" t="s">
        <v>1665</v>
      </c>
      <c r="D910" s="23" t="s">
        <v>1489</v>
      </c>
      <c r="E910" s="23">
        <v>0</v>
      </c>
      <c r="F910" s="23" t="s">
        <v>1470</v>
      </c>
      <c r="G910" s="24" t="s">
        <v>1666</v>
      </c>
      <c r="J910" s="3" t="s">
        <v>20</v>
      </c>
      <c r="N910" s="3">
        <v>1994</v>
      </c>
    </row>
    <row r="911" spans="2:14" s="3" customFormat="1" hidden="1" outlineLevel="1" x14ac:dyDescent="0.25">
      <c r="B911" s="28" t="s">
        <v>219</v>
      </c>
      <c r="C911" s="23" t="s">
        <v>1667</v>
      </c>
      <c r="D911" s="23" t="s">
        <v>1489</v>
      </c>
      <c r="E911" s="23">
        <v>0</v>
      </c>
      <c r="F911" s="23" t="s">
        <v>1470</v>
      </c>
      <c r="G911" s="24" t="s">
        <v>1668</v>
      </c>
      <c r="J911" s="3" t="s">
        <v>20</v>
      </c>
      <c r="N911" s="3">
        <v>1692</v>
      </c>
    </row>
    <row r="912" spans="2:14" s="3" customFormat="1" hidden="1" outlineLevel="1" x14ac:dyDescent="0.25">
      <c r="B912" s="28" t="s">
        <v>220</v>
      </c>
      <c r="C912" s="23" t="s">
        <v>1669</v>
      </c>
      <c r="D912" s="23" t="s">
        <v>1489</v>
      </c>
      <c r="E912" s="23">
        <v>0</v>
      </c>
      <c r="F912" s="23" t="s">
        <v>1470</v>
      </c>
      <c r="G912" s="24" t="s">
        <v>1670</v>
      </c>
      <c r="J912" s="3" t="s">
        <v>20</v>
      </c>
      <c r="N912" s="3">
        <v>1996</v>
      </c>
    </row>
    <row r="913" spans="1:14" s="3" customFormat="1" hidden="1" outlineLevel="1" x14ac:dyDescent="0.25">
      <c r="B913" s="28" t="s">
        <v>128</v>
      </c>
      <c r="C913" s="23" t="s">
        <v>1566</v>
      </c>
      <c r="D913" s="23" t="s">
        <v>1567</v>
      </c>
      <c r="E913" s="23">
        <v>0</v>
      </c>
      <c r="F913" s="23" t="s">
        <v>1470</v>
      </c>
      <c r="G913" s="24"/>
      <c r="J913" s="3" t="s">
        <v>12</v>
      </c>
      <c r="N913" s="3">
        <v>1629</v>
      </c>
    </row>
    <row r="914" spans="1:14" s="3" customFormat="1" hidden="1" outlineLevel="1" x14ac:dyDescent="0.25">
      <c r="B914" s="28" t="s">
        <v>221</v>
      </c>
      <c r="C914" s="23" t="s">
        <v>1671</v>
      </c>
      <c r="D914" s="23" t="s">
        <v>1616</v>
      </c>
      <c r="E914" s="23" t="s">
        <v>1617</v>
      </c>
      <c r="F914" s="23" t="s">
        <v>1476</v>
      </c>
      <c r="G914" s="24" t="s">
        <v>1672</v>
      </c>
      <c r="J914" s="3" t="s">
        <v>187</v>
      </c>
      <c r="N914" s="3">
        <v>1073</v>
      </c>
    </row>
    <row r="915" spans="1:14" s="3" customFormat="1" hidden="1" outlineLevel="1" x14ac:dyDescent="0.25">
      <c r="B915" s="28" t="s">
        <v>185</v>
      </c>
      <c r="C915" s="23" t="s">
        <v>1604</v>
      </c>
      <c r="D915" s="23" t="s">
        <v>1469</v>
      </c>
      <c r="E915" s="23">
        <v>0</v>
      </c>
      <c r="F915" s="23" t="s">
        <v>1470</v>
      </c>
      <c r="G915" s="24"/>
      <c r="J915" s="3" t="s">
        <v>10</v>
      </c>
      <c r="N915" s="3">
        <v>2330</v>
      </c>
    </row>
    <row r="916" spans="1:14" s="3" customFormat="1" hidden="1" outlineLevel="1" x14ac:dyDescent="0.25">
      <c r="B916" s="28" t="s">
        <v>222</v>
      </c>
      <c r="C916" s="23" t="s">
        <v>1673</v>
      </c>
      <c r="D916" s="23" t="s">
        <v>1652</v>
      </c>
      <c r="E916" s="23" t="s">
        <v>1594</v>
      </c>
      <c r="F916" s="23" t="s">
        <v>1470</v>
      </c>
      <c r="G916" s="24"/>
      <c r="J916" s="3" t="s">
        <v>187</v>
      </c>
      <c r="N916" s="3">
        <v>2331</v>
      </c>
    </row>
    <row r="917" spans="1:14" s="3" customFormat="1" hidden="1" outlineLevel="1" x14ac:dyDescent="0.25">
      <c r="B917" s="28" t="s">
        <v>223</v>
      </c>
      <c r="C917" s="23" t="s">
        <v>1674</v>
      </c>
      <c r="D917" s="23" t="s">
        <v>1494</v>
      </c>
      <c r="E917" s="23">
        <v>0</v>
      </c>
      <c r="F917" s="23" t="s">
        <v>1470</v>
      </c>
      <c r="G917" s="24"/>
      <c r="J917" s="3" t="s">
        <v>20</v>
      </c>
      <c r="N917" s="3">
        <v>2398</v>
      </c>
    </row>
    <row r="918" spans="1:14" s="3" customFormat="1" hidden="1" outlineLevel="1" x14ac:dyDescent="0.25">
      <c r="B918" s="28" t="s">
        <v>224</v>
      </c>
      <c r="C918" s="23" t="s">
        <v>1675</v>
      </c>
      <c r="D918" s="23" t="s">
        <v>1469</v>
      </c>
      <c r="E918" s="23">
        <v>0</v>
      </c>
      <c r="F918" s="23" t="s">
        <v>1476</v>
      </c>
      <c r="G918" s="24"/>
      <c r="J918" s="3" t="s">
        <v>10</v>
      </c>
      <c r="N918" s="3">
        <v>1737</v>
      </c>
    </row>
    <row r="919" spans="1:14" s="3" customFormat="1" hidden="1" outlineLevel="1" x14ac:dyDescent="0.25">
      <c r="B919" s="28" t="s">
        <v>225</v>
      </c>
      <c r="C919" s="23" t="s">
        <v>1676</v>
      </c>
      <c r="D919" s="23" t="s">
        <v>1489</v>
      </c>
      <c r="E919" s="23">
        <v>0</v>
      </c>
      <c r="F919" s="23" t="s">
        <v>1470</v>
      </c>
      <c r="G919" s="24"/>
      <c r="J919" s="3" t="s">
        <v>20</v>
      </c>
    </row>
    <row r="920" spans="1:14" s="3" customFormat="1" hidden="1" outlineLevel="1" x14ac:dyDescent="0.25">
      <c r="B920" s="28" t="s">
        <v>226</v>
      </c>
      <c r="C920" s="23" t="s">
        <v>1677</v>
      </c>
      <c r="D920" s="23" t="s">
        <v>1539</v>
      </c>
      <c r="E920" s="23">
        <v>0</v>
      </c>
      <c r="F920" s="23" t="s">
        <v>1470</v>
      </c>
      <c r="G920" s="24"/>
      <c r="J920" s="3" t="s">
        <v>20</v>
      </c>
      <c r="N920" s="3">
        <v>1182</v>
      </c>
    </row>
    <row r="921" spans="1:14" s="3" customFormat="1" hidden="1" outlineLevel="1" x14ac:dyDescent="0.25">
      <c r="B921" s="28" t="s">
        <v>194</v>
      </c>
      <c r="C921" s="23" t="s">
        <v>1618</v>
      </c>
      <c r="D921" s="23" t="s">
        <v>1469</v>
      </c>
      <c r="E921" s="23">
        <v>0</v>
      </c>
      <c r="F921" s="23"/>
      <c r="G921" s="24" t="s">
        <v>1619</v>
      </c>
      <c r="J921" s="3" t="s">
        <v>10</v>
      </c>
      <c r="N921" s="3">
        <v>3169</v>
      </c>
    </row>
    <row r="922" spans="1:14" s="3" customFormat="1" ht="16.2" hidden="1" outlineLevel="1" thickBot="1" x14ac:dyDescent="0.3">
      <c r="B922" s="28" t="s">
        <v>195</v>
      </c>
      <c r="C922" s="23" t="s">
        <v>1620</v>
      </c>
      <c r="D922" s="23" t="s">
        <v>1469</v>
      </c>
      <c r="E922" s="23">
        <v>0</v>
      </c>
      <c r="F922" s="23"/>
      <c r="G922" s="24" t="s">
        <v>1621</v>
      </c>
      <c r="J922" s="3" t="s">
        <v>10</v>
      </c>
      <c r="N922" s="3">
        <v>3168</v>
      </c>
    </row>
    <row r="923" spans="1:14" s="6" customFormat="1" hidden="1" outlineLevel="1" x14ac:dyDescent="0.25">
      <c r="A923" s="5"/>
      <c r="B923" s="380" t="s">
        <v>29</v>
      </c>
      <c r="C923" s="381"/>
      <c r="D923" s="381"/>
      <c r="E923" s="381"/>
      <c r="F923" s="381"/>
      <c r="G923" s="382"/>
    </row>
    <row r="924" spans="1:14" s="3" customFormat="1" hidden="1" outlineLevel="1" x14ac:dyDescent="0.25">
      <c r="B924" s="28" t="s">
        <v>68</v>
      </c>
      <c r="C924" s="23"/>
      <c r="D924" s="23"/>
      <c r="E924" s="23"/>
      <c r="F924" s="23"/>
      <c r="G924" s="24"/>
    </row>
    <row r="925" spans="1:14" s="3" customFormat="1" hidden="1" outlineLevel="1" x14ac:dyDescent="0.25">
      <c r="B925" s="28" t="s">
        <v>92</v>
      </c>
      <c r="C925" s="23"/>
      <c r="D925" s="23"/>
      <c r="E925" s="23"/>
      <c r="F925" s="23"/>
      <c r="G925" s="24"/>
    </row>
    <row r="926" spans="1:14" s="3" customFormat="1" hidden="1" outlineLevel="1" x14ac:dyDescent="0.25">
      <c r="B926" s="28" t="s">
        <v>227</v>
      </c>
      <c r="C926" s="23"/>
      <c r="D926" s="23"/>
      <c r="E926" s="23"/>
      <c r="F926" s="23"/>
      <c r="G926" s="24"/>
    </row>
    <row r="927" spans="1:14" s="3" customFormat="1" hidden="1" outlineLevel="1" x14ac:dyDescent="0.25">
      <c r="B927" s="28" t="s">
        <v>66</v>
      </c>
      <c r="C927" s="23"/>
      <c r="D927" s="23"/>
      <c r="E927" s="23"/>
      <c r="F927" s="23"/>
      <c r="G927" s="24"/>
    </row>
    <row r="928" spans="1:14" s="3" customFormat="1" hidden="1" outlineLevel="1" x14ac:dyDescent="0.25">
      <c r="B928" s="28" t="s">
        <v>65</v>
      </c>
      <c r="C928" s="23"/>
      <c r="D928" s="23"/>
      <c r="E928" s="23"/>
      <c r="F928" s="23"/>
      <c r="G928" s="24"/>
    </row>
    <row r="929" spans="1:14" s="4" customFormat="1" ht="17.399999999999999" hidden="1" customHeight="1" outlineLevel="1" x14ac:dyDescent="0.35">
      <c r="A929" s="5"/>
      <c r="B929" s="67" t="s">
        <v>30</v>
      </c>
      <c r="C929" s="65"/>
      <c r="D929" s="65"/>
      <c r="E929" s="65"/>
      <c r="F929" s="65"/>
      <c r="G929" s="371" t="s">
        <v>2357</v>
      </c>
      <c r="H929" s="5"/>
      <c r="I929" s="5"/>
      <c r="J929" s="5"/>
      <c r="K929" s="5"/>
      <c r="L929" s="5"/>
      <c r="M929" s="5"/>
    </row>
    <row r="930" spans="1:14" s="3" customFormat="1" hidden="1" outlineLevel="1" x14ac:dyDescent="0.25">
      <c r="B930" s="28" t="s">
        <v>228</v>
      </c>
      <c r="C930" s="23"/>
      <c r="D930" s="23"/>
      <c r="E930" s="23"/>
      <c r="F930" s="23"/>
      <c r="G930" s="24" t="s">
        <v>229</v>
      </c>
    </row>
    <row r="931" spans="1:14" s="3" customFormat="1" hidden="1" outlineLevel="1" x14ac:dyDescent="0.25">
      <c r="B931" s="28" t="s">
        <v>230</v>
      </c>
      <c r="C931" s="23"/>
      <c r="D931" s="23"/>
      <c r="E931" s="23"/>
      <c r="F931" s="23"/>
      <c r="G931" s="24" t="s">
        <v>231</v>
      </c>
    </row>
    <row r="932" spans="1:14" s="3" customFormat="1" hidden="1" outlineLevel="1" x14ac:dyDescent="0.25">
      <c r="B932" s="28" t="s">
        <v>232</v>
      </c>
      <c r="C932" s="23"/>
      <c r="D932" s="23"/>
      <c r="E932" s="23"/>
      <c r="F932" s="23"/>
      <c r="G932" s="24"/>
    </row>
    <row r="933" spans="1:14" s="3" customFormat="1" hidden="1" outlineLevel="1" x14ac:dyDescent="0.25">
      <c r="B933" s="28" t="s">
        <v>233</v>
      </c>
      <c r="C933" s="23"/>
      <c r="D933" s="23"/>
      <c r="E933" s="23"/>
      <c r="F933" s="23"/>
      <c r="G933" s="24"/>
    </row>
    <row r="934" spans="1:14" s="3" customFormat="1" hidden="1" outlineLevel="1" x14ac:dyDescent="0.25">
      <c r="B934" s="28" t="s">
        <v>234</v>
      </c>
      <c r="C934" s="23"/>
      <c r="D934" s="23"/>
      <c r="E934" s="23"/>
      <c r="F934" s="23"/>
      <c r="G934" s="24" t="s">
        <v>235</v>
      </c>
    </row>
    <row r="935" spans="1:14" s="3" customFormat="1" hidden="1" outlineLevel="1" x14ac:dyDescent="0.25">
      <c r="B935" s="28" t="s">
        <v>238</v>
      </c>
      <c r="C935" s="23"/>
      <c r="D935" s="23"/>
      <c r="E935" s="23"/>
      <c r="F935" s="23"/>
      <c r="G935" s="374" t="s">
        <v>2376</v>
      </c>
    </row>
    <row r="936" spans="1:14" s="3" customFormat="1" ht="16.2" hidden="1" outlineLevel="1" thickBot="1" x14ac:dyDescent="0.3">
      <c r="B936" s="163"/>
      <c r="C936" s="164"/>
      <c r="D936" s="164"/>
      <c r="E936" s="164"/>
      <c r="F936" s="164"/>
      <c r="G936" s="165"/>
    </row>
    <row r="937" spans="1:14" hidden="1" outlineLevel="1" x14ac:dyDescent="0.25"/>
    <row r="938" spans="1:14" ht="16.2" hidden="1" outlineLevel="1" thickBot="1" x14ac:dyDescent="0.3"/>
    <row r="939" spans="1:14" s="3" customFormat="1" ht="18.75" customHeight="1" collapsed="1" thickBot="1" x14ac:dyDescent="0.3">
      <c r="A939" s="5"/>
      <c r="B939" s="15" t="s">
        <v>1279</v>
      </c>
      <c r="C939" s="16" t="s">
        <v>1367</v>
      </c>
      <c r="D939" s="17" t="s">
        <v>1281</v>
      </c>
      <c r="E939" s="16" t="s">
        <v>239</v>
      </c>
      <c r="F939" s="17" t="s">
        <v>1282</v>
      </c>
      <c r="G939" s="18" t="s">
        <v>1368</v>
      </c>
    </row>
    <row r="940" spans="1:14" s="3" customFormat="1" ht="17.399999999999999" hidden="1" customHeight="1" outlineLevel="1" x14ac:dyDescent="0.25">
      <c r="A940" s="5"/>
      <c r="B940" s="19" t="s">
        <v>1284</v>
      </c>
      <c r="C940" s="20" t="s">
        <v>1285</v>
      </c>
      <c r="D940" s="21" t="s">
        <v>1286</v>
      </c>
      <c r="E940" s="20" t="s">
        <v>1369</v>
      </c>
      <c r="F940" s="21" t="s">
        <v>1288</v>
      </c>
      <c r="G940" s="22" t="s">
        <v>1370</v>
      </c>
    </row>
    <row r="941" spans="1:14" s="3" customFormat="1" ht="17.399999999999999" hidden="1" customHeight="1" outlineLevel="1" thickBot="1" x14ac:dyDescent="0.3">
      <c r="A941" s="5"/>
      <c r="B941" s="19" t="s">
        <v>1290</v>
      </c>
      <c r="C941" s="23" t="s">
        <v>1291</v>
      </c>
      <c r="D941" s="21" t="s">
        <v>1292</v>
      </c>
      <c r="E941" s="23">
        <v>5</v>
      </c>
      <c r="F941" s="21" t="s">
        <v>1293</v>
      </c>
      <c r="G941" s="24" t="s">
        <v>1294</v>
      </c>
    </row>
    <row r="942" spans="1:14" s="3" customFormat="1" ht="17.399999999999999" hidden="1" customHeight="1" outlineLevel="1" x14ac:dyDescent="0.25">
      <c r="A942" s="5"/>
      <c r="B942" s="401" t="s">
        <v>1</v>
      </c>
      <c r="C942" s="402"/>
      <c r="D942" s="402"/>
      <c r="E942" s="402"/>
      <c r="F942" s="402"/>
      <c r="G942" s="403"/>
    </row>
    <row r="943" spans="1:14" s="3" customFormat="1" ht="17.399999999999999" hidden="1" customHeight="1" outlineLevel="1" x14ac:dyDescent="0.25">
      <c r="A943" s="5"/>
      <c r="B943" s="25" t="s">
        <v>2</v>
      </c>
      <c r="C943" s="26" t="s">
        <v>3</v>
      </c>
      <c r="D943" s="26" t="s">
        <v>4</v>
      </c>
      <c r="E943" s="26" t="s">
        <v>5</v>
      </c>
      <c r="F943" s="26"/>
      <c r="G943" s="27" t="s">
        <v>6</v>
      </c>
    </row>
    <row r="944" spans="1:14" s="3" customFormat="1" hidden="1" outlineLevel="1" x14ac:dyDescent="0.25">
      <c r="B944" s="28" t="s">
        <v>7</v>
      </c>
      <c r="C944" s="29" t="s">
        <v>1468</v>
      </c>
      <c r="D944" s="29" t="s">
        <v>1469</v>
      </c>
      <c r="E944" s="29">
        <v>0</v>
      </c>
      <c r="F944" s="29" t="s">
        <v>1470</v>
      </c>
      <c r="G944" s="30" t="s">
        <v>1471</v>
      </c>
      <c r="J944" s="3" t="s">
        <v>10</v>
      </c>
      <c r="N944" s="3">
        <v>1112</v>
      </c>
    </row>
    <row r="945" spans="2:14" s="3" customFormat="1" hidden="1" outlineLevel="1" x14ac:dyDescent="0.25">
      <c r="B945" s="28" t="s">
        <v>11</v>
      </c>
      <c r="C945" s="29" t="s">
        <v>1472</v>
      </c>
      <c r="D945" s="29" t="s">
        <v>1469</v>
      </c>
      <c r="E945" s="29">
        <v>0</v>
      </c>
      <c r="F945" s="29" t="s">
        <v>1470</v>
      </c>
      <c r="G945" s="30" t="s">
        <v>1473</v>
      </c>
      <c r="J945" s="3" t="s">
        <v>12</v>
      </c>
      <c r="N945" s="3">
        <v>1700</v>
      </c>
    </row>
    <row r="946" spans="2:14" s="3" customFormat="1" hidden="1" outlineLevel="1" x14ac:dyDescent="0.25">
      <c r="B946" s="28" t="s">
        <v>185</v>
      </c>
      <c r="C946" s="29" t="s">
        <v>1604</v>
      </c>
      <c r="D946" s="29" t="s">
        <v>1469</v>
      </c>
      <c r="E946" s="29">
        <v>0</v>
      </c>
      <c r="F946" s="29" t="s">
        <v>1470</v>
      </c>
      <c r="G946" s="30"/>
      <c r="J946" s="3" t="s">
        <v>10</v>
      </c>
      <c r="N946" s="3">
        <v>2330</v>
      </c>
    </row>
    <row r="947" spans="2:14" s="3" customFormat="1" hidden="1" outlineLevel="1" x14ac:dyDescent="0.25">
      <c r="B947" s="28" t="s">
        <v>160</v>
      </c>
      <c r="C947" s="29" t="s">
        <v>1588</v>
      </c>
      <c r="D947" s="29" t="s">
        <v>1469</v>
      </c>
      <c r="E947" s="29">
        <v>0</v>
      </c>
      <c r="F947" s="29"/>
      <c r="G947" s="30"/>
      <c r="J947" s="3" t="s">
        <v>10</v>
      </c>
      <c r="N947" s="3">
        <v>1604</v>
      </c>
    </row>
    <row r="948" spans="2:14" s="3" customFormat="1" hidden="1" outlineLevel="1" x14ac:dyDescent="0.25">
      <c r="B948" s="28"/>
      <c r="C948" s="29"/>
      <c r="D948" s="29"/>
      <c r="E948" s="29"/>
      <c r="F948" s="29"/>
      <c r="G948" s="30"/>
    </row>
    <row r="949" spans="2:14" s="3" customFormat="1" hidden="1" outlineLevel="1" x14ac:dyDescent="0.25">
      <c r="B949" s="28"/>
      <c r="C949" s="29"/>
      <c r="D949" s="29"/>
      <c r="E949" s="29"/>
      <c r="F949" s="29"/>
      <c r="G949" s="30"/>
    </row>
    <row r="950" spans="2:14" s="3" customFormat="1" hidden="1" outlineLevel="1" x14ac:dyDescent="0.25">
      <c r="B950" s="28" t="s">
        <v>18</v>
      </c>
      <c r="C950" s="29"/>
      <c r="D950" s="29"/>
      <c r="E950" s="29"/>
      <c r="F950" s="29"/>
      <c r="G950" s="30"/>
    </row>
    <row r="951" spans="2:14" s="3" customFormat="1" hidden="1" outlineLevel="1" x14ac:dyDescent="0.25">
      <c r="B951" s="28" t="s">
        <v>2</v>
      </c>
      <c r="C951" s="29" t="s">
        <v>3</v>
      </c>
      <c r="D951" s="29" t="s">
        <v>4</v>
      </c>
      <c r="E951" s="29" t="s">
        <v>5</v>
      </c>
      <c r="F951" s="29"/>
      <c r="G951" s="30" t="s">
        <v>6</v>
      </c>
    </row>
    <row r="952" spans="2:14" s="3" customFormat="1" hidden="1" outlineLevel="1" x14ac:dyDescent="0.25">
      <c r="B952" s="28" t="s">
        <v>25</v>
      </c>
      <c r="C952" s="29" t="s">
        <v>1492</v>
      </c>
      <c r="D952" s="29" t="s">
        <v>1469</v>
      </c>
      <c r="E952" s="29">
        <v>0</v>
      </c>
      <c r="F952" s="29" t="s">
        <v>1470</v>
      </c>
      <c r="G952" s="30" t="s">
        <v>1484</v>
      </c>
      <c r="J952" s="3" t="s">
        <v>10</v>
      </c>
      <c r="N952" s="3">
        <v>1080</v>
      </c>
    </row>
    <row r="953" spans="2:14" s="3" customFormat="1" hidden="1" outlineLevel="1" x14ac:dyDescent="0.25">
      <c r="B953" s="28" t="s">
        <v>154</v>
      </c>
      <c r="C953" s="29" t="s">
        <v>1678</v>
      </c>
      <c r="D953" s="29" t="s">
        <v>1652</v>
      </c>
      <c r="E953" s="29" t="s">
        <v>1594</v>
      </c>
      <c r="F953" s="29"/>
      <c r="G953" s="30"/>
      <c r="J953" s="3" t="s">
        <v>187</v>
      </c>
      <c r="N953" s="3">
        <v>1087</v>
      </c>
    </row>
    <row r="954" spans="2:14" s="3" customFormat="1" hidden="1" outlineLevel="1" x14ac:dyDescent="0.25">
      <c r="B954" s="28" t="s">
        <v>7</v>
      </c>
      <c r="C954" s="29" t="s">
        <v>1468</v>
      </c>
      <c r="D954" s="29" t="s">
        <v>1469</v>
      </c>
      <c r="E954" s="29">
        <v>0</v>
      </c>
      <c r="F954" s="29" t="s">
        <v>1470</v>
      </c>
      <c r="G954" s="30" t="s">
        <v>1471</v>
      </c>
      <c r="J954" s="3" t="s">
        <v>10</v>
      </c>
      <c r="N954" s="3">
        <v>1112</v>
      </c>
    </row>
    <row r="955" spans="2:14" s="3" customFormat="1" hidden="1" outlineLevel="1" x14ac:dyDescent="0.25">
      <c r="B955" s="28" t="s">
        <v>11</v>
      </c>
      <c r="C955" s="29" t="s">
        <v>1472</v>
      </c>
      <c r="D955" s="29" t="s">
        <v>1469</v>
      </c>
      <c r="E955" s="29">
        <v>0</v>
      </c>
      <c r="F955" s="29" t="s">
        <v>1470</v>
      </c>
      <c r="G955" s="30" t="s">
        <v>1473</v>
      </c>
      <c r="J955" s="3" t="s">
        <v>12</v>
      </c>
      <c r="N955" s="3">
        <v>1700</v>
      </c>
    </row>
    <row r="956" spans="2:14" s="3" customFormat="1" hidden="1" outlineLevel="1" x14ac:dyDescent="0.25">
      <c r="B956" s="28" t="s">
        <v>240</v>
      </c>
      <c r="C956" s="29" t="s">
        <v>1679</v>
      </c>
      <c r="D956" s="29" t="s">
        <v>1489</v>
      </c>
      <c r="E956" s="29">
        <v>0</v>
      </c>
      <c r="F956" s="29"/>
      <c r="G956" s="30" t="s">
        <v>1680</v>
      </c>
      <c r="J956" s="3" t="s">
        <v>20</v>
      </c>
      <c r="N956" s="3">
        <v>1274</v>
      </c>
    </row>
    <row r="957" spans="2:14" s="3" customFormat="1" hidden="1" outlineLevel="1" x14ac:dyDescent="0.25">
      <c r="B957" s="28" t="s">
        <v>22</v>
      </c>
      <c r="C957" s="29" t="s">
        <v>1488</v>
      </c>
      <c r="D957" s="29" t="s">
        <v>1489</v>
      </c>
      <c r="E957" s="29">
        <v>0</v>
      </c>
      <c r="F957" s="29" t="s">
        <v>1470</v>
      </c>
      <c r="G957" s="30" t="s">
        <v>1490</v>
      </c>
      <c r="J957" s="3" t="s">
        <v>20</v>
      </c>
      <c r="N957" s="3">
        <v>2052</v>
      </c>
    </row>
    <row r="958" spans="2:14" s="3" customFormat="1" hidden="1" outlineLevel="1" x14ac:dyDescent="0.25">
      <c r="B958" s="28" t="s">
        <v>63</v>
      </c>
      <c r="C958" s="29" t="s">
        <v>1526</v>
      </c>
      <c r="D958" s="29" t="s">
        <v>1489</v>
      </c>
      <c r="E958" s="29">
        <v>0</v>
      </c>
      <c r="F958" s="29"/>
      <c r="G958" s="30"/>
      <c r="J958" s="3" t="s">
        <v>20</v>
      </c>
      <c r="N958" s="3">
        <v>1682</v>
      </c>
    </row>
    <row r="959" spans="2:14" s="3" customFormat="1" hidden="1" outlineLevel="1" x14ac:dyDescent="0.25">
      <c r="B959" s="28" t="s">
        <v>78</v>
      </c>
      <c r="C959" s="29" t="s">
        <v>1534</v>
      </c>
      <c r="D959" s="29" t="s">
        <v>1489</v>
      </c>
      <c r="E959" s="29">
        <v>0</v>
      </c>
      <c r="F959" s="29"/>
      <c r="G959" s="30"/>
      <c r="J959" s="3" t="s">
        <v>20</v>
      </c>
      <c r="N959" s="3">
        <v>1977</v>
      </c>
    </row>
    <row r="960" spans="2:14" s="3" customFormat="1" hidden="1" outlineLevel="1" x14ac:dyDescent="0.25">
      <c r="B960" s="28" t="s">
        <v>165</v>
      </c>
      <c r="C960" s="29" t="s">
        <v>1597</v>
      </c>
      <c r="D960" s="29" t="s">
        <v>1489</v>
      </c>
      <c r="E960" s="29">
        <v>0</v>
      </c>
      <c r="F960" s="29"/>
      <c r="G960" s="30"/>
      <c r="J960" s="3" t="s">
        <v>20</v>
      </c>
    </row>
    <row r="961" spans="1:13" s="3" customFormat="1" hidden="1" outlineLevel="1" x14ac:dyDescent="0.25">
      <c r="B961" s="28" t="s">
        <v>241</v>
      </c>
      <c r="C961" s="29" t="s">
        <v>1681</v>
      </c>
      <c r="D961" s="29" t="s">
        <v>1489</v>
      </c>
      <c r="E961" s="29">
        <v>0</v>
      </c>
      <c r="F961" s="29"/>
      <c r="G961" s="30"/>
      <c r="J961" s="3" t="s">
        <v>20</v>
      </c>
    </row>
    <row r="962" spans="1:13" s="3" customFormat="1" ht="16.2" hidden="1" outlineLevel="1" thickBot="1" x14ac:dyDescent="0.3">
      <c r="B962" s="28"/>
      <c r="C962" s="29"/>
      <c r="D962" s="29"/>
      <c r="E962" s="29"/>
      <c r="F962" s="29"/>
      <c r="G962" s="30"/>
    </row>
    <row r="963" spans="1:13" s="3" customFormat="1" ht="17.399999999999999" hidden="1" customHeight="1" outlineLevel="1" x14ac:dyDescent="0.25">
      <c r="A963" s="5"/>
      <c r="B963" s="401" t="s">
        <v>29</v>
      </c>
      <c r="C963" s="402"/>
      <c r="D963" s="402"/>
      <c r="E963" s="402"/>
      <c r="F963" s="402"/>
      <c r="G963" s="403"/>
    </row>
    <row r="964" spans="1:13" s="3" customFormat="1" hidden="1" outlineLevel="1" x14ac:dyDescent="0.25">
      <c r="B964" s="28" t="s">
        <v>242</v>
      </c>
      <c r="C964" s="29"/>
      <c r="D964" s="29"/>
      <c r="E964" s="29"/>
      <c r="F964" s="29"/>
      <c r="G964" s="30"/>
    </row>
    <row r="965" spans="1:13" s="3" customFormat="1" hidden="1" outlineLevel="1" x14ac:dyDescent="0.25">
      <c r="B965" s="28" t="s">
        <v>243</v>
      </c>
      <c r="C965" s="29"/>
      <c r="D965" s="29"/>
      <c r="E965" s="29"/>
      <c r="F965" s="29"/>
      <c r="G965" s="30"/>
    </row>
    <row r="966" spans="1:13" s="3" customFormat="1" hidden="1" outlineLevel="1" x14ac:dyDescent="0.25">
      <c r="B966" s="28" t="s">
        <v>227</v>
      </c>
      <c r="C966" s="29"/>
      <c r="D966" s="29"/>
      <c r="E966" s="29"/>
      <c r="F966" s="29"/>
      <c r="G966" s="30"/>
    </row>
    <row r="967" spans="1:13" s="3" customFormat="1" hidden="1" outlineLevel="1" x14ac:dyDescent="0.25">
      <c r="B967" s="28" t="s">
        <v>68</v>
      </c>
      <c r="C967" s="29"/>
      <c r="D967" s="29"/>
      <c r="E967" s="29"/>
      <c r="F967" s="29"/>
      <c r="G967" s="30"/>
    </row>
    <row r="968" spans="1:13" s="4" customFormat="1" ht="17.399999999999999" hidden="1" customHeight="1" outlineLevel="1" x14ac:dyDescent="0.35">
      <c r="A968" s="5"/>
      <c r="B968" s="67" t="s">
        <v>30</v>
      </c>
      <c r="C968" s="65"/>
      <c r="D968" s="65"/>
      <c r="E968" s="65"/>
      <c r="F968" s="65"/>
      <c r="G968" s="371" t="s">
        <v>2357</v>
      </c>
      <c r="H968" s="5"/>
      <c r="I968" s="5"/>
      <c r="J968" s="5"/>
      <c r="K968" s="5"/>
      <c r="L968" s="5"/>
      <c r="M968" s="5"/>
    </row>
    <row r="969" spans="1:13" s="3" customFormat="1" hidden="1" outlineLevel="1" x14ac:dyDescent="0.25">
      <c r="B969" s="28" t="s">
        <v>230</v>
      </c>
      <c r="C969" s="29"/>
      <c r="D969" s="29"/>
      <c r="E969" s="29"/>
      <c r="F969" s="29"/>
      <c r="G969" s="30" t="s">
        <v>231</v>
      </c>
    </row>
    <row r="970" spans="1:13" s="3" customFormat="1" hidden="1" outlineLevel="1" x14ac:dyDescent="0.25">
      <c r="B970" s="28" t="s">
        <v>244</v>
      </c>
      <c r="C970" s="29"/>
      <c r="D970" s="29"/>
      <c r="E970" s="29"/>
      <c r="F970" s="29"/>
      <c r="G970" s="30" t="s">
        <v>229</v>
      </c>
    </row>
    <row r="971" spans="1:13" s="3" customFormat="1" hidden="1" outlineLevel="1" x14ac:dyDescent="0.25">
      <c r="B971" s="28" t="s">
        <v>69</v>
      </c>
      <c r="C971" s="29"/>
      <c r="D971" s="29"/>
      <c r="E971" s="29"/>
      <c r="F971" s="29"/>
      <c r="G971" s="30"/>
    </row>
    <row r="972" spans="1:13" s="3" customFormat="1" hidden="1" outlineLevel="1" x14ac:dyDescent="0.25">
      <c r="B972" s="28" t="s">
        <v>70</v>
      </c>
      <c r="C972" s="29"/>
      <c r="D972" s="29"/>
      <c r="E972" s="29"/>
      <c r="F972" s="29"/>
      <c r="G972" s="30"/>
    </row>
    <row r="973" spans="1:13" s="3" customFormat="1" hidden="1" outlineLevel="1" x14ac:dyDescent="0.25">
      <c r="B973" s="28" t="s">
        <v>234</v>
      </c>
      <c r="C973" s="29"/>
      <c r="D973" s="29"/>
      <c r="E973" s="29"/>
      <c r="F973" s="29"/>
      <c r="G973" s="30" t="s">
        <v>235</v>
      </c>
    </row>
    <row r="974" spans="1:13" s="3" customFormat="1" hidden="1" outlineLevel="1" x14ac:dyDescent="0.25">
      <c r="B974" s="28" t="s">
        <v>245</v>
      </c>
      <c r="C974" s="29"/>
      <c r="D974" s="29"/>
      <c r="E974" s="29"/>
      <c r="F974" s="29"/>
      <c r="G974" s="375" t="s">
        <v>2377</v>
      </c>
    </row>
    <row r="975" spans="1:13" s="3" customFormat="1" ht="16.2" hidden="1" outlineLevel="1" thickBot="1" x14ac:dyDescent="0.3">
      <c r="B975" s="163"/>
      <c r="C975" s="164"/>
      <c r="D975" s="164"/>
      <c r="E975" s="164"/>
      <c r="F975" s="164"/>
      <c r="G975" s="165"/>
    </row>
    <row r="976" spans="1:13" s="3" customFormat="1" ht="17.399999999999999" hidden="1" customHeight="1" outlineLevel="1" thickBot="1" x14ac:dyDescent="0.3"/>
    <row r="977" spans="1:14" s="3" customFormat="1" ht="17.399999999999999" customHeight="1" collapsed="1" thickBot="1" x14ac:dyDescent="0.3">
      <c r="A977" s="5"/>
      <c r="B977" s="15" t="s">
        <v>1279</v>
      </c>
      <c r="C977" s="16" t="s">
        <v>1371</v>
      </c>
      <c r="D977" s="17" t="s">
        <v>1281</v>
      </c>
      <c r="E977" s="16" t="s">
        <v>246</v>
      </c>
      <c r="F977" s="17" t="s">
        <v>1282</v>
      </c>
      <c r="G977" s="18" t="s">
        <v>1372</v>
      </c>
    </row>
    <row r="978" spans="1:14" s="3" customFormat="1" ht="17.399999999999999" hidden="1" customHeight="1" outlineLevel="1" x14ac:dyDescent="0.25">
      <c r="A978" s="5"/>
      <c r="B978" s="19" t="s">
        <v>1284</v>
      </c>
      <c r="C978" s="20" t="s">
        <v>1285</v>
      </c>
      <c r="D978" s="21" t="s">
        <v>1286</v>
      </c>
      <c r="E978" s="20" t="s">
        <v>1373</v>
      </c>
      <c r="F978" s="21" t="s">
        <v>1288</v>
      </c>
      <c r="G978" s="22"/>
    </row>
    <row r="979" spans="1:14" s="3" customFormat="1" ht="17.399999999999999" hidden="1" customHeight="1" outlineLevel="1" thickBot="1" x14ac:dyDescent="0.3">
      <c r="A979" s="5"/>
      <c r="B979" s="19" t="s">
        <v>1290</v>
      </c>
      <c r="C979" s="23" t="s">
        <v>1291</v>
      </c>
      <c r="D979" s="21" t="s">
        <v>1292</v>
      </c>
      <c r="E979" s="23">
        <v>5</v>
      </c>
      <c r="F979" s="21" t="s">
        <v>1293</v>
      </c>
      <c r="G979" s="24" t="s">
        <v>1294</v>
      </c>
    </row>
    <row r="980" spans="1:14" s="3" customFormat="1" ht="17.399999999999999" hidden="1" customHeight="1" outlineLevel="1" x14ac:dyDescent="0.25">
      <c r="A980" s="5"/>
      <c r="B980" s="395" t="s">
        <v>1</v>
      </c>
      <c r="C980" s="396"/>
      <c r="D980" s="396"/>
      <c r="E980" s="396"/>
      <c r="F980" s="396"/>
      <c r="G980" s="397"/>
    </row>
    <row r="981" spans="1:14" s="3" customFormat="1" ht="17.399999999999999" hidden="1" customHeight="1" outlineLevel="1" x14ac:dyDescent="0.25">
      <c r="A981" s="5"/>
      <c r="B981" s="25" t="s">
        <v>2</v>
      </c>
      <c r="C981" s="26" t="s">
        <v>3</v>
      </c>
      <c r="D981" s="26" t="s">
        <v>4</v>
      </c>
      <c r="E981" s="26" t="s">
        <v>5</v>
      </c>
      <c r="F981" s="26"/>
      <c r="G981" s="27" t="s">
        <v>6</v>
      </c>
    </row>
    <row r="982" spans="1:14" s="3" customFormat="1" hidden="1" outlineLevel="1" x14ac:dyDescent="0.25">
      <c r="B982" s="28" t="s">
        <v>7</v>
      </c>
      <c r="C982" s="29" t="s">
        <v>1468</v>
      </c>
      <c r="D982" s="29" t="s">
        <v>1469</v>
      </c>
      <c r="E982" s="29">
        <v>0</v>
      </c>
      <c r="F982" s="29" t="s">
        <v>1470</v>
      </c>
      <c r="G982" s="30" t="s">
        <v>1471</v>
      </c>
      <c r="J982" s="3" t="s">
        <v>10</v>
      </c>
      <c r="N982" s="3">
        <v>1112</v>
      </c>
    </row>
    <row r="983" spans="1:14" s="3" customFormat="1" hidden="1" outlineLevel="1" x14ac:dyDescent="0.25">
      <c r="B983" s="28" t="s">
        <v>11</v>
      </c>
      <c r="C983" s="29" t="s">
        <v>1472</v>
      </c>
      <c r="D983" s="29" t="s">
        <v>1469</v>
      </c>
      <c r="E983" s="29">
        <v>0</v>
      </c>
      <c r="F983" s="29" t="s">
        <v>1470</v>
      </c>
      <c r="G983" s="30" t="s">
        <v>1473</v>
      </c>
      <c r="J983" s="3" t="s">
        <v>12</v>
      </c>
      <c r="N983" s="3">
        <v>1700</v>
      </c>
    </row>
    <row r="984" spans="1:14" s="3" customFormat="1" hidden="1" outlineLevel="1" x14ac:dyDescent="0.25">
      <c r="B984" s="28" t="s">
        <v>185</v>
      </c>
      <c r="C984" s="29" t="s">
        <v>1604</v>
      </c>
      <c r="D984" s="29" t="s">
        <v>1469</v>
      </c>
      <c r="E984" s="29">
        <v>0</v>
      </c>
      <c r="F984" s="29" t="s">
        <v>1470</v>
      </c>
      <c r="G984" s="30"/>
      <c r="J984" s="3" t="s">
        <v>10</v>
      </c>
      <c r="N984" s="3">
        <v>2330</v>
      </c>
    </row>
    <row r="985" spans="1:14" s="3" customFormat="1" hidden="1" outlineLevel="1" x14ac:dyDescent="0.25">
      <c r="B985" s="28" t="s">
        <v>160</v>
      </c>
      <c r="C985" s="29" t="s">
        <v>1588</v>
      </c>
      <c r="D985" s="29" t="s">
        <v>1469</v>
      </c>
      <c r="E985" s="29">
        <v>0</v>
      </c>
      <c r="F985" s="29"/>
      <c r="G985" s="30"/>
      <c r="J985" s="3" t="s">
        <v>10</v>
      </c>
      <c r="N985" s="3">
        <v>1604</v>
      </c>
    </row>
    <row r="986" spans="1:14" s="3" customFormat="1" hidden="1" outlineLevel="1" x14ac:dyDescent="0.25">
      <c r="B986" s="28" t="s">
        <v>73</v>
      </c>
      <c r="C986" s="29" t="s">
        <v>1528</v>
      </c>
      <c r="D986" s="29" t="s">
        <v>1469</v>
      </c>
      <c r="E986" s="29" t="s">
        <v>1480</v>
      </c>
      <c r="F986" s="29" t="s">
        <v>1481</v>
      </c>
      <c r="G986" s="30"/>
      <c r="J986" s="3" t="s">
        <v>10</v>
      </c>
      <c r="N986" s="3">
        <v>1767</v>
      </c>
    </row>
    <row r="987" spans="1:14" s="3" customFormat="1" hidden="1" outlineLevel="1" x14ac:dyDescent="0.25">
      <c r="B987" s="28" t="s">
        <v>74</v>
      </c>
      <c r="C987" s="29" t="s">
        <v>1529</v>
      </c>
      <c r="D987" s="29" t="s">
        <v>1469</v>
      </c>
      <c r="E987" s="29" t="s">
        <v>1480</v>
      </c>
      <c r="F987" s="29" t="s">
        <v>1481</v>
      </c>
      <c r="G987" s="30"/>
      <c r="J987" s="3" t="s">
        <v>10</v>
      </c>
      <c r="N987" s="3">
        <v>1713</v>
      </c>
    </row>
    <row r="988" spans="1:14" s="3" customFormat="1" ht="16.2" hidden="1" outlineLevel="1" thickBot="1" x14ac:dyDescent="0.3">
      <c r="B988" s="28"/>
      <c r="C988" s="29"/>
      <c r="D988" s="29"/>
      <c r="E988" s="29"/>
      <c r="F988" s="29"/>
      <c r="G988" s="30"/>
    </row>
    <row r="989" spans="1:14" s="3" customFormat="1" ht="17.399999999999999" hidden="1" customHeight="1" outlineLevel="1" x14ac:dyDescent="0.25">
      <c r="A989" s="5"/>
      <c r="B989" s="395" t="s">
        <v>18</v>
      </c>
      <c r="C989" s="396"/>
      <c r="D989" s="396"/>
      <c r="E989" s="396"/>
      <c r="F989" s="396"/>
      <c r="G989" s="397"/>
    </row>
    <row r="990" spans="1:14" s="3" customFormat="1" ht="17.399999999999999" hidden="1" customHeight="1" outlineLevel="1" x14ac:dyDescent="0.25">
      <c r="A990" s="5"/>
      <c r="B990" s="25" t="s">
        <v>2</v>
      </c>
      <c r="C990" s="26" t="s">
        <v>3</v>
      </c>
      <c r="D990" s="26" t="s">
        <v>4</v>
      </c>
      <c r="E990" s="26" t="s">
        <v>5</v>
      </c>
      <c r="F990" s="26"/>
      <c r="G990" s="27" t="s">
        <v>6</v>
      </c>
    </row>
    <row r="991" spans="1:14" s="3" customFormat="1" hidden="1" outlineLevel="1" x14ac:dyDescent="0.25">
      <c r="B991" s="28" t="s">
        <v>247</v>
      </c>
      <c r="C991" s="29" t="s">
        <v>1682</v>
      </c>
      <c r="D991" s="29" t="s">
        <v>1469</v>
      </c>
      <c r="E991" s="29">
        <v>0</v>
      </c>
      <c r="F991" s="29"/>
      <c r="G991" s="30"/>
      <c r="J991" s="3" t="s">
        <v>10</v>
      </c>
      <c r="N991" s="3">
        <v>1263</v>
      </c>
    </row>
    <row r="992" spans="1:14" s="3" customFormat="1" hidden="1" outlineLevel="1" x14ac:dyDescent="0.25">
      <c r="B992" s="28" t="s">
        <v>25</v>
      </c>
      <c r="C992" s="29" t="s">
        <v>1492</v>
      </c>
      <c r="D992" s="29" t="s">
        <v>1469</v>
      </c>
      <c r="E992" s="29">
        <v>0</v>
      </c>
      <c r="F992" s="29" t="s">
        <v>1470</v>
      </c>
      <c r="G992" s="30" t="s">
        <v>1484</v>
      </c>
      <c r="J992" s="3" t="s">
        <v>10</v>
      </c>
      <c r="N992" s="3">
        <v>1080</v>
      </c>
    </row>
    <row r="993" spans="1:14" s="3" customFormat="1" hidden="1" outlineLevel="1" x14ac:dyDescent="0.25">
      <c r="B993" s="28" t="s">
        <v>154</v>
      </c>
      <c r="C993" s="29" t="s">
        <v>1678</v>
      </c>
      <c r="D993" s="29" t="s">
        <v>1652</v>
      </c>
      <c r="E993" s="29" t="s">
        <v>1594</v>
      </c>
      <c r="F993" s="29"/>
      <c r="G993" s="30"/>
      <c r="J993" s="3" t="s">
        <v>187</v>
      </c>
      <c r="N993" s="3">
        <v>1087</v>
      </c>
    </row>
    <row r="994" spans="1:14" s="3" customFormat="1" hidden="1" outlineLevel="1" x14ac:dyDescent="0.25">
      <c r="B994" s="28" t="s">
        <v>7</v>
      </c>
      <c r="C994" s="29" t="s">
        <v>1468</v>
      </c>
      <c r="D994" s="29" t="s">
        <v>1469</v>
      </c>
      <c r="E994" s="29">
        <v>0</v>
      </c>
      <c r="F994" s="29" t="s">
        <v>1470</v>
      </c>
      <c r="G994" s="30" t="s">
        <v>1471</v>
      </c>
      <c r="J994" s="3" t="s">
        <v>10</v>
      </c>
      <c r="N994" s="3">
        <v>1112</v>
      </c>
    </row>
    <row r="995" spans="1:14" s="3" customFormat="1" hidden="1" outlineLevel="1" x14ac:dyDescent="0.25">
      <c r="B995" s="28" t="s">
        <v>11</v>
      </c>
      <c r="C995" s="29" t="s">
        <v>1472</v>
      </c>
      <c r="D995" s="29" t="s">
        <v>1469</v>
      </c>
      <c r="E995" s="29">
        <v>0</v>
      </c>
      <c r="F995" s="29" t="s">
        <v>1470</v>
      </c>
      <c r="G995" s="30" t="s">
        <v>1473</v>
      </c>
      <c r="J995" s="3" t="s">
        <v>12</v>
      </c>
      <c r="N995" s="3">
        <v>1700</v>
      </c>
    </row>
    <row r="996" spans="1:14" s="3" customFormat="1" hidden="1" outlineLevel="1" x14ac:dyDescent="0.25">
      <c r="B996" s="28" t="s">
        <v>240</v>
      </c>
      <c r="C996" s="29" t="s">
        <v>1679</v>
      </c>
      <c r="D996" s="29" t="s">
        <v>1489</v>
      </c>
      <c r="E996" s="29">
        <v>0</v>
      </c>
      <c r="F996" s="29"/>
      <c r="G996" s="30" t="s">
        <v>1680</v>
      </c>
      <c r="J996" s="3" t="s">
        <v>20</v>
      </c>
      <c r="N996" s="3">
        <v>1274</v>
      </c>
    </row>
    <row r="997" spans="1:14" s="3" customFormat="1" hidden="1" outlineLevel="1" x14ac:dyDescent="0.25">
      <c r="B997" s="28" t="s">
        <v>22</v>
      </c>
      <c r="C997" s="29" t="s">
        <v>1488</v>
      </c>
      <c r="D997" s="29" t="s">
        <v>1489</v>
      </c>
      <c r="E997" s="29">
        <v>0</v>
      </c>
      <c r="F997" s="29" t="s">
        <v>1470</v>
      </c>
      <c r="G997" s="30" t="s">
        <v>1490</v>
      </c>
      <c r="J997" s="3" t="s">
        <v>20</v>
      </c>
      <c r="N997" s="3">
        <v>2052</v>
      </c>
    </row>
    <row r="998" spans="1:14" s="3" customFormat="1" hidden="1" outlineLevel="1" x14ac:dyDescent="0.25">
      <c r="B998" s="28" t="s">
        <v>63</v>
      </c>
      <c r="C998" s="29" t="s">
        <v>1526</v>
      </c>
      <c r="D998" s="29" t="s">
        <v>1489</v>
      </c>
      <c r="E998" s="29">
        <v>0</v>
      </c>
      <c r="F998" s="29"/>
      <c r="G998" s="30"/>
      <c r="J998" s="3" t="s">
        <v>20</v>
      </c>
      <c r="N998" s="3">
        <v>1682</v>
      </c>
    </row>
    <row r="999" spans="1:14" s="3" customFormat="1" hidden="1" outlineLevel="1" x14ac:dyDescent="0.25">
      <c r="B999" s="28" t="s">
        <v>78</v>
      </c>
      <c r="C999" s="29" t="s">
        <v>1534</v>
      </c>
      <c r="D999" s="29" t="s">
        <v>1489</v>
      </c>
      <c r="E999" s="29">
        <v>0</v>
      </c>
      <c r="F999" s="29"/>
      <c r="G999" s="30"/>
      <c r="J999" s="3" t="s">
        <v>20</v>
      </c>
      <c r="N999" s="3">
        <v>1977</v>
      </c>
    </row>
    <row r="1000" spans="1:14" s="3" customFormat="1" hidden="1" outlineLevel="1" x14ac:dyDescent="0.25">
      <c r="B1000" s="28" t="s">
        <v>165</v>
      </c>
      <c r="C1000" s="29" t="s">
        <v>1597</v>
      </c>
      <c r="D1000" s="29" t="s">
        <v>1489</v>
      </c>
      <c r="E1000" s="29">
        <v>0</v>
      </c>
      <c r="F1000" s="29"/>
      <c r="G1000" s="30"/>
      <c r="J1000" s="3" t="s">
        <v>20</v>
      </c>
    </row>
    <row r="1001" spans="1:14" s="3" customFormat="1" hidden="1" outlineLevel="1" x14ac:dyDescent="0.25">
      <c r="B1001" s="28" t="s">
        <v>241</v>
      </c>
      <c r="C1001" s="29" t="s">
        <v>1681</v>
      </c>
      <c r="D1001" s="29" t="s">
        <v>1489</v>
      </c>
      <c r="E1001" s="29">
        <v>0</v>
      </c>
      <c r="F1001" s="29"/>
      <c r="G1001" s="30"/>
      <c r="J1001" s="3" t="s">
        <v>20</v>
      </c>
    </row>
    <row r="1002" spans="1:14" s="3" customFormat="1" ht="16.2" hidden="1" outlineLevel="1" thickBot="1" x14ac:dyDescent="0.3">
      <c r="B1002" s="28" t="s">
        <v>26</v>
      </c>
      <c r="C1002" s="29" t="s">
        <v>1493</v>
      </c>
      <c r="D1002" s="29" t="s">
        <v>1494</v>
      </c>
      <c r="E1002" s="29">
        <v>0</v>
      </c>
      <c r="F1002" s="29" t="s">
        <v>1470</v>
      </c>
      <c r="G1002" s="30"/>
      <c r="J1002" s="3" t="s">
        <v>20</v>
      </c>
      <c r="N1002" s="3">
        <v>2183</v>
      </c>
    </row>
    <row r="1003" spans="1:14" s="3" customFormat="1" ht="17.399999999999999" hidden="1" customHeight="1" outlineLevel="1" x14ac:dyDescent="0.25">
      <c r="A1003" s="5"/>
      <c r="B1003" s="395" t="s">
        <v>29</v>
      </c>
      <c r="C1003" s="396"/>
      <c r="D1003" s="396"/>
      <c r="E1003" s="396"/>
      <c r="F1003" s="396"/>
      <c r="G1003" s="397"/>
    </row>
    <row r="1004" spans="1:14" s="3" customFormat="1" hidden="1" outlineLevel="1" x14ac:dyDescent="0.25">
      <c r="B1004" s="28" t="s">
        <v>242</v>
      </c>
      <c r="C1004" s="29"/>
      <c r="D1004" s="29"/>
      <c r="E1004" s="29"/>
      <c r="F1004" s="29"/>
      <c r="G1004" s="30"/>
    </row>
    <row r="1005" spans="1:14" s="3" customFormat="1" hidden="1" outlineLevel="1" x14ac:dyDescent="0.25">
      <c r="B1005" s="28" t="s">
        <v>243</v>
      </c>
      <c r="C1005" s="29"/>
      <c r="D1005" s="29"/>
      <c r="E1005" s="29"/>
      <c r="F1005" s="29"/>
      <c r="G1005" s="30"/>
    </row>
    <row r="1006" spans="1:14" s="3" customFormat="1" hidden="1" outlineLevel="1" x14ac:dyDescent="0.25">
      <c r="B1006" s="28" t="s">
        <v>227</v>
      </c>
      <c r="C1006" s="29"/>
      <c r="D1006" s="29"/>
      <c r="E1006" s="29"/>
      <c r="F1006" s="29"/>
      <c r="G1006" s="30"/>
    </row>
    <row r="1007" spans="1:14" s="3" customFormat="1" hidden="1" outlineLevel="1" x14ac:dyDescent="0.25">
      <c r="B1007" s="28" t="s">
        <v>68</v>
      </c>
      <c r="C1007" s="29"/>
      <c r="D1007" s="29"/>
      <c r="E1007" s="29"/>
      <c r="F1007" s="29"/>
      <c r="G1007" s="30"/>
    </row>
    <row r="1008" spans="1:14" s="4" customFormat="1" ht="17.399999999999999" hidden="1" customHeight="1" outlineLevel="1" x14ac:dyDescent="0.35">
      <c r="A1008" s="5"/>
      <c r="B1008" s="67" t="s">
        <v>30</v>
      </c>
      <c r="C1008" s="65"/>
      <c r="D1008" s="65"/>
      <c r="E1008" s="65"/>
      <c r="F1008" s="65"/>
      <c r="G1008" s="371" t="s">
        <v>2357</v>
      </c>
      <c r="H1008" s="5"/>
      <c r="I1008" s="5"/>
      <c r="J1008" s="5"/>
      <c r="K1008" s="5"/>
      <c r="L1008" s="5"/>
      <c r="M1008" s="5"/>
    </row>
    <row r="1009" spans="1:14" s="3" customFormat="1" hidden="1" outlineLevel="1" x14ac:dyDescent="0.25">
      <c r="B1009" s="28" t="s">
        <v>230</v>
      </c>
      <c r="C1009" s="29"/>
      <c r="D1009" s="29"/>
      <c r="E1009" s="29"/>
      <c r="F1009" s="29"/>
      <c r="G1009" s="30" t="s">
        <v>231</v>
      </c>
    </row>
    <row r="1010" spans="1:14" s="3" customFormat="1" hidden="1" outlineLevel="1" x14ac:dyDescent="0.25">
      <c r="B1010" s="28" t="s">
        <v>244</v>
      </c>
      <c r="C1010" s="29"/>
      <c r="D1010" s="29"/>
      <c r="E1010" s="29"/>
      <c r="F1010" s="29"/>
      <c r="G1010" s="30" t="s">
        <v>229</v>
      </c>
    </row>
    <row r="1011" spans="1:14" s="3" customFormat="1" hidden="1" outlineLevel="1" x14ac:dyDescent="0.25">
      <c r="B1011" s="28" t="s">
        <v>69</v>
      </c>
      <c r="C1011" s="29"/>
      <c r="D1011" s="29"/>
      <c r="E1011" s="29"/>
      <c r="F1011" s="29"/>
      <c r="G1011" s="30"/>
    </row>
    <row r="1012" spans="1:14" s="3" customFormat="1" hidden="1" outlineLevel="1" x14ac:dyDescent="0.25">
      <c r="B1012" s="28" t="s">
        <v>70</v>
      </c>
      <c r="C1012" s="29"/>
      <c r="D1012" s="29"/>
      <c r="E1012" s="29"/>
      <c r="F1012" s="29"/>
      <c r="G1012" s="30"/>
    </row>
    <row r="1013" spans="1:14" s="3" customFormat="1" hidden="1" outlineLevel="1" x14ac:dyDescent="0.25">
      <c r="B1013" s="28" t="s">
        <v>234</v>
      </c>
      <c r="C1013" s="29"/>
      <c r="D1013" s="29"/>
      <c r="E1013" s="29"/>
      <c r="F1013" s="29"/>
      <c r="G1013" s="30" t="s">
        <v>235</v>
      </c>
    </row>
    <row r="1014" spans="1:14" s="3" customFormat="1" hidden="1" outlineLevel="1" x14ac:dyDescent="0.25">
      <c r="B1014" s="28" t="s">
        <v>248</v>
      </c>
      <c r="C1014" s="29"/>
      <c r="D1014" s="29"/>
      <c r="E1014" s="29"/>
      <c r="F1014" s="29"/>
      <c r="G1014" s="375" t="s">
        <v>2378</v>
      </c>
    </row>
    <row r="1015" spans="1:14" s="3" customFormat="1" ht="16.2" hidden="1" outlineLevel="1" thickBot="1" x14ac:dyDescent="0.3">
      <c r="B1015" s="163"/>
      <c r="C1015" s="164"/>
      <c r="D1015" s="164"/>
      <c r="E1015" s="164"/>
      <c r="F1015" s="164"/>
      <c r="G1015" s="165"/>
    </row>
    <row r="1016" spans="1:14" ht="16.2" hidden="1" outlineLevel="1" thickBot="1" x14ac:dyDescent="0.3"/>
    <row r="1017" spans="1:14" s="3" customFormat="1" ht="17.399999999999999" customHeight="1" collapsed="1" thickBot="1" x14ac:dyDescent="0.3">
      <c r="A1017" s="5"/>
      <c r="B1017" s="166" t="s">
        <v>1279</v>
      </c>
      <c r="C1017" s="167" t="s">
        <v>1374</v>
      </c>
      <c r="D1017" s="168" t="s">
        <v>1281</v>
      </c>
      <c r="E1017" s="169" t="s">
        <v>249</v>
      </c>
      <c r="F1017" s="168" t="s">
        <v>1282</v>
      </c>
      <c r="G1017" s="170" t="s">
        <v>1375</v>
      </c>
    </row>
    <row r="1018" spans="1:14" s="3" customFormat="1" ht="17.399999999999999" hidden="1" customHeight="1" outlineLevel="1" x14ac:dyDescent="0.25">
      <c r="A1018" s="5"/>
      <c r="B1018" s="136" t="s">
        <v>1284</v>
      </c>
      <c r="C1018" s="20" t="s">
        <v>1285</v>
      </c>
      <c r="D1018" s="137" t="s">
        <v>1286</v>
      </c>
      <c r="E1018" s="84" t="s">
        <v>1376</v>
      </c>
      <c r="F1018" s="137" t="s">
        <v>1288</v>
      </c>
      <c r="G1018" s="85"/>
    </row>
    <row r="1019" spans="1:14" s="3" customFormat="1" ht="17.399999999999999" hidden="1" customHeight="1" outlineLevel="1" thickBot="1" x14ac:dyDescent="0.3">
      <c r="A1019" s="5"/>
      <c r="B1019" s="171" t="s">
        <v>1290</v>
      </c>
      <c r="C1019" s="172" t="s">
        <v>1291</v>
      </c>
      <c r="D1019" s="173" t="s">
        <v>1292</v>
      </c>
      <c r="E1019" s="172">
        <v>5</v>
      </c>
      <c r="F1019" s="173" t="s">
        <v>1293</v>
      </c>
      <c r="G1019" s="174" t="s">
        <v>1294</v>
      </c>
    </row>
    <row r="1020" spans="1:14" s="3" customFormat="1" ht="17.399999999999999" hidden="1" customHeight="1" outlineLevel="1" x14ac:dyDescent="0.25">
      <c r="A1020" s="5"/>
      <c r="B1020" s="380" t="s">
        <v>1</v>
      </c>
      <c r="C1020" s="381"/>
      <c r="D1020" s="381"/>
      <c r="E1020" s="381"/>
      <c r="F1020" s="381"/>
      <c r="G1020" s="382"/>
    </row>
    <row r="1021" spans="1:14" s="3" customFormat="1" ht="17.399999999999999" hidden="1" customHeight="1" outlineLevel="1" x14ac:dyDescent="0.25">
      <c r="A1021" s="5"/>
      <c r="B1021" s="94" t="s">
        <v>2</v>
      </c>
      <c r="C1021" s="95" t="s">
        <v>3</v>
      </c>
      <c r="D1021" s="95" t="s">
        <v>4</v>
      </c>
      <c r="E1021" s="95" t="s">
        <v>5</v>
      </c>
      <c r="F1021" s="95"/>
      <c r="G1021" s="96" t="s">
        <v>6</v>
      </c>
    </row>
    <row r="1022" spans="1:14" s="4" customFormat="1" ht="17.399999999999999" hidden="1" customHeight="1" outlineLevel="1" x14ac:dyDescent="0.35">
      <c r="A1022" s="5"/>
      <c r="B1022" s="57" t="s">
        <v>7</v>
      </c>
      <c r="C1022" s="58" t="s">
        <v>1468</v>
      </c>
      <c r="D1022" s="58" t="s">
        <v>1469</v>
      </c>
      <c r="E1022" s="58">
        <v>0</v>
      </c>
      <c r="F1022" s="58" t="s">
        <v>1470</v>
      </c>
      <c r="G1022" s="59" t="s">
        <v>1471</v>
      </c>
      <c r="J1022" s="4" t="s">
        <v>10</v>
      </c>
      <c r="N1022" s="4">
        <v>1112</v>
      </c>
    </row>
    <row r="1023" spans="1:14" s="4" customFormat="1" ht="17.399999999999999" hidden="1" customHeight="1" outlineLevel="1" x14ac:dyDescent="0.35">
      <c r="A1023" s="5"/>
      <c r="B1023" s="57" t="s">
        <v>11</v>
      </c>
      <c r="C1023" s="58" t="s">
        <v>1472</v>
      </c>
      <c r="D1023" s="58" t="s">
        <v>1469</v>
      </c>
      <c r="E1023" s="58">
        <v>0</v>
      </c>
      <c r="F1023" s="58" t="s">
        <v>1470</v>
      </c>
      <c r="G1023" s="59" t="s">
        <v>1473</v>
      </c>
      <c r="J1023" s="4" t="s">
        <v>12</v>
      </c>
      <c r="N1023" s="4">
        <v>1700</v>
      </c>
    </row>
    <row r="1024" spans="1:14" s="4" customFormat="1" ht="17.399999999999999" hidden="1" customHeight="1" outlineLevel="1" x14ac:dyDescent="0.35">
      <c r="A1024" s="5"/>
      <c r="B1024" s="60" t="s">
        <v>13</v>
      </c>
      <c r="C1024" s="61" t="s">
        <v>1474</v>
      </c>
      <c r="D1024" s="61" t="s">
        <v>1469</v>
      </c>
      <c r="E1024" s="61">
        <v>0</v>
      </c>
      <c r="F1024" s="61" t="s">
        <v>1470</v>
      </c>
      <c r="G1024" s="62"/>
      <c r="H1024" s="63"/>
      <c r="J1024" s="4" t="s">
        <v>10</v>
      </c>
      <c r="N1024" s="4">
        <v>2534</v>
      </c>
    </row>
    <row r="1025" spans="1:14" s="4" customFormat="1" ht="17.399999999999999" hidden="1" customHeight="1" outlineLevel="1" x14ac:dyDescent="0.35">
      <c r="A1025" s="5"/>
      <c r="B1025" s="60" t="s">
        <v>14</v>
      </c>
      <c r="C1025" s="61" t="s">
        <v>1475</v>
      </c>
      <c r="D1025" s="61" t="s">
        <v>1469</v>
      </c>
      <c r="E1025" s="61">
        <v>0</v>
      </c>
      <c r="F1025" s="61" t="s">
        <v>1476</v>
      </c>
      <c r="G1025" s="62" t="s">
        <v>1477</v>
      </c>
      <c r="H1025" s="63"/>
      <c r="J1025" s="4" t="s">
        <v>10</v>
      </c>
      <c r="N1025" s="4">
        <v>2155</v>
      </c>
    </row>
    <row r="1026" spans="1:14" s="4" customFormat="1" ht="17.399999999999999" hidden="1" customHeight="1" outlineLevel="1" x14ac:dyDescent="0.35">
      <c r="A1026" s="5"/>
      <c r="B1026" s="60" t="s">
        <v>15</v>
      </c>
      <c r="C1026" s="61" t="s">
        <v>1478</v>
      </c>
      <c r="D1026" s="61" t="s">
        <v>1469</v>
      </c>
      <c r="E1026" s="61">
        <v>0</v>
      </c>
      <c r="F1026" s="61" t="s">
        <v>1470</v>
      </c>
      <c r="G1026" s="62"/>
      <c r="H1026" s="63"/>
      <c r="J1026" s="4" t="s">
        <v>10</v>
      </c>
      <c r="N1026" s="4">
        <v>2430</v>
      </c>
    </row>
    <row r="1027" spans="1:14" s="4" customFormat="1" ht="17.399999999999999" hidden="1" customHeight="1" outlineLevel="1" x14ac:dyDescent="0.35">
      <c r="A1027" s="5"/>
      <c r="B1027" s="134" t="s">
        <v>17</v>
      </c>
      <c r="C1027" s="135" t="s">
        <v>1483</v>
      </c>
      <c r="D1027" s="135" t="s">
        <v>1469</v>
      </c>
      <c r="E1027" s="65">
        <v>0</v>
      </c>
      <c r="F1027" s="65" t="s">
        <v>1470</v>
      </c>
      <c r="G1027" s="66" t="s">
        <v>1484</v>
      </c>
      <c r="H1027" s="5"/>
      <c r="I1027" s="5"/>
      <c r="J1027" s="5" t="s">
        <v>10</v>
      </c>
      <c r="K1027" s="5"/>
      <c r="L1027" s="5"/>
      <c r="M1027" s="5"/>
      <c r="N1027" s="4">
        <v>1097</v>
      </c>
    </row>
    <row r="1028" spans="1:14" s="3" customFormat="1" hidden="1" outlineLevel="1" x14ac:dyDescent="0.25">
      <c r="A1028" s="5"/>
      <c r="B1028" s="31" t="s">
        <v>160</v>
      </c>
      <c r="C1028" s="20" t="s">
        <v>1588</v>
      </c>
      <c r="D1028" s="20" t="s">
        <v>1469</v>
      </c>
      <c r="E1028" s="20">
        <v>0</v>
      </c>
      <c r="F1028" s="20"/>
      <c r="G1028" s="22"/>
      <c r="J1028" s="3" t="s">
        <v>10</v>
      </c>
      <c r="N1028" s="3">
        <v>1604</v>
      </c>
    </row>
    <row r="1029" spans="1:14" s="4" customFormat="1" ht="17.399999999999999" hidden="1" customHeight="1" outlineLevel="1" x14ac:dyDescent="0.35">
      <c r="A1029" s="5"/>
      <c r="B1029" s="64" t="s">
        <v>16</v>
      </c>
      <c r="C1029" s="65" t="s">
        <v>1479</v>
      </c>
      <c r="D1029" s="65" t="s">
        <v>1469</v>
      </c>
      <c r="E1029" s="65" t="s">
        <v>1480</v>
      </c>
      <c r="F1029" s="65" t="s">
        <v>1481</v>
      </c>
      <c r="G1029" s="66" t="s">
        <v>1482</v>
      </c>
      <c r="H1029" s="5"/>
      <c r="I1029" s="5"/>
      <c r="J1029" s="5" t="s">
        <v>10</v>
      </c>
      <c r="K1029" s="5"/>
      <c r="L1029" s="5"/>
      <c r="M1029" s="5"/>
      <c r="N1029" s="4">
        <v>1211</v>
      </c>
    </row>
    <row r="1030" spans="1:14" s="3" customFormat="1" ht="17.399999999999999" hidden="1" customHeight="1" outlineLevel="1" thickBot="1" x14ac:dyDescent="0.3">
      <c r="A1030" s="5"/>
      <c r="B1030" s="91"/>
      <c r="C1030" s="92"/>
      <c r="D1030" s="92"/>
      <c r="E1030" s="92"/>
      <c r="F1030" s="92"/>
      <c r="G1030" s="93"/>
    </row>
    <row r="1031" spans="1:14" s="3" customFormat="1" ht="17.399999999999999" hidden="1" customHeight="1" outlineLevel="1" x14ac:dyDescent="0.25">
      <c r="A1031" s="5"/>
      <c r="B1031" s="383" t="s">
        <v>18</v>
      </c>
      <c r="C1031" s="384"/>
      <c r="D1031" s="384"/>
      <c r="E1031" s="384"/>
      <c r="F1031" s="384"/>
      <c r="G1031" s="385"/>
    </row>
    <row r="1032" spans="1:14" s="3" customFormat="1" ht="17.399999999999999" hidden="1" customHeight="1" outlineLevel="1" x14ac:dyDescent="0.25">
      <c r="A1032" s="5"/>
      <c r="B1032" s="31" t="s">
        <v>16</v>
      </c>
      <c r="C1032" s="20" t="s">
        <v>1479</v>
      </c>
      <c r="D1032" s="20" t="s">
        <v>1469</v>
      </c>
      <c r="E1032" s="20" t="s">
        <v>1480</v>
      </c>
      <c r="F1032" s="20" t="s">
        <v>1481</v>
      </c>
      <c r="G1032" s="22" t="s">
        <v>1482</v>
      </c>
      <c r="J1032" s="3" t="s">
        <v>10</v>
      </c>
      <c r="N1032" s="3">
        <v>1211</v>
      </c>
    </row>
    <row r="1033" spans="1:14" s="3" customFormat="1" hidden="1" outlineLevel="1" x14ac:dyDescent="0.25">
      <c r="B1033" s="28" t="s">
        <v>7</v>
      </c>
      <c r="C1033" s="29" t="s">
        <v>1468</v>
      </c>
      <c r="D1033" s="29" t="s">
        <v>1469</v>
      </c>
      <c r="E1033" s="29">
        <v>0</v>
      </c>
      <c r="F1033" s="29" t="s">
        <v>1470</v>
      </c>
      <c r="G1033" s="30" t="s">
        <v>1471</v>
      </c>
      <c r="J1033" s="3" t="s">
        <v>10</v>
      </c>
      <c r="N1033" s="3">
        <v>1112</v>
      </c>
    </row>
    <row r="1034" spans="1:14" s="3" customFormat="1" hidden="1" outlineLevel="1" x14ac:dyDescent="0.25">
      <c r="B1034" s="28" t="s">
        <v>11</v>
      </c>
      <c r="C1034" s="29" t="s">
        <v>1472</v>
      </c>
      <c r="D1034" s="29" t="s">
        <v>1469</v>
      </c>
      <c r="E1034" s="29">
        <v>0</v>
      </c>
      <c r="F1034" s="29" t="s">
        <v>1470</v>
      </c>
      <c r="G1034" s="30" t="s">
        <v>1473</v>
      </c>
      <c r="J1034" s="3" t="s">
        <v>12</v>
      </c>
      <c r="N1034" s="3">
        <v>1700</v>
      </c>
    </row>
    <row r="1035" spans="1:14" s="3" customFormat="1" hidden="1" outlineLevel="1" x14ac:dyDescent="0.25">
      <c r="B1035" s="28" t="s">
        <v>13</v>
      </c>
      <c r="C1035" s="29" t="s">
        <v>1474</v>
      </c>
      <c r="D1035" s="29" t="s">
        <v>1469</v>
      </c>
      <c r="E1035" s="29">
        <v>0</v>
      </c>
      <c r="F1035" s="29" t="s">
        <v>1470</v>
      </c>
      <c r="G1035" s="30"/>
      <c r="J1035" s="3" t="s">
        <v>10</v>
      </c>
      <c r="N1035" s="3">
        <v>2534</v>
      </c>
    </row>
    <row r="1036" spans="1:14" s="3" customFormat="1" hidden="1" outlineLevel="1" x14ac:dyDescent="0.25">
      <c r="B1036" s="35" t="s">
        <v>25</v>
      </c>
      <c r="C1036" s="36" t="s">
        <v>1492</v>
      </c>
      <c r="D1036" s="36" t="s">
        <v>1469</v>
      </c>
      <c r="E1036" s="36">
        <v>0</v>
      </c>
      <c r="F1036" s="36" t="s">
        <v>1470</v>
      </c>
      <c r="G1036" s="37" t="s">
        <v>1484</v>
      </c>
      <c r="J1036" s="3" t="s">
        <v>10</v>
      </c>
      <c r="N1036" s="3">
        <v>2155</v>
      </c>
    </row>
    <row r="1037" spans="1:14" s="3" customFormat="1" hidden="1" outlineLevel="1" x14ac:dyDescent="0.25">
      <c r="B1037" s="28" t="s">
        <v>14</v>
      </c>
      <c r="C1037" s="29" t="s">
        <v>1475</v>
      </c>
      <c r="D1037" s="29" t="s">
        <v>1469</v>
      </c>
      <c r="E1037" s="29">
        <v>0</v>
      </c>
      <c r="F1037" s="29" t="s">
        <v>1476</v>
      </c>
      <c r="G1037" s="30" t="s">
        <v>1477</v>
      </c>
      <c r="J1037" s="3" t="s">
        <v>10</v>
      </c>
      <c r="N1037" s="3">
        <v>2430</v>
      </c>
    </row>
    <row r="1038" spans="1:14" s="3" customFormat="1" hidden="1" outlineLevel="1" x14ac:dyDescent="0.25">
      <c r="B1038" s="28" t="s">
        <v>15</v>
      </c>
      <c r="C1038" s="29" t="s">
        <v>1478</v>
      </c>
      <c r="D1038" s="29" t="s">
        <v>1469</v>
      </c>
      <c r="E1038" s="29">
        <v>0</v>
      </c>
      <c r="F1038" s="29" t="s">
        <v>1470</v>
      </c>
      <c r="G1038" s="30"/>
      <c r="J1038" s="3" t="s">
        <v>20</v>
      </c>
      <c r="N1038" s="3">
        <v>1203</v>
      </c>
    </row>
    <row r="1039" spans="1:14" s="3" customFormat="1" hidden="1" outlineLevel="1" x14ac:dyDescent="0.25">
      <c r="B1039" s="38" t="s">
        <v>19</v>
      </c>
      <c r="C1039" s="39" t="s">
        <v>1485</v>
      </c>
      <c r="D1039" s="39" t="s">
        <v>1486</v>
      </c>
      <c r="E1039" s="39">
        <v>0</v>
      </c>
      <c r="F1039" s="39"/>
      <c r="G1039" s="40"/>
      <c r="J1039" s="3" t="s">
        <v>20</v>
      </c>
      <c r="N1039" s="3">
        <v>1689</v>
      </c>
    </row>
    <row r="1040" spans="1:14" s="3" customFormat="1" hidden="1" outlineLevel="1" x14ac:dyDescent="0.25">
      <c r="B1040" s="28" t="s">
        <v>21</v>
      </c>
      <c r="C1040" s="29" t="s">
        <v>1487</v>
      </c>
      <c r="D1040" s="29" t="s">
        <v>1486</v>
      </c>
      <c r="E1040" s="29">
        <v>0</v>
      </c>
      <c r="F1040" s="29"/>
      <c r="G1040" s="30"/>
      <c r="J1040" s="3" t="s">
        <v>20</v>
      </c>
      <c r="N1040" s="3">
        <v>2052</v>
      </c>
    </row>
    <row r="1041" spans="1:14" s="3" customFormat="1" hidden="1" outlineLevel="1" x14ac:dyDescent="0.25">
      <c r="B1041" s="28" t="s">
        <v>22</v>
      </c>
      <c r="C1041" s="29" t="s">
        <v>1488</v>
      </c>
      <c r="D1041" s="29" t="s">
        <v>1489</v>
      </c>
      <c r="E1041" s="29">
        <v>0</v>
      </c>
      <c r="F1041" s="29" t="s">
        <v>1470</v>
      </c>
      <c r="G1041" s="30" t="s">
        <v>1490</v>
      </c>
      <c r="J1041" s="3" t="s">
        <v>20</v>
      </c>
      <c r="N1041" s="3">
        <v>2153</v>
      </c>
    </row>
    <row r="1042" spans="1:14" s="3" customFormat="1" hidden="1" outlineLevel="1" x14ac:dyDescent="0.25">
      <c r="B1042" s="28" t="s">
        <v>26</v>
      </c>
      <c r="C1042" s="29" t="s">
        <v>1493</v>
      </c>
      <c r="D1042" s="29" t="s">
        <v>1494</v>
      </c>
      <c r="E1042" s="29">
        <v>0</v>
      </c>
      <c r="F1042" s="29" t="s">
        <v>1470</v>
      </c>
      <c r="G1042" s="30"/>
      <c r="J1042" s="3" t="s">
        <v>20</v>
      </c>
      <c r="N1042" s="3">
        <v>2183</v>
      </c>
    </row>
    <row r="1043" spans="1:14" s="4" customFormat="1" ht="17.399999999999999" hidden="1" customHeight="1" outlineLevel="1" x14ac:dyDescent="0.35">
      <c r="A1043" s="5"/>
      <c r="B1043" s="41" t="s">
        <v>27</v>
      </c>
      <c r="C1043" s="42" t="s">
        <v>1495</v>
      </c>
      <c r="D1043" s="42" t="s">
        <v>1489</v>
      </c>
      <c r="E1043" s="42">
        <v>0</v>
      </c>
      <c r="F1043" s="42" t="s">
        <v>1470</v>
      </c>
      <c r="G1043" s="43"/>
      <c r="J1043" s="5" t="s">
        <v>20</v>
      </c>
      <c r="K1043" s="5"/>
      <c r="L1043" s="5"/>
      <c r="M1043" s="5"/>
    </row>
    <row r="1044" spans="1:14" s="3" customFormat="1" hidden="1" outlineLevel="1" x14ac:dyDescent="0.25">
      <c r="B1044" s="44" t="s">
        <v>75</v>
      </c>
      <c r="C1044" s="39" t="s">
        <v>1530</v>
      </c>
      <c r="D1044" s="39" t="s">
        <v>1486</v>
      </c>
      <c r="E1044" s="39">
        <v>0</v>
      </c>
      <c r="F1044" s="39" t="s">
        <v>1470</v>
      </c>
      <c r="G1044" s="40" t="s">
        <v>1531</v>
      </c>
    </row>
    <row r="1045" spans="1:14" s="3" customFormat="1" hidden="1" outlineLevel="1" x14ac:dyDescent="0.25">
      <c r="B1045" s="44" t="s">
        <v>76</v>
      </c>
      <c r="C1045" s="29" t="s">
        <v>1532</v>
      </c>
      <c r="D1045" s="29" t="s">
        <v>1489</v>
      </c>
      <c r="E1045" s="29">
        <v>0</v>
      </c>
      <c r="F1045" s="29"/>
      <c r="G1045" s="30"/>
    </row>
    <row r="1046" spans="1:14" s="3" customFormat="1" hidden="1" outlineLevel="1" x14ac:dyDescent="0.25">
      <c r="B1046" s="44" t="s">
        <v>77</v>
      </c>
      <c r="C1046" s="29" t="s">
        <v>1533</v>
      </c>
      <c r="D1046" s="29" t="s">
        <v>1486</v>
      </c>
      <c r="E1046" s="29">
        <v>0</v>
      </c>
      <c r="F1046" s="29" t="s">
        <v>1470</v>
      </c>
      <c r="G1046" s="30"/>
    </row>
    <row r="1047" spans="1:14" s="3" customFormat="1" hidden="1" outlineLevel="1" x14ac:dyDescent="0.25">
      <c r="B1047" s="44" t="s">
        <v>78</v>
      </c>
      <c r="C1047" s="29" t="s">
        <v>1534</v>
      </c>
      <c r="D1047" s="29" t="s">
        <v>1489</v>
      </c>
      <c r="E1047" s="29">
        <v>0</v>
      </c>
      <c r="F1047" s="29"/>
      <c r="G1047" s="30"/>
    </row>
    <row r="1048" spans="1:14" s="3" customFormat="1" hidden="1" outlineLevel="1" x14ac:dyDescent="0.25">
      <c r="B1048" s="44" t="s">
        <v>24</v>
      </c>
      <c r="C1048" s="29" t="s">
        <v>1491</v>
      </c>
      <c r="D1048" s="29" t="s">
        <v>1489</v>
      </c>
      <c r="E1048" s="29">
        <v>0</v>
      </c>
      <c r="F1048" s="29" t="s">
        <v>1470</v>
      </c>
      <c r="G1048" s="30"/>
    </row>
    <row r="1049" spans="1:14" s="4" customFormat="1" ht="17.399999999999999" hidden="1" customHeight="1" outlineLevel="1" x14ac:dyDescent="0.35">
      <c r="A1049" s="5"/>
      <c r="B1049" s="44" t="s">
        <v>58</v>
      </c>
      <c r="C1049" s="42" t="s">
        <v>1522</v>
      </c>
      <c r="D1049" s="42" t="s">
        <v>1489</v>
      </c>
      <c r="E1049" s="42">
        <v>0</v>
      </c>
      <c r="F1049" s="42" t="s">
        <v>1470</v>
      </c>
      <c r="G1049" s="43"/>
      <c r="K1049" s="5"/>
      <c r="L1049" s="5"/>
      <c r="M1049" s="5"/>
    </row>
    <row r="1050" spans="1:14" s="3" customFormat="1" hidden="1" outlineLevel="1" x14ac:dyDescent="0.25">
      <c r="A1050" s="5"/>
      <c r="B1050" s="45" t="s">
        <v>63</v>
      </c>
      <c r="C1050" s="20" t="s">
        <v>1526</v>
      </c>
      <c r="D1050" s="20" t="s">
        <v>1489</v>
      </c>
      <c r="E1050" s="20">
        <v>0</v>
      </c>
      <c r="F1050" s="20"/>
      <c r="G1050" s="22"/>
    </row>
    <row r="1051" spans="1:14" s="3" customFormat="1" ht="17.399999999999999" hidden="1" customHeight="1" outlineLevel="1" thickBot="1" x14ac:dyDescent="0.3">
      <c r="A1051" s="5"/>
      <c r="B1051" s="103"/>
      <c r="C1051" s="92"/>
      <c r="D1051" s="92"/>
      <c r="E1051" s="92"/>
      <c r="F1051" s="92"/>
      <c r="G1051" s="93"/>
    </row>
    <row r="1052" spans="1:14" s="3" customFormat="1" ht="17.399999999999999" hidden="1" customHeight="1" outlineLevel="1" thickBot="1" x14ac:dyDescent="0.3">
      <c r="A1052" s="5"/>
      <c r="B1052" s="94" t="s">
        <v>2</v>
      </c>
      <c r="C1052" s="95" t="s">
        <v>3</v>
      </c>
      <c r="D1052" s="95" t="s">
        <v>4</v>
      </c>
      <c r="E1052" s="95" t="s">
        <v>5</v>
      </c>
      <c r="F1052" s="95"/>
      <c r="G1052" s="96" t="s">
        <v>6</v>
      </c>
    </row>
    <row r="1053" spans="1:14" s="3" customFormat="1" ht="17.399999999999999" hidden="1" customHeight="1" outlineLevel="1" x14ac:dyDescent="0.25">
      <c r="A1053" s="5"/>
      <c r="B1053" s="380" t="s">
        <v>29</v>
      </c>
      <c r="C1053" s="381"/>
      <c r="D1053" s="381"/>
      <c r="E1053" s="381"/>
      <c r="F1053" s="381"/>
      <c r="G1053" s="382"/>
    </row>
    <row r="1054" spans="1:14" s="4" customFormat="1" ht="17.399999999999999" hidden="1" customHeight="1" outlineLevel="1" x14ac:dyDescent="0.35">
      <c r="A1054" s="5"/>
      <c r="B1054" s="67" t="s">
        <v>30</v>
      </c>
      <c r="C1054" s="65"/>
      <c r="D1054" s="65"/>
      <c r="E1054" s="65"/>
      <c r="F1054" s="65"/>
      <c r="G1054" s="371" t="s">
        <v>2357</v>
      </c>
      <c r="H1054" s="5"/>
      <c r="I1054" s="5"/>
      <c r="J1054" s="5"/>
      <c r="K1054" s="5"/>
      <c r="L1054" s="5"/>
      <c r="M1054" s="5"/>
    </row>
    <row r="1055" spans="1:14" s="3" customFormat="1" ht="17.399999999999999" hidden="1" customHeight="1" outlineLevel="1" x14ac:dyDescent="0.25">
      <c r="A1055" s="5"/>
      <c r="B1055" s="67" t="s">
        <v>250</v>
      </c>
      <c r="C1055" s="65"/>
      <c r="D1055" s="65"/>
      <c r="E1055" s="65"/>
      <c r="F1055" s="65"/>
      <c r="G1055" s="371" t="s">
        <v>2379</v>
      </c>
    </row>
    <row r="1056" spans="1:14" s="3" customFormat="1" ht="17.399999999999999" hidden="1" customHeight="1" outlineLevel="1" thickBot="1" x14ac:dyDescent="0.3">
      <c r="A1056" s="5"/>
      <c r="B1056" s="103"/>
      <c r="C1056" s="92"/>
      <c r="D1056" s="92"/>
      <c r="E1056" s="92"/>
      <c r="F1056" s="92"/>
      <c r="G1056" s="93"/>
    </row>
    <row r="1057" spans="1:14" s="3" customFormat="1" ht="17.399999999999999" hidden="1" customHeight="1" outlineLevel="1" thickBot="1" x14ac:dyDescent="0.3">
      <c r="A1057" s="5"/>
      <c r="D1057" s="355"/>
    </row>
    <row r="1058" spans="1:14" s="3" customFormat="1" ht="17.399999999999999" customHeight="1" collapsed="1" thickBot="1" x14ac:dyDescent="0.3">
      <c r="A1058" s="5"/>
      <c r="B1058" s="166" t="s">
        <v>1279</v>
      </c>
      <c r="C1058" s="167" t="s">
        <v>1377</v>
      </c>
      <c r="D1058" s="168" t="s">
        <v>1281</v>
      </c>
      <c r="E1058" s="169" t="s">
        <v>251</v>
      </c>
      <c r="F1058" s="168" t="s">
        <v>1282</v>
      </c>
      <c r="G1058" s="170" t="s">
        <v>1378</v>
      </c>
    </row>
    <row r="1059" spans="1:14" s="3" customFormat="1" ht="17.399999999999999" hidden="1" customHeight="1" outlineLevel="1" x14ac:dyDescent="0.25">
      <c r="A1059" s="5"/>
      <c r="B1059" s="136" t="s">
        <v>1284</v>
      </c>
      <c r="C1059" s="84" t="s">
        <v>1285</v>
      </c>
      <c r="D1059" s="137" t="s">
        <v>1286</v>
      </c>
      <c r="E1059" s="84" t="s">
        <v>1379</v>
      </c>
      <c r="F1059" s="137" t="s">
        <v>1288</v>
      </c>
      <c r="G1059" s="85"/>
    </row>
    <row r="1060" spans="1:14" s="3" customFormat="1" ht="17.399999999999999" hidden="1" customHeight="1" outlineLevel="1" thickBot="1" x14ac:dyDescent="0.3">
      <c r="A1060" s="5"/>
      <c r="B1060" s="171" t="s">
        <v>1290</v>
      </c>
      <c r="C1060" s="172" t="s">
        <v>1291</v>
      </c>
      <c r="D1060" s="173" t="s">
        <v>1292</v>
      </c>
      <c r="E1060" s="172">
        <v>5</v>
      </c>
      <c r="F1060" s="173" t="s">
        <v>1293</v>
      </c>
      <c r="G1060" s="174" t="s">
        <v>1294</v>
      </c>
    </row>
    <row r="1061" spans="1:14" s="3" customFormat="1" ht="17.399999999999999" hidden="1" customHeight="1" outlineLevel="1" x14ac:dyDescent="0.25">
      <c r="A1061" s="5"/>
      <c r="B1061" s="380" t="s">
        <v>1</v>
      </c>
      <c r="C1061" s="381"/>
      <c r="D1061" s="381"/>
      <c r="E1061" s="381"/>
      <c r="F1061" s="381"/>
      <c r="G1061" s="382"/>
    </row>
    <row r="1062" spans="1:14" s="3" customFormat="1" ht="17.399999999999999" hidden="1" customHeight="1" outlineLevel="1" x14ac:dyDescent="0.25">
      <c r="A1062" s="5"/>
      <c r="B1062" s="94" t="s">
        <v>2</v>
      </c>
      <c r="C1062" s="95" t="s">
        <v>3</v>
      </c>
      <c r="D1062" s="95" t="s">
        <v>4</v>
      </c>
      <c r="E1062" s="95" t="s">
        <v>5</v>
      </c>
      <c r="F1062" s="95"/>
      <c r="G1062" s="96" t="s">
        <v>6</v>
      </c>
    </row>
    <row r="1063" spans="1:14" s="4" customFormat="1" ht="17.399999999999999" hidden="1" customHeight="1" outlineLevel="1" x14ac:dyDescent="0.35">
      <c r="A1063" s="5"/>
      <c r="B1063" s="57" t="s">
        <v>7</v>
      </c>
      <c r="C1063" s="58" t="s">
        <v>1468</v>
      </c>
      <c r="D1063" s="58" t="s">
        <v>1469</v>
      </c>
      <c r="E1063" s="58">
        <v>0</v>
      </c>
      <c r="F1063" s="58" t="s">
        <v>1470</v>
      </c>
      <c r="G1063" s="59" t="s">
        <v>1471</v>
      </c>
      <c r="J1063" s="4" t="s">
        <v>10</v>
      </c>
      <c r="N1063" s="4">
        <v>1112</v>
      </c>
    </row>
    <row r="1064" spans="1:14" s="4" customFormat="1" ht="17.399999999999999" hidden="1" customHeight="1" outlineLevel="1" x14ac:dyDescent="0.35">
      <c r="A1064" s="5"/>
      <c r="B1064" s="57" t="s">
        <v>11</v>
      </c>
      <c r="C1064" s="58" t="s">
        <v>1472</v>
      </c>
      <c r="D1064" s="58" t="s">
        <v>1469</v>
      </c>
      <c r="E1064" s="58">
        <v>0</v>
      </c>
      <c r="F1064" s="58" t="s">
        <v>1470</v>
      </c>
      <c r="G1064" s="59" t="s">
        <v>1473</v>
      </c>
      <c r="J1064" s="4" t="s">
        <v>12</v>
      </c>
      <c r="N1064" s="4">
        <v>1700</v>
      </c>
    </row>
    <row r="1065" spans="1:14" s="4" customFormat="1" ht="17.399999999999999" hidden="1" customHeight="1" outlineLevel="1" x14ac:dyDescent="0.35">
      <c r="A1065" s="5"/>
      <c r="B1065" s="60" t="s">
        <v>13</v>
      </c>
      <c r="C1065" s="61" t="s">
        <v>1474</v>
      </c>
      <c r="D1065" s="61" t="s">
        <v>1469</v>
      </c>
      <c r="E1065" s="61">
        <v>0</v>
      </c>
      <c r="F1065" s="61" t="s">
        <v>1470</v>
      </c>
      <c r="G1065" s="62"/>
      <c r="H1065" s="63"/>
      <c r="J1065" s="4" t="s">
        <v>10</v>
      </c>
      <c r="N1065" s="4">
        <v>2534</v>
      </c>
    </row>
    <row r="1066" spans="1:14" s="4" customFormat="1" ht="17.399999999999999" hidden="1" customHeight="1" outlineLevel="1" x14ac:dyDescent="0.35">
      <c r="A1066" s="5"/>
      <c r="B1066" s="60" t="s">
        <v>14</v>
      </c>
      <c r="C1066" s="61" t="s">
        <v>1475</v>
      </c>
      <c r="D1066" s="61" t="s">
        <v>1469</v>
      </c>
      <c r="E1066" s="61">
        <v>0</v>
      </c>
      <c r="F1066" s="61" t="s">
        <v>1476</v>
      </c>
      <c r="G1066" s="62" t="s">
        <v>1477</v>
      </c>
      <c r="H1066" s="63"/>
      <c r="J1066" s="4" t="s">
        <v>10</v>
      </c>
      <c r="N1066" s="4">
        <v>2155</v>
      </c>
    </row>
    <row r="1067" spans="1:14" s="4" customFormat="1" ht="17.399999999999999" hidden="1" customHeight="1" outlineLevel="1" x14ac:dyDescent="0.35">
      <c r="A1067" s="5"/>
      <c r="B1067" s="60" t="s">
        <v>15</v>
      </c>
      <c r="C1067" s="61" t="s">
        <v>1478</v>
      </c>
      <c r="D1067" s="61" t="s">
        <v>1469</v>
      </c>
      <c r="E1067" s="61">
        <v>0</v>
      </c>
      <c r="F1067" s="61" t="s">
        <v>1470</v>
      </c>
      <c r="G1067" s="62"/>
      <c r="H1067" s="63"/>
      <c r="J1067" s="4" t="s">
        <v>10</v>
      </c>
      <c r="N1067" s="4">
        <v>2430</v>
      </c>
    </row>
    <row r="1068" spans="1:14" s="4" customFormat="1" ht="17.399999999999999" hidden="1" customHeight="1" outlineLevel="1" x14ac:dyDescent="0.35">
      <c r="A1068" s="5"/>
      <c r="B1068" s="134" t="s">
        <v>17</v>
      </c>
      <c r="C1068" s="135" t="s">
        <v>1483</v>
      </c>
      <c r="D1068" s="135" t="s">
        <v>1469</v>
      </c>
      <c r="E1068" s="65">
        <v>0</v>
      </c>
      <c r="F1068" s="65" t="s">
        <v>1470</v>
      </c>
      <c r="G1068" s="66" t="s">
        <v>1484</v>
      </c>
      <c r="H1068" s="5"/>
      <c r="I1068" s="5"/>
      <c r="J1068" s="5" t="s">
        <v>10</v>
      </c>
      <c r="K1068" s="5"/>
      <c r="L1068" s="5"/>
      <c r="M1068" s="5"/>
      <c r="N1068" s="4">
        <v>1097</v>
      </c>
    </row>
    <row r="1069" spans="1:14" s="3" customFormat="1" hidden="1" outlineLevel="1" x14ac:dyDescent="0.25">
      <c r="A1069" s="5"/>
      <c r="B1069" s="31" t="s">
        <v>160</v>
      </c>
      <c r="C1069" s="20" t="s">
        <v>1588</v>
      </c>
      <c r="D1069" s="20" t="s">
        <v>1469</v>
      </c>
      <c r="E1069" s="20">
        <v>0</v>
      </c>
      <c r="F1069" s="20"/>
      <c r="G1069" s="22"/>
      <c r="J1069" s="3" t="s">
        <v>10</v>
      </c>
      <c r="N1069" s="3">
        <v>1604</v>
      </c>
    </row>
    <row r="1070" spans="1:14" s="3" customFormat="1" ht="17.399999999999999" hidden="1" customHeight="1" outlineLevel="1" x14ac:dyDescent="0.25">
      <c r="A1070" s="5"/>
      <c r="B1070" s="64" t="s">
        <v>73</v>
      </c>
      <c r="C1070" s="65" t="s">
        <v>1528</v>
      </c>
      <c r="D1070" s="65" t="s">
        <v>1469</v>
      </c>
      <c r="E1070" s="65" t="s">
        <v>1480</v>
      </c>
      <c r="F1070" s="65" t="s">
        <v>1481</v>
      </c>
      <c r="G1070" s="66"/>
      <c r="J1070" s="3" t="s">
        <v>10</v>
      </c>
    </row>
    <row r="1071" spans="1:14" s="3" customFormat="1" ht="17.399999999999999" hidden="1" customHeight="1" outlineLevel="1" x14ac:dyDescent="0.25">
      <c r="A1071" s="5"/>
      <c r="B1071" s="64" t="s">
        <v>74</v>
      </c>
      <c r="C1071" s="65" t="s">
        <v>1529</v>
      </c>
      <c r="D1071" s="65" t="s">
        <v>1469</v>
      </c>
      <c r="E1071" s="65" t="s">
        <v>1480</v>
      </c>
      <c r="F1071" s="65" t="s">
        <v>1481</v>
      </c>
      <c r="G1071" s="66"/>
      <c r="J1071" s="3" t="s">
        <v>10</v>
      </c>
    </row>
    <row r="1072" spans="1:14" s="3" customFormat="1" ht="17.399999999999999" hidden="1" customHeight="1" outlineLevel="1" x14ac:dyDescent="0.25">
      <c r="A1072" s="5"/>
      <c r="B1072" s="64"/>
      <c r="C1072" s="65"/>
      <c r="D1072" s="65"/>
      <c r="E1072" s="65"/>
      <c r="F1072" s="65"/>
      <c r="G1072" s="66"/>
    </row>
    <row r="1073" spans="1:14" s="3" customFormat="1" ht="17.399999999999999" hidden="1" customHeight="1" outlineLevel="1" x14ac:dyDescent="0.25">
      <c r="A1073" s="5"/>
      <c r="B1073" s="383" t="s">
        <v>18</v>
      </c>
      <c r="C1073" s="384"/>
      <c r="D1073" s="384"/>
      <c r="E1073" s="384"/>
      <c r="F1073" s="384"/>
      <c r="G1073" s="385"/>
    </row>
    <row r="1074" spans="1:14" s="3" customFormat="1" ht="17.399999999999999" hidden="1" customHeight="1" outlineLevel="1" x14ac:dyDescent="0.25">
      <c r="A1074" s="5"/>
      <c r="B1074" s="31" t="s">
        <v>16</v>
      </c>
      <c r="C1074" s="20" t="s">
        <v>1479</v>
      </c>
      <c r="D1074" s="20" t="s">
        <v>1469</v>
      </c>
      <c r="E1074" s="20" t="s">
        <v>1480</v>
      </c>
      <c r="F1074" s="20" t="s">
        <v>1481</v>
      </c>
      <c r="G1074" s="22" t="s">
        <v>1482</v>
      </c>
      <c r="J1074" s="3" t="s">
        <v>10</v>
      </c>
      <c r="N1074" s="3">
        <v>1211</v>
      </c>
    </row>
    <row r="1075" spans="1:14" s="3" customFormat="1" hidden="1" outlineLevel="1" x14ac:dyDescent="0.25">
      <c r="B1075" s="28" t="s">
        <v>7</v>
      </c>
      <c r="C1075" s="29" t="s">
        <v>1468</v>
      </c>
      <c r="D1075" s="29" t="s">
        <v>1469</v>
      </c>
      <c r="E1075" s="29">
        <v>0</v>
      </c>
      <c r="F1075" s="29" t="s">
        <v>1470</v>
      </c>
      <c r="G1075" s="30" t="s">
        <v>1471</v>
      </c>
      <c r="J1075" s="3" t="s">
        <v>10</v>
      </c>
      <c r="N1075" s="3">
        <v>1112</v>
      </c>
    </row>
    <row r="1076" spans="1:14" s="3" customFormat="1" hidden="1" outlineLevel="1" x14ac:dyDescent="0.25">
      <c r="B1076" s="28" t="s">
        <v>11</v>
      </c>
      <c r="C1076" s="29" t="s">
        <v>1472</v>
      </c>
      <c r="D1076" s="29" t="s">
        <v>1469</v>
      </c>
      <c r="E1076" s="29">
        <v>0</v>
      </c>
      <c r="F1076" s="29" t="s">
        <v>1470</v>
      </c>
      <c r="G1076" s="30" t="s">
        <v>1473</v>
      </c>
      <c r="J1076" s="3" t="s">
        <v>12</v>
      </c>
      <c r="N1076" s="3">
        <v>1700</v>
      </c>
    </row>
    <row r="1077" spans="1:14" s="3" customFormat="1" hidden="1" outlineLevel="1" x14ac:dyDescent="0.25">
      <c r="B1077" s="28" t="s">
        <v>13</v>
      </c>
      <c r="C1077" s="29" t="s">
        <v>1474</v>
      </c>
      <c r="D1077" s="29" t="s">
        <v>1469</v>
      </c>
      <c r="E1077" s="29">
        <v>0</v>
      </c>
      <c r="F1077" s="29" t="s">
        <v>1470</v>
      </c>
      <c r="G1077" s="30"/>
      <c r="J1077" s="3" t="s">
        <v>10</v>
      </c>
      <c r="N1077" s="3">
        <v>2534</v>
      </c>
    </row>
    <row r="1078" spans="1:14" s="3" customFormat="1" hidden="1" outlineLevel="1" x14ac:dyDescent="0.25">
      <c r="B1078" s="35" t="s">
        <v>25</v>
      </c>
      <c r="C1078" s="36" t="s">
        <v>1492</v>
      </c>
      <c r="D1078" s="36" t="s">
        <v>1469</v>
      </c>
      <c r="E1078" s="36">
        <v>0</v>
      </c>
      <c r="F1078" s="36" t="s">
        <v>1470</v>
      </c>
      <c r="G1078" s="37" t="s">
        <v>1484</v>
      </c>
      <c r="J1078" s="3" t="s">
        <v>10</v>
      </c>
      <c r="N1078" s="3">
        <v>2155</v>
      </c>
    </row>
    <row r="1079" spans="1:14" s="3" customFormat="1" hidden="1" outlineLevel="1" x14ac:dyDescent="0.25">
      <c r="B1079" s="28" t="s">
        <v>14</v>
      </c>
      <c r="C1079" s="29" t="s">
        <v>1475</v>
      </c>
      <c r="D1079" s="29" t="s">
        <v>1469</v>
      </c>
      <c r="E1079" s="29">
        <v>0</v>
      </c>
      <c r="F1079" s="29" t="s">
        <v>1476</v>
      </c>
      <c r="G1079" s="30" t="s">
        <v>1477</v>
      </c>
      <c r="J1079" s="3" t="s">
        <v>10</v>
      </c>
      <c r="N1079" s="3">
        <v>2430</v>
      </c>
    </row>
    <row r="1080" spans="1:14" s="3" customFormat="1" hidden="1" outlineLevel="1" x14ac:dyDescent="0.25">
      <c r="B1080" s="28" t="s">
        <v>15</v>
      </c>
      <c r="C1080" s="29" t="s">
        <v>1478</v>
      </c>
      <c r="D1080" s="29" t="s">
        <v>1469</v>
      </c>
      <c r="E1080" s="29">
        <v>0</v>
      </c>
      <c r="F1080" s="29" t="s">
        <v>1470</v>
      </c>
      <c r="G1080" s="30"/>
      <c r="J1080" s="3" t="s">
        <v>20</v>
      </c>
      <c r="N1080" s="3">
        <v>1203</v>
      </c>
    </row>
    <row r="1081" spans="1:14" s="3" customFormat="1" hidden="1" outlineLevel="1" x14ac:dyDescent="0.25">
      <c r="B1081" s="38" t="s">
        <v>19</v>
      </c>
      <c r="C1081" s="39" t="s">
        <v>1485</v>
      </c>
      <c r="D1081" s="39" t="s">
        <v>1486</v>
      </c>
      <c r="E1081" s="39">
        <v>0</v>
      </c>
      <c r="F1081" s="39"/>
      <c r="G1081" s="40"/>
      <c r="J1081" s="3" t="s">
        <v>20</v>
      </c>
      <c r="N1081" s="3">
        <v>1689</v>
      </c>
    </row>
    <row r="1082" spans="1:14" s="3" customFormat="1" hidden="1" outlineLevel="1" x14ac:dyDescent="0.25">
      <c r="B1082" s="28" t="s">
        <v>21</v>
      </c>
      <c r="C1082" s="29" t="s">
        <v>1487</v>
      </c>
      <c r="D1082" s="29" t="s">
        <v>1486</v>
      </c>
      <c r="E1082" s="29">
        <v>0</v>
      </c>
      <c r="F1082" s="29"/>
      <c r="G1082" s="30"/>
      <c r="J1082" s="3" t="s">
        <v>20</v>
      </c>
      <c r="N1082" s="3">
        <v>2052</v>
      </c>
    </row>
    <row r="1083" spans="1:14" s="3" customFormat="1" hidden="1" outlineLevel="1" x14ac:dyDescent="0.25">
      <c r="B1083" s="28" t="s">
        <v>22</v>
      </c>
      <c r="C1083" s="29" t="s">
        <v>1488</v>
      </c>
      <c r="D1083" s="29" t="s">
        <v>1489</v>
      </c>
      <c r="E1083" s="29">
        <v>0</v>
      </c>
      <c r="F1083" s="29" t="s">
        <v>1470</v>
      </c>
      <c r="G1083" s="30" t="s">
        <v>1490</v>
      </c>
      <c r="J1083" s="3" t="s">
        <v>20</v>
      </c>
      <c r="N1083" s="3">
        <v>2153</v>
      </c>
    </row>
    <row r="1084" spans="1:14" s="3" customFormat="1" hidden="1" outlineLevel="1" x14ac:dyDescent="0.25">
      <c r="B1084" s="28" t="s">
        <v>26</v>
      </c>
      <c r="C1084" s="29" t="s">
        <v>1493</v>
      </c>
      <c r="D1084" s="29" t="s">
        <v>1494</v>
      </c>
      <c r="E1084" s="29">
        <v>0</v>
      </c>
      <c r="F1084" s="29" t="s">
        <v>1470</v>
      </c>
      <c r="G1084" s="30"/>
      <c r="J1084" s="3" t="s">
        <v>20</v>
      </c>
      <c r="N1084" s="3">
        <v>2183</v>
      </c>
    </row>
    <row r="1085" spans="1:14" s="4" customFormat="1" ht="17.399999999999999" hidden="1" customHeight="1" outlineLevel="1" x14ac:dyDescent="0.35">
      <c r="A1085" s="5"/>
      <c r="B1085" s="41" t="s">
        <v>27</v>
      </c>
      <c r="C1085" s="42" t="s">
        <v>1495</v>
      </c>
      <c r="D1085" s="42" t="s">
        <v>1489</v>
      </c>
      <c r="E1085" s="42">
        <v>0</v>
      </c>
      <c r="F1085" s="42" t="s">
        <v>1470</v>
      </c>
      <c r="G1085" s="43"/>
      <c r="J1085" s="5" t="s">
        <v>20</v>
      </c>
      <c r="K1085" s="5"/>
      <c r="L1085" s="5"/>
      <c r="M1085" s="5"/>
    </row>
    <row r="1086" spans="1:14" s="3" customFormat="1" hidden="1" outlineLevel="1" x14ac:dyDescent="0.25">
      <c r="B1086" s="44" t="s">
        <v>75</v>
      </c>
      <c r="C1086" s="39" t="s">
        <v>1530</v>
      </c>
      <c r="D1086" s="39" t="s">
        <v>1486</v>
      </c>
      <c r="E1086" s="39">
        <v>0</v>
      </c>
      <c r="F1086" s="39" t="s">
        <v>1470</v>
      </c>
      <c r="G1086" s="40" t="s">
        <v>1531</v>
      </c>
    </row>
    <row r="1087" spans="1:14" s="3" customFormat="1" hidden="1" outlineLevel="1" x14ac:dyDescent="0.25">
      <c r="B1087" s="44" t="s">
        <v>76</v>
      </c>
      <c r="C1087" s="29" t="s">
        <v>1532</v>
      </c>
      <c r="D1087" s="29" t="s">
        <v>1489</v>
      </c>
      <c r="E1087" s="29">
        <v>0</v>
      </c>
      <c r="F1087" s="29"/>
      <c r="G1087" s="30"/>
    </row>
    <row r="1088" spans="1:14" s="3" customFormat="1" hidden="1" outlineLevel="1" x14ac:dyDescent="0.25">
      <c r="B1088" s="44" t="s">
        <v>77</v>
      </c>
      <c r="C1088" s="29" t="s">
        <v>1533</v>
      </c>
      <c r="D1088" s="29" t="s">
        <v>1486</v>
      </c>
      <c r="E1088" s="29">
        <v>0</v>
      </c>
      <c r="F1088" s="29" t="s">
        <v>1470</v>
      </c>
      <c r="G1088" s="30"/>
    </row>
    <row r="1089" spans="1:13" s="3" customFormat="1" hidden="1" outlineLevel="1" x14ac:dyDescent="0.25">
      <c r="B1089" s="44" t="s">
        <v>78</v>
      </c>
      <c r="C1089" s="29" t="s">
        <v>1534</v>
      </c>
      <c r="D1089" s="29" t="s">
        <v>1489</v>
      </c>
      <c r="E1089" s="29">
        <v>0</v>
      </c>
      <c r="F1089" s="29"/>
      <c r="G1089" s="30"/>
    </row>
    <row r="1090" spans="1:13" s="3" customFormat="1" hidden="1" outlineLevel="1" x14ac:dyDescent="0.25">
      <c r="B1090" s="44" t="s">
        <v>24</v>
      </c>
      <c r="C1090" s="29" t="s">
        <v>1491</v>
      </c>
      <c r="D1090" s="29" t="s">
        <v>1489</v>
      </c>
      <c r="E1090" s="29">
        <v>0</v>
      </c>
      <c r="F1090" s="29" t="s">
        <v>1470</v>
      </c>
      <c r="G1090" s="30"/>
    </row>
    <row r="1091" spans="1:13" s="4" customFormat="1" ht="17.399999999999999" hidden="1" customHeight="1" outlineLevel="1" x14ac:dyDescent="0.35">
      <c r="A1091" s="5"/>
      <c r="B1091" s="44" t="s">
        <v>58</v>
      </c>
      <c r="C1091" s="42" t="s">
        <v>1522</v>
      </c>
      <c r="D1091" s="42" t="s">
        <v>1489</v>
      </c>
      <c r="E1091" s="42">
        <v>0</v>
      </c>
      <c r="F1091" s="42" t="s">
        <v>1470</v>
      </c>
      <c r="G1091" s="43"/>
      <c r="K1091" s="5"/>
      <c r="L1091" s="5"/>
      <c r="M1091" s="5"/>
    </row>
    <row r="1092" spans="1:13" s="3" customFormat="1" hidden="1" outlineLevel="1" x14ac:dyDescent="0.25">
      <c r="A1092" s="5"/>
      <c r="B1092" s="45" t="s">
        <v>63</v>
      </c>
      <c r="C1092" s="20" t="s">
        <v>1526</v>
      </c>
      <c r="D1092" s="20" t="s">
        <v>1489</v>
      </c>
      <c r="E1092" s="20">
        <v>0</v>
      </c>
      <c r="F1092" s="20"/>
      <c r="G1092" s="22"/>
    </row>
    <row r="1093" spans="1:13" s="3" customFormat="1" ht="17.399999999999999" hidden="1" customHeight="1" outlineLevel="1" thickBot="1" x14ac:dyDescent="0.3">
      <c r="A1093" s="5"/>
      <c r="B1093" s="103"/>
      <c r="C1093" s="92"/>
      <c r="D1093" s="92"/>
      <c r="E1093" s="92"/>
      <c r="F1093" s="92"/>
      <c r="G1093" s="93"/>
    </row>
    <row r="1094" spans="1:13" s="3" customFormat="1" ht="17.399999999999999" hidden="1" customHeight="1" outlineLevel="1" thickBot="1" x14ac:dyDescent="0.3">
      <c r="A1094" s="5"/>
      <c r="B1094" s="94" t="s">
        <v>2</v>
      </c>
      <c r="C1094" s="95" t="s">
        <v>3</v>
      </c>
      <c r="D1094" s="95" t="s">
        <v>4</v>
      </c>
      <c r="E1094" s="95" t="s">
        <v>5</v>
      </c>
      <c r="F1094" s="95"/>
      <c r="G1094" s="96" t="s">
        <v>6</v>
      </c>
    </row>
    <row r="1095" spans="1:13" s="3" customFormat="1" ht="17.399999999999999" hidden="1" customHeight="1" outlineLevel="1" x14ac:dyDescent="0.25">
      <c r="A1095" s="5"/>
      <c r="B1095" s="380" t="s">
        <v>29</v>
      </c>
      <c r="C1095" s="381"/>
      <c r="D1095" s="381"/>
      <c r="E1095" s="381"/>
      <c r="F1095" s="381"/>
      <c r="G1095" s="382"/>
    </row>
    <row r="1096" spans="1:13" s="4" customFormat="1" ht="17.399999999999999" hidden="1" customHeight="1" outlineLevel="1" x14ac:dyDescent="0.35">
      <c r="A1096" s="5"/>
      <c r="B1096" s="67" t="s">
        <v>30</v>
      </c>
      <c r="C1096" s="65"/>
      <c r="D1096" s="65"/>
      <c r="E1096" s="65"/>
      <c r="F1096" s="65"/>
      <c r="G1096" s="371" t="s">
        <v>2357</v>
      </c>
      <c r="H1096" s="5"/>
      <c r="I1096" s="5"/>
      <c r="J1096" s="5"/>
      <c r="K1096" s="5"/>
      <c r="L1096" s="5"/>
      <c r="M1096" s="5"/>
    </row>
    <row r="1097" spans="1:13" s="3" customFormat="1" ht="17.399999999999999" hidden="1" customHeight="1" outlineLevel="1" x14ac:dyDescent="0.25">
      <c r="A1097" s="5"/>
      <c r="B1097" s="67" t="s">
        <v>252</v>
      </c>
      <c r="C1097" s="65"/>
      <c r="D1097" s="65"/>
      <c r="E1097" s="65"/>
      <c r="F1097" s="65"/>
      <c r="G1097" s="371" t="s">
        <v>2380</v>
      </c>
    </row>
    <row r="1098" spans="1:13" s="3" customFormat="1" ht="17.399999999999999" hidden="1" customHeight="1" outlineLevel="1" thickBot="1" x14ac:dyDescent="0.3">
      <c r="A1098" s="5"/>
      <c r="B1098" s="103"/>
      <c r="C1098" s="92"/>
      <c r="D1098" s="92"/>
      <c r="E1098" s="92"/>
      <c r="F1098" s="92"/>
      <c r="G1098" s="93"/>
    </row>
    <row r="1099" spans="1:13" s="3" customFormat="1" ht="17.399999999999999" hidden="1" customHeight="1" outlineLevel="1" thickBot="1" x14ac:dyDescent="0.3">
      <c r="A1099" s="5"/>
    </row>
    <row r="1100" spans="1:13" s="3" customFormat="1" ht="18.75" customHeight="1" collapsed="1" thickBot="1" x14ac:dyDescent="0.3">
      <c r="A1100" s="5"/>
      <c r="B1100" s="15" t="s">
        <v>1279</v>
      </c>
      <c r="C1100" s="16" t="s">
        <v>1431</v>
      </c>
      <c r="D1100" s="17" t="s">
        <v>1281</v>
      </c>
      <c r="E1100" s="16" t="s">
        <v>253</v>
      </c>
      <c r="F1100" s="17" t="s">
        <v>1282</v>
      </c>
      <c r="G1100" s="18" t="s">
        <v>1432</v>
      </c>
    </row>
    <row r="1101" spans="1:13" s="3" customFormat="1" ht="17.399999999999999" hidden="1" customHeight="1" outlineLevel="1" x14ac:dyDescent="0.25">
      <c r="A1101" s="5"/>
      <c r="B1101" s="19" t="s">
        <v>1284</v>
      </c>
      <c r="C1101" s="20" t="s">
        <v>1285</v>
      </c>
      <c r="D1101" s="21" t="s">
        <v>1286</v>
      </c>
      <c r="E1101" s="20" t="s">
        <v>1433</v>
      </c>
      <c r="F1101" s="21" t="s">
        <v>1288</v>
      </c>
      <c r="G1101" s="22"/>
    </row>
    <row r="1102" spans="1:13" s="3" customFormat="1" ht="17.399999999999999" hidden="1" customHeight="1" outlineLevel="1" thickBot="1" x14ac:dyDescent="0.3">
      <c r="A1102" s="5"/>
      <c r="B1102" s="19" t="s">
        <v>1290</v>
      </c>
      <c r="C1102" s="23" t="s">
        <v>1291</v>
      </c>
      <c r="D1102" s="21" t="s">
        <v>1292</v>
      </c>
      <c r="E1102" s="23">
        <v>5</v>
      </c>
      <c r="F1102" s="21" t="s">
        <v>1293</v>
      </c>
      <c r="G1102" s="24" t="s">
        <v>1294</v>
      </c>
    </row>
    <row r="1103" spans="1:13" s="3" customFormat="1" ht="17.399999999999999" hidden="1" customHeight="1" outlineLevel="1" x14ac:dyDescent="0.25">
      <c r="A1103" s="5"/>
      <c r="B1103" s="401" t="s">
        <v>1</v>
      </c>
      <c r="C1103" s="402"/>
      <c r="D1103" s="402"/>
      <c r="E1103" s="402"/>
      <c r="F1103" s="402"/>
      <c r="G1103" s="403"/>
    </row>
    <row r="1104" spans="1:13" s="3" customFormat="1" ht="17.399999999999999" hidden="1" customHeight="1" outlineLevel="1" x14ac:dyDescent="0.25">
      <c r="A1104" s="5"/>
      <c r="B1104" s="25" t="s">
        <v>2</v>
      </c>
      <c r="C1104" s="26" t="s">
        <v>3</v>
      </c>
      <c r="D1104" s="26" t="s">
        <v>4</v>
      </c>
      <c r="E1104" s="26" t="s">
        <v>5</v>
      </c>
      <c r="F1104" s="26"/>
      <c r="G1104" s="27" t="s">
        <v>6</v>
      </c>
    </row>
    <row r="1105" spans="1:14" s="3" customFormat="1" hidden="1" outlineLevel="1" x14ac:dyDescent="0.25">
      <c r="B1105" s="28" t="s">
        <v>112</v>
      </c>
      <c r="C1105" s="29" t="s">
        <v>1555</v>
      </c>
      <c r="D1105" s="29" t="s">
        <v>1469</v>
      </c>
      <c r="E1105" s="29">
        <v>0</v>
      </c>
      <c r="F1105" s="29" t="s">
        <v>1470</v>
      </c>
      <c r="G1105" s="30" t="s">
        <v>1556</v>
      </c>
      <c r="J1105" s="3" t="s">
        <v>10</v>
      </c>
      <c r="N1105" s="3">
        <v>1606</v>
      </c>
    </row>
    <row r="1106" spans="1:14" s="3" customFormat="1" hidden="1" outlineLevel="1" x14ac:dyDescent="0.25">
      <c r="B1106" s="28" t="s">
        <v>7</v>
      </c>
      <c r="C1106" s="29" t="s">
        <v>1468</v>
      </c>
      <c r="D1106" s="29" t="s">
        <v>1469</v>
      </c>
      <c r="E1106" s="29">
        <v>0</v>
      </c>
      <c r="F1106" s="29" t="s">
        <v>1470</v>
      </c>
      <c r="G1106" s="30" t="s">
        <v>1471</v>
      </c>
      <c r="J1106" s="3" t="s">
        <v>10</v>
      </c>
      <c r="N1106" s="3">
        <v>1112</v>
      </c>
    </row>
    <row r="1107" spans="1:14" s="3" customFormat="1" hidden="1" outlineLevel="1" x14ac:dyDescent="0.25">
      <c r="B1107" s="28" t="s">
        <v>11</v>
      </c>
      <c r="C1107" s="29" t="s">
        <v>1472</v>
      </c>
      <c r="D1107" s="29" t="s">
        <v>1469</v>
      </c>
      <c r="E1107" s="29">
        <v>0</v>
      </c>
      <c r="F1107" s="29" t="s">
        <v>1470</v>
      </c>
      <c r="G1107" s="30" t="s">
        <v>1473</v>
      </c>
      <c r="J1107" s="3" t="s">
        <v>12</v>
      </c>
      <c r="N1107" s="3">
        <v>1700</v>
      </c>
    </row>
    <row r="1108" spans="1:14" s="3" customFormat="1" hidden="1" outlineLevel="1" x14ac:dyDescent="0.25">
      <c r="B1108" s="28" t="s">
        <v>254</v>
      </c>
      <c r="C1108" s="29" t="s">
        <v>1683</v>
      </c>
      <c r="D1108" s="29" t="s">
        <v>1616</v>
      </c>
      <c r="E1108" s="29" t="s">
        <v>1617</v>
      </c>
      <c r="F1108" s="29"/>
      <c r="G1108" s="30"/>
      <c r="J1108" s="3" t="s">
        <v>187</v>
      </c>
      <c r="N1108" s="3">
        <v>1704</v>
      </c>
    </row>
    <row r="1109" spans="1:14" s="3" customFormat="1" ht="16.2" hidden="1" outlineLevel="1" thickBot="1" x14ac:dyDescent="0.3">
      <c r="B1109" s="28"/>
      <c r="C1109" s="29"/>
      <c r="D1109" s="29"/>
      <c r="E1109" s="29"/>
      <c r="F1109" s="29"/>
      <c r="G1109" s="30"/>
    </row>
    <row r="1110" spans="1:14" s="3" customFormat="1" hidden="1" outlineLevel="1" x14ac:dyDescent="0.25">
      <c r="B1110" s="401" t="s">
        <v>18</v>
      </c>
      <c r="C1110" s="402"/>
      <c r="D1110" s="402"/>
      <c r="E1110" s="402"/>
      <c r="F1110" s="402"/>
      <c r="G1110" s="403"/>
    </row>
    <row r="1111" spans="1:14" s="3" customFormat="1" hidden="1" outlineLevel="1" x14ac:dyDescent="0.25">
      <c r="B1111" s="179" t="s">
        <v>2</v>
      </c>
      <c r="C1111" s="180" t="s">
        <v>3</v>
      </c>
      <c r="D1111" s="180" t="s">
        <v>4</v>
      </c>
      <c r="E1111" s="180" t="s">
        <v>5</v>
      </c>
      <c r="F1111" s="180"/>
      <c r="G1111" s="181" t="s">
        <v>6</v>
      </c>
    </row>
    <row r="1112" spans="1:14" s="3" customFormat="1" hidden="1" outlineLevel="1" x14ac:dyDescent="0.25">
      <c r="A1112" s="77"/>
      <c r="B1112" s="195" t="s">
        <v>11</v>
      </c>
      <c r="C1112" s="183" t="s">
        <v>1472</v>
      </c>
      <c r="D1112" s="183" t="s">
        <v>1469</v>
      </c>
      <c r="E1112" s="183">
        <v>0</v>
      </c>
      <c r="F1112" s="183" t="s">
        <v>1470</v>
      </c>
      <c r="G1112" s="184" t="s">
        <v>1473</v>
      </c>
      <c r="J1112" s="3" t="s">
        <v>12</v>
      </c>
      <c r="N1112" s="3">
        <v>1700</v>
      </c>
    </row>
    <row r="1113" spans="1:14" s="3" customFormat="1" hidden="1" outlineLevel="1" x14ac:dyDescent="0.25">
      <c r="A1113" s="77"/>
      <c r="B1113" s="195" t="s">
        <v>112</v>
      </c>
      <c r="C1113" s="183" t="s">
        <v>1555</v>
      </c>
      <c r="D1113" s="183" t="s">
        <v>1469</v>
      </c>
      <c r="E1113" s="183">
        <v>0</v>
      </c>
      <c r="F1113" s="183" t="s">
        <v>1470</v>
      </c>
      <c r="G1113" s="184" t="s">
        <v>1556</v>
      </c>
      <c r="J1113" s="3" t="s">
        <v>10</v>
      </c>
      <c r="N1113" s="3">
        <v>1606</v>
      </c>
    </row>
    <row r="1114" spans="1:14" s="3" customFormat="1" hidden="1" outlineLevel="1" x14ac:dyDescent="0.25">
      <c r="A1114" s="77"/>
      <c r="B1114" s="116" t="s">
        <v>157</v>
      </c>
      <c r="C1114" s="183" t="s">
        <v>1684</v>
      </c>
      <c r="D1114" s="183" t="s">
        <v>1632</v>
      </c>
      <c r="E1114" s="183" t="s">
        <v>1594</v>
      </c>
      <c r="F1114" s="183" t="s">
        <v>1470</v>
      </c>
      <c r="G1114" s="184" t="s">
        <v>1685</v>
      </c>
      <c r="J1114" s="3" t="s">
        <v>187</v>
      </c>
      <c r="N1114" s="3">
        <v>1701</v>
      </c>
    </row>
    <row r="1115" spans="1:14" s="3" customFormat="1" hidden="1" outlineLevel="1" x14ac:dyDescent="0.25">
      <c r="A1115" s="77"/>
      <c r="B1115" s="116" t="s">
        <v>158</v>
      </c>
      <c r="C1115" s="183" t="s">
        <v>1686</v>
      </c>
      <c r="D1115" s="183" t="s">
        <v>1652</v>
      </c>
      <c r="E1115" s="183" t="s">
        <v>1594</v>
      </c>
      <c r="F1115" s="183"/>
      <c r="G1115" s="184"/>
      <c r="J1115" s="3" t="s">
        <v>187</v>
      </c>
      <c r="N1115" s="3">
        <v>1703</v>
      </c>
    </row>
    <row r="1116" spans="1:14" s="3" customFormat="1" hidden="1" outlineLevel="1" x14ac:dyDescent="0.25">
      <c r="A1116" s="77"/>
      <c r="B1116" s="116" t="s">
        <v>254</v>
      </c>
      <c r="C1116" s="23" t="s">
        <v>1683</v>
      </c>
      <c r="D1116" s="23" t="s">
        <v>1616</v>
      </c>
      <c r="E1116" s="23" t="s">
        <v>1617</v>
      </c>
      <c r="F1116" s="23"/>
      <c r="G1116" s="24"/>
      <c r="J1116" s="3" t="s">
        <v>187</v>
      </c>
      <c r="N1116" s="3">
        <v>1704</v>
      </c>
    </row>
    <row r="1117" spans="1:14" s="3" customFormat="1" hidden="1" outlineLevel="1" x14ac:dyDescent="0.25">
      <c r="A1117" s="77"/>
      <c r="B1117" s="116" t="s">
        <v>255</v>
      </c>
      <c r="C1117" s="29" t="s">
        <v>1687</v>
      </c>
      <c r="D1117" s="29" t="s">
        <v>1469</v>
      </c>
      <c r="E1117" s="29">
        <v>0</v>
      </c>
      <c r="F1117" s="29" t="s">
        <v>1476</v>
      </c>
      <c r="G1117" s="30"/>
      <c r="J1117" s="3" t="s">
        <v>10</v>
      </c>
      <c r="N1117" s="3">
        <v>1924</v>
      </c>
    </row>
    <row r="1118" spans="1:14" s="3" customFormat="1" hidden="1" outlineLevel="1" x14ac:dyDescent="0.25">
      <c r="A1118" s="77"/>
      <c r="B1118" s="182" t="s">
        <v>7</v>
      </c>
      <c r="C1118" s="183" t="s">
        <v>1468</v>
      </c>
      <c r="D1118" s="183" t="s">
        <v>1469</v>
      </c>
      <c r="E1118" s="183">
        <v>0</v>
      </c>
      <c r="F1118" s="183" t="s">
        <v>1470</v>
      </c>
      <c r="G1118" s="184" t="s">
        <v>1471</v>
      </c>
      <c r="J1118" s="3" t="s">
        <v>10</v>
      </c>
      <c r="N1118" s="3">
        <v>1112</v>
      </c>
    </row>
    <row r="1119" spans="1:14" s="3" customFormat="1" ht="16.2" hidden="1" outlineLevel="1" thickBot="1" x14ac:dyDescent="0.3">
      <c r="B1119" s="185"/>
      <c r="C1119" s="23"/>
      <c r="D1119" s="23"/>
      <c r="E1119" s="23"/>
      <c r="F1119" s="23"/>
      <c r="G1119" s="24"/>
    </row>
    <row r="1120" spans="1:14" s="3" customFormat="1" hidden="1" outlineLevel="1" x14ac:dyDescent="0.25">
      <c r="B1120" s="401" t="s">
        <v>29</v>
      </c>
      <c r="C1120" s="402"/>
      <c r="D1120" s="402"/>
      <c r="E1120" s="402"/>
      <c r="F1120" s="402"/>
      <c r="G1120" s="403"/>
    </row>
    <row r="1121" spans="1:14" s="3" customFormat="1" hidden="1" outlineLevel="1" x14ac:dyDescent="0.25">
      <c r="B1121" s="356"/>
      <c r="C1121" s="369"/>
      <c r="D1121" s="369"/>
      <c r="E1121" s="369"/>
      <c r="F1121" s="369"/>
      <c r="G1121" s="370"/>
    </row>
    <row r="1122" spans="1:14" s="4" customFormat="1" ht="17.399999999999999" hidden="1" customHeight="1" outlineLevel="1" x14ac:dyDescent="0.35">
      <c r="A1122" s="5"/>
      <c r="B1122" s="67" t="s">
        <v>256</v>
      </c>
      <c r="C1122" s="65"/>
      <c r="D1122" s="65"/>
      <c r="E1122" s="65"/>
      <c r="F1122" s="65"/>
      <c r="G1122" s="105"/>
      <c r="H1122" s="5"/>
      <c r="I1122" s="5"/>
      <c r="J1122" s="5"/>
      <c r="K1122" s="5"/>
      <c r="L1122" s="5"/>
      <c r="M1122" s="5"/>
    </row>
    <row r="1123" spans="1:14" s="4" customFormat="1" ht="17.399999999999999" hidden="1" customHeight="1" outlineLevel="1" x14ac:dyDescent="0.35">
      <c r="A1123" s="5"/>
      <c r="B1123" s="67" t="s">
        <v>30</v>
      </c>
      <c r="C1123" s="65"/>
      <c r="D1123" s="65"/>
      <c r="E1123" s="65"/>
      <c r="F1123" s="65"/>
      <c r="G1123" s="371" t="s">
        <v>2357</v>
      </c>
      <c r="H1123" s="5"/>
      <c r="I1123" s="5"/>
      <c r="J1123" s="5"/>
      <c r="K1123" s="5"/>
      <c r="L1123" s="5"/>
      <c r="M1123" s="5"/>
    </row>
    <row r="1124" spans="1:14" s="3" customFormat="1" hidden="1" outlineLevel="1" x14ac:dyDescent="0.25">
      <c r="B1124" s="186" t="s">
        <v>257</v>
      </c>
      <c r="C1124" s="117"/>
      <c r="D1124" s="117"/>
      <c r="E1124" s="117"/>
      <c r="F1124" s="117"/>
      <c r="G1124" s="371" t="s">
        <v>2381</v>
      </c>
    </row>
    <row r="1125" spans="1:14" s="3" customFormat="1" ht="16.2" hidden="1" outlineLevel="1" thickBot="1" x14ac:dyDescent="0.3">
      <c r="B1125" s="132"/>
      <c r="C1125" s="190"/>
      <c r="D1125" s="190"/>
      <c r="E1125" s="190"/>
      <c r="F1125" s="190"/>
      <c r="G1125" s="191"/>
    </row>
    <row r="1126" spans="1:14" ht="16.2" hidden="1" outlineLevel="1" thickBot="1" x14ac:dyDescent="0.3"/>
    <row r="1127" spans="1:14" s="3" customFormat="1" ht="16.2" collapsed="1" thickBot="1" x14ac:dyDescent="0.3">
      <c r="B1127" s="15" t="s">
        <v>1279</v>
      </c>
      <c r="C1127" s="16" t="s">
        <v>1434</v>
      </c>
      <c r="D1127" s="17" t="s">
        <v>1281</v>
      </c>
      <c r="E1127" s="219" t="s">
        <v>258</v>
      </c>
      <c r="F1127" s="17" t="s">
        <v>1282</v>
      </c>
      <c r="G1127" s="192" t="s">
        <v>1435</v>
      </c>
    </row>
    <row r="1128" spans="1:14" s="3" customFormat="1" hidden="1" outlineLevel="1" x14ac:dyDescent="0.25">
      <c r="B1128" s="179" t="s">
        <v>1284</v>
      </c>
      <c r="C1128" s="29" t="s">
        <v>1285</v>
      </c>
      <c r="D1128" s="180" t="s">
        <v>1286</v>
      </c>
      <c r="E1128" s="29" t="s">
        <v>1436</v>
      </c>
      <c r="F1128" s="180" t="s">
        <v>1288</v>
      </c>
      <c r="G1128" s="30"/>
    </row>
    <row r="1129" spans="1:14" s="3" customFormat="1" ht="16.2" hidden="1" outlineLevel="1" thickBot="1" x14ac:dyDescent="0.3">
      <c r="B1129" s="193" t="s">
        <v>1290</v>
      </c>
      <c r="C1129" s="164" t="s">
        <v>1291</v>
      </c>
      <c r="D1129" s="194" t="s">
        <v>1292</v>
      </c>
      <c r="E1129" s="164">
        <v>5</v>
      </c>
      <c r="F1129" s="194" t="s">
        <v>1293</v>
      </c>
      <c r="G1129" s="165" t="s">
        <v>1294</v>
      </c>
    </row>
    <row r="1130" spans="1:14" s="3" customFormat="1" hidden="1" outlineLevel="1" x14ac:dyDescent="0.25">
      <c r="B1130" s="401" t="s">
        <v>1</v>
      </c>
      <c r="C1130" s="402"/>
      <c r="D1130" s="402"/>
      <c r="E1130" s="402"/>
      <c r="F1130" s="402"/>
      <c r="G1130" s="403"/>
    </row>
    <row r="1131" spans="1:14" s="3" customFormat="1" hidden="1" outlineLevel="1" x14ac:dyDescent="0.25">
      <c r="B1131" s="179" t="s">
        <v>2</v>
      </c>
      <c r="C1131" s="180" t="s">
        <v>3</v>
      </c>
      <c r="D1131" s="180" t="s">
        <v>4</v>
      </c>
      <c r="E1131" s="180" t="s">
        <v>5</v>
      </c>
      <c r="F1131" s="180"/>
      <c r="G1131" s="181" t="s">
        <v>6</v>
      </c>
    </row>
    <row r="1132" spans="1:14" s="3" customFormat="1" hidden="1" outlineLevel="1" x14ac:dyDescent="0.25">
      <c r="B1132" s="28" t="s">
        <v>17</v>
      </c>
      <c r="C1132" s="29" t="s">
        <v>1483</v>
      </c>
      <c r="D1132" s="29" t="s">
        <v>1469</v>
      </c>
      <c r="E1132" s="29">
        <v>0</v>
      </c>
      <c r="F1132" s="29" t="s">
        <v>1470</v>
      </c>
      <c r="G1132" s="30" t="s">
        <v>1484</v>
      </c>
      <c r="J1132" s="3" t="s">
        <v>10</v>
      </c>
      <c r="N1132" s="3">
        <v>1097</v>
      </c>
    </row>
    <row r="1133" spans="1:14" s="3" customFormat="1" hidden="1" outlineLevel="1" x14ac:dyDescent="0.25">
      <c r="B1133" s="28" t="s">
        <v>112</v>
      </c>
      <c r="C1133" s="29" t="s">
        <v>1555</v>
      </c>
      <c r="D1133" s="29" t="s">
        <v>1469</v>
      </c>
      <c r="E1133" s="29">
        <v>0</v>
      </c>
      <c r="F1133" s="29" t="s">
        <v>1470</v>
      </c>
      <c r="G1133" s="29" t="s">
        <v>1556</v>
      </c>
      <c r="J1133" s="3" t="s">
        <v>10</v>
      </c>
      <c r="N1133" s="3">
        <v>1606</v>
      </c>
    </row>
    <row r="1134" spans="1:14" s="3" customFormat="1" hidden="1" outlineLevel="1" x14ac:dyDescent="0.25">
      <c r="B1134" s="195" t="s">
        <v>259</v>
      </c>
      <c r="C1134" s="120" t="s">
        <v>1688</v>
      </c>
      <c r="D1134" s="120" t="s">
        <v>1469</v>
      </c>
      <c r="E1134" s="120">
        <v>0</v>
      </c>
      <c r="F1134" s="120"/>
      <c r="G1134" s="120"/>
      <c r="J1134" s="3" t="s">
        <v>10</v>
      </c>
      <c r="N1134" s="3">
        <v>2174</v>
      </c>
    </row>
    <row r="1135" spans="1:14" s="3" customFormat="1" hidden="1" outlineLevel="1" x14ac:dyDescent="0.25">
      <c r="B1135" s="195" t="s">
        <v>260</v>
      </c>
      <c r="C1135" s="23" t="s">
        <v>1689</v>
      </c>
      <c r="D1135" s="23" t="s">
        <v>1652</v>
      </c>
      <c r="E1135" s="23" t="s">
        <v>1594</v>
      </c>
      <c r="F1135" s="23" t="s">
        <v>1470</v>
      </c>
      <c r="G1135" s="24"/>
      <c r="J1135" s="3" t="s">
        <v>187</v>
      </c>
      <c r="N1135" s="3">
        <v>1094</v>
      </c>
    </row>
    <row r="1136" spans="1:14" s="3" customFormat="1" hidden="1" outlineLevel="1" x14ac:dyDescent="0.25">
      <c r="B1136" s="195" t="s">
        <v>128</v>
      </c>
      <c r="C1136" s="23" t="s">
        <v>1566</v>
      </c>
      <c r="D1136" s="23" t="s">
        <v>1567</v>
      </c>
      <c r="E1136" s="23">
        <v>0</v>
      </c>
      <c r="F1136" s="23" t="s">
        <v>1470</v>
      </c>
      <c r="G1136" s="24"/>
      <c r="J1136" s="3" t="s">
        <v>12</v>
      </c>
      <c r="N1136" s="3">
        <v>1629</v>
      </c>
    </row>
    <row r="1137" spans="1:14" s="3" customFormat="1" hidden="1" outlineLevel="1" x14ac:dyDescent="0.25">
      <c r="B1137" s="196" t="s">
        <v>114</v>
      </c>
      <c r="C1137" s="23" t="s">
        <v>1557</v>
      </c>
      <c r="D1137" s="23" t="s">
        <v>1469</v>
      </c>
      <c r="E1137" s="23">
        <v>-1</v>
      </c>
      <c r="F1137" s="23" t="s">
        <v>1470</v>
      </c>
      <c r="G1137" s="24"/>
      <c r="J1137" s="3" t="s">
        <v>10</v>
      </c>
      <c r="N1137" s="3">
        <v>2449</v>
      </c>
    </row>
    <row r="1138" spans="1:14" s="3" customFormat="1" ht="16.2" hidden="1" outlineLevel="1" thickBot="1" x14ac:dyDescent="0.3">
      <c r="B1138" s="163"/>
      <c r="C1138" s="164"/>
      <c r="D1138" s="164"/>
      <c r="E1138" s="164"/>
      <c r="F1138" s="164"/>
      <c r="G1138" s="165"/>
    </row>
    <row r="1139" spans="1:14" s="3" customFormat="1" hidden="1" outlineLevel="1" x14ac:dyDescent="0.25">
      <c r="B1139" s="401" t="s">
        <v>18</v>
      </c>
      <c r="C1139" s="402"/>
      <c r="D1139" s="402"/>
      <c r="E1139" s="402"/>
      <c r="F1139" s="402"/>
      <c r="G1139" s="403"/>
    </row>
    <row r="1140" spans="1:14" s="3" customFormat="1" hidden="1" outlineLevel="1" x14ac:dyDescent="0.25">
      <c r="B1140" s="179" t="s">
        <v>2</v>
      </c>
      <c r="C1140" s="180" t="s">
        <v>3</v>
      </c>
      <c r="D1140" s="180" t="s">
        <v>4</v>
      </c>
      <c r="E1140" s="180" t="s">
        <v>5</v>
      </c>
      <c r="F1140" s="180"/>
      <c r="G1140" s="181" t="s">
        <v>6</v>
      </c>
    </row>
    <row r="1141" spans="1:14" s="3" customFormat="1" hidden="1" outlineLevel="1" x14ac:dyDescent="0.25">
      <c r="B1141" s="195" t="s">
        <v>128</v>
      </c>
      <c r="C1141" s="29" t="s">
        <v>1566</v>
      </c>
      <c r="D1141" s="29" t="s">
        <v>1567</v>
      </c>
      <c r="E1141" s="29">
        <v>0</v>
      </c>
      <c r="F1141" s="29" t="s">
        <v>1470</v>
      </c>
      <c r="G1141" s="30"/>
      <c r="J1141" s="3" t="s">
        <v>12</v>
      </c>
      <c r="N1141" s="3">
        <v>1629</v>
      </c>
    </row>
    <row r="1142" spans="1:14" s="3" customFormat="1" hidden="1" outlineLevel="1" x14ac:dyDescent="0.25">
      <c r="B1142" s="195" t="s">
        <v>112</v>
      </c>
      <c r="C1142" s="183" t="s">
        <v>1555</v>
      </c>
      <c r="D1142" s="183" t="s">
        <v>1469</v>
      </c>
      <c r="E1142" s="183">
        <v>0</v>
      </c>
      <c r="F1142" s="183" t="s">
        <v>1470</v>
      </c>
      <c r="G1142" s="184" t="s">
        <v>1556</v>
      </c>
      <c r="J1142" s="3" t="s">
        <v>10</v>
      </c>
      <c r="N1142" s="3">
        <v>1606</v>
      </c>
    </row>
    <row r="1143" spans="1:14" s="3" customFormat="1" hidden="1" outlineLevel="1" x14ac:dyDescent="0.25">
      <c r="B1143" s="195" t="s">
        <v>25</v>
      </c>
      <c r="C1143" s="183" t="s">
        <v>1492</v>
      </c>
      <c r="D1143" s="183" t="s">
        <v>1469</v>
      </c>
      <c r="E1143" s="183">
        <v>0</v>
      </c>
      <c r="F1143" s="183" t="s">
        <v>1470</v>
      </c>
      <c r="G1143" s="184" t="s">
        <v>1484</v>
      </c>
      <c r="J1143" s="3" t="s">
        <v>10</v>
      </c>
      <c r="N1143" s="3">
        <v>1080</v>
      </c>
    </row>
    <row r="1144" spans="1:14" s="3" customFormat="1" hidden="1" outlineLevel="1" x14ac:dyDescent="0.25">
      <c r="B1144" s="195" t="s">
        <v>154</v>
      </c>
      <c r="C1144" s="314" t="s">
        <v>1678</v>
      </c>
      <c r="D1144" s="183" t="s">
        <v>1652</v>
      </c>
      <c r="E1144" s="183" t="s">
        <v>1594</v>
      </c>
      <c r="F1144" s="183"/>
      <c r="G1144" s="184"/>
      <c r="J1144" s="3" t="s">
        <v>187</v>
      </c>
      <c r="N1144" s="3">
        <v>1087</v>
      </c>
    </row>
    <row r="1145" spans="1:14" s="3" customFormat="1" hidden="1" outlineLevel="1" x14ac:dyDescent="0.25">
      <c r="B1145" s="195" t="s">
        <v>261</v>
      </c>
      <c r="C1145" s="183" t="s">
        <v>1690</v>
      </c>
      <c r="D1145" s="183" t="s">
        <v>1469</v>
      </c>
      <c r="E1145" s="183">
        <v>0</v>
      </c>
      <c r="F1145" s="183" t="s">
        <v>1476</v>
      </c>
      <c r="G1145" s="184"/>
      <c r="J1145" s="3" t="s">
        <v>10</v>
      </c>
      <c r="N1145" s="3">
        <v>1083</v>
      </c>
    </row>
    <row r="1146" spans="1:14" s="3" customFormat="1" hidden="1" outlineLevel="1" x14ac:dyDescent="0.25">
      <c r="B1146" s="195" t="s">
        <v>262</v>
      </c>
      <c r="C1146" s="183" t="s">
        <v>1691</v>
      </c>
      <c r="D1146" s="183" t="s">
        <v>1616</v>
      </c>
      <c r="E1146" s="183" t="s">
        <v>1617</v>
      </c>
      <c r="F1146" s="183" t="s">
        <v>1476</v>
      </c>
      <c r="G1146" s="184"/>
      <c r="J1146" s="3" t="s">
        <v>187</v>
      </c>
      <c r="N1146" s="3">
        <v>1093</v>
      </c>
    </row>
    <row r="1147" spans="1:14" s="3" customFormat="1" ht="16.2" hidden="1" outlineLevel="1" thickBot="1" x14ac:dyDescent="0.3">
      <c r="B1147" s="185"/>
      <c r="C1147" s="23"/>
      <c r="D1147" s="23"/>
      <c r="E1147" s="23"/>
      <c r="F1147" s="23"/>
      <c r="G1147" s="24"/>
    </row>
    <row r="1148" spans="1:14" s="3" customFormat="1" hidden="1" outlineLevel="1" x14ac:dyDescent="0.25">
      <c r="B1148" s="401" t="s">
        <v>29</v>
      </c>
      <c r="C1148" s="402"/>
      <c r="D1148" s="402"/>
      <c r="E1148" s="402"/>
      <c r="F1148" s="402"/>
      <c r="G1148" s="403"/>
    </row>
    <row r="1149" spans="1:14" s="4" customFormat="1" ht="17.399999999999999" hidden="1" customHeight="1" outlineLevel="1" x14ac:dyDescent="0.35">
      <c r="A1149" s="5"/>
      <c r="B1149" s="67" t="s">
        <v>256</v>
      </c>
      <c r="C1149" s="65"/>
      <c r="D1149" s="65"/>
      <c r="E1149" s="65"/>
      <c r="F1149" s="65"/>
      <c r="G1149" s="105"/>
      <c r="H1149" s="5"/>
      <c r="I1149" s="5"/>
      <c r="J1149" s="5"/>
      <c r="K1149" s="5"/>
      <c r="L1149" s="5"/>
      <c r="M1149" s="5"/>
    </row>
    <row r="1150" spans="1:14" s="3" customFormat="1" hidden="1" outlineLevel="1" x14ac:dyDescent="0.25">
      <c r="B1150" s="116"/>
      <c r="C1150" s="117"/>
      <c r="D1150" s="117"/>
      <c r="E1150" s="117"/>
      <c r="F1150" s="117"/>
      <c r="G1150" s="105"/>
    </row>
    <row r="1151" spans="1:14" s="4" customFormat="1" ht="17.399999999999999" hidden="1" customHeight="1" outlineLevel="1" x14ac:dyDescent="0.35">
      <c r="A1151" s="5"/>
      <c r="B1151" s="67" t="s">
        <v>30</v>
      </c>
      <c r="C1151" s="65"/>
      <c r="D1151" s="65"/>
      <c r="E1151" s="65"/>
      <c r="F1151" s="65"/>
      <c r="G1151" s="371" t="s">
        <v>2357</v>
      </c>
      <c r="H1151" s="5"/>
      <c r="I1151" s="5"/>
      <c r="J1151" s="5"/>
      <c r="K1151" s="5"/>
      <c r="L1151" s="5"/>
      <c r="M1151" s="5"/>
    </row>
    <row r="1152" spans="1:14" s="3" customFormat="1" hidden="1" outlineLevel="1" x14ac:dyDescent="0.25">
      <c r="B1152" s="116"/>
      <c r="C1152" s="198"/>
      <c r="D1152" s="117"/>
      <c r="E1152" s="117"/>
      <c r="F1152" s="117"/>
      <c r="G1152" s="105"/>
    </row>
    <row r="1153" spans="1:14" s="3" customFormat="1" hidden="1" outlineLevel="1" x14ac:dyDescent="0.25">
      <c r="B1153" s="186" t="s">
        <v>263</v>
      </c>
      <c r="C1153" s="117"/>
      <c r="D1153" s="117"/>
      <c r="E1153" s="117"/>
      <c r="F1153" s="117"/>
      <c r="G1153" s="371" t="s">
        <v>2382</v>
      </c>
    </row>
    <row r="1154" spans="1:14" s="3" customFormat="1" ht="16.2" hidden="1" outlineLevel="1" thickBot="1" x14ac:dyDescent="0.3">
      <c r="B1154" s="132"/>
      <c r="C1154" s="190"/>
      <c r="D1154" s="190"/>
      <c r="E1154" s="190"/>
      <c r="F1154" s="190"/>
      <c r="G1154" s="191"/>
    </row>
    <row r="1155" spans="1:14" s="3" customFormat="1" hidden="1" outlineLevel="1" x14ac:dyDescent="0.25"/>
    <row r="1156" spans="1:14" ht="16.2" hidden="1" outlineLevel="1" thickBot="1" x14ac:dyDescent="0.3"/>
    <row r="1157" spans="1:14" s="3" customFormat="1" ht="18" customHeight="1" collapsed="1" thickBot="1" x14ac:dyDescent="0.3">
      <c r="A1157" s="5"/>
      <c r="B1157" s="15" t="s">
        <v>1279</v>
      </c>
      <c r="C1157" s="16" t="s">
        <v>1380</v>
      </c>
      <c r="D1157" s="17" t="s">
        <v>1281</v>
      </c>
      <c r="E1157" s="252" t="s">
        <v>264</v>
      </c>
      <c r="F1157" s="17" t="s">
        <v>1282</v>
      </c>
      <c r="G1157" s="18" t="s">
        <v>1381</v>
      </c>
    </row>
    <row r="1158" spans="1:14" s="3" customFormat="1" ht="17.399999999999999" hidden="1" customHeight="1" outlineLevel="1" x14ac:dyDescent="0.25">
      <c r="A1158" s="5"/>
      <c r="B1158" s="19" t="s">
        <v>1284</v>
      </c>
      <c r="C1158" s="20" t="s">
        <v>1285</v>
      </c>
      <c r="D1158" s="21" t="s">
        <v>1286</v>
      </c>
      <c r="E1158" s="20" t="s">
        <v>1382</v>
      </c>
      <c r="F1158" s="21" t="s">
        <v>1288</v>
      </c>
      <c r="G1158" s="22" t="s">
        <v>1383</v>
      </c>
    </row>
    <row r="1159" spans="1:14" s="3" customFormat="1" ht="17.399999999999999" hidden="1" customHeight="1" outlineLevel="1" thickBot="1" x14ac:dyDescent="0.3">
      <c r="A1159" s="5"/>
      <c r="B1159" s="19" t="s">
        <v>1290</v>
      </c>
      <c r="C1159" s="23" t="s">
        <v>1291</v>
      </c>
      <c r="D1159" s="21" t="s">
        <v>1292</v>
      </c>
      <c r="E1159" s="23">
        <v>5</v>
      </c>
      <c r="F1159" s="21" t="s">
        <v>1293</v>
      </c>
      <c r="G1159" s="24" t="s">
        <v>1294</v>
      </c>
    </row>
    <row r="1160" spans="1:14" s="3" customFormat="1" ht="17.399999999999999" hidden="1" customHeight="1" outlineLevel="1" x14ac:dyDescent="0.25">
      <c r="A1160" s="5"/>
      <c r="B1160" s="401" t="s">
        <v>1</v>
      </c>
      <c r="C1160" s="402"/>
      <c r="D1160" s="402"/>
      <c r="E1160" s="402"/>
      <c r="F1160" s="402"/>
      <c r="G1160" s="403"/>
    </row>
    <row r="1161" spans="1:14" s="3" customFormat="1" ht="17.399999999999999" hidden="1" customHeight="1" outlineLevel="1" x14ac:dyDescent="0.25">
      <c r="A1161" s="5"/>
      <c r="B1161" s="25" t="s">
        <v>2</v>
      </c>
      <c r="C1161" s="26" t="s">
        <v>3</v>
      </c>
      <c r="D1161" s="26" t="s">
        <v>4</v>
      </c>
      <c r="E1161" s="26" t="s">
        <v>5</v>
      </c>
      <c r="F1161" s="26"/>
      <c r="G1161" s="27" t="s">
        <v>6</v>
      </c>
    </row>
    <row r="1162" spans="1:14" s="3" customFormat="1" hidden="1" outlineLevel="1" x14ac:dyDescent="0.25">
      <c r="B1162" s="28" t="s">
        <v>7</v>
      </c>
      <c r="C1162" s="29" t="s">
        <v>1468</v>
      </c>
      <c r="D1162" s="29" t="s">
        <v>1469</v>
      </c>
      <c r="E1162" s="29">
        <v>0</v>
      </c>
      <c r="F1162" s="29" t="s">
        <v>1470</v>
      </c>
      <c r="G1162" s="30" t="s">
        <v>1471</v>
      </c>
      <c r="J1162" s="3" t="s">
        <v>10</v>
      </c>
      <c r="N1162" s="3">
        <v>1112</v>
      </c>
    </row>
    <row r="1163" spans="1:14" s="3" customFormat="1" hidden="1" outlineLevel="1" x14ac:dyDescent="0.25">
      <c r="B1163" s="28" t="s">
        <v>265</v>
      </c>
      <c r="C1163" s="29" t="s">
        <v>1692</v>
      </c>
      <c r="D1163" s="29" t="s">
        <v>1606</v>
      </c>
      <c r="E1163" s="29" t="s">
        <v>1594</v>
      </c>
      <c r="F1163" s="29" t="s">
        <v>1470</v>
      </c>
      <c r="G1163" s="30"/>
      <c r="J1163" s="3" t="s">
        <v>187</v>
      </c>
      <c r="N1163" s="3">
        <v>1114</v>
      </c>
    </row>
    <row r="1164" spans="1:14" s="3" customFormat="1" hidden="1" outlineLevel="1" x14ac:dyDescent="0.25">
      <c r="B1164" s="28" t="s">
        <v>203</v>
      </c>
      <c r="C1164" s="29" t="s">
        <v>1635</v>
      </c>
      <c r="D1164" s="29" t="s">
        <v>1636</v>
      </c>
      <c r="E1164" s="29" t="s">
        <v>1637</v>
      </c>
      <c r="F1164" s="29" t="s">
        <v>1476</v>
      </c>
      <c r="G1164" s="30"/>
      <c r="J1164" s="3" t="s">
        <v>187</v>
      </c>
      <c r="N1164" s="3">
        <v>1041</v>
      </c>
    </row>
    <row r="1165" spans="1:14" s="3" customFormat="1" hidden="1" outlineLevel="1" x14ac:dyDescent="0.25">
      <c r="B1165" s="28"/>
      <c r="C1165" s="29"/>
      <c r="D1165" s="29"/>
      <c r="E1165" s="29"/>
      <c r="F1165" s="29"/>
      <c r="G1165" s="30"/>
    </row>
    <row r="1166" spans="1:14" s="3" customFormat="1" ht="16.2" hidden="1" outlineLevel="1" thickBot="1" x14ac:dyDescent="0.3">
      <c r="B1166" s="28"/>
      <c r="C1166" s="29"/>
      <c r="D1166" s="29"/>
      <c r="E1166" s="29"/>
      <c r="F1166" s="29"/>
      <c r="G1166" s="30"/>
    </row>
    <row r="1167" spans="1:14" s="3" customFormat="1" ht="17.399999999999999" hidden="1" customHeight="1" outlineLevel="1" x14ac:dyDescent="0.25">
      <c r="A1167" s="5"/>
      <c r="B1167" s="401" t="s">
        <v>18</v>
      </c>
      <c r="C1167" s="402"/>
      <c r="D1167" s="402"/>
      <c r="E1167" s="402"/>
      <c r="F1167" s="402"/>
      <c r="G1167" s="403"/>
    </row>
    <row r="1168" spans="1:14" s="3" customFormat="1" ht="17.399999999999999" hidden="1" customHeight="1" outlineLevel="1" x14ac:dyDescent="0.25">
      <c r="A1168" s="5"/>
      <c r="B1168" s="25" t="s">
        <v>2</v>
      </c>
      <c r="C1168" s="26" t="s">
        <v>3</v>
      </c>
      <c r="D1168" s="26" t="s">
        <v>4</v>
      </c>
      <c r="E1168" s="26" t="s">
        <v>5</v>
      </c>
      <c r="F1168" s="26"/>
      <c r="G1168" s="27" t="s">
        <v>6</v>
      </c>
    </row>
    <row r="1169" spans="2:14" s="3" customFormat="1" hidden="1" outlineLevel="1" x14ac:dyDescent="0.25">
      <c r="B1169" s="28" t="s">
        <v>16</v>
      </c>
      <c r="C1169" s="29" t="s">
        <v>1479</v>
      </c>
      <c r="D1169" s="29" t="s">
        <v>1469</v>
      </c>
      <c r="E1169" s="29" t="s">
        <v>1480</v>
      </c>
      <c r="F1169" s="29" t="s">
        <v>1481</v>
      </c>
      <c r="G1169" s="30" t="s">
        <v>1482</v>
      </c>
      <c r="H1169" s="3" t="str">
        <f>"{"&amp;B1169&amp;"},"</f>
        <v>{初始化日期},</v>
      </c>
      <c r="J1169" s="3" t="s">
        <v>10</v>
      </c>
      <c r="N1169" s="3">
        <v>1211</v>
      </c>
    </row>
    <row r="1170" spans="2:14" s="3" customFormat="1" hidden="1" outlineLevel="1" x14ac:dyDescent="0.25">
      <c r="B1170" s="28" t="s">
        <v>7</v>
      </c>
      <c r="C1170" s="29" t="s">
        <v>1468</v>
      </c>
      <c r="D1170" s="29" t="s">
        <v>1469</v>
      </c>
      <c r="E1170" s="29">
        <v>0</v>
      </c>
      <c r="F1170" s="29" t="s">
        <v>1470</v>
      </c>
      <c r="G1170" s="30" t="s">
        <v>1471</v>
      </c>
      <c r="H1170" s="3" t="str">
        <f t="shared" ref="H1170:H1193" si="7">"{"&amp;B1170&amp;"},"</f>
        <v>{产品编号},</v>
      </c>
      <c r="J1170" s="3" t="s">
        <v>10</v>
      </c>
      <c r="N1170" s="3">
        <v>1112</v>
      </c>
    </row>
    <row r="1171" spans="2:14" s="3" customFormat="1" hidden="1" outlineLevel="1" x14ac:dyDescent="0.25">
      <c r="B1171" s="28" t="s">
        <v>266</v>
      </c>
      <c r="C1171" s="29" t="s">
        <v>1693</v>
      </c>
      <c r="D1171" s="29" t="s">
        <v>1486</v>
      </c>
      <c r="E1171" s="29">
        <v>0</v>
      </c>
      <c r="F1171" s="29" t="s">
        <v>1470</v>
      </c>
      <c r="G1171" s="30"/>
      <c r="H1171" s="3" t="str">
        <f t="shared" si="7"/>
        <v>{产品总份额},</v>
      </c>
      <c r="J1171" s="3" t="s">
        <v>20</v>
      </c>
      <c r="N1171" s="3">
        <v>1149</v>
      </c>
    </row>
    <row r="1172" spans="2:14" s="3" customFormat="1" hidden="1" outlineLevel="1" x14ac:dyDescent="0.25">
      <c r="B1172" s="28" t="s">
        <v>267</v>
      </c>
      <c r="C1172" s="29" t="s">
        <v>1694</v>
      </c>
      <c r="D1172" s="29" t="s">
        <v>1486</v>
      </c>
      <c r="E1172" s="29">
        <v>0</v>
      </c>
      <c r="F1172" s="29" t="s">
        <v>1470</v>
      </c>
      <c r="G1172" s="30"/>
    </row>
    <row r="1173" spans="2:14" s="3" customFormat="1" hidden="1" outlineLevel="1" x14ac:dyDescent="0.25">
      <c r="B1173" s="28" t="s">
        <v>268</v>
      </c>
      <c r="C1173" s="29" t="s">
        <v>1695</v>
      </c>
      <c r="D1173" s="29" t="s">
        <v>1489</v>
      </c>
      <c r="E1173" s="29">
        <v>0</v>
      </c>
      <c r="F1173" s="29" t="s">
        <v>1470</v>
      </c>
      <c r="G1173" s="30"/>
      <c r="H1173" s="3" t="str">
        <f t="shared" si="7"/>
        <v>{净资产},</v>
      </c>
      <c r="J1173" s="3" t="s">
        <v>20</v>
      </c>
      <c r="N1173" s="3">
        <v>1741</v>
      </c>
    </row>
    <row r="1174" spans="2:14" s="3" customFormat="1" hidden="1" outlineLevel="1" x14ac:dyDescent="0.25">
      <c r="B1174" s="28" t="s">
        <v>269</v>
      </c>
      <c r="C1174" s="29" t="s">
        <v>1696</v>
      </c>
      <c r="D1174" s="29" t="s">
        <v>1489</v>
      </c>
      <c r="E1174" s="29">
        <v>0</v>
      </c>
      <c r="F1174" s="29" t="s">
        <v>1470</v>
      </c>
      <c r="G1174" s="30"/>
      <c r="H1174" s="3" t="str">
        <f t="shared" si="7"/>
        <v>{单位净值},</v>
      </c>
      <c r="J1174" s="3" t="s">
        <v>20</v>
      </c>
      <c r="N1174" s="3">
        <v>1244</v>
      </c>
    </row>
    <row r="1175" spans="2:14" s="3" customFormat="1" hidden="1" outlineLevel="1" x14ac:dyDescent="0.25">
      <c r="B1175" s="28" t="s">
        <v>270</v>
      </c>
      <c r="C1175" s="29" t="s">
        <v>1697</v>
      </c>
      <c r="D1175" s="29" t="s">
        <v>1489</v>
      </c>
      <c r="E1175" s="29">
        <v>0</v>
      </c>
      <c r="F1175" s="29"/>
      <c r="G1175" s="30"/>
      <c r="H1175" s="3" t="str">
        <f t="shared" si="7"/>
        <v>{昨日净值},</v>
      </c>
      <c r="J1175" s="3" t="s">
        <v>20</v>
      </c>
      <c r="N1175" s="3">
        <v>2595</v>
      </c>
    </row>
    <row r="1176" spans="2:14" s="3" customFormat="1" hidden="1" outlineLevel="1" x14ac:dyDescent="0.25">
      <c r="B1176" s="28" t="s">
        <v>271</v>
      </c>
      <c r="C1176" s="29" t="s">
        <v>1698</v>
      </c>
      <c r="D1176" s="29" t="s">
        <v>1494</v>
      </c>
      <c r="E1176" s="29">
        <v>0</v>
      </c>
      <c r="F1176" s="29"/>
      <c r="G1176" s="30"/>
      <c r="H1176" s="3" t="str">
        <f t="shared" si="7"/>
        <v>{净值波动},</v>
      </c>
      <c r="J1176" s="3" t="s">
        <v>20</v>
      </c>
      <c r="N1176" s="3">
        <v>1739</v>
      </c>
    </row>
    <row r="1177" spans="2:14" s="3" customFormat="1" hidden="1" outlineLevel="1" x14ac:dyDescent="0.25">
      <c r="B1177" s="28" t="s">
        <v>272</v>
      </c>
      <c r="C1177" s="29" t="s">
        <v>1699</v>
      </c>
      <c r="D1177" s="29" t="s">
        <v>1489</v>
      </c>
      <c r="E1177" s="29">
        <v>0</v>
      </c>
      <c r="F1177" s="29"/>
      <c r="G1177" s="30"/>
      <c r="H1177" s="3" t="str">
        <f t="shared" si="7"/>
        <v>{现金资产},</v>
      </c>
      <c r="J1177" s="3" t="s">
        <v>20</v>
      </c>
      <c r="N1177" s="3">
        <v>2309</v>
      </c>
    </row>
    <row r="1178" spans="2:14" s="3" customFormat="1" hidden="1" outlineLevel="1" x14ac:dyDescent="0.25">
      <c r="B1178" s="28" t="s">
        <v>273</v>
      </c>
      <c r="C1178" s="29" t="s">
        <v>1700</v>
      </c>
      <c r="D1178" s="29" t="s">
        <v>1489</v>
      </c>
      <c r="E1178" s="29">
        <v>0</v>
      </c>
      <c r="F1178" s="29" t="s">
        <v>1470</v>
      </c>
      <c r="G1178" s="30"/>
      <c r="H1178" s="3" t="str">
        <f t="shared" si="7"/>
        <v>{股票资产},</v>
      </c>
      <c r="J1178" s="3" t="s">
        <v>20</v>
      </c>
      <c r="N1178" s="3">
        <v>1511</v>
      </c>
    </row>
    <row r="1179" spans="2:14" s="3" customFormat="1" hidden="1" outlineLevel="1" x14ac:dyDescent="0.25">
      <c r="B1179" s="28" t="s">
        <v>274</v>
      </c>
      <c r="C1179" s="29" t="s">
        <v>1701</v>
      </c>
      <c r="D1179" s="29" t="s">
        <v>1489</v>
      </c>
      <c r="E1179" s="29">
        <v>0</v>
      </c>
      <c r="F1179" s="29" t="s">
        <v>1470</v>
      </c>
      <c r="G1179" s="30"/>
      <c r="H1179" s="3" t="str">
        <f t="shared" si="7"/>
        <v>{债券资产},</v>
      </c>
      <c r="J1179" s="3" t="s">
        <v>20</v>
      </c>
      <c r="N1179" s="3">
        <v>2402</v>
      </c>
    </row>
    <row r="1180" spans="2:14" s="3" customFormat="1" hidden="1" outlineLevel="1" x14ac:dyDescent="0.25">
      <c r="B1180" s="28" t="s">
        <v>275</v>
      </c>
      <c r="C1180" s="29" t="s">
        <v>1702</v>
      </c>
      <c r="D1180" s="29" t="s">
        <v>1489</v>
      </c>
      <c r="E1180" s="29">
        <v>0</v>
      </c>
      <c r="F1180" s="29" t="s">
        <v>1470</v>
      </c>
      <c r="G1180" s="30"/>
      <c r="H1180" s="3" t="str">
        <f t="shared" si="7"/>
        <v>{基金资产},</v>
      </c>
      <c r="J1180" s="3" t="s">
        <v>20</v>
      </c>
      <c r="N1180" s="3">
        <v>1618</v>
      </c>
    </row>
    <row r="1181" spans="2:14" s="3" customFormat="1" hidden="1" outlineLevel="1" x14ac:dyDescent="0.25">
      <c r="B1181" s="185" t="s">
        <v>276</v>
      </c>
      <c r="C1181" s="23" t="s">
        <v>1703</v>
      </c>
      <c r="D1181" s="23" t="s">
        <v>1489</v>
      </c>
      <c r="E1181" s="29">
        <v>0</v>
      </c>
      <c r="F1181" s="29"/>
      <c r="G1181" s="30"/>
    </row>
    <row r="1182" spans="2:14" s="3" customFormat="1" hidden="1" outlineLevel="1" x14ac:dyDescent="0.25">
      <c r="B1182" s="185" t="s">
        <v>277</v>
      </c>
      <c r="C1182" s="23" t="s">
        <v>1704</v>
      </c>
      <c r="D1182" s="23" t="s">
        <v>1489</v>
      </c>
      <c r="E1182" s="29">
        <v>0</v>
      </c>
      <c r="F1182" s="29"/>
      <c r="G1182" s="30"/>
    </row>
    <row r="1183" spans="2:14" s="3" customFormat="1" hidden="1" outlineLevel="1" x14ac:dyDescent="0.25">
      <c r="B1183" s="28" t="s">
        <v>278</v>
      </c>
      <c r="C1183" s="29" t="s">
        <v>1705</v>
      </c>
      <c r="D1183" s="29" t="s">
        <v>1489</v>
      </c>
      <c r="E1183" s="29">
        <v>0</v>
      </c>
      <c r="F1183" s="29"/>
      <c r="G1183" s="30"/>
      <c r="H1183" s="3" t="str">
        <f t="shared" si="7"/>
        <v>{回购资产},</v>
      </c>
      <c r="J1183" s="3" t="s">
        <v>20</v>
      </c>
      <c r="N1183" s="3">
        <v>1599</v>
      </c>
    </row>
    <row r="1184" spans="2:14" s="3" customFormat="1" hidden="1" outlineLevel="1" x14ac:dyDescent="0.25">
      <c r="B1184" s="28" t="s">
        <v>279</v>
      </c>
      <c r="C1184" s="29" t="s">
        <v>1706</v>
      </c>
      <c r="D1184" s="29" t="s">
        <v>1489</v>
      </c>
      <c r="E1184" s="29">
        <v>0</v>
      </c>
      <c r="F1184" s="29" t="s">
        <v>1470</v>
      </c>
      <c r="G1184" s="30"/>
      <c r="H1184" s="3" t="str">
        <f t="shared" si="7"/>
        <v>{其他资产},</v>
      </c>
      <c r="J1184" s="3" t="s">
        <v>20</v>
      </c>
      <c r="N1184" s="3">
        <v>1997</v>
      </c>
    </row>
    <row r="1185" spans="2:14" s="3" customFormat="1" hidden="1" outlineLevel="1" x14ac:dyDescent="0.25">
      <c r="B1185" s="28" t="s">
        <v>280</v>
      </c>
      <c r="C1185" s="29" t="s">
        <v>1707</v>
      </c>
      <c r="D1185" s="29" t="s">
        <v>1489</v>
      </c>
      <c r="E1185" s="29">
        <v>0</v>
      </c>
      <c r="F1185" s="29"/>
      <c r="G1185" s="30"/>
      <c r="H1185" s="3" t="str">
        <f t="shared" si="7"/>
        <v>{港股通资产},</v>
      </c>
      <c r="J1185" s="3" t="s">
        <v>20</v>
      </c>
      <c r="N1185" s="3">
        <v>1842</v>
      </c>
    </row>
    <row r="1186" spans="2:14" s="3" customFormat="1" hidden="1" outlineLevel="1" x14ac:dyDescent="0.25">
      <c r="B1186" s="28" t="s">
        <v>281</v>
      </c>
      <c r="C1186" s="29" t="s">
        <v>1708</v>
      </c>
      <c r="D1186" s="29" t="s">
        <v>1489</v>
      </c>
      <c r="E1186" s="29">
        <v>0</v>
      </c>
      <c r="F1186" s="29" t="s">
        <v>1470</v>
      </c>
      <c r="G1186" s="30"/>
      <c r="H1186" s="3" t="str">
        <f t="shared" si="7"/>
        <v>{期货资产},</v>
      </c>
      <c r="J1186" s="3" t="s">
        <v>20</v>
      </c>
      <c r="N1186" s="3">
        <v>1843</v>
      </c>
    </row>
    <row r="1187" spans="2:14" s="3" customFormat="1" hidden="1" outlineLevel="1" x14ac:dyDescent="0.25">
      <c r="B1187" s="28" t="s">
        <v>282</v>
      </c>
      <c r="C1187" s="29" t="s">
        <v>1709</v>
      </c>
      <c r="D1187" s="29" t="s">
        <v>1489</v>
      </c>
      <c r="E1187" s="29">
        <v>0</v>
      </c>
      <c r="F1187" s="29"/>
      <c r="G1187" s="30"/>
      <c r="H1187" s="3" t="str">
        <f t="shared" si="7"/>
        <v>{可分配金额},</v>
      </c>
      <c r="J1187" s="3" t="s">
        <v>20</v>
      </c>
      <c r="N1187" s="3">
        <v>1774</v>
      </c>
    </row>
    <row r="1188" spans="2:14" s="3" customFormat="1" hidden="1" outlineLevel="1" x14ac:dyDescent="0.25">
      <c r="B1188" s="28" t="s">
        <v>203</v>
      </c>
      <c r="C1188" s="29" t="s">
        <v>1635</v>
      </c>
      <c r="D1188" s="29" t="s">
        <v>1636</v>
      </c>
      <c r="E1188" s="29" t="s">
        <v>1637</v>
      </c>
      <c r="F1188" s="29" t="s">
        <v>1476</v>
      </c>
      <c r="G1188" s="30"/>
      <c r="H1188" s="3" t="str">
        <f t="shared" si="7"/>
        <v>{本币币种},</v>
      </c>
      <c r="J1188" s="3" t="s">
        <v>187</v>
      </c>
      <c r="N1188" s="3">
        <v>1041</v>
      </c>
    </row>
    <row r="1189" spans="2:14" s="3" customFormat="1" hidden="1" outlineLevel="1" x14ac:dyDescent="0.25">
      <c r="B1189" s="357" t="s">
        <v>64</v>
      </c>
      <c r="C1189" s="358" t="s">
        <v>1527</v>
      </c>
      <c r="D1189" s="358" t="s">
        <v>1489</v>
      </c>
      <c r="E1189" s="358">
        <v>0</v>
      </c>
      <c r="F1189" s="358"/>
      <c r="G1189" s="359"/>
      <c r="H1189" s="3" t="str">
        <f t="shared" si="7"/>
        <v>{当日盈亏},</v>
      </c>
      <c r="J1189" s="3" t="s">
        <v>20</v>
      </c>
      <c r="N1189" s="3">
        <v>1274</v>
      </c>
    </row>
    <row r="1190" spans="2:14" s="3" customFormat="1" hidden="1" outlineLevel="1" x14ac:dyDescent="0.25">
      <c r="B1190" s="357" t="s">
        <v>283</v>
      </c>
      <c r="C1190" s="358" t="s">
        <v>1710</v>
      </c>
      <c r="D1190" s="358" t="s">
        <v>1494</v>
      </c>
      <c r="E1190" s="358">
        <v>0</v>
      </c>
      <c r="F1190" s="358" t="s">
        <v>1470</v>
      </c>
      <c r="G1190" s="359"/>
      <c r="H1190" s="3" t="str">
        <f t="shared" si="7"/>
        <v>{当日收益率},</v>
      </c>
      <c r="J1190" s="3" t="s">
        <v>20</v>
      </c>
    </row>
    <row r="1191" spans="2:14" s="3" customFormat="1" hidden="1" outlineLevel="1" x14ac:dyDescent="0.25">
      <c r="B1191" s="28" t="s">
        <v>284</v>
      </c>
      <c r="C1191" s="29" t="s">
        <v>1711</v>
      </c>
      <c r="D1191" s="29" t="s">
        <v>1489</v>
      </c>
      <c r="E1191" s="29">
        <v>0</v>
      </c>
      <c r="F1191" s="29"/>
      <c r="G1191" s="30"/>
      <c r="H1191" s="3" t="str">
        <f t="shared" si="7"/>
        <v>{可提现金额},</v>
      </c>
      <c r="J1191" s="3" t="s">
        <v>20</v>
      </c>
    </row>
    <row r="1192" spans="2:14" s="3" customFormat="1" hidden="1" outlineLevel="1" x14ac:dyDescent="0.25">
      <c r="B1192" s="357" t="s">
        <v>285</v>
      </c>
      <c r="C1192" s="358" t="s">
        <v>1712</v>
      </c>
      <c r="D1192" s="358" t="s">
        <v>1494</v>
      </c>
      <c r="E1192" s="358">
        <v>0</v>
      </c>
      <c r="F1192" s="358"/>
      <c r="G1192" s="359"/>
      <c r="H1192" s="3" t="str">
        <f t="shared" si="7"/>
        <v>{股票资产占比},</v>
      </c>
      <c r="J1192" s="3" t="s">
        <v>20</v>
      </c>
      <c r="N1192" s="3">
        <v>1512</v>
      </c>
    </row>
    <row r="1193" spans="2:14" s="3" customFormat="1" hidden="1" outlineLevel="1" x14ac:dyDescent="0.25">
      <c r="B1193" s="357" t="s">
        <v>286</v>
      </c>
      <c r="C1193" s="358" t="s">
        <v>1713</v>
      </c>
      <c r="D1193" s="358" t="s">
        <v>1494</v>
      </c>
      <c r="E1193" s="358">
        <v>0</v>
      </c>
      <c r="F1193" s="358"/>
      <c r="G1193" s="359"/>
      <c r="H1193" s="3" t="str">
        <f t="shared" si="7"/>
        <v>{证券占比},</v>
      </c>
      <c r="J1193" s="3" t="s">
        <v>20</v>
      </c>
    </row>
    <row r="1194" spans="2:14" s="3" customFormat="1" hidden="1" outlineLevel="1" x14ac:dyDescent="0.25">
      <c r="B1194" s="357" t="s">
        <v>287</v>
      </c>
      <c r="C1194" s="358" t="s">
        <v>1714</v>
      </c>
      <c r="D1194" s="358" t="s">
        <v>1494</v>
      </c>
      <c r="E1194" s="358">
        <v>0</v>
      </c>
      <c r="F1194" s="358"/>
      <c r="G1194" s="359"/>
    </row>
    <row r="1195" spans="2:14" s="3" customFormat="1" hidden="1" outlineLevel="1" x14ac:dyDescent="0.25">
      <c r="B1195" s="28" t="s">
        <v>288</v>
      </c>
      <c r="C1195" s="29" t="s">
        <v>1715</v>
      </c>
      <c r="D1195" s="29" t="s">
        <v>1489</v>
      </c>
      <c r="E1195" s="29">
        <v>0</v>
      </c>
      <c r="F1195" s="29" t="s">
        <v>1470</v>
      </c>
      <c r="G1195" s="30"/>
    </row>
    <row r="1196" spans="2:14" s="3" customFormat="1" hidden="1" outlineLevel="1" x14ac:dyDescent="0.25">
      <c r="B1196" s="28" t="s">
        <v>289</v>
      </c>
      <c r="C1196" s="29" t="s">
        <v>1716</v>
      </c>
      <c r="D1196" s="29" t="s">
        <v>1489</v>
      </c>
      <c r="E1196" s="29">
        <v>0</v>
      </c>
      <c r="F1196" s="29" t="s">
        <v>1470</v>
      </c>
      <c r="G1196" s="30"/>
    </row>
    <row r="1197" spans="2:14" s="3" customFormat="1" hidden="1" outlineLevel="1" x14ac:dyDescent="0.25">
      <c r="B1197" s="28" t="s">
        <v>290</v>
      </c>
      <c r="C1197" s="29" t="s">
        <v>1717</v>
      </c>
      <c r="D1197" s="29" t="s">
        <v>1489</v>
      </c>
      <c r="E1197" s="29">
        <v>0</v>
      </c>
      <c r="F1197" s="29"/>
      <c r="G1197" s="30"/>
    </row>
    <row r="1198" spans="2:14" s="3" customFormat="1" hidden="1" outlineLevel="1" x14ac:dyDescent="0.25">
      <c r="B1198" s="28" t="s">
        <v>291</v>
      </c>
      <c r="C1198" s="29" t="s">
        <v>1718</v>
      </c>
      <c r="D1198" s="29" t="s">
        <v>1489</v>
      </c>
      <c r="E1198" s="29">
        <v>0</v>
      </c>
      <c r="F1198" s="29" t="s">
        <v>1470</v>
      </c>
      <c r="G1198" s="30"/>
    </row>
    <row r="1199" spans="2:14" s="3" customFormat="1" hidden="1" outlineLevel="1" x14ac:dyDescent="0.25">
      <c r="B1199" s="28" t="s">
        <v>292</v>
      </c>
      <c r="C1199" s="29" t="s">
        <v>1719</v>
      </c>
      <c r="D1199" s="29" t="s">
        <v>1489</v>
      </c>
      <c r="E1199" s="29">
        <v>0</v>
      </c>
      <c r="F1199" s="29" t="s">
        <v>1470</v>
      </c>
      <c r="G1199" s="30"/>
    </row>
    <row r="1200" spans="2:14" s="3" customFormat="1" hidden="1" outlineLevel="1" x14ac:dyDescent="0.25">
      <c r="B1200" s="28" t="s">
        <v>293</v>
      </c>
      <c r="C1200" s="29" t="s">
        <v>1720</v>
      </c>
      <c r="D1200" s="29" t="s">
        <v>1489</v>
      </c>
      <c r="E1200" s="29">
        <v>0</v>
      </c>
      <c r="F1200" s="29"/>
      <c r="G1200" s="30"/>
    </row>
    <row r="1201" spans="1:13" hidden="1" outlineLevel="1" x14ac:dyDescent="0.25">
      <c r="B1201" s="320" t="s">
        <v>294</v>
      </c>
      <c r="C1201" s="321" t="s">
        <v>1721</v>
      </c>
      <c r="D1201" s="321" t="s">
        <v>1489</v>
      </c>
      <c r="E1201" s="321">
        <v>0</v>
      </c>
      <c r="F1201" s="321"/>
      <c r="G1201" s="258"/>
    </row>
    <row r="1202" spans="1:13" hidden="1" outlineLevel="1" x14ac:dyDescent="0.25">
      <c r="B1202" s="322" t="s">
        <v>295</v>
      </c>
      <c r="C1202" s="323" t="s">
        <v>1722</v>
      </c>
      <c r="D1202" s="321" t="s">
        <v>1489</v>
      </c>
      <c r="E1202" s="321">
        <v>0</v>
      </c>
      <c r="F1202" s="321"/>
      <c r="G1202" s="258"/>
    </row>
    <row r="1203" spans="1:13" hidden="1" outlineLevel="1" x14ac:dyDescent="0.25">
      <c r="B1203" s="322" t="s">
        <v>296</v>
      </c>
      <c r="C1203" s="323" t="s">
        <v>1723</v>
      </c>
      <c r="D1203" s="321" t="s">
        <v>1489</v>
      </c>
      <c r="E1203" s="321">
        <v>0</v>
      </c>
      <c r="F1203" s="321"/>
      <c r="G1203" s="258"/>
    </row>
    <row r="1204" spans="1:13" hidden="1" outlineLevel="1" x14ac:dyDescent="0.25">
      <c r="B1204" s="324" t="s">
        <v>297</v>
      </c>
      <c r="C1204" s="325" t="s">
        <v>1724</v>
      </c>
      <c r="D1204" s="321" t="s">
        <v>1489</v>
      </c>
      <c r="E1204" s="321">
        <v>0</v>
      </c>
      <c r="F1204" s="321" t="s">
        <v>2336</v>
      </c>
      <c r="G1204" s="258"/>
    </row>
    <row r="1205" spans="1:13" s="3" customFormat="1" hidden="1" outlineLevel="1" x14ac:dyDescent="0.25">
      <c r="B1205" s="324" t="s">
        <v>298</v>
      </c>
      <c r="C1205" s="29" t="s">
        <v>1725</v>
      </c>
      <c r="D1205" s="29" t="s">
        <v>1489</v>
      </c>
      <c r="E1205" s="29">
        <v>0</v>
      </c>
      <c r="F1205" s="29" t="s">
        <v>2336</v>
      </c>
      <c r="G1205" s="30"/>
    </row>
    <row r="1206" spans="1:13" hidden="1" outlineLevel="1" x14ac:dyDescent="0.25">
      <c r="B1206" s="324" t="s">
        <v>299</v>
      </c>
      <c r="C1206" s="321" t="s">
        <v>1726</v>
      </c>
      <c r="D1206" s="321" t="s">
        <v>1489</v>
      </c>
      <c r="E1206" s="321">
        <v>0</v>
      </c>
      <c r="F1206" s="321" t="s">
        <v>2336</v>
      </c>
      <c r="G1206" s="258"/>
    </row>
    <row r="1207" spans="1:13" s="3" customFormat="1" ht="16.2" hidden="1" outlineLevel="1" thickBot="1" x14ac:dyDescent="0.3">
      <c r="B1207" s="267"/>
      <c r="C1207" s="268"/>
      <c r="D1207" s="268"/>
      <c r="E1207" s="268"/>
      <c r="F1207" s="268"/>
      <c r="G1207" s="269"/>
    </row>
    <row r="1208" spans="1:13" s="3" customFormat="1" ht="17.399999999999999" hidden="1" customHeight="1" outlineLevel="1" x14ac:dyDescent="0.25">
      <c r="A1208" s="5"/>
      <c r="B1208" s="401" t="s">
        <v>29</v>
      </c>
      <c r="C1208" s="402"/>
      <c r="D1208" s="402"/>
      <c r="E1208" s="402"/>
      <c r="F1208" s="402"/>
      <c r="G1208" s="403"/>
    </row>
    <row r="1209" spans="1:13" s="3" customFormat="1" hidden="1" outlineLevel="1" x14ac:dyDescent="0.25">
      <c r="B1209" s="28" t="s">
        <v>242</v>
      </c>
      <c r="C1209" s="29"/>
      <c r="D1209" s="29"/>
      <c r="E1209" s="29"/>
      <c r="F1209" s="29"/>
      <c r="G1209" s="30"/>
    </row>
    <row r="1210" spans="1:13" s="3" customFormat="1" hidden="1" outlineLevel="1" x14ac:dyDescent="0.25">
      <c r="B1210" s="28" t="s">
        <v>227</v>
      </c>
      <c r="C1210" s="29"/>
      <c r="D1210" s="29"/>
      <c r="E1210" s="29"/>
      <c r="F1210" s="29"/>
      <c r="G1210" s="30"/>
    </row>
    <row r="1211" spans="1:13" s="3" customFormat="1" hidden="1" outlineLevel="1" x14ac:dyDescent="0.25">
      <c r="B1211" s="28"/>
      <c r="C1211" s="29"/>
      <c r="D1211" s="29"/>
      <c r="E1211" s="29"/>
      <c r="F1211" s="29"/>
      <c r="G1211" s="30"/>
    </row>
    <row r="1212" spans="1:13" s="4" customFormat="1" ht="17.399999999999999" hidden="1" customHeight="1" outlineLevel="1" x14ac:dyDescent="0.35">
      <c r="A1212" s="5"/>
      <c r="B1212" s="67" t="s">
        <v>30</v>
      </c>
      <c r="C1212" s="65"/>
      <c r="D1212" s="65"/>
      <c r="E1212" s="65"/>
      <c r="F1212" s="65"/>
      <c r="G1212" s="371" t="s">
        <v>2357</v>
      </c>
      <c r="H1212" s="5"/>
      <c r="I1212" s="5"/>
      <c r="J1212" s="5"/>
      <c r="K1212" s="5"/>
      <c r="L1212" s="5"/>
      <c r="M1212" s="5"/>
    </row>
    <row r="1213" spans="1:13" s="3" customFormat="1" hidden="1" outlineLevel="1" x14ac:dyDescent="0.25">
      <c r="B1213" s="28" t="s">
        <v>244</v>
      </c>
      <c r="C1213" s="29"/>
      <c r="D1213" s="29"/>
      <c r="E1213" s="29"/>
      <c r="F1213" s="29"/>
      <c r="G1213" s="30"/>
    </row>
    <row r="1214" spans="1:13" s="3" customFormat="1" hidden="1" outlineLevel="1" x14ac:dyDescent="0.25">
      <c r="B1214" s="28" t="s">
        <v>69</v>
      </c>
      <c r="C1214" s="29"/>
      <c r="D1214" s="29"/>
      <c r="E1214" s="29"/>
      <c r="F1214" s="29"/>
      <c r="G1214" s="30"/>
    </row>
    <row r="1215" spans="1:13" s="3" customFormat="1" hidden="1" outlineLevel="1" x14ac:dyDescent="0.25">
      <c r="B1215" s="28" t="s">
        <v>234</v>
      </c>
      <c r="C1215" s="29"/>
      <c r="D1215" s="29"/>
      <c r="E1215" s="29"/>
      <c r="F1215" s="29"/>
      <c r="G1215" s="30"/>
    </row>
    <row r="1216" spans="1:13" s="3" customFormat="1" hidden="1" outlineLevel="1" x14ac:dyDescent="0.25">
      <c r="B1216" s="28" t="s">
        <v>300</v>
      </c>
      <c r="C1216" s="29"/>
      <c r="D1216" s="29"/>
      <c r="E1216" s="29"/>
      <c r="F1216" s="29"/>
      <c r="G1216" s="375" t="s">
        <v>2383</v>
      </c>
    </row>
    <row r="1217" spans="1:14" s="3" customFormat="1" ht="16.2" hidden="1" outlineLevel="1" thickBot="1" x14ac:dyDescent="0.3">
      <c r="B1217" s="163"/>
      <c r="C1217" s="164"/>
      <c r="D1217" s="164"/>
      <c r="E1217" s="164"/>
      <c r="F1217" s="164"/>
      <c r="G1217" s="165"/>
    </row>
    <row r="1218" spans="1:14" s="3" customFormat="1" ht="17.399999999999999" hidden="1" customHeight="1" outlineLevel="1" thickBot="1" x14ac:dyDescent="0.3"/>
    <row r="1219" spans="1:14" s="3" customFormat="1" ht="17.399999999999999" customHeight="1" collapsed="1" thickBot="1" x14ac:dyDescent="0.3">
      <c r="A1219" s="5"/>
      <c r="B1219" s="15" t="s">
        <v>1279</v>
      </c>
      <c r="C1219" s="16" t="s">
        <v>1384</v>
      </c>
      <c r="D1219" s="17" t="s">
        <v>1281</v>
      </c>
      <c r="E1219" s="252" t="s">
        <v>301</v>
      </c>
      <c r="F1219" s="17" t="s">
        <v>1282</v>
      </c>
      <c r="G1219" s="18" t="s">
        <v>1385</v>
      </c>
    </row>
    <row r="1220" spans="1:14" s="3" customFormat="1" ht="17.399999999999999" hidden="1" customHeight="1" outlineLevel="1" x14ac:dyDescent="0.25">
      <c r="A1220" s="5"/>
      <c r="B1220" s="19" t="s">
        <v>1284</v>
      </c>
      <c r="C1220" s="20" t="s">
        <v>1285</v>
      </c>
      <c r="D1220" s="21" t="s">
        <v>1286</v>
      </c>
      <c r="E1220" s="20" t="s">
        <v>1386</v>
      </c>
      <c r="F1220" s="21" t="s">
        <v>1288</v>
      </c>
      <c r="G1220" s="22"/>
    </row>
    <row r="1221" spans="1:14" s="3" customFormat="1" ht="17.399999999999999" hidden="1" customHeight="1" outlineLevel="1" thickBot="1" x14ac:dyDescent="0.3">
      <c r="A1221" s="5"/>
      <c r="B1221" s="19" t="s">
        <v>1290</v>
      </c>
      <c r="C1221" s="23" t="s">
        <v>1291</v>
      </c>
      <c r="D1221" s="21" t="s">
        <v>1292</v>
      </c>
      <c r="E1221" s="23">
        <v>5</v>
      </c>
      <c r="F1221" s="21" t="s">
        <v>1293</v>
      </c>
      <c r="G1221" s="24" t="s">
        <v>1294</v>
      </c>
    </row>
    <row r="1222" spans="1:14" s="3" customFormat="1" ht="17.399999999999999" hidden="1" customHeight="1" outlineLevel="1" x14ac:dyDescent="0.25">
      <c r="A1222" s="5"/>
      <c r="B1222" s="395" t="s">
        <v>1</v>
      </c>
      <c r="C1222" s="396"/>
      <c r="D1222" s="396"/>
      <c r="E1222" s="396"/>
      <c r="F1222" s="396"/>
      <c r="G1222" s="397"/>
    </row>
    <row r="1223" spans="1:14" s="3" customFormat="1" ht="17.399999999999999" hidden="1" customHeight="1" outlineLevel="1" x14ac:dyDescent="0.25">
      <c r="A1223" s="5"/>
      <c r="B1223" s="25" t="s">
        <v>2</v>
      </c>
      <c r="C1223" s="26" t="s">
        <v>3</v>
      </c>
      <c r="D1223" s="26" t="s">
        <v>4</v>
      </c>
      <c r="E1223" s="26" t="s">
        <v>5</v>
      </c>
      <c r="F1223" s="26"/>
      <c r="G1223" s="27" t="s">
        <v>6</v>
      </c>
    </row>
    <row r="1224" spans="1:14" s="3" customFormat="1" hidden="1" outlineLevel="1" x14ac:dyDescent="0.25">
      <c r="B1224" s="28" t="s">
        <v>7</v>
      </c>
      <c r="C1224" s="29" t="s">
        <v>1468</v>
      </c>
      <c r="D1224" s="29" t="s">
        <v>1469</v>
      </c>
      <c r="E1224" s="29">
        <v>0</v>
      </c>
      <c r="F1224" s="29" t="s">
        <v>1470</v>
      </c>
      <c r="G1224" s="30" t="s">
        <v>1471</v>
      </c>
      <c r="J1224" s="3" t="s">
        <v>10</v>
      </c>
      <c r="N1224" s="3">
        <v>1112</v>
      </c>
    </row>
    <row r="1225" spans="1:14" s="3" customFormat="1" hidden="1" outlineLevel="1" x14ac:dyDescent="0.25">
      <c r="B1225" s="28" t="s">
        <v>265</v>
      </c>
      <c r="C1225" s="29" t="s">
        <v>1692</v>
      </c>
      <c r="D1225" s="29" t="s">
        <v>1606</v>
      </c>
      <c r="E1225" s="29" t="s">
        <v>1594</v>
      </c>
      <c r="F1225" s="29" t="s">
        <v>1470</v>
      </c>
      <c r="G1225" s="30"/>
      <c r="J1225" s="3" t="s">
        <v>187</v>
      </c>
      <c r="N1225" s="3">
        <v>1114</v>
      </c>
    </row>
    <row r="1226" spans="1:14" s="3" customFormat="1" hidden="1" outlineLevel="1" x14ac:dyDescent="0.25">
      <c r="B1226" s="28" t="s">
        <v>11</v>
      </c>
      <c r="C1226" s="29" t="s">
        <v>1472</v>
      </c>
      <c r="D1226" s="29" t="s">
        <v>1469</v>
      </c>
      <c r="E1226" s="29">
        <v>0</v>
      </c>
      <c r="F1226" s="29" t="s">
        <v>1470</v>
      </c>
      <c r="G1226" s="30" t="s">
        <v>1473</v>
      </c>
      <c r="J1226" s="3" t="s">
        <v>12</v>
      </c>
      <c r="N1226" s="3">
        <v>1700</v>
      </c>
    </row>
    <row r="1227" spans="1:14" s="3" customFormat="1" hidden="1" outlineLevel="1" x14ac:dyDescent="0.25">
      <c r="B1227" s="28" t="s">
        <v>302</v>
      </c>
      <c r="C1227" s="29" t="s">
        <v>1727</v>
      </c>
      <c r="D1227" s="29" t="s">
        <v>1606</v>
      </c>
      <c r="E1227" s="29" t="s">
        <v>1594</v>
      </c>
      <c r="F1227" s="29" t="s">
        <v>1470</v>
      </c>
      <c r="G1227" s="30"/>
      <c r="J1227" s="3" t="s">
        <v>187</v>
      </c>
      <c r="N1227" s="3">
        <v>1700</v>
      </c>
    </row>
    <row r="1228" spans="1:14" s="3" customFormat="1" hidden="1" outlineLevel="1" x14ac:dyDescent="0.25">
      <c r="B1228" s="28" t="s">
        <v>203</v>
      </c>
      <c r="C1228" s="29" t="s">
        <v>1635</v>
      </c>
      <c r="D1228" s="29" t="s">
        <v>1636</v>
      </c>
      <c r="E1228" s="29" t="s">
        <v>1637</v>
      </c>
      <c r="F1228" s="29" t="s">
        <v>1476</v>
      </c>
      <c r="G1228" s="30"/>
      <c r="J1228" s="3" t="s">
        <v>187</v>
      </c>
      <c r="N1228" s="3">
        <v>1041</v>
      </c>
    </row>
    <row r="1229" spans="1:14" s="3" customFormat="1" hidden="1" outlineLevel="1" x14ac:dyDescent="0.25">
      <c r="B1229" s="28"/>
      <c r="C1229" s="29"/>
      <c r="D1229" s="29"/>
      <c r="E1229" s="29"/>
      <c r="F1229" s="29"/>
      <c r="G1229" s="30"/>
    </row>
    <row r="1230" spans="1:14" s="3" customFormat="1" ht="16.2" hidden="1" outlineLevel="1" thickBot="1" x14ac:dyDescent="0.3">
      <c r="B1230" s="28"/>
      <c r="C1230" s="29"/>
      <c r="D1230" s="29"/>
      <c r="E1230" s="29"/>
      <c r="F1230" s="29"/>
      <c r="G1230" s="30"/>
    </row>
    <row r="1231" spans="1:14" s="3" customFormat="1" ht="17.399999999999999" hidden="1" customHeight="1" outlineLevel="1" x14ac:dyDescent="0.25">
      <c r="A1231" s="5"/>
      <c r="B1231" s="395" t="s">
        <v>18</v>
      </c>
      <c r="C1231" s="396"/>
      <c r="D1231" s="396"/>
      <c r="E1231" s="396"/>
      <c r="F1231" s="396"/>
      <c r="G1231" s="397"/>
    </row>
    <row r="1232" spans="1:14" s="3" customFormat="1" ht="17.399999999999999" hidden="1" customHeight="1" outlineLevel="1" x14ac:dyDescent="0.25">
      <c r="A1232" s="5"/>
      <c r="B1232" s="25" t="s">
        <v>2</v>
      </c>
      <c r="C1232" s="26" t="s">
        <v>3</v>
      </c>
      <c r="D1232" s="26" t="s">
        <v>4</v>
      </c>
      <c r="E1232" s="26" t="s">
        <v>5</v>
      </c>
      <c r="F1232" s="26"/>
      <c r="G1232" s="27" t="s">
        <v>6</v>
      </c>
    </row>
    <row r="1233" spans="2:14" s="3" customFormat="1" hidden="1" outlineLevel="1" x14ac:dyDescent="0.25">
      <c r="B1233" s="28" t="s">
        <v>16</v>
      </c>
      <c r="C1233" s="29" t="s">
        <v>1479</v>
      </c>
      <c r="D1233" s="29" t="s">
        <v>1469</v>
      </c>
      <c r="E1233" s="29" t="s">
        <v>1480</v>
      </c>
      <c r="F1233" s="29" t="s">
        <v>1481</v>
      </c>
      <c r="G1233" s="30" t="s">
        <v>1482</v>
      </c>
      <c r="H1233" s="3" t="str">
        <f>"{"&amp;B1233&amp;"},"</f>
        <v>{初始化日期},</v>
      </c>
      <c r="J1233" s="3" t="s">
        <v>10</v>
      </c>
      <c r="N1233" s="3">
        <v>1211</v>
      </c>
    </row>
    <row r="1234" spans="2:14" s="3" customFormat="1" hidden="1" outlineLevel="1" x14ac:dyDescent="0.25">
      <c r="B1234" s="28" t="s">
        <v>7</v>
      </c>
      <c r="C1234" s="29" t="s">
        <v>1468</v>
      </c>
      <c r="D1234" s="29" t="s">
        <v>1469</v>
      </c>
      <c r="E1234" s="29">
        <v>0</v>
      </c>
      <c r="F1234" s="29" t="s">
        <v>1470</v>
      </c>
      <c r="G1234" s="30" t="s">
        <v>1471</v>
      </c>
      <c r="H1234" s="3" t="str">
        <f t="shared" ref="H1234:H1257" si="8">"{"&amp;B1234&amp;"},"</f>
        <v>{产品编号},</v>
      </c>
      <c r="J1234" s="3" t="s">
        <v>10</v>
      </c>
      <c r="N1234" s="3">
        <v>1112</v>
      </c>
    </row>
    <row r="1235" spans="2:14" s="3" customFormat="1" hidden="1" outlineLevel="1" x14ac:dyDescent="0.25">
      <c r="B1235" s="28" t="s">
        <v>11</v>
      </c>
      <c r="C1235" s="29" t="s">
        <v>1472</v>
      </c>
      <c r="D1235" s="29" t="s">
        <v>1469</v>
      </c>
      <c r="E1235" s="29">
        <v>0</v>
      </c>
      <c r="F1235" s="29" t="s">
        <v>1470</v>
      </c>
      <c r="G1235" s="30" t="s">
        <v>1473</v>
      </c>
      <c r="H1235" s="3" t="str">
        <f t="shared" si="8"/>
        <v>{交易组编号},</v>
      </c>
      <c r="J1235" s="3" t="s">
        <v>12</v>
      </c>
      <c r="N1235" s="3">
        <v>1700</v>
      </c>
    </row>
    <row r="1236" spans="2:14" s="3" customFormat="1" hidden="1" outlineLevel="1" x14ac:dyDescent="0.25">
      <c r="B1236" s="28" t="s">
        <v>268</v>
      </c>
      <c r="C1236" s="29" t="s">
        <v>1695</v>
      </c>
      <c r="D1236" s="29" t="s">
        <v>1489</v>
      </c>
      <c r="E1236" s="29">
        <v>0</v>
      </c>
      <c r="F1236" s="29" t="s">
        <v>1470</v>
      </c>
      <c r="G1236" s="30"/>
      <c r="H1236" s="3" t="str">
        <f t="shared" si="8"/>
        <v>{净资产},</v>
      </c>
      <c r="J1236" s="3" t="s">
        <v>20</v>
      </c>
      <c r="N1236" s="3">
        <v>1741</v>
      </c>
    </row>
    <row r="1237" spans="2:14" s="3" customFormat="1" hidden="1" outlineLevel="1" x14ac:dyDescent="0.25">
      <c r="B1237" s="28" t="s">
        <v>303</v>
      </c>
      <c r="C1237" s="29" t="s">
        <v>1728</v>
      </c>
      <c r="D1237" s="29" t="s">
        <v>1486</v>
      </c>
      <c r="E1237" s="29">
        <v>0</v>
      </c>
      <c r="F1237" s="29"/>
      <c r="G1237" s="30"/>
      <c r="H1237" s="3" t="str">
        <f t="shared" si="8"/>
        <v>{交易组产品份额},</v>
      </c>
      <c r="J1237" s="3" t="s">
        <v>20</v>
      </c>
      <c r="N1237" s="3">
        <v>1702</v>
      </c>
    </row>
    <row r="1238" spans="2:14" s="3" customFormat="1" hidden="1" outlineLevel="1" x14ac:dyDescent="0.25">
      <c r="B1238" s="28" t="s">
        <v>269</v>
      </c>
      <c r="C1238" s="29" t="s">
        <v>1696</v>
      </c>
      <c r="D1238" s="29" t="s">
        <v>1489</v>
      </c>
      <c r="E1238" s="29">
        <v>0</v>
      </c>
      <c r="F1238" s="29" t="s">
        <v>1470</v>
      </c>
      <c r="G1238" s="30"/>
      <c r="H1238" s="3" t="str">
        <f t="shared" si="8"/>
        <v>{单位净值},</v>
      </c>
      <c r="J1238" s="3" t="s">
        <v>20</v>
      </c>
      <c r="N1238" s="3">
        <v>1244</v>
      </c>
    </row>
    <row r="1239" spans="2:14" s="3" customFormat="1" hidden="1" outlineLevel="1" x14ac:dyDescent="0.25">
      <c r="B1239" s="28" t="s">
        <v>270</v>
      </c>
      <c r="C1239" s="29" t="s">
        <v>1697</v>
      </c>
      <c r="D1239" s="29" t="s">
        <v>1489</v>
      </c>
      <c r="E1239" s="29">
        <v>0</v>
      </c>
      <c r="F1239" s="29"/>
      <c r="G1239" s="30"/>
      <c r="H1239" s="3" t="str">
        <f t="shared" si="8"/>
        <v>{昨日净值},</v>
      </c>
      <c r="J1239" s="3" t="s">
        <v>20</v>
      </c>
      <c r="N1239" s="3">
        <v>2595</v>
      </c>
    </row>
    <row r="1240" spans="2:14" s="3" customFormat="1" hidden="1" outlineLevel="1" x14ac:dyDescent="0.25">
      <c r="B1240" s="28" t="s">
        <v>271</v>
      </c>
      <c r="C1240" s="29" t="s">
        <v>1698</v>
      </c>
      <c r="D1240" s="29" t="s">
        <v>1494</v>
      </c>
      <c r="E1240" s="29">
        <v>0</v>
      </c>
      <c r="F1240" s="29"/>
      <c r="G1240" s="30"/>
      <c r="H1240" s="3" t="str">
        <f t="shared" si="8"/>
        <v>{净值波动},</v>
      </c>
      <c r="J1240" s="3" t="s">
        <v>20</v>
      </c>
      <c r="N1240" s="3">
        <v>1739</v>
      </c>
    </row>
    <row r="1241" spans="2:14" s="3" customFormat="1" hidden="1" outlineLevel="1" x14ac:dyDescent="0.25">
      <c r="B1241" s="28" t="s">
        <v>272</v>
      </c>
      <c r="C1241" s="29" t="s">
        <v>1699</v>
      </c>
      <c r="D1241" s="29" t="s">
        <v>1489</v>
      </c>
      <c r="E1241" s="29">
        <v>0</v>
      </c>
      <c r="F1241" s="29"/>
      <c r="G1241" s="30"/>
      <c r="H1241" s="3" t="str">
        <f t="shared" si="8"/>
        <v>{现金资产},</v>
      </c>
      <c r="J1241" s="3" t="s">
        <v>20</v>
      </c>
      <c r="N1241" s="3">
        <v>2309</v>
      </c>
    </row>
    <row r="1242" spans="2:14" s="3" customFormat="1" hidden="1" outlineLevel="1" x14ac:dyDescent="0.25">
      <c r="B1242" s="28" t="s">
        <v>273</v>
      </c>
      <c r="C1242" s="29" t="s">
        <v>1700</v>
      </c>
      <c r="D1242" s="29" t="s">
        <v>1489</v>
      </c>
      <c r="E1242" s="29">
        <v>0</v>
      </c>
      <c r="F1242" s="29" t="s">
        <v>1470</v>
      </c>
      <c r="G1242" s="30"/>
      <c r="H1242" s="3" t="str">
        <f t="shared" si="8"/>
        <v>{股票资产},</v>
      </c>
      <c r="J1242" s="3" t="s">
        <v>20</v>
      </c>
      <c r="N1242" s="3">
        <v>1511</v>
      </c>
    </row>
    <row r="1243" spans="2:14" s="3" customFormat="1" hidden="1" outlineLevel="1" x14ac:dyDescent="0.25">
      <c r="B1243" s="28" t="s">
        <v>274</v>
      </c>
      <c r="C1243" s="29" t="s">
        <v>1701</v>
      </c>
      <c r="D1243" s="29" t="s">
        <v>1489</v>
      </c>
      <c r="E1243" s="29">
        <v>0</v>
      </c>
      <c r="F1243" s="29" t="s">
        <v>1470</v>
      </c>
      <c r="G1243" s="30"/>
      <c r="H1243" s="3" t="str">
        <f t="shared" si="8"/>
        <v>{债券资产},</v>
      </c>
      <c r="J1243" s="3" t="s">
        <v>20</v>
      </c>
      <c r="N1243" s="3">
        <v>2402</v>
      </c>
    </row>
    <row r="1244" spans="2:14" s="3" customFormat="1" hidden="1" outlineLevel="1" x14ac:dyDescent="0.25">
      <c r="B1244" s="28" t="s">
        <v>275</v>
      </c>
      <c r="C1244" s="29" t="s">
        <v>1702</v>
      </c>
      <c r="D1244" s="29" t="s">
        <v>1489</v>
      </c>
      <c r="E1244" s="29">
        <v>0</v>
      </c>
      <c r="F1244" s="29" t="s">
        <v>1470</v>
      </c>
      <c r="G1244" s="30"/>
      <c r="H1244" s="3" t="str">
        <f t="shared" si="8"/>
        <v>{基金资产},</v>
      </c>
      <c r="J1244" s="3" t="s">
        <v>20</v>
      </c>
      <c r="N1244" s="3">
        <v>1618</v>
      </c>
    </row>
    <row r="1245" spans="2:14" s="3" customFormat="1" hidden="1" outlineLevel="1" x14ac:dyDescent="0.25">
      <c r="B1245" s="185" t="s">
        <v>276</v>
      </c>
      <c r="C1245" s="23" t="s">
        <v>1703</v>
      </c>
      <c r="D1245" s="23" t="s">
        <v>1489</v>
      </c>
      <c r="E1245" s="29">
        <v>0</v>
      </c>
      <c r="F1245" s="29"/>
      <c r="G1245" s="30"/>
    </row>
    <row r="1246" spans="2:14" s="3" customFormat="1" hidden="1" outlineLevel="1" x14ac:dyDescent="0.25">
      <c r="B1246" s="185" t="s">
        <v>277</v>
      </c>
      <c r="C1246" s="23" t="s">
        <v>1704</v>
      </c>
      <c r="D1246" s="23" t="s">
        <v>1489</v>
      </c>
      <c r="E1246" s="29">
        <v>0</v>
      </c>
      <c r="F1246" s="29"/>
      <c r="G1246" s="30"/>
    </row>
    <row r="1247" spans="2:14" s="3" customFormat="1" hidden="1" outlineLevel="1" x14ac:dyDescent="0.25">
      <c r="B1247" s="28" t="s">
        <v>278</v>
      </c>
      <c r="C1247" s="29" t="s">
        <v>1705</v>
      </c>
      <c r="D1247" s="29" t="s">
        <v>1489</v>
      </c>
      <c r="E1247" s="29">
        <v>0</v>
      </c>
      <c r="F1247" s="29"/>
      <c r="G1247" s="30"/>
      <c r="H1247" s="3" t="str">
        <f t="shared" si="8"/>
        <v>{回购资产},</v>
      </c>
      <c r="J1247" s="3" t="s">
        <v>20</v>
      </c>
      <c r="N1247" s="3">
        <v>1599</v>
      </c>
    </row>
    <row r="1248" spans="2:14" s="3" customFormat="1" hidden="1" outlineLevel="1" x14ac:dyDescent="0.25">
      <c r="B1248" s="28" t="s">
        <v>279</v>
      </c>
      <c r="C1248" s="29" t="s">
        <v>1706</v>
      </c>
      <c r="D1248" s="29" t="s">
        <v>1489</v>
      </c>
      <c r="E1248" s="29">
        <v>0</v>
      </c>
      <c r="F1248" s="29" t="s">
        <v>1470</v>
      </c>
      <c r="G1248" s="30"/>
      <c r="H1248" s="3" t="str">
        <f t="shared" si="8"/>
        <v>{其他资产},</v>
      </c>
      <c r="J1248" s="3" t="s">
        <v>20</v>
      </c>
      <c r="N1248" s="3">
        <v>1997</v>
      </c>
    </row>
    <row r="1249" spans="2:14" s="3" customFormat="1" hidden="1" outlineLevel="1" x14ac:dyDescent="0.25">
      <c r="B1249" s="28" t="s">
        <v>281</v>
      </c>
      <c r="C1249" s="29" t="s">
        <v>1708</v>
      </c>
      <c r="D1249" s="29" t="s">
        <v>1489</v>
      </c>
      <c r="E1249" s="29">
        <v>0</v>
      </c>
      <c r="F1249" s="29" t="s">
        <v>1470</v>
      </c>
      <c r="G1249" s="30"/>
      <c r="H1249" s="3" t="str">
        <f t="shared" si="8"/>
        <v>{期货资产},</v>
      </c>
      <c r="J1249" s="3" t="s">
        <v>20</v>
      </c>
      <c r="N1249" s="3">
        <v>1842</v>
      </c>
    </row>
    <row r="1250" spans="2:14" s="3" customFormat="1" hidden="1" outlineLevel="1" x14ac:dyDescent="0.25">
      <c r="B1250" s="28" t="s">
        <v>280</v>
      </c>
      <c r="C1250" s="29" t="s">
        <v>1707</v>
      </c>
      <c r="D1250" s="29" t="s">
        <v>1489</v>
      </c>
      <c r="E1250" s="29">
        <v>0</v>
      </c>
      <c r="F1250" s="29"/>
      <c r="G1250" s="30"/>
      <c r="H1250" s="3" t="str">
        <f t="shared" si="8"/>
        <v>{港股通资产},</v>
      </c>
      <c r="J1250" s="3" t="s">
        <v>20</v>
      </c>
      <c r="N1250" s="3">
        <v>1843</v>
      </c>
    </row>
    <row r="1251" spans="2:14" s="3" customFormat="1" hidden="1" outlineLevel="1" x14ac:dyDescent="0.25">
      <c r="B1251" s="28" t="s">
        <v>282</v>
      </c>
      <c r="C1251" s="29" t="s">
        <v>1709</v>
      </c>
      <c r="D1251" s="29" t="s">
        <v>1489</v>
      </c>
      <c r="E1251" s="29">
        <v>0</v>
      </c>
      <c r="F1251" s="29"/>
      <c r="G1251" s="30"/>
      <c r="H1251" s="3" t="str">
        <f t="shared" si="8"/>
        <v>{可分配金额},</v>
      </c>
      <c r="J1251" s="3" t="s">
        <v>20</v>
      </c>
      <c r="N1251" s="3">
        <v>1774</v>
      </c>
    </row>
    <row r="1252" spans="2:14" s="3" customFormat="1" hidden="1" outlineLevel="1" x14ac:dyDescent="0.25">
      <c r="B1252" s="28" t="s">
        <v>203</v>
      </c>
      <c r="C1252" s="29" t="s">
        <v>1635</v>
      </c>
      <c r="D1252" s="29" t="s">
        <v>1636</v>
      </c>
      <c r="E1252" s="29" t="s">
        <v>1637</v>
      </c>
      <c r="F1252" s="29" t="s">
        <v>1476</v>
      </c>
      <c r="G1252" s="30"/>
      <c r="H1252" s="3" t="str">
        <f t="shared" si="8"/>
        <v>{本币币种},</v>
      </c>
      <c r="J1252" s="3" t="s">
        <v>187</v>
      </c>
      <c r="N1252" s="3">
        <v>1041</v>
      </c>
    </row>
    <row r="1253" spans="2:14" s="3" customFormat="1" hidden="1" outlineLevel="1" x14ac:dyDescent="0.25">
      <c r="B1253" s="28" t="s">
        <v>64</v>
      </c>
      <c r="C1253" s="29" t="s">
        <v>1527</v>
      </c>
      <c r="D1253" s="29" t="s">
        <v>1489</v>
      </c>
      <c r="E1253" s="29">
        <v>0</v>
      </c>
      <c r="F1253" s="29"/>
      <c r="G1253" s="30"/>
      <c r="H1253" s="3" t="str">
        <f t="shared" si="8"/>
        <v>{当日盈亏},</v>
      </c>
      <c r="J1253" s="3" t="s">
        <v>20</v>
      </c>
      <c r="N1253" s="3">
        <v>1274</v>
      </c>
    </row>
    <row r="1254" spans="2:14" s="3" customFormat="1" hidden="1" outlineLevel="1" x14ac:dyDescent="0.25">
      <c r="B1254" s="28" t="s">
        <v>283</v>
      </c>
      <c r="C1254" s="29" t="s">
        <v>1710</v>
      </c>
      <c r="D1254" s="29" t="s">
        <v>1494</v>
      </c>
      <c r="E1254" s="29">
        <v>0</v>
      </c>
      <c r="F1254" s="29" t="s">
        <v>1470</v>
      </c>
      <c r="G1254" s="30"/>
      <c r="H1254" s="3" t="str">
        <f t="shared" si="8"/>
        <v>{当日收益率},</v>
      </c>
      <c r="J1254" s="3" t="s">
        <v>20</v>
      </c>
    </row>
    <row r="1255" spans="2:14" s="3" customFormat="1" hidden="1" outlineLevel="1" x14ac:dyDescent="0.25">
      <c r="B1255" s="28" t="s">
        <v>304</v>
      </c>
      <c r="C1255" s="29" t="s">
        <v>1729</v>
      </c>
      <c r="D1255" s="29" t="s">
        <v>1489</v>
      </c>
      <c r="E1255" s="29">
        <v>0</v>
      </c>
      <c r="F1255" s="29"/>
      <c r="G1255" s="30"/>
      <c r="H1255" s="3" t="str">
        <f t="shared" si="8"/>
        <v>{累计实现收益},</v>
      </c>
      <c r="J1255" s="3" t="s">
        <v>20</v>
      </c>
      <c r="N1255" s="3">
        <v>1840</v>
      </c>
    </row>
    <row r="1256" spans="2:14" s="3" customFormat="1" hidden="1" outlineLevel="1" x14ac:dyDescent="0.25">
      <c r="B1256" s="28" t="s">
        <v>305</v>
      </c>
      <c r="C1256" s="29" t="s">
        <v>1730</v>
      </c>
      <c r="D1256" s="29" t="s">
        <v>1494</v>
      </c>
      <c r="E1256" s="29">
        <v>0</v>
      </c>
      <c r="F1256" s="29"/>
      <c r="G1256" s="30"/>
      <c r="H1256" s="3" t="str">
        <f t="shared" si="8"/>
        <v>{累计收益率},</v>
      </c>
      <c r="J1256" s="3" t="s">
        <v>20</v>
      </c>
      <c r="N1256" s="3">
        <v>1841</v>
      </c>
    </row>
    <row r="1257" spans="2:14" s="3" customFormat="1" hidden="1" outlineLevel="1" x14ac:dyDescent="0.25">
      <c r="B1257" s="28" t="s">
        <v>306</v>
      </c>
      <c r="C1257" s="29" t="s">
        <v>1731</v>
      </c>
      <c r="D1257" s="29" t="s">
        <v>1494</v>
      </c>
      <c r="E1257" s="29">
        <v>0</v>
      </c>
      <c r="F1257" s="29"/>
      <c r="G1257" s="30"/>
      <c r="H1257" s="3" t="str">
        <f t="shared" si="8"/>
        <v>{持股比例},</v>
      </c>
      <c r="J1257" s="3" t="s">
        <v>20</v>
      </c>
      <c r="N1257" s="3">
        <v>1208</v>
      </c>
    </row>
    <row r="1258" spans="2:14" s="3" customFormat="1" hidden="1" outlineLevel="1" x14ac:dyDescent="0.25">
      <c r="B1258" s="28" t="s">
        <v>288</v>
      </c>
      <c r="C1258" s="29" t="s">
        <v>1715</v>
      </c>
      <c r="D1258" s="29" t="s">
        <v>1489</v>
      </c>
      <c r="E1258" s="29">
        <v>0</v>
      </c>
      <c r="F1258" s="29" t="s">
        <v>1470</v>
      </c>
      <c r="G1258" s="30"/>
    </row>
    <row r="1259" spans="2:14" s="3" customFormat="1" hidden="1" outlineLevel="1" x14ac:dyDescent="0.25">
      <c r="B1259" s="28" t="s">
        <v>289</v>
      </c>
      <c r="C1259" s="29" t="s">
        <v>1716</v>
      </c>
      <c r="D1259" s="29" t="s">
        <v>1489</v>
      </c>
      <c r="E1259" s="29">
        <v>0</v>
      </c>
      <c r="F1259" s="29" t="s">
        <v>1470</v>
      </c>
      <c r="G1259" s="30"/>
    </row>
    <row r="1260" spans="2:14" s="3" customFormat="1" hidden="1" outlineLevel="1" x14ac:dyDescent="0.25">
      <c r="B1260" s="28" t="s">
        <v>290</v>
      </c>
      <c r="C1260" s="29" t="s">
        <v>1717</v>
      </c>
      <c r="D1260" s="29" t="s">
        <v>1489</v>
      </c>
      <c r="E1260" s="29">
        <v>0</v>
      </c>
      <c r="F1260" s="29"/>
      <c r="G1260" s="30"/>
    </row>
    <row r="1261" spans="2:14" s="3" customFormat="1" hidden="1" outlineLevel="1" x14ac:dyDescent="0.25">
      <c r="B1261" s="28" t="s">
        <v>291</v>
      </c>
      <c r="C1261" s="29" t="s">
        <v>1718</v>
      </c>
      <c r="D1261" s="29" t="s">
        <v>1489</v>
      </c>
      <c r="E1261" s="29">
        <v>0</v>
      </c>
      <c r="F1261" s="29" t="s">
        <v>1470</v>
      </c>
      <c r="G1261" s="30"/>
    </row>
    <row r="1262" spans="2:14" s="3" customFormat="1" hidden="1" outlineLevel="1" x14ac:dyDescent="0.25">
      <c r="B1262" s="267" t="s">
        <v>292</v>
      </c>
      <c r="C1262" s="268" t="s">
        <v>1719</v>
      </c>
      <c r="D1262" s="268" t="s">
        <v>1489</v>
      </c>
      <c r="E1262" s="268">
        <v>0</v>
      </c>
      <c r="F1262" s="268" t="s">
        <v>1470</v>
      </c>
      <c r="G1262" s="269"/>
    </row>
    <row r="1263" spans="2:14" s="3" customFormat="1" hidden="1" outlineLevel="1" x14ac:dyDescent="0.25">
      <c r="B1263" s="28" t="s">
        <v>293</v>
      </c>
      <c r="C1263" s="29" t="s">
        <v>1720</v>
      </c>
      <c r="D1263" s="29" t="s">
        <v>1489</v>
      </c>
      <c r="E1263" s="29">
        <v>0</v>
      </c>
      <c r="F1263" s="29"/>
      <c r="G1263" s="30"/>
    </row>
    <row r="1264" spans="2:14" hidden="1" outlineLevel="1" x14ac:dyDescent="0.25">
      <c r="B1264" s="320" t="s">
        <v>294</v>
      </c>
      <c r="C1264" s="321" t="s">
        <v>1721</v>
      </c>
      <c r="D1264" s="321" t="s">
        <v>1489</v>
      </c>
      <c r="E1264" s="321">
        <v>0</v>
      </c>
      <c r="F1264" s="321"/>
      <c r="G1264" s="258"/>
    </row>
    <row r="1265" spans="1:13" hidden="1" outlineLevel="1" x14ac:dyDescent="0.25">
      <c r="B1265" s="322" t="s">
        <v>295</v>
      </c>
      <c r="C1265" s="323" t="s">
        <v>1722</v>
      </c>
      <c r="D1265" s="321" t="s">
        <v>1489</v>
      </c>
      <c r="E1265" s="321">
        <v>0</v>
      </c>
      <c r="F1265" s="321"/>
      <c r="G1265" s="258"/>
    </row>
    <row r="1266" spans="1:13" hidden="1" outlineLevel="1" x14ac:dyDescent="0.25">
      <c r="B1266" s="322" t="s">
        <v>296</v>
      </c>
      <c r="C1266" s="323" t="s">
        <v>1723</v>
      </c>
      <c r="D1266" s="321" t="s">
        <v>1489</v>
      </c>
      <c r="E1266" s="321">
        <v>0</v>
      </c>
      <c r="F1266" s="321"/>
      <c r="G1266" s="258"/>
    </row>
    <row r="1267" spans="1:13" s="3" customFormat="1" hidden="1" outlineLevel="1" x14ac:dyDescent="0.25">
      <c r="B1267" s="28" t="s">
        <v>307</v>
      </c>
      <c r="C1267" s="29" t="s">
        <v>1732</v>
      </c>
      <c r="D1267" s="321" t="s">
        <v>1489</v>
      </c>
      <c r="E1267" s="29">
        <v>0</v>
      </c>
      <c r="F1267" s="29" t="s">
        <v>2336</v>
      </c>
      <c r="G1267" s="30"/>
    </row>
    <row r="1268" spans="1:13" s="3" customFormat="1" hidden="1" outlineLevel="1" x14ac:dyDescent="0.25">
      <c r="B1268" s="324" t="s">
        <v>298</v>
      </c>
      <c r="C1268" s="29" t="s">
        <v>1725</v>
      </c>
      <c r="D1268" s="29" t="s">
        <v>1489</v>
      </c>
      <c r="E1268" s="29">
        <v>0</v>
      </c>
      <c r="F1268" s="29" t="s">
        <v>2336</v>
      </c>
      <c r="G1268" s="30"/>
    </row>
    <row r="1269" spans="1:13" ht="16.2" hidden="1" outlineLevel="1" thickBot="1" x14ac:dyDescent="0.3">
      <c r="B1269" s="324" t="s">
        <v>299</v>
      </c>
      <c r="C1269" s="321" t="s">
        <v>1726</v>
      </c>
      <c r="D1269" s="321" t="s">
        <v>1489</v>
      </c>
      <c r="E1269" s="321">
        <v>0</v>
      </c>
      <c r="F1269" s="321" t="s">
        <v>2336</v>
      </c>
      <c r="G1269" s="258"/>
    </row>
    <row r="1270" spans="1:13" s="3" customFormat="1" ht="17.399999999999999" hidden="1" customHeight="1" outlineLevel="1" x14ac:dyDescent="0.25">
      <c r="A1270" s="5"/>
      <c r="B1270" s="395" t="s">
        <v>29</v>
      </c>
      <c r="C1270" s="396"/>
      <c r="D1270" s="396"/>
      <c r="E1270" s="396"/>
      <c r="F1270" s="396"/>
      <c r="G1270" s="397"/>
    </row>
    <row r="1271" spans="1:13" s="3" customFormat="1" hidden="1" outlineLevel="1" x14ac:dyDescent="0.25">
      <c r="B1271" s="28" t="s">
        <v>242</v>
      </c>
      <c r="C1271" s="29"/>
      <c r="D1271" s="29"/>
      <c r="E1271" s="29"/>
      <c r="F1271" s="29"/>
      <c r="G1271" s="30"/>
    </row>
    <row r="1272" spans="1:13" s="3" customFormat="1" hidden="1" outlineLevel="1" x14ac:dyDescent="0.25">
      <c r="B1272" s="28" t="s">
        <v>227</v>
      </c>
      <c r="C1272" s="29"/>
      <c r="D1272" s="29"/>
      <c r="E1272" s="29"/>
      <c r="F1272" s="29"/>
      <c r="G1272" s="30"/>
    </row>
    <row r="1273" spans="1:13" s="3" customFormat="1" hidden="1" outlineLevel="1" x14ac:dyDescent="0.25">
      <c r="B1273" s="28"/>
      <c r="C1273" s="29"/>
      <c r="D1273" s="29"/>
      <c r="E1273" s="29"/>
      <c r="F1273" s="29"/>
      <c r="G1273" s="30"/>
    </row>
    <row r="1274" spans="1:13" s="4" customFormat="1" ht="17.399999999999999" hidden="1" customHeight="1" outlineLevel="1" x14ac:dyDescent="0.35">
      <c r="A1274" s="5"/>
      <c r="B1274" s="67" t="s">
        <v>30</v>
      </c>
      <c r="C1274" s="65"/>
      <c r="D1274" s="65"/>
      <c r="E1274" s="65"/>
      <c r="F1274" s="65"/>
      <c r="G1274" s="371" t="s">
        <v>2357</v>
      </c>
      <c r="H1274" s="5"/>
      <c r="I1274" s="5"/>
      <c r="J1274" s="5"/>
      <c r="K1274" s="5"/>
      <c r="L1274" s="5"/>
      <c r="M1274" s="5"/>
    </row>
    <row r="1275" spans="1:13" s="3" customFormat="1" hidden="1" outlineLevel="1" x14ac:dyDescent="0.25">
      <c r="B1275" s="28" t="s">
        <v>244</v>
      </c>
      <c r="C1275" s="29"/>
      <c r="D1275" s="29"/>
      <c r="E1275" s="29"/>
      <c r="F1275" s="29"/>
      <c r="G1275" s="30"/>
    </row>
    <row r="1276" spans="1:13" s="3" customFormat="1" hidden="1" outlineLevel="1" x14ac:dyDescent="0.25">
      <c r="B1276" s="28" t="s">
        <v>69</v>
      </c>
      <c r="C1276" s="29"/>
      <c r="D1276" s="29"/>
      <c r="E1276" s="29"/>
      <c r="F1276" s="29"/>
      <c r="G1276" s="30"/>
    </row>
    <row r="1277" spans="1:13" s="3" customFormat="1" hidden="1" outlineLevel="1" x14ac:dyDescent="0.25">
      <c r="B1277" s="28" t="s">
        <v>234</v>
      </c>
      <c r="C1277" s="29"/>
      <c r="D1277" s="29"/>
      <c r="E1277" s="29"/>
      <c r="F1277" s="29"/>
      <c r="G1277" s="30"/>
    </row>
    <row r="1278" spans="1:13" s="3" customFormat="1" hidden="1" outlineLevel="1" x14ac:dyDescent="0.25">
      <c r="B1278" s="28" t="s">
        <v>308</v>
      </c>
      <c r="C1278" s="29"/>
      <c r="D1278" s="29"/>
      <c r="E1278" s="29"/>
      <c r="F1278" s="29"/>
      <c r="G1278" s="375" t="s">
        <v>2384</v>
      </c>
    </row>
    <row r="1279" spans="1:13" s="3" customFormat="1" hidden="1" outlineLevel="1" x14ac:dyDescent="0.25">
      <c r="B1279" s="28"/>
      <c r="C1279" s="29"/>
      <c r="D1279" s="29"/>
      <c r="E1279" s="29"/>
      <c r="F1279" s="29"/>
      <c r="G1279" s="30"/>
    </row>
    <row r="1280" spans="1:13" ht="16.2" hidden="1" outlineLevel="1" thickBot="1" x14ac:dyDescent="0.3"/>
    <row r="1281" spans="1:14" s="3" customFormat="1" ht="17.399999999999999" customHeight="1" collapsed="1" thickBot="1" x14ac:dyDescent="0.3">
      <c r="A1281" s="5"/>
      <c r="B1281" s="15" t="s">
        <v>1279</v>
      </c>
      <c r="C1281" s="16" t="s">
        <v>1387</v>
      </c>
      <c r="D1281" s="17" t="s">
        <v>1281</v>
      </c>
      <c r="E1281" s="252" t="s">
        <v>309</v>
      </c>
      <c r="F1281" s="17" t="s">
        <v>1282</v>
      </c>
      <c r="G1281" s="18" t="s">
        <v>1388</v>
      </c>
    </row>
    <row r="1282" spans="1:14" s="3" customFormat="1" ht="17.399999999999999" hidden="1" customHeight="1" outlineLevel="1" x14ac:dyDescent="0.25">
      <c r="A1282" s="5"/>
      <c r="B1282" s="19" t="s">
        <v>1284</v>
      </c>
      <c r="C1282" s="20" t="s">
        <v>1285</v>
      </c>
      <c r="D1282" s="21" t="s">
        <v>1286</v>
      </c>
      <c r="E1282" s="20" t="s">
        <v>1389</v>
      </c>
      <c r="F1282" s="21" t="s">
        <v>1288</v>
      </c>
      <c r="G1282" s="22" t="s">
        <v>1390</v>
      </c>
    </row>
    <row r="1283" spans="1:14" s="3" customFormat="1" ht="17.399999999999999" hidden="1" customHeight="1" outlineLevel="1" thickBot="1" x14ac:dyDescent="0.3">
      <c r="A1283" s="5"/>
      <c r="B1283" s="19" t="s">
        <v>1290</v>
      </c>
      <c r="C1283" s="23" t="s">
        <v>1291</v>
      </c>
      <c r="D1283" s="21" t="s">
        <v>1292</v>
      </c>
      <c r="E1283" s="23">
        <v>5</v>
      </c>
      <c r="F1283" s="21" t="s">
        <v>1293</v>
      </c>
      <c r="G1283" s="24" t="s">
        <v>1294</v>
      </c>
    </row>
    <row r="1284" spans="1:14" s="3" customFormat="1" ht="17.399999999999999" hidden="1" customHeight="1" outlineLevel="1" x14ac:dyDescent="0.25">
      <c r="A1284" s="5"/>
      <c r="B1284" s="395" t="s">
        <v>1</v>
      </c>
      <c r="C1284" s="396"/>
      <c r="D1284" s="396"/>
      <c r="E1284" s="396"/>
      <c r="F1284" s="396"/>
      <c r="G1284" s="397"/>
    </row>
    <row r="1285" spans="1:14" s="3" customFormat="1" ht="17.399999999999999" hidden="1" customHeight="1" outlineLevel="1" x14ac:dyDescent="0.25">
      <c r="A1285" s="5"/>
      <c r="B1285" s="25" t="s">
        <v>2</v>
      </c>
      <c r="C1285" s="26" t="s">
        <v>3</v>
      </c>
      <c r="D1285" s="26" t="s">
        <v>4</v>
      </c>
      <c r="E1285" s="26" t="s">
        <v>5</v>
      </c>
      <c r="F1285" s="26"/>
      <c r="G1285" s="27" t="s">
        <v>6</v>
      </c>
    </row>
    <row r="1286" spans="1:14" s="3" customFormat="1" hidden="1" outlineLevel="1" x14ac:dyDescent="0.25">
      <c r="B1286" s="28" t="s">
        <v>7</v>
      </c>
      <c r="C1286" s="29" t="s">
        <v>1468</v>
      </c>
      <c r="D1286" s="29" t="s">
        <v>1469</v>
      </c>
      <c r="E1286" s="29">
        <v>0</v>
      </c>
      <c r="F1286" s="29" t="s">
        <v>1470</v>
      </c>
      <c r="G1286" s="30" t="s">
        <v>1471</v>
      </c>
      <c r="J1286" s="3" t="s">
        <v>10</v>
      </c>
      <c r="N1286" s="3">
        <v>1112</v>
      </c>
    </row>
    <row r="1287" spans="1:14" s="3" customFormat="1" hidden="1" outlineLevel="1" x14ac:dyDescent="0.25">
      <c r="B1287" s="28" t="s">
        <v>265</v>
      </c>
      <c r="C1287" s="29" t="s">
        <v>1692</v>
      </c>
      <c r="D1287" s="29" t="s">
        <v>1606</v>
      </c>
      <c r="E1287" s="29" t="s">
        <v>1594</v>
      </c>
      <c r="F1287" s="29" t="s">
        <v>1470</v>
      </c>
      <c r="G1287" s="30"/>
      <c r="J1287" s="3" t="s">
        <v>187</v>
      </c>
      <c r="N1287" s="3">
        <v>1114</v>
      </c>
    </row>
    <row r="1288" spans="1:14" s="3" customFormat="1" hidden="1" outlineLevel="1" x14ac:dyDescent="0.25">
      <c r="B1288" s="28" t="s">
        <v>203</v>
      </c>
      <c r="C1288" s="29" t="s">
        <v>1635</v>
      </c>
      <c r="D1288" s="29" t="s">
        <v>1636</v>
      </c>
      <c r="E1288" s="29" t="s">
        <v>1637</v>
      </c>
      <c r="F1288" s="29" t="s">
        <v>1476</v>
      </c>
      <c r="G1288" s="30"/>
      <c r="J1288" s="3" t="s">
        <v>187</v>
      </c>
      <c r="N1288" s="3">
        <v>1041</v>
      </c>
    </row>
    <row r="1289" spans="1:14" s="3" customFormat="1" hidden="1" outlineLevel="1" x14ac:dyDescent="0.25">
      <c r="B1289" s="28" t="s">
        <v>73</v>
      </c>
      <c r="C1289" s="29" t="s">
        <v>1528</v>
      </c>
      <c r="D1289" s="29" t="s">
        <v>1469</v>
      </c>
      <c r="E1289" s="29" t="s">
        <v>1480</v>
      </c>
      <c r="F1289" s="29" t="s">
        <v>1481</v>
      </c>
      <c r="G1289" s="30"/>
      <c r="J1289" s="3" t="s">
        <v>10</v>
      </c>
      <c r="N1289" s="3">
        <v>1767</v>
      </c>
    </row>
    <row r="1290" spans="1:14" s="3" customFormat="1" hidden="1" outlineLevel="1" x14ac:dyDescent="0.25">
      <c r="B1290" s="28" t="s">
        <v>74</v>
      </c>
      <c r="C1290" s="29" t="s">
        <v>1529</v>
      </c>
      <c r="D1290" s="29" t="s">
        <v>1469</v>
      </c>
      <c r="E1290" s="29" t="s">
        <v>1480</v>
      </c>
      <c r="F1290" s="29" t="s">
        <v>1481</v>
      </c>
      <c r="G1290" s="30"/>
      <c r="J1290" s="3" t="s">
        <v>10</v>
      </c>
      <c r="N1290" s="3">
        <v>1713</v>
      </c>
    </row>
    <row r="1291" spans="1:14" s="3" customFormat="1" hidden="1" outlineLevel="1" x14ac:dyDescent="0.25">
      <c r="B1291" s="28" t="s">
        <v>128</v>
      </c>
      <c r="C1291" s="29" t="s">
        <v>1566</v>
      </c>
      <c r="D1291" s="29" t="s">
        <v>1567</v>
      </c>
      <c r="E1291" s="29">
        <v>0</v>
      </c>
      <c r="F1291" s="29" t="s">
        <v>1470</v>
      </c>
      <c r="G1291" s="30"/>
      <c r="J1291" s="3" t="s">
        <v>12</v>
      </c>
      <c r="N1291" s="3">
        <v>1629</v>
      </c>
    </row>
    <row r="1292" spans="1:14" s="3" customFormat="1" hidden="1" outlineLevel="1" x14ac:dyDescent="0.25">
      <c r="B1292" s="28" t="s">
        <v>114</v>
      </c>
      <c r="C1292" s="29" t="s">
        <v>1557</v>
      </c>
      <c r="D1292" s="29" t="s">
        <v>1469</v>
      </c>
      <c r="E1292" s="29">
        <v>-1</v>
      </c>
      <c r="F1292" s="29" t="s">
        <v>1470</v>
      </c>
      <c r="G1292" s="30"/>
      <c r="J1292" s="3" t="s">
        <v>10</v>
      </c>
      <c r="N1292" s="3">
        <v>2449</v>
      </c>
    </row>
    <row r="1293" spans="1:14" s="3" customFormat="1" hidden="1" outlineLevel="1" x14ac:dyDescent="0.25">
      <c r="B1293" s="28"/>
      <c r="C1293" s="29"/>
      <c r="D1293" s="29"/>
      <c r="E1293" s="29"/>
      <c r="F1293" s="29"/>
      <c r="G1293" s="30"/>
    </row>
    <row r="1294" spans="1:14" s="3" customFormat="1" ht="16.2" hidden="1" outlineLevel="1" thickBot="1" x14ac:dyDescent="0.3">
      <c r="B1294" s="163"/>
      <c r="C1294" s="164"/>
      <c r="D1294" s="164"/>
      <c r="E1294" s="164"/>
      <c r="F1294" s="164"/>
      <c r="G1294" s="165"/>
    </row>
    <row r="1295" spans="1:14" s="3" customFormat="1" ht="17.399999999999999" hidden="1" customHeight="1" outlineLevel="1" x14ac:dyDescent="0.25">
      <c r="A1295" s="5"/>
      <c r="B1295" s="395" t="s">
        <v>18</v>
      </c>
      <c r="C1295" s="396"/>
      <c r="D1295" s="396"/>
      <c r="E1295" s="396"/>
      <c r="F1295" s="396"/>
      <c r="G1295" s="397"/>
    </row>
    <row r="1296" spans="1:14" s="3" customFormat="1" ht="17.399999999999999" hidden="1" customHeight="1" outlineLevel="1" x14ac:dyDescent="0.25">
      <c r="A1296" s="5"/>
      <c r="B1296" s="25" t="s">
        <v>2</v>
      </c>
      <c r="C1296" s="26" t="s">
        <v>3</v>
      </c>
      <c r="D1296" s="26" t="s">
        <v>4</v>
      </c>
      <c r="E1296" s="26" t="s">
        <v>5</v>
      </c>
      <c r="F1296" s="26"/>
      <c r="G1296" s="27" t="s">
        <v>6</v>
      </c>
    </row>
    <row r="1297" spans="1:14" s="3" customFormat="1" ht="17.399999999999999" hidden="1" customHeight="1" outlineLevel="1" x14ac:dyDescent="0.25">
      <c r="A1297" s="5"/>
      <c r="B1297" s="326" t="s">
        <v>128</v>
      </c>
      <c r="C1297" s="26" t="s">
        <v>1566</v>
      </c>
      <c r="D1297" s="26" t="s">
        <v>1567</v>
      </c>
      <c r="E1297" s="26">
        <v>0</v>
      </c>
      <c r="F1297" s="26" t="s">
        <v>1470</v>
      </c>
      <c r="G1297" s="27"/>
    </row>
    <row r="1298" spans="1:14" s="3" customFormat="1" hidden="1" outlineLevel="1" x14ac:dyDescent="0.25">
      <c r="B1298" s="28" t="s">
        <v>16</v>
      </c>
      <c r="C1298" s="29" t="s">
        <v>1479</v>
      </c>
      <c r="D1298" s="29" t="s">
        <v>1469</v>
      </c>
      <c r="E1298" s="29" t="s">
        <v>1480</v>
      </c>
      <c r="F1298" s="29" t="s">
        <v>1481</v>
      </c>
      <c r="G1298" s="30" t="s">
        <v>1482</v>
      </c>
      <c r="H1298" s="3" t="str">
        <f>"{"&amp;B1298&amp;"},"</f>
        <v>{初始化日期},</v>
      </c>
      <c r="J1298" s="3" t="s">
        <v>10</v>
      </c>
      <c r="N1298" s="3">
        <v>1211</v>
      </c>
    </row>
    <row r="1299" spans="1:14" s="3" customFormat="1" hidden="1" outlineLevel="1" x14ac:dyDescent="0.25">
      <c r="B1299" s="28" t="s">
        <v>7</v>
      </c>
      <c r="C1299" s="29" t="s">
        <v>1468</v>
      </c>
      <c r="D1299" s="29" t="s">
        <v>1469</v>
      </c>
      <c r="E1299" s="29">
        <v>0</v>
      </c>
      <c r="F1299" s="29" t="s">
        <v>1470</v>
      </c>
      <c r="G1299" s="30" t="s">
        <v>1471</v>
      </c>
      <c r="H1299" s="3" t="str">
        <f t="shared" ref="H1299:H1322" si="9">"{"&amp;B1299&amp;"},"</f>
        <v>{产品编号},</v>
      </c>
      <c r="J1299" s="3" t="s">
        <v>10</v>
      </c>
      <c r="N1299" s="3">
        <v>1112</v>
      </c>
    </row>
    <row r="1300" spans="1:14" s="3" customFormat="1" hidden="1" outlineLevel="1" x14ac:dyDescent="0.25">
      <c r="B1300" s="28" t="s">
        <v>266</v>
      </c>
      <c r="C1300" s="29" t="s">
        <v>1693</v>
      </c>
      <c r="D1300" s="29" t="s">
        <v>1486</v>
      </c>
      <c r="E1300" s="29">
        <v>0</v>
      </c>
      <c r="F1300" s="29" t="s">
        <v>1470</v>
      </c>
      <c r="G1300" s="30"/>
      <c r="H1300" s="3" t="str">
        <f t="shared" si="9"/>
        <v>{产品总份额},</v>
      </c>
      <c r="J1300" s="3" t="s">
        <v>20</v>
      </c>
      <c r="N1300" s="3">
        <v>1149</v>
      </c>
    </row>
    <row r="1301" spans="1:14" s="3" customFormat="1" hidden="1" outlineLevel="1" x14ac:dyDescent="0.25">
      <c r="B1301" s="28" t="s">
        <v>267</v>
      </c>
      <c r="C1301" s="29" t="s">
        <v>1694</v>
      </c>
      <c r="D1301" s="29" t="s">
        <v>1486</v>
      </c>
      <c r="E1301" s="29">
        <v>0</v>
      </c>
      <c r="F1301" s="29" t="s">
        <v>1470</v>
      </c>
      <c r="G1301" s="30"/>
    </row>
    <row r="1302" spans="1:14" s="3" customFormat="1" hidden="1" outlineLevel="1" x14ac:dyDescent="0.25">
      <c r="B1302" s="28" t="s">
        <v>268</v>
      </c>
      <c r="C1302" s="29" t="s">
        <v>1695</v>
      </c>
      <c r="D1302" s="29" t="s">
        <v>1489</v>
      </c>
      <c r="E1302" s="29">
        <v>0</v>
      </c>
      <c r="F1302" s="29" t="s">
        <v>1470</v>
      </c>
      <c r="G1302" s="30"/>
      <c r="H1302" s="3" t="str">
        <f t="shared" si="9"/>
        <v>{净资产},</v>
      </c>
      <c r="J1302" s="3" t="s">
        <v>20</v>
      </c>
      <c r="N1302" s="3">
        <v>1741</v>
      </c>
    </row>
    <row r="1303" spans="1:14" s="3" customFormat="1" hidden="1" outlineLevel="1" x14ac:dyDescent="0.25">
      <c r="B1303" s="28" t="s">
        <v>269</v>
      </c>
      <c r="C1303" s="29" t="s">
        <v>1696</v>
      </c>
      <c r="D1303" s="29" t="s">
        <v>1489</v>
      </c>
      <c r="E1303" s="29">
        <v>0</v>
      </c>
      <c r="F1303" s="29" t="s">
        <v>1470</v>
      </c>
      <c r="G1303" s="30"/>
      <c r="H1303" s="3" t="str">
        <f t="shared" si="9"/>
        <v>{单位净值},</v>
      </c>
      <c r="J1303" s="3" t="s">
        <v>20</v>
      </c>
      <c r="N1303" s="3">
        <v>1244</v>
      </c>
    </row>
    <row r="1304" spans="1:14" s="3" customFormat="1" hidden="1" outlineLevel="1" x14ac:dyDescent="0.25">
      <c r="B1304" s="28" t="s">
        <v>270</v>
      </c>
      <c r="C1304" s="29" t="s">
        <v>1697</v>
      </c>
      <c r="D1304" s="29" t="s">
        <v>1489</v>
      </c>
      <c r="E1304" s="29">
        <v>0</v>
      </c>
      <c r="F1304" s="29"/>
      <c r="G1304" s="30"/>
      <c r="H1304" s="3" t="str">
        <f t="shared" si="9"/>
        <v>{昨日净值},</v>
      </c>
      <c r="J1304" s="3" t="s">
        <v>20</v>
      </c>
      <c r="N1304" s="3">
        <v>2595</v>
      </c>
    </row>
    <row r="1305" spans="1:14" s="3" customFormat="1" hidden="1" outlineLevel="1" x14ac:dyDescent="0.25">
      <c r="B1305" s="28" t="s">
        <v>271</v>
      </c>
      <c r="C1305" s="29" t="s">
        <v>1698</v>
      </c>
      <c r="D1305" s="29" t="s">
        <v>1494</v>
      </c>
      <c r="E1305" s="29">
        <v>0</v>
      </c>
      <c r="F1305" s="29"/>
      <c r="G1305" s="30"/>
      <c r="H1305" s="3" t="str">
        <f t="shared" si="9"/>
        <v>{净值波动},</v>
      </c>
      <c r="J1305" s="3" t="s">
        <v>20</v>
      </c>
      <c r="N1305" s="3">
        <v>1739</v>
      </c>
    </row>
    <row r="1306" spans="1:14" s="3" customFormat="1" hidden="1" outlineLevel="1" x14ac:dyDescent="0.25">
      <c r="B1306" s="28" t="s">
        <v>272</v>
      </c>
      <c r="C1306" s="29" t="s">
        <v>1699</v>
      </c>
      <c r="D1306" s="29" t="s">
        <v>1489</v>
      </c>
      <c r="E1306" s="29">
        <v>0</v>
      </c>
      <c r="F1306" s="29"/>
      <c r="G1306" s="30"/>
      <c r="H1306" s="3" t="str">
        <f t="shared" si="9"/>
        <v>{现金资产},</v>
      </c>
      <c r="J1306" s="3" t="s">
        <v>20</v>
      </c>
      <c r="N1306" s="3">
        <v>2309</v>
      </c>
    </row>
    <row r="1307" spans="1:14" s="3" customFormat="1" hidden="1" outlineLevel="1" x14ac:dyDescent="0.25">
      <c r="B1307" s="28" t="s">
        <v>273</v>
      </c>
      <c r="C1307" s="29" t="s">
        <v>1700</v>
      </c>
      <c r="D1307" s="29" t="s">
        <v>1489</v>
      </c>
      <c r="E1307" s="29">
        <v>0</v>
      </c>
      <c r="F1307" s="29" t="s">
        <v>1470</v>
      </c>
      <c r="G1307" s="30"/>
      <c r="H1307" s="3" t="str">
        <f t="shared" si="9"/>
        <v>{股票资产},</v>
      </c>
      <c r="J1307" s="3" t="s">
        <v>20</v>
      </c>
      <c r="N1307" s="3">
        <v>1511</v>
      </c>
    </row>
    <row r="1308" spans="1:14" s="3" customFormat="1" hidden="1" outlineLevel="1" x14ac:dyDescent="0.25">
      <c r="B1308" s="28" t="s">
        <v>274</v>
      </c>
      <c r="C1308" s="29" t="s">
        <v>1701</v>
      </c>
      <c r="D1308" s="29" t="s">
        <v>1489</v>
      </c>
      <c r="E1308" s="29">
        <v>0</v>
      </c>
      <c r="F1308" s="29" t="s">
        <v>1470</v>
      </c>
      <c r="G1308" s="30"/>
      <c r="H1308" s="3" t="str">
        <f t="shared" si="9"/>
        <v>{债券资产},</v>
      </c>
      <c r="J1308" s="3" t="s">
        <v>20</v>
      </c>
      <c r="N1308" s="3">
        <v>2402</v>
      </c>
    </row>
    <row r="1309" spans="1:14" s="3" customFormat="1" hidden="1" outlineLevel="1" x14ac:dyDescent="0.25">
      <c r="B1309" s="28" t="s">
        <v>275</v>
      </c>
      <c r="C1309" s="29" t="s">
        <v>1702</v>
      </c>
      <c r="D1309" s="29" t="s">
        <v>1489</v>
      </c>
      <c r="E1309" s="29">
        <v>0</v>
      </c>
      <c r="F1309" s="29" t="s">
        <v>1470</v>
      </c>
      <c r="G1309" s="30"/>
      <c r="H1309" s="3" t="str">
        <f t="shared" si="9"/>
        <v>{基金资产},</v>
      </c>
      <c r="J1309" s="3" t="s">
        <v>20</v>
      </c>
      <c r="N1309" s="3">
        <v>1618</v>
      </c>
    </row>
    <row r="1310" spans="1:14" s="3" customFormat="1" hidden="1" outlineLevel="1" x14ac:dyDescent="0.25">
      <c r="B1310" s="185" t="s">
        <v>276</v>
      </c>
      <c r="C1310" s="23" t="s">
        <v>1703</v>
      </c>
      <c r="D1310" s="23" t="s">
        <v>1489</v>
      </c>
      <c r="E1310" s="29">
        <v>0</v>
      </c>
      <c r="F1310" s="29"/>
      <c r="G1310" s="30"/>
    </row>
    <row r="1311" spans="1:14" s="3" customFormat="1" hidden="1" outlineLevel="1" x14ac:dyDescent="0.25">
      <c r="B1311" s="185" t="s">
        <v>277</v>
      </c>
      <c r="C1311" s="23" t="s">
        <v>1704</v>
      </c>
      <c r="D1311" s="23" t="s">
        <v>1489</v>
      </c>
      <c r="E1311" s="29">
        <v>0</v>
      </c>
      <c r="F1311" s="29"/>
      <c r="G1311" s="30"/>
    </row>
    <row r="1312" spans="1:14" s="3" customFormat="1" hidden="1" outlineLevel="1" x14ac:dyDescent="0.25">
      <c r="B1312" s="28" t="s">
        <v>278</v>
      </c>
      <c r="C1312" s="29" t="s">
        <v>1705</v>
      </c>
      <c r="D1312" s="29" t="s">
        <v>1489</v>
      </c>
      <c r="E1312" s="29">
        <v>0</v>
      </c>
      <c r="F1312" s="29"/>
      <c r="G1312" s="30"/>
      <c r="H1312" s="3" t="str">
        <f t="shared" si="9"/>
        <v>{回购资产},</v>
      </c>
      <c r="J1312" s="3" t="s">
        <v>20</v>
      </c>
      <c r="N1312" s="3">
        <v>1599</v>
      </c>
    </row>
    <row r="1313" spans="2:14" s="3" customFormat="1" hidden="1" outlineLevel="1" x14ac:dyDescent="0.25">
      <c r="B1313" s="28" t="s">
        <v>279</v>
      </c>
      <c r="C1313" s="29" t="s">
        <v>1706</v>
      </c>
      <c r="D1313" s="29" t="s">
        <v>1489</v>
      </c>
      <c r="E1313" s="29">
        <v>0</v>
      </c>
      <c r="F1313" s="29" t="s">
        <v>1470</v>
      </c>
      <c r="G1313" s="30"/>
      <c r="H1313" s="3" t="str">
        <f t="shared" si="9"/>
        <v>{其他资产},</v>
      </c>
      <c r="J1313" s="3" t="s">
        <v>20</v>
      </c>
      <c r="N1313" s="3">
        <v>1997</v>
      </c>
    </row>
    <row r="1314" spans="2:14" s="3" customFormat="1" hidden="1" outlineLevel="1" x14ac:dyDescent="0.25">
      <c r="B1314" s="28" t="s">
        <v>280</v>
      </c>
      <c r="C1314" s="29" t="s">
        <v>1707</v>
      </c>
      <c r="D1314" s="29" t="s">
        <v>1489</v>
      </c>
      <c r="E1314" s="29">
        <v>0</v>
      </c>
      <c r="F1314" s="29"/>
      <c r="G1314" s="30"/>
      <c r="H1314" s="3" t="str">
        <f t="shared" si="9"/>
        <v>{港股通资产},</v>
      </c>
      <c r="J1314" s="3" t="s">
        <v>20</v>
      </c>
      <c r="N1314" s="3">
        <v>1842</v>
      </c>
    </row>
    <row r="1315" spans="2:14" s="3" customFormat="1" hidden="1" outlineLevel="1" x14ac:dyDescent="0.25">
      <c r="B1315" s="28" t="s">
        <v>281</v>
      </c>
      <c r="C1315" s="29" t="s">
        <v>1708</v>
      </c>
      <c r="D1315" s="29" t="s">
        <v>1489</v>
      </c>
      <c r="E1315" s="29">
        <v>0</v>
      </c>
      <c r="F1315" s="29" t="s">
        <v>1470</v>
      </c>
      <c r="G1315" s="30"/>
      <c r="H1315" s="3" t="str">
        <f t="shared" si="9"/>
        <v>{期货资产},</v>
      </c>
      <c r="J1315" s="3" t="s">
        <v>20</v>
      </c>
      <c r="N1315" s="3">
        <v>1843</v>
      </c>
    </row>
    <row r="1316" spans="2:14" s="3" customFormat="1" hidden="1" outlineLevel="1" x14ac:dyDescent="0.25">
      <c r="B1316" s="28" t="s">
        <v>282</v>
      </c>
      <c r="C1316" s="29" t="s">
        <v>1709</v>
      </c>
      <c r="D1316" s="29" t="s">
        <v>1489</v>
      </c>
      <c r="E1316" s="29">
        <v>0</v>
      </c>
      <c r="F1316" s="29"/>
      <c r="G1316" s="30"/>
      <c r="H1316" s="3" t="str">
        <f t="shared" si="9"/>
        <v>{可分配金额},</v>
      </c>
      <c r="J1316" s="3" t="s">
        <v>20</v>
      </c>
      <c r="N1316" s="3">
        <v>1774</v>
      </c>
    </row>
    <row r="1317" spans="2:14" s="3" customFormat="1" hidden="1" outlineLevel="1" x14ac:dyDescent="0.25">
      <c r="B1317" s="28" t="s">
        <v>203</v>
      </c>
      <c r="C1317" s="29" t="s">
        <v>1635</v>
      </c>
      <c r="D1317" s="29" t="s">
        <v>1636</v>
      </c>
      <c r="E1317" s="29" t="s">
        <v>1637</v>
      </c>
      <c r="F1317" s="29" t="s">
        <v>1476</v>
      </c>
      <c r="G1317" s="30"/>
      <c r="H1317" s="3" t="str">
        <f t="shared" si="9"/>
        <v>{本币币种},</v>
      </c>
      <c r="J1317" s="3" t="s">
        <v>187</v>
      </c>
      <c r="N1317" s="3">
        <v>1041</v>
      </c>
    </row>
    <row r="1318" spans="2:14" s="3" customFormat="1" hidden="1" outlineLevel="1" x14ac:dyDescent="0.25">
      <c r="B1318" s="28" t="s">
        <v>64</v>
      </c>
      <c r="C1318" s="29" t="s">
        <v>1527</v>
      </c>
      <c r="D1318" s="29" t="s">
        <v>1489</v>
      </c>
      <c r="E1318" s="29">
        <v>0</v>
      </c>
      <c r="F1318" s="29"/>
      <c r="G1318" s="30"/>
      <c r="H1318" s="3" t="str">
        <f t="shared" si="9"/>
        <v>{当日盈亏},</v>
      </c>
      <c r="J1318" s="3" t="s">
        <v>20</v>
      </c>
      <c r="N1318" s="3">
        <v>1274</v>
      </c>
    </row>
    <row r="1319" spans="2:14" s="3" customFormat="1" hidden="1" outlineLevel="1" x14ac:dyDescent="0.25">
      <c r="B1319" s="28" t="s">
        <v>283</v>
      </c>
      <c r="C1319" s="29" t="s">
        <v>1710</v>
      </c>
      <c r="D1319" s="29" t="s">
        <v>1494</v>
      </c>
      <c r="E1319" s="29">
        <v>0</v>
      </c>
      <c r="F1319" s="29" t="s">
        <v>1470</v>
      </c>
      <c r="G1319" s="30"/>
      <c r="H1319" s="3" t="str">
        <f t="shared" si="9"/>
        <v>{当日收益率},</v>
      </c>
      <c r="J1319" s="3" t="s">
        <v>20</v>
      </c>
    </row>
    <row r="1320" spans="2:14" s="3" customFormat="1" hidden="1" outlineLevel="1" x14ac:dyDescent="0.25">
      <c r="B1320" s="28" t="s">
        <v>284</v>
      </c>
      <c r="C1320" s="29" t="s">
        <v>1711</v>
      </c>
      <c r="D1320" s="29" t="s">
        <v>1489</v>
      </c>
      <c r="E1320" s="29">
        <v>0</v>
      </c>
      <c r="F1320" s="29"/>
      <c r="G1320" s="30"/>
      <c r="H1320" s="3" t="str">
        <f t="shared" si="9"/>
        <v>{可提现金额},</v>
      </c>
      <c r="J1320" s="3" t="s">
        <v>20</v>
      </c>
    </row>
    <row r="1321" spans="2:14" s="3" customFormat="1" hidden="1" outlineLevel="1" x14ac:dyDescent="0.25">
      <c r="B1321" s="28" t="s">
        <v>285</v>
      </c>
      <c r="C1321" s="29" t="s">
        <v>1712</v>
      </c>
      <c r="D1321" s="29" t="s">
        <v>1494</v>
      </c>
      <c r="E1321" s="29">
        <v>0</v>
      </c>
      <c r="F1321" s="29"/>
      <c r="G1321" s="30"/>
      <c r="H1321" s="3" t="str">
        <f t="shared" si="9"/>
        <v>{股票资产占比},</v>
      </c>
      <c r="J1321" s="3" t="s">
        <v>20</v>
      </c>
      <c r="N1321" s="3">
        <v>1512</v>
      </c>
    </row>
    <row r="1322" spans="2:14" s="3" customFormat="1" hidden="1" outlineLevel="1" x14ac:dyDescent="0.25">
      <c r="B1322" s="28" t="s">
        <v>286</v>
      </c>
      <c r="C1322" s="29" t="s">
        <v>1713</v>
      </c>
      <c r="D1322" s="29" t="s">
        <v>1494</v>
      </c>
      <c r="E1322" s="29">
        <v>0</v>
      </c>
      <c r="F1322" s="29"/>
      <c r="G1322" s="30"/>
      <c r="H1322" s="3" t="str">
        <f t="shared" si="9"/>
        <v>{证券占比},</v>
      </c>
      <c r="J1322" s="3" t="s">
        <v>20</v>
      </c>
    </row>
    <row r="1323" spans="2:14" s="3" customFormat="1" hidden="1" outlineLevel="1" x14ac:dyDescent="0.25">
      <c r="B1323" s="28" t="s">
        <v>287</v>
      </c>
      <c r="C1323" s="29" t="s">
        <v>1714</v>
      </c>
      <c r="D1323" s="29" t="s">
        <v>1494</v>
      </c>
      <c r="E1323" s="29">
        <v>0</v>
      </c>
      <c r="F1323" s="29"/>
      <c r="G1323" s="30"/>
    </row>
    <row r="1324" spans="2:14" s="3" customFormat="1" hidden="1" outlineLevel="1" x14ac:dyDescent="0.25">
      <c r="B1324" s="28" t="s">
        <v>288</v>
      </c>
      <c r="C1324" s="29" t="s">
        <v>1715</v>
      </c>
      <c r="D1324" s="29" t="s">
        <v>1489</v>
      </c>
      <c r="E1324" s="29">
        <v>0</v>
      </c>
      <c r="F1324" s="29" t="s">
        <v>1470</v>
      </c>
      <c r="G1324" s="30"/>
    </row>
    <row r="1325" spans="2:14" s="3" customFormat="1" hidden="1" outlineLevel="1" x14ac:dyDescent="0.25">
      <c r="B1325" s="28" t="s">
        <v>289</v>
      </c>
      <c r="C1325" s="29" t="s">
        <v>1716</v>
      </c>
      <c r="D1325" s="29" t="s">
        <v>1489</v>
      </c>
      <c r="E1325" s="29">
        <v>0</v>
      </c>
      <c r="F1325" s="29" t="s">
        <v>1470</v>
      </c>
      <c r="G1325" s="30"/>
    </row>
    <row r="1326" spans="2:14" s="3" customFormat="1" hidden="1" outlineLevel="1" x14ac:dyDescent="0.25">
      <c r="B1326" s="28" t="s">
        <v>290</v>
      </c>
      <c r="C1326" s="29" t="s">
        <v>1717</v>
      </c>
      <c r="D1326" s="29" t="s">
        <v>1489</v>
      </c>
      <c r="E1326" s="29">
        <v>0</v>
      </c>
      <c r="F1326" s="29"/>
      <c r="G1326" s="30"/>
    </row>
    <row r="1327" spans="2:14" s="3" customFormat="1" hidden="1" outlineLevel="1" x14ac:dyDescent="0.25">
      <c r="B1327" s="28" t="s">
        <v>291</v>
      </c>
      <c r="C1327" s="29" t="s">
        <v>1718</v>
      </c>
      <c r="D1327" s="29" t="s">
        <v>1489</v>
      </c>
      <c r="E1327" s="29">
        <v>0</v>
      </c>
      <c r="F1327" s="29" t="s">
        <v>1470</v>
      </c>
      <c r="G1327" s="30"/>
    </row>
    <row r="1328" spans="2:14" s="3" customFormat="1" hidden="1" outlineLevel="1" x14ac:dyDescent="0.25">
      <c r="B1328" s="267" t="s">
        <v>292</v>
      </c>
      <c r="C1328" s="268" t="s">
        <v>1719</v>
      </c>
      <c r="D1328" s="268" t="s">
        <v>1489</v>
      </c>
      <c r="E1328" s="268">
        <v>0</v>
      </c>
      <c r="F1328" s="268" t="s">
        <v>1470</v>
      </c>
      <c r="G1328" s="269"/>
    </row>
    <row r="1329" spans="1:13" s="3" customFormat="1" hidden="1" outlineLevel="1" x14ac:dyDescent="0.25">
      <c r="B1329" s="28" t="s">
        <v>293</v>
      </c>
      <c r="C1329" s="29" t="s">
        <v>1720</v>
      </c>
      <c r="D1329" s="29" t="s">
        <v>1489</v>
      </c>
      <c r="E1329" s="29">
        <v>0</v>
      </c>
      <c r="F1329" s="29"/>
      <c r="G1329" s="30"/>
    </row>
    <row r="1330" spans="1:13" hidden="1" outlineLevel="1" x14ac:dyDescent="0.25">
      <c r="B1330" s="320" t="s">
        <v>294</v>
      </c>
      <c r="C1330" s="321" t="s">
        <v>1721</v>
      </c>
      <c r="D1330" s="321" t="s">
        <v>1489</v>
      </c>
      <c r="E1330" s="321">
        <v>0</v>
      </c>
      <c r="F1330" s="321"/>
      <c r="G1330" s="258"/>
    </row>
    <row r="1331" spans="1:13" hidden="1" outlineLevel="1" x14ac:dyDescent="0.25">
      <c r="B1331" s="322" t="s">
        <v>295</v>
      </c>
      <c r="C1331" s="323" t="s">
        <v>1722</v>
      </c>
      <c r="D1331" s="321" t="s">
        <v>1489</v>
      </c>
      <c r="E1331" s="321">
        <v>0</v>
      </c>
      <c r="F1331" s="321"/>
      <c r="G1331" s="258"/>
    </row>
    <row r="1332" spans="1:13" hidden="1" outlineLevel="1" x14ac:dyDescent="0.25">
      <c r="B1332" s="322" t="s">
        <v>296</v>
      </c>
      <c r="C1332" s="323" t="s">
        <v>1723</v>
      </c>
      <c r="D1332" s="321" t="s">
        <v>1489</v>
      </c>
      <c r="E1332" s="321">
        <v>0</v>
      </c>
      <c r="F1332" s="321"/>
      <c r="G1332" s="258"/>
    </row>
    <row r="1333" spans="1:13" hidden="1" outlineLevel="1" x14ac:dyDescent="0.25">
      <c r="B1333" s="324" t="s">
        <v>297</v>
      </c>
      <c r="C1333" s="325" t="s">
        <v>1724</v>
      </c>
      <c r="D1333" s="321" t="s">
        <v>1489</v>
      </c>
      <c r="E1333" s="321">
        <v>0</v>
      </c>
      <c r="F1333" s="321" t="s">
        <v>2336</v>
      </c>
      <c r="G1333" s="258"/>
    </row>
    <row r="1334" spans="1:13" s="3" customFormat="1" hidden="1" outlineLevel="1" x14ac:dyDescent="0.25">
      <c r="B1334" s="324" t="s">
        <v>298</v>
      </c>
      <c r="C1334" s="29" t="s">
        <v>1725</v>
      </c>
      <c r="D1334" s="29" t="s">
        <v>1489</v>
      </c>
      <c r="E1334" s="29">
        <v>0</v>
      </c>
      <c r="F1334" s="29" t="s">
        <v>2336</v>
      </c>
      <c r="G1334" s="30"/>
    </row>
    <row r="1335" spans="1:13" ht="16.2" hidden="1" outlineLevel="1" thickBot="1" x14ac:dyDescent="0.3">
      <c r="B1335" s="324" t="s">
        <v>299</v>
      </c>
      <c r="C1335" s="321" t="s">
        <v>1726</v>
      </c>
      <c r="D1335" s="321" t="s">
        <v>1489</v>
      </c>
      <c r="E1335" s="321">
        <v>0</v>
      </c>
      <c r="F1335" s="321" t="s">
        <v>2336</v>
      </c>
      <c r="G1335" s="258"/>
    </row>
    <row r="1336" spans="1:13" s="3" customFormat="1" ht="17.399999999999999" hidden="1" customHeight="1" outlineLevel="1" x14ac:dyDescent="0.25">
      <c r="A1336" s="5"/>
      <c r="B1336" s="395" t="s">
        <v>29</v>
      </c>
      <c r="C1336" s="396"/>
      <c r="D1336" s="396"/>
      <c r="E1336" s="396"/>
      <c r="F1336" s="396"/>
      <c r="G1336" s="397"/>
    </row>
    <row r="1337" spans="1:13" s="3" customFormat="1" hidden="1" outlineLevel="1" x14ac:dyDescent="0.25">
      <c r="B1337" s="28" t="s">
        <v>242</v>
      </c>
      <c r="C1337" s="29"/>
      <c r="D1337" s="29"/>
      <c r="E1337" s="29"/>
      <c r="F1337" s="29"/>
      <c r="G1337" s="30"/>
    </row>
    <row r="1338" spans="1:13" s="3" customFormat="1" hidden="1" outlineLevel="1" x14ac:dyDescent="0.25">
      <c r="B1338" s="28" t="s">
        <v>227</v>
      </c>
      <c r="C1338" s="29"/>
      <c r="D1338" s="29"/>
      <c r="E1338" s="29"/>
      <c r="F1338" s="29"/>
      <c r="G1338" s="30"/>
    </row>
    <row r="1339" spans="1:13" s="3" customFormat="1" hidden="1" outlineLevel="1" x14ac:dyDescent="0.25">
      <c r="B1339" s="28" t="s">
        <v>69</v>
      </c>
      <c r="C1339" s="29"/>
      <c r="D1339" s="29"/>
      <c r="E1339" s="29"/>
      <c r="F1339" s="29"/>
      <c r="G1339" s="30"/>
    </row>
    <row r="1340" spans="1:13" s="4" customFormat="1" ht="17.399999999999999" hidden="1" customHeight="1" outlineLevel="1" x14ac:dyDescent="0.35">
      <c r="A1340" s="5"/>
      <c r="B1340" s="67" t="s">
        <v>30</v>
      </c>
      <c r="C1340" s="65"/>
      <c r="D1340" s="65"/>
      <c r="E1340" s="65"/>
      <c r="F1340" s="65"/>
      <c r="G1340" s="371" t="s">
        <v>2357</v>
      </c>
      <c r="H1340" s="5"/>
      <c r="I1340" s="5"/>
      <c r="J1340" s="5"/>
      <c r="K1340" s="5"/>
      <c r="L1340" s="5"/>
      <c r="M1340" s="5"/>
    </row>
    <row r="1341" spans="1:13" s="3" customFormat="1" hidden="1" outlineLevel="1" x14ac:dyDescent="0.25">
      <c r="B1341" s="28" t="s">
        <v>151</v>
      </c>
      <c r="C1341" s="29"/>
      <c r="D1341" s="29"/>
      <c r="E1341" s="29"/>
      <c r="F1341" s="29"/>
      <c r="G1341" s="30"/>
    </row>
    <row r="1342" spans="1:13" s="3" customFormat="1" hidden="1" outlineLevel="1" x14ac:dyDescent="0.25">
      <c r="B1342" s="28" t="s">
        <v>310</v>
      </c>
      <c r="C1342" s="29"/>
      <c r="D1342" s="29"/>
      <c r="E1342" s="29"/>
      <c r="F1342" s="29"/>
      <c r="G1342" s="375" t="s">
        <v>2385</v>
      </c>
    </row>
    <row r="1343" spans="1:13" s="3" customFormat="1" ht="16.2" hidden="1" outlineLevel="1" thickBot="1" x14ac:dyDescent="0.3">
      <c r="B1343" s="163"/>
      <c r="C1343" s="164"/>
      <c r="D1343" s="164"/>
      <c r="E1343" s="164"/>
      <c r="F1343" s="164"/>
      <c r="G1343" s="165"/>
    </row>
    <row r="1344" spans="1:13" s="3" customFormat="1" ht="17.399999999999999" hidden="1" customHeight="1" outlineLevel="1" thickBot="1" x14ac:dyDescent="0.3"/>
    <row r="1345" spans="1:14" s="3" customFormat="1" ht="17.399999999999999" customHeight="1" collapsed="1" thickBot="1" x14ac:dyDescent="0.3">
      <c r="A1345" s="5"/>
      <c r="B1345" s="15" t="s">
        <v>1279</v>
      </c>
      <c r="C1345" s="16" t="s">
        <v>1391</v>
      </c>
      <c r="D1345" s="17" t="s">
        <v>1281</v>
      </c>
      <c r="E1345" s="252" t="s">
        <v>311</v>
      </c>
      <c r="F1345" s="17" t="s">
        <v>1282</v>
      </c>
      <c r="G1345" s="18" t="s">
        <v>1392</v>
      </c>
    </row>
    <row r="1346" spans="1:14" s="3" customFormat="1" ht="17.399999999999999" hidden="1" customHeight="1" outlineLevel="1" x14ac:dyDescent="0.25">
      <c r="A1346" s="5"/>
      <c r="B1346" s="19" t="s">
        <v>1284</v>
      </c>
      <c r="C1346" s="20" t="s">
        <v>1285</v>
      </c>
      <c r="D1346" s="21" t="s">
        <v>1286</v>
      </c>
      <c r="E1346" s="20" t="s">
        <v>1393</v>
      </c>
      <c r="F1346" s="21" t="s">
        <v>1288</v>
      </c>
      <c r="G1346" s="22"/>
    </row>
    <row r="1347" spans="1:14" s="3" customFormat="1" ht="17.399999999999999" hidden="1" customHeight="1" outlineLevel="1" thickBot="1" x14ac:dyDescent="0.3">
      <c r="A1347" s="5"/>
      <c r="B1347" s="19" t="s">
        <v>1290</v>
      </c>
      <c r="C1347" s="23" t="s">
        <v>1291</v>
      </c>
      <c r="D1347" s="21" t="s">
        <v>1292</v>
      </c>
      <c r="E1347" s="23">
        <v>5</v>
      </c>
      <c r="F1347" s="21" t="s">
        <v>1293</v>
      </c>
      <c r="G1347" s="24" t="s">
        <v>1294</v>
      </c>
    </row>
    <row r="1348" spans="1:14" s="3" customFormat="1" ht="17.399999999999999" hidden="1" customHeight="1" outlineLevel="1" x14ac:dyDescent="0.25">
      <c r="A1348" s="5"/>
      <c r="B1348" s="395" t="s">
        <v>1</v>
      </c>
      <c r="C1348" s="396"/>
      <c r="D1348" s="396"/>
      <c r="E1348" s="396"/>
      <c r="F1348" s="396"/>
      <c r="G1348" s="397"/>
    </row>
    <row r="1349" spans="1:14" s="3" customFormat="1" ht="17.399999999999999" hidden="1" customHeight="1" outlineLevel="1" x14ac:dyDescent="0.25">
      <c r="A1349" s="5"/>
      <c r="B1349" s="25" t="s">
        <v>2</v>
      </c>
      <c r="C1349" s="26" t="s">
        <v>3</v>
      </c>
      <c r="D1349" s="26" t="s">
        <v>4</v>
      </c>
      <c r="E1349" s="26" t="s">
        <v>5</v>
      </c>
      <c r="F1349" s="26"/>
      <c r="G1349" s="27" t="s">
        <v>6</v>
      </c>
    </row>
    <row r="1350" spans="1:14" s="3" customFormat="1" hidden="1" outlineLevel="1" x14ac:dyDescent="0.25">
      <c r="B1350" s="28" t="s">
        <v>7</v>
      </c>
      <c r="C1350" s="29" t="s">
        <v>1468</v>
      </c>
      <c r="D1350" s="29" t="s">
        <v>1469</v>
      </c>
      <c r="E1350" s="29">
        <v>0</v>
      </c>
      <c r="F1350" s="29" t="s">
        <v>1470</v>
      </c>
      <c r="G1350" s="30" t="s">
        <v>1471</v>
      </c>
      <c r="J1350" s="3" t="s">
        <v>10</v>
      </c>
      <c r="N1350" s="3">
        <v>1112</v>
      </c>
    </row>
    <row r="1351" spans="1:14" s="3" customFormat="1" hidden="1" outlineLevel="1" x14ac:dyDescent="0.25">
      <c r="B1351" s="28" t="s">
        <v>265</v>
      </c>
      <c r="C1351" s="29" t="s">
        <v>1692</v>
      </c>
      <c r="D1351" s="29" t="s">
        <v>1606</v>
      </c>
      <c r="E1351" s="29" t="s">
        <v>1594</v>
      </c>
      <c r="F1351" s="29" t="s">
        <v>1470</v>
      </c>
      <c r="G1351" s="30"/>
      <c r="J1351" s="3" t="s">
        <v>187</v>
      </c>
      <c r="N1351" s="3">
        <v>1114</v>
      </c>
    </row>
    <row r="1352" spans="1:14" s="3" customFormat="1" hidden="1" outlineLevel="1" x14ac:dyDescent="0.25">
      <c r="B1352" s="28" t="s">
        <v>11</v>
      </c>
      <c r="C1352" s="29" t="s">
        <v>1472</v>
      </c>
      <c r="D1352" s="29" t="s">
        <v>1469</v>
      </c>
      <c r="E1352" s="29">
        <v>0</v>
      </c>
      <c r="F1352" s="29" t="s">
        <v>1470</v>
      </c>
      <c r="G1352" s="30" t="s">
        <v>1473</v>
      </c>
      <c r="J1352" s="3" t="s">
        <v>12</v>
      </c>
      <c r="N1352" s="3">
        <v>1700</v>
      </c>
    </row>
    <row r="1353" spans="1:14" s="3" customFormat="1" hidden="1" outlineLevel="1" x14ac:dyDescent="0.25">
      <c r="B1353" s="28" t="s">
        <v>302</v>
      </c>
      <c r="C1353" s="29" t="s">
        <v>1727</v>
      </c>
      <c r="D1353" s="29" t="s">
        <v>1606</v>
      </c>
      <c r="E1353" s="29" t="s">
        <v>1594</v>
      </c>
      <c r="F1353" s="29" t="s">
        <v>1470</v>
      </c>
      <c r="G1353" s="30"/>
      <c r="J1353" s="3" t="s">
        <v>187</v>
      </c>
      <c r="N1353" s="3">
        <v>1700</v>
      </c>
    </row>
    <row r="1354" spans="1:14" s="3" customFormat="1" hidden="1" outlineLevel="1" x14ac:dyDescent="0.25">
      <c r="B1354" s="28" t="s">
        <v>203</v>
      </c>
      <c r="C1354" s="29" t="s">
        <v>1635</v>
      </c>
      <c r="D1354" s="29" t="s">
        <v>1636</v>
      </c>
      <c r="E1354" s="29" t="s">
        <v>1637</v>
      </c>
      <c r="F1354" s="29" t="s">
        <v>1476</v>
      </c>
      <c r="G1354" s="30"/>
      <c r="J1354" s="3" t="s">
        <v>187</v>
      </c>
      <c r="N1354" s="3">
        <v>1041</v>
      </c>
    </row>
    <row r="1355" spans="1:14" s="3" customFormat="1" hidden="1" outlineLevel="1" x14ac:dyDescent="0.25">
      <c r="B1355" s="28" t="s">
        <v>73</v>
      </c>
      <c r="C1355" s="29" t="s">
        <v>1528</v>
      </c>
      <c r="D1355" s="29" t="s">
        <v>1469</v>
      </c>
      <c r="E1355" s="29" t="s">
        <v>1480</v>
      </c>
      <c r="F1355" s="29" t="s">
        <v>1481</v>
      </c>
      <c r="G1355" s="30"/>
      <c r="J1355" s="3" t="s">
        <v>10</v>
      </c>
      <c r="N1355" s="3">
        <v>1767</v>
      </c>
    </row>
    <row r="1356" spans="1:14" s="3" customFormat="1" hidden="1" outlineLevel="1" x14ac:dyDescent="0.25">
      <c r="B1356" s="28" t="s">
        <v>74</v>
      </c>
      <c r="C1356" s="29" t="s">
        <v>1529</v>
      </c>
      <c r="D1356" s="29" t="s">
        <v>1469</v>
      </c>
      <c r="E1356" s="29" t="s">
        <v>1480</v>
      </c>
      <c r="F1356" s="29" t="s">
        <v>1481</v>
      </c>
      <c r="G1356" s="30"/>
      <c r="J1356" s="3" t="s">
        <v>10</v>
      </c>
      <c r="N1356" s="3">
        <v>1713</v>
      </c>
    </row>
    <row r="1357" spans="1:14" s="3" customFormat="1" hidden="1" outlineLevel="1" x14ac:dyDescent="0.25">
      <c r="B1357" s="28" t="s">
        <v>128</v>
      </c>
      <c r="C1357" s="29" t="s">
        <v>1566</v>
      </c>
      <c r="D1357" s="29" t="s">
        <v>1567</v>
      </c>
      <c r="E1357" s="29">
        <v>0</v>
      </c>
      <c r="F1357" s="29" t="s">
        <v>1470</v>
      </c>
      <c r="G1357" s="30"/>
      <c r="J1357" s="3" t="s">
        <v>12</v>
      </c>
      <c r="N1357" s="3">
        <v>1629</v>
      </c>
    </row>
    <row r="1358" spans="1:14" s="3" customFormat="1" hidden="1" outlineLevel="1" x14ac:dyDescent="0.25">
      <c r="B1358" s="28" t="s">
        <v>114</v>
      </c>
      <c r="C1358" s="29" t="s">
        <v>1557</v>
      </c>
      <c r="D1358" s="29" t="s">
        <v>1469</v>
      </c>
      <c r="E1358" s="29">
        <v>-1</v>
      </c>
      <c r="F1358" s="29" t="s">
        <v>1470</v>
      </c>
      <c r="G1358" s="30"/>
      <c r="J1358" s="3" t="s">
        <v>10</v>
      </c>
      <c r="N1358" s="3">
        <v>2449</v>
      </c>
    </row>
    <row r="1359" spans="1:14" s="3" customFormat="1" hidden="1" outlineLevel="1" x14ac:dyDescent="0.25">
      <c r="B1359" s="28"/>
      <c r="C1359" s="29"/>
      <c r="D1359" s="29"/>
      <c r="E1359" s="29"/>
      <c r="F1359" s="29"/>
      <c r="G1359" s="30"/>
    </row>
    <row r="1360" spans="1:14" s="3" customFormat="1" ht="16.2" hidden="1" outlineLevel="1" thickBot="1" x14ac:dyDescent="0.3">
      <c r="B1360" s="28"/>
      <c r="C1360" s="29"/>
      <c r="D1360" s="29"/>
      <c r="E1360" s="29"/>
      <c r="F1360" s="29"/>
      <c r="G1360" s="30"/>
    </row>
    <row r="1361" spans="1:14" s="3" customFormat="1" ht="17.399999999999999" hidden="1" customHeight="1" outlineLevel="1" x14ac:dyDescent="0.25">
      <c r="A1361" s="5"/>
      <c r="B1361" s="395" t="s">
        <v>18</v>
      </c>
      <c r="C1361" s="396"/>
      <c r="D1361" s="396"/>
      <c r="E1361" s="396"/>
      <c r="F1361" s="396"/>
      <c r="G1361" s="397"/>
    </row>
    <row r="1362" spans="1:14" s="3" customFormat="1" ht="17.399999999999999" hidden="1" customHeight="1" outlineLevel="1" x14ac:dyDescent="0.25">
      <c r="A1362" s="5"/>
      <c r="B1362" s="25" t="s">
        <v>2</v>
      </c>
      <c r="C1362" s="26" t="s">
        <v>3</v>
      </c>
      <c r="D1362" s="26" t="s">
        <v>4</v>
      </c>
      <c r="E1362" s="26" t="s">
        <v>5</v>
      </c>
      <c r="F1362" s="26"/>
      <c r="G1362" s="27" t="s">
        <v>6</v>
      </c>
    </row>
    <row r="1363" spans="1:14" s="3" customFormat="1" ht="17.399999999999999" hidden="1" customHeight="1" outlineLevel="1" x14ac:dyDescent="0.25">
      <c r="A1363" s="5"/>
      <c r="B1363" s="326" t="s">
        <v>128</v>
      </c>
      <c r="C1363" s="26" t="s">
        <v>1566</v>
      </c>
      <c r="D1363" s="26" t="s">
        <v>1567</v>
      </c>
      <c r="E1363" s="26">
        <v>0</v>
      </c>
      <c r="F1363" s="26" t="s">
        <v>1470</v>
      </c>
      <c r="G1363" s="27"/>
    </row>
    <row r="1364" spans="1:14" s="3" customFormat="1" hidden="1" outlineLevel="1" x14ac:dyDescent="0.25">
      <c r="B1364" s="28" t="s">
        <v>16</v>
      </c>
      <c r="C1364" s="29" t="s">
        <v>1479</v>
      </c>
      <c r="D1364" s="29" t="s">
        <v>1469</v>
      </c>
      <c r="E1364" s="29" t="s">
        <v>1480</v>
      </c>
      <c r="F1364" s="29" t="s">
        <v>1481</v>
      </c>
      <c r="G1364" s="30" t="s">
        <v>1482</v>
      </c>
      <c r="H1364" s="3" t="str">
        <f>"{"&amp;B1364&amp;"},"</f>
        <v>{初始化日期},</v>
      </c>
      <c r="J1364" s="3" t="s">
        <v>10</v>
      </c>
      <c r="N1364" s="3">
        <v>1211</v>
      </c>
    </row>
    <row r="1365" spans="1:14" s="3" customFormat="1" hidden="1" outlineLevel="1" x14ac:dyDescent="0.25">
      <c r="B1365" s="28" t="s">
        <v>7</v>
      </c>
      <c r="C1365" s="29" t="s">
        <v>1468</v>
      </c>
      <c r="D1365" s="29" t="s">
        <v>1469</v>
      </c>
      <c r="E1365" s="29">
        <v>0</v>
      </c>
      <c r="F1365" s="29" t="s">
        <v>1470</v>
      </c>
      <c r="G1365" s="30" t="s">
        <v>1471</v>
      </c>
      <c r="H1365" s="3" t="str">
        <f t="shared" ref="H1365:H1388" si="10">"{"&amp;B1365&amp;"},"</f>
        <v>{产品编号},</v>
      </c>
      <c r="J1365" s="3" t="s">
        <v>10</v>
      </c>
      <c r="N1365" s="3">
        <v>1112</v>
      </c>
    </row>
    <row r="1366" spans="1:14" s="3" customFormat="1" hidden="1" outlineLevel="1" x14ac:dyDescent="0.25">
      <c r="B1366" s="28" t="s">
        <v>11</v>
      </c>
      <c r="C1366" s="29" t="s">
        <v>1472</v>
      </c>
      <c r="D1366" s="29" t="s">
        <v>1469</v>
      </c>
      <c r="E1366" s="29">
        <v>0</v>
      </c>
      <c r="F1366" s="29" t="s">
        <v>1470</v>
      </c>
      <c r="G1366" s="30" t="s">
        <v>1473</v>
      </c>
      <c r="H1366" s="3" t="str">
        <f t="shared" si="10"/>
        <v>{交易组编号},</v>
      </c>
      <c r="J1366" s="3" t="s">
        <v>12</v>
      </c>
      <c r="N1366" s="3">
        <v>1700</v>
      </c>
    </row>
    <row r="1367" spans="1:14" s="3" customFormat="1" hidden="1" outlineLevel="1" x14ac:dyDescent="0.25">
      <c r="B1367" s="28" t="s">
        <v>268</v>
      </c>
      <c r="C1367" s="29" t="s">
        <v>1695</v>
      </c>
      <c r="D1367" s="29" t="s">
        <v>1489</v>
      </c>
      <c r="E1367" s="29">
        <v>0</v>
      </c>
      <c r="F1367" s="29" t="s">
        <v>1470</v>
      </c>
      <c r="G1367" s="30"/>
      <c r="H1367" s="3" t="str">
        <f t="shared" si="10"/>
        <v>{净资产},</v>
      </c>
      <c r="J1367" s="3" t="s">
        <v>20</v>
      </c>
      <c r="N1367" s="3">
        <v>1741</v>
      </c>
    </row>
    <row r="1368" spans="1:14" s="3" customFormat="1" hidden="1" outlineLevel="1" x14ac:dyDescent="0.25">
      <c r="B1368" s="28" t="s">
        <v>303</v>
      </c>
      <c r="C1368" s="29" t="s">
        <v>1728</v>
      </c>
      <c r="D1368" s="29" t="s">
        <v>1486</v>
      </c>
      <c r="E1368" s="29">
        <v>0</v>
      </c>
      <c r="F1368" s="29"/>
      <c r="G1368" s="30"/>
      <c r="H1368" s="3" t="str">
        <f t="shared" si="10"/>
        <v>{交易组产品份额},</v>
      </c>
      <c r="J1368" s="3" t="s">
        <v>20</v>
      </c>
      <c r="N1368" s="3">
        <v>1702</v>
      </c>
    </row>
    <row r="1369" spans="1:14" s="3" customFormat="1" hidden="1" outlineLevel="1" x14ac:dyDescent="0.25">
      <c r="B1369" s="28" t="s">
        <v>269</v>
      </c>
      <c r="C1369" s="29" t="s">
        <v>1696</v>
      </c>
      <c r="D1369" s="29" t="s">
        <v>1489</v>
      </c>
      <c r="E1369" s="29">
        <v>0</v>
      </c>
      <c r="F1369" s="29" t="s">
        <v>1470</v>
      </c>
      <c r="G1369" s="30"/>
      <c r="H1369" s="3" t="str">
        <f t="shared" si="10"/>
        <v>{单位净值},</v>
      </c>
      <c r="J1369" s="3" t="s">
        <v>20</v>
      </c>
      <c r="N1369" s="3">
        <v>1244</v>
      </c>
    </row>
    <row r="1370" spans="1:14" s="3" customFormat="1" hidden="1" outlineLevel="1" x14ac:dyDescent="0.25">
      <c r="B1370" s="28" t="s">
        <v>270</v>
      </c>
      <c r="C1370" s="29" t="s">
        <v>1697</v>
      </c>
      <c r="D1370" s="29" t="s">
        <v>1489</v>
      </c>
      <c r="E1370" s="29">
        <v>0</v>
      </c>
      <c r="F1370" s="29"/>
      <c r="G1370" s="30"/>
      <c r="H1370" s="3" t="str">
        <f t="shared" si="10"/>
        <v>{昨日净值},</v>
      </c>
      <c r="J1370" s="3" t="s">
        <v>20</v>
      </c>
      <c r="N1370" s="3">
        <v>2595</v>
      </c>
    </row>
    <row r="1371" spans="1:14" s="3" customFormat="1" hidden="1" outlineLevel="1" x14ac:dyDescent="0.25">
      <c r="B1371" s="28" t="s">
        <v>271</v>
      </c>
      <c r="C1371" s="29" t="s">
        <v>1698</v>
      </c>
      <c r="D1371" s="29" t="s">
        <v>1494</v>
      </c>
      <c r="E1371" s="29">
        <v>0</v>
      </c>
      <c r="F1371" s="29"/>
      <c r="G1371" s="30"/>
      <c r="H1371" s="3" t="str">
        <f t="shared" si="10"/>
        <v>{净值波动},</v>
      </c>
      <c r="J1371" s="3" t="s">
        <v>20</v>
      </c>
      <c r="N1371" s="3">
        <v>1739</v>
      </c>
    </row>
    <row r="1372" spans="1:14" s="3" customFormat="1" hidden="1" outlineLevel="1" x14ac:dyDescent="0.25">
      <c r="B1372" s="28" t="s">
        <v>272</v>
      </c>
      <c r="C1372" s="29" t="s">
        <v>1699</v>
      </c>
      <c r="D1372" s="29" t="s">
        <v>1489</v>
      </c>
      <c r="E1372" s="29">
        <v>0</v>
      </c>
      <c r="F1372" s="29"/>
      <c r="G1372" s="30"/>
      <c r="H1372" s="3" t="str">
        <f t="shared" si="10"/>
        <v>{现金资产},</v>
      </c>
      <c r="J1372" s="3" t="s">
        <v>20</v>
      </c>
      <c r="N1372" s="3">
        <v>2309</v>
      </c>
    </row>
    <row r="1373" spans="1:14" s="3" customFormat="1" hidden="1" outlineLevel="1" x14ac:dyDescent="0.25">
      <c r="B1373" s="28" t="s">
        <v>273</v>
      </c>
      <c r="C1373" s="29" t="s">
        <v>1700</v>
      </c>
      <c r="D1373" s="29" t="s">
        <v>1489</v>
      </c>
      <c r="E1373" s="29">
        <v>0</v>
      </c>
      <c r="F1373" s="29" t="s">
        <v>1470</v>
      </c>
      <c r="G1373" s="30"/>
      <c r="H1373" s="3" t="str">
        <f t="shared" si="10"/>
        <v>{股票资产},</v>
      </c>
      <c r="J1373" s="3" t="s">
        <v>20</v>
      </c>
      <c r="N1373" s="3">
        <v>1511</v>
      </c>
    </row>
    <row r="1374" spans="1:14" s="3" customFormat="1" hidden="1" outlineLevel="1" x14ac:dyDescent="0.25">
      <c r="B1374" s="28" t="s">
        <v>274</v>
      </c>
      <c r="C1374" s="29" t="s">
        <v>1701</v>
      </c>
      <c r="D1374" s="29" t="s">
        <v>1489</v>
      </c>
      <c r="E1374" s="29">
        <v>0</v>
      </c>
      <c r="F1374" s="29" t="s">
        <v>1470</v>
      </c>
      <c r="G1374" s="30"/>
      <c r="H1374" s="3" t="str">
        <f t="shared" si="10"/>
        <v>{债券资产},</v>
      </c>
      <c r="J1374" s="3" t="s">
        <v>20</v>
      </c>
      <c r="N1374" s="3">
        <v>2402</v>
      </c>
    </row>
    <row r="1375" spans="1:14" s="3" customFormat="1" hidden="1" outlineLevel="1" x14ac:dyDescent="0.25">
      <c r="B1375" s="28" t="s">
        <v>275</v>
      </c>
      <c r="C1375" s="29" t="s">
        <v>1702</v>
      </c>
      <c r="D1375" s="29" t="s">
        <v>1489</v>
      </c>
      <c r="E1375" s="29">
        <v>0</v>
      </c>
      <c r="F1375" s="29" t="s">
        <v>1470</v>
      </c>
      <c r="G1375" s="30"/>
      <c r="H1375" s="3" t="str">
        <f t="shared" si="10"/>
        <v>{基金资产},</v>
      </c>
      <c r="J1375" s="3" t="s">
        <v>20</v>
      </c>
      <c r="N1375" s="3">
        <v>1618</v>
      </c>
    </row>
    <row r="1376" spans="1:14" s="3" customFormat="1" hidden="1" outlineLevel="1" x14ac:dyDescent="0.25">
      <c r="B1376" s="185" t="s">
        <v>276</v>
      </c>
      <c r="C1376" s="23" t="s">
        <v>1703</v>
      </c>
      <c r="D1376" s="23" t="s">
        <v>1489</v>
      </c>
      <c r="E1376" s="29">
        <v>0</v>
      </c>
      <c r="F1376" s="29"/>
      <c r="G1376" s="30"/>
    </row>
    <row r="1377" spans="2:14" s="3" customFormat="1" hidden="1" outlineLevel="1" x14ac:dyDescent="0.25">
      <c r="B1377" s="185" t="s">
        <v>277</v>
      </c>
      <c r="C1377" s="23" t="s">
        <v>1704</v>
      </c>
      <c r="D1377" s="23" t="s">
        <v>1489</v>
      </c>
      <c r="E1377" s="29">
        <v>0</v>
      </c>
      <c r="F1377" s="29"/>
      <c r="G1377" s="30"/>
    </row>
    <row r="1378" spans="2:14" s="3" customFormat="1" hidden="1" outlineLevel="1" x14ac:dyDescent="0.25">
      <c r="B1378" s="28" t="s">
        <v>278</v>
      </c>
      <c r="C1378" s="29" t="s">
        <v>1705</v>
      </c>
      <c r="D1378" s="29" t="s">
        <v>1489</v>
      </c>
      <c r="E1378" s="29">
        <v>0</v>
      </c>
      <c r="F1378" s="29"/>
      <c r="G1378" s="30"/>
      <c r="H1378" s="3" t="str">
        <f t="shared" si="10"/>
        <v>{回购资产},</v>
      </c>
      <c r="J1378" s="3" t="s">
        <v>20</v>
      </c>
      <c r="N1378" s="3">
        <v>1599</v>
      </c>
    </row>
    <row r="1379" spans="2:14" s="3" customFormat="1" hidden="1" outlineLevel="1" x14ac:dyDescent="0.25">
      <c r="B1379" s="28" t="s">
        <v>279</v>
      </c>
      <c r="C1379" s="29" t="s">
        <v>1706</v>
      </c>
      <c r="D1379" s="29" t="s">
        <v>1489</v>
      </c>
      <c r="E1379" s="29">
        <v>0</v>
      </c>
      <c r="F1379" s="29" t="s">
        <v>1470</v>
      </c>
      <c r="G1379" s="30"/>
      <c r="H1379" s="3" t="str">
        <f t="shared" si="10"/>
        <v>{其他资产},</v>
      </c>
      <c r="J1379" s="3" t="s">
        <v>20</v>
      </c>
      <c r="N1379" s="3">
        <v>1997</v>
      </c>
    </row>
    <row r="1380" spans="2:14" s="3" customFormat="1" hidden="1" outlineLevel="1" x14ac:dyDescent="0.25">
      <c r="B1380" s="28" t="s">
        <v>281</v>
      </c>
      <c r="C1380" s="29" t="s">
        <v>1708</v>
      </c>
      <c r="D1380" s="29" t="s">
        <v>1489</v>
      </c>
      <c r="E1380" s="29">
        <v>0</v>
      </c>
      <c r="F1380" s="29" t="s">
        <v>1470</v>
      </c>
      <c r="G1380" s="30"/>
      <c r="H1380" s="3" t="str">
        <f t="shared" si="10"/>
        <v>{期货资产},</v>
      </c>
      <c r="J1380" s="3" t="s">
        <v>20</v>
      </c>
      <c r="N1380" s="3">
        <v>1842</v>
      </c>
    </row>
    <row r="1381" spans="2:14" s="3" customFormat="1" hidden="1" outlineLevel="1" x14ac:dyDescent="0.25">
      <c r="B1381" s="28" t="s">
        <v>280</v>
      </c>
      <c r="C1381" s="29" t="s">
        <v>1707</v>
      </c>
      <c r="D1381" s="29" t="s">
        <v>1489</v>
      </c>
      <c r="E1381" s="29">
        <v>0</v>
      </c>
      <c r="F1381" s="29"/>
      <c r="G1381" s="30"/>
      <c r="H1381" s="3" t="str">
        <f t="shared" si="10"/>
        <v>{港股通资产},</v>
      </c>
      <c r="J1381" s="3" t="s">
        <v>20</v>
      </c>
      <c r="N1381" s="3">
        <v>1843</v>
      </c>
    </row>
    <row r="1382" spans="2:14" s="3" customFormat="1" hidden="1" outlineLevel="1" x14ac:dyDescent="0.25">
      <c r="B1382" s="28" t="s">
        <v>282</v>
      </c>
      <c r="C1382" s="29" t="s">
        <v>1709</v>
      </c>
      <c r="D1382" s="29" t="s">
        <v>1489</v>
      </c>
      <c r="E1382" s="29">
        <v>0</v>
      </c>
      <c r="F1382" s="29"/>
      <c r="G1382" s="30"/>
      <c r="H1382" s="3" t="str">
        <f t="shared" si="10"/>
        <v>{可分配金额},</v>
      </c>
      <c r="J1382" s="3" t="s">
        <v>20</v>
      </c>
      <c r="N1382" s="3">
        <v>1774</v>
      </c>
    </row>
    <row r="1383" spans="2:14" s="3" customFormat="1" hidden="1" outlineLevel="1" x14ac:dyDescent="0.25">
      <c r="B1383" s="28" t="s">
        <v>203</v>
      </c>
      <c r="C1383" s="29" t="s">
        <v>1635</v>
      </c>
      <c r="D1383" s="29" t="s">
        <v>1636</v>
      </c>
      <c r="E1383" s="29" t="s">
        <v>1637</v>
      </c>
      <c r="F1383" s="29" t="s">
        <v>1476</v>
      </c>
      <c r="G1383" s="30"/>
      <c r="H1383" s="3" t="str">
        <f t="shared" si="10"/>
        <v>{本币币种},</v>
      </c>
      <c r="J1383" s="3" t="s">
        <v>187</v>
      </c>
      <c r="N1383" s="3">
        <v>1041</v>
      </c>
    </row>
    <row r="1384" spans="2:14" s="3" customFormat="1" hidden="1" outlineLevel="1" x14ac:dyDescent="0.25">
      <c r="B1384" s="28" t="s">
        <v>64</v>
      </c>
      <c r="C1384" s="29" t="s">
        <v>1527</v>
      </c>
      <c r="D1384" s="29" t="s">
        <v>1489</v>
      </c>
      <c r="E1384" s="29">
        <v>0</v>
      </c>
      <c r="F1384" s="29"/>
      <c r="G1384" s="30"/>
      <c r="H1384" s="3" t="str">
        <f t="shared" si="10"/>
        <v>{当日盈亏},</v>
      </c>
      <c r="J1384" s="3" t="s">
        <v>20</v>
      </c>
      <c r="N1384" s="3">
        <v>1274</v>
      </c>
    </row>
    <row r="1385" spans="2:14" s="3" customFormat="1" hidden="1" outlineLevel="1" x14ac:dyDescent="0.25">
      <c r="B1385" s="28" t="s">
        <v>283</v>
      </c>
      <c r="C1385" s="29" t="s">
        <v>1710</v>
      </c>
      <c r="D1385" s="29" t="s">
        <v>1494</v>
      </c>
      <c r="E1385" s="29">
        <v>0</v>
      </c>
      <c r="F1385" s="29" t="s">
        <v>1470</v>
      </c>
      <c r="G1385" s="30"/>
      <c r="H1385" s="3" t="str">
        <f t="shared" si="10"/>
        <v>{当日收益率},</v>
      </c>
      <c r="J1385" s="3" t="s">
        <v>20</v>
      </c>
    </row>
    <row r="1386" spans="2:14" s="3" customFormat="1" hidden="1" outlineLevel="1" x14ac:dyDescent="0.25">
      <c r="B1386" s="28" t="s">
        <v>304</v>
      </c>
      <c r="C1386" s="29" t="s">
        <v>1729</v>
      </c>
      <c r="D1386" s="29" t="s">
        <v>1489</v>
      </c>
      <c r="E1386" s="29">
        <v>0</v>
      </c>
      <c r="F1386" s="29"/>
      <c r="G1386" s="30"/>
      <c r="H1386" s="3" t="str">
        <f t="shared" si="10"/>
        <v>{累计实现收益},</v>
      </c>
      <c r="J1386" s="3" t="s">
        <v>20</v>
      </c>
      <c r="N1386" s="3">
        <v>1840</v>
      </c>
    </row>
    <row r="1387" spans="2:14" s="3" customFormat="1" hidden="1" outlineLevel="1" x14ac:dyDescent="0.25">
      <c r="B1387" s="28" t="s">
        <v>305</v>
      </c>
      <c r="C1387" s="29" t="s">
        <v>1730</v>
      </c>
      <c r="D1387" s="29" t="s">
        <v>1494</v>
      </c>
      <c r="E1387" s="29">
        <v>0</v>
      </c>
      <c r="F1387" s="29"/>
      <c r="G1387" s="30"/>
      <c r="H1387" s="3" t="str">
        <f t="shared" si="10"/>
        <v>{累计收益率},</v>
      </c>
      <c r="J1387" s="3" t="s">
        <v>20</v>
      </c>
      <c r="N1387" s="3">
        <v>1841</v>
      </c>
    </row>
    <row r="1388" spans="2:14" s="3" customFormat="1" hidden="1" outlineLevel="1" x14ac:dyDescent="0.25">
      <c r="B1388" s="28" t="s">
        <v>306</v>
      </c>
      <c r="C1388" s="29" t="s">
        <v>1731</v>
      </c>
      <c r="D1388" s="29" t="s">
        <v>1494</v>
      </c>
      <c r="E1388" s="29">
        <v>0</v>
      </c>
      <c r="F1388" s="29"/>
      <c r="G1388" s="30"/>
      <c r="H1388" s="3" t="str">
        <f t="shared" si="10"/>
        <v>{持股比例},</v>
      </c>
      <c r="J1388" s="3" t="s">
        <v>20</v>
      </c>
      <c r="N1388" s="3">
        <v>1208</v>
      </c>
    </row>
    <row r="1389" spans="2:14" s="3" customFormat="1" hidden="1" outlineLevel="1" x14ac:dyDescent="0.25">
      <c r="B1389" s="28" t="s">
        <v>288</v>
      </c>
      <c r="C1389" s="29" t="s">
        <v>1715</v>
      </c>
      <c r="D1389" s="29" t="s">
        <v>1489</v>
      </c>
      <c r="E1389" s="29">
        <v>0</v>
      </c>
      <c r="F1389" s="29" t="s">
        <v>1470</v>
      </c>
      <c r="G1389" s="30"/>
    </row>
    <row r="1390" spans="2:14" s="3" customFormat="1" hidden="1" outlineLevel="1" x14ac:dyDescent="0.25">
      <c r="B1390" s="28" t="s">
        <v>289</v>
      </c>
      <c r="C1390" s="29" t="s">
        <v>1716</v>
      </c>
      <c r="D1390" s="29" t="s">
        <v>1489</v>
      </c>
      <c r="E1390" s="29">
        <v>0</v>
      </c>
      <c r="F1390" s="29" t="s">
        <v>1470</v>
      </c>
      <c r="G1390" s="30"/>
    </row>
    <row r="1391" spans="2:14" s="3" customFormat="1" hidden="1" outlineLevel="1" x14ac:dyDescent="0.25">
      <c r="B1391" s="28" t="s">
        <v>290</v>
      </c>
      <c r="C1391" s="29" t="s">
        <v>1717</v>
      </c>
      <c r="D1391" s="29" t="s">
        <v>1489</v>
      </c>
      <c r="E1391" s="29">
        <v>0</v>
      </c>
      <c r="F1391" s="29"/>
      <c r="G1391" s="30"/>
    </row>
    <row r="1392" spans="2:14" s="3" customFormat="1" hidden="1" outlineLevel="1" x14ac:dyDescent="0.25">
      <c r="B1392" s="28" t="s">
        <v>291</v>
      </c>
      <c r="C1392" s="29" t="s">
        <v>1718</v>
      </c>
      <c r="D1392" s="29" t="s">
        <v>1489</v>
      </c>
      <c r="E1392" s="29">
        <v>0</v>
      </c>
      <c r="F1392" s="29" t="s">
        <v>1470</v>
      </c>
      <c r="G1392" s="30"/>
    </row>
    <row r="1393" spans="1:13" s="3" customFormat="1" hidden="1" outlineLevel="1" x14ac:dyDescent="0.25">
      <c r="B1393" s="267" t="s">
        <v>292</v>
      </c>
      <c r="C1393" s="268" t="s">
        <v>1719</v>
      </c>
      <c r="D1393" s="268" t="s">
        <v>1489</v>
      </c>
      <c r="E1393" s="268">
        <v>0</v>
      </c>
      <c r="F1393" s="268" t="s">
        <v>1470</v>
      </c>
      <c r="G1393" s="269"/>
    </row>
    <row r="1394" spans="1:13" s="3" customFormat="1" hidden="1" outlineLevel="1" x14ac:dyDescent="0.25">
      <c r="B1394" s="28" t="s">
        <v>293</v>
      </c>
      <c r="C1394" s="29" t="s">
        <v>1720</v>
      </c>
      <c r="D1394" s="29" t="s">
        <v>1489</v>
      </c>
      <c r="E1394" s="29">
        <v>0</v>
      </c>
      <c r="F1394" s="29"/>
      <c r="G1394" s="30"/>
    </row>
    <row r="1395" spans="1:13" hidden="1" outlineLevel="1" x14ac:dyDescent="0.25">
      <c r="B1395" s="320" t="s">
        <v>294</v>
      </c>
      <c r="C1395" s="321" t="s">
        <v>1721</v>
      </c>
      <c r="D1395" s="321" t="s">
        <v>1489</v>
      </c>
      <c r="E1395" s="321">
        <v>0</v>
      </c>
      <c r="F1395" s="321"/>
      <c r="G1395" s="258"/>
    </row>
    <row r="1396" spans="1:13" hidden="1" outlineLevel="1" x14ac:dyDescent="0.25">
      <c r="B1396" s="322" t="s">
        <v>295</v>
      </c>
      <c r="C1396" s="323" t="s">
        <v>1722</v>
      </c>
      <c r="D1396" s="321" t="s">
        <v>1489</v>
      </c>
      <c r="E1396" s="321">
        <v>0</v>
      </c>
      <c r="F1396" s="321"/>
      <c r="G1396" s="258"/>
    </row>
    <row r="1397" spans="1:13" hidden="1" outlineLevel="1" x14ac:dyDescent="0.25">
      <c r="B1397" s="322" t="s">
        <v>296</v>
      </c>
      <c r="C1397" s="323" t="s">
        <v>1723</v>
      </c>
      <c r="D1397" s="321" t="s">
        <v>1489</v>
      </c>
      <c r="E1397" s="321">
        <v>0</v>
      </c>
      <c r="F1397" s="321"/>
      <c r="G1397" s="258"/>
    </row>
    <row r="1398" spans="1:13" s="3" customFormat="1" hidden="1" outlineLevel="1" x14ac:dyDescent="0.25">
      <c r="B1398" s="28" t="s">
        <v>307</v>
      </c>
      <c r="C1398" s="29" t="s">
        <v>1732</v>
      </c>
      <c r="D1398" s="321" t="s">
        <v>1489</v>
      </c>
      <c r="E1398" s="29">
        <v>0</v>
      </c>
      <c r="F1398" s="29" t="s">
        <v>2336</v>
      </c>
      <c r="G1398" s="30"/>
    </row>
    <row r="1399" spans="1:13" s="3" customFormat="1" hidden="1" outlineLevel="1" x14ac:dyDescent="0.25">
      <c r="B1399" s="324" t="s">
        <v>298</v>
      </c>
      <c r="C1399" s="29" t="s">
        <v>1725</v>
      </c>
      <c r="D1399" s="29" t="s">
        <v>1489</v>
      </c>
      <c r="E1399" s="29">
        <v>0</v>
      </c>
      <c r="F1399" s="29" t="s">
        <v>2336</v>
      </c>
      <c r="G1399" s="30"/>
    </row>
    <row r="1400" spans="1:13" hidden="1" outlineLevel="1" x14ac:dyDescent="0.25">
      <c r="B1400" s="324" t="s">
        <v>299</v>
      </c>
      <c r="C1400" s="321" t="s">
        <v>1726</v>
      </c>
      <c r="D1400" s="321" t="s">
        <v>1489</v>
      </c>
      <c r="E1400" s="321">
        <v>0</v>
      </c>
      <c r="F1400" s="321" t="s">
        <v>2336</v>
      </c>
      <c r="G1400" s="258"/>
    </row>
    <row r="1401" spans="1:13" s="3" customFormat="1" ht="16.2" hidden="1" outlineLevel="1" thickBot="1" x14ac:dyDescent="0.3">
      <c r="B1401" s="28"/>
      <c r="C1401" s="29"/>
      <c r="D1401" s="29"/>
      <c r="E1401" s="29"/>
      <c r="F1401" s="29"/>
      <c r="G1401" s="30"/>
    </row>
    <row r="1402" spans="1:13" s="3" customFormat="1" ht="17.399999999999999" hidden="1" customHeight="1" outlineLevel="1" x14ac:dyDescent="0.25">
      <c r="A1402" s="5"/>
      <c r="B1402" s="395" t="s">
        <v>29</v>
      </c>
      <c r="C1402" s="396"/>
      <c r="D1402" s="396"/>
      <c r="E1402" s="396"/>
      <c r="F1402" s="396"/>
      <c r="G1402" s="397"/>
    </row>
    <row r="1403" spans="1:13" s="3" customFormat="1" hidden="1" outlineLevel="1" x14ac:dyDescent="0.25">
      <c r="B1403" s="28" t="s">
        <v>242</v>
      </c>
      <c r="C1403" s="29"/>
      <c r="D1403" s="29"/>
      <c r="E1403" s="29"/>
      <c r="F1403" s="29"/>
      <c r="G1403" s="30"/>
    </row>
    <row r="1404" spans="1:13" s="3" customFormat="1" hidden="1" outlineLevel="1" x14ac:dyDescent="0.25">
      <c r="B1404" s="28" t="s">
        <v>227</v>
      </c>
      <c r="C1404" s="29"/>
      <c r="D1404" s="29"/>
      <c r="E1404" s="29"/>
      <c r="F1404" s="29"/>
      <c r="G1404" s="30"/>
    </row>
    <row r="1405" spans="1:13" s="3" customFormat="1" hidden="1" outlineLevel="1" x14ac:dyDescent="0.25">
      <c r="B1405" s="28" t="s">
        <v>69</v>
      </c>
      <c r="C1405" s="29"/>
      <c r="D1405" s="29"/>
      <c r="E1405" s="29"/>
      <c r="F1405" s="29"/>
      <c r="G1405" s="30"/>
    </row>
    <row r="1406" spans="1:13" s="4" customFormat="1" ht="17.399999999999999" hidden="1" customHeight="1" outlineLevel="1" x14ac:dyDescent="0.35">
      <c r="A1406" s="5"/>
      <c r="B1406" s="67" t="s">
        <v>30</v>
      </c>
      <c r="C1406" s="65"/>
      <c r="D1406" s="65"/>
      <c r="E1406" s="65"/>
      <c r="F1406" s="65"/>
      <c r="G1406" s="371" t="s">
        <v>2357</v>
      </c>
      <c r="H1406" s="5"/>
      <c r="I1406" s="5"/>
      <c r="J1406" s="5"/>
      <c r="K1406" s="5"/>
      <c r="L1406" s="5"/>
      <c r="M1406" s="5"/>
    </row>
    <row r="1407" spans="1:13" s="3" customFormat="1" hidden="1" outlineLevel="1" x14ac:dyDescent="0.25">
      <c r="B1407" s="28" t="s">
        <v>151</v>
      </c>
      <c r="C1407" s="29"/>
      <c r="D1407" s="29"/>
      <c r="E1407" s="29"/>
      <c r="F1407" s="29"/>
      <c r="G1407" s="30"/>
    </row>
    <row r="1408" spans="1:13" s="3" customFormat="1" ht="16.5" hidden="1" customHeight="1" outlineLevel="1" x14ac:dyDescent="0.25">
      <c r="B1408" s="28" t="s">
        <v>312</v>
      </c>
      <c r="C1408" s="29"/>
      <c r="D1408" s="29"/>
      <c r="E1408" s="29"/>
      <c r="F1408" s="29"/>
      <c r="G1408" s="375" t="s">
        <v>2386</v>
      </c>
    </row>
    <row r="1409" spans="1:14" s="3" customFormat="1" ht="16.2" hidden="1" outlineLevel="1" thickBot="1" x14ac:dyDescent="0.3">
      <c r="B1409" s="163"/>
      <c r="C1409" s="164"/>
      <c r="D1409" s="164"/>
      <c r="E1409" s="164"/>
      <c r="F1409" s="164"/>
      <c r="G1409" s="165"/>
    </row>
    <row r="1410" spans="1:14" hidden="1" outlineLevel="1" x14ac:dyDescent="0.25"/>
    <row r="1411" spans="1:14" ht="16.2" hidden="1" outlineLevel="1" thickBot="1" x14ac:dyDescent="0.3"/>
    <row r="1412" spans="1:14" s="3" customFormat="1" ht="17.399999999999999" customHeight="1" collapsed="1" thickBot="1" x14ac:dyDescent="0.3">
      <c r="A1412" s="5"/>
      <c r="B1412" s="15" t="s">
        <v>1279</v>
      </c>
      <c r="C1412" s="16" t="s">
        <v>1394</v>
      </c>
      <c r="D1412" s="17" t="s">
        <v>1281</v>
      </c>
      <c r="E1412" s="227" t="s">
        <v>313</v>
      </c>
      <c r="F1412" s="17" t="s">
        <v>1282</v>
      </c>
      <c r="G1412" s="18" t="s">
        <v>1395</v>
      </c>
    </row>
    <row r="1413" spans="1:14" s="3" customFormat="1" ht="17.399999999999999" hidden="1" customHeight="1" outlineLevel="1" x14ac:dyDescent="0.25">
      <c r="A1413" s="5"/>
      <c r="B1413" s="19" t="s">
        <v>1284</v>
      </c>
      <c r="C1413" s="20" t="s">
        <v>1285</v>
      </c>
      <c r="D1413" s="21" t="s">
        <v>1286</v>
      </c>
      <c r="E1413" s="20" t="s">
        <v>1396</v>
      </c>
      <c r="F1413" s="21" t="s">
        <v>1288</v>
      </c>
      <c r="G1413" s="22" t="s">
        <v>1397</v>
      </c>
    </row>
    <row r="1414" spans="1:14" s="3" customFormat="1" ht="17.399999999999999" hidden="1" customHeight="1" outlineLevel="1" thickBot="1" x14ac:dyDescent="0.3">
      <c r="A1414" s="5"/>
      <c r="B1414" s="19" t="s">
        <v>1290</v>
      </c>
      <c r="C1414" s="23" t="s">
        <v>1291</v>
      </c>
      <c r="D1414" s="21" t="s">
        <v>1292</v>
      </c>
      <c r="E1414" s="23">
        <v>5</v>
      </c>
      <c r="F1414" s="21" t="s">
        <v>1293</v>
      </c>
      <c r="G1414" s="24" t="s">
        <v>1294</v>
      </c>
    </row>
    <row r="1415" spans="1:14" s="3" customFormat="1" ht="17.399999999999999" hidden="1" customHeight="1" outlineLevel="1" x14ac:dyDescent="0.25">
      <c r="A1415" s="5"/>
      <c r="B1415" s="395" t="s">
        <v>1</v>
      </c>
      <c r="C1415" s="396"/>
      <c r="D1415" s="396"/>
      <c r="E1415" s="396"/>
      <c r="F1415" s="396"/>
      <c r="G1415" s="397"/>
    </row>
    <row r="1416" spans="1:14" s="3" customFormat="1" ht="17.399999999999999" hidden="1" customHeight="1" outlineLevel="1" x14ac:dyDescent="0.25">
      <c r="A1416" s="5"/>
      <c r="B1416" s="25" t="s">
        <v>2</v>
      </c>
      <c r="C1416" s="26" t="s">
        <v>3</v>
      </c>
      <c r="D1416" s="26" t="s">
        <v>4</v>
      </c>
      <c r="E1416" s="26" t="s">
        <v>5</v>
      </c>
      <c r="F1416" s="26"/>
      <c r="G1416" s="27" t="s">
        <v>6</v>
      </c>
    </row>
    <row r="1417" spans="1:14" s="3" customFormat="1" hidden="1" outlineLevel="1" x14ac:dyDescent="0.25">
      <c r="B1417" s="28" t="s">
        <v>7</v>
      </c>
      <c r="C1417" s="29" t="s">
        <v>1468</v>
      </c>
      <c r="D1417" s="29" t="s">
        <v>1469</v>
      </c>
      <c r="E1417" s="29">
        <v>0</v>
      </c>
      <c r="F1417" s="29" t="s">
        <v>1470</v>
      </c>
      <c r="G1417" s="30" t="s">
        <v>1471</v>
      </c>
      <c r="J1417" s="3" t="s">
        <v>10</v>
      </c>
      <c r="N1417" s="3">
        <v>1112</v>
      </c>
    </row>
    <row r="1418" spans="1:14" s="3" customFormat="1" hidden="1" outlineLevel="1" x14ac:dyDescent="0.25">
      <c r="B1418" s="28" t="s">
        <v>188</v>
      </c>
      <c r="C1418" s="29" t="s">
        <v>1607</v>
      </c>
      <c r="D1418" s="29" t="s">
        <v>1606</v>
      </c>
      <c r="E1418" s="29" t="s">
        <v>1594</v>
      </c>
      <c r="F1418" s="29"/>
      <c r="G1418" s="30"/>
      <c r="J1418" s="3" t="s">
        <v>187</v>
      </c>
      <c r="N1418" s="3">
        <v>2156</v>
      </c>
    </row>
    <row r="1419" spans="1:14" s="3" customFormat="1" hidden="1" outlineLevel="1" x14ac:dyDescent="0.25">
      <c r="B1419" s="28" t="s">
        <v>15</v>
      </c>
      <c r="C1419" s="29" t="s">
        <v>1478</v>
      </c>
      <c r="D1419" s="29" t="s">
        <v>1469</v>
      </c>
      <c r="E1419" s="29">
        <v>0</v>
      </c>
      <c r="F1419" s="29" t="s">
        <v>1470</v>
      </c>
      <c r="G1419" s="30"/>
      <c r="J1419" s="3" t="s">
        <v>10</v>
      </c>
      <c r="N1419" s="3">
        <v>2430</v>
      </c>
    </row>
    <row r="1420" spans="1:14" s="3" customFormat="1" hidden="1" outlineLevel="1" x14ac:dyDescent="0.25">
      <c r="B1420" s="28" t="s">
        <v>87</v>
      </c>
      <c r="C1420" s="29" t="s">
        <v>1535</v>
      </c>
      <c r="D1420" s="29" t="s">
        <v>1469</v>
      </c>
      <c r="E1420" s="29">
        <v>0</v>
      </c>
      <c r="F1420" s="29" t="s">
        <v>1476</v>
      </c>
      <c r="G1420" s="30"/>
      <c r="J1420" s="3" t="s">
        <v>10</v>
      </c>
      <c r="N1420" s="3">
        <v>2433</v>
      </c>
    </row>
    <row r="1421" spans="1:14" s="3" customFormat="1" hidden="1" outlineLevel="1" x14ac:dyDescent="0.25">
      <c r="B1421" s="28" t="s">
        <v>128</v>
      </c>
      <c r="C1421" s="29" t="s">
        <v>1566</v>
      </c>
      <c r="D1421" s="29" t="s">
        <v>1567</v>
      </c>
      <c r="E1421" s="29">
        <v>0</v>
      </c>
      <c r="F1421" s="29" t="s">
        <v>1470</v>
      </c>
      <c r="G1421" s="30"/>
      <c r="J1421" s="3" t="s">
        <v>12</v>
      </c>
      <c r="N1421" s="3">
        <v>1629</v>
      </c>
    </row>
    <row r="1422" spans="1:14" s="3" customFormat="1" hidden="1" outlineLevel="1" x14ac:dyDescent="0.25">
      <c r="B1422" s="28" t="s">
        <v>114</v>
      </c>
      <c r="C1422" s="29" t="s">
        <v>1557</v>
      </c>
      <c r="D1422" s="29" t="s">
        <v>1469</v>
      </c>
      <c r="E1422" s="29">
        <v>-1</v>
      </c>
      <c r="F1422" s="29" t="s">
        <v>1470</v>
      </c>
      <c r="G1422" s="30"/>
      <c r="J1422" s="3" t="s">
        <v>10</v>
      </c>
      <c r="N1422" s="3">
        <v>2449</v>
      </c>
    </row>
    <row r="1423" spans="1:14" s="3" customFormat="1" hidden="1" outlineLevel="1" x14ac:dyDescent="0.25">
      <c r="B1423" s="28"/>
      <c r="C1423" s="29"/>
      <c r="D1423" s="29"/>
      <c r="E1423" s="29"/>
      <c r="F1423" s="29"/>
      <c r="G1423" s="30"/>
    </row>
    <row r="1424" spans="1:14" s="3" customFormat="1" ht="17.399999999999999" hidden="1" customHeight="1" outlineLevel="1" x14ac:dyDescent="0.25">
      <c r="A1424" s="5"/>
      <c r="B1424" s="398" t="s">
        <v>18</v>
      </c>
      <c r="C1424" s="399"/>
      <c r="D1424" s="399"/>
      <c r="E1424" s="399"/>
      <c r="F1424" s="399"/>
      <c r="G1424" s="400"/>
    </row>
    <row r="1425" spans="1:15" s="3" customFormat="1" ht="17.399999999999999" hidden="1" customHeight="1" outlineLevel="1" x14ac:dyDescent="0.25">
      <c r="A1425" s="5"/>
      <c r="B1425" s="25" t="s">
        <v>2</v>
      </c>
      <c r="C1425" s="26" t="s">
        <v>3</v>
      </c>
      <c r="D1425" s="26" t="s">
        <v>4</v>
      </c>
      <c r="E1425" s="26" t="s">
        <v>5</v>
      </c>
      <c r="F1425" s="26"/>
      <c r="G1425" s="27" t="s">
        <v>6</v>
      </c>
    </row>
    <row r="1426" spans="1:15" s="4" customFormat="1" ht="17.399999999999999" hidden="1" customHeight="1" outlineLevel="1" x14ac:dyDescent="0.35">
      <c r="A1426" s="5"/>
      <c r="B1426" s="64" t="s">
        <v>128</v>
      </c>
      <c r="C1426" s="65" t="s">
        <v>1566</v>
      </c>
      <c r="D1426" s="65" t="s">
        <v>1567</v>
      </c>
      <c r="E1426" s="65">
        <v>0</v>
      </c>
      <c r="F1426" s="65" t="s">
        <v>1470</v>
      </c>
      <c r="G1426" s="66"/>
      <c r="H1426" s="5"/>
      <c r="I1426" s="5"/>
      <c r="J1426" s="5" t="s">
        <v>12</v>
      </c>
      <c r="K1426" s="5" t="s">
        <v>174</v>
      </c>
      <c r="L1426" s="5" t="s">
        <v>314</v>
      </c>
      <c r="M1426" s="5" t="s">
        <v>176</v>
      </c>
      <c r="N1426" s="4">
        <v>2241</v>
      </c>
      <c r="O1426" s="4">
        <v>64</v>
      </c>
    </row>
    <row r="1427" spans="1:15" hidden="1" outlineLevel="1" x14ac:dyDescent="0.25">
      <c r="B1427" s="256" t="s">
        <v>16</v>
      </c>
      <c r="C1427" s="257" t="s">
        <v>1479</v>
      </c>
      <c r="D1427" s="257" t="s">
        <v>1469</v>
      </c>
      <c r="E1427" s="257" t="s">
        <v>1480</v>
      </c>
      <c r="F1427" s="257" t="s">
        <v>1481</v>
      </c>
      <c r="G1427" s="258" t="s">
        <v>1482</v>
      </c>
    </row>
    <row r="1428" spans="1:15" hidden="1" outlineLevel="1" x14ac:dyDescent="0.25">
      <c r="B1428" s="256" t="s">
        <v>112</v>
      </c>
      <c r="C1428" s="257" t="s">
        <v>1555</v>
      </c>
      <c r="D1428" s="257" t="s">
        <v>1469</v>
      </c>
      <c r="E1428" s="257">
        <v>0</v>
      </c>
      <c r="F1428" s="257" t="s">
        <v>1470</v>
      </c>
      <c r="G1428" s="258" t="s">
        <v>1556</v>
      </c>
    </row>
    <row r="1429" spans="1:15" hidden="1" outlineLevel="1" x14ac:dyDescent="0.25">
      <c r="B1429" s="256" t="s">
        <v>7</v>
      </c>
      <c r="C1429" s="257" t="s">
        <v>1468</v>
      </c>
      <c r="D1429" s="257" t="s">
        <v>1469</v>
      </c>
      <c r="E1429" s="257">
        <v>0</v>
      </c>
      <c r="F1429" s="257" t="s">
        <v>1470</v>
      </c>
      <c r="G1429" s="258" t="s">
        <v>1471</v>
      </c>
    </row>
    <row r="1430" spans="1:15" hidden="1" outlineLevel="1" x14ac:dyDescent="0.25">
      <c r="B1430" s="256" t="s">
        <v>13</v>
      </c>
      <c r="C1430" s="257" t="s">
        <v>1474</v>
      </c>
      <c r="D1430" s="257" t="s">
        <v>1469</v>
      </c>
      <c r="E1430" s="257">
        <v>0</v>
      </c>
      <c r="F1430" s="257" t="s">
        <v>1470</v>
      </c>
      <c r="G1430" s="258"/>
    </row>
    <row r="1431" spans="1:15" hidden="1" outlineLevel="1" x14ac:dyDescent="0.25">
      <c r="B1431" s="256" t="s">
        <v>202</v>
      </c>
      <c r="C1431" s="257" t="s">
        <v>1634</v>
      </c>
      <c r="D1431" s="257" t="s">
        <v>1469</v>
      </c>
      <c r="E1431" s="257">
        <v>0</v>
      </c>
      <c r="F1431" s="257" t="s">
        <v>1470</v>
      </c>
      <c r="G1431" s="258"/>
    </row>
    <row r="1432" spans="1:15" hidden="1" outlineLevel="1" x14ac:dyDescent="0.25">
      <c r="B1432" s="256" t="s">
        <v>15</v>
      </c>
      <c r="C1432" s="257" t="s">
        <v>1478</v>
      </c>
      <c r="D1432" s="257" t="s">
        <v>1469</v>
      </c>
      <c r="E1432" s="257">
        <v>0</v>
      </c>
      <c r="F1432" s="257" t="s">
        <v>1470</v>
      </c>
      <c r="G1432" s="258"/>
    </row>
    <row r="1433" spans="1:15" hidden="1" outlineLevel="1" x14ac:dyDescent="0.25">
      <c r="B1433" s="256" t="s">
        <v>87</v>
      </c>
      <c r="C1433" s="257" t="s">
        <v>1535</v>
      </c>
      <c r="D1433" s="257" t="s">
        <v>1469</v>
      </c>
      <c r="E1433" s="257">
        <v>0</v>
      </c>
      <c r="F1433" s="257" t="s">
        <v>1476</v>
      </c>
      <c r="G1433" s="258"/>
    </row>
    <row r="1434" spans="1:15" hidden="1" outlineLevel="1" x14ac:dyDescent="0.25">
      <c r="B1434" s="256" t="s">
        <v>14</v>
      </c>
      <c r="C1434" s="257" t="s">
        <v>1475</v>
      </c>
      <c r="D1434" s="257" t="s">
        <v>1469</v>
      </c>
      <c r="E1434" s="257">
        <v>0</v>
      </c>
      <c r="F1434" s="257" t="s">
        <v>1476</v>
      </c>
      <c r="G1434" s="258" t="s">
        <v>1477</v>
      </c>
    </row>
    <row r="1435" spans="1:15" hidden="1" outlineLevel="1" x14ac:dyDescent="0.25">
      <c r="B1435" s="256" t="s">
        <v>100</v>
      </c>
      <c r="C1435" s="257" t="s">
        <v>1543</v>
      </c>
      <c r="D1435" s="257" t="s">
        <v>1469</v>
      </c>
      <c r="E1435" s="257">
        <v>0</v>
      </c>
      <c r="F1435" s="257" t="s">
        <v>1476</v>
      </c>
      <c r="G1435" s="258" t="s">
        <v>1544</v>
      </c>
    </row>
    <row r="1436" spans="1:15" hidden="1" outlineLevel="1" x14ac:dyDescent="0.25">
      <c r="B1436" s="219" t="s">
        <v>116</v>
      </c>
      <c r="C1436" s="219" t="s">
        <v>1559</v>
      </c>
      <c r="D1436" s="257" t="s">
        <v>1486</v>
      </c>
      <c r="E1436" s="257">
        <v>0</v>
      </c>
      <c r="F1436" s="257" t="s">
        <v>1470</v>
      </c>
      <c r="G1436" s="258" t="s">
        <v>1560</v>
      </c>
    </row>
    <row r="1437" spans="1:15" hidden="1" outlineLevel="1" x14ac:dyDescent="0.25">
      <c r="B1437" s="219" t="s">
        <v>75</v>
      </c>
      <c r="C1437" s="219" t="s">
        <v>1530</v>
      </c>
      <c r="D1437" s="257" t="s">
        <v>1486</v>
      </c>
      <c r="E1437" s="257">
        <v>0</v>
      </c>
      <c r="F1437" s="257" t="s">
        <v>1470</v>
      </c>
      <c r="G1437" s="258" t="s">
        <v>1531</v>
      </c>
    </row>
    <row r="1438" spans="1:15" hidden="1" outlineLevel="1" x14ac:dyDescent="0.25">
      <c r="B1438" s="219" t="s">
        <v>315</v>
      </c>
      <c r="C1438" s="219" t="s">
        <v>1733</v>
      </c>
      <c r="D1438" s="257" t="s">
        <v>1486</v>
      </c>
      <c r="E1438" s="257">
        <v>0</v>
      </c>
      <c r="F1438" s="257"/>
      <c r="G1438" s="258"/>
    </row>
    <row r="1439" spans="1:15" hidden="1" outlineLevel="1" x14ac:dyDescent="0.25">
      <c r="B1439" s="219" t="s">
        <v>131</v>
      </c>
      <c r="C1439" s="219" t="s">
        <v>1568</v>
      </c>
      <c r="D1439" s="257" t="s">
        <v>1486</v>
      </c>
      <c r="E1439" s="257">
        <v>0</v>
      </c>
      <c r="F1439" s="257" t="s">
        <v>1470</v>
      </c>
      <c r="G1439" s="258" t="s">
        <v>1569</v>
      </c>
    </row>
    <row r="1440" spans="1:15" hidden="1" outlineLevel="1" x14ac:dyDescent="0.25">
      <c r="B1440" s="219" t="s">
        <v>132</v>
      </c>
      <c r="C1440" s="219" t="s">
        <v>1570</v>
      </c>
      <c r="D1440" s="257" t="s">
        <v>1486</v>
      </c>
      <c r="E1440" s="257">
        <v>0</v>
      </c>
      <c r="F1440" s="257" t="s">
        <v>1470</v>
      </c>
      <c r="G1440" s="258" t="s">
        <v>1571</v>
      </c>
    </row>
    <row r="1441" spans="2:7" hidden="1" outlineLevel="1" x14ac:dyDescent="0.25">
      <c r="B1441" s="219" t="s">
        <v>316</v>
      </c>
      <c r="C1441" s="219" t="s">
        <v>1734</v>
      </c>
      <c r="D1441" s="257" t="s">
        <v>1486</v>
      </c>
      <c r="E1441" s="257">
        <v>0</v>
      </c>
      <c r="F1441" s="257"/>
      <c r="G1441" s="258"/>
    </row>
    <row r="1442" spans="2:7" hidden="1" outlineLevel="1" x14ac:dyDescent="0.25">
      <c r="B1442" s="219" t="s">
        <v>317</v>
      </c>
      <c r="C1442" s="219" t="s">
        <v>1735</v>
      </c>
      <c r="D1442" s="257" t="s">
        <v>1486</v>
      </c>
      <c r="E1442" s="257">
        <v>0</v>
      </c>
      <c r="F1442" s="257"/>
      <c r="G1442" s="258"/>
    </row>
    <row r="1443" spans="2:7" hidden="1" outlineLevel="1" x14ac:dyDescent="0.25">
      <c r="B1443" s="219" t="s">
        <v>133</v>
      </c>
      <c r="C1443" s="219" t="s">
        <v>1572</v>
      </c>
      <c r="D1443" s="257" t="s">
        <v>1486</v>
      </c>
      <c r="E1443" s="257">
        <v>0</v>
      </c>
      <c r="F1443" s="257" t="s">
        <v>1470</v>
      </c>
      <c r="G1443" s="258"/>
    </row>
    <row r="1444" spans="2:7" hidden="1" outlineLevel="1" x14ac:dyDescent="0.25">
      <c r="B1444" s="219" t="s">
        <v>134</v>
      </c>
      <c r="C1444" s="219" t="s">
        <v>1573</v>
      </c>
      <c r="D1444" s="257" t="s">
        <v>1486</v>
      </c>
      <c r="E1444" s="257">
        <v>0</v>
      </c>
      <c r="F1444" s="257" t="s">
        <v>1470</v>
      </c>
      <c r="G1444" s="258"/>
    </row>
    <row r="1445" spans="2:7" hidden="1" outlineLevel="1" x14ac:dyDescent="0.25">
      <c r="B1445" s="219" t="s">
        <v>318</v>
      </c>
      <c r="C1445" s="219" t="s">
        <v>1736</v>
      </c>
      <c r="D1445" s="257" t="s">
        <v>1486</v>
      </c>
      <c r="E1445" s="257">
        <v>0</v>
      </c>
      <c r="F1445" s="257"/>
      <c r="G1445" s="258"/>
    </row>
    <row r="1446" spans="2:7" hidden="1" outlineLevel="1" x14ac:dyDescent="0.25">
      <c r="B1446" s="219" t="s">
        <v>319</v>
      </c>
      <c r="C1446" s="219" t="s">
        <v>1737</v>
      </c>
      <c r="D1446" s="257" t="s">
        <v>1486</v>
      </c>
      <c r="E1446" s="257">
        <v>0</v>
      </c>
      <c r="F1446" s="257"/>
      <c r="G1446" s="258"/>
    </row>
    <row r="1447" spans="2:7" hidden="1" outlineLevel="1" x14ac:dyDescent="0.25">
      <c r="B1447" s="219" t="s">
        <v>135</v>
      </c>
      <c r="C1447" s="219" t="s">
        <v>1574</v>
      </c>
      <c r="D1447" s="257" t="s">
        <v>1486</v>
      </c>
      <c r="E1447" s="257">
        <v>0</v>
      </c>
      <c r="F1447" s="257" t="s">
        <v>1470</v>
      </c>
      <c r="G1447" s="258"/>
    </row>
    <row r="1448" spans="2:7" hidden="1" outlineLevel="1" x14ac:dyDescent="0.25">
      <c r="B1448" s="219" t="s">
        <v>136</v>
      </c>
      <c r="C1448" s="219" t="s">
        <v>1575</v>
      </c>
      <c r="D1448" s="257" t="s">
        <v>1486</v>
      </c>
      <c r="E1448" s="257">
        <v>0</v>
      </c>
      <c r="F1448" s="257" t="s">
        <v>1470</v>
      </c>
      <c r="G1448" s="258"/>
    </row>
    <row r="1449" spans="2:7" hidden="1" outlineLevel="1" x14ac:dyDescent="0.25">
      <c r="B1449" s="219" t="s">
        <v>137</v>
      </c>
      <c r="C1449" s="219" t="s">
        <v>1576</v>
      </c>
      <c r="D1449" s="257" t="s">
        <v>1486</v>
      </c>
      <c r="E1449" s="257">
        <v>0</v>
      </c>
      <c r="F1449" s="257" t="s">
        <v>1470</v>
      </c>
      <c r="G1449" s="258"/>
    </row>
    <row r="1450" spans="2:7" hidden="1" outlineLevel="1" x14ac:dyDescent="0.25">
      <c r="B1450" s="219" t="s">
        <v>138</v>
      </c>
      <c r="C1450" s="219" t="s">
        <v>1577</v>
      </c>
      <c r="D1450" s="257" t="s">
        <v>1486</v>
      </c>
      <c r="E1450" s="257">
        <v>0</v>
      </c>
      <c r="F1450" s="257" t="s">
        <v>1470</v>
      </c>
      <c r="G1450" s="258"/>
    </row>
    <row r="1451" spans="2:7" hidden="1" outlineLevel="1" x14ac:dyDescent="0.25">
      <c r="B1451" s="219" t="s">
        <v>320</v>
      </c>
      <c r="C1451" s="219" t="s">
        <v>1738</v>
      </c>
      <c r="D1451" s="257" t="s">
        <v>1486</v>
      </c>
      <c r="E1451" s="257">
        <v>0</v>
      </c>
      <c r="F1451" s="257"/>
      <c r="G1451" s="258"/>
    </row>
    <row r="1452" spans="2:7" hidden="1" outlineLevel="1" x14ac:dyDescent="0.25">
      <c r="B1452" s="219" t="s">
        <v>321</v>
      </c>
      <c r="C1452" s="219" t="s">
        <v>1739</v>
      </c>
      <c r="D1452" s="257" t="s">
        <v>1486</v>
      </c>
      <c r="E1452" s="257">
        <v>0</v>
      </c>
      <c r="F1452" s="257"/>
      <c r="G1452" s="258"/>
    </row>
    <row r="1453" spans="2:7" hidden="1" outlineLevel="1" x14ac:dyDescent="0.25">
      <c r="B1453" s="219" t="s">
        <v>322</v>
      </c>
      <c r="C1453" s="219" t="s">
        <v>1740</v>
      </c>
      <c r="D1453" s="257" t="s">
        <v>1486</v>
      </c>
      <c r="E1453" s="257">
        <v>0</v>
      </c>
      <c r="F1453" s="257" t="s">
        <v>1470</v>
      </c>
      <c r="G1453" s="258"/>
    </row>
    <row r="1454" spans="2:7" hidden="1" outlineLevel="1" x14ac:dyDescent="0.25">
      <c r="B1454" s="219" t="s">
        <v>323</v>
      </c>
      <c r="C1454" s="219" t="s">
        <v>1741</v>
      </c>
      <c r="D1454" s="257" t="s">
        <v>1486</v>
      </c>
      <c r="E1454" s="257">
        <v>0</v>
      </c>
      <c r="F1454" s="257" t="s">
        <v>1470</v>
      </c>
      <c r="G1454" s="258"/>
    </row>
    <row r="1455" spans="2:7" hidden="1" outlineLevel="1" x14ac:dyDescent="0.25">
      <c r="B1455" s="219" t="s">
        <v>117</v>
      </c>
      <c r="C1455" s="219" t="s">
        <v>1561</v>
      </c>
      <c r="D1455" s="257" t="s">
        <v>1489</v>
      </c>
      <c r="E1455" s="257">
        <v>0</v>
      </c>
      <c r="F1455" s="257" t="s">
        <v>1470</v>
      </c>
      <c r="G1455" s="258"/>
    </row>
    <row r="1456" spans="2:7" hidden="1" outlineLevel="1" x14ac:dyDescent="0.25">
      <c r="B1456" s="219" t="s">
        <v>24</v>
      </c>
      <c r="C1456" s="219" t="s">
        <v>1491</v>
      </c>
      <c r="D1456" s="257" t="s">
        <v>1489</v>
      </c>
      <c r="E1456" s="257">
        <v>0</v>
      </c>
      <c r="F1456" s="257" t="s">
        <v>1470</v>
      </c>
      <c r="G1456" s="258"/>
    </row>
    <row r="1457" spans="1:8" hidden="1" outlineLevel="1" x14ac:dyDescent="0.25">
      <c r="B1457" s="219" t="s">
        <v>140</v>
      </c>
      <c r="C1457" s="219" t="s">
        <v>1578</v>
      </c>
      <c r="D1457" s="257" t="s">
        <v>1489</v>
      </c>
      <c r="E1457" s="257">
        <v>0</v>
      </c>
      <c r="F1457" s="257" t="s">
        <v>1470</v>
      </c>
      <c r="G1457" s="258"/>
    </row>
    <row r="1458" spans="1:8" hidden="1" outlineLevel="1" x14ac:dyDescent="0.25">
      <c r="B1458" s="219" t="s">
        <v>141</v>
      </c>
      <c r="C1458" s="219" t="s">
        <v>1579</v>
      </c>
      <c r="D1458" s="257" t="s">
        <v>1489</v>
      </c>
      <c r="E1458" s="257">
        <v>0</v>
      </c>
      <c r="F1458" s="257" t="s">
        <v>1470</v>
      </c>
      <c r="G1458" s="258"/>
    </row>
    <row r="1459" spans="1:8" hidden="1" outlineLevel="1" x14ac:dyDescent="0.25">
      <c r="B1459" s="219" t="s">
        <v>324</v>
      </c>
      <c r="C1459" s="219" t="s">
        <v>1742</v>
      </c>
      <c r="D1459" s="257" t="s">
        <v>1486</v>
      </c>
      <c r="E1459" s="257">
        <v>0</v>
      </c>
      <c r="F1459" s="257" t="s">
        <v>1470</v>
      </c>
      <c r="G1459" s="258"/>
    </row>
    <row r="1460" spans="1:8" hidden="1" outlineLevel="1" x14ac:dyDescent="0.25">
      <c r="B1460" s="219" t="s">
        <v>148</v>
      </c>
      <c r="C1460" s="219" t="s">
        <v>1587</v>
      </c>
      <c r="D1460" s="257" t="s">
        <v>1486</v>
      </c>
      <c r="E1460" s="257">
        <v>0</v>
      </c>
      <c r="F1460" s="257" t="s">
        <v>1470</v>
      </c>
      <c r="G1460" s="258"/>
    </row>
    <row r="1461" spans="1:8" hidden="1" outlineLevel="1" x14ac:dyDescent="0.25">
      <c r="B1461" s="327" t="s">
        <v>146</v>
      </c>
      <c r="C1461" s="328" t="s">
        <v>1585</v>
      </c>
      <c r="D1461" s="328" t="s">
        <v>1489</v>
      </c>
      <c r="E1461" s="328">
        <v>0</v>
      </c>
      <c r="F1461" s="328"/>
      <c r="G1461" s="329"/>
    </row>
    <row r="1462" spans="1:8" hidden="1" outlineLevel="1" x14ac:dyDescent="0.25">
      <c r="B1462" s="327" t="s">
        <v>325</v>
      </c>
      <c r="C1462" s="328" t="s">
        <v>1743</v>
      </c>
      <c r="D1462" s="328" t="s">
        <v>1539</v>
      </c>
      <c r="E1462" s="328">
        <v>0</v>
      </c>
      <c r="F1462" s="328"/>
      <c r="G1462" s="329"/>
    </row>
    <row r="1463" spans="1:8" hidden="1" outlineLevel="1" x14ac:dyDescent="0.25">
      <c r="B1463" s="327" t="s">
        <v>326</v>
      </c>
      <c r="C1463" s="328" t="s">
        <v>1744</v>
      </c>
      <c r="D1463" s="328" t="s">
        <v>1539</v>
      </c>
      <c r="E1463" s="328">
        <v>0</v>
      </c>
      <c r="F1463" s="328"/>
      <c r="G1463" s="329"/>
    </row>
    <row r="1464" spans="1:8" hidden="1" outlineLevel="1" x14ac:dyDescent="0.25">
      <c r="B1464" s="217" t="s">
        <v>115</v>
      </c>
      <c r="C1464" s="330" t="s">
        <v>1558</v>
      </c>
      <c r="D1464" s="330" t="s">
        <v>1539</v>
      </c>
      <c r="E1464" s="330">
        <v>0</v>
      </c>
      <c r="F1464" s="330" t="s">
        <v>1470</v>
      </c>
      <c r="G1464" s="331"/>
    </row>
    <row r="1465" spans="1:8" hidden="1" outlineLevel="1" x14ac:dyDescent="0.25">
      <c r="B1465" s="217" t="s">
        <v>327</v>
      </c>
      <c r="C1465" s="330" t="s">
        <v>1745</v>
      </c>
      <c r="D1465" s="330" t="s">
        <v>1539</v>
      </c>
      <c r="E1465" s="330">
        <v>0</v>
      </c>
      <c r="F1465" s="330" t="s">
        <v>1470</v>
      </c>
      <c r="G1465" s="331"/>
    </row>
    <row r="1466" spans="1:8" hidden="1" outlineLevel="1" x14ac:dyDescent="0.25">
      <c r="B1466" s="327" t="s">
        <v>62</v>
      </c>
      <c r="C1466" s="328" t="s">
        <v>1525</v>
      </c>
      <c r="D1466" s="328" t="s">
        <v>1489</v>
      </c>
      <c r="E1466" s="328">
        <v>0</v>
      </c>
      <c r="F1466" s="328"/>
      <c r="G1466" s="329"/>
    </row>
    <row r="1467" spans="1:8" hidden="1" outlineLevel="1" x14ac:dyDescent="0.25">
      <c r="B1467" s="327" t="s">
        <v>147</v>
      </c>
      <c r="C1467" s="328" t="s">
        <v>1586</v>
      </c>
      <c r="D1467" s="328" t="s">
        <v>1489</v>
      </c>
      <c r="E1467" s="328">
        <v>0</v>
      </c>
      <c r="F1467" s="328"/>
      <c r="G1467" s="329"/>
    </row>
    <row r="1468" spans="1:8" hidden="1" outlineLevel="1" x14ac:dyDescent="0.25">
      <c r="B1468" s="280" t="s">
        <v>328</v>
      </c>
      <c r="C1468" s="262" t="s">
        <v>1746</v>
      </c>
      <c r="D1468" s="262" t="s">
        <v>1489</v>
      </c>
      <c r="E1468" s="262">
        <v>0</v>
      </c>
      <c r="F1468" s="262"/>
      <c r="G1468" s="263"/>
    </row>
    <row r="1469" spans="1:8" hidden="1" outlineLevel="1" x14ac:dyDescent="0.25">
      <c r="B1469" s="201" t="s">
        <v>329</v>
      </c>
      <c r="C1469" s="107" t="s">
        <v>1747</v>
      </c>
      <c r="D1469" s="107" t="s">
        <v>1469</v>
      </c>
      <c r="E1469" s="107">
        <v>0</v>
      </c>
      <c r="F1469" s="107" t="s">
        <v>1476</v>
      </c>
      <c r="G1469" s="108" t="s">
        <v>1748</v>
      </c>
    </row>
    <row r="1470" spans="1:8" hidden="1" outlineLevel="1" x14ac:dyDescent="0.25">
      <c r="B1470" s="201" t="s">
        <v>330</v>
      </c>
      <c r="C1470" s="107" t="s">
        <v>1749</v>
      </c>
      <c r="D1470" s="107" t="s">
        <v>1539</v>
      </c>
      <c r="E1470" s="107">
        <v>0</v>
      </c>
      <c r="F1470" s="107" t="s">
        <v>1470</v>
      </c>
      <c r="G1470" s="108"/>
    </row>
    <row r="1471" spans="1:8" s="12" customFormat="1" hidden="1" outlineLevel="1" x14ac:dyDescent="0.25">
      <c r="A1471" s="278"/>
      <c r="B1471" s="201" t="s">
        <v>223</v>
      </c>
      <c r="C1471" s="107" t="s">
        <v>1674</v>
      </c>
      <c r="D1471" s="107" t="s">
        <v>1494</v>
      </c>
      <c r="E1471" s="107">
        <v>0</v>
      </c>
      <c r="F1471" s="107" t="s">
        <v>1470</v>
      </c>
      <c r="G1471" s="108"/>
      <c r="H1471" s="14"/>
    </row>
    <row r="1472" spans="1:8" s="12" customFormat="1" hidden="1" outlineLevel="1" x14ac:dyDescent="0.25">
      <c r="A1472" s="278"/>
      <c r="B1472" s="201" t="s">
        <v>331</v>
      </c>
      <c r="C1472" s="107" t="s">
        <v>1750</v>
      </c>
      <c r="D1472" s="107" t="s">
        <v>1469</v>
      </c>
      <c r="E1472" s="107">
        <v>0</v>
      </c>
      <c r="F1472" s="107" t="s">
        <v>1476</v>
      </c>
      <c r="G1472" s="108"/>
      <c r="H1472" s="14"/>
    </row>
    <row r="1473" spans="1:13" s="12" customFormat="1" hidden="1" outlineLevel="1" x14ac:dyDescent="0.25">
      <c r="A1473" s="278"/>
      <c r="B1473" s="201" t="s">
        <v>224</v>
      </c>
      <c r="C1473" s="107" t="s">
        <v>1675</v>
      </c>
      <c r="D1473" s="107" t="s">
        <v>1469</v>
      </c>
      <c r="E1473" s="107">
        <v>0</v>
      </c>
      <c r="F1473" s="107" t="s">
        <v>1476</v>
      </c>
      <c r="G1473" s="108"/>
      <c r="H1473" s="14"/>
    </row>
    <row r="1474" spans="1:13" s="3" customFormat="1" hidden="1" outlineLevel="1" x14ac:dyDescent="0.25">
      <c r="A1474" s="278"/>
      <c r="B1474" s="201" t="s">
        <v>332</v>
      </c>
      <c r="C1474" s="107" t="s">
        <v>1751</v>
      </c>
      <c r="D1474" s="107" t="s">
        <v>1494</v>
      </c>
      <c r="E1474" s="107">
        <v>0</v>
      </c>
      <c r="F1474" s="107" t="s">
        <v>1470</v>
      </c>
      <c r="G1474" s="108"/>
      <c r="H1474" s="14"/>
      <c r="J1474" s="3" t="s">
        <v>9</v>
      </c>
      <c r="K1474" s="3" t="s">
        <v>9</v>
      </c>
    </row>
    <row r="1475" spans="1:13" s="3" customFormat="1" hidden="1" outlineLevel="1" x14ac:dyDescent="0.25">
      <c r="A1475" s="278"/>
      <c r="B1475" s="217" t="s">
        <v>333</v>
      </c>
      <c r="C1475" s="330" t="s">
        <v>1752</v>
      </c>
      <c r="D1475" s="330" t="s">
        <v>1486</v>
      </c>
      <c r="E1475" s="330">
        <v>0</v>
      </c>
      <c r="F1475" s="330" t="s">
        <v>1470</v>
      </c>
      <c r="G1475" s="331"/>
      <c r="H1475" s="14"/>
    </row>
    <row r="1476" spans="1:13" s="4" customFormat="1" ht="17.399999999999999" hidden="1" customHeight="1" outlineLevel="1" x14ac:dyDescent="0.35">
      <c r="A1476" s="5"/>
      <c r="B1476" s="330" t="s">
        <v>334</v>
      </c>
      <c r="C1476" s="330" t="s">
        <v>1753</v>
      </c>
      <c r="D1476" s="330" t="s">
        <v>1486</v>
      </c>
      <c r="E1476" s="330">
        <v>0</v>
      </c>
      <c r="F1476" s="332" t="s">
        <v>1470</v>
      </c>
      <c r="G1476" s="331"/>
      <c r="H1476" s="5"/>
      <c r="I1476" s="5"/>
      <c r="J1476" s="5"/>
      <c r="K1476" s="5"/>
      <c r="L1476" s="5"/>
      <c r="M1476" s="5"/>
    </row>
    <row r="1477" spans="1:13" s="4" customFormat="1" ht="17.399999999999999" hidden="1" customHeight="1" outlineLevel="1" x14ac:dyDescent="0.35">
      <c r="A1477" s="5"/>
      <c r="B1477" s="333" t="s">
        <v>335</v>
      </c>
      <c r="C1477" s="330" t="s">
        <v>2337</v>
      </c>
      <c r="D1477" s="330" t="s">
        <v>2338</v>
      </c>
      <c r="E1477" s="330" t="s">
        <v>2339</v>
      </c>
      <c r="F1477" s="332" t="s">
        <v>2336</v>
      </c>
      <c r="G1477" s="331" t="s">
        <v>2340</v>
      </c>
      <c r="H1477" s="5"/>
      <c r="I1477" s="5"/>
      <c r="J1477" s="5"/>
      <c r="K1477" s="5"/>
      <c r="L1477" s="5"/>
      <c r="M1477" s="5"/>
    </row>
    <row r="1478" spans="1:13" s="3" customFormat="1" ht="16.2" hidden="1" outlineLevel="1" thickBot="1" x14ac:dyDescent="0.3">
      <c r="B1478" s="28"/>
      <c r="C1478" s="29"/>
      <c r="D1478" s="29"/>
      <c r="E1478" s="29"/>
      <c r="F1478" s="29"/>
      <c r="G1478" s="30"/>
    </row>
    <row r="1479" spans="1:13" s="3" customFormat="1" ht="17.399999999999999" hidden="1" customHeight="1" outlineLevel="1" x14ac:dyDescent="0.25">
      <c r="A1479" s="5"/>
      <c r="B1479" s="401" t="s">
        <v>29</v>
      </c>
      <c r="C1479" s="402"/>
      <c r="D1479" s="402"/>
      <c r="E1479" s="402"/>
      <c r="F1479" s="402"/>
      <c r="G1479" s="403"/>
    </row>
    <row r="1480" spans="1:13" s="4" customFormat="1" ht="17.399999999999999" hidden="1" customHeight="1" outlineLevel="1" x14ac:dyDescent="0.35">
      <c r="A1480" s="5"/>
      <c r="B1480" s="67" t="s">
        <v>30</v>
      </c>
      <c r="C1480" s="65"/>
      <c r="D1480" s="65"/>
      <c r="E1480" s="65"/>
      <c r="F1480" s="65"/>
      <c r="G1480" s="371" t="s">
        <v>2357</v>
      </c>
      <c r="H1480" s="5"/>
      <c r="I1480" s="5"/>
      <c r="J1480" s="5"/>
      <c r="K1480" s="5"/>
      <c r="L1480" s="5"/>
      <c r="M1480" s="5"/>
    </row>
    <row r="1481" spans="1:13" s="3" customFormat="1" hidden="1" outlineLevel="1" x14ac:dyDescent="0.25">
      <c r="B1481" s="28" t="s">
        <v>336</v>
      </c>
      <c r="C1481" s="29"/>
      <c r="D1481" s="29"/>
      <c r="E1481" s="29"/>
      <c r="F1481" s="29"/>
      <c r="G1481" s="375" t="s">
        <v>2387</v>
      </c>
    </row>
    <row r="1482" spans="1:13" s="3" customFormat="1" hidden="1" outlineLevel="1" x14ac:dyDescent="0.25">
      <c r="B1482" s="28"/>
      <c r="C1482" s="29"/>
      <c r="D1482" s="29"/>
      <c r="E1482" s="29"/>
      <c r="F1482" s="29"/>
      <c r="G1482" s="30"/>
    </row>
    <row r="1483" spans="1:13" s="3" customFormat="1" hidden="1" outlineLevel="1" x14ac:dyDescent="0.25">
      <c r="B1483" s="28"/>
      <c r="C1483" s="29"/>
      <c r="D1483" s="29"/>
      <c r="E1483" s="29"/>
      <c r="F1483" s="29"/>
      <c r="G1483" s="30"/>
    </row>
    <row r="1484" spans="1:13" s="3" customFormat="1" ht="16.2" hidden="1" outlineLevel="1" thickBot="1" x14ac:dyDescent="0.3">
      <c r="B1484" s="163"/>
      <c r="C1484" s="164"/>
      <c r="D1484" s="164"/>
      <c r="E1484" s="164"/>
      <c r="F1484" s="164"/>
      <c r="G1484" s="165"/>
    </row>
    <row r="1485" spans="1:13" s="3" customFormat="1" ht="17.399999999999999" hidden="1" customHeight="1" outlineLevel="1" thickBot="1" x14ac:dyDescent="0.3">
      <c r="A1485" s="5"/>
    </row>
    <row r="1486" spans="1:13" s="3" customFormat="1" ht="17.399999999999999" customHeight="1" collapsed="1" thickBot="1" x14ac:dyDescent="0.3">
      <c r="A1486" s="5"/>
      <c r="B1486" s="15" t="s">
        <v>1279</v>
      </c>
      <c r="C1486" s="16" t="s">
        <v>1398</v>
      </c>
      <c r="D1486" s="17" t="s">
        <v>1281</v>
      </c>
      <c r="E1486" s="227" t="s">
        <v>337</v>
      </c>
      <c r="F1486" s="17" t="s">
        <v>1282</v>
      </c>
      <c r="G1486" s="18" t="s">
        <v>1399</v>
      </c>
    </row>
    <row r="1487" spans="1:13" s="3" customFormat="1" ht="17.399999999999999" hidden="1" customHeight="1" outlineLevel="1" x14ac:dyDescent="0.25">
      <c r="A1487" s="5"/>
      <c r="B1487" s="19" t="s">
        <v>1284</v>
      </c>
      <c r="C1487" s="20" t="s">
        <v>1285</v>
      </c>
      <c r="D1487" s="21" t="s">
        <v>1286</v>
      </c>
      <c r="E1487" s="20" t="s">
        <v>1400</v>
      </c>
      <c r="F1487" s="21" t="s">
        <v>1288</v>
      </c>
      <c r="G1487" s="22" t="s">
        <v>1401</v>
      </c>
    </row>
    <row r="1488" spans="1:13" s="3" customFormat="1" ht="17.399999999999999" hidden="1" customHeight="1" outlineLevel="1" thickBot="1" x14ac:dyDescent="0.3">
      <c r="A1488" s="5"/>
      <c r="B1488" s="19" t="s">
        <v>1290</v>
      </c>
      <c r="C1488" s="23" t="s">
        <v>1291</v>
      </c>
      <c r="D1488" s="21" t="s">
        <v>1292</v>
      </c>
      <c r="E1488" s="23">
        <v>5</v>
      </c>
      <c r="F1488" s="21" t="s">
        <v>1293</v>
      </c>
      <c r="G1488" s="24" t="s">
        <v>1294</v>
      </c>
    </row>
    <row r="1489" spans="1:14" s="3" customFormat="1" ht="17.399999999999999" hidden="1" customHeight="1" outlineLevel="1" x14ac:dyDescent="0.25">
      <c r="A1489" s="5"/>
      <c r="B1489" s="395" t="s">
        <v>1</v>
      </c>
      <c r="C1489" s="396"/>
      <c r="D1489" s="396"/>
      <c r="E1489" s="396"/>
      <c r="F1489" s="396"/>
      <c r="G1489" s="397"/>
    </row>
    <row r="1490" spans="1:14" s="3" customFormat="1" ht="17.399999999999999" hidden="1" customHeight="1" outlineLevel="1" x14ac:dyDescent="0.25">
      <c r="A1490" s="5"/>
      <c r="B1490" s="25" t="s">
        <v>2</v>
      </c>
      <c r="C1490" s="26" t="s">
        <v>3</v>
      </c>
      <c r="D1490" s="26" t="s">
        <v>4</v>
      </c>
      <c r="E1490" s="26" t="s">
        <v>5</v>
      </c>
      <c r="F1490" s="26"/>
      <c r="G1490" s="27" t="s">
        <v>6</v>
      </c>
    </row>
    <row r="1491" spans="1:14" s="3" customFormat="1" hidden="1" outlineLevel="1" x14ac:dyDescent="0.25">
      <c r="B1491" s="28" t="s">
        <v>7</v>
      </c>
      <c r="C1491" s="29" t="s">
        <v>1468</v>
      </c>
      <c r="D1491" s="29" t="s">
        <v>1469</v>
      </c>
      <c r="E1491" s="29">
        <v>0</v>
      </c>
      <c r="F1491" s="29" t="s">
        <v>1470</v>
      </c>
      <c r="G1491" s="30" t="s">
        <v>1471</v>
      </c>
      <c r="J1491" s="3" t="s">
        <v>10</v>
      </c>
      <c r="N1491" s="3">
        <v>1112</v>
      </c>
    </row>
    <row r="1492" spans="1:14" s="3" customFormat="1" hidden="1" outlineLevel="1" x14ac:dyDescent="0.25">
      <c r="B1492" s="28" t="s">
        <v>188</v>
      </c>
      <c r="C1492" s="29" t="s">
        <v>1607</v>
      </c>
      <c r="D1492" s="29" t="s">
        <v>1606</v>
      </c>
      <c r="E1492" s="29" t="s">
        <v>1594</v>
      </c>
      <c r="F1492" s="29"/>
      <c r="G1492" s="30"/>
      <c r="J1492" s="3" t="s">
        <v>187</v>
      </c>
      <c r="N1492" s="3">
        <v>2156</v>
      </c>
    </row>
    <row r="1493" spans="1:14" s="3" customFormat="1" hidden="1" outlineLevel="1" x14ac:dyDescent="0.25">
      <c r="B1493" s="28" t="s">
        <v>15</v>
      </c>
      <c r="C1493" s="29" t="s">
        <v>1478</v>
      </c>
      <c r="D1493" s="29" t="s">
        <v>1469</v>
      </c>
      <c r="E1493" s="29">
        <v>0</v>
      </c>
      <c r="F1493" s="29" t="s">
        <v>1470</v>
      </c>
      <c r="G1493" s="30"/>
      <c r="J1493" s="3" t="s">
        <v>10</v>
      </c>
      <c r="N1493" s="3">
        <v>2430</v>
      </c>
    </row>
    <row r="1494" spans="1:14" s="3" customFormat="1" hidden="1" outlineLevel="1" x14ac:dyDescent="0.25">
      <c r="B1494" s="28" t="s">
        <v>87</v>
      </c>
      <c r="C1494" s="29" t="s">
        <v>1535</v>
      </c>
      <c r="D1494" s="29" t="s">
        <v>1469</v>
      </c>
      <c r="E1494" s="29">
        <v>0</v>
      </c>
      <c r="F1494" s="29" t="s">
        <v>1476</v>
      </c>
      <c r="G1494" s="30"/>
      <c r="J1494" s="3" t="s">
        <v>10</v>
      </c>
      <c r="N1494" s="3">
        <v>2433</v>
      </c>
    </row>
    <row r="1495" spans="1:14" s="3" customFormat="1" hidden="1" outlineLevel="1" x14ac:dyDescent="0.25">
      <c r="B1495" s="28" t="s">
        <v>11</v>
      </c>
      <c r="C1495" s="29" t="s">
        <v>1472</v>
      </c>
      <c r="D1495" s="29" t="s">
        <v>1469</v>
      </c>
      <c r="E1495" s="29">
        <v>0</v>
      </c>
      <c r="F1495" s="29" t="s">
        <v>1470</v>
      </c>
      <c r="G1495" s="30" t="s">
        <v>1473</v>
      </c>
      <c r="J1495" s="3" t="s">
        <v>12</v>
      </c>
      <c r="N1495" s="3">
        <v>1700</v>
      </c>
    </row>
    <row r="1496" spans="1:14" s="3" customFormat="1" hidden="1" outlineLevel="1" x14ac:dyDescent="0.25">
      <c r="B1496" s="28" t="s">
        <v>128</v>
      </c>
      <c r="C1496" s="29" t="s">
        <v>1566</v>
      </c>
      <c r="D1496" s="29" t="s">
        <v>1567</v>
      </c>
      <c r="E1496" s="29">
        <v>0</v>
      </c>
      <c r="F1496" s="29" t="s">
        <v>1470</v>
      </c>
      <c r="G1496" s="30"/>
      <c r="J1496" s="3" t="s">
        <v>12</v>
      </c>
      <c r="N1496" s="3">
        <v>1629</v>
      </c>
    </row>
    <row r="1497" spans="1:14" s="3" customFormat="1" hidden="1" outlineLevel="1" x14ac:dyDescent="0.25">
      <c r="B1497" s="28" t="s">
        <v>114</v>
      </c>
      <c r="C1497" s="29" t="s">
        <v>1557</v>
      </c>
      <c r="D1497" s="29" t="s">
        <v>1469</v>
      </c>
      <c r="E1497" s="29">
        <v>-1</v>
      </c>
      <c r="F1497" s="29" t="s">
        <v>1470</v>
      </c>
      <c r="G1497" s="30"/>
      <c r="J1497" s="3" t="s">
        <v>10</v>
      </c>
      <c r="N1497" s="3">
        <v>2449</v>
      </c>
    </row>
    <row r="1498" spans="1:14" s="3" customFormat="1" ht="16.2" hidden="1" outlineLevel="1" thickBot="1" x14ac:dyDescent="0.3">
      <c r="B1498" s="185"/>
      <c r="C1498" s="23"/>
      <c r="D1498" s="23"/>
      <c r="E1498" s="23"/>
      <c r="F1498" s="23"/>
      <c r="G1498" s="24"/>
    </row>
    <row r="1499" spans="1:14" s="3" customFormat="1" ht="17.399999999999999" hidden="1" customHeight="1" outlineLevel="1" x14ac:dyDescent="0.25">
      <c r="A1499" s="5"/>
      <c r="B1499" s="401" t="s">
        <v>18</v>
      </c>
      <c r="C1499" s="402"/>
      <c r="D1499" s="402"/>
      <c r="E1499" s="402"/>
      <c r="F1499" s="402"/>
      <c r="G1499" s="403"/>
    </row>
    <row r="1500" spans="1:14" s="3" customFormat="1" ht="17.399999999999999" hidden="1" customHeight="1" outlineLevel="1" x14ac:dyDescent="0.25">
      <c r="A1500" s="5"/>
      <c r="B1500" s="25" t="s">
        <v>2</v>
      </c>
      <c r="C1500" s="26" t="s">
        <v>3</v>
      </c>
      <c r="D1500" s="26" t="s">
        <v>4</v>
      </c>
      <c r="E1500" s="26" t="s">
        <v>5</v>
      </c>
      <c r="F1500" s="26"/>
      <c r="G1500" s="27" t="s">
        <v>6</v>
      </c>
    </row>
    <row r="1501" spans="1:14" s="3" customFormat="1" hidden="1" outlineLevel="1" x14ac:dyDescent="0.25">
      <c r="A1501" s="280"/>
      <c r="B1501" s="28" t="s">
        <v>128</v>
      </c>
      <c r="C1501" s="29" t="s">
        <v>1566</v>
      </c>
      <c r="D1501" s="29" t="s">
        <v>1567</v>
      </c>
      <c r="E1501" s="29">
        <v>0</v>
      </c>
      <c r="F1501" s="29" t="s">
        <v>1470</v>
      </c>
      <c r="G1501" s="30"/>
      <c r="H1501" s="3" t="str">
        <f>"{"&amp;B1501&amp;"},"</f>
        <v>{记录序号},</v>
      </c>
      <c r="J1501" s="3" t="s">
        <v>12</v>
      </c>
      <c r="N1501" s="3">
        <v>1629</v>
      </c>
    </row>
    <row r="1502" spans="1:14" hidden="1" outlineLevel="1" x14ac:dyDescent="0.25">
      <c r="B1502" s="280" t="s">
        <v>16</v>
      </c>
      <c r="C1502" s="262" t="s">
        <v>1479</v>
      </c>
      <c r="D1502" s="262" t="s">
        <v>1469</v>
      </c>
      <c r="E1502" s="262" t="s">
        <v>1480</v>
      </c>
      <c r="F1502" s="262" t="s">
        <v>1481</v>
      </c>
      <c r="G1502" s="263" t="s">
        <v>1482</v>
      </c>
    </row>
    <row r="1503" spans="1:14" hidden="1" outlineLevel="1" x14ac:dyDescent="0.25">
      <c r="B1503" s="280" t="s">
        <v>112</v>
      </c>
      <c r="C1503" s="262" t="s">
        <v>1555</v>
      </c>
      <c r="D1503" s="262" t="s">
        <v>1469</v>
      </c>
      <c r="E1503" s="262">
        <v>0</v>
      </c>
      <c r="F1503" s="262" t="s">
        <v>1470</v>
      </c>
      <c r="G1503" s="263" t="s">
        <v>1556</v>
      </c>
    </row>
    <row r="1504" spans="1:14" hidden="1" outlineLevel="1" x14ac:dyDescent="0.25">
      <c r="B1504" s="280" t="s">
        <v>7</v>
      </c>
      <c r="C1504" s="262" t="s">
        <v>1468</v>
      </c>
      <c r="D1504" s="262" t="s">
        <v>1469</v>
      </c>
      <c r="E1504" s="262">
        <v>0</v>
      </c>
      <c r="F1504" s="262" t="s">
        <v>1470</v>
      </c>
      <c r="G1504" s="263" t="s">
        <v>1471</v>
      </c>
    </row>
    <row r="1505" spans="2:7" hidden="1" outlineLevel="1" x14ac:dyDescent="0.25">
      <c r="B1505" s="280" t="s">
        <v>11</v>
      </c>
      <c r="C1505" s="262" t="s">
        <v>1472</v>
      </c>
      <c r="D1505" s="262" t="s">
        <v>1469</v>
      </c>
      <c r="E1505" s="262">
        <v>0</v>
      </c>
      <c r="F1505" s="262" t="s">
        <v>1470</v>
      </c>
      <c r="G1505" s="263" t="s">
        <v>1473</v>
      </c>
    </row>
    <row r="1506" spans="2:7" hidden="1" outlineLevel="1" x14ac:dyDescent="0.25">
      <c r="B1506" s="280" t="s">
        <v>13</v>
      </c>
      <c r="C1506" s="262" t="s">
        <v>1474</v>
      </c>
      <c r="D1506" s="262" t="s">
        <v>1469</v>
      </c>
      <c r="E1506" s="262">
        <v>0</v>
      </c>
      <c r="F1506" s="262" t="s">
        <v>1470</v>
      </c>
      <c r="G1506" s="263"/>
    </row>
    <row r="1507" spans="2:7" hidden="1" outlineLevel="1" x14ac:dyDescent="0.25">
      <c r="B1507" s="280" t="s">
        <v>202</v>
      </c>
      <c r="C1507" s="262" t="s">
        <v>1634</v>
      </c>
      <c r="D1507" s="262" t="s">
        <v>1469</v>
      </c>
      <c r="E1507" s="262">
        <v>0</v>
      </c>
      <c r="F1507" s="262" t="s">
        <v>1470</v>
      </c>
      <c r="G1507" s="263"/>
    </row>
    <row r="1508" spans="2:7" hidden="1" outlineLevel="1" x14ac:dyDescent="0.25">
      <c r="B1508" s="280" t="s">
        <v>15</v>
      </c>
      <c r="C1508" s="262" t="s">
        <v>1478</v>
      </c>
      <c r="D1508" s="262" t="s">
        <v>1469</v>
      </c>
      <c r="E1508" s="262">
        <v>0</v>
      </c>
      <c r="F1508" s="262" t="s">
        <v>1470</v>
      </c>
      <c r="G1508" s="263"/>
    </row>
    <row r="1509" spans="2:7" hidden="1" outlineLevel="1" x14ac:dyDescent="0.25">
      <c r="B1509" s="280" t="s">
        <v>87</v>
      </c>
      <c r="C1509" s="262" t="s">
        <v>1535</v>
      </c>
      <c r="D1509" s="262" t="s">
        <v>1469</v>
      </c>
      <c r="E1509" s="262">
        <v>0</v>
      </c>
      <c r="F1509" s="262" t="s">
        <v>1476</v>
      </c>
      <c r="G1509" s="263"/>
    </row>
    <row r="1510" spans="2:7" hidden="1" outlineLevel="1" x14ac:dyDescent="0.25">
      <c r="B1510" s="280" t="s">
        <v>14</v>
      </c>
      <c r="C1510" s="262" t="s">
        <v>1475</v>
      </c>
      <c r="D1510" s="262" t="s">
        <v>1469</v>
      </c>
      <c r="E1510" s="262">
        <v>0</v>
      </c>
      <c r="F1510" s="262" t="s">
        <v>1476</v>
      </c>
      <c r="G1510" s="263" t="s">
        <v>1477</v>
      </c>
    </row>
    <row r="1511" spans="2:7" hidden="1" outlineLevel="1" x14ac:dyDescent="0.25">
      <c r="B1511" s="280" t="s">
        <v>62</v>
      </c>
      <c r="C1511" s="262" t="s">
        <v>1525</v>
      </c>
      <c r="D1511" s="262" t="s">
        <v>1489</v>
      </c>
      <c r="E1511" s="262">
        <v>0</v>
      </c>
      <c r="F1511" s="262"/>
      <c r="G1511" s="263"/>
    </row>
    <row r="1512" spans="2:7" hidden="1" outlineLevel="1" x14ac:dyDescent="0.25">
      <c r="B1512" s="280" t="s">
        <v>100</v>
      </c>
      <c r="C1512" s="262" t="s">
        <v>1543</v>
      </c>
      <c r="D1512" s="262" t="s">
        <v>1469</v>
      </c>
      <c r="E1512" s="262">
        <v>0</v>
      </c>
      <c r="F1512" s="262" t="s">
        <v>1476</v>
      </c>
      <c r="G1512" s="263" t="s">
        <v>1544</v>
      </c>
    </row>
    <row r="1513" spans="2:7" hidden="1" outlineLevel="1" x14ac:dyDescent="0.25">
      <c r="B1513" s="280" t="s">
        <v>116</v>
      </c>
      <c r="C1513" s="262" t="s">
        <v>1559</v>
      </c>
      <c r="D1513" s="262" t="s">
        <v>1486</v>
      </c>
      <c r="E1513" s="262">
        <v>0</v>
      </c>
      <c r="F1513" s="262" t="s">
        <v>1470</v>
      </c>
      <c r="G1513" s="263" t="s">
        <v>1560</v>
      </c>
    </row>
    <row r="1514" spans="2:7" hidden="1" outlineLevel="1" x14ac:dyDescent="0.25">
      <c r="B1514" s="280" t="s">
        <v>75</v>
      </c>
      <c r="C1514" s="262" t="s">
        <v>1530</v>
      </c>
      <c r="D1514" s="262" t="s">
        <v>1486</v>
      </c>
      <c r="E1514" s="262">
        <v>0</v>
      </c>
      <c r="F1514" s="262" t="s">
        <v>1470</v>
      </c>
      <c r="G1514" s="263" t="s">
        <v>1531</v>
      </c>
    </row>
    <row r="1515" spans="2:7" hidden="1" outlineLevel="1" x14ac:dyDescent="0.25">
      <c r="B1515" s="280" t="s">
        <v>315</v>
      </c>
      <c r="C1515" s="262" t="s">
        <v>1733</v>
      </c>
      <c r="D1515" s="262" t="s">
        <v>1486</v>
      </c>
      <c r="E1515" s="262">
        <v>0</v>
      </c>
      <c r="F1515" s="262"/>
      <c r="G1515" s="263"/>
    </row>
    <row r="1516" spans="2:7" hidden="1" outlineLevel="1" x14ac:dyDescent="0.25">
      <c r="B1516" s="280" t="s">
        <v>131</v>
      </c>
      <c r="C1516" s="262" t="s">
        <v>1568</v>
      </c>
      <c r="D1516" s="262" t="s">
        <v>1486</v>
      </c>
      <c r="E1516" s="262">
        <v>0</v>
      </c>
      <c r="F1516" s="262" t="s">
        <v>1470</v>
      </c>
      <c r="G1516" s="263" t="s">
        <v>1569</v>
      </c>
    </row>
    <row r="1517" spans="2:7" hidden="1" outlineLevel="1" x14ac:dyDescent="0.25">
      <c r="B1517" s="280" t="s">
        <v>132</v>
      </c>
      <c r="C1517" s="262" t="s">
        <v>1570</v>
      </c>
      <c r="D1517" s="262" t="s">
        <v>1486</v>
      </c>
      <c r="E1517" s="262">
        <v>0</v>
      </c>
      <c r="F1517" s="262" t="s">
        <v>1470</v>
      </c>
      <c r="G1517" s="263" t="s">
        <v>1571</v>
      </c>
    </row>
    <row r="1518" spans="2:7" hidden="1" outlineLevel="1" x14ac:dyDescent="0.25">
      <c r="B1518" s="280" t="s">
        <v>316</v>
      </c>
      <c r="C1518" s="262" t="s">
        <v>1734</v>
      </c>
      <c r="D1518" s="262" t="s">
        <v>1486</v>
      </c>
      <c r="E1518" s="262">
        <v>0</v>
      </c>
      <c r="F1518" s="262"/>
      <c r="G1518" s="263"/>
    </row>
    <row r="1519" spans="2:7" hidden="1" outlineLevel="1" x14ac:dyDescent="0.25">
      <c r="B1519" s="280" t="s">
        <v>317</v>
      </c>
      <c r="C1519" s="262" t="s">
        <v>1735</v>
      </c>
      <c r="D1519" s="262" t="s">
        <v>1486</v>
      </c>
      <c r="E1519" s="262">
        <v>0</v>
      </c>
      <c r="F1519" s="262"/>
      <c r="G1519" s="263"/>
    </row>
    <row r="1520" spans="2:7" hidden="1" outlineLevel="1" x14ac:dyDescent="0.25">
      <c r="B1520" s="280" t="s">
        <v>133</v>
      </c>
      <c r="C1520" s="262" t="s">
        <v>1572</v>
      </c>
      <c r="D1520" s="262" t="s">
        <v>1486</v>
      </c>
      <c r="E1520" s="262">
        <v>0</v>
      </c>
      <c r="F1520" s="262" t="s">
        <v>1470</v>
      </c>
      <c r="G1520" s="263"/>
    </row>
    <row r="1521" spans="2:7" hidden="1" outlineLevel="1" x14ac:dyDescent="0.25">
      <c r="B1521" s="280" t="s">
        <v>134</v>
      </c>
      <c r="C1521" s="262" t="s">
        <v>1573</v>
      </c>
      <c r="D1521" s="262" t="s">
        <v>1486</v>
      </c>
      <c r="E1521" s="262">
        <v>0</v>
      </c>
      <c r="F1521" s="262" t="s">
        <v>1470</v>
      </c>
      <c r="G1521" s="263"/>
    </row>
    <row r="1522" spans="2:7" hidden="1" outlineLevel="1" x14ac:dyDescent="0.25">
      <c r="B1522" s="280" t="s">
        <v>318</v>
      </c>
      <c r="C1522" s="262" t="s">
        <v>1736</v>
      </c>
      <c r="D1522" s="262" t="s">
        <v>1486</v>
      </c>
      <c r="E1522" s="262">
        <v>0</v>
      </c>
      <c r="F1522" s="262"/>
      <c r="G1522" s="263"/>
    </row>
    <row r="1523" spans="2:7" hidden="1" outlineLevel="1" x14ac:dyDescent="0.25">
      <c r="B1523" s="280" t="s">
        <v>319</v>
      </c>
      <c r="C1523" s="262" t="s">
        <v>1737</v>
      </c>
      <c r="D1523" s="262" t="s">
        <v>1486</v>
      </c>
      <c r="E1523" s="262">
        <v>0</v>
      </c>
      <c r="F1523" s="262"/>
      <c r="G1523" s="263"/>
    </row>
    <row r="1524" spans="2:7" hidden="1" outlineLevel="1" x14ac:dyDescent="0.25">
      <c r="B1524" s="280" t="s">
        <v>135</v>
      </c>
      <c r="C1524" s="262" t="s">
        <v>1574</v>
      </c>
      <c r="D1524" s="262" t="s">
        <v>1486</v>
      </c>
      <c r="E1524" s="262">
        <v>0</v>
      </c>
      <c r="F1524" s="262" t="s">
        <v>1470</v>
      </c>
      <c r="G1524" s="263"/>
    </row>
    <row r="1525" spans="2:7" hidden="1" outlineLevel="1" x14ac:dyDescent="0.25">
      <c r="B1525" s="280" t="s">
        <v>136</v>
      </c>
      <c r="C1525" s="262" t="s">
        <v>1575</v>
      </c>
      <c r="D1525" s="262" t="s">
        <v>1486</v>
      </c>
      <c r="E1525" s="262">
        <v>0</v>
      </c>
      <c r="F1525" s="262" t="s">
        <v>1470</v>
      </c>
      <c r="G1525" s="263"/>
    </row>
    <row r="1526" spans="2:7" hidden="1" outlineLevel="1" x14ac:dyDescent="0.25">
      <c r="B1526" s="280" t="s">
        <v>137</v>
      </c>
      <c r="C1526" s="262" t="s">
        <v>1576</v>
      </c>
      <c r="D1526" s="262" t="s">
        <v>1486</v>
      </c>
      <c r="E1526" s="262">
        <v>0</v>
      </c>
      <c r="F1526" s="262" t="s">
        <v>1470</v>
      </c>
      <c r="G1526" s="263"/>
    </row>
    <row r="1527" spans="2:7" hidden="1" outlineLevel="1" x14ac:dyDescent="0.25">
      <c r="B1527" s="280" t="s">
        <v>138</v>
      </c>
      <c r="C1527" s="262" t="s">
        <v>1577</v>
      </c>
      <c r="D1527" s="262" t="s">
        <v>1486</v>
      </c>
      <c r="E1527" s="262">
        <v>0</v>
      </c>
      <c r="F1527" s="262" t="s">
        <v>1470</v>
      </c>
      <c r="G1527" s="263"/>
    </row>
    <row r="1528" spans="2:7" hidden="1" outlineLevel="1" x14ac:dyDescent="0.25">
      <c r="B1528" s="280" t="s">
        <v>320</v>
      </c>
      <c r="C1528" s="262" t="s">
        <v>1738</v>
      </c>
      <c r="D1528" s="262" t="s">
        <v>1486</v>
      </c>
      <c r="E1528" s="262">
        <v>0</v>
      </c>
      <c r="F1528" s="262"/>
      <c r="G1528" s="263"/>
    </row>
    <row r="1529" spans="2:7" hidden="1" outlineLevel="1" x14ac:dyDescent="0.25">
      <c r="B1529" s="280" t="s">
        <v>321</v>
      </c>
      <c r="C1529" s="262" t="s">
        <v>1739</v>
      </c>
      <c r="D1529" s="262" t="s">
        <v>1486</v>
      </c>
      <c r="E1529" s="262">
        <v>0</v>
      </c>
      <c r="F1529" s="262"/>
      <c r="G1529" s="263"/>
    </row>
    <row r="1530" spans="2:7" hidden="1" outlineLevel="1" x14ac:dyDescent="0.25">
      <c r="B1530" s="280" t="s">
        <v>322</v>
      </c>
      <c r="C1530" s="262" t="s">
        <v>1740</v>
      </c>
      <c r="D1530" s="262" t="s">
        <v>1486</v>
      </c>
      <c r="E1530" s="262">
        <v>0</v>
      </c>
      <c r="F1530" s="262" t="s">
        <v>1470</v>
      </c>
      <c r="G1530" s="263"/>
    </row>
    <row r="1531" spans="2:7" hidden="1" outlineLevel="1" x14ac:dyDescent="0.25">
      <c r="B1531" s="280" t="s">
        <v>323</v>
      </c>
      <c r="C1531" s="262" t="s">
        <v>1741</v>
      </c>
      <c r="D1531" s="262" t="s">
        <v>1486</v>
      </c>
      <c r="E1531" s="262">
        <v>0</v>
      </c>
      <c r="F1531" s="262" t="s">
        <v>1470</v>
      </c>
      <c r="G1531" s="263"/>
    </row>
    <row r="1532" spans="2:7" hidden="1" outlineLevel="1" x14ac:dyDescent="0.25">
      <c r="B1532" s="280" t="s">
        <v>117</v>
      </c>
      <c r="C1532" s="262" t="s">
        <v>1561</v>
      </c>
      <c r="D1532" s="262" t="s">
        <v>1489</v>
      </c>
      <c r="E1532" s="262">
        <v>0</v>
      </c>
      <c r="F1532" s="262" t="s">
        <v>1470</v>
      </c>
      <c r="G1532" s="263"/>
    </row>
    <row r="1533" spans="2:7" hidden="1" outlineLevel="1" x14ac:dyDescent="0.25">
      <c r="B1533" s="280" t="s">
        <v>24</v>
      </c>
      <c r="C1533" s="262" t="s">
        <v>1491</v>
      </c>
      <c r="D1533" s="262" t="s">
        <v>1489</v>
      </c>
      <c r="E1533" s="262">
        <v>0</v>
      </c>
      <c r="F1533" s="262" t="s">
        <v>1470</v>
      </c>
      <c r="G1533" s="263"/>
    </row>
    <row r="1534" spans="2:7" hidden="1" outlineLevel="1" x14ac:dyDescent="0.25">
      <c r="B1534" s="280" t="s">
        <v>140</v>
      </c>
      <c r="C1534" s="262" t="s">
        <v>1578</v>
      </c>
      <c r="D1534" s="262" t="s">
        <v>1489</v>
      </c>
      <c r="E1534" s="262">
        <v>0</v>
      </c>
      <c r="F1534" s="262" t="s">
        <v>1470</v>
      </c>
      <c r="G1534" s="263"/>
    </row>
    <row r="1535" spans="2:7" hidden="1" outlineLevel="1" x14ac:dyDescent="0.25">
      <c r="B1535" s="280" t="s">
        <v>141</v>
      </c>
      <c r="C1535" s="262" t="s">
        <v>1579</v>
      </c>
      <c r="D1535" s="262" t="s">
        <v>1489</v>
      </c>
      <c r="E1535" s="262">
        <v>0</v>
      </c>
      <c r="F1535" s="262" t="s">
        <v>1470</v>
      </c>
      <c r="G1535" s="263"/>
    </row>
    <row r="1536" spans="2:7" hidden="1" outlineLevel="1" x14ac:dyDescent="0.25">
      <c r="B1536" s="280" t="s">
        <v>147</v>
      </c>
      <c r="C1536" s="262" t="s">
        <v>1586</v>
      </c>
      <c r="D1536" s="262" t="s">
        <v>1489</v>
      </c>
      <c r="E1536" s="262">
        <v>0</v>
      </c>
      <c r="F1536" s="262"/>
      <c r="G1536" s="263"/>
    </row>
    <row r="1537" spans="1:11" hidden="1" outlineLevel="1" x14ac:dyDescent="0.25">
      <c r="B1537" s="280" t="s">
        <v>148</v>
      </c>
      <c r="C1537" s="262" t="s">
        <v>1587</v>
      </c>
      <c r="D1537" s="262" t="s">
        <v>1486</v>
      </c>
      <c r="E1537" s="262">
        <v>0</v>
      </c>
      <c r="F1537" s="262" t="s">
        <v>1470</v>
      </c>
      <c r="G1537" s="263"/>
    </row>
    <row r="1538" spans="1:11" hidden="1" outlineLevel="1" x14ac:dyDescent="0.25">
      <c r="B1538" s="280" t="s">
        <v>146</v>
      </c>
      <c r="C1538" s="262" t="s">
        <v>1585</v>
      </c>
      <c r="D1538" s="262" t="s">
        <v>1489</v>
      </c>
      <c r="E1538" s="262">
        <v>0</v>
      </c>
      <c r="F1538" s="262"/>
      <c r="G1538" s="263"/>
    </row>
    <row r="1539" spans="1:11" s="293" customFormat="1" hidden="1" outlineLevel="1" x14ac:dyDescent="0.25">
      <c r="B1539" s="217" t="s">
        <v>325</v>
      </c>
      <c r="C1539" s="330" t="s">
        <v>1743</v>
      </c>
      <c r="D1539" s="330" t="s">
        <v>1539</v>
      </c>
      <c r="E1539" s="330">
        <v>0</v>
      </c>
      <c r="F1539" s="330"/>
      <c r="G1539" s="331"/>
    </row>
    <row r="1540" spans="1:11" hidden="1" outlineLevel="1" x14ac:dyDescent="0.25">
      <c r="B1540" s="217" t="s">
        <v>326</v>
      </c>
      <c r="C1540" s="330" t="s">
        <v>1744</v>
      </c>
      <c r="D1540" s="330" t="s">
        <v>1539</v>
      </c>
      <c r="E1540" s="330">
        <v>0</v>
      </c>
      <c r="F1540" s="330"/>
      <c r="G1540" s="331"/>
    </row>
    <row r="1541" spans="1:11" hidden="1" outlineLevel="1" x14ac:dyDescent="0.25">
      <c r="B1541" s="217" t="s">
        <v>115</v>
      </c>
      <c r="C1541" s="330" t="s">
        <v>1558</v>
      </c>
      <c r="D1541" s="330" t="s">
        <v>1539</v>
      </c>
      <c r="E1541" s="330">
        <v>0</v>
      </c>
      <c r="F1541" s="330" t="s">
        <v>1470</v>
      </c>
      <c r="G1541" s="331"/>
    </row>
    <row r="1542" spans="1:11" hidden="1" outlineLevel="1" x14ac:dyDescent="0.25">
      <c r="B1542" s="217" t="s">
        <v>327</v>
      </c>
      <c r="C1542" s="330" t="s">
        <v>1745</v>
      </c>
      <c r="D1542" s="330" t="s">
        <v>1539</v>
      </c>
      <c r="E1542" s="330">
        <v>0</v>
      </c>
      <c r="F1542" s="330" t="s">
        <v>1470</v>
      </c>
      <c r="G1542" s="331"/>
    </row>
    <row r="1543" spans="1:11" hidden="1" outlineLevel="1" x14ac:dyDescent="0.25">
      <c r="B1543" s="280" t="s">
        <v>143</v>
      </c>
      <c r="C1543" s="262" t="s">
        <v>1581</v>
      </c>
      <c r="D1543" s="262" t="s">
        <v>1486</v>
      </c>
      <c r="E1543" s="262">
        <v>0</v>
      </c>
      <c r="F1543" s="262"/>
      <c r="G1543" s="263" t="s">
        <v>1582</v>
      </c>
    </row>
    <row r="1544" spans="1:11" hidden="1" outlineLevel="1" x14ac:dyDescent="0.25">
      <c r="B1544" s="280" t="s">
        <v>144</v>
      </c>
      <c r="C1544" s="262" t="s">
        <v>1583</v>
      </c>
      <c r="D1544" s="262" t="s">
        <v>1486</v>
      </c>
      <c r="E1544" s="262">
        <v>0</v>
      </c>
      <c r="F1544" s="262"/>
      <c r="G1544" s="263" t="s">
        <v>1582</v>
      </c>
    </row>
    <row r="1545" spans="1:11" hidden="1" outlineLevel="1" x14ac:dyDescent="0.25">
      <c r="B1545" s="280" t="s">
        <v>145</v>
      </c>
      <c r="C1545" s="262" t="s">
        <v>1584</v>
      </c>
      <c r="D1545" s="262" t="s">
        <v>1486</v>
      </c>
      <c r="E1545" s="262">
        <v>0</v>
      </c>
      <c r="F1545" s="262"/>
      <c r="G1545" s="263"/>
    </row>
    <row r="1546" spans="1:11" hidden="1" outlineLevel="1" x14ac:dyDescent="0.25">
      <c r="B1546" s="280" t="s">
        <v>328</v>
      </c>
      <c r="C1546" s="262" t="s">
        <v>1746</v>
      </c>
      <c r="D1546" s="262" t="s">
        <v>1489</v>
      </c>
      <c r="E1546" s="262">
        <v>0</v>
      </c>
      <c r="F1546" s="262"/>
      <c r="G1546" s="263"/>
    </row>
    <row r="1547" spans="1:11" hidden="1" outlineLevel="1" x14ac:dyDescent="0.25">
      <c r="B1547" s="201" t="s">
        <v>329</v>
      </c>
      <c r="C1547" s="107" t="s">
        <v>1747</v>
      </c>
      <c r="D1547" s="107" t="s">
        <v>1469</v>
      </c>
      <c r="E1547" s="107">
        <v>0</v>
      </c>
      <c r="F1547" s="107" t="s">
        <v>1476</v>
      </c>
      <c r="G1547" s="108" t="s">
        <v>1748</v>
      </c>
    </row>
    <row r="1548" spans="1:11" hidden="1" outlineLevel="1" x14ac:dyDescent="0.25">
      <c r="B1548" s="201" t="s">
        <v>330</v>
      </c>
      <c r="C1548" s="107" t="s">
        <v>1749</v>
      </c>
      <c r="D1548" s="107" t="s">
        <v>1539</v>
      </c>
      <c r="E1548" s="107">
        <v>0</v>
      </c>
      <c r="F1548" s="107" t="s">
        <v>1470</v>
      </c>
      <c r="G1548" s="108"/>
    </row>
    <row r="1549" spans="1:11" s="12" customFormat="1" hidden="1" outlineLevel="1" x14ac:dyDescent="0.25">
      <c r="A1549" s="278"/>
      <c r="B1549" s="201" t="s">
        <v>223</v>
      </c>
      <c r="C1549" s="107" t="s">
        <v>1674</v>
      </c>
      <c r="D1549" s="107" t="s">
        <v>1494</v>
      </c>
      <c r="E1549" s="107">
        <v>0</v>
      </c>
      <c r="F1549" s="107" t="s">
        <v>1470</v>
      </c>
      <c r="G1549" s="108"/>
    </row>
    <row r="1550" spans="1:11" s="12" customFormat="1" hidden="1" outlineLevel="1" x14ac:dyDescent="0.25">
      <c r="A1550" s="278"/>
      <c r="B1550" s="201" t="s">
        <v>331</v>
      </c>
      <c r="C1550" s="107" t="s">
        <v>1750</v>
      </c>
      <c r="D1550" s="107" t="s">
        <v>1469</v>
      </c>
      <c r="E1550" s="107">
        <v>0</v>
      </c>
      <c r="F1550" s="107" t="s">
        <v>1476</v>
      </c>
      <c r="G1550" s="108"/>
    </row>
    <row r="1551" spans="1:11" s="12" customFormat="1" hidden="1" outlineLevel="1" x14ac:dyDescent="0.25">
      <c r="A1551" s="278"/>
      <c r="B1551" s="201" t="s">
        <v>224</v>
      </c>
      <c r="C1551" s="107" t="s">
        <v>1675</v>
      </c>
      <c r="D1551" s="107" t="s">
        <v>1469</v>
      </c>
      <c r="E1551" s="107">
        <v>0</v>
      </c>
      <c r="F1551" s="107" t="s">
        <v>1476</v>
      </c>
      <c r="G1551" s="108"/>
    </row>
    <row r="1552" spans="1:11" s="3" customFormat="1" hidden="1" outlineLevel="1" x14ac:dyDescent="0.25">
      <c r="A1552" s="278"/>
      <c r="B1552" s="201" t="s">
        <v>332</v>
      </c>
      <c r="C1552" s="107" t="s">
        <v>1751</v>
      </c>
      <c r="D1552" s="107" t="s">
        <v>1494</v>
      </c>
      <c r="E1552" s="107">
        <v>0</v>
      </c>
      <c r="F1552" s="107" t="s">
        <v>1470</v>
      </c>
      <c r="G1552" s="108"/>
      <c r="H1552" s="3" t="s">
        <v>10</v>
      </c>
      <c r="I1552" s="3" t="s">
        <v>173</v>
      </c>
      <c r="J1552" s="3" t="s">
        <v>9</v>
      </c>
      <c r="K1552" s="3" t="s">
        <v>9</v>
      </c>
    </row>
    <row r="1553" spans="1:14" s="4" customFormat="1" ht="17.399999999999999" hidden="1" customHeight="1" outlineLevel="1" x14ac:dyDescent="0.35">
      <c r="A1553" s="5"/>
      <c r="B1553" s="333" t="s">
        <v>335</v>
      </c>
      <c r="C1553" s="330" t="s">
        <v>2337</v>
      </c>
      <c r="D1553" s="330" t="s">
        <v>2338</v>
      </c>
      <c r="E1553" s="330" t="s">
        <v>2339</v>
      </c>
      <c r="F1553" s="332" t="s">
        <v>2336</v>
      </c>
      <c r="G1553" s="331" t="s">
        <v>2340</v>
      </c>
      <c r="H1553" s="5"/>
      <c r="I1553" s="5"/>
      <c r="J1553" s="5"/>
      <c r="K1553" s="5"/>
      <c r="L1553" s="5"/>
      <c r="M1553" s="5"/>
    </row>
    <row r="1554" spans="1:14" s="3" customFormat="1" ht="17.399999999999999" hidden="1" customHeight="1" outlineLevel="1" x14ac:dyDescent="0.25">
      <c r="A1554" s="280"/>
      <c r="B1554" s="398" t="s">
        <v>28</v>
      </c>
      <c r="C1554" s="399"/>
      <c r="D1554" s="399"/>
      <c r="E1554" s="399"/>
      <c r="F1554" s="399"/>
      <c r="G1554" s="400"/>
    </row>
    <row r="1555" spans="1:14" s="3" customFormat="1" ht="17.399999999999999" hidden="1" customHeight="1" outlineLevel="1" x14ac:dyDescent="0.25">
      <c r="A1555" s="280"/>
      <c r="B1555" s="25" t="s">
        <v>2</v>
      </c>
      <c r="C1555" s="26" t="s">
        <v>3</v>
      </c>
      <c r="D1555" s="26" t="s">
        <v>4</v>
      </c>
      <c r="E1555" s="26" t="s">
        <v>5</v>
      </c>
      <c r="F1555" s="26"/>
      <c r="G1555" s="27" t="s">
        <v>6</v>
      </c>
    </row>
    <row r="1556" spans="1:14" s="3" customFormat="1" ht="17.399999999999999" hidden="1" customHeight="1" outlineLevel="1" thickBot="1" x14ac:dyDescent="0.3">
      <c r="A1556" s="280"/>
      <c r="B1556" s="116"/>
      <c r="C1556" s="117"/>
      <c r="D1556" s="117"/>
      <c r="E1556" s="117"/>
      <c r="F1556" s="117"/>
      <c r="G1556" s="118"/>
    </row>
    <row r="1557" spans="1:14" s="3" customFormat="1" ht="17.399999999999999" hidden="1" customHeight="1" outlineLevel="1" x14ac:dyDescent="0.25">
      <c r="A1557" s="280"/>
      <c r="B1557" s="401" t="s">
        <v>29</v>
      </c>
      <c r="C1557" s="402"/>
      <c r="D1557" s="402"/>
      <c r="E1557" s="402"/>
      <c r="F1557" s="402"/>
      <c r="G1557" s="403"/>
    </row>
    <row r="1558" spans="1:14" s="4" customFormat="1" ht="17.399999999999999" hidden="1" customHeight="1" outlineLevel="1" x14ac:dyDescent="0.35">
      <c r="A1558" s="5"/>
      <c r="B1558" s="67" t="s">
        <v>30</v>
      </c>
      <c r="C1558" s="65"/>
      <c r="D1558" s="65"/>
      <c r="E1558" s="65"/>
      <c r="F1558" s="65"/>
      <c r="G1558" s="371" t="s">
        <v>2357</v>
      </c>
      <c r="H1558" s="5"/>
      <c r="I1558" s="5"/>
      <c r="J1558" s="5"/>
      <c r="K1558" s="5"/>
      <c r="L1558" s="5"/>
      <c r="M1558" s="5"/>
    </row>
    <row r="1559" spans="1:14" s="3" customFormat="1" hidden="1" outlineLevel="1" x14ac:dyDescent="0.25">
      <c r="A1559" s="280"/>
      <c r="B1559" s="28" t="s">
        <v>338</v>
      </c>
      <c r="C1559" s="29"/>
      <c r="D1559" s="29"/>
      <c r="E1559" s="29"/>
      <c r="F1559" s="29"/>
      <c r="G1559" s="375" t="s">
        <v>2388</v>
      </c>
    </row>
    <row r="1560" spans="1:14" s="3" customFormat="1" ht="16.2" hidden="1" outlineLevel="1" thickBot="1" x14ac:dyDescent="0.3">
      <c r="A1560" s="280"/>
      <c r="B1560" s="163"/>
      <c r="C1560" s="164"/>
      <c r="D1560" s="164"/>
      <c r="E1560" s="164"/>
      <c r="F1560" s="164"/>
      <c r="G1560" s="165"/>
    </row>
    <row r="1561" spans="1:14" s="3" customFormat="1" ht="17.399999999999999" hidden="1" customHeight="1" outlineLevel="1" x14ac:dyDescent="0.25">
      <c r="A1561" s="280"/>
    </row>
    <row r="1562" spans="1:14" ht="16.2" hidden="1" outlineLevel="1" thickBot="1" x14ac:dyDescent="0.3">
      <c r="A1562" s="280"/>
    </row>
    <row r="1563" spans="1:14" s="3" customFormat="1" ht="17.399999999999999" customHeight="1" collapsed="1" thickBot="1" x14ac:dyDescent="0.3">
      <c r="A1563" s="280"/>
      <c r="B1563" s="15" t="s">
        <v>1279</v>
      </c>
      <c r="C1563" s="16" t="s">
        <v>1402</v>
      </c>
      <c r="D1563" s="17" t="s">
        <v>1281</v>
      </c>
      <c r="E1563" s="16" t="s">
        <v>339</v>
      </c>
      <c r="F1563" s="17" t="s">
        <v>1282</v>
      </c>
      <c r="G1563" s="18" t="s">
        <v>1403</v>
      </c>
    </row>
    <row r="1564" spans="1:14" s="3" customFormat="1" ht="17.399999999999999" hidden="1" customHeight="1" outlineLevel="1" x14ac:dyDescent="0.25">
      <c r="A1564" s="280"/>
      <c r="B1564" s="19" t="s">
        <v>1284</v>
      </c>
      <c r="C1564" s="20" t="s">
        <v>1285</v>
      </c>
      <c r="D1564" s="21" t="s">
        <v>1286</v>
      </c>
      <c r="E1564" s="20" t="s">
        <v>1404</v>
      </c>
      <c r="F1564" s="21" t="s">
        <v>1288</v>
      </c>
      <c r="G1564" s="22" t="s">
        <v>1405</v>
      </c>
    </row>
    <row r="1565" spans="1:14" s="3" customFormat="1" ht="17.399999999999999" hidden="1" customHeight="1" outlineLevel="1" thickBot="1" x14ac:dyDescent="0.3">
      <c r="A1565" s="280"/>
      <c r="B1565" s="19" t="s">
        <v>1290</v>
      </c>
      <c r="C1565" s="23" t="s">
        <v>1291</v>
      </c>
      <c r="D1565" s="21" t="s">
        <v>1292</v>
      </c>
      <c r="E1565" s="23">
        <v>5</v>
      </c>
      <c r="F1565" s="21" t="s">
        <v>1293</v>
      </c>
      <c r="G1565" s="24" t="s">
        <v>1294</v>
      </c>
    </row>
    <row r="1566" spans="1:14" s="3" customFormat="1" ht="17.399999999999999" hidden="1" customHeight="1" outlineLevel="1" x14ac:dyDescent="0.25">
      <c r="A1566" s="280"/>
      <c r="B1566" s="395" t="s">
        <v>1</v>
      </c>
      <c r="C1566" s="396"/>
      <c r="D1566" s="396"/>
      <c r="E1566" s="396"/>
      <c r="F1566" s="396"/>
      <c r="G1566" s="397"/>
    </row>
    <row r="1567" spans="1:14" s="3" customFormat="1" ht="17.399999999999999" hidden="1" customHeight="1" outlineLevel="1" x14ac:dyDescent="0.25">
      <c r="A1567" s="280"/>
      <c r="B1567" s="25" t="s">
        <v>2</v>
      </c>
      <c r="C1567" s="26" t="s">
        <v>3</v>
      </c>
      <c r="D1567" s="26" t="s">
        <v>4</v>
      </c>
      <c r="E1567" s="26" t="s">
        <v>5</v>
      </c>
      <c r="F1567" s="26"/>
      <c r="G1567" s="27" t="s">
        <v>6</v>
      </c>
    </row>
    <row r="1568" spans="1:14" s="3" customFormat="1" hidden="1" outlineLevel="1" x14ac:dyDescent="0.25">
      <c r="A1568" s="280"/>
      <c r="B1568" s="28" t="s">
        <v>7</v>
      </c>
      <c r="C1568" s="29" t="s">
        <v>1468</v>
      </c>
      <c r="D1568" s="29" t="s">
        <v>1469</v>
      </c>
      <c r="E1568" s="29">
        <v>0</v>
      </c>
      <c r="F1568" s="29" t="s">
        <v>1470</v>
      </c>
      <c r="G1568" s="30" t="s">
        <v>1471</v>
      </c>
      <c r="J1568" s="3" t="s">
        <v>10</v>
      </c>
      <c r="N1568" s="3">
        <v>1112</v>
      </c>
    </row>
    <row r="1569" spans="1:15" s="3" customFormat="1" hidden="1" outlineLevel="1" x14ac:dyDescent="0.25">
      <c r="A1569" s="280"/>
      <c r="B1569" s="28" t="s">
        <v>188</v>
      </c>
      <c r="C1569" s="29" t="s">
        <v>1607</v>
      </c>
      <c r="D1569" s="29" t="s">
        <v>1606</v>
      </c>
      <c r="E1569" s="29" t="s">
        <v>1594</v>
      </c>
      <c r="F1569" s="29"/>
      <c r="G1569" s="30"/>
      <c r="J1569" s="3" t="s">
        <v>187</v>
      </c>
      <c r="N1569" s="3">
        <v>2156</v>
      </c>
    </row>
    <row r="1570" spans="1:15" s="3" customFormat="1" hidden="1" outlineLevel="1" x14ac:dyDescent="0.25">
      <c r="A1570" s="280"/>
      <c r="B1570" s="28" t="s">
        <v>15</v>
      </c>
      <c r="C1570" s="29" t="s">
        <v>1478</v>
      </c>
      <c r="D1570" s="29" t="s">
        <v>1469</v>
      </c>
      <c r="E1570" s="29">
        <v>0</v>
      </c>
      <c r="F1570" s="29" t="s">
        <v>1470</v>
      </c>
      <c r="G1570" s="30"/>
      <c r="J1570" s="3" t="s">
        <v>10</v>
      </c>
      <c r="N1570" s="3">
        <v>2430</v>
      </c>
    </row>
    <row r="1571" spans="1:15" s="3" customFormat="1" hidden="1" outlineLevel="1" x14ac:dyDescent="0.25">
      <c r="B1571" s="28" t="s">
        <v>87</v>
      </c>
      <c r="C1571" s="29" t="s">
        <v>1535</v>
      </c>
      <c r="D1571" s="29" t="s">
        <v>1469</v>
      </c>
      <c r="E1571" s="29">
        <v>0</v>
      </c>
      <c r="F1571" s="29" t="s">
        <v>1476</v>
      </c>
      <c r="G1571" s="30"/>
      <c r="J1571" s="3" t="s">
        <v>10</v>
      </c>
      <c r="N1571" s="3">
        <v>2433</v>
      </c>
    </row>
    <row r="1572" spans="1:15" s="3" customFormat="1" hidden="1" outlineLevel="1" x14ac:dyDescent="0.25">
      <c r="B1572" s="28" t="s">
        <v>128</v>
      </c>
      <c r="C1572" s="29" t="s">
        <v>1566</v>
      </c>
      <c r="D1572" s="29" t="s">
        <v>1567</v>
      </c>
      <c r="E1572" s="29">
        <v>0</v>
      </c>
      <c r="F1572" s="29" t="s">
        <v>1470</v>
      </c>
      <c r="G1572" s="30"/>
      <c r="J1572" s="3" t="s">
        <v>12</v>
      </c>
      <c r="N1572" s="3">
        <v>1629</v>
      </c>
    </row>
    <row r="1573" spans="1:15" s="3" customFormat="1" hidden="1" outlineLevel="1" x14ac:dyDescent="0.25">
      <c r="B1573" s="28" t="s">
        <v>114</v>
      </c>
      <c r="C1573" s="29" t="s">
        <v>1557</v>
      </c>
      <c r="D1573" s="29" t="s">
        <v>1469</v>
      </c>
      <c r="E1573" s="29">
        <v>-1</v>
      </c>
      <c r="F1573" s="29" t="s">
        <v>1470</v>
      </c>
      <c r="G1573" s="30"/>
      <c r="J1573" s="3" t="s">
        <v>10</v>
      </c>
      <c r="N1573" s="3">
        <v>2449</v>
      </c>
    </row>
    <row r="1574" spans="1:15" s="3" customFormat="1" hidden="1" outlineLevel="1" x14ac:dyDescent="0.25">
      <c r="B1574" s="28" t="s">
        <v>73</v>
      </c>
      <c r="C1574" s="29" t="s">
        <v>1528</v>
      </c>
      <c r="D1574" s="29" t="s">
        <v>1469</v>
      </c>
      <c r="E1574" s="29" t="s">
        <v>1480</v>
      </c>
      <c r="F1574" s="29" t="s">
        <v>1481</v>
      </c>
      <c r="G1574" s="30"/>
      <c r="J1574" s="3" t="s">
        <v>10</v>
      </c>
      <c r="N1574" s="3">
        <v>1767</v>
      </c>
    </row>
    <row r="1575" spans="1:15" s="3" customFormat="1" hidden="1" outlineLevel="1" x14ac:dyDescent="0.25">
      <c r="B1575" s="28" t="s">
        <v>74</v>
      </c>
      <c r="C1575" s="29" t="s">
        <v>1529</v>
      </c>
      <c r="D1575" s="29" t="s">
        <v>1469</v>
      </c>
      <c r="E1575" s="29" t="s">
        <v>1480</v>
      </c>
      <c r="F1575" s="29" t="s">
        <v>1481</v>
      </c>
      <c r="G1575" s="30"/>
      <c r="J1575" s="3" t="s">
        <v>10</v>
      </c>
      <c r="N1575" s="3">
        <v>1713</v>
      </c>
    </row>
    <row r="1576" spans="1:15" s="3" customFormat="1" ht="16.2" hidden="1" outlineLevel="1" thickBot="1" x14ac:dyDescent="0.3">
      <c r="B1576" s="163"/>
      <c r="C1576" s="164"/>
      <c r="D1576" s="164"/>
      <c r="E1576" s="164"/>
      <c r="F1576" s="164"/>
      <c r="G1576" s="165"/>
    </row>
    <row r="1577" spans="1:15" s="3" customFormat="1" ht="17.399999999999999" hidden="1" customHeight="1" outlineLevel="1" x14ac:dyDescent="0.25">
      <c r="A1577" s="5"/>
      <c r="B1577" s="398" t="s">
        <v>18</v>
      </c>
      <c r="C1577" s="399"/>
      <c r="D1577" s="399"/>
      <c r="E1577" s="399"/>
      <c r="F1577" s="399"/>
      <c r="G1577" s="400"/>
    </row>
    <row r="1578" spans="1:15" s="3" customFormat="1" ht="17.399999999999999" hidden="1" customHeight="1" outlineLevel="1" x14ac:dyDescent="0.25">
      <c r="A1578" s="5"/>
      <c r="B1578" s="25" t="s">
        <v>2</v>
      </c>
      <c r="C1578" s="26" t="s">
        <v>3</v>
      </c>
      <c r="D1578" s="26" t="s">
        <v>4</v>
      </c>
      <c r="E1578" s="26" t="s">
        <v>5</v>
      </c>
      <c r="F1578" s="26"/>
      <c r="G1578" s="27" t="s">
        <v>6</v>
      </c>
    </row>
    <row r="1579" spans="1:15" s="4" customFormat="1" ht="17.399999999999999" hidden="1" customHeight="1" outlineLevel="1" x14ac:dyDescent="0.35">
      <c r="A1579" s="5"/>
      <c r="B1579" s="64" t="s">
        <v>128</v>
      </c>
      <c r="C1579" s="65" t="s">
        <v>1566</v>
      </c>
      <c r="D1579" s="65" t="s">
        <v>1567</v>
      </c>
      <c r="E1579" s="65">
        <v>0</v>
      </c>
      <c r="F1579" s="65" t="s">
        <v>1470</v>
      </c>
      <c r="G1579" s="66"/>
      <c r="H1579" s="5" t="str">
        <f>"t.{"&amp;B1579&amp;"},"</f>
        <v>t.{记录序号},</v>
      </c>
      <c r="I1579" s="5"/>
      <c r="J1579" s="5" t="s">
        <v>12</v>
      </c>
      <c r="K1579" s="5" t="s">
        <v>174</v>
      </c>
      <c r="L1579" s="5" t="s">
        <v>314</v>
      </c>
      <c r="M1579" s="5" t="s">
        <v>176</v>
      </c>
      <c r="N1579" s="4">
        <v>2241</v>
      </c>
      <c r="O1579" s="4">
        <v>64</v>
      </c>
    </row>
    <row r="1580" spans="1:15" hidden="1" outlineLevel="1" x14ac:dyDescent="0.25">
      <c r="B1580" s="256" t="s">
        <v>16</v>
      </c>
      <c r="C1580" s="257" t="s">
        <v>1479</v>
      </c>
      <c r="D1580" s="257" t="s">
        <v>1469</v>
      </c>
      <c r="E1580" s="257" t="s">
        <v>1480</v>
      </c>
      <c r="F1580" s="257" t="s">
        <v>1481</v>
      </c>
      <c r="G1580" s="258" t="s">
        <v>1482</v>
      </c>
    </row>
    <row r="1581" spans="1:15" hidden="1" outlineLevel="1" x14ac:dyDescent="0.25">
      <c r="B1581" s="256" t="s">
        <v>112</v>
      </c>
      <c r="C1581" s="257" t="s">
        <v>1555</v>
      </c>
      <c r="D1581" s="257" t="s">
        <v>1469</v>
      </c>
      <c r="E1581" s="257">
        <v>0</v>
      </c>
      <c r="F1581" s="257" t="s">
        <v>1470</v>
      </c>
      <c r="G1581" s="258" t="s">
        <v>1556</v>
      </c>
    </row>
    <row r="1582" spans="1:15" hidden="1" outlineLevel="1" x14ac:dyDescent="0.25">
      <c r="B1582" s="256" t="s">
        <v>7</v>
      </c>
      <c r="C1582" s="257" t="s">
        <v>1468</v>
      </c>
      <c r="D1582" s="257" t="s">
        <v>1469</v>
      </c>
      <c r="E1582" s="257">
        <v>0</v>
      </c>
      <c r="F1582" s="257" t="s">
        <v>1470</v>
      </c>
      <c r="G1582" s="258" t="s">
        <v>1471</v>
      </c>
    </row>
    <row r="1583" spans="1:15" hidden="1" outlineLevel="1" x14ac:dyDescent="0.25">
      <c r="B1583" s="256" t="s">
        <v>13</v>
      </c>
      <c r="C1583" s="257" t="s">
        <v>1474</v>
      </c>
      <c r="D1583" s="257" t="s">
        <v>1469</v>
      </c>
      <c r="E1583" s="257">
        <v>0</v>
      </c>
      <c r="F1583" s="257" t="s">
        <v>1470</v>
      </c>
      <c r="G1583" s="258"/>
    </row>
    <row r="1584" spans="1:15" hidden="1" outlineLevel="1" x14ac:dyDescent="0.25">
      <c r="B1584" s="256" t="s">
        <v>202</v>
      </c>
      <c r="C1584" s="257" t="s">
        <v>1634</v>
      </c>
      <c r="D1584" s="257" t="s">
        <v>1469</v>
      </c>
      <c r="E1584" s="257">
        <v>0</v>
      </c>
      <c r="F1584" s="257" t="s">
        <v>1470</v>
      </c>
      <c r="G1584" s="258"/>
    </row>
    <row r="1585" spans="2:7" hidden="1" outlineLevel="1" x14ac:dyDescent="0.25">
      <c r="B1585" s="256" t="s">
        <v>15</v>
      </c>
      <c r="C1585" s="257" t="s">
        <v>1478</v>
      </c>
      <c r="D1585" s="257" t="s">
        <v>1469</v>
      </c>
      <c r="E1585" s="257">
        <v>0</v>
      </c>
      <c r="F1585" s="257" t="s">
        <v>1470</v>
      </c>
      <c r="G1585" s="258"/>
    </row>
    <row r="1586" spans="2:7" hidden="1" outlineLevel="1" x14ac:dyDescent="0.25">
      <c r="B1586" s="256" t="s">
        <v>87</v>
      </c>
      <c r="C1586" s="257" t="s">
        <v>1535</v>
      </c>
      <c r="D1586" s="257" t="s">
        <v>1469</v>
      </c>
      <c r="E1586" s="257">
        <v>0</v>
      </c>
      <c r="F1586" s="257" t="s">
        <v>1476</v>
      </c>
      <c r="G1586" s="258"/>
    </row>
    <row r="1587" spans="2:7" hidden="1" outlineLevel="1" x14ac:dyDescent="0.25">
      <c r="B1587" s="256" t="s">
        <v>14</v>
      </c>
      <c r="C1587" s="257" t="s">
        <v>1475</v>
      </c>
      <c r="D1587" s="257" t="s">
        <v>1469</v>
      </c>
      <c r="E1587" s="257">
        <v>0</v>
      </c>
      <c r="F1587" s="257" t="s">
        <v>1476</v>
      </c>
      <c r="G1587" s="258" t="s">
        <v>1477</v>
      </c>
    </row>
    <row r="1588" spans="2:7" hidden="1" outlineLevel="1" x14ac:dyDescent="0.25">
      <c r="B1588" s="256" t="s">
        <v>62</v>
      </c>
      <c r="C1588" s="257" t="s">
        <v>1525</v>
      </c>
      <c r="D1588" s="257" t="s">
        <v>1489</v>
      </c>
      <c r="E1588" s="257">
        <v>0</v>
      </c>
      <c r="F1588" s="257"/>
      <c r="G1588" s="258"/>
    </row>
    <row r="1589" spans="2:7" hidden="1" outlineLevel="1" x14ac:dyDescent="0.25">
      <c r="B1589" s="256" t="s">
        <v>95</v>
      </c>
      <c r="C1589" s="257" t="s">
        <v>1542</v>
      </c>
      <c r="D1589" s="257" t="s">
        <v>1494</v>
      </c>
      <c r="E1589" s="257">
        <v>0</v>
      </c>
      <c r="F1589" s="257"/>
      <c r="G1589" s="258"/>
    </row>
    <row r="1590" spans="2:7" hidden="1" outlineLevel="1" x14ac:dyDescent="0.25">
      <c r="B1590" s="256" t="s">
        <v>100</v>
      </c>
      <c r="C1590" s="257" t="s">
        <v>1543</v>
      </c>
      <c r="D1590" s="257" t="s">
        <v>1469</v>
      </c>
      <c r="E1590" s="257">
        <v>0</v>
      </c>
      <c r="F1590" s="257" t="s">
        <v>1476</v>
      </c>
      <c r="G1590" s="258" t="s">
        <v>1544</v>
      </c>
    </row>
    <row r="1591" spans="2:7" hidden="1" outlineLevel="1" x14ac:dyDescent="0.25">
      <c r="B1591" s="256" t="s">
        <v>116</v>
      </c>
      <c r="C1591" s="257" t="s">
        <v>1559</v>
      </c>
      <c r="D1591" s="257" t="s">
        <v>1486</v>
      </c>
      <c r="E1591" s="257">
        <v>0</v>
      </c>
      <c r="F1591" s="257" t="s">
        <v>1470</v>
      </c>
      <c r="G1591" s="258" t="s">
        <v>1560</v>
      </c>
    </row>
    <row r="1592" spans="2:7" hidden="1" outlineLevel="1" x14ac:dyDescent="0.25">
      <c r="B1592" s="256" t="s">
        <v>75</v>
      </c>
      <c r="C1592" s="257" t="s">
        <v>1530</v>
      </c>
      <c r="D1592" s="257" t="s">
        <v>1486</v>
      </c>
      <c r="E1592" s="257">
        <v>0</v>
      </c>
      <c r="F1592" s="257" t="s">
        <v>1470</v>
      </c>
      <c r="G1592" s="258" t="s">
        <v>1531</v>
      </c>
    </row>
    <row r="1593" spans="2:7" hidden="1" outlineLevel="1" x14ac:dyDescent="0.25">
      <c r="B1593" s="256" t="s">
        <v>315</v>
      </c>
      <c r="C1593" s="257" t="s">
        <v>1733</v>
      </c>
      <c r="D1593" s="257" t="s">
        <v>1486</v>
      </c>
      <c r="E1593" s="257">
        <v>0</v>
      </c>
      <c r="F1593" s="257"/>
      <c r="G1593" s="258"/>
    </row>
    <row r="1594" spans="2:7" hidden="1" outlineLevel="1" x14ac:dyDescent="0.25">
      <c r="B1594" s="256" t="s">
        <v>131</v>
      </c>
      <c r="C1594" s="257" t="s">
        <v>1568</v>
      </c>
      <c r="D1594" s="257" t="s">
        <v>1486</v>
      </c>
      <c r="E1594" s="257">
        <v>0</v>
      </c>
      <c r="F1594" s="257" t="s">
        <v>1470</v>
      </c>
      <c r="G1594" s="258" t="s">
        <v>1569</v>
      </c>
    </row>
    <row r="1595" spans="2:7" hidden="1" outlineLevel="1" x14ac:dyDescent="0.25">
      <c r="B1595" s="256" t="s">
        <v>132</v>
      </c>
      <c r="C1595" s="257" t="s">
        <v>1570</v>
      </c>
      <c r="D1595" s="257" t="s">
        <v>1486</v>
      </c>
      <c r="E1595" s="257">
        <v>0</v>
      </c>
      <c r="F1595" s="257" t="s">
        <v>1470</v>
      </c>
      <c r="G1595" s="258" t="s">
        <v>1571</v>
      </c>
    </row>
    <row r="1596" spans="2:7" hidden="1" outlineLevel="1" x14ac:dyDescent="0.25">
      <c r="B1596" s="256" t="s">
        <v>322</v>
      </c>
      <c r="C1596" s="257" t="s">
        <v>1740</v>
      </c>
      <c r="D1596" s="257" t="s">
        <v>1486</v>
      </c>
      <c r="E1596" s="257">
        <v>0</v>
      </c>
      <c r="F1596" s="257" t="s">
        <v>1470</v>
      </c>
      <c r="G1596" s="258"/>
    </row>
    <row r="1597" spans="2:7" hidden="1" outlineLevel="1" x14ac:dyDescent="0.25">
      <c r="B1597" s="256" t="s">
        <v>323</v>
      </c>
      <c r="C1597" s="257" t="s">
        <v>1741</v>
      </c>
      <c r="D1597" s="257" t="s">
        <v>1486</v>
      </c>
      <c r="E1597" s="257">
        <v>0</v>
      </c>
      <c r="F1597" s="257" t="s">
        <v>1470</v>
      </c>
      <c r="G1597" s="258"/>
    </row>
    <row r="1598" spans="2:7" hidden="1" outlineLevel="1" x14ac:dyDescent="0.25">
      <c r="B1598" s="256" t="s">
        <v>117</v>
      </c>
      <c r="C1598" s="257" t="s">
        <v>1561</v>
      </c>
      <c r="D1598" s="257" t="s">
        <v>1489</v>
      </c>
      <c r="E1598" s="257">
        <v>0</v>
      </c>
      <c r="F1598" s="257" t="s">
        <v>1470</v>
      </c>
      <c r="G1598" s="258"/>
    </row>
    <row r="1599" spans="2:7" hidden="1" outlineLevel="1" x14ac:dyDescent="0.25">
      <c r="B1599" s="256" t="s">
        <v>24</v>
      </c>
      <c r="C1599" s="257" t="s">
        <v>1491</v>
      </c>
      <c r="D1599" s="257" t="s">
        <v>1489</v>
      </c>
      <c r="E1599" s="257">
        <v>0</v>
      </c>
      <c r="F1599" s="257" t="s">
        <v>1470</v>
      </c>
      <c r="G1599" s="258"/>
    </row>
    <row r="1600" spans="2:7" hidden="1" outlineLevel="1" x14ac:dyDescent="0.25">
      <c r="B1600" s="256" t="s">
        <v>140</v>
      </c>
      <c r="C1600" s="257" t="s">
        <v>1578</v>
      </c>
      <c r="D1600" s="257" t="s">
        <v>1489</v>
      </c>
      <c r="E1600" s="257">
        <v>0</v>
      </c>
      <c r="F1600" s="257" t="s">
        <v>1470</v>
      </c>
      <c r="G1600" s="258"/>
    </row>
    <row r="1601" spans="1:13" hidden="1" outlineLevel="1" x14ac:dyDescent="0.25">
      <c r="B1601" s="256" t="s">
        <v>141</v>
      </c>
      <c r="C1601" s="257" t="s">
        <v>1579</v>
      </c>
      <c r="D1601" s="257" t="s">
        <v>1489</v>
      </c>
      <c r="E1601" s="257">
        <v>0</v>
      </c>
      <c r="F1601" s="257" t="s">
        <v>1470</v>
      </c>
      <c r="G1601" s="258"/>
    </row>
    <row r="1602" spans="1:13" hidden="1" outlineLevel="1" x14ac:dyDescent="0.25">
      <c r="B1602" s="256" t="s">
        <v>324</v>
      </c>
      <c r="C1602" s="257" t="s">
        <v>1742</v>
      </c>
      <c r="D1602" s="257" t="s">
        <v>1486</v>
      </c>
      <c r="E1602" s="257">
        <v>0</v>
      </c>
      <c r="F1602" s="257" t="s">
        <v>1470</v>
      </c>
      <c r="G1602" s="258"/>
    </row>
    <row r="1603" spans="1:13" hidden="1" outlineLevel="1" x14ac:dyDescent="0.25">
      <c r="B1603" s="256" t="s">
        <v>147</v>
      </c>
      <c r="C1603" s="257" t="s">
        <v>1586</v>
      </c>
      <c r="D1603" s="257" t="s">
        <v>1489</v>
      </c>
      <c r="E1603" s="257">
        <v>0</v>
      </c>
      <c r="F1603" s="257"/>
      <c r="G1603" s="258"/>
    </row>
    <row r="1604" spans="1:13" hidden="1" outlineLevel="1" x14ac:dyDescent="0.25">
      <c r="B1604" s="256" t="s">
        <v>268</v>
      </c>
      <c r="C1604" s="257" t="s">
        <v>1695</v>
      </c>
      <c r="D1604" s="257" t="s">
        <v>1489</v>
      </c>
      <c r="E1604" s="257">
        <v>0</v>
      </c>
      <c r="F1604" s="257" t="s">
        <v>1470</v>
      </c>
      <c r="G1604" s="258"/>
    </row>
    <row r="1605" spans="1:13" hidden="1" outlineLevel="1" x14ac:dyDescent="0.25">
      <c r="B1605" s="256" t="s">
        <v>148</v>
      </c>
      <c r="C1605" s="257" t="s">
        <v>1587</v>
      </c>
      <c r="D1605" s="257" t="s">
        <v>1486</v>
      </c>
      <c r="E1605" s="257">
        <v>0</v>
      </c>
      <c r="F1605" s="257" t="s">
        <v>1470</v>
      </c>
      <c r="G1605" s="258"/>
    </row>
    <row r="1606" spans="1:13" hidden="1" outlineLevel="1" x14ac:dyDescent="0.25">
      <c r="B1606" s="256" t="s">
        <v>146</v>
      </c>
      <c r="C1606" s="257" t="s">
        <v>1585</v>
      </c>
      <c r="D1606" s="257" t="s">
        <v>1489</v>
      </c>
      <c r="E1606" s="257">
        <v>0</v>
      </c>
      <c r="F1606" s="257"/>
      <c r="G1606" s="258"/>
    </row>
    <row r="1607" spans="1:13" hidden="1" outlineLevel="1" x14ac:dyDescent="0.25">
      <c r="B1607" s="256" t="s">
        <v>325</v>
      </c>
      <c r="C1607" s="257" t="s">
        <v>1743</v>
      </c>
      <c r="D1607" s="257" t="s">
        <v>1539</v>
      </c>
      <c r="E1607" s="257">
        <v>0</v>
      </c>
      <c r="F1607" s="257"/>
      <c r="G1607" s="258"/>
    </row>
    <row r="1608" spans="1:13" hidden="1" outlineLevel="1" x14ac:dyDescent="0.25">
      <c r="B1608" s="256" t="s">
        <v>326</v>
      </c>
      <c r="C1608" s="257" t="s">
        <v>1744</v>
      </c>
      <c r="D1608" s="257" t="s">
        <v>1539</v>
      </c>
      <c r="E1608" s="257">
        <v>0</v>
      </c>
      <c r="F1608" s="257"/>
      <c r="G1608" s="258"/>
    </row>
    <row r="1609" spans="1:13" hidden="1" outlineLevel="1" x14ac:dyDescent="0.25">
      <c r="B1609" s="280" t="s">
        <v>115</v>
      </c>
      <c r="C1609" s="262" t="s">
        <v>1558</v>
      </c>
      <c r="D1609" s="262" t="s">
        <v>1539</v>
      </c>
      <c r="E1609" s="262">
        <v>0</v>
      </c>
      <c r="F1609" s="262" t="s">
        <v>1470</v>
      </c>
      <c r="G1609" s="263"/>
    </row>
    <row r="1610" spans="1:13" hidden="1" outlineLevel="1" x14ac:dyDescent="0.25">
      <c r="B1610" s="280" t="s">
        <v>327</v>
      </c>
      <c r="C1610" s="262" t="s">
        <v>1745</v>
      </c>
      <c r="D1610" s="262" t="s">
        <v>1539</v>
      </c>
      <c r="E1610" s="262">
        <v>0</v>
      </c>
      <c r="F1610" s="262" t="s">
        <v>1470</v>
      </c>
      <c r="G1610" s="263"/>
    </row>
    <row r="1611" spans="1:13" hidden="1" outlineLevel="1" x14ac:dyDescent="0.25">
      <c r="B1611" s="280" t="s">
        <v>90</v>
      </c>
      <c r="C1611" s="262" t="s">
        <v>1538</v>
      </c>
      <c r="D1611" s="262" t="s">
        <v>1539</v>
      </c>
      <c r="E1611" s="262">
        <v>0</v>
      </c>
      <c r="F1611" s="262" t="s">
        <v>1470</v>
      </c>
      <c r="G1611" s="263" t="s">
        <v>1540</v>
      </c>
    </row>
    <row r="1612" spans="1:13" s="4" customFormat="1" ht="17.399999999999999" hidden="1" customHeight="1" outlineLevel="1" thickBot="1" x14ac:dyDescent="0.4">
      <c r="A1612" s="5"/>
      <c r="B1612" s="333" t="s">
        <v>335</v>
      </c>
      <c r="C1612" s="330" t="s">
        <v>2337</v>
      </c>
      <c r="D1612" s="330" t="s">
        <v>2338</v>
      </c>
      <c r="E1612" s="330" t="s">
        <v>2339</v>
      </c>
      <c r="F1612" s="332" t="s">
        <v>2336</v>
      </c>
      <c r="G1612" s="331" t="s">
        <v>2340</v>
      </c>
      <c r="H1612" s="5"/>
      <c r="I1612" s="5"/>
      <c r="J1612" s="5"/>
      <c r="K1612" s="5"/>
      <c r="L1612" s="5"/>
      <c r="M1612" s="5"/>
    </row>
    <row r="1613" spans="1:13" s="3" customFormat="1" ht="17.399999999999999" hidden="1" customHeight="1" outlineLevel="1" x14ac:dyDescent="0.25">
      <c r="A1613" s="5"/>
      <c r="B1613" s="401" t="s">
        <v>29</v>
      </c>
      <c r="C1613" s="402"/>
      <c r="D1613" s="402"/>
      <c r="E1613" s="402"/>
      <c r="F1613" s="402"/>
      <c r="G1613" s="403"/>
    </row>
    <row r="1614" spans="1:13" s="4" customFormat="1" ht="17.399999999999999" hidden="1" customHeight="1" outlineLevel="1" x14ac:dyDescent="0.35">
      <c r="A1614" s="5"/>
      <c r="B1614" s="67" t="s">
        <v>30</v>
      </c>
      <c r="C1614" s="65"/>
      <c r="D1614" s="65"/>
      <c r="E1614" s="65"/>
      <c r="F1614" s="65"/>
      <c r="G1614" s="371" t="s">
        <v>2357</v>
      </c>
      <c r="H1614" s="5"/>
      <c r="I1614" s="5"/>
      <c r="J1614" s="5"/>
      <c r="K1614" s="5"/>
      <c r="L1614" s="5"/>
      <c r="M1614" s="5"/>
    </row>
    <row r="1615" spans="1:13" s="3" customFormat="1" hidden="1" outlineLevel="1" x14ac:dyDescent="0.25">
      <c r="B1615" s="28"/>
      <c r="C1615" s="29"/>
      <c r="D1615" s="29"/>
      <c r="E1615" s="29"/>
      <c r="F1615" s="29"/>
      <c r="G1615" s="30"/>
    </row>
    <row r="1616" spans="1:13" s="3" customFormat="1" hidden="1" outlineLevel="1" x14ac:dyDescent="0.25">
      <c r="B1616" s="28" t="s">
        <v>151</v>
      </c>
      <c r="C1616" s="29"/>
      <c r="D1616" s="29"/>
      <c r="E1616" s="29"/>
      <c r="F1616" s="29"/>
      <c r="G1616" s="30"/>
    </row>
    <row r="1617" spans="1:14" s="3" customFormat="1" hidden="1" outlineLevel="1" x14ac:dyDescent="0.25">
      <c r="B1617" s="28" t="s">
        <v>340</v>
      </c>
      <c r="C1617" s="29"/>
      <c r="D1617" s="29"/>
      <c r="E1617" s="29"/>
      <c r="F1617" s="29"/>
      <c r="G1617" s="375" t="s">
        <v>2389</v>
      </c>
    </row>
    <row r="1618" spans="1:14" s="3" customFormat="1" hidden="1" outlineLevel="1" x14ac:dyDescent="0.25">
      <c r="B1618" s="28"/>
      <c r="C1618" s="29"/>
      <c r="D1618" s="29"/>
      <c r="E1618" s="29"/>
      <c r="F1618" s="29"/>
      <c r="G1618" s="30"/>
    </row>
    <row r="1619" spans="1:14" s="3" customFormat="1" hidden="1" outlineLevel="1" x14ac:dyDescent="0.25">
      <c r="B1619" s="28"/>
      <c r="C1619" s="29"/>
      <c r="D1619" s="29"/>
      <c r="E1619" s="29"/>
      <c r="F1619" s="29"/>
      <c r="G1619" s="30"/>
    </row>
    <row r="1620" spans="1:14" s="3" customFormat="1" ht="16.2" hidden="1" outlineLevel="1" thickBot="1" x14ac:dyDescent="0.3">
      <c r="B1620" s="163"/>
      <c r="C1620" s="164"/>
      <c r="D1620" s="164"/>
      <c r="E1620" s="164"/>
      <c r="F1620" s="164"/>
      <c r="G1620" s="165"/>
    </row>
    <row r="1621" spans="1:14" s="3" customFormat="1" ht="17.399999999999999" hidden="1" customHeight="1" outlineLevel="1" thickBot="1" x14ac:dyDescent="0.3">
      <c r="A1621" s="5"/>
    </row>
    <row r="1622" spans="1:14" s="3" customFormat="1" ht="17.399999999999999" customHeight="1" collapsed="1" thickBot="1" x14ac:dyDescent="0.3">
      <c r="A1622" s="5"/>
      <c r="B1622" s="15" t="s">
        <v>1279</v>
      </c>
      <c r="C1622" s="16" t="s">
        <v>1406</v>
      </c>
      <c r="D1622" s="17" t="s">
        <v>1281</v>
      </c>
      <c r="E1622" s="16" t="s">
        <v>341</v>
      </c>
      <c r="F1622" s="17" t="s">
        <v>1282</v>
      </c>
      <c r="G1622" s="18" t="s">
        <v>1407</v>
      </c>
    </row>
    <row r="1623" spans="1:14" s="3" customFormat="1" ht="17.399999999999999" hidden="1" customHeight="1" outlineLevel="1" x14ac:dyDescent="0.25">
      <c r="A1623" s="5"/>
      <c r="B1623" s="19" t="s">
        <v>1284</v>
      </c>
      <c r="C1623" s="20" t="s">
        <v>1285</v>
      </c>
      <c r="D1623" s="21" t="s">
        <v>1286</v>
      </c>
      <c r="E1623" s="20" t="s">
        <v>1408</v>
      </c>
      <c r="F1623" s="21" t="s">
        <v>1288</v>
      </c>
      <c r="G1623" s="22" t="s">
        <v>1409</v>
      </c>
    </row>
    <row r="1624" spans="1:14" s="3" customFormat="1" ht="17.399999999999999" hidden="1" customHeight="1" outlineLevel="1" thickBot="1" x14ac:dyDescent="0.3">
      <c r="A1624" s="5"/>
      <c r="B1624" s="19" t="s">
        <v>1290</v>
      </c>
      <c r="C1624" s="23" t="s">
        <v>1291</v>
      </c>
      <c r="D1624" s="21" t="s">
        <v>1292</v>
      </c>
      <c r="E1624" s="23">
        <v>5</v>
      </c>
      <c r="F1624" s="21" t="s">
        <v>1293</v>
      </c>
      <c r="G1624" s="24" t="s">
        <v>1294</v>
      </c>
    </row>
    <row r="1625" spans="1:14" s="3" customFormat="1" ht="17.399999999999999" hidden="1" customHeight="1" outlineLevel="1" x14ac:dyDescent="0.25">
      <c r="A1625" s="5"/>
      <c r="B1625" s="395" t="s">
        <v>1</v>
      </c>
      <c r="C1625" s="396"/>
      <c r="D1625" s="396"/>
      <c r="E1625" s="396"/>
      <c r="F1625" s="396"/>
      <c r="G1625" s="397"/>
    </row>
    <row r="1626" spans="1:14" s="3" customFormat="1" ht="17.399999999999999" hidden="1" customHeight="1" outlineLevel="1" x14ac:dyDescent="0.25">
      <c r="A1626" s="5"/>
      <c r="B1626" s="25" t="s">
        <v>2</v>
      </c>
      <c r="C1626" s="26" t="s">
        <v>3</v>
      </c>
      <c r="D1626" s="26" t="s">
        <v>4</v>
      </c>
      <c r="E1626" s="26" t="s">
        <v>5</v>
      </c>
      <c r="F1626" s="26"/>
      <c r="G1626" s="27" t="s">
        <v>6</v>
      </c>
    </row>
    <row r="1627" spans="1:14" s="3" customFormat="1" hidden="1" outlineLevel="1" x14ac:dyDescent="0.25">
      <c r="B1627" s="28" t="s">
        <v>7</v>
      </c>
      <c r="C1627" s="29" t="s">
        <v>1468</v>
      </c>
      <c r="D1627" s="29" t="s">
        <v>1469</v>
      </c>
      <c r="E1627" s="29">
        <v>0</v>
      </c>
      <c r="F1627" s="29" t="s">
        <v>1470</v>
      </c>
      <c r="G1627" s="30" t="s">
        <v>1471</v>
      </c>
      <c r="J1627" s="3" t="s">
        <v>10</v>
      </c>
      <c r="N1627" s="3">
        <v>1112</v>
      </c>
    </row>
    <row r="1628" spans="1:14" s="3" customFormat="1" hidden="1" outlineLevel="1" x14ac:dyDescent="0.25">
      <c r="B1628" s="28" t="s">
        <v>188</v>
      </c>
      <c r="C1628" s="29" t="s">
        <v>1607</v>
      </c>
      <c r="D1628" s="29" t="s">
        <v>1606</v>
      </c>
      <c r="E1628" s="29" t="s">
        <v>1594</v>
      </c>
      <c r="F1628" s="29"/>
      <c r="G1628" s="30"/>
      <c r="J1628" s="3" t="s">
        <v>187</v>
      </c>
      <c r="N1628" s="3">
        <v>2156</v>
      </c>
    </row>
    <row r="1629" spans="1:14" s="3" customFormat="1" hidden="1" outlineLevel="1" x14ac:dyDescent="0.25">
      <c r="B1629" s="28" t="s">
        <v>15</v>
      </c>
      <c r="C1629" s="29" t="s">
        <v>1478</v>
      </c>
      <c r="D1629" s="29" t="s">
        <v>1469</v>
      </c>
      <c r="E1629" s="29">
        <v>0</v>
      </c>
      <c r="F1629" s="29" t="s">
        <v>1470</v>
      </c>
      <c r="G1629" s="30"/>
      <c r="J1629" s="3" t="s">
        <v>10</v>
      </c>
      <c r="N1629" s="3">
        <v>2430</v>
      </c>
    </row>
    <row r="1630" spans="1:14" s="3" customFormat="1" hidden="1" outlineLevel="1" x14ac:dyDescent="0.25">
      <c r="B1630" s="28" t="s">
        <v>87</v>
      </c>
      <c r="C1630" s="29" t="s">
        <v>1535</v>
      </c>
      <c r="D1630" s="29" t="s">
        <v>1469</v>
      </c>
      <c r="E1630" s="29">
        <v>0</v>
      </c>
      <c r="F1630" s="29" t="s">
        <v>1476</v>
      </c>
      <c r="G1630" s="30"/>
      <c r="J1630" s="3" t="s">
        <v>10</v>
      </c>
      <c r="N1630" s="3">
        <v>2433</v>
      </c>
    </row>
    <row r="1631" spans="1:14" s="3" customFormat="1" hidden="1" outlineLevel="1" x14ac:dyDescent="0.25">
      <c r="B1631" s="28" t="s">
        <v>11</v>
      </c>
      <c r="C1631" s="29" t="s">
        <v>1472</v>
      </c>
      <c r="D1631" s="29" t="s">
        <v>1469</v>
      </c>
      <c r="E1631" s="29">
        <v>0</v>
      </c>
      <c r="F1631" s="29" t="s">
        <v>1470</v>
      </c>
      <c r="G1631" s="30" t="s">
        <v>1473</v>
      </c>
      <c r="J1631" s="3" t="s">
        <v>12</v>
      </c>
      <c r="N1631" s="3">
        <v>1700</v>
      </c>
    </row>
    <row r="1632" spans="1:14" s="3" customFormat="1" hidden="1" outlineLevel="1" x14ac:dyDescent="0.25">
      <c r="B1632" s="28" t="s">
        <v>128</v>
      </c>
      <c r="C1632" s="29" t="s">
        <v>1566</v>
      </c>
      <c r="D1632" s="29" t="s">
        <v>1567</v>
      </c>
      <c r="E1632" s="29">
        <v>0</v>
      </c>
      <c r="F1632" s="29" t="s">
        <v>1470</v>
      </c>
      <c r="G1632" s="30"/>
      <c r="J1632" s="3" t="s">
        <v>12</v>
      </c>
      <c r="N1632" s="3">
        <v>1629</v>
      </c>
    </row>
    <row r="1633" spans="1:14" s="3" customFormat="1" hidden="1" outlineLevel="1" x14ac:dyDescent="0.25">
      <c r="B1633" s="28" t="s">
        <v>114</v>
      </c>
      <c r="C1633" s="29" t="s">
        <v>1557</v>
      </c>
      <c r="D1633" s="29" t="s">
        <v>1469</v>
      </c>
      <c r="E1633" s="29">
        <v>-1</v>
      </c>
      <c r="F1633" s="29" t="s">
        <v>1470</v>
      </c>
      <c r="G1633" s="30"/>
      <c r="J1633" s="3" t="s">
        <v>10</v>
      </c>
      <c r="N1633" s="3">
        <v>2449</v>
      </c>
    </row>
    <row r="1634" spans="1:14" s="3" customFormat="1" hidden="1" outlineLevel="1" x14ac:dyDescent="0.25">
      <c r="B1634" s="28" t="s">
        <v>73</v>
      </c>
      <c r="C1634" s="29" t="s">
        <v>1528</v>
      </c>
      <c r="D1634" s="29" t="s">
        <v>1469</v>
      </c>
      <c r="E1634" s="29" t="s">
        <v>1480</v>
      </c>
      <c r="F1634" s="29" t="s">
        <v>1481</v>
      </c>
      <c r="G1634" s="30"/>
      <c r="J1634" s="3" t="s">
        <v>10</v>
      </c>
      <c r="N1634" s="3">
        <v>1767</v>
      </c>
    </row>
    <row r="1635" spans="1:14" s="3" customFormat="1" hidden="1" outlineLevel="1" x14ac:dyDescent="0.25">
      <c r="B1635" s="28" t="s">
        <v>74</v>
      </c>
      <c r="C1635" s="29" t="s">
        <v>1529</v>
      </c>
      <c r="D1635" s="29" t="s">
        <v>1469</v>
      </c>
      <c r="E1635" s="29" t="s">
        <v>1480</v>
      </c>
      <c r="F1635" s="29" t="s">
        <v>1481</v>
      </c>
      <c r="G1635" s="30"/>
      <c r="J1635" s="3" t="s">
        <v>10</v>
      </c>
      <c r="N1635" s="3">
        <v>1713</v>
      </c>
    </row>
    <row r="1636" spans="1:14" s="3" customFormat="1" ht="16.2" hidden="1" outlineLevel="1" thickBot="1" x14ac:dyDescent="0.3">
      <c r="B1636" s="360"/>
      <c r="C1636" s="361"/>
      <c r="D1636" s="361"/>
      <c r="E1636" s="361"/>
      <c r="F1636" s="361"/>
      <c r="G1636" s="362"/>
    </row>
    <row r="1637" spans="1:14" s="3" customFormat="1" ht="17.399999999999999" hidden="1" customHeight="1" outlineLevel="1" x14ac:dyDescent="0.25">
      <c r="A1637" s="5"/>
      <c r="B1637" s="398" t="s">
        <v>18</v>
      </c>
      <c r="C1637" s="399"/>
      <c r="D1637" s="399"/>
      <c r="E1637" s="399"/>
      <c r="F1637" s="399"/>
      <c r="G1637" s="400"/>
    </row>
    <row r="1638" spans="1:14" s="3" customFormat="1" ht="17.399999999999999" hidden="1" customHeight="1" outlineLevel="1" x14ac:dyDescent="0.25">
      <c r="A1638" s="5"/>
      <c r="B1638" s="25" t="s">
        <v>2</v>
      </c>
      <c r="C1638" s="26" t="s">
        <v>3</v>
      </c>
      <c r="D1638" s="26" t="s">
        <v>4</v>
      </c>
      <c r="E1638" s="26" t="s">
        <v>5</v>
      </c>
      <c r="F1638" s="26"/>
      <c r="G1638" s="27" t="s">
        <v>6</v>
      </c>
    </row>
    <row r="1639" spans="1:14" s="3" customFormat="1" hidden="1" outlineLevel="1" x14ac:dyDescent="0.25">
      <c r="B1639" s="28" t="s">
        <v>128</v>
      </c>
      <c r="C1639" s="29" t="s">
        <v>1566</v>
      </c>
      <c r="D1639" s="29" t="s">
        <v>1567</v>
      </c>
      <c r="E1639" s="29">
        <v>0</v>
      </c>
      <c r="F1639" s="29" t="s">
        <v>1470</v>
      </c>
      <c r="G1639" s="30"/>
      <c r="H1639" s="3" t="str">
        <f>"{"&amp;B1639&amp;"},"</f>
        <v>{记录序号},</v>
      </c>
      <c r="J1639" s="3" t="s">
        <v>12</v>
      </c>
      <c r="N1639" s="3">
        <v>1629</v>
      </c>
    </row>
    <row r="1640" spans="1:14" s="3" customFormat="1" hidden="1" outlineLevel="1" x14ac:dyDescent="0.25">
      <c r="B1640" s="28" t="s">
        <v>16</v>
      </c>
      <c r="C1640" s="29" t="s">
        <v>1479</v>
      </c>
      <c r="D1640" s="29" t="s">
        <v>1469</v>
      </c>
      <c r="E1640" s="29" t="s">
        <v>1480</v>
      </c>
      <c r="F1640" s="29" t="s">
        <v>1481</v>
      </c>
      <c r="G1640" s="30" t="s">
        <v>1482</v>
      </c>
      <c r="H1640" s="3" t="str">
        <f t="shared" ref="H1640:H1654" si="11">"{"&amp;B1640&amp;"},"</f>
        <v>{初始化日期},</v>
      </c>
      <c r="J1640" s="3" t="s">
        <v>10</v>
      </c>
      <c r="N1640" s="3">
        <v>1211</v>
      </c>
    </row>
    <row r="1641" spans="1:14" s="3" customFormat="1" hidden="1" outlineLevel="1" x14ac:dyDescent="0.25">
      <c r="B1641" s="28" t="s">
        <v>112</v>
      </c>
      <c r="C1641" s="29" t="s">
        <v>1555</v>
      </c>
      <c r="D1641" s="29" t="s">
        <v>1469</v>
      </c>
      <c r="E1641" s="29">
        <v>0</v>
      </c>
      <c r="F1641" s="29" t="s">
        <v>1470</v>
      </c>
      <c r="G1641" s="30" t="s">
        <v>1556</v>
      </c>
      <c r="H1641" s="3" t="str">
        <f t="shared" si="11"/>
        <v>{机构编号},</v>
      </c>
      <c r="J1641" s="3" t="s">
        <v>10</v>
      </c>
      <c r="N1641" s="3">
        <v>1606</v>
      </c>
    </row>
    <row r="1642" spans="1:14" s="3" customFormat="1" hidden="1" outlineLevel="1" x14ac:dyDescent="0.25">
      <c r="B1642" s="28" t="s">
        <v>7</v>
      </c>
      <c r="C1642" s="29" t="s">
        <v>1468</v>
      </c>
      <c r="D1642" s="29" t="s">
        <v>1469</v>
      </c>
      <c r="E1642" s="29">
        <v>0</v>
      </c>
      <c r="F1642" s="29" t="s">
        <v>1470</v>
      </c>
      <c r="G1642" s="30" t="s">
        <v>1471</v>
      </c>
      <c r="H1642" s="3" t="str">
        <f t="shared" si="11"/>
        <v>{产品编号},</v>
      </c>
      <c r="J1642" s="3" t="s">
        <v>10</v>
      </c>
      <c r="N1642" s="3">
        <v>1112</v>
      </c>
    </row>
    <row r="1643" spans="1:14" s="3" customFormat="1" hidden="1" outlineLevel="1" x14ac:dyDescent="0.25">
      <c r="B1643" s="28" t="s">
        <v>13</v>
      </c>
      <c r="C1643" s="29" t="s">
        <v>1474</v>
      </c>
      <c r="D1643" s="29" t="s">
        <v>1469</v>
      </c>
      <c r="E1643" s="29">
        <v>0</v>
      </c>
      <c r="F1643" s="29" t="s">
        <v>1470</v>
      </c>
      <c r="G1643" s="30"/>
      <c r="H1643" s="3" t="str">
        <f t="shared" si="11"/>
        <v>{资产账户编号},</v>
      </c>
      <c r="J1643" s="3" t="s">
        <v>10</v>
      </c>
      <c r="N1643" s="3">
        <v>2534</v>
      </c>
    </row>
    <row r="1644" spans="1:14" s="3" customFormat="1" hidden="1" outlineLevel="1" x14ac:dyDescent="0.25">
      <c r="B1644" s="28" t="s">
        <v>11</v>
      </c>
      <c r="C1644" s="29" t="s">
        <v>1472</v>
      </c>
      <c r="D1644" s="29" t="s">
        <v>1469</v>
      </c>
      <c r="E1644" s="29">
        <v>0</v>
      </c>
      <c r="F1644" s="29" t="s">
        <v>1470</v>
      </c>
      <c r="G1644" s="30" t="s">
        <v>1473</v>
      </c>
      <c r="H1644" s="3" t="str">
        <f t="shared" si="11"/>
        <v>{交易组编号},</v>
      </c>
      <c r="J1644" s="3" t="s">
        <v>12</v>
      </c>
      <c r="N1644" s="3">
        <v>1700</v>
      </c>
    </row>
    <row r="1645" spans="1:14" s="3" customFormat="1" hidden="1" outlineLevel="1" x14ac:dyDescent="0.25">
      <c r="B1645" s="28" t="s">
        <v>14</v>
      </c>
      <c r="C1645" s="29" t="s">
        <v>1475</v>
      </c>
      <c r="D1645" s="29" t="s">
        <v>1469</v>
      </c>
      <c r="E1645" s="29">
        <v>0</v>
      </c>
      <c r="F1645" s="29" t="s">
        <v>1476</v>
      </c>
      <c r="G1645" s="30" t="s">
        <v>1477</v>
      </c>
      <c r="H1645" s="3" t="str">
        <f t="shared" si="11"/>
        <v>{市场编号},</v>
      </c>
      <c r="J1645" s="3" t="s">
        <v>10</v>
      </c>
      <c r="N1645" s="3">
        <v>2155</v>
      </c>
    </row>
    <row r="1646" spans="1:14" s="3" customFormat="1" hidden="1" outlineLevel="1" x14ac:dyDescent="0.25">
      <c r="B1646" s="28" t="s">
        <v>100</v>
      </c>
      <c r="C1646" s="29" t="s">
        <v>1543</v>
      </c>
      <c r="D1646" s="29" t="s">
        <v>1469</v>
      </c>
      <c r="E1646" s="29">
        <v>0</v>
      </c>
      <c r="F1646" s="29" t="s">
        <v>1476</v>
      </c>
      <c r="G1646" s="30" t="s">
        <v>1544</v>
      </c>
      <c r="H1646" s="3" t="str">
        <f t="shared" si="11"/>
        <v>{投资类型},</v>
      </c>
      <c r="J1646" s="3" t="s">
        <v>10</v>
      </c>
      <c r="N1646" s="3">
        <v>2237</v>
      </c>
    </row>
    <row r="1647" spans="1:14" s="3" customFormat="1" hidden="1" outlineLevel="1" x14ac:dyDescent="0.25">
      <c r="B1647" s="28" t="s">
        <v>15</v>
      </c>
      <c r="C1647" s="29" t="s">
        <v>1478</v>
      </c>
      <c r="D1647" s="29" t="s">
        <v>1469</v>
      </c>
      <c r="E1647" s="29">
        <v>0</v>
      </c>
      <c r="F1647" s="29" t="s">
        <v>1470</v>
      </c>
      <c r="G1647" s="30"/>
      <c r="H1647" s="3" t="str">
        <f t="shared" si="11"/>
        <v>{证券代码编号},</v>
      </c>
      <c r="J1647" s="3" t="s">
        <v>10</v>
      </c>
      <c r="N1647" s="3">
        <v>2430</v>
      </c>
    </row>
    <row r="1648" spans="1:14" s="3" customFormat="1" hidden="1" outlineLevel="1" x14ac:dyDescent="0.25">
      <c r="B1648" s="28" t="s">
        <v>87</v>
      </c>
      <c r="C1648" s="29" t="s">
        <v>1535</v>
      </c>
      <c r="D1648" s="29" t="s">
        <v>1469</v>
      </c>
      <c r="E1648" s="29">
        <v>0</v>
      </c>
      <c r="F1648" s="29" t="s">
        <v>1476</v>
      </c>
      <c r="G1648" s="30"/>
      <c r="H1648" s="3" t="str">
        <f t="shared" si="11"/>
        <v>{证券类型},</v>
      </c>
      <c r="J1648" s="3" t="s">
        <v>10</v>
      </c>
      <c r="N1648" s="3">
        <v>2433</v>
      </c>
    </row>
    <row r="1649" spans="2:14" s="3" customFormat="1" hidden="1" outlineLevel="1" x14ac:dyDescent="0.25">
      <c r="B1649" s="28" t="s">
        <v>116</v>
      </c>
      <c r="C1649" s="29" t="s">
        <v>1559</v>
      </c>
      <c r="D1649" s="29" t="s">
        <v>1486</v>
      </c>
      <c r="E1649" s="29">
        <v>0</v>
      </c>
      <c r="F1649" s="29" t="s">
        <v>1470</v>
      </c>
      <c r="G1649" s="30" t="s">
        <v>1560</v>
      </c>
      <c r="H1649" s="3" t="str">
        <f t="shared" si="11"/>
        <v>{期初数量},</v>
      </c>
      <c r="J1649" s="3" t="s">
        <v>20</v>
      </c>
      <c r="N1649" s="3">
        <v>1986</v>
      </c>
    </row>
    <row r="1650" spans="2:14" s="3" customFormat="1" hidden="1" outlineLevel="1" x14ac:dyDescent="0.25">
      <c r="B1650" s="28" t="s">
        <v>75</v>
      </c>
      <c r="C1650" s="29" t="s">
        <v>1530</v>
      </c>
      <c r="D1650" s="29" t="s">
        <v>1486</v>
      </c>
      <c r="E1650" s="29">
        <v>0</v>
      </c>
      <c r="F1650" s="29" t="s">
        <v>1470</v>
      </c>
      <c r="G1650" s="30" t="s">
        <v>1531</v>
      </c>
      <c r="H1650" s="3" t="str">
        <f t="shared" si="11"/>
        <v>{当前数量},</v>
      </c>
      <c r="J1650" s="3" t="s">
        <v>20</v>
      </c>
      <c r="N1650" s="3">
        <v>1262</v>
      </c>
    </row>
    <row r="1651" spans="2:14" s="3" customFormat="1" hidden="1" outlineLevel="1" x14ac:dyDescent="0.25">
      <c r="B1651" s="28" t="s">
        <v>131</v>
      </c>
      <c r="C1651" s="29" t="s">
        <v>1568</v>
      </c>
      <c r="D1651" s="29" t="s">
        <v>1486</v>
      </c>
      <c r="E1651" s="29">
        <v>0</v>
      </c>
      <c r="F1651" s="29" t="s">
        <v>1470</v>
      </c>
      <c r="G1651" s="30" t="s">
        <v>1569</v>
      </c>
      <c r="H1651" s="3" t="str">
        <f t="shared" si="11"/>
        <v>{冻结数量},</v>
      </c>
      <c r="J1651" s="3" t="s">
        <v>20</v>
      </c>
      <c r="N1651" s="3">
        <v>1317</v>
      </c>
    </row>
    <row r="1652" spans="2:14" s="3" customFormat="1" hidden="1" outlineLevel="1" x14ac:dyDescent="0.25">
      <c r="B1652" s="28" t="s">
        <v>132</v>
      </c>
      <c r="C1652" s="29" t="s">
        <v>1570</v>
      </c>
      <c r="D1652" s="29" t="s">
        <v>1486</v>
      </c>
      <c r="E1652" s="29">
        <v>0</v>
      </c>
      <c r="F1652" s="29" t="s">
        <v>1470</v>
      </c>
      <c r="G1652" s="30" t="s">
        <v>1571</v>
      </c>
      <c r="H1652" s="3" t="str">
        <f t="shared" si="11"/>
        <v>{解冻数量},</v>
      </c>
      <c r="J1652" s="3" t="s">
        <v>20</v>
      </c>
      <c r="N1652" s="3">
        <v>1721</v>
      </c>
    </row>
    <row r="1653" spans="2:14" s="3" customFormat="1" hidden="1" outlineLevel="1" x14ac:dyDescent="0.25">
      <c r="B1653" s="28" t="s">
        <v>143</v>
      </c>
      <c r="C1653" s="29" t="s">
        <v>1581</v>
      </c>
      <c r="D1653" s="29" t="s">
        <v>1486</v>
      </c>
      <c r="E1653" s="29">
        <v>0</v>
      </c>
      <c r="F1653" s="29"/>
      <c r="G1653" s="30" t="s">
        <v>1582</v>
      </c>
      <c r="H1653" s="3" t="str">
        <f t="shared" si="11"/>
        <v>{交易端可用数量},</v>
      </c>
      <c r="J1653" s="3" t="s">
        <v>20</v>
      </c>
      <c r="N1653" s="3">
        <v>1677</v>
      </c>
    </row>
    <row r="1654" spans="2:14" s="3" customFormat="1" hidden="1" outlineLevel="1" x14ac:dyDescent="0.25">
      <c r="B1654" s="28" t="s">
        <v>144</v>
      </c>
      <c r="C1654" s="29" t="s">
        <v>1583</v>
      </c>
      <c r="D1654" s="29" t="s">
        <v>1486</v>
      </c>
      <c r="E1654" s="29">
        <v>0</v>
      </c>
      <c r="F1654" s="29"/>
      <c r="G1654" s="30" t="s">
        <v>1582</v>
      </c>
      <c r="H1654" s="3" t="str">
        <f t="shared" si="11"/>
        <v>{指令端可用数量},</v>
      </c>
      <c r="J1654" s="3" t="s">
        <v>20</v>
      </c>
      <c r="N1654" s="3">
        <v>2459</v>
      </c>
    </row>
    <row r="1655" spans="2:14" s="3" customFormat="1" hidden="1" outlineLevel="1" x14ac:dyDescent="0.25">
      <c r="B1655" s="28" t="s">
        <v>117</v>
      </c>
      <c r="C1655" s="29" t="s">
        <v>1561</v>
      </c>
      <c r="D1655" s="29" t="s">
        <v>1489</v>
      </c>
      <c r="E1655" s="29">
        <v>0</v>
      </c>
      <c r="F1655" s="29" t="s">
        <v>1470</v>
      </c>
      <c r="G1655" s="30"/>
      <c r="H1655" s="3" t="str">
        <f t="shared" ref="H1655:H1663" si="12">"{"&amp;B1655&amp;"},"</f>
        <v>{成本金额},</v>
      </c>
      <c r="J1655" s="3" t="s">
        <v>20</v>
      </c>
      <c r="N1655" s="3">
        <v>1163</v>
      </c>
    </row>
    <row r="1656" spans="2:14" s="3" customFormat="1" hidden="1" outlineLevel="1" x14ac:dyDescent="0.25">
      <c r="B1656" s="28" t="s">
        <v>24</v>
      </c>
      <c r="C1656" s="29" t="s">
        <v>1491</v>
      </c>
      <c r="D1656" s="29" t="s">
        <v>1489</v>
      </c>
      <c r="E1656" s="29">
        <v>0</v>
      </c>
      <c r="F1656" s="29" t="s">
        <v>1470</v>
      </c>
      <c r="G1656" s="30"/>
      <c r="H1656" s="3" t="str">
        <f t="shared" si="12"/>
        <v>{实现盈亏},</v>
      </c>
      <c r="J1656" s="3" t="s">
        <v>20</v>
      </c>
      <c r="N1656" s="3">
        <v>2153</v>
      </c>
    </row>
    <row r="1657" spans="2:14" s="3" customFormat="1" hidden="1" outlineLevel="1" x14ac:dyDescent="0.25">
      <c r="B1657" s="28" t="s">
        <v>140</v>
      </c>
      <c r="C1657" s="29" t="s">
        <v>1578</v>
      </c>
      <c r="D1657" s="29" t="s">
        <v>1489</v>
      </c>
      <c r="E1657" s="29">
        <v>0</v>
      </c>
      <c r="F1657" s="29" t="s">
        <v>1470</v>
      </c>
      <c r="G1657" s="30"/>
      <c r="H1657" s="3" t="str">
        <f t="shared" si="12"/>
        <v>{利息成本金额},</v>
      </c>
      <c r="J1657" s="3" t="s">
        <v>20</v>
      </c>
      <c r="N1657" s="3">
        <v>1852</v>
      </c>
    </row>
    <row r="1658" spans="2:14" s="3" customFormat="1" hidden="1" outlineLevel="1" x14ac:dyDescent="0.25">
      <c r="B1658" s="28" t="s">
        <v>141</v>
      </c>
      <c r="C1658" s="29" t="s">
        <v>1579</v>
      </c>
      <c r="D1658" s="29" t="s">
        <v>1489</v>
      </c>
      <c r="E1658" s="29">
        <v>0</v>
      </c>
      <c r="F1658" s="29" t="s">
        <v>1470</v>
      </c>
      <c r="G1658" s="30"/>
      <c r="H1658" s="3" t="str">
        <f t="shared" si="12"/>
        <v>{利息收益},</v>
      </c>
      <c r="J1658" s="3" t="s">
        <v>20</v>
      </c>
      <c r="N1658" s="3">
        <v>1857</v>
      </c>
    </row>
    <row r="1659" spans="2:14" s="3" customFormat="1" hidden="1" outlineLevel="1" x14ac:dyDescent="0.25">
      <c r="B1659" s="28" t="s">
        <v>90</v>
      </c>
      <c r="C1659" s="29" t="s">
        <v>1538</v>
      </c>
      <c r="D1659" s="29" t="s">
        <v>1539</v>
      </c>
      <c r="E1659" s="29">
        <v>0</v>
      </c>
      <c r="F1659" s="29" t="s">
        <v>1470</v>
      </c>
      <c r="G1659" s="30" t="s">
        <v>1540</v>
      </c>
      <c r="H1659" s="3" t="str">
        <f t="shared" si="12"/>
        <v>{成本价},</v>
      </c>
      <c r="J1659" s="3" t="s">
        <v>20</v>
      </c>
      <c r="N1659" s="3">
        <v>1162</v>
      </c>
    </row>
    <row r="1660" spans="2:14" s="3" customFormat="1" hidden="1" outlineLevel="1" x14ac:dyDescent="0.25">
      <c r="B1660" s="28" t="s">
        <v>115</v>
      </c>
      <c r="C1660" s="29" t="s">
        <v>1558</v>
      </c>
      <c r="D1660" s="29" t="s">
        <v>1539</v>
      </c>
      <c r="E1660" s="29">
        <v>0</v>
      </c>
      <c r="F1660" s="29" t="s">
        <v>1470</v>
      </c>
      <c r="G1660" s="30"/>
      <c r="H1660" s="3" t="str">
        <f t="shared" si="12"/>
        <v>{最新价},</v>
      </c>
      <c r="J1660" s="3" t="s">
        <v>20</v>
      </c>
      <c r="N1660" s="3">
        <v>2586</v>
      </c>
    </row>
    <row r="1661" spans="2:14" s="3" customFormat="1" hidden="1" outlineLevel="1" x14ac:dyDescent="0.25">
      <c r="B1661" s="28" t="s">
        <v>327</v>
      </c>
      <c r="C1661" s="29" t="s">
        <v>1745</v>
      </c>
      <c r="D1661" s="29" t="s">
        <v>1539</v>
      </c>
      <c r="E1661" s="29">
        <v>0</v>
      </c>
      <c r="F1661" s="29" t="s">
        <v>1470</v>
      </c>
      <c r="G1661" s="30"/>
      <c r="H1661" s="3" t="str">
        <f t="shared" si="12"/>
        <v>{昨收盘价},</v>
      </c>
      <c r="J1661" s="3" t="s">
        <v>20</v>
      </c>
      <c r="N1661" s="3">
        <v>2597</v>
      </c>
    </row>
    <row r="1662" spans="2:14" s="3" customFormat="1" hidden="1" outlineLevel="1" x14ac:dyDescent="0.25">
      <c r="B1662" s="28" t="s">
        <v>268</v>
      </c>
      <c r="C1662" s="29" t="s">
        <v>1695</v>
      </c>
      <c r="D1662" s="29" t="s">
        <v>1489</v>
      </c>
      <c r="E1662" s="29">
        <v>0</v>
      </c>
      <c r="F1662" s="29" t="s">
        <v>1470</v>
      </c>
      <c r="G1662" s="30"/>
      <c r="H1662" s="3" t="str">
        <f t="shared" si="12"/>
        <v>{净资产},</v>
      </c>
      <c r="J1662" s="3" t="s">
        <v>20</v>
      </c>
      <c r="N1662" s="3">
        <v>1741</v>
      </c>
    </row>
    <row r="1663" spans="2:14" s="3" customFormat="1" hidden="1" outlineLevel="1" x14ac:dyDescent="0.25">
      <c r="B1663" s="28" t="s">
        <v>62</v>
      </c>
      <c r="C1663" s="29" t="s">
        <v>1525</v>
      </c>
      <c r="D1663" s="29" t="s">
        <v>1489</v>
      </c>
      <c r="E1663" s="29">
        <v>0</v>
      </c>
      <c r="F1663" s="29"/>
      <c r="G1663" s="30"/>
      <c r="H1663" s="3" t="str">
        <f t="shared" si="12"/>
        <v>{持仓市值},</v>
      </c>
      <c r="J1663" s="3" t="s">
        <v>20</v>
      </c>
      <c r="N1663" s="3">
        <v>1202</v>
      </c>
    </row>
    <row r="1664" spans="2:14" s="3" customFormat="1" hidden="1" outlineLevel="1" x14ac:dyDescent="0.25">
      <c r="B1664" s="28" t="s">
        <v>95</v>
      </c>
      <c r="C1664" s="29" t="s">
        <v>1542</v>
      </c>
      <c r="D1664" s="29" t="s">
        <v>1494</v>
      </c>
      <c r="E1664" s="29">
        <v>0</v>
      </c>
      <c r="F1664" s="29"/>
      <c r="G1664" s="30"/>
      <c r="H1664" s="3" t="str">
        <f t="shared" ref="H1664:H1667" si="13">"{"&amp;B1664&amp;"},"</f>
        <v>{持仓净值占比},</v>
      </c>
      <c r="J1664" s="3" t="s">
        <v>20</v>
      </c>
      <c r="N1664" s="3">
        <v>1197</v>
      </c>
    </row>
    <row r="1665" spans="1:14" s="3" customFormat="1" hidden="1" outlineLevel="1" x14ac:dyDescent="0.25">
      <c r="B1665" s="28" t="s">
        <v>147</v>
      </c>
      <c r="C1665" s="29" t="s">
        <v>1586</v>
      </c>
      <c r="D1665" s="29" t="s">
        <v>1489</v>
      </c>
      <c r="E1665" s="29">
        <v>0</v>
      </c>
      <c r="F1665" s="29"/>
      <c r="G1665" s="30"/>
      <c r="H1665" s="3" t="str">
        <f t="shared" si="13"/>
        <v>{全价持仓市值},</v>
      </c>
      <c r="J1665" s="3" t="s">
        <v>20</v>
      </c>
    </row>
    <row r="1666" spans="1:14" s="3" customFormat="1" hidden="1" outlineLevel="1" x14ac:dyDescent="0.25">
      <c r="B1666" s="28" t="s">
        <v>118</v>
      </c>
      <c r="C1666" s="29" t="s">
        <v>1562</v>
      </c>
      <c r="D1666" s="29" t="s">
        <v>1489</v>
      </c>
      <c r="E1666" s="29">
        <v>0</v>
      </c>
      <c r="F1666" s="29"/>
      <c r="G1666" s="30"/>
      <c r="H1666" s="3" t="str">
        <f t="shared" si="13"/>
        <v>{浮动盈亏},</v>
      </c>
      <c r="J1666" s="3" t="s">
        <v>20</v>
      </c>
      <c r="N1666" s="3">
        <v>1461</v>
      </c>
    </row>
    <row r="1667" spans="1:14" s="3" customFormat="1" hidden="1" outlineLevel="1" x14ac:dyDescent="0.25">
      <c r="B1667" s="28" t="s">
        <v>142</v>
      </c>
      <c r="C1667" s="29" t="s">
        <v>1580</v>
      </c>
      <c r="D1667" s="29" t="s">
        <v>1494</v>
      </c>
      <c r="E1667" s="29">
        <v>0</v>
      </c>
      <c r="F1667" s="29"/>
      <c r="G1667" s="30"/>
      <c r="H1667" s="3" t="str">
        <f t="shared" si="13"/>
        <v>{盈亏比例},</v>
      </c>
      <c r="J1667" s="3" t="s">
        <v>20</v>
      </c>
      <c r="N1667" s="3">
        <v>2346</v>
      </c>
    </row>
    <row r="1668" spans="1:14" s="3" customFormat="1" hidden="1" outlineLevel="1" x14ac:dyDescent="0.25">
      <c r="B1668" s="28" t="s">
        <v>146</v>
      </c>
      <c r="C1668" s="29" t="s">
        <v>1585</v>
      </c>
      <c r="D1668" s="29" t="s">
        <v>1489</v>
      </c>
      <c r="E1668" s="29">
        <v>0</v>
      </c>
      <c r="F1668" s="29"/>
      <c r="G1668" s="30"/>
      <c r="H1668" s="3" t="str">
        <f t="shared" ref="H1668:H1669" si="14">"{"&amp;B1668&amp;"},"</f>
        <v>{债券应收利息},</v>
      </c>
      <c r="J1668" s="3" t="s">
        <v>20</v>
      </c>
    </row>
    <row r="1669" spans="1:14" s="3" customFormat="1" hidden="1" outlineLevel="1" x14ac:dyDescent="0.25">
      <c r="B1669" s="28" t="s">
        <v>148</v>
      </c>
      <c r="C1669" s="29" t="s">
        <v>1587</v>
      </c>
      <c r="D1669" s="29" t="s">
        <v>1486</v>
      </c>
      <c r="E1669" s="29">
        <v>0</v>
      </c>
      <c r="F1669" s="29" t="s">
        <v>1470</v>
      </c>
      <c r="G1669" s="30"/>
      <c r="H1669" s="3" t="str">
        <f t="shared" si="14"/>
        <v>{质押数量},</v>
      </c>
      <c r="J1669" s="3" t="s">
        <v>20</v>
      </c>
      <c r="N1669" s="3">
        <v>2511</v>
      </c>
    </row>
    <row r="1670" spans="1:14" s="4" customFormat="1" ht="17.399999999999999" hidden="1" customHeight="1" outlineLevel="1" thickBot="1" x14ac:dyDescent="0.4">
      <c r="A1670" s="5"/>
      <c r="B1670" s="333" t="s">
        <v>335</v>
      </c>
      <c r="C1670" s="330" t="s">
        <v>2337</v>
      </c>
      <c r="D1670" s="330" t="s">
        <v>2338</v>
      </c>
      <c r="E1670" s="330" t="s">
        <v>2339</v>
      </c>
      <c r="F1670" s="332" t="s">
        <v>2336</v>
      </c>
      <c r="G1670" s="331" t="s">
        <v>2340</v>
      </c>
      <c r="H1670" s="5"/>
      <c r="I1670" s="5"/>
      <c r="J1670" s="5"/>
      <c r="K1670" s="5"/>
      <c r="L1670" s="5"/>
      <c r="M1670" s="5"/>
    </row>
    <row r="1671" spans="1:14" s="3" customFormat="1" ht="17.399999999999999" hidden="1" customHeight="1" outlineLevel="1" x14ac:dyDescent="0.25">
      <c r="A1671" s="5"/>
      <c r="B1671" s="401" t="s">
        <v>29</v>
      </c>
      <c r="C1671" s="402"/>
      <c r="D1671" s="402"/>
      <c r="E1671" s="402"/>
      <c r="F1671" s="402"/>
      <c r="G1671" s="403"/>
    </row>
    <row r="1672" spans="1:14" s="3" customFormat="1" hidden="1" outlineLevel="1" x14ac:dyDescent="0.25">
      <c r="B1672" s="28"/>
      <c r="C1672" s="29"/>
      <c r="D1672" s="29"/>
      <c r="E1672" s="29"/>
      <c r="F1672" s="29"/>
      <c r="G1672" s="30"/>
    </row>
    <row r="1673" spans="1:14" s="3" customFormat="1" hidden="1" outlineLevel="1" x14ac:dyDescent="0.25">
      <c r="B1673" s="28" t="s">
        <v>342</v>
      </c>
      <c r="C1673" s="29"/>
      <c r="D1673" s="29"/>
      <c r="E1673" s="29"/>
      <c r="F1673" s="29"/>
      <c r="G1673" s="30"/>
    </row>
    <row r="1674" spans="1:14" s="4" customFormat="1" ht="17.399999999999999" hidden="1" customHeight="1" outlineLevel="1" x14ac:dyDescent="0.35">
      <c r="A1674" s="5"/>
      <c r="B1674" s="67" t="s">
        <v>30</v>
      </c>
      <c r="C1674" s="65"/>
      <c r="D1674" s="65"/>
      <c r="E1674" s="65"/>
      <c r="F1674" s="65"/>
      <c r="G1674" s="371" t="s">
        <v>2357</v>
      </c>
      <c r="H1674" s="5"/>
      <c r="I1674" s="5"/>
      <c r="J1674" s="5"/>
      <c r="K1674" s="5"/>
      <c r="L1674" s="5"/>
      <c r="M1674" s="5"/>
    </row>
    <row r="1675" spans="1:14" s="3" customFormat="1" hidden="1" outlineLevel="1" x14ac:dyDescent="0.25">
      <c r="B1675" s="28" t="s">
        <v>343</v>
      </c>
      <c r="C1675" s="29"/>
      <c r="D1675" s="29"/>
      <c r="E1675" s="29"/>
      <c r="F1675" s="29"/>
      <c r="G1675" s="375" t="s">
        <v>2390</v>
      </c>
    </row>
    <row r="1676" spans="1:14" s="3" customFormat="1" ht="16.2" hidden="1" outlineLevel="1" thickBot="1" x14ac:dyDescent="0.3">
      <c r="B1676" s="163"/>
      <c r="C1676" s="164"/>
      <c r="D1676" s="164"/>
      <c r="E1676" s="164"/>
      <c r="F1676" s="164"/>
      <c r="G1676" s="165"/>
    </row>
    <row r="1677" spans="1:14" s="3" customFormat="1" ht="17.399999999999999" hidden="1" customHeight="1" outlineLevel="1" thickBot="1" x14ac:dyDescent="0.3">
      <c r="A1677" s="5"/>
    </row>
    <row r="1678" spans="1:14" s="3" customFormat="1" ht="17.399999999999999" customHeight="1" collapsed="1" thickBot="1" x14ac:dyDescent="0.3">
      <c r="A1678" s="5"/>
      <c r="B1678" s="15" t="s">
        <v>1279</v>
      </c>
      <c r="C1678" s="16" t="s">
        <v>1410</v>
      </c>
      <c r="D1678" s="17" t="s">
        <v>1281</v>
      </c>
      <c r="E1678" s="16" t="s">
        <v>344</v>
      </c>
      <c r="F1678" s="17" t="s">
        <v>1282</v>
      </c>
      <c r="G1678" s="18" t="s">
        <v>1411</v>
      </c>
    </row>
    <row r="1679" spans="1:14" s="3" customFormat="1" ht="17.399999999999999" hidden="1" customHeight="1" outlineLevel="1" x14ac:dyDescent="0.25">
      <c r="A1679" s="5"/>
      <c r="B1679" s="19" t="s">
        <v>1284</v>
      </c>
      <c r="C1679" s="20" t="s">
        <v>1285</v>
      </c>
      <c r="D1679" s="21" t="s">
        <v>1286</v>
      </c>
      <c r="E1679" s="20" t="s">
        <v>1412</v>
      </c>
      <c r="F1679" s="21" t="s">
        <v>1288</v>
      </c>
      <c r="G1679" s="22"/>
    </row>
    <row r="1680" spans="1:14" s="3" customFormat="1" ht="17.399999999999999" hidden="1" customHeight="1" outlineLevel="1" thickBot="1" x14ac:dyDescent="0.3">
      <c r="A1680" s="5"/>
      <c r="B1680" s="19" t="s">
        <v>1290</v>
      </c>
      <c r="C1680" s="23" t="s">
        <v>1291</v>
      </c>
      <c r="D1680" s="21" t="s">
        <v>1292</v>
      </c>
      <c r="E1680" s="23">
        <v>5</v>
      </c>
      <c r="F1680" s="21" t="s">
        <v>1293</v>
      </c>
      <c r="G1680" s="24" t="s">
        <v>1294</v>
      </c>
    </row>
    <row r="1681" spans="1:14" s="3" customFormat="1" ht="17.399999999999999" hidden="1" customHeight="1" outlineLevel="1" x14ac:dyDescent="0.25">
      <c r="A1681" s="5"/>
      <c r="B1681" s="395" t="s">
        <v>1</v>
      </c>
      <c r="C1681" s="396"/>
      <c r="D1681" s="396"/>
      <c r="E1681" s="396"/>
      <c r="F1681" s="396"/>
      <c r="G1681" s="397"/>
    </row>
    <row r="1682" spans="1:14" s="3" customFormat="1" ht="17.399999999999999" hidden="1" customHeight="1" outlineLevel="1" x14ac:dyDescent="0.25">
      <c r="A1682" s="5"/>
      <c r="B1682" s="25" t="s">
        <v>2</v>
      </c>
      <c r="C1682" s="26" t="s">
        <v>3</v>
      </c>
      <c r="D1682" s="26" t="s">
        <v>4</v>
      </c>
      <c r="E1682" s="26" t="s">
        <v>5</v>
      </c>
      <c r="F1682" s="26"/>
      <c r="G1682" s="27" t="s">
        <v>6</v>
      </c>
    </row>
    <row r="1683" spans="1:14" s="3" customFormat="1" hidden="1" outlineLevel="1" x14ac:dyDescent="0.25">
      <c r="B1683" s="28" t="s">
        <v>7</v>
      </c>
      <c r="C1683" s="29" t="s">
        <v>1468</v>
      </c>
      <c r="D1683" s="29" t="s">
        <v>1469</v>
      </c>
      <c r="E1683" s="29">
        <v>0</v>
      </c>
      <c r="F1683" s="29" t="s">
        <v>1470</v>
      </c>
      <c r="G1683" s="30" t="s">
        <v>1471</v>
      </c>
      <c r="J1683" s="3" t="s">
        <v>10</v>
      </c>
      <c r="N1683" s="3">
        <v>1112</v>
      </c>
    </row>
    <row r="1684" spans="1:14" s="3" customFormat="1" hidden="1" outlineLevel="1" x14ac:dyDescent="0.25">
      <c r="B1684" s="28" t="s">
        <v>345</v>
      </c>
      <c r="C1684" s="29" t="s">
        <v>1754</v>
      </c>
      <c r="D1684" s="29" t="s">
        <v>1469</v>
      </c>
      <c r="E1684" s="29">
        <v>0</v>
      </c>
      <c r="F1684" s="29" t="s">
        <v>1470</v>
      </c>
      <c r="G1684" s="30"/>
    </row>
    <row r="1685" spans="1:14" s="3" customFormat="1" hidden="1" outlineLevel="1" x14ac:dyDescent="0.25">
      <c r="B1685" s="28" t="s">
        <v>128</v>
      </c>
      <c r="C1685" s="29" t="s">
        <v>1566</v>
      </c>
      <c r="D1685" s="29" t="s">
        <v>1567</v>
      </c>
      <c r="E1685" s="29">
        <v>0</v>
      </c>
      <c r="F1685" s="29" t="s">
        <v>1470</v>
      </c>
      <c r="G1685" s="30"/>
      <c r="J1685" s="3" t="s">
        <v>12</v>
      </c>
      <c r="N1685" s="3">
        <v>1629</v>
      </c>
    </row>
    <row r="1686" spans="1:14" s="3" customFormat="1" hidden="1" outlineLevel="1" x14ac:dyDescent="0.25">
      <c r="B1686" s="28" t="s">
        <v>114</v>
      </c>
      <c r="C1686" s="29" t="s">
        <v>1557</v>
      </c>
      <c r="D1686" s="29" t="s">
        <v>1469</v>
      </c>
      <c r="E1686" s="29">
        <v>-1</v>
      </c>
      <c r="F1686" s="29" t="s">
        <v>1470</v>
      </c>
      <c r="G1686" s="30"/>
      <c r="J1686" s="3" t="s">
        <v>10</v>
      </c>
      <c r="N1686" s="3">
        <v>2449</v>
      </c>
    </row>
    <row r="1687" spans="1:14" s="3" customFormat="1" hidden="1" outlineLevel="1" x14ac:dyDescent="0.25">
      <c r="B1687" s="28"/>
      <c r="C1687" s="29"/>
      <c r="D1687" s="29"/>
      <c r="E1687" s="29"/>
      <c r="F1687" s="29"/>
      <c r="G1687" s="30"/>
    </row>
    <row r="1688" spans="1:14" s="3" customFormat="1" ht="17.399999999999999" hidden="1" customHeight="1" outlineLevel="1" x14ac:dyDescent="0.25">
      <c r="A1688" s="5"/>
      <c r="B1688" s="398" t="s">
        <v>18</v>
      </c>
      <c r="C1688" s="399"/>
      <c r="D1688" s="399"/>
      <c r="E1688" s="399"/>
      <c r="F1688" s="399"/>
      <c r="G1688" s="400"/>
    </row>
    <row r="1689" spans="1:14" s="3" customFormat="1" ht="17.399999999999999" hidden="1" customHeight="1" outlineLevel="1" x14ac:dyDescent="0.25">
      <c r="A1689" s="5"/>
      <c r="B1689" s="25" t="s">
        <v>2</v>
      </c>
      <c r="C1689" s="26" t="s">
        <v>3</v>
      </c>
      <c r="D1689" s="26" t="s">
        <v>4</v>
      </c>
      <c r="E1689" s="26" t="s">
        <v>5</v>
      </c>
      <c r="F1689" s="26"/>
      <c r="G1689" s="27" t="s">
        <v>6</v>
      </c>
    </row>
    <row r="1690" spans="1:14" s="3" customFormat="1" hidden="1" outlineLevel="1" x14ac:dyDescent="0.25">
      <c r="B1690" s="28" t="s">
        <v>128</v>
      </c>
      <c r="C1690" s="29" t="s">
        <v>1566</v>
      </c>
      <c r="D1690" s="29" t="s">
        <v>1567</v>
      </c>
      <c r="E1690" s="29">
        <v>0</v>
      </c>
      <c r="F1690" s="29" t="s">
        <v>1470</v>
      </c>
      <c r="G1690" s="30"/>
      <c r="H1690" s="3" t="str">
        <f>"{"&amp;B1690&amp;"},"</f>
        <v>{记录序号},</v>
      </c>
      <c r="J1690" s="3" t="s">
        <v>12</v>
      </c>
      <c r="N1690" s="3">
        <v>1629</v>
      </c>
    </row>
    <row r="1691" spans="1:14" s="3" customFormat="1" hidden="1" outlineLevel="1" x14ac:dyDescent="0.25">
      <c r="B1691" s="28" t="s">
        <v>16</v>
      </c>
      <c r="C1691" s="29" t="s">
        <v>1479</v>
      </c>
      <c r="D1691" s="29" t="s">
        <v>1469</v>
      </c>
      <c r="E1691" s="29" t="s">
        <v>1480</v>
      </c>
      <c r="F1691" s="29" t="s">
        <v>1481</v>
      </c>
      <c r="G1691" s="30" t="s">
        <v>1482</v>
      </c>
      <c r="H1691" s="3" t="str">
        <f t="shared" ref="H1691:H1708" si="15">"{"&amp;B1691&amp;"},"</f>
        <v>{初始化日期},</v>
      </c>
      <c r="J1691" s="3" t="s">
        <v>10</v>
      </c>
      <c r="N1691" s="3">
        <v>1211</v>
      </c>
    </row>
    <row r="1692" spans="1:14" s="3" customFormat="1" hidden="1" outlineLevel="1" x14ac:dyDescent="0.25">
      <c r="B1692" s="28" t="s">
        <v>112</v>
      </c>
      <c r="C1692" s="29" t="s">
        <v>1555</v>
      </c>
      <c r="D1692" s="29" t="s">
        <v>1469</v>
      </c>
      <c r="E1692" s="29">
        <v>0</v>
      </c>
      <c r="F1692" s="29" t="s">
        <v>1470</v>
      </c>
      <c r="G1692" s="30" t="s">
        <v>1556</v>
      </c>
      <c r="H1692" s="3" t="str">
        <f t="shared" si="15"/>
        <v>{机构编号},</v>
      </c>
      <c r="J1692" s="3" t="s">
        <v>10</v>
      </c>
      <c r="N1692" s="3">
        <v>1606</v>
      </c>
    </row>
    <row r="1693" spans="1:14" s="3" customFormat="1" hidden="1" outlineLevel="1" x14ac:dyDescent="0.25">
      <c r="B1693" s="28" t="s">
        <v>7</v>
      </c>
      <c r="C1693" s="29" t="s">
        <v>1468</v>
      </c>
      <c r="D1693" s="29" t="s">
        <v>1469</v>
      </c>
      <c r="E1693" s="29">
        <v>0</v>
      </c>
      <c r="F1693" s="29" t="s">
        <v>1470</v>
      </c>
      <c r="G1693" s="30" t="s">
        <v>1471</v>
      </c>
      <c r="H1693" s="3" t="str">
        <f t="shared" si="15"/>
        <v>{产品编号},</v>
      </c>
      <c r="J1693" s="3" t="s">
        <v>10</v>
      </c>
      <c r="N1693" s="3">
        <v>1112</v>
      </c>
    </row>
    <row r="1694" spans="1:14" s="3" customFormat="1" hidden="1" outlineLevel="1" x14ac:dyDescent="0.25">
      <c r="B1694" s="28" t="s">
        <v>13</v>
      </c>
      <c r="C1694" s="29" t="s">
        <v>1474</v>
      </c>
      <c r="D1694" s="29" t="s">
        <v>1469</v>
      </c>
      <c r="E1694" s="29">
        <v>0</v>
      </c>
      <c r="F1694" s="29" t="s">
        <v>1470</v>
      </c>
      <c r="G1694" s="30"/>
      <c r="H1694" s="3" t="str">
        <f t="shared" si="15"/>
        <v>{资产账户编号},</v>
      </c>
      <c r="J1694" s="3" t="s">
        <v>10</v>
      </c>
      <c r="N1694" s="3">
        <v>2534</v>
      </c>
    </row>
    <row r="1695" spans="1:14" s="3" customFormat="1" hidden="1" outlineLevel="1" x14ac:dyDescent="0.25">
      <c r="B1695" s="28" t="s">
        <v>14</v>
      </c>
      <c r="C1695" s="29" t="s">
        <v>1475</v>
      </c>
      <c r="D1695" s="29" t="s">
        <v>1469</v>
      </c>
      <c r="E1695" s="29">
        <v>0</v>
      </c>
      <c r="F1695" s="29" t="s">
        <v>1476</v>
      </c>
      <c r="G1695" s="30" t="s">
        <v>1477</v>
      </c>
      <c r="H1695" s="3" t="str">
        <f t="shared" si="15"/>
        <v>{市场编号},</v>
      </c>
      <c r="J1695" s="3" t="s">
        <v>10</v>
      </c>
      <c r="N1695" s="3">
        <v>2534</v>
      </c>
    </row>
    <row r="1696" spans="1:14" s="3" customFormat="1" hidden="1" outlineLevel="1" x14ac:dyDescent="0.25">
      <c r="B1696" s="28" t="s">
        <v>346</v>
      </c>
      <c r="C1696" s="29" t="s">
        <v>1755</v>
      </c>
      <c r="D1696" s="29" t="s">
        <v>1469</v>
      </c>
      <c r="E1696" s="29">
        <v>0</v>
      </c>
      <c r="F1696" s="29" t="s">
        <v>1470</v>
      </c>
      <c r="G1696" s="30"/>
      <c r="H1696" s="3" t="str">
        <f t="shared" si="15"/>
        <v>{交易编码编号},</v>
      </c>
      <c r="J1696" s="3" t="s">
        <v>10</v>
      </c>
      <c r="N1696" s="3">
        <v>2430</v>
      </c>
    </row>
    <row r="1697" spans="1:14" s="3" customFormat="1" hidden="1" outlineLevel="1" x14ac:dyDescent="0.25">
      <c r="B1697" s="28" t="s">
        <v>345</v>
      </c>
      <c r="C1697" s="29" t="s">
        <v>1754</v>
      </c>
      <c r="D1697" s="29" t="s">
        <v>1469</v>
      </c>
      <c r="E1697" s="29">
        <v>0</v>
      </c>
      <c r="F1697" s="29" t="s">
        <v>1470</v>
      </c>
      <c r="G1697" s="30"/>
      <c r="H1697" s="3" t="str">
        <f t="shared" si="15"/>
        <v>{合约代码编号},</v>
      </c>
      <c r="J1697" s="3" t="s">
        <v>10</v>
      </c>
      <c r="N1697" s="3">
        <v>2433</v>
      </c>
    </row>
    <row r="1698" spans="1:14" s="3" customFormat="1" hidden="1" outlineLevel="1" x14ac:dyDescent="0.25">
      <c r="B1698" s="28" t="s">
        <v>347</v>
      </c>
      <c r="C1698" s="29" t="s">
        <v>1756</v>
      </c>
      <c r="D1698" s="29" t="s">
        <v>1469</v>
      </c>
      <c r="E1698" s="29">
        <v>0</v>
      </c>
      <c r="F1698" s="29" t="s">
        <v>1476</v>
      </c>
      <c r="G1698" s="30"/>
      <c r="H1698" s="3" t="str">
        <f t="shared" si="15"/>
        <v>{多空类型},</v>
      </c>
      <c r="J1698" s="3" t="s">
        <v>10</v>
      </c>
      <c r="N1698" s="3">
        <v>2155</v>
      </c>
    </row>
    <row r="1699" spans="1:14" s="3" customFormat="1" hidden="1" outlineLevel="1" x14ac:dyDescent="0.25">
      <c r="B1699" s="28" t="s">
        <v>348</v>
      </c>
      <c r="C1699" s="29" t="s">
        <v>1757</v>
      </c>
      <c r="D1699" s="29" t="s">
        <v>1469</v>
      </c>
      <c r="E1699" s="29">
        <v>0</v>
      </c>
      <c r="F1699" s="29" t="s">
        <v>2341</v>
      </c>
      <c r="G1699" s="30" t="s">
        <v>2342</v>
      </c>
      <c r="H1699" s="3" t="str">
        <f t="shared" si="15"/>
        <v>{套保标志},</v>
      </c>
    </row>
    <row r="1700" spans="1:14" s="3" customFormat="1" hidden="1" outlineLevel="1" x14ac:dyDescent="0.25">
      <c r="B1700" s="28" t="s">
        <v>75</v>
      </c>
      <c r="C1700" s="29" t="s">
        <v>1530</v>
      </c>
      <c r="D1700" s="29" t="s">
        <v>1486</v>
      </c>
      <c r="E1700" s="29">
        <v>0</v>
      </c>
      <c r="F1700" s="29" t="s">
        <v>1470</v>
      </c>
      <c r="G1700" s="30" t="s">
        <v>1531</v>
      </c>
      <c r="H1700" s="3" t="str">
        <f t="shared" si="15"/>
        <v>{当前数量},</v>
      </c>
      <c r="J1700" s="3" t="s">
        <v>20</v>
      </c>
      <c r="N1700" s="3">
        <v>1202</v>
      </c>
    </row>
    <row r="1701" spans="1:14" s="3" customFormat="1" hidden="1" outlineLevel="1" x14ac:dyDescent="0.25">
      <c r="B1701" s="185" t="s">
        <v>349</v>
      </c>
      <c r="C1701" s="23" t="s">
        <v>1758</v>
      </c>
      <c r="D1701" s="23" t="s">
        <v>1539</v>
      </c>
      <c r="E1701" s="29">
        <v>0</v>
      </c>
      <c r="F1701" s="29" t="s">
        <v>1470</v>
      </c>
      <c r="G1701" s="30"/>
      <c r="H1701" s="3" t="str">
        <f t="shared" si="15"/>
        <v>{开仓价格},</v>
      </c>
      <c r="J1701" s="3" t="s">
        <v>10</v>
      </c>
      <c r="N1701" s="3">
        <v>2237</v>
      </c>
    </row>
    <row r="1702" spans="1:14" s="3" customFormat="1" hidden="1" outlineLevel="1" x14ac:dyDescent="0.25">
      <c r="B1702" s="185" t="s">
        <v>350</v>
      </c>
      <c r="C1702" s="23" t="s">
        <v>1759</v>
      </c>
      <c r="D1702" s="23" t="s">
        <v>1489</v>
      </c>
      <c r="E1702" s="29">
        <v>0</v>
      </c>
      <c r="F1702" s="29" t="s">
        <v>1470</v>
      </c>
      <c r="G1702" s="30"/>
      <c r="H1702" s="3" t="str">
        <f t="shared" si="15"/>
        <v>{盯市盈亏},</v>
      </c>
      <c r="J1702" s="3" t="s">
        <v>20</v>
      </c>
      <c r="N1702" s="3">
        <v>1986</v>
      </c>
    </row>
    <row r="1703" spans="1:14" s="3" customFormat="1" hidden="1" outlineLevel="1" x14ac:dyDescent="0.25">
      <c r="B1703" s="28" t="s">
        <v>351</v>
      </c>
      <c r="C1703" s="29" t="s">
        <v>1760</v>
      </c>
      <c r="D1703" s="29" t="s">
        <v>1489</v>
      </c>
      <c r="E1703" s="29">
        <v>0</v>
      </c>
      <c r="F1703" s="29" t="s">
        <v>1470</v>
      </c>
      <c r="G1703" s="30" t="s">
        <v>1761</v>
      </c>
      <c r="H1703" s="3" t="str">
        <f t="shared" si="15"/>
        <v>{应收保证金},</v>
      </c>
      <c r="J1703" s="3" t="s">
        <v>20</v>
      </c>
      <c r="N1703" s="3">
        <v>1262</v>
      </c>
    </row>
    <row r="1704" spans="1:14" s="3" customFormat="1" hidden="1" outlineLevel="1" x14ac:dyDescent="0.25">
      <c r="B1704" s="28" t="s">
        <v>138</v>
      </c>
      <c r="C1704" s="29" t="s">
        <v>1577</v>
      </c>
      <c r="D1704" s="29" t="s">
        <v>1486</v>
      </c>
      <c r="E1704" s="29">
        <v>0</v>
      </c>
      <c r="F1704" s="29" t="s">
        <v>1470</v>
      </c>
      <c r="G1704" s="30"/>
      <c r="H1704" s="3" t="str">
        <f t="shared" si="15"/>
        <v>{成交释放数量},</v>
      </c>
      <c r="J1704" s="3" t="s">
        <v>20</v>
      </c>
      <c r="N1704" s="3">
        <v>1317</v>
      </c>
    </row>
    <row r="1705" spans="1:14" s="3" customFormat="1" hidden="1" outlineLevel="1" x14ac:dyDescent="0.25">
      <c r="B1705" s="28" t="s">
        <v>352</v>
      </c>
      <c r="C1705" s="29" t="s">
        <v>1762</v>
      </c>
      <c r="D1705" s="29" t="s">
        <v>1486</v>
      </c>
      <c r="E1705" s="29">
        <v>0</v>
      </c>
      <c r="F1705" s="29"/>
      <c r="G1705" s="30"/>
      <c r="H1705" s="3" t="str">
        <f t="shared" si="15"/>
        <v>{今仓成交占用数量},</v>
      </c>
      <c r="J1705" s="3" t="s">
        <v>20</v>
      </c>
      <c r="N1705" s="3">
        <v>1721</v>
      </c>
    </row>
    <row r="1706" spans="1:14" s="3" customFormat="1" hidden="1" outlineLevel="1" x14ac:dyDescent="0.25">
      <c r="B1706" s="28" t="s">
        <v>62</v>
      </c>
      <c r="C1706" s="29" t="s">
        <v>1525</v>
      </c>
      <c r="D1706" s="23" t="s">
        <v>1489</v>
      </c>
      <c r="E1706" s="29">
        <v>0</v>
      </c>
      <c r="F1706" s="29"/>
      <c r="G1706" s="30"/>
      <c r="H1706" s="3" t="str">
        <f t="shared" si="15"/>
        <v>{持仓市值},</v>
      </c>
      <c r="J1706" s="3" t="s">
        <v>20</v>
      </c>
      <c r="N1706" s="3">
        <v>1875</v>
      </c>
    </row>
    <row r="1707" spans="1:14" s="3" customFormat="1" hidden="1" outlineLevel="1" x14ac:dyDescent="0.25">
      <c r="B1707" s="28" t="s">
        <v>95</v>
      </c>
      <c r="C1707" s="29" t="s">
        <v>1542</v>
      </c>
      <c r="D1707" s="29" t="s">
        <v>1494</v>
      </c>
      <c r="E1707" s="29">
        <v>0</v>
      </c>
      <c r="F1707" s="29"/>
      <c r="G1707" s="30"/>
      <c r="H1707" s="3" t="str">
        <f t="shared" si="15"/>
        <v>{持仓净值占比},</v>
      </c>
      <c r="J1707" s="3" t="s">
        <v>20</v>
      </c>
      <c r="N1707" s="3">
        <v>1891</v>
      </c>
    </row>
    <row r="1708" spans="1:14" s="3" customFormat="1" hidden="1" outlineLevel="1" x14ac:dyDescent="0.25">
      <c r="B1708" s="185" t="s">
        <v>2331</v>
      </c>
      <c r="C1708" s="23" t="s">
        <v>2332</v>
      </c>
      <c r="D1708" s="23" t="s">
        <v>23</v>
      </c>
      <c r="E1708" s="23">
        <v>0</v>
      </c>
      <c r="F1708" s="23"/>
      <c r="G1708" s="24"/>
      <c r="H1708" s="3" t="str">
        <f t="shared" si="15"/>
        <v>{开仓均价},</v>
      </c>
    </row>
    <row r="1709" spans="1:14" s="3" customFormat="1" ht="17.399999999999999" hidden="1" customHeight="1" outlineLevel="1" thickBot="1" x14ac:dyDescent="0.3">
      <c r="A1709" s="5"/>
      <c r="B1709" s="31"/>
      <c r="C1709" s="20"/>
      <c r="D1709" s="20"/>
      <c r="E1709" s="20"/>
      <c r="F1709" s="20"/>
      <c r="G1709" s="22"/>
    </row>
    <row r="1710" spans="1:14" s="3" customFormat="1" ht="17.399999999999999" hidden="1" customHeight="1" outlineLevel="1" x14ac:dyDescent="0.25">
      <c r="A1710" s="5"/>
      <c r="B1710" s="401" t="s">
        <v>28</v>
      </c>
      <c r="C1710" s="402"/>
      <c r="D1710" s="402"/>
      <c r="E1710" s="402"/>
      <c r="F1710" s="402"/>
      <c r="G1710" s="403"/>
    </row>
    <row r="1711" spans="1:14" s="3" customFormat="1" ht="17.399999999999999" hidden="1" customHeight="1" outlineLevel="1" x14ac:dyDescent="0.25">
      <c r="A1711" s="5"/>
      <c r="B1711" s="116"/>
      <c r="C1711" s="117"/>
      <c r="D1711" s="117"/>
      <c r="E1711" s="117"/>
      <c r="F1711" s="117"/>
      <c r="G1711" s="105"/>
    </row>
    <row r="1712" spans="1:14" s="3" customFormat="1" ht="17.399999999999999" hidden="1" customHeight="1" outlineLevel="1" thickBot="1" x14ac:dyDescent="0.3">
      <c r="A1712" s="5"/>
      <c r="B1712" s="116"/>
      <c r="C1712" s="117"/>
      <c r="D1712" s="117"/>
      <c r="E1712" s="117"/>
      <c r="F1712" s="117"/>
      <c r="G1712" s="105"/>
    </row>
    <row r="1713" spans="1:14" s="3" customFormat="1" ht="17.399999999999999" hidden="1" customHeight="1" outlineLevel="1" x14ac:dyDescent="0.25">
      <c r="A1713" s="5"/>
      <c r="B1713" s="401" t="s">
        <v>29</v>
      </c>
      <c r="C1713" s="402"/>
      <c r="D1713" s="402"/>
      <c r="E1713" s="402"/>
      <c r="F1713" s="402"/>
      <c r="G1713" s="403"/>
    </row>
    <row r="1714" spans="1:14" s="4" customFormat="1" ht="17.399999999999999" hidden="1" customHeight="1" outlineLevel="1" x14ac:dyDescent="0.35">
      <c r="A1714" s="5"/>
      <c r="B1714" s="67" t="s">
        <v>30</v>
      </c>
      <c r="C1714" s="65"/>
      <c r="D1714" s="65"/>
      <c r="E1714" s="65"/>
      <c r="F1714" s="65"/>
      <c r="G1714" s="371" t="s">
        <v>2357</v>
      </c>
      <c r="H1714" s="5"/>
      <c r="I1714" s="5"/>
      <c r="J1714" s="5"/>
      <c r="K1714" s="5"/>
      <c r="L1714" s="5"/>
      <c r="M1714" s="5"/>
    </row>
    <row r="1715" spans="1:14" s="3" customFormat="1" hidden="1" outlineLevel="1" x14ac:dyDescent="0.25">
      <c r="B1715" s="28" t="s">
        <v>353</v>
      </c>
      <c r="C1715" s="29"/>
      <c r="D1715" s="29"/>
      <c r="E1715" s="29"/>
      <c r="F1715" s="29"/>
      <c r="G1715" s="375" t="s">
        <v>2391</v>
      </c>
    </row>
    <row r="1716" spans="1:14" s="3" customFormat="1" hidden="1" outlineLevel="1" x14ac:dyDescent="0.25">
      <c r="B1716" s="28"/>
      <c r="C1716" s="29"/>
      <c r="D1716" s="29"/>
      <c r="E1716" s="29"/>
      <c r="F1716" s="29"/>
      <c r="G1716" s="30"/>
    </row>
    <row r="1717" spans="1:14" s="3" customFormat="1" hidden="1" outlineLevel="1" x14ac:dyDescent="0.25">
      <c r="B1717" s="28"/>
      <c r="C1717" s="29"/>
      <c r="D1717" s="29"/>
      <c r="E1717" s="29"/>
      <c r="F1717" s="29"/>
      <c r="G1717" s="30"/>
    </row>
    <row r="1718" spans="1:14" s="3" customFormat="1" ht="16.2" hidden="1" outlineLevel="1" thickBot="1" x14ac:dyDescent="0.3">
      <c r="B1718" s="163"/>
      <c r="C1718" s="164"/>
      <c r="D1718" s="164"/>
      <c r="E1718" s="164"/>
      <c r="F1718" s="164"/>
      <c r="G1718" s="165"/>
    </row>
    <row r="1719" spans="1:14" s="3" customFormat="1" ht="17.399999999999999" hidden="1" customHeight="1" outlineLevel="1" thickBot="1" x14ac:dyDescent="0.3">
      <c r="A1719" s="5"/>
    </row>
    <row r="1720" spans="1:14" s="3" customFormat="1" ht="17.399999999999999" customHeight="1" collapsed="1" x14ac:dyDescent="0.25">
      <c r="A1720" s="5"/>
      <c r="B1720" s="15" t="s">
        <v>1279</v>
      </c>
      <c r="C1720" s="16" t="s">
        <v>1413</v>
      </c>
      <c r="D1720" s="17" t="s">
        <v>1281</v>
      </c>
      <c r="E1720" s="16" t="s">
        <v>354</v>
      </c>
      <c r="F1720" s="17" t="s">
        <v>1282</v>
      </c>
      <c r="G1720" s="18" t="s">
        <v>1414</v>
      </c>
    </row>
    <row r="1721" spans="1:14" s="3" customFormat="1" ht="17.399999999999999" customHeight="1" outlineLevel="1" x14ac:dyDescent="0.25">
      <c r="A1721" s="5"/>
      <c r="B1721" s="19" t="s">
        <v>1284</v>
      </c>
      <c r="C1721" s="20" t="s">
        <v>1285</v>
      </c>
      <c r="D1721" s="21" t="s">
        <v>1286</v>
      </c>
      <c r="E1721" s="20" t="s">
        <v>1415</v>
      </c>
      <c r="F1721" s="21" t="s">
        <v>1288</v>
      </c>
      <c r="G1721" s="22"/>
    </row>
    <row r="1722" spans="1:14" s="3" customFormat="1" ht="17.399999999999999" customHeight="1" outlineLevel="1" thickBot="1" x14ac:dyDescent="0.3">
      <c r="A1722" s="5"/>
      <c r="B1722" s="19" t="s">
        <v>1290</v>
      </c>
      <c r="C1722" s="23" t="s">
        <v>1291</v>
      </c>
      <c r="D1722" s="21" t="s">
        <v>1292</v>
      </c>
      <c r="E1722" s="23">
        <v>5</v>
      </c>
      <c r="F1722" s="21" t="s">
        <v>1293</v>
      </c>
      <c r="G1722" s="24" t="s">
        <v>1294</v>
      </c>
    </row>
    <row r="1723" spans="1:14" s="3" customFormat="1" ht="17.399999999999999" customHeight="1" outlineLevel="1" x14ac:dyDescent="0.25">
      <c r="A1723" s="5"/>
      <c r="B1723" s="395" t="s">
        <v>1</v>
      </c>
      <c r="C1723" s="396"/>
      <c r="D1723" s="396"/>
      <c r="E1723" s="396"/>
      <c r="F1723" s="396"/>
      <c r="G1723" s="397"/>
    </row>
    <row r="1724" spans="1:14" s="3" customFormat="1" ht="17.399999999999999" customHeight="1" outlineLevel="1" x14ac:dyDescent="0.25">
      <c r="A1724" s="5"/>
      <c r="B1724" s="25" t="s">
        <v>2</v>
      </c>
      <c r="C1724" s="26" t="s">
        <v>3</v>
      </c>
      <c r="D1724" s="26" t="s">
        <v>4</v>
      </c>
      <c r="E1724" s="26" t="s">
        <v>5</v>
      </c>
      <c r="F1724" s="26"/>
      <c r="G1724" s="27" t="s">
        <v>6</v>
      </c>
    </row>
    <row r="1725" spans="1:14" s="3" customFormat="1" outlineLevel="1" x14ac:dyDescent="0.25">
      <c r="B1725" s="28" t="s">
        <v>7</v>
      </c>
      <c r="C1725" s="29" t="s">
        <v>1468</v>
      </c>
      <c r="D1725" s="29" t="s">
        <v>1469</v>
      </c>
      <c r="E1725" s="29">
        <v>0</v>
      </c>
      <c r="F1725" s="29" t="s">
        <v>1470</v>
      </c>
      <c r="G1725" s="30" t="s">
        <v>1471</v>
      </c>
      <c r="J1725" s="3" t="s">
        <v>10</v>
      </c>
      <c r="N1725" s="3">
        <v>1112</v>
      </c>
    </row>
    <row r="1726" spans="1:14" s="3" customFormat="1" outlineLevel="1" x14ac:dyDescent="0.25">
      <c r="B1726" s="28" t="s">
        <v>345</v>
      </c>
      <c r="C1726" s="29" t="s">
        <v>1754</v>
      </c>
      <c r="D1726" s="29" t="s">
        <v>1469</v>
      </c>
      <c r="E1726" s="29">
        <v>0</v>
      </c>
      <c r="F1726" s="29" t="s">
        <v>1470</v>
      </c>
      <c r="G1726" s="30"/>
    </row>
    <row r="1727" spans="1:14" s="3" customFormat="1" outlineLevel="1" x14ac:dyDescent="0.25">
      <c r="B1727" s="28" t="s">
        <v>73</v>
      </c>
      <c r="C1727" s="29" t="s">
        <v>1528</v>
      </c>
      <c r="D1727" s="29" t="s">
        <v>1469</v>
      </c>
      <c r="E1727" s="29" t="s">
        <v>1480</v>
      </c>
      <c r="F1727" s="29" t="s">
        <v>1481</v>
      </c>
      <c r="G1727" s="30"/>
      <c r="J1727" s="3" t="s">
        <v>10</v>
      </c>
      <c r="N1727" s="3">
        <v>1767</v>
      </c>
    </row>
    <row r="1728" spans="1:14" s="3" customFormat="1" outlineLevel="1" x14ac:dyDescent="0.25">
      <c r="B1728" s="28" t="s">
        <v>74</v>
      </c>
      <c r="C1728" s="29" t="s">
        <v>1529</v>
      </c>
      <c r="D1728" s="29" t="s">
        <v>1469</v>
      </c>
      <c r="E1728" s="29" t="s">
        <v>1480</v>
      </c>
      <c r="F1728" s="29" t="s">
        <v>1481</v>
      </c>
      <c r="G1728" s="30"/>
      <c r="J1728" s="3" t="s">
        <v>10</v>
      </c>
      <c r="N1728" s="3">
        <v>1713</v>
      </c>
    </row>
    <row r="1729" spans="1:14" s="3" customFormat="1" outlineLevel="1" x14ac:dyDescent="0.25">
      <c r="B1729" s="28" t="s">
        <v>128</v>
      </c>
      <c r="C1729" s="29" t="s">
        <v>1566</v>
      </c>
      <c r="D1729" s="29" t="s">
        <v>1567</v>
      </c>
      <c r="E1729" s="29">
        <v>0</v>
      </c>
      <c r="F1729" s="29" t="s">
        <v>1470</v>
      </c>
      <c r="G1729" s="30"/>
      <c r="J1729" s="3" t="s">
        <v>12</v>
      </c>
      <c r="N1729" s="3">
        <v>1629</v>
      </c>
    </row>
    <row r="1730" spans="1:14" s="3" customFormat="1" outlineLevel="1" x14ac:dyDescent="0.25">
      <c r="B1730" s="28" t="s">
        <v>114</v>
      </c>
      <c r="C1730" s="29" t="s">
        <v>1557</v>
      </c>
      <c r="D1730" s="29" t="s">
        <v>1469</v>
      </c>
      <c r="E1730" s="29">
        <v>-1</v>
      </c>
      <c r="F1730" s="29" t="s">
        <v>1470</v>
      </c>
      <c r="G1730" s="30"/>
      <c r="J1730" s="3" t="s">
        <v>10</v>
      </c>
      <c r="N1730" s="3">
        <v>2449</v>
      </c>
    </row>
    <row r="1731" spans="1:14" s="3" customFormat="1" outlineLevel="1" x14ac:dyDescent="0.25">
      <c r="B1731" s="28"/>
      <c r="C1731" s="29"/>
      <c r="D1731" s="29"/>
      <c r="E1731" s="29"/>
      <c r="F1731" s="29"/>
      <c r="G1731" s="30"/>
    </row>
    <row r="1732" spans="1:14" s="3" customFormat="1" ht="17.399999999999999" customHeight="1" outlineLevel="1" x14ac:dyDescent="0.25">
      <c r="A1732" s="5"/>
      <c r="B1732" s="398" t="s">
        <v>18</v>
      </c>
      <c r="C1732" s="399"/>
      <c r="D1732" s="399"/>
      <c r="E1732" s="399"/>
      <c r="F1732" s="399"/>
      <c r="G1732" s="400"/>
    </row>
    <row r="1733" spans="1:14" s="3" customFormat="1" ht="17.399999999999999" customHeight="1" outlineLevel="1" x14ac:dyDescent="0.25">
      <c r="A1733" s="5"/>
      <c r="B1733" s="25" t="s">
        <v>2</v>
      </c>
      <c r="C1733" s="26" t="s">
        <v>3</v>
      </c>
      <c r="D1733" s="26" t="s">
        <v>4</v>
      </c>
      <c r="E1733" s="26" t="s">
        <v>5</v>
      </c>
      <c r="F1733" s="26"/>
      <c r="G1733" s="27" t="s">
        <v>6</v>
      </c>
    </row>
    <row r="1734" spans="1:14" s="3" customFormat="1" outlineLevel="1" x14ac:dyDescent="0.25">
      <c r="B1734" s="28" t="s">
        <v>128</v>
      </c>
      <c r="C1734" s="29" t="s">
        <v>1566</v>
      </c>
      <c r="D1734" s="29" t="s">
        <v>1567</v>
      </c>
      <c r="E1734" s="29">
        <v>0</v>
      </c>
      <c r="F1734" s="29" t="s">
        <v>1470</v>
      </c>
      <c r="G1734" s="30"/>
      <c r="H1734" s="3" t="str">
        <f>"{"&amp;B1734&amp;"},"</f>
        <v>{记录序号},</v>
      </c>
      <c r="J1734" s="3" t="s">
        <v>12</v>
      </c>
      <c r="N1734" s="3">
        <v>1629</v>
      </c>
    </row>
    <row r="1735" spans="1:14" s="3" customFormat="1" outlineLevel="1" x14ac:dyDescent="0.25">
      <c r="B1735" s="28" t="s">
        <v>16</v>
      </c>
      <c r="C1735" s="29" t="s">
        <v>1479</v>
      </c>
      <c r="D1735" s="29" t="s">
        <v>1469</v>
      </c>
      <c r="E1735" s="29" t="s">
        <v>1480</v>
      </c>
      <c r="F1735" s="29" t="s">
        <v>1481</v>
      </c>
      <c r="G1735" s="30" t="s">
        <v>1482</v>
      </c>
      <c r="H1735" s="3" t="str">
        <f t="shared" ref="H1735:H1751" si="16">"{"&amp;B1735&amp;"},"</f>
        <v>{初始化日期},</v>
      </c>
      <c r="J1735" s="3" t="s">
        <v>10</v>
      </c>
      <c r="N1735" s="3">
        <v>1211</v>
      </c>
    </row>
    <row r="1736" spans="1:14" s="3" customFormat="1" outlineLevel="1" x14ac:dyDescent="0.25">
      <c r="B1736" s="28" t="s">
        <v>112</v>
      </c>
      <c r="C1736" s="29" t="s">
        <v>1555</v>
      </c>
      <c r="D1736" s="29" t="s">
        <v>1469</v>
      </c>
      <c r="E1736" s="29">
        <v>0</v>
      </c>
      <c r="F1736" s="29" t="s">
        <v>1470</v>
      </c>
      <c r="G1736" s="30" t="s">
        <v>1556</v>
      </c>
      <c r="H1736" s="3" t="str">
        <f t="shared" si="16"/>
        <v>{机构编号},</v>
      </c>
      <c r="J1736" s="3" t="s">
        <v>10</v>
      </c>
      <c r="N1736" s="3">
        <v>1606</v>
      </c>
    </row>
    <row r="1737" spans="1:14" s="3" customFormat="1" outlineLevel="1" x14ac:dyDescent="0.25">
      <c r="B1737" s="28" t="s">
        <v>7</v>
      </c>
      <c r="C1737" s="29" t="s">
        <v>1468</v>
      </c>
      <c r="D1737" s="29" t="s">
        <v>1469</v>
      </c>
      <c r="E1737" s="29">
        <v>0</v>
      </c>
      <c r="F1737" s="29" t="s">
        <v>1470</v>
      </c>
      <c r="G1737" s="30" t="s">
        <v>1471</v>
      </c>
      <c r="H1737" s="3" t="str">
        <f t="shared" si="16"/>
        <v>{产品编号},</v>
      </c>
      <c r="J1737" s="3" t="s">
        <v>10</v>
      </c>
      <c r="N1737" s="3">
        <v>1112</v>
      </c>
    </row>
    <row r="1738" spans="1:14" s="3" customFormat="1" outlineLevel="1" x14ac:dyDescent="0.25">
      <c r="B1738" s="28" t="s">
        <v>13</v>
      </c>
      <c r="C1738" s="29" t="s">
        <v>1474</v>
      </c>
      <c r="D1738" s="29" t="s">
        <v>1469</v>
      </c>
      <c r="E1738" s="29">
        <v>0</v>
      </c>
      <c r="F1738" s="29" t="s">
        <v>1470</v>
      </c>
      <c r="G1738" s="30"/>
      <c r="H1738" s="3" t="str">
        <f t="shared" si="16"/>
        <v>{资产账户编号},</v>
      </c>
      <c r="J1738" s="3" t="s">
        <v>10</v>
      </c>
      <c r="N1738" s="3">
        <v>2534</v>
      </c>
    </row>
    <row r="1739" spans="1:14" s="3" customFormat="1" outlineLevel="1" x14ac:dyDescent="0.25">
      <c r="B1739" s="28" t="s">
        <v>14</v>
      </c>
      <c r="C1739" s="29" t="s">
        <v>1475</v>
      </c>
      <c r="D1739" s="29" t="s">
        <v>1469</v>
      </c>
      <c r="E1739" s="29">
        <v>0</v>
      </c>
      <c r="F1739" s="29" t="s">
        <v>1476</v>
      </c>
      <c r="G1739" s="30" t="s">
        <v>1477</v>
      </c>
      <c r="H1739" s="3" t="str">
        <f t="shared" si="16"/>
        <v>{市场编号},</v>
      </c>
      <c r="J1739" s="3" t="s">
        <v>10</v>
      </c>
      <c r="N1739" s="3">
        <v>2534</v>
      </c>
    </row>
    <row r="1740" spans="1:14" s="3" customFormat="1" outlineLevel="1" x14ac:dyDescent="0.25">
      <c r="B1740" s="28" t="s">
        <v>346</v>
      </c>
      <c r="C1740" s="29" t="s">
        <v>1755</v>
      </c>
      <c r="D1740" s="29" t="s">
        <v>1469</v>
      </c>
      <c r="E1740" s="29">
        <v>0</v>
      </c>
      <c r="F1740" s="29" t="s">
        <v>1470</v>
      </c>
      <c r="G1740" s="30"/>
      <c r="H1740" s="3" t="str">
        <f t="shared" si="16"/>
        <v>{交易编码编号},</v>
      </c>
      <c r="J1740" s="3" t="s">
        <v>10</v>
      </c>
      <c r="N1740" s="3">
        <v>2430</v>
      </c>
    </row>
    <row r="1741" spans="1:14" s="3" customFormat="1" outlineLevel="1" x14ac:dyDescent="0.25">
      <c r="B1741" s="28" t="s">
        <v>345</v>
      </c>
      <c r="C1741" s="29" t="s">
        <v>1754</v>
      </c>
      <c r="D1741" s="29" t="s">
        <v>1469</v>
      </c>
      <c r="E1741" s="29">
        <v>0</v>
      </c>
      <c r="F1741" s="29" t="s">
        <v>1470</v>
      </c>
      <c r="G1741" s="30"/>
      <c r="H1741" s="3" t="str">
        <f t="shared" si="16"/>
        <v>{合约代码编号},</v>
      </c>
      <c r="J1741" s="3" t="s">
        <v>10</v>
      </c>
      <c r="N1741" s="3">
        <v>2433</v>
      </c>
    </row>
    <row r="1742" spans="1:14" s="3" customFormat="1" outlineLevel="1" x14ac:dyDescent="0.25">
      <c r="B1742" s="28" t="s">
        <v>347</v>
      </c>
      <c r="C1742" s="29" t="s">
        <v>1756</v>
      </c>
      <c r="D1742" s="29" t="s">
        <v>1469</v>
      </c>
      <c r="E1742" s="29">
        <v>0</v>
      </c>
      <c r="F1742" s="29" t="s">
        <v>1476</v>
      </c>
      <c r="G1742" s="30"/>
      <c r="H1742" s="3" t="str">
        <f t="shared" si="16"/>
        <v>{多空类型},</v>
      </c>
      <c r="J1742" s="3" t="s">
        <v>10</v>
      </c>
      <c r="N1742" s="3">
        <v>2155</v>
      </c>
    </row>
    <row r="1743" spans="1:14" s="3" customFormat="1" outlineLevel="1" x14ac:dyDescent="0.25">
      <c r="B1743" s="28" t="s">
        <v>348</v>
      </c>
      <c r="C1743" s="29" t="s">
        <v>1757</v>
      </c>
      <c r="D1743" s="29" t="s">
        <v>1469</v>
      </c>
      <c r="E1743" s="29">
        <v>0</v>
      </c>
      <c r="F1743" s="29" t="s">
        <v>2341</v>
      </c>
      <c r="G1743" s="30" t="s">
        <v>2342</v>
      </c>
      <c r="H1743" s="3" t="str">
        <f t="shared" si="16"/>
        <v>{套保标志},</v>
      </c>
    </row>
    <row r="1744" spans="1:14" s="3" customFormat="1" outlineLevel="1" x14ac:dyDescent="0.25">
      <c r="B1744" s="28" t="s">
        <v>75</v>
      </c>
      <c r="C1744" s="29" t="s">
        <v>1530</v>
      </c>
      <c r="D1744" s="29" t="s">
        <v>1486</v>
      </c>
      <c r="E1744" s="29">
        <v>0</v>
      </c>
      <c r="F1744" s="29" t="s">
        <v>1470</v>
      </c>
      <c r="G1744" s="30" t="s">
        <v>1531</v>
      </c>
      <c r="H1744" s="3" t="str">
        <f t="shared" si="16"/>
        <v>{当前数量},</v>
      </c>
      <c r="J1744" s="3" t="s">
        <v>20</v>
      </c>
      <c r="N1744" s="3">
        <v>1202</v>
      </c>
    </row>
    <row r="1745" spans="1:14" s="3" customFormat="1" outlineLevel="1" x14ac:dyDescent="0.25">
      <c r="B1745" s="185" t="s">
        <v>349</v>
      </c>
      <c r="C1745" s="23" t="s">
        <v>1758</v>
      </c>
      <c r="D1745" s="23" t="s">
        <v>1539</v>
      </c>
      <c r="E1745" s="29">
        <v>0</v>
      </c>
      <c r="F1745" s="29" t="s">
        <v>1470</v>
      </c>
      <c r="G1745" s="30"/>
      <c r="H1745" s="3" t="str">
        <f t="shared" si="16"/>
        <v>{开仓价格},</v>
      </c>
      <c r="J1745" s="3" t="s">
        <v>10</v>
      </c>
      <c r="N1745" s="3">
        <v>2237</v>
      </c>
    </row>
    <row r="1746" spans="1:14" s="3" customFormat="1" outlineLevel="1" x14ac:dyDescent="0.25">
      <c r="B1746" s="185" t="s">
        <v>350</v>
      </c>
      <c r="C1746" s="23" t="s">
        <v>1759</v>
      </c>
      <c r="D1746" s="23" t="s">
        <v>1489</v>
      </c>
      <c r="E1746" s="29">
        <v>0</v>
      </c>
      <c r="F1746" s="29" t="s">
        <v>1470</v>
      </c>
      <c r="G1746" s="30"/>
      <c r="H1746" s="3" t="str">
        <f t="shared" si="16"/>
        <v>{盯市盈亏},</v>
      </c>
      <c r="J1746" s="3" t="s">
        <v>20</v>
      </c>
      <c r="N1746" s="3">
        <v>1986</v>
      </c>
    </row>
    <row r="1747" spans="1:14" s="3" customFormat="1" outlineLevel="1" x14ac:dyDescent="0.25">
      <c r="B1747" s="28" t="s">
        <v>351</v>
      </c>
      <c r="C1747" s="29" t="s">
        <v>1760</v>
      </c>
      <c r="D1747" s="29" t="s">
        <v>1489</v>
      </c>
      <c r="E1747" s="29">
        <v>0</v>
      </c>
      <c r="F1747" s="29" t="s">
        <v>1470</v>
      </c>
      <c r="G1747" s="30" t="s">
        <v>1761</v>
      </c>
      <c r="H1747" s="3" t="str">
        <f t="shared" si="16"/>
        <v>{应收保证金},</v>
      </c>
      <c r="J1747" s="3" t="s">
        <v>20</v>
      </c>
      <c r="N1747" s="3">
        <v>1262</v>
      </c>
    </row>
    <row r="1748" spans="1:14" s="3" customFormat="1" outlineLevel="1" x14ac:dyDescent="0.25">
      <c r="B1748" s="28" t="s">
        <v>138</v>
      </c>
      <c r="C1748" s="29" t="s">
        <v>1577</v>
      </c>
      <c r="D1748" s="29" t="s">
        <v>1486</v>
      </c>
      <c r="E1748" s="29">
        <v>0</v>
      </c>
      <c r="F1748" s="29" t="s">
        <v>1470</v>
      </c>
      <c r="G1748" s="30"/>
      <c r="H1748" s="3" t="str">
        <f t="shared" si="16"/>
        <v>{成交释放数量},</v>
      </c>
      <c r="J1748" s="3" t="s">
        <v>20</v>
      </c>
      <c r="N1748" s="3">
        <v>1317</v>
      </c>
    </row>
    <row r="1749" spans="1:14" s="3" customFormat="1" outlineLevel="1" x14ac:dyDescent="0.25">
      <c r="B1749" s="28" t="s">
        <v>352</v>
      </c>
      <c r="C1749" s="29" t="s">
        <v>1762</v>
      </c>
      <c r="D1749" s="29" t="s">
        <v>1486</v>
      </c>
      <c r="E1749" s="29">
        <v>0</v>
      </c>
      <c r="F1749" s="29"/>
      <c r="G1749" s="30"/>
      <c r="H1749" s="3" t="str">
        <f t="shared" si="16"/>
        <v>{今仓成交占用数量},</v>
      </c>
      <c r="J1749" s="3" t="s">
        <v>20</v>
      </c>
      <c r="N1749" s="3">
        <v>1721</v>
      </c>
    </row>
    <row r="1750" spans="1:14" s="3" customFormat="1" outlineLevel="1" x14ac:dyDescent="0.25">
      <c r="B1750" s="28" t="s">
        <v>62</v>
      </c>
      <c r="C1750" s="29" t="s">
        <v>1525</v>
      </c>
      <c r="D1750" s="23" t="s">
        <v>1489</v>
      </c>
      <c r="E1750" s="29">
        <v>0</v>
      </c>
      <c r="F1750" s="29"/>
      <c r="G1750" s="30"/>
      <c r="H1750" s="3" t="str">
        <f t="shared" si="16"/>
        <v>{持仓市值},</v>
      </c>
      <c r="J1750" s="3" t="s">
        <v>20</v>
      </c>
      <c r="N1750" s="3">
        <v>1875</v>
      </c>
    </row>
    <row r="1751" spans="1:14" s="3" customFormat="1" outlineLevel="1" x14ac:dyDescent="0.25">
      <c r="B1751" s="28" t="s">
        <v>95</v>
      </c>
      <c r="C1751" s="29" t="s">
        <v>1542</v>
      </c>
      <c r="D1751" s="29" t="s">
        <v>1494</v>
      </c>
      <c r="E1751" s="29">
        <v>0</v>
      </c>
      <c r="F1751" s="29"/>
      <c r="G1751" s="30"/>
      <c r="H1751" s="3" t="str">
        <f t="shared" si="16"/>
        <v>{持仓净值占比},</v>
      </c>
      <c r="J1751" s="3" t="s">
        <v>20</v>
      </c>
      <c r="N1751" s="3">
        <v>1891</v>
      </c>
    </row>
    <row r="1752" spans="1:14" s="3" customFormat="1" outlineLevel="1" x14ac:dyDescent="0.25">
      <c r="B1752" s="185" t="s">
        <v>2331</v>
      </c>
      <c r="C1752" s="23" t="s">
        <v>2343</v>
      </c>
      <c r="D1752" s="23" t="s">
        <v>23</v>
      </c>
      <c r="E1752" s="23">
        <v>0</v>
      </c>
      <c r="F1752" s="23"/>
      <c r="G1752" s="24"/>
    </row>
    <row r="1753" spans="1:14" s="3" customFormat="1" ht="17.399999999999999" customHeight="1" outlineLevel="1" thickBot="1" x14ac:dyDescent="0.3">
      <c r="A1753" s="5"/>
      <c r="B1753" s="185"/>
      <c r="C1753" s="20"/>
      <c r="D1753" s="20"/>
      <c r="E1753" s="20"/>
      <c r="F1753" s="20"/>
      <c r="G1753" s="22"/>
    </row>
    <row r="1754" spans="1:14" s="3" customFormat="1" ht="17.399999999999999" customHeight="1" outlineLevel="1" x14ac:dyDescent="0.25">
      <c r="A1754" s="5"/>
      <c r="B1754" s="401" t="s">
        <v>28</v>
      </c>
      <c r="C1754" s="402"/>
      <c r="D1754" s="402"/>
      <c r="E1754" s="402"/>
      <c r="F1754" s="402"/>
      <c r="G1754" s="403"/>
    </row>
    <row r="1755" spans="1:14" s="3" customFormat="1" ht="17.399999999999999" customHeight="1" outlineLevel="1" x14ac:dyDescent="0.25">
      <c r="A1755" s="5"/>
      <c r="B1755" s="116"/>
      <c r="C1755" s="117"/>
      <c r="D1755" s="117"/>
      <c r="E1755" s="117"/>
      <c r="F1755" s="117"/>
      <c r="G1755" s="105"/>
    </row>
    <row r="1756" spans="1:14" s="3" customFormat="1" ht="17.399999999999999" customHeight="1" outlineLevel="1" thickBot="1" x14ac:dyDescent="0.3">
      <c r="A1756" s="5"/>
      <c r="B1756" s="116"/>
      <c r="C1756" s="117"/>
      <c r="D1756" s="117"/>
      <c r="E1756" s="117"/>
      <c r="F1756" s="117"/>
      <c r="G1756" s="105"/>
    </row>
    <row r="1757" spans="1:14" s="3" customFormat="1" ht="17.399999999999999" customHeight="1" outlineLevel="1" x14ac:dyDescent="0.25">
      <c r="A1757" s="5"/>
      <c r="B1757" s="401" t="s">
        <v>29</v>
      </c>
      <c r="C1757" s="402"/>
      <c r="D1757" s="402"/>
      <c r="E1757" s="402"/>
      <c r="F1757" s="402"/>
      <c r="G1757" s="403"/>
    </row>
    <row r="1758" spans="1:14" s="3" customFormat="1" outlineLevel="1" x14ac:dyDescent="0.25">
      <c r="B1758" s="28"/>
      <c r="C1758" s="29"/>
      <c r="D1758" s="29"/>
      <c r="E1758" s="29"/>
      <c r="F1758" s="29"/>
      <c r="G1758" s="30"/>
    </row>
    <row r="1759" spans="1:14" s="4" customFormat="1" ht="17.399999999999999" customHeight="1" outlineLevel="1" x14ac:dyDescent="0.35">
      <c r="A1759" s="5"/>
      <c r="B1759" s="67" t="s">
        <v>30</v>
      </c>
      <c r="C1759" s="65"/>
      <c r="D1759" s="65"/>
      <c r="E1759" s="65"/>
      <c r="F1759" s="65"/>
      <c r="G1759" s="371" t="s">
        <v>2357</v>
      </c>
      <c r="H1759" s="5"/>
      <c r="I1759" s="5"/>
      <c r="J1759" s="5"/>
      <c r="K1759" s="5"/>
      <c r="L1759" s="5"/>
      <c r="M1759" s="5"/>
    </row>
    <row r="1760" spans="1:14" s="3" customFormat="1" outlineLevel="1" x14ac:dyDescent="0.25">
      <c r="B1760" s="28" t="s">
        <v>355</v>
      </c>
      <c r="C1760" s="29"/>
      <c r="D1760" s="29"/>
      <c r="E1760" s="29"/>
      <c r="F1760" s="29"/>
      <c r="G1760" s="375" t="s">
        <v>2392</v>
      </c>
    </row>
    <row r="1761" spans="1:14" s="3" customFormat="1" outlineLevel="1" x14ac:dyDescent="0.25">
      <c r="B1761" s="28"/>
      <c r="C1761" s="29"/>
      <c r="D1761" s="29"/>
      <c r="E1761" s="29"/>
      <c r="F1761" s="29"/>
      <c r="G1761" s="30"/>
    </row>
    <row r="1762" spans="1:14" s="3" customFormat="1" outlineLevel="1" x14ac:dyDescent="0.25">
      <c r="B1762" s="28"/>
      <c r="C1762" s="29"/>
      <c r="D1762" s="29"/>
      <c r="E1762" s="29"/>
      <c r="F1762" s="29"/>
      <c r="G1762" s="30"/>
    </row>
    <row r="1763" spans="1:14" s="3" customFormat="1" ht="16.2" outlineLevel="1" thickBot="1" x14ac:dyDescent="0.3">
      <c r="B1763" s="163"/>
      <c r="C1763" s="164"/>
      <c r="D1763" s="164"/>
      <c r="E1763" s="164"/>
      <c r="F1763" s="164"/>
      <c r="G1763" s="165"/>
    </row>
    <row r="1764" spans="1:14" s="3" customFormat="1" ht="17.399999999999999" customHeight="1" outlineLevel="1" thickBot="1" x14ac:dyDescent="0.3">
      <c r="A1764" s="5"/>
    </row>
    <row r="1765" spans="1:14" s="3" customFormat="1" ht="17.399999999999999" customHeight="1" thickBot="1" x14ac:dyDescent="0.3">
      <c r="A1765" s="5"/>
      <c r="B1765" s="15" t="s">
        <v>1279</v>
      </c>
      <c r="C1765" s="16" t="s">
        <v>1416</v>
      </c>
      <c r="D1765" s="17" t="s">
        <v>1281</v>
      </c>
      <c r="E1765" s="16" t="s">
        <v>356</v>
      </c>
      <c r="F1765" s="17" t="s">
        <v>1282</v>
      </c>
      <c r="G1765" s="18" t="s">
        <v>1417</v>
      </c>
    </row>
    <row r="1766" spans="1:14" s="3" customFormat="1" ht="17.399999999999999" hidden="1" customHeight="1" outlineLevel="1" x14ac:dyDescent="0.25">
      <c r="A1766" s="5"/>
      <c r="B1766" s="19" t="s">
        <v>1284</v>
      </c>
      <c r="C1766" s="20" t="s">
        <v>1285</v>
      </c>
      <c r="D1766" s="21" t="s">
        <v>1286</v>
      </c>
      <c r="E1766" s="20" t="s">
        <v>1418</v>
      </c>
      <c r="F1766" s="21" t="s">
        <v>1288</v>
      </c>
      <c r="G1766" s="22"/>
    </row>
    <row r="1767" spans="1:14" s="3" customFormat="1" ht="17.399999999999999" hidden="1" customHeight="1" outlineLevel="1" thickBot="1" x14ac:dyDescent="0.3">
      <c r="A1767" s="5"/>
      <c r="B1767" s="19" t="s">
        <v>1290</v>
      </c>
      <c r="C1767" s="23" t="s">
        <v>1291</v>
      </c>
      <c r="D1767" s="21" t="s">
        <v>1292</v>
      </c>
      <c r="E1767" s="23">
        <v>5</v>
      </c>
      <c r="F1767" s="21" t="s">
        <v>1293</v>
      </c>
      <c r="G1767" s="24" t="s">
        <v>1294</v>
      </c>
    </row>
    <row r="1768" spans="1:14" s="3" customFormat="1" ht="17.399999999999999" hidden="1" customHeight="1" outlineLevel="1" x14ac:dyDescent="0.25">
      <c r="A1768" s="5"/>
      <c r="B1768" s="395" t="s">
        <v>1</v>
      </c>
      <c r="C1768" s="396"/>
      <c r="D1768" s="396"/>
      <c r="E1768" s="396"/>
      <c r="F1768" s="396"/>
      <c r="G1768" s="397"/>
    </row>
    <row r="1769" spans="1:14" s="3" customFormat="1" ht="17.399999999999999" hidden="1" customHeight="1" outlineLevel="1" x14ac:dyDescent="0.25">
      <c r="A1769" s="5"/>
      <c r="B1769" s="25" t="s">
        <v>2</v>
      </c>
      <c r="C1769" s="26" t="s">
        <v>3</v>
      </c>
      <c r="D1769" s="26" t="s">
        <v>4</v>
      </c>
      <c r="E1769" s="26" t="s">
        <v>5</v>
      </c>
      <c r="F1769" s="26"/>
      <c r="G1769" s="27" t="s">
        <v>6</v>
      </c>
    </row>
    <row r="1770" spans="1:14" s="3" customFormat="1" hidden="1" outlineLevel="1" x14ac:dyDescent="0.25">
      <c r="B1770" s="28" t="s">
        <v>7</v>
      </c>
      <c r="C1770" s="29" t="s">
        <v>1468</v>
      </c>
      <c r="D1770" s="29" t="s">
        <v>1469</v>
      </c>
      <c r="E1770" s="29">
        <v>0</v>
      </c>
      <c r="F1770" s="29" t="s">
        <v>1470</v>
      </c>
      <c r="G1770" s="30" t="s">
        <v>1471</v>
      </c>
      <c r="J1770" s="3" t="s">
        <v>10</v>
      </c>
      <c r="N1770" s="3">
        <v>1112</v>
      </c>
    </row>
    <row r="1771" spans="1:14" s="3" customFormat="1" hidden="1" outlineLevel="1" x14ac:dyDescent="0.25">
      <c r="B1771" s="28" t="s">
        <v>345</v>
      </c>
      <c r="C1771" s="29" t="s">
        <v>1754</v>
      </c>
      <c r="D1771" s="29" t="s">
        <v>1469</v>
      </c>
      <c r="E1771" s="29">
        <v>0</v>
      </c>
      <c r="F1771" s="29" t="s">
        <v>1470</v>
      </c>
      <c r="G1771" s="30"/>
    </row>
    <row r="1772" spans="1:14" s="3" customFormat="1" hidden="1" outlineLevel="1" x14ac:dyDescent="0.25">
      <c r="B1772" s="28" t="s">
        <v>128</v>
      </c>
      <c r="C1772" s="29" t="s">
        <v>1566</v>
      </c>
      <c r="D1772" s="29" t="s">
        <v>1567</v>
      </c>
      <c r="E1772" s="29">
        <v>0</v>
      </c>
      <c r="F1772" s="29" t="s">
        <v>1470</v>
      </c>
      <c r="G1772" s="30"/>
      <c r="J1772" s="3" t="s">
        <v>12</v>
      </c>
      <c r="N1772" s="3">
        <v>1629</v>
      </c>
    </row>
    <row r="1773" spans="1:14" s="3" customFormat="1" hidden="1" outlineLevel="1" x14ac:dyDescent="0.25">
      <c r="B1773" s="28" t="s">
        <v>114</v>
      </c>
      <c r="C1773" s="29" t="s">
        <v>1557</v>
      </c>
      <c r="D1773" s="29" t="s">
        <v>1469</v>
      </c>
      <c r="E1773" s="29">
        <v>-1</v>
      </c>
      <c r="F1773" s="29" t="s">
        <v>1470</v>
      </c>
      <c r="G1773" s="30"/>
      <c r="J1773" s="3" t="s">
        <v>10</v>
      </c>
      <c r="N1773" s="3">
        <v>2449</v>
      </c>
    </row>
    <row r="1774" spans="1:14" s="3" customFormat="1" hidden="1" outlineLevel="1" x14ac:dyDescent="0.25">
      <c r="B1774" s="28"/>
      <c r="C1774" s="29"/>
      <c r="D1774" s="29"/>
      <c r="E1774" s="29"/>
      <c r="F1774" s="29"/>
      <c r="G1774" s="30"/>
    </row>
    <row r="1775" spans="1:14" s="3" customFormat="1" ht="17.399999999999999" hidden="1" customHeight="1" outlineLevel="1" x14ac:dyDescent="0.25">
      <c r="A1775" s="5"/>
      <c r="B1775" s="398" t="s">
        <v>18</v>
      </c>
      <c r="C1775" s="399"/>
      <c r="D1775" s="399"/>
      <c r="E1775" s="399"/>
      <c r="F1775" s="399"/>
      <c r="G1775" s="400"/>
    </row>
    <row r="1776" spans="1:14" s="3" customFormat="1" ht="17.399999999999999" hidden="1" customHeight="1" outlineLevel="1" x14ac:dyDescent="0.25">
      <c r="A1776" s="5"/>
      <c r="B1776" s="25" t="s">
        <v>2</v>
      </c>
      <c r="C1776" s="26" t="s">
        <v>3</v>
      </c>
      <c r="D1776" s="26" t="s">
        <v>4</v>
      </c>
      <c r="E1776" s="26" t="s">
        <v>5</v>
      </c>
      <c r="F1776" s="26"/>
      <c r="G1776" s="27" t="s">
        <v>6</v>
      </c>
    </row>
    <row r="1777" spans="2:14" s="3" customFormat="1" hidden="1" outlineLevel="1" x14ac:dyDescent="0.25">
      <c r="B1777" s="28" t="s">
        <v>128</v>
      </c>
      <c r="C1777" s="29" t="s">
        <v>1566</v>
      </c>
      <c r="D1777" s="29" t="s">
        <v>1567</v>
      </c>
      <c r="E1777" s="29">
        <v>0</v>
      </c>
      <c r="F1777" s="29" t="s">
        <v>1470</v>
      </c>
      <c r="G1777" s="30"/>
      <c r="H1777" s="3" t="str">
        <f>"{"&amp;B1777&amp;"},"</f>
        <v>{记录序号},</v>
      </c>
      <c r="J1777" s="3" t="s">
        <v>12</v>
      </c>
      <c r="N1777" s="3">
        <v>1629</v>
      </c>
    </row>
    <row r="1778" spans="2:14" s="3" customFormat="1" hidden="1" outlineLevel="1" x14ac:dyDescent="0.25">
      <c r="B1778" s="28" t="s">
        <v>16</v>
      </c>
      <c r="C1778" s="29" t="s">
        <v>1479</v>
      </c>
      <c r="D1778" s="29" t="s">
        <v>1469</v>
      </c>
      <c r="E1778" s="29" t="s">
        <v>1480</v>
      </c>
      <c r="F1778" s="29" t="s">
        <v>1481</v>
      </c>
      <c r="G1778" s="30" t="s">
        <v>1482</v>
      </c>
      <c r="H1778" s="3" t="str">
        <f t="shared" ref="H1778:H1795" si="17">"{"&amp;B1778&amp;"},"</f>
        <v>{初始化日期},</v>
      </c>
      <c r="J1778" s="3" t="s">
        <v>10</v>
      </c>
      <c r="N1778" s="3">
        <v>1211</v>
      </c>
    </row>
    <row r="1779" spans="2:14" s="3" customFormat="1" hidden="1" outlineLevel="1" x14ac:dyDescent="0.25">
      <c r="B1779" s="28" t="s">
        <v>112</v>
      </c>
      <c r="C1779" s="29" t="s">
        <v>1555</v>
      </c>
      <c r="D1779" s="29" t="s">
        <v>1469</v>
      </c>
      <c r="E1779" s="29">
        <v>0</v>
      </c>
      <c r="F1779" s="29" t="s">
        <v>1470</v>
      </c>
      <c r="G1779" s="30" t="s">
        <v>1556</v>
      </c>
      <c r="H1779" s="3" t="str">
        <f t="shared" si="17"/>
        <v>{机构编号},</v>
      </c>
      <c r="J1779" s="3" t="s">
        <v>10</v>
      </c>
      <c r="N1779" s="3">
        <v>1606</v>
      </c>
    </row>
    <row r="1780" spans="2:14" s="3" customFormat="1" hidden="1" outlineLevel="1" x14ac:dyDescent="0.25">
      <c r="B1780" s="28" t="s">
        <v>7</v>
      </c>
      <c r="C1780" s="29" t="s">
        <v>1468</v>
      </c>
      <c r="D1780" s="29" t="s">
        <v>1469</v>
      </c>
      <c r="E1780" s="29">
        <v>0</v>
      </c>
      <c r="F1780" s="29" t="s">
        <v>1470</v>
      </c>
      <c r="G1780" s="30" t="s">
        <v>1471</v>
      </c>
      <c r="H1780" s="3" t="str">
        <f t="shared" si="17"/>
        <v>{产品编号},</v>
      </c>
      <c r="J1780" s="3" t="s">
        <v>10</v>
      </c>
      <c r="N1780" s="3">
        <v>1112</v>
      </c>
    </row>
    <row r="1781" spans="2:14" s="3" customFormat="1" hidden="1" outlineLevel="1" x14ac:dyDescent="0.25">
      <c r="B1781" s="28" t="s">
        <v>13</v>
      </c>
      <c r="C1781" s="29" t="s">
        <v>1474</v>
      </c>
      <c r="D1781" s="29" t="s">
        <v>1469</v>
      </c>
      <c r="E1781" s="29">
        <v>0</v>
      </c>
      <c r="F1781" s="29" t="s">
        <v>1470</v>
      </c>
      <c r="G1781" s="30"/>
      <c r="H1781" s="3" t="str">
        <f t="shared" si="17"/>
        <v>{资产账户编号},</v>
      </c>
      <c r="J1781" s="3" t="s">
        <v>10</v>
      </c>
      <c r="N1781" s="3">
        <v>2534</v>
      </c>
    </row>
    <row r="1782" spans="2:14" s="3" customFormat="1" hidden="1" outlineLevel="1" x14ac:dyDescent="0.25">
      <c r="B1782" s="116" t="s">
        <v>11</v>
      </c>
      <c r="C1782" s="117" t="s">
        <v>1472</v>
      </c>
      <c r="D1782" s="117" t="s">
        <v>1469</v>
      </c>
      <c r="E1782" s="29">
        <v>0</v>
      </c>
      <c r="F1782" s="29" t="s">
        <v>1470</v>
      </c>
      <c r="G1782" s="30" t="s">
        <v>1473</v>
      </c>
    </row>
    <row r="1783" spans="2:14" s="3" customFormat="1" hidden="1" outlineLevel="1" x14ac:dyDescent="0.25">
      <c r="B1783" s="28" t="s">
        <v>14</v>
      </c>
      <c r="C1783" s="29" t="s">
        <v>1475</v>
      </c>
      <c r="D1783" s="29" t="s">
        <v>1469</v>
      </c>
      <c r="E1783" s="29">
        <v>0</v>
      </c>
      <c r="F1783" s="29" t="s">
        <v>1476</v>
      </c>
      <c r="G1783" s="30" t="s">
        <v>1477</v>
      </c>
      <c r="H1783" s="3" t="str">
        <f t="shared" si="17"/>
        <v>{市场编号},</v>
      </c>
      <c r="J1783" s="3" t="s">
        <v>10</v>
      </c>
      <c r="N1783" s="3">
        <v>2534</v>
      </c>
    </row>
    <row r="1784" spans="2:14" s="3" customFormat="1" hidden="1" outlineLevel="1" x14ac:dyDescent="0.25">
      <c r="B1784" s="28" t="s">
        <v>346</v>
      </c>
      <c r="C1784" s="29" t="s">
        <v>1755</v>
      </c>
      <c r="D1784" s="29" t="s">
        <v>1469</v>
      </c>
      <c r="E1784" s="29">
        <v>0</v>
      </c>
      <c r="F1784" s="29" t="s">
        <v>1470</v>
      </c>
      <c r="G1784" s="30"/>
      <c r="H1784" s="3" t="str">
        <f t="shared" si="17"/>
        <v>{交易编码编号},</v>
      </c>
      <c r="J1784" s="3" t="s">
        <v>10</v>
      </c>
      <c r="N1784" s="3">
        <v>2430</v>
      </c>
    </row>
    <row r="1785" spans="2:14" s="3" customFormat="1" hidden="1" outlineLevel="1" x14ac:dyDescent="0.25">
      <c r="B1785" s="28" t="s">
        <v>345</v>
      </c>
      <c r="C1785" s="29" t="s">
        <v>1754</v>
      </c>
      <c r="D1785" s="29" t="s">
        <v>1469</v>
      </c>
      <c r="E1785" s="29">
        <v>0</v>
      </c>
      <c r="F1785" s="29" t="s">
        <v>1470</v>
      </c>
      <c r="G1785" s="30"/>
      <c r="H1785" s="3" t="str">
        <f t="shared" si="17"/>
        <v>{合约代码编号},</v>
      </c>
      <c r="J1785" s="3" t="s">
        <v>10</v>
      </c>
      <c r="N1785" s="3">
        <v>2433</v>
      </c>
    </row>
    <row r="1786" spans="2:14" s="3" customFormat="1" hidden="1" outlineLevel="1" x14ac:dyDescent="0.25">
      <c r="B1786" s="28" t="s">
        <v>347</v>
      </c>
      <c r="C1786" s="29" t="s">
        <v>1756</v>
      </c>
      <c r="D1786" s="29" t="s">
        <v>1469</v>
      </c>
      <c r="E1786" s="29">
        <v>0</v>
      </c>
      <c r="F1786" s="29" t="s">
        <v>1476</v>
      </c>
      <c r="G1786" s="30"/>
      <c r="H1786" s="3" t="str">
        <f t="shared" si="17"/>
        <v>{多空类型},</v>
      </c>
      <c r="J1786" s="3" t="s">
        <v>10</v>
      </c>
      <c r="N1786" s="3">
        <v>2155</v>
      </c>
    </row>
    <row r="1787" spans="2:14" s="3" customFormat="1" hidden="1" outlineLevel="1" x14ac:dyDescent="0.25">
      <c r="B1787" s="28" t="s">
        <v>348</v>
      </c>
      <c r="C1787" s="29" t="s">
        <v>1757</v>
      </c>
      <c r="D1787" s="29" t="s">
        <v>1469</v>
      </c>
      <c r="E1787" s="29">
        <v>0</v>
      </c>
      <c r="F1787" s="29" t="s">
        <v>2341</v>
      </c>
      <c r="G1787" s="30" t="s">
        <v>2342</v>
      </c>
      <c r="H1787" s="3" t="str">
        <f t="shared" si="17"/>
        <v>{套保标志},</v>
      </c>
    </row>
    <row r="1788" spans="2:14" s="3" customFormat="1" hidden="1" outlineLevel="1" x14ac:dyDescent="0.25">
      <c r="B1788" s="28" t="s">
        <v>75</v>
      </c>
      <c r="C1788" s="29" t="s">
        <v>1530</v>
      </c>
      <c r="D1788" s="29" t="s">
        <v>1486</v>
      </c>
      <c r="E1788" s="29">
        <v>0</v>
      </c>
      <c r="F1788" s="29" t="s">
        <v>1470</v>
      </c>
      <c r="G1788" s="30" t="s">
        <v>1531</v>
      </c>
      <c r="H1788" s="3" t="str">
        <f t="shared" si="17"/>
        <v>{当前数量},</v>
      </c>
      <c r="J1788" s="3" t="s">
        <v>20</v>
      </c>
      <c r="N1788" s="3">
        <v>1202</v>
      </c>
    </row>
    <row r="1789" spans="2:14" s="3" customFormat="1" hidden="1" outlineLevel="1" x14ac:dyDescent="0.25">
      <c r="B1789" s="185" t="s">
        <v>349</v>
      </c>
      <c r="C1789" s="23" t="s">
        <v>1758</v>
      </c>
      <c r="D1789" s="23" t="s">
        <v>1539</v>
      </c>
      <c r="E1789" s="29">
        <v>0</v>
      </c>
      <c r="F1789" s="29" t="s">
        <v>1470</v>
      </c>
      <c r="G1789" s="30"/>
      <c r="H1789" s="3" t="str">
        <f t="shared" si="17"/>
        <v>{开仓价格},</v>
      </c>
      <c r="J1789" s="3" t="s">
        <v>10</v>
      </c>
      <c r="N1789" s="3">
        <v>2237</v>
      </c>
    </row>
    <row r="1790" spans="2:14" s="3" customFormat="1" hidden="1" outlineLevel="1" x14ac:dyDescent="0.25">
      <c r="B1790" s="185" t="s">
        <v>350</v>
      </c>
      <c r="C1790" s="23" t="s">
        <v>1759</v>
      </c>
      <c r="D1790" s="23" t="s">
        <v>1489</v>
      </c>
      <c r="E1790" s="29">
        <v>0</v>
      </c>
      <c r="F1790" s="29" t="s">
        <v>1470</v>
      </c>
      <c r="G1790" s="30"/>
      <c r="H1790" s="3" t="str">
        <f t="shared" si="17"/>
        <v>{盯市盈亏},</v>
      </c>
      <c r="J1790" s="3" t="s">
        <v>20</v>
      </c>
      <c r="N1790" s="3">
        <v>1986</v>
      </c>
    </row>
    <row r="1791" spans="2:14" s="3" customFormat="1" hidden="1" outlineLevel="1" x14ac:dyDescent="0.25">
      <c r="B1791" s="28" t="s">
        <v>351</v>
      </c>
      <c r="C1791" s="29" t="s">
        <v>1760</v>
      </c>
      <c r="D1791" s="29" t="s">
        <v>1489</v>
      </c>
      <c r="E1791" s="29">
        <v>0</v>
      </c>
      <c r="F1791" s="29" t="s">
        <v>1470</v>
      </c>
      <c r="G1791" s="30" t="s">
        <v>1761</v>
      </c>
      <c r="H1791" s="3" t="str">
        <f t="shared" si="17"/>
        <v>{应收保证金},</v>
      </c>
      <c r="J1791" s="3" t="s">
        <v>20</v>
      </c>
      <c r="N1791" s="3">
        <v>1262</v>
      </c>
    </row>
    <row r="1792" spans="2:14" s="3" customFormat="1" hidden="1" outlineLevel="1" x14ac:dyDescent="0.25">
      <c r="B1792" s="28" t="s">
        <v>138</v>
      </c>
      <c r="C1792" s="29" t="s">
        <v>1577</v>
      </c>
      <c r="D1792" s="29" t="s">
        <v>1486</v>
      </c>
      <c r="E1792" s="29">
        <v>0</v>
      </c>
      <c r="F1792" s="29" t="s">
        <v>1470</v>
      </c>
      <c r="G1792" s="30"/>
      <c r="H1792" s="3" t="str">
        <f t="shared" si="17"/>
        <v>{成交释放数量},</v>
      </c>
      <c r="J1792" s="3" t="s">
        <v>20</v>
      </c>
      <c r="N1792" s="3">
        <v>1317</v>
      </c>
    </row>
    <row r="1793" spans="1:14" s="3" customFormat="1" hidden="1" outlineLevel="1" x14ac:dyDescent="0.25">
      <c r="B1793" s="28" t="s">
        <v>352</v>
      </c>
      <c r="C1793" s="29" t="s">
        <v>1762</v>
      </c>
      <c r="D1793" s="29" t="s">
        <v>1486</v>
      </c>
      <c r="E1793" s="29">
        <v>0</v>
      </c>
      <c r="F1793" s="29"/>
      <c r="G1793" s="30"/>
      <c r="H1793" s="3" t="str">
        <f t="shared" si="17"/>
        <v>{今仓成交占用数量},</v>
      </c>
      <c r="J1793" s="3" t="s">
        <v>20</v>
      </c>
      <c r="N1793" s="3">
        <v>1721</v>
      </c>
    </row>
    <row r="1794" spans="1:14" s="3" customFormat="1" hidden="1" outlineLevel="1" x14ac:dyDescent="0.25">
      <c r="B1794" s="28" t="s">
        <v>62</v>
      </c>
      <c r="C1794" s="29" t="s">
        <v>1525</v>
      </c>
      <c r="D1794" s="23" t="s">
        <v>1489</v>
      </c>
      <c r="E1794" s="29">
        <v>0</v>
      </c>
      <c r="F1794" s="29"/>
      <c r="G1794" s="30"/>
      <c r="H1794" s="3" t="str">
        <f t="shared" si="17"/>
        <v>{持仓市值},</v>
      </c>
      <c r="J1794" s="3" t="s">
        <v>20</v>
      </c>
      <c r="N1794" s="3">
        <v>1875</v>
      </c>
    </row>
    <row r="1795" spans="1:14" s="3" customFormat="1" hidden="1" outlineLevel="1" x14ac:dyDescent="0.25">
      <c r="B1795" s="28" t="s">
        <v>95</v>
      </c>
      <c r="C1795" s="29" t="s">
        <v>1542</v>
      </c>
      <c r="D1795" s="29" t="s">
        <v>1494</v>
      </c>
      <c r="E1795" s="29">
        <v>0</v>
      </c>
      <c r="F1795" s="29"/>
      <c r="G1795" s="30"/>
      <c r="H1795" s="3" t="str">
        <f t="shared" si="17"/>
        <v>{持仓净值占比},</v>
      </c>
      <c r="J1795" s="3" t="s">
        <v>20</v>
      </c>
      <c r="N1795" s="3">
        <v>1891</v>
      </c>
    </row>
    <row r="1796" spans="1:14" s="3" customFormat="1" hidden="1" outlineLevel="1" x14ac:dyDescent="0.25">
      <c r="B1796" s="185" t="s">
        <v>2331</v>
      </c>
      <c r="C1796" s="23" t="s">
        <v>2343</v>
      </c>
      <c r="D1796" s="23" t="s">
        <v>23</v>
      </c>
      <c r="E1796" s="23">
        <v>0</v>
      </c>
      <c r="F1796" s="23"/>
      <c r="G1796" s="24"/>
    </row>
    <row r="1797" spans="1:14" s="3" customFormat="1" ht="17.399999999999999" hidden="1" customHeight="1" outlineLevel="1" thickBot="1" x14ac:dyDescent="0.3">
      <c r="A1797" s="5"/>
      <c r="B1797" s="31"/>
      <c r="C1797" s="20"/>
      <c r="D1797" s="20"/>
      <c r="E1797" s="20"/>
      <c r="F1797" s="20"/>
      <c r="G1797" s="22"/>
    </row>
    <row r="1798" spans="1:14" s="3" customFormat="1" ht="17.399999999999999" hidden="1" customHeight="1" outlineLevel="1" x14ac:dyDescent="0.25">
      <c r="A1798" s="5"/>
      <c r="B1798" s="401" t="s">
        <v>28</v>
      </c>
      <c r="C1798" s="402"/>
      <c r="D1798" s="402"/>
      <c r="E1798" s="402"/>
      <c r="F1798" s="402"/>
      <c r="G1798" s="403"/>
    </row>
    <row r="1799" spans="1:14" s="3" customFormat="1" ht="17.399999999999999" hidden="1" customHeight="1" outlineLevel="1" x14ac:dyDescent="0.25">
      <c r="A1799" s="5"/>
      <c r="B1799" s="116"/>
      <c r="C1799" s="117"/>
      <c r="D1799" s="117"/>
      <c r="E1799" s="117"/>
      <c r="F1799" s="117"/>
      <c r="G1799" s="105"/>
    </row>
    <row r="1800" spans="1:14" s="3" customFormat="1" ht="17.399999999999999" hidden="1" customHeight="1" outlineLevel="1" thickBot="1" x14ac:dyDescent="0.3">
      <c r="A1800" s="5"/>
      <c r="B1800" s="116"/>
      <c r="C1800" s="117"/>
      <c r="D1800" s="117"/>
      <c r="E1800" s="117"/>
      <c r="F1800" s="117"/>
      <c r="G1800" s="105"/>
    </row>
    <row r="1801" spans="1:14" s="3" customFormat="1" ht="17.399999999999999" hidden="1" customHeight="1" outlineLevel="1" x14ac:dyDescent="0.25">
      <c r="A1801" s="5"/>
      <c r="B1801" s="401" t="s">
        <v>29</v>
      </c>
      <c r="C1801" s="402"/>
      <c r="D1801" s="402"/>
      <c r="E1801" s="402"/>
      <c r="F1801" s="402"/>
      <c r="G1801" s="403"/>
    </row>
    <row r="1802" spans="1:14" s="4" customFormat="1" ht="17.399999999999999" hidden="1" customHeight="1" outlineLevel="1" x14ac:dyDescent="0.35">
      <c r="A1802" s="5"/>
      <c r="B1802" s="67" t="s">
        <v>30</v>
      </c>
      <c r="C1802" s="65"/>
      <c r="D1802" s="65"/>
      <c r="E1802" s="65"/>
      <c r="F1802" s="65"/>
      <c r="G1802" s="371" t="s">
        <v>2357</v>
      </c>
      <c r="H1802" s="5"/>
      <c r="I1802" s="5"/>
      <c r="J1802" s="5"/>
      <c r="K1802" s="5"/>
      <c r="L1802" s="5"/>
      <c r="M1802" s="5"/>
    </row>
    <row r="1803" spans="1:14" s="3" customFormat="1" hidden="1" outlineLevel="1" x14ac:dyDescent="0.25">
      <c r="B1803" s="28"/>
      <c r="C1803" s="29"/>
      <c r="D1803" s="29"/>
      <c r="E1803" s="29"/>
      <c r="F1803" s="29"/>
      <c r="G1803" s="30"/>
    </row>
    <row r="1804" spans="1:14" s="3" customFormat="1" hidden="1" outlineLevel="1" x14ac:dyDescent="0.25">
      <c r="B1804" s="28" t="s">
        <v>357</v>
      </c>
      <c r="C1804" s="29"/>
      <c r="D1804" s="29"/>
      <c r="E1804" s="29"/>
      <c r="F1804" s="29"/>
      <c r="G1804" s="375" t="s">
        <v>2393</v>
      </c>
    </row>
    <row r="1805" spans="1:14" s="3" customFormat="1" hidden="1" outlineLevel="1" x14ac:dyDescent="0.25">
      <c r="B1805" s="28"/>
      <c r="C1805" s="29"/>
      <c r="D1805" s="29"/>
      <c r="E1805" s="29"/>
      <c r="F1805" s="29"/>
      <c r="G1805" s="30"/>
    </row>
    <row r="1806" spans="1:14" s="3" customFormat="1" hidden="1" outlineLevel="1" x14ac:dyDescent="0.25">
      <c r="B1806" s="28"/>
      <c r="C1806" s="29"/>
      <c r="D1806" s="29"/>
      <c r="E1806" s="29"/>
      <c r="F1806" s="29"/>
      <c r="G1806" s="30"/>
    </row>
    <row r="1807" spans="1:14" s="3" customFormat="1" ht="18.75" hidden="1" customHeight="1" outlineLevel="1" thickBot="1" x14ac:dyDescent="0.3">
      <c r="B1807" s="163"/>
      <c r="C1807" s="164"/>
      <c r="D1807" s="164"/>
      <c r="E1807" s="164"/>
      <c r="F1807" s="164"/>
      <c r="G1807" s="165"/>
    </row>
    <row r="1808" spans="1:14" s="3" customFormat="1" ht="17.399999999999999" hidden="1" customHeight="1" outlineLevel="1" thickBot="1" x14ac:dyDescent="0.3">
      <c r="A1808" s="5"/>
    </row>
    <row r="1809" spans="1:14" s="3" customFormat="1" ht="17.399999999999999" customHeight="1" collapsed="1" thickBot="1" x14ac:dyDescent="0.3">
      <c r="A1809" s="5"/>
      <c r="B1809" s="15" t="s">
        <v>1279</v>
      </c>
      <c r="C1809" s="16" t="s">
        <v>1419</v>
      </c>
      <c r="D1809" s="17" t="s">
        <v>1281</v>
      </c>
      <c r="E1809" s="16" t="s">
        <v>358</v>
      </c>
      <c r="F1809" s="17" t="s">
        <v>1282</v>
      </c>
      <c r="G1809" s="18" t="s">
        <v>1420</v>
      </c>
    </row>
    <row r="1810" spans="1:14" s="3" customFormat="1" ht="17.399999999999999" hidden="1" customHeight="1" outlineLevel="1" x14ac:dyDescent="0.25">
      <c r="A1810" s="5"/>
      <c r="B1810" s="19" t="s">
        <v>1284</v>
      </c>
      <c r="C1810" s="20" t="s">
        <v>1285</v>
      </c>
      <c r="D1810" s="21" t="s">
        <v>1286</v>
      </c>
      <c r="E1810" s="20" t="s">
        <v>1421</v>
      </c>
      <c r="F1810" s="21" t="s">
        <v>1288</v>
      </c>
      <c r="G1810" s="22"/>
    </row>
    <row r="1811" spans="1:14" s="3" customFormat="1" ht="17.399999999999999" hidden="1" customHeight="1" outlineLevel="1" thickBot="1" x14ac:dyDescent="0.3">
      <c r="A1811" s="5"/>
      <c r="B1811" s="19" t="s">
        <v>1290</v>
      </c>
      <c r="C1811" s="23" t="s">
        <v>1291</v>
      </c>
      <c r="D1811" s="21" t="s">
        <v>1292</v>
      </c>
      <c r="E1811" s="23">
        <v>5</v>
      </c>
      <c r="F1811" s="21" t="s">
        <v>1293</v>
      </c>
      <c r="G1811" s="24" t="s">
        <v>1294</v>
      </c>
    </row>
    <row r="1812" spans="1:14" s="3" customFormat="1" ht="17.399999999999999" hidden="1" customHeight="1" outlineLevel="1" x14ac:dyDescent="0.25">
      <c r="A1812" s="5"/>
      <c r="B1812" s="395" t="s">
        <v>1</v>
      </c>
      <c r="C1812" s="396"/>
      <c r="D1812" s="396"/>
      <c r="E1812" s="396"/>
      <c r="F1812" s="396"/>
      <c r="G1812" s="397"/>
    </row>
    <row r="1813" spans="1:14" s="3" customFormat="1" ht="17.399999999999999" hidden="1" customHeight="1" outlineLevel="1" x14ac:dyDescent="0.25">
      <c r="A1813" s="5"/>
      <c r="B1813" s="25" t="s">
        <v>2</v>
      </c>
      <c r="C1813" s="26" t="s">
        <v>3</v>
      </c>
      <c r="D1813" s="26" t="s">
        <v>4</v>
      </c>
      <c r="E1813" s="26" t="s">
        <v>5</v>
      </c>
      <c r="F1813" s="26"/>
      <c r="G1813" s="27" t="s">
        <v>6</v>
      </c>
    </row>
    <row r="1814" spans="1:14" s="3" customFormat="1" hidden="1" outlineLevel="1" x14ac:dyDescent="0.25">
      <c r="B1814" s="28" t="s">
        <v>7</v>
      </c>
      <c r="C1814" s="29" t="s">
        <v>1468</v>
      </c>
      <c r="D1814" s="29" t="s">
        <v>1469</v>
      </c>
      <c r="E1814" s="29">
        <v>0</v>
      </c>
      <c r="F1814" s="29" t="s">
        <v>1470</v>
      </c>
      <c r="G1814" s="30" t="s">
        <v>1471</v>
      </c>
      <c r="J1814" s="3" t="s">
        <v>10</v>
      </c>
      <c r="N1814" s="3">
        <v>1112</v>
      </c>
    </row>
    <row r="1815" spans="1:14" s="3" customFormat="1" hidden="1" outlineLevel="1" x14ac:dyDescent="0.25">
      <c r="B1815" s="28" t="s">
        <v>345</v>
      </c>
      <c r="C1815" s="29" t="s">
        <v>1754</v>
      </c>
      <c r="D1815" s="29" t="s">
        <v>1469</v>
      </c>
      <c r="E1815" s="29">
        <v>0</v>
      </c>
      <c r="F1815" s="29" t="s">
        <v>1470</v>
      </c>
      <c r="G1815" s="30"/>
    </row>
    <row r="1816" spans="1:14" s="3" customFormat="1" hidden="1" outlineLevel="1" x14ac:dyDescent="0.25">
      <c r="B1816" s="28" t="s">
        <v>73</v>
      </c>
      <c r="C1816" s="29" t="s">
        <v>1528</v>
      </c>
      <c r="D1816" s="29" t="s">
        <v>1469</v>
      </c>
      <c r="E1816" s="29" t="s">
        <v>1480</v>
      </c>
      <c r="F1816" s="29" t="s">
        <v>1481</v>
      </c>
      <c r="G1816" s="30"/>
      <c r="J1816" s="3" t="s">
        <v>10</v>
      </c>
      <c r="N1816" s="3">
        <v>1767</v>
      </c>
    </row>
    <row r="1817" spans="1:14" s="3" customFormat="1" hidden="1" outlineLevel="1" x14ac:dyDescent="0.25">
      <c r="B1817" s="28" t="s">
        <v>74</v>
      </c>
      <c r="C1817" s="29" t="s">
        <v>1529</v>
      </c>
      <c r="D1817" s="29" t="s">
        <v>1469</v>
      </c>
      <c r="E1817" s="29" t="s">
        <v>1480</v>
      </c>
      <c r="F1817" s="29" t="s">
        <v>1481</v>
      </c>
      <c r="G1817" s="30"/>
      <c r="J1817" s="3" t="s">
        <v>10</v>
      </c>
      <c r="N1817" s="3">
        <v>1713</v>
      </c>
    </row>
    <row r="1818" spans="1:14" s="3" customFormat="1" hidden="1" outlineLevel="1" x14ac:dyDescent="0.25">
      <c r="B1818" s="28" t="s">
        <v>128</v>
      </c>
      <c r="C1818" s="29" t="s">
        <v>1566</v>
      </c>
      <c r="D1818" s="29" t="s">
        <v>1567</v>
      </c>
      <c r="E1818" s="29">
        <v>0</v>
      </c>
      <c r="F1818" s="29" t="s">
        <v>1470</v>
      </c>
      <c r="G1818" s="30"/>
      <c r="J1818" s="3" t="s">
        <v>12</v>
      </c>
      <c r="N1818" s="3">
        <v>1629</v>
      </c>
    </row>
    <row r="1819" spans="1:14" s="3" customFormat="1" hidden="1" outlineLevel="1" x14ac:dyDescent="0.25">
      <c r="B1819" s="28" t="s">
        <v>114</v>
      </c>
      <c r="C1819" s="29" t="s">
        <v>1557</v>
      </c>
      <c r="D1819" s="29" t="s">
        <v>1469</v>
      </c>
      <c r="E1819" s="29">
        <v>-1</v>
      </c>
      <c r="F1819" s="29" t="s">
        <v>1470</v>
      </c>
      <c r="G1819" s="30"/>
      <c r="J1819" s="3" t="s">
        <v>10</v>
      </c>
      <c r="N1819" s="3">
        <v>2449</v>
      </c>
    </row>
    <row r="1820" spans="1:14" s="3" customFormat="1" hidden="1" outlineLevel="1" x14ac:dyDescent="0.25">
      <c r="B1820" s="28"/>
      <c r="C1820" s="29"/>
      <c r="D1820" s="29"/>
      <c r="E1820" s="29"/>
      <c r="F1820" s="29"/>
      <c r="G1820" s="30"/>
    </row>
    <row r="1821" spans="1:14" s="3" customFormat="1" ht="17.399999999999999" hidden="1" customHeight="1" outlineLevel="1" x14ac:dyDescent="0.25">
      <c r="A1821" s="5"/>
      <c r="B1821" s="398" t="s">
        <v>18</v>
      </c>
      <c r="C1821" s="399"/>
      <c r="D1821" s="399"/>
      <c r="E1821" s="399"/>
      <c r="F1821" s="399"/>
      <c r="G1821" s="400"/>
    </row>
    <row r="1822" spans="1:14" s="3" customFormat="1" ht="17.399999999999999" hidden="1" customHeight="1" outlineLevel="1" x14ac:dyDescent="0.25">
      <c r="A1822" s="5"/>
      <c r="B1822" s="25" t="s">
        <v>2</v>
      </c>
      <c r="C1822" s="26" t="s">
        <v>3</v>
      </c>
      <c r="D1822" s="26" t="s">
        <v>4</v>
      </c>
      <c r="E1822" s="26" t="s">
        <v>5</v>
      </c>
      <c r="F1822" s="26"/>
      <c r="G1822" s="27" t="s">
        <v>6</v>
      </c>
    </row>
    <row r="1823" spans="1:14" s="3" customFormat="1" hidden="1" outlineLevel="1" x14ac:dyDescent="0.25">
      <c r="B1823" s="28" t="s">
        <v>128</v>
      </c>
      <c r="C1823" s="29" t="s">
        <v>1566</v>
      </c>
      <c r="D1823" s="29" t="s">
        <v>1567</v>
      </c>
      <c r="E1823" s="29">
        <v>0</v>
      </c>
      <c r="F1823" s="29" t="s">
        <v>1470</v>
      </c>
      <c r="G1823" s="30"/>
      <c r="H1823" s="3" t="str">
        <f>"{"&amp;B1823&amp;"},"</f>
        <v>{记录序号},</v>
      </c>
      <c r="J1823" s="3" t="s">
        <v>12</v>
      </c>
      <c r="N1823" s="3">
        <v>1629</v>
      </c>
    </row>
    <row r="1824" spans="1:14" s="3" customFormat="1" hidden="1" outlineLevel="1" x14ac:dyDescent="0.25">
      <c r="B1824" s="28" t="s">
        <v>16</v>
      </c>
      <c r="C1824" s="29" t="s">
        <v>1479</v>
      </c>
      <c r="D1824" s="29" t="s">
        <v>1469</v>
      </c>
      <c r="E1824" s="29" t="s">
        <v>1480</v>
      </c>
      <c r="F1824" s="29" t="s">
        <v>1481</v>
      </c>
      <c r="G1824" s="30" t="s">
        <v>1482</v>
      </c>
      <c r="H1824" s="3" t="str">
        <f t="shared" ref="H1824:H1827" si="18">"{"&amp;B1824&amp;"},"</f>
        <v>{初始化日期},</v>
      </c>
      <c r="J1824" s="3" t="s">
        <v>10</v>
      </c>
      <c r="N1824" s="3">
        <v>1211</v>
      </c>
    </row>
    <row r="1825" spans="2:14" s="3" customFormat="1" hidden="1" outlineLevel="1" x14ac:dyDescent="0.25">
      <c r="B1825" s="28" t="s">
        <v>112</v>
      </c>
      <c r="C1825" s="29" t="s">
        <v>1555</v>
      </c>
      <c r="D1825" s="29" t="s">
        <v>1469</v>
      </c>
      <c r="E1825" s="29">
        <v>0</v>
      </c>
      <c r="F1825" s="29" t="s">
        <v>1470</v>
      </c>
      <c r="G1825" s="30" t="s">
        <v>1556</v>
      </c>
      <c r="H1825" s="3" t="str">
        <f t="shared" si="18"/>
        <v>{机构编号},</v>
      </c>
      <c r="J1825" s="3" t="s">
        <v>10</v>
      </c>
      <c r="N1825" s="3">
        <v>1606</v>
      </c>
    </row>
    <row r="1826" spans="2:14" s="3" customFormat="1" hidden="1" outlineLevel="1" x14ac:dyDescent="0.25">
      <c r="B1826" s="28" t="s">
        <v>7</v>
      </c>
      <c r="C1826" s="29" t="s">
        <v>1468</v>
      </c>
      <c r="D1826" s="29" t="s">
        <v>1469</v>
      </c>
      <c r="E1826" s="29">
        <v>0</v>
      </c>
      <c r="F1826" s="29" t="s">
        <v>1470</v>
      </c>
      <c r="G1826" s="30" t="s">
        <v>1471</v>
      </c>
      <c r="H1826" s="3" t="str">
        <f t="shared" si="18"/>
        <v>{产品编号},</v>
      </c>
      <c r="J1826" s="3" t="s">
        <v>10</v>
      </c>
      <c r="N1826" s="3">
        <v>1112</v>
      </c>
    </row>
    <row r="1827" spans="2:14" s="3" customFormat="1" hidden="1" outlineLevel="1" x14ac:dyDescent="0.25">
      <c r="B1827" s="28" t="s">
        <v>13</v>
      </c>
      <c r="C1827" s="29" t="s">
        <v>1474</v>
      </c>
      <c r="D1827" s="29" t="s">
        <v>1469</v>
      </c>
      <c r="E1827" s="29">
        <v>0</v>
      </c>
      <c r="F1827" s="29" t="s">
        <v>1470</v>
      </c>
      <c r="G1827" s="30"/>
      <c r="H1827" s="3" t="str">
        <f t="shared" si="18"/>
        <v>{资产账户编号},</v>
      </c>
      <c r="J1827" s="3" t="s">
        <v>10</v>
      </c>
      <c r="N1827" s="3">
        <v>2534</v>
      </c>
    </row>
    <row r="1828" spans="2:14" s="3" customFormat="1" hidden="1" outlineLevel="1" x14ac:dyDescent="0.25">
      <c r="B1828" s="116" t="s">
        <v>11</v>
      </c>
      <c r="C1828" s="117" t="s">
        <v>1472</v>
      </c>
      <c r="D1828" s="117" t="s">
        <v>1469</v>
      </c>
      <c r="E1828" s="29">
        <v>0</v>
      </c>
      <c r="F1828" s="29" t="s">
        <v>1470</v>
      </c>
      <c r="G1828" s="30" t="s">
        <v>1473</v>
      </c>
    </row>
    <row r="1829" spans="2:14" s="3" customFormat="1" hidden="1" outlineLevel="1" x14ac:dyDescent="0.25">
      <c r="B1829" s="28" t="s">
        <v>14</v>
      </c>
      <c r="C1829" s="29" t="s">
        <v>1475</v>
      </c>
      <c r="D1829" s="29" t="s">
        <v>1469</v>
      </c>
      <c r="E1829" s="29">
        <v>0</v>
      </c>
      <c r="F1829" s="29" t="s">
        <v>1476</v>
      </c>
      <c r="G1829" s="30" t="s">
        <v>1477</v>
      </c>
      <c r="H1829" s="3" t="str">
        <f t="shared" ref="H1829:H1841" si="19">"{"&amp;B1829&amp;"},"</f>
        <v>{市场编号},</v>
      </c>
      <c r="J1829" s="3" t="s">
        <v>10</v>
      </c>
      <c r="N1829" s="3">
        <v>2534</v>
      </c>
    </row>
    <row r="1830" spans="2:14" s="3" customFormat="1" hidden="1" outlineLevel="1" x14ac:dyDescent="0.25">
      <c r="B1830" s="28" t="s">
        <v>346</v>
      </c>
      <c r="C1830" s="29" t="s">
        <v>1755</v>
      </c>
      <c r="D1830" s="29" t="s">
        <v>1469</v>
      </c>
      <c r="E1830" s="29">
        <v>0</v>
      </c>
      <c r="F1830" s="29" t="s">
        <v>1470</v>
      </c>
      <c r="G1830" s="30"/>
      <c r="H1830" s="3" t="str">
        <f t="shared" si="19"/>
        <v>{交易编码编号},</v>
      </c>
      <c r="J1830" s="3" t="s">
        <v>10</v>
      </c>
      <c r="N1830" s="3">
        <v>2430</v>
      </c>
    </row>
    <row r="1831" spans="2:14" s="3" customFormat="1" hidden="1" outlineLevel="1" x14ac:dyDescent="0.25">
      <c r="B1831" s="28" t="s">
        <v>345</v>
      </c>
      <c r="C1831" s="29" t="s">
        <v>1754</v>
      </c>
      <c r="D1831" s="29" t="s">
        <v>1469</v>
      </c>
      <c r="E1831" s="29">
        <v>0</v>
      </c>
      <c r="F1831" s="29" t="s">
        <v>1470</v>
      </c>
      <c r="G1831" s="30"/>
      <c r="H1831" s="3" t="str">
        <f t="shared" si="19"/>
        <v>{合约代码编号},</v>
      </c>
      <c r="J1831" s="3" t="s">
        <v>10</v>
      </c>
      <c r="N1831" s="3">
        <v>2433</v>
      </c>
    </row>
    <row r="1832" spans="2:14" s="3" customFormat="1" hidden="1" outlineLevel="1" x14ac:dyDescent="0.25">
      <c r="B1832" s="28" t="s">
        <v>347</v>
      </c>
      <c r="C1832" s="29" t="s">
        <v>1756</v>
      </c>
      <c r="D1832" s="29" t="s">
        <v>1469</v>
      </c>
      <c r="E1832" s="29">
        <v>0</v>
      </c>
      <c r="F1832" s="29" t="s">
        <v>1476</v>
      </c>
      <c r="G1832" s="30"/>
      <c r="H1832" s="3" t="str">
        <f t="shared" si="19"/>
        <v>{多空类型},</v>
      </c>
      <c r="J1832" s="3" t="s">
        <v>10</v>
      </c>
      <c r="N1832" s="3">
        <v>2155</v>
      </c>
    </row>
    <row r="1833" spans="2:14" s="3" customFormat="1" hidden="1" outlineLevel="1" x14ac:dyDescent="0.25">
      <c r="B1833" s="28" t="s">
        <v>348</v>
      </c>
      <c r="C1833" s="29" t="s">
        <v>1757</v>
      </c>
      <c r="D1833" s="29" t="s">
        <v>1469</v>
      </c>
      <c r="E1833" s="29">
        <v>0</v>
      </c>
      <c r="F1833" s="29" t="s">
        <v>2341</v>
      </c>
      <c r="G1833" s="30" t="s">
        <v>2342</v>
      </c>
      <c r="H1833" s="3" t="str">
        <f t="shared" si="19"/>
        <v>{套保标志},</v>
      </c>
    </row>
    <row r="1834" spans="2:14" s="3" customFormat="1" hidden="1" outlineLevel="1" x14ac:dyDescent="0.25">
      <c r="B1834" s="28" t="s">
        <v>75</v>
      </c>
      <c r="C1834" s="29" t="s">
        <v>1530</v>
      </c>
      <c r="D1834" s="29" t="s">
        <v>1486</v>
      </c>
      <c r="E1834" s="29">
        <v>0</v>
      </c>
      <c r="F1834" s="29" t="s">
        <v>1470</v>
      </c>
      <c r="G1834" s="30" t="s">
        <v>1531</v>
      </c>
      <c r="H1834" s="3" t="str">
        <f t="shared" si="19"/>
        <v>{当前数量},</v>
      </c>
      <c r="J1834" s="3" t="s">
        <v>20</v>
      </c>
      <c r="N1834" s="3">
        <v>1202</v>
      </c>
    </row>
    <row r="1835" spans="2:14" s="3" customFormat="1" hidden="1" outlineLevel="1" x14ac:dyDescent="0.25">
      <c r="B1835" s="185" t="s">
        <v>349</v>
      </c>
      <c r="C1835" s="23" t="s">
        <v>1758</v>
      </c>
      <c r="D1835" s="23" t="s">
        <v>1539</v>
      </c>
      <c r="E1835" s="29">
        <v>0</v>
      </c>
      <c r="F1835" s="29" t="s">
        <v>1470</v>
      </c>
      <c r="G1835" s="30"/>
      <c r="H1835" s="3" t="str">
        <f t="shared" si="19"/>
        <v>{开仓价格},</v>
      </c>
      <c r="J1835" s="3" t="s">
        <v>10</v>
      </c>
      <c r="N1835" s="3">
        <v>2237</v>
      </c>
    </row>
    <row r="1836" spans="2:14" s="3" customFormat="1" hidden="1" outlineLevel="1" x14ac:dyDescent="0.25">
      <c r="B1836" s="185" t="s">
        <v>350</v>
      </c>
      <c r="C1836" s="23" t="s">
        <v>1759</v>
      </c>
      <c r="D1836" s="23" t="s">
        <v>1489</v>
      </c>
      <c r="E1836" s="29">
        <v>0</v>
      </c>
      <c r="F1836" s="29" t="s">
        <v>1470</v>
      </c>
      <c r="G1836" s="30"/>
      <c r="H1836" s="3" t="str">
        <f t="shared" si="19"/>
        <v>{盯市盈亏},</v>
      </c>
      <c r="J1836" s="3" t="s">
        <v>20</v>
      </c>
      <c r="N1836" s="3">
        <v>1986</v>
      </c>
    </row>
    <row r="1837" spans="2:14" s="3" customFormat="1" hidden="1" outlineLevel="1" x14ac:dyDescent="0.25">
      <c r="B1837" s="28" t="s">
        <v>351</v>
      </c>
      <c r="C1837" s="29" t="s">
        <v>1760</v>
      </c>
      <c r="D1837" s="29" t="s">
        <v>1489</v>
      </c>
      <c r="E1837" s="29">
        <v>0</v>
      </c>
      <c r="F1837" s="29" t="s">
        <v>1470</v>
      </c>
      <c r="G1837" s="30" t="s">
        <v>1761</v>
      </c>
      <c r="H1837" s="3" t="str">
        <f t="shared" si="19"/>
        <v>{应收保证金},</v>
      </c>
      <c r="J1837" s="3" t="s">
        <v>20</v>
      </c>
      <c r="N1837" s="3">
        <v>1262</v>
      </c>
    </row>
    <row r="1838" spans="2:14" s="3" customFormat="1" hidden="1" outlineLevel="1" x14ac:dyDescent="0.25">
      <c r="B1838" s="28" t="s">
        <v>138</v>
      </c>
      <c r="C1838" s="29" t="s">
        <v>1577</v>
      </c>
      <c r="D1838" s="29" t="s">
        <v>1486</v>
      </c>
      <c r="E1838" s="29">
        <v>0</v>
      </c>
      <c r="F1838" s="29" t="s">
        <v>1470</v>
      </c>
      <c r="G1838" s="30"/>
      <c r="H1838" s="3" t="str">
        <f t="shared" si="19"/>
        <v>{成交释放数量},</v>
      </c>
      <c r="J1838" s="3" t="s">
        <v>20</v>
      </c>
      <c r="N1838" s="3">
        <v>1317</v>
      </c>
    </row>
    <row r="1839" spans="2:14" s="3" customFormat="1" hidden="1" outlineLevel="1" x14ac:dyDescent="0.25">
      <c r="B1839" s="28" t="s">
        <v>352</v>
      </c>
      <c r="C1839" s="29" t="s">
        <v>1762</v>
      </c>
      <c r="D1839" s="29" t="s">
        <v>1486</v>
      </c>
      <c r="E1839" s="29">
        <v>0</v>
      </c>
      <c r="F1839" s="29"/>
      <c r="G1839" s="30"/>
      <c r="H1839" s="3" t="str">
        <f t="shared" si="19"/>
        <v>{今仓成交占用数量},</v>
      </c>
      <c r="J1839" s="3" t="s">
        <v>20</v>
      </c>
      <c r="N1839" s="3">
        <v>1721</v>
      </c>
    </row>
    <row r="1840" spans="2:14" s="3" customFormat="1" hidden="1" outlineLevel="1" x14ac:dyDescent="0.25">
      <c r="B1840" s="28" t="s">
        <v>62</v>
      </c>
      <c r="C1840" s="29" t="s">
        <v>1525</v>
      </c>
      <c r="D1840" s="23" t="s">
        <v>1489</v>
      </c>
      <c r="E1840" s="29">
        <v>0</v>
      </c>
      <c r="F1840" s="29"/>
      <c r="G1840" s="30"/>
      <c r="H1840" s="3" t="str">
        <f t="shared" si="19"/>
        <v>{持仓市值},</v>
      </c>
      <c r="J1840" s="3" t="s">
        <v>20</v>
      </c>
      <c r="N1840" s="3">
        <v>1875</v>
      </c>
    </row>
    <row r="1841" spans="1:14" s="3" customFormat="1" hidden="1" outlineLevel="1" x14ac:dyDescent="0.25">
      <c r="B1841" s="28" t="s">
        <v>95</v>
      </c>
      <c r="C1841" s="29" t="s">
        <v>1542</v>
      </c>
      <c r="D1841" s="29" t="s">
        <v>1494</v>
      </c>
      <c r="E1841" s="29">
        <v>0</v>
      </c>
      <c r="F1841" s="29"/>
      <c r="G1841" s="30"/>
      <c r="H1841" s="3" t="str">
        <f t="shared" si="19"/>
        <v>{持仓净值占比},</v>
      </c>
      <c r="J1841" s="3" t="s">
        <v>20</v>
      </c>
      <c r="N1841" s="3">
        <v>1891</v>
      </c>
    </row>
    <row r="1842" spans="1:14" s="3" customFormat="1" hidden="1" outlineLevel="1" x14ac:dyDescent="0.25">
      <c r="B1842" s="185" t="s">
        <v>2331</v>
      </c>
      <c r="C1842" s="23" t="s">
        <v>2343</v>
      </c>
      <c r="D1842" s="23" t="s">
        <v>23</v>
      </c>
      <c r="E1842" s="23">
        <v>0</v>
      </c>
      <c r="F1842" s="23"/>
      <c r="G1842" s="24"/>
    </row>
    <row r="1843" spans="1:14" s="3" customFormat="1" ht="17.399999999999999" hidden="1" customHeight="1" outlineLevel="1" thickBot="1" x14ac:dyDescent="0.3">
      <c r="A1843" s="5"/>
      <c r="B1843" s="31"/>
      <c r="C1843" s="20"/>
      <c r="D1843" s="20"/>
      <c r="E1843" s="20"/>
      <c r="F1843" s="20"/>
      <c r="G1843" s="22"/>
    </row>
    <row r="1844" spans="1:14" s="3" customFormat="1" ht="17.399999999999999" hidden="1" customHeight="1" outlineLevel="1" x14ac:dyDescent="0.25">
      <c r="A1844" s="5"/>
      <c r="B1844" s="401" t="s">
        <v>28</v>
      </c>
      <c r="C1844" s="402"/>
      <c r="D1844" s="402"/>
      <c r="E1844" s="402"/>
      <c r="F1844" s="402"/>
      <c r="G1844" s="403"/>
    </row>
    <row r="1845" spans="1:14" s="3" customFormat="1" ht="17.399999999999999" hidden="1" customHeight="1" outlineLevel="1" x14ac:dyDescent="0.25">
      <c r="A1845" s="5"/>
      <c r="B1845" s="116"/>
      <c r="C1845" s="117"/>
      <c r="D1845" s="117"/>
      <c r="E1845" s="117"/>
      <c r="F1845" s="117"/>
      <c r="G1845" s="105"/>
    </row>
    <row r="1846" spans="1:14" s="3" customFormat="1" ht="17.399999999999999" hidden="1" customHeight="1" outlineLevel="1" thickBot="1" x14ac:dyDescent="0.3">
      <c r="A1846" s="5"/>
      <c r="B1846" s="116"/>
      <c r="C1846" s="117"/>
      <c r="D1846" s="117"/>
      <c r="E1846" s="117"/>
      <c r="F1846" s="117"/>
      <c r="G1846" s="105"/>
    </row>
    <row r="1847" spans="1:14" s="3" customFormat="1" ht="17.399999999999999" hidden="1" customHeight="1" outlineLevel="1" x14ac:dyDescent="0.25">
      <c r="A1847" s="5"/>
      <c r="B1847" s="401" t="s">
        <v>29</v>
      </c>
      <c r="C1847" s="402"/>
      <c r="D1847" s="402"/>
      <c r="E1847" s="402"/>
      <c r="F1847" s="402"/>
      <c r="G1847" s="403"/>
    </row>
    <row r="1848" spans="1:14" s="4" customFormat="1" ht="17.399999999999999" hidden="1" customHeight="1" outlineLevel="1" x14ac:dyDescent="0.35">
      <c r="A1848" s="5"/>
      <c r="B1848" s="67" t="s">
        <v>30</v>
      </c>
      <c r="C1848" s="65"/>
      <c r="D1848" s="65"/>
      <c r="E1848" s="65"/>
      <c r="F1848" s="65"/>
      <c r="G1848" s="371" t="s">
        <v>2357</v>
      </c>
      <c r="H1848" s="5"/>
      <c r="I1848" s="5"/>
      <c r="J1848" s="5"/>
      <c r="K1848" s="5"/>
      <c r="L1848" s="5"/>
      <c r="M1848" s="5"/>
    </row>
    <row r="1849" spans="1:14" s="3" customFormat="1" hidden="1" outlineLevel="1" x14ac:dyDescent="0.25">
      <c r="B1849" s="28"/>
      <c r="C1849" s="29"/>
      <c r="D1849" s="29"/>
      <c r="E1849" s="29"/>
      <c r="F1849" s="29"/>
      <c r="G1849" s="30"/>
    </row>
    <row r="1850" spans="1:14" s="3" customFormat="1" hidden="1" outlineLevel="1" x14ac:dyDescent="0.25">
      <c r="B1850" s="28" t="s">
        <v>359</v>
      </c>
      <c r="C1850" s="29"/>
      <c r="D1850" s="29"/>
      <c r="E1850" s="29"/>
      <c r="F1850" s="29"/>
      <c r="G1850" s="375" t="s">
        <v>2394</v>
      </c>
    </row>
    <row r="1851" spans="1:14" s="3" customFormat="1" hidden="1" outlineLevel="1" x14ac:dyDescent="0.25">
      <c r="B1851" s="28"/>
      <c r="C1851" s="29"/>
      <c r="D1851" s="29"/>
      <c r="E1851" s="29"/>
      <c r="F1851" s="29"/>
      <c r="G1851" s="30"/>
    </row>
    <row r="1852" spans="1:14" s="3" customFormat="1" hidden="1" outlineLevel="1" x14ac:dyDescent="0.25">
      <c r="B1852" s="28"/>
      <c r="C1852" s="29"/>
      <c r="D1852" s="29"/>
      <c r="E1852" s="29"/>
      <c r="F1852" s="29"/>
      <c r="G1852" s="30"/>
    </row>
    <row r="1853" spans="1:14" s="3" customFormat="1" ht="18.75" hidden="1" customHeight="1" outlineLevel="1" thickBot="1" x14ac:dyDescent="0.3">
      <c r="B1853" s="163"/>
      <c r="C1853" s="164"/>
      <c r="D1853" s="164"/>
      <c r="E1853" s="164"/>
      <c r="F1853" s="164"/>
      <c r="G1853" s="165"/>
    </row>
    <row r="1854" spans="1:14" s="3" customFormat="1" ht="17.399999999999999" hidden="1" customHeight="1" outlineLevel="1" thickBot="1" x14ac:dyDescent="0.3">
      <c r="A1854" s="5"/>
    </row>
    <row r="1855" spans="1:14" s="3" customFormat="1" ht="17.399999999999999" customHeight="1" collapsed="1" thickBot="1" x14ac:dyDescent="0.3">
      <c r="A1855" s="5"/>
      <c r="B1855" s="15" t="s">
        <v>1279</v>
      </c>
      <c r="C1855" s="16" t="s">
        <v>1422</v>
      </c>
      <c r="D1855" s="17" t="s">
        <v>1281</v>
      </c>
      <c r="E1855" s="16" t="s">
        <v>360</v>
      </c>
      <c r="F1855" s="17" t="s">
        <v>1282</v>
      </c>
      <c r="G1855" s="18" t="s">
        <v>1423</v>
      </c>
    </row>
    <row r="1856" spans="1:14" s="3" customFormat="1" ht="17.399999999999999" hidden="1" customHeight="1" outlineLevel="1" x14ac:dyDescent="0.25">
      <c r="A1856" s="5"/>
      <c r="B1856" s="19" t="s">
        <v>1284</v>
      </c>
      <c r="C1856" s="20" t="s">
        <v>1285</v>
      </c>
      <c r="D1856" s="21" t="s">
        <v>1286</v>
      </c>
      <c r="E1856" s="20" t="s">
        <v>1424</v>
      </c>
      <c r="F1856" s="21" t="s">
        <v>1288</v>
      </c>
      <c r="G1856" s="22"/>
    </row>
    <row r="1857" spans="1:14" s="3" customFormat="1" ht="17.399999999999999" hidden="1" customHeight="1" outlineLevel="1" thickBot="1" x14ac:dyDescent="0.3">
      <c r="A1857" s="5"/>
      <c r="B1857" s="19" t="s">
        <v>1290</v>
      </c>
      <c r="C1857" s="23" t="s">
        <v>1291</v>
      </c>
      <c r="D1857" s="21" t="s">
        <v>1292</v>
      </c>
      <c r="E1857" s="23">
        <v>5</v>
      </c>
      <c r="F1857" s="21" t="s">
        <v>1293</v>
      </c>
      <c r="G1857" s="24" t="s">
        <v>1294</v>
      </c>
    </row>
    <row r="1858" spans="1:14" s="3" customFormat="1" ht="17.399999999999999" hidden="1" customHeight="1" outlineLevel="1" x14ac:dyDescent="0.25">
      <c r="A1858" s="5"/>
      <c r="B1858" s="395" t="s">
        <v>1</v>
      </c>
      <c r="C1858" s="396"/>
      <c r="D1858" s="396"/>
      <c r="E1858" s="396"/>
      <c r="F1858" s="396"/>
      <c r="G1858" s="397"/>
    </row>
    <row r="1859" spans="1:14" s="3" customFormat="1" ht="17.399999999999999" hidden="1" customHeight="1" outlineLevel="1" x14ac:dyDescent="0.25">
      <c r="A1859" s="5"/>
      <c r="B1859" s="25" t="s">
        <v>2</v>
      </c>
      <c r="C1859" s="26" t="s">
        <v>3</v>
      </c>
      <c r="D1859" s="26" t="s">
        <v>4</v>
      </c>
      <c r="E1859" s="26" t="s">
        <v>5</v>
      </c>
      <c r="F1859" s="26"/>
      <c r="G1859" s="27" t="s">
        <v>6</v>
      </c>
    </row>
    <row r="1860" spans="1:14" s="3" customFormat="1" hidden="1" outlineLevel="1" x14ac:dyDescent="0.25">
      <c r="B1860" s="28" t="s">
        <v>7</v>
      </c>
      <c r="C1860" s="29" t="s">
        <v>1468</v>
      </c>
      <c r="D1860" s="29" t="s">
        <v>1469</v>
      </c>
      <c r="E1860" s="29">
        <v>0</v>
      </c>
      <c r="F1860" s="29" t="s">
        <v>1470</v>
      </c>
      <c r="G1860" s="30" t="s">
        <v>1471</v>
      </c>
      <c r="J1860" s="3" t="s">
        <v>10</v>
      </c>
      <c r="N1860" s="3">
        <v>1112</v>
      </c>
    </row>
    <row r="1861" spans="1:14" s="3" customFormat="1" hidden="1" outlineLevel="1" x14ac:dyDescent="0.25">
      <c r="B1861" s="28" t="s">
        <v>345</v>
      </c>
      <c r="C1861" s="29" t="s">
        <v>1754</v>
      </c>
      <c r="D1861" s="29" t="s">
        <v>1469</v>
      </c>
      <c r="E1861" s="29">
        <v>0</v>
      </c>
      <c r="F1861" s="29" t="s">
        <v>1470</v>
      </c>
      <c r="G1861" s="30"/>
    </row>
    <row r="1862" spans="1:14" s="3" customFormat="1" hidden="1" outlineLevel="1" x14ac:dyDescent="0.25">
      <c r="B1862" s="28" t="s">
        <v>128</v>
      </c>
      <c r="C1862" s="29" t="s">
        <v>1566</v>
      </c>
      <c r="D1862" s="29" t="s">
        <v>1567</v>
      </c>
      <c r="E1862" s="29">
        <v>0</v>
      </c>
      <c r="F1862" s="29" t="s">
        <v>1470</v>
      </c>
      <c r="G1862" s="30"/>
      <c r="J1862" s="3" t="s">
        <v>12</v>
      </c>
      <c r="N1862" s="3">
        <v>1629</v>
      </c>
    </row>
    <row r="1863" spans="1:14" s="3" customFormat="1" hidden="1" outlineLevel="1" x14ac:dyDescent="0.25">
      <c r="B1863" s="28" t="s">
        <v>114</v>
      </c>
      <c r="C1863" s="29" t="s">
        <v>1557</v>
      </c>
      <c r="D1863" s="29" t="s">
        <v>1469</v>
      </c>
      <c r="E1863" s="29">
        <v>-1</v>
      </c>
      <c r="F1863" s="29" t="s">
        <v>1470</v>
      </c>
      <c r="G1863" s="30"/>
      <c r="J1863" s="3" t="s">
        <v>10</v>
      </c>
      <c r="N1863" s="3">
        <v>2449</v>
      </c>
    </row>
    <row r="1864" spans="1:14" s="3" customFormat="1" hidden="1" outlineLevel="1" x14ac:dyDescent="0.25">
      <c r="B1864" s="28"/>
      <c r="C1864" s="29"/>
      <c r="D1864" s="29"/>
      <c r="E1864" s="29"/>
      <c r="F1864" s="29"/>
      <c r="G1864" s="30"/>
    </row>
    <row r="1865" spans="1:14" s="3" customFormat="1" ht="17.399999999999999" hidden="1" customHeight="1" outlineLevel="1" x14ac:dyDescent="0.25">
      <c r="A1865" s="5"/>
      <c r="B1865" s="398" t="s">
        <v>18</v>
      </c>
      <c r="C1865" s="399"/>
      <c r="D1865" s="399"/>
      <c r="E1865" s="399"/>
      <c r="F1865" s="399"/>
      <c r="G1865" s="400"/>
    </row>
    <row r="1866" spans="1:14" s="3" customFormat="1" ht="17.399999999999999" hidden="1" customHeight="1" outlineLevel="1" x14ac:dyDescent="0.25">
      <c r="A1866" s="5"/>
      <c r="B1866" s="25" t="s">
        <v>2</v>
      </c>
      <c r="C1866" s="26" t="s">
        <v>3</v>
      </c>
      <c r="D1866" s="26" t="s">
        <v>4</v>
      </c>
      <c r="E1866" s="26" t="s">
        <v>5</v>
      </c>
      <c r="F1866" s="26"/>
      <c r="G1866" s="27" t="s">
        <v>6</v>
      </c>
    </row>
    <row r="1867" spans="1:14" s="3" customFormat="1" hidden="1" outlineLevel="1" x14ac:dyDescent="0.25">
      <c r="B1867" s="28" t="s">
        <v>128</v>
      </c>
      <c r="C1867" s="29" t="s">
        <v>1566</v>
      </c>
      <c r="D1867" s="29" t="s">
        <v>1567</v>
      </c>
      <c r="E1867" s="29">
        <v>0</v>
      </c>
      <c r="F1867" s="29" t="s">
        <v>1470</v>
      </c>
      <c r="G1867" s="30"/>
      <c r="H1867" s="3" t="str">
        <f>"{"&amp;B1867&amp;"},"</f>
        <v>{记录序号},</v>
      </c>
      <c r="J1867" s="3" t="s">
        <v>12</v>
      </c>
      <c r="N1867" s="3">
        <v>1629</v>
      </c>
    </row>
    <row r="1868" spans="1:14" s="3" customFormat="1" hidden="1" outlineLevel="1" x14ac:dyDescent="0.25">
      <c r="B1868" s="28" t="s">
        <v>16</v>
      </c>
      <c r="C1868" s="29" t="s">
        <v>1479</v>
      </c>
      <c r="D1868" s="29" t="s">
        <v>1469</v>
      </c>
      <c r="E1868" s="29" t="s">
        <v>1480</v>
      </c>
      <c r="F1868" s="29" t="s">
        <v>1481</v>
      </c>
      <c r="G1868" s="30" t="s">
        <v>1482</v>
      </c>
      <c r="H1868" s="3" t="str">
        <f t="shared" ref="H1868:H1871" si="20">"{"&amp;B1868&amp;"},"</f>
        <v>{初始化日期},</v>
      </c>
      <c r="J1868" s="3" t="s">
        <v>10</v>
      </c>
      <c r="N1868" s="3">
        <v>1211</v>
      </c>
    </row>
    <row r="1869" spans="1:14" s="3" customFormat="1" hidden="1" outlineLevel="1" x14ac:dyDescent="0.25">
      <c r="B1869" s="28" t="s">
        <v>112</v>
      </c>
      <c r="C1869" s="29" t="s">
        <v>1555</v>
      </c>
      <c r="D1869" s="29" t="s">
        <v>1469</v>
      </c>
      <c r="E1869" s="29">
        <v>0</v>
      </c>
      <c r="F1869" s="29" t="s">
        <v>1470</v>
      </c>
      <c r="G1869" s="30" t="s">
        <v>1556</v>
      </c>
      <c r="H1869" s="3" t="str">
        <f t="shared" si="20"/>
        <v>{机构编号},</v>
      </c>
      <c r="J1869" s="3" t="s">
        <v>10</v>
      </c>
      <c r="N1869" s="3">
        <v>1606</v>
      </c>
    </row>
    <row r="1870" spans="1:14" s="3" customFormat="1" hidden="1" outlineLevel="1" x14ac:dyDescent="0.25">
      <c r="B1870" s="28" t="s">
        <v>7</v>
      </c>
      <c r="C1870" s="29" t="s">
        <v>1468</v>
      </c>
      <c r="D1870" s="29" t="s">
        <v>1469</v>
      </c>
      <c r="E1870" s="29">
        <v>0</v>
      </c>
      <c r="F1870" s="29" t="s">
        <v>1470</v>
      </c>
      <c r="G1870" s="30" t="s">
        <v>1471</v>
      </c>
      <c r="H1870" s="3" t="str">
        <f t="shared" si="20"/>
        <v>{产品编号},</v>
      </c>
      <c r="J1870" s="3" t="s">
        <v>10</v>
      </c>
      <c r="N1870" s="3">
        <v>1112</v>
      </c>
    </row>
    <row r="1871" spans="1:14" s="3" customFormat="1" hidden="1" outlineLevel="1" x14ac:dyDescent="0.25">
      <c r="B1871" s="28" t="s">
        <v>13</v>
      </c>
      <c r="C1871" s="29" t="s">
        <v>1474</v>
      </c>
      <c r="D1871" s="29" t="s">
        <v>1469</v>
      </c>
      <c r="E1871" s="29">
        <v>0</v>
      </c>
      <c r="F1871" s="29" t="s">
        <v>1470</v>
      </c>
      <c r="G1871" s="30"/>
      <c r="H1871" s="3" t="str">
        <f t="shared" si="20"/>
        <v>{资产账户编号},</v>
      </c>
      <c r="J1871" s="3" t="s">
        <v>10</v>
      </c>
      <c r="N1871" s="3">
        <v>2534</v>
      </c>
    </row>
    <row r="1872" spans="1:14" s="3" customFormat="1" hidden="1" outlineLevel="1" x14ac:dyDescent="0.25">
      <c r="B1872" s="116" t="s">
        <v>11</v>
      </c>
      <c r="C1872" s="117" t="s">
        <v>1472</v>
      </c>
      <c r="D1872" s="117" t="s">
        <v>1469</v>
      </c>
      <c r="E1872" s="29">
        <v>0</v>
      </c>
      <c r="F1872" s="29" t="s">
        <v>1470</v>
      </c>
      <c r="G1872" s="30" t="s">
        <v>1473</v>
      </c>
    </row>
    <row r="1873" spans="1:14" s="3" customFormat="1" hidden="1" outlineLevel="1" x14ac:dyDescent="0.25">
      <c r="B1873" s="28" t="s">
        <v>14</v>
      </c>
      <c r="C1873" s="29" t="s">
        <v>1475</v>
      </c>
      <c r="D1873" s="29" t="s">
        <v>1469</v>
      </c>
      <c r="E1873" s="29">
        <v>0</v>
      </c>
      <c r="F1873" s="29" t="s">
        <v>1476</v>
      </c>
      <c r="G1873" s="30" t="s">
        <v>1477</v>
      </c>
      <c r="H1873" s="3" t="str">
        <f t="shared" ref="H1873:H1884" si="21">"{"&amp;B1873&amp;"},"</f>
        <v>{市场编号},</v>
      </c>
      <c r="J1873" s="3" t="s">
        <v>10</v>
      </c>
      <c r="N1873" s="3">
        <v>2534</v>
      </c>
    </row>
    <row r="1874" spans="1:14" s="3" customFormat="1" hidden="1" outlineLevel="1" x14ac:dyDescent="0.25">
      <c r="B1874" s="28" t="s">
        <v>346</v>
      </c>
      <c r="C1874" s="29" t="s">
        <v>1755</v>
      </c>
      <c r="D1874" s="29" t="s">
        <v>1469</v>
      </c>
      <c r="E1874" s="29">
        <v>0</v>
      </c>
      <c r="F1874" s="29" t="s">
        <v>1470</v>
      </c>
      <c r="G1874" s="30"/>
      <c r="H1874" s="3" t="str">
        <f t="shared" si="21"/>
        <v>{交易编码编号},</v>
      </c>
      <c r="J1874" s="3" t="s">
        <v>10</v>
      </c>
      <c r="N1874" s="3">
        <v>2430</v>
      </c>
    </row>
    <row r="1875" spans="1:14" s="3" customFormat="1" hidden="1" outlineLevel="1" x14ac:dyDescent="0.25">
      <c r="B1875" s="28" t="s">
        <v>345</v>
      </c>
      <c r="C1875" s="29" t="s">
        <v>1754</v>
      </c>
      <c r="D1875" s="29" t="s">
        <v>1469</v>
      </c>
      <c r="E1875" s="29">
        <v>0</v>
      </c>
      <c r="F1875" s="29" t="s">
        <v>1470</v>
      </c>
      <c r="G1875" s="30"/>
      <c r="H1875" s="3" t="str">
        <f t="shared" si="21"/>
        <v>{合约代码编号},</v>
      </c>
      <c r="J1875" s="3" t="s">
        <v>10</v>
      </c>
      <c r="N1875" s="3">
        <v>2433</v>
      </c>
    </row>
    <row r="1876" spans="1:14" s="3" customFormat="1" hidden="1" outlineLevel="1" x14ac:dyDescent="0.25">
      <c r="B1876" s="28" t="s">
        <v>347</v>
      </c>
      <c r="C1876" s="29" t="s">
        <v>1756</v>
      </c>
      <c r="D1876" s="29" t="s">
        <v>1469</v>
      </c>
      <c r="E1876" s="29">
        <v>0</v>
      </c>
      <c r="F1876" s="29" t="s">
        <v>1476</v>
      </c>
      <c r="G1876" s="30"/>
      <c r="H1876" s="3" t="str">
        <f t="shared" si="21"/>
        <v>{多空类型},</v>
      </c>
      <c r="J1876" s="3" t="s">
        <v>10</v>
      </c>
      <c r="N1876" s="3">
        <v>2155</v>
      </c>
    </row>
    <row r="1877" spans="1:14" s="3" customFormat="1" hidden="1" outlineLevel="1" x14ac:dyDescent="0.25">
      <c r="B1877" s="28" t="s">
        <v>348</v>
      </c>
      <c r="C1877" s="29" t="s">
        <v>1757</v>
      </c>
      <c r="D1877" s="29" t="s">
        <v>1469</v>
      </c>
      <c r="E1877" s="29">
        <v>0</v>
      </c>
      <c r="F1877" s="29" t="s">
        <v>2341</v>
      </c>
      <c r="G1877" s="30" t="s">
        <v>2342</v>
      </c>
      <c r="H1877" s="3" t="str">
        <f t="shared" si="21"/>
        <v>{套保标志},</v>
      </c>
    </row>
    <row r="1878" spans="1:14" s="3" customFormat="1" hidden="1" outlineLevel="1" x14ac:dyDescent="0.25">
      <c r="B1878" s="28" t="s">
        <v>75</v>
      </c>
      <c r="C1878" s="29" t="s">
        <v>1530</v>
      </c>
      <c r="D1878" s="29" t="s">
        <v>1486</v>
      </c>
      <c r="E1878" s="29">
        <v>0</v>
      </c>
      <c r="F1878" s="29" t="s">
        <v>1470</v>
      </c>
      <c r="G1878" s="30" t="s">
        <v>1531</v>
      </c>
      <c r="H1878" s="3" t="str">
        <f t="shared" si="21"/>
        <v>{当前数量},</v>
      </c>
      <c r="J1878" s="3" t="s">
        <v>20</v>
      </c>
      <c r="N1878" s="3">
        <v>1202</v>
      </c>
    </row>
    <row r="1879" spans="1:14" s="3" customFormat="1" hidden="1" outlineLevel="1" x14ac:dyDescent="0.25">
      <c r="B1879" s="185" t="s">
        <v>349</v>
      </c>
      <c r="C1879" s="23" t="s">
        <v>1758</v>
      </c>
      <c r="D1879" s="23" t="s">
        <v>1539</v>
      </c>
      <c r="E1879" s="29">
        <v>0</v>
      </c>
      <c r="F1879" s="29" t="s">
        <v>1470</v>
      </c>
      <c r="G1879" s="30"/>
      <c r="H1879" s="3" t="str">
        <f t="shared" si="21"/>
        <v>{开仓价格},</v>
      </c>
      <c r="J1879" s="3" t="s">
        <v>10</v>
      </c>
      <c r="N1879" s="3">
        <v>2237</v>
      </c>
    </row>
    <row r="1880" spans="1:14" s="3" customFormat="1" hidden="1" outlineLevel="1" x14ac:dyDescent="0.25">
      <c r="B1880" s="185" t="s">
        <v>361</v>
      </c>
      <c r="C1880" s="23" t="s">
        <v>1763</v>
      </c>
      <c r="D1880" s="29" t="s">
        <v>1469</v>
      </c>
      <c r="E1880" s="29" t="s">
        <v>1480</v>
      </c>
      <c r="F1880" s="29" t="s">
        <v>1481</v>
      </c>
      <c r="G1880" s="30"/>
      <c r="H1880" s="3" t="str">
        <f t="shared" si="21"/>
        <v>{开仓日期},</v>
      </c>
      <c r="J1880" s="3" t="s">
        <v>20</v>
      </c>
      <c r="N1880" s="3">
        <v>1986</v>
      </c>
    </row>
    <row r="1881" spans="1:14" s="3" customFormat="1" hidden="1" outlineLevel="1" x14ac:dyDescent="0.25">
      <c r="B1881" s="185" t="s">
        <v>362</v>
      </c>
      <c r="C1881" s="23" t="s">
        <v>1764</v>
      </c>
      <c r="D1881" s="29" t="s">
        <v>1469</v>
      </c>
      <c r="E1881" s="29" t="s">
        <v>1549</v>
      </c>
      <c r="F1881" s="29" t="s">
        <v>1470</v>
      </c>
      <c r="G1881" s="30"/>
      <c r="H1881" s="3" t="str">
        <f t="shared" si="21"/>
        <v>{开仓时间},</v>
      </c>
      <c r="J1881" s="3" t="s">
        <v>20</v>
      </c>
      <c r="N1881" s="3">
        <v>1262</v>
      </c>
    </row>
    <row r="1882" spans="1:14" s="3" customFormat="1" hidden="1" outlineLevel="1" x14ac:dyDescent="0.25">
      <c r="B1882" s="185" t="s">
        <v>363</v>
      </c>
      <c r="C1882" s="23" t="s">
        <v>1765</v>
      </c>
      <c r="D1882" s="23" t="s">
        <v>1489</v>
      </c>
      <c r="E1882" s="29">
        <v>0</v>
      </c>
      <c r="F1882" s="29" t="s">
        <v>2336</v>
      </c>
      <c r="G1882" s="30"/>
      <c r="H1882" s="3" t="str">
        <f t="shared" si="21"/>
        <v>{平仓盈亏},</v>
      </c>
    </row>
    <row r="1883" spans="1:14" s="3" customFormat="1" hidden="1" outlineLevel="1" x14ac:dyDescent="0.25">
      <c r="B1883" s="185" t="s">
        <v>350</v>
      </c>
      <c r="C1883" s="23" t="s">
        <v>1759</v>
      </c>
      <c r="D1883" s="23" t="s">
        <v>1489</v>
      </c>
      <c r="E1883" s="29">
        <v>0</v>
      </c>
      <c r="F1883" s="29" t="s">
        <v>1470</v>
      </c>
      <c r="G1883" s="30"/>
      <c r="H1883" s="3" t="str">
        <f t="shared" si="21"/>
        <v>{盯市盈亏},</v>
      </c>
      <c r="J1883" s="3" t="s">
        <v>20</v>
      </c>
      <c r="N1883" s="3">
        <v>1317</v>
      </c>
    </row>
    <row r="1884" spans="1:14" s="3" customFormat="1" hidden="1" outlineLevel="1" x14ac:dyDescent="0.25">
      <c r="B1884" s="28" t="s">
        <v>351</v>
      </c>
      <c r="C1884" s="29" t="s">
        <v>1760</v>
      </c>
      <c r="D1884" s="29" t="s">
        <v>1489</v>
      </c>
      <c r="E1884" s="29">
        <v>0</v>
      </c>
      <c r="F1884" s="29" t="s">
        <v>1470</v>
      </c>
      <c r="G1884" s="30" t="s">
        <v>1761</v>
      </c>
      <c r="H1884" s="3" t="str">
        <f t="shared" si="21"/>
        <v>{应收保证金},</v>
      </c>
      <c r="J1884" s="3" t="s">
        <v>20</v>
      </c>
      <c r="N1884" s="3">
        <v>1721</v>
      </c>
    </row>
    <row r="1885" spans="1:14" s="3" customFormat="1" ht="17.399999999999999" hidden="1" customHeight="1" outlineLevel="1" thickBot="1" x14ac:dyDescent="0.3">
      <c r="A1885" s="5"/>
      <c r="B1885" s="31"/>
      <c r="C1885" s="20"/>
      <c r="D1885" s="20"/>
      <c r="E1885" s="20"/>
      <c r="F1885" s="20"/>
      <c r="G1885" s="22"/>
    </row>
    <row r="1886" spans="1:14" s="3" customFormat="1" ht="17.399999999999999" hidden="1" customHeight="1" outlineLevel="1" x14ac:dyDescent="0.25">
      <c r="A1886" s="5"/>
      <c r="B1886" s="401" t="s">
        <v>28</v>
      </c>
      <c r="C1886" s="402"/>
      <c r="D1886" s="402"/>
      <c r="E1886" s="402"/>
      <c r="F1886" s="402"/>
      <c r="G1886" s="403"/>
    </row>
    <row r="1887" spans="1:14" s="3" customFormat="1" ht="17.399999999999999" hidden="1" customHeight="1" outlineLevel="1" x14ac:dyDescent="0.25">
      <c r="A1887" s="5"/>
      <c r="B1887" s="116"/>
      <c r="C1887" s="117"/>
      <c r="D1887" s="117"/>
      <c r="E1887" s="117"/>
      <c r="F1887" s="117"/>
      <c r="G1887" s="105"/>
    </row>
    <row r="1888" spans="1:14" s="3" customFormat="1" ht="17.399999999999999" hidden="1" customHeight="1" outlineLevel="1" thickBot="1" x14ac:dyDescent="0.3">
      <c r="A1888" s="5"/>
      <c r="B1888" s="116"/>
      <c r="C1888" s="117"/>
      <c r="D1888" s="117"/>
      <c r="E1888" s="117"/>
      <c r="F1888" s="117"/>
      <c r="G1888" s="105"/>
    </row>
    <row r="1889" spans="1:14" s="3" customFormat="1" ht="17.399999999999999" hidden="1" customHeight="1" outlineLevel="1" x14ac:dyDescent="0.25">
      <c r="A1889" s="5"/>
      <c r="B1889" s="401" t="s">
        <v>29</v>
      </c>
      <c r="C1889" s="402"/>
      <c r="D1889" s="402"/>
      <c r="E1889" s="402"/>
      <c r="F1889" s="402"/>
      <c r="G1889" s="403"/>
    </row>
    <row r="1890" spans="1:14" s="4" customFormat="1" ht="17.399999999999999" hidden="1" customHeight="1" outlineLevel="1" x14ac:dyDescent="0.35">
      <c r="A1890" s="5"/>
      <c r="B1890" s="67" t="s">
        <v>30</v>
      </c>
      <c r="C1890" s="65"/>
      <c r="D1890" s="65"/>
      <c r="E1890" s="65"/>
      <c r="F1890" s="65"/>
      <c r="G1890" s="371" t="s">
        <v>2357</v>
      </c>
      <c r="H1890" s="5"/>
      <c r="I1890" s="5"/>
      <c r="J1890" s="5"/>
      <c r="K1890" s="5"/>
      <c r="L1890" s="5"/>
      <c r="M1890" s="5"/>
    </row>
    <row r="1891" spans="1:14" s="3" customFormat="1" hidden="1" outlineLevel="1" x14ac:dyDescent="0.25">
      <c r="B1891" s="28"/>
      <c r="C1891" s="29"/>
      <c r="D1891" s="29"/>
      <c r="E1891" s="29"/>
      <c r="F1891" s="29"/>
      <c r="G1891" s="30"/>
    </row>
    <row r="1892" spans="1:14" s="3" customFormat="1" hidden="1" outlineLevel="1" x14ac:dyDescent="0.25">
      <c r="B1892" s="28" t="s">
        <v>364</v>
      </c>
      <c r="C1892" s="29"/>
      <c r="D1892" s="29"/>
      <c r="E1892" s="29"/>
      <c r="F1892" s="29"/>
      <c r="G1892" s="375" t="s">
        <v>2395</v>
      </c>
    </row>
    <row r="1893" spans="1:14" s="3" customFormat="1" hidden="1" outlineLevel="1" x14ac:dyDescent="0.25">
      <c r="B1893" s="28"/>
      <c r="C1893" s="29"/>
      <c r="D1893" s="29"/>
      <c r="E1893" s="29"/>
      <c r="F1893" s="29"/>
      <c r="G1893" s="30"/>
    </row>
    <row r="1894" spans="1:14" s="3" customFormat="1" hidden="1" outlineLevel="1" x14ac:dyDescent="0.25">
      <c r="B1894" s="28"/>
      <c r="C1894" s="29"/>
      <c r="D1894" s="29"/>
      <c r="E1894" s="29"/>
      <c r="F1894" s="29"/>
      <c r="G1894" s="30"/>
    </row>
    <row r="1895" spans="1:14" s="3" customFormat="1" ht="18.75" hidden="1" customHeight="1" outlineLevel="1" thickBot="1" x14ac:dyDescent="0.3">
      <c r="B1895" s="163"/>
      <c r="C1895" s="164"/>
      <c r="D1895" s="164"/>
      <c r="E1895" s="164"/>
      <c r="F1895" s="164"/>
      <c r="G1895" s="165"/>
    </row>
    <row r="1896" spans="1:14" s="4" customFormat="1" ht="17.399999999999999" customHeight="1" collapsed="1" thickBot="1" x14ac:dyDescent="0.4">
      <c r="A1896" s="5"/>
      <c r="B1896" s="166" t="s">
        <v>1279</v>
      </c>
      <c r="C1896" s="169" t="s">
        <v>1425</v>
      </c>
      <c r="D1896" s="168" t="s">
        <v>1281</v>
      </c>
      <c r="E1896" s="238" t="s">
        <v>365</v>
      </c>
      <c r="F1896" s="168" t="s">
        <v>1282</v>
      </c>
      <c r="G1896" s="170" t="s">
        <v>1426</v>
      </c>
      <c r="H1896" s="5"/>
      <c r="I1896" s="5"/>
      <c r="J1896" s="5"/>
      <c r="K1896" s="5"/>
      <c r="L1896" s="5"/>
      <c r="M1896" s="5"/>
    </row>
    <row r="1897" spans="1:14" s="4" customFormat="1" ht="17.399999999999999" hidden="1" customHeight="1" outlineLevel="1" x14ac:dyDescent="0.35">
      <c r="A1897" s="5"/>
      <c r="B1897" s="136" t="s">
        <v>1284</v>
      </c>
      <c r="C1897" s="84" t="s">
        <v>1285</v>
      </c>
      <c r="D1897" s="137" t="s">
        <v>1286</v>
      </c>
      <c r="E1897" s="84" t="s">
        <v>1427</v>
      </c>
      <c r="F1897" s="137" t="s">
        <v>1288</v>
      </c>
      <c r="G1897" s="85"/>
      <c r="H1897" s="5"/>
      <c r="I1897" s="5"/>
      <c r="J1897" s="5"/>
      <c r="K1897" s="5"/>
      <c r="L1897" s="5"/>
      <c r="M1897" s="5"/>
    </row>
    <row r="1898" spans="1:14" s="4" customFormat="1" ht="17.399999999999999" hidden="1" customHeight="1" outlineLevel="1" thickBot="1" x14ac:dyDescent="0.4">
      <c r="A1898" s="5"/>
      <c r="B1898" s="171" t="s">
        <v>1290</v>
      </c>
      <c r="C1898" s="172" t="s">
        <v>1291</v>
      </c>
      <c r="D1898" s="173" t="s">
        <v>1292</v>
      </c>
      <c r="E1898" s="172">
        <v>4</v>
      </c>
      <c r="F1898" s="173" t="s">
        <v>1293</v>
      </c>
      <c r="G1898" s="174" t="s">
        <v>1294</v>
      </c>
      <c r="H1898" s="5"/>
      <c r="I1898" s="5"/>
      <c r="J1898" s="5"/>
      <c r="K1898" s="5"/>
      <c r="L1898" s="5"/>
      <c r="M1898" s="5"/>
    </row>
    <row r="1899" spans="1:14" s="4" customFormat="1" ht="17.399999999999999" hidden="1" customHeight="1" outlineLevel="1" x14ac:dyDescent="0.35">
      <c r="A1899" s="5"/>
      <c r="B1899" s="380" t="s">
        <v>1</v>
      </c>
      <c r="C1899" s="381"/>
      <c r="D1899" s="381"/>
      <c r="E1899" s="381"/>
      <c r="F1899" s="381"/>
      <c r="G1899" s="382"/>
      <c r="H1899" s="5"/>
      <c r="I1899" s="5"/>
      <c r="J1899" s="5"/>
      <c r="K1899" s="5"/>
      <c r="L1899" s="5"/>
      <c r="M1899" s="5"/>
    </row>
    <row r="1900" spans="1:14" s="4" customFormat="1" ht="17.399999999999999" hidden="1" customHeight="1" outlineLevel="1" x14ac:dyDescent="0.35">
      <c r="A1900" s="5"/>
      <c r="B1900" s="94" t="s">
        <v>2</v>
      </c>
      <c r="C1900" s="95" t="s">
        <v>3</v>
      </c>
      <c r="D1900" s="95" t="s">
        <v>4</v>
      </c>
      <c r="E1900" s="95" t="s">
        <v>5</v>
      </c>
      <c r="F1900" s="95"/>
      <c r="G1900" s="96" t="s">
        <v>6</v>
      </c>
      <c r="H1900" s="5"/>
      <c r="I1900" s="5"/>
      <c r="J1900" s="5"/>
      <c r="K1900" s="5"/>
      <c r="L1900" s="5"/>
      <c r="M1900" s="5"/>
    </row>
    <row r="1901" spans="1:14" s="4" customFormat="1" ht="17.399999999999999" hidden="1" customHeight="1" outlineLevel="1" x14ac:dyDescent="0.35">
      <c r="A1901" s="5"/>
      <c r="B1901" s="57" t="s">
        <v>7</v>
      </c>
      <c r="C1901" s="58" t="s">
        <v>1468</v>
      </c>
      <c r="D1901" s="58" t="s">
        <v>1469</v>
      </c>
      <c r="E1901" s="58">
        <v>0</v>
      </c>
      <c r="F1901" s="58" t="s">
        <v>1470</v>
      </c>
      <c r="G1901" s="59" t="s">
        <v>1471</v>
      </c>
      <c r="J1901" s="3" t="s">
        <v>154</v>
      </c>
      <c r="K1901" s="81"/>
      <c r="N1901" s="4">
        <v>1112</v>
      </c>
    </row>
    <row r="1902" spans="1:14" s="4" customFormat="1" ht="17.399999999999999" hidden="1" customHeight="1" outlineLevel="1" x14ac:dyDescent="0.35">
      <c r="A1902" s="5"/>
      <c r="B1902" s="57" t="s">
        <v>11</v>
      </c>
      <c r="C1902" s="58" t="s">
        <v>1472</v>
      </c>
      <c r="D1902" s="58" t="s">
        <v>1469</v>
      </c>
      <c r="E1902" s="58">
        <v>0</v>
      </c>
      <c r="F1902" s="58" t="s">
        <v>1470</v>
      </c>
      <c r="G1902" s="59" t="s">
        <v>1473</v>
      </c>
      <c r="J1902" s="3" t="s">
        <v>155</v>
      </c>
      <c r="K1902" s="81"/>
      <c r="N1902" s="4">
        <v>1700</v>
      </c>
    </row>
    <row r="1903" spans="1:14" s="4" customFormat="1" ht="17.399999999999999" hidden="1" customHeight="1" outlineLevel="1" x14ac:dyDescent="0.35">
      <c r="A1903" s="5"/>
      <c r="B1903" s="60" t="s">
        <v>13</v>
      </c>
      <c r="C1903" s="61" t="s">
        <v>1474</v>
      </c>
      <c r="D1903" s="61" t="s">
        <v>1469</v>
      </c>
      <c r="E1903" s="61">
        <v>0</v>
      </c>
      <c r="F1903" s="61" t="s">
        <v>1470</v>
      </c>
      <c r="G1903" s="62"/>
      <c r="H1903" s="63"/>
      <c r="J1903" s="3" t="s">
        <v>156</v>
      </c>
      <c r="K1903" s="81"/>
      <c r="N1903" s="4">
        <v>2534</v>
      </c>
    </row>
    <row r="1904" spans="1:14" s="4" customFormat="1" ht="17.399999999999999" hidden="1" customHeight="1" outlineLevel="1" x14ac:dyDescent="0.35">
      <c r="A1904" s="5"/>
      <c r="B1904" s="60" t="s">
        <v>14</v>
      </c>
      <c r="C1904" s="61" t="s">
        <v>1475</v>
      </c>
      <c r="D1904" s="61" t="s">
        <v>1469</v>
      </c>
      <c r="E1904" s="61">
        <v>0</v>
      </c>
      <c r="F1904" s="61" t="s">
        <v>1476</v>
      </c>
      <c r="G1904" s="62" t="s">
        <v>1477</v>
      </c>
      <c r="H1904" s="63"/>
      <c r="J1904" s="3" t="s">
        <v>157</v>
      </c>
      <c r="K1904" s="78"/>
      <c r="N1904" s="4">
        <v>2155</v>
      </c>
    </row>
    <row r="1905" spans="1:15" s="4" customFormat="1" ht="17.399999999999999" hidden="1" customHeight="1" outlineLevel="1" x14ac:dyDescent="0.35">
      <c r="A1905" s="5"/>
      <c r="B1905" s="60" t="s">
        <v>15</v>
      </c>
      <c r="C1905" s="61" t="s">
        <v>1478</v>
      </c>
      <c r="D1905" s="61" t="s">
        <v>1469</v>
      </c>
      <c r="E1905" s="61">
        <v>0</v>
      </c>
      <c r="F1905" s="61" t="s">
        <v>1470</v>
      </c>
      <c r="G1905" s="62"/>
      <c r="H1905" s="63"/>
      <c r="J1905" s="3" t="s">
        <v>158</v>
      </c>
      <c r="K1905" s="81"/>
      <c r="N1905" s="4">
        <v>2430</v>
      </c>
    </row>
    <row r="1906" spans="1:15" s="4" customFormat="1" ht="17.399999999999999" hidden="1" customHeight="1" outlineLevel="1" x14ac:dyDescent="0.35">
      <c r="A1906" s="5"/>
      <c r="B1906" s="134" t="s">
        <v>17</v>
      </c>
      <c r="C1906" s="135" t="s">
        <v>1483</v>
      </c>
      <c r="D1906" s="135" t="s">
        <v>1469</v>
      </c>
      <c r="E1906" s="65">
        <v>0</v>
      </c>
      <c r="F1906" s="65" t="s">
        <v>1470</v>
      </c>
      <c r="G1906" s="66" t="s">
        <v>1484</v>
      </c>
      <c r="H1906" s="5"/>
      <c r="I1906" s="5"/>
      <c r="J1906" s="3" t="s">
        <v>159</v>
      </c>
      <c r="K1906" s="78"/>
      <c r="L1906" s="5"/>
      <c r="M1906" s="5"/>
      <c r="N1906" s="4">
        <v>1097</v>
      </c>
    </row>
    <row r="1907" spans="1:15" s="3" customFormat="1" hidden="1" outlineLevel="1" x14ac:dyDescent="0.25">
      <c r="A1907" s="5"/>
      <c r="B1907" s="31" t="s">
        <v>162</v>
      </c>
      <c r="C1907" s="20" t="s">
        <v>1589</v>
      </c>
      <c r="D1907" s="20" t="s">
        <v>1469</v>
      </c>
      <c r="E1907" s="20">
        <v>0</v>
      </c>
      <c r="F1907" s="20"/>
      <c r="G1907" s="22" t="s">
        <v>1590</v>
      </c>
    </row>
    <row r="1908" spans="1:15" s="3" customFormat="1" hidden="1" outlineLevel="1" x14ac:dyDescent="0.25">
      <c r="A1908" s="5"/>
      <c r="B1908" s="31" t="s">
        <v>163</v>
      </c>
      <c r="C1908" s="20" t="s">
        <v>1591</v>
      </c>
      <c r="D1908" s="20" t="s">
        <v>1469</v>
      </c>
      <c r="E1908" s="20">
        <v>0</v>
      </c>
      <c r="F1908" s="20"/>
      <c r="G1908" s="22" t="s">
        <v>1590</v>
      </c>
    </row>
    <row r="1909" spans="1:15" s="4" customFormat="1" ht="17.399999999999999" hidden="1" customHeight="1" outlineLevel="1" thickBot="1" x14ac:dyDescent="0.4">
      <c r="A1909" s="5"/>
      <c r="B1909" s="91"/>
      <c r="C1909" s="92"/>
      <c r="D1909" s="92"/>
      <c r="E1909" s="92"/>
      <c r="F1909" s="92"/>
      <c r="G1909" s="93"/>
      <c r="H1909" s="5"/>
      <c r="I1909" s="5"/>
      <c r="J1909" s="5"/>
      <c r="K1909" s="5"/>
      <c r="L1909" s="5"/>
      <c r="M1909" s="5"/>
    </row>
    <row r="1910" spans="1:15" s="4" customFormat="1" ht="17.399999999999999" hidden="1" customHeight="1" outlineLevel="1" x14ac:dyDescent="0.35">
      <c r="A1910" s="5"/>
      <c r="B1910" s="383" t="s">
        <v>18</v>
      </c>
      <c r="C1910" s="384"/>
      <c r="D1910" s="384"/>
      <c r="E1910" s="384"/>
      <c r="F1910" s="384"/>
      <c r="G1910" s="385"/>
      <c r="H1910" s="5"/>
      <c r="I1910" s="5"/>
      <c r="J1910" s="5"/>
      <c r="K1910" s="5"/>
      <c r="L1910" s="5"/>
      <c r="M1910" s="5"/>
    </row>
    <row r="1911" spans="1:15" s="4" customFormat="1" ht="17.399999999999999" hidden="1" customHeight="1" outlineLevel="1" x14ac:dyDescent="0.35">
      <c r="A1911" s="5"/>
      <c r="B1911" s="94" t="s">
        <v>2</v>
      </c>
      <c r="C1911" s="95" t="s">
        <v>3</v>
      </c>
      <c r="D1911" s="95" t="s">
        <v>4</v>
      </c>
      <c r="E1911" s="95" t="s">
        <v>5</v>
      </c>
      <c r="F1911" s="95"/>
      <c r="G1911" s="96" t="s">
        <v>6</v>
      </c>
      <c r="H1911" s="5"/>
      <c r="I1911" s="5"/>
      <c r="J1911" s="5"/>
      <c r="K1911" s="5"/>
      <c r="L1911" s="5"/>
      <c r="M1911" s="5"/>
    </row>
    <row r="1912" spans="1:15" s="4" customFormat="1" ht="17.399999999999999" hidden="1" customHeight="1" outlineLevel="1" x14ac:dyDescent="0.35">
      <c r="A1912" s="5"/>
      <c r="B1912" s="64" t="s">
        <v>366</v>
      </c>
      <c r="C1912" s="65" t="s">
        <v>1766</v>
      </c>
      <c r="D1912" s="65" t="s">
        <v>1469</v>
      </c>
      <c r="E1912" s="65">
        <v>0</v>
      </c>
      <c r="F1912" s="65" t="s">
        <v>1476</v>
      </c>
      <c r="G1912" s="66" t="s">
        <v>1767</v>
      </c>
      <c r="H1912" s="5" t="str">
        <f>"t.{"&amp;B1912&amp;"},"</f>
        <v>t.{开平方向},</v>
      </c>
      <c r="I1912" s="5"/>
      <c r="J1912" s="5"/>
      <c r="K1912" s="5"/>
      <c r="L1912" s="5"/>
      <c r="M1912" s="5"/>
    </row>
    <row r="1913" spans="1:15" s="4" customFormat="1" ht="17.399999999999999" hidden="1" customHeight="1" outlineLevel="1" x14ac:dyDescent="0.35">
      <c r="A1913" s="5"/>
      <c r="B1913" s="64" t="s">
        <v>128</v>
      </c>
      <c r="C1913" s="65" t="s">
        <v>1566</v>
      </c>
      <c r="D1913" s="65" t="s">
        <v>1567</v>
      </c>
      <c r="E1913" s="65">
        <v>0</v>
      </c>
      <c r="F1913" s="65" t="s">
        <v>1470</v>
      </c>
      <c r="G1913" s="66"/>
      <c r="H1913" s="5" t="str">
        <f>"t.{"&amp;B1913&amp;"},"</f>
        <v>t.{记录序号},</v>
      </c>
      <c r="I1913" s="5"/>
      <c r="J1913" s="5" t="s">
        <v>12</v>
      </c>
      <c r="K1913" s="5" t="s">
        <v>174</v>
      </c>
      <c r="L1913" s="5" t="s">
        <v>314</v>
      </c>
      <c r="M1913" s="5" t="s">
        <v>176</v>
      </c>
      <c r="N1913" s="4">
        <v>2241</v>
      </c>
      <c r="O1913" s="4">
        <v>64</v>
      </c>
    </row>
    <row r="1914" spans="1:15" s="4" customFormat="1" ht="17.399999999999999" hidden="1" customHeight="1" outlineLevel="1" x14ac:dyDescent="0.35">
      <c r="A1914" s="5"/>
      <c r="B1914" s="81" t="s">
        <v>16</v>
      </c>
      <c r="C1914" s="65" t="s">
        <v>1479</v>
      </c>
      <c r="D1914" s="65" t="s">
        <v>1469</v>
      </c>
      <c r="E1914" s="65" t="s">
        <v>1480</v>
      </c>
      <c r="F1914" s="65" t="s">
        <v>1481</v>
      </c>
      <c r="G1914" s="66" t="s">
        <v>1482</v>
      </c>
      <c r="H1914" s="5"/>
      <c r="I1914" s="5"/>
      <c r="J1914" s="5"/>
      <c r="K1914" s="5"/>
      <c r="L1914" s="5"/>
      <c r="M1914" s="5"/>
    </row>
    <row r="1915" spans="1:15" s="4" customFormat="1" ht="17.399999999999999" hidden="1" customHeight="1" outlineLevel="1" x14ac:dyDescent="0.35">
      <c r="A1915" s="5"/>
      <c r="B1915" s="81" t="s">
        <v>25</v>
      </c>
      <c r="C1915" s="65" t="s">
        <v>1492</v>
      </c>
      <c r="D1915" s="65" t="s">
        <v>1469</v>
      </c>
      <c r="E1915" s="65">
        <v>0</v>
      </c>
      <c r="F1915" s="65" t="s">
        <v>1470</v>
      </c>
      <c r="G1915" s="66" t="s">
        <v>1484</v>
      </c>
      <c r="H1915" s="5"/>
      <c r="I1915" s="5"/>
      <c r="J1915" s="5"/>
      <c r="K1915" s="5"/>
      <c r="L1915" s="5"/>
      <c r="M1915" s="5"/>
    </row>
    <row r="1916" spans="1:15" s="4" customFormat="1" ht="17.399999999999999" hidden="1" customHeight="1" outlineLevel="1" x14ac:dyDescent="0.35">
      <c r="A1916" s="5"/>
      <c r="B1916" s="81" t="s">
        <v>112</v>
      </c>
      <c r="C1916" s="65" t="s">
        <v>1555</v>
      </c>
      <c r="D1916" s="65" t="s">
        <v>1469</v>
      </c>
      <c r="E1916" s="65">
        <v>0</v>
      </c>
      <c r="F1916" s="65" t="s">
        <v>1470</v>
      </c>
      <c r="G1916" s="66" t="s">
        <v>1556</v>
      </c>
      <c r="H1916" s="5"/>
      <c r="I1916" s="5"/>
      <c r="J1916" s="5"/>
      <c r="K1916" s="5"/>
      <c r="L1916" s="5"/>
      <c r="M1916" s="5"/>
    </row>
    <row r="1917" spans="1:15" s="4" customFormat="1" hidden="1" outlineLevel="1" x14ac:dyDescent="0.35">
      <c r="B1917" s="81" t="s">
        <v>7</v>
      </c>
      <c r="C1917" s="79" t="s">
        <v>1468</v>
      </c>
      <c r="D1917" s="79" t="s">
        <v>1469</v>
      </c>
      <c r="E1917" s="79">
        <v>0</v>
      </c>
      <c r="F1917" s="79" t="s">
        <v>1470</v>
      </c>
      <c r="G1917" s="80" t="s">
        <v>1471</v>
      </c>
      <c r="H1917" s="5" t="e">
        <f>"t.{"&amp;#REF!&amp;"},"</f>
        <v>#REF!</v>
      </c>
      <c r="I1917" s="3"/>
      <c r="J1917" s="3"/>
      <c r="K1917" s="3"/>
      <c r="L1917" s="3"/>
      <c r="M1917" s="3"/>
      <c r="N1917" s="3"/>
      <c r="O1917" s="3"/>
    </row>
    <row r="1918" spans="1:15" s="3" customFormat="1" hidden="1" outlineLevel="1" x14ac:dyDescent="0.25">
      <c r="B1918" s="81" t="s">
        <v>11</v>
      </c>
      <c r="C1918" s="79" t="s">
        <v>1472</v>
      </c>
      <c r="D1918" s="79" t="s">
        <v>1469</v>
      </c>
      <c r="E1918" s="79">
        <v>0</v>
      </c>
      <c r="F1918" s="79" t="s">
        <v>1470</v>
      </c>
      <c r="G1918" s="80" t="s">
        <v>1473</v>
      </c>
      <c r="H1918" s="5" t="e">
        <f>"t.{"&amp;#REF!&amp;"},"</f>
        <v>#REF!</v>
      </c>
    </row>
    <row r="1919" spans="1:15" s="3" customFormat="1" hidden="1" outlineLevel="1" x14ac:dyDescent="0.25">
      <c r="B1919" s="81" t="s">
        <v>14</v>
      </c>
      <c r="C1919" s="79" t="s">
        <v>1475</v>
      </c>
      <c r="D1919" s="79" t="s">
        <v>1469</v>
      </c>
      <c r="E1919" s="79">
        <v>0</v>
      </c>
      <c r="F1919" s="79" t="s">
        <v>1476</v>
      </c>
      <c r="G1919" s="80" t="s">
        <v>1477</v>
      </c>
      <c r="H1919" s="5" t="e">
        <f>"t.{"&amp;#REF!&amp;"},"</f>
        <v>#REF!</v>
      </c>
    </row>
    <row r="1920" spans="1:15" s="3" customFormat="1" hidden="1" outlineLevel="1" x14ac:dyDescent="0.25">
      <c r="B1920" s="78" t="s">
        <v>202</v>
      </c>
      <c r="C1920" s="79" t="s">
        <v>1634</v>
      </c>
      <c r="D1920" s="79" t="s">
        <v>1469</v>
      </c>
      <c r="E1920" s="79">
        <v>0</v>
      </c>
      <c r="F1920" s="79" t="s">
        <v>1470</v>
      </c>
      <c r="G1920" s="80"/>
      <c r="H1920" s="5" t="e">
        <f>"t.{"&amp;#REF!&amp;"},"</f>
        <v>#REF!</v>
      </c>
    </row>
    <row r="1921" spans="2:8" s="3" customFormat="1" ht="16.2" hidden="1" outlineLevel="1" thickBot="1" x14ac:dyDescent="0.3">
      <c r="B1921" s="239" t="s">
        <v>15</v>
      </c>
      <c r="C1921" s="79" t="s">
        <v>1478</v>
      </c>
      <c r="D1921" s="79" t="s">
        <v>1469</v>
      </c>
      <c r="E1921" s="79">
        <v>0</v>
      </c>
      <c r="F1921" s="79" t="s">
        <v>1470</v>
      </c>
      <c r="G1921" s="80"/>
      <c r="H1921" s="5" t="e">
        <f>"t.{"&amp;#REF!&amp;"},"</f>
        <v>#REF!</v>
      </c>
    </row>
    <row r="1922" spans="2:8" s="3" customFormat="1" ht="16.2" hidden="1" outlineLevel="1" thickBot="1" x14ac:dyDescent="0.3">
      <c r="B1922" s="239" t="s">
        <v>13</v>
      </c>
      <c r="C1922" s="240" t="s">
        <v>1474</v>
      </c>
      <c r="D1922" s="240" t="s">
        <v>1469</v>
      </c>
      <c r="E1922" s="240">
        <v>0</v>
      </c>
      <c r="F1922" s="240" t="s">
        <v>1470</v>
      </c>
      <c r="G1922" s="241"/>
      <c r="H1922" s="5" t="e">
        <f>"t.{"&amp;#REF!&amp;"},"</f>
        <v>#REF!</v>
      </c>
    </row>
    <row r="1923" spans="2:8" s="3" customFormat="1" hidden="1" outlineLevel="1" x14ac:dyDescent="0.25">
      <c r="B1923" s="81" t="s">
        <v>347</v>
      </c>
      <c r="C1923" s="79" t="s">
        <v>1756</v>
      </c>
      <c r="D1923" s="79" t="s">
        <v>1469</v>
      </c>
      <c r="E1923" s="79">
        <v>0</v>
      </c>
      <c r="F1923" s="79" t="s">
        <v>1476</v>
      </c>
      <c r="G1923" s="80"/>
      <c r="H1923" s="5" t="e">
        <f>"t.{"&amp;#REF!&amp;"},"</f>
        <v>#REF!</v>
      </c>
    </row>
    <row r="1924" spans="2:8" s="3" customFormat="1" hidden="1" outlineLevel="1" x14ac:dyDescent="0.25">
      <c r="B1924" s="81" t="s">
        <v>75</v>
      </c>
      <c r="C1924" s="240" t="s">
        <v>1530</v>
      </c>
      <c r="D1924" s="240" t="s">
        <v>1486</v>
      </c>
      <c r="E1924" s="240">
        <v>0</v>
      </c>
      <c r="F1924" s="240" t="s">
        <v>1470</v>
      </c>
      <c r="G1924" s="241" t="s">
        <v>1531</v>
      </c>
      <c r="H1924" s="5" t="e">
        <f>"t.{"&amp;#REF!&amp;"},"</f>
        <v>#REF!</v>
      </c>
    </row>
    <row r="1925" spans="2:8" s="3" customFormat="1" hidden="1" outlineLevel="1" x14ac:dyDescent="0.25">
      <c r="B1925" s="81" t="s">
        <v>361</v>
      </c>
      <c r="C1925" s="240" t="s">
        <v>1763</v>
      </c>
      <c r="D1925" s="240" t="s">
        <v>1469</v>
      </c>
      <c r="E1925" s="240" t="s">
        <v>1480</v>
      </c>
      <c r="F1925" s="240" t="s">
        <v>1481</v>
      </c>
      <c r="G1925" s="241"/>
      <c r="H1925" s="5" t="e">
        <f>"t.{"&amp;#REF!&amp;"},"</f>
        <v>#REF!</v>
      </c>
    </row>
    <row r="1926" spans="2:8" s="3" customFormat="1" hidden="1" outlineLevel="1" x14ac:dyDescent="0.25">
      <c r="B1926" s="81" t="s">
        <v>362</v>
      </c>
      <c r="C1926" s="79" t="s">
        <v>1764</v>
      </c>
      <c r="D1926" s="79" t="s">
        <v>1469</v>
      </c>
      <c r="E1926" s="79" t="s">
        <v>1549</v>
      </c>
      <c r="F1926" s="79" t="s">
        <v>1470</v>
      </c>
      <c r="G1926" s="80"/>
      <c r="H1926" s="5" t="e">
        <f>"t.{"&amp;#REF!&amp;"},"</f>
        <v>#REF!</v>
      </c>
    </row>
    <row r="1927" spans="2:8" s="3" customFormat="1" hidden="1" outlineLevel="1" x14ac:dyDescent="0.25">
      <c r="B1927" s="81" t="s">
        <v>349</v>
      </c>
      <c r="C1927" s="79" t="s">
        <v>1758</v>
      </c>
      <c r="D1927" s="79" t="s">
        <v>1539</v>
      </c>
      <c r="E1927" s="79">
        <v>0</v>
      </c>
      <c r="F1927" s="79" t="s">
        <v>1470</v>
      </c>
      <c r="G1927" s="80"/>
      <c r="H1927" s="5" t="e">
        <f>"t.{"&amp;#REF!&amp;"},"</f>
        <v>#REF!</v>
      </c>
    </row>
    <row r="1928" spans="2:8" s="3" customFormat="1" hidden="1" outlineLevel="1" x14ac:dyDescent="0.25">
      <c r="B1928" s="81" t="s">
        <v>76</v>
      </c>
      <c r="C1928" s="79" t="s">
        <v>1532</v>
      </c>
      <c r="D1928" s="79" t="s">
        <v>1489</v>
      </c>
      <c r="E1928" s="79">
        <v>0</v>
      </c>
      <c r="F1928" s="79"/>
      <c r="G1928" s="80"/>
      <c r="H1928" s="5" t="e">
        <f>"t.{"&amp;#REF!&amp;"},"</f>
        <v>#REF!</v>
      </c>
    </row>
    <row r="1929" spans="2:8" s="3" customFormat="1" hidden="1" outlineLevel="1" x14ac:dyDescent="0.25">
      <c r="B1929" s="81" t="s">
        <v>177</v>
      </c>
      <c r="C1929" s="79" t="s">
        <v>1600</v>
      </c>
      <c r="D1929" s="79" t="s">
        <v>1489</v>
      </c>
      <c r="E1929" s="79">
        <v>0</v>
      </c>
      <c r="F1929" s="79" t="s">
        <v>1470</v>
      </c>
      <c r="G1929" s="80"/>
      <c r="H1929" s="5" t="e">
        <f>"t.{"&amp;#REF!&amp;"},"</f>
        <v>#REF!</v>
      </c>
    </row>
    <row r="1930" spans="2:8" s="3" customFormat="1" hidden="1" outlineLevel="1" x14ac:dyDescent="0.25">
      <c r="B1930" s="242" t="s">
        <v>367</v>
      </c>
      <c r="C1930" s="79" t="s">
        <v>1768</v>
      </c>
      <c r="D1930" s="79" t="s">
        <v>1469</v>
      </c>
      <c r="E1930" s="79" t="s">
        <v>1480</v>
      </c>
      <c r="F1930" s="79" t="s">
        <v>1481</v>
      </c>
      <c r="G1930" s="80"/>
      <c r="H1930" s="5" t="e">
        <f>"t.{"&amp;#REF!&amp;"},"</f>
        <v>#REF!</v>
      </c>
    </row>
    <row r="1931" spans="2:8" s="3" customFormat="1" hidden="1" outlineLevel="1" x14ac:dyDescent="0.25">
      <c r="B1931" s="242" t="s">
        <v>368</v>
      </c>
      <c r="C1931" s="79" t="s">
        <v>1769</v>
      </c>
      <c r="D1931" s="79" t="s">
        <v>1469</v>
      </c>
      <c r="E1931" s="79" t="s">
        <v>1549</v>
      </c>
      <c r="F1931" s="79" t="s">
        <v>1470</v>
      </c>
      <c r="G1931" s="80"/>
      <c r="H1931" s="5" t="e">
        <f>"t.{"&amp;#REF!&amp;"},"</f>
        <v>#REF!</v>
      </c>
    </row>
    <row r="1932" spans="2:8" s="3" customFormat="1" hidden="1" outlineLevel="1" x14ac:dyDescent="0.25">
      <c r="B1932" s="242" t="s">
        <v>369</v>
      </c>
      <c r="C1932" s="79" t="s">
        <v>1770</v>
      </c>
      <c r="D1932" s="79" t="s">
        <v>1539</v>
      </c>
      <c r="E1932" s="79">
        <v>0</v>
      </c>
      <c r="F1932" s="79" t="s">
        <v>1470</v>
      </c>
      <c r="G1932" s="80"/>
      <c r="H1932" s="5" t="e">
        <f>"t.{"&amp;#REF!&amp;"},"</f>
        <v>#REF!</v>
      </c>
    </row>
    <row r="1933" spans="2:8" s="3" customFormat="1" hidden="1" outlineLevel="1" x14ac:dyDescent="0.25">
      <c r="B1933" s="81" t="s">
        <v>78</v>
      </c>
      <c r="C1933" s="79" t="s">
        <v>1534</v>
      </c>
      <c r="D1933" s="79" t="s">
        <v>1489</v>
      </c>
      <c r="E1933" s="79">
        <v>0</v>
      </c>
      <c r="F1933" s="79"/>
      <c r="G1933" s="80"/>
      <c r="H1933" s="5" t="e">
        <f>"t.{"&amp;#REF!&amp;"},"</f>
        <v>#REF!</v>
      </c>
    </row>
    <row r="1934" spans="2:8" s="3" customFormat="1" hidden="1" outlineLevel="1" x14ac:dyDescent="0.25">
      <c r="B1934" s="81" t="s">
        <v>178</v>
      </c>
      <c r="C1934" s="79" t="s">
        <v>1601</v>
      </c>
      <c r="D1934" s="79" t="s">
        <v>1489</v>
      </c>
      <c r="E1934" s="79">
        <v>0</v>
      </c>
      <c r="F1934" s="79" t="s">
        <v>1470</v>
      </c>
      <c r="G1934" s="80"/>
      <c r="H1934" s="5" t="e">
        <f>"t.{"&amp;#REF!&amp;"},"</f>
        <v>#REF!</v>
      </c>
    </row>
    <row r="1935" spans="2:8" s="3" customFormat="1" hidden="1" outlineLevel="1" x14ac:dyDescent="0.25">
      <c r="B1935" s="81" t="s">
        <v>211</v>
      </c>
      <c r="C1935" s="79" t="s">
        <v>1651</v>
      </c>
      <c r="D1935" s="79" t="s">
        <v>1652</v>
      </c>
      <c r="E1935" s="79" t="s">
        <v>1594</v>
      </c>
      <c r="F1935" s="79" t="s">
        <v>1470</v>
      </c>
      <c r="G1935" s="80" t="s">
        <v>1653</v>
      </c>
      <c r="H1935" s="5" t="e">
        <f>"t.{"&amp;#REF!&amp;"},"</f>
        <v>#REF!</v>
      </c>
    </row>
    <row r="1936" spans="2:8" s="3" customFormat="1" hidden="1" outlineLevel="1" x14ac:dyDescent="0.25">
      <c r="B1936" s="81" t="s">
        <v>77</v>
      </c>
      <c r="C1936" s="79" t="s">
        <v>1533</v>
      </c>
      <c r="D1936" s="79" t="s">
        <v>1486</v>
      </c>
      <c r="E1936" s="79">
        <v>0</v>
      </c>
      <c r="F1936" s="79" t="s">
        <v>1470</v>
      </c>
      <c r="G1936" s="80"/>
      <c r="H1936" s="5" t="e">
        <f>"t.{"&amp;#REF!&amp;"},"</f>
        <v>#REF!</v>
      </c>
    </row>
    <row r="1937" spans="1:13" s="3" customFormat="1" hidden="1" outlineLevel="1" x14ac:dyDescent="0.25">
      <c r="B1937" s="81" t="s">
        <v>24</v>
      </c>
      <c r="C1937" s="79" t="s">
        <v>1491</v>
      </c>
      <c r="D1937" s="79" t="s">
        <v>1489</v>
      </c>
      <c r="E1937" s="79">
        <v>0</v>
      </c>
      <c r="F1937" s="79" t="s">
        <v>1470</v>
      </c>
      <c r="G1937" s="80"/>
      <c r="H1937" s="5" t="e">
        <f>"t.{"&amp;#REF!&amp;"},"</f>
        <v>#REF!</v>
      </c>
    </row>
    <row r="1938" spans="1:13" s="3" customFormat="1" hidden="1" outlineLevel="1" x14ac:dyDescent="0.25">
      <c r="B1938" s="81" t="s">
        <v>58</v>
      </c>
      <c r="C1938" s="79" t="s">
        <v>1522</v>
      </c>
      <c r="D1938" s="79" t="s">
        <v>1489</v>
      </c>
      <c r="E1938" s="79">
        <v>0</v>
      </c>
      <c r="F1938" s="79" t="s">
        <v>1470</v>
      </c>
      <c r="G1938" s="80"/>
      <c r="H1938" s="5" t="e">
        <f>"t.{"&amp;#REF!&amp;"},"</f>
        <v>#REF!</v>
      </c>
    </row>
    <row r="1939" spans="1:13" s="4" customFormat="1" ht="17.399999999999999" hidden="1" customHeight="1" outlineLevel="1" x14ac:dyDescent="0.35">
      <c r="A1939" s="5"/>
      <c r="B1939" s="64"/>
      <c r="C1939" s="65"/>
      <c r="D1939" s="65"/>
      <c r="E1939" s="65"/>
      <c r="F1939" s="65"/>
      <c r="G1939" s="66"/>
      <c r="H1939" s="5"/>
      <c r="I1939" s="5"/>
      <c r="J1939" s="5"/>
      <c r="K1939" s="5"/>
      <c r="L1939" s="5"/>
      <c r="M1939" s="5"/>
    </row>
    <row r="1940" spans="1:13" s="4" customFormat="1" ht="17.399999999999999" hidden="1" customHeight="1" outlineLevel="1" thickBot="1" x14ac:dyDescent="0.4">
      <c r="A1940" s="5"/>
      <c r="B1940" s="67"/>
      <c r="C1940" s="84"/>
      <c r="D1940" s="84"/>
      <c r="E1940" s="84"/>
      <c r="F1940" s="84"/>
      <c r="G1940" s="85"/>
      <c r="H1940" s="5"/>
      <c r="I1940" s="5"/>
      <c r="J1940" s="5"/>
      <c r="K1940" s="5"/>
      <c r="L1940" s="5"/>
      <c r="M1940" s="5"/>
    </row>
    <row r="1941" spans="1:13" s="4" customFormat="1" ht="17.399999999999999" hidden="1" customHeight="1" outlineLevel="1" x14ac:dyDescent="0.35">
      <c r="A1941" s="5"/>
      <c r="B1941" s="386" t="s">
        <v>28</v>
      </c>
      <c r="C1941" s="387"/>
      <c r="D1941" s="387"/>
      <c r="E1941" s="387"/>
      <c r="F1941" s="387"/>
      <c r="G1941" s="388"/>
      <c r="H1941" s="5"/>
      <c r="I1941" s="5"/>
      <c r="J1941" s="5"/>
      <c r="K1941" s="5"/>
      <c r="L1941" s="5"/>
      <c r="M1941" s="5"/>
    </row>
    <row r="1942" spans="1:13" s="4" customFormat="1" ht="17.399999999999999" hidden="1" customHeight="1" outlineLevel="1" x14ac:dyDescent="0.35">
      <c r="A1942" s="5"/>
      <c r="B1942" s="32" t="s">
        <v>2</v>
      </c>
      <c r="C1942" s="33" t="s">
        <v>3</v>
      </c>
      <c r="D1942" s="33" t="s">
        <v>4</v>
      </c>
      <c r="E1942" s="33"/>
      <c r="F1942" s="33"/>
      <c r="G1942" s="34" t="s">
        <v>6</v>
      </c>
      <c r="H1942" s="5"/>
      <c r="I1942" s="5"/>
      <c r="J1942" s="5"/>
      <c r="K1942" s="5"/>
      <c r="L1942" s="5"/>
      <c r="M1942" s="5"/>
    </row>
    <row r="1943" spans="1:13" s="4" customFormat="1" ht="17.399999999999999" hidden="1" customHeight="1" outlineLevel="1" x14ac:dyDescent="0.35">
      <c r="A1943" s="5"/>
      <c r="B1943" s="31"/>
      <c r="C1943" s="65"/>
      <c r="D1943" s="65"/>
      <c r="E1943" s="65"/>
      <c r="F1943" s="65"/>
      <c r="G1943" s="66"/>
    </row>
    <row r="1944" spans="1:13" s="4" customFormat="1" ht="17.399999999999999" hidden="1" customHeight="1" outlineLevel="1" thickBot="1" x14ac:dyDescent="0.4">
      <c r="A1944" s="5"/>
      <c r="B1944" s="31"/>
      <c r="C1944" s="65"/>
      <c r="D1944" s="65"/>
      <c r="E1944" s="65"/>
      <c r="F1944" s="65"/>
      <c r="G1944" s="66"/>
      <c r="H1944" s="5"/>
      <c r="I1944" s="5"/>
      <c r="J1944" s="5"/>
      <c r="K1944" s="5"/>
      <c r="L1944" s="5"/>
      <c r="M1944" s="5"/>
    </row>
    <row r="1945" spans="1:13" s="4" customFormat="1" ht="17.399999999999999" hidden="1" customHeight="1" outlineLevel="1" x14ac:dyDescent="0.35">
      <c r="A1945" s="5"/>
      <c r="B1945" s="392" t="s">
        <v>29</v>
      </c>
      <c r="C1945" s="393"/>
      <c r="D1945" s="393"/>
      <c r="E1945" s="393"/>
      <c r="F1945" s="393"/>
      <c r="G1945" s="394"/>
      <c r="H1945" s="5"/>
      <c r="I1945" s="5"/>
      <c r="J1945" s="5"/>
      <c r="K1945" s="5"/>
      <c r="L1945" s="5"/>
      <c r="M1945" s="5"/>
    </row>
    <row r="1946" spans="1:13" s="4" customFormat="1" ht="17.399999999999999" hidden="1" customHeight="1" outlineLevel="1" x14ac:dyDescent="0.35">
      <c r="A1946" s="5"/>
      <c r="B1946" s="28"/>
      <c r="C1946" s="65"/>
      <c r="D1946" s="65"/>
      <c r="E1946" s="65"/>
      <c r="F1946" s="65"/>
      <c r="G1946" s="105" t="s">
        <v>370</v>
      </c>
      <c r="H1946" s="5"/>
      <c r="I1946" s="5"/>
      <c r="J1946" s="5"/>
      <c r="K1946" s="5"/>
      <c r="L1946" s="5"/>
      <c r="M1946" s="5"/>
    </row>
    <row r="1947" spans="1:13" s="4" customFormat="1" ht="17.399999999999999" hidden="1" customHeight="1" outlineLevel="1" x14ac:dyDescent="0.35">
      <c r="A1947" s="5"/>
      <c r="B1947" s="67" t="s">
        <v>30</v>
      </c>
      <c r="C1947" s="65"/>
      <c r="D1947" s="65"/>
      <c r="E1947" s="65"/>
      <c r="F1947" s="65"/>
      <c r="G1947" s="371" t="s">
        <v>2357</v>
      </c>
      <c r="H1947" s="5"/>
      <c r="I1947" s="5"/>
      <c r="J1947" s="5"/>
      <c r="K1947" s="5"/>
      <c r="L1947" s="5"/>
      <c r="M1947" s="5"/>
    </row>
    <row r="1948" spans="1:13" s="4" customFormat="1" ht="17.399999999999999" hidden="1" customHeight="1" outlineLevel="1" x14ac:dyDescent="0.35">
      <c r="A1948" s="5"/>
      <c r="B1948" s="28"/>
      <c r="C1948" s="65"/>
      <c r="D1948" s="65"/>
      <c r="E1948" s="65"/>
      <c r="F1948" s="65"/>
      <c r="G1948" s="66"/>
      <c r="H1948" s="5"/>
      <c r="I1948" s="5"/>
      <c r="J1948" s="5"/>
      <c r="K1948" s="5"/>
      <c r="L1948" s="5"/>
      <c r="M1948" s="5"/>
    </row>
    <row r="1949" spans="1:13" s="4" customFormat="1" ht="17.399999999999999" hidden="1" customHeight="1" outlineLevel="1" x14ac:dyDescent="0.35">
      <c r="A1949" s="5"/>
      <c r="B1949" s="28"/>
      <c r="C1949" s="65"/>
      <c r="D1949" s="65"/>
      <c r="E1949" s="65"/>
      <c r="F1949" s="65"/>
      <c r="G1949" s="66"/>
      <c r="H1949" s="5"/>
      <c r="I1949" s="5"/>
      <c r="J1949" s="5"/>
      <c r="K1949" s="5"/>
      <c r="L1949" s="5"/>
      <c r="M1949" s="5"/>
    </row>
    <row r="1950" spans="1:13" s="3" customFormat="1" ht="17.399999999999999" hidden="1" customHeight="1" outlineLevel="1" x14ac:dyDescent="0.25">
      <c r="A1950" s="5"/>
      <c r="B1950" s="31" t="s">
        <v>371</v>
      </c>
      <c r="C1950" s="65"/>
      <c r="D1950" s="65"/>
      <c r="E1950" s="65"/>
      <c r="F1950" s="65"/>
      <c r="G1950" s="371" t="s">
        <v>2396</v>
      </c>
    </row>
    <row r="1951" spans="1:13" s="4" customFormat="1" ht="17.399999999999999" hidden="1" customHeight="1" outlineLevel="1" thickBot="1" x14ac:dyDescent="0.4">
      <c r="A1951" s="5"/>
      <c r="B1951" s="103"/>
      <c r="C1951" s="92"/>
      <c r="D1951" s="92"/>
      <c r="E1951" s="92"/>
      <c r="F1951" s="92"/>
      <c r="G1951" s="93"/>
    </row>
    <row r="1952" spans="1:13" s="4" customFormat="1" ht="17.399999999999999" hidden="1" customHeight="1" outlineLevel="1" x14ac:dyDescent="0.35">
      <c r="A1952" s="5"/>
      <c r="B1952" s="5"/>
      <c r="C1952" s="5"/>
      <c r="D1952" s="5"/>
      <c r="E1952" s="5"/>
      <c r="F1952" s="5"/>
      <c r="G1952" s="5"/>
    </row>
    <row r="1953" spans="1:14" ht="16.2" hidden="1" outlineLevel="1" thickBot="1" x14ac:dyDescent="0.3"/>
    <row r="1954" spans="1:14" s="3" customFormat="1" ht="18" customHeight="1" collapsed="1" thickBot="1" x14ac:dyDescent="0.3">
      <c r="A1954" s="5"/>
      <c r="B1954" s="15" t="s">
        <v>1279</v>
      </c>
      <c r="C1954" s="16" t="s">
        <v>1437</v>
      </c>
      <c r="D1954" s="17" t="s">
        <v>1281</v>
      </c>
      <c r="E1954" s="252" t="s">
        <v>372</v>
      </c>
      <c r="F1954" s="17" t="s">
        <v>1282</v>
      </c>
      <c r="G1954" s="18" t="s">
        <v>1438</v>
      </c>
    </row>
    <row r="1955" spans="1:14" s="3" customFormat="1" ht="17.399999999999999" hidden="1" customHeight="1" outlineLevel="1" x14ac:dyDescent="0.25">
      <c r="A1955" s="5"/>
      <c r="B1955" s="19" t="s">
        <v>1284</v>
      </c>
      <c r="C1955" s="20" t="s">
        <v>1285</v>
      </c>
      <c r="D1955" s="21" t="s">
        <v>1286</v>
      </c>
      <c r="E1955" s="20" t="s">
        <v>1439</v>
      </c>
      <c r="F1955" s="21" t="s">
        <v>1288</v>
      </c>
      <c r="G1955" s="22"/>
    </row>
    <row r="1956" spans="1:14" s="3" customFormat="1" ht="17.399999999999999" hidden="1" customHeight="1" outlineLevel="1" thickBot="1" x14ac:dyDescent="0.3">
      <c r="A1956" s="5"/>
      <c r="B1956" s="19" t="s">
        <v>1290</v>
      </c>
      <c r="C1956" s="23" t="s">
        <v>1291</v>
      </c>
      <c r="D1956" s="21" t="s">
        <v>1292</v>
      </c>
      <c r="E1956" s="23">
        <v>5</v>
      </c>
      <c r="F1956" s="21" t="s">
        <v>1293</v>
      </c>
      <c r="G1956" s="24" t="s">
        <v>1294</v>
      </c>
    </row>
    <row r="1957" spans="1:14" s="3" customFormat="1" ht="17.399999999999999" hidden="1" customHeight="1" outlineLevel="1" x14ac:dyDescent="0.25">
      <c r="A1957" s="5"/>
      <c r="B1957" s="401" t="s">
        <v>1</v>
      </c>
      <c r="C1957" s="402"/>
      <c r="D1957" s="402"/>
      <c r="E1957" s="402"/>
      <c r="F1957" s="402"/>
      <c r="G1957" s="403"/>
    </row>
    <row r="1958" spans="1:14" s="3" customFormat="1" ht="17.399999999999999" hidden="1" customHeight="1" outlineLevel="1" x14ac:dyDescent="0.25">
      <c r="A1958" s="5"/>
      <c r="B1958" s="25" t="s">
        <v>2</v>
      </c>
      <c r="C1958" s="26" t="s">
        <v>3</v>
      </c>
      <c r="D1958" s="26" t="s">
        <v>4</v>
      </c>
      <c r="E1958" s="26" t="s">
        <v>5</v>
      </c>
      <c r="F1958" s="26"/>
      <c r="G1958" s="27" t="s">
        <v>6</v>
      </c>
    </row>
    <row r="1959" spans="1:14" s="3" customFormat="1" hidden="1" outlineLevel="1" x14ac:dyDescent="0.25">
      <c r="A1959" s="5"/>
      <c r="B1959" s="31" t="s">
        <v>162</v>
      </c>
      <c r="C1959" s="20" t="s">
        <v>1589</v>
      </c>
      <c r="D1959" s="20" t="s">
        <v>1469</v>
      </c>
      <c r="E1959" s="20">
        <v>0</v>
      </c>
      <c r="F1959" s="20"/>
      <c r="G1959" s="22" t="s">
        <v>1590</v>
      </c>
    </row>
    <row r="1960" spans="1:14" s="3" customFormat="1" hidden="1" outlineLevel="1" x14ac:dyDescent="0.25">
      <c r="A1960" s="5"/>
      <c r="B1960" s="31" t="s">
        <v>163</v>
      </c>
      <c r="C1960" s="20" t="s">
        <v>1591</v>
      </c>
      <c r="D1960" s="20" t="s">
        <v>1469</v>
      </c>
      <c r="E1960" s="20">
        <v>0</v>
      </c>
      <c r="F1960" s="20"/>
      <c r="G1960" s="22" t="s">
        <v>1590</v>
      </c>
    </row>
    <row r="1961" spans="1:14" s="3" customFormat="1" hidden="1" outlineLevel="1" x14ac:dyDescent="0.25">
      <c r="B1961" s="28" t="s">
        <v>128</v>
      </c>
      <c r="C1961" s="29" t="s">
        <v>1566</v>
      </c>
      <c r="D1961" s="29" t="s">
        <v>1567</v>
      </c>
      <c r="E1961" s="29">
        <v>0</v>
      </c>
      <c r="F1961" s="29" t="s">
        <v>1470</v>
      </c>
      <c r="G1961" s="30"/>
      <c r="J1961" s="3" t="s">
        <v>12</v>
      </c>
      <c r="N1961" s="3">
        <v>1629</v>
      </c>
    </row>
    <row r="1962" spans="1:14" s="3" customFormat="1" hidden="1" outlineLevel="1" x14ac:dyDescent="0.25">
      <c r="B1962" s="28" t="s">
        <v>114</v>
      </c>
      <c r="C1962" s="29" t="s">
        <v>1557</v>
      </c>
      <c r="D1962" s="29" t="s">
        <v>1469</v>
      </c>
      <c r="E1962" s="29">
        <v>-1</v>
      </c>
      <c r="F1962" s="29" t="s">
        <v>1470</v>
      </c>
      <c r="G1962" s="30"/>
      <c r="J1962" s="3" t="s">
        <v>10</v>
      </c>
      <c r="N1962" s="3">
        <v>2449</v>
      </c>
    </row>
    <row r="1963" spans="1:14" s="3" customFormat="1" hidden="1" outlineLevel="1" x14ac:dyDescent="0.25">
      <c r="B1963" s="28" t="s">
        <v>7</v>
      </c>
      <c r="C1963" s="29" t="s">
        <v>1468</v>
      </c>
      <c r="D1963" s="29" t="s">
        <v>1469</v>
      </c>
      <c r="E1963" s="29">
        <v>0</v>
      </c>
      <c r="F1963" s="29" t="s">
        <v>1470</v>
      </c>
      <c r="G1963" s="30" t="s">
        <v>1471</v>
      </c>
      <c r="J1963" s="3" t="s">
        <v>10</v>
      </c>
      <c r="N1963" s="3">
        <v>1112</v>
      </c>
    </row>
    <row r="1964" spans="1:14" s="3" customFormat="1" ht="16.2" hidden="1" outlineLevel="1" thickBot="1" x14ac:dyDescent="0.3">
      <c r="B1964" s="28"/>
      <c r="C1964" s="29"/>
      <c r="D1964" s="29"/>
      <c r="E1964" s="29"/>
      <c r="F1964" s="29"/>
      <c r="G1964" s="30"/>
    </row>
    <row r="1965" spans="1:14" s="3" customFormat="1" ht="17.399999999999999" hidden="1" customHeight="1" outlineLevel="1" x14ac:dyDescent="0.25">
      <c r="A1965" s="5"/>
      <c r="B1965" s="401" t="s">
        <v>18</v>
      </c>
      <c r="C1965" s="402"/>
      <c r="D1965" s="402"/>
      <c r="E1965" s="402"/>
      <c r="F1965" s="402"/>
      <c r="G1965" s="403"/>
    </row>
    <row r="1966" spans="1:14" s="3" customFormat="1" ht="17.399999999999999" hidden="1" customHeight="1" outlineLevel="1" x14ac:dyDescent="0.25">
      <c r="A1966" s="5"/>
      <c r="B1966" s="25" t="s">
        <v>2</v>
      </c>
      <c r="C1966" s="26" t="s">
        <v>3</v>
      </c>
      <c r="D1966" s="26" t="s">
        <v>4</v>
      </c>
      <c r="E1966" s="26" t="s">
        <v>5</v>
      </c>
      <c r="F1966" s="26"/>
      <c r="G1966" s="27" t="s">
        <v>6</v>
      </c>
    </row>
    <row r="1967" spans="1:14" s="3" customFormat="1" ht="17.399999999999999" hidden="1" customHeight="1" outlineLevel="1" x14ac:dyDescent="0.25">
      <c r="A1967" s="5"/>
      <c r="B1967" s="253" t="s">
        <v>128</v>
      </c>
      <c r="C1967" s="254" t="s">
        <v>1566</v>
      </c>
      <c r="D1967" s="254" t="s">
        <v>1567</v>
      </c>
      <c r="E1967" s="254">
        <v>0</v>
      </c>
      <c r="F1967" s="254" t="s">
        <v>1470</v>
      </c>
      <c r="G1967" s="255"/>
    </row>
    <row r="1968" spans="1:14" hidden="1" outlineLevel="1" x14ac:dyDescent="0.25">
      <c r="B1968" s="256" t="s">
        <v>16</v>
      </c>
      <c r="C1968" s="257" t="s">
        <v>1479</v>
      </c>
      <c r="D1968" s="257" t="s">
        <v>1469</v>
      </c>
      <c r="E1968" s="257" t="s">
        <v>1480</v>
      </c>
      <c r="F1968" s="257" t="s">
        <v>1481</v>
      </c>
      <c r="G1968" s="258" t="s">
        <v>1482</v>
      </c>
    </row>
    <row r="1969" spans="2:7" hidden="1" outlineLevel="1" x14ac:dyDescent="0.25">
      <c r="B1969" s="256" t="s">
        <v>112</v>
      </c>
      <c r="C1969" s="259" t="s">
        <v>1555</v>
      </c>
      <c r="D1969" s="257" t="s">
        <v>1469</v>
      </c>
      <c r="E1969" s="257">
        <v>0</v>
      </c>
      <c r="F1969" s="257" t="s">
        <v>1470</v>
      </c>
      <c r="G1969" s="258" t="s">
        <v>1556</v>
      </c>
    </row>
    <row r="1970" spans="2:7" hidden="1" outlineLevel="1" x14ac:dyDescent="0.25">
      <c r="B1970" s="256" t="s">
        <v>7</v>
      </c>
      <c r="C1970" s="259" t="s">
        <v>1468</v>
      </c>
      <c r="D1970" s="257" t="s">
        <v>1469</v>
      </c>
      <c r="E1970" s="257">
        <v>0</v>
      </c>
      <c r="F1970" s="257" t="s">
        <v>1470</v>
      </c>
      <c r="G1970" s="258" t="s">
        <v>1471</v>
      </c>
    </row>
    <row r="1971" spans="2:7" hidden="1" outlineLevel="1" x14ac:dyDescent="0.25">
      <c r="B1971" s="256" t="s">
        <v>266</v>
      </c>
      <c r="C1971" s="257" t="s">
        <v>1693</v>
      </c>
      <c r="D1971" s="257" t="s">
        <v>1486</v>
      </c>
      <c r="E1971" s="257">
        <v>0</v>
      </c>
      <c r="F1971" s="257" t="s">
        <v>1470</v>
      </c>
      <c r="G1971" s="258"/>
    </row>
    <row r="1972" spans="2:7" hidden="1" outlineLevel="1" x14ac:dyDescent="0.25">
      <c r="B1972" s="256" t="s">
        <v>267</v>
      </c>
      <c r="C1972" s="257" t="s">
        <v>1694</v>
      </c>
      <c r="D1972" s="257" t="s">
        <v>1486</v>
      </c>
      <c r="E1972" s="257">
        <v>0</v>
      </c>
      <c r="F1972" s="257" t="s">
        <v>1470</v>
      </c>
      <c r="G1972" s="258"/>
    </row>
    <row r="1973" spans="2:7" hidden="1" outlineLevel="1" x14ac:dyDescent="0.25">
      <c r="B1973" s="256" t="s">
        <v>373</v>
      </c>
      <c r="C1973" s="257" t="s">
        <v>1771</v>
      </c>
      <c r="D1973" s="257" t="s">
        <v>1486</v>
      </c>
      <c r="E1973" s="257">
        <v>0</v>
      </c>
      <c r="F1973" s="257"/>
      <c r="G1973" s="258"/>
    </row>
    <row r="1974" spans="2:7" hidden="1" outlineLevel="1" x14ac:dyDescent="0.25">
      <c r="B1974" s="256" t="s">
        <v>374</v>
      </c>
      <c r="C1974" s="257" t="s">
        <v>1772</v>
      </c>
      <c r="D1974" s="257" t="s">
        <v>1489</v>
      </c>
      <c r="E1974" s="257">
        <v>0</v>
      </c>
      <c r="F1974" s="257"/>
      <c r="G1974" s="258"/>
    </row>
    <row r="1975" spans="2:7" hidden="1" outlineLevel="1" x14ac:dyDescent="0.25">
      <c r="B1975" s="256" t="s">
        <v>268</v>
      </c>
      <c r="C1975" s="259" t="s">
        <v>1695</v>
      </c>
      <c r="D1975" s="257" t="s">
        <v>1489</v>
      </c>
      <c r="E1975" s="257">
        <v>0</v>
      </c>
      <c r="F1975" s="257" t="s">
        <v>1470</v>
      </c>
      <c r="G1975" s="258"/>
    </row>
    <row r="1976" spans="2:7" hidden="1" outlineLevel="1" x14ac:dyDescent="0.25">
      <c r="B1976" s="256" t="s">
        <v>269</v>
      </c>
      <c r="C1976" s="257" t="s">
        <v>1696</v>
      </c>
      <c r="D1976" s="257" t="s">
        <v>1489</v>
      </c>
      <c r="E1976" s="257">
        <v>0</v>
      </c>
      <c r="F1976" s="257" t="s">
        <v>1470</v>
      </c>
      <c r="G1976" s="258"/>
    </row>
    <row r="1977" spans="2:7" hidden="1" outlineLevel="1" x14ac:dyDescent="0.25">
      <c r="B1977" s="256" t="s">
        <v>270</v>
      </c>
      <c r="C1977" s="257" t="s">
        <v>1697</v>
      </c>
      <c r="D1977" s="257" t="s">
        <v>1489</v>
      </c>
      <c r="E1977" s="257">
        <v>0</v>
      </c>
      <c r="F1977" s="257"/>
      <c r="G1977" s="258"/>
    </row>
    <row r="1978" spans="2:7" hidden="1" outlineLevel="1" x14ac:dyDescent="0.25">
      <c r="B1978" s="256" t="s">
        <v>271</v>
      </c>
      <c r="C1978" s="257" t="s">
        <v>1698</v>
      </c>
      <c r="D1978" s="257" t="s">
        <v>1494</v>
      </c>
      <c r="E1978" s="257">
        <v>0</v>
      </c>
      <c r="F1978" s="257"/>
      <c r="G1978" s="258"/>
    </row>
    <row r="1979" spans="2:7" hidden="1" outlineLevel="1" x14ac:dyDescent="0.25">
      <c r="B1979" s="256" t="s">
        <v>272</v>
      </c>
      <c r="C1979" s="259" t="s">
        <v>1699</v>
      </c>
      <c r="D1979" s="257" t="s">
        <v>1489</v>
      </c>
      <c r="E1979" s="257">
        <v>0</v>
      </c>
      <c r="F1979" s="257"/>
      <c r="G1979" s="258"/>
    </row>
    <row r="1980" spans="2:7" hidden="1" outlineLevel="1" x14ac:dyDescent="0.25">
      <c r="B1980" s="256" t="s">
        <v>273</v>
      </c>
      <c r="C1980" s="259" t="s">
        <v>1700</v>
      </c>
      <c r="D1980" s="257" t="s">
        <v>1489</v>
      </c>
      <c r="E1980" s="257">
        <v>0</v>
      </c>
      <c r="F1980" s="257" t="s">
        <v>1470</v>
      </c>
      <c r="G1980" s="258"/>
    </row>
    <row r="1981" spans="2:7" hidden="1" outlineLevel="1" x14ac:dyDescent="0.25">
      <c r="B1981" s="260" t="s">
        <v>274</v>
      </c>
      <c r="C1981" s="261" t="s">
        <v>1701</v>
      </c>
      <c r="D1981" s="262" t="s">
        <v>1489</v>
      </c>
      <c r="E1981" s="262">
        <v>0</v>
      </c>
      <c r="F1981" s="262" t="s">
        <v>1470</v>
      </c>
      <c r="G1981" s="263"/>
    </row>
    <row r="1982" spans="2:7" hidden="1" outlineLevel="1" x14ac:dyDescent="0.25">
      <c r="B1982" s="256" t="s">
        <v>275</v>
      </c>
      <c r="C1982" s="259" t="s">
        <v>1702</v>
      </c>
      <c r="D1982" s="257" t="s">
        <v>1489</v>
      </c>
      <c r="E1982" s="257">
        <v>0</v>
      </c>
      <c r="F1982" s="257" t="s">
        <v>1470</v>
      </c>
      <c r="G1982" s="258"/>
    </row>
    <row r="1983" spans="2:7" hidden="1" outlineLevel="1" x14ac:dyDescent="0.25">
      <c r="B1983" s="256" t="s">
        <v>278</v>
      </c>
      <c r="C1983" s="259" t="s">
        <v>1705</v>
      </c>
      <c r="D1983" s="257" t="s">
        <v>1489</v>
      </c>
      <c r="E1983" s="257">
        <v>0</v>
      </c>
      <c r="F1983" s="257"/>
      <c r="G1983" s="258"/>
    </row>
    <row r="1984" spans="2:7" hidden="1" outlineLevel="1" x14ac:dyDescent="0.25">
      <c r="B1984" s="256" t="s">
        <v>279</v>
      </c>
      <c r="C1984" s="259" t="s">
        <v>1706</v>
      </c>
      <c r="D1984" s="257" t="s">
        <v>1489</v>
      </c>
      <c r="E1984" s="257">
        <v>0</v>
      </c>
      <c r="F1984" s="257" t="s">
        <v>1470</v>
      </c>
      <c r="G1984" s="258"/>
    </row>
    <row r="1985" spans="2:7" hidden="1" outlineLevel="1" x14ac:dyDescent="0.25">
      <c r="B1985" s="256" t="s">
        <v>281</v>
      </c>
      <c r="C1985" s="259" t="s">
        <v>1708</v>
      </c>
      <c r="D1985" s="257" t="s">
        <v>1489</v>
      </c>
      <c r="E1985" s="257">
        <v>0</v>
      </c>
      <c r="F1985" s="257" t="s">
        <v>1470</v>
      </c>
      <c r="G1985" s="258"/>
    </row>
    <row r="1986" spans="2:7" hidden="1" outlineLevel="1" x14ac:dyDescent="0.25">
      <c r="B1986" s="256" t="s">
        <v>280</v>
      </c>
      <c r="C1986" s="259" t="s">
        <v>1707</v>
      </c>
      <c r="D1986" s="257" t="s">
        <v>1489</v>
      </c>
      <c r="E1986" s="257">
        <v>0</v>
      </c>
      <c r="F1986" s="257"/>
      <c r="G1986" s="258"/>
    </row>
    <row r="1987" spans="2:7" hidden="1" outlineLevel="1" x14ac:dyDescent="0.25">
      <c r="B1987" s="256" t="s">
        <v>282</v>
      </c>
      <c r="C1987" s="257" t="s">
        <v>1709</v>
      </c>
      <c r="D1987" s="257" t="s">
        <v>1489</v>
      </c>
      <c r="E1987" s="257">
        <v>0</v>
      </c>
      <c r="F1987" s="257"/>
      <c r="G1987" s="258"/>
    </row>
    <row r="1988" spans="2:7" hidden="1" outlineLevel="1" x14ac:dyDescent="0.25">
      <c r="B1988" s="256" t="s">
        <v>203</v>
      </c>
      <c r="C1988" s="257" t="s">
        <v>1635</v>
      </c>
      <c r="D1988" s="257" t="s">
        <v>1636</v>
      </c>
      <c r="E1988" s="257" t="s">
        <v>1637</v>
      </c>
      <c r="F1988" s="257" t="s">
        <v>1476</v>
      </c>
      <c r="G1988" s="258"/>
    </row>
    <row r="1989" spans="2:7" hidden="1" outlineLevel="1" x14ac:dyDescent="0.25">
      <c r="B1989" s="256" t="s">
        <v>64</v>
      </c>
      <c r="C1989" s="257" t="s">
        <v>1527</v>
      </c>
      <c r="D1989" s="257" t="s">
        <v>1489</v>
      </c>
      <c r="E1989" s="257">
        <v>0</v>
      </c>
      <c r="F1989" s="257"/>
      <c r="G1989" s="258"/>
    </row>
    <row r="1990" spans="2:7" hidden="1" outlineLevel="1" x14ac:dyDescent="0.25">
      <c r="B1990" s="256" t="s">
        <v>283</v>
      </c>
      <c r="C1990" s="257" t="s">
        <v>1710</v>
      </c>
      <c r="D1990" s="257" t="s">
        <v>1494</v>
      </c>
      <c r="E1990" s="257">
        <v>0</v>
      </c>
      <c r="F1990" s="257" t="s">
        <v>1470</v>
      </c>
      <c r="G1990" s="258"/>
    </row>
    <row r="1991" spans="2:7" hidden="1" outlineLevel="1" x14ac:dyDescent="0.25">
      <c r="B1991" s="256" t="s">
        <v>284</v>
      </c>
      <c r="C1991" s="257" t="s">
        <v>1711</v>
      </c>
      <c r="D1991" s="257" t="s">
        <v>1489</v>
      </c>
      <c r="E1991" s="257">
        <v>0</v>
      </c>
      <c r="F1991" s="257"/>
      <c r="G1991" s="258"/>
    </row>
    <row r="1992" spans="2:7" hidden="1" outlineLevel="1" x14ac:dyDescent="0.25">
      <c r="B1992" s="256" t="s">
        <v>285</v>
      </c>
      <c r="C1992" s="257" t="s">
        <v>1712</v>
      </c>
      <c r="D1992" s="257" t="s">
        <v>1494</v>
      </c>
      <c r="E1992" s="257">
        <v>0</v>
      </c>
      <c r="F1992" s="257"/>
      <c r="G1992" s="258"/>
    </row>
    <row r="1993" spans="2:7" hidden="1" outlineLevel="1" x14ac:dyDescent="0.25">
      <c r="B1993" s="256" t="s">
        <v>287</v>
      </c>
      <c r="C1993" s="257" t="s">
        <v>1714</v>
      </c>
      <c r="D1993" s="257" t="s">
        <v>1494</v>
      </c>
      <c r="E1993" s="257">
        <v>0</v>
      </c>
      <c r="F1993" s="257"/>
      <c r="G1993" s="258"/>
    </row>
    <row r="1994" spans="2:7" hidden="1" outlineLevel="1" x14ac:dyDescent="0.25">
      <c r="B1994" s="256" t="s">
        <v>286</v>
      </c>
      <c r="C1994" s="257" t="s">
        <v>1713</v>
      </c>
      <c r="D1994" s="257" t="s">
        <v>1494</v>
      </c>
      <c r="E1994" s="257">
        <v>0</v>
      </c>
      <c r="F1994" s="257"/>
      <c r="G1994" s="258"/>
    </row>
    <row r="1995" spans="2:7" hidden="1" outlineLevel="1" x14ac:dyDescent="0.25">
      <c r="B1995" s="256" t="s">
        <v>289</v>
      </c>
      <c r="C1995" s="257" t="s">
        <v>1716</v>
      </c>
      <c r="D1995" s="257" t="s">
        <v>1489</v>
      </c>
      <c r="E1995" s="257">
        <v>0</v>
      </c>
      <c r="F1995" s="257" t="s">
        <v>1470</v>
      </c>
      <c r="G1995" s="258"/>
    </row>
    <row r="1996" spans="2:7" hidden="1" outlineLevel="1" x14ac:dyDescent="0.25">
      <c r="B1996" s="256" t="s">
        <v>288</v>
      </c>
      <c r="C1996" s="257" t="s">
        <v>1715</v>
      </c>
      <c r="D1996" s="257" t="s">
        <v>1489</v>
      </c>
      <c r="E1996" s="257">
        <v>0</v>
      </c>
      <c r="F1996" s="257" t="s">
        <v>1470</v>
      </c>
      <c r="G1996" s="258"/>
    </row>
    <row r="1997" spans="2:7" hidden="1" outlineLevel="1" x14ac:dyDescent="0.25">
      <c r="B1997" s="217" t="s">
        <v>276</v>
      </c>
      <c r="C1997" s="217" t="s">
        <v>1703</v>
      </c>
      <c r="D1997" s="257" t="s">
        <v>1489</v>
      </c>
      <c r="E1997" s="257">
        <v>0</v>
      </c>
      <c r="F1997" s="257"/>
      <c r="G1997" s="258"/>
    </row>
    <row r="1998" spans="2:7" hidden="1" outlineLevel="1" x14ac:dyDescent="0.25">
      <c r="B1998" s="256" t="s">
        <v>375</v>
      </c>
      <c r="C1998" s="259" t="s">
        <v>1773</v>
      </c>
      <c r="D1998" s="257" t="s">
        <v>1489</v>
      </c>
      <c r="E1998" s="257">
        <v>0</v>
      </c>
      <c r="F1998" s="257"/>
      <c r="G1998" s="258"/>
    </row>
    <row r="1999" spans="2:7" hidden="1" outlineLevel="1" x14ac:dyDescent="0.25">
      <c r="B1999" s="260" t="s">
        <v>376</v>
      </c>
      <c r="C1999" s="261" t="s">
        <v>1774</v>
      </c>
      <c r="D1999" s="262" t="s">
        <v>1489</v>
      </c>
      <c r="E1999" s="262">
        <v>0</v>
      </c>
      <c r="F1999" s="262"/>
      <c r="G1999" s="263"/>
    </row>
    <row r="2000" spans="2:7" hidden="1" outlineLevel="1" x14ac:dyDescent="0.25">
      <c r="B2000" s="256" t="s">
        <v>377</v>
      </c>
      <c r="C2000" s="259" t="s">
        <v>1775</v>
      </c>
      <c r="D2000" s="257" t="s">
        <v>1489</v>
      </c>
      <c r="E2000" s="257">
        <v>0</v>
      </c>
      <c r="F2000" s="257"/>
      <c r="G2000" s="258"/>
    </row>
    <row r="2001" spans="2:7" hidden="1" outlineLevel="1" x14ac:dyDescent="0.25">
      <c r="B2001" s="256" t="s">
        <v>378</v>
      </c>
      <c r="C2001" s="259" t="s">
        <v>1776</v>
      </c>
      <c r="D2001" s="257" t="s">
        <v>1489</v>
      </c>
      <c r="E2001" s="257">
        <v>0</v>
      </c>
      <c r="F2001" s="257"/>
      <c r="G2001" s="258"/>
    </row>
    <row r="2002" spans="2:7" hidden="1" outlineLevel="1" x14ac:dyDescent="0.25">
      <c r="B2002" s="256" t="s">
        <v>379</v>
      </c>
      <c r="C2002" s="259" t="s">
        <v>1777</v>
      </c>
      <c r="D2002" s="257" t="s">
        <v>1489</v>
      </c>
      <c r="E2002" s="257">
        <v>0</v>
      </c>
      <c r="F2002" s="257"/>
      <c r="G2002" s="258"/>
    </row>
    <row r="2003" spans="2:7" hidden="1" outlineLevel="1" x14ac:dyDescent="0.25">
      <c r="B2003" s="256" t="s">
        <v>380</v>
      </c>
      <c r="C2003" s="259" t="s">
        <v>1778</v>
      </c>
      <c r="D2003" s="257" t="s">
        <v>1489</v>
      </c>
      <c r="E2003" s="257">
        <v>0</v>
      </c>
      <c r="F2003" s="257"/>
      <c r="G2003" s="258"/>
    </row>
    <row r="2004" spans="2:7" hidden="1" outlineLevel="1" x14ac:dyDescent="0.25">
      <c r="B2004" s="256" t="s">
        <v>381</v>
      </c>
      <c r="C2004" s="259" t="s">
        <v>1779</v>
      </c>
      <c r="D2004" s="257" t="s">
        <v>1489</v>
      </c>
      <c r="E2004" s="257">
        <v>0</v>
      </c>
      <c r="F2004" s="257"/>
      <c r="G2004" s="258"/>
    </row>
    <row r="2005" spans="2:7" hidden="1" outlineLevel="1" x14ac:dyDescent="0.25">
      <c r="B2005" s="217" t="s">
        <v>382</v>
      </c>
      <c r="C2005" s="217" t="s">
        <v>1780</v>
      </c>
      <c r="D2005" s="257" t="s">
        <v>1489</v>
      </c>
      <c r="E2005" s="257">
        <v>0</v>
      </c>
      <c r="F2005" s="257"/>
      <c r="G2005" s="258"/>
    </row>
    <row r="2006" spans="2:7" hidden="1" outlineLevel="1" x14ac:dyDescent="0.25">
      <c r="B2006" s="218" t="s">
        <v>383</v>
      </c>
      <c r="C2006" s="264" t="s">
        <v>1781</v>
      </c>
      <c r="D2006" s="257" t="s">
        <v>1489</v>
      </c>
      <c r="E2006" s="257">
        <v>0</v>
      </c>
      <c r="F2006" s="257" t="s">
        <v>1470</v>
      </c>
      <c r="G2006" s="258"/>
    </row>
    <row r="2007" spans="2:7" hidden="1" outlineLevel="1" x14ac:dyDescent="0.25">
      <c r="B2007" s="218" t="s">
        <v>384</v>
      </c>
      <c r="C2007" s="218" t="s">
        <v>1782</v>
      </c>
      <c r="D2007" s="257" t="s">
        <v>1489</v>
      </c>
      <c r="E2007" s="257">
        <v>0</v>
      </c>
      <c r="F2007" s="257"/>
      <c r="G2007" s="258"/>
    </row>
    <row r="2008" spans="2:7" hidden="1" outlineLevel="1" x14ac:dyDescent="0.25">
      <c r="B2008" s="28" t="s">
        <v>290</v>
      </c>
      <c r="C2008" s="29" t="s">
        <v>1717</v>
      </c>
      <c r="D2008" s="257" t="s">
        <v>1489</v>
      </c>
      <c r="E2008" s="257">
        <v>0</v>
      </c>
      <c r="F2008" s="257"/>
      <c r="G2008" s="258"/>
    </row>
    <row r="2009" spans="2:7" hidden="1" outlineLevel="1" x14ac:dyDescent="0.25">
      <c r="B2009" s="28" t="s">
        <v>385</v>
      </c>
      <c r="C2009" s="28" t="s">
        <v>1783</v>
      </c>
      <c r="D2009" s="257" t="s">
        <v>1567</v>
      </c>
      <c r="E2009" s="257">
        <v>0</v>
      </c>
      <c r="F2009" s="257"/>
      <c r="G2009" s="258"/>
    </row>
    <row r="2010" spans="2:7" hidden="1" outlineLevel="1" x14ac:dyDescent="0.25">
      <c r="B2010" s="256" t="s">
        <v>386</v>
      </c>
      <c r="C2010" s="257" t="s">
        <v>1784</v>
      </c>
      <c r="D2010" s="257" t="s">
        <v>1489</v>
      </c>
      <c r="E2010" s="257">
        <v>0</v>
      </c>
      <c r="F2010" s="257"/>
      <c r="G2010" s="258"/>
    </row>
    <row r="2011" spans="2:7" hidden="1" outlineLevel="1" x14ac:dyDescent="0.25">
      <c r="B2011" s="256" t="s">
        <v>387</v>
      </c>
      <c r="C2011" s="257" t="s">
        <v>1785</v>
      </c>
      <c r="D2011" s="257" t="s">
        <v>1632</v>
      </c>
      <c r="E2011" s="257" t="s">
        <v>1594</v>
      </c>
      <c r="F2011" s="257" t="s">
        <v>1470</v>
      </c>
      <c r="G2011" s="258"/>
    </row>
    <row r="2012" spans="2:7" s="3" customFormat="1" hidden="1" outlineLevel="1" x14ac:dyDescent="0.25">
      <c r="B2012" s="28" t="s">
        <v>291</v>
      </c>
      <c r="C2012" s="29" t="s">
        <v>1718</v>
      </c>
      <c r="D2012" s="29" t="s">
        <v>1489</v>
      </c>
      <c r="E2012" s="29">
        <v>0</v>
      </c>
      <c r="F2012" s="29" t="s">
        <v>1470</v>
      </c>
      <c r="G2012" s="30"/>
    </row>
    <row r="2013" spans="2:7" s="3" customFormat="1" hidden="1" outlineLevel="1" x14ac:dyDescent="0.25">
      <c r="B2013" s="28" t="s">
        <v>292</v>
      </c>
      <c r="C2013" s="29" t="s">
        <v>1719</v>
      </c>
      <c r="D2013" s="29" t="s">
        <v>1489</v>
      </c>
      <c r="E2013" s="29">
        <v>0</v>
      </c>
      <c r="F2013" s="29" t="s">
        <v>1470</v>
      </c>
      <c r="G2013" s="30"/>
    </row>
    <row r="2014" spans="2:7" hidden="1" outlineLevel="1" x14ac:dyDescent="0.25">
      <c r="B2014" s="204" t="s">
        <v>388</v>
      </c>
      <c r="C2014" s="265" t="s">
        <v>1786</v>
      </c>
      <c r="D2014" s="265" t="s">
        <v>1489</v>
      </c>
      <c r="E2014" s="265">
        <v>0</v>
      </c>
      <c r="F2014" s="265"/>
      <c r="G2014" s="266"/>
    </row>
    <row r="2015" spans="2:7" hidden="1" outlineLevel="1" x14ac:dyDescent="0.25">
      <c r="B2015" s="204" t="s">
        <v>389</v>
      </c>
      <c r="C2015" s="265" t="s">
        <v>1787</v>
      </c>
      <c r="D2015" s="265" t="s">
        <v>1489</v>
      </c>
      <c r="E2015" s="265">
        <v>0</v>
      </c>
      <c r="F2015" s="265"/>
      <c r="G2015" s="266"/>
    </row>
    <row r="2016" spans="2:7" hidden="1" outlineLevel="1" x14ac:dyDescent="0.25">
      <c r="B2016" s="201" t="s">
        <v>390</v>
      </c>
      <c r="C2016" s="107" t="s">
        <v>1788</v>
      </c>
      <c r="D2016" s="265" t="s">
        <v>1489</v>
      </c>
      <c r="E2016" s="265">
        <v>0</v>
      </c>
      <c r="F2016" s="265"/>
      <c r="G2016" s="266"/>
    </row>
    <row r="2017" spans="2:7" hidden="1" outlineLevel="1" x14ac:dyDescent="0.25">
      <c r="B2017" s="204" t="s">
        <v>391</v>
      </c>
      <c r="C2017" s="265" t="s">
        <v>1789</v>
      </c>
      <c r="D2017" s="265" t="s">
        <v>1489</v>
      </c>
      <c r="E2017" s="265">
        <v>0</v>
      </c>
      <c r="F2017" s="265"/>
      <c r="G2017" s="266"/>
    </row>
    <row r="2018" spans="2:7" hidden="1" outlineLevel="1" x14ac:dyDescent="0.25">
      <c r="B2018" s="204" t="s">
        <v>392</v>
      </c>
      <c r="C2018" s="265" t="s">
        <v>1790</v>
      </c>
      <c r="D2018" s="265" t="s">
        <v>1489</v>
      </c>
      <c r="E2018" s="265">
        <v>0</v>
      </c>
      <c r="F2018" s="265"/>
      <c r="G2018" s="266"/>
    </row>
    <row r="2019" spans="2:7" hidden="1" outlineLevel="1" x14ac:dyDescent="0.25">
      <c r="B2019" s="204" t="s">
        <v>393</v>
      </c>
      <c r="C2019" s="265" t="s">
        <v>1791</v>
      </c>
      <c r="D2019" s="265" t="s">
        <v>1489</v>
      </c>
      <c r="E2019" s="265">
        <v>0</v>
      </c>
      <c r="F2019" s="265"/>
      <c r="G2019" s="266"/>
    </row>
    <row r="2020" spans="2:7" hidden="1" outlineLevel="1" x14ac:dyDescent="0.25">
      <c r="B2020" s="204" t="s">
        <v>394</v>
      </c>
      <c r="C2020" s="265" t="s">
        <v>1792</v>
      </c>
      <c r="D2020" s="265" t="s">
        <v>1489</v>
      </c>
      <c r="E2020" s="265">
        <v>0</v>
      </c>
      <c r="F2020" s="265"/>
      <c r="G2020" s="266"/>
    </row>
    <row r="2021" spans="2:7" hidden="1" outlineLevel="1" x14ac:dyDescent="0.25">
      <c r="B2021" s="204" t="s">
        <v>395</v>
      </c>
      <c r="C2021" s="265" t="s">
        <v>1793</v>
      </c>
      <c r="D2021" s="265" t="s">
        <v>1489</v>
      </c>
      <c r="E2021" s="265">
        <v>0</v>
      </c>
      <c r="F2021" s="265"/>
      <c r="G2021" s="266"/>
    </row>
    <row r="2022" spans="2:7" hidden="1" outlineLevel="1" x14ac:dyDescent="0.25">
      <c r="B2022" s="201" t="s">
        <v>396</v>
      </c>
      <c r="C2022" s="201" t="s">
        <v>1794</v>
      </c>
      <c r="D2022" s="265" t="s">
        <v>1489</v>
      </c>
      <c r="E2022" s="265">
        <v>0</v>
      </c>
      <c r="F2022" s="265"/>
      <c r="G2022" s="266"/>
    </row>
    <row r="2023" spans="2:7" hidden="1" outlineLevel="1" x14ac:dyDescent="0.25">
      <c r="B2023" s="204" t="s">
        <v>397</v>
      </c>
      <c r="C2023" s="265" t="s">
        <v>1795</v>
      </c>
      <c r="D2023" s="265" t="s">
        <v>1489</v>
      </c>
      <c r="E2023" s="265">
        <v>0</v>
      </c>
      <c r="F2023" s="265"/>
      <c r="G2023" s="266"/>
    </row>
    <row r="2024" spans="2:7" hidden="1" outlineLevel="1" x14ac:dyDescent="0.25">
      <c r="B2024" s="201" t="s">
        <v>398</v>
      </c>
      <c r="C2024" s="107" t="s">
        <v>1796</v>
      </c>
      <c r="D2024" s="265" t="s">
        <v>1489</v>
      </c>
      <c r="E2024" s="265">
        <v>0</v>
      </c>
      <c r="F2024" s="265"/>
      <c r="G2024" s="266"/>
    </row>
    <row r="2025" spans="2:7" hidden="1" outlineLevel="1" x14ac:dyDescent="0.25">
      <c r="B2025" s="204" t="s">
        <v>399</v>
      </c>
      <c r="C2025" s="265" t="s">
        <v>1797</v>
      </c>
      <c r="D2025" s="265" t="s">
        <v>1489</v>
      </c>
      <c r="E2025" s="265">
        <v>0</v>
      </c>
      <c r="F2025" s="265"/>
      <c r="G2025" s="266"/>
    </row>
    <row r="2026" spans="2:7" hidden="1" outlineLevel="1" x14ac:dyDescent="0.25">
      <c r="B2026" s="204" t="s">
        <v>400</v>
      </c>
      <c r="C2026" s="265" t="s">
        <v>1798</v>
      </c>
      <c r="D2026" s="265" t="s">
        <v>1489</v>
      </c>
      <c r="E2026" s="265">
        <v>0</v>
      </c>
      <c r="F2026" s="265"/>
      <c r="G2026" s="266"/>
    </row>
    <row r="2027" spans="2:7" hidden="1" outlineLevel="1" x14ac:dyDescent="0.25">
      <c r="B2027" s="204" t="s">
        <v>401</v>
      </c>
      <c r="C2027" s="265" t="s">
        <v>1799</v>
      </c>
      <c r="D2027" s="107" t="s">
        <v>1489</v>
      </c>
      <c r="E2027" s="107">
        <v>0</v>
      </c>
      <c r="F2027" s="107"/>
      <c r="G2027" s="108"/>
    </row>
    <row r="2028" spans="2:7" hidden="1" outlineLevel="1" x14ac:dyDescent="0.25">
      <c r="B2028" s="204" t="s">
        <v>402</v>
      </c>
      <c r="C2028" s="265" t="s">
        <v>1800</v>
      </c>
      <c r="D2028" s="265" t="s">
        <v>1489</v>
      </c>
      <c r="E2028" s="265">
        <v>0</v>
      </c>
      <c r="F2028" s="265"/>
      <c r="G2028" s="266"/>
    </row>
    <row r="2029" spans="2:7" hidden="1" outlineLevel="1" x14ac:dyDescent="0.25">
      <c r="B2029" s="204" t="s">
        <v>403</v>
      </c>
      <c r="C2029" s="265" t="s">
        <v>1801</v>
      </c>
      <c r="D2029" s="265" t="s">
        <v>1489</v>
      </c>
      <c r="E2029" s="265">
        <v>0</v>
      </c>
      <c r="F2029" s="265"/>
      <c r="G2029" s="266"/>
    </row>
    <row r="2030" spans="2:7" hidden="1" outlineLevel="1" x14ac:dyDescent="0.25">
      <c r="B2030" s="201" t="s">
        <v>404</v>
      </c>
      <c r="C2030" s="201" t="s">
        <v>1802</v>
      </c>
      <c r="D2030" s="265" t="s">
        <v>1489</v>
      </c>
      <c r="E2030" s="265">
        <v>0</v>
      </c>
      <c r="F2030" s="265"/>
      <c r="G2030" s="266"/>
    </row>
    <row r="2031" spans="2:7" hidden="1" outlineLevel="1" x14ac:dyDescent="0.25">
      <c r="B2031" s="201"/>
      <c r="C2031" s="201"/>
      <c r="D2031" s="265"/>
      <c r="E2031" s="265"/>
      <c r="F2031" s="265"/>
      <c r="G2031" s="266"/>
    </row>
    <row r="2032" spans="2:7" hidden="1" outlineLevel="1" x14ac:dyDescent="0.25">
      <c r="B2032" s="201"/>
      <c r="C2032" s="107"/>
      <c r="D2032" s="265"/>
      <c r="E2032" s="265"/>
      <c r="F2032" s="265"/>
      <c r="G2032" s="266"/>
    </row>
    <row r="2033" spans="1:13" hidden="1" outlineLevel="1" x14ac:dyDescent="0.25">
      <c r="B2033" s="201"/>
      <c r="C2033" s="201"/>
      <c r="D2033" s="265"/>
      <c r="E2033" s="265"/>
      <c r="F2033" s="265"/>
      <c r="G2033" s="266"/>
    </row>
    <row r="2034" spans="1:13" s="3" customFormat="1" ht="16.2" hidden="1" outlineLevel="1" thickBot="1" x14ac:dyDescent="0.3">
      <c r="B2034" s="267"/>
      <c r="C2034" s="268"/>
      <c r="D2034" s="268"/>
      <c r="E2034" s="268"/>
      <c r="F2034" s="268"/>
      <c r="G2034" s="269"/>
    </row>
    <row r="2035" spans="1:13" s="3" customFormat="1" ht="17.399999999999999" hidden="1" customHeight="1" outlineLevel="1" x14ac:dyDescent="0.25">
      <c r="A2035" s="5"/>
      <c r="B2035" s="401" t="s">
        <v>29</v>
      </c>
      <c r="C2035" s="402"/>
      <c r="D2035" s="402"/>
      <c r="E2035" s="402"/>
      <c r="F2035" s="402"/>
      <c r="G2035" s="403"/>
    </row>
    <row r="2036" spans="1:13" s="3" customFormat="1" hidden="1" outlineLevel="1" x14ac:dyDescent="0.25">
      <c r="B2036" s="28"/>
      <c r="C2036" s="29"/>
      <c r="D2036" s="29"/>
      <c r="E2036" s="29"/>
      <c r="F2036" s="29"/>
      <c r="G2036" s="30"/>
    </row>
    <row r="2037" spans="1:13" s="3" customFormat="1" hidden="1" outlineLevel="1" x14ac:dyDescent="0.25">
      <c r="B2037" s="28"/>
      <c r="C2037" s="29"/>
      <c r="D2037" s="29"/>
      <c r="E2037" s="29"/>
      <c r="F2037" s="29"/>
      <c r="G2037" s="30"/>
    </row>
    <row r="2038" spans="1:13" s="3" customFormat="1" hidden="1" outlineLevel="1" x14ac:dyDescent="0.25">
      <c r="B2038" s="28"/>
      <c r="C2038" s="29"/>
      <c r="D2038" s="29"/>
      <c r="E2038" s="29"/>
      <c r="F2038" s="29"/>
      <c r="G2038" s="30"/>
    </row>
    <row r="2039" spans="1:13" s="3" customFormat="1" hidden="1" outlineLevel="1" x14ac:dyDescent="0.25">
      <c r="B2039" s="28"/>
      <c r="C2039" s="29"/>
      <c r="D2039" s="29"/>
      <c r="E2039" s="29"/>
      <c r="F2039" s="29"/>
      <c r="G2039" s="30"/>
    </row>
    <row r="2040" spans="1:13" s="4" customFormat="1" ht="17.399999999999999" hidden="1" customHeight="1" outlineLevel="1" x14ac:dyDescent="0.35">
      <c r="A2040" s="5"/>
      <c r="B2040" s="67" t="s">
        <v>30</v>
      </c>
      <c r="C2040" s="65"/>
      <c r="D2040" s="65"/>
      <c r="E2040" s="65"/>
      <c r="F2040" s="65"/>
      <c r="G2040" s="371" t="s">
        <v>2357</v>
      </c>
      <c r="H2040" s="5"/>
      <c r="I2040" s="5"/>
      <c r="J2040" s="5"/>
      <c r="K2040" s="5"/>
      <c r="L2040" s="5"/>
      <c r="M2040" s="5"/>
    </row>
    <row r="2041" spans="1:13" s="3" customFormat="1" hidden="1" outlineLevel="1" x14ac:dyDescent="0.25">
      <c r="B2041" s="28"/>
      <c r="C2041" s="29"/>
      <c r="D2041" s="29"/>
      <c r="E2041" s="29"/>
      <c r="F2041" s="29"/>
      <c r="G2041" s="30"/>
    </row>
    <row r="2042" spans="1:13" s="3" customFormat="1" hidden="1" outlineLevel="1" x14ac:dyDescent="0.25">
      <c r="B2042" s="28"/>
      <c r="C2042" s="29"/>
      <c r="D2042" s="29"/>
      <c r="E2042" s="29"/>
      <c r="F2042" s="29"/>
      <c r="G2042" s="30"/>
    </row>
    <row r="2043" spans="1:13" s="3" customFormat="1" hidden="1" outlineLevel="1" x14ac:dyDescent="0.25">
      <c r="B2043" s="28" t="s">
        <v>405</v>
      </c>
      <c r="C2043" s="29"/>
      <c r="D2043" s="29"/>
      <c r="E2043" s="29"/>
      <c r="F2043" s="29"/>
      <c r="G2043" s="375" t="s">
        <v>2397</v>
      </c>
    </row>
    <row r="2044" spans="1:13" s="3" customFormat="1" ht="16.2" hidden="1" outlineLevel="1" thickBot="1" x14ac:dyDescent="0.3">
      <c r="B2044" s="163"/>
      <c r="C2044" s="164"/>
      <c r="D2044" s="164"/>
      <c r="E2044" s="164"/>
      <c r="F2044" s="164"/>
      <c r="G2044" s="165"/>
    </row>
    <row r="2045" spans="1:13" s="3" customFormat="1" ht="17.399999999999999" hidden="1" customHeight="1" outlineLevel="1" x14ac:dyDescent="0.25"/>
    <row r="2046" spans="1:13" ht="16.2" hidden="1" outlineLevel="1" thickBot="1" x14ac:dyDescent="0.3"/>
    <row r="2047" spans="1:13" s="3" customFormat="1" ht="18" customHeight="1" collapsed="1" thickBot="1" x14ac:dyDescent="0.3">
      <c r="A2047" s="5"/>
      <c r="B2047" s="15" t="s">
        <v>1279</v>
      </c>
      <c r="C2047" s="16" t="s">
        <v>1440</v>
      </c>
      <c r="D2047" s="17" t="s">
        <v>1281</v>
      </c>
      <c r="E2047" s="29" t="s">
        <v>406</v>
      </c>
      <c r="F2047" s="17" t="s">
        <v>1282</v>
      </c>
      <c r="G2047" s="18" t="s">
        <v>1441</v>
      </c>
    </row>
    <row r="2048" spans="1:13" s="3" customFormat="1" ht="17.399999999999999" hidden="1" customHeight="1" outlineLevel="1" x14ac:dyDescent="0.25">
      <c r="A2048" s="5"/>
      <c r="B2048" s="19" t="s">
        <v>1284</v>
      </c>
      <c r="C2048" s="20" t="s">
        <v>1285</v>
      </c>
      <c r="D2048" s="21" t="s">
        <v>1286</v>
      </c>
      <c r="E2048" s="20" t="s">
        <v>1442</v>
      </c>
      <c r="F2048" s="21" t="s">
        <v>1288</v>
      </c>
      <c r="G2048" s="22"/>
    </row>
    <row r="2049" spans="1:14" s="3" customFormat="1" ht="17.399999999999999" hidden="1" customHeight="1" outlineLevel="1" thickBot="1" x14ac:dyDescent="0.3">
      <c r="A2049" s="5"/>
      <c r="B2049" s="19" t="s">
        <v>1290</v>
      </c>
      <c r="C2049" s="23" t="s">
        <v>1291</v>
      </c>
      <c r="D2049" s="21" t="s">
        <v>1292</v>
      </c>
      <c r="E2049" s="23">
        <v>5</v>
      </c>
      <c r="F2049" s="21" t="s">
        <v>1293</v>
      </c>
      <c r="G2049" s="24" t="s">
        <v>1294</v>
      </c>
    </row>
    <row r="2050" spans="1:14" s="3" customFormat="1" ht="17.399999999999999" hidden="1" customHeight="1" outlineLevel="1" x14ac:dyDescent="0.25">
      <c r="A2050" s="5"/>
      <c r="B2050" s="401" t="s">
        <v>1</v>
      </c>
      <c r="C2050" s="402"/>
      <c r="D2050" s="402"/>
      <c r="E2050" s="402"/>
      <c r="F2050" s="402"/>
      <c r="G2050" s="403"/>
    </row>
    <row r="2051" spans="1:14" s="3" customFormat="1" ht="17.399999999999999" hidden="1" customHeight="1" outlineLevel="1" x14ac:dyDescent="0.25">
      <c r="A2051" s="5"/>
      <c r="B2051" s="25" t="s">
        <v>2</v>
      </c>
      <c r="C2051" s="26" t="s">
        <v>3</v>
      </c>
      <c r="D2051" s="26" t="s">
        <v>4</v>
      </c>
      <c r="E2051" s="26" t="s">
        <v>5</v>
      </c>
      <c r="F2051" s="26"/>
      <c r="G2051" s="27" t="s">
        <v>6</v>
      </c>
    </row>
    <row r="2052" spans="1:14" s="3" customFormat="1" hidden="1" outlineLevel="1" x14ac:dyDescent="0.25">
      <c r="A2052" s="5"/>
      <c r="B2052" s="31" t="s">
        <v>162</v>
      </c>
      <c r="C2052" s="20" t="s">
        <v>1589</v>
      </c>
      <c r="D2052" s="20" t="s">
        <v>1469</v>
      </c>
      <c r="E2052" s="20">
        <v>0</v>
      </c>
      <c r="F2052" s="20"/>
      <c r="G2052" s="22" t="s">
        <v>1590</v>
      </c>
    </row>
    <row r="2053" spans="1:14" s="3" customFormat="1" hidden="1" outlineLevel="1" x14ac:dyDescent="0.25">
      <c r="A2053" s="5"/>
      <c r="B2053" s="31" t="s">
        <v>163</v>
      </c>
      <c r="C2053" s="20" t="s">
        <v>1591</v>
      </c>
      <c r="D2053" s="20" t="s">
        <v>1469</v>
      </c>
      <c r="E2053" s="20">
        <v>0</v>
      </c>
      <c r="F2053" s="20"/>
      <c r="G2053" s="22" t="s">
        <v>1590</v>
      </c>
    </row>
    <row r="2054" spans="1:14" s="3" customFormat="1" hidden="1" outlineLevel="1" x14ac:dyDescent="0.25">
      <c r="B2054" s="28" t="s">
        <v>128</v>
      </c>
      <c r="C2054" s="29" t="s">
        <v>1566</v>
      </c>
      <c r="D2054" s="29" t="s">
        <v>1567</v>
      </c>
      <c r="E2054" s="29">
        <v>0</v>
      </c>
      <c r="F2054" s="29" t="s">
        <v>1470</v>
      </c>
      <c r="G2054" s="30"/>
      <c r="J2054" s="3" t="s">
        <v>12</v>
      </c>
      <c r="N2054" s="3">
        <v>1629</v>
      </c>
    </row>
    <row r="2055" spans="1:14" s="3" customFormat="1" hidden="1" outlineLevel="1" x14ac:dyDescent="0.25">
      <c r="B2055" s="28" t="s">
        <v>114</v>
      </c>
      <c r="C2055" s="29" t="s">
        <v>1557</v>
      </c>
      <c r="D2055" s="29" t="s">
        <v>1469</v>
      </c>
      <c r="E2055" s="29">
        <v>-1</v>
      </c>
      <c r="F2055" s="29" t="s">
        <v>1470</v>
      </c>
      <c r="G2055" s="30"/>
      <c r="J2055" s="3" t="s">
        <v>10</v>
      </c>
      <c r="N2055" s="3">
        <v>2449</v>
      </c>
    </row>
    <row r="2056" spans="1:14" s="3" customFormat="1" hidden="1" outlineLevel="1" x14ac:dyDescent="0.25">
      <c r="B2056" s="28" t="s">
        <v>7</v>
      </c>
      <c r="C2056" s="29" t="s">
        <v>1468</v>
      </c>
      <c r="D2056" s="29" t="s">
        <v>1469</v>
      </c>
      <c r="E2056" s="29">
        <v>0</v>
      </c>
      <c r="F2056" s="29" t="s">
        <v>1470</v>
      </c>
      <c r="G2056" s="30" t="s">
        <v>1471</v>
      </c>
      <c r="J2056" s="3" t="s">
        <v>10</v>
      </c>
      <c r="N2056" s="3">
        <v>1112</v>
      </c>
    </row>
    <row r="2057" spans="1:14" hidden="1" outlineLevel="1" x14ac:dyDescent="0.25">
      <c r="B2057" s="28" t="s">
        <v>87</v>
      </c>
      <c r="C2057" s="29" t="s">
        <v>1535</v>
      </c>
      <c r="D2057" s="265" t="s">
        <v>1469</v>
      </c>
      <c r="E2057" s="265">
        <v>0</v>
      </c>
      <c r="F2057" s="265" t="s">
        <v>1476</v>
      </c>
      <c r="G2057" s="266"/>
    </row>
    <row r="2058" spans="1:14" s="3" customFormat="1" ht="16.2" hidden="1" outlineLevel="1" thickBot="1" x14ac:dyDescent="0.3">
      <c r="B2058" s="28"/>
      <c r="C2058" s="29"/>
      <c r="D2058" s="29"/>
      <c r="E2058" s="29"/>
      <c r="F2058" s="29"/>
      <c r="G2058" s="30"/>
    </row>
    <row r="2059" spans="1:14" s="3" customFormat="1" ht="17.399999999999999" hidden="1" customHeight="1" outlineLevel="1" x14ac:dyDescent="0.25">
      <c r="A2059" s="5"/>
      <c r="B2059" s="401" t="s">
        <v>18</v>
      </c>
      <c r="C2059" s="402"/>
      <c r="D2059" s="402"/>
      <c r="E2059" s="402"/>
      <c r="F2059" s="402"/>
      <c r="G2059" s="403"/>
    </row>
    <row r="2060" spans="1:14" s="3" customFormat="1" ht="17.399999999999999" hidden="1" customHeight="1" outlineLevel="1" x14ac:dyDescent="0.25">
      <c r="A2060" s="5"/>
      <c r="B2060" s="25" t="s">
        <v>2</v>
      </c>
      <c r="C2060" s="26" t="s">
        <v>3</v>
      </c>
      <c r="D2060" s="26" t="s">
        <v>4</v>
      </c>
      <c r="E2060" s="26" t="s">
        <v>5</v>
      </c>
      <c r="F2060" s="26"/>
      <c r="G2060" s="27" t="s">
        <v>6</v>
      </c>
    </row>
    <row r="2061" spans="1:14" s="3" customFormat="1" ht="17.399999999999999" hidden="1" customHeight="1" outlineLevel="1" x14ac:dyDescent="0.25">
      <c r="A2061" s="5"/>
      <c r="B2061" s="270" t="s">
        <v>73</v>
      </c>
      <c r="C2061" s="271" t="s">
        <v>1528</v>
      </c>
      <c r="D2061" s="271" t="s">
        <v>1469</v>
      </c>
      <c r="E2061" s="271" t="s">
        <v>1480</v>
      </c>
      <c r="F2061" s="271" t="s">
        <v>1481</v>
      </c>
      <c r="G2061" s="272"/>
    </row>
    <row r="2062" spans="1:14" hidden="1" outlineLevel="1" x14ac:dyDescent="0.25">
      <c r="B2062" s="256" t="s">
        <v>74</v>
      </c>
      <c r="C2062" s="257" t="s">
        <v>1529</v>
      </c>
      <c r="D2062" s="257" t="s">
        <v>1469</v>
      </c>
      <c r="E2062" s="257" t="s">
        <v>1480</v>
      </c>
      <c r="F2062" s="257" t="s">
        <v>1481</v>
      </c>
      <c r="G2062" s="258"/>
    </row>
    <row r="2063" spans="1:14" hidden="1" outlineLevel="1" x14ac:dyDescent="0.25">
      <c r="B2063" s="256" t="s">
        <v>112</v>
      </c>
      <c r="C2063" s="259" t="s">
        <v>1555</v>
      </c>
      <c r="D2063" s="257" t="s">
        <v>1469</v>
      </c>
      <c r="E2063" s="257">
        <v>0</v>
      </c>
      <c r="F2063" s="257" t="s">
        <v>1470</v>
      </c>
      <c r="G2063" s="258" t="s">
        <v>1556</v>
      </c>
    </row>
    <row r="2064" spans="1:14" hidden="1" outlineLevel="1" x14ac:dyDescent="0.25">
      <c r="B2064" s="256" t="s">
        <v>7</v>
      </c>
      <c r="C2064" s="259" t="s">
        <v>1468</v>
      </c>
      <c r="D2064" s="257" t="s">
        <v>1469</v>
      </c>
      <c r="E2064" s="257">
        <v>0</v>
      </c>
      <c r="F2064" s="257" t="s">
        <v>1470</v>
      </c>
      <c r="G2064" s="258" t="s">
        <v>1471</v>
      </c>
    </row>
    <row r="2065" spans="2:7" hidden="1" outlineLevel="1" x14ac:dyDescent="0.25">
      <c r="B2065" s="28" t="s">
        <v>407</v>
      </c>
      <c r="C2065" s="29" t="s">
        <v>1803</v>
      </c>
      <c r="D2065" s="257" t="s">
        <v>1489</v>
      </c>
      <c r="E2065" s="257">
        <v>0</v>
      </c>
      <c r="F2065" s="257"/>
      <c r="G2065" s="258"/>
    </row>
    <row r="2066" spans="2:7" hidden="1" outlineLevel="1" x14ac:dyDescent="0.25">
      <c r="B2066" s="28" t="s">
        <v>408</v>
      </c>
      <c r="C2066" s="29" t="s">
        <v>1804</v>
      </c>
      <c r="D2066" s="257" t="s">
        <v>1489</v>
      </c>
      <c r="E2066" s="257">
        <v>0</v>
      </c>
      <c r="F2066" s="257" t="s">
        <v>1470</v>
      </c>
      <c r="G2066" s="258"/>
    </row>
    <row r="2067" spans="2:7" hidden="1" outlineLevel="1" x14ac:dyDescent="0.25">
      <c r="B2067" s="28" t="s">
        <v>409</v>
      </c>
      <c r="C2067" s="29" t="s">
        <v>1805</v>
      </c>
      <c r="D2067" s="257" t="s">
        <v>1489</v>
      </c>
      <c r="E2067" s="257">
        <v>0</v>
      </c>
      <c r="F2067" s="257"/>
      <c r="G2067" s="258"/>
    </row>
    <row r="2068" spans="2:7" hidden="1" outlineLevel="1" x14ac:dyDescent="0.25">
      <c r="B2068" s="28" t="s">
        <v>410</v>
      </c>
      <c r="C2068" s="29" t="s">
        <v>1806</v>
      </c>
      <c r="D2068" s="257" t="s">
        <v>1489</v>
      </c>
      <c r="E2068" s="257">
        <v>0</v>
      </c>
      <c r="F2068" s="257" t="s">
        <v>1470</v>
      </c>
      <c r="G2068" s="258"/>
    </row>
    <row r="2069" spans="2:7" hidden="1" outlineLevel="1" x14ac:dyDescent="0.25">
      <c r="B2069" s="28" t="s">
        <v>411</v>
      </c>
      <c r="C2069" s="29" t="s">
        <v>1807</v>
      </c>
      <c r="D2069" s="257" t="s">
        <v>1489</v>
      </c>
      <c r="E2069" s="257">
        <v>0</v>
      </c>
      <c r="F2069" s="257"/>
      <c r="G2069" s="258"/>
    </row>
    <row r="2070" spans="2:7" hidden="1" outlineLevel="1" x14ac:dyDescent="0.25">
      <c r="B2070" s="28" t="s">
        <v>412</v>
      </c>
      <c r="C2070" s="29" t="s">
        <v>1808</v>
      </c>
      <c r="D2070" s="257" t="s">
        <v>1489</v>
      </c>
      <c r="E2070" s="257">
        <v>0</v>
      </c>
      <c r="F2070" s="257" t="s">
        <v>1470</v>
      </c>
      <c r="G2070" s="258"/>
    </row>
    <row r="2071" spans="2:7" hidden="1" outlineLevel="1" x14ac:dyDescent="0.25">
      <c r="B2071" s="28" t="s">
        <v>413</v>
      </c>
      <c r="C2071" s="29" t="s">
        <v>1809</v>
      </c>
      <c r="D2071" s="257" t="s">
        <v>1489</v>
      </c>
      <c r="E2071" s="257">
        <v>0</v>
      </c>
      <c r="F2071" s="257"/>
      <c r="G2071" s="258"/>
    </row>
    <row r="2072" spans="2:7" hidden="1" outlineLevel="1" x14ac:dyDescent="0.25">
      <c r="B2072" s="28" t="s">
        <v>414</v>
      </c>
      <c r="C2072" s="29" t="s">
        <v>1810</v>
      </c>
      <c r="D2072" s="257" t="s">
        <v>1489</v>
      </c>
      <c r="E2072" s="257">
        <v>0</v>
      </c>
      <c r="F2072" s="257" t="s">
        <v>1470</v>
      </c>
      <c r="G2072" s="258"/>
    </row>
    <row r="2073" spans="2:7" hidden="1" outlineLevel="1" x14ac:dyDescent="0.25">
      <c r="B2073" s="28" t="s">
        <v>415</v>
      </c>
      <c r="C2073" s="29" t="s">
        <v>1811</v>
      </c>
      <c r="D2073" s="257" t="s">
        <v>1489</v>
      </c>
      <c r="E2073" s="257">
        <v>0</v>
      </c>
      <c r="F2073" s="257"/>
      <c r="G2073" s="258"/>
    </row>
    <row r="2074" spans="2:7" hidden="1" outlineLevel="1" x14ac:dyDescent="0.25">
      <c r="B2074" s="28" t="s">
        <v>416</v>
      </c>
      <c r="C2074" s="29" t="s">
        <v>1812</v>
      </c>
      <c r="D2074" s="257" t="s">
        <v>1489</v>
      </c>
      <c r="E2074" s="257">
        <v>0</v>
      </c>
      <c r="F2074" s="257" t="s">
        <v>1470</v>
      </c>
      <c r="G2074" s="258"/>
    </row>
    <row r="2075" spans="2:7" hidden="1" outlineLevel="1" x14ac:dyDescent="0.25">
      <c r="B2075" s="28" t="s">
        <v>417</v>
      </c>
      <c r="C2075" s="29" t="s">
        <v>1813</v>
      </c>
      <c r="D2075" s="257" t="s">
        <v>1489</v>
      </c>
      <c r="E2075" s="257">
        <v>0</v>
      </c>
      <c r="F2075" s="257"/>
      <c r="G2075" s="258"/>
    </row>
    <row r="2076" spans="2:7" hidden="1" outlineLevel="1" x14ac:dyDescent="0.25">
      <c r="B2076" s="28" t="s">
        <v>418</v>
      </c>
      <c r="C2076" s="29" t="s">
        <v>1814</v>
      </c>
      <c r="D2076" s="257" t="s">
        <v>1489</v>
      </c>
      <c r="E2076" s="257">
        <v>0</v>
      </c>
      <c r="F2076" s="257" t="s">
        <v>1470</v>
      </c>
      <c r="G2076" s="258"/>
    </row>
    <row r="2077" spans="2:7" hidden="1" outlineLevel="1" x14ac:dyDescent="0.25">
      <c r="B2077" s="28" t="s">
        <v>419</v>
      </c>
      <c r="C2077" s="29" t="s">
        <v>1815</v>
      </c>
      <c r="D2077" s="257" t="s">
        <v>1489</v>
      </c>
      <c r="E2077" s="257">
        <v>0</v>
      </c>
      <c r="F2077" s="257"/>
      <c r="G2077" s="258"/>
    </row>
    <row r="2078" spans="2:7" hidden="1" outlineLevel="1" x14ac:dyDescent="0.25">
      <c r="B2078" s="28" t="s">
        <v>420</v>
      </c>
      <c r="C2078" s="29" t="s">
        <v>1816</v>
      </c>
      <c r="D2078" s="257" t="s">
        <v>1489</v>
      </c>
      <c r="E2078" s="257">
        <v>0</v>
      </c>
      <c r="F2078" s="257" t="s">
        <v>1470</v>
      </c>
      <c r="G2078" s="258"/>
    </row>
    <row r="2079" spans="2:7" hidden="1" outlineLevel="1" x14ac:dyDescent="0.25">
      <c r="B2079" s="28" t="s">
        <v>421</v>
      </c>
      <c r="C2079" s="29" t="s">
        <v>1817</v>
      </c>
      <c r="D2079" s="257" t="s">
        <v>1489</v>
      </c>
      <c r="E2079" s="257">
        <v>0</v>
      </c>
      <c r="F2079" s="257"/>
      <c r="G2079" s="258"/>
    </row>
    <row r="2080" spans="2:7" hidden="1" outlineLevel="1" x14ac:dyDescent="0.25">
      <c r="B2080" s="28" t="s">
        <v>422</v>
      </c>
      <c r="C2080" s="29" t="s">
        <v>1818</v>
      </c>
      <c r="D2080" s="257" t="s">
        <v>1489</v>
      </c>
      <c r="E2080" s="257">
        <v>0</v>
      </c>
      <c r="F2080" s="257" t="s">
        <v>1470</v>
      </c>
      <c r="G2080" s="258"/>
    </row>
    <row r="2081" spans="1:8" hidden="1" outlineLevel="1" x14ac:dyDescent="0.25">
      <c r="B2081" s="28" t="s">
        <v>423</v>
      </c>
      <c r="C2081" s="29" t="s">
        <v>1819</v>
      </c>
      <c r="D2081" s="257" t="s">
        <v>1489</v>
      </c>
      <c r="E2081" s="257">
        <v>0</v>
      </c>
      <c r="F2081" s="257"/>
      <c r="G2081" s="258"/>
    </row>
    <row r="2082" spans="1:8" hidden="1" outlineLevel="1" x14ac:dyDescent="0.25">
      <c r="B2082" s="28" t="s">
        <v>424</v>
      </c>
      <c r="C2082" s="29" t="s">
        <v>1820</v>
      </c>
      <c r="D2082" s="257" t="s">
        <v>1489</v>
      </c>
      <c r="E2082" s="257">
        <v>0</v>
      </c>
      <c r="F2082" s="257" t="s">
        <v>1470</v>
      </c>
      <c r="G2082" s="258"/>
    </row>
    <row r="2083" spans="1:8" hidden="1" outlineLevel="1" x14ac:dyDescent="0.25">
      <c r="B2083" s="28" t="s">
        <v>425</v>
      </c>
      <c r="C2083" s="29" t="s">
        <v>1821</v>
      </c>
      <c r="D2083" s="257" t="s">
        <v>1469</v>
      </c>
      <c r="E2083" s="257">
        <v>0</v>
      </c>
      <c r="F2083" s="257"/>
      <c r="G2083" s="258"/>
    </row>
    <row r="2084" spans="1:8" hidden="1" outlineLevel="1" x14ac:dyDescent="0.25">
      <c r="B2084" s="28" t="s">
        <v>426</v>
      </c>
      <c r="C2084" s="29" t="s">
        <v>1822</v>
      </c>
      <c r="D2084" s="257" t="s">
        <v>1469</v>
      </c>
      <c r="E2084" s="257">
        <v>0</v>
      </c>
      <c r="F2084" s="257"/>
      <c r="G2084" s="258"/>
    </row>
    <row r="2085" spans="1:8" hidden="1" outlineLevel="1" x14ac:dyDescent="0.25">
      <c r="B2085" s="28" t="s">
        <v>427</v>
      </c>
      <c r="C2085" s="29" t="s">
        <v>1823</v>
      </c>
      <c r="D2085" s="265" t="s">
        <v>1469</v>
      </c>
      <c r="E2085" s="265">
        <v>0</v>
      </c>
      <c r="F2085" s="265"/>
      <c r="G2085" s="266"/>
    </row>
    <row r="2086" spans="1:8" s="3" customFormat="1" hidden="1" outlineLevel="1" x14ac:dyDescent="0.25">
      <c r="B2086" s="28" t="s">
        <v>428</v>
      </c>
      <c r="C2086" s="29" t="s">
        <v>1824</v>
      </c>
      <c r="D2086" s="29" t="s">
        <v>1469</v>
      </c>
      <c r="E2086" s="29">
        <v>0</v>
      </c>
      <c r="F2086" s="29"/>
      <c r="G2086" s="30"/>
      <c r="H2086" s="273"/>
    </row>
    <row r="2087" spans="1:8" s="3" customFormat="1" hidden="1" outlineLevel="1" x14ac:dyDescent="0.25">
      <c r="B2087" s="28" t="s">
        <v>429</v>
      </c>
      <c r="C2087" s="29" t="s">
        <v>1825</v>
      </c>
      <c r="D2087" s="29" t="s">
        <v>1469</v>
      </c>
      <c r="E2087" s="29">
        <v>0</v>
      </c>
      <c r="F2087" s="29"/>
      <c r="G2087" s="30"/>
      <c r="H2087" s="273"/>
    </row>
    <row r="2088" spans="1:8" s="3" customFormat="1" hidden="1" outlineLevel="1" x14ac:dyDescent="0.25">
      <c r="B2088" s="28" t="s">
        <v>430</v>
      </c>
      <c r="C2088" s="29" t="s">
        <v>1826</v>
      </c>
      <c r="D2088" s="29" t="s">
        <v>1469</v>
      </c>
      <c r="E2088" s="29">
        <v>0</v>
      </c>
      <c r="F2088" s="29"/>
      <c r="G2088" s="30"/>
      <c r="H2088" s="273"/>
    </row>
    <row r="2089" spans="1:8" s="3" customFormat="1" hidden="1" outlineLevel="1" x14ac:dyDescent="0.25">
      <c r="B2089" s="28" t="s">
        <v>431</v>
      </c>
      <c r="C2089" s="29" t="s">
        <v>1827</v>
      </c>
      <c r="D2089" s="29" t="s">
        <v>1469</v>
      </c>
      <c r="E2089" s="29">
        <v>0</v>
      </c>
      <c r="F2089" s="29"/>
      <c r="G2089" s="30"/>
      <c r="H2089" s="273"/>
    </row>
    <row r="2090" spans="1:8" s="3" customFormat="1" hidden="1" outlineLevel="1" x14ac:dyDescent="0.25">
      <c r="B2090" s="28" t="s">
        <v>432</v>
      </c>
      <c r="C2090" s="29" t="s">
        <v>1828</v>
      </c>
      <c r="D2090" s="29" t="s">
        <v>1469</v>
      </c>
      <c r="E2090" s="29">
        <v>0</v>
      </c>
      <c r="F2090" s="29"/>
      <c r="G2090" s="30"/>
      <c r="H2090" s="273"/>
    </row>
    <row r="2091" spans="1:8" s="3" customFormat="1" hidden="1" outlineLevel="1" x14ac:dyDescent="0.25">
      <c r="B2091" s="28" t="s">
        <v>433</v>
      </c>
      <c r="C2091" s="29" t="s">
        <v>1829</v>
      </c>
      <c r="D2091" s="29" t="s">
        <v>1469</v>
      </c>
      <c r="E2091" s="29">
        <v>0</v>
      </c>
      <c r="F2091" s="29"/>
      <c r="G2091" s="30"/>
      <c r="H2091" s="273"/>
    </row>
    <row r="2092" spans="1:8" s="3" customFormat="1" hidden="1" outlineLevel="1" x14ac:dyDescent="0.25">
      <c r="B2092" s="28"/>
      <c r="C2092" s="29"/>
      <c r="D2092" s="29"/>
      <c r="E2092" s="29"/>
      <c r="F2092" s="29"/>
      <c r="G2092" s="30"/>
      <c r="H2092" s="273"/>
    </row>
    <row r="2093" spans="1:8" s="3" customFormat="1" ht="16.2" hidden="1" outlineLevel="1" thickBot="1" x14ac:dyDescent="0.3">
      <c r="B2093" s="267"/>
      <c r="C2093" s="268"/>
      <c r="D2093" s="268"/>
      <c r="E2093" s="268"/>
      <c r="F2093" s="268"/>
      <c r="G2093" s="269"/>
    </row>
    <row r="2094" spans="1:8" s="3" customFormat="1" ht="17.399999999999999" hidden="1" customHeight="1" outlineLevel="1" x14ac:dyDescent="0.25">
      <c r="A2094" s="5"/>
      <c r="B2094" s="401" t="s">
        <v>29</v>
      </c>
      <c r="C2094" s="402"/>
      <c r="D2094" s="402"/>
      <c r="E2094" s="402"/>
      <c r="F2094" s="402"/>
      <c r="G2094" s="403"/>
    </row>
    <row r="2095" spans="1:8" s="3" customFormat="1" hidden="1" outlineLevel="1" x14ac:dyDescent="0.25">
      <c r="B2095" s="28"/>
      <c r="C2095" s="29"/>
      <c r="D2095" s="29"/>
      <c r="E2095" s="29"/>
      <c r="F2095" s="29"/>
      <c r="G2095" s="30"/>
    </row>
    <row r="2096" spans="1:8" s="3" customFormat="1" hidden="1" outlineLevel="1" x14ac:dyDescent="0.25">
      <c r="B2096" s="28"/>
      <c r="C2096" s="29"/>
      <c r="D2096" s="29"/>
      <c r="E2096" s="29"/>
      <c r="F2096" s="29"/>
      <c r="G2096" s="30"/>
    </row>
    <row r="2097" spans="1:15" s="3" customFormat="1" hidden="1" outlineLevel="1" x14ac:dyDescent="0.25">
      <c r="B2097" s="28"/>
      <c r="C2097" s="29"/>
      <c r="D2097" s="29"/>
      <c r="E2097" s="29"/>
      <c r="F2097" s="29"/>
      <c r="G2097" s="30"/>
    </row>
    <row r="2098" spans="1:15" s="4" customFormat="1" ht="17.399999999999999" hidden="1" customHeight="1" outlineLevel="1" x14ac:dyDescent="0.35">
      <c r="A2098" s="5"/>
      <c r="B2098" s="67" t="s">
        <v>30</v>
      </c>
      <c r="C2098" s="65"/>
      <c r="D2098" s="65"/>
      <c r="E2098" s="65"/>
      <c r="F2098" s="65"/>
      <c r="G2098" s="371" t="s">
        <v>2357</v>
      </c>
      <c r="H2098" s="5"/>
      <c r="I2098" s="5"/>
      <c r="J2098" s="5"/>
      <c r="K2098" s="5"/>
      <c r="L2098" s="5"/>
      <c r="M2098" s="5"/>
    </row>
    <row r="2099" spans="1:15" s="3" customFormat="1" hidden="1" outlineLevel="1" x14ac:dyDescent="0.25">
      <c r="B2099" s="28"/>
      <c r="C2099" s="29"/>
      <c r="D2099" s="29"/>
      <c r="E2099" s="29"/>
      <c r="F2099" s="29"/>
      <c r="G2099" s="30"/>
    </row>
    <row r="2100" spans="1:15" s="3" customFormat="1" hidden="1" outlineLevel="1" x14ac:dyDescent="0.25">
      <c r="B2100" s="28"/>
      <c r="C2100" s="29"/>
      <c r="D2100" s="29"/>
      <c r="E2100" s="29"/>
      <c r="F2100" s="29"/>
      <c r="G2100" s="30"/>
    </row>
    <row r="2101" spans="1:15" s="3" customFormat="1" hidden="1" outlineLevel="1" x14ac:dyDescent="0.25">
      <c r="B2101" s="28"/>
      <c r="C2101" s="29"/>
      <c r="D2101" s="29"/>
      <c r="E2101" s="29"/>
      <c r="F2101" s="29"/>
      <c r="G2101" s="30"/>
    </row>
    <row r="2102" spans="1:15" s="3" customFormat="1" hidden="1" outlineLevel="1" x14ac:dyDescent="0.25">
      <c r="B2102" s="28" t="s">
        <v>434</v>
      </c>
      <c r="C2102" s="29"/>
      <c r="D2102" s="29"/>
      <c r="E2102" s="29"/>
      <c r="F2102" s="29"/>
      <c r="G2102" s="375" t="s">
        <v>2398</v>
      </c>
    </row>
    <row r="2103" spans="1:15" s="3" customFormat="1" ht="16.2" hidden="1" outlineLevel="1" thickBot="1" x14ac:dyDescent="0.3">
      <c r="B2103" s="163"/>
      <c r="C2103" s="164"/>
      <c r="D2103" s="164"/>
      <c r="E2103" s="164"/>
      <c r="F2103" s="164"/>
      <c r="G2103" s="165"/>
    </row>
    <row r="2104" spans="1:15" s="3" customFormat="1" ht="17.399999999999999" hidden="1" customHeight="1" outlineLevel="1" x14ac:dyDescent="0.25"/>
    <row r="2105" spans="1:15" ht="16.2" hidden="1" outlineLevel="1" thickBot="1" x14ac:dyDescent="0.3"/>
    <row r="2106" spans="1:15" s="3" customFormat="1" ht="16.2" collapsed="1" thickBot="1" x14ac:dyDescent="0.3">
      <c r="B2106" s="15" t="s">
        <v>1279</v>
      </c>
      <c r="C2106" s="16" t="s">
        <v>1428</v>
      </c>
      <c r="D2106" s="17" t="s">
        <v>1281</v>
      </c>
      <c r="E2106" s="16" t="s">
        <v>435</v>
      </c>
      <c r="F2106" s="17" t="s">
        <v>1282</v>
      </c>
      <c r="G2106" s="192" t="s">
        <v>1429</v>
      </c>
    </row>
    <row r="2107" spans="1:15" s="3" customFormat="1" hidden="1" outlineLevel="1" x14ac:dyDescent="0.25">
      <c r="B2107" s="179" t="s">
        <v>1284</v>
      </c>
      <c r="C2107" s="29" t="s">
        <v>1285</v>
      </c>
      <c r="D2107" s="180" t="s">
        <v>1286</v>
      </c>
      <c r="E2107" s="29" t="s">
        <v>1430</v>
      </c>
      <c r="F2107" s="180" t="s">
        <v>1288</v>
      </c>
      <c r="G2107" s="30"/>
    </row>
    <row r="2108" spans="1:15" s="3" customFormat="1" ht="16.2" hidden="1" outlineLevel="1" thickBot="1" x14ac:dyDescent="0.3">
      <c r="B2108" s="19" t="s">
        <v>1290</v>
      </c>
      <c r="C2108" s="23" t="s">
        <v>1291</v>
      </c>
      <c r="D2108" s="21" t="s">
        <v>1292</v>
      </c>
      <c r="E2108" s="23">
        <v>4</v>
      </c>
      <c r="F2108" s="21" t="s">
        <v>1293</v>
      </c>
      <c r="G2108" s="24" t="s">
        <v>1294</v>
      </c>
    </row>
    <row r="2109" spans="1:15" s="3" customFormat="1" hidden="1" outlineLevel="1" x14ac:dyDescent="0.25">
      <c r="B2109" s="395" t="s">
        <v>1</v>
      </c>
      <c r="C2109" s="396"/>
      <c r="D2109" s="396"/>
      <c r="E2109" s="396"/>
      <c r="F2109" s="396"/>
      <c r="G2109" s="397"/>
    </row>
    <row r="2110" spans="1:15" s="3" customFormat="1" hidden="1" outlineLevel="1" x14ac:dyDescent="0.25">
      <c r="B2110" s="179" t="s">
        <v>2</v>
      </c>
      <c r="C2110" s="180" t="s">
        <v>3</v>
      </c>
      <c r="D2110" s="180" t="s">
        <v>4</v>
      </c>
      <c r="E2110" s="180" t="s">
        <v>5</v>
      </c>
      <c r="F2110" s="180"/>
      <c r="G2110" s="181" t="s">
        <v>6</v>
      </c>
    </row>
    <row r="2111" spans="1:15" s="3" customFormat="1" hidden="1" outlineLevel="1" x14ac:dyDescent="0.25">
      <c r="B2111" s="28" t="s">
        <v>185</v>
      </c>
      <c r="C2111" s="29" t="s">
        <v>1604</v>
      </c>
      <c r="D2111" s="29" t="s">
        <v>1469</v>
      </c>
      <c r="E2111" s="29">
        <v>0</v>
      </c>
      <c r="F2111" s="29" t="s">
        <v>1470</v>
      </c>
      <c r="G2111" s="30"/>
      <c r="J2111" s="3" t="s">
        <v>10</v>
      </c>
      <c r="K2111" s="3" t="s">
        <v>173</v>
      </c>
      <c r="L2111" s="3" t="s">
        <v>436</v>
      </c>
      <c r="M2111" s="3" t="s">
        <v>9</v>
      </c>
      <c r="N2111" s="3">
        <v>2788</v>
      </c>
      <c r="O2111" s="3">
        <v>32</v>
      </c>
    </row>
    <row r="2112" spans="1:15" s="3" customFormat="1" hidden="1" outlineLevel="1" x14ac:dyDescent="0.25">
      <c r="B2112" s="28" t="s">
        <v>437</v>
      </c>
      <c r="C2112" s="29" t="s">
        <v>1830</v>
      </c>
      <c r="D2112" s="29" t="s">
        <v>1616</v>
      </c>
      <c r="E2112" s="29" t="s">
        <v>1594</v>
      </c>
      <c r="F2112" s="29" t="s">
        <v>1476</v>
      </c>
      <c r="G2112" s="30"/>
      <c r="J2112" s="3" t="s">
        <v>187</v>
      </c>
      <c r="K2112" s="3" t="s">
        <v>438</v>
      </c>
      <c r="L2112" s="3" t="s">
        <v>439</v>
      </c>
      <c r="M2112" s="3" t="s">
        <v>187</v>
      </c>
      <c r="N2112" s="3">
        <v>1443</v>
      </c>
      <c r="O2112" s="3">
        <v>2</v>
      </c>
    </row>
    <row r="2113" spans="2:15" s="3" customFormat="1" hidden="1" outlineLevel="1" x14ac:dyDescent="0.25">
      <c r="B2113" s="28" t="s">
        <v>112</v>
      </c>
      <c r="C2113" s="29" t="s">
        <v>1555</v>
      </c>
      <c r="D2113" s="29" t="s">
        <v>1469</v>
      </c>
      <c r="E2113" s="29">
        <v>0</v>
      </c>
      <c r="F2113" s="29" t="s">
        <v>1470</v>
      </c>
      <c r="G2113" s="30" t="s">
        <v>1556</v>
      </c>
      <c r="J2113" s="3" t="s">
        <v>10</v>
      </c>
      <c r="K2113" s="3" t="s">
        <v>173</v>
      </c>
      <c r="L2113" s="3" t="s">
        <v>436</v>
      </c>
      <c r="M2113" s="3" t="s">
        <v>9</v>
      </c>
      <c r="N2113" s="3">
        <v>1827</v>
      </c>
      <c r="O2113" s="3">
        <v>32</v>
      </c>
    </row>
    <row r="2114" spans="2:15" s="3" customFormat="1" hidden="1" outlineLevel="1" x14ac:dyDescent="0.25">
      <c r="B2114" s="28" t="s">
        <v>7</v>
      </c>
      <c r="C2114" s="29" t="s">
        <v>1468</v>
      </c>
      <c r="D2114" s="29" t="s">
        <v>1469</v>
      </c>
      <c r="E2114" s="29">
        <v>0</v>
      </c>
      <c r="F2114" s="29" t="s">
        <v>1470</v>
      </c>
      <c r="G2114" s="30" t="s">
        <v>1471</v>
      </c>
      <c r="J2114" s="3" t="s">
        <v>10</v>
      </c>
      <c r="K2114" s="3" t="s">
        <v>173</v>
      </c>
      <c r="L2114" s="3" t="s">
        <v>436</v>
      </c>
      <c r="M2114" s="3" t="s">
        <v>9</v>
      </c>
      <c r="N2114" s="3">
        <v>1228</v>
      </c>
      <c r="O2114" s="3">
        <v>32</v>
      </c>
    </row>
    <row r="2115" spans="2:15" s="3" customFormat="1" hidden="1" outlineLevel="1" x14ac:dyDescent="0.25">
      <c r="B2115" s="28" t="s">
        <v>11</v>
      </c>
      <c r="C2115" s="29" t="s">
        <v>1472</v>
      </c>
      <c r="D2115" s="29" t="s">
        <v>1469</v>
      </c>
      <c r="E2115" s="29">
        <v>0</v>
      </c>
      <c r="F2115" s="29" t="s">
        <v>1470</v>
      </c>
      <c r="G2115" s="30" t="s">
        <v>1473</v>
      </c>
      <c r="J2115" s="3" t="s">
        <v>10</v>
      </c>
      <c r="K2115" s="3" t="s">
        <v>173</v>
      </c>
      <c r="L2115" s="3" t="s">
        <v>436</v>
      </c>
      <c r="M2115" s="3" t="s">
        <v>9</v>
      </c>
      <c r="N2115" s="3">
        <v>1961</v>
      </c>
      <c r="O2115" s="3">
        <v>32</v>
      </c>
    </row>
    <row r="2116" spans="2:15" s="3" customFormat="1" hidden="1" outlineLevel="1" x14ac:dyDescent="0.25">
      <c r="B2116" s="28" t="s">
        <v>188</v>
      </c>
      <c r="C2116" s="29" t="s">
        <v>1607</v>
      </c>
      <c r="D2116" s="29" t="s">
        <v>1606</v>
      </c>
      <c r="E2116" s="29" t="s">
        <v>1594</v>
      </c>
      <c r="F2116" s="29"/>
      <c r="G2116" s="30"/>
      <c r="J2116" s="3" t="s">
        <v>187</v>
      </c>
      <c r="K2116" s="3" t="s">
        <v>438</v>
      </c>
      <c r="L2116" s="3" t="s">
        <v>439</v>
      </c>
      <c r="M2116" s="3" t="s">
        <v>187</v>
      </c>
      <c r="N2116" s="3">
        <v>2538</v>
      </c>
      <c r="O2116" s="3">
        <v>2048</v>
      </c>
    </row>
    <row r="2117" spans="2:15" s="3" customFormat="1" hidden="1" outlineLevel="1" x14ac:dyDescent="0.25">
      <c r="B2117" s="28" t="s">
        <v>15</v>
      </c>
      <c r="C2117" s="29" t="s">
        <v>1478</v>
      </c>
      <c r="D2117" s="29" t="s">
        <v>1469</v>
      </c>
      <c r="E2117" s="29">
        <v>0</v>
      </c>
      <c r="F2117" s="29" t="s">
        <v>1470</v>
      </c>
      <c r="G2117" s="30"/>
      <c r="J2117" s="3" t="s">
        <v>10</v>
      </c>
      <c r="K2117" s="3" t="s">
        <v>173</v>
      </c>
      <c r="L2117" s="3" t="s">
        <v>436</v>
      </c>
      <c r="M2117" s="3" t="s">
        <v>9</v>
      </c>
      <c r="N2117" s="3">
        <v>2929</v>
      </c>
      <c r="O2117" s="3">
        <v>32</v>
      </c>
    </row>
    <row r="2118" spans="2:15" s="3" customFormat="1" hidden="1" outlineLevel="1" x14ac:dyDescent="0.25">
      <c r="B2118" s="28" t="s">
        <v>186</v>
      </c>
      <c r="C2118" s="29" t="s">
        <v>1605</v>
      </c>
      <c r="D2118" s="29" t="s">
        <v>1606</v>
      </c>
      <c r="E2118" s="29" t="s">
        <v>1594</v>
      </c>
      <c r="F2118" s="29"/>
      <c r="G2118" s="30"/>
      <c r="J2118" s="3" t="s">
        <v>187</v>
      </c>
      <c r="K2118" s="3" t="s">
        <v>438</v>
      </c>
      <c r="L2118" s="3" t="s">
        <v>439</v>
      </c>
      <c r="M2118" s="3" t="s">
        <v>187</v>
      </c>
      <c r="N2118" s="3">
        <v>2938</v>
      </c>
      <c r="O2118" s="3">
        <v>2048</v>
      </c>
    </row>
    <row r="2119" spans="2:15" s="3" customFormat="1" hidden="1" outlineLevel="1" x14ac:dyDescent="0.25">
      <c r="B2119" s="28" t="s">
        <v>191</v>
      </c>
      <c r="C2119" s="29" t="s">
        <v>1611</v>
      </c>
      <c r="D2119" s="29" t="s">
        <v>1567</v>
      </c>
      <c r="E2119" s="29">
        <v>0</v>
      </c>
      <c r="F2119" s="29" t="s">
        <v>1470</v>
      </c>
      <c r="G2119" s="30" t="s">
        <v>1612</v>
      </c>
      <c r="J2119" s="3" t="s">
        <v>12</v>
      </c>
      <c r="K2119" s="3" t="s">
        <v>174</v>
      </c>
      <c r="L2119" s="3" t="s">
        <v>314</v>
      </c>
      <c r="M2119" s="3" t="s">
        <v>176</v>
      </c>
      <c r="N2119" s="3">
        <v>3009</v>
      </c>
      <c r="O2119" s="3">
        <v>64</v>
      </c>
    </row>
    <row r="2120" spans="2:15" s="3" customFormat="1" hidden="1" outlineLevel="1" x14ac:dyDescent="0.25">
      <c r="B2120" s="28" t="s">
        <v>440</v>
      </c>
      <c r="C2120" s="29" t="s">
        <v>1831</v>
      </c>
      <c r="D2120" s="29" t="s">
        <v>1469</v>
      </c>
      <c r="E2120" s="29">
        <v>0</v>
      </c>
      <c r="F2120" s="29" t="s">
        <v>1470</v>
      </c>
      <c r="G2120" s="30"/>
      <c r="J2120" s="3" t="s">
        <v>10</v>
      </c>
      <c r="K2120" s="3" t="s">
        <v>173</v>
      </c>
      <c r="L2120" s="3" t="s">
        <v>436</v>
      </c>
      <c r="M2120" s="3" t="s">
        <v>9</v>
      </c>
      <c r="N2120" s="3">
        <v>2986</v>
      </c>
      <c r="O2120" s="3">
        <v>32</v>
      </c>
    </row>
    <row r="2121" spans="2:15" s="3" customFormat="1" hidden="1" outlineLevel="1" x14ac:dyDescent="0.25">
      <c r="B2121" s="28" t="s">
        <v>441</v>
      </c>
      <c r="C2121" s="29" t="s">
        <v>1832</v>
      </c>
      <c r="D2121" s="29" t="s">
        <v>1469</v>
      </c>
      <c r="E2121" s="29">
        <v>0</v>
      </c>
      <c r="F2121" s="29" t="s">
        <v>1470</v>
      </c>
      <c r="G2121" s="30" t="s">
        <v>1833</v>
      </c>
    </row>
    <row r="2122" spans="2:15" s="3" customFormat="1" hidden="1" outlineLevel="1" x14ac:dyDescent="0.25">
      <c r="B2122" s="28" t="s">
        <v>189</v>
      </c>
      <c r="C2122" s="29" t="s">
        <v>1608</v>
      </c>
      <c r="D2122" s="29" t="s">
        <v>1609</v>
      </c>
      <c r="E2122" s="29" t="s">
        <v>1594</v>
      </c>
      <c r="F2122" s="29"/>
      <c r="G2122" s="30"/>
      <c r="J2122" s="3" t="s">
        <v>187</v>
      </c>
      <c r="K2122" s="3" t="s">
        <v>438</v>
      </c>
      <c r="L2122" s="3" t="s">
        <v>439</v>
      </c>
      <c r="M2122" s="3" t="s">
        <v>187</v>
      </c>
      <c r="N2122" s="3">
        <v>1450</v>
      </c>
      <c r="O2122" s="3">
        <v>64</v>
      </c>
    </row>
    <row r="2123" spans="2:15" s="3" customFormat="1" hidden="1" outlineLevel="1" x14ac:dyDescent="0.25">
      <c r="B2123" s="185" t="s">
        <v>194</v>
      </c>
      <c r="C2123" s="29" t="s">
        <v>1618</v>
      </c>
      <c r="D2123" s="29" t="s">
        <v>1469</v>
      </c>
      <c r="E2123" s="29">
        <v>0</v>
      </c>
      <c r="F2123" s="29"/>
      <c r="G2123" s="30" t="s">
        <v>1619</v>
      </c>
      <c r="J2123" s="3" t="s">
        <v>10</v>
      </c>
      <c r="K2123" s="3" t="s">
        <v>173</v>
      </c>
      <c r="L2123" s="3" t="s">
        <v>436</v>
      </c>
      <c r="M2123" s="3" t="s">
        <v>9</v>
      </c>
      <c r="N2123" s="3">
        <v>3169</v>
      </c>
      <c r="O2123" s="3">
        <v>32</v>
      </c>
    </row>
    <row r="2124" spans="2:15" s="3" customFormat="1" hidden="1" outlineLevel="1" x14ac:dyDescent="0.25">
      <c r="B2124" s="185" t="s">
        <v>195</v>
      </c>
      <c r="C2124" s="29" t="s">
        <v>1620</v>
      </c>
      <c r="D2124" s="29" t="s">
        <v>1469</v>
      </c>
      <c r="E2124" s="29">
        <v>0</v>
      </c>
      <c r="F2124" s="29"/>
      <c r="G2124" s="30" t="s">
        <v>1621</v>
      </c>
      <c r="J2124" s="3" t="s">
        <v>10</v>
      </c>
      <c r="K2124" s="3" t="s">
        <v>173</v>
      </c>
      <c r="L2124" s="3" t="s">
        <v>436</v>
      </c>
      <c r="M2124" s="3" t="s">
        <v>9</v>
      </c>
      <c r="N2124" s="3">
        <v>3168</v>
      </c>
      <c r="O2124" s="3">
        <v>32</v>
      </c>
    </row>
    <row r="2125" spans="2:15" s="3" customFormat="1" hidden="1" outlineLevel="1" x14ac:dyDescent="0.25">
      <c r="B2125" s="28" t="s">
        <v>128</v>
      </c>
      <c r="C2125" s="29" t="s">
        <v>1566</v>
      </c>
      <c r="D2125" s="29" t="s">
        <v>1567</v>
      </c>
      <c r="E2125" s="29">
        <v>0</v>
      </c>
      <c r="F2125" s="29" t="s">
        <v>1470</v>
      </c>
      <c r="G2125" s="30"/>
      <c r="J2125" s="3" t="s">
        <v>12</v>
      </c>
      <c r="K2125" s="3" t="s">
        <v>174</v>
      </c>
      <c r="L2125" s="3" t="s">
        <v>314</v>
      </c>
      <c r="M2125" s="3" t="s">
        <v>176</v>
      </c>
      <c r="N2125" s="3">
        <v>1866</v>
      </c>
      <c r="O2125" s="3">
        <v>64</v>
      </c>
    </row>
    <row r="2126" spans="2:15" s="3" customFormat="1" hidden="1" outlineLevel="1" x14ac:dyDescent="0.25">
      <c r="B2126" s="28" t="s">
        <v>114</v>
      </c>
      <c r="C2126" s="29" t="s">
        <v>1557</v>
      </c>
      <c r="D2126" s="29" t="s">
        <v>1469</v>
      </c>
      <c r="E2126" s="29">
        <v>-1</v>
      </c>
      <c r="F2126" s="29" t="s">
        <v>1470</v>
      </c>
      <c r="G2126" s="30"/>
      <c r="J2126" s="3" t="s">
        <v>10</v>
      </c>
      <c r="K2126" s="3" t="s">
        <v>173</v>
      </c>
      <c r="L2126" s="3" t="s">
        <v>442</v>
      </c>
      <c r="M2126" s="3" t="s">
        <v>9</v>
      </c>
      <c r="N2126" s="3">
        <v>2958</v>
      </c>
      <c r="O2126" s="3">
        <v>32</v>
      </c>
    </row>
    <row r="2127" spans="2:15" s="3" customFormat="1" hidden="1" outlineLevel="1" x14ac:dyDescent="0.25">
      <c r="B2127" s="28" t="s">
        <v>192</v>
      </c>
      <c r="C2127" s="29" t="s">
        <v>1613</v>
      </c>
      <c r="D2127" s="29" t="s">
        <v>1469</v>
      </c>
      <c r="E2127" s="29">
        <v>1</v>
      </c>
      <c r="F2127" s="29" t="s">
        <v>1470</v>
      </c>
      <c r="G2127" s="30" t="s">
        <v>1614</v>
      </c>
      <c r="J2127" s="3" t="s">
        <v>10</v>
      </c>
      <c r="K2127" s="3" t="s">
        <v>173</v>
      </c>
      <c r="L2127" s="3" t="s">
        <v>436</v>
      </c>
      <c r="M2127" s="3" t="s">
        <v>9</v>
      </c>
      <c r="N2127" s="3">
        <v>2289</v>
      </c>
      <c r="O2127" s="3">
        <v>32</v>
      </c>
    </row>
    <row r="2128" spans="2:15" s="3" customFormat="1" hidden="1" outlineLevel="1" x14ac:dyDescent="0.25">
      <c r="B2128" s="185" t="s">
        <v>443</v>
      </c>
      <c r="C2128" s="23" t="s">
        <v>1834</v>
      </c>
      <c r="D2128" s="23" t="s">
        <v>1632</v>
      </c>
      <c r="E2128" s="23" t="s">
        <v>1594</v>
      </c>
      <c r="F2128" s="23"/>
      <c r="G2128" s="24"/>
    </row>
    <row r="2129" spans="1:15" s="3" customFormat="1" hidden="1" outlineLevel="1" x14ac:dyDescent="0.25">
      <c r="A2129" s="5"/>
      <c r="B2129" s="31" t="s">
        <v>162</v>
      </c>
      <c r="C2129" s="20" t="s">
        <v>1589</v>
      </c>
      <c r="D2129" s="20" t="s">
        <v>1469</v>
      </c>
      <c r="E2129" s="20">
        <v>0</v>
      </c>
      <c r="F2129" s="20"/>
      <c r="G2129" s="22" t="s">
        <v>1590</v>
      </c>
    </row>
    <row r="2130" spans="1:15" s="3" customFormat="1" hidden="1" outlineLevel="1" x14ac:dyDescent="0.25">
      <c r="A2130" s="5"/>
      <c r="B2130" s="31" t="s">
        <v>163</v>
      </c>
      <c r="C2130" s="20" t="s">
        <v>1591</v>
      </c>
      <c r="D2130" s="20" t="s">
        <v>1469</v>
      </c>
      <c r="E2130" s="20">
        <v>0</v>
      </c>
      <c r="F2130" s="20"/>
      <c r="G2130" s="22" t="s">
        <v>1590</v>
      </c>
    </row>
    <row r="2131" spans="1:15" s="3" customFormat="1" ht="16.2" hidden="1" outlineLevel="1" thickBot="1" x14ac:dyDescent="0.3">
      <c r="B2131" s="163"/>
      <c r="C2131" s="164"/>
      <c r="D2131" s="164"/>
      <c r="E2131" s="164"/>
      <c r="F2131" s="164"/>
      <c r="G2131" s="165"/>
    </row>
    <row r="2132" spans="1:15" s="3" customFormat="1" hidden="1" outlineLevel="1" x14ac:dyDescent="0.25">
      <c r="B2132" s="398" t="s">
        <v>18</v>
      </c>
      <c r="C2132" s="399"/>
      <c r="D2132" s="399"/>
      <c r="E2132" s="399"/>
      <c r="F2132" s="399"/>
      <c r="G2132" s="400"/>
    </row>
    <row r="2133" spans="1:15" s="3" customFormat="1" hidden="1" outlineLevel="1" x14ac:dyDescent="0.25">
      <c r="B2133" s="179" t="s">
        <v>2</v>
      </c>
      <c r="C2133" s="180" t="s">
        <v>3</v>
      </c>
      <c r="D2133" s="180" t="s">
        <v>4</v>
      </c>
      <c r="E2133" s="180" t="s">
        <v>5</v>
      </c>
      <c r="F2133" s="180"/>
      <c r="G2133" s="181" t="s">
        <v>6</v>
      </c>
    </row>
    <row r="2134" spans="1:15" s="3" customFormat="1" hidden="1" outlineLevel="1" x14ac:dyDescent="0.25">
      <c r="B2134" s="185" t="s">
        <v>128</v>
      </c>
      <c r="C2134" s="23" t="s">
        <v>1566</v>
      </c>
      <c r="D2134" s="23" t="s">
        <v>1567</v>
      </c>
      <c r="E2134" s="23">
        <v>0</v>
      </c>
      <c r="F2134" s="23" t="s">
        <v>1470</v>
      </c>
      <c r="G2134" s="24"/>
      <c r="J2134" s="3" t="s">
        <v>12</v>
      </c>
      <c r="K2134" s="3" t="s">
        <v>174</v>
      </c>
      <c r="L2134" s="3" t="s">
        <v>314</v>
      </c>
      <c r="M2134" s="3" t="s">
        <v>176</v>
      </c>
      <c r="N2134" s="3">
        <v>1866</v>
      </c>
      <c r="O2134" s="3">
        <v>64</v>
      </c>
    </row>
    <row r="2135" spans="1:15" s="3" customFormat="1" hidden="1" outlineLevel="1" x14ac:dyDescent="0.25">
      <c r="B2135" s="185" t="s">
        <v>25</v>
      </c>
      <c r="C2135" s="23" t="s">
        <v>1492</v>
      </c>
      <c r="D2135" s="23" t="s">
        <v>1469</v>
      </c>
      <c r="E2135" s="23">
        <v>0</v>
      </c>
      <c r="F2135" s="23" t="s">
        <v>1470</v>
      </c>
      <c r="G2135" s="24" t="s">
        <v>1484</v>
      </c>
    </row>
    <row r="2136" spans="1:15" s="3" customFormat="1" hidden="1" outlineLevel="1" x14ac:dyDescent="0.25">
      <c r="B2136" s="28" t="s">
        <v>16</v>
      </c>
      <c r="C2136" s="29" t="s">
        <v>1479</v>
      </c>
      <c r="D2136" s="29" t="s">
        <v>1469</v>
      </c>
      <c r="E2136" s="29" t="s">
        <v>1480</v>
      </c>
      <c r="F2136" s="29" t="s">
        <v>1481</v>
      </c>
      <c r="G2136" s="30" t="s">
        <v>1482</v>
      </c>
      <c r="J2136" s="3" t="s">
        <v>10</v>
      </c>
      <c r="K2136" s="3" t="s">
        <v>173</v>
      </c>
      <c r="L2136" s="3" t="s">
        <v>436</v>
      </c>
      <c r="M2136" s="3" t="s">
        <v>9</v>
      </c>
      <c r="N2136" s="3">
        <v>1339</v>
      </c>
      <c r="O2136" s="3">
        <v>32</v>
      </c>
    </row>
    <row r="2137" spans="1:15" s="3" customFormat="1" hidden="1" outlineLevel="1" x14ac:dyDescent="0.25">
      <c r="B2137" s="28" t="s">
        <v>112</v>
      </c>
      <c r="C2137" s="29" t="s">
        <v>1555</v>
      </c>
      <c r="D2137" s="29" t="s">
        <v>1469</v>
      </c>
      <c r="E2137" s="29">
        <v>0</v>
      </c>
      <c r="F2137" s="29" t="s">
        <v>1470</v>
      </c>
      <c r="G2137" s="30" t="s">
        <v>1556</v>
      </c>
      <c r="J2137" s="3" t="s">
        <v>10</v>
      </c>
      <c r="K2137" s="3" t="s">
        <v>173</v>
      </c>
      <c r="L2137" s="3" t="s">
        <v>436</v>
      </c>
      <c r="M2137" s="3" t="s">
        <v>9</v>
      </c>
      <c r="N2137" s="3">
        <v>1827</v>
      </c>
      <c r="O2137" s="3">
        <v>32</v>
      </c>
    </row>
    <row r="2138" spans="1:15" s="3" customFormat="1" hidden="1" outlineLevel="1" x14ac:dyDescent="0.25">
      <c r="B2138" s="28" t="s">
        <v>7</v>
      </c>
      <c r="C2138" s="29" t="s">
        <v>1468</v>
      </c>
      <c r="D2138" s="29" t="s">
        <v>1469</v>
      </c>
      <c r="E2138" s="29">
        <v>0</v>
      </c>
      <c r="F2138" s="29" t="s">
        <v>1470</v>
      </c>
      <c r="G2138" s="30" t="s">
        <v>1471</v>
      </c>
      <c r="J2138" s="3" t="s">
        <v>10</v>
      </c>
      <c r="K2138" s="3" t="s">
        <v>173</v>
      </c>
      <c r="L2138" s="3" t="s">
        <v>436</v>
      </c>
      <c r="M2138" s="3" t="s">
        <v>9</v>
      </c>
      <c r="N2138" s="3">
        <v>1228</v>
      </c>
      <c r="O2138" s="3">
        <v>32</v>
      </c>
    </row>
    <row r="2139" spans="1:15" s="3" customFormat="1" hidden="1" outlineLevel="1" x14ac:dyDescent="0.25">
      <c r="B2139" s="28" t="s">
        <v>11</v>
      </c>
      <c r="C2139" s="29" t="s">
        <v>1472</v>
      </c>
      <c r="D2139" s="29" t="s">
        <v>1469</v>
      </c>
      <c r="E2139" s="29">
        <v>0</v>
      </c>
      <c r="F2139" s="29" t="s">
        <v>1470</v>
      </c>
      <c r="G2139" s="30" t="s">
        <v>1473</v>
      </c>
      <c r="J2139" s="3" t="s">
        <v>10</v>
      </c>
      <c r="K2139" s="3" t="s">
        <v>173</v>
      </c>
      <c r="L2139" s="3" t="s">
        <v>436</v>
      </c>
      <c r="M2139" s="3" t="s">
        <v>9</v>
      </c>
      <c r="N2139" s="3">
        <v>1961</v>
      </c>
      <c r="O2139" s="3">
        <v>32</v>
      </c>
    </row>
    <row r="2140" spans="1:15" s="3" customFormat="1" hidden="1" outlineLevel="1" x14ac:dyDescent="0.25">
      <c r="B2140" s="28" t="s">
        <v>13</v>
      </c>
      <c r="C2140" s="29" t="s">
        <v>1474</v>
      </c>
      <c r="D2140" s="29" t="s">
        <v>1469</v>
      </c>
      <c r="E2140" s="29">
        <v>0</v>
      </c>
      <c r="F2140" s="29" t="s">
        <v>1470</v>
      </c>
      <c r="G2140" s="30"/>
      <c r="J2140" s="3" t="s">
        <v>10</v>
      </c>
      <c r="K2140" s="3" t="s">
        <v>173</v>
      </c>
      <c r="L2140" s="3" t="s">
        <v>436</v>
      </c>
      <c r="M2140" s="3" t="s">
        <v>9</v>
      </c>
      <c r="N2140" s="3">
        <v>3050</v>
      </c>
      <c r="O2140" s="3">
        <v>32</v>
      </c>
    </row>
    <row r="2141" spans="1:15" s="3" customFormat="1" hidden="1" outlineLevel="1" x14ac:dyDescent="0.25">
      <c r="B2141" s="28" t="s">
        <v>197</v>
      </c>
      <c r="C2141" s="29" t="s">
        <v>1624</v>
      </c>
      <c r="D2141" s="29" t="s">
        <v>1469</v>
      </c>
      <c r="E2141" s="29">
        <v>0</v>
      </c>
      <c r="F2141" s="29" t="s">
        <v>1470</v>
      </c>
      <c r="G2141" s="30" t="s">
        <v>1625</v>
      </c>
      <c r="J2141" s="3" t="s">
        <v>10</v>
      </c>
      <c r="K2141" s="3" t="s">
        <v>173</v>
      </c>
      <c r="L2141" s="3" t="s">
        <v>436</v>
      </c>
      <c r="M2141" s="3" t="s">
        <v>9</v>
      </c>
      <c r="N2141" s="3">
        <v>2609</v>
      </c>
      <c r="O2141" s="3">
        <v>32</v>
      </c>
    </row>
    <row r="2142" spans="1:15" s="3" customFormat="1" hidden="1" outlineLevel="1" x14ac:dyDescent="0.25">
      <c r="B2142" s="28" t="s">
        <v>387</v>
      </c>
      <c r="C2142" s="29" t="s">
        <v>1785</v>
      </c>
      <c r="D2142" s="29" t="s">
        <v>1632</v>
      </c>
      <c r="E2142" s="29" t="s">
        <v>1594</v>
      </c>
      <c r="F2142" s="29" t="s">
        <v>1470</v>
      </c>
      <c r="G2142" s="30"/>
      <c r="J2142" s="3" t="s">
        <v>187</v>
      </c>
      <c r="K2142" s="3" t="s">
        <v>438</v>
      </c>
      <c r="L2142" s="3" t="s">
        <v>439</v>
      </c>
      <c r="M2142" s="3" t="s">
        <v>187</v>
      </c>
      <c r="N2142" s="3">
        <v>2696</v>
      </c>
      <c r="O2142" s="3">
        <v>32</v>
      </c>
    </row>
    <row r="2143" spans="1:15" s="3" customFormat="1" hidden="1" outlineLevel="1" x14ac:dyDescent="0.25">
      <c r="B2143" s="28" t="s">
        <v>14</v>
      </c>
      <c r="C2143" s="29" t="s">
        <v>1475</v>
      </c>
      <c r="D2143" s="29" t="s">
        <v>1469</v>
      </c>
      <c r="E2143" s="29">
        <v>0</v>
      </c>
      <c r="F2143" s="29" t="s">
        <v>1476</v>
      </c>
      <c r="G2143" s="30" t="s">
        <v>1477</v>
      </c>
      <c r="J2143" s="3" t="s">
        <v>10</v>
      </c>
      <c r="K2143" s="3" t="s">
        <v>173</v>
      </c>
      <c r="L2143" s="3" t="s">
        <v>436</v>
      </c>
      <c r="M2143" s="3" t="s">
        <v>9</v>
      </c>
      <c r="N2143" s="3">
        <v>2537</v>
      </c>
      <c r="O2143" s="3">
        <v>32</v>
      </c>
    </row>
    <row r="2144" spans="1:15" s="3" customFormat="1" hidden="1" outlineLevel="1" x14ac:dyDescent="0.25">
      <c r="B2144" s="28" t="s">
        <v>202</v>
      </c>
      <c r="C2144" s="29" t="s">
        <v>1634</v>
      </c>
      <c r="D2144" s="29" t="s">
        <v>1469</v>
      </c>
      <c r="E2144" s="29">
        <v>0</v>
      </c>
      <c r="F2144" s="29" t="s">
        <v>1470</v>
      </c>
      <c r="G2144" s="30"/>
      <c r="J2144" s="3" t="s">
        <v>10</v>
      </c>
      <c r="K2144" s="3" t="s">
        <v>173</v>
      </c>
      <c r="L2144" s="3" t="s">
        <v>436</v>
      </c>
      <c r="M2144" s="3" t="s">
        <v>9</v>
      </c>
      <c r="N2144" s="3">
        <v>1696</v>
      </c>
      <c r="O2144" s="3">
        <v>32</v>
      </c>
    </row>
    <row r="2145" spans="2:15" s="3" customFormat="1" hidden="1" outlineLevel="1" x14ac:dyDescent="0.25">
      <c r="B2145" s="28" t="s">
        <v>15</v>
      </c>
      <c r="C2145" s="29" t="s">
        <v>1478</v>
      </c>
      <c r="D2145" s="29" t="s">
        <v>1469</v>
      </c>
      <c r="E2145" s="29">
        <v>0</v>
      </c>
      <c r="F2145" s="29" t="s">
        <v>1470</v>
      </c>
      <c r="G2145" s="30"/>
      <c r="J2145" s="3" t="s">
        <v>10</v>
      </c>
      <c r="K2145" s="3" t="s">
        <v>173</v>
      </c>
      <c r="L2145" s="3" t="s">
        <v>436</v>
      </c>
      <c r="M2145" s="3" t="s">
        <v>9</v>
      </c>
      <c r="N2145" s="3">
        <v>2929</v>
      </c>
      <c r="O2145" s="3">
        <v>32</v>
      </c>
    </row>
    <row r="2146" spans="2:15" s="3" customFormat="1" hidden="1" outlineLevel="1" x14ac:dyDescent="0.25">
      <c r="B2146" s="28" t="s">
        <v>87</v>
      </c>
      <c r="C2146" s="29" t="s">
        <v>1535</v>
      </c>
      <c r="D2146" s="29" t="s">
        <v>1469</v>
      </c>
      <c r="E2146" s="29">
        <v>0</v>
      </c>
      <c r="F2146" s="29" t="s">
        <v>1476</v>
      </c>
      <c r="G2146" s="30"/>
      <c r="J2146" s="3" t="s">
        <v>10</v>
      </c>
      <c r="K2146" s="3" t="s">
        <v>173</v>
      </c>
      <c r="L2146" s="3" t="s">
        <v>436</v>
      </c>
      <c r="M2146" s="3" t="s">
        <v>9</v>
      </c>
      <c r="N2146" s="3">
        <v>2937</v>
      </c>
      <c r="O2146" s="3">
        <v>32</v>
      </c>
    </row>
    <row r="2147" spans="2:15" s="3" customFormat="1" hidden="1" outlineLevel="1" x14ac:dyDescent="0.25">
      <c r="B2147" s="28" t="s">
        <v>191</v>
      </c>
      <c r="C2147" s="29" t="s">
        <v>1611</v>
      </c>
      <c r="D2147" s="29" t="s">
        <v>1567</v>
      </c>
      <c r="E2147" s="29">
        <v>0</v>
      </c>
      <c r="F2147" s="29" t="s">
        <v>1470</v>
      </c>
      <c r="G2147" s="30" t="s">
        <v>1612</v>
      </c>
      <c r="J2147" s="3" t="s">
        <v>12</v>
      </c>
      <c r="K2147" s="3" t="s">
        <v>174</v>
      </c>
      <c r="L2147" s="3" t="s">
        <v>314</v>
      </c>
      <c r="M2147" s="3" t="s">
        <v>176</v>
      </c>
      <c r="N2147" s="3">
        <v>3009</v>
      </c>
      <c r="O2147" s="3">
        <v>64</v>
      </c>
    </row>
    <row r="2148" spans="2:15" s="3" customFormat="1" hidden="1" outlineLevel="1" x14ac:dyDescent="0.25">
      <c r="B2148" s="28" t="s">
        <v>440</v>
      </c>
      <c r="C2148" s="29" t="s">
        <v>1831</v>
      </c>
      <c r="D2148" s="29" t="s">
        <v>1469</v>
      </c>
      <c r="E2148" s="29">
        <v>0</v>
      </c>
      <c r="F2148" s="29" t="s">
        <v>1470</v>
      </c>
      <c r="G2148" s="30"/>
      <c r="J2148" s="3" t="s">
        <v>10</v>
      </c>
      <c r="K2148" s="3" t="s">
        <v>173</v>
      </c>
      <c r="L2148" s="3" t="s">
        <v>436</v>
      </c>
      <c r="M2148" s="3" t="s">
        <v>9</v>
      </c>
      <c r="N2148" s="3">
        <v>2986</v>
      </c>
      <c r="O2148" s="3">
        <v>32</v>
      </c>
    </row>
    <row r="2149" spans="2:15" s="3" customFormat="1" hidden="1" outlineLevel="1" x14ac:dyDescent="0.25">
      <c r="B2149" s="28" t="s">
        <v>208</v>
      </c>
      <c r="C2149" s="29" t="s">
        <v>1646</v>
      </c>
      <c r="D2149" s="29" t="s">
        <v>1469</v>
      </c>
      <c r="E2149" s="29" t="s">
        <v>1480</v>
      </c>
      <c r="F2149" s="29" t="s">
        <v>1481</v>
      </c>
      <c r="G2149" s="30" t="s">
        <v>1647</v>
      </c>
      <c r="J2149" s="3" t="s">
        <v>10</v>
      </c>
      <c r="K2149" s="3" t="s">
        <v>173</v>
      </c>
      <c r="L2149" s="3" t="s">
        <v>436</v>
      </c>
      <c r="M2149" s="3" t="s">
        <v>9</v>
      </c>
      <c r="N2149" s="3">
        <v>1310</v>
      </c>
      <c r="O2149" s="3">
        <v>32</v>
      </c>
    </row>
    <row r="2150" spans="2:15" s="3" customFormat="1" hidden="1" outlineLevel="1" x14ac:dyDescent="0.25">
      <c r="B2150" s="28" t="s">
        <v>209</v>
      </c>
      <c r="C2150" s="29" t="s">
        <v>1648</v>
      </c>
      <c r="D2150" s="29" t="s">
        <v>1469</v>
      </c>
      <c r="E2150" s="29" t="s">
        <v>1549</v>
      </c>
      <c r="F2150" s="29" t="s">
        <v>1481</v>
      </c>
      <c r="G2150" s="30" t="s">
        <v>1649</v>
      </c>
      <c r="J2150" s="3" t="s">
        <v>10</v>
      </c>
      <c r="K2150" s="3" t="s">
        <v>173</v>
      </c>
      <c r="L2150" s="3" t="s">
        <v>436</v>
      </c>
      <c r="M2150" s="3" t="s">
        <v>9</v>
      </c>
      <c r="N2150" s="3">
        <v>1311</v>
      </c>
      <c r="O2150" s="3">
        <v>32</v>
      </c>
    </row>
    <row r="2151" spans="2:15" s="3" customFormat="1" hidden="1" outlineLevel="1" x14ac:dyDescent="0.25">
      <c r="B2151" s="28" t="s">
        <v>211</v>
      </c>
      <c r="C2151" s="29" t="s">
        <v>1651</v>
      </c>
      <c r="D2151" s="29" t="s">
        <v>1652</v>
      </c>
      <c r="E2151" s="29" t="s">
        <v>1594</v>
      </c>
      <c r="F2151" s="29" t="s">
        <v>1470</v>
      </c>
      <c r="G2151" s="30" t="s">
        <v>1653</v>
      </c>
      <c r="J2151" s="3" t="s">
        <v>10</v>
      </c>
      <c r="K2151" s="3" t="s">
        <v>173</v>
      </c>
      <c r="L2151" s="3" t="s">
        <v>436</v>
      </c>
      <c r="M2151" s="3" t="s">
        <v>9</v>
      </c>
      <c r="N2151" s="3">
        <v>1295</v>
      </c>
      <c r="O2151" s="3">
        <v>32</v>
      </c>
    </row>
    <row r="2152" spans="2:15" s="3" customFormat="1" hidden="1" outlineLevel="1" x14ac:dyDescent="0.25">
      <c r="B2152" s="28" t="s">
        <v>196</v>
      </c>
      <c r="C2152" s="29" t="s">
        <v>1622</v>
      </c>
      <c r="D2152" s="29" t="s">
        <v>1469</v>
      </c>
      <c r="E2152" s="29" t="s">
        <v>1480</v>
      </c>
      <c r="F2152" s="29" t="s">
        <v>1481</v>
      </c>
      <c r="G2152" s="30" t="s">
        <v>1623</v>
      </c>
      <c r="J2152" s="3" t="s">
        <v>10</v>
      </c>
      <c r="K2152" s="3" t="s">
        <v>173</v>
      </c>
      <c r="L2152" s="3" t="s">
        <v>436</v>
      </c>
      <c r="M2152" s="3" t="s">
        <v>9</v>
      </c>
      <c r="N2152" s="3">
        <v>2504</v>
      </c>
      <c r="O2152" s="3">
        <v>32</v>
      </c>
    </row>
    <row r="2153" spans="2:15" s="3" customFormat="1" hidden="1" outlineLevel="1" x14ac:dyDescent="0.25">
      <c r="B2153" s="28" t="s">
        <v>201</v>
      </c>
      <c r="C2153" s="29" t="s">
        <v>1631</v>
      </c>
      <c r="D2153" s="29" t="s">
        <v>1632</v>
      </c>
      <c r="E2153" s="29" t="s">
        <v>1594</v>
      </c>
      <c r="F2153" s="29" t="s">
        <v>1470</v>
      </c>
      <c r="G2153" s="30" t="s">
        <v>1633</v>
      </c>
      <c r="J2153" s="3" t="s">
        <v>10</v>
      </c>
      <c r="K2153" s="3" t="s">
        <v>173</v>
      </c>
      <c r="L2153" s="3" t="s">
        <v>436</v>
      </c>
      <c r="M2153" s="3" t="s">
        <v>9</v>
      </c>
      <c r="N2153" s="3">
        <v>2501</v>
      </c>
      <c r="O2153" s="3">
        <v>32</v>
      </c>
    </row>
    <row r="2154" spans="2:15" s="3" customFormat="1" hidden="1" outlineLevel="1" x14ac:dyDescent="0.25">
      <c r="B2154" s="28" t="s">
        <v>199</v>
      </c>
      <c r="C2154" s="29" t="s">
        <v>1628</v>
      </c>
      <c r="D2154" s="29" t="s">
        <v>1469</v>
      </c>
      <c r="E2154" s="29" t="s">
        <v>1480</v>
      </c>
      <c r="F2154" s="29" t="s">
        <v>1481</v>
      </c>
      <c r="G2154" s="30" t="s">
        <v>1482</v>
      </c>
      <c r="J2154" s="3" t="s">
        <v>10</v>
      </c>
      <c r="K2154" s="3" t="s">
        <v>173</v>
      </c>
      <c r="L2154" s="3" t="s">
        <v>436</v>
      </c>
      <c r="M2154" s="3" t="s">
        <v>9</v>
      </c>
      <c r="N2154" s="3">
        <v>1458</v>
      </c>
      <c r="O2154" s="3">
        <v>32</v>
      </c>
    </row>
    <row r="2155" spans="2:15" s="3" customFormat="1" hidden="1" outlineLevel="1" x14ac:dyDescent="0.25">
      <c r="B2155" s="28" t="s">
        <v>200</v>
      </c>
      <c r="C2155" s="29" t="s">
        <v>1629</v>
      </c>
      <c r="D2155" s="29" t="s">
        <v>1469</v>
      </c>
      <c r="E2155" s="29" t="s">
        <v>1549</v>
      </c>
      <c r="F2155" s="29" t="s">
        <v>1481</v>
      </c>
      <c r="G2155" s="30" t="s">
        <v>1630</v>
      </c>
      <c r="J2155" s="3" t="s">
        <v>10</v>
      </c>
      <c r="K2155" s="3" t="s">
        <v>173</v>
      </c>
      <c r="L2155" s="3" t="s">
        <v>436</v>
      </c>
      <c r="M2155" s="3" t="s">
        <v>9</v>
      </c>
      <c r="N2155" s="3">
        <v>1459</v>
      </c>
      <c r="O2155" s="3">
        <v>32</v>
      </c>
    </row>
    <row r="2156" spans="2:15" s="3" customFormat="1" hidden="1" outlineLevel="1" x14ac:dyDescent="0.25">
      <c r="B2156" s="28" t="s">
        <v>444</v>
      </c>
      <c r="C2156" s="29" t="s">
        <v>1835</v>
      </c>
      <c r="D2156" s="29" t="s">
        <v>1567</v>
      </c>
      <c r="E2156" s="29">
        <v>0</v>
      </c>
      <c r="F2156" s="29"/>
      <c r="G2156" s="30"/>
      <c r="J2156" s="3" t="s">
        <v>12</v>
      </c>
      <c r="K2156" s="3" t="s">
        <v>174</v>
      </c>
      <c r="L2156" s="3" t="s">
        <v>314</v>
      </c>
      <c r="M2156" s="3" t="s">
        <v>176</v>
      </c>
      <c r="N2156" s="3">
        <v>1462</v>
      </c>
      <c r="O2156" s="3">
        <v>64</v>
      </c>
    </row>
    <row r="2157" spans="2:15" s="3" customFormat="1" hidden="1" outlineLevel="1" x14ac:dyDescent="0.25">
      <c r="B2157" s="28" t="s">
        <v>441</v>
      </c>
      <c r="C2157" s="29" t="s">
        <v>1832</v>
      </c>
      <c r="D2157" s="29" t="s">
        <v>1469</v>
      </c>
      <c r="E2157" s="29">
        <v>0</v>
      </c>
      <c r="F2157" s="29" t="s">
        <v>1470</v>
      </c>
      <c r="G2157" s="30" t="s">
        <v>1833</v>
      </c>
    </row>
    <row r="2158" spans="2:15" s="3" customFormat="1" hidden="1" outlineLevel="1" x14ac:dyDescent="0.25">
      <c r="B2158" s="28" t="s">
        <v>205</v>
      </c>
      <c r="C2158" s="29" t="s">
        <v>1640</v>
      </c>
      <c r="D2158" s="29" t="s">
        <v>1469</v>
      </c>
      <c r="E2158" s="29">
        <v>0</v>
      </c>
      <c r="F2158" s="29" t="s">
        <v>1476</v>
      </c>
      <c r="G2158" s="30" t="s">
        <v>1641</v>
      </c>
      <c r="J2158" s="3" t="s">
        <v>10</v>
      </c>
      <c r="K2158" s="3" t="s">
        <v>173</v>
      </c>
      <c r="L2158" s="3" t="s">
        <v>436</v>
      </c>
      <c r="M2158" s="3" t="s">
        <v>9</v>
      </c>
      <c r="N2158" s="3">
        <v>1449</v>
      </c>
      <c r="O2158" s="3">
        <v>32</v>
      </c>
    </row>
    <row r="2159" spans="2:15" s="3" customFormat="1" hidden="1" outlineLevel="1" x14ac:dyDescent="0.25">
      <c r="B2159" s="28" t="s">
        <v>206</v>
      </c>
      <c r="C2159" s="29" t="s">
        <v>1642</v>
      </c>
      <c r="D2159" s="29" t="s">
        <v>1539</v>
      </c>
      <c r="E2159" s="29">
        <v>0</v>
      </c>
      <c r="F2159" s="29" t="s">
        <v>1470</v>
      </c>
      <c r="G2159" s="30" t="s">
        <v>1643</v>
      </c>
      <c r="J2159" s="3" t="s">
        <v>20</v>
      </c>
      <c r="K2159" s="3" t="s">
        <v>445</v>
      </c>
      <c r="L2159" s="3" t="s">
        <v>446</v>
      </c>
      <c r="M2159" s="3" t="s">
        <v>446</v>
      </c>
      <c r="N2159" s="3">
        <v>1455</v>
      </c>
      <c r="O2159" s="3">
        <v>16</v>
      </c>
    </row>
    <row r="2160" spans="2:15" s="3" customFormat="1" hidden="1" outlineLevel="1" x14ac:dyDescent="0.25">
      <c r="B2160" s="28" t="s">
        <v>207</v>
      </c>
      <c r="C2160" s="29" t="s">
        <v>1644</v>
      </c>
      <c r="D2160" s="29" t="s">
        <v>1486</v>
      </c>
      <c r="E2160" s="29">
        <v>0</v>
      </c>
      <c r="F2160" s="29" t="s">
        <v>1470</v>
      </c>
      <c r="G2160" s="30" t="s">
        <v>1645</v>
      </c>
      <c r="J2160" s="3" t="s">
        <v>20</v>
      </c>
      <c r="K2160" s="3" t="s">
        <v>445</v>
      </c>
      <c r="L2160" s="3" t="s">
        <v>446</v>
      </c>
      <c r="M2160" s="3" t="s">
        <v>446</v>
      </c>
      <c r="N2160" s="3">
        <v>1460</v>
      </c>
      <c r="O2160" s="3">
        <v>18</v>
      </c>
    </row>
    <row r="2161" spans="2:15" s="3" customFormat="1" hidden="1" outlineLevel="1" x14ac:dyDescent="0.25">
      <c r="B2161" s="28" t="s">
        <v>212</v>
      </c>
      <c r="C2161" s="29" t="s">
        <v>1654</v>
      </c>
      <c r="D2161" s="29" t="s">
        <v>1486</v>
      </c>
      <c r="E2161" s="29">
        <v>0</v>
      </c>
      <c r="F2161" s="29" t="s">
        <v>1470</v>
      </c>
      <c r="G2161" s="30" t="s">
        <v>1655</v>
      </c>
      <c r="J2161" s="3" t="s">
        <v>20</v>
      </c>
      <c r="K2161" s="3" t="s">
        <v>445</v>
      </c>
      <c r="L2161" s="3" t="s">
        <v>446</v>
      </c>
      <c r="M2161" s="3" t="s">
        <v>446</v>
      </c>
      <c r="N2161" s="3">
        <v>1314</v>
      </c>
      <c r="O2161" s="3">
        <v>18</v>
      </c>
    </row>
    <row r="2162" spans="2:15" s="3" customFormat="1" hidden="1" outlineLevel="1" x14ac:dyDescent="0.25">
      <c r="B2162" s="28" t="s">
        <v>204</v>
      </c>
      <c r="C2162" s="29" t="s">
        <v>1638</v>
      </c>
      <c r="D2162" s="29" t="s">
        <v>1539</v>
      </c>
      <c r="E2162" s="29">
        <v>0</v>
      </c>
      <c r="F2162" s="29" t="s">
        <v>1470</v>
      </c>
      <c r="G2162" s="30" t="s">
        <v>1639</v>
      </c>
      <c r="J2162" s="3" t="s">
        <v>20</v>
      </c>
      <c r="K2162" s="3" t="s">
        <v>445</v>
      </c>
      <c r="L2162" s="3" t="s">
        <v>446</v>
      </c>
      <c r="M2162" s="3" t="s">
        <v>446</v>
      </c>
      <c r="N2162" s="3">
        <v>1303</v>
      </c>
      <c r="O2162" s="3">
        <v>16</v>
      </c>
    </row>
    <row r="2163" spans="2:15" s="3" customFormat="1" hidden="1" outlineLevel="1" x14ac:dyDescent="0.25">
      <c r="B2163" s="28" t="s">
        <v>213</v>
      </c>
      <c r="C2163" s="29" t="s">
        <v>1656</v>
      </c>
      <c r="D2163" s="29" t="s">
        <v>1489</v>
      </c>
      <c r="E2163" s="29">
        <v>0</v>
      </c>
      <c r="F2163" s="29" t="s">
        <v>1470</v>
      </c>
      <c r="G2163" s="30" t="s">
        <v>1657</v>
      </c>
      <c r="J2163" s="3" t="s">
        <v>20</v>
      </c>
      <c r="K2163" s="3" t="s">
        <v>445</v>
      </c>
      <c r="L2163" s="3" t="s">
        <v>446</v>
      </c>
      <c r="M2163" s="3" t="s">
        <v>446</v>
      </c>
      <c r="N2163" s="3">
        <v>1305</v>
      </c>
      <c r="O2163" s="3">
        <v>32</v>
      </c>
    </row>
    <row r="2164" spans="2:15" s="3" customFormat="1" hidden="1" outlineLevel="1" x14ac:dyDescent="0.25">
      <c r="B2164" s="28" t="s">
        <v>22</v>
      </c>
      <c r="C2164" s="29" t="s">
        <v>1488</v>
      </c>
      <c r="D2164" s="29" t="s">
        <v>1489</v>
      </c>
      <c r="E2164" s="29">
        <v>0</v>
      </c>
      <c r="F2164" s="29" t="s">
        <v>1470</v>
      </c>
      <c r="G2164" s="30" t="s">
        <v>1490</v>
      </c>
      <c r="J2164" s="3" t="s">
        <v>20</v>
      </c>
      <c r="K2164" s="3" t="s">
        <v>445</v>
      </c>
      <c r="L2164" s="3" t="s">
        <v>446</v>
      </c>
      <c r="M2164" s="3" t="s">
        <v>446</v>
      </c>
      <c r="N2164" s="3">
        <v>2409</v>
      </c>
      <c r="O2164" s="3">
        <v>32</v>
      </c>
    </row>
    <row r="2165" spans="2:15" s="3" customFormat="1" hidden="1" outlineLevel="1" x14ac:dyDescent="0.25">
      <c r="B2165" s="28" t="s">
        <v>214</v>
      </c>
      <c r="C2165" s="29" t="s">
        <v>1658</v>
      </c>
      <c r="D2165" s="29" t="s">
        <v>1489</v>
      </c>
      <c r="E2165" s="29">
        <v>0</v>
      </c>
      <c r="F2165" s="29" t="s">
        <v>1470</v>
      </c>
      <c r="G2165" s="30" t="s">
        <v>1659</v>
      </c>
      <c r="J2165" s="3" t="s">
        <v>20</v>
      </c>
      <c r="K2165" s="3" t="s">
        <v>445</v>
      </c>
      <c r="L2165" s="3" t="s">
        <v>446</v>
      </c>
      <c r="M2165" s="3" t="s">
        <v>446</v>
      </c>
      <c r="N2165" s="3">
        <v>2813</v>
      </c>
      <c r="O2165" s="3">
        <v>32</v>
      </c>
    </row>
    <row r="2166" spans="2:15" s="3" customFormat="1" hidden="1" outlineLevel="1" x14ac:dyDescent="0.25">
      <c r="B2166" s="28" t="s">
        <v>215</v>
      </c>
      <c r="C2166" s="29" t="s">
        <v>1660</v>
      </c>
      <c r="D2166" s="29" t="s">
        <v>1489</v>
      </c>
      <c r="E2166" s="29">
        <v>0</v>
      </c>
      <c r="F2166" s="29" t="s">
        <v>1470</v>
      </c>
      <c r="G2166" s="30"/>
      <c r="J2166" s="3" t="s">
        <v>20</v>
      </c>
      <c r="K2166" s="3" t="s">
        <v>445</v>
      </c>
      <c r="L2166" s="3" t="s">
        <v>446</v>
      </c>
      <c r="M2166" s="3" t="s">
        <v>446</v>
      </c>
      <c r="N2166" s="3">
        <v>1717</v>
      </c>
      <c r="O2166" s="3">
        <v>32</v>
      </c>
    </row>
    <row r="2167" spans="2:15" s="3" customFormat="1" hidden="1" outlineLevel="1" x14ac:dyDescent="0.25">
      <c r="B2167" s="28" t="s">
        <v>216</v>
      </c>
      <c r="C2167" s="29" t="s">
        <v>1661</v>
      </c>
      <c r="D2167" s="29" t="s">
        <v>1489</v>
      </c>
      <c r="E2167" s="29">
        <v>0</v>
      </c>
      <c r="F2167" s="29" t="s">
        <v>1470</v>
      </c>
      <c r="G2167" s="30" t="s">
        <v>1662</v>
      </c>
      <c r="J2167" s="3" t="s">
        <v>20</v>
      </c>
      <c r="K2167" s="3" t="s">
        <v>445</v>
      </c>
      <c r="L2167" s="3" t="s">
        <v>446</v>
      </c>
      <c r="M2167" s="3" t="s">
        <v>446</v>
      </c>
      <c r="N2167" s="3">
        <v>2016</v>
      </c>
      <c r="O2167" s="3">
        <v>32</v>
      </c>
    </row>
    <row r="2168" spans="2:15" s="3" customFormat="1" hidden="1" outlineLevel="1" x14ac:dyDescent="0.25">
      <c r="B2168" s="28" t="s">
        <v>217</v>
      </c>
      <c r="C2168" s="29" t="s">
        <v>1663</v>
      </c>
      <c r="D2168" s="29" t="s">
        <v>1489</v>
      </c>
      <c r="E2168" s="29">
        <v>0</v>
      </c>
      <c r="F2168" s="29" t="s">
        <v>1470</v>
      </c>
      <c r="G2168" s="30" t="s">
        <v>1664</v>
      </c>
      <c r="J2168" s="3" t="s">
        <v>20</v>
      </c>
      <c r="K2168" s="3" t="s">
        <v>445</v>
      </c>
      <c r="L2168" s="3" t="s">
        <v>446</v>
      </c>
      <c r="M2168" s="3" t="s">
        <v>446</v>
      </c>
      <c r="N2168" s="3">
        <v>2921</v>
      </c>
      <c r="O2168" s="3">
        <v>32</v>
      </c>
    </row>
    <row r="2169" spans="2:15" s="3" customFormat="1" hidden="1" outlineLevel="1" x14ac:dyDescent="0.25">
      <c r="B2169" s="28" t="s">
        <v>218</v>
      </c>
      <c r="C2169" s="29" t="s">
        <v>1665</v>
      </c>
      <c r="D2169" s="29" t="s">
        <v>1489</v>
      </c>
      <c r="E2169" s="29">
        <v>0</v>
      </c>
      <c r="F2169" s="29" t="s">
        <v>1470</v>
      </c>
      <c r="G2169" s="30" t="s">
        <v>1666</v>
      </c>
      <c r="J2169" s="3" t="s">
        <v>20</v>
      </c>
      <c r="K2169" s="3" t="s">
        <v>445</v>
      </c>
      <c r="L2169" s="3" t="s">
        <v>446</v>
      </c>
      <c r="M2169" s="3" t="s">
        <v>446</v>
      </c>
      <c r="N2169" s="3">
        <v>2347</v>
      </c>
      <c r="O2169" s="3">
        <v>32</v>
      </c>
    </row>
    <row r="2170" spans="2:15" s="3" customFormat="1" hidden="1" outlineLevel="1" x14ac:dyDescent="0.25">
      <c r="B2170" s="28" t="s">
        <v>219</v>
      </c>
      <c r="C2170" s="29" t="s">
        <v>1667</v>
      </c>
      <c r="D2170" s="29" t="s">
        <v>1489</v>
      </c>
      <c r="E2170" s="29">
        <v>0</v>
      </c>
      <c r="F2170" s="29" t="s">
        <v>1470</v>
      </c>
      <c r="G2170" s="30" t="s">
        <v>1668</v>
      </c>
      <c r="J2170" s="3" t="s">
        <v>20</v>
      </c>
      <c r="K2170" s="3" t="s">
        <v>445</v>
      </c>
      <c r="L2170" s="3" t="s">
        <v>446</v>
      </c>
      <c r="M2170" s="3" t="s">
        <v>446</v>
      </c>
      <c r="N2170" s="3">
        <v>1952</v>
      </c>
      <c r="O2170" s="3">
        <v>32</v>
      </c>
    </row>
    <row r="2171" spans="2:15" s="3" customFormat="1" hidden="1" outlineLevel="1" x14ac:dyDescent="0.25">
      <c r="B2171" s="28" t="s">
        <v>220</v>
      </c>
      <c r="C2171" s="29" t="s">
        <v>1669</v>
      </c>
      <c r="D2171" s="29" t="s">
        <v>1489</v>
      </c>
      <c r="E2171" s="29">
        <v>0</v>
      </c>
      <c r="F2171" s="29" t="s">
        <v>1470</v>
      </c>
      <c r="G2171" s="30" t="s">
        <v>1670</v>
      </c>
      <c r="J2171" s="3" t="s">
        <v>20</v>
      </c>
      <c r="K2171" s="3" t="s">
        <v>445</v>
      </c>
      <c r="L2171" s="3" t="s">
        <v>446</v>
      </c>
      <c r="M2171" s="3" t="s">
        <v>446</v>
      </c>
      <c r="N2171" s="3">
        <v>2349</v>
      </c>
      <c r="O2171" s="3">
        <v>32</v>
      </c>
    </row>
    <row r="2172" spans="2:15" s="3" customFormat="1" hidden="1" outlineLevel="1" x14ac:dyDescent="0.25">
      <c r="B2172" s="28" t="s">
        <v>447</v>
      </c>
      <c r="C2172" s="29" t="s">
        <v>1836</v>
      </c>
      <c r="D2172" s="29" t="s">
        <v>1489</v>
      </c>
      <c r="E2172" s="29">
        <v>0</v>
      </c>
      <c r="F2172" s="29"/>
      <c r="G2172" s="30"/>
    </row>
    <row r="2173" spans="2:15" s="3" customFormat="1" hidden="1" outlineLevel="1" x14ac:dyDescent="0.25">
      <c r="B2173" s="28" t="s">
        <v>448</v>
      </c>
      <c r="C2173" s="29" t="s">
        <v>1837</v>
      </c>
      <c r="D2173" s="29" t="s">
        <v>1489</v>
      </c>
      <c r="E2173" s="29">
        <v>0</v>
      </c>
      <c r="F2173" s="29"/>
      <c r="G2173" s="30"/>
    </row>
    <row r="2174" spans="2:15" s="3" customFormat="1" hidden="1" outlineLevel="1" x14ac:dyDescent="0.25">
      <c r="B2174" s="28" t="s">
        <v>449</v>
      </c>
      <c r="C2174" s="29" t="s">
        <v>1838</v>
      </c>
      <c r="D2174" s="29" t="s">
        <v>1489</v>
      </c>
      <c r="E2174" s="29">
        <v>0</v>
      </c>
      <c r="F2174" s="29"/>
      <c r="G2174" s="30"/>
    </row>
    <row r="2175" spans="2:15" s="3" customFormat="1" hidden="1" outlineLevel="1" x14ac:dyDescent="0.25">
      <c r="B2175" s="28" t="s">
        <v>450</v>
      </c>
      <c r="C2175" s="29" t="s">
        <v>1839</v>
      </c>
      <c r="D2175" s="29" t="s">
        <v>1489</v>
      </c>
      <c r="E2175" s="29">
        <v>0</v>
      </c>
      <c r="F2175" s="29"/>
      <c r="G2175" s="30"/>
    </row>
    <row r="2176" spans="2:15" s="3" customFormat="1" hidden="1" outlineLevel="1" x14ac:dyDescent="0.25">
      <c r="B2176" s="28" t="s">
        <v>223</v>
      </c>
      <c r="C2176" s="29" t="s">
        <v>1674</v>
      </c>
      <c r="D2176" s="29" t="s">
        <v>1494</v>
      </c>
      <c r="E2176" s="29">
        <v>0</v>
      </c>
      <c r="F2176" s="29" t="s">
        <v>1470</v>
      </c>
      <c r="G2176" s="30"/>
      <c r="J2176" s="3" t="s">
        <v>20</v>
      </c>
      <c r="K2176" s="3" t="s">
        <v>445</v>
      </c>
      <c r="L2176" s="3" t="s">
        <v>446</v>
      </c>
      <c r="M2176" s="3" t="s">
        <v>446</v>
      </c>
      <c r="N2176" s="3">
        <v>2892</v>
      </c>
      <c r="O2176" s="3">
        <v>18</v>
      </c>
    </row>
    <row r="2177" spans="1:15" s="3" customFormat="1" hidden="1" outlineLevel="1" x14ac:dyDescent="0.25">
      <c r="B2177" s="28" t="s">
        <v>451</v>
      </c>
      <c r="C2177" s="29" t="s">
        <v>1840</v>
      </c>
      <c r="D2177" s="29" t="s">
        <v>1489</v>
      </c>
      <c r="E2177" s="29">
        <v>0</v>
      </c>
      <c r="F2177" s="29" t="s">
        <v>1470</v>
      </c>
      <c r="G2177" s="30"/>
    </row>
    <row r="2178" spans="1:15" s="3" customFormat="1" hidden="1" outlineLevel="1" x14ac:dyDescent="0.25">
      <c r="B2178" s="28" t="s">
        <v>224</v>
      </c>
      <c r="C2178" s="29" t="s">
        <v>1675</v>
      </c>
      <c r="D2178" s="29" t="s">
        <v>1469</v>
      </c>
      <c r="E2178" s="29">
        <v>0</v>
      </c>
      <c r="F2178" s="29" t="s">
        <v>1476</v>
      </c>
      <c r="G2178" s="30"/>
      <c r="J2178" s="3" t="s">
        <v>10</v>
      </c>
      <c r="K2178" s="3" t="s">
        <v>173</v>
      </c>
      <c r="L2178" s="3" t="s">
        <v>436</v>
      </c>
      <c r="M2178" s="3" t="s">
        <v>9</v>
      </c>
      <c r="N2178" s="3">
        <v>2018</v>
      </c>
      <c r="O2178" s="3">
        <v>32</v>
      </c>
    </row>
    <row r="2179" spans="1:15" s="3" customFormat="1" hidden="1" outlineLevel="1" x14ac:dyDescent="0.25">
      <c r="B2179" s="28" t="s">
        <v>437</v>
      </c>
      <c r="C2179" s="23" t="s">
        <v>1830</v>
      </c>
      <c r="D2179" s="23" t="s">
        <v>1616</v>
      </c>
      <c r="E2179" s="23" t="s">
        <v>1594</v>
      </c>
      <c r="F2179" s="23" t="s">
        <v>1476</v>
      </c>
      <c r="G2179" s="24"/>
      <c r="J2179" s="3" t="s">
        <v>187</v>
      </c>
      <c r="K2179" s="3" t="s">
        <v>438</v>
      </c>
      <c r="L2179" s="3" t="s">
        <v>439</v>
      </c>
      <c r="M2179" s="3" t="s">
        <v>187</v>
      </c>
      <c r="N2179" s="3">
        <v>1443</v>
      </c>
      <c r="O2179" s="3">
        <v>2</v>
      </c>
    </row>
    <row r="2180" spans="1:15" s="3" customFormat="1" hidden="1" outlineLevel="1" x14ac:dyDescent="0.25">
      <c r="B2180" s="185" t="s">
        <v>194</v>
      </c>
      <c r="C2180" s="23" t="s">
        <v>1618</v>
      </c>
      <c r="D2180" s="23" t="s">
        <v>1469</v>
      </c>
      <c r="E2180" s="23">
        <v>0</v>
      </c>
      <c r="F2180" s="23"/>
      <c r="G2180" s="24" t="s">
        <v>1619</v>
      </c>
      <c r="J2180" s="3" t="s">
        <v>10</v>
      </c>
      <c r="K2180" s="3" t="s">
        <v>173</v>
      </c>
      <c r="L2180" s="3" t="s">
        <v>436</v>
      </c>
      <c r="M2180" s="3" t="s">
        <v>9</v>
      </c>
      <c r="N2180" s="3">
        <v>3169</v>
      </c>
      <c r="O2180" s="3">
        <v>32</v>
      </c>
    </row>
    <row r="2181" spans="1:15" s="3" customFormat="1" hidden="1" outlineLevel="1" x14ac:dyDescent="0.25">
      <c r="B2181" s="28" t="s">
        <v>195</v>
      </c>
      <c r="C2181" s="29" t="s">
        <v>1620</v>
      </c>
      <c r="D2181" s="29" t="s">
        <v>1469</v>
      </c>
      <c r="E2181" s="29">
        <v>0</v>
      </c>
      <c r="F2181" s="29"/>
      <c r="G2181" s="30" t="s">
        <v>1621</v>
      </c>
      <c r="J2181" s="3" t="s">
        <v>10</v>
      </c>
      <c r="K2181" s="3" t="s">
        <v>173</v>
      </c>
      <c r="L2181" s="3" t="s">
        <v>436</v>
      </c>
      <c r="M2181" s="3" t="s">
        <v>9</v>
      </c>
      <c r="N2181" s="3">
        <v>3168</v>
      </c>
      <c r="O2181" s="3">
        <v>32</v>
      </c>
    </row>
    <row r="2182" spans="1:15" s="3" customFormat="1" hidden="1" outlineLevel="1" x14ac:dyDescent="0.25">
      <c r="B2182" s="28" t="s">
        <v>452</v>
      </c>
      <c r="C2182" s="29" t="s">
        <v>1841</v>
      </c>
      <c r="D2182" s="29" t="s">
        <v>1469</v>
      </c>
      <c r="E2182" s="29">
        <v>1</v>
      </c>
      <c r="F2182" s="29"/>
      <c r="G2182" s="30"/>
    </row>
    <row r="2183" spans="1:15" s="3" customFormat="1" hidden="1" outlineLevel="1" x14ac:dyDescent="0.25">
      <c r="B2183" s="28" t="s">
        <v>454</v>
      </c>
      <c r="C2183" s="29" t="s">
        <v>1842</v>
      </c>
      <c r="D2183" s="29" t="s">
        <v>1567</v>
      </c>
      <c r="E2183" s="29">
        <v>0</v>
      </c>
      <c r="F2183" s="29" t="s">
        <v>1470</v>
      </c>
      <c r="G2183" s="30" t="s">
        <v>1843</v>
      </c>
    </row>
    <row r="2184" spans="1:15" s="3" customFormat="1" hidden="1" outlineLevel="1" x14ac:dyDescent="0.25">
      <c r="B2184" s="28" t="s">
        <v>443</v>
      </c>
      <c r="C2184" s="29" t="s">
        <v>1834</v>
      </c>
      <c r="D2184" s="29" t="s">
        <v>1632</v>
      </c>
      <c r="E2184" s="29" t="s">
        <v>1594</v>
      </c>
      <c r="F2184" s="29"/>
      <c r="G2184" s="30"/>
    </row>
    <row r="2185" spans="1:15" s="3" customFormat="1" hidden="1" outlineLevel="1" x14ac:dyDescent="0.25">
      <c r="B2185" s="217" t="s">
        <v>455</v>
      </c>
      <c r="C2185" s="29" t="s">
        <v>1844</v>
      </c>
      <c r="D2185" s="29" t="s">
        <v>1486</v>
      </c>
      <c r="E2185" s="29">
        <v>0</v>
      </c>
      <c r="F2185" s="29" t="s">
        <v>1470</v>
      </c>
      <c r="G2185" s="30"/>
    </row>
    <row r="2186" spans="1:15" s="3" customFormat="1" hidden="1" outlineLevel="1" x14ac:dyDescent="0.25">
      <c r="B2186" s="217" t="s">
        <v>456</v>
      </c>
      <c r="C2186" s="29" t="s">
        <v>1845</v>
      </c>
      <c r="D2186" s="29" t="s">
        <v>1489</v>
      </c>
      <c r="E2186" s="29">
        <v>0</v>
      </c>
      <c r="F2186" s="29" t="s">
        <v>1470</v>
      </c>
      <c r="G2186" s="30"/>
    </row>
    <row r="2187" spans="1:15" s="3" customFormat="1" ht="16.2" hidden="1" outlineLevel="1" thickBot="1" x14ac:dyDescent="0.3">
      <c r="B2187" s="116"/>
      <c r="C2187" s="117"/>
      <c r="D2187" s="117"/>
      <c r="E2187" s="117"/>
      <c r="F2187" s="117"/>
      <c r="G2187" s="105" t="s">
        <v>457</v>
      </c>
    </row>
    <row r="2188" spans="1:15" s="3" customFormat="1" hidden="1" outlineLevel="1" x14ac:dyDescent="0.25">
      <c r="B2188" s="395" t="s">
        <v>29</v>
      </c>
      <c r="C2188" s="396"/>
      <c r="D2188" s="396"/>
      <c r="E2188" s="396"/>
      <c r="F2188" s="396"/>
      <c r="G2188" s="397"/>
    </row>
    <row r="2189" spans="1:15" s="3" customFormat="1" hidden="1" outlineLevel="1" x14ac:dyDescent="0.25">
      <c r="B2189" s="125"/>
      <c r="C2189" s="117"/>
      <c r="D2189" s="117"/>
      <c r="E2189" s="117"/>
      <c r="F2189" s="117"/>
      <c r="G2189" s="105"/>
    </row>
    <row r="2190" spans="1:15" s="3" customFormat="1" hidden="1" outlineLevel="1" x14ac:dyDescent="0.25">
      <c r="B2190" s="316" t="s">
        <v>256</v>
      </c>
      <c r="C2190" s="117"/>
      <c r="D2190" s="117"/>
      <c r="E2190" s="117"/>
      <c r="F2190" s="117"/>
      <c r="G2190" s="105"/>
    </row>
    <row r="2191" spans="1:15" s="4" customFormat="1" ht="17.399999999999999" hidden="1" customHeight="1" outlineLevel="1" x14ac:dyDescent="0.35">
      <c r="A2191" s="5"/>
      <c r="B2191" s="67" t="s">
        <v>30</v>
      </c>
      <c r="C2191" s="65"/>
      <c r="D2191" s="65"/>
      <c r="E2191" s="65"/>
      <c r="F2191" s="65"/>
      <c r="G2191" s="371" t="s">
        <v>2357</v>
      </c>
      <c r="H2191" s="5"/>
      <c r="I2191" s="5"/>
      <c r="J2191" s="5"/>
      <c r="K2191" s="5"/>
      <c r="L2191" s="5"/>
      <c r="M2191" s="5"/>
    </row>
    <row r="2192" spans="1:15" s="3" customFormat="1" hidden="1" outlineLevel="1" x14ac:dyDescent="0.25">
      <c r="B2192" s="116"/>
      <c r="C2192" s="274"/>
      <c r="D2192" s="274"/>
      <c r="E2192" s="274"/>
      <c r="F2192" s="274"/>
      <c r="G2192" s="275"/>
    </row>
    <row r="2193" spans="1:14" s="3" customFormat="1" hidden="1" outlineLevel="1" x14ac:dyDescent="0.25">
      <c r="B2193" s="83" t="s">
        <v>458</v>
      </c>
      <c r="C2193" s="274"/>
      <c r="D2193" s="274"/>
      <c r="E2193" s="274"/>
      <c r="F2193" s="274"/>
      <c r="G2193" s="376" t="s">
        <v>2399</v>
      </c>
    </row>
    <row r="2194" spans="1:14" s="3" customFormat="1" hidden="1" outlineLevel="1" x14ac:dyDescent="0.25">
      <c r="B2194" s="83"/>
      <c r="C2194" s="274"/>
      <c r="D2194" s="274"/>
      <c r="E2194" s="274"/>
      <c r="F2194" s="274"/>
      <c r="G2194" s="275"/>
    </row>
    <row r="2195" spans="1:14" s="3" customFormat="1" hidden="1" outlineLevel="1" x14ac:dyDescent="0.25"/>
    <row r="2196" spans="1:14" ht="16.2" hidden="1" outlineLevel="1" thickBot="1" x14ac:dyDescent="0.3"/>
    <row r="2197" spans="1:14" s="3" customFormat="1" ht="16.2" collapsed="1" thickBot="1" x14ac:dyDescent="0.3">
      <c r="B2197" s="15" t="s">
        <v>1279</v>
      </c>
      <c r="C2197" s="16" t="s">
        <v>1443</v>
      </c>
      <c r="D2197" s="17" t="s">
        <v>1281</v>
      </c>
      <c r="E2197" s="29" t="s">
        <v>459</v>
      </c>
      <c r="F2197" s="17" t="s">
        <v>1282</v>
      </c>
      <c r="G2197" s="192" t="s">
        <v>1444</v>
      </c>
    </row>
    <row r="2198" spans="1:14" s="3" customFormat="1" hidden="1" outlineLevel="1" x14ac:dyDescent="0.25">
      <c r="B2198" s="179" t="s">
        <v>1284</v>
      </c>
      <c r="C2198" s="29" t="s">
        <v>1285</v>
      </c>
      <c r="D2198" s="180" t="s">
        <v>1286</v>
      </c>
      <c r="E2198" s="29" t="s">
        <v>1445</v>
      </c>
      <c r="F2198" s="180" t="s">
        <v>1288</v>
      </c>
      <c r="G2198" s="30"/>
    </row>
    <row r="2199" spans="1:14" s="3" customFormat="1" ht="16.2" hidden="1" outlineLevel="1" thickBot="1" x14ac:dyDescent="0.3">
      <c r="B2199" s="19" t="s">
        <v>1290</v>
      </c>
      <c r="C2199" s="23" t="s">
        <v>1291</v>
      </c>
      <c r="D2199" s="21" t="s">
        <v>1292</v>
      </c>
      <c r="E2199" s="23">
        <v>5</v>
      </c>
      <c r="F2199" s="21" t="s">
        <v>1293</v>
      </c>
      <c r="G2199" s="24" t="s">
        <v>1294</v>
      </c>
    </row>
    <row r="2200" spans="1:14" s="3" customFormat="1" hidden="1" outlineLevel="1" x14ac:dyDescent="0.25">
      <c r="B2200" s="395" t="s">
        <v>1</v>
      </c>
      <c r="C2200" s="396"/>
      <c r="D2200" s="396"/>
      <c r="E2200" s="396"/>
      <c r="F2200" s="396"/>
      <c r="G2200" s="397"/>
    </row>
    <row r="2201" spans="1:14" s="3" customFormat="1" hidden="1" outlineLevel="1" x14ac:dyDescent="0.25">
      <c r="B2201" s="179" t="s">
        <v>2</v>
      </c>
      <c r="C2201" s="180" t="s">
        <v>3</v>
      </c>
      <c r="D2201" s="180" t="s">
        <v>4</v>
      </c>
      <c r="E2201" s="180" t="s">
        <v>5</v>
      </c>
      <c r="F2201" s="180"/>
      <c r="G2201" s="181" t="s">
        <v>6</v>
      </c>
    </row>
    <row r="2202" spans="1:14" s="3" customFormat="1" hidden="1" outlineLevel="1" x14ac:dyDescent="0.25">
      <c r="B2202" s="28" t="s">
        <v>15</v>
      </c>
      <c r="C2202" s="29" t="s">
        <v>1478</v>
      </c>
      <c r="D2202" s="29" t="s">
        <v>1469</v>
      </c>
      <c r="E2202" s="29">
        <v>0</v>
      </c>
      <c r="F2202" s="29" t="s">
        <v>1470</v>
      </c>
      <c r="G2202" s="30"/>
      <c r="J2202" s="3" t="s">
        <v>10</v>
      </c>
      <c r="N2202" s="3">
        <v>2430</v>
      </c>
    </row>
    <row r="2203" spans="1:14" s="11" customFormat="1" hidden="1" outlineLevel="1" x14ac:dyDescent="0.25">
      <c r="A2203" s="278"/>
      <c r="B2203" s="260" t="s">
        <v>159</v>
      </c>
      <c r="C2203" s="279" t="s">
        <v>1592</v>
      </c>
      <c r="D2203" s="262" t="s">
        <v>1593</v>
      </c>
      <c r="E2203" s="262" t="s">
        <v>1594</v>
      </c>
      <c r="F2203" s="262" t="s">
        <v>1470</v>
      </c>
      <c r="G2203" s="263" t="s">
        <v>1595</v>
      </c>
      <c r="H2203" s="12"/>
      <c r="I2203" s="12"/>
      <c r="J2203" s="12"/>
      <c r="K2203" s="12"/>
      <c r="L2203" s="12"/>
      <c r="M2203" s="12"/>
    </row>
    <row r="2204" spans="1:14" s="3" customFormat="1" hidden="1" outlineLevel="1" x14ac:dyDescent="0.25">
      <c r="B2204" s="28" t="s">
        <v>14</v>
      </c>
      <c r="C2204" s="29" t="s">
        <v>1475</v>
      </c>
      <c r="D2204" s="29" t="s">
        <v>1469</v>
      </c>
      <c r="E2204" s="29">
        <v>0</v>
      </c>
      <c r="F2204" s="29" t="s">
        <v>1476</v>
      </c>
      <c r="G2204" s="30" t="s">
        <v>1477</v>
      </c>
    </row>
    <row r="2205" spans="1:14" s="3" customFormat="1" hidden="1" outlineLevel="1" x14ac:dyDescent="0.25">
      <c r="B2205" s="28" t="s">
        <v>87</v>
      </c>
      <c r="C2205" s="29" t="s">
        <v>1535</v>
      </c>
      <c r="D2205" s="29" t="s">
        <v>1469</v>
      </c>
      <c r="E2205" s="29">
        <v>0</v>
      </c>
      <c r="F2205" s="29" t="s">
        <v>1476</v>
      </c>
      <c r="G2205" s="30"/>
      <c r="J2205" s="3" t="s">
        <v>10</v>
      </c>
      <c r="N2205" s="3">
        <v>2433</v>
      </c>
    </row>
    <row r="2206" spans="1:14" s="3" customFormat="1" hidden="1" outlineLevel="1" x14ac:dyDescent="0.25">
      <c r="B2206" s="185" t="s">
        <v>329</v>
      </c>
      <c r="C2206" s="23" t="s">
        <v>1747</v>
      </c>
      <c r="D2206" s="23" t="s">
        <v>1469</v>
      </c>
      <c r="E2206" s="23">
        <v>0</v>
      </c>
      <c r="F2206" s="23" t="s">
        <v>1476</v>
      </c>
      <c r="G2206" s="24" t="s">
        <v>1748</v>
      </c>
    </row>
    <row r="2207" spans="1:14" s="3" customFormat="1" hidden="1" outlineLevel="1" x14ac:dyDescent="0.25">
      <c r="A2207" s="5"/>
      <c r="B2207" s="31" t="s">
        <v>162</v>
      </c>
      <c r="C2207" s="20" t="s">
        <v>1589</v>
      </c>
      <c r="D2207" s="20" t="s">
        <v>1469</v>
      </c>
      <c r="E2207" s="20">
        <v>0</v>
      </c>
      <c r="F2207" s="20"/>
      <c r="G2207" s="22" t="s">
        <v>1590</v>
      </c>
    </row>
    <row r="2208" spans="1:14" s="3" customFormat="1" hidden="1" outlineLevel="1" x14ac:dyDescent="0.25">
      <c r="A2208" s="5"/>
      <c r="B2208" s="31" t="s">
        <v>163</v>
      </c>
      <c r="C2208" s="20" t="s">
        <v>1591</v>
      </c>
      <c r="D2208" s="20" t="s">
        <v>1469</v>
      </c>
      <c r="E2208" s="20">
        <v>0</v>
      </c>
      <c r="F2208" s="20"/>
      <c r="G2208" s="22" t="s">
        <v>1590</v>
      </c>
    </row>
    <row r="2209" spans="1:15" s="3" customFormat="1" hidden="1" outlineLevel="1" x14ac:dyDescent="0.25">
      <c r="B2209" s="28" t="s">
        <v>128</v>
      </c>
      <c r="C2209" s="29" t="s">
        <v>1566</v>
      </c>
      <c r="D2209" s="29" t="s">
        <v>1567</v>
      </c>
      <c r="E2209" s="29">
        <v>0</v>
      </c>
      <c r="F2209" s="29" t="s">
        <v>1470</v>
      </c>
      <c r="G2209" s="30"/>
      <c r="J2209" s="3" t="s">
        <v>12</v>
      </c>
      <c r="N2209" s="3">
        <v>1629</v>
      </c>
    </row>
    <row r="2210" spans="1:15" s="3" customFormat="1" hidden="1" outlineLevel="1" x14ac:dyDescent="0.25">
      <c r="B2210" s="28" t="s">
        <v>114</v>
      </c>
      <c r="C2210" s="29" t="s">
        <v>1557</v>
      </c>
      <c r="D2210" s="29" t="s">
        <v>1469</v>
      </c>
      <c r="E2210" s="29">
        <v>-1</v>
      </c>
      <c r="F2210" s="29" t="s">
        <v>1470</v>
      </c>
      <c r="G2210" s="30"/>
      <c r="J2210" s="3" t="s">
        <v>10</v>
      </c>
      <c r="N2210" s="3">
        <v>2449</v>
      </c>
    </row>
    <row r="2211" spans="1:15" s="3" customFormat="1" ht="16.2" hidden="1" outlineLevel="1" thickBot="1" x14ac:dyDescent="0.3">
      <c r="B2211" s="163"/>
      <c r="C2211" s="164"/>
      <c r="D2211" s="164"/>
      <c r="E2211" s="164"/>
      <c r="F2211" s="164"/>
      <c r="G2211" s="165"/>
    </row>
    <row r="2212" spans="1:15" s="3" customFormat="1" hidden="1" outlineLevel="1" x14ac:dyDescent="0.25">
      <c r="B2212" s="398" t="s">
        <v>18</v>
      </c>
      <c r="C2212" s="399"/>
      <c r="D2212" s="399"/>
      <c r="E2212" s="399"/>
      <c r="F2212" s="399"/>
      <c r="G2212" s="400"/>
    </row>
    <row r="2213" spans="1:15" s="3" customFormat="1" hidden="1" outlineLevel="1" x14ac:dyDescent="0.25">
      <c r="B2213" s="179" t="s">
        <v>2</v>
      </c>
      <c r="C2213" s="180" t="s">
        <v>3</v>
      </c>
      <c r="D2213" s="180" t="s">
        <v>4</v>
      </c>
      <c r="E2213" s="180" t="s">
        <v>5</v>
      </c>
      <c r="F2213" s="180"/>
      <c r="G2213" s="181" t="s">
        <v>6</v>
      </c>
    </row>
    <row r="2214" spans="1:15" s="3" customFormat="1" hidden="1" outlineLevel="1" x14ac:dyDescent="0.25">
      <c r="B2214" s="185" t="s">
        <v>128</v>
      </c>
      <c r="C2214" s="23" t="s">
        <v>1566</v>
      </c>
      <c r="D2214" s="23" t="s">
        <v>1567</v>
      </c>
      <c r="E2214" s="23">
        <v>0</v>
      </c>
      <c r="F2214" s="23" t="s">
        <v>1470</v>
      </c>
      <c r="G2214" s="24"/>
      <c r="J2214" s="3" t="s">
        <v>12</v>
      </c>
      <c r="K2214" s="3" t="s">
        <v>174</v>
      </c>
      <c r="L2214" s="3" t="s">
        <v>314</v>
      </c>
      <c r="M2214" s="3" t="s">
        <v>176</v>
      </c>
      <c r="N2214" s="3">
        <v>1866</v>
      </c>
      <c r="O2214" s="3">
        <v>64</v>
      </c>
    </row>
    <row r="2215" spans="1:15" s="11" customFormat="1" hidden="1" outlineLevel="1" x14ac:dyDescent="0.25">
      <c r="A2215" s="278"/>
      <c r="B2215" s="260" t="s">
        <v>15</v>
      </c>
      <c r="C2215" s="279" t="s">
        <v>1478</v>
      </c>
      <c r="D2215" s="262" t="s">
        <v>1469</v>
      </c>
      <c r="E2215" s="262">
        <v>0</v>
      </c>
      <c r="F2215" s="262" t="s">
        <v>1470</v>
      </c>
      <c r="G2215" s="263"/>
      <c r="H2215" s="12"/>
      <c r="I2215" s="12"/>
      <c r="J2215" s="12"/>
      <c r="K2215" s="12"/>
      <c r="L2215" s="12"/>
      <c r="M2215" s="12"/>
    </row>
    <row r="2216" spans="1:15" s="11" customFormat="1" hidden="1" outlineLevel="1" x14ac:dyDescent="0.25">
      <c r="A2216" s="278"/>
      <c r="B2216" s="260" t="s">
        <v>14</v>
      </c>
      <c r="C2216" s="279" t="s">
        <v>1475</v>
      </c>
      <c r="D2216" s="262" t="s">
        <v>1469</v>
      </c>
      <c r="E2216" s="262">
        <v>0</v>
      </c>
      <c r="F2216" s="262" t="s">
        <v>1476</v>
      </c>
      <c r="G2216" s="263" t="s">
        <v>1477</v>
      </c>
      <c r="H2216" s="12"/>
      <c r="I2216" s="12"/>
      <c r="J2216" s="12"/>
      <c r="K2216" s="12"/>
      <c r="L2216" s="12"/>
      <c r="M2216" s="12"/>
    </row>
    <row r="2217" spans="1:15" s="11" customFormat="1" hidden="1" outlineLevel="1" x14ac:dyDescent="0.25">
      <c r="A2217" s="278"/>
      <c r="B2217" s="260" t="s">
        <v>159</v>
      </c>
      <c r="C2217" s="279" t="s">
        <v>1592</v>
      </c>
      <c r="D2217" s="262" t="s">
        <v>1593</v>
      </c>
      <c r="E2217" s="262" t="s">
        <v>1594</v>
      </c>
      <c r="F2217" s="262" t="s">
        <v>1470</v>
      </c>
      <c r="G2217" s="263" t="s">
        <v>1595</v>
      </c>
      <c r="H2217" s="12"/>
      <c r="I2217" s="12"/>
      <c r="J2217" s="12"/>
      <c r="K2217" s="12"/>
      <c r="L2217" s="12"/>
      <c r="M2217" s="12"/>
    </row>
    <row r="2218" spans="1:15" s="11" customFormat="1" hidden="1" outlineLevel="1" x14ac:dyDescent="0.25">
      <c r="A2218" s="278"/>
      <c r="B2218" s="260" t="s">
        <v>161</v>
      </c>
      <c r="C2218" s="279" t="s">
        <v>1846</v>
      </c>
      <c r="D2218" s="262" t="s">
        <v>1652</v>
      </c>
      <c r="E2218" s="262" t="s">
        <v>1594</v>
      </c>
      <c r="F2218" s="262" t="s">
        <v>1470</v>
      </c>
      <c r="G2218" s="263"/>
      <c r="H2218" s="12"/>
      <c r="I2218" s="12"/>
      <c r="J2218" s="12"/>
      <c r="K2218" s="12"/>
      <c r="L2218" s="12"/>
      <c r="M2218" s="12"/>
    </row>
    <row r="2219" spans="1:15" s="12" customFormat="1" hidden="1" outlineLevel="1" x14ac:dyDescent="0.25">
      <c r="A2219" s="278"/>
      <c r="B2219" s="201" t="s">
        <v>87</v>
      </c>
      <c r="C2219" s="107" t="s">
        <v>1535</v>
      </c>
      <c r="D2219" s="107" t="s">
        <v>1469</v>
      </c>
      <c r="E2219" s="107">
        <v>0</v>
      </c>
      <c r="F2219" s="107" t="s">
        <v>1476</v>
      </c>
      <c r="G2219" s="108"/>
      <c r="H2219" s="273" t="str">
        <f t="shared" ref="H2219:H2220" si="22">"ifnull("&amp;IF(I2219&lt;&gt;"",I2219,IF(F2220&lt;&gt;"",F2220,"t")&amp;"."&amp;C2220)&amp;","&amp;E2220&amp;") as "&amp;C2220&amp;",/*"&amp;B2220&amp;"*/"</f>
        <v>ifnull(select.asset_type,0) as asset_type,/*资产类型*/</v>
      </c>
    </row>
    <row r="2220" spans="1:15" s="12" customFormat="1" hidden="1" outlineLevel="1" x14ac:dyDescent="0.25">
      <c r="A2220" s="278"/>
      <c r="B2220" s="201" t="s">
        <v>329</v>
      </c>
      <c r="C2220" s="107" t="s">
        <v>1747</v>
      </c>
      <c r="D2220" s="107" t="s">
        <v>1469</v>
      </c>
      <c r="E2220" s="107">
        <v>0</v>
      </c>
      <c r="F2220" s="107" t="s">
        <v>1476</v>
      </c>
      <c r="G2220" s="108" t="s">
        <v>1748</v>
      </c>
      <c r="H2220" s="273" t="str">
        <f t="shared" si="22"/>
        <v>ifnull(input.up_limit_price,0) as up_limit_price,/*涨停价*/</v>
      </c>
    </row>
    <row r="2221" spans="1:15" s="6" customFormat="1" hidden="1" outlineLevel="1" x14ac:dyDescent="0.25">
      <c r="A2221" s="278"/>
      <c r="B2221" s="260" t="s">
        <v>460</v>
      </c>
      <c r="C2221" s="262" t="s">
        <v>1847</v>
      </c>
      <c r="D2221" s="262" t="s">
        <v>1539</v>
      </c>
      <c r="E2221" s="262">
        <v>0</v>
      </c>
      <c r="F2221" s="262" t="s">
        <v>1470</v>
      </c>
      <c r="G2221" s="263"/>
      <c r="H2221" s="3"/>
      <c r="I2221" s="3"/>
      <c r="J2221" s="3"/>
      <c r="K2221" s="3"/>
      <c r="L2221" s="3"/>
      <c r="M2221" s="3"/>
    </row>
    <row r="2222" spans="1:15" s="6" customFormat="1" hidden="1" outlineLevel="1" x14ac:dyDescent="0.25">
      <c r="A2222" s="278"/>
      <c r="B2222" s="260" t="s">
        <v>461</v>
      </c>
      <c r="C2222" s="262" t="s">
        <v>1848</v>
      </c>
      <c r="D2222" s="262" t="s">
        <v>1539</v>
      </c>
      <c r="E2222" s="262">
        <v>0</v>
      </c>
      <c r="F2222" s="262" t="s">
        <v>1470</v>
      </c>
      <c r="G2222" s="263"/>
      <c r="H2222" s="3"/>
      <c r="I2222" s="3"/>
      <c r="J2222" s="3"/>
      <c r="K2222" s="3"/>
      <c r="L2222" s="3"/>
      <c r="M2222" s="3"/>
    </row>
    <row r="2223" spans="1:15" s="6" customFormat="1" hidden="1" outlineLevel="1" x14ac:dyDescent="0.25">
      <c r="A2223" s="278"/>
      <c r="B2223" s="260" t="s">
        <v>115</v>
      </c>
      <c r="C2223" s="262" t="s">
        <v>1558</v>
      </c>
      <c r="D2223" s="262" t="s">
        <v>1539</v>
      </c>
      <c r="E2223" s="262">
        <v>0</v>
      </c>
      <c r="F2223" s="262" t="s">
        <v>1470</v>
      </c>
      <c r="G2223" s="263"/>
      <c r="H2223" s="3"/>
      <c r="I2223" s="3"/>
      <c r="J2223" s="3"/>
      <c r="K2223" s="3"/>
      <c r="L2223" s="3"/>
      <c r="M2223" s="3"/>
    </row>
    <row r="2224" spans="1:15" s="6" customFormat="1" hidden="1" outlineLevel="1" x14ac:dyDescent="0.25">
      <c r="A2224" s="278"/>
      <c r="B2224" s="260" t="s">
        <v>327</v>
      </c>
      <c r="C2224" s="262" t="s">
        <v>1745</v>
      </c>
      <c r="D2224" s="262" t="s">
        <v>1539</v>
      </c>
      <c r="E2224" s="262">
        <v>0</v>
      </c>
      <c r="F2224" s="262" t="s">
        <v>1470</v>
      </c>
      <c r="G2224" s="263"/>
      <c r="H2224" s="3"/>
      <c r="I2224" s="3"/>
      <c r="J2224" s="3"/>
      <c r="K2224" s="3"/>
      <c r="L2224" s="3"/>
      <c r="M2224" s="3"/>
    </row>
    <row r="2225" spans="1:13" s="6" customFormat="1" hidden="1" outlineLevel="1" x14ac:dyDescent="0.25">
      <c r="A2225" s="278"/>
      <c r="B2225" s="260" t="s">
        <v>462</v>
      </c>
      <c r="C2225" s="262" t="s">
        <v>1849</v>
      </c>
      <c r="D2225" s="262" t="s">
        <v>1539</v>
      </c>
      <c r="E2225" s="262">
        <v>0</v>
      </c>
      <c r="F2225" s="262" t="s">
        <v>1470</v>
      </c>
      <c r="G2225" s="263"/>
      <c r="H2225" s="3"/>
      <c r="I2225" s="3"/>
      <c r="J2225" s="3"/>
      <c r="K2225" s="3"/>
      <c r="L2225" s="3"/>
      <c r="M2225" s="3"/>
    </row>
    <row r="2226" spans="1:13" s="6" customFormat="1" hidden="1" outlineLevel="1" x14ac:dyDescent="0.25">
      <c r="A2226" s="278"/>
      <c r="B2226" s="260" t="s">
        <v>91</v>
      </c>
      <c r="C2226" s="262" t="s">
        <v>1541</v>
      </c>
      <c r="D2226" s="262" t="s">
        <v>1539</v>
      </c>
      <c r="E2226" s="262">
        <v>0</v>
      </c>
      <c r="F2226" s="262" t="s">
        <v>1470</v>
      </c>
      <c r="G2226" s="263"/>
      <c r="H2226" s="3"/>
      <c r="I2226" s="3"/>
      <c r="J2226" s="3"/>
      <c r="K2226" s="3"/>
      <c r="L2226" s="3"/>
      <c r="M2226" s="3"/>
    </row>
    <row r="2227" spans="1:13" s="6" customFormat="1" hidden="1" outlineLevel="1" x14ac:dyDescent="0.25">
      <c r="A2227" s="278"/>
      <c r="B2227" s="260" t="s">
        <v>463</v>
      </c>
      <c r="C2227" s="262" t="s">
        <v>1850</v>
      </c>
      <c r="D2227" s="262" t="s">
        <v>1539</v>
      </c>
      <c r="E2227" s="262">
        <v>0</v>
      </c>
      <c r="F2227" s="262" t="s">
        <v>1470</v>
      </c>
      <c r="G2227" s="263"/>
      <c r="H2227" s="3"/>
      <c r="I2227" s="3"/>
      <c r="J2227" s="3"/>
      <c r="K2227" s="3"/>
      <c r="L2227" s="3"/>
      <c r="M2227" s="3"/>
    </row>
    <row r="2228" spans="1:13" s="6" customFormat="1" hidden="1" outlineLevel="1" x14ac:dyDescent="0.25">
      <c r="A2228" s="278"/>
      <c r="B2228" s="260" t="s">
        <v>464</v>
      </c>
      <c r="C2228" s="262" t="s">
        <v>1851</v>
      </c>
      <c r="D2228" s="262" t="s">
        <v>1539</v>
      </c>
      <c r="E2228" s="262">
        <v>0</v>
      </c>
      <c r="F2228" s="262" t="s">
        <v>1470</v>
      </c>
      <c r="G2228" s="263"/>
      <c r="H2228" s="3"/>
      <c r="I2228" s="3"/>
      <c r="J2228" s="3"/>
      <c r="K2228" s="3"/>
      <c r="L2228" s="3"/>
      <c r="M2228" s="3"/>
    </row>
    <row r="2229" spans="1:13" s="6" customFormat="1" hidden="1" outlineLevel="1" x14ac:dyDescent="0.25">
      <c r="A2229" s="278"/>
      <c r="B2229" s="280" t="s">
        <v>465</v>
      </c>
      <c r="C2229" s="262" t="s">
        <v>1852</v>
      </c>
      <c r="D2229" s="262" t="s">
        <v>1539</v>
      </c>
      <c r="E2229" s="262">
        <v>0</v>
      </c>
      <c r="F2229" s="262" t="s">
        <v>1470</v>
      </c>
      <c r="G2229" s="263"/>
      <c r="H2229" s="3"/>
      <c r="I2229" s="3"/>
      <c r="J2229" s="3"/>
      <c r="K2229" s="3"/>
      <c r="L2229" s="3"/>
      <c r="M2229" s="3"/>
    </row>
    <row r="2230" spans="1:13" s="6" customFormat="1" hidden="1" outlineLevel="1" x14ac:dyDescent="0.25">
      <c r="A2230" s="278"/>
      <c r="B2230" s="280" t="s">
        <v>466</v>
      </c>
      <c r="C2230" s="262" t="s">
        <v>1853</v>
      </c>
      <c r="D2230" s="262" t="s">
        <v>1486</v>
      </c>
      <c r="E2230" s="262">
        <v>0</v>
      </c>
      <c r="F2230" s="262" t="s">
        <v>1470</v>
      </c>
      <c r="G2230" s="263"/>
      <c r="H2230" s="3"/>
      <c r="I2230" s="3"/>
      <c r="J2230" s="3"/>
      <c r="K2230" s="3"/>
      <c r="L2230" s="3"/>
      <c r="M2230" s="3"/>
    </row>
    <row r="2231" spans="1:13" s="6" customFormat="1" hidden="1" outlineLevel="1" x14ac:dyDescent="0.25">
      <c r="A2231" s="278"/>
      <c r="B2231" s="280" t="s">
        <v>467</v>
      </c>
      <c r="C2231" s="262" t="s">
        <v>1854</v>
      </c>
      <c r="D2231" s="262" t="s">
        <v>1539</v>
      </c>
      <c r="E2231" s="262">
        <v>0</v>
      </c>
      <c r="F2231" s="262" t="s">
        <v>1470</v>
      </c>
      <c r="G2231" s="263"/>
      <c r="H2231" s="3"/>
      <c r="I2231" s="3"/>
      <c r="J2231" s="3"/>
      <c r="K2231" s="3"/>
      <c r="L2231" s="3"/>
      <c r="M2231" s="3"/>
    </row>
    <row r="2232" spans="1:13" s="6" customFormat="1" hidden="1" outlineLevel="1" x14ac:dyDescent="0.25">
      <c r="A2232" s="278"/>
      <c r="B2232" s="280" t="s">
        <v>468</v>
      </c>
      <c r="C2232" s="262" t="s">
        <v>1855</v>
      </c>
      <c r="D2232" s="262" t="s">
        <v>1486</v>
      </c>
      <c r="E2232" s="262">
        <v>0</v>
      </c>
      <c r="F2232" s="262" t="s">
        <v>1470</v>
      </c>
      <c r="G2232" s="263"/>
      <c r="H2232" s="3"/>
      <c r="I2232" s="3"/>
      <c r="J2232" s="3"/>
      <c r="K2232" s="3"/>
      <c r="L2232" s="3"/>
      <c r="M2232" s="3"/>
    </row>
    <row r="2233" spans="1:13" s="6" customFormat="1" hidden="1" outlineLevel="1" x14ac:dyDescent="0.25">
      <c r="A2233" s="278"/>
      <c r="B2233" s="280" t="s">
        <v>469</v>
      </c>
      <c r="C2233" s="262" t="s">
        <v>1856</v>
      </c>
      <c r="D2233" s="262" t="s">
        <v>1539</v>
      </c>
      <c r="E2233" s="262">
        <v>0</v>
      </c>
      <c r="F2233" s="262" t="s">
        <v>1470</v>
      </c>
      <c r="G2233" s="263"/>
      <c r="H2233" s="3"/>
      <c r="I2233" s="3"/>
      <c r="J2233" s="3"/>
      <c r="K2233" s="3"/>
      <c r="L2233" s="3"/>
      <c r="M2233" s="3"/>
    </row>
    <row r="2234" spans="1:13" s="6" customFormat="1" hidden="1" outlineLevel="1" x14ac:dyDescent="0.25">
      <c r="A2234" s="278"/>
      <c r="B2234" s="280" t="s">
        <v>470</v>
      </c>
      <c r="C2234" s="262" t="s">
        <v>1857</v>
      </c>
      <c r="D2234" s="262" t="s">
        <v>1486</v>
      </c>
      <c r="E2234" s="262">
        <v>0</v>
      </c>
      <c r="F2234" s="262" t="s">
        <v>1470</v>
      </c>
      <c r="G2234" s="263"/>
      <c r="H2234" s="3"/>
      <c r="I2234" s="3"/>
      <c r="J2234" s="3"/>
      <c r="K2234" s="3"/>
      <c r="L2234" s="3"/>
      <c r="M2234" s="3"/>
    </row>
    <row r="2235" spans="1:13" s="6" customFormat="1" hidden="1" outlineLevel="1" x14ac:dyDescent="0.25">
      <c r="A2235" s="278"/>
      <c r="B2235" s="280" t="s">
        <v>471</v>
      </c>
      <c r="C2235" s="262" t="s">
        <v>1858</v>
      </c>
      <c r="D2235" s="262" t="s">
        <v>1539</v>
      </c>
      <c r="E2235" s="262">
        <v>0</v>
      </c>
      <c r="F2235" s="262" t="s">
        <v>1470</v>
      </c>
      <c r="G2235" s="263"/>
      <c r="H2235" s="3"/>
      <c r="I2235" s="3"/>
      <c r="J2235" s="3"/>
      <c r="K2235" s="3"/>
      <c r="L2235" s="3"/>
      <c r="M2235" s="3"/>
    </row>
    <row r="2236" spans="1:13" s="6" customFormat="1" hidden="1" outlineLevel="1" x14ac:dyDescent="0.25">
      <c r="A2236" s="278"/>
      <c r="B2236" s="280" t="s">
        <v>472</v>
      </c>
      <c r="C2236" s="262" t="s">
        <v>1859</v>
      </c>
      <c r="D2236" s="262" t="s">
        <v>1486</v>
      </c>
      <c r="E2236" s="262">
        <v>0</v>
      </c>
      <c r="F2236" s="262" t="s">
        <v>1470</v>
      </c>
      <c r="G2236" s="263"/>
      <c r="H2236" s="3"/>
      <c r="I2236" s="3"/>
      <c r="J2236" s="3"/>
      <c r="K2236" s="3"/>
      <c r="L2236" s="3"/>
      <c r="M2236" s="3"/>
    </row>
    <row r="2237" spans="1:13" s="6" customFormat="1" hidden="1" outlineLevel="1" x14ac:dyDescent="0.25">
      <c r="A2237" s="278"/>
      <c r="B2237" s="280" t="s">
        <v>473</v>
      </c>
      <c r="C2237" s="262" t="s">
        <v>1860</v>
      </c>
      <c r="D2237" s="262" t="s">
        <v>1539</v>
      </c>
      <c r="E2237" s="262">
        <v>0</v>
      </c>
      <c r="F2237" s="262" t="s">
        <v>1470</v>
      </c>
      <c r="G2237" s="263"/>
      <c r="H2237" s="3"/>
      <c r="I2237" s="3"/>
      <c r="J2237" s="3"/>
      <c r="K2237" s="3"/>
      <c r="L2237" s="3"/>
      <c r="M2237" s="3"/>
    </row>
    <row r="2238" spans="1:13" s="6" customFormat="1" hidden="1" outlineLevel="1" x14ac:dyDescent="0.25">
      <c r="A2238" s="278"/>
      <c r="B2238" s="280" t="s">
        <v>474</v>
      </c>
      <c r="C2238" s="262" t="s">
        <v>1861</v>
      </c>
      <c r="D2238" s="262" t="s">
        <v>1486</v>
      </c>
      <c r="E2238" s="262">
        <v>0</v>
      </c>
      <c r="F2238" s="262" t="s">
        <v>1470</v>
      </c>
      <c r="G2238" s="263"/>
      <c r="H2238" s="3"/>
      <c r="I2238" s="3"/>
      <c r="J2238" s="3"/>
      <c r="K2238" s="3"/>
      <c r="L2238" s="3"/>
      <c r="M2238" s="3"/>
    </row>
    <row r="2239" spans="1:13" s="6" customFormat="1" hidden="1" outlineLevel="1" x14ac:dyDescent="0.25">
      <c r="A2239" s="278"/>
      <c r="B2239" s="280" t="s">
        <v>475</v>
      </c>
      <c r="C2239" s="262" t="s">
        <v>1862</v>
      </c>
      <c r="D2239" s="262" t="s">
        <v>1539</v>
      </c>
      <c r="E2239" s="262">
        <v>0</v>
      </c>
      <c r="F2239" s="262" t="s">
        <v>1470</v>
      </c>
      <c r="G2239" s="263"/>
      <c r="H2239" s="3"/>
      <c r="I2239" s="3"/>
      <c r="J2239" s="3"/>
      <c r="K2239" s="3"/>
      <c r="L2239" s="3"/>
      <c r="M2239" s="3"/>
    </row>
    <row r="2240" spans="1:13" s="6" customFormat="1" hidden="1" outlineLevel="1" x14ac:dyDescent="0.25">
      <c r="A2240" s="278"/>
      <c r="B2240" s="280" t="s">
        <v>476</v>
      </c>
      <c r="C2240" s="262" t="s">
        <v>1863</v>
      </c>
      <c r="D2240" s="262" t="s">
        <v>1486</v>
      </c>
      <c r="E2240" s="262">
        <v>0</v>
      </c>
      <c r="F2240" s="262" t="s">
        <v>1470</v>
      </c>
      <c r="G2240" s="263"/>
      <c r="H2240" s="3"/>
      <c r="I2240" s="3"/>
      <c r="J2240" s="3"/>
      <c r="K2240" s="3"/>
      <c r="L2240" s="3"/>
      <c r="M2240" s="3"/>
    </row>
    <row r="2241" spans="1:13" s="6" customFormat="1" hidden="1" outlineLevel="1" x14ac:dyDescent="0.25">
      <c r="A2241" s="278"/>
      <c r="B2241" s="280" t="s">
        <v>477</v>
      </c>
      <c r="C2241" s="262" t="s">
        <v>1864</v>
      </c>
      <c r="D2241" s="262" t="s">
        <v>1539</v>
      </c>
      <c r="E2241" s="262">
        <v>0</v>
      </c>
      <c r="F2241" s="262" t="s">
        <v>1470</v>
      </c>
      <c r="G2241" s="263"/>
      <c r="H2241" s="3"/>
      <c r="I2241" s="3"/>
      <c r="J2241" s="3"/>
      <c r="K2241" s="3"/>
      <c r="L2241" s="3"/>
      <c r="M2241" s="3"/>
    </row>
    <row r="2242" spans="1:13" s="6" customFormat="1" hidden="1" outlineLevel="1" x14ac:dyDescent="0.25">
      <c r="A2242" s="278"/>
      <c r="B2242" s="280" t="s">
        <v>478</v>
      </c>
      <c r="C2242" s="262" t="s">
        <v>1865</v>
      </c>
      <c r="D2242" s="262" t="s">
        <v>1486</v>
      </c>
      <c r="E2242" s="262">
        <v>0</v>
      </c>
      <c r="F2242" s="262" t="s">
        <v>1470</v>
      </c>
      <c r="G2242" s="263"/>
      <c r="H2242" s="3"/>
      <c r="I2242" s="3"/>
      <c r="J2242" s="3"/>
      <c r="K2242" s="3"/>
      <c r="L2242" s="3"/>
      <c r="M2242" s="3"/>
    </row>
    <row r="2243" spans="1:13" s="6" customFormat="1" hidden="1" outlineLevel="1" x14ac:dyDescent="0.25">
      <c r="A2243" s="278"/>
      <c r="B2243" s="280" t="s">
        <v>479</v>
      </c>
      <c r="C2243" s="262" t="s">
        <v>1866</v>
      </c>
      <c r="D2243" s="262" t="s">
        <v>1539</v>
      </c>
      <c r="E2243" s="262">
        <v>0</v>
      </c>
      <c r="F2243" s="262" t="s">
        <v>1470</v>
      </c>
      <c r="G2243" s="263"/>
      <c r="H2243" s="3"/>
      <c r="I2243" s="3"/>
      <c r="J2243" s="3"/>
      <c r="K2243" s="3"/>
      <c r="L2243" s="3"/>
      <c r="M2243" s="3"/>
    </row>
    <row r="2244" spans="1:13" s="6" customFormat="1" hidden="1" outlineLevel="1" x14ac:dyDescent="0.25">
      <c r="A2244" s="278"/>
      <c r="B2244" s="280" t="s">
        <v>480</v>
      </c>
      <c r="C2244" s="262" t="s">
        <v>1867</v>
      </c>
      <c r="D2244" s="262" t="s">
        <v>1486</v>
      </c>
      <c r="E2244" s="262">
        <v>0</v>
      </c>
      <c r="F2244" s="262" t="s">
        <v>1470</v>
      </c>
      <c r="G2244" s="263"/>
      <c r="H2244" s="3"/>
      <c r="I2244" s="3"/>
      <c r="J2244" s="3"/>
      <c r="K2244" s="3"/>
      <c r="L2244" s="3"/>
      <c r="M2244" s="3"/>
    </row>
    <row r="2245" spans="1:13" s="6" customFormat="1" hidden="1" outlineLevel="1" x14ac:dyDescent="0.25">
      <c r="A2245" s="278"/>
      <c r="B2245" s="280" t="s">
        <v>481</v>
      </c>
      <c r="C2245" s="262" t="s">
        <v>1868</v>
      </c>
      <c r="D2245" s="262" t="s">
        <v>1539</v>
      </c>
      <c r="E2245" s="262">
        <v>0</v>
      </c>
      <c r="F2245" s="262" t="s">
        <v>1470</v>
      </c>
      <c r="G2245" s="263"/>
      <c r="H2245" s="3"/>
      <c r="I2245" s="3"/>
      <c r="J2245" s="3"/>
      <c r="K2245" s="3"/>
      <c r="L2245" s="3"/>
      <c r="M2245" s="3"/>
    </row>
    <row r="2246" spans="1:13" s="6" customFormat="1" hidden="1" outlineLevel="1" x14ac:dyDescent="0.25">
      <c r="A2246" s="278"/>
      <c r="B2246" s="280" t="s">
        <v>482</v>
      </c>
      <c r="C2246" s="262" t="s">
        <v>1869</v>
      </c>
      <c r="D2246" s="262" t="s">
        <v>1486</v>
      </c>
      <c r="E2246" s="262">
        <v>0</v>
      </c>
      <c r="F2246" s="262" t="s">
        <v>1470</v>
      </c>
      <c r="G2246" s="263"/>
      <c r="H2246" s="3"/>
      <c r="I2246" s="3"/>
      <c r="J2246" s="3"/>
      <c r="K2246" s="3"/>
      <c r="L2246" s="3"/>
      <c r="M2246" s="3"/>
    </row>
    <row r="2247" spans="1:13" s="6" customFormat="1" hidden="1" outlineLevel="1" x14ac:dyDescent="0.25">
      <c r="A2247" s="278"/>
      <c r="B2247" s="280" t="s">
        <v>483</v>
      </c>
      <c r="C2247" s="262" t="s">
        <v>1870</v>
      </c>
      <c r="D2247" s="262" t="s">
        <v>1539</v>
      </c>
      <c r="E2247" s="262">
        <v>0</v>
      </c>
      <c r="F2247" s="262" t="s">
        <v>1470</v>
      </c>
      <c r="G2247" s="263"/>
      <c r="H2247" s="3"/>
      <c r="I2247" s="3"/>
      <c r="J2247" s="3"/>
      <c r="K2247" s="3"/>
      <c r="L2247" s="3"/>
      <c r="M2247" s="3"/>
    </row>
    <row r="2248" spans="1:13" s="6" customFormat="1" hidden="1" outlineLevel="1" x14ac:dyDescent="0.25">
      <c r="A2248" s="278"/>
      <c r="B2248" s="280" t="s">
        <v>484</v>
      </c>
      <c r="C2248" s="262" t="s">
        <v>1871</v>
      </c>
      <c r="D2248" s="262" t="s">
        <v>1486</v>
      </c>
      <c r="E2248" s="262">
        <v>0</v>
      </c>
      <c r="F2248" s="262" t="s">
        <v>1470</v>
      </c>
      <c r="G2248" s="263"/>
      <c r="H2248" s="3"/>
      <c r="I2248" s="3"/>
      <c r="J2248" s="3"/>
      <c r="K2248" s="3"/>
      <c r="L2248" s="3"/>
      <c r="M2248" s="3"/>
    </row>
    <row r="2249" spans="1:13" s="6" customFormat="1" hidden="1" outlineLevel="1" x14ac:dyDescent="0.25">
      <c r="A2249" s="278"/>
      <c r="B2249" s="260" t="s">
        <v>212</v>
      </c>
      <c r="C2249" s="262" t="s">
        <v>1654</v>
      </c>
      <c r="D2249" s="262" t="s">
        <v>1486</v>
      </c>
      <c r="E2249" s="262">
        <v>0</v>
      </c>
      <c r="F2249" s="262" t="s">
        <v>1470</v>
      </c>
      <c r="G2249" s="263" t="s">
        <v>1655</v>
      </c>
      <c r="H2249" s="3"/>
      <c r="I2249" s="3"/>
      <c r="J2249" s="3"/>
      <c r="K2249" s="3"/>
      <c r="L2249" s="3"/>
      <c r="M2249" s="3"/>
    </row>
    <row r="2250" spans="1:13" s="6" customFormat="1" hidden="1" outlineLevel="1" x14ac:dyDescent="0.25">
      <c r="A2250" s="278"/>
      <c r="B2250" s="260" t="s">
        <v>213</v>
      </c>
      <c r="C2250" s="262" t="s">
        <v>1656</v>
      </c>
      <c r="D2250" s="262" t="s">
        <v>1489</v>
      </c>
      <c r="E2250" s="262">
        <v>0</v>
      </c>
      <c r="F2250" s="262" t="s">
        <v>1470</v>
      </c>
      <c r="G2250" s="263" t="s">
        <v>1657</v>
      </c>
      <c r="H2250" s="3"/>
      <c r="I2250" s="3"/>
      <c r="J2250" s="3"/>
      <c r="K2250" s="3"/>
      <c r="L2250" s="3"/>
      <c r="M2250" s="3"/>
    </row>
    <row r="2251" spans="1:13" s="6" customFormat="1" hidden="1" outlineLevel="1" x14ac:dyDescent="0.25">
      <c r="A2251" s="278"/>
      <c r="B2251" s="260" t="s">
        <v>485</v>
      </c>
      <c r="C2251" s="262" t="s">
        <v>1872</v>
      </c>
      <c r="D2251" s="262" t="s">
        <v>1494</v>
      </c>
      <c r="E2251" s="262">
        <v>0</v>
      </c>
      <c r="F2251" s="262" t="s">
        <v>1470</v>
      </c>
      <c r="G2251" s="263"/>
      <c r="H2251" s="3"/>
      <c r="I2251" s="3"/>
      <c r="J2251" s="3"/>
      <c r="K2251" s="3"/>
      <c r="L2251" s="3"/>
      <c r="M2251" s="3"/>
    </row>
    <row r="2252" spans="1:13" s="12" customFormat="1" hidden="1" outlineLevel="1" x14ac:dyDescent="0.25">
      <c r="A2252" s="278"/>
      <c r="B2252" s="260" t="s">
        <v>486</v>
      </c>
      <c r="C2252" s="262" t="s">
        <v>1873</v>
      </c>
      <c r="D2252" s="262" t="s">
        <v>1469</v>
      </c>
      <c r="E2252" s="262" t="s">
        <v>1874</v>
      </c>
      <c r="F2252" s="262"/>
      <c r="G2252" s="263"/>
    </row>
    <row r="2253" spans="1:13" s="3" customFormat="1" ht="16.2" hidden="1" outlineLevel="1" thickBot="1" x14ac:dyDescent="0.3">
      <c r="B2253" s="116"/>
      <c r="C2253" s="117"/>
      <c r="D2253" s="117"/>
      <c r="E2253" s="117"/>
      <c r="F2253" s="117"/>
      <c r="G2253" s="105" t="s">
        <v>457</v>
      </c>
    </row>
    <row r="2254" spans="1:13" s="3" customFormat="1" hidden="1" outlineLevel="1" x14ac:dyDescent="0.25">
      <c r="B2254" s="395" t="s">
        <v>29</v>
      </c>
      <c r="C2254" s="396"/>
      <c r="D2254" s="396"/>
      <c r="E2254" s="396"/>
      <c r="F2254" s="396"/>
      <c r="G2254" s="397"/>
    </row>
    <row r="2255" spans="1:13" s="3" customFormat="1" hidden="1" outlineLevel="1" x14ac:dyDescent="0.25">
      <c r="B2255" s="125"/>
      <c r="C2255" s="117"/>
      <c r="D2255" s="117"/>
      <c r="E2255" s="117"/>
      <c r="F2255" s="117"/>
      <c r="G2255" s="105"/>
    </row>
    <row r="2256" spans="1:13" s="3" customFormat="1" hidden="1" outlineLevel="1" x14ac:dyDescent="0.25">
      <c r="B2256" s="316"/>
      <c r="C2256" s="117"/>
      <c r="D2256" s="117"/>
      <c r="E2256" s="117"/>
      <c r="F2256" s="117"/>
      <c r="G2256" s="105"/>
    </row>
    <row r="2257" spans="1:14" s="3" customFormat="1" hidden="1" outlineLevel="1" x14ac:dyDescent="0.25">
      <c r="B2257" s="116"/>
      <c r="C2257" s="117"/>
      <c r="D2257" s="117"/>
      <c r="E2257" s="117"/>
      <c r="F2257" s="117"/>
      <c r="G2257" s="105" t="s">
        <v>457</v>
      </c>
    </row>
    <row r="2258" spans="1:14" s="4" customFormat="1" ht="17.399999999999999" hidden="1" customHeight="1" outlineLevel="1" x14ac:dyDescent="0.35">
      <c r="A2258" s="5"/>
      <c r="B2258" s="67" t="s">
        <v>30</v>
      </c>
      <c r="C2258" s="65"/>
      <c r="D2258" s="65"/>
      <c r="E2258" s="65"/>
      <c r="F2258" s="65"/>
      <c r="G2258" s="371" t="s">
        <v>2357</v>
      </c>
      <c r="H2258" s="5"/>
      <c r="I2258" s="5"/>
      <c r="J2258" s="5"/>
      <c r="K2258" s="5"/>
      <c r="L2258" s="5"/>
      <c r="M2258" s="5"/>
    </row>
    <row r="2259" spans="1:14" s="3" customFormat="1" hidden="1" outlineLevel="1" x14ac:dyDescent="0.25">
      <c r="B2259" s="83" t="s">
        <v>487</v>
      </c>
      <c r="C2259" s="274"/>
      <c r="D2259" s="274"/>
      <c r="E2259" s="274"/>
      <c r="F2259" s="274"/>
      <c r="G2259" s="376" t="s">
        <v>2400</v>
      </c>
    </row>
    <row r="2260" spans="1:14" s="3" customFormat="1" hidden="1" outlineLevel="1" x14ac:dyDescent="0.25">
      <c r="B2260" s="83"/>
      <c r="C2260" s="274"/>
      <c r="D2260" s="274"/>
      <c r="E2260" s="274"/>
      <c r="F2260" s="274"/>
      <c r="G2260" s="275"/>
    </row>
    <row r="2261" spans="1:14" s="3" customFormat="1" hidden="1" outlineLevel="1" x14ac:dyDescent="0.25"/>
    <row r="2262" spans="1:14" ht="16.2" hidden="1" outlineLevel="1" thickBot="1" x14ac:dyDescent="0.3"/>
    <row r="2263" spans="1:14" s="3" customFormat="1" ht="16.2" collapsed="1" thickBot="1" x14ac:dyDescent="0.3">
      <c r="B2263" s="15" t="s">
        <v>1279</v>
      </c>
      <c r="C2263" s="16" t="s">
        <v>1446</v>
      </c>
      <c r="D2263" s="17" t="s">
        <v>1281</v>
      </c>
      <c r="E2263" s="29" t="s">
        <v>488</v>
      </c>
      <c r="F2263" s="17" t="s">
        <v>1282</v>
      </c>
      <c r="G2263" s="192" t="s">
        <v>1447</v>
      </c>
    </row>
    <row r="2264" spans="1:14" s="3" customFormat="1" hidden="1" outlineLevel="1" x14ac:dyDescent="0.25">
      <c r="B2264" s="179" t="s">
        <v>1284</v>
      </c>
      <c r="C2264" s="29" t="s">
        <v>1285</v>
      </c>
      <c r="D2264" s="180" t="s">
        <v>1286</v>
      </c>
      <c r="E2264" s="29" t="s">
        <v>1448</v>
      </c>
      <c r="F2264" s="180" t="s">
        <v>1288</v>
      </c>
      <c r="G2264" s="30"/>
    </row>
    <row r="2265" spans="1:14" s="3" customFormat="1" ht="16.2" hidden="1" outlineLevel="1" thickBot="1" x14ac:dyDescent="0.3">
      <c r="B2265" s="19" t="s">
        <v>1290</v>
      </c>
      <c r="C2265" s="23" t="s">
        <v>1291</v>
      </c>
      <c r="D2265" s="21" t="s">
        <v>1292</v>
      </c>
      <c r="E2265" s="23">
        <v>5</v>
      </c>
      <c r="F2265" s="21" t="s">
        <v>1293</v>
      </c>
      <c r="G2265" s="24" t="s">
        <v>1294</v>
      </c>
    </row>
    <row r="2266" spans="1:14" s="3" customFormat="1" hidden="1" outlineLevel="1" x14ac:dyDescent="0.25">
      <c r="B2266" s="395" t="s">
        <v>1</v>
      </c>
      <c r="C2266" s="396"/>
      <c r="D2266" s="396"/>
      <c r="E2266" s="396"/>
      <c r="F2266" s="396"/>
      <c r="G2266" s="397"/>
    </row>
    <row r="2267" spans="1:14" s="3" customFormat="1" hidden="1" outlineLevel="1" x14ac:dyDescent="0.25">
      <c r="B2267" s="179" t="s">
        <v>2</v>
      </c>
      <c r="C2267" s="180" t="s">
        <v>3</v>
      </c>
      <c r="D2267" s="180" t="s">
        <v>4</v>
      </c>
      <c r="E2267" s="180" t="s">
        <v>5</v>
      </c>
      <c r="F2267" s="180"/>
      <c r="G2267" s="181" t="s">
        <v>6</v>
      </c>
    </row>
    <row r="2268" spans="1:14" s="3" customFormat="1" hidden="1" outlineLevel="1" x14ac:dyDescent="0.25">
      <c r="B2268" s="29" t="s">
        <v>112</v>
      </c>
      <c r="C2268" s="29" t="s">
        <v>1555</v>
      </c>
      <c r="D2268" s="29" t="s">
        <v>1469</v>
      </c>
      <c r="E2268" s="29">
        <v>0</v>
      </c>
      <c r="F2268" s="29" t="s">
        <v>1470</v>
      </c>
      <c r="G2268" s="30" t="s">
        <v>1556</v>
      </c>
    </row>
    <row r="2269" spans="1:14" s="3" customFormat="1" hidden="1" outlineLevel="1" x14ac:dyDescent="0.25">
      <c r="B2269" s="29" t="s">
        <v>7</v>
      </c>
      <c r="C2269" s="29" t="s">
        <v>1468</v>
      </c>
      <c r="D2269" s="29" t="s">
        <v>1469</v>
      </c>
      <c r="E2269" s="29">
        <v>0</v>
      </c>
      <c r="F2269" s="29" t="s">
        <v>1470</v>
      </c>
      <c r="G2269" s="30" t="s">
        <v>1471</v>
      </c>
    </row>
    <row r="2270" spans="1:14" s="3" customFormat="1" hidden="1" outlineLevel="1" x14ac:dyDescent="0.25">
      <c r="B2270" s="28" t="s">
        <v>15</v>
      </c>
      <c r="C2270" s="29" t="s">
        <v>1478</v>
      </c>
      <c r="D2270" s="29" t="s">
        <v>1469</v>
      </c>
      <c r="E2270" s="29">
        <v>0</v>
      </c>
      <c r="F2270" s="29" t="s">
        <v>1470</v>
      </c>
      <c r="G2270" s="30"/>
      <c r="J2270" s="3" t="s">
        <v>10</v>
      </c>
      <c r="N2270" s="3">
        <v>2430</v>
      </c>
    </row>
    <row r="2271" spans="1:14" s="11" customFormat="1" hidden="1" outlineLevel="1" x14ac:dyDescent="0.25">
      <c r="A2271" s="278"/>
      <c r="B2271" s="260" t="s">
        <v>159</v>
      </c>
      <c r="C2271" s="279" t="s">
        <v>1592</v>
      </c>
      <c r="D2271" s="262" t="s">
        <v>1593</v>
      </c>
      <c r="E2271" s="262" t="s">
        <v>1594</v>
      </c>
      <c r="F2271" s="262" t="s">
        <v>1470</v>
      </c>
      <c r="G2271" s="263" t="s">
        <v>1595</v>
      </c>
      <c r="H2271" s="12"/>
      <c r="I2271" s="12"/>
      <c r="J2271" s="12"/>
      <c r="K2271" s="12"/>
      <c r="L2271" s="12"/>
      <c r="M2271" s="12"/>
    </row>
    <row r="2272" spans="1:14" s="3" customFormat="1" hidden="1" outlineLevel="1" x14ac:dyDescent="0.25">
      <c r="B2272" s="28" t="s">
        <v>14</v>
      </c>
      <c r="C2272" s="29" t="s">
        <v>1475</v>
      </c>
      <c r="D2272" s="29" t="s">
        <v>1469</v>
      </c>
      <c r="E2272" s="29">
        <v>0</v>
      </c>
      <c r="F2272" s="29" t="s">
        <v>1476</v>
      </c>
      <c r="G2272" s="30" t="s">
        <v>1477</v>
      </c>
    </row>
    <row r="2273" spans="1:15" s="3" customFormat="1" hidden="1" outlineLevel="1" x14ac:dyDescent="0.25">
      <c r="B2273" s="28" t="s">
        <v>87</v>
      </c>
      <c r="C2273" s="29" t="s">
        <v>1535</v>
      </c>
      <c r="D2273" s="29" t="s">
        <v>1469</v>
      </c>
      <c r="E2273" s="29">
        <v>0</v>
      </c>
      <c r="F2273" s="29" t="s">
        <v>1476</v>
      </c>
      <c r="G2273" s="30"/>
      <c r="J2273" s="3" t="s">
        <v>10</v>
      </c>
      <c r="N2273" s="3">
        <v>2433</v>
      </c>
    </row>
    <row r="2274" spans="1:15" s="3" customFormat="1" hidden="1" outlineLevel="1" x14ac:dyDescent="0.25">
      <c r="B2274" s="185" t="s">
        <v>329</v>
      </c>
      <c r="C2274" s="23" t="s">
        <v>1747</v>
      </c>
      <c r="D2274" s="23" t="s">
        <v>1469</v>
      </c>
      <c r="E2274" s="23">
        <v>0</v>
      </c>
      <c r="F2274" s="23" t="s">
        <v>1476</v>
      </c>
      <c r="G2274" s="24" t="s">
        <v>1748</v>
      </c>
    </row>
    <row r="2275" spans="1:15" s="3" customFormat="1" hidden="1" outlineLevel="1" x14ac:dyDescent="0.25">
      <c r="A2275" s="5"/>
      <c r="B2275" s="31" t="s">
        <v>162</v>
      </c>
      <c r="C2275" s="20" t="s">
        <v>1589</v>
      </c>
      <c r="D2275" s="20" t="s">
        <v>1469</v>
      </c>
      <c r="E2275" s="20">
        <v>0</v>
      </c>
      <c r="F2275" s="20"/>
      <c r="G2275" s="22" t="s">
        <v>1590</v>
      </c>
    </row>
    <row r="2276" spans="1:15" s="3" customFormat="1" hidden="1" outlineLevel="1" x14ac:dyDescent="0.25">
      <c r="A2276" s="5"/>
      <c r="B2276" s="31" t="s">
        <v>163</v>
      </c>
      <c r="C2276" s="20" t="s">
        <v>1591</v>
      </c>
      <c r="D2276" s="20" t="s">
        <v>1469</v>
      </c>
      <c r="E2276" s="20">
        <v>0</v>
      </c>
      <c r="F2276" s="20"/>
      <c r="G2276" s="22" t="s">
        <v>1590</v>
      </c>
    </row>
    <row r="2277" spans="1:15" s="3" customFormat="1" hidden="1" outlineLevel="1" x14ac:dyDescent="0.25">
      <c r="B2277" s="28" t="s">
        <v>128</v>
      </c>
      <c r="C2277" s="29" t="s">
        <v>1566</v>
      </c>
      <c r="D2277" s="29" t="s">
        <v>1567</v>
      </c>
      <c r="E2277" s="29">
        <v>0</v>
      </c>
      <c r="F2277" s="29" t="s">
        <v>1470</v>
      </c>
      <c r="G2277" s="30"/>
      <c r="J2277" s="3" t="s">
        <v>12</v>
      </c>
      <c r="N2277" s="3">
        <v>1629</v>
      </c>
    </row>
    <row r="2278" spans="1:15" s="3" customFormat="1" hidden="1" outlineLevel="1" x14ac:dyDescent="0.25">
      <c r="B2278" s="28" t="s">
        <v>114</v>
      </c>
      <c r="C2278" s="29" t="s">
        <v>1557</v>
      </c>
      <c r="D2278" s="29" t="s">
        <v>1469</v>
      </c>
      <c r="E2278" s="29">
        <v>-1</v>
      </c>
      <c r="F2278" s="29" t="s">
        <v>1470</v>
      </c>
      <c r="G2278" s="30"/>
      <c r="J2278" s="3" t="s">
        <v>10</v>
      </c>
      <c r="N2278" s="3">
        <v>2449</v>
      </c>
    </row>
    <row r="2279" spans="1:15" s="3" customFormat="1" ht="16.2" hidden="1" outlineLevel="1" thickBot="1" x14ac:dyDescent="0.3">
      <c r="B2279" s="163"/>
      <c r="C2279" s="164"/>
      <c r="D2279" s="164"/>
      <c r="E2279" s="164"/>
      <c r="F2279" s="164"/>
      <c r="G2279" s="165"/>
    </row>
    <row r="2280" spans="1:15" s="3" customFormat="1" hidden="1" outlineLevel="1" x14ac:dyDescent="0.25">
      <c r="B2280" s="398" t="s">
        <v>18</v>
      </c>
      <c r="C2280" s="399"/>
      <c r="D2280" s="399"/>
      <c r="E2280" s="399"/>
      <c r="F2280" s="399"/>
      <c r="G2280" s="400"/>
    </row>
    <row r="2281" spans="1:15" s="3" customFormat="1" hidden="1" outlineLevel="1" x14ac:dyDescent="0.25">
      <c r="B2281" s="179" t="s">
        <v>2</v>
      </c>
      <c r="C2281" s="180" t="s">
        <v>3</v>
      </c>
      <c r="D2281" s="180" t="s">
        <v>4</v>
      </c>
      <c r="E2281" s="180" t="s">
        <v>5</v>
      </c>
      <c r="F2281" s="180"/>
      <c r="G2281" s="181" t="s">
        <v>6</v>
      </c>
    </row>
    <row r="2282" spans="1:15" s="3" customFormat="1" hidden="1" outlineLevel="1" x14ac:dyDescent="0.25">
      <c r="B2282" s="185" t="s">
        <v>128</v>
      </c>
      <c r="C2282" s="23" t="s">
        <v>1566</v>
      </c>
      <c r="D2282" s="23" t="s">
        <v>1567</v>
      </c>
      <c r="E2282" s="23">
        <v>0</v>
      </c>
      <c r="F2282" s="23" t="s">
        <v>1470</v>
      </c>
      <c r="G2282" s="24"/>
      <c r="J2282" s="3" t="s">
        <v>12</v>
      </c>
      <c r="K2282" s="3" t="s">
        <v>174</v>
      </c>
      <c r="L2282" s="3" t="s">
        <v>314</v>
      </c>
      <c r="M2282" s="3" t="s">
        <v>176</v>
      </c>
      <c r="N2282" s="3">
        <v>1866</v>
      </c>
      <c r="O2282" s="3">
        <v>64</v>
      </c>
    </row>
    <row r="2283" spans="1:15" s="3" customFormat="1" hidden="1" outlineLevel="1" x14ac:dyDescent="0.25">
      <c r="B2283" s="29" t="s">
        <v>16</v>
      </c>
      <c r="C2283" s="29" t="s">
        <v>1479</v>
      </c>
      <c r="D2283" s="29" t="s">
        <v>1469</v>
      </c>
      <c r="E2283" s="29" t="s">
        <v>1480</v>
      </c>
      <c r="F2283" s="29" t="s">
        <v>1481</v>
      </c>
      <c r="G2283" s="30" t="s">
        <v>1482</v>
      </c>
    </row>
    <row r="2284" spans="1:15" s="3" customFormat="1" hidden="1" outlineLevel="1" x14ac:dyDescent="0.25">
      <c r="B2284" s="29" t="s">
        <v>112</v>
      </c>
      <c r="C2284" s="29" t="s">
        <v>1555</v>
      </c>
      <c r="D2284" s="29" t="s">
        <v>1469</v>
      </c>
      <c r="E2284" s="29">
        <v>0</v>
      </c>
      <c r="F2284" s="29" t="s">
        <v>1470</v>
      </c>
      <c r="G2284" s="30" t="s">
        <v>1556</v>
      </c>
    </row>
    <row r="2285" spans="1:15" s="3" customFormat="1" hidden="1" outlineLevel="1" x14ac:dyDescent="0.25">
      <c r="B2285" s="29" t="s">
        <v>7</v>
      </c>
      <c r="C2285" s="29" t="s">
        <v>1468</v>
      </c>
      <c r="D2285" s="29" t="s">
        <v>1469</v>
      </c>
      <c r="E2285" s="29">
        <v>0</v>
      </c>
      <c r="F2285" s="29" t="s">
        <v>1470</v>
      </c>
      <c r="G2285" s="30" t="s">
        <v>1471</v>
      </c>
    </row>
    <row r="2286" spans="1:15" s="3" customFormat="1" hidden="1" outlineLevel="1" x14ac:dyDescent="0.25">
      <c r="B2286" s="201" t="s">
        <v>205</v>
      </c>
      <c r="C2286" s="29" t="s">
        <v>1640</v>
      </c>
      <c r="D2286" s="29" t="s">
        <v>1469</v>
      </c>
      <c r="E2286" s="29">
        <v>0</v>
      </c>
      <c r="F2286" s="29" t="s">
        <v>1476</v>
      </c>
      <c r="G2286" s="30" t="s">
        <v>1641</v>
      </c>
    </row>
    <row r="2287" spans="1:15" s="3" customFormat="1" hidden="1" outlineLevel="1" x14ac:dyDescent="0.25">
      <c r="B2287" s="218" t="s">
        <v>489</v>
      </c>
      <c r="C2287" s="29" t="s">
        <v>1875</v>
      </c>
      <c r="D2287" s="29" t="s">
        <v>1486</v>
      </c>
      <c r="E2287" s="29">
        <v>0</v>
      </c>
      <c r="F2287" s="29"/>
      <c r="G2287" s="30"/>
    </row>
    <row r="2288" spans="1:15" s="3" customFormat="1" hidden="1" outlineLevel="1" x14ac:dyDescent="0.25">
      <c r="B2288" s="218" t="s">
        <v>490</v>
      </c>
      <c r="C2288" s="29" t="s">
        <v>1876</v>
      </c>
      <c r="D2288" s="29" t="s">
        <v>1486</v>
      </c>
      <c r="E2288" s="29">
        <v>0</v>
      </c>
      <c r="F2288" s="29" t="s">
        <v>1470</v>
      </c>
      <c r="G2288" s="30"/>
    </row>
    <row r="2289" spans="1:7" s="3" customFormat="1" hidden="1" outlineLevel="1" x14ac:dyDescent="0.25">
      <c r="B2289" s="218" t="s">
        <v>491</v>
      </c>
      <c r="C2289" s="29" t="s">
        <v>1877</v>
      </c>
      <c r="D2289" s="29" t="s">
        <v>1489</v>
      </c>
      <c r="E2289" s="29">
        <v>0</v>
      </c>
      <c r="F2289" s="29" t="s">
        <v>1470</v>
      </c>
      <c r="G2289" s="30"/>
    </row>
    <row r="2290" spans="1:7" s="3" customFormat="1" hidden="1" outlineLevel="1" x14ac:dyDescent="0.25">
      <c r="B2290" s="201" t="s">
        <v>492</v>
      </c>
      <c r="C2290" s="29" t="s">
        <v>1878</v>
      </c>
      <c r="D2290" s="29" t="s">
        <v>1469</v>
      </c>
      <c r="E2290" s="29">
        <v>0</v>
      </c>
      <c r="F2290" s="29"/>
      <c r="G2290" s="30"/>
    </row>
    <row r="2291" spans="1:7" s="3" customFormat="1" hidden="1" outlineLevel="1" x14ac:dyDescent="0.25">
      <c r="B2291" s="201" t="s">
        <v>207</v>
      </c>
      <c r="C2291" s="29" t="s">
        <v>1644</v>
      </c>
      <c r="D2291" s="29" t="s">
        <v>1486</v>
      </c>
      <c r="E2291" s="29">
        <v>0</v>
      </c>
      <c r="F2291" s="29" t="s">
        <v>1470</v>
      </c>
      <c r="G2291" s="30" t="s">
        <v>1645</v>
      </c>
    </row>
    <row r="2292" spans="1:7" s="3" customFormat="1" hidden="1" outlineLevel="1" x14ac:dyDescent="0.25">
      <c r="B2292" s="201" t="s">
        <v>493</v>
      </c>
      <c r="C2292" s="29" t="s">
        <v>1879</v>
      </c>
      <c r="D2292" s="29" t="s">
        <v>1489</v>
      </c>
      <c r="E2292" s="29">
        <v>0</v>
      </c>
      <c r="F2292" s="29" t="s">
        <v>1470</v>
      </c>
      <c r="G2292" s="30"/>
    </row>
    <row r="2293" spans="1:7" s="3" customFormat="1" hidden="1" outlineLevel="1" x14ac:dyDescent="0.25">
      <c r="B2293" s="281" t="s">
        <v>494</v>
      </c>
      <c r="C2293" s="29" t="s">
        <v>1880</v>
      </c>
      <c r="D2293" s="29" t="s">
        <v>1489</v>
      </c>
      <c r="E2293" s="29">
        <v>0</v>
      </c>
      <c r="F2293" s="29"/>
      <c r="G2293" s="30"/>
    </row>
    <row r="2294" spans="1:7" s="3" customFormat="1" hidden="1" outlineLevel="1" x14ac:dyDescent="0.25">
      <c r="B2294" s="201" t="s">
        <v>495</v>
      </c>
      <c r="C2294" s="29" t="s">
        <v>1881</v>
      </c>
      <c r="D2294" s="29" t="s">
        <v>1469</v>
      </c>
      <c r="E2294" s="29">
        <v>0</v>
      </c>
      <c r="F2294" s="29" t="s">
        <v>1470</v>
      </c>
      <c r="G2294" s="30"/>
    </row>
    <row r="2295" spans="1:7" s="3" customFormat="1" hidden="1" outlineLevel="1" x14ac:dyDescent="0.25">
      <c r="B2295" s="282" t="s">
        <v>212</v>
      </c>
      <c r="C2295" s="29" t="s">
        <v>1654</v>
      </c>
      <c r="D2295" s="29" t="s">
        <v>1486</v>
      </c>
      <c r="E2295" s="29">
        <v>0</v>
      </c>
      <c r="F2295" s="29" t="s">
        <v>1470</v>
      </c>
      <c r="G2295" s="30" t="s">
        <v>1655</v>
      </c>
    </row>
    <row r="2296" spans="1:7" s="3" customFormat="1" hidden="1" outlineLevel="1" x14ac:dyDescent="0.25">
      <c r="B2296" s="282" t="s">
        <v>213</v>
      </c>
      <c r="C2296" s="29" t="s">
        <v>1656</v>
      </c>
      <c r="D2296" s="29" t="s">
        <v>1489</v>
      </c>
      <c r="E2296" s="29">
        <v>0</v>
      </c>
      <c r="F2296" s="29" t="s">
        <v>1470</v>
      </c>
      <c r="G2296" s="30" t="s">
        <v>1657</v>
      </c>
    </row>
    <row r="2297" spans="1:7" s="3" customFormat="1" hidden="1" outlineLevel="1" x14ac:dyDescent="0.25">
      <c r="B2297" s="201" t="s">
        <v>159</v>
      </c>
      <c r="C2297" s="29" t="s">
        <v>1592</v>
      </c>
      <c r="D2297" s="29" t="s">
        <v>1593</v>
      </c>
      <c r="E2297" s="29" t="s">
        <v>1594</v>
      </c>
      <c r="F2297" s="29" t="s">
        <v>1470</v>
      </c>
      <c r="G2297" s="30" t="s">
        <v>1595</v>
      </c>
    </row>
    <row r="2298" spans="1:7" s="3" customFormat="1" hidden="1" outlineLevel="1" x14ac:dyDescent="0.25">
      <c r="B2298" s="28" t="s">
        <v>14</v>
      </c>
      <c r="C2298" s="29" t="s">
        <v>1475</v>
      </c>
      <c r="D2298" s="29" t="s">
        <v>1469</v>
      </c>
      <c r="E2298" s="29">
        <v>0</v>
      </c>
      <c r="F2298" s="29" t="s">
        <v>1476</v>
      </c>
      <c r="G2298" s="30" t="s">
        <v>1477</v>
      </c>
    </row>
    <row r="2299" spans="1:7" s="3" customFormat="1" hidden="1" outlineLevel="1" x14ac:dyDescent="0.25">
      <c r="B2299" s="201" t="s">
        <v>15</v>
      </c>
      <c r="C2299" s="29" t="s">
        <v>1478</v>
      </c>
      <c r="D2299" s="29" t="s">
        <v>1469</v>
      </c>
      <c r="E2299" s="29">
        <v>0</v>
      </c>
      <c r="F2299" s="29" t="s">
        <v>1470</v>
      </c>
      <c r="G2299" s="30"/>
    </row>
    <row r="2300" spans="1:7" s="3" customFormat="1" hidden="1" outlineLevel="1" x14ac:dyDescent="0.25">
      <c r="B2300" s="201" t="s">
        <v>87</v>
      </c>
      <c r="C2300" s="29" t="s">
        <v>1535</v>
      </c>
      <c r="D2300" s="29" t="s">
        <v>1469</v>
      </c>
      <c r="E2300" s="29">
        <v>0</v>
      </c>
      <c r="F2300" s="29" t="s">
        <v>1476</v>
      </c>
      <c r="G2300" s="30"/>
    </row>
    <row r="2301" spans="1:7" s="3" customFormat="1" hidden="1" outlineLevel="1" x14ac:dyDescent="0.25">
      <c r="B2301" s="201" t="s">
        <v>329</v>
      </c>
      <c r="C2301" s="29" t="s">
        <v>1747</v>
      </c>
      <c r="D2301" s="29" t="s">
        <v>1469</v>
      </c>
      <c r="E2301" s="29">
        <v>0</v>
      </c>
      <c r="F2301" s="29" t="s">
        <v>1476</v>
      </c>
      <c r="G2301" s="30" t="s">
        <v>1748</v>
      </c>
    </row>
    <row r="2302" spans="1:7" s="3" customFormat="1" hidden="1" outlineLevel="1" x14ac:dyDescent="0.25">
      <c r="B2302" s="217" t="s">
        <v>455</v>
      </c>
      <c r="C2302" s="29" t="s">
        <v>1844</v>
      </c>
      <c r="D2302" s="29" t="s">
        <v>1486</v>
      </c>
      <c r="E2302" s="29">
        <v>0</v>
      </c>
      <c r="F2302" s="29" t="s">
        <v>1470</v>
      </c>
      <c r="G2302" s="30"/>
    </row>
    <row r="2303" spans="1:7" s="3" customFormat="1" hidden="1" outlineLevel="1" x14ac:dyDescent="0.25">
      <c r="B2303" s="217" t="s">
        <v>456</v>
      </c>
      <c r="C2303" s="29" t="s">
        <v>1845</v>
      </c>
      <c r="D2303" s="29" t="s">
        <v>1489</v>
      </c>
      <c r="E2303" s="29">
        <v>0</v>
      </c>
      <c r="F2303" s="29" t="s">
        <v>1470</v>
      </c>
      <c r="G2303" s="30"/>
    </row>
    <row r="2304" spans="1:7" s="12" customFormat="1" hidden="1" outlineLevel="1" x14ac:dyDescent="0.25">
      <c r="A2304" s="278"/>
      <c r="B2304" s="260" t="s">
        <v>115</v>
      </c>
      <c r="C2304" s="262" t="s">
        <v>1558</v>
      </c>
      <c r="D2304" s="262" t="s">
        <v>1539</v>
      </c>
      <c r="E2304" s="262">
        <v>0</v>
      </c>
      <c r="F2304" s="262" t="s">
        <v>1470</v>
      </c>
      <c r="G2304" s="263"/>
    </row>
    <row r="2305" spans="1:13" s="3" customFormat="1" ht="16.2" hidden="1" outlineLevel="1" thickBot="1" x14ac:dyDescent="0.3">
      <c r="B2305" s="116"/>
      <c r="C2305" s="117"/>
      <c r="D2305" s="117"/>
      <c r="E2305" s="117"/>
      <c r="F2305" s="117"/>
      <c r="G2305" s="105" t="s">
        <v>457</v>
      </c>
    </row>
    <row r="2306" spans="1:13" s="3" customFormat="1" hidden="1" outlineLevel="1" x14ac:dyDescent="0.25">
      <c r="B2306" s="395" t="s">
        <v>29</v>
      </c>
      <c r="C2306" s="396"/>
      <c r="D2306" s="396"/>
      <c r="E2306" s="396"/>
      <c r="F2306" s="396"/>
      <c r="G2306" s="397"/>
    </row>
    <row r="2307" spans="1:13" s="3" customFormat="1" hidden="1" outlineLevel="1" x14ac:dyDescent="0.25">
      <c r="B2307" s="125"/>
      <c r="C2307" s="117"/>
      <c r="D2307" s="117"/>
      <c r="E2307" s="117"/>
      <c r="F2307" s="117"/>
      <c r="G2307" s="105"/>
    </row>
    <row r="2308" spans="1:13" s="3" customFormat="1" hidden="1" outlineLevel="1" x14ac:dyDescent="0.25">
      <c r="B2308" s="316" t="s">
        <v>256</v>
      </c>
      <c r="C2308" s="117"/>
      <c r="D2308" s="117"/>
      <c r="E2308" s="117"/>
      <c r="F2308" s="117"/>
      <c r="G2308" s="105"/>
    </row>
    <row r="2309" spans="1:13" s="3" customFormat="1" hidden="1" outlineLevel="1" x14ac:dyDescent="0.25">
      <c r="B2309" s="116"/>
      <c r="C2309" s="117"/>
      <c r="D2309" s="117"/>
      <c r="E2309" s="117"/>
      <c r="F2309" s="117"/>
      <c r="G2309" s="105" t="s">
        <v>457</v>
      </c>
    </row>
    <row r="2310" spans="1:13" s="4" customFormat="1" ht="17.399999999999999" hidden="1" customHeight="1" outlineLevel="1" x14ac:dyDescent="0.35">
      <c r="A2310" s="5"/>
      <c r="B2310" s="67" t="s">
        <v>30</v>
      </c>
      <c r="C2310" s="65"/>
      <c r="D2310" s="65"/>
      <c r="E2310" s="65"/>
      <c r="F2310" s="65"/>
      <c r="G2310" s="371" t="s">
        <v>2357</v>
      </c>
      <c r="H2310" s="5"/>
      <c r="I2310" s="5"/>
      <c r="J2310" s="5"/>
      <c r="K2310" s="5"/>
      <c r="L2310" s="5"/>
      <c r="M2310" s="5"/>
    </row>
    <row r="2311" spans="1:13" s="3" customFormat="1" hidden="1" outlineLevel="1" x14ac:dyDescent="0.25">
      <c r="B2311" s="83" t="s">
        <v>496</v>
      </c>
      <c r="C2311" s="274"/>
      <c r="D2311" s="274"/>
      <c r="E2311" s="274"/>
      <c r="F2311" s="274"/>
      <c r="G2311" s="376" t="s">
        <v>2401</v>
      </c>
    </row>
    <row r="2312" spans="1:13" s="3" customFormat="1" hidden="1" outlineLevel="1" x14ac:dyDescent="0.25">
      <c r="B2312" s="83"/>
      <c r="C2312" s="274"/>
      <c r="D2312" s="274"/>
      <c r="E2312" s="274"/>
      <c r="F2312" s="274"/>
      <c r="G2312" s="275"/>
    </row>
    <row r="2313" spans="1:13" s="3" customFormat="1" hidden="1" outlineLevel="1" x14ac:dyDescent="0.25"/>
    <row r="2314" spans="1:13" ht="16.2" hidden="1" outlineLevel="1" thickBot="1" x14ac:dyDescent="0.3"/>
    <row r="2315" spans="1:13" s="3" customFormat="1" ht="16.2" collapsed="1" thickBot="1" x14ac:dyDescent="0.3">
      <c r="B2315" s="15" t="s">
        <v>1279</v>
      </c>
      <c r="C2315" s="16" t="s">
        <v>1449</v>
      </c>
      <c r="D2315" s="17" t="s">
        <v>1281</v>
      </c>
      <c r="E2315" s="29" t="s">
        <v>497</v>
      </c>
      <c r="F2315" s="17" t="s">
        <v>1282</v>
      </c>
      <c r="G2315" s="192" t="s">
        <v>1450</v>
      </c>
    </row>
    <row r="2316" spans="1:13" s="3" customFormat="1" hidden="1" outlineLevel="1" x14ac:dyDescent="0.25">
      <c r="B2316" s="179" t="s">
        <v>1284</v>
      </c>
      <c r="C2316" s="29" t="s">
        <v>1285</v>
      </c>
      <c r="D2316" s="180" t="s">
        <v>1286</v>
      </c>
      <c r="E2316" s="29" t="s">
        <v>1451</v>
      </c>
      <c r="F2316" s="180" t="s">
        <v>1288</v>
      </c>
      <c r="G2316" s="30"/>
    </row>
    <row r="2317" spans="1:13" s="3" customFormat="1" ht="16.2" hidden="1" outlineLevel="1" thickBot="1" x14ac:dyDescent="0.3">
      <c r="B2317" s="19" t="s">
        <v>1290</v>
      </c>
      <c r="C2317" s="23" t="s">
        <v>1291</v>
      </c>
      <c r="D2317" s="21" t="s">
        <v>1292</v>
      </c>
      <c r="E2317" s="23">
        <v>5</v>
      </c>
      <c r="F2317" s="21" t="s">
        <v>1293</v>
      </c>
      <c r="G2317" s="24" t="s">
        <v>1294</v>
      </c>
    </row>
    <row r="2318" spans="1:13" s="3" customFormat="1" hidden="1" outlineLevel="1" x14ac:dyDescent="0.25">
      <c r="B2318" s="395" t="s">
        <v>1</v>
      </c>
      <c r="C2318" s="396"/>
      <c r="D2318" s="396"/>
      <c r="E2318" s="396"/>
      <c r="F2318" s="396"/>
      <c r="G2318" s="397"/>
    </row>
    <row r="2319" spans="1:13" s="3" customFormat="1" hidden="1" outlineLevel="1" x14ac:dyDescent="0.25">
      <c r="B2319" s="179" t="s">
        <v>2</v>
      </c>
      <c r="C2319" s="180" t="s">
        <v>3</v>
      </c>
      <c r="D2319" s="180" t="s">
        <v>4</v>
      </c>
      <c r="E2319" s="180" t="s">
        <v>5</v>
      </c>
      <c r="F2319" s="180"/>
      <c r="G2319" s="181" t="s">
        <v>6</v>
      </c>
    </row>
    <row r="2320" spans="1:13" s="3" customFormat="1" hidden="1" outlineLevel="1" x14ac:dyDescent="0.25">
      <c r="B2320" s="29" t="s">
        <v>112</v>
      </c>
      <c r="C2320" s="29" t="s">
        <v>1555</v>
      </c>
      <c r="D2320" s="29" t="s">
        <v>1469</v>
      </c>
      <c r="E2320" s="29">
        <v>0</v>
      </c>
      <c r="F2320" s="29" t="s">
        <v>1470</v>
      </c>
      <c r="G2320" s="30" t="s">
        <v>1556</v>
      </c>
    </row>
    <row r="2321" spans="1:15" s="3" customFormat="1" hidden="1" outlineLevel="1" x14ac:dyDescent="0.25">
      <c r="B2321" s="29" t="s">
        <v>7</v>
      </c>
      <c r="C2321" s="29" t="s">
        <v>1468</v>
      </c>
      <c r="D2321" s="29" t="s">
        <v>1469</v>
      </c>
      <c r="E2321" s="29">
        <v>0</v>
      </c>
      <c r="F2321" s="29" t="s">
        <v>1470</v>
      </c>
      <c r="G2321" s="30" t="s">
        <v>1471</v>
      </c>
    </row>
    <row r="2322" spans="1:15" s="3" customFormat="1" hidden="1" outlineLevel="1" x14ac:dyDescent="0.25">
      <c r="A2322" s="5"/>
      <c r="B2322" s="31" t="s">
        <v>162</v>
      </c>
      <c r="C2322" s="20" t="s">
        <v>1589</v>
      </c>
      <c r="D2322" s="20" t="s">
        <v>1469</v>
      </c>
      <c r="E2322" s="20">
        <v>0</v>
      </c>
      <c r="F2322" s="20"/>
      <c r="G2322" s="22" t="s">
        <v>1590</v>
      </c>
    </row>
    <row r="2323" spans="1:15" s="3" customFormat="1" hidden="1" outlineLevel="1" x14ac:dyDescent="0.25">
      <c r="A2323" s="5"/>
      <c r="B2323" s="31" t="s">
        <v>163</v>
      </c>
      <c r="C2323" s="20" t="s">
        <v>1591</v>
      </c>
      <c r="D2323" s="20" t="s">
        <v>1469</v>
      </c>
      <c r="E2323" s="20">
        <v>0</v>
      </c>
      <c r="F2323" s="20"/>
      <c r="G2323" s="22" t="s">
        <v>1590</v>
      </c>
    </row>
    <row r="2324" spans="1:15" s="3" customFormat="1" hidden="1" outlineLevel="1" x14ac:dyDescent="0.25">
      <c r="B2324" s="28" t="s">
        <v>128</v>
      </c>
      <c r="C2324" s="29" t="s">
        <v>1566</v>
      </c>
      <c r="D2324" s="29" t="s">
        <v>1567</v>
      </c>
      <c r="E2324" s="29">
        <v>0</v>
      </c>
      <c r="F2324" s="29" t="s">
        <v>1470</v>
      </c>
      <c r="G2324" s="30"/>
      <c r="J2324" s="3" t="s">
        <v>12</v>
      </c>
      <c r="N2324" s="3">
        <v>1629</v>
      </c>
    </row>
    <row r="2325" spans="1:15" s="3" customFormat="1" hidden="1" outlineLevel="1" x14ac:dyDescent="0.25">
      <c r="B2325" s="28" t="s">
        <v>114</v>
      </c>
      <c r="C2325" s="29" t="s">
        <v>1557</v>
      </c>
      <c r="D2325" s="29" t="s">
        <v>1469</v>
      </c>
      <c r="E2325" s="29">
        <v>-1</v>
      </c>
      <c r="F2325" s="29" t="s">
        <v>1470</v>
      </c>
      <c r="G2325" s="30"/>
      <c r="J2325" s="3" t="s">
        <v>10</v>
      </c>
      <c r="N2325" s="3">
        <v>2449</v>
      </c>
    </row>
    <row r="2326" spans="1:15" s="3" customFormat="1" ht="16.2" hidden="1" outlineLevel="1" thickBot="1" x14ac:dyDescent="0.3">
      <c r="B2326" s="163"/>
      <c r="C2326" s="164"/>
      <c r="D2326" s="164"/>
      <c r="E2326" s="164"/>
      <c r="F2326" s="164"/>
      <c r="G2326" s="165"/>
    </row>
    <row r="2327" spans="1:15" s="3" customFormat="1" hidden="1" outlineLevel="1" x14ac:dyDescent="0.25">
      <c r="B2327" s="398" t="s">
        <v>18</v>
      </c>
      <c r="C2327" s="399"/>
      <c r="D2327" s="399"/>
      <c r="E2327" s="399"/>
      <c r="F2327" s="399"/>
      <c r="G2327" s="400"/>
    </row>
    <row r="2328" spans="1:15" s="3" customFormat="1" hidden="1" outlineLevel="1" x14ac:dyDescent="0.25">
      <c r="B2328" s="179" t="s">
        <v>2</v>
      </c>
      <c r="C2328" s="180" t="s">
        <v>3</v>
      </c>
      <c r="D2328" s="180" t="s">
        <v>4</v>
      </c>
      <c r="E2328" s="180" t="s">
        <v>5</v>
      </c>
      <c r="F2328" s="180"/>
      <c r="G2328" s="181" t="s">
        <v>6</v>
      </c>
    </row>
    <row r="2329" spans="1:15" s="3" customFormat="1" hidden="1" outlineLevel="1" x14ac:dyDescent="0.25">
      <c r="B2329" s="185" t="s">
        <v>128</v>
      </c>
      <c r="C2329" s="23" t="s">
        <v>1566</v>
      </c>
      <c r="D2329" s="23" t="s">
        <v>1567</v>
      </c>
      <c r="E2329" s="23">
        <v>0</v>
      </c>
      <c r="F2329" s="23" t="s">
        <v>1470</v>
      </c>
      <c r="G2329" s="24"/>
      <c r="J2329" s="3" t="s">
        <v>12</v>
      </c>
      <c r="K2329" s="3" t="s">
        <v>174</v>
      </c>
      <c r="L2329" s="3" t="s">
        <v>314</v>
      </c>
      <c r="M2329" s="3" t="s">
        <v>176</v>
      </c>
      <c r="N2329" s="3">
        <v>1866</v>
      </c>
      <c r="O2329" s="3">
        <v>64</v>
      </c>
    </row>
    <row r="2330" spans="1:15" s="3" customFormat="1" hidden="1" outlineLevel="1" x14ac:dyDescent="0.25">
      <c r="B2330" s="29" t="s">
        <v>112</v>
      </c>
      <c r="C2330" s="29" t="s">
        <v>1555</v>
      </c>
      <c r="D2330" s="29" t="s">
        <v>1469</v>
      </c>
      <c r="E2330" s="29">
        <v>0</v>
      </c>
      <c r="F2330" s="29" t="s">
        <v>1470</v>
      </c>
      <c r="G2330" s="30" t="s">
        <v>1556</v>
      </c>
    </row>
    <row r="2331" spans="1:15" s="3" customFormat="1" hidden="1" outlineLevel="1" x14ac:dyDescent="0.25">
      <c r="B2331" s="29" t="s">
        <v>7</v>
      </c>
      <c r="C2331" s="29" t="s">
        <v>1468</v>
      </c>
      <c r="D2331" s="29" t="s">
        <v>1469</v>
      </c>
      <c r="E2331" s="29">
        <v>0</v>
      </c>
      <c r="F2331" s="29" t="s">
        <v>1470</v>
      </c>
      <c r="G2331" s="30" t="s">
        <v>1471</v>
      </c>
    </row>
    <row r="2332" spans="1:15" s="3" customFormat="1" hidden="1" outlineLevel="1" x14ac:dyDescent="0.35">
      <c r="B2332" s="283" t="s">
        <v>73</v>
      </c>
      <c r="C2332" s="29" t="s">
        <v>1528</v>
      </c>
      <c r="D2332" s="29" t="s">
        <v>1469</v>
      </c>
      <c r="E2332" s="29" t="s">
        <v>1480</v>
      </c>
      <c r="F2332" s="29" t="s">
        <v>1481</v>
      </c>
      <c r="G2332" s="30"/>
    </row>
    <row r="2333" spans="1:15" s="3" customFormat="1" hidden="1" outlineLevel="1" x14ac:dyDescent="0.35">
      <c r="B2333" s="283" t="s">
        <v>74</v>
      </c>
      <c r="C2333" s="29" t="s">
        <v>1529</v>
      </c>
      <c r="D2333" s="29" t="s">
        <v>1469</v>
      </c>
      <c r="E2333" s="29" t="s">
        <v>1480</v>
      </c>
      <c r="F2333" s="29" t="s">
        <v>1481</v>
      </c>
      <c r="G2333" s="30"/>
    </row>
    <row r="2334" spans="1:15" s="3" customFormat="1" hidden="1" outlineLevel="1" x14ac:dyDescent="0.25">
      <c r="B2334" s="284" t="s">
        <v>498</v>
      </c>
      <c r="C2334" s="29" t="s">
        <v>1882</v>
      </c>
      <c r="D2334" s="29" t="s">
        <v>1494</v>
      </c>
      <c r="E2334" s="29">
        <v>0</v>
      </c>
      <c r="F2334" s="29"/>
      <c r="G2334" s="30"/>
    </row>
    <row r="2335" spans="1:15" s="3" customFormat="1" hidden="1" outlineLevel="1" x14ac:dyDescent="0.25">
      <c r="B2335" s="284" t="s">
        <v>499</v>
      </c>
      <c r="C2335" s="29" t="s">
        <v>1883</v>
      </c>
      <c r="D2335" s="29" t="s">
        <v>1494</v>
      </c>
      <c r="E2335" s="29">
        <v>0</v>
      </c>
      <c r="F2335" s="29"/>
      <c r="G2335" s="30"/>
    </row>
    <row r="2336" spans="1:15" s="3" customFormat="1" hidden="1" outlineLevel="1" x14ac:dyDescent="0.25">
      <c r="B2336" s="285" t="s">
        <v>500</v>
      </c>
      <c r="C2336" s="29" t="s">
        <v>1884</v>
      </c>
      <c r="D2336" s="29" t="s">
        <v>1489</v>
      </c>
      <c r="E2336" s="29">
        <v>0</v>
      </c>
      <c r="F2336" s="29"/>
      <c r="G2336" s="30"/>
    </row>
    <row r="2337" spans="1:7" s="3" customFormat="1" hidden="1" outlineLevel="1" x14ac:dyDescent="0.25">
      <c r="B2337" s="285" t="s">
        <v>165</v>
      </c>
      <c r="C2337" s="29" t="s">
        <v>1597</v>
      </c>
      <c r="D2337" s="29" t="s">
        <v>1489</v>
      </c>
      <c r="E2337" s="29">
        <v>0</v>
      </c>
      <c r="F2337" s="29"/>
      <c r="G2337" s="30"/>
    </row>
    <row r="2338" spans="1:7" s="3" customFormat="1" hidden="1" outlineLevel="1" x14ac:dyDescent="0.25">
      <c r="B2338" s="286" t="s">
        <v>167</v>
      </c>
      <c r="C2338" s="29" t="s">
        <v>1599</v>
      </c>
      <c r="D2338" s="29" t="s">
        <v>1489</v>
      </c>
      <c r="E2338" s="29">
        <v>0</v>
      </c>
      <c r="F2338" s="29"/>
      <c r="G2338" s="30"/>
    </row>
    <row r="2339" spans="1:7" s="3" customFormat="1" hidden="1" outlineLevel="1" x14ac:dyDescent="0.25">
      <c r="B2339" s="28" t="s">
        <v>374</v>
      </c>
      <c r="C2339" s="29" t="s">
        <v>1772</v>
      </c>
      <c r="D2339" s="29" t="s">
        <v>1489</v>
      </c>
      <c r="E2339" s="29">
        <v>0</v>
      </c>
      <c r="F2339" s="29"/>
      <c r="G2339" s="30"/>
    </row>
    <row r="2340" spans="1:7" s="3" customFormat="1" hidden="1" outlineLevel="1" x14ac:dyDescent="0.25">
      <c r="B2340" s="28" t="s">
        <v>501</v>
      </c>
      <c r="C2340" s="29" t="s">
        <v>1885</v>
      </c>
      <c r="D2340" s="29" t="s">
        <v>1489</v>
      </c>
      <c r="E2340" s="29">
        <v>0</v>
      </c>
      <c r="F2340" s="29" t="s">
        <v>1470</v>
      </c>
      <c r="G2340" s="30"/>
    </row>
    <row r="2341" spans="1:7" s="3" customFormat="1" hidden="1" outlineLevel="1" x14ac:dyDescent="0.25">
      <c r="B2341" s="116" t="s">
        <v>502</v>
      </c>
      <c r="C2341" s="29" t="s">
        <v>1886</v>
      </c>
      <c r="D2341" s="29" t="s">
        <v>1489</v>
      </c>
      <c r="E2341" s="29">
        <v>0</v>
      </c>
      <c r="F2341" s="29" t="s">
        <v>1470</v>
      </c>
      <c r="G2341" s="30"/>
    </row>
    <row r="2342" spans="1:7" s="3" customFormat="1" hidden="1" outlineLevel="1" x14ac:dyDescent="0.25">
      <c r="B2342" s="28" t="s">
        <v>503</v>
      </c>
      <c r="C2342" s="29" t="s">
        <v>1887</v>
      </c>
      <c r="D2342" s="29" t="s">
        <v>1489</v>
      </c>
      <c r="E2342" s="29">
        <v>0</v>
      </c>
      <c r="F2342" s="29"/>
      <c r="G2342" s="30"/>
    </row>
    <row r="2343" spans="1:7" s="3" customFormat="1" hidden="1" outlineLevel="1" x14ac:dyDescent="0.25">
      <c r="B2343" s="28" t="s">
        <v>504</v>
      </c>
      <c r="C2343" s="29" t="s">
        <v>1888</v>
      </c>
      <c r="D2343" s="29" t="s">
        <v>1489</v>
      </c>
      <c r="E2343" s="29">
        <v>0</v>
      </c>
      <c r="F2343" s="29"/>
      <c r="G2343" s="30"/>
    </row>
    <row r="2344" spans="1:7" s="3" customFormat="1" hidden="1" outlineLevel="1" x14ac:dyDescent="0.25">
      <c r="B2344" s="28" t="s">
        <v>505</v>
      </c>
      <c r="C2344" s="29" t="s">
        <v>1889</v>
      </c>
      <c r="D2344" s="29" t="s">
        <v>1489</v>
      </c>
      <c r="E2344" s="29">
        <v>0</v>
      </c>
      <c r="F2344" s="29" t="s">
        <v>1470</v>
      </c>
      <c r="G2344" s="30"/>
    </row>
    <row r="2345" spans="1:7" s="3" customFormat="1" hidden="1" outlineLevel="1" x14ac:dyDescent="0.25">
      <c r="B2345" s="28" t="s">
        <v>506</v>
      </c>
      <c r="C2345" s="29" t="s">
        <v>1890</v>
      </c>
      <c r="D2345" s="29" t="s">
        <v>1489</v>
      </c>
      <c r="E2345" s="29">
        <v>0</v>
      </c>
      <c r="F2345" s="29"/>
      <c r="G2345" s="30"/>
    </row>
    <row r="2346" spans="1:7" s="3" customFormat="1" hidden="1" outlineLevel="1" x14ac:dyDescent="0.25">
      <c r="B2346" s="28" t="s">
        <v>507</v>
      </c>
      <c r="C2346" s="29" t="s">
        <v>1891</v>
      </c>
      <c r="D2346" s="29" t="s">
        <v>1489</v>
      </c>
      <c r="E2346" s="29">
        <v>0</v>
      </c>
      <c r="F2346" s="29"/>
      <c r="G2346" s="30"/>
    </row>
    <row r="2347" spans="1:7" s="3" customFormat="1" hidden="1" outlineLevel="1" x14ac:dyDescent="0.25">
      <c r="B2347" s="217"/>
      <c r="C2347" s="29"/>
      <c r="D2347" s="29"/>
      <c r="E2347" s="29"/>
      <c r="F2347" s="29"/>
      <c r="G2347" s="30"/>
    </row>
    <row r="2348" spans="1:7" s="3" customFormat="1" hidden="1" outlineLevel="1" x14ac:dyDescent="0.25">
      <c r="B2348" s="217"/>
      <c r="C2348" s="29"/>
      <c r="D2348" s="29"/>
      <c r="E2348" s="29"/>
      <c r="F2348" s="29"/>
      <c r="G2348" s="30"/>
    </row>
    <row r="2349" spans="1:7" s="12" customFormat="1" hidden="1" outlineLevel="1" x14ac:dyDescent="0.25">
      <c r="A2349" s="278"/>
      <c r="B2349" s="260"/>
      <c r="C2349" s="262"/>
      <c r="D2349" s="262"/>
      <c r="E2349" s="262"/>
      <c r="F2349" s="262"/>
      <c r="G2349" s="263"/>
    </row>
    <row r="2350" spans="1:7" s="3" customFormat="1" ht="16.2" hidden="1" outlineLevel="1" thickBot="1" x14ac:dyDescent="0.3">
      <c r="B2350" s="116"/>
      <c r="C2350" s="117"/>
      <c r="D2350" s="117"/>
      <c r="E2350" s="117"/>
      <c r="F2350" s="117"/>
      <c r="G2350" s="105" t="s">
        <v>457</v>
      </c>
    </row>
    <row r="2351" spans="1:7" s="3" customFormat="1" hidden="1" outlineLevel="1" x14ac:dyDescent="0.25">
      <c r="B2351" s="395" t="s">
        <v>29</v>
      </c>
      <c r="C2351" s="396"/>
      <c r="D2351" s="396"/>
      <c r="E2351" s="396"/>
      <c r="F2351" s="396"/>
      <c r="G2351" s="397"/>
    </row>
    <row r="2352" spans="1:7" s="3" customFormat="1" hidden="1" outlineLevel="1" x14ac:dyDescent="0.25">
      <c r="B2352" s="125"/>
      <c r="C2352" s="117"/>
      <c r="D2352" s="117"/>
      <c r="E2352" s="117"/>
      <c r="F2352" s="117"/>
      <c r="G2352" s="105"/>
    </row>
    <row r="2353" spans="1:14" s="3" customFormat="1" hidden="1" outlineLevel="1" x14ac:dyDescent="0.25">
      <c r="B2353" s="316" t="s">
        <v>256</v>
      </c>
      <c r="C2353" s="117"/>
      <c r="D2353" s="117"/>
      <c r="E2353" s="117"/>
      <c r="F2353" s="117"/>
      <c r="G2353" s="105"/>
    </row>
    <row r="2354" spans="1:14" s="4" customFormat="1" ht="17.399999999999999" hidden="1" customHeight="1" outlineLevel="1" x14ac:dyDescent="0.35">
      <c r="A2354" s="5"/>
      <c r="B2354" s="67" t="s">
        <v>30</v>
      </c>
      <c r="C2354" s="65"/>
      <c r="D2354" s="65"/>
      <c r="E2354" s="65"/>
      <c r="F2354" s="65"/>
      <c r="G2354" s="371" t="s">
        <v>2357</v>
      </c>
      <c r="H2354" s="5"/>
      <c r="I2354" s="5"/>
      <c r="J2354" s="5"/>
      <c r="K2354" s="5"/>
      <c r="L2354" s="5"/>
      <c r="M2354" s="5"/>
    </row>
    <row r="2355" spans="1:14" s="3" customFormat="1" hidden="1" outlineLevel="1" x14ac:dyDescent="0.25">
      <c r="B2355" s="116"/>
      <c r="C2355" s="274"/>
      <c r="D2355" s="274"/>
      <c r="E2355" s="274"/>
      <c r="F2355" s="274"/>
      <c r="G2355" s="275"/>
    </row>
    <row r="2356" spans="1:14" s="3" customFormat="1" hidden="1" outlineLevel="1" x14ac:dyDescent="0.25">
      <c r="B2356" s="83" t="s">
        <v>508</v>
      </c>
      <c r="C2356" s="274"/>
      <c r="D2356" s="274"/>
      <c r="E2356" s="274"/>
      <c r="F2356" s="274"/>
      <c r="G2356" s="376" t="s">
        <v>2402</v>
      </c>
    </row>
    <row r="2357" spans="1:14" s="3" customFormat="1" hidden="1" outlineLevel="1" x14ac:dyDescent="0.25">
      <c r="B2357" s="83"/>
      <c r="C2357" s="274"/>
      <c r="D2357" s="274"/>
      <c r="E2357" s="274"/>
      <c r="F2357" s="274"/>
      <c r="G2357" s="275"/>
    </row>
    <row r="2358" spans="1:14" s="3" customFormat="1" hidden="1" outlineLevel="1" x14ac:dyDescent="0.25"/>
    <row r="2359" spans="1:14" ht="16.2" hidden="1" outlineLevel="1" thickBot="1" x14ac:dyDescent="0.3"/>
    <row r="2360" spans="1:14" s="3" customFormat="1" ht="16.2" collapsed="1" thickBot="1" x14ac:dyDescent="0.3">
      <c r="A2360" s="5"/>
      <c r="B2360" s="15" t="s">
        <v>1279</v>
      </c>
      <c r="C2360" s="16" t="s">
        <v>1452</v>
      </c>
      <c r="D2360" s="17" t="s">
        <v>1281</v>
      </c>
      <c r="E2360" s="39" t="s">
        <v>509</v>
      </c>
      <c r="F2360" s="17" t="s">
        <v>1282</v>
      </c>
      <c r="G2360" s="18" t="s">
        <v>1453</v>
      </c>
    </row>
    <row r="2361" spans="1:14" s="3" customFormat="1" ht="17.399999999999999" hidden="1" customHeight="1" outlineLevel="1" x14ac:dyDescent="0.25">
      <c r="A2361" s="5"/>
      <c r="B2361" s="19" t="s">
        <v>1284</v>
      </c>
      <c r="C2361" s="20" t="s">
        <v>1285</v>
      </c>
      <c r="D2361" s="21" t="s">
        <v>1286</v>
      </c>
      <c r="E2361" s="20" t="s">
        <v>1454</v>
      </c>
      <c r="F2361" s="21" t="s">
        <v>1288</v>
      </c>
      <c r="G2361" s="22" t="s">
        <v>1455</v>
      </c>
    </row>
    <row r="2362" spans="1:14" s="3" customFormat="1" ht="17.399999999999999" hidden="1" customHeight="1" outlineLevel="1" thickBot="1" x14ac:dyDescent="0.3">
      <c r="A2362" s="5"/>
      <c r="B2362" s="19" t="s">
        <v>1290</v>
      </c>
      <c r="C2362" s="23" t="s">
        <v>1291</v>
      </c>
      <c r="D2362" s="21" t="s">
        <v>1292</v>
      </c>
      <c r="E2362" s="23">
        <v>5</v>
      </c>
      <c r="F2362" s="21" t="s">
        <v>1293</v>
      </c>
      <c r="G2362" s="24" t="s">
        <v>1294</v>
      </c>
    </row>
    <row r="2363" spans="1:14" s="3" customFormat="1" ht="17.399999999999999" hidden="1" customHeight="1" outlineLevel="1" x14ac:dyDescent="0.25">
      <c r="A2363" s="5"/>
      <c r="B2363" s="401" t="s">
        <v>1</v>
      </c>
      <c r="C2363" s="402"/>
      <c r="D2363" s="402"/>
      <c r="E2363" s="402"/>
      <c r="F2363" s="402"/>
      <c r="G2363" s="403"/>
    </row>
    <row r="2364" spans="1:14" s="3" customFormat="1" ht="17.399999999999999" hidden="1" customHeight="1" outlineLevel="1" x14ac:dyDescent="0.25">
      <c r="A2364" s="5"/>
      <c r="B2364" s="25" t="s">
        <v>2</v>
      </c>
      <c r="C2364" s="26" t="s">
        <v>3</v>
      </c>
      <c r="D2364" s="26" t="s">
        <v>4</v>
      </c>
      <c r="E2364" s="26" t="s">
        <v>5</v>
      </c>
      <c r="F2364" s="26"/>
      <c r="G2364" s="27" t="s">
        <v>6</v>
      </c>
    </row>
    <row r="2365" spans="1:14" s="3" customFormat="1" hidden="1" outlineLevel="1" x14ac:dyDescent="0.25">
      <c r="A2365" s="5"/>
      <c r="B2365" s="31" t="s">
        <v>162</v>
      </c>
      <c r="C2365" s="20" t="s">
        <v>1589</v>
      </c>
      <c r="D2365" s="20" t="s">
        <v>1469</v>
      </c>
      <c r="E2365" s="20">
        <v>0</v>
      </c>
      <c r="F2365" s="20"/>
      <c r="G2365" s="22" t="s">
        <v>1590</v>
      </c>
    </row>
    <row r="2366" spans="1:14" s="3" customFormat="1" hidden="1" outlineLevel="1" x14ac:dyDescent="0.25">
      <c r="A2366" s="5"/>
      <c r="B2366" s="31" t="s">
        <v>163</v>
      </c>
      <c r="C2366" s="20" t="s">
        <v>1591</v>
      </c>
      <c r="D2366" s="20" t="s">
        <v>1469</v>
      </c>
      <c r="E2366" s="20">
        <v>0</v>
      </c>
      <c r="F2366" s="20"/>
      <c r="G2366" s="22" t="s">
        <v>1590</v>
      </c>
    </row>
    <row r="2367" spans="1:14" s="3" customFormat="1" hidden="1" outlineLevel="1" x14ac:dyDescent="0.25">
      <c r="B2367" s="28" t="s">
        <v>128</v>
      </c>
      <c r="C2367" s="29" t="s">
        <v>1566</v>
      </c>
      <c r="D2367" s="29" t="s">
        <v>1567</v>
      </c>
      <c r="E2367" s="29">
        <v>0</v>
      </c>
      <c r="F2367" s="29" t="s">
        <v>1470</v>
      </c>
      <c r="G2367" s="30"/>
      <c r="J2367" s="3" t="s">
        <v>12</v>
      </c>
      <c r="N2367" s="3">
        <v>1629</v>
      </c>
    </row>
    <row r="2368" spans="1:14" s="3" customFormat="1" hidden="1" outlineLevel="1" x14ac:dyDescent="0.25">
      <c r="B2368" s="28" t="s">
        <v>114</v>
      </c>
      <c r="C2368" s="29" t="s">
        <v>1557</v>
      </c>
      <c r="D2368" s="29" t="s">
        <v>1469</v>
      </c>
      <c r="E2368" s="29">
        <v>-1</v>
      </c>
      <c r="F2368" s="29" t="s">
        <v>1470</v>
      </c>
      <c r="G2368" s="30"/>
      <c r="J2368" s="3" t="s">
        <v>10</v>
      </c>
      <c r="N2368" s="3">
        <v>2449</v>
      </c>
    </row>
    <row r="2369" spans="1:14" s="3" customFormat="1" hidden="1" outlineLevel="1" x14ac:dyDescent="0.25">
      <c r="B2369" s="28" t="s">
        <v>7</v>
      </c>
      <c r="C2369" s="29" t="s">
        <v>1468</v>
      </c>
      <c r="D2369" s="29" t="s">
        <v>1469</v>
      </c>
      <c r="E2369" s="29">
        <v>0</v>
      </c>
      <c r="F2369" s="29" t="s">
        <v>1470</v>
      </c>
      <c r="G2369" s="30" t="s">
        <v>1471</v>
      </c>
      <c r="J2369" s="3" t="s">
        <v>10</v>
      </c>
      <c r="N2369" s="3">
        <v>1112</v>
      </c>
    </row>
    <row r="2370" spans="1:14" s="3" customFormat="1" hidden="1" outlineLevel="1" x14ac:dyDescent="0.25">
      <c r="B2370" s="28" t="s">
        <v>188</v>
      </c>
      <c r="C2370" s="29" t="s">
        <v>1607</v>
      </c>
      <c r="D2370" s="29" t="s">
        <v>1606</v>
      </c>
      <c r="E2370" s="29" t="s">
        <v>1594</v>
      </c>
      <c r="F2370" s="29"/>
      <c r="G2370" s="30"/>
      <c r="J2370" s="3" t="s">
        <v>187</v>
      </c>
      <c r="N2370" s="3">
        <v>2156</v>
      </c>
    </row>
    <row r="2371" spans="1:14" hidden="1" outlineLevel="1" x14ac:dyDescent="0.25">
      <c r="B2371" s="256" t="s">
        <v>14</v>
      </c>
      <c r="C2371" s="257" t="s">
        <v>1475</v>
      </c>
      <c r="D2371" s="257" t="s">
        <v>1469</v>
      </c>
      <c r="E2371" s="257">
        <v>0</v>
      </c>
      <c r="F2371" s="257" t="s">
        <v>1476</v>
      </c>
      <c r="G2371" s="258" t="s">
        <v>1477</v>
      </c>
    </row>
    <row r="2372" spans="1:14" s="3" customFormat="1" hidden="1" outlineLevel="1" x14ac:dyDescent="0.25">
      <c r="B2372" s="28" t="s">
        <v>87</v>
      </c>
      <c r="C2372" s="29" t="s">
        <v>1535</v>
      </c>
      <c r="D2372" s="29" t="s">
        <v>1469</v>
      </c>
      <c r="E2372" s="29">
        <v>0</v>
      </c>
      <c r="F2372" s="29" t="s">
        <v>1476</v>
      </c>
      <c r="G2372" s="30"/>
    </row>
    <row r="2373" spans="1:14" hidden="1" outlineLevel="1" x14ac:dyDescent="0.25">
      <c r="B2373" s="256" t="s">
        <v>15</v>
      </c>
      <c r="C2373" s="257" t="s">
        <v>1478</v>
      </c>
      <c r="D2373" s="257" t="s">
        <v>1469</v>
      </c>
      <c r="E2373" s="257">
        <v>0</v>
      </c>
      <c r="F2373" s="257" t="s">
        <v>1470</v>
      </c>
      <c r="G2373" s="258"/>
    </row>
    <row r="2374" spans="1:14" s="3" customFormat="1" ht="16.2" hidden="1" outlineLevel="1" thickBot="1" x14ac:dyDescent="0.3">
      <c r="B2374" s="28"/>
      <c r="C2374" s="29"/>
      <c r="D2374" s="29"/>
      <c r="E2374" s="29"/>
      <c r="F2374" s="29"/>
      <c r="G2374" s="30"/>
    </row>
    <row r="2375" spans="1:14" s="3" customFormat="1" ht="17.399999999999999" hidden="1" customHeight="1" outlineLevel="1" x14ac:dyDescent="0.25">
      <c r="A2375" s="5"/>
      <c r="B2375" s="401" t="s">
        <v>18</v>
      </c>
      <c r="C2375" s="402"/>
      <c r="D2375" s="402"/>
      <c r="E2375" s="402"/>
      <c r="F2375" s="402"/>
      <c r="G2375" s="403"/>
    </row>
    <row r="2376" spans="1:14" s="3" customFormat="1" ht="17.399999999999999" hidden="1" customHeight="1" outlineLevel="1" x14ac:dyDescent="0.25">
      <c r="A2376" s="5"/>
      <c r="B2376" s="25" t="s">
        <v>2</v>
      </c>
      <c r="C2376" s="26" t="s">
        <v>3</v>
      </c>
      <c r="D2376" s="26" t="s">
        <v>4</v>
      </c>
      <c r="E2376" s="26" t="s">
        <v>5</v>
      </c>
      <c r="F2376" s="26"/>
      <c r="G2376" s="27" t="s">
        <v>6</v>
      </c>
    </row>
    <row r="2377" spans="1:14" s="3" customFormat="1" ht="17.399999999999999" hidden="1" customHeight="1" outlineLevel="1" x14ac:dyDescent="0.25">
      <c r="A2377" s="5"/>
      <c r="B2377" s="253" t="s">
        <v>128</v>
      </c>
      <c r="C2377" s="254" t="s">
        <v>1566</v>
      </c>
      <c r="D2377" s="254" t="s">
        <v>1567</v>
      </c>
      <c r="E2377" s="254">
        <v>0</v>
      </c>
      <c r="F2377" s="254" t="s">
        <v>1470</v>
      </c>
      <c r="G2377" s="255"/>
    </row>
    <row r="2378" spans="1:14" hidden="1" outlineLevel="1" x14ac:dyDescent="0.25">
      <c r="B2378" s="256" t="s">
        <v>16</v>
      </c>
      <c r="C2378" s="257" t="s">
        <v>1479</v>
      </c>
      <c r="D2378" s="257" t="s">
        <v>1469</v>
      </c>
      <c r="E2378" s="257" t="s">
        <v>1480</v>
      </c>
      <c r="F2378" s="257" t="s">
        <v>1481</v>
      </c>
      <c r="G2378" s="258" t="s">
        <v>1482</v>
      </c>
    </row>
    <row r="2379" spans="1:14" hidden="1" outlineLevel="1" x14ac:dyDescent="0.25">
      <c r="B2379" s="256" t="s">
        <v>112</v>
      </c>
      <c r="C2379" s="257" t="s">
        <v>1555</v>
      </c>
      <c r="D2379" s="257" t="s">
        <v>1469</v>
      </c>
      <c r="E2379" s="257">
        <v>0</v>
      </c>
      <c r="F2379" s="257" t="s">
        <v>1470</v>
      </c>
      <c r="G2379" s="258" t="s">
        <v>1556</v>
      </c>
    </row>
    <row r="2380" spans="1:14" hidden="1" outlineLevel="1" x14ac:dyDescent="0.25">
      <c r="B2380" s="256" t="s">
        <v>7</v>
      </c>
      <c r="C2380" s="257" t="s">
        <v>1468</v>
      </c>
      <c r="D2380" s="257" t="s">
        <v>1469</v>
      </c>
      <c r="E2380" s="257">
        <v>0</v>
      </c>
      <c r="F2380" s="257" t="s">
        <v>1470</v>
      </c>
      <c r="G2380" s="258" t="s">
        <v>1471</v>
      </c>
    </row>
    <row r="2381" spans="1:14" hidden="1" outlineLevel="1" x14ac:dyDescent="0.25">
      <c r="B2381" s="256" t="s">
        <v>15</v>
      </c>
      <c r="C2381" s="257" t="s">
        <v>1478</v>
      </c>
      <c r="D2381" s="257" t="s">
        <v>1469</v>
      </c>
      <c r="E2381" s="257">
        <v>0</v>
      </c>
      <c r="F2381" s="257" t="s">
        <v>1470</v>
      </c>
      <c r="G2381" s="258"/>
    </row>
    <row r="2382" spans="1:14" hidden="1" outlineLevel="1" x14ac:dyDescent="0.25">
      <c r="B2382" s="256" t="s">
        <v>100</v>
      </c>
      <c r="C2382" s="257" t="s">
        <v>1543</v>
      </c>
      <c r="D2382" s="257" t="s">
        <v>1469</v>
      </c>
      <c r="E2382" s="257">
        <v>0</v>
      </c>
      <c r="F2382" s="257" t="s">
        <v>1476</v>
      </c>
      <c r="G2382" s="258" t="s">
        <v>1544</v>
      </c>
    </row>
    <row r="2383" spans="1:14" hidden="1" outlineLevel="1" x14ac:dyDescent="0.25">
      <c r="B2383" s="256" t="s">
        <v>159</v>
      </c>
      <c r="C2383" s="257" t="s">
        <v>1592</v>
      </c>
      <c r="D2383" s="257" t="s">
        <v>1593</v>
      </c>
      <c r="E2383" s="257" t="s">
        <v>1594</v>
      </c>
      <c r="F2383" s="257" t="s">
        <v>1470</v>
      </c>
      <c r="G2383" s="258" t="s">
        <v>1595</v>
      </c>
    </row>
    <row r="2384" spans="1:14" hidden="1" outlineLevel="1" x14ac:dyDescent="0.25">
      <c r="B2384" s="256" t="s">
        <v>14</v>
      </c>
      <c r="C2384" s="257" t="s">
        <v>1475</v>
      </c>
      <c r="D2384" s="257" t="s">
        <v>1469</v>
      </c>
      <c r="E2384" s="257">
        <v>0</v>
      </c>
      <c r="F2384" s="257" t="s">
        <v>1476</v>
      </c>
      <c r="G2384" s="258" t="s">
        <v>1477</v>
      </c>
    </row>
    <row r="2385" spans="2:7" hidden="1" outlineLevel="1" x14ac:dyDescent="0.25">
      <c r="B2385" s="256" t="s">
        <v>87</v>
      </c>
      <c r="C2385" s="257" t="s">
        <v>1535</v>
      </c>
      <c r="D2385" s="257" t="s">
        <v>1469</v>
      </c>
      <c r="E2385" s="257">
        <v>0</v>
      </c>
      <c r="F2385" s="257" t="s">
        <v>1476</v>
      </c>
      <c r="G2385" s="258"/>
    </row>
    <row r="2386" spans="2:7" hidden="1" outlineLevel="1" x14ac:dyDescent="0.25">
      <c r="B2386" s="256" t="s">
        <v>116</v>
      </c>
      <c r="C2386" s="257" t="s">
        <v>1559</v>
      </c>
      <c r="D2386" s="257" t="s">
        <v>1486</v>
      </c>
      <c r="E2386" s="257">
        <v>0</v>
      </c>
      <c r="F2386" s="257" t="s">
        <v>1470</v>
      </c>
      <c r="G2386" s="258" t="s">
        <v>1560</v>
      </c>
    </row>
    <row r="2387" spans="2:7" hidden="1" outlineLevel="1" x14ac:dyDescent="0.25">
      <c r="B2387" s="256" t="s">
        <v>75</v>
      </c>
      <c r="C2387" s="257" t="s">
        <v>1530</v>
      </c>
      <c r="D2387" s="257" t="s">
        <v>1486</v>
      </c>
      <c r="E2387" s="257">
        <v>0</v>
      </c>
      <c r="F2387" s="257" t="s">
        <v>1470</v>
      </c>
      <c r="G2387" s="258" t="s">
        <v>1531</v>
      </c>
    </row>
    <row r="2388" spans="2:7" hidden="1" outlineLevel="1" x14ac:dyDescent="0.25">
      <c r="B2388" s="256" t="s">
        <v>62</v>
      </c>
      <c r="C2388" s="257" t="s">
        <v>1525</v>
      </c>
      <c r="D2388" s="257" t="s">
        <v>1489</v>
      </c>
      <c r="E2388" s="257">
        <v>0</v>
      </c>
      <c r="F2388" s="257"/>
      <c r="G2388" s="258"/>
    </row>
    <row r="2389" spans="2:7" hidden="1" outlineLevel="1" x14ac:dyDescent="0.25">
      <c r="B2389" s="256" t="s">
        <v>315</v>
      </c>
      <c r="C2389" s="257" t="s">
        <v>1733</v>
      </c>
      <c r="D2389" s="257" t="s">
        <v>1486</v>
      </c>
      <c r="E2389" s="257">
        <v>0</v>
      </c>
      <c r="F2389" s="257"/>
      <c r="G2389" s="258"/>
    </row>
    <row r="2390" spans="2:7" hidden="1" outlineLevel="1" x14ac:dyDescent="0.25">
      <c r="B2390" s="256" t="s">
        <v>131</v>
      </c>
      <c r="C2390" s="257" t="s">
        <v>1568</v>
      </c>
      <c r="D2390" s="257" t="s">
        <v>1486</v>
      </c>
      <c r="E2390" s="257">
        <v>0</v>
      </c>
      <c r="F2390" s="257" t="s">
        <v>1470</v>
      </c>
      <c r="G2390" s="258" t="s">
        <v>1569</v>
      </c>
    </row>
    <row r="2391" spans="2:7" hidden="1" outlineLevel="1" x14ac:dyDescent="0.25">
      <c r="B2391" s="256" t="s">
        <v>132</v>
      </c>
      <c r="C2391" s="257" t="s">
        <v>1570</v>
      </c>
      <c r="D2391" s="257" t="s">
        <v>1486</v>
      </c>
      <c r="E2391" s="257">
        <v>0</v>
      </c>
      <c r="F2391" s="257" t="s">
        <v>1470</v>
      </c>
      <c r="G2391" s="258" t="s">
        <v>1571</v>
      </c>
    </row>
    <row r="2392" spans="2:7" hidden="1" outlineLevel="1" x14ac:dyDescent="0.25">
      <c r="B2392" s="256" t="s">
        <v>316</v>
      </c>
      <c r="C2392" s="257" t="s">
        <v>1734</v>
      </c>
      <c r="D2392" s="257" t="s">
        <v>1486</v>
      </c>
      <c r="E2392" s="257">
        <v>0</v>
      </c>
      <c r="F2392" s="257"/>
      <c r="G2392" s="258"/>
    </row>
    <row r="2393" spans="2:7" hidden="1" outlineLevel="1" x14ac:dyDescent="0.25">
      <c r="B2393" s="256" t="s">
        <v>317</v>
      </c>
      <c r="C2393" s="257" t="s">
        <v>1735</v>
      </c>
      <c r="D2393" s="257" t="s">
        <v>1486</v>
      </c>
      <c r="E2393" s="257">
        <v>0</v>
      </c>
      <c r="F2393" s="257"/>
      <c r="G2393" s="258"/>
    </row>
    <row r="2394" spans="2:7" hidden="1" outlineLevel="1" x14ac:dyDescent="0.25">
      <c r="B2394" s="256" t="s">
        <v>133</v>
      </c>
      <c r="C2394" s="257" t="s">
        <v>1572</v>
      </c>
      <c r="D2394" s="257" t="s">
        <v>1486</v>
      </c>
      <c r="E2394" s="257">
        <v>0</v>
      </c>
      <c r="F2394" s="257" t="s">
        <v>1470</v>
      </c>
      <c r="G2394" s="258"/>
    </row>
    <row r="2395" spans="2:7" hidden="1" outlineLevel="1" x14ac:dyDescent="0.25">
      <c r="B2395" s="256" t="s">
        <v>134</v>
      </c>
      <c r="C2395" s="257" t="s">
        <v>1573</v>
      </c>
      <c r="D2395" s="257" t="s">
        <v>1486</v>
      </c>
      <c r="E2395" s="257">
        <v>0</v>
      </c>
      <c r="F2395" s="257" t="s">
        <v>1470</v>
      </c>
      <c r="G2395" s="258"/>
    </row>
    <row r="2396" spans="2:7" hidden="1" outlineLevel="1" x14ac:dyDescent="0.25">
      <c r="B2396" s="256" t="s">
        <v>318</v>
      </c>
      <c r="C2396" s="257" t="s">
        <v>1736</v>
      </c>
      <c r="D2396" s="257" t="s">
        <v>1486</v>
      </c>
      <c r="E2396" s="257">
        <v>0</v>
      </c>
      <c r="F2396" s="257"/>
      <c r="G2396" s="258"/>
    </row>
    <row r="2397" spans="2:7" hidden="1" outlineLevel="1" x14ac:dyDescent="0.25">
      <c r="B2397" s="256" t="s">
        <v>319</v>
      </c>
      <c r="C2397" s="257" t="s">
        <v>1737</v>
      </c>
      <c r="D2397" s="257" t="s">
        <v>1486</v>
      </c>
      <c r="E2397" s="257">
        <v>0</v>
      </c>
      <c r="F2397" s="257"/>
      <c r="G2397" s="258"/>
    </row>
    <row r="2398" spans="2:7" hidden="1" outlineLevel="1" x14ac:dyDescent="0.25">
      <c r="B2398" s="256" t="s">
        <v>135</v>
      </c>
      <c r="C2398" s="257" t="s">
        <v>1574</v>
      </c>
      <c r="D2398" s="257" t="s">
        <v>1486</v>
      </c>
      <c r="E2398" s="257">
        <v>0</v>
      </c>
      <c r="F2398" s="257" t="s">
        <v>1470</v>
      </c>
      <c r="G2398" s="258"/>
    </row>
    <row r="2399" spans="2:7" hidden="1" outlineLevel="1" x14ac:dyDescent="0.25">
      <c r="B2399" s="256" t="s">
        <v>136</v>
      </c>
      <c r="C2399" s="257" t="s">
        <v>1575</v>
      </c>
      <c r="D2399" s="257" t="s">
        <v>1486</v>
      </c>
      <c r="E2399" s="257">
        <v>0</v>
      </c>
      <c r="F2399" s="257" t="s">
        <v>1470</v>
      </c>
      <c r="G2399" s="258"/>
    </row>
    <row r="2400" spans="2:7" hidden="1" outlineLevel="1" x14ac:dyDescent="0.25">
      <c r="B2400" s="256" t="s">
        <v>137</v>
      </c>
      <c r="C2400" s="257" t="s">
        <v>1576</v>
      </c>
      <c r="D2400" s="257" t="s">
        <v>1486</v>
      </c>
      <c r="E2400" s="257">
        <v>0</v>
      </c>
      <c r="F2400" s="257" t="s">
        <v>1470</v>
      </c>
      <c r="G2400" s="258"/>
    </row>
    <row r="2401" spans="2:7" hidden="1" outlineLevel="1" x14ac:dyDescent="0.25">
      <c r="B2401" s="256" t="s">
        <v>138</v>
      </c>
      <c r="C2401" s="257" t="s">
        <v>1577</v>
      </c>
      <c r="D2401" s="257" t="s">
        <v>1486</v>
      </c>
      <c r="E2401" s="257">
        <v>0</v>
      </c>
      <c r="F2401" s="257" t="s">
        <v>1470</v>
      </c>
      <c r="G2401" s="258"/>
    </row>
    <row r="2402" spans="2:7" hidden="1" outlineLevel="1" x14ac:dyDescent="0.25">
      <c r="B2402" s="256" t="s">
        <v>320</v>
      </c>
      <c r="C2402" s="257" t="s">
        <v>1738</v>
      </c>
      <c r="D2402" s="257" t="s">
        <v>1486</v>
      </c>
      <c r="E2402" s="257">
        <v>0</v>
      </c>
      <c r="F2402" s="257"/>
      <c r="G2402" s="258"/>
    </row>
    <row r="2403" spans="2:7" hidden="1" outlineLevel="1" x14ac:dyDescent="0.25">
      <c r="B2403" s="256" t="s">
        <v>321</v>
      </c>
      <c r="C2403" s="257" t="s">
        <v>1739</v>
      </c>
      <c r="D2403" s="257" t="s">
        <v>1486</v>
      </c>
      <c r="E2403" s="257">
        <v>0</v>
      </c>
      <c r="F2403" s="257"/>
      <c r="G2403" s="258"/>
    </row>
    <row r="2404" spans="2:7" hidden="1" outlineLevel="1" x14ac:dyDescent="0.25">
      <c r="B2404" s="256" t="s">
        <v>322</v>
      </c>
      <c r="C2404" s="257" t="s">
        <v>1740</v>
      </c>
      <c r="D2404" s="257" t="s">
        <v>1486</v>
      </c>
      <c r="E2404" s="257">
        <v>0</v>
      </c>
      <c r="F2404" s="257" t="s">
        <v>1470</v>
      </c>
      <c r="G2404" s="258"/>
    </row>
    <row r="2405" spans="2:7" hidden="1" outlineLevel="1" x14ac:dyDescent="0.25">
      <c r="B2405" s="256" t="s">
        <v>323</v>
      </c>
      <c r="C2405" s="257" t="s">
        <v>1741</v>
      </c>
      <c r="D2405" s="257" t="s">
        <v>1486</v>
      </c>
      <c r="E2405" s="257">
        <v>0</v>
      </c>
      <c r="F2405" s="257" t="s">
        <v>1470</v>
      </c>
      <c r="G2405" s="258"/>
    </row>
    <row r="2406" spans="2:7" hidden="1" outlineLevel="1" x14ac:dyDescent="0.25">
      <c r="B2406" s="256" t="s">
        <v>117</v>
      </c>
      <c r="C2406" s="257" t="s">
        <v>1561</v>
      </c>
      <c r="D2406" s="257" t="s">
        <v>1489</v>
      </c>
      <c r="E2406" s="257">
        <v>0</v>
      </c>
      <c r="F2406" s="257" t="s">
        <v>1470</v>
      </c>
      <c r="G2406" s="258"/>
    </row>
    <row r="2407" spans="2:7" hidden="1" outlineLevel="1" x14ac:dyDescent="0.25">
      <c r="B2407" s="256" t="s">
        <v>24</v>
      </c>
      <c r="C2407" s="257" t="s">
        <v>1491</v>
      </c>
      <c r="D2407" s="257" t="s">
        <v>1489</v>
      </c>
      <c r="E2407" s="257">
        <v>0</v>
      </c>
      <c r="F2407" s="257" t="s">
        <v>1470</v>
      </c>
      <c r="G2407" s="258"/>
    </row>
    <row r="2408" spans="2:7" hidden="1" outlineLevel="1" x14ac:dyDescent="0.25">
      <c r="B2408" s="256" t="s">
        <v>140</v>
      </c>
      <c r="C2408" s="257" t="s">
        <v>1578</v>
      </c>
      <c r="D2408" s="257" t="s">
        <v>1489</v>
      </c>
      <c r="E2408" s="257">
        <v>0</v>
      </c>
      <c r="F2408" s="257" t="s">
        <v>1470</v>
      </c>
      <c r="G2408" s="258"/>
    </row>
    <row r="2409" spans="2:7" hidden="1" outlineLevel="1" x14ac:dyDescent="0.25">
      <c r="B2409" s="256" t="s">
        <v>141</v>
      </c>
      <c r="C2409" s="257" t="s">
        <v>1579</v>
      </c>
      <c r="D2409" s="257" t="s">
        <v>1489</v>
      </c>
      <c r="E2409" s="257">
        <v>0</v>
      </c>
      <c r="F2409" s="257" t="s">
        <v>1470</v>
      </c>
      <c r="G2409" s="258"/>
    </row>
    <row r="2410" spans="2:7" hidden="1" outlineLevel="1" x14ac:dyDescent="0.25">
      <c r="B2410" s="256" t="s">
        <v>324</v>
      </c>
      <c r="C2410" s="257" t="s">
        <v>1742</v>
      </c>
      <c r="D2410" s="257" t="s">
        <v>1486</v>
      </c>
      <c r="E2410" s="257">
        <v>0</v>
      </c>
      <c r="F2410" s="257" t="s">
        <v>1470</v>
      </c>
      <c r="G2410" s="258"/>
    </row>
    <row r="2411" spans="2:7" hidden="1" outlineLevel="1" x14ac:dyDescent="0.25">
      <c r="B2411" s="256" t="s">
        <v>147</v>
      </c>
      <c r="C2411" s="257" t="s">
        <v>1586</v>
      </c>
      <c r="D2411" s="257" t="s">
        <v>1489</v>
      </c>
      <c r="E2411" s="257">
        <v>0</v>
      </c>
      <c r="F2411" s="257"/>
      <c r="G2411" s="258"/>
    </row>
    <row r="2412" spans="2:7" hidden="1" outlineLevel="1" x14ac:dyDescent="0.25">
      <c r="B2412" s="256" t="s">
        <v>268</v>
      </c>
      <c r="C2412" s="257" t="s">
        <v>1695</v>
      </c>
      <c r="D2412" s="257" t="s">
        <v>1489</v>
      </c>
      <c r="E2412" s="257">
        <v>0</v>
      </c>
      <c r="F2412" s="257" t="s">
        <v>1470</v>
      </c>
      <c r="G2412" s="258"/>
    </row>
    <row r="2413" spans="2:7" hidden="1" outlineLevel="1" x14ac:dyDescent="0.25">
      <c r="B2413" s="256" t="s">
        <v>148</v>
      </c>
      <c r="C2413" s="257" t="s">
        <v>1587</v>
      </c>
      <c r="D2413" s="257" t="s">
        <v>1486</v>
      </c>
      <c r="E2413" s="257">
        <v>0</v>
      </c>
      <c r="F2413" s="257" t="s">
        <v>1470</v>
      </c>
      <c r="G2413" s="258"/>
    </row>
    <row r="2414" spans="2:7" hidden="1" outlineLevel="1" x14ac:dyDescent="0.25">
      <c r="B2414" s="256" t="s">
        <v>146</v>
      </c>
      <c r="C2414" s="257" t="s">
        <v>1585</v>
      </c>
      <c r="D2414" s="257" t="s">
        <v>1489</v>
      </c>
      <c r="E2414" s="257">
        <v>0</v>
      </c>
      <c r="F2414" s="257"/>
      <c r="G2414" s="258"/>
    </row>
    <row r="2415" spans="2:7" hidden="1" outlineLevel="1" x14ac:dyDescent="0.25">
      <c r="B2415" s="256" t="s">
        <v>325</v>
      </c>
      <c r="C2415" s="257" t="s">
        <v>1743</v>
      </c>
      <c r="D2415" s="257" t="s">
        <v>1539</v>
      </c>
      <c r="E2415" s="257">
        <v>0</v>
      </c>
      <c r="F2415" s="257"/>
      <c r="G2415" s="258"/>
    </row>
    <row r="2416" spans="2:7" hidden="1" outlineLevel="1" x14ac:dyDescent="0.25">
      <c r="B2416" s="256" t="s">
        <v>326</v>
      </c>
      <c r="C2416" s="257" t="s">
        <v>1744</v>
      </c>
      <c r="D2416" s="257" t="s">
        <v>1539</v>
      </c>
      <c r="E2416" s="257">
        <v>0</v>
      </c>
      <c r="F2416" s="257"/>
      <c r="G2416" s="258"/>
    </row>
    <row r="2417" spans="1:13" hidden="1" outlineLevel="1" x14ac:dyDescent="0.25">
      <c r="B2417" s="280" t="s">
        <v>115</v>
      </c>
      <c r="C2417" s="262" t="s">
        <v>1558</v>
      </c>
      <c r="D2417" s="262" t="s">
        <v>1539</v>
      </c>
      <c r="E2417" s="262">
        <v>0</v>
      </c>
      <c r="F2417" s="262" t="s">
        <v>1470</v>
      </c>
      <c r="G2417" s="263"/>
    </row>
    <row r="2418" spans="1:13" hidden="1" outlineLevel="1" x14ac:dyDescent="0.25">
      <c r="B2418" s="280" t="s">
        <v>327</v>
      </c>
      <c r="C2418" s="262" t="s">
        <v>1745</v>
      </c>
      <c r="D2418" s="262" t="s">
        <v>1539</v>
      </c>
      <c r="E2418" s="262">
        <v>0</v>
      </c>
      <c r="F2418" s="262" t="s">
        <v>1470</v>
      </c>
      <c r="G2418" s="263"/>
    </row>
    <row r="2419" spans="1:13" hidden="1" outlineLevel="1" x14ac:dyDescent="0.25">
      <c r="B2419" s="280" t="s">
        <v>90</v>
      </c>
      <c r="C2419" s="262" t="s">
        <v>1538</v>
      </c>
      <c r="D2419" s="262" t="s">
        <v>1539</v>
      </c>
      <c r="E2419" s="262">
        <v>0</v>
      </c>
      <c r="F2419" s="262" t="s">
        <v>1470</v>
      </c>
      <c r="G2419" s="263" t="s">
        <v>1540</v>
      </c>
    </row>
    <row r="2420" spans="1:13" hidden="1" outlineLevel="1" x14ac:dyDescent="0.25">
      <c r="B2420" s="256" t="s">
        <v>95</v>
      </c>
      <c r="C2420" s="257" t="s">
        <v>1542</v>
      </c>
      <c r="D2420" s="257" t="s">
        <v>1494</v>
      </c>
      <c r="E2420" s="257">
        <v>0</v>
      </c>
      <c r="F2420" s="257"/>
      <c r="G2420" s="258"/>
    </row>
    <row r="2421" spans="1:13" s="3" customFormat="1" ht="16.2" hidden="1" outlineLevel="1" thickBot="1" x14ac:dyDescent="0.3">
      <c r="B2421" s="267"/>
      <c r="C2421" s="268"/>
      <c r="D2421" s="268"/>
      <c r="E2421" s="268"/>
      <c r="F2421" s="268"/>
      <c r="G2421" s="269"/>
    </row>
    <row r="2422" spans="1:13" s="3" customFormat="1" ht="17.399999999999999" hidden="1" customHeight="1" outlineLevel="1" x14ac:dyDescent="0.25">
      <c r="A2422" s="5"/>
      <c r="B2422" s="401" t="s">
        <v>29</v>
      </c>
      <c r="C2422" s="402"/>
      <c r="D2422" s="402"/>
      <c r="E2422" s="402"/>
      <c r="F2422" s="402"/>
      <c r="G2422" s="403"/>
    </row>
    <row r="2423" spans="1:13" s="3" customFormat="1" hidden="1" outlineLevel="1" x14ac:dyDescent="0.25">
      <c r="B2423" s="28"/>
      <c r="C2423" s="29"/>
      <c r="D2423" s="29"/>
      <c r="E2423" s="29"/>
      <c r="F2423" s="29"/>
      <c r="G2423" s="30"/>
    </row>
    <row r="2424" spans="1:13" s="3" customFormat="1" hidden="1" outlineLevel="1" x14ac:dyDescent="0.25">
      <c r="B2424" s="28"/>
      <c r="C2424" s="29"/>
      <c r="D2424" s="29"/>
      <c r="E2424" s="29"/>
      <c r="F2424" s="29"/>
      <c r="G2424" s="30"/>
    </row>
    <row r="2425" spans="1:13" s="4" customFormat="1" ht="17.399999999999999" hidden="1" customHeight="1" outlineLevel="1" x14ac:dyDescent="0.35">
      <c r="A2425" s="5"/>
      <c r="B2425" s="67" t="s">
        <v>30</v>
      </c>
      <c r="C2425" s="65"/>
      <c r="D2425" s="65"/>
      <c r="E2425" s="65"/>
      <c r="F2425" s="65"/>
      <c r="G2425" s="371" t="s">
        <v>2357</v>
      </c>
      <c r="H2425" s="5"/>
      <c r="I2425" s="5"/>
      <c r="J2425" s="5"/>
      <c r="K2425" s="5"/>
      <c r="L2425" s="5"/>
      <c r="M2425" s="5"/>
    </row>
    <row r="2426" spans="1:13" s="3" customFormat="1" hidden="1" outlineLevel="1" x14ac:dyDescent="0.25">
      <c r="B2426" s="28"/>
      <c r="C2426" s="29"/>
      <c r="D2426" s="29"/>
      <c r="E2426" s="29"/>
      <c r="F2426" s="29"/>
      <c r="G2426" s="30"/>
    </row>
    <row r="2427" spans="1:13" s="3" customFormat="1" hidden="1" outlineLevel="1" x14ac:dyDescent="0.25">
      <c r="B2427" s="28" t="s">
        <v>510</v>
      </c>
      <c r="C2427" s="29"/>
      <c r="D2427" s="29"/>
      <c r="E2427" s="29"/>
      <c r="F2427" s="29"/>
      <c r="G2427" s="375" t="s">
        <v>2403</v>
      </c>
    </row>
    <row r="2428" spans="1:13" s="3" customFormat="1" ht="16.2" hidden="1" outlineLevel="1" thickBot="1" x14ac:dyDescent="0.3">
      <c r="B2428" s="163"/>
      <c r="C2428" s="164"/>
      <c r="D2428" s="164"/>
      <c r="E2428" s="164"/>
      <c r="F2428" s="164"/>
      <c r="G2428" s="165"/>
    </row>
    <row r="2429" spans="1:13" s="3" customFormat="1" ht="17.399999999999999" hidden="1" customHeight="1" outlineLevel="1" x14ac:dyDescent="0.25"/>
    <row r="2430" spans="1:13" ht="16.2" hidden="1" outlineLevel="1" thickBot="1" x14ac:dyDescent="0.3"/>
    <row r="2431" spans="1:13" s="3" customFormat="1" ht="18" customHeight="1" collapsed="1" thickBot="1" x14ac:dyDescent="0.3">
      <c r="A2431" s="5"/>
      <c r="B2431" s="15" t="s">
        <v>1279</v>
      </c>
      <c r="C2431" s="16" t="s">
        <v>1456</v>
      </c>
      <c r="D2431" s="17" t="s">
        <v>1281</v>
      </c>
      <c r="E2431" s="29" t="s">
        <v>511</v>
      </c>
      <c r="F2431" s="17" t="s">
        <v>1282</v>
      </c>
      <c r="G2431" s="18" t="s">
        <v>1457</v>
      </c>
    </row>
    <row r="2432" spans="1:13" s="3" customFormat="1" ht="17.399999999999999" hidden="1" customHeight="1" outlineLevel="1" x14ac:dyDescent="0.25">
      <c r="A2432" s="5"/>
      <c r="B2432" s="19" t="s">
        <v>1284</v>
      </c>
      <c r="C2432" s="20" t="s">
        <v>1285</v>
      </c>
      <c r="D2432" s="21" t="s">
        <v>1286</v>
      </c>
      <c r="E2432" s="20" t="s">
        <v>1458</v>
      </c>
      <c r="F2432" s="21" t="s">
        <v>1288</v>
      </c>
      <c r="G2432" s="22" t="s">
        <v>2335</v>
      </c>
    </row>
    <row r="2433" spans="1:14" s="3" customFormat="1" ht="17.399999999999999" hidden="1" customHeight="1" outlineLevel="1" thickBot="1" x14ac:dyDescent="0.3">
      <c r="A2433" s="5"/>
      <c r="B2433" s="19" t="s">
        <v>1290</v>
      </c>
      <c r="C2433" s="23" t="s">
        <v>1291</v>
      </c>
      <c r="D2433" s="21" t="s">
        <v>1292</v>
      </c>
      <c r="E2433" s="23">
        <v>5</v>
      </c>
      <c r="F2433" s="21" t="s">
        <v>1293</v>
      </c>
      <c r="G2433" s="24" t="s">
        <v>1294</v>
      </c>
    </row>
    <row r="2434" spans="1:14" s="3" customFormat="1" ht="17.399999999999999" hidden="1" customHeight="1" outlineLevel="1" x14ac:dyDescent="0.25">
      <c r="A2434" s="5"/>
      <c r="B2434" s="401" t="s">
        <v>1</v>
      </c>
      <c r="C2434" s="402"/>
      <c r="D2434" s="402"/>
      <c r="E2434" s="402"/>
      <c r="F2434" s="402"/>
      <c r="G2434" s="403"/>
    </row>
    <row r="2435" spans="1:14" s="3" customFormat="1" ht="17.399999999999999" hidden="1" customHeight="1" outlineLevel="1" x14ac:dyDescent="0.25">
      <c r="A2435" s="5"/>
      <c r="B2435" s="25" t="s">
        <v>2</v>
      </c>
      <c r="C2435" s="26" t="s">
        <v>3</v>
      </c>
      <c r="D2435" s="26" t="s">
        <v>4</v>
      </c>
      <c r="E2435" s="26" t="s">
        <v>5</v>
      </c>
      <c r="F2435" s="26"/>
      <c r="G2435" s="27" t="s">
        <v>6</v>
      </c>
    </row>
    <row r="2436" spans="1:14" s="3" customFormat="1" hidden="1" outlineLevel="1" x14ac:dyDescent="0.25">
      <c r="A2436" s="5"/>
      <c r="B2436" s="31" t="s">
        <v>162</v>
      </c>
      <c r="C2436" s="20" t="s">
        <v>1589</v>
      </c>
      <c r="D2436" s="20" t="s">
        <v>1469</v>
      </c>
      <c r="E2436" s="20">
        <v>0</v>
      </c>
      <c r="F2436" s="20"/>
      <c r="G2436" s="22" t="s">
        <v>1590</v>
      </c>
    </row>
    <row r="2437" spans="1:14" s="3" customFormat="1" hidden="1" outlineLevel="1" x14ac:dyDescent="0.25">
      <c r="A2437" s="5"/>
      <c r="B2437" s="31" t="s">
        <v>163</v>
      </c>
      <c r="C2437" s="20" t="s">
        <v>1591</v>
      </c>
      <c r="D2437" s="20" t="s">
        <v>1469</v>
      </c>
      <c r="E2437" s="20">
        <v>0</v>
      </c>
      <c r="F2437" s="20"/>
      <c r="G2437" s="22" t="s">
        <v>1590</v>
      </c>
    </row>
    <row r="2438" spans="1:14" s="3" customFormat="1" hidden="1" outlineLevel="1" x14ac:dyDescent="0.25">
      <c r="B2438" s="28" t="s">
        <v>128</v>
      </c>
      <c r="C2438" s="29" t="s">
        <v>1566</v>
      </c>
      <c r="D2438" s="29" t="s">
        <v>1567</v>
      </c>
      <c r="E2438" s="29">
        <v>0</v>
      </c>
      <c r="F2438" s="29" t="s">
        <v>1470</v>
      </c>
      <c r="G2438" s="30"/>
      <c r="J2438" s="3" t="s">
        <v>12</v>
      </c>
      <c r="N2438" s="3">
        <v>1629</v>
      </c>
    </row>
    <row r="2439" spans="1:14" s="3" customFormat="1" hidden="1" outlineLevel="1" x14ac:dyDescent="0.25">
      <c r="B2439" s="28" t="s">
        <v>114</v>
      </c>
      <c r="C2439" s="29" t="s">
        <v>1557</v>
      </c>
      <c r="D2439" s="29" t="s">
        <v>1469</v>
      </c>
      <c r="E2439" s="29">
        <v>-1</v>
      </c>
      <c r="F2439" s="29" t="s">
        <v>1470</v>
      </c>
      <c r="G2439" s="30"/>
      <c r="J2439" s="3" t="s">
        <v>10</v>
      </c>
      <c r="N2439" s="3">
        <v>2449</v>
      </c>
    </row>
    <row r="2440" spans="1:14" s="3" customFormat="1" hidden="1" outlineLevel="1" x14ac:dyDescent="0.25">
      <c r="B2440" s="28" t="s">
        <v>7</v>
      </c>
      <c r="C2440" s="29" t="s">
        <v>1468</v>
      </c>
      <c r="D2440" s="29" t="s">
        <v>1469</v>
      </c>
      <c r="E2440" s="29">
        <v>0</v>
      </c>
      <c r="F2440" s="29" t="s">
        <v>1470</v>
      </c>
      <c r="G2440" s="30" t="s">
        <v>1471</v>
      </c>
      <c r="J2440" s="3" t="s">
        <v>10</v>
      </c>
      <c r="N2440" s="3">
        <v>1112</v>
      </c>
    </row>
    <row r="2441" spans="1:14" s="3" customFormat="1" ht="16.2" hidden="1" outlineLevel="1" thickBot="1" x14ac:dyDescent="0.3">
      <c r="B2441" s="28"/>
      <c r="C2441" s="29"/>
      <c r="D2441" s="29"/>
      <c r="E2441" s="29"/>
      <c r="F2441" s="29"/>
      <c r="G2441" s="30"/>
    </row>
    <row r="2442" spans="1:14" s="3" customFormat="1" ht="17.399999999999999" hidden="1" customHeight="1" outlineLevel="1" x14ac:dyDescent="0.25">
      <c r="A2442" s="5"/>
      <c r="B2442" s="401" t="s">
        <v>18</v>
      </c>
      <c r="C2442" s="402"/>
      <c r="D2442" s="402"/>
      <c r="E2442" s="402"/>
      <c r="F2442" s="402"/>
      <c r="G2442" s="403"/>
    </row>
    <row r="2443" spans="1:14" s="3" customFormat="1" ht="17.399999999999999" hidden="1" customHeight="1" outlineLevel="1" x14ac:dyDescent="0.25">
      <c r="A2443" s="5"/>
      <c r="B2443" s="25" t="s">
        <v>2</v>
      </c>
      <c r="C2443" s="26" t="s">
        <v>3</v>
      </c>
      <c r="D2443" s="26" t="s">
        <v>4</v>
      </c>
      <c r="E2443" s="26" t="s">
        <v>5</v>
      </c>
      <c r="F2443" s="26"/>
      <c r="G2443" s="27" t="s">
        <v>6</v>
      </c>
    </row>
    <row r="2444" spans="1:14" s="3" customFormat="1" ht="17.399999999999999" hidden="1" customHeight="1" outlineLevel="1" x14ac:dyDescent="0.25">
      <c r="A2444" s="5"/>
      <c r="B2444" s="270" t="s">
        <v>73</v>
      </c>
      <c r="C2444" s="271" t="s">
        <v>1528</v>
      </c>
      <c r="D2444" s="271" t="s">
        <v>1469</v>
      </c>
      <c r="E2444" s="271" t="s">
        <v>1480</v>
      </c>
      <c r="F2444" s="271" t="s">
        <v>1481</v>
      </c>
      <c r="G2444" s="272"/>
    </row>
    <row r="2445" spans="1:14" hidden="1" outlineLevel="1" x14ac:dyDescent="0.25">
      <c r="B2445" s="256" t="s">
        <v>74</v>
      </c>
      <c r="C2445" s="257" t="s">
        <v>1529</v>
      </c>
      <c r="D2445" s="257" t="s">
        <v>1469</v>
      </c>
      <c r="E2445" s="257" t="s">
        <v>1480</v>
      </c>
      <c r="F2445" s="257" t="s">
        <v>1481</v>
      </c>
      <c r="G2445" s="258"/>
    </row>
    <row r="2446" spans="1:14" hidden="1" outlineLevel="1" x14ac:dyDescent="0.25">
      <c r="B2446" s="256" t="s">
        <v>112</v>
      </c>
      <c r="C2446" s="259" t="s">
        <v>1555</v>
      </c>
      <c r="D2446" s="257" t="s">
        <v>1469</v>
      </c>
      <c r="E2446" s="257">
        <v>0</v>
      </c>
      <c r="F2446" s="257" t="s">
        <v>1470</v>
      </c>
      <c r="G2446" s="258" t="s">
        <v>1556</v>
      </c>
    </row>
    <row r="2447" spans="1:14" hidden="1" outlineLevel="1" x14ac:dyDescent="0.25">
      <c r="B2447" s="256" t="s">
        <v>7</v>
      </c>
      <c r="C2447" s="259" t="s">
        <v>1468</v>
      </c>
      <c r="D2447" s="257" t="s">
        <v>1469</v>
      </c>
      <c r="E2447" s="257">
        <v>0</v>
      </c>
      <c r="F2447" s="257" t="s">
        <v>1470</v>
      </c>
      <c r="G2447" s="258" t="s">
        <v>1471</v>
      </c>
    </row>
    <row r="2448" spans="1:14" hidden="1" outlineLevel="1" x14ac:dyDescent="0.25">
      <c r="B2448" s="28" t="s">
        <v>409</v>
      </c>
      <c r="C2448" s="29" t="s">
        <v>1805</v>
      </c>
      <c r="D2448" s="257" t="s">
        <v>1489</v>
      </c>
      <c r="E2448" s="257">
        <v>0</v>
      </c>
      <c r="F2448" s="257"/>
      <c r="G2448" s="258"/>
    </row>
    <row r="2449" spans="1:14" hidden="1" outlineLevel="1" x14ac:dyDescent="0.25">
      <c r="B2449" s="28" t="s">
        <v>410</v>
      </c>
      <c r="C2449" s="29" t="s">
        <v>1806</v>
      </c>
      <c r="D2449" s="257" t="s">
        <v>1489</v>
      </c>
      <c r="E2449" s="257">
        <v>0</v>
      </c>
      <c r="F2449" s="257" t="s">
        <v>1470</v>
      </c>
      <c r="G2449" s="258"/>
    </row>
    <row r="2450" spans="1:14" s="3" customFormat="1" hidden="1" outlineLevel="1" x14ac:dyDescent="0.25">
      <c r="B2450" s="28"/>
      <c r="C2450" s="29"/>
      <c r="D2450" s="29"/>
      <c r="E2450" s="29"/>
      <c r="F2450" s="29"/>
      <c r="G2450" s="30"/>
      <c r="H2450" s="273"/>
    </row>
    <row r="2451" spans="1:14" s="3" customFormat="1" ht="16.2" hidden="1" outlineLevel="1" thickBot="1" x14ac:dyDescent="0.3">
      <c r="B2451" s="267"/>
      <c r="C2451" s="268"/>
      <c r="D2451" s="268"/>
      <c r="E2451" s="268"/>
      <c r="F2451" s="268"/>
      <c r="G2451" s="269"/>
    </row>
    <row r="2452" spans="1:14" s="3" customFormat="1" ht="17.399999999999999" hidden="1" customHeight="1" outlineLevel="1" x14ac:dyDescent="0.25">
      <c r="A2452" s="5"/>
      <c r="B2452" s="401" t="s">
        <v>29</v>
      </c>
      <c r="C2452" s="402"/>
      <c r="D2452" s="402"/>
      <c r="E2452" s="402"/>
      <c r="F2452" s="402"/>
      <c r="G2452" s="403"/>
    </row>
    <row r="2453" spans="1:14" s="3" customFormat="1" hidden="1" outlineLevel="1" x14ac:dyDescent="0.25">
      <c r="B2453" s="28"/>
      <c r="C2453" s="29"/>
      <c r="D2453" s="29"/>
      <c r="E2453" s="29"/>
      <c r="F2453" s="29"/>
      <c r="G2453" s="30"/>
    </row>
    <row r="2454" spans="1:14" s="4" customFormat="1" ht="17.399999999999999" hidden="1" customHeight="1" outlineLevel="1" x14ac:dyDescent="0.35">
      <c r="A2454" s="5"/>
      <c r="B2454" s="67" t="s">
        <v>30</v>
      </c>
      <c r="C2454" s="65"/>
      <c r="D2454" s="65"/>
      <c r="E2454" s="65"/>
      <c r="F2454" s="65"/>
      <c r="G2454" s="371" t="s">
        <v>2357</v>
      </c>
      <c r="H2454" s="5"/>
      <c r="I2454" s="5"/>
      <c r="J2454" s="5"/>
      <c r="K2454" s="5"/>
      <c r="L2454" s="5"/>
      <c r="M2454" s="5"/>
    </row>
    <row r="2455" spans="1:14" s="3" customFormat="1" hidden="1" outlineLevel="1" x14ac:dyDescent="0.25">
      <c r="B2455" s="28" t="s">
        <v>512</v>
      </c>
      <c r="C2455" s="29"/>
      <c r="D2455" s="29"/>
      <c r="E2455" s="29"/>
      <c r="F2455" s="29"/>
      <c r="G2455" s="375" t="s">
        <v>2404</v>
      </c>
    </row>
    <row r="2456" spans="1:14" s="3" customFormat="1" ht="16.2" hidden="1" outlineLevel="1" thickBot="1" x14ac:dyDescent="0.3">
      <c r="B2456" s="163"/>
      <c r="C2456" s="164"/>
      <c r="D2456" s="164"/>
      <c r="E2456" s="164"/>
      <c r="F2456" s="164"/>
      <c r="G2456" s="165"/>
    </row>
    <row r="2457" spans="1:14" hidden="1" outlineLevel="1" x14ac:dyDescent="0.25"/>
    <row r="2458" spans="1:14" ht="18.75" hidden="1" customHeight="1" outlineLevel="1" thickBot="1" x14ac:dyDescent="0.3"/>
    <row r="2459" spans="1:14" s="3" customFormat="1" ht="18" customHeight="1" collapsed="1" thickBot="1" x14ac:dyDescent="0.3">
      <c r="A2459" s="5"/>
      <c r="B2459" s="15" t="s">
        <v>1279</v>
      </c>
      <c r="C2459" s="16" t="s">
        <v>1459</v>
      </c>
      <c r="D2459" s="17" t="s">
        <v>1281</v>
      </c>
      <c r="E2459" s="29" t="s">
        <v>513</v>
      </c>
      <c r="F2459" s="17" t="s">
        <v>1282</v>
      </c>
      <c r="G2459" s="18" t="s">
        <v>1460</v>
      </c>
    </row>
    <row r="2460" spans="1:14" s="3" customFormat="1" ht="17.399999999999999" hidden="1" customHeight="1" outlineLevel="1" x14ac:dyDescent="0.25">
      <c r="A2460" s="5"/>
      <c r="B2460" s="19" t="s">
        <v>1284</v>
      </c>
      <c r="C2460" s="20" t="s">
        <v>1285</v>
      </c>
      <c r="D2460" s="21" t="s">
        <v>1286</v>
      </c>
      <c r="E2460" s="20" t="s">
        <v>1461</v>
      </c>
      <c r="F2460" s="21" t="s">
        <v>1288</v>
      </c>
      <c r="G2460" s="22"/>
    </row>
    <row r="2461" spans="1:14" s="3" customFormat="1" ht="17.399999999999999" hidden="1" customHeight="1" outlineLevel="1" thickBot="1" x14ac:dyDescent="0.3">
      <c r="A2461" s="5"/>
      <c r="B2461" s="19" t="s">
        <v>1290</v>
      </c>
      <c r="C2461" s="23"/>
      <c r="D2461" s="21" t="s">
        <v>1292</v>
      </c>
      <c r="E2461" s="23">
        <v>5</v>
      </c>
      <c r="F2461" s="21" t="s">
        <v>1293</v>
      </c>
      <c r="G2461" s="24" t="s">
        <v>1294</v>
      </c>
    </row>
    <row r="2462" spans="1:14" s="3" customFormat="1" ht="17.399999999999999" hidden="1" customHeight="1" outlineLevel="1" x14ac:dyDescent="0.25">
      <c r="A2462" s="5"/>
      <c r="B2462" s="401" t="s">
        <v>1</v>
      </c>
      <c r="C2462" s="402"/>
      <c r="D2462" s="402"/>
      <c r="E2462" s="402"/>
      <c r="F2462" s="402"/>
      <c r="G2462" s="403"/>
    </row>
    <row r="2463" spans="1:14" s="3" customFormat="1" ht="17.399999999999999" hidden="1" customHeight="1" outlineLevel="1" x14ac:dyDescent="0.25">
      <c r="A2463" s="5"/>
      <c r="B2463" s="25" t="s">
        <v>2</v>
      </c>
      <c r="C2463" s="26" t="s">
        <v>3</v>
      </c>
      <c r="D2463" s="26" t="s">
        <v>4</v>
      </c>
      <c r="E2463" s="26" t="s">
        <v>5</v>
      </c>
      <c r="F2463" s="26"/>
      <c r="G2463" s="27" t="s">
        <v>6</v>
      </c>
    </row>
    <row r="2464" spans="1:14" s="3" customFormat="1" hidden="1" outlineLevel="1" x14ac:dyDescent="0.25">
      <c r="B2464" s="28" t="s">
        <v>7</v>
      </c>
      <c r="C2464" s="29" t="s">
        <v>1468</v>
      </c>
      <c r="D2464" s="29" t="s">
        <v>1469</v>
      </c>
      <c r="E2464" s="29">
        <v>0</v>
      </c>
      <c r="F2464" s="29" t="s">
        <v>1470</v>
      </c>
      <c r="G2464" s="30" t="s">
        <v>1471</v>
      </c>
      <c r="J2464" s="3" t="s">
        <v>10</v>
      </c>
      <c r="N2464" s="3">
        <v>1112</v>
      </c>
    </row>
    <row r="2465" spans="1:13" s="3" customFormat="1" ht="16.2" hidden="1" outlineLevel="1" thickBot="1" x14ac:dyDescent="0.3">
      <c r="B2465" s="28"/>
      <c r="C2465" s="29"/>
      <c r="D2465" s="29"/>
      <c r="E2465" s="29"/>
      <c r="F2465" s="29"/>
      <c r="G2465" s="30"/>
    </row>
    <row r="2466" spans="1:13" s="3" customFormat="1" ht="17.399999999999999" hidden="1" customHeight="1" outlineLevel="1" x14ac:dyDescent="0.25">
      <c r="A2466" s="5"/>
      <c r="B2466" s="401" t="s">
        <v>18</v>
      </c>
      <c r="C2466" s="402"/>
      <c r="D2466" s="402"/>
      <c r="E2466" s="402"/>
      <c r="F2466" s="402"/>
      <c r="G2466" s="403"/>
    </row>
    <row r="2467" spans="1:13" s="3" customFormat="1" ht="17.399999999999999" hidden="1" customHeight="1" outlineLevel="1" x14ac:dyDescent="0.25">
      <c r="A2467" s="5"/>
      <c r="B2467" s="25" t="s">
        <v>2</v>
      </c>
      <c r="C2467" s="26" t="s">
        <v>3</v>
      </c>
      <c r="D2467" s="26" t="s">
        <v>4</v>
      </c>
      <c r="E2467" s="26" t="s">
        <v>5</v>
      </c>
      <c r="F2467" s="26"/>
      <c r="G2467" s="27" t="s">
        <v>6</v>
      </c>
    </row>
    <row r="2468" spans="1:13" hidden="1" outlineLevel="1" x14ac:dyDescent="0.25">
      <c r="B2468" s="28" t="s">
        <v>514</v>
      </c>
      <c r="C2468" s="29" t="s">
        <v>1892</v>
      </c>
      <c r="D2468" s="257" t="s">
        <v>1489</v>
      </c>
      <c r="E2468" s="257">
        <v>0</v>
      </c>
      <c r="F2468" s="257" t="s">
        <v>2336</v>
      </c>
      <c r="G2468" s="258"/>
    </row>
    <row r="2469" spans="1:13" hidden="1" outlineLevel="1" x14ac:dyDescent="0.25">
      <c r="B2469" s="28" t="s">
        <v>515</v>
      </c>
      <c r="C2469" s="29" t="s">
        <v>1893</v>
      </c>
      <c r="D2469" s="257" t="s">
        <v>1489</v>
      </c>
      <c r="E2469" s="257">
        <v>0</v>
      </c>
      <c r="F2469" s="257" t="s">
        <v>1470</v>
      </c>
      <c r="G2469" s="258"/>
    </row>
    <row r="2470" spans="1:13" s="3" customFormat="1" hidden="1" outlineLevel="1" x14ac:dyDescent="0.25">
      <c r="B2470" s="28"/>
      <c r="C2470" s="29"/>
      <c r="D2470" s="29"/>
      <c r="E2470" s="29"/>
      <c r="F2470" s="29"/>
      <c r="G2470" s="30"/>
      <c r="H2470" s="273"/>
    </row>
    <row r="2471" spans="1:13" s="3" customFormat="1" ht="16.2" hidden="1" outlineLevel="1" thickBot="1" x14ac:dyDescent="0.3">
      <c r="B2471" s="267"/>
      <c r="C2471" s="268"/>
      <c r="D2471" s="268"/>
      <c r="E2471" s="268"/>
      <c r="F2471" s="268"/>
      <c r="G2471" s="269"/>
    </row>
    <row r="2472" spans="1:13" s="3" customFormat="1" ht="17.399999999999999" hidden="1" customHeight="1" outlineLevel="1" x14ac:dyDescent="0.25">
      <c r="A2472" s="5"/>
      <c r="B2472" s="401" t="s">
        <v>29</v>
      </c>
      <c r="C2472" s="402"/>
      <c r="D2472" s="402"/>
      <c r="E2472" s="402"/>
      <c r="F2472" s="402"/>
      <c r="G2472" s="403"/>
    </row>
    <row r="2473" spans="1:13" s="3" customFormat="1" hidden="1" outlineLevel="1" x14ac:dyDescent="0.25">
      <c r="B2473" s="28" t="s">
        <v>516</v>
      </c>
      <c r="C2473" s="29"/>
      <c r="D2473" s="29"/>
      <c r="E2473" s="29"/>
      <c r="F2473" s="29"/>
      <c r="G2473" s="30"/>
    </row>
    <row r="2474" spans="1:13" s="3" customFormat="1" hidden="1" outlineLevel="1" x14ac:dyDescent="0.25">
      <c r="B2474" s="28" t="s">
        <v>517</v>
      </c>
      <c r="C2474" s="29"/>
      <c r="D2474" s="29"/>
      <c r="E2474" s="29"/>
      <c r="F2474" s="29"/>
      <c r="G2474" s="30"/>
    </row>
    <row r="2475" spans="1:13" s="4" customFormat="1" ht="17.399999999999999" hidden="1" customHeight="1" outlineLevel="1" x14ac:dyDescent="0.35">
      <c r="A2475" s="5"/>
      <c r="B2475" s="67" t="s">
        <v>30</v>
      </c>
      <c r="C2475" s="65"/>
      <c r="D2475" s="65"/>
      <c r="E2475" s="65"/>
      <c r="F2475" s="65"/>
      <c r="G2475" s="371" t="s">
        <v>2357</v>
      </c>
      <c r="H2475" s="5"/>
      <c r="I2475" s="5"/>
      <c r="J2475" s="5"/>
      <c r="K2475" s="5"/>
      <c r="L2475" s="5"/>
      <c r="M2475" s="5"/>
    </row>
    <row r="2476" spans="1:13" s="3" customFormat="1" hidden="1" outlineLevel="1" x14ac:dyDescent="0.25">
      <c r="B2476" s="28" t="s">
        <v>518</v>
      </c>
      <c r="C2476" s="29"/>
      <c r="D2476" s="29"/>
      <c r="E2476" s="29"/>
      <c r="F2476" s="29"/>
      <c r="G2476" s="375" t="s">
        <v>2405</v>
      </c>
    </row>
    <row r="2477" spans="1:13" s="3" customFormat="1" hidden="1" outlineLevel="1" x14ac:dyDescent="0.25">
      <c r="B2477" s="185" t="s">
        <v>519</v>
      </c>
      <c r="C2477" s="23"/>
      <c r="D2477" s="23"/>
      <c r="E2477" s="23"/>
      <c r="F2477" s="23"/>
      <c r="G2477" s="123"/>
    </row>
    <row r="2478" spans="1:13" s="3" customFormat="1" hidden="1" outlineLevel="1" x14ac:dyDescent="0.25">
      <c r="B2478" s="185" t="s">
        <v>520</v>
      </c>
      <c r="C2478" s="23"/>
      <c r="D2478" s="23"/>
      <c r="E2478" s="23"/>
      <c r="F2478" s="23"/>
      <c r="G2478" s="123"/>
    </row>
    <row r="2479" spans="1:13" s="3" customFormat="1" hidden="1" outlineLevel="1" x14ac:dyDescent="0.25">
      <c r="B2479" s="185" t="s">
        <v>521</v>
      </c>
      <c r="C2479" s="23"/>
      <c r="D2479" s="23"/>
      <c r="E2479" s="23"/>
      <c r="F2479" s="23"/>
      <c r="G2479" s="123"/>
    </row>
    <row r="2480" spans="1:13" s="3" customFormat="1" hidden="1" outlineLevel="1" x14ac:dyDescent="0.25">
      <c r="B2480" s="185" t="s">
        <v>522</v>
      </c>
      <c r="C2480" s="23"/>
      <c r="D2480" s="23"/>
      <c r="E2480" s="23"/>
      <c r="F2480" s="23"/>
      <c r="G2480" s="123"/>
    </row>
    <row r="2481" spans="1:14" s="3" customFormat="1" hidden="1" outlineLevel="1" x14ac:dyDescent="0.25">
      <c r="B2481" s="185" t="s">
        <v>523</v>
      </c>
      <c r="C2481" s="23"/>
      <c r="D2481" s="23"/>
      <c r="E2481" s="23"/>
      <c r="F2481" s="23"/>
      <c r="G2481" s="123"/>
    </row>
    <row r="2482" spans="1:14" s="3" customFormat="1" hidden="1" outlineLevel="1" x14ac:dyDescent="0.25">
      <c r="B2482" s="185" t="s">
        <v>524</v>
      </c>
      <c r="C2482" s="23"/>
      <c r="D2482" s="23"/>
      <c r="E2482" s="23"/>
      <c r="F2482" s="23"/>
      <c r="G2482" s="123"/>
    </row>
    <row r="2483" spans="1:14" s="3" customFormat="1" hidden="1" outlineLevel="1" x14ac:dyDescent="0.25">
      <c r="B2483" s="185" t="s">
        <v>525</v>
      </c>
      <c r="C2483" s="23"/>
      <c r="D2483" s="23"/>
      <c r="E2483" s="23"/>
      <c r="F2483" s="23"/>
      <c r="G2483" s="123"/>
    </row>
    <row r="2484" spans="1:14" s="3" customFormat="1" hidden="1" outlineLevel="1" x14ac:dyDescent="0.25">
      <c r="B2484" s="185" t="s">
        <v>526</v>
      </c>
      <c r="C2484" s="23"/>
      <c r="D2484" s="23"/>
      <c r="E2484" s="23"/>
      <c r="F2484" s="23"/>
      <c r="G2484" s="123"/>
    </row>
    <row r="2485" spans="1:14" s="3" customFormat="1" hidden="1" outlineLevel="1" x14ac:dyDescent="0.25">
      <c r="B2485" s="185"/>
      <c r="C2485" s="23"/>
      <c r="D2485" s="23"/>
      <c r="E2485" s="23"/>
      <c r="F2485" s="23"/>
      <c r="G2485" s="123"/>
    </row>
    <row r="2486" spans="1:14" s="3" customFormat="1" hidden="1" outlineLevel="1" x14ac:dyDescent="0.25">
      <c r="B2486" s="185"/>
      <c r="C2486" s="23"/>
      <c r="D2486" s="23"/>
      <c r="E2486" s="23"/>
      <c r="F2486" s="23"/>
      <c r="G2486" s="123"/>
    </row>
    <row r="2487" spans="1:14" s="3" customFormat="1" hidden="1" outlineLevel="1" x14ac:dyDescent="0.25">
      <c r="B2487" s="185"/>
      <c r="C2487" s="23"/>
      <c r="D2487" s="23"/>
      <c r="E2487" s="23"/>
      <c r="F2487" s="23"/>
      <c r="G2487" s="123"/>
    </row>
    <row r="2488" spans="1:14" s="3" customFormat="1" ht="16.2" hidden="1" outlineLevel="1" thickBot="1" x14ac:dyDescent="0.3">
      <c r="B2488" s="163"/>
      <c r="C2488" s="164"/>
      <c r="D2488" s="164"/>
      <c r="E2488" s="164"/>
      <c r="F2488" s="164"/>
      <c r="G2488" s="165"/>
    </row>
    <row r="2489" spans="1:14" hidden="1" outlineLevel="1" x14ac:dyDescent="0.25"/>
    <row r="2490" spans="1:14" ht="16.2" hidden="1" outlineLevel="1" thickBot="1" x14ac:dyDescent="0.3"/>
    <row r="2491" spans="1:14" s="3" customFormat="1" ht="18" customHeight="1" collapsed="1" thickBot="1" x14ac:dyDescent="0.3">
      <c r="A2491" s="5"/>
      <c r="B2491" s="15" t="s">
        <v>1279</v>
      </c>
      <c r="C2491" s="16" t="s">
        <v>1462</v>
      </c>
      <c r="D2491" s="17" t="s">
        <v>1281</v>
      </c>
      <c r="E2491" s="29" t="s">
        <v>527</v>
      </c>
      <c r="F2491" s="17" t="s">
        <v>1282</v>
      </c>
      <c r="G2491" s="18" t="s">
        <v>1463</v>
      </c>
    </row>
    <row r="2492" spans="1:14" s="3" customFormat="1" ht="17.399999999999999" hidden="1" customHeight="1" outlineLevel="1" x14ac:dyDescent="0.25">
      <c r="A2492" s="5"/>
      <c r="B2492" s="19" t="s">
        <v>1284</v>
      </c>
      <c r="C2492" s="20" t="s">
        <v>1285</v>
      </c>
      <c r="D2492" s="21" t="s">
        <v>1286</v>
      </c>
      <c r="E2492" s="20" t="s">
        <v>1464</v>
      </c>
      <c r="F2492" s="21" t="s">
        <v>1288</v>
      </c>
      <c r="G2492" s="22"/>
    </row>
    <row r="2493" spans="1:14" s="3" customFormat="1" ht="17.399999999999999" hidden="1" customHeight="1" outlineLevel="1" thickBot="1" x14ac:dyDescent="0.3">
      <c r="A2493" s="5"/>
      <c r="B2493" s="19" t="s">
        <v>1290</v>
      </c>
      <c r="C2493" s="23"/>
      <c r="D2493" s="21" t="s">
        <v>1292</v>
      </c>
      <c r="E2493" s="23">
        <v>5</v>
      </c>
      <c r="F2493" s="21" t="s">
        <v>1293</v>
      </c>
      <c r="G2493" s="24" t="s">
        <v>1294</v>
      </c>
    </row>
    <row r="2494" spans="1:14" s="3" customFormat="1" ht="17.399999999999999" hidden="1" customHeight="1" outlineLevel="1" x14ac:dyDescent="0.25">
      <c r="A2494" s="5"/>
      <c r="B2494" s="401" t="s">
        <v>1</v>
      </c>
      <c r="C2494" s="402"/>
      <c r="D2494" s="402"/>
      <c r="E2494" s="402"/>
      <c r="F2494" s="402"/>
      <c r="G2494" s="403"/>
    </row>
    <row r="2495" spans="1:14" s="3" customFormat="1" ht="17.399999999999999" hidden="1" customHeight="1" outlineLevel="1" x14ac:dyDescent="0.25">
      <c r="A2495" s="5"/>
      <c r="B2495" s="25" t="s">
        <v>2</v>
      </c>
      <c r="C2495" s="26" t="s">
        <v>3</v>
      </c>
      <c r="D2495" s="26" t="s">
        <v>4</v>
      </c>
      <c r="E2495" s="26" t="s">
        <v>5</v>
      </c>
      <c r="F2495" s="26"/>
      <c r="G2495" s="27" t="s">
        <v>6</v>
      </c>
    </row>
    <row r="2496" spans="1:14" s="3" customFormat="1" hidden="1" outlineLevel="1" x14ac:dyDescent="0.25">
      <c r="B2496" s="28" t="s">
        <v>7</v>
      </c>
      <c r="C2496" s="29" t="s">
        <v>1468</v>
      </c>
      <c r="D2496" s="29" t="s">
        <v>1469</v>
      </c>
      <c r="E2496" s="29">
        <v>0</v>
      </c>
      <c r="F2496" s="29" t="s">
        <v>1470</v>
      </c>
      <c r="G2496" s="30" t="s">
        <v>1471</v>
      </c>
      <c r="J2496" s="3" t="s">
        <v>10</v>
      </c>
      <c r="N2496" s="3">
        <v>1112</v>
      </c>
    </row>
    <row r="2497" spans="1:13" s="3" customFormat="1" ht="16.2" hidden="1" outlineLevel="1" thickBot="1" x14ac:dyDescent="0.3">
      <c r="B2497" s="28"/>
      <c r="C2497" s="29"/>
      <c r="D2497" s="29"/>
      <c r="E2497" s="29"/>
      <c r="F2497" s="29"/>
      <c r="G2497" s="30"/>
    </row>
    <row r="2498" spans="1:13" s="3" customFormat="1" ht="17.399999999999999" hidden="1" customHeight="1" outlineLevel="1" x14ac:dyDescent="0.25">
      <c r="A2498" s="5"/>
      <c r="B2498" s="401" t="s">
        <v>18</v>
      </c>
      <c r="C2498" s="402"/>
      <c r="D2498" s="402"/>
      <c r="E2498" s="402"/>
      <c r="F2498" s="402"/>
      <c r="G2498" s="403"/>
    </row>
    <row r="2499" spans="1:13" s="3" customFormat="1" ht="17.399999999999999" hidden="1" customHeight="1" outlineLevel="1" x14ac:dyDescent="0.25">
      <c r="A2499" s="5"/>
      <c r="B2499" s="25" t="s">
        <v>2</v>
      </c>
      <c r="C2499" s="26" t="s">
        <v>3</v>
      </c>
      <c r="D2499" s="26" t="s">
        <v>4</v>
      </c>
      <c r="E2499" s="26" t="s">
        <v>5</v>
      </c>
      <c r="F2499" s="26"/>
      <c r="G2499" s="27" t="s">
        <v>6</v>
      </c>
    </row>
    <row r="2500" spans="1:13" hidden="1" outlineLevel="1" x14ac:dyDescent="0.25">
      <c r="B2500" s="28" t="s">
        <v>62</v>
      </c>
      <c r="C2500" s="29" t="s">
        <v>1525</v>
      </c>
      <c r="D2500" s="257" t="s">
        <v>1489</v>
      </c>
      <c r="E2500" s="257">
        <v>0</v>
      </c>
      <c r="F2500" s="257"/>
      <c r="G2500" s="258"/>
    </row>
    <row r="2501" spans="1:13" hidden="1" outlineLevel="1" x14ac:dyDescent="0.25">
      <c r="B2501" s="28" t="s">
        <v>117</v>
      </c>
      <c r="C2501" s="29" t="s">
        <v>1561</v>
      </c>
      <c r="D2501" s="257" t="s">
        <v>1489</v>
      </c>
      <c r="E2501" s="257">
        <v>0</v>
      </c>
      <c r="F2501" s="257" t="s">
        <v>1470</v>
      </c>
      <c r="G2501" s="258"/>
    </row>
    <row r="2502" spans="1:13" s="3" customFormat="1" hidden="1" outlineLevel="1" x14ac:dyDescent="0.25">
      <c r="B2502" s="28" t="s">
        <v>528</v>
      </c>
      <c r="C2502" s="29" t="s">
        <v>2344</v>
      </c>
      <c r="D2502" s="29" t="s">
        <v>2345</v>
      </c>
      <c r="E2502" s="29">
        <v>0</v>
      </c>
      <c r="F2502" s="29"/>
      <c r="G2502" s="30"/>
      <c r="H2502" s="273"/>
    </row>
    <row r="2503" spans="1:13" s="3" customFormat="1" ht="16.2" hidden="1" outlineLevel="1" thickBot="1" x14ac:dyDescent="0.3">
      <c r="B2503" s="267"/>
      <c r="C2503" s="268"/>
      <c r="D2503" s="268"/>
      <c r="E2503" s="268"/>
      <c r="F2503" s="268"/>
      <c r="G2503" s="269"/>
    </row>
    <row r="2504" spans="1:13" s="3" customFormat="1" ht="17.399999999999999" hidden="1" customHeight="1" outlineLevel="1" x14ac:dyDescent="0.25">
      <c r="A2504" s="5"/>
      <c r="B2504" s="401" t="s">
        <v>29</v>
      </c>
      <c r="C2504" s="402"/>
      <c r="D2504" s="402"/>
      <c r="E2504" s="402"/>
      <c r="F2504" s="402"/>
      <c r="G2504" s="403"/>
    </row>
    <row r="2505" spans="1:13" s="3" customFormat="1" hidden="1" outlineLevel="1" x14ac:dyDescent="0.25">
      <c r="B2505" s="28"/>
      <c r="C2505" s="29"/>
      <c r="D2505" s="29"/>
      <c r="E2505" s="29"/>
      <c r="F2505" s="29"/>
      <c r="G2505" s="30"/>
    </row>
    <row r="2506" spans="1:13" s="4" customFormat="1" ht="17.399999999999999" hidden="1" customHeight="1" outlineLevel="1" x14ac:dyDescent="0.35">
      <c r="A2506" s="5"/>
      <c r="B2506" s="67" t="s">
        <v>30</v>
      </c>
      <c r="C2506" s="65"/>
      <c r="D2506" s="65"/>
      <c r="E2506" s="65"/>
      <c r="F2506" s="65"/>
      <c r="G2506" s="371" t="s">
        <v>2357</v>
      </c>
      <c r="H2506" s="5"/>
      <c r="I2506" s="5"/>
      <c r="J2506" s="5"/>
      <c r="K2506" s="5"/>
      <c r="L2506" s="5"/>
      <c r="M2506" s="5"/>
    </row>
    <row r="2507" spans="1:13" s="3" customFormat="1" hidden="1" outlineLevel="1" x14ac:dyDescent="0.25">
      <c r="B2507" s="28" t="s">
        <v>529</v>
      </c>
      <c r="C2507" s="29"/>
      <c r="D2507" s="29"/>
      <c r="E2507" s="29"/>
      <c r="F2507" s="29"/>
      <c r="G2507" s="375" t="s">
        <v>2406</v>
      </c>
    </row>
    <row r="2508" spans="1:13" s="3" customFormat="1" ht="16.2" hidden="1" outlineLevel="1" thickBot="1" x14ac:dyDescent="0.3">
      <c r="B2508" s="163"/>
      <c r="C2508" s="164"/>
      <c r="D2508" s="164"/>
      <c r="E2508" s="164"/>
      <c r="F2508" s="164"/>
      <c r="G2508" s="165"/>
    </row>
    <row r="2509" spans="1:13" hidden="1" outlineLevel="1" x14ac:dyDescent="0.25"/>
    <row r="2510" spans="1:13" ht="16.2" hidden="1" outlineLevel="1" thickBot="1" x14ac:dyDescent="0.3"/>
    <row r="2511" spans="1:13" s="3" customFormat="1" ht="17.399999999999999" customHeight="1" collapsed="1" thickBot="1" x14ac:dyDescent="0.3">
      <c r="A2511" s="5"/>
      <c r="B2511" s="15" t="s">
        <v>1279</v>
      </c>
      <c r="C2511" s="16" t="s">
        <v>1465</v>
      </c>
      <c r="D2511" s="17" t="s">
        <v>1281</v>
      </c>
      <c r="E2511" s="227" t="s">
        <v>530</v>
      </c>
      <c r="F2511" s="17" t="s">
        <v>1282</v>
      </c>
      <c r="G2511" s="18" t="s">
        <v>1466</v>
      </c>
    </row>
    <row r="2512" spans="1:13" s="3" customFormat="1" ht="17.399999999999999" hidden="1" customHeight="1" outlineLevel="1" x14ac:dyDescent="0.25">
      <c r="A2512" s="5"/>
      <c r="B2512" s="19" t="s">
        <v>1284</v>
      </c>
      <c r="C2512" s="20" t="s">
        <v>1285</v>
      </c>
      <c r="D2512" s="21" t="s">
        <v>1286</v>
      </c>
      <c r="E2512" s="20" t="s">
        <v>1467</v>
      </c>
      <c r="F2512" s="21" t="s">
        <v>1288</v>
      </c>
      <c r="G2512" s="22" t="s">
        <v>1401</v>
      </c>
    </row>
    <row r="2513" spans="1:14" s="3" customFormat="1" ht="17.399999999999999" hidden="1" customHeight="1" outlineLevel="1" thickBot="1" x14ac:dyDescent="0.3">
      <c r="A2513" s="5"/>
      <c r="B2513" s="19" t="s">
        <v>1290</v>
      </c>
      <c r="C2513" s="23" t="s">
        <v>1291</v>
      </c>
      <c r="D2513" s="21" t="s">
        <v>1292</v>
      </c>
      <c r="E2513" s="23">
        <v>5</v>
      </c>
      <c r="F2513" s="21" t="s">
        <v>1293</v>
      </c>
      <c r="G2513" s="24" t="s">
        <v>1294</v>
      </c>
    </row>
    <row r="2514" spans="1:14" s="3" customFormat="1" ht="17.399999999999999" hidden="1" customHeight="1" outlineLevel="1" x14ac:dyDescent="0.25">
      <c r="A2514" s="5"/>
      <c r="B2514" s="395" t="s">
        <v>1</v>
      </c>
      <c r="C2514" s="396"/>
      <c r="D2514" s="396"/>
      <c r="E2514" s="396"/>
      <c r="F2514" s="396"/>
      <c r="G2514" s="397"/>
    </row>
    <row r="2515" spans="1:14" s="3" customFormat="1" ht="17.399999999999999" hidden="1" customHeight="1" outlineLevel="1" x14ac:dyDescent="0.25">
      <c r="A2515" s="5"/>
      <c r="B2515" s="25" t="s">
        <v>2</v>
      </c>
      <c r="C2515" s="26" t="s">
        <v>3</v>
      </c>
      <c r="D2515" s="26" t="s">
        <v>4</v>
      </c>
      <c r="E2515" s="26" t="s">
        <v>5</v>
      </c>
      <c r="F2515" s="26"/>
      <c r="G2515" s="27" t="s">
        <v>6</v>
      </c>
    </row>
    <row r="2516" spans="1:14" s="3" customFormat="1" hidden="1" outlineLevel="1" x14ac:dyDescent="0.25">
      <c r="B2516" s="28" t="s">
        <v>7</v>
      </c>
      <c r="C2516" s="29" t="s">
        <v>1468</v>
      </c>
      <c r="D2516" s="29" t="s">
        <v>1469</v>
      </c>
      <c r="E2516" s="29">
        <v>0</v>
      </c>
      <c r="F2516" s="29" t="s">
        <v>1470</v>
      </c>
      <c r="G2516" s="30" t="s">
        <v>1471</v>
      </c>
      <c r="J2516" s="3" t="s">
        <v>10</v>
      </c>
      <c r="N2516" s="3">
        <v>1112</v>
      </c>
    </row>
    <row r="2517" spans="1:14" s="3" customFormat="1" hidden="1" outlineLevel="1" x14ac:dyDescent="0.25">
      <c r="B2517" s="28" t="s">
        <v>188</v>
      </c>
      <c r="C2517" s="29" t="s">
        <v>1607</v>
      </c>
      <c r="D2517" s="29" t="s">
        <v>1606</v>
      </c>
      <c r="E2517" s="29" t="s">
        <v>1594</v>
      </c>
      <c r="F2517" s="29"/>
      <c r="G2517" s="30"/>
      <c r="J2517" s="3" t="s">
        <v>187</v>
      </c>
      <c r="N2517" s="3">
        <v>2156</v>
      </c>
    </row>
    <row r="2518" spans="1:14" s="3" customFormat="1" hidden="1" outlineLevel="1" x14ac:dyDescent="0.25">
      <c r="B2518" s="28" t="s">
        <v>15</v>
      </c>
      <c r="C2518" s="29" t="s">
        <v>1478</v>
      </c>
      <c r="D2518" s="29" t="s">
        <v>1469</v>
      </c>
      <c r="E2518" s="29">
        <v>0</v>
      </c>
      <c r="F2518" s="29" t="s">
        <v>1470</v>
      </c>
      <c r="G2518" s="30"/>
      <c r="J2518" s="3" t="s">
        <v>10</v>
      </c>
      <c r="N2518" s="3">
        <v>2430</v>
      </c>
    </row>
    <row r="2519" spans="1:14" s="3" customFormat="1" hidden="1" outlineLevel="1" x14ac:dyDescent="0.25">
      <c r="B2519" s="28" t="s">
        <v>159</v>
      </c>
      <c r="C2519" s="29" t="s">
        <v>1592</v>
      </c>
      <c r="D2519" s="29" t="s">
        <v>2346</v>
      </c>
      <c r="E2519" s="29" t="s">
        <v>2339</v>
      </c>
      <c r="F2519" s="29" t="s">
        <v>2336</v>
      </c>
      <c r="G2519" s="30" t="s">
        <v>2347</v>
      </c>
    </row>
    <row r="2520" spans="1:14" s="3" customFormat="1" hidden="1" outlineLevel="1" x14ac:dyDescent="0.25">
      <c r="B2520" s="28" t="s">
        <v>87</v>
      </c>
      <c r="C2520" s="29" t="s">
        <v>1535</v>
      </c>
      <c r="D2520" s="29" t="s">
        <v>1469</v>
      </c>
      <c r="E2520" s="29">
        <v>0</v>
      </c>
      <c r="F2520" s="29" t="s">
        <v>1476</v>
      </c>
      <c r="G2520" s="30"/>
      <c r="J2520" s="3" t="s">
        <v>10</v>
      </c>
      <c r="N2520" s="3">
        <v>2433</v>
      </c>
    </row>
    <row r="2521" spans="1:14" s="3" customFormat="1" hidden="1" outlineLevel="1" x14ac:dyDescent="0.25">
      <c r="B2521" s="28" t="s">
        <v>11</v>
      </c>
      <c r="C2521" s="29" t="s">
        <v>1472</v>
      </c>
      <c r="D2521" s="29" t="s">
        <v>1469</v>
      </c>
      <c r="E2521" s="29">
        <v>0</v>
      </c>
      <c r="F2521" s="29" t="s">
        <v>1470</v>
      </c>
      <c r="G2521" s="30" t="s">
        <v>1473</v>
      </c>
      <c r="J2521" s="3" t="s">
        <v>12</v>
      </c>
      <c r="N2521" s="3">
        <v>1700</v>
      </c>
    </row>
    <row r="2522" spans="1:14" s="3" customFormat="1" hidden="1" outlineLevel="1" x14ac:dyDescent="0.25">
      <c r="B2522" s="28" t="s">
        <v>128</v>
      </c>
      <c r="C2522" s="29" t="s">
        <v>1566</v>
      </c>
      <c r="D2522" s="29" t="s">
        <v>1567</v>
      </c>
      <c r="E2522" s="29">
        <v>0</v>
      </c>
      <c r="F2522" s="29" t="s">
        <v>1470</v>
      </c>
      <c r="G2522" s="30"/>
      <c r="J2522" s="3" t="s">
        <v>12</v>
      </c>
      <c r="N2522" s="3">
        <v>1629</v>
      </c>
    </row>
    <row r="2523" spans="1:14" s="3" customFormat="1" hidden="1" outlineLevel="1" x14ac:dyDescent="0.25">
      <c r="B2523" s="28" t="s">
        <v>114</v>
      </c>
      <c r="C2523" s="29" t="s">
        <v>1557</v>
      </c>
      <c r="D2523" s="29" t="s">
        <v>1469</v>
      </c>
      <c r="E2523" s="29">
        <v>-1</v>
      </c>
      <c r="F2523" s="29" t="s">
        <v>1470</v>
      </c>
      <c r="G2523" s="30"/>
      <c r="J2523" s="3" t="s">
        <v>10</v>
      </c>
      <c r="N2523" s="3">
        <v>2449</v>
      </c>
    </row>
    <row r="2524" spans="1:14" s="3" customFormat="1" ht="16.2" hidden="1" outlineLevel="1" thickBot="1" x14ac:dyDescent="0.3">
      <c r="B2524" s="185"/>
      <c r="C2524" s="23"/>
      <c r="D2524" s="23"/>
      <c r="E2524" s="23"/>
      <c r="F2524" s="23"/>
      <c r="G2524" s="24"/>
    </row>
    <row r="2525" spans="1:14" s="3" customFormat="1" ht="17.399999999999999" hidden="1" customHeight="1" outlineLevel="1" x14ac:dyDescent="0.25">
      <c r="A2525" s="5"/>
      <c r="B2525" s="401" t="s">
        <v>18</v>
      </c>
      <c r="C2525" s="402"/>
      <c r="D2525" s="402"/>
      <c r="E2525" s="402"/>
      <c r="F2525" s="402"/>
      <c r="G2525" s="403"/>
    </row>
    <row r="2526" spans="1:14" s="3" customFormat="1" ht="17.399999999999999" hidden="1" customHeight="1" outlineLevel="1" x14ac:dyDescent="0.25">
      <c r="A2526" s="5"/>
      <c r="B2526" s="25" t="s">
        <v>2</v>
      </c>
      <c r="C2526" s="26" t="s">
        <v>3</v>
      </c>
      <c r="D2526" s="26" t="s">
        <v>4</v>
      </c>
      <c r="E2526" s="26" t="s">
        <v>5</v>
      </c>
      <c r="F2526" s="26"/>
      <c r="G2526" s="27" t="s">
        <v>6</v>
      </c>
    </row>
    <row r="2527" spans="1:14" s="3" customFormat="1" hidden="1" outlineLevel="1" x14ac:dyDescent="0.25">
      <c r="A2527" s="280"/>
      <c r="B2527" s="28" t="s">
        <v>128</v>
      </c>
      <c r="C2527" s="29" t="s">
        <v>1566</v>
      </c>
      <c r="D2527" s="29" t="s">
        <v>1567</v>
      </c>
      <c r="E2527" s="29">
        <v>0</v>
      </c>
      <c r="F2527" s="29" t="s">
        <v>1470</v>
      </c>
      <c r="G2527" s="30"/>
      <c r="H2527" s="3" t="str">
        <f>"{"&amp;B2527&amp;"},"</f>
        <v>{记录序号},</v>
      </c>
      <c r="J2527" s="3" t="s">
        <v>12</v>
      </c>
      <c r="N2527" s="3">
        <v>1629</v>
      </c>
    </row>
    <row r="2528" spans="1:14" hidden="1" outlineLevel="1" x14ac:dyDescent="0.25">
      <c r="B2528" s="280" t="s">
        <v>16</v>
      </c>
      <c r="C2528" s="262" t="s">
        <v>1479</v>
      </c>
      <c r="D2528" s="262" t="s">
        <v>1469</v>
      </c>
      <c r="E2528" s="262" t="s">
        <v>1480</v>
      </c>
      <c r="F2528" s="262" t="s">
        <v>1481</v>
      </c>
      <c r="G2528" s="263" t="s">
        <v>1482</v>
      </c>
    </row>
    <row r="2529" spans="2:7" hidden="1" outlineLevel="1" x14ac:dyDescent="0.25">
      <c r="B2529" s="280" t="s">
        <v>112</v>
      </c>
      <c r="C2529" s="262" t="s">
        <v>1555</v>
      </c>
      <c r="D2529" s="262" t="s">
        <v>1469</v>
      </c>
      <c r="E2529" s="262">
        <v>0</v>
      </c>
      <c r="F2529" s="262" t="s">
        <v>1470</v>
      </c>
      <c r="G2529" s="263" t="s">
        <v>1556</v>
      </c>
    </row>
    <row r="2530" spans="2:7" hidden="1" outlineLevel="1" x14ac:dyDescent="0.25">
      <c r="B2530" s="280" t="s">
        <v>7</v>
      </c>
      <c r="C2530" s="262" t="s">
        <v>1468</v>
      </c>
      <c r="D2530" s="262" t="s">
        <v>1469</v>
      </c>
      <c r="E2530" s="262">
        <v>0</v>
      </c>
      <c r="F2530" s="262" t="s">
        <v>1470</v>
      </c>
      <c r="G2530" s="263" t="s">
        <v>1471</v>
      </c>
    </row>
    <row r="2531" spans="2:7" hidden="1" outlineLevel="1" x14ac:dyDescent="0.25">
      <c r="B2531" s="280" t="s">
        <v>11</v>
      </c>
      <c r="C2531" s="262" t="s">
        <v>1472</v>
      </c>
      <c r="D2531" s="262" t="s">
        <v>1469</v>
      </c>
      <c r="E2531" s="262">
        <v>0</v>
      </c>
      <c r="F2531" s="262" t="s">
        <v>1470</v>
      </c>
      <c r="G2531" s="263" t="s">
        <v>1473</v>
      </c>
    </row>
    <row r="2532" spans="2:7" hidden="1" outlineLevel="1" x14ac:dyDescent="0.25">
      <c r="B2532" s="280" t="s">
        <v>13</v>
      </c>
      <c r="C2532" s="262" t="s">
        <v>1474</v>
      </c>
      <c r="D2532" s="262" t="s">
        <v>1469</v>
      </c>
      <c r="E2532" s="262">
        <v>0</v>
      </c>
      <c r="F2532" s="262" t="s">
        <v>1470</v>
      </c>
      <c r="G2532" s="263"/>
    </row>
    <row r="2533" spans="2:7" hidden="1" outlineLevel="1" x14ac:dyDescent="0.25">
      <c r="B2533" s="280" t="s">
        <v>202</v>
      </c>
      <c r="C2533" s="262" t="s">
        <v>1634</v>
      </c>
      <c r="D2533" s="262" t="s">
        <v>1469</v>
      </c>
      <c r="E2533" s="262">
        <v>0</v>
      </c>
      <c r="F2533" s="262" t="s">
        <v>1470</v>
      </c>
      <c r="G2533" s="263"/>
    </row>
    <row r="2534" spans="2:7" hidden="1" outlineLevel="1" x14ac:dyDescent="0.25">
      <c r="B2534" s="280" t="s">
        <v>15</v>
      </c>
      <c r="C2534" s="262" t="s">
        <v>1478</v>
      </c>
      <c r="D2534" s="262" t="s">
        <v>1469</v>
      </c>
      <c r="E2534" s="262">
        <v>0</v>
      </c>
      <c r="F2534" s="262" t="s">
        <v>1470</v>
      </c>
      <c r="G2534" s="263"/>
    </row>
    <row r="2535" spans="2:7" hidden="1" outlineLevel="1" x14ac:dyDescent="0.25">
      <c r="B2535" s="280" t="s">
        <v>159</v>
      </c>
      <c r="C2535" s="262" t="s">
        <v>1592</v>
      </c>
      <c r="D2535" s="262" t="s">
        <v>2346</v>
      </c>
      <c r="E2535" s="262" t="s">
        <v>2339</v>
      </c>
      <c r="F2535" s="262" t="s">
        <v>2336</v>
      </c>
      <c r="G2535" s="263" t="s">
        <v>2347</v>
      </c>
    </row>
    <row r="2536" spans="2:7" hidden="1" outlineLevel="1" x14ac:dyDescent="0.25">
      <c r="B2536" s="280" t="s">
        <v>161</v>
      </c>
      <c r="C2536" s="262" t="s">
        <v>1846</v>
      </c>
      <c r="D2536" s="262" t="s">
        <v>2348</v>
      </c>
      <c r="E2536" s="262" t="s">
        <v>2339</v>
      </c>
      <c r="F2536" s="262" t="s">
        <v>2336</v>
      </c>
      <c r="G2536" s="263"/>
    </row>
    <row r="2537" spans="2:7" hidden="1" outlineLevel="1" x14ac:dyDescent="0.25">
      <c r="B2537" s="280" t="s">
        <v>87</v>
      </c>
      <c r="C2537" s="262" t="s">
        <v>1535</v>
      </c>
      <c r="D2537" s="262" t="s">
        <v>1469</v>
      </c>
      <c r="E2537" s="262">
        <v>0</v>
      </c>
      <c r="F2537" s="262" t="s">
        <v>1476</v>
      </c>
      <c r="G2537" s="263"/>
    </row>
    <row r="2538" spans="2:7" hidden="1" outlineLevel="1" x14ac:dyDescent="0.25">
      <c r="B2538" s="280" t="s">
        <v>14</v>
      </c>
      <c r="C2538" s="262" t="s">
        <v>1475</v>
      </c>
      <c r="D2538" s="262" t="s">
        <v>1469</v>
      </c>
      <c r="E2538" s="262">
        <v>0</v>
      </c>
      <c r="F2538" s="262" t="s">
        <v>1476</v>
      </c>
      <c r="G2538" s="263" t="s">
        <v>1477</v>
      </c>
    </row>
    <row r="2539" spans="2:7" hidden="1" outlineLevel="1" x14ac:dyDescent="0.25">
      <c r="B2539" s="280" t="s">
        <v>62</v>
      </c>
      <c r="C2539" s="262" t="s">
        <v>1525</v>
      </c>
      <c r="D2539" s="262" t="s">
        <v>1489</v>
      </c>
      <c r="E2539" s="262">
        <v>0</v>
      </c>
      <c r="F2539" s="262"/>
      <c r="G2539" s="263"/>
    </row>
    <row r="2540" spans="2:7" hidden="1" outlineLevel="1" x14ac:dyDescent="0.25">
      <c r="B2540" s="280" t="s">
        <v>100</v>
      </c>
      <c r="C2540" s="262" t="s">
        <v>1543</v>
      </c>
      <c r="D2540" s="262" t="s">
        <v>1469</v>
      </c>
      <c r="E2540" s="262">
        <v>0</v>
      </c>
      <c r="F2540" s="262" t="s">
        <v>1476</v>
      </c>
      <c r="G2540" s="263" t="s">
        <v>1544</v>
      </c>
    </row>
    <row r="2541" spans="2:7" hidden="1" outlineLevel="1" x14ac:dyDescent="0.25">
      <c r="B2541" s="280" t="s">
        <v>116</v>
      </c>
      <c r="C2541" s="262" t="s">
        <v>1559</v>
      </c>
      <c r="D2541" s="262" t="s">
        <v>1486</v>
      </c>
      <c r="E2541" s="262">
        <v>0</v>
      </c>
      <c r="F2541" s="262" t="s">
        <v>1470</v>
      </c>
      <c r="G2541" s="263" t="s">
        <v>1560</v>
      </c>
    </row>
    <row r="2542" spans="2:7" hidden="1" outlineLevel="1" x14ac:dyDescent="0.25">
      <c r="B2542" s="280" t="s">
        <v>75</v>
      </c>
      <c r="C2542" s="262" t="s">
        <v>1530</v>
      </c>
      <c r="D2542" s="262" t="s">
        <v>1486</v>
      </c>
      <c r="E2542" s="262">
        <v>0</v>
      </c>
      <c r="F2542" s="262" t="s">
        <v>1470</v>
      </c>
      <c r="G2542" s="263" t="s">
        <v>1531</v>
      </c>
    </row>
    <row r="2543" spans="2:7" hidden="1" outlineLevel="1" x14ac:dyDescent="0.25">
      <c r="B2543" s="280" t="s">
        <v>315</v>
      </c>
      <c r="C2543" s="262" t="s">
        <v>1733</v>
      </c>
      <c r="D2543" s="262" t="s">
        <v>1486</v>
      </c>
      <c r="E2543" s="262">
        <v>0</v>
      </c>
      <c r="F2543" s="262"/>
      <c r="G2543" s="263"/>
    </row>
    <row r="2544" spans="2:7" hidden="1" outlineLevel="1" x14ac:dyDescent="0.25">
      <c r="B2544" s="280" t="s">
        <v>131</v>
      </c>
      <c r="C2544" s="262" t="s">
        <v>1568</v>
      </c>
      <c r="D2544" s="262" t="s">
        <v>1486</v>
      </c>
      <c r="E2544" s="262">
        <v>0</v>
      </c>
      <c r="F2544" s="262" t="s">
        <v>1470</v>
      </c>
      <c r="G2544" s="263" t="s">
        <v>1569</v>
      </c>
    </row>
    <row r="2545" spans="2:7" hidden="1" outlineLevel="1" x14ac:dyDescent="0.25">
      <c r="B2545" s="280" t="s">
        <v>132</v>
      </c>
      <c r="C2545" s="262" t="s">
        <v>1570</v>
      </c>
      <c r="D2545" s="262" t="s">
        <v>1486</v>
      </c>
      <c r="E2545" s="262">
        <v>0</v>
      </c>
      <c r="F2545" s="262" t="s">
        <v>1470</v>
      </c>
      <c r="G2545" s="263" t="s">
        <v>1571</v>
      </c>
    </row>
    <row r="2546" spans="2:7" hidden="1" outlineLevel="1" x14ac:dyDescent="0.25">
      <c r="B2546" s="280" t="s">
        <v>316</v>
      </c>
      <c r="C2546" s="262" t="s">
        <v>1734</v>
      </c>
      <c r="D2546" s="262" t="s">
        <v>1486</v>
      </c>
      <c r="E2546" s="262">
        <v>0</v>
      </c>
      <c r="F2546" s="262"/>
      <c r="G2546" s="263"/>
    </row>
    <row r="2547" spans="2:7" hidden="1" outlineLevel="1" x14ac:dyDescent="0.25">
      <c r="B2547" s="280" t="s">
        <v>317</v>
      </c>
      <c r="C2547" s="262" t="s">
        <v>1735</v>
      </c>
      <c r="D2547" s="262" t="s">
        <v>1486</v>
      </c>
      <c r="E2547" s="262">
        <v>0</v>
      </c>
      <c r="F2547" s="262"/>
      <c r="G2547" s="263"/>
    </row>
    <row r="2548" spans="2:7" hidden="1" outlineLevel="1" x14ac:dyDescent="0.25">
      <c r="B2548" s="280" t="s">
        <v>133</v>
      </c>
      <c r="C2548" s="262" t="s">
        <v>1572</v>
      </c>
      <c r="D2548" s="262" t="s">
        <v>1486</v>
      </c>
      <c r="E2548" s="262">
        <v>0</v>
      </c>
      <c r="F2548" s="262" t="s">
        <v>1470</v>
      </c>
      <c r="G2548" s="263"/>
    </row>
    <row r="2549" spans="2:7" hidden="1" outlineLevel="1" x14ac:dyDescent="0.25">
      <c r="B2549" s="280" t="s">
        <v>134</v>
      </c>
      <c r="C2549" s="262" t="s">
        <v>1573</v>
      </c>
      <c r="D2549" s="262" t="s">
        <v>1486</v>
      </c>
      <c r="E2549" s="262">
        <v>0</v>
      </c>
      <c r="F2549" s="262" t="s">
        <v>1470</v>
      </c>
      <c r="G2549" s="263"/>
    </row>
    <row r="2550" spans="2:7" hidden="1" outlineLevel="1" x14ac:dyDescent="0.25">
      <c r="B2550" s="280" t="s">
        <v>318</v>
      </c>
      <c r="C2550" s="262" t="s">
        <v>1736</v>
      </c>
      <c r="D2550" s="262" t="s">
        <v>1486</v>
      </c>
      <c r="E2550" s="262">
        <v>0</v>
      </c>
      <c r="F2550" s="262"/>
      <c r="G2550" s="263"/>
    </row>
    <row r="2551" spans="2:7" hidden="1" outlineLevel="1" x14ac:dyDescent="0.25">
      <c r="B2551" s="280" t="s">
        <v>319</v>
      </c>
      <c r="C2551" s="262" t="s">
        <v>1737</v>
      </c>
      <c r="D2551" s="262" t="s">
        <v>1486</v>
      </c>
      <c r="E2551" s="262">
        <v>0</v>
      </c>
      <c r="F2551" s="262"/>
      <c r="G2551" s="263"/>
    </row>
    <row r="2552" spans="2:7" hidden="1" outlineLevel="1" x14ac:dyDescent="0.25">
      <c r="B2552" s="280" t="s">
        <v>135</v>
      </c>
      <c r="C2552" s="262" t="s">
        <v>1574</v>
      </c>
      <c r="D2552" s="262" t="s">
        <v>1486</v>
      </c>
      <c r="E2552" s="262">
        <v>0</v>
      </c>
      <c r="F2552" s="262" t="s">
        <v>1470</v>
      </c>
      <c r="G2552" s="263"/>
    </row>
    <row r="2553" spans="2:7" hidden="1" outlineLevel="1" x14ac:dyDescent="0.25">
      <c r="B2553" s="280" t="s">
        <v>136</v>
      </c>
      <c r="C2553" s="262" t="s">
        <v>1575</v>
      </c>
      <c r="D2553" s="262" t="s">
        <v>1486</v>
      </c>
      <c r="E2553" s="262">
        <v>0</v>
      </c>
      <c r="F2553" s="262" t="s">
        <v>1470</v>
      </c>
      <c r="G2553" s="263"/>
    </row>
    <row r="2554" spans="2:7" hidden="1" outlineLevel="1" x14ac:dyDescent="0.25">
      <c r="B2554" s="280" t="s">
        <v>137</v>
      </c>
      <c r="C2554" s="262" t="s">
        <v>1576</v>
      </c>
      <c r="D2554" s="262" t="s">
        <v>1486</v>
      </c>
      <c r="E2554" s="262">
        <v>0</v>
      </c>
      <c r="F2554" s="262" t="s">
        <v>1470</v>
      </c>
      <c r="G2554" s="263"/>
    </row>
    <row r="2555" spans="2:7" hidden="1" outlineLevel="1" x14ac:dyDescent="0.25">
      <c r="B2555" s="280" t="s">
        <v>138</v>
      </c>
      <c r="C2555" s="262" t="s">
        <v>1577</v>
      </c>
      <c r="D2555" s="262" t="s">
        <v>1486</v>
      </c>
      <c r="E2555" s="262">
        <v>0</v>
      </c>
      <c r="F2555" s="262" t="s">
        <v>1470</v>
      </c>
      <c r="G2555" s="263"/>
    </row>
    <row r="2556" spans="2:7" hidden="1" outlineLevel="1" x14ac:dyDescent="0.25">
      <c r="B2556" s="280" t="s">
        <v>320</v>
      </c>
      <c r="C2556" s="262" t="s">
        <v>1738</v>
      </c>
      <c r="D2556" s="262" t="s">
        <v>1486</v>
      </c>
      <c r="E2556" s="262">
        <v>0</v>
      </c>
      <c r="F2556" s="262"/>
      <c r="G2556" s="263"/>
    </row>
    <row r="2557" spans="2:7" hidden="1" outlineLevel="1" x14ac:dyDescent="0.25">
      <c r="B2557" s="280" t="s">
        <v>321</v>
      </c>
      <c r="C2557" s="262" t="s">
        <v>1739</v>
      </c>
      <c r="D2557" s="262" t="s">
        <v>1486</v>
      </c>
      <c r="E2557" s="262">
        <v>0</v>
      </c>
      <c r="F2557" s="262"/>
      <c r="G2557" s="263"/>
    </row>
    <row r="2558" spans="2:7" hidden="1" outlineLevel="1" x14ac:dyDescent="0.25">
      <c r="B2558" s="280" t="s">
        <v>322</v>
      </c>
      <c r="C2558" s="262" t="s">
        <v>1740</v>
      </c>
      <c r="D2558" s="262" t="s">
        <v>1486</v>
      </c>
      <c r="E2558" s="262">
        <v>0</v>
      </c>
      <c r="F2558" s="262" t="s">
        <v>1470</v>
      </c>
      <c r="G2558" s="263"/>
    </row>
    <row r="2559" spans="2:7" hidden="1" outlineLevel="1" x14ac:dyDescent="0.25">
      <c r="B2559" s="280" t="s">
        <v>323</v>
      </c>
      <c r="C2559" s="262" t="s">
        <v>1741</v>
      </c>
      <c r="D2559" s="262" t="s">
        <v>1486</v>
      </c>
      <c r="E2559" s="262">
        <v>0</v>
      </c>
      <c r="F2559" s="262" t="s">
        <v>1470</v>
      </c>
      <c r="G2559" s="263"/>
    </row>
    <row r="2560" spans="2:7" hidden="1" outlineLevel="1" x14ac:dyDescent="0.25">
      <c r="B2560" s="280" t="s">
        <v>117</v>
      </c>
      <c r="C2560" s="262" t="s">
        <v>1561</v>
      </c>
      <c r="D2560" s="262" t="s">
        <v>1489</v>
      </c>
      <c r="E2560" s="262">
        <v>0</v>
      </c>
      <c r="F2560" s="262" t="s">
        <v>1470</v>
      </c>
      <c r="G2560" s="263"/>
    </row>
    <row r="2561" spans="2:7" hidden="1" outlineLevel="1" x14ac:dyDescent="0.25">
      <c r="B2561" s="280" t="s">
        <v>24</v>
      </c>
      <c r="C2561" s="262" t="s">
        <v>1491</v>
      </c>
      <c r="D2561" s="262" t="s">
        <v>1489</v>
      </c>
      <c r="E2561" s="262">
        <v>0</v>
      </c>
      <c r="F2561" s="262" t="s">
        <v>1470</v>
      </c>
      <c r="G2561" s="263"/>
    </row>
    <row r="2562" spans="2:7" hidden="1" outlineLevel="1" x14ac:dyDescent="0.25">
      <c r="B2562" s="280" t="s">
        <v>140</v>
      </c>
      <c r="C2562" s="262" t="s">
        <v>1578</v>
      </c>
      <c r="D2562" s="262" t="s">
        <v>1489</v>
      </c>
      <c r="E2562" s="262">
        <v>0</v>
      </c>
      <c r="F2562" s="262" t="s">
        <v>1470</v>
      </c>
      <c r="G2562" s="263"/>
    </row>
    <row r="2563" spans="2:7" hidden="1" outlineLevel="1" x14ac:dyDescent="0.25">
      <c r="B2563" s="280" t="s">
        <v>141</v>
      </c>
      <c r="C2563" s="262" t="s">
        <v>1579</v>
      </c>
      <c r="D2563" s="262" t="s">
        <v>1489</v>
      </c>
      <c r="E2563" s="262">
        <v>0</v>
      </c>
      <c r="F2563" s="262" t="s">
        <v>1470</v>
      </c>
      <c r="G2563" s="263"/>
    </row>
    <row r="2564" spans="2:7" hidden="1" outlineLevel="1" x14ac:dyDescent="0.25">
      <c r="B2564" s="280" t="s">
        <v>147</v>
      </c>
      <c r="C2564" s="262" t="s">
        <v>1586</v>
      </c>
      <c r="D2564" s="262" t="s">
        <v>1489</v>
      </c>
      <c r="E2564" s="262">
        <v>0</v>
      </c>
      <c r="F2564" s="262"/>
      <c r="G2564" s="263"/>
    </row>
    <row r="2565" spans="2:7" hidden="1" outlineLevel="1" x14ac:dyDescent="0.25">
      <c r="B2565" s="280" t="s">
        <v>148</v>
      </c>
      <c r="C2565" s="262" t="s">
        <v>1587</v>
      </c>
      <c r="D2565" s="262" t="s">
        <v>1486</v>
      </c>
      <c r="E2565" s="262">
        <v>0</v>
      </c>
      <c r="F2565" s="262" t="s">
        <v>1470</v>
      </c>
      <c r="G2565" s="263"/>
    </row>
    <row r="2566" spans="2:7" hidden="1" outlineLevel="1" x14ac:dyDescent="0.25">
      <c r="B2566" s="280" t="s">
        <v>146</v>
      </c>
      <c r="C2566" s="262" t="s">
        <v>1585</v>
      </c>
      <c r="D2566" s="262" t="s">
        <v>1489</v>
      </c>
      <c r="E2566" s="262">
        <v>0</v>
      </c>
      <c r="F2566" s="262"/>
      <c r="G2566" s="263"/>
    </row>
    <row r="2567" spans="2:7" s="293" customFormat="1" hidden="1" outlineLevel="1" x14ac:dyDescent="0.25">
      <c r="B2567" s="217" t="s">
        <v>325</v>
      </c>
      <c r="C2567" s="330" t="s">
        <v>1743</v>
      </c>
      <c r="D2567" s="330" t="s">
        <v>1539</v>
      </c>
      <c r="E2567" s="330">
        <v>0</v>
      </c>
      <c r="F2567" s="330"/>
      <c r="G2567" s="331"/>
    </row>
    <row r="2568" spans="2:7" hidden="1" outlineLevel="1" x14ac:dyDescent="0.25">
      <c r="B2568" s="217" t="s">
        <v>326</v>
      </c>
      <c r="C2568" s="330" t="s">
        <v>1744</v>
      </c>
      <c r="D2568" s="330" t="s">
        <v>1539</v>
      </c>
      <c r="E2568" s="330">
        <v>0</v>
      </c>
      <c r="F2568" s="330"/>
      <c r="G2568" s="331"/>
    </row>
    <row r="2569" spans="2:7" hidden="1" outlineLevel="1" x14ac:dyDescent="0.25">
      <c r="B2569" s="217" t="s">
        <v>115</v>
      </c>
      <c r="C2569" s="330" t="s">
        <v>1558</v>
      </c>
      <c r="D2569" s="330" t="s">
        <v>1539</v>
      </c>
      <c r="E2569" s="330">
        <v>0</v>
      </c>
      <c r="F2569" s="330" t="s">
        <v>1470</v>
      </c>
      <c r="G2569" s="331"/>
    </row>
    <row r="2570" spans="2:7" hidden="1" outlineLevel="1" x14ac:dyDescent="0.25">
      <c r="B2570" s="217" t="s">
        <v>327</v>
      </c>
      <c r="C2570" s="330" t="s">
        <v>1745</v>
      </c>
      <c r="D2570" s="330" t="s">
        <v>1539</v>
      </c>
      <c r="E2570" s="330">
        <v>0</v>
      </c>
      <c r="F2570" s="330" t="s">
        <v>1470</v>
      </c>
      <c r="G2570" s="331"/>
    </row>
    <row r="2571" spans="2:7" hidden="1" outlineLevel="1" x14ac:dyDescent="0.25">
      <c r="B2571" s="280" t="s">
        <v>143</v>
      </c>
      <c r="C2571" s="262" t="s">
        <v>1581</v>
      </c>
      <c r="D2571" s="262" t="s">
        <v>1486</v>
      </c>
      <c r="E2571" s="262">
        <v>0</v>
      </c>
      <c r="F2571" s="262"/>
      <c r="G2571" s="263" t="s">
        <v>1582</v>
      </c>
    </row>
    <row r="2572" spans="2:7" hidden="1" outlineLevel="1" x14ac:dyDescent="0.25">
      <c r="B2572" s="280" t="s">
        <v>144</v>
      </c>
      <c r="C2572" s="262" t="s">
        <v>1583</v>
      </c>
      <c r="D2572" s="262" t="s">
        <v>1486</v>
      </c>
      <c r="E2572" s="262">
        <v>0</v>
      </c>
      <c r="F2572" s="262"/>
      <c r="G2572" s="263" t="s">
        <v>1582</v>
      </c>
    </row>
    <row r="2573" spans="2:7" hidden="1" outlineLevel="1" x14ac:dyDescent="0.25">
      <c r="B2573" s="280" t="s">
        <v>145</v>
      </c>
      <c r="C2573" s="262" t="s">
        <v>1584</v>
      </c>
      <c r="D2573" s="262" t="s">
        <v>1486</v>
      </c>
      <c r="E2573" s="262">
        <v>0</v>
      </c>
      <c r="F2573" s="262"/>
      <c r="G2573" s="263"/>
    </row>
    <row r="2574" spans="2:7" hidden="1" outlineLevel="1" x14ac:dyDescent="0.25">
      <c r="B2574" s="280" t="s">
        <v>328</v>
      </c>
      <c r="C2574" s="262" t="s">
        <v>1746</v>
      </c>
      <c r="D2574" s="262" t="s">
        <v>1489</v>
      </c>
      <c r="E2574" s="262">
        <v>0</v>
      </c>
      <c r="F2574" s="262"/>
      <c r="G2574" s="263"/>
    </row>
    <row r="2575" spans="2:7" hidden="1" outlineLevel="1" x14ac:dyDescent="0.25">
      <c r="B2575" s="201" t="s">
        <v>329</v>
      </c>
      <c r="C2575" s="107" t="s">
        <v>1747</v>
      </c>
      <c r="D2575" s="107" t="s">
        <v>1469</v>
      </c>
      <c r="E2575" s="107">
        <v>0</v>
      </c>
      <c r="F2575" s="107" t="s">
        <v>1476</v>
      </c>
      <c r="G2575" s="108" t="s">
        <v>1748</v>
      </c>
    </row>
    <row r="2576" spans="2:7" hidden="1" outlineLevel="1" x14ac:dyDescent="0.25">
      <c r="B2576" s="201" t="s">
        <v>330</v>
      </c>
      <c r="C2576" s="107" t="s">
        <v>1749</v>
      </c>
      <c r="D2576" s="107" t="s">
        <v>1539</v>
      </c>
      <c r="E2576" s="107">
        <v>0</v>
      </c>
      <c r="F2576" s="107" t="s">
        <v>1470</v>
      </c>
      <c r="G2576" s="108"/>
    </row>
    <row r="2577" spans="1:13" s="12" customFormat="1" hidden="1" outlineLevel="1" x14ac:dyDescent="0.25">
      <c r="A2577" s="278"/>
      <c r="B2577" s="201" t="s">
        <v>223</v>
      </c>
      <c r="C2577" s="107" t="s">
        <v>1674</v>
      </c>
      <c r="D2577" s="107" t="s">
        <v>1494</v>
      </c>
      <c r="E2577" s="107">
        <v>0</v>
      </c>
      <c r="F2577" s="107" t="s">
        <v>1470</v>
      </c>
      <c r="G2577" s="108"/>
    </row>
    <row r="2578" spans="1:13" s="12" customFormat="1" hidden="1" outlineLevel="1" x14ac:dyDescent="0.25">
      <c r="A2578" s="278"/>
      <c r="B2578" s="201" t="s">
        <v>331</v>
      </c>
      <c r="C2578" s="107" t="s">
        <v>1750</v>
      </c>
      <c r="D2578" s="107" t="s">
        <v>1469</v>
      </c>
      <c r="E2578" s="107">
        <v>0</v>
      </c>
      <c r="F2578" s="107" t="s">
        <v>1476</v>
      </c>
      <c r="G2578" s="108"/>
    </row>
    <row r="2579" spans="1:13" s="12" customFormat="1" hidden="1" outlineLevel="1" x14ac:dyDescent="0.25">
      <c r="A2579" s="278"/>
      <c r="B2579" s="201" t="s">
        <v>224</v>
      </c>
      <c r="C2579" s="107" t="s">
        <v>1675</v>
      </c>
      <c r="D2579" s="107" t="s">
        <v>1469</v>
      </c>
      <c r="E2579" s="107">
        <v>0</v>
      </c>
      <c r="F2579" s="107" t="s">
        <v>1476</v>
      </c>
      <c r="G2579" s="108"/>
    </row>
    <row r="2580" spans="1:13" s="3" customFormat="1" hidden="1" outlineLevel="1" x14ac:dyDescent="0.25">
      <c r="A2580" s="278"/>
      <c r="B2580" s="201" t="s">
        <v>332</v>
      </c>
      <c r="C2580" s="107" t="s">
        <v>1751</v>
      </c>
      <c r="D2580" s="107" t="s">
        <v>1494</v>
      </c>
      <c r="E2580" s="107">
        <v>0</v>
      </c>
      <c r="F2580" s="107" t="s">
        <v>1470</v>
      </c>
      <c r="G2580" s="108"/>
      <c r="H2580" s="3" t="s">
        <v>10</v>
      </c>
      <c r="I2580" s="3" t="s">
        <v>173</v>
      </c>
      <c r="J2580" s="3" t="s">
        <v>9</v>
      </c>
      <c r="K2580" s="3" t="s">
        <v>9</v>
      </c>
    </row>
    <row r="2581" spans="1:13" s="3" customFormat="1" ht="16.2" hidden="1" outlineLevel="1" thickBot="1" x14ac:dyDescent="0.3">
      <c r="A2581" s="280"/>
      <c r="B2581" s="163"/>
      <c r="C2581" s="164"/>
      <c r="D2581" s="164"/>
      <c r="E2581" s="164"/>
      <c r="F2581" s="164"/>
      <c r="G2581" s="165"/>
    </row>
    <row r="2582" spans="1:13" s="3" customFormat="1" ht="17.399999999999999" hidden="1" customHeight="1" outlineLevel="1" x14ac:dyDescent="0.25">
      <c r="A2582" s="280"/>
      <c r="B2582" s="398" t="s">
        <v>28</v>
      </c>
      <c r="C2582" s="399"/>
      <c r="D2582" s="399"/>
      <c r="E2582" s="399"/>
      <c r="F2582" s="399"/>
      <c r="G2582" s="400"/>
    </row>
    <row r="2583" spans="1:13" s="3" customFormat="1" ht="17.399999999999999" hidden="1" customHeight="1" outlineLevel="1" x14ac:dyDescent="0.25">
      <c r="A2583" s="280"/>
      <c r="B2583" s="25" t="s">
        <v>2</v>
      </c>
      <c r="C2583" s="26" t="s">
        <v>3</v>
      </c>
      <c r="D2583" s="26" t="s">
        <v>4</v>
      </c>
      <c r="E2583" s="26" t="s">
        <v>5</v>
      </c>
      <c r="F2583" s="26"/>
      <c r="G2583" s="27" t="s">
        <v>6</v>
      </c>
    </row>
    <row r="2584" spans="1:13" s="3" customFormat="1" ht="17.399999999999999" hidden="1" customHeight="1" outlineLevel="1" thickBot="1" x14ac:dyDescent="0.3">
      <c r="A2584" s="280"/>
      <c r="B2584" s="116"/>
      <c r="C2584" s="117"/>
      <c r="D2584" s="117"/>
      <c r="E2584" s="117"/>
      <c r="F2584" s="117"/>
      <c r="G2584" s="118"/>
    </row>
    <row r="2585" spans="1:13" s="3" customFormat="1" ht="17.399999999999999" hidden="1" customHeight="1" outlineLevel="1" x14ac:dyDescent="0.25">
      <c r="A2585" s="280"/>
      <c r="B2585" s="401" t="s">
        <v>29</v>
      </c>
      <c r="C2585" s="402"/>
      <c r="D2585" s="402"/>
      <c r="E2585" s="402"/>
      <c r="F2585" s="402"/>
      <c r="G2585" s="403"/>
    </row>
    <row r="2586" spans="1:13" s="3" customFormat="1" ht="17.399999999999999" hidden="1" customHeight="1" outlineLevel="1" x14ac:dyDescent="0.25">
      <c r="A2586" s="280"/>
      <c r="B2586" s="368"/>
      <c r="C2586" s="369"/>
      <c r="D2586" s="369"/>
      <c r="E2586" s="369"/>
      <c r="F2586" s="369"/>
      <c r="G2586" s="370"/>
    </row>
    <row r="2587" spans="1:13" s="3" customFormat="1" hidden="1" outlineLevel="1" x14ac:dyDescent="0.25">
      <c r="A2587" s="280"/>
      <c r="B2587" s="28"/>
      <c r="C2587" s="29"/>
      <c r="D2587" s="29"/>
      <c r="E2587" s="29"/>
      <c r="F2587" s="29"/>
      <c r="G2587" s="30"/>
    </row>
    <row r="2588" spans="1:13" s="4" customFormat="1" ht="17.399999999999999" hidden="1" customHeight="1" outlineLevel="1" x14ac:dyDescent="0.35">
      <c r="A2588" s="5"/>
      <c r="B2588" s="67" t="s">
        <v>30</v>
      </c>
      <c r="C2588" s="65"/>
      <c r="D2588" s="65"/>
      <c r="E2588" s="65"/>
      <c r="F2588" s="65"/>
      <c r="G2588" s="371" t="s">
        <v>2357</v>
      </c>
      <c r="H2588" s="5"/>
      <c r="I2588" s="5"/>
      <c r="J2588" s="5"/>
      <c r="K2588" s="5"/>
      <c r="L2588" s="5"/>
      <c r="M2588" s="5"/>
    </row>
    <row r="2589" spans="1:13" s="3" customFormat="1" hidden="1" outlineLevel="1" x14ac:dyDescent="0.25">
      <c r="A2589" s="280"/>
      <c r="B2589" s="28" t="s">
        <v>531</v>
      </c>
      <c r="C2589" s="29"/>
      <c r="D2589" s="29"/>
      <c r="E2589" s="29"/>
      <c r="F2589" s="29"/>
      <c r="G2589" s="375" t="s">
        <v>2407</v>
      </c>
    </row>
    <row r="2590" spans="1:13" s="3" customFormat="1" hidden="1" outlineLevel="1" x14ac:dyDescent="0.25">
      <c r="A2590" s="280"/>
      <c r="B2590" s="185"/>
      <c r="C2590" s="23"/>
      <c r="D2590" s="23"/>
      <c r="E2590" s="23"/>
      <c r="F2590" s="23"/>
      <c r="G2590" s="123"/>
    </row>
    <row r="2591" spans="1:13" s="3" customFormat="1" hidden="1" outlineLevel="1" x14ac:dyDescent="0.25">
      <c r="A2591" s="280"/>
      <c r="B2591" s="185"/>
      <c r="C2591" s="23"/>
      <c r="D2591" s="23"/>
      <c r="E2591" s="23"/>
      <c r="F2591" s="23"/>
      <c r="G2591" s="123"/>
    </row>
    <row r="2592" spans="1:13" s="3" customFormat="1" hidden="1" outlineLevel="1" x14ac:dyDescent="0.25">
      <c r="A2592" s="280"/>
      <c r="B2592" s="185"/>
      <c r="C2592" s="23"/>
      <c r="D2592" s="23"/>
      <c r="E2592" s="23"/>
      <c r="F2592" s="23"/>
      <c r="G2592" s="123"/>
    </row>
    <row r="2593" spans="1:7" s="3" customFormat="1" hidden="1" outlineLevel="1" x14ac:dyDescent="0.25">
      <c r="A2593" s="280"/>
      <c r="B2593" s="185"/>
      <c r="C2593" s="23"/>
      <c r="D2593" s="23"/>
      <c r="E2593" s="23"/>
      <c r="F2593" s="23"/>
      <c r="G2593" s="123"/>
    </row>
    <row r="2594" spans="1:7" s="3" customFormat="1" ht="16.2" hidden="1" outlineLevel="1" thickBot="1" x14ac:dyDescent="0.3">
      <c r="A2594" s="280"/>
      <c r="B2594" s="163"/>
      <c r="C2594" s="164"/>
      <c r="D2594" s="164"/>
      <c r="E2594" s="164"/>
      <c r="F2594" s="164"/>
      <c r="G2594" s="165"/>
    </row>
    <row r="2595" spans="1:7" ht="16.2" hidden="1" outlineLevel="1" thickBot="1" x14ac:dyDescent="0.3"/>
    <row r="2596" spans="1:7" collapsed="1" x14ac:dyDescent="0.25">
      <c r="B2596" s="15" t="s">
        <v>1279</v>
      </c>
      <c r="C2596" s="16" t="s">
        <v>1263</v>
      </c>
      <c r="D2596" s="17" t="s">
        <v>1281</v>
      </c>
      <c r="E2596" s="29" t="s">
        <v>1264</v>
      </c>
      <c r="F2596" s="17" t="s">
        <v>1282</v>
      </c>
      <c r="G2596" s="18" t="s">
        <v>1265</v>
      </c>
    </row>
    <row r="2597" spans="1:7" hidden="1" outlineLevel="1" x14ac:dyDescent="0.25">
      <c r="B2597" s="19" t="s">
        <v>1284</v>
      </c>
      <c r="C2597" s="20" t="s">
        <v>1285</v>
      </c>
      <c r="D2597" s="21" t="s">
        <v>1286</v>
      </c>
      <c r="E2597" s="20" t="s">
        <v>1266</v>
      </c>
      <c r="F2597" s="21" t="s">
        <v>1288</v>
      </c>
      <c r="G2597" s="22"/>
    </row>
    <row r="2598" spans="1:7" ht="16.2" hidden="1" outlineLevel="1" thickBot="1" x14ac:dyDescent="0.3">
      <c r="B2598" s="19" t="s">
        <v>1290</v>
      </c>
      <c r="C2598" s="23"/>
      <c r="D2598" s="21" t="s">
        <v>1292</v>
      </c>
      <c r="E2598" s="23">
        <v>5</v>
      </c>
      <c r="F2598" s="21" t="s">
        <v>1293</v>
      </c>
      <c r="G2598" s="24" t="s">
        <v>1294</v>
      </c>
    </row>
    <row r="2599" spans="1:7" hidden="1" outlineLevel="1" x14ac:dyDescent="0.25">
      <c r="B2599" s="401" t="s">
        <v>1</v>
      </c>
      <c r="C2599" s="402"/>
      <c r="D2599" s="402"/>
      <c r="E2599" s="402"/>
      <c r="F2599" s="402"/>
      <c r="G2599" s="403"/>
    </row>
    <row r="2600" spans="1:7" hidden="1" outlineLevel="1" x14ac:dyDescent="0.25">
      <c r="B2600" s="25" t="s">
        <v>2</v>
      </c>
      <c r="C2600" s="26" t="s">
        <v>3</v>
      </c>
      <c r="D2600" s="26" t="s">
        <v>4</v>
      </c>
      <c r="E2600" s="26" t="s">
        <v>5</v>
      </c>
      <c r="F2600" s="26"/>
      <c r="G2600" s="27" t="s">
        <v>6</v>
      </c>
    </row>
    <row r="2601" spans="1:7" hidden="1" outlineLevel="1" x14ac:dyDescent="0.25">
      <c r="B2601" s="28" t="s">
        <v>7</v>
      </c>
      <c r="C2601" s="29" t="s">
        <v>1468</v>
      </c>
      <c r="D2601" s="29" t="s">
        <v>1469</v>
      </c>
      <c r="E2601" s="29">
        <v>0</v>
      </c>
      <c r="F2601" s="29" t="s">
        <v>1470</v>
      </c>
      <c r="G2601" s="30" t="s">
        <v>1471</v>
      </c>
    </row>
    <row r="2602" spans="1:7" hidden="1" outlineLevel="1" x14ac:dyDescent="0.25">
      <c r="B2602" s="28" t="s">
        <v>1267</v>
      </c>
      <c r="C2602" s="29" t="s">
        <v>2349</v>
      </c>
      <c r="D2602" s="29" t="s">
        <v>2350</v>
      </c>
      <c r="E2602" s="29">
        <v>0</v>
      </c>
      <c r="F2602" s="29" t="s">
        <v>2336</v>
      </c>
      <c r="G2602" s="30" t="s">
        <v>2351</v>
      </c>
    </row>
    <row r="2603" spans="1:7" ht="16.2" hidden="1" outlineLevel="1" thickBot="1" x14ac:dyDescent="0.3">
      <c r="B2603" s="28"/>
      <c r="C2603" s="29"/>
      <c r="D2603" s="29"/>
      <c r="E2603" s="29"/>
      <c r="F2603" s="29"/>
      <c r="G2603" s="30"/>
    </row>
    <row r="2604" spans="1:7" hidden="1" outlineLevel="1" x14ac:dyDescent="0.25">
      <c r="B2604" s="401" t="s">
        <v>18</v>
      </c>
      <c r="C2604" s="402"/>
      <c r="D2604" s="402"/>
      <c r="E2604" s="402"/>
      <c r="F2604" s="402"/>
      <c r="G2604" s="403"/>
    </row>
    <row r="2605" spans="1:7" hidden="1" outlineLevel="1" x14ac:dyDescent="0.25">
      <c r="B2605" s="25" t="s">
        <v>2</v>
      </c>
      <c r="C2605" s="26" t="s">
        <v>3</v>
      </c>
      <c r="D2605" s="26" t="s">
        <v>4</v>
      </c>
      <c r="E2605" s="26" t="s">
        <v>5</v>
      </c>
      <c r="F2605" s="26"/>
      <c r="G2605" s="27" t="s">
        <v>6</v>
      </c>
    </row>
    <row r="2606" spans="1:7" hidden="1" outlineLevel="1" x14ac:dyDescent="0.25">
      <c r="B2606" s="28" t="s">
        <v>514</v>
      </c>
      <c r="C2606" s="29" t="s">
        <v>2352</v>
      </c>
      <c r="D2606" s="257" t="s">
        <v>2345</v>
      </c>
      <c r="E2606" s="257">
        <v>0</v>
      </c>
      <c r="F2606" s="257" t="s">
        <v>2336</v>
      </c>
      <c r="G2606" s="258"/>
    </row>
    <row r="2607" spans="1:7" hidden="1" outlineLevel="1" x14ac:dyDescent="0.25">
      <c r="B2607" s="28" t="s">
        <v>515</v>
      </c>
      <c r="C2607" s="29" t="s">
        <v>1893</v>
      </c>
      <c r="D2607" s="257" t="s">
        <v>1489</v>
      </c>
      <c r="E2607" s="257">
        <v>0</v>
      </c>
      <c r="F2607" s="257" t="s">
        <v>1470</v>
      </c>
      <c r="G2607" s="258"/>
    </row>
    <row r="2608" spans="1:7" hidden="1" outlineLevel="1" x14ac:dyDescent="0.25">
      <c r="B2608" s="28"/>
      <c r="C2608" s="29"/>
      <c r="D2608" s="29"/>
      <c r="E2608" s="29"/>
      <c r="F2608" s="29"/>
      <c r="G2608" s="30"/>
    </row>
    <row r="2609" spans="2:7" ht="16.2" hidden="1" outlineLevel="1" thickBot="1" x14ac:dyDescent="0.3">
      <c r="B2609" s="267"/>
      <c r="C2609" s="268"/>
      <c r="D2609" s="268"/>
      <c r="E2609" s="268"/>
      <c r="F2609" s="268"/>
      <c r="G2609" s="269"/>
    </row>
    <row r="2610" spans="2:7" hidden="1" outlineLevel="1" x14ac:dyDescent="0.25">
      <c r="B2610" s="401" t="s">
        <v>29</v>
      </c>
      <c r="C2610" s="402"/>
      <c r="D2610" s="402"/>
      <c r="E2610" s="402"/>
      <c r="F2610" s="402"/>
      <c r="G2610" s="403"/>
    </row>
    <row r="2611" spans="2:7" hidden="1" outlineLevel="1" x14ac:dyDescent="0.25">
      <c r="B2611" s="28"/>
      <c r="C2611" s="29"/>
      <c r="D2611" s="29"/>
      <c r="E2611" s="29"/>
      <c r="F2611" s="29"/>
      <c r="G2611" s="30"/>
    </row>
    <row r="2612" spans="2:7" hidden="1" outlineLevel="1" x14ac:dyDescent="0.25">
      <c r="B2612" s="28"/>
      <c r="C2612" s="29"/>
      <c r="D2612" s="29"/>
      <c r="E2612" s="29"/>
      <c r="F2612" s="29"/>
      <c r="G2612" s="30"/>
    </row>
    <row r="2613" spans="2:7" hidden="1" outlineLevel="1" x14ac:dyDescent="0.25">
      <c r="B2613" s="67" t="s">
        <v>30</v>
      </c>
      <c r="C2613" s="65"/>
      <c r="D2613" s="65"/>
      <c r="E2613" s="65"/>
      <c r="F2613" s="65"/>
      <c r="G2613" s="371" t="s">
        <v>2357</v>
      </c>
    </row>
    <row r="2614" spans="2:7" hidden="1" outlineLevel="1" x14ac:dyDescent="0.25">
      <c r="B2614" s="28" t="s">
        <v>1268</v>
      </c>
      <c r="C2614" s="29"/>
      <c r="D2614" s="29"/>
      <c r="E2614" s="29"/>
      <c r="F2614" s="29"/>
      <c r="G2614" s="375" t="s">
        <v>2408</v>
      </c>
    </row>
    <row r="2615" spans="2:7" hidden="1" outlineLevel="1" x14ac:dyDescent="0.25">
      <c r="B2615" s="185"/>
      <c r="C2615" s="23"/>
      <c r="D2615" s="23"/>
      <c r="E2615" s="23"/>
      <c r="F2615" s="23"/>
      <c r="G2615" s="123"/>
    </row>
    <row r="2616" spans="2:7" hidden="1" outlineLevel="1" x14ac:dyDescent="0.25">
      <c r="B2616" s="185"/>
      <c r="C2616" s="23"/>
      <c r="D2616" s="23"/>
      <c r="E2616" s="23"/>
      <c r="F2616" s="23"/>
      <c r="G2616" s="123"/>
    </row>
    <row r="2617" spans="2:7" hidden="1" outlineLevel="1" x14ac:dyDescent="0.25">
      <c r="B2617" s="185"/>
      <c r="C2617" s="23"/>
      <c r="D2617" s="23"/>
      <c r="E2617" s="23"/>
      <c r="F2617" s="23"/>
      <c r="G2617" s="123"/>
    </row>
    <row r="2618" spans="2:7" hidden="1" outlineLevel="1" x14ac:dyDescent="0.25">
      <c r="B2618" s="185"/>
      <c r="C2618" s="23"/>
      <c r="D2618" s="23"/>
      <c r="E2618" s="23"/>
      <c r="F2618" s="23"/>
      <c r="G2618" s="123"/>
    </row>
    <row r="2619" spans="2:7" hidden="1" outlineLevel="1" x14ac:dyDescent="0.25">
      <c r="B2619" s="185"/>
      <c r="C2619" s="23"/>
      <c r="D2619" s="23"/>
      <c r="E2619" s="23"/>
      <c r="F2619" s="23"/>
      <c r="G2619" s="123"/>
    </row>
    <row r="2620" spans="2:7" hidden="1" outlineLevel="1" x14ac:dyDescent="0.25">
      <c r="B2620" s="185"/>
      <c r="C2620" s="23"/>
      <c r="D2620" s="23"/>
      <c r="E2620" s="23"/>
      <c r="F2620" s="23"/>
      <c r="G2620" s="123"/>
    </row>
    <row r="2621" spans="2:7" ht="16.2" hidden="1" outlineLevel="1" thickBot="1" x14ac:dyDescent="0.3">
      <c r="B2621" s="163"/>
      <c r="C2621" s="164"/>
      <c r="D2621" s="164"/>
      <c r="E2621" s="164"/>
      <c r="F2621" s="164"/>
      <c r="G2621" s="165"/>
    </row>
    <row r="2622" spans="2:7" collapsed="1" x14ac:dyDescent="0.25"/>
  </sheetData>
  <mergeCells count="169">
    <mergeCell ref="B2514:G2514"/>
    <mergeCell ref="B2525:G2525"/>
    <mergeCell ref="B2582:G2582"/>
    <mergeCell ref="B2585:G2585"/>
    <mergeCell ref="B2599:G2599"/>
    <mergeCell ref="B2604:G2604"/>
    <mergeCell ref="B2610:G2610"/>
    <mergeCell ref="B2434:G2434"/>
    <mergeCell ref="B2442:G2442"/>
    <mergeCell ref="B2452:G2452"/>
    <mergeCell ref="B2462:G2462"/>
    <mergeCell ref="B2466:G2466"/>
    <mergeCell ref="B2472:G2472"/>
    <mergeCell ref="B2494:G2494"/>
    <mergeCell ref="B2498:G2498"/>
    <mergeCell ref="B2504:G2504"/>
    <mergeCell ref="B2266:G2266"/>
    <mergeCell ref="B2280:G2280"/>
    <mergeCell ref="B2306:G2306"/>
    <mergeCell ref="B2318:G2318"/>
    <mergeCell ref="B2327:G2327"/>
    <mergeCell ref="B2351:G2351"/>
    <mergeCell ref="B2363:G2363"/>
    <mergeCell ref="B2375:G2375"/>
    <mergeCell ref="B2422:G2422"/>
    <mergeCell ref="B2050:G2050"/>
    <mergeCell ref="B2059:G2059"/>
    <mergeCell ref="B2094:G2094"/>
    <mergeCell ref="B2109:G2109"/>
    <mergeCell ref="B2132:G2132"/>
    <mergeCell ref="B2188:G2188"/>
    <mergeCell ref="B2200:G2200"/>
    <mergeCell ref="B2212:G2212"/>
    <mergeCell ref="B2254:G2254"/>
    <mergeCell ref="B1886:G1886"/>
    <mergeCell ref="B1889:G1889"/>
    <mergeCell ref="B1899:G1899"/>
    <mergeCell ref="B1910:G1910"/>
    <mergeCell ref="B1941:G1941"/>
    <mergeCell ref="B1945:G1945"/>
    <mergeCell ref="B1957:G1957"/>
    <mergeCell ref="B1965:G1965"/>
    <mergeCell ref="B2035:G2035"/>
    <mergeCell ref="B1775:G1775"/>
    <mergeCell ref="B1798:G1798"/>
    <mergeCell ref="B1801:G1801"/>
    <mergeCell ref="B1812:G1812"/>
    <mergeCell ref="B1821:G1821"/>
    <mergeCell ref="B1844:G1844"/>
    <mergeCell ref="B1847:G1847"/>
    <mergeCell ref="B1858:G1858"/>
    <mergeCell ref="B1865:G1865"/>
    <mergeCell ref="B1681:G1681"/>
    <mergeCell ref="B1688:G1688"/>
    <mergeCell ref="B1710:G1710"/>
    <mergeCell ref="B1713:G1713"/>
    <mergeCell ref="B1723:G1723"/>
    <mergeCell ref="B1732:G1732"/>
    <mergeCell ref="B1754:G1754"/>
    <mergeCell ref="B1757:G1757"/>
    <mergeCell ref="B1768:G1768"/>
    <mergeCell ref="B1499:G1499"/>
    <mergeCell ref="B1554:G1554"/>
    <mergeCell ref="B1557:G1557"/>
    <mergeCell ref="B1566:G1566"/>
    <mergeCell ref="B1577:G1577"/>
    <mergeCell ref="B1613:G1613"/>
    <mergeCell ref="B1625:G1625"/>
    <mergeCell ref="B1637:G1637"/>
    <mergeCell ref="B1671:G1671"/>
    <mergeCell ref="B1295:G1295"/>
    <mergeCell ref="B1336:G1336"/>
    <mergeCell ref="B1348:G1348"/>
    <mergeCell ref="B1361:G1361"/>
    <mergeCell ref="B1402:G1402"/>
    <mergeCell ref="B1415:G1415"/>
    <mergeCell ref="B1424:G1424"/>
    <mergeCell ref="B1479:G1479"/>
    <mergeCell ref="B1489:G1489"/>
    <mergeCell ref="B1139:G1139"/>
    <mergeCell ref="B1148:G1148"/>
    <mergeCell ref="B1160:G1160"/>
    <mergeCell ref="B1167:G1167"/>
    <mergeCell ref="B1208:G1208"/>
    <mergeCell ref="B1222:G1222"/>
    <mergeCell ref="B1231:G1231"/>
    <mergeCell ref="B1270:G1270"/>
    <mergeCell ref="B1284:G1284"/>
    <mergeCell ref="B1031:G1031"/>
    <mergeCell ref="B1053:G1053"/>
    <mergeCell ref="B1061:G1061"/>
    <mergeCell ref="B1073:G1073"/>
    <mergeCell ref="B1095:G1095"/>
    <mergeCell ref="B1103:G1103"/>
    <mergeCell ref="B1110:G1110"/>
    <mergeCell ref="B1120:G1120"/>
    <mergeCell ref="B1130:G1130"/>
    <mergeCell ref="B859:G859"/>
    <mergeCell ref="B877:G877"/>
    <mergeCell ref="B923:G923"/>
    <mergeCell ref="B942:G942"/>
    <mergeCell ref="B963:G963"/>
    <mergeCell ref="B980:G980"/>
    <mergeCell ref="B989:G989"/>
    <mergeCell ref="B1003:G1003"/>
    <mergeCell ref="B1020:G1020"/>
    <mergeCell ref="B701:G701"/>
    <mergeCell ref="B721:G721"/>
    <mergeCell ref="B729:G729"/>
    <mergeCell ref="B740:G740"/>
    <mergeCell ref="B766:G766"/>
    <mergeCell ref="B769:G769"/>
    <mergeCell ref="B778:G778"/>
    <mergeCell ref="B795:G795"/>
    <mergeCell ref="B841:G841"/>
    <mergeCell ref="B579:G579"/>
    <mergeCell ref="B583:G583"/>
    <mergeCell ref="B596:G596"/>
    <mergeCell ref="B609:G609"/>
    <mergeCell ref="B637:G637"/>
    <mergeCell ref="B647:G647"/>
    <mergeCell ref="B660:G660"/>
    <mergeCell ref="B680:G680"/>
    <mergeCell ref="B688:G688"/>
    <mergeCell ref="B427:G427"/>
    <mergeCell ref="B439:G439"/>
    <mergeCell ref="B446:G446"/>
    <mergeCell ref="B464:G464"/>
    <mergeCell ref="B474:G474"/>
    <mergeCell ref="B483:G483"/>
    <mergeCell ref="B519:G519"/>
    <mergeCell ref="B531:G531"/>
    <mergeCell ref="B542:G542"/>
    <mergeCell ref="B332:G332"/>
    <mergeCell ref="B337:G337"/>
    <mergeCell ref="B350:G350"/>
    <mergeCell ref="B360:G360"/>
    <mergeCell ref="B367:G367"/>
    <mergeCell ref="B390:G390"/>
    <mergeCell ref="B394:G394"/>
    <mergeCell ref="B405:G405"/>
    <mergeCell ref="B411:G411"/>
    <mergeCell ref="B238:G238"/>
    <mergeCell ref="B241:G241"/>
    <mergeCell ref="B260:G260"/>
    <mergeCell ref="B267:G267"/>
    <mergeCell ref="B279:G279"/>
    <mergeCell ref="B283:G283"/>
    <mergeCell ref="B301:G301"/>
    <mergeCell ref="B307:G307"/>
    <mergeCell ref="B322:G322"/>
    <mergeCell ref="B112:G112"/>
    <mergeCell ref="B123:G123"/>
    <mergeCell ref="B126:G126"/>
    <mergeCell ref="B141:G141"/>
    <mergeCell ref="B152:G152"/>
    <mergeCell ref="B173:G173"/>
    <mergeCell ref="B176:G176"/>
    <mergeCell ref="B187:G187"/>
    <mergeCell ref="B198:G198"/>
    <mergeCell ref="B5:G5"/>
    <mergeCell ref="B15:G15"/>
    <mergeCell ref="B29:G29"/>
    <mergeCell ref="B32:G32"/>
    <mergeCell ref="B42:G42"/>
    <mergeCell ref="B52:G52"/>
    <mergeCell ref="B92:G92"/>
    <mergeCell ref="B95:G95"/>
    <mergeCell ref="B105:G105"/>
  </mergeCells>
  <phoneticPr fontId="35" type="noConversion"/>
  <conditionalFormatting sqref="B1202">
    <cfRule type="duplicateValues" dxfId="1105" priority="288"/>
    <cfRule type="duplicateValues" dxfId="1104" priority="290"/>
  </conditionalFormatting>
  <conditionalFormatting sqref="B1202:C1202">
    <cfRule type="duplicateValues" dxfId="1103" priority="289"/>
  </conditionalFormatting>
  <conditionalFormatting sqref="C1202">
    <cfRule type="duplicateValues" dxfId="1102" priority="284"/>
    <cfRule type="duplicateValues" dxfId="1101" priority="285"/>
    <cfRule type="duplicateValues" dxfId="1100" priority="286"/>
    <cfRule type="duplicateValues" dxfId="1099" priority="287"/>
  </conditionalFormatting>
  <conditionalFormatting sqref="C1205">
    <cfRule type="duplicateValues" dxfId="1098" priority="48"/>
    <cfRule type="duplicateValues" dxfId="1097" priority="49"/>
    <cfRule type="duplicateValues" dxfId="1096" priority="50"/>
    <cfRule type="duplicateValues" dxfId="1095" priority="52"/>
    <cfRule type="duplicateValues" dxfId="1094" priority="53"/>
  </conditionalFormatting>
  <conditionalFormatting sqref="B1207">
    <cfRule type="duplicateValues" dxfId="1093" priority="659"/>
    <cfRule type="duplicateValues" dxfId="1092" priority="661"/>
    <cfRule type="duplicateValues" dxfId="1091" priority="663"/>
  </conditionalFormatting>
  <conditionalFormatting sqref="C1207">
    <cfRule type="duplicateValues" dxfId="1090" priority="660"/>
    <cfRule type="duplicateValues" dxfId="1089" priority="662"/>
    <cfRule type="duplicateValues" dxfId="1088" priority="664"/>
  </conditionalFormatting>
  <conditionalFormatting sqref="B1263">
    <cfRule type="duplicateValues" dxfId="1087" priority="325"/>
  </conditionalFormatting>
  <conditionalFormatting sqref="B1263:C1263">
    <cfRule type="duplicateValues" dxfId="1086" priority="322"/>
    <cfRule type="duplicateValues" dxfId="1085" priority="323"/>
    <cfRule type="duplicateValues" dxfId="1084" priority="324"/>
  </conditionalFormatting>
  <conditionalFormatting sqref="C1263">
    <cfRule type="duplicateValues" dxfId="1083" priority="326"/>
    <cfRule type="duplicateValues" dxfId="1082" priority="327"/>
  </conditionalFormatting>
  <conditionalFormatting sqref="B1265">
    <cfRule type="duplicateValues" dxfId="1081" priority="274"/>
    <cfRule type="duplicateValues" dxfId="1080" priority="276"/>
  </conditionalFormatting>
  <conditionalFormatting sqref="B1265:C1265">
    <cfRule type="duplicateValues" dxfId="1079" priority="275"/>
  </conditionalFormatting>
  <conditionalFormatting sqref="C1265">
    <cfRule type="duplicateValues" dxfId="1078" priority="270"/>
    <cfRule type="duplicateValues" dxfId="1077" priority="271"/>
    <cfRule type="duplicateValues" dxfId="1076" priority="272"/>
    <cfRule type="duplicateValues" dxfId="1075" priority="273"/>
  </conditionalFormatting>
  <conditionalFormatting sqref="B1266">
    <cfRule type="duplicateValues" dxfId="1074" priority="267"/>
    <cfRule type="duplicateValues" dxfId="1073" priority="269"/>
  </conditionalFormatting>
  <conditionalFormatting sqref="B1266:C1266">
    <cfRule type="duplicateValues" dxfId="1072" priority="268"/>
  </conditionalFormatting>
  <conditionalFormatting sqref="C1266">
    <cfRule type="duplicateValues" dxfId="1071" priority="263"/>
    <cfRule type="duplicateValues" dxfId="1070" priority="264"/>
    <cfRule type="duplicateValues" dxfId="1069" priority="265"/>
    <cfRule type="duplicateValues" dxfId="1068" priority="266"/>
  </conditionalFormatting>
  <conditionalFormatting sqref="C1268">
    <cfRule type="duplicateValues" dxfId="1067" priority="40"/>
    <cfRule type="duplicateValues" dxfId="1066" priority="41"/>
    <cfRule type="duplicateValues" dxfId="1065" priority="42"/>
    <cfRule type="duplicateValues" dxfId="1064" priority="43"/>
    <cfRule type="duplicateValues" dxfId="1063" priority="44"/>
  </conditionalFormatting>
  <conditionalFormatting sqref="B1329">
    <cfRule type="duplicateValues" dxfId="1062" priority="319"/>
  </conditionalFormatting>
  <conditionalFormatting sqref="B1329:C1329">
    <cfRule type="duplicateValues" dxfId="1061" priority="316"/>
    <cfRule type="duplicateValues" dxfId="1060" priority="317"/>
    <cfRule type="duplicateValues" dxfId="1059" priority="318"/>
  </conditionalFormatting>
  <conditionalFormatting sqref="C1329">
    <cfRule type="duplicateValues" dxfId="1058" priority="320"/>
    <cfRule type="duplicateValues" dxfId="1057" priority="321"/>
  </conditionalFormatting>
  <conditionalFormatting sqref="B1331">
    <cfRule type="duplicateValues" dxfId="1056" priority="260"/>
    <cfRule type="duplicateValues" dxfId="1055" priority="262"/>
  </conditionalFormatting>
  <conditionalFormatting sqref="B1331:C1331">
    <cfRule type="duplicateValues" dxfId="1054" priority="261"/>
  </conditionalFormatting>
  <conditionalFormatting sqref="C1331">
    <cfRule type="duplicateValues" dxfId="1053" priority="256"/>
    <cfRule type="duplicateValues" dxfId="1052" priority="257"/>
    <cfRule type="duplicateValues" dxfId="1051" priority="258"/>
    <cfRule type="duplicateValues" dxfId="1050" priority="259"/>
  </conditionalFormatting>
  <conditionalFormatting sqref="B1332">
    <cfRule type="duplicateValues" dxfId="1049" priority="253"/>
    <cfRule type="duplicateValues" dxfId="1048" priority="255"/>
  </conditionalFormatting>
  <conditionalFormatting sqref="B1332:C1332">
    <cfRule type="duplicateValues" dxfId="1047" priority="254"/>
  </conditionalFormatting>
  <conditionalFormatting sqref="C1332">
    <cfRule type="duplicateValues" dxfId="1046" priority="249"/>
    <cfRule type="duplicateValues" dxfId="1045" priority="250"/>
    <cfRule type="duplicateValues" dxfId="1044" priority="251"/>
    <cfRule type="duplicateValues" dxfId="1043" priority="252"/>
  </conditionalFormatting>
  <conditionalFormatting sqref="B1333">
    <cfRule type="duplicateValues" dxfId="1042" priority="232"/>
    <cfRule type="duplicateValues" dxfId="1041" priority="234"/>
  </conditionalFormatting>
  <conditionalFormatting sqref="B1333:C1333">
    <cfRule type="duplicateValues" dxfId="1040" priority="233"/>
  </conditionalFormatting>
  <conditionalFormatting sqref="C1333">
    <cfRule type="duplicateValues" dxfId="1039" priority="228"/>
    <cfRule type="duplicateValues" dxfId="1038" priority="229"/>
    <cfRule type="duplicateValues" dxfId="1037" priority="230"/>
    <cfRule type="duplicateValues" dxfId="1036" priority="231"/>
  </conditionalFormatting>
  <conditionalFormatting sqref="C1334">
    <cfRule type="duplicateValues" dxfId="1035" priority="32"/>
    <cfRule type="duplicateValues" dxfId="1034" priority="33"/>
    <cfRule type="duplicateValues" dxfId="1033" priority="34"/>
    <cfRule type="duplicateValues" dxfId="1032" priority="35"/>
    <cfRule type="duplicateValues" dxfId="1031" priority="36"/>
  </conditionalFormatting>
  <conditionalFormatting sqref="B1394">
    <cfRule type="duplicateValues" dxfId="1030" priority="313"/>
  </conditionalFormatting>
  <conditionalFormatting sqref="B1394:C1394">
    <cfRule type="duplicateValues" dxfId="1029" priority="310"/>
    <cfRule type="duplicateValues" dxfId="1028" priority="311"/>
    <cfRule type="duplicateValues" dxfId="1027" priority="312"/>
  </conditionalFormatting>
  <conditionalFormatting sqref="C1394">
    <cfRule type="duplicateValues" dxfId="1026" priority="314"/>
    <cfRule type="duplicateValues" dxfId="1025" priority="315"/>
  </conditionalFormatting>
  <conditionalFormatting sqref="B1396">
    <cfRule type="duplicateValues" dxfId="1024" priority="246"/>
    <cfRule type="duplicateValues" dxfId="1023" priority="248"/>
  </conditionalFormatting>
  <conditionalFormatting sqref="B1396:C1396">
    <cfRule type="duplicateValues" dxfId="1022" priority="247"/>
  </conditionalFormatting>
  <conditionalFormatting sqref="C1396">
    <cfRule type="duplicateValues" dxfId="1021" priority="242"/>
    <cfRule type="duplicateValues" dxfId="1020" priority="243"/>
    <cfRule type="duplicateValues" dxfId="1019" priority="244"/>
    <cfRule type="duplicateValues" dxfId="1018" priority="245"/>
  </conditionalFormatting>
  <conditionalFormatting sqref="B1397">
    <cfRule type="duplicateValues" dxfId="1017" priority="239"/>
    <cfRule type="duplicateValues" dxfId="1016" priority="241"/>
  </conditionalFormatting>
  <conditionalFormatting sqref="B1397:C1397">
    <cfRule type="duplicateValues" dxfId="1015" priority="240"/>
  </conditionalFormatting>
  <conditionalFormatting sqref="C1397">
    <cfRule type="duplicateValues" dxfId="1014" priority="235"/>
    <cfRule type="duplicateValues" dxfId="1013" priority="236"/>
    <cfRule type="duplicateValues" dxfId="1012" priority="237"/>
    <cfRule type="duplicateValues" dxfId="1011" priority="238"/>
  </conditionalFormatting>
  <conditionalFormatting sqref="C1399">
    <cfRule type="duplicateValues" dxfId="1010" priority="24"/>
    <cfRule type="duplicateValues" dxfId="1009" priority="25"/>
    <cfRule type="duplicateValues" dxfId="1008" priority="26"/>
    <cfRule type="duplicateValues" dxfId="1007" priority="27"/>
    <cfRule type="duplicateValues" dxfId="1006" priority="28"/>
  </conditionalFormatting>
  <conditionalFormatting sqref="B1468">
    <cfRule type="duplicateValues" dxfId="1005" priority="292"/>
  </conditionalFormatting>
  <conditionalFormatting sqref="E1896">
    <cfRule type="duplicateValues" dxfId="1004" priority="538"/>
  </conditionalFormatting>
  <conditionalFormatting sqref="B2009">
    <cfRule type="duplicateValues" dxfId="1003" priority="517"/>
  </conditionalFormatting>
  <conditionalFormatting sqref="C2009">
    <cfRule type="duplicateValues" dxfId="1002" priority="516"/>
  </conditionalFormatting>
  <conditionalFormatting sqref="B2033">
    <cfRule type="duplicateValues" dxfId="1001" priority="520"/>
  </conditionalFormatting>
  <conditionalFormatting sqref="C2033">
    <cfRule type="duplicateValues" dxfId="1000" priority="519"/>
  </conditionalFormatting>
  <conditionalFormatting sqref="B2034">
    <cfRule type="duplicateValues" dxfId="999" priority="529"/>
    <cfRule type="duplicateValues" dxfId="998" priority="531"/>
    <cfRule type="duplicateValues" dxfId="997" priority="533"/>
    <cfRule type="duplicateValues" dxfId="996" priority="535"/>
  </conditionalFormatting>
  <conditionalFormatting sqref="B2034:C2034">
    <cfRule type="duplicateValues" dxfId="995" priority="526"/>
    <cfRule type="duplicateValues" dxfId="994" priority="527"/>
    <cfRule type="duplicateValues" dxfId="993" priority="528"/>
  </conditionalFormatting>
  <conditionalFormatting sqref="C2034">
    <cfRule type="duplicateValues" dxfId="992" priority="530"/>
    <cfRule type="duplicateValues" dxfId="991" priority="532"/>
    <cfRule type="duplicateValues" dxfId="990" priority="534"/>
    <cfRule type="duplicateValues" dxfId="989" priority="536"/>
    <cfRule type="duplicateValues" dxfId="988" priority="537"/>
  </conditionalFormatting>
  <conditionalFormatting sqref="B2057">
    <cfRule type="duplicateValues" dxfId="987" priority="471"/>
  </conditionalFormatting>
  <conditionalFormatting sqref="C2057">
    <cfRule type="duplicateValues" dxfId="986" priority="470"/>
  </conditionalFormatting>
  <conditionalFormatting sqref="B2065">
    <cfRule type="duplicateValues" dxfId="985" priority="467"/>
    <cfRule type="duplicateValues" dxfId="984" priority="469"/>
  </conditionalFormatting>
  <conditionalFormatting sqref="C2065">
    <cfRule type="duplicateValues" dxfId="983" priority="466"/>
    <cfRule type="duplicateValues" dxfId="982" priority="468"/>
  </conditionalFormatting>
  <conditionalFormatting sqref="B2066">
    <cfRule type="duplicateValues" dxfId="981" priority="463"/>
    <cfRule type="duplicateValues" dxfId="980" priority="465"/>
  </conditionalFormatting>
  <conditionalFormatting sqref="C2066">
    <cfRule type="duplicateValues" dxfId="979" priority="462"/>
    <cfRule type="duplicateValues" dxfId="978" priority="464"/>
  </conditionalFormatting>
  <conditionalFormatting sqref="B2067">
    <cfRule type="duplicateValues" dxfId="977" priority="459"/>
    <cfRule type="duplicateValues" dxfId="976" priority="461"/>
  </conditionalFormatting>
  <conditionalFormatting sqref="C2067">
    <cfRule type="duplicateValues" dxfId="975" priority="458"/>
    <cfRule type="duplicateValues" dxfId="974" priority="460"/>
  </conditionalFormatting>
  <conditionalFormatting sqref="B2068">
    <cfRule type="duplicateValues" dxfId="973" priority="455"/>
    <cfRule type="duplicateValues" dxfId="972" priority="457"/>
  </conditionalFormatting>
  <conditionalFormatting sqref="C2068">
    <cfRule type="duplicateValues" dxfId="971" priority="454"/>
    <cfRule type="duplicateValues" dxfId="970" priority="456"/>
  </conditionalFormatting>
  <conditionalFormatting sqref="B2069">
    <cfRule type="duplicateValues" dxfId="969" priority="403"/>
    <cfRule type="duplicateValues" dxfId="968" priority="405"/>
  </conditionalFormatting>
  <conditionalFormatting sqref="C2069">
    <cfRule type="duplicateValues" dxfId="967" priority="402"/>
    <cfRule type="duplicateValues" dxfId="966" priority="404"/>
  </conditionalFormatting>
  <conditionalFormatting sqref="B2070">
    <cfRule type="duplicateValues" dxfId="965" priority="399"/>
    <cfRule type="duplicateValues" dxfId="964" priority="401"/>
  </conditionalFormatting>
  <conditionalFormatting sqref="C2070">
    <cfRule type="duplicateValues" dxfId="963" priority="398"/>
    <cfRule type="duplicateValues" dxfId="962" priority="400"/>
  </conditionalFormatting>
  <conditionalFormatting sqref="B2071">
    <cfRule type="duplicateValues" dxfId="961" priority="451"/>
    <cfRule type="duplicateValues" dxfId="960" priority="453"/>
  </conditionalFormatting>
  <conditionalFormatting sqref="C2071">
    <cfRule type="duplicateValues" dxfId="959" priority="450"/>
    <cfRule type="duplicateValues" dxfId="958" priority="452"/>
  </conditionalFormatting>
  <conditionalFormatting sqref="B2072">
    <cfRule type="duplicateValues" dxfId="957" priority="447"/>
    <cfRule type="duplicateValues" dxfId="956" priority="449"/>
  </conditionalFormatting>
  <conditionalFormatting sqref="C2072">
    <cfRule type="duplicateValues" dxfId="955" priority="446"/>
    <cfRule type="duplicateValues" dxfId="954" priority="448"/>
  </conditionalFormatting>
  <conditionalFormatting sqref="B2073">
    <cfRule type="duplicateValues" dxfId="953" priority="411"/>
    <cfRule type="duplicateValues" dxfId="952" priority="413"/>
  </conditionalFormatting>
  <conditionalFormatting sqref="C2073">
    <cfRule type="duplicateValues" dxfId="951" priority="410"/>
    <cfRule type="duplicateValues" dxfId="950" priority="412"/>
  </conditionalFormatting>
  <conditionalFormatting sqref="B2074">
    <cfRule type="duplicateValues" dxfId="949" priority="359"/>
    <cfRule type="duplicateValues" dxfId="948" priority="361"/>
  </conditionalFormatting>
  <conditionalFormatting sqref="C2074">
    <cfRule type="duplicateValues" dxfId="947" priority="358"/>
    <cfRule type="duplicateValues" dxfId="946" priority="360"/>
  </conditionalFormatting>
  <conditionalFormatting sqref="B2075">
    <cfRule type="duplicateValues" dxfId="945" priority="443"/>
    <cfRule type="duplicateValues" dxfId="944" priority="445"/>
  </conditionalFormatting>
  <conditionalFormatting sqref="C2075">
    <cfRule type="duplicateValues" dxfId="943" priority="442"/>
    <cfRule type="duplicateValues" dxfId="942" priority="444"/>
  </conditionalFormatting>
  <conditionalFormatting sqref="B2076">
    <cfRule type="duplicateValues" dxfId="941" priority="439"/>
    <cfRule type="duplicateValues" dxfId="940" priority="441"/>
  </conditionalFormatting>
  <conditionalFormatting sqref="C2076">
    <cfRule type="duplicateValues" dxfId="939" priority="438"/>
    <cfRule type="duplicateValues" dxfId="938" priority="440"/>
  </conditionalFormatting>
  <conditionalFormatting sqref="B2077">
    <cfRule type="duplicateValues" dxfId="937" priority="435"/>
    <cfRule type="duplicateValues" dxfId="936" priority="437"/>
  </conditionalFormatting>
  <conditionalFormatting sqref="C2077">
    <cfRule type="duplicateValues" dxfId="935" priority="434"/>
    <cfRule type="duplicateValues" dxfId="934" priority="436"/>
  </conditionalFormatting>
  <conditionalFormatting sqref="B2078">
    <cfRule type="duplicateValues" dxfId="933" priority="431"/>
    <cfRule type="duplicateValues" dxfId="932" priority="433"/>
  </conditionalFormatting>
  <conditionalFormatting sqref="C2078">
    <cfRule type="duplicateValues" dxfId="931" priority="430"/>
    <cfRule type="duplicateValues" dxfId="930" priority="432"/>
  </conditionalFormatting>
  <conditionalFormatting sqref="B2079">
    <cfRule type="duplicateValues" dxfId="929" priority="427"/>
    <cfRule type="duplicateValues" dxfId="928" priority="429"/>
  </conditionalFormatting>
  <conditionalFormatting sqref="C2079">
    <cfRule type="duplicateValues" dxfId="927" priority="426"/>
    <cfRule type="duplicateValues" dxfId="926" priority="428"/>
  </conditionalFormatting>
  <conditionalFormatting sqref="B2080">
    <cfRule type="duplicateValues" dxfId="925" priority="423"/>
    <cfRule type="duplicateValues" dxfId="924" priority="425"/>
  </conditionalFormatting>
  <conditionalFormatting sqref="C2080">
    <cfRule type="duplicateValues" dxfId="923" priority="422"/>
    <cfRule type="duplicateValues" dxfId="922" priority="424"/>
  </conditionalFormatting>
  <conditionalFormatting sqref="B2081">
    <cfRule type="duplicateValues" dxfId="921" priority="419"/>
    <cfRule type="duplicateValues" dxfId="920" priority="421"/>
  </conditionalFormatting>
  <conditionalFormatting sqref="C2081">
    <cfRule type="duplicateValues" dxfId="919" priority="418"/>
    <cfRule type="duplicateValues" dxfId="918" priority="420"/>
  </conditionalFormatting>
  <conditionalFormatting sqref="B2082">
    <cfRule type="duplicateValues" dxfId="917" priority="415"/>
    <cfRule type="duplicateValues" dxfId="916" priority="417"/>
  </conditionalFormatting>
  <conditionalFormatting sqref="C2082">
    <cfRule type="duplicateValues" dxfId="915" priority="414"/>
    <cfRule type="duplicateValues" dxfId="914" priority="416"/>
  </conditionalFormatting>
  <conditionalFormatting sqref="B2083">
    <cfRule type="duplicateValues" dxfId="913" priority="395"/>
    <cfRule type="duplicateValues" dxfId="912" priority="397"/>
  </conditionalFormatting>
  <conditionalFormatting sqref="C2083">
    <cfRule type="duplicateValues" dxfId="911" priority="394"/>
    <cfRule type="duplicateValues" dxfId="910" priority="396"/>
  </conditionalFormatting>
  <conditionalFormatting sqref="B2084">
    <cfRule type="duplicateValues" dxfId="909" priority="391"/>
    <cfRule type="duplicateValues" dxfId="908" priority="393"/>
  </conditionalFormatting>
  <conditionalFormatting sqref="C2084">
    <cfRule type="duplicateValues" dxfId="907" priority="390"/>
    <cfRule type="duplicateValues" dxfId="906" priority="392"/>
  </conditionalFormatting>
  <conditionalFormatting sqref="B2085">
    <cfRule type="duplicateValues" dxfId="905" priority="387"/>
    <cfRule type="duplicateValues" dxfId="904" priority="389"/>
  </conditionalFormatting>
  <conditionalFormatting sqref="C2085">
    <cfRule type="duplicateValues" dxfId="903" priority="386"/>
    <cfRule type="duplicateValues" dxfId="902" priority="388"/>
  </conditionalFormatting>
  <conditionalFormatting sqref="B2086">
    <cfRule type="duplicateValues" dxfId="901" priority="383"/>
    <cfRule type="duplicateValues" dxfId="900" priority="385"/>
  </conditionalFormatting>
  <conditionalFormatting sqref="C2086">
    <cfRule type="duplicateValues" dxfId="899" priority="382"/>
    <cfRule type="duplicateValues" dxfId="898" priority="384"/>
  </conditionalFormatting>
  <conditionalFormatting sqref="B2087">
    <cfRule type="duplicateValues" dxfId="897" priority="379"/>
    <cfRule type="duplicateValues" dxfId="896" priority="381"/>
  </conditionalFormatting>
  <conditionalFormatting sqref="C2087">
    <cfRule type="duplicateValues" dxfId="895" priority="378"/>
    <cfRule type="duplicateValues" dxfId="894" priority="380"/>
  </conditionalFormatting>
  <conditionalFormatting sqref="B2088">
    <cfRule type="duplicateValues" dxfId="893" priority="375"/>
    <cfRule type="duplicateValues" dxfId="892" priority="377"/>
  </conditionalFormatting>
  <conditionalFormatting sqref="C2088">
    <cfRule type="duplicateValues" dxfId="891" priority="374"/>
    <cfRule type="duplicateValues" dxfId="890" priority="376"/>
  </conditionalFormatting>
  <conditionalFormatting sqref="B2089">
    <cfRule type="duplicateValues" dxfId="889" priority="371"/>
    <cfRule type="duplicateValues" dxfId="888" priority="373"/>
  </conditionalFormatting>
  <conditionalFormatting sqref="C2089">
    <cfRule type="duplicateValues" dxfId="887" priority="370"/>
    <cfRule type="duplicateValues" dxfId="886" priority="372"/>
  </conditionalFormatting>
  <conditionalFormatting sqref="B2090">
    <cfRule type="duplicateValues" dxfId="885" priority="367"/>
    <cfRule type="duplicateValues" dxfId="884" priority="369"/>
  </conditionalFormatting>
  <conditionalFormatting sqref="C2090">
    <cfRule type="duplicateValues" dxfId="883" priority="366"/>
    <cfRule type="duplicateValues" dxfId="882" priority="368"/>
  </conditionalFormatting>
  <conditionalFormatting sqref="B2091">
    <cfRule type="duplicateValues" dxfId="881" priority="363"/>
    <cfRule type="duplicateValues" dxfId="880" priority="365"/>
  </conditionalFormatting>
  <conditionalFormatting sqref="C2091">
    <cfRule type="duplicateValues" dxfId="879" priority="362"/>
    <cfRule type="duplicateValues" dxfId="878" priority="364"/>
  </conditionalFormatting>
  <conditionalFormatting sqref="B2093">
    <cfRule type="duplicateValues" dxfId="877" priority="504"/>
    <cfRule type="duplicateValues" dxfId="876" priority="506"/>
    <cfRule type="duplicateValues" dxfId="875" priority="508"/>
    <cfRule type="duplicateValues" dxfId="874" priority="510"/>
  </conditionalFormatting>
  <conditionalFormatting sqref="B2093:C2093">
    <cfRule type="duplicateValues" dxfId="873" priority="501"/>
    <cfRule type="duplicateValues" dxfId="872" priority="502"/>
    <cfRule type="duplicateValues" dxfId="871" priority="503"/>
  </conditionalFormatting>
  <conditionalFormatting sqref="C2093">
    <cfRule type="duplicateValues" dxfId="870" priority="505"/>
    <cfRule type="duplicateValues" dxfId="869" priority="507"/>
    <cfRule type="duplicateValues" dxfId="868" priority="509"/>
    <cfRule type="duplicateValues" dxfId="867" priority="511"/>
    <cfRule type="duplicateValues" dxfId="866" priority="512"/>
  </conditionalFormatting>
  <conditionalFormatting sqref="B2339">
    <cfRule type="duplicateValues" dxfId="865" priority="352"/>
  </conditionalFormatting>
  <conditionalFormatting sqref="B2340">
    <cfRule type="duplicateValues" dxfId="864" priority="337"/>
    <cfRule type="duplicateValues" dxfId="863" priority="338"/>
  </conditionalFormatting>
  <conditionalFormatting sqref="B2341">
    <cfRule type="duplicateValues" dxfId="862" priority="335"/>
    <cfRule type="duplicateValues" dxfId="861" priority="336"/>
  </conditionalFormatting>
  <conditionalFormatting sqref="B2342">
    <cfRule type="duplicateValues" dxfId="860" priority="339"/>
    <cfRule type="duplicateValues" dxfId="859" priority="340"/>
    <cfRule type="duplicateValues" dxfId="858" priority="349"/>
    <cfRule type="duplicateValues" dxfId="857" priority="350"/>
    <cfRule type="duplicateValues" dxfId="856" priority="351"/>
  </conditionalFormatting>
  <conditionalFormatting sqref="B2343">
    <cfRule type="duplicateValues" dxfId="855" priority="347"/>
    <cfRule type="duplicateValues" dxfId="854" priority="348"/>
  </conditionalFormatting>
  <conditionalFormatting sqref="B2344">
    <cfRule type="duplicateValues" dxfId="853" priority="345"/>
    <cfRule type="duplicateValues" dxfId="852" priority="346"/>
  </conditionalFormatting>
  <conditionalFormatting sqref="B2345">
    <cfRule type="duplicateValues" dxfId="851" priority="341"/>
    <cfRule type="duplicateValues" dxfId="850" priority="342"/>
  </conditionalFormatting>
  <conditionalFormatting sqref="B2346">
    <cfRule type="duplicateValues" dxfId="849" priority="343"/>
    <cfRule type="duplicateValues" dxfId="848" priority="344"/>
  </conditionalFormatting>
  <conditionalFormatting sqref="B2421">
    <cfRule type="duplicateValues" dxfId="847" priority="300"/>
    <cfRule type="duplicateValues" dxfId="846" priority="302"/>
    <cfRule type="duplicateValues" dxfId="845" priority="304"/>
    <cfRule type="duplicateValues" dxfId="844" priority="306"/>
  </conditionalFormatting>
  <conditionalFormatting sqref="B2421:C2421">
    <cfRule type="duplicateValues" dxfId="843" priority="297"/>
    <cfRule type="duplicateValues" dxfId="842" priority="298"/>
    <cfRule type="duplicateValues" dxfId="841" priority="299"/>
  </conditionalFormatting>
  <conditionalFormatting sqref="C2421">
    <cfRule type="duplicateValues" dxfId="840" priority="301"/>
    <cfRule type="duplicateValues" dxfId="839" priority="303"/>
    <cfRule type="duplicateValues" dxfId="838" priority="305"/>
    <cfRule type="duplicateValues" dxfId="837" priority="307"/>
    <cfRule type="duplicateValues" dxfId="836" priority="308"/>
  </conditionalFormatting>
  <conditionalFormatting sqref="B2448">
    <cfRule type="duplicateValues" dxfId="835" priority="102"/>
    <cfRule type="duplicateValues" dxfId="834" priority="104"/>
  </conditionalFormatting>
  <conditionalFormatting sqref="C2448">
    <cfRule type="duplicateValues" dxfId="833" priority="101"/>
    <cfRule type="duplicateValues" dxfId="832" priority="103"/>
  </conditionalFormatting>
  <conditionalFormatting sqref="B2449">
    <cfRule type="duplicateValues" dxfId="831" priority="98"/>
    <cfRule type="duplicateValues" dxfId="830" priority="100"/>
  </conditionalFormatting>
  <conditionalFormatting sqref="C2449">
    <cfRule type="duplicateValues" dxfId="829" priority="97"/>
    <cfRule type="duplicateValues" dxfId="828" priority="99"/>
  </conditionalFormatting>
  <conditionalFormatting sqref="B2451">
    <cfRule type="duplicateValues" dxfId="827" priority="218"/>
    <cfRule type="duplicateValues" dxfId="826" priority="220"/>
    <cfRule type="duplicateValues" dxfId="825" priority="222"/>
    <cfRule type="duplicateValues" dxfId="824" priority="224"/>
  </conditionalFormatting>
  <conditionalFormatting sqref="B2451:C2451">
    <cfRule type="duplicateValues" dxfId="823" priority="215"/>
    <cfRule type="duplicateValues" dxfId="822" priority="216"/>
    <cfRule type="duplicateValues" dxfId="821" priority="217"/>
  </conditionalFormatting>
  <conditionalFormatting sqref="C2451">
    <cfRule type="duplicateValues" dxfId="820" priority="219"/>
    <cfRule type="duplicateValues" dxfId="819" priority="221"/>
    <cfRule type="duplicateValues" dxfId="818" priority="223"/>
    <cfRule type="duplicateValues" dxfId="817" priority="225"/>
    <cfRule type="duplicateValues" dxfId="816" priority="226"/>
  </conditionalFormatting>
  <conditionalFormatting sqref="B2468">
    <cfRule type="duplicateValues" dxfId="815" priority="81"/>
    <cfRule type="duplicateValues" dxfId="814" priority="83"/>
  </conditionalFormatting>
  <conditionalFormatting sqref="C2468">
    <cfRule type="duplicateValues" dxfId="813" priority="80"/>
    <cfRule type="duplicateValues" dxfId="812" priority="82"/>
  </conditionalFormatting>
  <conditionalFormatting sqref="B2469">
    <cfRule type="duplicateValues" dxfId="811" priority="77"/>
    <cfRule type="duplicateValues" dxfId="810" priority="79"/>
  </conditionalFormatting>
  <conditionalFormatting sqref="C2469">
    <cfRule type="duplicateValues" dxfId="809" priority="76"/>
    <cfRule type="duplicateValues" dxfId="808" priority="78"/>
  </conditionalFormatting>
  <conditionalFormatting sqref="B2471">
    <cfRule type="duplicateValues" dxfId="807" priority="87"/>
    <cfRule type="duplicateValues" dxfId="806" priority="89"/>
    <cfRule type="duplicateValues" dxfId="805" priority="91"/>
    <cfRule type="duplicateValues" dxfId="804" priority="93"/>
  </conditionalFormatting>
  <conditionalFormatting sqref="B2471:C2471">
    <cfRule type="duplicateValues" dxfId="803" priority="84"/>
    <cfRule type="duplicateValues" dxfId="802" priority="85"/>
    <cfRule type="duplicateValues" dxfId="801" priority="86"/>
  </conditionalFormatting>
  <conditionalFormatting sqref="C2471">
    <cfRule type="duplicateValues" dxfId="800" priority="88"/>
    <cfRule type="duplicateValues" dxfId="799" priority="90"/>
    <cfRule type="duplicateValues" dxfId="798" priority="92"/>
    <cfRule type="duplicateValues" dxfId="797" priority="94"/>
    <cfRule type="duplicateValues" dxfId="796" priority="95"/>
  </conditionalFormatting>
  <conditionalFormatting sqref="B2500">
    <cfRule type="duplicateValues" dxfId="795" priority="61"/>
    <cfRule type="duplicateValues" dxfId="794" priority="63"/>
  </conditionalFormatting>
  <conditionalFormatting sqref="C2500">
    <cfRule type="duplicateValues" dxfId="793" priority="60"/>
    <cfRule type="duplicateValues" dxfId="792" priority="62"/>
  </conditionalFormatting>
  <conditionalFormatting sqref="B2501">
    <cfRule type="duplicateValues" dxfId="791" priority="57"/>
    <cfRule type="duplicateValues" dxfId="790" priority="59"/>
  </conditionalFormatting>
  <conditionalFormatting sqref="C2501">
    <cfRule type="duplicateValues" dxfId="789" priority="56"/>
    <cfRule type="duplicateValues" dxfId="788" priority="58"/>
  </conditionalFormatting>
  <conditionalFormatting sqref="B2503">
    <cfRule type="duplicateValues" dxfId="787" priority="67"/>
    <cfRule type="duplicateValues" dxfId="786" priority="69"/>
    <cfRule type="duplicateValues" dxfId="785" priority="71"/>
    <cfRule type="duplicateValues" dxfId="784" priority="73"/>
  </conditionalFormatting>
  <conditionalFormatting sqref="B2503:C2503">
    <cfRule type="duplicateValues" dxfId="783" priority="64"/>
    <cfRule type="duplicateValues" dxfId="782" priority="65"/>
    <cfRule type="duplicateValues" dxfId="781" priority="66"/>
  </conditionalFormatting>
  <conditionalFormatting sqref="C2503">
    <cfRule type="duplicateValues" dxfId="780" priority="68"/>
    <cfRule type="duplicateValues" dxfId="779" priority="70"/>
    <cfRule type="duplicateValues" dxfId="778" priority="72"/>
    <cfRule type="duplicateValues" dxfId="777" priority="74"/>
    <cfRule type="duplicateValues" dxfId="776" priority="75"/>
  </conditionalFormatting>
  <conditionalFormatting sqref="B77:B78">
    <cfRule type="duplicateValues" dxfId="775" priority="615"/>
    <cfRule type="duplicateValues" dxfId="774" priority="616"/>
    <cfRule type="duplicateValues" dxfId="773" priority="617"/>
    <cfRule type="duplicateValues" dxfId="772" priority="618"/>
    <cfRule type="duplicateValues" dxfId="771" priority="619"/>
  </conditionalFormatting>
  <conditionalFormatting sqref="B79:B83">
    <cfRule type="duplicateValues" dxfId="770" priority="610"/>
    <cfRule type="duplicateValues" dxfId="769" priority="611"/>
    <cfRule type="duplicateValues" dxfId="768" priority="612"/>
    <cfRule type="duplicateValues" dxfId="767" priority="613"/>
    <cfRule type="duplicateValues" dxfId="766" priority="614"/>
  </conditionalFormatting>
  <conditionalFormatting sqref="B84:B88">
    <cfRule type="duplicateValues" dxfId="765" priority="605"/>
    <cfRule type="duplicateValues" dxfId="764" priority="606"/>
    <cfRule type="duplicateValues" dxfId="763" priority="607"/>
    <cfRule type="duplicateValues" dxfId="762" priority="608"/>
    <cfRule type="duplicateValues" dxfId="761" priority="609"/>
  </conditionalFormatting>
  <conditionalFormatting sqref="B155:B172">
    <cfRule type="duplicateValues" dxfId="760" priority="589"/>
  </conditionalFormatting>
  <conditionalFormatting sqref="B223:B224">
    <cfRule type="duplicateValues" dxfId="759" priority="600"/>
    <cfRule type="duplicateValues" dxfId="758" priority="601"/>
    <cfRule type="duplicateValues" dxfId="757" priority="602"/>
    <cfRule type="duplicateValues" dxfId="756" priority="603"/>
    <cfRule type="duplicateValues" dxfId="755" priority="604"/>
  </conditionalFormatting>
  <conditionalFormatting sqref="B225:B229">
    <cfRule type="duplicateValues" dxfId="754" priority="595"/>
    <cfRule type="duplicateValues" dxfId="753" priority="596"/>
    <cfRule type="duplicateValues" dxfId="752" priority="597"/>
    <cfRule type="duplicateValues" dxfId="751" priority="598"/>
    <cfRule type="duplicateValues" dxfId="750" priority="599"/>
  </conditionalFormatting>
  <conditionalFormatting sqref="B230:B234">
    <cfRule type="duplicateValues" dxfId="749" priority="590"/>
    <cfRule type="duplicateValues" dxfId="748" priority="591"/>
    <cfRule type="duplicateValues" dxfId="747" priority="592"/>
    <cfRule type="duplicateValues" dxfId="746" priority="593"/>
    <cfRule type="duplicateValues" dxfId="745" priority="594"/>
  </conditionalFormatting>
  <conditionalFormatting sqref="B628:B634">
    <cfRule type="duplicateValues" dxfId="744" priority="539"/>
  </conditionalFormatting>
  <conditionalFormatting sqref="B704:B706">
    <cfRule type="duplicateValues" dxfId="743" priority="541"/>
  </conditionalFormatting>
  <conditionalFormatting sqref="B716:B717">
    <cfRule type="duplicateValues" dxfId="742" priority="540"/>
  </conditionalFormatting>
  <conditionalFormatting sqref="B761:B762">
    <cfRule type="duplicateValues" dxfId="741" priority="544"/>
  </conditionalFormatting>
  <conditionalFormatting sqref="B1033:B1050">
    <cfRule type="duplicateValues" dxfId="740" priority="550"/>
  </conditionalFormatting>
  <conditionalFormatting sqref="B1075:B1092">
    <cfRule type="duplicateValues" dxfId="739" priority="547"/>
  </conditionalFormatting>
  <conditionalFormatting sqref="B1197:B1200">
    <cfRule type="duplicateValues" dxfId="738" priority="331"/>
  </conditionalFormatting>
  <conditionalFormatting sqref="B1203:B1204">
    <cfRule type="duplicateValues" dxfId="737" priority="281"/>
    <cfRule type="duplicateValues" dxfId="736" priority="283"/>
  </conditionalFormatting>
  <conditionalFormatting sqref="B1205:B1206">
    <cfRule type="duplicateValues" dxfId="735" priority="45"/>
    <cfRule type="duplicateValues" dxfId="734" priority="46"/>
    <cfRule type="duplicateValues" dxfId="733" priority="47"/>
  </conditionalFormatting>
  <conditionalFormatting sqref="B1258:B1259">
    <cfRule type="duplicateValues" dxfId="732" priority="647"/>
    <cfRule type="duplicateValues" dxfId="731" priority="649"/>
    <cfRule type="duplicateValues" dxfId="730" priority="651"/>
    <cfRule type="duplicateValues" dxfId="729" priority="653"/>
  </conditionalFormatting>
  <conditionalFormatting sqref="B1268:B1269">
    <cfRule type="duplicateValues" dxfId="728" priority="37"/>
    <cfRule type="duplicateValues" dxfId="727" priority="38"/>
    <cfRule type="duplicateValues" dxfId="726" priority="39"/>
  </conditionalFormatting>
  <conditionalFormatting sqref="B1324:B1325">
    <cfRule type="duplicateValues" dxfId="725" priority="635"/>
    <cfRule type="duplicateValues" dxfId="724" priority="637"/>
    <cfRule type="duplicateValues" dxfId="723" priority="639"/>
    <cfRule type="duplicateValues" dxfId="722" priority="641"/>
  </conditionalFormatting>
  <conditionalFormatting sqref="B1334:B1335">
    <cfRule type="duplicateValues" dxfId="721" priority="29"/>
    <cfRule type="duplicateValues" dxfId="720" priority="30"/>
    <cfRule type="duplicateValues" dxfId="719" priority="31"/>
  </conditionalFormatting>
  <conditionalFormatting sqref="B1389:B1390">
    <cfRule type="duplicateValues" dxfId="718" priority="623"/>
    <cfRule type="duplicateValues" dxfId="717" priority="625"/>
    <cfRule type="duplicateValues" dxfId="716" priority="627"/>
    <cfRule type="duplicateValues" dxfId="715" priority="629"/>
  </conditionalFormatting>
  <conditionalFormatting sqref="B1399:B1400">
    <cfRule type="duplicateValues" dxfId="714" priority="21"/>
    <cfRule type="duplicateValues" dxfId="713" priority="22"/>
    <cfRule type="duplicateValues" dxfId="712" priority="23"/>
  </conditionalFormatting>
  <conditionalFormatting sqref="B1502:B1552">
    <cfRule type="duplicateValues" dxfId="711" priority="688"/>
  </conditionalFormatting>
  <conditionalFormatting sqref="B1968:B1996">
    <cfRule type="duplicateValues" dxfId="710" priority="522"/>
  </conditionalFormatting>
  <conditionalFormatting sqref="B1998:B2004">
    <cfRule type="duplicateValues" dxfId="709" priority="518"/>
  </conditionalFormatting>
  <conditionalFormatting sqref="B2010:B2011">
    <cfRule type="duplicateValues" dxfId="708" priority="513"/>
  </conditionalFormatting>
  <conditionalFormatting sqref="B2014:B2021">
    <cfRule type="duplicateValues" dxfId="707" priority="515"/>
  </conditionalFormatting>
  <conditionalFormatting sqref="B2023:B2029">
    <cfRule type="duplicateValues" dxfId="706" priority="514"/>
  </conditionalFormatting>
  <conditionalFormatting sqref="B2062:B2064">
    <cfRule type="duplicateValues" dxfId="705" priority="686"/>
  </conditionalFormatting>
  <conditionalFormatting sqref="B2185:B2186">
    <cfRule type="duplicateValues" dxfId="704" priority="334"/>
  </conditionalFormatting>
  <conditionalFormatting sqref="B2219:B2220">
    <cfRule type="duplicateValues" dxfId="703" priority="356"/>
  </conditionalFormatting>
  <conditionalFormatting sqref="B2302:B2303">
    <cfRule type="duplicateValues" dxfId="702" priority="354"/>
  </conditionalFormatting>
  <conditionalFormatting sqref="B2347:B2348">
    <cfRule type="duplicateValues" dxfId="701" priority="353"/>
  </conditionalFormatting>
  <conditionalFormatting sqref="B2445:B2447">
    <cfRule type="duplicateValues" dxfId="700" priority="227"/>
  </conditionalFormatting>
  <conditionalFormatting sqref="B2535:B2536">
    <cfRule type="duplicateValues" dxfId="699" priority="54"/>
  </conditionalFormatting>
  <conditionalFormatting sqref="C1197:C1200">
    <cfRule type="duplicateValues" dxfId="698" priority="332"/>
    <cfRule type="duplicateValues" dxfId="697" priority="333"/>
  </conditionalFormatting>
  <conditionalFormatting sqref="C1203:C1204">
    <cfRule type="duplicateValues" dxfId="696" priority="277"/>
    <cfRule type="duplicateValues" dxfId="695" priority="278"/>
    <cfRule type="duplicateValues" dxfId="694" priority="279"/>
    <cfRule type="duplicateValues" dxfId="693" priority="280"/>
  </conditionalFormatting>
  <conditionalFormatting sqref="C1258:C1259">
    <cfRule type="duplicateValues" dxfId="692" priority="648"/>
    <cfRule type="duplicateValues" dxfId="691" priority="650"/>
    <cfRule type="duplicateValues" dxfId="690" priority="652"/>
    <cfRule type="duplicateValues" dxfId="689" priority="654"/>
    <cfRule type="duplicateValues" dxfId="688" priority="655"/>
  </conditionalFormatting>
  <conditionalFormatting sqref="C1324:C1325">
    <cfRule type="duplicateValues" dxfId="687" priority="636"/>
    <cfRule type="duplicateValues" dxfId="686" priority="638"/>
    <cfRule type="duplicateValues" dxfId="685" priority="640"/>
    <cfRule type="duplicateValues" dxfId="684" priority="642"/>
    <cfRule type="duplicateValues" dxfId="683" priority="643"/>
  </conditionalFormatting>
  <conditionalFormatting sqref="C1389:C1390">
    <cfRule type="duplicateValues" dxfId="682" priority="624"/>
    <cfRule type="duplicateValues" dxfId="681" priority="626"/>
    <cfRule type="duplicateValues" dxfId="680" priority="628"/>
    <cfRule type="duplicateValues" dxfId="679" priority="630"/>
    <cfRule type="duplicateValues" dxfId="678" priority="631"/>
  </conditionalFormatting>
  <conditionalFormatting sqref="B743:B745 B763:B764">
    <cfRule type="duplicateValues" dxfId="677" priority="549"/>
  </conditionalFormatting>
  <conditionalFormatting sqref="B1207 B1195:B1196">
    <cfRule type="duplicateValues" dxfId="676" priority="665"/>
  </conditionalFormatting>
  <conditionalFormatting sqref="B1207:C1207 B1195:C1196">
    <cfRule type="duplicateValues" dxfId="675" priority="656"/>
    <cfRule type="duplicateValues" dxfId="674" priority="657"/>
    <cfRule type="duplicateValues" dxfId="673" priority="658"/>
  </conditionalFormatting>
  <conditionalFormatting sqref="C1207 C1195:C1196">
    <cfRule type="duplicateValues" dxfId="672" priority="666"/>
    <cfRule type="duplicateValues" dxfId="671" priority="667"/>
  </conditionalFormatting>
  <conditionalFormatting sqref="B1197:C1200">
    <cfRule type="duplicateValues" dxfId="670" priority="328"/>
    <cfRule type="duplicateValues" dxfId="669" priority="329"/>
    <cfRule type="duplicateValues" dxfId="668" priority="330"/>
  </conditionalFormatting>
  <conditionalFormatting sqref="B1203:C1204">
    <cfRule type="duplicateValues" dxfId="667" priority="282"/>
  </conditionalFormatting>
  <conditionalFormatting sqref="B1258:C1259">
    <cfRule type="duplicateValues" dxfId="666" priority="644"/>
    <cfRule type="duplicateValues" dxfId="665" priority="645"/>
    <cfRule type="duplicateValues" dxfId="664" priority="646"/>
  </conditionalFormatting>
  <conditionalFormatting sqref="B1324:C1325">
    <cfRule type="duplicateValues" dxfId="663" priority="632"/>
    <cfRule type="duplicateValues" dxfId="662" priority="633"/>
    <cfRule type="duplicateValues" dxfId="661" priority="634"/>
  </conditionalFormatting>
  <conditionalFormatting sqref="B1389:C1390">
    <cfRule type="duplicateValues" dxfId="660" priority="620"/>
    <cfRule type="duplicateValues" dxfId="659" priority="621"/>
    <cfRule type="duplicateValues" dxfId="658" priority="622"/>
  </conditionalFormatting>
  <conditionalFormatting sqref="B2528:B2534 B2537:B2580">
    <cfRule type="duplicateValues" dxfId="657" priority="55"/>
  </conditionalFormatting>
  <conditionalFormatting sqref="B2607">
    <cfRule type="duplicateValues" dxfId="656" priority="2"/>
    <cfRule type="duplicateValues" dxfId="655" priority="4"/>
  </conditionalFormatting>
  <conditionalFormatting sqref="C2607">
    <cfRule type="duplicateValues" dxfId="654" priority="1"/>
    <cfRule type="duplicateValues" dxfId="653" priority="3"/>
  </conditionalFormatting>
  <conditionalFormatting sqref="B2609">
    <cfRule type="duplicateValues" dxfId="652" priority="12"/>
    <cfRule type="duplicateValues" dxfId="651" priority="14"/>
    <cfRule type="duplicateValues" dxfId="650" priority="16"/>
    <cfRule type="duplicateValues" dxfId="649" priority="18"/>
  </conditionalFormatting>
  <conditionalFormatting sqref="B2609:C2609">
    <cfRule type="duplicateValues" dxfId="648" priority="9"/>
    <cfRule type="duplicateValues" dxfId="647" priority="10"/>
    <cfRule type="duplicateValues" dxfId="646" priority="11"/>
  </conditionalFormatting>
  <conditionalFormatting sqref="C2609">
    <cfRule type="duplicateValues" dxfId="645" priority="13"/>
    <cfRule type="duplicateValues" dxfId="644" priority="15"/>
    <cfRule type="duplicateValues" dxfId="643" priority="17"/>
    <cfRule type="duplicateValues" dxfId="642" priority="19"/>
    <cfRule type="duplicateValues" dxfId="641" priority="20"/>
  </conditionalFormatting>
  <conditionalFormatting sqref="B2606">
    <cfRule type="duplicateValues" dxfId="640" priority="689"/>
    <cfRule type="duplicateValues" dxfId="639" priority="690"/>
  </conditionalFormatting>
  <conditionalFormatting sqref="C2606">
    <cfRule type="duplicateValues" dxfId="638" priority="691"/>
    <cfRule type="duplicateValues" dxfId="637" priority="692"/>
  </conditionalFormatting>
  <hyperlinks>
    <hyperlink ref="G35" r:id="rId1" location="'报表-资管报表-事务服务'!E2" display="../../../../../gambl/Desktop/osm备份3/D2.Designs/资管报表/设计模板(报表-资管报表).xlsx - '报表-资管报表-事务服务'!E2" xr:uid="{00000000-0004-0000-0000-000000000000}"/>
    <hyperlink ref="G98" r:id="rId2" location="'报表-资管报表-事务服务'!E42" display="../../../../../gambl/Desktop/osm备份3/D2.Designs/资管报表/设计模板(报表-资管报表).xlsx - '报表-资管报表-事务服务'!E42" xr:uid="{00000000-0004-0000-0000-000001000000}"/>
    <hyperlink ref="G180" r:id="rId3" location="'报表-资管报表-事务服务'!E132" display="../../../../../gambl/Desktop/osm备份3/D2.Designs/资管报表/设计模板(报表-资管报表).xlsx - '报表-资管报表-事务服务'!E132" xr:uid="{00000000-0004-0000-0000-000002000000}"/>
    <hyperlink ref="G253" r:id="rId4" location="'报表-资管报表-事务服务'!E176" display="../../../../../gambl/Desktop/osm备份3/D2.Designs/资管报表/设计模板(报表-资管报表).xlsx - '报表-资管报表-事务服务'!E176" xr:uid="{00000000-0004-0000-0000-000003000000}"/>
    <hyperlink ref="G294" r:id="rId5" location="'报表-资管报表-事务服务'!E239" display="../../../../../gambl/Desktop/osm备份3/D2.Designs/资管报表/设计模板(报表-资管报表).xlsx - '报表-资管报表-事务服务'!E239" xr:uid="{00000000-0004-0000-0000-000004000000}"/>
    <hyperlink ref="G325" r:id="rId6" location="'报表-资管报表-事务服务'!E274" display="../../../../../gambl/Desktop/osm备份3/D2.Designs/资管报表/设计模板(报表-资管报表).xlsx - '报表-资管报表-事务服务'!E274" xr:uid="{00000000-0004-0000-0000-000005000000}"/>
    <hyperlink ref="G353" r:id="rId7" location="'报表-资管报表-事务服务'!E308" display="../../../../../gambl/Desktop/osm备份3/D2.Designs/资管报表/设计模板(报表-资管报表).xlsx - '报表-资管报表-事务服务'!E308" xr:uid="{00000000-0004-0000-0000-000006000000}"/>
    <hyperlink ref="G431" r:id="rId8" location="'报表-资管报表-事务服务'!E382" display="../../../../../gambl/Desktop/osm备份3/D2.Designs/资管报表/设计模板(报表-资管报表).xlsx - '报表-资管报表-事务服务'!E382" xr:uid="{00000000-0004-0000-0000-000007000000}"/>
    <hyperlink ref="G468" r:id="rId9" location="'报表-资管报表-事务服务'!E420" display="../../../../../gambl/Desktop/osm备份3/D2.Designs/资管报表/设计模板(报表-资管报表).xlsx - '报表-资管报表-事务服务'!E420" xr:uid="{00000000-0004-0000-0000-000008000000}"/>
    <hyperlink ref="G524" r:id="rId10" location="'报表-资管报表-事务服务'!E457" display="../../../../../gambl/Desktop/osm备份3/D2.Designs/资管报表/设计模板(报表-资管报表).xlsx - '报表-资管报表-事务服务'!E457" xr:uid="{00000000-0004-0000-0000-000009000000}"/>
    <hyperlink ref="G589" r:id="rId11" location="'报表-资管报表-事务服务'!E520" display="../../../../../gambl/Desktop/osm备份3/D2.Designs/资管报表/设计模板(报表-资管报表).xlsx - '报表-资管报表-事务服务'!E520" xr:uid="{00000000-0004-0000-0000-00000A000000}"/>
    <hyperlink ref="G641" r:id="rId12" location="'报表-资管报表-事务服务'!E586" display="../../../../../gambl/Desktop/osm备份3/D2.Designs/资管报表/设计模板(报表-资管报表).xlsx - '报表-资管报表-事务服务'!E586" xr:uid="{00000000-0004-0000-0000-00000B000000}"/>
    <hyperlink ref="G682" r:id="rId13" location="'报表-资管报表-事务服务'!E636" display="../../../../../gambl/Desktop/osm备份3/D2.Designs/资管报表/设计模板(报表-资管报表).xlsx - '报表-资管报表-事务服务'!E636" xr:uid="{00000000-0004-0000-0000-00000C000000}"/>
    <hyperlink ref="G772" r:id="rId14" location="'报表-资管报表-事务服务'!E721" display="../../../../../gambl/Desktop/osm备份3/D2.Designs/资管报表/设计模板(报表-资管报表).xlsx - '报表-资管报表-事务服务'!E721" xr:uid="{00000000-0004-0000-0000-00000D000000}"/>
    <hyperlink ref="G853" r:id="rId15" location="'报表-资管报表-事务服务'!E770" display="../../../../../gambl/Desktop/osm备份3/D2.Designs/资管报表/设计模板(报表-资管报表).xlsx - '报表-资管报表-事务服务'!E770" xr:uid="{00000000-0004-0000-0000-00000E000000}"/>
    <hyperlink ref="G849" r:id="rId16" xr:uid="{00000000-0004-0000-0000-00000F000000}"/>
    <hyperlink ref="G848" r:id="rId17" xr:uid="{00000000-0004-0000-0000-000010000000}"/>
    <hyperlink ref="G852" r:id="rId18" xr:uid="{00000000-0004-0000-0000-000011000000}"/>
    <hyperlink ref="G935" r:id="rId19" location="'报表-资管报表-事务服务'!E894" display="../../../../../gambl/Desktop/osm备份3/D2.Designs/资管报表/设计模板(报表-资管报表).xlsx - '报表-资管报表-事务服务'!E894" xr:uid="{00000000-0004-0000-0000-000012000000}"/>
    <hyperlink ref="G931" r:id="rId20" xr:uid="{00000000-0004-0000-0000-000013000000}"/>
    <hyperlink ref="G930" r:id="rId21" xr:uid="{00000000-0004-0000-0000-000014000000}"/>
    <hyperlink ref="G934" r:id="rId22" xr:uid="{00000000-0004-0000-0000-000015000000}"/>
    <hyperlink ref="G397" r:id="rId23" location="'报表-资管报表-事务服务'!E340" display="../../../../../gambl/Desktop/osm备份3/D2.Designs/资管报表/设计模板(报表-资管报表).xlsx - '报表-资管报表-事务服务'!E340" xr:uid="{00000000-0004-0000-0000-000016000000}"/>
    <hyperlink ref="G974" r:id="rId24" location="'报表-资管报表-事务服务'!E1022" display="../../../../../gambl/Desktop/osm备份3/D2.Designs/资管报表/设计模板(报表-资管报表).xlsx - '报表-资管报表-事务服务'!E1022" xr:uid="{00000000-0004-0000-0000-000017000000}"/>
    <hyperlink ref="G969" r:id="rId25" xr:uid="{00000000-0004-0000-0000-000018000000}"/>
    <hyperlink ref="G970" r:id="rId26" xr:uid="{00000000-0004-0000-0000-000019000000}"/>
    <hyperlink ref="G973" r:id="rId27" xr:uid="{00000000-0004-0000-0000-00001A000000}"/>
    <hyperlink ref="G1014" r:id="rId28" location="'报表-资管报表-事务服务'!E1056" display="../../../../../gambl/Desktop/osm备份3/D2.Designs/资管报表/设计模板(报表-资管报表).xlsx - '报表-资管报表-事务服务'!E1056" xr:uid="{00000000-0004-0000-0000-00001B000000}"/>
    <hyperlink ref="G1009" r:id="rId29" xr:uid="{00000000-0004-0000-0000-00001C000000}"/>
    <hyperlink ref="G1010" r:id="rId30" xr:uid="{00000000-0004-0000-0000-00001D000000}"/>
    <hyperlink ref="G1013" r:id="rId31" xr:uid="{00000000-0004-0000-0000-00001E000000}"/>
    <hyperlink ref="G1124" r:id="rId32" location="'报表-资管报表-事务服务'!E1176" display="../../../../../gambl/Desktop/osm备份3/D2.Designs/资管报表/设计模板(报表-资管报表).xlsx - '报表-资管报表-事务服务'!E1176" xr:uid="{00000000-0004-0000-0000-00001F000000}"/>
    <hyperlink ref="G1153" r:id="rId33" location="'报表-资管报表-事务服务'!E1202" display="../../../../../gambl/Desktop/osm备份3/D2.Designs/资管报表/设计模板(报表-资管报表).xlsx - '报表-资管报表-事务服务'!E1202" xr:uid="{00000000-0004-0000-0000-000020000000}"/>
    <hyperlink ref="G1216" r:id="rId34" location="'报表-资管报表-事务服务'!E1237" display="../../../../../gambl/Desktop/osm备份3/D2.Designs/资管报表/设计模板(报表-资管报表).xlsx - '报表-资管报表-事务服务'!E1237" xr:uid="{00000000-0004-0000-0000-000021000000}"/>
    <hyperlink ref="G1278" r:id="rId35" location="'报表-资管报表-事务服务'!E1298" display="../../../../../gambl/Desktop/osm备份3/D2.Designs/资管报表/设计模板(报表-资管报表).xlsx - '报表-资管报表-事务服务'!E1298" xr:uid="{00000000-0004-0000-0000-000022000000}"/>
    <hyperlink ref="G1342" r:id="rId36" location="'报表-资管报表-事务服务'!E1356" display="../../../../../gambl/Desktop/osm备份3/D2.Designs/资管报表/设计模板(报表-资管报表).xlsx - '报表-资管报表-事务服务'!E1356" xr:uid="{00000000-0004-0000-0000-000023000000}"/>
    <hyperlink ref="G1408" r:id="rId37" location="'报表-资管报表-事务服务'!E1422" display="../../../../../gambl/Desktop/osm备份3/D2.Designs/资管报表/设计模板(报表-资管报表).xlsx - '报表-资管报表-事务服务'!E1422" xr:uid="{00000000-0004-0000-0000-000024000000}"/>
    <hyperlink ref="G1481" r:id="rId38" location="'报表-资管报表-事务服务'!E1489" display="../../../../../gambl/Desktop/osm备份3/D2.Designs/资管报表/设计模板(报表-资管报表).xlsx - '报表-资管报表-事务服务'!E1489" xr:uid="{00000000-0004-0000-0000-000025000000}"/>
    <hyperlink ref="G1559" r:id="rId39" location="'报表-资管报表-事务服务'!E1568" display="../../../../../gambl/Desktop/osm备份3/D2.Designs/资管报表/设计模板(报表-资管报表).xlsx - '报表-资管报表-事务服务'!E1568" xr:uid="{00000000-0004-0000-0000-000026000000}"/>
    <hyperlink ref="G1617" r:id="rId40" location="'报表-资管报表-事务服务'!E1650" display="../../../../../gambl/Desktop/osm备份3/D2.Designs/资管报表/设计模板(报表-资管报表).xlsx - '报表-资管报表-事务服务'!E1650" xr:uid="{00000000-0004-0000-0000-000027000000}"/>
    <hyperlink ref="G1675" r:id="rId41" location="'报表-资管报表-事务服务'!E1710" display="../../../../../gambl/Desktop/osm备份3/D2.Designs/资管报表/设计模板(报表-资管报表).xlsx - '报表-资管报表-事务服务'!E1710" xr:uid="{00000000-0004-0000-0000-000028000000}"/>
    <hyperlink ref="G134" r:id="rId42" location="'报表-资管报表-事务服务'!E100" display="../../../../../gambl/Desktop/osm备份3/D2.Designs/资管报表/设计模板(报表-资管报表).xlsx - '报表-资管报表-事务服务'!E100" xr:uid="{00000000-0004-0000-0000-000029000000}"/>
    <hyperlink ref="G1055" r:id="rId43" location="'报表-资管报表-事务服务'!E1092" display="../../../../../gambl/Desktop/osm备份3/D2.Designs/资管报表/设计模板(报表-资管报表).xlsx - '报表-资管报表-事务服务'!E1092" xr:uid="{00000000-0004-0000-0000-00002A000000}"/>
    <hyperlink ref="G1097" r:id="rId44" location="'报表-资管报表-事务服务'!E1133" display="../../../../../gambl/Desktop/osm备份3/D2.Designs/资管报表/设计模板(报表-资管报表).xlsx - '报表-资管报表-事务服务'!E1133" xr:uid="{00000000-0004-0000-0000-00002B000000}"/>
    <hyperlink ref="G1715" r:id="rId45" location="'报表-资管报表-事务服务'!E1770" display="../../../../../gambl/Desktop/osm备份3/D2.Designs/资管报表/设计模板(报表-资管报表).xlsx - '报表-资管报表-事务服务'!E1770" xr:uid="{00000000-0004-0000-0000-00002C000000}"/>
    <hyperlink ref="G1760" r:id="rId46" location="'报表-资管报表-事务服务'!E1813" display="../../../../../gambl/Desktop/osm备份3/D2.Designs/资管报表/设计模板(报表-资管报表).xlsx - '报表-资管报表-事务服务'!E1813" xr:uid="{00000000-0004-0000-0000-00002D000000}"/>
    <hyperlink ref="G1804" r:id="rId47" location="'报表-资管报表-事务服务'!E1859" display="../../../../../gambl/Desktop/osm备份3/D2.Designs/资管报表/设计模板(报表-资管报表).xlsx - '报表-资管报表-事务服务'!E1859" xr:uid="{00000000-0004-0000-0000-00002E000000}"/>
    <hyperlink ref="G1850" r:id="rId48" location="'报表-资管报表-事务服务'!E1904" display="../../../../../gambl/Desktop/osm备份3/D2.Designs/资管报表/设计模板(报表-资管报表).xlsx - '报表-资管报表-事务服务'!E1904" xr:uid="{00000000-0004-0000-0000-00002F000000}"/>
    <hyperlink ref="G1892" r:id="rId49" location="'报表-资管报表-事务服务'!E1952" display="../../../../../gambl/Desktop/osm备份3/D2.Designs/资管报表/设计模板(报表-资管报表).xlsx - '报表-资管报表-事务服务'!E1952" xr:uid="{00000000-0004-0000-0000-000030000000}"/>
    <hyperlink ref="G723" r:id="rId50" location="'报表-资管报表-事务服务'!E678" display="../../../../../gambl/Desktop/osm备份3/D2.Designs/资管报表/设计模板(报表-资管报表).xlsx - '报表-资管报表-事务服务'!E678" xr:uid="{00000000-0004-0000-0000-000031000000}"/>
    <hyperlink ref="G1950" r:id="rId51" location="'报表-资管报表-事务服务'!E2126" display="../../../../../gambl/Desktop/osm备份3/D2.Designs/资管报表/设计模板(报表-资管报表).xlsx - '报表-资管报表-事务服务'!E2126" xr:uid="{00000000-0004-0000-0000-000032000000}"/>
    <hyperlink ref="G1946" r:id="rId52" xr:uid="{00000000-0004-0000-0000-000033000000}"/>
    <hyperlink ref="G2043" r:id="rId53" location="'报表-资管报表-事务服务'!E2184" display="../../../../../gambl/Desktop/osm备份3/D2.Designs/资管报表/设计模板(报表-资管报表).xlsx - '报表-资管报表-事务服务'!E2184" xr:uid="{00000000-0004-0000-0000-000034000000}"/>
    <hyperlink ref="G2102" r:id="rId54" location="'报表-资管报表-事务服务'!E2280" display="../../../../../gambl/Desktop/osm备份3/D2.Designs/资管报表/设计模板(报表-资管报表).xlsx - '报表-资管报表-事务服务'!E2280" xr:uid="{00000000-0004-0000-0000-000035000000}"/>
    <hyperlink ref="G2193" r:id="rId55" location="'报表-资管报表-事务服务'!E2343" display="../../../../../gambl/Desktop/osm备份3/D2.Designs/资管报表/设计模板(报表-资管报表).xlsx - '报表-资管报表-事务服务'!E2343" xr:uid="{00000000-0004-0000-0000-000036000000}"/>
    <hyperlink ref="G2187" r:id="rId56" xr:uid="{00000000-0004-0000-0000-000037000000}"/>
    <hyperlink ref="G2259" r:id="rId57" location="'报表-资管报表-事务服务'!E2438" display="../../../../../gambl/Desktop/osm备份3/D2.Designs/资管报表/设计模板(报表-资管报表).xlsx - '报表-资管报表-事务服务'!E2438" xr:uid="{00000000-0004-0000-0000-000038000000}"/>
    <hyperlink ref="G2257" r:id="rId58" xr:uid="{00000000-0004-0000-0000-000039000000}"/>
    <hyperlink ref="G2253" r:id="rId59" xr:uid="{00000000-0004-0000-0000-00003A000000}"/>
    <hyperlink ref="G2311" r:id="rId60" location="'报表-资管报表-事务服务'!E2508" display="../../../../../gambl/Desktop/osm备份3/D2.Designs/资管报表/设计模板(报表-资管报表).xlsx - '报表-资管报表-事务服务'!E2508" xr:uid="{00000000-0004-0000-0000-00003B000000}"/>
    <hyperlink ref="G2309" r:id="rId61" xr:uid="{00000000-0004-0000-0000-00003C000000}"/>
    <hyperlink ref="G2305" r:id="rId62" xr:uid="{00000000-0004-0000-0000-00003D000000}"/>
    <hyperlink ref="G2356" r:id="rId63" location="'报表-资管报表-事务服务'!E2563" display="../../../../../gambl/Desktop/osm备份3/D2.Designs/资管报表/设计模板(报表-资管报表).xlsx - '报表-资管报表-事务服务'!E2563" xr:uid="{00000000-0004-0000-0000-00003E000000}"/>
    <hyperlink ref="G2350" r:id="rId64" xr:uid="{00000000-0004-0000-0000-00003F000000}"/>
    <hyperlink ref="G2427" r:id="rId65" location="'报表-资管报表-事务服务'!E2611" display="../../../../../gambl/Desktop/osm备份3/D2.Designs/资管报表/设计模板(报表-资管报表).xlsx - '报表-资管报表-事务服务'!E2611" xr:uid="{00000000-0004-0000-0000-000040000000}"/>
    <hyperlink ref="G2455" r:id="rId66" location="'报表-资管报表-事务服务'!E2691" display="../../../../../gambl/Desktop/osm备份3/D2.Designs/资管报表/设计模板(报表-资管报表).xlsx - '报表-资管报表-事务服务'!E2691" xr:uid="{00000000-0004-0000-0000-000041000000}"/>
    <hyperlink ref="G2476" r:id="rId67" location="'报表-资管报表-事务服务'!E2723" display="../../../../../gambl/Desktop/osm备份3/D2.Designs/资管报表/设计模板(报表-资管报表).xlsx - '报表-资管报表-事务服务'!E2723" xr:uid="{00000000-0004-0000-0000-000042000000}"/>
    <hyperlink ref="G2507" r:id="rId68" location="'报表-资管报表-事务服务'!E2741" display="../../../../../gambl/Desktop/osm备份3/D2.Designs/资管报表/设计模板(报表-资管报表).xlsx - '报表-资管报表-事务服务'!E2741" xr:uid="{00000000-0004-0000-0000-000043000000}"/>
    <hyperlink ref="G2589" r:id="rId69" location="'报表-资管报表-事务服务'!E2782" display="../../../../../gambl/Desktop/osm备份3/D2.Designs/资管报表/设计模板(报表-资管报表).xlsx - '报表-资管报表-事务服务'!E2782" xr:uid="{00000000-0004-0000-0000-000044000000}"/>
    <hyperlink ref="G2614" r:id="rId70" location="'报表-资管报表-事务服务'!E2895" display="../../../../../gambl/Desktop/osm备份3/D2.Designs/资管报表/设计模板(报表-资管报表).xlsx - '报表-资管报表-事务服务'!E2895" xr:uid="{00000000-0004-0000-0000-000045000000}"/>
    <hyperlink ref="G34" r:id="rId71" location="'公共-公共接口-事务服务'!E2" display="../公共/设计模板(公共-公共接口).xlsx - '公共-公共接口-事务服务'!E2" xr:uid="{00000000-0004-0000-0000-000046000000}"/>
    <hyperlink ref="G97" r:id="rId72" location="'公共-公共接口-事务服务'!E2" display="../公共/设计模板(公共-公共接口).xlsx - '公共-公共接口-事务服务'!E2" xr:uid="{00000000-0004-0000-0000-000047000000}"/>
    <hyperlink ref="G131" r:id="rId73" location="'公共-公共接口-事务服务'!E2" display="../公共/设计模板(公共-公共接口).xlsx - '公共-公共接口-事务服务'!E2" xr:uid="{00000000-0004-0000-0000-000048000000}"/>
    <hyperlink ref="G179" r:id="rId74" location="'公共-公共接口-事务服务'!E2" display="../公共/设计模板(公共-公共接口).xlsx - '公共-公共接口-事务服务'!E2" xr:uid="{00000000-0004-0000-0000-000049000000}"/>
    <hyperlink ref="G243" r:id="rId75" location="'公共-公共接口-事务服务'!E2" display="../公共/设计模板(公共-公共接口).xlsx - '公共-公共接口-事务服务'!E2" xr:uid="{00000000-0004-0000-0000-00004A000000}"/>
    <hyperlink ref="G292" r:id="rId76" location="'公共-公共接口-事务服务'!E2" display="../公共/设计模板(公共-公共接口).xlsx - '公共-公共接口-事务服务'!E2" xr:uid="{00000000-0004-0000-0000-00004B000000}"/>
    <hyperlink ref="G324" r:id="rId77" location="'公共-公共接口-事务服务'!E2" display="../公共/设计模板(公共-公共接口).xlsx - '公共-公共接口-事务服务'!E2" xr:uid="{00000000-0004-0000-0000-00004C000000}"/>
    <hyperlink ref="G352" r:id="rId78" location="'公共-公共接口-事务服务'!E2" display="../公共/设计模板(公共-公共接口).xlsx - '公共-公共接口-事务服务'!E2" xr:uid="{00000000-0004-0000-0000-00004D000000}"/>
    <hyperlink ref="G396" r:id="rId79" location="'公共-公共接口-事务服务'!E2" display="../公共/设计模板(公共-公共接口).xlsx - '公共-公共接口-事务服务'!E2" xr:uid="{00000000-0004-0000-0000-00004E000000}"/>
    <hyperlink ref="G430" r:id="rId80" location="'公共-公共接口-事务服务'!E2" display="../公共/设计模板(公共-公共接口).xlsx - '公共-公共接口-事务服务'!E2" xr:uid="{00000000-0004-0000-0000-00004F000000}"/>
    <hyperlink ref="G467" r:id="rId81" location="'公共-公共接口-事务服务'!E2" display="../公共/设计模板(公共-公共接口).xlsx - '公共-公共接口-事务服务'!E2" xr:uid="{00000000-0004-0000-0000-000050000000}"/>
    <hyperlink ref="G523" r:id="rId82" location="'公共-公共接口-事务服务'!E2" display="../公共/设计模板(公共-公共接口).xlsx - '公共-公共接口-事务服务'!E2" xr:uid="{00000000-0004-0000-0000-000051000000}"/>
    <hyperlink ref="G588" r:id="rId83" location="'公共-公共接口-事务服务'!E2" display="../公共/设计模板(公共-公共接口).xlsx - '公共-公共接口-事务服务'!E2" xr:uid="{00000000-0004-0000-0000-000052000000}"/>
    <hyperlink ref="G639" r:id="rId84" location="'公共-公共接口-事务服务'!E2" display="../公共/设计模板(公共-公共接口).xlsx - '公共-公共接口-事务服务'!E2" xr:uid="{00000000-0004-0000-0000-000053000000}"/>
    <hyperlink ref="G681" r:id="rId85" location="'公共-公共接口-事务服务'!E2" display="../公共/设计模板(公共-公共接口).xlsx - '公共-公共接口-事务服务'!E2" xr:uid="{00000000-0004-0000-0000-000054000000}"/>
    <hyperlink ref="G722" r:id="rId86" location="'公共-公共接口-事务服务'!E2" display="../公共/设计模板(公共-公共接口).xlsx - '公共-公共接口-事务服务'!E2" xr:uid="{00000000-0004-0000-0000-000055000000}"/>
    <hyperlink ref="G771" r:id="rId87" location="'公共-公共接口-事务服务'!E2" display="../公共/设计模板(公共-公共接口).xlsx - '公共-公共接口-事务服务'!E2" xr:uid="{00000000-0004-0000-0000-000056000000}"/>
    <hyperlink ref="G847" r:id="rId88" location="'公共-公共接口-事务服务'!E2" display="../公共/设计模板(公共-公共接口).xlsx - '公共-公共接口-事务服务'!E2" xr:uid="{00000000-0004-0000-0000-000057000000}"/>
    <hyperlink ref="G929" r:id="rId89" location="'公共-公共接口-事务服务'!E2" display="../公共/设计模板(公共-公共接口).xlsx - '公共-公共接口-事务服务'!E2" xr:uid="{00000000-0004-0000-0000-000058000000}"/>
    <hyperlink ref="G968" r:id="rId90" location="'公共-公共接口-事务服务'!E2" display="../公共/设计模板(公共-公共接口).xlsx - '公共-公共接口-事务服务'!E2" xr:uid="{00000000-0004-0000-0000-000059000000}"/>
    <hyperlink ref="G1008" r:id="rId91" location="'公共-公共接口-事务服务'!E2" display="../公共/设计模板(公共-公共接口).xlsx - '公共-公共接口-事务服务'!E2" xr:uid="{00000000-0004-0000-0000-00005A000000}"/>
    <hyperlink ref="G1054" r:id="rId92" location="'公共-公共接口-事务服务'!E2" display="../公共/设计模板(公共-公共接口).xlsx - '公共-公共接口-事务服务'!E2" xr:uid="{00000000-0004-0000-0000-00005B000000}"/>
    <hyperlink ref="G1096" r:id="rId93" location="'公共-公共接口-事务服务'!E2" display="../公共/设计模板(公共-公共接口).xlsx - '公共-公共接口-事务服务'!E2" xr:uid="{00000000-0004-0000-0000-00005C000000}"/>
    <hyperlink ref="G1123" r:id="rId94" location="'公共-公共接口-事务服务'!E2" display="../公共/设计模板(公共-公共接口).xlsx - '公共-公共接口-事务服务'!E2" xr:uid="{00000000-0004-0000-0000-00005D000000}"/>
    <hyperlink ref="G1151" r:id="rId95" location="'公共-公共接口-事务服务'!E2" display="../公共/设计模板(公共-公共接口).xlsx - '公共-公共接口-事务服务'!E2" xr:uid="{00000000-0004-0000-0000-00005E000000}"/>
    <hyperlink ref="G1212" r:id="rId96" location="'公共-公共接口-事务服务'!E2" display="../公共/设计模板(公共-公共接口).xlsx - '公共-公共接口-事务服务'!E2" xr:uid="{00000000-0004-0000-0000-00005F000000}"/>
    <hyperlink ref="G1274" r:id="rId97" location="'公共-公共接口-事务服务'!E2" display="../公共/设计模板(公共-公共接口).xlsx - '公共-公共接口-事务服务'!E2" xr:uid="{00000000-0004-0000-0000-000060000000}"/>
    <hyperlink ref="G1340" r:id="rId98" location="'公共-公共接口-事务服务'!E2" display="../公共/设计模板(公共-公共接口).xlsx - '公共-公共接口-事务服务'!E2" xr:uid="{00000000-0004-0000-0000-000061000000}"/>
    <hyperlink ref="G1406" r:id="rId99" location="'公共-公共接口-事务服务'!E2" display="../公共/设计模板(公共-公共接口).xlsx - '公共-公共接口-事务服务'!E2" xr:uid="{00000000-0004-0000-0000-000062000000}"/>
    <hyperlink ref="G1480" r:id="rId100" location="'公共-公共接口-事务服务'!E2" display="../公共/设计模板(公共-公共接口).xlsx - '公共-公共接口-事务服务'!E2" xr:uid="{00000000-0004-0000-0000-000063000000}"/>
    <hyperlink ref="G1558" r:id="rId101" location="'公共-公共接口-事务服务'!E2" display="../公共/设计模板(公共-公共接口).xlsx - '公共-公共接口-事务服务'!E2" xr:uid="{00000000-0004-0000-0000-000064000000}"/>
    <hyperlink ref="G1614" r:id="rId102" location="'公共-公共接口-事务服务'!E2" display="../公共/设计模板(公共-公共接口).xlsx - '公共-公共接口-事务服务'!E2" xr:uid="{00000000-0004-0000-0000-000065000000}"/>
    <hyperlink ref="G1674" r:id="rId103" location="'公共-公共接口-事务服务'!E2" display="../公共/设计模板(公共-公共接口).xlsx - '公共-公共接口-事务服务'!E2" xr:uid="{00000000-0004-0000-0000-000066000000}"/>
    <hyperlink ref="G1714" r:id="rId104" location="'公共-公共接口-事务服务'!E2" display="../公共/设计模板(公共-公共接口).xlsx - '公共-公共接口-事务服务'!E2" xr:uid="{00000000-0004-0000-0000-000067000000}"/>
    <hyperlink ref="G1759" r:id="rId105" location="'公共-公共接口-事务服务'!E2" display="../公共/设计模板(公共-公共接口).xlsx - '公共-公共接口-事务服务'!E2" xr:uid="{00000000-0004-0000-0000-000068000000}"/>
    <hyperlink ref="G1802" r:id="rId106" location="'公共-公共接口-事务服务'!E2" display="../公共/设计模板(公共-公共接口).xlsx - '公共-公共接口-事务服务'!E2" xr:uid="{00000000-0004-0000-0000-000069000000}"/>
    <hyperlink ref="G1848" r:id="rId107" location="'公共-公共接口-事务服务'!E2" display="../公共/设计模板(公共-公共接口).xlsx - '公共-公共接口-事务服务'!E2" xr:uid="{00000000-0004-0000-0000-00006A000000}"/>
    <hyperlink ref="G1890" r:id="rId108" location="'公共-公共接口-事务服务'!E2" display="../公共/设计模板(公共-公共接口).xlsx - '公共-公共接口-事务服务'!E2" xr:uid="{00000000-0004-0000-0000-00006B000000}"/>
    <hyperlink ref="G1947" r:id="rId109" location="'公共-公共接口-事务服务'!E2" display="../公共/设计模板(公共-公共接口).xlsx - '公共-公共接口-事务服务'!E2" xr:uid="{00000000-0004-0000-0000-00006C000000}"/>
    <hyperlink ref="G2040" r:id="rId110" location="'公共-公共接口-事务服务'!E2" display="../公共/设计模板(公共-公共接口).xlsx - '公共-公共接口-事务服务'!E2" xr:uid="{00000000-0004-0000-0000-00006D000000}"/>
    <hyperlink ref="G2098" r:id="rId111" location="'公共-公共接口-事务服务'!E2" display="../公共/设计模板(公共-公共接口).xlsx - '公共-公共接口-事务服务'!E2" xr:uid="{00000000-0004-0000-0000-00006E000000}"/>
    <hyperlink ref="G2191" r:id="rId112" location="'公共-公共接口-事务服务'!E2" display="../公共/设计模板(公共-公共接口).xlsx - '公共-公共接口-事务服务'!E2" xr:uid="{00000000-0004-0000-0000-00006F000000}"/>
    <hyperlink ref="G2258" r:id="rId113" location="'公共-公共接口-事务服务'!E2" display="../公共/设计模板(公共-公共接口).xlsx - '公共-公共接口-事务服务'!E2" xr:uid="{00000000-0004-0000-0000-000070000000}"/>
    <hyperlink ref="G2310" r:id="rId114" location="'公共-公共接口-事务服务'!E2" display="../公共/设计模板(公共-公共接口).xlsx - '公共-公共接口-事务服务'!E2" xr:uid="{00000000-0004-0000-0000-000071000000}"/>
    <hyperlink ref="G2354" r:id="rId115" location="'公共-公共接口-事务服务'!E2" display="../公共/设计模板(公共-公共接口).xlsx - '公共-公共接口-事务服务'!E2" xr:uid="{00000000-0004-0000-0000-000072000000}"/>
    <hyperlink ref="G2425" r:id="rId116" location="'公共-公共接口-事务服务'!E2" display="../公共/设计模板(公共-公共接口).xlsx - '公共-公共接口-事务服务'!E2" xr:uid="{00000000-0004-0000-0000-000073000000}"/>
    <hyperlink ref="G2454" r:id="rId117" location="'公共-公共接口-事务服务'!E2" display="../公共/设计模板(公共-公共接口).xlsx - '公共-公共接口-事务服务'!E2" xr:uid="{00000000-0004-0000-0000-000074000000}"/>
    <hyperlink ref="G2475" r:id="rId118" location="'公共-公共接口-事务服务'!E2" display="../公共/设计模板(公共-公共接口).xlsx - '公共-公共接口-事务服务'!E2" xr:uid="{00000000-0004-0000-0000-000075000000}"/>
    <hyperlink ref="G2506" r:id="rId119" location="'公共-公共接口-事务服务'!E2" display="../公共/设计模板(公共-公共接口).xlsx - '公共-公共接口-事务服务'!E2" xr:uid="{00000000-0004-0000-0000-000076000000}"/>
    <hyperlink ref="G2588" r:id="rId120" location="'公共-公共接口-事务服务'!E2" display="../公共/设计模板(公共-公共接口).xlsx - '公共-公共接口-事务服务'!E2" xr:uid="{00000000-0004-0000-0000-000077000000}"/>
    <hyperlink ref="G2613" r:id="rId121" location="'公共-公共接口-事务服务'!E2" display="../公共/设计模板(公共-公共接口).xlsx - '公共-公共接口-事务服务'!E2" xr:uid="{00000000-0004-0000-0000-000078000000}"/>
  </hyperlink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916"/>
  <sheetViews>
    <sheetView topLeftCell="A1937" workbookViewId="0">
      <selection activeCell="C1907" sqref="C1907"/>
    </sheetView>
  </sheetViews>
  <sheetFormatPr defaultColWidth="9" defaultRowHeight="15.6" outlineLevelRow="1" x14ac:dyDescent="0.25"/>
  <cols>
    <col min="1" max="1" width="6.6640625" style="14" customWidth="1"/>
    <col min="2" max="2" width="16.109375" style="14" customWidth="1"/>
    <col min="3" max="3" width="18.88671875" style="14" customWidth="1"/>
    <col min="4" max="4" width="15.109375" style="14" customWidth="1"/>
    <col min="5" max="5" width="55.77734375" style="14" customWidth="1"/>
    <col min="6" max="6" width="15" style="14" customWidth="1"/>
    <col min="7" max="7" width="54.88671875" style="14" customWidth="1"/>
    <col min="8" max="8" width="4.44140625" style="14" customWidth="1"/>
    <col min="9" max="9" width="7.44140625" style="14" customWidth="1"/>
    <col min="10" max="10" width="11.21875" style="14" customWidth="1"/>
    <col min="11" max="11" width="9.88671875" style="14" customWidth="1"/>
    <col min="12" max="12" width="8.77734375" style="14" customWidth="1"/>
    <col min="13" max="13" width="7.44140625" style="14" customWidth="1"/>
    <col min="14" max="14" width="5.44140625" style="14" customWidth="1"/>
    <col min="15" max="27" width="4.44140625" style="14" customWidth="1"/>
    <col min="28" max="16384" width="9" style="14"/>
  </cols>
  <sheetData>
    <row r="1" spans="1:27" ht="16.2" thickBot="1" x14ac:dyDescent="0.3"/>
    <row r="2" spans="1:27" s="3" customFormat="1" ht="17.399999999999999" customHeight="1" thickBot="1" x14ac:dyDescent="0.3">
      <c r="A2" s="5"/>
      <c r="B2" s="15" t="s">
        <v>1279</v>
      </c>
      <c r="C2" s="16" t="s">
        <v>1894</v>
      </c>
      <c r="D2" s="17" t="s">
        <v>1281</v>
      </c>
      <c r="E2" s="16" t="s">
        <v>532</v>
      </c>
      <c r="F2" s="17" t="s">
        <v>1282</v>
      </c>
      <c r="G2" s="18" t="s">
        <v>1895</v>
      </c>
    </row>
    <row r="3" spans="1:27" s="3" customFormat="1" ht="17.399999999999999" hidden="1" customHeight="1" outlineLevel="1" x14ac:dyDescent="0.25">
      <c r="A3" s="5"/>
      <c r="B3" s="19" t="s">
        <v>1284</v>
      </c>
      <c r="C3" s="20" t="s">
        <v>1285</v>
      </c>
      <c r="D3" s="21" t="s">
        <v>1286</v>
      </c>
      <c r="E3" s="20" t="s">
        <v>1896</v>
      </c>
      <c r="F3" s="21" t="s">
        <v>1288</v>
      </c>
      <c r="G3" s="22" t="s">
        <v>1289</v>
      </c>
    </row>
    <row r="4" spans="1:27" s="3" customFormat="1" ht="17.399999999999999" hidden="1" customHeight="1" outlineLevel="1" thickBot="1" x14ac:dyDescent="0.3">
      <c r="A4" s="5"/>
      <c r="B4" s="19" t="s">
        <v>1290</v>
      </c>
      <c r="C4" s="23" t="s">
        <v>1291</v>
      </c>
      <c r="D4" s="21" t="s">
        <v>1292</v>
      </c>
      <c r="E4" s="23">
        <v>5</v>
      </c>
      <c r="F4" s="21" t="s">
        <v>1293</v>
      </c>
      <c r="G4" s="24" t="s">
        <v>1294</v>
      </c>
    </row>
    <row r="5" spans="1:27" s="3" customFormat="1" ht="17.399999999999999" hidden="1" customHeight="1" outlineLevel="1" x14ac:dyDescent="0.25">
      <c r="A5" s="5"/>
      <c r="B5" s="395" t="s">
        <v>1</v>
      </c>
      <c r="C5" s="396"/>
      <c r="D5" s="396"/>
      <c r="E5" s="396"/>
      <c r="F5" s="396"/>
      <c r="G5" s="397"/>
    </row>
    <row r="6" spans="1:27" s="3" customFormat="1" ht="17.399999999999999" hidden="1" customHeight="1" outlineLevel="1" x14ac:dyDescent="0.25">
      <c r="A6" s="5"/>
      <c r="B6" s="25" t="s">
        <v>2</v>
      </c>
      <c r="C6" s="26" t="s">
        <v>3</v>
      </c>
      <c r="D6" s="26" t="s">
        <v>4</v>
      </c>
      <c r="E6" s="26" t="s">
        <v>5</v>
      </c>
      <c r="F6" s="26"/>
      <c r="G6" s="27" t="s">
        <v>6</v>
      </c>
    </row>
    <row r="7" spans="1:27" s="3" customFormat="1" hidden="1" outlineLevel="1" x14ac:dyDescent="0.25">
      <c r="B7" s="28" t="s">
        <v>7</v>
      </c>
      <c r="C7" s="29" t="s">
        <v>1468</v>
      </c>
      <c r="D7" s="29" t="s">
        <v>1469</v>
      </c>
      <c r="E7" s="29">
        <v>0</v>
      </c>
      <c r="F7" s="29" t="s">
        <v>1470</v>
      </c>
      <c r="G7" s="30" t="s">
        <v>1471</v>
      </c>
      <c r="J7" s="3" t="s">
        <v>10</v>
      </c>
      <c r="K7" s="3" t="s">
        <v>173</v>
      </c>
      <c r="L7" s="3" t="s">
        <v>9</v>
      </c>
      <c r="M7" s="3" t="s">
        <v>9</v>
      </c>
      <c r="N7" s="3">
        <v>1112</v>
      </c>
    </row>
    <row r="8" spans="1:27" s="3" customFormat="1" hidden="1" outlineLevel="1" x14ac:dyDescent="0.25">
      <c r="B8" s="28" t="s">
        <v>11</v>
      </c>
      <c r="C8" s="29" t="s">
        <v>1472</v>
      </c>
      <c r="D8" s="29" t="s">
        <v>1469</v>
      </c>
      <c r="E8" s="29">
        <v>0</v>
      </c>
      <c r="F8" s="29" t="s">
        <v>1470</v>
      </c>
      <c r="G8" s="30" t="s">
        <v>1473</v>
      </c>
      <c r="J8" s="3" t="s">
        <v>12</v>
      </c>
      <c r="K8" s="3" t="s">
        <v>174</v>
      </c>
      <c r="L8" s="3" t="s">
        <v>175</v>
      </c>
      <c r="M8" s="3" t="s">
        <v>176</v>
      </c>
      <c r="N8" s="3">
        <v>1700</v>
      </c>
    </row>
    <row r="9" spans="1:27" s="3" customFormat="1" hidden="1" outlineLevel="1" x14ac:dyDescent="0.25">
      <c r="B9" s="28" t="s">
        <v>13</v>
      </c>
      <c r="C9" s="29" t="s">
        <v>1474</v>
      </c>
      <c r="D9" s="29" t="s">
        <v>1469</v>
      </c>
      <c r="E9" s="29">
        <v>0</v>
      </c>
      <c r="F9" s="29" t="s">
        <v>1470</v>
      </c>
      <c r="G9" s="30"/>
      <c r="J9" s="3" t="s">
        <v>10</v>
      </c>
      <c r="K9" s="3" t="s">
        <v>173</v>
      </c>
      <c r="L9" s="3" t="s">
        <v>9</v>
      </c>
      <c r="M9" s="3" t="s">
        <v>9</v>
      </c>
      <c r="N9" s="3">
        <v>2534</v>
      </c>
    </row>
    <row r="10" spans="1:27" s="3" customFormat="1" hidden="1" outlineLevel="1" x14ac:dyDescent="0.25">
      <c r="B10" s="28" t="s">
        <v>14</v>
      </c>
      <c r="C10" s="29" t="s">
        <v>1475</v>
      </c>
      <c r="D10" s="29" t="s">
        <v>1469</v>
      </c>
      <c r="E10" s="29">
        <v>0</v>
      </c>
      <c r="F10" s="29" t="s">
        <v>1476</v>
      </c>
      <c r="G10" s="30" t="s">
        <v>1477</v>
      </c>
      <c r="J10" s="3" t="s">
        <v>10</v>
      </c>
      <c r="K10" s="3" t="s">
        <v>173</v>
      </c>
      <c r="L10" s="3" t="s">
        <v>9</v>
      </c>
      <c r="M10" s="3" t="s">
        <v>9</v>
      </c>
      <c r="N10" s="3">
        <v>2155</v>
      </c>
    </row>
    <row r="11" spans="1:27" s="4" customFormat="1" hidden="1" outlineLevel="1" x14ac:dyDescent="0.35">
      <c r="A11" s="14"/>
      <c r="B11" s="31" t="s">
        <v>15</v>
      </c>
      <c r="C11" s="84" t="s">
        <v>1478</v>
      </c>
      <c r="D11" s="84" t="s">
        <v>1469</v>
      </c>
      <c r="E11" s="84">
        <v>0</v>
      </c>
      <c r="F11" s="84" t="s">
        <v>1470</v>
      </c>
      <c r="G11" s="85"/>
      <c r="H11" s="14"/>
      <c r="I11" s="14"/>
      <c r="J11" s="14" t="s">
        <v>10</v>
      </c>
      <c r="K11" s="14" t="s">
        <v>173</v>
      </c>
      <c r="L11" s="14" t="s">
        <v>9</v>
      </c>
      <c r="M11" s="14" t="s">
        <v>9</v>
      </c>
      <c r="N11" s="14">
        <v>2430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s="4" customFormat="1" hidden="1" outlineLevel="1" x14ac:dyDescent="0.35">
      <c r="A12" s="14"/>
      <c r="B12" s="31" t="s">
        <v>16</v>
      </c>
      <c r="C12" s="84" t="s">
        <v>1479</v>
      </c>
      <c r="D12" s="84" t="s">
        <v>1469</v>
      </c>
      <c r="E12" s="84" t="s">
        <v>1480</v>
      </c>
      <c r="F12" s="84" t="s">
        <v>1481</v>
      </c>
      <c r="G12" s="85" t="s">
        <v>1482</v>
      </c>
      <c r="H12" s="14"/>
      <c r="I12" s="14"/>
      <c r="J12" s="14" t="s">
        <v>10</v>
      </c>
      <c r="K12" s="14" t="s">
        <v>173</v>
      </c>
      <c r="L12" s="14" t="s">
        <v>9</v>
      </c>
      <c r="M12" s="14" t="s">
        <v>9</v>
      </c>
      <c r="N12" s="14">
        <v>1211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s="4" customFormat="1" hidden="1" outlineLevel="1" x14ac:dyDescent="0.35">
      <c r="A13" s="14"/>
      <c r="B13" s="31" t="s">
        <v>17</v>
      </c>
      <c r="C13" s="84" t="s">
        <v>1483</v>
      </c>
      <c r="D13" s="84" t="s">
        <v>1469</v>
      </c>
      <c r="E13" s="84">
        <v>0</v>
      </c>
      <c r="F13" s="84" t="s">
        <v>1470</v>
      </c>
      <c r="G13" s="85" t="s">
        <v>1484</v>
      </c>
      <c r="H13" s="14"/>
      <c r="I13" s="14"/>
      <c r="J13" s="14" t="s">
        <v>10</v>
      </c>
      <c r="K13" s="14" t="s">
        <v>173</v>
      </c>
      <c r="L13" s="14" t="s">
        <v>9</v>
      </c>
      <c r="M13" s="14" t="s">
        <v>9</v>
      </c>
      <c r="N13" s="14">
        <v>1097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s="4" customFormat="1" hidden="1" outlineLevel="1" x14ac:dyDescent="0.35">
      <c r="A14" s="14"/>
      <c r="B14" s="60"/>
      <c r="C14" s="84"/>
      <c r="D14" s="84"/>
      <c r="E14" s="84"/>
      <c r="F14" s="84"/>
      <c r="G14" s="85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s="4" customFormat="1" ht="16.2" hidden="1" outlineLevel="1" thickBot="1" x14ac:dyDescent="0.4">
      <c r="A15" s="14"/>
      <c r="B15" s="91"/>
      <c r="C15" s="92"/>
      <c r="D15" s="92"/>
      <c r="E15" s="92"/>
      <c r="F15" s="92"/>
      <c r="G15" s="9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s="4" customFormat="1" hidden="1" outlineLevel="1" x14ac:dyDescent="0.35">
      <c r="A16" s="14"/>
      <c r="B16" s="392" t="s">
        <v>18</v>
      </c>
      <c r="C16" s="393"/>
      <c r="D16" s="393"/>
      <c r="E16" s="393"/>
      <c r="F16" s="393"/>
      <c r="G16" s="39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s="4" customFormat="1" hidden="1" outlineLevel="1" x14ac:dyDescent="0.35">
      <c r="A17" s="14"/>
      <c r="B17" s="94" t="s">
        <v>2</v>
      </c>
      <c r="C17" s="95" t="s">
        <v>3</v>
      </c>
      <c r="D17" s="95" t="s">
        <v>4</v>
      </c>
      <c r="E17" s="95" t="s">
        <v>5</v>
      </c>
      <c r="F17" s="95"/>
      <c r="G17" s="96" t="s">
        <v>6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s="3" customFormat="1" hidden="1" outlineLevel="1" x14ac:dyDescent="0.25">
      <c r="B18" s="28" t="s">
        <v>7</v>
      </c>
      <c r="C18" s="29" t="s">
        <v>1468</v>
      </c>
      <c r="D18" s="29" t="s">
        <v>1469</v>
      </c>
      <c r="E18" s="29">
        <v>0</v>
      </c>
      <c r="F18" s="29" t="s">
        <v>1470</v>
      </c>
      <c r="G18" s="30" t="s">
        <v>1471</v>
      </c>
      <c r="J18" s="3" t="s">
        <v>10</v>
      </c>
      <c r="K18" s="3" t="s">
        <v>173</v>
      </c>
      <c r="L18" s="3" t="s">
        <v>9</v>
      </c>
      <c r="M18" s="3" t="s">
        <v>9</v>
      </c>
      <c r="N18" s="3">
        <v>1112</v>
      </c>
    </row>
    <row r="19" spans="1:27" s="3" customFormat="1" hidden="1" outlineLevel="1" x14ac:dyDescent="0.25">
      <c r="B19" s="28" t="s">
        <v>11</v>
      </c>
      <c r="C19" s="29" t="s">
        <v>1472</v>
      </c>
      <c r="D19" s="29" t="s">
        <v>1469</v>
      </c>
      <c r="E19" s="29">
        <v>0</v>
      </c>
      <c r="F19" s="29" t="s">
        <v>1470</v>
      </c>
      <c r="G19" s="30" t="s">
        <v>1473</v>
      </c>
      <c r="J19" s="3" t="s">
        <v>12</v>
      </c>
      <c r="K19" s="3" t="s">
        <v>174</v>
      </c>
      <c r="L19" s="3" t="s">
        <v>175</v>
      </c>
      <c r="M19" s="3" t="s">
        <v>176</v>
      </c>
      <c r="N19" s="3">
        <v>1700</v>
      </c>
    </row>
    <row r="20" spans="1:27" s="3" customFormat="1" hidden="1" outlineLevel="1" x14ac:dyDescent="0.25">
      <c r="B20" s="28" t="s">
        <v>13</v>
      </c>
      <c r="C20" s="29" t="s">
        <v>1474</v>
      </c>
      <c r="D20" s="29" t="s">
        <v>1469</v>
      </c>
      <c r="E20" s="29">
        <v>0</v>
      </c>
      <c r="F20" s="29" t="s">
        <v>1470</v>
      </c>
      <c r="G20" s="30"/>
      <c r="J20" s="3" t="s">
        <v>10</v>
      </c>
      <c r="K20" s="3" t="s">
        <v>173</v>
      </c>
      <c r="L20" s="3" t="s">
        <v>9</v>
      </c>
      <c r="M20" s="3" t="s">
        <v>9</v>
      </c>
      <c r="N20" s="3">
        <v>2534</v>
      </c>
    </row>
    <row r="21" spans="1:27" s="3" customFormat="1" hidden="1" outlineLevel="1" x14ac:dyDescent="0.25">
      <c r="B21" s="28" t="s">
        <v>14</v>
      </c>
      <c r="C21" s="29" t="s">
        <v>1475</v>
      </c>
      <c r="D21" s="29" t="s">
        <v>1469</v>
      </c>
      <c r="E21" s="29">
        <v>0</v>
      </c>
      <c r="F21" s="29" t="s">
        <v>1476</v>
      </c>
      <c r="G21" s="30" t="s">
        <v>1477</v>
      </c>
      <c r="J21" s="3" t="s">
        <v>10</v>
      </c>
      <c r="K21" s="3" t="s">
        <v>173</v>
      </c>
      <c r="L21" s="3" t="s">
        <v>9</v>
      </c>
      <c r="M21" s="3" t="s">
        <v>9</v>
      </c>
      <c r="N21" s="3">
        <v>2155</v>
      </c>
    </row>
    <row r="22" spans="1:27" s="3" customFormat="1" hidden="1" outlineLevel="1" x14ac:dyDescent="0.25">
      <c r="B22" s="28" t="s">
        <v>15</v>
      </c>
      <c r="C22" s="29" t="s">
        <v>1478</v>
      </c>
      <c r="D22" s="29" t="s">
        <v>1469</v>
      </c>
      <c r="E22" s="29">
        <v>0</v>
      </c>
      <c r="F22" s="29" t="s">
        <v>1470</v>
      </c>
      <c r="G22" s="30"/>
      <c r="J22" s="3" t="s">
        <v>10</v>
      </c>
      <c r="K22" s="3" t="s">
        <v>173</v>
      </c>
      <c r="L22" s="3" t="s">
        <v>9</v>
      </c>
      <c r="M22" s="3" t="s">
        <v>9</v>
      </c>
      <c r="N22" s="3">
        <v>2430</v>
      </c>
    </row>
    <row r="23" spans="1:27" s="3" customFormat="1" hidden="1" outlineLevel="1" x14ac:dyDescent="0.25">
      <c r="B23" s="28" t="s">
        <v>19</v>
      </c>
      <c r="C23" s="29" t="s">
        <v>1485</v>
      </c>
      <c r="D23" s="29" t="s">
        <v>1486</v>
      </c>
      <c r="E23" s="29">
        <v>0</v>
      </c>
      <c r="F23" s="29"/>
      <c r="G23" s="30"/>
      <c r="J23" s="3" t="s">
        <v>20</v>
      </c>
      <c r="K23" s="3" t="s">
        <v>445</v>
      </c>
      <c r="L23" s="3" t="s">
        <v>446</v>
      </c>
      <c r="M23" s="3" t="s">
        <v>446</v>
      </c>
      <c r="N23" s="3">
        <v>1203</v>
      </c>
    </row>
    <row r="24" spans="1:27" s="3" customFormat="1" hidden="1" outlineLevel="1" x14ac:dyDescent="0.25">
      <c r="B24" s="28" t="s">
        <v>21</v>
      </c>
      <c r="C24" s="29" t="s">
        <v>1487</v>
      </c>
      <c r="D24" s="29" t="s">
        <v>1486</v>
      </c>
      <c r="E24" s="29">
        <v>0</v>
      </c>
      <c r="F24" s="29"/>
      <c r="G24" s="30"/>
      <c r="J24" s="3" t="s">
        <v>20</v>
      </c>
      <c r="K24" s="3" t="s">
        <v>445</v>
      </c>
      <c r="L24" s="3" t="s">
        <v>446</v>
      </c>
      <c r="M24" s="3" t="s">
        <v>446</v>
      </c>
      <c r="N24" s="3">
        <v>1689</v>
      </c>
    </row>
    <row r="25" spans="1:27" s="3" customFormat="1" hidden="1" outlineLevel="1" x14ac:dyDescent="0.25">
      <c r="B25" s="28" t="s">
        <v>22</v>
      </c>
      <c r="C25" s="29" t="s">
        <v>1488</v>
      </c>
      <c r="D25" s="29" t="s">
        <v>1489</v>
      </c>
      <c r="E25" s="29">
        <v>0</v>
      </c>
      <c r="F25" s="29" t="s">
        <v>1470</v>
      </c>
      <c r="G25" s="30" t="s">
        <v>1490</v>
      </c>
      <c r="J25" s="3" t="s">
        <v>20</v>
      </c>
      <c r="K25" s="3" t="s">
        <v>445</v>
      </c>
      <c r="L25" s="3" t="s">
        <v>446</v>
      </c>
      <c r="M25" s="3" t="s">
        <v>446</v>
      </c>
      <c r="N25" s="3">
        <v>2052</v>
      </c>
    </row>
    <row r="26" spans="1:27" s="3" customFormat="1" hidden="1" outlineLevel="1" x14ac:dyDescent="0.25">
      <c r="B26" s="28" t="s">
        <v>24</v>
      </c>
      <c r="C26" s="29" t="s">
        <v>1491</v>
      </c>
      <c r="D26" s="29" t="s">
        <v>1489</v>
      </c>
      <c r="E26" s="29">
        <v>0</v>
      </c>
      <c r="F26" s="29" t="s">
        <v>1470</v>
      </c>
      <c r="G26" s="30"/>
      <c r="J26" s="3" t="s">
        <v>20</v>
      </c>
      <c r="K26" s="3" t="s">
        <v>445</v>
      </c>
      <c r="L26" s="3" t="s">
        <v>446</v>
      </c>
      <c r="M26" s="3" t="s">
        <v>446</v>
      </c>
      <c r="N26" s="3">
        <v>2153</v>
      </c>
    </row>
    <row r="27" spans="1:27" s="3" customFormat="1" hidden="1" outlineLevel="1" x14ac:dyDescent="0.25">
      <c r="B27" s="28" t="s">
        <v>25</v>
      </c>
      <c r="C27" s="29" t="s">
        <v>1492</v>
      </c>
      <c r="D27" s="29" t="s">
        <v>1469</v>
      </c>
      <c r="E27" s="29">
        <v>0</v>
      </c>
      <c r="F27" s="29" t="s">
        <v>1470</v>
      </c>
      <c r="G27" s="30" t="s">
        <v>1484</v>
      </c>
      <c r="J27" s="3" t="s">
        <v>10</v>
      </c>
      <c r="K27" s="3" t="s">
        <v>173</v>
      </c>
      <c r="L27" s="3" t="s">
        <v>9</v>
      </c>
      <c r="M27" s="3" t="s">
        <v>9</v>
      </c>
      <c r="N27" s="3">
        <v>1080</v>
      </c>
    </row>
    <row r="28" spans="1:27" s="3" customFormat="1" hidden="1" outlineLevel="1" x14ac:dyDescent="0.25">
      <c r="B28" s="28" t="s">
        <v>26</v>
      </c>
      <c r="C28" s="29" t="s">
        <v>1493</v>
      </c>
      <c r="D28" s="29" t="s">
        <v>1494</v>
      </c>
      <c r="E28" s="29">
        <v>0</v>
      </c>
      <c r="F28" s="29" t="s">
        <v>1470</v>
      </c>
      <c r="G28" s="30"/>
      <c r="J28" s="3" t="s">
        <v>20</v>
      </c>
      <c r="K28" s="3" t="s">
        <v>445</v>
      </c>
      <c r="L28" s="3" t="s">
        <v>446</v>
      </c>
      <c r="M28" s="3" t="s">
        <v>446</v>
      </c>
      <c r="N28" s="3">
        <v>2183</v>
      </c>
    </row>
    <row r="29" spans="1:27" s="4" customFormat="1" ht="17.399999999999999" hidden="1" customHeight="1" outlineLevel="1" x14ac:dyDescent="0.35">
      <c r="A29" s="5"/>
      <c r="B29" s="41" t="s">
        <v>27</v>
      </c>
      <c r="C29" s="42" t="s">
        <v>1495</v>
      </c>
      <c r="D29" s="42" t="s">
        <v>1489</v>
      </c>
      <c r="E29" s="42">
        <v>0</v>
      </c>
      <c r="F29" s="42" t="s">
        <v>1470</v>
      </c>
      <c r="G29" s="43"/>
      <c r="H29" s="5"/>
      <c r="I29" s="5"/>
      <c r="J29" s="5" t="s">
        <v>20</v>
      </c>
      <c r="K29" s="5" t="s">
        <v>445</v>
      </c>
      <c r="L29" s="5" t="s">
        <v>446</v>
      </c>
      <c r="M29" s="5" t="s">
        <v>446</v>
      </c>
    </row>
    <row r="30" spans="1:27" s="4" customFormat="1" ht="16.2" hidden="1" outlineLevel="1" thickBot="1" x14ac:dyDescent="0.4">
      <c r="A30" s="14"/>
      <c r="B30" s="67"/>
      <c r="C30" s="84"/>
      <c r="D30" s="84"/>
      <c r="E30" s="84"/>
      <c r="F30" s="84"/>
      <c r="G30" s="85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s="4" customFormat="1" hidden="1" outlineLevel="1" x14ac:dyDescent="0.35">
      <c r="A31" s="14"/>
      <c r="B31" s="389" t="s">
        <v>28</v>
      </c>
      <c r="C31" s="390"/>
      <c r="D31" s="390"/>
      <c r="E31" s="390"/>
      <c r="F31" s="390"/>
      <c r="G31" s="391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s="4" customFormat="1" hidden="1" outlineLevel="1" x14ac:dyDescent="0.35">
      <c r="A32" s="14"/>
      <c r="B32" s="32" t="s">
        <v>2</v>
      </c>
      <c r="C32" s="33" t="s">
        <v>3</v>
      </c>
      <c r="D32" s="33" t="s">
        <v>4</v>
      </c>
      <c r="E32" s="33"/>
      <c r="F32" s="33"/>
      <c r="G32" s="34" t="s">
        <v>6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s="4" customFormat="1" hidden="1" outlineLevel="1" x14ac:dyDescent="0.35">
      <c r="A33" s="14"/>
      <c r="B33" s="57"/>
      <c r="C33" s="58"/>
      <c r="D33" s="58"/>
      <c r="E33" s="58"/>
      <c r="F33" s="58"/>
      <c r="G33" s="59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s="4" customFormat="1" ht="16.2" hidden="1" outlineLevel="1" thickBot="1" x14ac:dyDescent="0.4">
      <c r="A34" s="14"/>
      <c r="B34" s="100"/>
      <c r="C34" s="101"/>
      <c r="D34" s="101"/>
      <c r="E34" s="101"/>
      <c r="F34" s="101"/>
      <c r="G34" s="102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s="4" customFormat="1" hidden="1" outlineLevel="1" x14ac:dyDescent="0.35">
      <c r="A35" s="14"/>
      <c r="B35" s="392" t="s">
        <v>29</v>
      </c>
      <c r="C35" s="393"/>
      <c r="D35" s="393"/>
      <c r="E35" s="393"/>
      <c r="F35" s="393"/>
      <c r="G35" s="39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s="4" customFormat="1" hidden="1" outlineLevel="1" x14ac:dyDescent="0.35">
      <c r="A36" s="14"/>
      <c r="B36" s="64"/>
      <c r="C36" s="65"/>
      <c r="D36" s="65"/>
      <c r="E36" s="65"/>
      <c r="F36" s="65"/>
      <c r="G36" s="66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s="3" customFormat="1" hidden="1" outlineLevel="1" x14ac:dyDescent="0.25">
      <c r="B37" s="28"/>
      <c r="C37" s="29"/>
      <c r="D37" s="29"/>
      <c r="E37" s="29"/>
      <c r="F37" s="29"/>
      <c r="G37" s="30"/>
    </row>
    <row r="38" spans="1:27" s="3" customFormat="1" hidden="1" outlineLevel="1" x14ac:dyDescent="0.25">
      <c r="B38" s="28"/>
      <c r="C38" s="29"/>
      <c r="D38" s="29"/>
      <c r="E38" s="29"/>
      <c r="F38" s="29"/>
      <c r="G38" s="30"/>
    </row>
    <row r="39" spans="1:27" s="3" customFormat="1" hidden="1" outlineLevel="1" x14ac:dyDescent="0.25">
      <c r="B39" s="28" t="s">
        <v>533</v>
      </c>
      <c r="C39" s="29"/>
      <c r="D39" s="29"/>
      <c r="E39" s="29"/>
      <c r="F39" s="29"/>
      <c r="G39" s="375" t="s">
        <v>2409</v>
      </c>
    </row>
    <row r="40" spans="1:27" s="3" customFormat="1" ht="16.2" hidden="1" outlineLevel="1" thickBot="1" x14ac:dyDescent="0.3">
      <c r="B40" s="163"/>
      <c r="C40" s="164"/>
      <c r="D40" s="164"/>
      <c r="E40" s="164"/>
      <c r="F40" s="164"/>
      <c r="G40" s="165"/>
    </row>
    <row r="41" spans="1:27" ht="16.2" hidden="1" outlineLevel="1" thickBot="1" x14ac:dyDescent="0.3"/>
    <row r="42" spans="1:27" s="3" customFormat="1" ht="17.399999999999999" customHeight="1" collapsed="1" thickBot="1" x14ac:dyDescent="0.3">
      <c r="A42" s="5"/>
      <c r="B42" s="15" t="s">
        <v>1279</v>
      </c>
      <c r="C42" s="16" t="s">
        <v>1897</v>
      </c>
      <c r="D42" s="17" t="s">
        <v>1281</v>
      </c>
      <c r="E42" s="16" t="s">
        <v>534</v>
      </c>
      <c r="F42" s="17" t="s">
        <v>1282</v>
      </c>
      <c r="G42" s="18" t="s">
        <v>1898</v>
      </c>
    </row>
    <row r="43" spans="1:27" s="3" customFormat="1" ht="17.399999999999999" hidden="1" customHeight="1" outlineLevel="1" x14ac:dyDescent="0.25">
      <c r="A43" s="5"/>
      <c r="B43" s="19" t="s">
        <v>1284</v>
      </c>
      <c r="C43" s="20" t="s">
        <v>1285</v>
      </c>
      <c r="D43" s="21" t="s">
        <v>1286</v>
      </c>
      <c r="E43" s="20" t="s">
        <v>1899</v>
      </c>
      <c r="F43" s="21" t="s">
        <v>1288</v>
      </c>
      <c r="G43" s="22" t="s">
        <v>1298</v>
      </c>
    </row>
    <row r="44" spans="1:27" s="3" customFormat="1" ht="17.399999999999999" hidden="1" customHeight="1" outlineLevel="1" thickBot="1" x14ac:dyDescent="0.3">
      <c r="A44" s="5"/>
      <c r="B44" s="19" t="s">
        <v>1290</v>
      </c>
      <c r="C44" s="23" t="s">
        <v>1291</v>
      </c>
      <c r="D44" s="21" t="s">
        <v>1292</v>
      </c>
      <c r="E44" s="23">
        <v>5</v>
      </c>
      <c r="F44" s="21" t="s">
        <v>1293</v>
      </c>
      <c r="G44" s="24" t="s">
        <v>1294</v>
      </c>
    </row>
    <row r="45" spans="1:27" s="3" customFormat="1" ht="17.399999999999999" hidden="1" customHeight="1" outlineLevel="1" x14ac:dyDescent="0.25">
      <c r="A45" s="5"/>
      <c r="B45" s="395" t="s">
        <v>1</v>
      </c>
      <c r="C45" s="396"/>
      <c r="D45" s="396"/>
      <c r="E45" s="396"/>
      <c r="F45" s="396"/>
      <c r="G45" s="397"/>
    </row>
    <row r="46" spans="1:27" s="3" customFormat="1" ht="17.399999999999999" hidden="1" customHeight="1" outlineLevel="1" x14ac:dyDescent="0.25">
      <c r="A46" s="5"/>
      <c r="B46" s="25" t="s">
        <v>2</v>
      </c>
      <c r="C46" s="26" t="s">
        <v>3</v>
      </c>
      <c r="D46" s="26" t="s">
        <v>4</v>
      </c>
      <c r="E46" s="26" t="s">
        <v>5</v>
      </c>
      <c r="F46" s="26"/>
      <c r="G46" s="27" t="s">
        <v>6</v>
      </c>
    </row>
    <row r="47" spans="1:27" s="4" customFormat="1" ht="17.399999999999999" hidden="1" customHeight="1" outlineLevel="1" x14ac:dyDescent="0.35">
      <c r="A47" s="5"/>
      <c r="B47" s="57" t="s">
        <v>7</v>
      </c>
      <c r="C47" s="58" t="s">
        <v>1468</v>
      </c>
      <c r="D47" s="58" t="s">
        <v>1469</v>
      </c>
      <c r="E47" s="58">
        <v>0</v>
      </c>
      <c r="F47" s="58" t="s">
        <v>1470</v>
      </c>
      <c r="G47" s="59" t="s">
        <v>1471</v>
      </c>
      <c r="J47" s="4" t="s">
        <v>10</v>
      </c>
      <c r="K47" s="4" t="s">
        <v>173</v>
      </c>
      <c r="L47" s="4" t="s">
        <v>9</v>
      </c>
      <c r="M47" s="4" t="s">
        <v>9</v>
      </c>
      <c r="N47" s="4">
        <v>1112</v>
      </c>
    </row>
    <row r="48" spans="1:27" s="4" customFormat="1" ht="17.399999999999999" hidden="1" customHeight="1" outlineLevel="1" x14ac:dyDescent="0.35">
      <c r="A48" s="5"/>
      <c r="B48" s="57" t="s">
        <v>11</v>
      </c>
      <c r="C48" s="58" t="s">
        <v>1472</v>
      </c>
      <c r="D48" s="58" t="s">
        <v>1469</v>
      </c>
      <c r="E48" s="58">
        <v>0</v>
      </c>
      <c r="F48" s="58" t="s">
        <v>1470</v>
      </c>
      <c r="G48" s="59" t="s">
        <v>1473</v>
      </c>
      <c r="J48" s="4" t="s">
        <v>12</v>
      </c>
      <c r="K48" s="4" t="s">
        <v>174</v>
      </c>
      <c r="L48" s="4" t="s">
        <v>175</v>
      </c>
      <c r="M48" s="4" t="s">
        <v>176</v>
      </c>
      <c r="N48" s="4">
        <v>1700</v>
      </c>
    </row>
    <row r="49" spans="1:14" s="4" customFormat="1" ht="17.399999999999999" hidden="1" customHeight="1" outlineLevel="1" x14ac:dyDescent="0.35">
      <c r="A49" s="5"/>
      <c r="B49" s="60" t="s">
        <v>13</v>
      </c>
      <c r="C49" s="61" t="s">
        <v>1474</v>
      </c>
      <c r="D49" s="61" t="s">
        <v>1469</v>
      </c>
      <c r="E49" s="61">
        <v>0</v>
      </c>
      <c r="F49" s="61" t="s">
        <v>1470</v>
      </c>
      <c r="G49" s="62"/>
      <c r="H49" s="63"/>
      <c r="J49" s="4" t="s">
        <v>10</v>
      </c>
      <c r="K49" s="4" t="s">
        <v>173</v>
      </c>
      <c r="L49" s="4" t="s">
        <v>9</v>
      </c>
      <c r="M49" s="4" t="s">
        <v>9</v>
      </c>
      <c r="N49" s="4">
        <v>2534</v>
      </c>
    </row>
    <row r="50" spans="1:14" s="4" customFormat="1" ht="17.399999999999999" hidden="1" customHeight="1" outlineLevel="1" x14ac:dyDescent="0.35">
      <c r="A50" s="5"/>
      <c r="B50" s="60" t="s">
        <v>14</v>
      </c>
      <c r="C50" s="61" t="s">
        <v>1475</v>
      </c>
      <c r="D50" s="61" t="s">
        <v>1469</v>
      </c>
      <c r="E50" s="61">
        <v>0</v>
      </c>
      <c r="F50" s="61" t="s">
        <v>1476</v>
      </c>
      <c r="G50" s="62" t="s">
        <v>1477</v>
      </c>
      <c r="H50" s="63"/>
      <c r="J50" s="4" t="s">
        <v>10</v>
      </c>
      <c r="K50" s="4" t="s">
        <v>173</v>
      </c>
      <c r="L50" s="4" t="s">
        <v>9</v>
      </c>
      <c r="M50" s="4" t="s">
        <v>9</v>
      </c>
      <c r="N50" s="4">
        <v>2155</v>
      </c>
    </row>
    <row r="51" spans="1:14" s="4" customFormat="1" ht="17.399999999999999" hidden="1" customHeight="1" outlineLevel="1" x14ac:dyDescent="0.35">
      <c r="A51" s="5"/>
      <c r="B51" s="60" t="s">
        <v>15</v>
      </c>
      <c r="C51" s="61" t="s">
        <v>1478</v>
      </c>
      <c r="D51" s="61" t="s">
        <v>1469</v>
      </c>
      <c r="E51" s="61">
        <v>0</v>
      </c>
      <c r="F51" s="61" t="s">
        <v>1470</v>
      </c>
      <c r="G51" s="62"/>
      <c r="H51" s="63"/>
      <c r="J51" s="4" t="s">
        <v>10</v>
      </c>
      <c r="K51" s="4" t="s">
        <v>173</v>
      </c>
      <c r="L51" s="4" t="s">
        <v>9</v>
      </c>
      <c r="M51" s="4" t="s">
        <v>9</v>
      </c>
      <c r="N51" s="4">
        <v>2430</v>
      </c>
    </row>
    <row r="52" spans="1:14" s="4" customFormat="1" ht="17.399999999999999" hidden="1" customHeight="1" outlineLevel="1" x14ac:dyDescent="0.35">
      <c r="A52" s="5"/>
      <c r="B52" s="64" t="s">
        <v>16</v>
      </c>
      <c r="C52" s="65" t="s">
        <v>1479</v>
      </c>
      <c r="D52" s="65" t="s">
        <v>1469</v>
      </c>
      <c r="E52" s="65" t="s">
        <v>1480</v>
      </c>
      <c r="F52" s="65" t="s">
        <v>1481</v>
      </c>
      <c r="G52" s="66" t="s">
        <v>1482</v>
      </c>
      <c r="H52" s="5"/>
      <c r="I52" s="5"/>
      <c r="J52" s="5" t="s">
        <v>10</v>
      </c>
      <c r="K52" s="5" t="s">
        <v>173</v>
      </c>
      <c r="L52" s="5" t="s">
        <v>9</v>
      </c>
      <c r="M52" s="5" t="s">
        <v>9</v>
      </c>
      <c r="N52" s="4">
        <v>1211</v>
      </c>
    </row>
    <row r="53" spans="1:14" s="4" customFormat="1" ht="17.399999999999999" hidden="1" customHeight="1" outlineLevel="1" thickBot="1" x14ac:dyDescent="0.4">
      <c r="A53" s="5"/>
      <c r="B53" s="64" t="s">
        <v>17</v>
      </c>
      <c r="C53" s="65" t="s">
        <v>1483</v>
      </c>
      <c r="D53" s="65" t="s">
        <v>1469</v>
      </c>
      <c r="E53" s="65">
        <v>0</v>
      </c>
      <c r="F53" s="65" t="s">
        <v>1470</v>
      </c>
      <c r="G53" s="66" t="s">
        <v>1484</v>
      </c>
      <c r="H53" s="5"/>
      <c r="I53" s="5"/>
      <c r="J53" s="5" t="s">
        <v>10</v>
      </c>
      <c r="K53" s="5" t="s">
        <v>173</v>
      </c>
      <c r="L53" s="5" t="s">
        <v>9</v>
      </c>
      <c r="M53" s="5" t="s">
        <v>9</v>
      </c>
      <c r="N53" s="4">
        <v>1097</v>
      </c>
    </row>
    <row r="54" spans="1:14" s="3" customFormat="1" ht="17.399999999999999" hidden="1" customHeight="1" outlineLevel="1" x14ac:dyDescent="0.25">
      <c r="A54" s="5"/>
      <c r="B54" s="395" t="s">
        <v>18</v>
      </c>
      <c r="C54" s="396"/>
      <c r="D54" s="396"/>
      <c r="E54" s="396"/>
      <c r="F54" s="396"/>
      <c r="G54" s="397"/>
    </row>
    <row r="55" spans="1:14" s="3" customFormat="1" ht="17.399999999999999" hidden="1" customHeight="1" outlineLevel="1" x14ac:dyDescent="0.25">
      <c r="A55" s="5"/>
      <c r="B55" s="25" t="s">
        <v>2</v>
      </c>
      <c r="C55" s="26" t="s">
        <v>3</v>
      </c>
      <c r="D55" s="26" t="s">
        <v>4</v>
      </c>
      <c r="E55" s="26" t="s">
        <v>5</v>
      </c>
      <c r="F55" s="26"/>
      <c r="G55" s="27" t="s">
        <v>6</v>
      </c>
    </row>
    <row r="56" spans="1:14" s="4" customFormat="1" ht="17.399999999999999" hidden="1" customHeight="1" outlineLevel="1" x14ac:dyDescent="0.35">
      <c r="A56" s="5"/>
      <c r="B56" s="67" t="s">
        <v>16</v>
      </c>
      <c r="C56" s="65" t="s">
        <v>1479</v>
      </c>
      <c r="D56" s="65" t="s">
        <v>1469</v>
      </c>
      <c r="E56" s="65" t="s">
        <v>1480</v>
      </c>
      <c r="F56" s="65" t="s">
        <v>1481</v>
      </c>
      <c r="G56" s="66" t="s">
        <v>1482</v>
      </c>
      <c r="H56" s="5"/>
      <c r="I56" s="5"/>
      <c r="J56" s="5"/>
      <c r="K56" s="5"/>
      <c r="L56" s="5"/>
      <c r="M56" s="5"/>
    </row>
    <row r="57" spans="1:14" s="3" customFormat="1" hidden="1" outlineLevel="1" x14ac:dyDescent="0.25">
      <c r="B57" s="68" t="s">
        <v>7</v>
      </c>
      <c r="C57" s="69" t="s">
        <v>1468</v>
      </c>
      <c r="D57" s="69" t="s">
        <v>1469</v>
      </c>
      <c r="E57" s="69">
        <v>0</v>
      </c>
      <c r="F57" s="69" t="s">
        <v>1470</v>
      </c>
      <c r="G57" s="70" t="s">
        <v>1471</v>
      </c>
      <c r="J57" s="3" t="s">
        <v>10</v>
      </c>
      <c r="K57" s="3" t="s">
        <v>173</v>
      </c>
      <c r="L57" s="3" t="s">
        <v>9</v>
      </c>
      <c r="M57" s="3" t="s">
        <v>9</v>
      </c>
      <c r="N57" s="3">
        <v>1112</v>
      </c>
    </row>
    <row r="58" spans="1:14" s="3" customFormat="1" hidden="1" outlineLevel="1" x14ac:dyDescent="0.25">
      <c r="B58" s="68" t="s">
        <v>11</v>
      </c>
      <c r="C58" s="69" t="s">
        <v>1472</v>
      </c>
      <c r="D58" s="69" t="s">
        <v>1469</v>
      </c>
      <c r="E58" s="69">
        <v>0</v>
      </c>
      <c r="F58" s="69" t="s">
        <v>1470</v>
      </c>
      <c r="G58" s="70" t="s">
        <v>1473</v>
      </c>
      <c r="J58" s="3" t="s">
        <v>12</v>
      </c>
      <c r="K58" s="3" t="s">
        <v>174</v>
      </c>
      <c r="L58" s="3" t="s">
        <v>175</v>
      </c>
      <c r="M58" s="3" t="s">
        <v>176</v>
      </c>
      <c r="N58" s="3">
        <v>1700</v>
      </c>
    </row>
    <row r="59" spans="1:14" s="3" customFormat="1" hidden="1" outlineLevel="1" x14ac:dyDescent="0.25">
      <c r="B59" s="68" t="s">
        <v>13</v>
      </c>
      <c r="C59" s="69" t="s">
        <v>1474</v>
      </c>
      <c r="D59" s="69" t="s">
        <v>1469</v>
      </c>
      <c r="E59" s="69">
        <v>0</v>
      </c>
      <c r="F59" s="69" t="s">
        <v>1470</v>
      </c>
      <c r="G59" s="70"/>
      <c r="J59" s="3" t="s">
        <v>10</v>
      </c>
      <c r="K59" s="3" t="s">
        <v>173</v>
      </c>
      <c r="L59" s="3" t="s">
        <v>9</v>
      </c>
      <c r="M59" s="3" t="s">
        <v>9</v>
      </c>
      <c r="N59" s="3">
        <v>2534</v>
      </c>
    </row>
    <row r="60" spans="1:14" s="3" customFormat="1" hidden="1" outlineLevel="1" x14ac:dyDescent="0.25">
      <c r="B60" s="68" t="s">
        <v>14</v>
      </c>
      <c r="C60" s="69" t="s">
        <v>1475</v>
      </c>
      <c r="D60" s="69" t="s">
        <v>1469</v>
      </c>
      <c r="E60" s="69">
        <v>0</v>
      </c>
      <c r="F60" s="69" t="s">
        <v>1476</v>
      </c>
      <c r="G60" s="70" t="s">
        <v>1477</v>
      </c>
      <c r="J60" s="3" t="s">
        <v>10</v>
      </c>
      <c r="K60" s="3" t="s">
        <v>173</v>
      </c>
      <c r="L60" s="3" t="s">
        <v>9</v>
      </c>
      <c r="M60" s="3" t="s">
        <v>9</v>
      </c>
      <c r="N60" s="3">
        <v>2155</v>
      </c>
    </row>
    <row r="61" spans="1:14" s="3" customFormat="1" hidden="1" outlineLevel="1" x14ac:dyDescent="0.25">
      <c r="B61" s="68" t="s">
        <v>15</v>
      </c>
      <c r="C61" s="69" t="s">
        <v>1478</v>
      </c>
      <c r="D61" s="69" t="s">
        <v>1469</v>
      </c>
      <c r="E61" s="69">
        <v>0</v>
      </c>
      <c r="F61" s="69" t="s">
        <v>1470</v>
      </c>
      <c r="G61" s="70"/>
      <c r="J61" s="3" t="s">
        <v>10</v>
      </c>
      <c r="K61" s="3" t="s">
        <v>173</v>
      </c>
      <c r="L61" s="3" t="s">
        <v>9</v>
      </c>
      <c r="M61" s="3" t="s">
        <v>9</v>
      </c>
      <c r="N61" s="3">
        <v>2430</v>
      </c>
    </row>
    <row r="62" spans="1:14" s="3" customFormat="1" hidden="1" outlineLevel="1" x14ac:dyDescent="0.25">
      <c r="B62" s="71" t="s">
        <v>32</v>
      </c>
      <c r="C62" s="72" t="s">
        <v>1496</v>
      </c>
      <c r="D62" s="72" t="s">
        <v>1486</v>
      </c>
      <c r="E62" s="72">
        <v>0</v>
      </c>
      <c r="F62" s="72"/>
      <c r="G62" s="73"/>
      <c r="J62" s="3" t="s">
        <v>20</v>
      </c>
      <c r="K62" s="3" t="s">
        <v>445</v>
      </c>
      <c r="L62" s="3" t="s">
        <v>446</v>
      </c>
      <c r="M62" s="3" t="s">
        <v>446</v>
      </c>
      <c r="N62" s="3">
        <v>2055</v>
      </c>
    </row>
    <row r="63" spans="1:14" s="3" customFormat="1" hidden="1" outlineLevel="1" x14ac:dyDescent="0.25">
      <c r="B63" s="71" t="s">
        <v>22</v>
      </c>
      <c r="C63" s="72" t="s">
        <v>1488</v>
      </c>
      <c r="D63" s="72" t="s">
        <v>1489</v>
      </c>
      <c r="E63" s="72">
        <v>0</v>
      </c>
      <c r="F63" s="72" t="s">
        <v>1470</v>
      </c>
      <c r="G63" s="73" t="s">
        <v>1490</v>
      </c>
      <c r="J63" s="3" t="s">
        <v>20</v>
      </c>
      <c r="K63" s="3" t="s">
        <v>445</v>
      </c>
      <c r="L63" s="3" t="s">
        <v>446</v>
      </c>
      <c r="M63" s="3" t="s">
        <v>446</v>
      </c>
      <c r="N63" s="3">
        <v>2052</v>
      </c>
    </row>
    <row r="64" spans="1:14" s="3" customFormat="1" hidden="1" outlineLevel="1" x14ac:dyDescent="0.25">
      <c r="B64" s="28" t="s">
        <v>26</v>
      </c>
      <c r="C64" s="29" t="s">
        <v>1493</v>
      </c>
      <c r="D64" s="29" t="s">
        <v>1494</v>
      </c>
      <c r="E64" s="29">
        <v>0</v>
      </c>
      <c r="F64" s="29" t="s">
        <v>1470</v>
      </c>
      <c r="G64" s="30"/>
      <c r="J64" s="3" t="s">
        <v>20</v>
      </c>
      <c r="K64" s="3" t="s">
        <v>445</v>
      </c>
      <c r="L64" s="3" t="s">
        <v>446</v>
      </c>
      <c r="M64" s="3" t="s">
        <v>446</v>
      </c>
      <c r="N64" s="3">
        <v>2183</v>
      </c>
    </row>
    <row r="65" spans="1:13" s="4" customFormat="1" ht="17.399999999999999" hidden="1" customHeight="1" outlineLevel="1" x14ac:dyDescent="0.35">
      <c r="A65" s="5"/>
      <c r="B65" s="74" t="s">
        <v>27</v>
      </c>
      <c r="C65" s="75" t="s">
        <v>1495</v>
      </c>
      <c r="D65" s="75" t="s">
        <v>1489</v>
      </c>
      <c r="E65" s="75">
        <v>0</v>
      </c>
      <c r="F65" s="75" t="s">
        <v>1470</v>
      </c>
      <c r="G65" s="76"/>
      <c r="H65" s="5"/>
      <c r="I65" s="5"/>
      <c r="J65" s="5" t="s">
        <v>20</v>
      </c>
      <c r="K65" s="5" t="s">
        <v>445</v>
      </c>
      <c r="L65" s="5" t="s">
        <v>446</v>
      </c>
      <c r="M65" s="5" t="s">
        <v>446</v>
      </c>
    </row>
    <row r="66" spans="1:13" s="3" customFormat="1" hidden="1" outlineLevel="1" x14ac:dyDescent="0.25">
      <c r="A66" s="77"/>
      <c r="B66" s="78" t="s">
        <v>33</v>
      </c>
      <c r="C66" s="79" t="s">
        <v>1497</v>
      </c>
      <c r="D66" s="79" t="s">
        <v>1486</v>
      </c>
      <c r="E66" s="79">
        <v>0</v>
      </c>
      <c r="F66" s="79"/>
      <c r="G66" s="80"/>
      <c r="H66" s="3" t="str">
        <f t="shared" ref="H66:H92" si="0">"TRUNCATE TABLE "&amp;C66&amp;";#"&amp;E66</f>
        <v>TRUNCATE TABLE total_long_curr_qty;#0</v>
      </c>
    </row>
    <row r="67" spans="1:13" s="3" customFormat="1" ht="16.5" hidden="1" customHeight="1" outlineLevel="1" x14ac:dyDescent="0.25">
      <c r="A67" s="77"/>
      <c r="B67" s="78" t="s">
        <v>34</v>
      </c>
      <c r="C67" s="79" t="s">
        <v>1498</v>
      </c>
      <c r="D67" s="79" t="s">
        <v>1486</v>
      </c>
      <c r="E67" s="79">
        <v>0</v>
      </c>
      <c r="F67" s="79"/>
      <c r="G67" s="80"/>
      <c r="H67" s="3" t="str">
        <f t="shared" si="0"/>
        <v>TRUNCATE TABLE total_short_curr_qty;#0</v>
      </c>
    </row>
    <row r="68" spans="1:13" s="3" customFormat="1" hidden="1" outlineLevel="1" x14ac:dyDescent="0.25">
      <c r="A68" s="77"/>
      <c r="B68" s="78" t="s">
        <v>35</v>
      </c>
      <c r="C68" s="79" t="s">
        <v>1499</v>
      </c>
      <c r="D68" s="79" t="s">
        <v>1489</v>
      </c>
      <c r="E68" s="79">
        <v>0</v>
      </c>
      <c r="F68" s="79"/>
      <c r="G68" s="80"/>
      <c r="H68" s="3" t="str">
        <f t="shared" si="0"/>
        <v>TRUNCATE TABLE total_long_open_posi_value;#0</v>
      </c>
    </row>
    <row r="69" spans="1:13" s="3" customFormat="1" hidden="1" outlineLevel="1" x14ac:dyDescent="0.25">
      <c r="A69" s="77"/>
      <c r="B69" s="78" t="s">
        <v>36</v>
      </c>
      <c r="C69" s="79" t="s">
        <v>1500</v>
      </c>
      <c r="D69" s="79" t="s">
        <v>1489</v>
      </c>
      <c r="E69" s="79">
        <v>0</v>
      </c>
      <c r="F69" s="79"/>
      <c r="G69" s="80"/>
      <c r="H69" s="3" t="str">
        <f t="shared" si="0"/>
        <v>TRUNCATE TABLE total_short_open_posi_value;#0</v>
      </c>
    </row>
    <row r="70" spans="1:13" s="3" customFormat="1" hidden="1" outlineLevel="1" x14ac:dyDescent="0.25">
      <c r="A70" s="77"/>
      <c r="B70" s="78" t="s">
        <v>37</v>
      </c>
      <c r="C70" s="79" t="s">
        <v>1501</v>
      </c>
      <c r="D70" s="79" t="s">
        <v>1489</v>
      </c>
      <c r="E70" s="79">
        <v>0</v>
      </c>
      <c r="F70" s="79"/>
      <c r="G70" s="80"/>
      <c r="H70" s="3" t="str">
        <f t="shared" si="0"/>
        <v>TRUNCATE TABLE total_long_open_posi_fee;#0</v>
      </c>
    </row>
    <row r="71" spans="1:13" s="3" customFormat="1" hidden="1" outlineLevel="1" x14ac:dyDescent="0.25">
      <c r="A71" s="77"/>
      <c r="B71" s="78" t="s">
        <v>38</v>
      </c>
      <c r="C71" s="79" t="s">
        <v>1502</v>
      </c>
      <c r="D71" s="79" t="s">
        <v>1489</v>
      </c>
      <c r="E71" s="79">
        <v>0</v>
      </c>
      <c r="F71" s="79"/>
      <c r="G71" s="80"/>
      <c r="H71" s="3" t="str">
        <f t="shared" si="0"/>
        <v>TRUNCATE TABLE total_short_open_posi_fee;#0</v>
      </c>
    </row>
    <row r="72" spans="1:13" s="3" customFormat="1" hidden="1" outlineLevel="1" x14ac:dyDescent="0.25">
      <c r="A72" s="77"/>
      <c r="B72" s="78" t="s">
        <v>39</v>
      </c>
      <c r="C72" s="79" t="s">
        <v>1503</v>
      </c>
      <c r="D72" s="79" t="s">
        <v>1489</v>
      </c>
      <c r="E72" s="79">
        <v>0</v>
      </c>
      <c r="F72" s="79"/>
      <c r="G72" s="80"/>
      <c r="H72" s="3" t="str">
        <f t="shared" si="0"/>
        <v>TRUNCATE TABLE total_long_close_posi_value;#0</v>
      </c>
    </row>
    <row r="73" spans="1:13" s="3" customFormat="1" hidden="1" outlineLevel="1" x14ac:dyDescent="0.25">
      <c r="A73" s="77"/>
      <c r="B73" s="78" t="s">
        <v>40</v>
      </c>
      <c r="C73" s="79" t="s">
        <v>1504</v>
      </c>
      <c r="D73" s="79" t="s">
        <v>1489</v>
      </c>
      <c r="E73" s="79">
        <v>0</v>
      </c>
      <c r="F73" s="79"/>
      <c r="G73" s="80"/>
      <c r="H73" s="3" t="str">
        <f t="shared" si="0"/>
        <v>TRUNCATE TABLE total_short_close_posi_value;#0</v>
      </c>
    </row>
    <row r="74" spans="1:13" s="3" customFormat="1" hidden="1" outlineLevel="1" x14ac:dyDescent="0.25">
      <c r="A74" s="77"/>
      <c r="B74" s="78" t="s">
        <v>41</v>
      </c>
      <c r="C74" s="79" t="s">
        <v>1505</v>
      </c>
      <c r="D74" s="79" t="s">
        <v>1486</v>
      </c>
      <c r="E74" s="79">
        <v>0</v>
      </c>
      <c r="F74" s="79"/>
      <c r="G74" s="80"/>
      <c r="H74" s="3" t="str">
        <f t="shared" si="0"/>
        <v>TRUNCATE TABLE total_long_close_posi_qty;#0</v>
      </c>
    </row>
    <row r="75" spans="1:13" s="3" customFormat="1" hidden="1" outlineLevel="1" x14ac:dyDescent="0.25">
      <c r="A75" s="77"/>
      <c r="B75" s="78" t="s">
        <v>42</v>
      </c>
      <c r="C75" s="79" t="s">
        <v>1506</v>
      </c>
      <c r="D75" s="79" t="s">
        <v>1486</v>
      </c>
      <c r="E75" s="79">
        <v>0</v>
      </c>
      <c r="F75" s="79"/>
      <c r="G75" s="80"/>
      <c r="H75" s="3" t="str">
        <f t="shared" si="0"/>
        <v>TRUNCATE TABLE total_short_close_posi_qty;#0</v>
      </c>
    </row>
    <row r="76" spans="1:13" s="3" customFormat="1" hidden="1" outlineLevel="1" x14ac:dyDescent="0.25">
      <c r="A76" s="77"/>
      <c r="B76" s="78" t="s">
        <v>43</v>
      </c>
      <c r="C76" s="79" t="s">
        <v>1507</v>
      </c>
      <c r="D76" s="79" t="s">
        <v>1489</v>
      </c>
      <c r="E76" s="79">
        <v>0</v>
      </c>
      <c r="F76" s="79"/>
      <c r="G76" s="80"/>
      <c r="H76" s="3" t="str">
        <f t="shared" si="0"/>
        <v>TRUNCATE TABLE total_long_close_posi_fee;#0</v>
      </c>
    </row>
    <row r="77" spans="1:13" s="3" customFormat="1" hidden="1" outlineLevel="1" x14ac:dyDescent="0.25">
      <c r="A77" s="77"/>
      <c r="B77" s="78" t="s">
        <v>44</v>
      </c>
      <c r="C77" s="79" t="s">
        <v>1508</v>
      </c>
      <c r="D77" s="79" t="s">
        <v>1489</v>
      </c>
      <c r="E77" s="79">
        <v>0</v>
      </c>
      <c r="F77" s="79"/>
      <c r="G77" s="80"/>
      <c r="H77" s="3" t="str">
        <f t="shared" si="0"/>
        <v>TRUNCATE TABLE total_short_close_posi_fee;#0</v>
      </c>
    </row>
    <row r="78" spans="1:13" s="3" customFormat="1" hidden="1" outlineLevel="1" x14ac:dyDescent="0.25">
      <c r="A78" s="77"/>
      <c r="B78" s="78" t="s">
        <v>45</v>
      </c>
      <c r="C78" s="79" t="s">
        <v>1509</v>
      </c>
      <c r="D78" s="79" t="s">
        <v>1489</v>
      </c>
      <c r="E78" s="79">
        <v>0</v>
      </c>
      <c r="F78" s="79"/>
      <c r="G78" s="80"/>
      <c r="H78" s="3" t="str">
        <f t="shared" si="0"/>
        <v>TRUNCATE TABLE total_realize_pandl;#0</v>
      </c>
    </row>
    <row r="79" spans="1:13" s="3" customFormat="1" hidden="1" outlineLevel="1" x14ac:dyDescent="0.25">
      <c r="A79" s="77"/>
      <c r="B79" s="28" t="s">
        <v>46</v>
      </c>
      <c r="C79" s="79" t="s">
        <v>1510</v>
      </c>
      <c r="D79" s="79" t="s">
        <v>1486</v>
      </c>
      <c r="E79" s="79">
        <v>0</v>
      </c>
      <c r="F79" s="79" t="s">
        <v>1470</v>
      </c>
      <c r="G79" s="80"/>
      <c r="H79" s="3" t="str">
        <f t="shared" si="0"/>
        <v>TRUNCATE TABLE long_curr_qty;#0</v>
      </c>
    </row>
    <row r="80" spans="1:13" s="3" customFormat="1" hidden="1" outlineLevel="1" x14ac:dyDescent="0.25">
      <c r="A80" s="77"/>
      <c r="B80" s="28" t="s">
        <v>47</v>
      </c>
      <c r="C80" s="79" t="s">
        <v>1511</v>
      </c>
      <c r="D80" s="79" t="s">
        <v>1486</v>
      </c>
      <c r="E80" s="79">
        <v>0</v>
      </c>
      <c r="F80" s="79" t="s">
        <v>1470</v>
      </c>
      <c r="G80" s="80"/>
      <c r="H80" s="3" t="str">
        <f t="shared" si="0"/>
        <v>TRUNCATE TABLE short_curr_qty;#0</v>
      </c>
    </row>
    <row r="81" spans="1:8" s="3" customFormat="1" hidden="1" outlineLevel="1" x14ac:dyDescent="0.25">
      <c r="A81" s="77"/>
      <c r="B81" s="28" t="s">
        <v>48</v>
      </c>
      <c r="C81" s="79" t="s">
        <v>1512</v>
      </c>
      <c r="D81" s="79" t="s">
        <v>1489</v>
      </c>
      <c r="E81" s="79">
        <v>0</v>
      </c>
      <c r="F81" s="79"/>
      <c r="G81" s="80"/>
      <c r="H81" s="3" t="str">
        <f t="shared" si="0"/>
        <v>TRUNCATE TABLE long_open_posi_value;#0</v>
      </c>
    </row>
    <row r="82" spans="1:8" s="3" customFormat="1" hidden="1" outlineLevel="1" x14ac:dyDescent="0.25">
      <c r="A82" s="77"/>
      <c r="B82" s="28" t="s">
        <v>49</v>
      </c>
      <c r="C82" s="79" t="s">
        <v>1513</v>
      </c>
      <c r="D82" s="79" t="s">
        <v>1489</v>
      </c>
      <c r="E82" s="79">
        <v>0</v>
      </c>
      <c r="F82" s="79"/>
      <c r="G82" s="80"/>
      <c r="H82" s="3" t="str">
        <f t="shared" si="0"/>
        <v>TRUNCATE TABLE short_open_posi_value;#0</v>
      </c>
    </row>
    <row r="83" spans="1:8" s="3" customFormat="1" hidden="1" outlineLevel="1" x14ac:dyDescent="0.25">
      <c r="A83" s="77"/>
      <c r="B83" s="28" t="s">
        <v>50</v>
      </c>
      <c r="C83" s="79" t="s">
        <v>1514</v>
      </c>
      <c r="D83" s="79" t="s">
        <v>1489</v>
      </c>
      <c r="E83" s="79">
        <v>0</v>
      </c>
      <c r="F83" s="79" t="s">
        <v>1470</v>
      </c>
      <c r="G83" s="80"/>
      <c r="H83" s="3" t="str">
        <f t="shared" si="0"/>
        <v>TRUNCATE TABLE long_open_posi_fee;#0</v>
      </c>
    </row>
    <row r="84" spans="1:8" s="3" customFormat="1" hidden="1" outlineLevel="1" x14ac:dyDescent="0.25">
      <c r="A84" s="77"/>
      <c r="B84" s="28" t="s">
        <v>51</v>
      </c>
      <c r="C84" s="79" t="s">
        <v>1515</v>
      </c>
      <c r="D84" s="79" t="s">
        <v>1489</v>
      </c>
      <c r="E84" s="79">
        <v>0</v>
      </c>
      <c r="F84" s="79" t="s">
        <v>1470</v>
      </c>
      <c r="G84" s="80"/>
      <c r="H84" s="3" t="str">
        <f t="shared" si="0"/>
        <v>TRUNCATE TABLE short_open_posi_fee;#0</v>
      </c>
    </row>
    <row r="85" spans="1:8" s="3" customFormat="1" hidden="1" outlineLevel="1" x14ac:dyDescent="0.25">
      <c r="A85" s="77"/>
      <c r="B85" s="28" t="s">
        <v>52</v>
      </c>
      <c r="C85" s="79" t="s">
        <v>1516</v>
      </c>
      <c r="D85" s="79" t="s">
        <v>1486</v>
      </c>
      <c r="E85" s="79">
        <v>0</v>
      </c>
      <c r="F85" s="79" t="s">
        <v>1470</v>
      </c>
      <c r="G85" s="80"/>
      <c r="H85" s="3" t="str">
        <f t="shared" si="0"/>
        <v>TRUNCATE TABLE long_close_posi_qty;#0</v>
      </c>
    </row>
    <row r="86" spans="1:8" s="3" customFormat="1" hidden="1" outlineLevel="1" x14ac:dyDescent="0.25">
      <c r="A86" s="77"/>
      <c r="B86" s="28" t="s">
        <v>53</v>
      </c>
      <c r="C86" s="79" t="s">
        <v>1517</v>
      </c>
      <c r="D86" s="79" t="s">
        <v>1486</v>
      </c>
      <c r="E86" s="79">
        <v>0</v>
      </c>
      <c r="F86" s="79" t="s">
        <v>1470</v>
      </c>
      <c r="G86" s="80"/>
      <c r="H86" s="3" t="str">
        <f t="shared" si="0"/>
        <v>TRUNCATE TABLE short_close_posi_qty;#0</v>
      </c>
    </row>
    <row r="87" spans="1:8" s="3" customFormat="1" hidden="1" outlineLevel="1" x14ac:dyDescent="0.25">
      <c r="A87" s="77"/>
      <c r="B87" s="28" t="s">
        <v>54</v>
      </c>
      <c r="C87" s="79" t="s">
        <v>1518</v>
      </c>
      <c r="D87" s="79" t="s">
        <v>1489</v>
      </c>
      <c r="E87" s="79">
        <v>0</v>
      </c>
      <c r="F87" s="79"/>
      <c r="G87" s="80"/>
      <c r="H87" s="3" t="str">
        <f t="shared" si="0"/>
        <v>TRUNCATE TABLE long_close_posi_value;#0</v>
      </c>
    </row>
    <row r="88" spans="1:8" s="3" customFormat="1" hidden="1" outlineLevel="1" x14ac:dyDescent="0.25">
      <c r="A88" s="77"/>
      <c r="B88" s="28" t="s">
        <v>55</v>
      </c>
      <c r="C88" s="79" t="s">
        <v>1519</v>
      </c>
      <c r="D88" s="79" t="s">
        <v>1489</v>
      </c>
      <c r="E88" s="79">
        <v>0</v>
      </c>
      <c r="F88" s="79"/>
      <c r="G88" s="80"/>
      <c r="H88" s="3" t="str">
        <f t="shared" si="0"/>
        <v>TRUNCATE TABLE short_close_posi_value;#0</v>
      </c>
    </row>
    <row r="89" spans="1:8" s="3" customFormat="1" hidden="1" outlineLevel="1" x14ac:dyDescent="0.25">
      <c r="A89" s="77"/>
      <c r="B89" s="28" t="s">
        <v>56</v>
      </c>
      <c r="C89" s="79" t="s">
        <v>1520</v>
      </c>
      <c r="D89" s="79" t="s">
        <v>1489</v>
      </c>
      <c r="E89" s="79">
        <v>0</v>
      </c>
      <c r="F89" s="79"/>
      <c r="G89" s="80"/>
      <c r="H89" s="3" t="str">
        <f t="shared" si="0"/>
        <v>TRUNCATE TABLE long_close_posi_fee;#0</v>
      </c>
    </row>
    <row r="90" spans="1:8" s="3" customFormat="1" hidden="1" outlineLevel="1" x14ac:dyDescent="0.25">
      <c r="A90" s="77"/>
      <c r="B90" s="28" t="s">
        <v>57</v>
      </c>
      <c r="C90" s="79" t="s">
        <v>1521</v>
      </c>
      <c r="D90" s="79" t="s">
        <v>1489</v>
      </c>
      <c r="E90" s="79">
        <v>0</v>
      </c>
      <c r="F90" s="79"/>
      <c r="G90" s="80"/>
      <c r="H90" s="3" t="str">
        <f t="shared" si="0"/>
        <v>TRUNCATE TABLE short_close_posi_fee;#0</v>
      </c>
    </row>
    <row r="91" spans="1:8" s="3" customFormat="1" hidden="1" outlineLevel="1" x14ac:dyDescent="0.25">
      <c r="A91" s="77"/>
      <c r="B91" s="81" t="s">
        <v>24</v>
      </c>
      <c r="C91" s="79" t="s">
        <v>1491</v>
      </c>
      <c r="D91" s="79" t="s">
        <v>1489</v>
      </c>
      <c r="E91" s="79">
        <v>0</v>
      </c>
      <c r="F91" s="79" t="s">
        <v>1470</v>
      </c>
      <c r="G91" s="80"/>
      <c r="H91" s="3" t="str">
        <f t="shared" si="0"/>
        <v>TRUNCATE TABLE realize_pandl;#0</v>
      </c>
    </row>
    <row r="92" spans="1:8" s="3" customFormat="1" hidden="1" outlineLevel="1" x14ac:dyDescent="0.25">
      <c r="A92" s="77"/>
      <c r="B92" s="81" t="s">
        <v>58</v>
      </c>
      <c r="C92" s="79" t="s">
        <v>1522</v>
      </c>
      <c r="D92" s="79" t="s">
        <v>1489</v>
      </c>
      <c r="E92" s="79">
        <v>0</v>
      </c>
      <c r="F92" s="79" t="s">
        <v>1470</v>
      </c>
      <c r="G92" s="80"/>
      <c r="H92" s="3" t="str">
        <f t="shared" si="0"/>
        <v>TRUNCATE TABLE over_night_pandl;#0</v>
      </c>
    </row>
    <row r="93" spans="1:8" s="3" customFormat="1" ht="16.2" hidden="1" outlineLevel="1" thickBot="1" x14ac:dyDescent="0.3">
      <c r="B93" s="28"/>
      <c r="C93" s="29"/>
      <c r="D93" s="29"/>
      <c r="E93" s="29"/>
      <c r="F93" s="29"/>
      <c r="G93" s="30"/>
    </row>
    <row r="94" spans="1:8" s="3" customFormat="1" ht="17.399999999999999" hidden="1" customHeight="1" outlineLevel="1" x14ac:dyDescent="0.25">
      <c r="A94" s="5"/>
      <c r="B94" s="395" t="s">
        <v>29</v>
      </c>
      <c r="C94" s="396"/>
      <c r="D94" s="396"/>
      <c r="E94" s="396"/>
      <c r="F94" s="396"/>
      <c r="G94" s="397"/>
    </row>
    <row r="95" spans="1:8" s="3" customFormat="1" hidden="1" outlineLevel="1" x14ac:dyDescent="0.25">
      <c r="B95" s="28"/>
      <c r="C95" s="29"/>
      <c r="D95" s="29"/>
      <c r="E95" s="29"/>
      <c r="F95" s="29"/>
      <c r="G95" s="30"/>
    </row>
    <row r="96" spans="1:8" s="3" customFormat="1" hidden="1" outlineLevel="1" x14ac:dyDescent="0.25">
      <c r="B96" s="28" t="s">
        <v>535</v>
      </c>
      <c r="C96" s="29"/>
      <c r="D96" s="29"/>
      <c r="E96" s="29"/>
      <c r="F96" s="29"/>
      <c r="G96" s="375" t="s">
        <v>2410</v>
      </c>
    </row>
    <row r="97" spans="1:27" s="3" customFormat="1" ht="16.2" hidden="1" outlineLevel="1" thickBot="1" x14ac:dyDescent="0.3">
      <c r="B97" s="163"/>
      <c r="C97" s="164"/>
      <c r="D97" s="164"/>
      <c r="E97" s="164"/>
      <c r="F97" s="164"/>
      <c r="G97" s="165"/>
    </row>
    <row r="98" spans="1:27" s="3" customFormat="1" hidden="1" outlineLevel="1" x14ac:dyDescent="0.25"/>
    <row r="99" spans="1:27" s="3" customFormat="1" ht="16.2" hidden="1" outlineLevel="1" thickBot="1" x14ac:dyDescent="0.3"/>
    <row r="100" spans="1:27" s="3" customFormat="1" ht="17.399999999999999" customHeight="1" collapsed="1" thickBot="1" x14ac:dyDescent="0.3">
      <c r="A100" s="5"/>
      <c r="B100" s="15" t="s">
        <v>1279</v>
      </c>
      <c r="C100" s="16" t="s">
        <v>1900</v>
      </c>
      <c r="D100" s="17" t="s">
        <v>1281</v>
      </c>
      <c r="E100" s="16" t="s">
        <v>536</v>
      </c>
      <c r="F100" s="17" t="s">
        <v>1282</v>
      </c>
      <c r="G100" s="18" t="s">
        <v>1901</v>
      </c>
    </row>
    <row r="101" spans="1:27" s="3" customFormat="1" ht="17.399999999999999" hidden="1" customHeight="1" outlineLevel="1" x14ac:dyDescent="0.25">
      <c r="A101" s="5"/>
      <c r="B101" s="19" t="s">
        <v>1284</v>
      </c>
      <c r="C101" s="20" t="s">
        <v>1285</v>
      </c>
      <c r="D101" s="21" t="s">
        <v>1286</v>
      </c>
      <c r="E101" s="20" t="s">
        <v>1902</v>
      </c>
      <c r="F101" s="21" t="s">
        <v>1288</v>
      </c>
      <c r="G101" s="22" t="s">
        <v>1302</v>
      </c>
    </row>
    <row r="102" spans="1:27" s="3" customFormat="1" ht="17.399999999999999" hidden="1" customHeight="1" outlineLevel="1" thickBot="1" x14ac:dyDescent="0.3">
      <c r="A102" s="5"/>
      <c r="B102" s="19" t="s">
        <v>1290</v>
      </c>
      <c r="C102" s="23" t="s">
        <v>1291</v>
      </c>
      <c r="D102" s="21" t="s">
        <v>1292</v>
      </c>
      <c r="E102" s="23">
        <v>5</v>
      </c>
      <c r="F102" s="21" t="s">
        <v>1293</v>
      </c>
      <c r="G102" s="24" t="s">
        <v>1294</v>
      </c>
    </row>
    <row r="103" spans="1:27" s="3" customFormat="1" ht="17.399999999999999" hidden="1" customHeight="1" outlineLevel="1" x14ac:dyDescent="0.25">
      <c r="A103" s="5"/>
      <c r="B103" s="395" t="s">
        <v>1</v>
      </c>
      <c r="C103" s="396"/>
      <c r="D103" s="396"/>
      <c r="E103" s="396"/>
      <c r="F103" s="396"/>
      <c r="G103" s="397"/>
    </row>
    <row r="104" spans="1:27" s="3" customFormat="1" ht="17.399999999999999" hidden="1" customHeight="1" outlineLevel="1" x14ac:dyDescent="0.25">
      <c r="A104" s="5"/>
      <c r="B104" s="25" t="s">
        <v>2</v>
      </c>
      <c r="C104" s="26" t="s">
        <v>3</v>
      </c>
      <c r="D104" s="26" t="s">
        <v>4</v>
      </c>
      <c r="E104" s="26" t="s">
        <v>5</v>
      </c>
      <c r="F104" s="26"/>
      <c r="G104" s="27" t="s">
        <v>6</v>
      </c>
    </row>
    <row r="105" spans="1:27" s="3" customFormat="1" hidden="1" outlineLevel="1" x14ac:dyDescent="0.25">
      <c r="B105" s="28" t="s">
        <v>13</v>
      </c>
      <c r="C105" s="29" t="s">
        <v>1474</v>
      </c>
      <c r="D105" s="29" t="s">
        <v>1469</v>
      </c>
      <c r="E105" s="29">
        <v>0</v>
      </c>
      <c r="F105" s="29" t="s">
        <v>1470</v>
      </c>
      <c r="G105" s="30"/>
      <c r="J105" s="3" t="s">
        <v>10</v>
      </c>
      <c r="K105" s="3" t="s">
        <v>173</v>
      </c>
      <c r="L105" s="3" t="s">
        <v>9</v>
      </c>
      <c r="M105" s="3" t="s">
        <v>9</v>
      </c>
      <c r="N105" s="3">
        <v>2534</v>
      </c>
    </row>
    <row r="106" spans="1:27" s="3" customFormat="1" hidden="1" outlineLevel="1" x14ac:dyDescent="0.25">
      <c r="B106" s="28" t="s">
        <v>302</v>
      </c>
      <c r="C106" s="29" t="s">
        <v>1727</v>
      </c>
      <c r="D106" s="29" t="s">
        <v>1606</v>
      </c>
      <c r="E106" s="29" t="s">
        <v>1594</v>
      </c>
      <c r="F106" s="29" t="s">
        <v>1470</v>
      </c>
      <c r="G106" s="30"/>
      <c r="J106" s="3" t="s">
        <v>187</v>
      </c>
      <c r="K106" s="3" t="s">
        <v>438</v>
      </c>
      <c r="L106" s="3" t="s">
        <v>537</v>
      </c>
      <c r="M106" s="3" t="s">
        <v>187</v>
      </c>
      <c r="N106" s="3">
        <v>1700</v>
      </c>
    </row>
    <row r="107" spans="1:27" s="3" customFormat="1" hidden="1" outlineLevel="1" x14ac:dyDescent="0.25">
      <c r="B107" s="28" t="s">
        <v>265</v>
      </c>
      <c r="C107" s="29" t="s">
        <v>1692</v>
      </c>
      <c r="D107" s="29" t="s">
        <v>1606</v>
      </c>
      <c r="E107" s="29" t="s">
        <v>1594</v>
      </c>
      <c r="F107" s="29" t="s">
        <v>1470</v>
      </c>
      <c r="G107" s="30"/>
      <c r="J107" s="3" t="s">
        <v>187</v>
      </c>
      <c r="K107" s="3" t="s">
        <v>438</v>
      </c>
      <c r="L107" s="3" t="s">
        <v>537</v>
      </c>
      <c r="M107" s="3" t="s">
        <v>187</v>
      </c>
      <c r="N107" s="3">
        <v>1114</v>
      </c>
    </row>
    <row r="108" spans="1:27" s="290" customFormat="1" hidden="1" outlineLevel="1" x14ac:dyDescent="0.35">
      <c r="A108" s="8"/>
      <c r="B108" s="294" t="s">
        <v>538</v>
      </c>
      <c r="C108" s="295" t="s">
        <v>2062</v>
      </c>
      <c r="D108" s="295" t="s">
        <v>1606</v>
      </c>
      <c r="E108" s="295" t="s">
        <v>1594</v>
      </c>
      <c r="F108" s="295"/>
      <c r="G108" s="296"/>
      <c r="H108" s="8"/>
      <c r="I108" s="8"/>
      <c r="J108" s="8" t="s">
        <v>187</v>
      </c>
      <c r="K108" s="8" t="s">
        <v>438</v>
      </c>
      <c r="L108" s="8" t="s">
        <v>537</v>
      </c>
      <c r="M108" s="8" t="s">
        <v>187</v>
      </c>
      <c r="N108" s="8">
        <v>1607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s="290" customFormat="1" ht="16.2" hidden="1" outlineLevel="1" thickBot="1" x14ac:dyDescent="0.4">
      <c r="A109" s="8"/>
      <c r="B109" s="214"/>
      <c r="C109" s="215"/>
      <c r="D109" s="215"/>
      <c r="E109" s="215"/>
      <c r="F109" s="215"/>
      <c r="G109" s="21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s="3" customFormat="1" ht="17.399999999999999" hidden="1" customHeight="1" outlineLevel="1" x14ac:dyDescent="0.25">
      <c r="A110" s="5"/>
      <c r="B110" s="395" t="s">
        <v>18</v>
      </c>
      <c r="C110" s="396"/>
      <c r="D110" s="396"/>
      <c r="E110" s="396"/>
      <c r="F110" s="396"/>
      <c r="G110" s="397"/>
    </row>
    <row r="111" spans="1:27" s="3" customFormat="1" ht="17.399999999999999" hidden="1" customHeight="1" outlineLevel="1" x14ac:dyDescent="0.25">
      <c r="A111" s="5"/>
      <c r="B111" s="25" t="s">
        <v>2</v>
      </c>
      <c r="C111" s="26" t="s">
        <v>3</v>
      </c>
      <c r="D111" s="26" t="s">
        <v>4</v>
      </c>
      <c r="E111" s="26" t="s">
        <v>5</v>
      </c>
      <c r="F111" s="26"/>
      <c r="G111" s="27" t="s">
        <v>6</v>
      </c>
    </row>
    <row r="112" spans="1:27" s="3" customFormat="1" hidden="1" outlineLevel="1" x14ac:dyDescent="0.25">
      <c r="B112" s="28" t="s">
        <v>7</v>
      </c>
      <c r="C112" s="29" t="s">
        <v>1468</v>
      </c>
      <c r="D112" s="29" t="s">
        <v>1469</v>
      </c>
      <c r="E112" s="29">
        <v>0</v>
      </c>
      <c r="F112" s="29" t="s">
        <v>1470</v>
      </c>
      <c r="G112" s="30" t="s">
        <v>1471</v>
      </c>
      <c r="J112" s="3" t="s">
        <v>10</v>
      </c>
      <c r="K112" s="3" t="s">
        <v>173</v>
      </c>
      <c r="L112" s="3" t="s">
        <v>9</v>
      </c>
      <c r="M112" s="3" t="s">
        <v>9</v>
      </c>
      <c r="N112" s="3">
        <v>1112</v>
      </c>
    </row>
    <row r="113" spans="1:27" s="3" customFormat="1" hidden="1" outlineLevel="1" x14ac:dyDescent="0.25">
      <c r="B113" s="28" t="s">
        <v>11</v>
      </c>
      <c r="C113" s="29" t="s">
        <v>1472</v>
      </c>
      <c r="D113" s="29" t="s">
        <v>1469</v>
      </c>
      <c r="E113" s="29">
        <v>0</v>
      </c>
      <c r="F113" s="29" t="s">
        <v>1470</v>
      </c>
      <c r="G113" s="30" t="s">
        <v>1473</v>
      </c>
      <c r="J113" s="3" t="s">
        <v>12</v>
      </c>
      <c r="K113" s="3" t="s">
        <v>174</v>
      </c>
      <c r="L113" s="3" t="s">
        <v>175</v>
      </c>
      <c r="M113" s="3" t="s">
        <v>176</v>
      </c>
      <c r="N113" s="3">
        <v>1700</v>
      </c>
    </row>
    <row r="114" spans="1:27" s="3" customFormat="1" hidden="1" outlineLevel="1" x14ac:dyDescent="0.25">
      <c r="B114" s="28" t="s">
        <v>13</v>
      </c>
      <c r="C114" s="29" t="s">
        <v>1474</v>
      </c>
      <c r="D114" s="29" t="s">
        <v>1469</v>
      </c>
      <c r="E114" s="29">
        <v>0</v>
      </c>
      <c r="F114" s="29" t="s">
        <v>1470</v>
      </c>
      <c r="G114" s="30"/>
      <c r="J114" s="3" t="s">
        <v>10</v>
      </c>
      <c r="K114" s="3" t="s">
        <v>173</v>
      </c>
      <c r="L114" s="3" t="s">
        <v>9</v>
      </c>
      <c r="M114" s="3" t="s">
        <v>9</v>
      </c>
      <c r="N114" s="3">
        <v>2534</v>
      </c>
    </row>
    <row r="115" spans="1:27" s="3" customFormat="1" hidden="1" outlineLevel="1" x14ac:dyDescent="0.25">
      <c r="B115" s="28" t="s">
        <v>61</v>
      </c>
      <c r="C115" s="29" t="s">
        <v>1523</v>
      </c>
      <c r="D115" s="29" t="s">
        <v>1489</v>
      </c>
      <c r="E115" s="29">
        <v>0</v>
      </c>
      <c r="F115" s="29" t="s">
        <v>1470</v>
      </c>
      <c r="G115" s="30" t="s">
        <v>1524</v>
      </c>
      <c r="J115" s="3" t="s">
        <v>20</v>
      </c>
      <c r="K115" s="3" t="s">
        <v>445</v>
      </c>
      <c r="L115" s="3" t="s">
        <v>446</v>
      </c>
      <c r="M115" s="3" t="s">
        <v>446</v>
      </c>
      <c r="N115" s="3">
        <v>1984</v>
      </c>
    </row>
    <row r="116" spans="1:27" s="3" customFormat="1" hidden="1" outlineLevel="1" x14ac:dyDescent="0.25">
      <c r="B116" s="28" t="s">
        <v>62</v>
      </c>
      <c r="C116" s="29" t="s">
        <v>1525</v>
      </c>
      <c r="D116" s="29" t="s">
        <v>1489</v>
      </c>
      <c r="E116" s="29">
        <v>0</v>
      </c>
      <c r="F116" s="29"/>
      <c r="G116" s="30"/>
      <c r="J116" s="3" t="s">
        <v>20</v>
      </c>
      <c r="K116" s="3" t="s">
        <v>445</v>
      </c>
      <c r="L116" s="3" t="s">
        <v>446</v>
      </c>
      <c r="M116" s="3" t="s">
        <v>446</v>
      </c>
      <c r="N116" s="3">
        <v>1202</v>
      </c>
    </row>
    <row r="117" spans="1:27" s="3" customFormat="1" hidden="1" outlineLevel="1" x14ac:dyDescent="0.25">
      <c r="B117" s="28" t="s">
        <v>63</v>
      </c>
      <c r="C117" s="29" t="s">
        <v>1526</v>
      </c>
      <c r="D117" s="29" t="s">
        <v>1489</v>
      </c>
      <c r="E117" s="29">
        <v>0</v>
      </c>
      <c r="F117" s="29"/>
      <c r="G117" s="30"/>
      <c r="J117" s="3" t="s">
        <v>20</v>
      </c>
      <c r="K117" s="3" t="s">
        <v>445</v>
      </c>
      <c r="L117" s="3" t="s">
        <v>446</v>
      </c>
      <c r="M117" s="3" t="s">
        <v>446</v>
      </c>
      <c r="N117" s="3">
        <v>1682</v>
      </c>
    </row>
    <row r="118" spans="1:27" s="3" customFormat="1" hidden="1" outlineLevel="1" x14ac:dyDescent="0.25">
      <c r="B118" s="28" t="s">
        <v>64</v>
      </c>
      <c r="C118" s="29" t="s">
        <v>1527</v>
      </c>
      <c r="D118" s="29" t="s">
        <v>1489</v>
      </c>
      <c r="E118" s="29">
        <v>0</v>
      </c>
      <c r="F118" s="29"/>
      <c r="G118" s="30"/>
      <c r="J118" s="3" t="s">
        <v>20</v>
      </c>
      <c r="K118" s="3" t="s">
        <v>445</v>
      </c>
      <c r="L118" s="3" t="s">
        <v>446</v>
      </c>
      <c r="M118" s="3" t="s">
        <v>446</v>
      </c>
      <c r="N118" s="3">
        <v>1274</v>
      </c>
    </row>
    <row r="119" spans="1:27" s="3" customFormat="1" hidden="1" outlineLevel="1" x14ac:dyDescent="0.25">
      <c r="B119" s="28" t="s">
        <v>22</v>
      </c>
      <c r="C119" s="29" t="s">
        <v>1488</v>
      </c>
      <c r="D119" s="29" t="s">
        <v>1489</v>
      </c>
      <c r="E119" s="29">
        <v>0</v>
      </c>
      <c r="F119" s="29" t="s">
        <v>1470</v>
      </c>
      <c r="G119" s="30" t="s">
        <v>1490</v>
      </c>
      <c r="J119" s="3" t="s">
        <v>20</v>
      </c>
      <c r="K119" s="3" t="s">
        <v>445</v>
      </c>
      <c r="L119" s="3" t="s">
        <v>446</v>
      </c>
      <c r="M119" s="3" t="s">
        <v>446</v>
      </c>
      <c r="N119" s="3">
        <v>2052</v>
      </c>
    </row>
    <row r="120" spans="1:27" s="3" customFormat="1" hidden="1" outlineLevel="1" x14ac:dyDescent="0.25">
      <c r="B120" s="28" t="s">
        <v>26</v>
      </c>
      <c r="C120" s="29" t="s">
        <v>1493</v>
      </c>
      <c r="D120" s="29" t="s">
        <v>1494</v>
      </c>
      <c r="E120" s="29">
        <v>0</v>
      </c>
      <c r="F120" s="29" t="s">
        <v>1470</v>
      </c>
      <c r="G120" s="30"/>
      <c r="J120" s="3" t="s">
        <v>20</v>
      </c>
      <c r="K120" s="3" t="s">
        <v>445</v>
      </c>
      <c r="L120" s="3" t="s">
        <v>446</v>
      </c>
      <c r="M120" s="3" t="s">
        <v>446</v>
      </c>
      <c r="N120" s="3">
        <v>2183</v>
      </c>
    </row>
    <row r="121" spans="1:27" s="290" customFormat="1" ht="16.2" hidden="1" outlineLevel="1" thickBot="1" x14ac:dyDescent="0.4">
      <c r="A121" s="8"/>
      <c r="B121" s="294"/>
      <c r="C121" s="295"/>
      <c r="D121" s="295"/>
      <c r="E121" s="295"/>
      <c r="F121" s="295"/>
      <c r="G121" s="29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s="3" customFormat="1" ht="17.399999999999999" hidden="1" customHeight="1" outlineLevel="1" x14ac:dyDescent="0.25">
      <c r="A122" s="5"/>
      <c r="B122" s="395" t="s">
        <v>28</v>
      </c>
      <c r="C122" s="396"/>
      <c r="D122" s="396"/>
      <c r="E122" s="396"/>
      <c r="F122" s="396"/>
      <c r="G122" s="397"/>
    </row>
    <row r="123" spans="1:27" s="3" customFormat="1" ht="17.399999999999999" hidden="1" customHeight="1" outlineLevel="1" x14ac:dyDescent="0.25">
      <c r="A123" s="5"/>
      <c r="B123" s="25" t="s">
        <v>2</v>
      </c>
      <c r="C123" s="26" t="s">
        <v>3</v>
      </c>
      <c r="D123" s="26" t="s">
        <v>4</v>
      </c>
      <c r="E123" s="26"/>
      <c r="F123" s="26"/>
      <c r="G123" s="27" t="s">
        <v>6</v>
      </c>
    </row>
    <row r="124" spans="1:27" s="3" customFormat="1" hidden="1" outlineLevel="1" x14ac:dyDescent="0.25">
      <c r="B124" s="28"/>
      <c r="C124" s="29"/>
      <c r="D124" s="29"/>
      <c r="E124" s="29"/>
      <c r="F124" s="29"/>
      <c r="G124" s="30"/>
    </row>
    <row r="125" spans="1:27" s="290" customFormat="1" ht="16.2" hidden="1" outlineLevel="1" thickBot="1" x14ac:dyDescent="0.4">
      <c r="A125" s="8"/>
      <c r="B125" s="294"/>
      <c r="C125" s="295"/>
      <c r="D125" s="295"/>
      <c r="E125" s="295"/>
      <c r="F125" s="295"/>
      <c r="G125" s="29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s="3" customFormat="1" ht="17.399999999999999" hidden="1" customHeight="1" outlineLevel="1" x14ac:dyDescent="0.25">
      <c r="A126" s="5"/>
      <c r="B126" s="395" t="s">
        <v>29</v>
      </c>
      <c r="C126" s="396"/>
      <c r="D126" s="396"/>
      <c r="E126" s="396"/>
      <c r="F126" s="396"/>
      <c r="G126" s="397"/>
    </row>
    <row r="127" spans="1:27" s="290" customFormat="1" hidden="1" outlineLevel="1" x14ac:dyDescent="0.35">
      <c r="A127" s="8"/>
      <c r="B127" s="209"/>
      <c r="C127" s="210"/>
      <c r="D127" s="210"/>
      <c r="E127" s="210"/>
      <c r="F127" s="210"/>
      <c r="G127" s="2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s="290" customFormat="1" hidden="1" outlineLevel="1" x14ac:dyDescent="0.35">
      <c r="A128" s="8"/>
      <c r="B128" s="297" t="s">
        <v>539</v>
      </c>
      <c r="C128" s="210"/>
      <c r="D128" s="210"/>
      <c r="E128" s="210"/>
      <c r="F128" s="210"/>
      <c r="G128" s="375" t="s">
        <v>2411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s="290" customFormat="1" ht="16.2" hidden="1" outlineLevel="1" thickBot="1" x14ac:dyDescent="0.4">
      <c r="A129" s="8"/>
      <c r="B129" s="214"/>
      <c r="C129" s="215"/>
      <c r="D129" s="215"/>
      <c r="E129" s="215"/>
      <c r="F129" s="215"/>
      <c r="G129" s="21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s="290" customFormat="1" hidden="1" outlineLevel="1" x14ac:dyDescent="0.35">
      <c r="A130" s="8"/>
      <c r="B130" s="9"/>
      <c r="C130" s="9"/>
      <c r="D130" s="9"/>
      <c r="E130" s="9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s="290" customFormat="1" ht="16.2" hidden="1" outlineLevel="1" thickBot="1" x14ac:dyDescent="0.4">
      <c r="A131" s="8"/>
      <c r="B131" s="9"/>
      <c r="C131" s="9"/>
      <c r="D131" s="9"/>
      <c r="E131" s="9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s="3" customFormat="1" ht="17.399999999999999" customHeight="1" collapsed="1" thickBot="1" x14ac:dyDescent="0.3">
      <c r="A132" s="5"/>
      <c r="B132" s="15" t="s">
        <v>1279</v>
      </c>
      <c r="C132" s="16" t="s">
        <v>1903</v>
      </c>
      <c r="D132" s="17" t="s">
        <v>1281</v>
      </c>
      <c r="E132" s="16" t="s">
        <v>540</v>
      </c>
      <c r="F132" s="17" t="s">
        <v>1282</v>
      </c>
      <c r="G132" s="18" t="s">
        <v>1904</v>
      </c>
    </row>
    <row r="133" spans="1:27" s="3" customFormat="1" ht="17.399999999999999" hidden="1" customHeight="1" outlineLevel="1" x14ac:dyDescent="0.25">
      <c r="A133" s="5"/>
      <c r="B133" s="19" t="s">
        <v>1284</v>
      </c>
      <c r="C133" s="20" t="s">
        <v>1285</v>
      </c>
      <c r="D133" s="21" t="s">
        <v>1286</v>
      </c>
      <c r="E133" s="20" t="s">
        <v>1905</v>
      </c>
      <c r="F133" s="21" t="s">
        <v>1288</v>
      </c>
      <c r="G133" s="22" t="s">
        <v>1306</v>
      </c>
    </row>
    <row r="134" spans="1:27" s="3" customFormat="1" ht="17.399999999999999" hidden="1" customHeight="1" outlineLevel="1" thickBot="1" x14ac:dyDescent="0.3">
      <c r="A134" s="5"/>
      <c r="B134" s="19" t="s">
        <v>1290</v>
      </c>
      <c r="C134" s="23" t="s">
        <v>1291</v>
      </c>
      <c r="D134" s="21" t="s">
        <v>1292</v>
      </c>
      <c r="E134" s="23">
        <v>5</v>
      </c>
      <c r="F134" s="21" t="s">
        <v>1293</v>
      </c>
      <c r="G134" s="24" t="s">
        <v>1294</v>
      </c>
    </row>
    <row r="135" spans="1:27" s="4" customFormat="1" ht="17.399999999999999" hidden="1" customHeight="1" outlineLevel="1" x14ac:dyDescent="0.35">
      <c r="A135" s="5"/>
      <c r="B135" s="380" t="s">
        <v>1</v>
      </c>
      <c r="C135" s="381"/>
      <c r="D135" s="381"/>
      <c r="E135" s="381"/>
      <c r="F135" s="381"/>
      <c r="G135" s="382"/>
      <c r="H135" s="5"/>
      <c r="I135" s="5"/>
      <c r="J135" s="5"/>
      <c r="K135" s="5"/>
      <c r="L135" s="5"/>
      <c r="M135" s="5"/>
    </row>
    <row r="136" spans="1:27" s="4" customFormat="1" ht="17.399999999999999" hidden="1" customHeight="1" outlineLevel="1" x14ac:dyDescent="0.35">
      <c r="A136" s="5"/>
      <c r="B136" s="94" t="s">
        <v>2</v>
      </c>
      <c r="C136" s="95" t="s">
        <v>3</v>
      </c>
      <c r="D136" s="95" t="s">
        <v>4</v>
      </c>
      <c r="E136" s="95" t="s">
        <v>5</v>
      </c>
      <c r="F136" s="95"/>
      <c r="G136" s="96" t="s">
        <v>6</v>
      </c>
      <c r="H136" s="5"/>
      <c r="I136" s="5"/>
      <c r="J136" s="5"/>
      <c r="K136" s="5"/>
      <c r="L136" s="5"/>
      <c r="M136" s="5"/>
    </row>
    <row r="137" spans="1:27" s="4" customFormat="1" ht="17.399999999999999" hidden="1" customHeight="1" outlineLevel="1" x14ac:dyDescent="0.35">
      <c r="A137" s="5"/>
      <c r="B137" s="57" t="s">
        <v>7</v>
      </c>
      <c r="C137" s="58" t="s">
        <v>1468</v>
      </c>
      <c r="D137" s="58" t="s">
        <v>1469</v>
      </c>
      <c r="E137" s="58">
        <v>0</v>
      </c>
      <c r="F137" s="58" t="s">
        <v>1470</v>
      </c>
      <c r="G137" s="59" t="s">
        <v>1471</v>
      </c>
      <c r="J137" s="4" t="s">
        <v>10</v>
      </c>
      <c r="K137" s="4" t="s">
        <v>173</v>
      </c>
      <c r="L137" s="4" t="s">
        <v>9</v>
      </c>
      <c r="M137" s="4" t="s">
        <v>9</v>
      </c>
      <c r="N137" s="4">
        <v>1112</v>
      </c>
    </row>
    <row r="138" spans="1:27" s="4" customFormat="1" ht="17.399999999999999" hidden="1" customHeight="1" outlineLevel="1" x14ac:dyDescent="0.35">
      <c r="A138" s="5"/>
      <c r="B138" s="57" t="s">
        <v>11</v>
      </c>
      <c r="C138" s="58" t="s">
        <v>1472</v>
      </c>
      <c r="D138" s="58" t="s">
        <v>1469</v>
      </c>
      <c r="E138" s="58">
        <v>0</v>
      </c>
      <c r="F138" s="58" t="s">
        <v>1470</v>
      </c>
      <c r="G138" s="59" t="s">
        <v>1473</v>
      </c>
      <c r="J138" s="4" t="s">
        <v>12</v>
      </c>
      <c r="K138" s="4" t="s">
        <v>174</v>
      </c>
      <c r="L138" s="4" t="s">
        <v>175</v>
      </c>
      <c r="M138" s="4" t="s">
        <v>176</v>
      </c>
      <c r="N138" s="4">
        <v>1700</v>
      </c>
    </row>
    <row r="139" spans="1:27" s="4" customFormat="1" ht="17.399999999999999" hidden="1" customHeight="1" outlineLevel="1" x14ac:dyDescent="0.35">
      <c r="A139" s="5"/>
      <c r="B139" s="60" t="s">
        <v>13</v>
      </c>
      <c r="C139" s="61" t="s">
        <v>1474</v>
      </c>
      <c r="D139" s="61" t="s">
        <v>1469</v>
      </c>
      <c r="E139" s="61">
        <v>0</v>
      </c>
      <c r="F139" s="61" t="s">
        <v>1470</v>
      </c>
      <c r="G139" s="62"/>
      <c r="H139" s="63"/>
      <c r="J139" s="4" t="s">
        <v>10</v>
      </c>
      <c r="K139" s="4" t="s">
        <v>173</v>
      </c>
      <c r="L139" s="4" t="s">
        <v>9</v>
      </c>
      <c r="M139" s="4" t="s">
        <v>9</v>
      </c>
      <c r="N139" s="4">
        <v>2534</v>
      </c>
    </row>
    <row r="140" spans="1:27" s="4" customFormat="1" ht="17.399999999999999" hidden="1" customHeight="1" outlineLevel="1" x14ac:dyDescent="0.35">
      <c r="A140" s="5"/>
      <c r="B140" s="60" t="s">
        <v>14</v>
      </c>
      <c r="C140" s="61" t="s">
        <v>1475</v>
      </c>
      <c r="D140" s="61" t="s">
        <v>1469</v>
      </c>
      <c r="E140" s="61">
        <v>0</v>
      </c>
      <c r="F140" s="61" t="s">
        <v>1476</v>
      </c>
      <c r="G140" s="62" t="s">
        <v>1477</v>
      </c>
      <c r="H140" s="63"/>
      <c r="J140" s="4" t="s">
        <v>10</v>
      </c>
      <c r="K140" s="4" t="s">
        <v>173</v>
      </c>
      <c r="L140" s="4" t="s">
        <v>9</v>
      </c>
      <c r="M140" s="4" t="s">
        <v>9</v>
      </c>
      <c r="N140" s="4">
        <v>2155</v>
      </c>
    </row>
    <row r="141" spans="1:27" s="4" customFormat="1" ht="17.399999999999999" hidden="1" customHeight="1" outlineLevel="1" x14ac:dyDescent="0.35">
      <c r="A141" s="5"/>
      <c r="B141" s="60" t="s">
        <v>15</v>
      </c>
      <c r="C141" s="61" t="s">
        <v>1478</v>
      </c>
      <c r="D141" s="61" t="s">
        <v>1469</v>
      </c>
      <c r="E141" s="61">
        <v>0</v>
      </c>
      <c r="F141" s="61" t="s">
        <v>1470</v>
      </c>
      <c r="G141" s="62"/>
      <c r="H141" s="63"/>
      <c r="J141" s="4" t="s">
        <v>10</v>
      </c>
      <c r="K141" s="4" t="s">
        <v>173</v>
      </c>
      <c r="L141" s="4" t="s">
        <v>9</v>
      </c>
      <c r="M141" s="4" t="s">
        <v>9</v>
      </c>
      <c r="N141" s="4">
        <v>2430</v>
      </c>
    </row>
    <row r="142" spans="1:27" s="4" customFormat="1" ht="17.399999999999999" hidden="1" customHeight="1" outlineLevel="1" x14ac:dyDescent="0.35">
      <c r="A142" s="5"/>
      <c r="B142" s="64" t="s">
        <v>73</v>
      </c>
      <c r="C142" s="65" t="s">
        <v>1528</v>
      </c>
      <c r="D142" s="65" t="s">
        <v>1469</v>
      </c>
      <c r="E142" s="65" t="s">
        <v>1480</v>
      </c>
      <c r="F142" s="65" t="s">
        <v>1481</v>
      </c>
      <c r="G142" s="66"/>
      <c r="H142" s="5"/>
      <c r="I142" s="5"/>
      <c r="J142" s="5" t="s">
        <v>10</v>
      </c>
      <c r="K142" s="5" t="s">
        <v>173</v>
      </c>
      <c r="L142" s="5" t="s">
        <v>9</v>
      </c>
      <c r="M142" s="5" t="s">
        <v>9</v>
      </c>
      <c r="N142" s="4">
        <v>1767</v>
      </c>
    </row>
    <row r="143" spans="1:27" s="4" customFormat="1" ht="17.399999999999999" hidden="1" customHeight="1" outlineLevel="1" x14ac:dyDescent="0.35">
      <c r="A143" s="5"/>
      <c r="B143" s="64" t="s">
        <v>74</v>
      </c>
      <c r="C143" s="65" t="s">
        <v>1529</v>
      </c>
      <c r="D143" s="65" t="s">
        <v>1469</v>
      </c>
      <c r="E143" s="65" t="s">
        <v>1480</v>
      </c>
      <c r="F143" s="65" t="s">
        <v>1481</v>
      </c>
      <c r="G143" s="66"/>
      <c r="H143" s="5"/>
      <c r="I143" s="5"/>
      <c r="J143" s="5" t="s">
        <v>10</v>
      </c>
      <c r="K143" s="5" t="s">
        <v>173</v>
      </c>
      <c r="L143" s="5" t="s">
        <v>9</v>
      </c>
      <c r="M143" s="5" t="s">
        <v>9</v>
      </c>
      <c r="N143" s="4">
        <v>1713</v>
      </c>
    </row>
    <row r="144" spans="1:27" s="4" customFormat="1" ht="17.399999999999999" hidden="1" customHeight="1" outlineLevel="1" x14ac:dyDescent="0.35">
      <c r="A144" s="5"/>
      <c r="B144" s="67" t="s">
        <v>17</v>
      </c>
      <c r="C144" s="84" t="s">
        <v>1483</v>
      </c>
      <c r="D144" s="84" t="s">
        <v>1469</v>
      </c>
      <c r="E144" s="84">
        <v>0</v>
      </c>
      <c r="F144" s="84" t="s">
        <v>1470</v>
      </c>
      <c r="G144" s="85" t="s">
        <v>1484</v>
      </c>
      <c r="H144" s="5"/>
      <c r="I144" s="5"/>
      <c r="J144" s="5" t="s">
        <v>10</v>
      </c>
      <c r="K144" s="5" t="s">
        <v>173</v>
      </c>
      <c r="L144" s="5" t="s">
        <v>9</v>
      </c>
      <c r="M144" s="5" t="s">
        <v>9</v>
      </c>
      <c r="N144" s="4">
        <v>1097</v>
      </c>
    </row>
    <row r="145" spans="1:14" s="4" customFormat="1" ht="17.399999999999999" hidden="1" customHeight="1" outlineLevel="1" thickBot="1" x14ac:dyDescent="0.4">
      <c r="A145" s="5"/>
      <c r="B145" s="91"/>
      <c r="C145" s="92"/>
      <c r="D145" s="92"/>
      <c r="E145" s="92"/>
      <c r="F145" s="92"/>
      <c r="G145" s="93"/>
      <c r="H145" s="5"/>
      <c r="I145" s="5"/>
      <c r="J145" s="5"/>
      <c r="K145" s="5"/>
      <c r="L145" s="5"/>
      <c r="M145" s="5"/>
    </row>
    <row r="146" spans="1:14" s="4" customFormat="1" ht="17.399999999999999" hidden="1" customHeight="1" outlineLevel="1" x14ac:dyDescent="0.35">
      <c r="A146" s="5"/>
      <c r="B146" s="383" t="s">
        <v>18</v>
      </c>
      <c r="C146" s="384"/>
      <c r="D146" s="384"/>
      <c r="E146" s="384"/>
      <c r="F146" s="384"/>
      <c r="G146" s="385"/>
      <c r="H146" s="5"/>
      <c r="I146" s="5"/>
      <c r="J146" s="5"/>
      <c r="K146" s="5"/>
      <c r="L146" s="5"/>
      <c r="M146" s="5"/>
    </row>
    <row r="147" spans="1:14" s="4" customFormat="1" ht="17.399999999999999" hidden="1" customHeight="1" outlineLevel="1" x14ac:dyDescent="0.35">
      <c r="A147" s="5"/>
      <c r="B147" s="94" t="s">
        <v>2</v>
      </c>
      <c r="C147" s="95" t="s">
        <v>3</v>
      </c>
      <c r="D147" s="95" t="s">
        <v>4</v>
      </c>
      <c r="E147" s="95" t="s">
        <v>5</v>
      </c>
      <c r="F147" s="95"/>
      <c r="G147" s="96" t="s">
        <v>6</v>
      </c>
      <c r="H147" s="5"/>
      <c r="I147" s="5"/>
      <c r="J147" s="5"/>
      <c r="K147" s="5"/>
      <c r="L147" s="5"/>
      <c r="M147" s="5"/>
    </row>
    <row r="148" spans="1:14" s="4" customFormat="1" ht="17.399999999999999" hidden="1" customHeight="1" outlineLevel="1" x14ac:dyDescent="0.35">
      <c r="A148" s="5"/>
      <c r="B148" s="67" t="s">
        <v>16</v>
      </c>
      <c r="C148" s="65" t="s">
        <v>1479</v>
      </c>
      <c r="D148" s="65" t="s">
        <v>1469</v>
      </c>
      <c r="E148" s="65" t="s">
        <v>1480</v>
      </c>
      <c r="F148" s="65" t="s">
        <v>1481</v>
      </c>
      <c r="G148" s="66" t="s">
        <v>1482</v>
      </c>
      <c r="H148" s="5"/>
      <c r="I148" s="5"/>
      <c r="J148" s="5"/>
      <c r="K148" s="5"/>
      <c r="L148" s="5"/>
      <c r="M148" s="5"/>
    </row>
    <row r="149" spans="1:14" s="3" customFormat="1" hidden="1" outlineLevel="1" x14ac:dyDescent="0.25">
      <c r="B149" s="28" t="s">
        <v>7</v>
      </c>
      <c r="C149" s="29" t="s">
        <v>1468</v>
      </c>
      <c r="D149" s="29" t="s">
        <v>1469</v>
      </c>
      <c r="E149" s="29">
        <v>0</v>
      </c>
      <c r="F149" s="29" t="s">
        <v>1470</v>
      </c>
      <c r="G149" s="30" t="s">
        <v>1471</v>
      </c>
      <c r="J149" s="3" t="s">
        <v>10</v>
      </c>
      <c r="K149" s="3" t="s">
        <v>173</v>
      </c>
      <c r="L149" s="3" t="s">
        <v>9</v>
      </c>
      <c r="M149" s="3" t="s">
        <v>9</v>
      </c>
      <c r="N149" s="3">
        <v>1112</v>
      </c>
    </row>
    <row r="150" spans="1:14" s="3" customFormat="1" hidden="1" outlineLevel="1" x14ac:dyDescent="0.25">
      <c r="B150" s="28" t="s">
        <v>11</v>
      </c>
      <c r="C150" s="29" t="s">
        <v>1472</v>
      </c>
      <c r="D150" s="29" t="s">
        <v>1469</v>
      </c>
      <c r="E150" s="29">
        <v>0</v>
      </c>
      <c r="F150" s="29" t="s">
        <v>1470</v>
      </c>
      <c r="G150" s="30" t="s">
        <v>1473</v>
      </c>
      <c r="J150" s="3" t="s">
        <v>12</v>
      </c>
      <c r="K150" s="3" t="s">
        <v>174</v>
      </c>
      <c r="L150" s="3" t="s">
        <v>175</v>
      </c>
      <c r="M150" s="3" t="s">
        <v>176</v>
      </c>
      <c r="N150" s="3">
        <v>1700</v>
      </c>
    </row>
    <row r="151" spans="1:14" s="3" customFormat="1" hidden="1" outlineLevel="1" x14ac:dyDescent="0.25">
      <c r="B151" s="28" t="s">
        <v>13</v>
      </c>
      <c r="C151" s="29" t="s">
        <v>1474</v>
      </c>
      <c r="D151" s="29" t="s">
        <v>1469</v>
      </c>
      <c r="E151" s="29">
        <v>0</v>
      </c>
      <c r="F151" s="29" t="s">
        <v>1470</v>
      </c>
      <c r="G151" s="30"/>
      <c r="J151" s="3" t="s">
        <v>10</v>
      </c>
      <c r="K151" s="3" t="s">
        <v>173</v>
      </c>
      <c r="L151" s="3" t="s">
        <v>9</v>
      </c>
      <c r="M151" s="3" t="s">
        <v>9</v>
      </c>
      <c r="N151" s="3">
        <v>2534</v>
      </c>
    </row>
    <row r="152" spans="1:14" s="3" customFormat="1" hidden="1" outlineLevel="1" x14ac:dyDescent="0.25">
      <c r="B152" s="35" t="s">
        <v>25</v>
      </c>
      <c r="C152" s="36" t="s">
        <v>1492</v>
      </c>
      <c r="D152" s="36" t="s">
        <v>1469</v>
      </c>
      <c r="E152" s="36">
        <v>0</v>
      </c>
      <c r="F152" s="36" t="s">
        <v>1470</v>
      </c>
      <c r="G152" s="37" t="s">
        <v>1484</v>
      </c>
      <c r="J152" s="3" t="s">
        <v>10</v>
      </c>
      <c r="K152" s="3" t="s">
        <v>173</v>
      </c>
      <c r="L152" s="3" t="s">
        <v>9</v>
      </c>
      <c r="M152" s="3" t="s">
        <v>9</v>
      </c>
      <c r="N152" s="3">
        <v>2155</v>
      </c>
    </row>
    <row r="153" spans="1:14" s="3" customFormat="1" hidden="1" outlineLevel="1" x14ac:dyDescent="0.25">
      <c r="B153" s="28" t="s">
        <v>14</v>
      </c>
      <c r="C153" s="29" t="s">
        <v>1475</v>
      </c>
      <c r="D153" s="29" t="s">
        <v>1469</v>
      </c>
      <c r="E153" s="29">
        <v>0</v>
      </c>
      <c r="F153" s="29" t="s">
        <v>1476</v>
      </c>
      <c r="G153" s="30" t="s">
        <v>1477</v>
      </c>
      <c r="J153" s="3" t="s">
        <v>10</v>
      </c>
      <c r="K153" s="3" t="s">
        <v>173</v>
      </c>
      <c r="L153" s="3" t="s">
        <v>9</v>
      </c>
      <c r="M153" s="3" t="s">
        <v>9</v>
      </c>
      <c r="N153" s="3">
        <v>2430</v>
      </c>
    </row>
    <row r="154" spans="1:14" s="3" customFormat="1" hidden="1" outlineLevel="1" x14ac:dyDescent="0.25">
      <c r="B154" s="28" t="s">
        <v>15</v>
      </c>
      <c r="C154" s="29" t="s">
        <v>1478</v>
      </c>
      <c r="D154" s="29" t="s">
        <v>1469</v>
      </c>
      <c r="E154" s="29">
        <v>0</v>
      </c>
      <c r="F154" s="29" t="s">
        <v>1470</v>
      </c>
      <c r="G154" s="30"/>
      <c r="J154" s="3" t="s">
        <v>20</v>
      </c>
      <c r="K154" s="3" t="s">
        <v>445</v>
      </c>
      <c r="L154" s="3" t="s">
        <v>446</v>
      </c>
      <c r="M154" s="3" t="s">
        <v>446</v>
      </c>
      <c r="N154" s="3">
        <v>1203</v>
      </c>
    </row>
    <row r="155" spans="1:14" s="3" customFormat="1" hidden="1" outlineLevel="1" x14ac:dyDescent="0.25">
      <c r="B155" s="38" t="s">
        <v>19</v>
      </c>
      <c r="C155" s="39" t="s">
        <v>1485</v>
      </c>
      <c r="D155" s="39" t="s">
        <v>1486</v>
      </c>
      <c r="E155" s="39">
        <v>0</v>
      </c>
      <c r="F155" s="39"/>
      <c r="G155" s="40"/>
      <c r="J155" s="3" t="s">
        <v>20</v>
      </c>
      <c r="K155" s="3" t="s">
        <v>445</v>
      </c>
      <c r="L155" s="3" t="s">
        <v>446</v>
      </c>
      <c r="M155" s="3" t="s">
        <v>446</v>
      </c>
      <c r="N155" s="3">
        <v>1689</v>
      </c>
    </row>
    <row r="156" spans="1:14" s="3" customFormat="1" hidden="1" outlineLevel="1" x14ac:dyDescent="0.25">
      <c r="B156" s="28" t="s">
        <v>21</v>
      </c>
      <c r="C156" s="29" t="s">
        <v>1487</v>
      </c>
      <c r="D156" s="29" t="s">
        <v>1486</v>
      </c>
      <c r="E156" s="29">
        <v>0</v>
      </c>
      <c r="F156" s="29"/>
      <c r="G156" s="30"/>
      <c r="J156" s="3" t="s">
        <v>20</v>
      </c>
      <c r="K156" s="3" t="s">
        <v>445</v>
      </c>
      <c r="L156" s="3" t="s">
        <v>446</v>
      </c>
      <c r="M156" s="3" t="s">
        <v>446</v>
      </c>
      <c r="N156" s="3">
        <v>2052</v>
      </c>
    </row>
    <row r="157" spans="1:14" s="3" customFormat="1" hidden="1" outlineLevel="1" x14ac:dyDescent="0.25">
      <c r="B157" s="28" t="s">
        <v>22</v>
      </c>
      <c r="C157" s="29" t="s">
        <v>1488</v>
      </c>
      <c r="D157" s="29" t="s">
        <v>1489</v>
      </c>
      <c r="E157" s="29">
        <v>0</v>
      </c>
      <c r="F157" s="29" t="s">
        <v>1470</v>
      </c>
      <c r="G157" s="30" t="s">
        <v>1490</v>
      </c>
      <c r="J157" s="3" t="s">
        <v>20</v>
      </c>
      <c r="K157" s="3" t="s">
        <v>445</v>
      </c>
      <c r="L157" s="3" t="s">
        <v>446</v>
      </c>
      <c r="M157" s="3" t="s">
        <v>446</v>
      </c>
      <c r="N157" s="3">
        <v>2153</v>
      </c>
    </row>
    <row r="158" spans="1:14" s="3" customFormat="1" hidden="1" outlineLevel="1" x14ac:dyDescent="0.25">
      <c r="B158" s="28" t="s">
        <v>26</v>
      </c>
      <c r="C158" s="29" t="s">
        <v>1493</v>
      </c>
      <c r="D158" s="29" t="s">
        <v>1494</v>
      </c>
      <c r="E158" s="29">
        <v>0</v>
      </c>
      <c r="F158" s="29" t="s">
        <v>1470</v>
      </c>
      <c r="G158" s="30"/>
      <c r="J158" s="3" t="s">
        <v>20</v>
      </c>
      <c r="K158" s="3" t="s">
        <v>445</v>
      </c>
      <c r="L158" s="3" t="s">
        <v>446</v>
      </c>
      <c r="M158" s="3" t="s">
        <v>446</v>
      </c>
      <c r="N158" s="3">
        <v>2183</v>
      </c>
    </row>
    <row r="159" spans="1:14" s="4" customFormat="1" ht="17.399999999999999" hidden="1" customHeight="1" outlineLevel="1" x14ac:dyDescent="0.35">
      <c r="A159" s="5"/>
      <c r="B159" s="41" t="s">
        <v>27</v>
      </c>
      <c r="C159" s="42" t="s">
        <v>1495</v>
      </c>
      <c r="D159" s="42" t="s">
        <v>1489</v>
      </c>
      <c r="E159" s="42">
        <v>0</v>
      </c>
      <c r="F159" s="42" t="s">
        <v>1470</v>
      </c>
      <c r="G159" s="43"/>
      <c r="J159" s="5" t="s">
        <v>20</v>
      </c>
      <c r="K159" s="5" t="s">
        <v>445</v>
      </c>
      <c r="L159" s="5" t="s">
        <v>446</v>
      </c>
      <c r="M159" s="5" t="s">
        <v>446</v>
      </c>
    </row>
    <row r="160" spans="1:14" s="3" customFormat="1" hidden="1" outlineLevel="1" x14ac:dyDescent="0.25">
      <c r="B160" s="44" t="s">
        <v>75</v>
      </c>
      <c r="C160" s="39" t="s">
        <v>1530</v>
      </c>
      <c r="D160" s="39" t="s">
        <v>1486</v>
      </c>
      <c r="E160" s="39">
        <v>0</v>
      </c>
      <c r="F160" s="39" t="s">
        <v>1470</v>
      </c>
      <c r="G160" s="40" t="s">
        <v>1531</v>
      </c>
    </row>
    <row r="161" spans="1:27" s="3" customFormat="1" hidden="1" outlineLevel="1" x14ac:dyDescent="0.25">
      <c r="B161" s="44" t="s">
        <v>76</v>
      </c>
      <c r="C161" s="29" t="s">
        <v>1532</v>
      </c>
      <c r="D161" s="29" t="s">
        <v>1489</v>
      </c>
      <c r="E161" s="29">
        <v>0</v>
      </c>
      <c r="F161" s="29"/>
      <c r="G161" s="30"/>
    </row>
    <row r="162" spans="1:27" s="3" customFormat="1" hidden="1" outlineLevel="1" x14ac:dyDescent="0.25">
      <c r="B162" s="44" t="s">
        <v>77</v>
      </c>
      <c r="C162" s="29" t="s">
        <v>1533</v>
      </c>
      <c r="D162" s="29" t="s">
        <v>1486</v>
      </c>
      <c r="E162" s="29">
        <v>0</v>
      </c>
      <c r="F162" s="29" t="s">
        <v>1470</v>
      </c>
      <c r="G162" s="30"/>
    </row>
    <row r="163" spans="1:27" s="3" customFormat="1" hidden="1" outlineLevel="1" x14ac:dyDescent="0.25">
      <c r="B163" s="44" t="s">
        <v>78</v>
      </c>
      <c r="C163" s="29" t="s">
        <v>1534</v>
      </c>
      <c r="D163" s="29" t="s">
        <v>1489</v>
      </c>
      <c r="E163" s="29">
        <v>0</v>
      </c>
      <c r="F163" s="29"/>
      <c r="G163" s="30"/>
    </row>
    <row r="164" spans="1:27" s="3" customFormat="1" hidden="1" outlineLevel="1" x14ac:dyDescent="0.25">
      <c r="B164" s="44" t="s">
        <v>24</v>
      </c>
      <c r="C164" s="29" t="s">
        <v>1491</v>
      </c>
      <c r="D164" s="29" t="s">
        <v>1489</v>
      </c>
      <c r="E164" s="29">
        <v>0</v>
      </c>
      <c r="F164" s="29" t="s">
        <v>1470</v>
      </c>
      <c r="G164" s="30"/>
    </row>
    <row r="165" spans="1:27" s="4" customFormat="1" ht="17.399999999999999" hidden="1" customHeight="1" outlineLevel="1" x14ac:dyDescent="0.35">
      <c r="A165" s="5"/>
      <c r="B165" s="44" t="s">
        <v>58</v>
      </c>
      <c r="C165" s="42" t="s">
        <v>1522</v>
      </c>
      <c r="D165" s="42" t="s">
        <v>1489</v>
      </c>
      <c r="E165" s="42">
        <v>0</v>
      </c>
      <c r="F165" s="42" t="s">
        <v>1470</v>
      </c>
      <c r="G165" s="43"/>
      <c r="K165" s="5"/>
      <c r="L165" s="5"/>
      <c r="M165" s="5"/>
    </row>
    <row r="166" spans="1:27" s="3" customFormat="1" ht="16.2" hidden="1" outlineLevel="1" thickBot="1" x14ac:dyDescent="0.3">
      <c r="A166" s="5"/>
      <c r="B166" s="45" t="s">
        <v>63</v>
      </c>
      <c r="C166" s="20" t="s">
        <v>1526</v>
      </c>
      <c r="D166" s="20" t="s">
        <v>1489</v>
      </c>
      <c r="E166" s="20">
        <v>0</v>
      </c>
      <c r="F166" s="20"/>
      <c r="G166" s="22"/>
    </row>
    <row r="167" spans="1:27" s="4" customFormat="1" ht="17.399999999999999" hidden="1" customHeight="1" outlineLevel="1" x14ac:dyDescent="0.35">
      <c r="A167" s="5"/>
      <c r="B167" s="389" t="s">
        <v>28</v>
      </c>
      <c r="C167" s="390"/>
      <c r="D167" s="390"/>
      <c r="E167" s="390"/>
      <c r="F167" s="390"/>
      <c r="G167" s="391"/>
      <c r="H167" s="5"/>
      <c r="I167" s="5"/>
      <c r="J167" s="5"/>
      <c r="K167" s="5"/>
      <c r="L167" s="5"/>
      <c r="M167" s="5"/>
    </row>
    <row r="168" spans="1:27" s="4" customFormat="1" ht="17.399999999999999" hidden="1" customHeight="1" outlineLevel="1" x14ac:dyDescent="0.35">
      <c r="A168" s="5"/>
      <c r="B168" s="32" t="s">
        <v>2</v>
      </c>
      <c r="C168" s="33" t="s">
        <v>3</v>
      </c>
      <c r="D168" s="33" t="s">
        <v>4</v>
      </c>
      <c r="E168" s="33"/>
      <c r="F168" s="33"/>
      <c r="G168" s="34" t="s">
        <v>6</v>
      </c>
      <c r="H168" s="5"/>
      <c r="I168" s="5"/>
      <c r="J168" s="5"/>
      <c r="K168" s="5"/>
      <c r="L168" s="5"/>
      <c r="M168" s="5"/>
    </row>
    <row r="169" spans="1:27" s="4" customFormat="1" ht="17.399999999999999" hidden="1" customHeight="1" outlineLevel="1" thickBot="1" x14ac:dyDescent="0.4">
      <c r="A169" s="5"/>
      <c r="B169" s="298"/>
      <c r="C169" s="299"/>
      <c r="D169" s="299"/>
      <c r="E169" s="299"/>
      <c r="F169" s="299"/>
      <c r="G169" s="177"/>
      <c r="H169" s="5"/>
      <c r="I169" s="5"/>
      <c r="J169" s="5"/>
      <c r="K169" s="5"/>
      <c r="L169" s="5"/>
      <c r="M169" s="5"/>
    </row>
    <row r="170" spans="1:27" s="4" customFormat="1" ht="17.399999999999999" hidden="1" customHeight="1" outlineLevel="1" x14ac:dyDescent="0.35">
      <c r="A170" s="5"/>
      <c r="B170" s="380" t="s">
        <v>29</v>
      </c>
      <c r="C170" s="381"/>
      <c r="D170" s="381"/>
      <c r="E170" s="381"/>
      <c r="F170" s="381"/>
      <c r="G170" s="382"/>
      <c r="H170" s="5"/>
      <c r="I170" s="5"/>
      <c r="J170" s="5"/>
      <c r="K170" s="5"/>
      <c r="L170" s="5"/>
      <c r="M170" s="5"/>
    </row>
    <row r="171" spans="1:27" s="291" customFormat="1" hidden="1" outlineLevel="1" x14ac:dyDescent="0.35">
      <c r="A171" s="14"/>
      <c r="B171" s="201"/>
      <c r="C171" s="107"/>
      <c r="D171" s="107"/>
      <c r="E171" s="107"/>
      <c r="F171" s="107"/>
      <c r="G171" s="108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s="291" customFormat="1" hidden="1" outlineLevel="1" x14ac:dyDescent="0.35">
      <c r="A172" s="14"/>
      <c r="B172" s="300" t="s">
        <v>541</v>
      </c>
      <c r="C172" s="107"/>
      <c r="D172" s="107"/>
      <c r="E172" s="107"/>
      <c r="F172" s="107"/>
      <c r="G172" s="377" t="s">
        <v>2412</v>
      </c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s="291" customFormat="1" ht="16.2" hidden="1" outlineLevel="1" thickBot="1" x14ac:dyDescent="0.4">
      <c r="A173" s="14"/>
      <c r="B173" s="157"/>
      <c r="C173" s="202"/>
      <c r="D173" s="202"/>
      <c r="E173" s="202"/>
      <c r="F173" s="202"/>
      <c r="G173" s="203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s="291" customFormat="1" hidden="1" outlineLevel="1" x14ac:dyDescent="0.35">
      <c r="A174" s="14"/>
      <c r="B174" s="7"/>
      <c r="C174" s="7"/>
      <c r="D174" s="7"/>
      <c r="E174" s="7"/>
      <c r="F174" s="7"/>
      <c r="G174" s="7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s="291" customFormat="1" ht="16.2" hidden="1" outlineLevel="1" thickBot="1" x14ac:dyDescent="0.4">
      <c r="A175" s="14"/>
      <c r="B175" s="7"/>
      <c r="C175" s="7"/>
      <c r="D175" s="7"/>
      <c r="E175" s="7"/>
      <c r="F175" s="7"/>
      <c r="G175" s="7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s="3" customFormat="1" ht="17.399999999999999" customHeight="1" collapsed="1" thickBot="1" x14ac:dyDescent="0.3">
      <c r="A176" s="5"/>
      <c r="B176" s="15" t="s">
        <v>1279</v>
      </c>
      <c r="C176" s="16" t="s">
        <v>1906</v>
      </c>
      <c r="D176" s="17" t="s">
        <v>1281</v>
      </c>
      <c r="E176" s="16" t="s">
        <v>542</v>
      </c>
      <c r="F176" s="17" t="s">
        <v>1282</v>
      </c>
      <c r="G176" s="18" t="s">
        <v>1907</v>
      </c>
    </row>
    <row r="177" spans="1:14" s="3" customFormat="1" ht="17.399999999999999" hidden="1" customHeight="1" outlineLevel="1" x14ac:dyDescent="0.25">
      <c r="A177" s="5"/>
      <c r="B177" s="19" t="s">
        <v>1284</v>
      </c>
      <c r="C177" s="20" t="s">
        <v>1285</v>
      </c>
      <c r="D177" s="21" t="s">
        <v>1286</v>
      </c>
      <c r="E177" s="20" t="s">
        <v>1908</v>
      </c>
      <c r="F177" s="21" t="s">
        <v>1288</v>
      </c>
      <c r="G177" s="22" t="s">
        <v>1310</v>
      </c>
    </row>
    <row r="178" spans="1:14" s="3" customFormat="1" ht="17.399999999999999" hidden="1" customHeight="1" outlineLevel="1" thickBot="1" x14ac:dyDescent="0.3">
      <c r="A178" s="5"/>
      <c r="B178" s="19" t="s">
        <v>1290</v>
      </c>
      <c r="C178" s="23" t="s">
        <v>1291</v>
      </c>
      <c r="D178" s="21" t="s">
        <v>1292</v>
      </c>
      <c r="E178" s="23">
        <v>5</v>
      </c>
      <c r="F178" s="21" t="s">
        <v>1293</v>
      </c>
      <c r="G178" s="24" t="s">
        <v>1294</v>
      </c>
    </row>
    <row r="179" spans="1:14" s="4" customFormat="1" ht="17.399999999999999" hidden="1" customHeight="1" outlineLevel="1" x14ac:dyDescent="0.35">
      <c r="A179" s="5"/>
      <c r="B179" s="380" t="s">
        <v>1</v>
      </c>
      <c r="C179" s="381"/>
      <c r="D179" s="381"/>
      <c r="E179" s="381"/>
      <c r="F179" s="381"/>
      <c r="G179" s="382"/>
      <c r="H179" s="5"/>
      <c r="I179" s="5"/>
      <c r="J179" s="5"/>
      <c r="K179" s="5"/>
      <c r="L179" s="5"/>
      <c r="M179" s="5"/>
    </row>
    <row r="180" spans="1:14" s="4" customFormat="1" ht="17.399999999999999" hidden="1" customHeight="1" outlineLevel="1" x14ac:dyDescent="0.35">
      <c r="A180" s="5"/>
      <c r="B180" s="94" t="s">
        <v>2</v>
      </c>
      <c r="C180" s="95" t="s">
        <v>3</v>
      </c>
      <c r="D180" s="95" t="s">
        <v>4</v>
      </c>
      <c r="E180" s="95" t="s">
        <v>5</v>
      </c>
      <c r="F180" s="95"/>
      <c r="G180" s="96" t="s">
        <v>6</v>
      </c>
      <c r="H180" s="5"/>
      <c r="I180" s="5"/>
      <c r="J180" s="5"/>
      <c r="K180" s="5"/>
      <c r="L180" s="5"/>
      <c r="M180" s="5"/>
    </row>
    <row r="181" spans="1:14" s="4" customFormat="1" ht="17.399999999999999" hidden="1" customHeight="1" outlineLevel="1" x14ac:dyDescent="0.35">
      <c r="A181" s="5"/>
      <c r="B181" s="57" t="s">
        <v>7</v>
      </c>
      <c r="C181" s="58" t="s">
        <v>1468</v>
      </c>
      <c r="D181" s="58" t="s">
        <v>1469</v>
      </c>
      <c r="E181" s="58">
        <v>0</v>
      </c>
      <c r="F181" s="58" t="s">
        <v>1470</v>
      </c>
      <c r="G181" s="59" t="s">
        <v>1471</v>
      </c>
      <c r="J181" s="4" t="s">
        <v>10</v>
      </c>
      <c r="K181" s="4" t="s">
        <v>173</v>
      </c>
      <c r="L181" s="4" t="s">
        <v>9</v>
      </c>
      <c r="M181" s="4" t="s">
        <v>9</v>
      </c>
      <c r="N181" s="4">
        <v>1112</v>
      </c>
    </row>
    <row r="182" spans="1:14" s="4" customFormat="1" ht="17.399999999999999" hidden="1" customHeight="1" outlineLevel="1" x14ac:dyDescent="0.35">
      <c r="A182" s="5"/>
      <c r="B182" s="57" t="s">
        <v>11</v>
      </c>
      <c r="C182" s="58" t="s">
        <v>1472</v>
      </c>
      <c r="D182" s="58" t="s">
        <v>1469</v>
      </c>
      <c r="E182" s="58">
        <v>0</v>
      </c>
      <c r="F182" s="58" t="s">
        <v>1470</v>
      </c>
      <c r="G182" s="59" t="s">
        <v>1473</v>
      </c>
      <c r="J182" s="4" t="s">
        <v>12</v>
      </c>
      <c r="K182" s="4" t="s">
        <v>174</v>
      </c>
      <c r="L182" s="4" t="s">
        <v>175</v>
      </c>
      <c r="M182" s="4" t="s">
        <v>176</v>
      </c>
      <c r="N182" s="4">
        <v>1700</v>
      </c>
    </row>
    <row r="183" spans="1:14" s="4" customFormat="1" ht="17.399999999999999" hidden="1" customHeight="1" outlineLevel="1" x14ac:dyDescent="0.35">
      <c r="A183" s="5"/>
      <c r="B183" s="60" t="s">
        <v>13</v>
      </c>
      <c r="C183" s="61" t="s">
        <v>1474</v>
      </c>
      <c r="D183" s="61" t="s">
        <v>1469</v>
      </c>
      <c r="E183" s="61">
        <v>0</v>
      </c>
      <c r="F183" s="61" t="s">
        <v>1470</v>
      </c>
      <c r="G183" s="62"/>
      <c r="H183" s="63"/>
      <c r="J183" s="4" t="s">
        <v>10</v>
      </c>
      <c r="K183" s="4" t="s">
        <v>173</v>
      </c>
      <c r="L183" s="4" t="s">
        <v>9</v>
      </c>
      <c r="M183" s="4" t="s">
        <v>9</v>
      </c>
      <c r="N183" s="4">
        <v>2534</v>
      </c>
    </row>
    <row r="184" spans="1:14" s="4" customFormat="1" ht="17.399999999999999" hidden="1" customHeight="1" outlineLevel="1" x14ac:dyDescent="0.35">
      <c r="A184" s="5"/>
      <c r="B184" s="60" t="s">
        <v>14</v>
      </c>
      <c r="C184" s="61" t="s">
        <v>1475</v>
      </c>
      <c r="D184" s="61" t="s">
        <v>1469</v>
      </c>
      <c r="E184" s="61">
        <v>0</v>
      </c>
      <c r="F184" s="61" t="s">
        <v>1476</v>
      </c>
      <c r="G184" s="62" t="s">
        <v>1477</v>
      </c>
      <c r="H184" s="63"/>
      <c r="J184" s="4" t="s">
        <v>10</v>
      </c>
      <c r="K184" s="4" t="s">
        <v>173</v>
      </c>
      <c r="L184" s="4" t="s">
        <v>9</v>
      </c>
      <c r="M184" s="4" t="s">
        <v>9</v>
      </c>
      <c r="N184" s="4">
        <v>2155</v>
      </c>
    </row>
    <row r="185" spans="1:14" s="4" customFormat="1" ht="17.399999999999999" hidden="1" customHeight="1" outlineLevel="1" x14ac:dyDescent="0.35">
      <c r="A185" s="5"/>
      <c r="B185" s="60" t="s">
        <v>15</v>
      </c>
      <c r="C185" s="61" t="s">
        <v>1478</v>
      </c>
      <c r="D185" s="61" t="s">
        <v>1469</v>
      </c>
      <c r="E185" s="61">
        <v>0</v>
      </c>
      <c r="F185" s="61" t="s">
        <v>1470</v>
      </c>
      <c r="G185" s="62"/>
      <c r="H185" s="63"/>
      <c r="J185" s="4" t="s">
        <v>10</v>
      </c>
      <c r="K185" s="4" t="s">
        <v>173</v>
      </c>
      <c r="L185" s="4" t="s">
        <v>9</v>
      </c>
      <c r="M185" s="4" t="s">
        <v>9</v>
      </c>
      <c r="N185" s="4">
        <v>2430</v>
      </c>
    </row>
    <row r="186" spans="1:14" s="4" customFormat="1" ht="17.399999999999999" hidden="1" customHeight="1" outlineLevel="1" x14ac:dyDescent="0.35">
      <c r="A186" s="5"/>
      <c r="B186" s="64" t="s">
        <v>73</v>
      </c>
      <c r="C186" s="65" t="s">
        <v>1528</v>
      </c>
      <c r="D186" s="65" t="s">
        <v>1469</v>
      </c>
      <c r="E186" s="65" t="s">
        <v>1480</v>
      </c>
      <c r="F186" s="65" t="s">
        <v>1481</v>
      </c>
      <c r="G186" s="66"/>
      <c r="H186" s="5"/>
      <c r="I186" s="5"/>
      <c r="J186" s="5" t="s">
        <v>10</v>
      </c>
      <c r="K186" s="5" t="s">
        <v>173</v>
      </c>
      <c r="L186" s="5" t="s">
        <v>9</v>
      </c>
      <c r="M186" s="5" t="s">
        <v>9</v>
      </c>
      <c r="N186" s="4">
        <v>1767</v>
      </c>
    </row>
    <row r="187" spans="1:14" s="4" customFormat="1" ht="17.399999999999999" hidden="1" customHeight="1" outlineLevel="1" x14ac:dyDescent="0.35">
      <c r="A187" s="5"/>
      <c r="B187" s="64" t="s">
        <v>74</v>
      </c>
      <c r="C187" s="65" t="s">
        <v>1529</v>
      </c>
      <c r="D187" s="65" t="s">
        <v>1469</v>
      </c>
      <c r="E187" s="65" t="s">
        <v>1480</v>
      </c>
      <c r="F187" s="65" t="s">
        <v>1481</v>
      </c>
      <c r="G187" s="66"/>
      <c r="H187" s="5"/>
      <c r="I187" s="5"/>
      <c r="J187" s="5" t="s">
        <v>10</v>
      </c>
      <c r="K187" s="5" t="s">
        <v>173</v>
      </c>
      <c r="L187" s="5" t="s">
        <v>9</v>
      </c>
      <c r="M187" s="5" t="s">
        <v>9</v>
      </c>
      <c r="N187" s="4">
        <v>1713</v>
      </c>
    </row>
    <row r="188" spans="1:14" s="4" customFormat="1" ht="17.399999999999999" hidden="1" customHeight="1" outlineLevel="1" x14ac:dyDescent="0.35">
      <c r="A188" s="5"/>
      <c r="B188" s="67" t="s">
        <v>17</v>
      </c>
      <c r="C188" s="84" t="s">
        <v>1483</v>
      </c>
      <c r="D188" s="84" t="s">
        <v>1469</v>
      </c>
      <c r="E188" s="84">
        <v>0</v>
      </c>
      <c r="F188" s="84" t="s">
        <v>1470</v>
      </c>
      <c r="G188" s="85" t="s">
        <v>1484</v>
      </c>
      <c r="H188" s="5"/>
      <c r="I188" s="5"/>
      <c r="J188" s="5" t="s">
        <v>10</v>
      </c>
      <c r="K188" s="5" t="s">
        <v>173</v>
      </c>
      <c r="L188" s="5" t="s">
        <v>9</v>
      </c>
      <c r="M188" s="5" t="s">
        <v>9</v>
      </c>
      <c r="N188" s="4">
        <v>1097</v>
      </c>
    </row>
    <row r="189" spans="1:14" s="4" customFormat="1" ht="17.399999999999999" hidden="1" customHeight="1" outlineLevel="1" thickBot="1" x14ac:dyDescent="0.4">
      <c r="A189" s="5"/>
      <c r="B189" s="91"/>
      <c r="C189" s="92"/>
      <c r="D189" s="92"/>
      <c r="E189" s="92"/>
      <c r="F189" s="92"/>
      <c r="G189" s="93"/>
      <c r="H189" s="5"/>
      <c r="I189" s="5"/>
      <c r="J189" s="5"/>
      <c r="K189" s="5"/>
      <c r="L189" s="5"/>
      <c r="M189" s="5"/>
    </row>
    <row r="190" spans="1:14" s="4" customFormat="1" ht="17.399999999999999" hidden="1" customHeight="1" outlineLevel="1" x14ac:dyDescent="0.35">
      <c r="A190" s="5"/>
      <c r="B190" s="383" t="s">
        <v>18</v>
      </c>
      <c r="C190" s="384"/>
      <c r="D190" s="384"/>
      <c r="E190" s="384"/>
      <c r="F190" s="384"/>
      <c r="G190" s="385"/>
      <c r="H190" s="5"/>
      <c r="I190" s="5"/>
      <c r="J190" s="5"/>
      <c r="K190" s="5"/>
      <c r="L190" s="5"/>
      <c r="M190" s="5"/>
    </row>
    <row r="191" spans="1:14" s="4" customFormat="1" ht="17.399999999999999" hidden="1" customHeight="1" outlineLevel="1" x14ac:dyDescent="0.35">
      <c r="A191" s="5"/>
      <c r="B191" s="94" t="s">
        <v>2</v>
      </c>
      <c r="C191" s="95" t="s">
        <v>3</v>
      </c>
      <c r="D191" s="95" t="s">
        <v>4</v>
      </c>
      <c r="E191" s="95" t="s">
        <v>5</v>
      </c>
      <c r="F191" s="95"/>
      <c r="G191" s="96" t="s">
        <v>6</v>
      </c>
      <c r="H191" s="5"/>
      <c r="I191" s="5"/>
      <c r="J191" s="5"/>
      <c r="K191" s="5"/>
      <c r="L191" s="5"/>
      <c r="M191" s="5"/>
    </row>
    <row r="192" spans="1:14" s="4" customFormat="1" ht="17.399999999999999" hidden="1" customHeight="1" outlineLevel="1" x14ac:dyDescent="0.35">
      <c r="A192" s="5"/>
      <c r="B192" s="67" t="s">
        <v>16</v>
      </c>
      <c r="C192" s="65" t="s">
        <v>1479</v>
      </c>
      <c r="D192" s="65" t="s">
        <v>1469</v>
      </c>
      <c r="E192" s="65" t="s">
        <v>1480</v>
      </c>
      <c r="F192" s="65" t="s">
        <v>1481</v>
      </c>
      <c r="G192" s="66" t="s">
        <v>1482</v>
      </c>
      <c r="H192" s="5"/>
      <c r="I192" s="5"/>
      <c r="J192" s="5"/>
      <c r="K192" s="5"/>
      <c r="L192" s="5"/>
      <c r="M192" s="5"/>
    </row>
    <row r="193" spans="1:14" s="3" customFormat="1" hidden="1" outlineLevel="1" x14ac:dyDescent="0.25">
      <c r="B193" s="68" t="s">
        <v>7</v>
      </c>
      <c r="C193" s="69" t="s">
        <v>1468</v>
      </c>
      <c r="D193" s="69" t="s">
        <v>1469</v>
      </c>
      <c r="E193" s="69">
        <v>0</v>
      </c>
      <c r="F193" s="69" t="s">
        <v>1470</v>
      </c>
      <c r="G193" s="70" t="s">
        <v>1471</v>
      </c>
      <c r="J193" s="3" t="s">
        <v>10</v>
      </c>
      <c r="K193" s="3" t="s">
        <v>173</v>
      </c>
      <c r="L193" s="3" t="s">
        <v>9</v>
      </c>
      <c r="M193" s="3" t="s">
        <v>9</v>
      </c>
      <c r="N193" s="3">
        <v>1112</v>
      </c>
    </row>
    <row r="194" spans="1:14" s="3" customFormat="1" hidden="1" outlineLevel="1" x14ac:dyDescent="0.25">
      <c r="B194" s="68" t="s">
        <v>11</v>
      </c>
      <c r="C194" s="69" t="s">
        <v>1472</v>
      </c>
      <c r="D194" s="69" t="s">
        <v>1469</v>
      </c>
      <c r="E194" s="69">
        <v>0</v>
      </c>
      <c r="F194" s="69" t="s">
        <v>1470</v>
      </c>
      <c r="G194" s="70" t="s">
        <v>1473</v>
      </c>
      <c r="J194" s="3" t="s">
        <v>12</v>
      </c>
      <c r="K194" s="3" t="s">
        <v>174</v>
      </c>
      <c r="L194" s="3" t="s">
        <v>175</v>
      </c>
      <c r="M194" s="3" t="s">
        <v>176</v>
      </c>
      <c r="N194" s="3">
        <v>1700</v>
      </c>
    </row>
    <row r="195" spans="1:14" s="3" customFormat="1" hidden="1" outlineLevel="1" x14ac:dyDescent="0.25">
      <c r="B195" s="68" t="s">
        <v>13</v>
      </c>
      <c r="C195" s="69" t="s">
        <v>1474</v>
      </c>
      <c r="D195" s="69" t="s">
        <v>1469</v>
      </c>
      <c r="E195" s="69">
        <v>0</v>
      </c>
      <c r="F195" s="69" t="s">
        <v>1470</v>
      </c>
      <c r="G195" s="70"/>
      <c r="J195" s="3" t="s">
        <v>10</v>
      </c>
      <c r="K195" s="3" t="s">
        <v>173</v>
      </c>
      <c r="L195" s="3" t="s">
        <v>9</v>
      </c>
      <c r="M195" s="3" t="s">
        <v>9</v>
      </c>
      <c r="N195" s="3">
        <v>2534</v>
      </c>
    </row>
    <row r="196" spans="1:14" s="3" customFormat="1" hidden="1" outlineLevel="1" x14ac:dyDescent="0.25">
      <c r="B196" s="68" t="s">
        <v>14</v>
      </c>
      <c r="C196" s="69" t="s">
        <v>1475</v>
      </c>
      <c r="D196" s="69" t="s">
        <v>1469</v>
      </c>
      <c r="E196" s="69">
        <v>0</v>
      </c>
      <c r="F196" s="69" t="s">
        <v>1476</v>
      </c>
      <c r="G196" s="70" t="s">
        <v>1477</v>
      </c>
      <c r="J196" s="3" t="s">
        <v>10</v>
      </c>
      <c r="K196" s="3" t="s">
        <v>173</v>
      </c>
      <c r="L196" s="3" t="s">
        <v>9</v>
      </c>
      <c r="M196" s="3" t="s">
        <v>9</v>
      </c>
      <c r="N196" s="3">
        <v>2155</v>
      </c>
    </row>
    <row r="197" spans="1:14" s="3" customFormat="1" hidden="1" outlineLevel="1" x14ac:dyDescent="0.25">
      <c r="B197" s="68" t="s">
        <v>15</v>
      </c>
      <c r="C197" s="69" t="s">
        <v>1478</v>
      </c>
      <c r="D197" s="69" t="s">
        <v>1469</v>
      </c>
      <c r="E197" s="69">
        <v>0</v>
      </c>
      <c r="F197" s="69" t="s">
        <v>1470</v>
      </c>
      <c r="G197" s="70"/>
      <c r="J197" s="3" t="s">
        <v>10</v>
      </c>
      <c r="K197" s="3" t="s">
        <v>173</v>
      </c>
      <c r="L197" s="3" t="s">
        <v>9</v>
      </c>
      <c r="M197" s="3" t="s">
        <v>9</v>
      </c>
      <c r="N197" s="3">
        <v>2430</v>
      </c>
    </row>
    <row r="198" spans="1:14" s="3" customFormat="1" hidden="1" outlineLevel="1" x14ac:dyDescent="0.25">
      <c r="B198" s="71" t="s">
        <v>32</v>
      </c>
      <c r="C198" s="72" t="s">
        <v>1496</v>
      </c>
      <c r="D198" s="72" t="s">
        <v>1486</v>
      </c>
      <c r="E198" s="72">
        <v>0</v>
      </c>
      <c r="F198" s="72"/>
      <c r="G198" s="73"/>
      <c r="J198" s="3" t="s">
        <v>20</v>
      </c>
      <c r="K198" s="3" t="s">
        <v>445</v>
      </c>
      <c r="L198" s="3" t="s">
        <v>446</v>
      </c>
      <c r="M198" s="3" t="s">
        <v>446</v>
      </c>
      <c r="N198" s="3">
        <v>2055</v>
      </c>
    </row>
    <row r="199" spans="1:14" s="3" customFormat="1" hidden="1" outlineLevel="1" x14ac:dyDescent="0.25">
      <c r="B199" s="71" t="s">
        <v>22</v>
      </c>
      <c r="C199" s="72" t="s">
        <v>1488</v>
      </c>
      <c r="D199" s="72" t="s">
        <v>1489</v>
      </c>
      <c r="E199" s="72">
        <v>0</v>
      </c>
      <c r="F199" s="72" t="s">
        <v>1470</v>
      </c>
      <c r="G199" s="73" t="s">
        <v>1490</v>
      </c>
      <c r="J199" s="3" t="s">
        <v>20</v>
      </c>
      <c r="K199" s="3" t="s">
        <v>445</v>
      </c>
      <c r="L199" s="3" t="s">
        <v>446</v>
      </c>
      <c r="M199" s="3" t="s">
        <v>446</v>
      </c>
      <c r="N199" s="3">
        <v>2052</v>
      </c>
    </row>
    <row r="200" spans="1:14" s="3" customFormat="1" hidden="1" outlineLevel="1" x14ac:dyDescent="0.25">
      <c r="B200" s="28" t="s">
        <v>26</v>
      </c>
      <c r="C200" s="29" t="s">
        <v>1493</v>
      </c>
      <c r="D200" s="29" t="s">
        <v>1494</v>
      </c>
      <c r="E200" s="29">
        <v>0</v>
      </c>
      <c r="F200" s="29" t="s">
        <v>1470</v>
      </c>
      <c r="G200" s="30"/>
      <c r="J200" s="3" t="s">
        <v>20</v>
      </c>
      <c r="K200" s="3" t="s">
        <v>445</v>
      </c>
      <c r="L200" s="3" t="s">
        <v>446</v>
      </c>
      <c r="M200" s="3" t="s">
        <v>446</v>
      </c>
      <c r="N200" s="3">
        <v>2183</v>
      </c>
    </row>
    <row r="201" spans="1:14" s="4" customFormat="1" ht="17.399999999999999" hidden="1" customHeight="1" outlineLevel="1" x14ac:dyDescent="0.35">
      <c r="A201" s="5"/>
      <c r="B201" s="74" t="s">
        <v>27</v>
      </c>
      <c r="C201" s="75" t="s">
        <v>1495</v>
      </c>
      <c r="D201" s="75" t="s">
        <v>1489</v>
      </c>
      <c r="E201" s="75">
        <v>0</v>
      </c>
      <c r="F201" s="75" t="s">
        <v>1470</v>
      </c>
      <c r="G201" s="76"/>
      <c r="H201" s="5"/>
      <c r="I201" s="5"/>
      <c r="J201" s="5" t="s">
        <v>20</v>
      </c>
      <c r="K201" s="5" t="s">
        <v>445</v>
      </c>
      <c r="L201" s="5" t="s">
        <v>446</v>
      </c>
      <c r="M201" s="5" t="s">
        <v>446</v>
      </c>
    </row>
    <row r="202" spans="1:14" s="3" customFormat="1" hidden="1" outlineLevel="1" x14ac:dyDescent="0.25">
      <c r="A202" s="77"/>
      <c r="B202" s="78" t="s">
        <v>33</v>
      </c>
      <c r="C202" s="79" t="s">
        <v>1497</v>
      </c>
      <c r="D202" s="79" t="s">
        <v>1486</v>
      </c>
      <c r="E202" s="79">
        <v>0</v>
      </c>
      <c r="F202" s="79"/>
      <c r="G202" s="80"/>
      <c r="H202" s="3" t="str">
        <f t="shared" ref="H202:H228" si="1">"TRUNCATE TABLE "&amp;C202&amp;";#"&amp;E202</f>
        <v>TRUNCATE TABLE total_long_curr_qty;#0</v>
      </c>
    </row>
    <row r="203" spans="1:14" s="3" customFormat="1" ht="16.5" hidden="1" customHeight="1" outlineLevel="1" x14ac:dyDescent="0.25">
      <c r="A203" s="77"/>
      <c r="B203" s="78" t="s">
        <v>34</v>
      </c>
      <c r="C203" s="79" t="s">
        <v>1498</v>
      </c>
      <c r="D203" s="79" t="s">
        <v>1486</v>
      </c>
      <c r="E203" s="79">
        <v>0</v>
      </c>
      <c r="F203" s="79"/>
      <c r="G203" s="80"/>
      <c r="H203" s="3" t="str">
        <f t="shared" si="1"/>
        <v>TRUNCATE TABLE total_short_curr_qty;#0</v>
      </c>
    </row>
    <row r="204" spans="1:14" s="3" customFormat="1" hidden="1" outlineLevel="1" x14ac:dyDescent="0.25">
      <c r="A204" s="77"/>
      <c r="B204" s="78" t="s">
        <v>35</v>
      </c>
      <c r="C204" s="79" t="s">
        <v>1499</v>
      </c>
      <c r="D204" s="79" t="s">
        <v>1489</v>
      </c>
      <c r="E204" s="79">
        <v>0</v>
      </c>
      <c r="F204" s="79"/>
      <c r="G204" s="80"/>
      <c r="H204" s="3" t="str">
        <f t="shared" si="1"/>
        <v>TRUNCATE TABLE total_long_open_posi_value;#0</v>
      </c>
    </row>
    <row r="205" spans="1:14" s="3" customFormat="1" hidden="1" outlineLevel="1" x14ac:dyDescent="0.25">
      <c r="A205" s="77"/>
      <c r="B205" s="78" t="s">
        <v>36</v>
      </c>
      <c r="C205" s="79" t="s">
        <v>1500</v>
      </c>
      <c r="D205" s="79" t="s">
        <v>1489</v>
      </c>
      <c r="E205" s="79">
        <v>0</v>
      </c>
      <c r="F205" s="79"/>
      <c r="G205" s="80"/>
      <c r="H205" s="3" t="str">
        <f t="shared" si="1"/>
        <v>TRUNCATE TABLE total_short_open_posi_value;#0</v>
      </c>
    </row>
    <row r="206" spans="1:14" s="3" customFormat="1" hidden="1" outlineLevel="1" x14ac:dyDescent="0.25">
      <c r="A206" s="77"/>
      <c r="B206" s="78" t="s">
        <v>37</v>
      </c>
      <c r="C206" s="79" t="s">
        <v>1501</v>
      </c>
      <c r="D206" s="79" t="s">
        <v>1489</v>
      </c>
      <c r="E206" s="79">
        <v>0</v>
      </c>
      <c r="F206" s="79"/>
      <c r="G206" s="80"/>
      <c r="H206" s="3" t="str">
        <f t="shared" si="1"/>
        <v>TRUNCATE TABLE total_long_open_posi_fee;#0</v>
      </c>
    </row>
    <row r="207" spans="1:14" s="3" customFormat="1" hidden="1" outlineLevel="1" x14ac:dyDescent="0.25">
      <c r="A207" s="77"/>
      <c r="B207" s="78" t="s">
        <v>38</v>
      </c>
      <c r="C207" s="79" t="s">
        <v>1502</v>
      </c>
      <c r="D207" s="79" t="s">
        <v>1489</v>
      </c>
      <c r="E207" s="79">
        <v>0</v>
      </c>
      <c r="F207" s="79"/>
      <c r="G207" s="80"/>
      <c r="H207" s="3" t="str">
        <f t="shared" si="1"/>
        <v>TRUNCATE TABLE total_short_open_posi_fee;#0</v>
      </c>
    </row>
    <row r="208" spans="1:14" s="3" customFormat="1" hidden="1" outlineLevel="1" x14ac:dyDescent="0.25">
      <c r="A208" s="77"/>
      <c r="B208" s="78" t="s">
        <v>39</v>
      </c>
      <c r="C208" s="79" t="s">
        <v>1503</v>
      </c>
      <c r="D208" s="79" t="s">
        <v>1489</v>
      </c>
      <c r="E208" s="79">
        <v>0</v>
      </c>
      <c r="F208" s="79"/>
      <c r="G208" s="80"/>
      <c r="H208" s="3" t="str">
        <f t="shared" si="1"/>
        <v>TRUNCATE TABLE total_long_close_posi_value;#0</v>
      </c>
    </row>
    <row r="209" spans="1:8" s="3" customFormat="1" hidden="1" outlineLevel="1" x14ac:dyDescent="0.25">
      <c r="A209" s="77"/>
      <c r="B209" s="78" t="s">
        <v>40</v>
      </c>
      <c r="C209" s="79" t="s">
        <v>1504</v>
      </c>
      <c r="D209" s="79" t="s">
        <v>1489</v>
      </c>
      <c r="E209" s="79">
        <v>0</v>
      </c>
      <c r="F209" s="79"/>
      <c r="G209" s="80"/>
      <c r="H209" s="3" t="str">
        <f t="shared" si="1"/>
        <v>TRUNCATE TABLE total_short_close_posi_value;#0</v>
      </c>
    </row>
    <row r="210" spans="1:8" s="3" customFormat="1" hidden="1" outlineLevel="1" x14ac:dyDescent="0.25">
      <c r="A210" s="77"/>
      <c r="B210" s="78" t="s">
        <v>41</v>
      </c>
      <c r="C210" s="79" t="s">
        <v>1505</v>
      </c>
      <c r="D210" s="79" t="s">
        <v>1486</v>
      </c>
      <c r="E210" s="79">
        <v>0</v>
      </c>
      <c r="F210" s="79"/>
      <c r="G210" s="80"/>
      <c r="H210" s="3" t="str">
        <f t="shared" si="1"/>
        <v>TRUNCATE TABLE total_long_close_posi_qty;#0</v>
      </c>
    </row>
    <row r="211" spans="1:8" s="3" customFormat="1" hidden="1" outlineLevel="1" x14ac:dyDescent="0.25">
      <c r="A211" s="77"/>
      <c r="B211" s="78" t="s">
        <v>42</v>
      </c>
      <c r="C211" s="79" t="s">
        <v>1506</v>
      </c>
      <c r="D211" s="79" t="s">
        <v>1486</v>
      </c>
      <c r="E211" s="79">
        <v>0</v>
      </c>
      <c r="F211" s="79"/>
      <c r="G211" s="80"/>
      <c r="H211" s="3" t="str">
        <f t="shared" si="1"/>
        <v>TRUNCATE TABLE total_short_close_posi_qty;#0</v>
      </c>
    </row>
    <row r="212" spans="1:8" s="3" customFormat="1" hidden="1" outlineLevel="1" x14ac:dyDescent="0.25">
      <c r="A212" s="77"/>
      <c r="B212" s="78" t="s">
        <v>43</v>
      </c>
      <c r="C212" s="79" t="s">
        <v>1507</v>
      </c>
      <c r="D212" s="79" t="s">
        <v>1489</v>
      </c>
      <c r="E212" s="79">
        <v>0</v>
      </c>
      <c r="F212" s="79"/>
      <c r="G212" s="80"/>
      <c r="H212" s="3" t="str">
        <f t="shared" si="1"/>
        <v>TRUNCATE TABLE total_long_close_posi_fee;#0</v>
      </c>
    </row>
    <row r="213" spans="1:8" s="3" customFormat="1" hidden="1" outlineLevel="1" x14ac:dyDescent="0.25">
      <c r="A213" s="77"/>
      <c r="B213" s="78" t="s">
        <v>44</v>
      </c>
      <c r="C213" s="79" t="s">
        <v>1508</v>
      </c>
      <c r="D213" s="79" t="s">
        <v>1489</v>
      </c>
      <c r="E213" s="79">
        <v>0</v>
      </c>
      <c r="F213" s="79"/>
      <c r="G213" s="80"/>
      <c r="H213" s="3" t="str">
        <f t="shared" si="1"/>
        <v>TRUNCATE TABLE total_short_close_posi_fee;#0</v>
      </c>
    </row>
    <row r="214" spans="1:8" s="3" customFormat="1" hidden="1" outlineLevel="1" x14ac:dyDescent="0.25">
      <c r="A214" s="77"/>
      <c r="B214" s="78" t="s">
        <v>45</v>
      </c>
      <c r="C214" s="79" t="s">
        <v>1509</v>
      </c>
      <c r="D214" s="79" t="s">
        <v>1489</v>
      </c>
      <c r="E214" s="79">
        <v>0</v>
      </c>
      <c r="F214" s="79"/>
      <c r="G214" s="80"/>
      <c r="H214" s="3" t="str">
        <f t="shared" si="1"/>
        <v>TRUNCATE TABLE total_realize_pandl;#0</v>
      </c>
    </row>
    <row r="215" spans="1:8" s="3" customFormat="1" hidden="1" outlineLevel="1" x14ac:dyDescent="0.25">
      <c r="A215" s="77"/>
      <c r="B215" s="28" t="s">
        <v>46</v>
      </c>
      <c r="C215" s="79" t="s">
        <v>1510</v>
      </c>
      <c r="D215" s="79" t="s">
        <v>1486</v>
      </c>
      <c r="E215" s="79">
        <v>0</v>
      </c>
      <c r="F215" s="79" t="s">
        <v>1470</v>
      </c>
      <c r="G215" s="80"/>
      <c r="H215" s="3" t="str">
        <f t="shared" si="1"/>
        <v>TRUNCATE TABLE long_curr_qty;#0</v>
      </c>
    </row>
    <row r="216" spans="1:8" s="3" customFormat="1" hidden="1" outlineLevel="1" x14ac:dyDescent="0.25">
      <c r="A216" s="77"/>
      <c r="B216" s="28" t="s">
        <v>47</v>
      </c>
      <c r="C216" s="79" t="s">
        <v>1511</v>
      </c>
      <c r="D216" s="79" t="s">
        <v>1486</v>
      </c>
      <c r="E216" s="79">
        <v>0</v>
      </c>
      <c r="F216" s="79" t="s">
        <v>1470</v>
      </c>
      <c r="G216" s="80"/>
      <c r="H216" s="3" t="str">
        <f t="shared" si="1"/>
        <v>TRUNCATE TABLE short_curr_qty;#0</v>
      </c>
    </row>
    <row r="217" spans="1:8" s="3" customFormat="1" hidden="1" outlineLevel="1" x14ac:dyDescent="0.25">
      <c r="A217" s="77"/>
      <c r="B217" s="28" t="s">
        <v>48</v>
      </c>
      <c r="C217" s="79" t="s">
        <v>1512</v>
      </c>
      <c r="D217" s="79" t="s">
        <v>1489</v>
      </c>
      <c r="E217" s="79">
        <v>0</v>
      </c>
      <c r="F217" s="79"/>
      <c r="G217" s="80"/>
      <c r="H217" s="3" t="str">
        <f t="shared" si="1"/>
        <v>TRUNCATE TABLE long_open_posi_value;#0</v>
      </c>
    </row>
    <row r="218" spans="1:8" s="3" customFormat="1" hidden="1" outlineLevel="1" x14ac:dyDescent="0.25">
      <c r="A218" s="77"/>
      <c r="B218" s="28" t="s">
        <v>49</v>
      </c>
      <c r="C218" s="79" t="s">
        <v>1513</v>
      </c>
      <c r="D218" s="79" t="s">
        <v>1489</v>
      </c>
      <c r="E218" s="79">
        <v>0</v>
      </c>
      <c r="F218" s="79"/>
      <c r="G218" s="80"/>
      <c r="H218" s="3" t="str">
        <f t="shared" si="1"/>
        <v>TRUNCATE TABLE short_open_posi_value;#0</v>
      </c>
    </row>
    <row r="219" spans="1:8" s="3" customFormat="1" hidden="1" outlineLevel="1" x14ac:dyDescent="0.25">
      <c r="A219" s="77"/>
      <c r="B219" s="28" t="s">
        <v>50</v>
      </c>
      <c r="C219" s="79" t="s">
        <v>1514</v>
      </c>
      <c r="D219" s="79" t="s">
        <v>1489</v>
      </c>
      <c r="E219" s="79">
        <v>0</v>
      </c>
      <c r="F219" s="79" t="s">
        <v>1470</v>
      </c>
      <c r="G219" s="80"/>
      <c r="H219" s="3" t="str">
        <f t="shared" si="1"/>
        <v>TRUNCATE TABLE long_open_posi_fee;#0</v>
      </c>
    </row>
    <row r="220" spans="1:8" s="3" customFormat="1" hidden="1" outlineLevel="1" x14ac:dyDescent="0.25">
      <c r="A220" s="77"/>
      <c r="B220" s="28" t="s">
        <v>51</v>
      </c>
      <c r="C220" s="79" t="s">
        <v>1515</v>
      </c>
      <c r="D220" s="79" t="s">
        <v>1489</v>
      </c>
      <c r="E220" s="79">
        <v>0</v>
      </c>
      <c r="F220" s="79" t="s">
        <v>1470</v>
      </c>
      <c r="G220" s="80"/>
      <c r="H220" s="3" t="str">
        <f t="shared" si="1"/>
        <v>TRUNCATE TABLE short_open_posi_fee;#0</v>
      </c>
    </row>
    <row r="221" spans="1:8" s="3" customFormat="1" hidden="1" outlineLevel="1" x14ac:dyDescent="0.25">
      <c r="A221" s="77"/>
      <c r="B221" s="28" t="s">
        <v>52</v>
      </c>
      <c r="C221" s="79" t="s">
        <v>1516</v>
      </c>
      <c r="D221" s="79" t="s">
        <v>1486</v>
      </c>
      <c r="E221" s="79">
        <v>0</v>
      </c>
      <c r="F221" s="79" t="s">
        <v>1470</v>
      </c>
      <c r="G221" s="80"/>
      <c r="H221" s="3" t="str">
        <f t="shared" si="1"/>
        <v>TRUNCATE TABLE long_close_posi_qty;#0</v>
      </c>
    </row>
    <row r="222" spans="1:8" s="3" customFormat="1" hidden="1" outlineLevel="1" x14ac:dyDescent="0.25">
      <c r="A222" s="77"/>
      <c r="B222" s="28" t="s">
        <v>53</v>
      </c>
      <c r="C222" s="79" t="s">
        <v>1517</v>
      </c>
      <c r="D222" s="79" t="s">
        <v>1486</v>
      </c>
      <c r="E222" s="79">
        <v>0</v>
      </c>
      <c r="F222" s="79" t="s">
        <v>1470</v>
      </c>
      <c r="G222" s="80"/>
      <c r="H222" s="3" t="str">
        <f t="shared" si="1"/>
        <v>TRUNCATE TABLE short_close_posi_qty;#0</v>
      </c>
    </row>
    <row r="223" spans="1:8" s="3" customFormat="1" hidden="1" outlineLevel="1" x14ac:dyDescent="0.25">
      <c r="A223" s="77"/>
      <c r="B223" s="28" t="s">
        <v>54</v>
      </c>
      <c r="C223" s="79" t="s">
        <v>1518</v>
      </c>
      <c r="D223" s="79" t="s">
        <v>1489</v>
      </c>
      <c r="E223" s="79">
        <v>0</v>
      </c>
      <c r="F223" s="79"/>
      <c r="G223" s="80"/>
      <c r="H223" s="3" t="str">
        <f t="shared" si="1"/>
        <v>TRUNCATE TABLE long_close_posi_value;#0</v>
      </c>
    </row>
    <row r="224" spans="1:8" s="3" customFormat="1" hidden="1" outlineLevel="1" x14ac:dyDescent="0.25">
      <c r="A224" s="77"/>
      <c r="B224" s="28" t="s">
        <v>55</v>
      </c>
      <c r="C224" s="79" t="s">
        <v>1519</v>
      </c>
      <c r="D224" s="79" t="s">
        <v>1489</v>
      </c>
      <c r="E224" s="79">
        <v>0</v>
      </c>
      <c r="F224" s="79"/>
      <c r="G224" s="80"/>
      <c r="H224" s="3" t="str">
        <f t="shared" si="1"/>
        <v>TRUNCATE TABLE short_close_posi_value;#0</v>
      </c>
    </row>
    <row r="225" spans="1:27" s="3" customFormat="1" hidden="1" outlineLevel="1" x14ac:dyDescent="0.25">
      <c r="A225" s="77"/>
      <c r="B225" s="28" t="s">
        <v>56</v>
      </c>
      <c r="C225" s="79" t="s">
        <v>1520</v>
      </c>
      <c r="D225" s="79" t="s">
        <v>1489</v>
      </c>
      <c r="E225" s="79">
        <v>0</v>
      </c>
      <c r="F225" s="79"/>
      <c r="G225" s="80"/>
      <c r="H225" s="3" t="str">
        <f t="shared" si="1"/>
        <v>TRUNCATE TABLE long_close_posi_fee;#0</v>
      </c>
    </row>
    <row r="226" spans="1:27" s="3" customFormat="1" hidden="1" outlineLevel="1" x14ac:dyDescent="0.25">
      <c r="A226" s="77"/>
      <c r="B226" s="28" t="s">
        <v>57</v>
      </c>
      <c r="C226" s="79" t="s">
        <v>1521</v>
      </c>
      <c r="D226" s="79" t="s">
        <v>1489</v>
      </c>
      <c r="E226" s="79">
        <v>0</v>
      </c>
      <c r="F226" s="79"/>
      <c r="G226" s="80"/>
      <c r="H226" s="3" t="str">
        <f t="shared" si="1"/>
        <v>TRUNCATE TABLE short_close_posi_fee;#0</v>
      </c>
    </row>
    <row r="227" spans="1:27" s="3" customFormat="1" hidden="1" outlineLevel="1" x14ac:dyDescent="0.25">
      <c r="A227" s="77"/>
      <c r="B227" s="81" t="s">
        <v>24</v>
      </c>
      <c r="C227" s="79" t="s">
        <v>1491</v>
      </c>
      <c r="D227" s="79" t="s">
        <v>1489</v>
      </c>
      <c r="E227" s="79">
        <v>0</v>
      </c>
      <c r="F227" s="79" t="s">
        <v>1470</v>
      </c>
      <c r="G227" s="80"/>
      <c r="H227" s="3" t="str">
        <f t="shared" si="1"/>
        <v>TRUNCATE TABLE realize_pandl;#0</v>
      </c>
    </row>
    <row r="228" spans="1:27" s="3" customFormat="1" hidden="1" outlineLevel="1" x14ac:dyDescent="0.25">
      <c r="A228" s="77"/>
      <c r="B228" s="81" t="s">
        <v>58</v>
      </c>
      <c r="C228" s="79" t="s">
        <v>1522</v>
      </c>
      <c r="D228" s="79" t="s">
        <v>1489</v>
      </c>
      <c r="E228" s="79">
        <v>0</v>
      </c>
      <c r="F228" s="79" t="s">
        <v>1470</v>
      </c>
      <c r="G228" s="80"/>
      <c r="H228" s="3" t="str">
        <f t="shared" si="1"/>
        <v>TRUNCATE TABLE over_night_pandl;#0</v>
      </c>
    </row>
    <row r="229" spans="1:27" s="4" customFormat="1" ht="17.399999999999999" hidden="1" customHeight="1" outlineLevel="1" thickBot="1" x14ac:dyDescent="0.4">
      <c r="A229" s="5"/>
      <c r="B229" s="67"/>
      <c r="C229" s="84"/>
      <c r="D229" s="84"/>
      <c r="E229" s="84"/>
      <c r="F229" s="84"/>
      <c r="G229" s="85"/>
      <c r="H229" s="5"/>
      <c r="I229" s="5"/>
      <c r="J229" s="5"/>
      <c r="K229" s="5"/>
      <c r="L229" s="5"/>
      <c r="M229" s="5"/>
    </row>
    <row r="230" spans="1:27" s="4" customFormat="1" ht="17.399999999999999" hidden="1" customHeight="1" outlineLevel="1" x14ac:dyDescent="0.35">
      <c r="A230" s="5"/>
      <c r="B230" s="386" t="s">
        <v>28</v>
      </c>
      <c r="C230" s="387"/>
      <c r="D230" s="387"/>
      <c r="E230" s="387"/>
      <c r="F230" s="387"/>
      <c r="G230" s="388"/>
      <c r="H230" s="5"/>
      <c r="I230" s="5"/>
      <c r="J230" s="5"/>
      <c r="K230" s="5"/>
      <c r="L230" s="5"/>
      <c r="M230" s="5"/>
    </row>
    <row r="231" spans="1:27" s="4" customFormat="1" ht="17.399999999999999" hidden="1" customHeight="1" outlineLevel="1" x14ac:dyDescent="0.35">
      <c r="A231" s="5"/>
      <c r="B231" s="32" t="s">
        <v>2</v>
      </c>
      <c r="C231" s="33" t="s">
        <v>3</v>
      </c>
      <c r="D231" s="33" t="s">
        <v>4</v>
      </c>
      <c r="E231" s="33"/>
      <c r="F231" s="33"/>
      <c r="G231" s="34" t="s">
        <v>6</v>
      </c>
      <c r="H231" s="5"/>
      <c r="I231" s="5"/>
      <c r="J231" s="5"/>
      <c r="K231" s="5"/>
      <c r="L231" s="5"/>
      <c r="M231" s="5"/>
    </row>
    <row r="232" spans="1:27" s="4" customFormat="1" ht="17.399999999999999" hidden="1" customHeight="1" outlineLevel="1" thickBot="1" x14ac:dyDescent="0.4">
      <c r="A232" s="5"/>
      <c r="B232" s="97"/>
      <c r="C232" s="98"/>
      <c r="D232" s="98"/>
      <c r="E232" s="98"/>
      <c r="F232" s="98"/>
      <c r="G232" s="99"/>
      <c r="H232" s="5"/>
      <c r="I232" s="5"/>
      <c r="J232" s="5"/>
      <c r="K232" s="5"/>
      <c r="L232" s="5"/>
      <c r="M232" s="5"/>
    </row>
    <row r="233" spans="1:27" s="4" customFormat="1" ht="17.399999999999999" hidden="1" customHeight="1" outlineLevel="1" x14ac:dyDescent="0.35">
      <c r="A233" s="5"/>
      <c r="B233" s="380" t="s">
        <v>29</v>
      </c>
      <c r="C233" s="381"/>
      <c r="D233" s="381"/>
      <c r="E233" s="381"/>
      <c r="F233" s="381"/>
      <c r="G233" s="382"/>
      <c r="H233" s="5"/>
      <c r="I233" s="5"/>
      <c r="J233" s="5"/>
      <c r="K233" s="5"/>
      <c r="L233" s="5"/>
      <c r="M233" s="5"/>
    </row>
    <row r="234" spans="1:27" s="291" customFormat="1" hidden="1" outlineLevel="1" x14ac:dyDescent="0.35">
      <c r="A234" s="14"/>
      <c r="B234" s="201"/>
      <c r="C234" s="107"/>
      <c r="D234" s="107"/>
      <c r="E234" s="107"/>
      <c r="F234" s="107"/>
      <c r="G234" s="108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s="291" customFormat="1" hidden="1" outlineLevel="1" x14ac:dyDescent="0.35">
      <c r="A235" s="14"/>
      <c r="B235" s="300" t="s">
        <v>543</v>
      </c>
      <c r="C235" s="107"/>
      <c r="D235" s="107"/>
      <c r="E235" s="107"/>
      <c r="F235" s="107"/>
      <c r="G235" s="377" t="s">
        <v>2413</v>
      </c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s="291" customFormat="1" ht="16.2" hidden="1" outlineLevel="1" thickBot="1" x14ac:dyDescent="0.4">
      <c r="A236" s="14"/>
      <c r="B236" s="157"/>
      <c r="C236" s="202"/>
      <c r="D236" s="202"/>
      <c r="E236" s="202"/>
      <c r="F236" s="202"/>
      <c r="G236" s="203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s="291" customFormat="1" hidden="1" outlineLevel="1" x14ac:dyDescent="0.35">
      <c r="A237" s="14"/>
      <c r="B237" s="7"/>
      <c r="C237" s="7"/>
      <c r="D237" s="7"/>
      <c r="E237" s="7"/>
      <c r="F237" s="7"/>
      <c r="G237" s="7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s="291" customFormat="1" ht="16.2" hidden="1" outlineLevel="1" thickBot="1" x14ac:dyDescent="0.4">
      <c r="A238" s="14"/>
      <c r="B238" s="7"/>
      <c r="C238" s="7"/>
      <c r="D238" s="7"/>
      <c r="E238" s="7"/>
      <c r="F238" s="7"/>
      <c r="G238" s="7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s="3" customFormat="1" ht="17.399999999999999" customHeight="1" collapsed="1" thickBot="1" x14ac:dyDescent="0.3">
      <c r="A239" s="5"/>
      <c r="B239" s="15" t="s">
        <v>1279</v>
      </c>
      <c r="C239" s="16" t="s">
        <v>1909</v>
      </c>
      <c r="D239" s="17" t="s">
        <v>1281</v>
      </c>
      <c r="E239" s="16" t="s">
        <v>544</v>
      </c>
      <c r="F239" s="17" t="s">
        <v>1282</v>
      </c>
      <c r="G239" s="18" t="s">
        <v>1910</v>
      </c>
    </row>
    <row r="240" spans="1:27" s="3" customFormat="1" ht="17.399999999999999" hidden="1" customHeight="1" outlineLevel="1" x14ac:dyDescent="0.25">
      <c r="A240" s="5"/>
      <c r="B240" s="19" t="s">
        <v>1284</v>
      </c>
      <c r="C240" s="20" t="s">
        <v>1285</v>
      </c>
      <c r="D240" s="21" t="s">
        <v>1286</v>
      </c>
      <c r="E240" s="20" t="s">
        <v>1911</v>
      </c>
      <c r="F240" s="21" t="s">
        <v>1288</v>
      </c>
      <c r="G240" s="22" t="s">
        <v>1314</v>
      </c>
    </row>
    <row r="241" spans="1:27" s="3" customFormat="1" ht="17.399999999999999" hidden="1" customHeight="1" outlineLevel="1" thickBot="1" x14ac:dyDescent="0.3">
      <c r="A241" s="5"/>
      <c r="B241" s="19" t="s">
        <v>1290</v>
      </c>
      <c r="C241" s="23" t="s">
        <v>1291</v>
      </c>
      <c r="D241" s="21" t="s">
        <v>1292</v>
      </c>
      <c r="E241" s="23">
        <v>5</v>
      </c>
      <c r="F241" s="21" t="s">
        <v>1293</v>
      </c>
      <c r="G241" s="24" t="s">
        <v>1294</v>
      </c>
    </row>
    <row r="242" spans="1:27" s="3" customFormat="1" ht="17.399999999999999" hidden="1" customHeight="1" outlineLevel="1" x14ac:dyDescent="0.25">
      <c r="A242" s="5"/>
      <c r="B242" s="395" t="s">
        <v>1</v>
      </c>
      <c r="C242" s="396"/>
      <c r="D242" s="396"/>
      <c r="E242" s="396"/>
      <c r="F242" s="396"/>
      <c r="G242" s="397"/>
    </row>
    <row r="243" spans="1:27" s="3" customFormat="1" ht="17.399999999999999" hidden="1" customHeight="1" outlineLevel="1" x14ac:dyDescent="0.25">
      <c r="A243" s="5"/>
      <c r="B243" s="25" t="s">
        <v>2</v>
      </c>
      <c r="C243" s="26" t="s">
        <v>3</v>
      </c>
      <c r="D243" s="26" t="s">
        <v>4</v>
      </c>
      <c r="E243" s="26" t="s">
        <v>5</v>
      </c>
      <c r="F243" s="26"/>
      <c r="G243" s="27" t="s">
        <v>6</v>
      </c>
    </row>
    <row r="244" spans="1:27" s="3" customFormat="1" hidden="1" outlineLevel="1" x14ac:dyDescent="0.25">
      <c r="B244" s="28" t="s">
        <v>13</v>
      </c>
      <c r="C244" s="29" t="s">
        <v>1474</v>
      </c>
      <c r="D244" s="29" t="s">
        <v>1469</v>
      </c>
      <c r="E244" s="29">
        <v>0</v>
      </c>
      <c r="F244" s="29" t="s">
        <v>1470</v>
      </c>
      <c r="G244" s="30"/>
      <c r="J244" s="3" t="s">
        <v>10</v>
      </c>
      <c r="K244" s="3" t="s">
        <v>173</v>
      </c>
      <c r="L244" s="3" t="s">
        <v>9</v>
      </c>
      <c r="M244" s="3" t="s">
        <v>9</v>
      </c>
      <c r="N244" s="3">
        <v>2534</v>
      </c>
    </row>
    <row r="245" spans="1:27" s="3" customFormat="1" hidden="1" outlineLevel="1" x14ac:dyDescent="0.25">
      <c r="B245" s="28" t="s">
        <v>73</v>
      </c>
      <c r="C245" s="29" t="s">
        <v>1528</v>
      </c>
      <c r="D245" s="29" t="s">
        <v>1469</v>
      </c>
      <c r="E245" s="29" t="s">
        <v>1480</v>
      </c>
      <c r="F245" s="29" t="s">
        <v>1481</v>
      </c>
      <c r="G245" s="30"/>
      <c r="J245" s="3" t="s">
        <v>10</v>
      </c>
      <c r="K245" s="3" t="s">
        <v>173</v>
      </c>
      <c r="L245" s="3" t="s">
        <v>9</v>
      </c>
      <c r="M245" s="3" t="s">
        <v>9</v>
      </c>
      <c r="N245" s="3">
        <v>1767</v>
      </c>
    </row>
    <row r="246" spans="1:27" s="3" customFormat="1" hidden="1" outlineLevel="1" x14ac:dyDescent="0.25">
      <c r="B246" s="28" t="s">
        <v>74</v>
      </c>
      <c r="C246" s="29" t="s">
        <v>1529</v>
      </c>
      <c r="D246" s="29" t="s">
        <v>1469</v>
      </c>
      <c r="E246" s="29" t="s">
        <v>1480</v>
      </c>
      <c r="F246" s="29" t="s">
        <v>1481</v>
      </c>
      <c r="G246" s="30"/>
      <c r="J246" s="3" t="s">
        <v>10</v>
      </c>
      <c r="K246" s="3" t="s">
        <v>173</v>
      </c>
      <c r="L246" s="3" t="s">
        <v>9</v>
      </c>
      <c r="M246" s="3" t="s">
        <v>9</v>
      </c>
      <c r="N246" s="3">
        <v>1713</v>
      </c>
    </row>
    <row r="247" spans="1:27" s="3" customFormat="1" hidden="1" outlineLevel="1" x14ac:dyDescent="0.25">
      <c r="B247" s="28" t="s">
        <v>17</v>
      </c>
      <c r="C247" s="29" t="s">
        <v>1483</v>
      </c>
      <c r="D247" s="29" t="s">
        <v>1469</v>
      </c>
      <c r="E247" s="29">
        <v>0</v>
      </c>
      <c r="F247" s="29" t="s">
        <v>1470</v>
      </c>
      <c r="G247" s="30" t="s">
        <v>1484</v>
      </c>
      <c r="J247" s="3" t="s">
        <v>10</v>
      </c>
      <c r="K247" s="3" t="s">
        <v>173</v>
      </c>
      <c r="L247" s="3" t="s">
        <v>9</v>
      </c>
      <c r="M247" s="3" t="s">
        <v>9</v>
      </c>
      <c r="N247" s="3">
        <v>1097</v>
      </c>
    </row>
    <row r="248" spans="1:27" s="4" customFormat="1" hidden="1" outlineLevel="1" x14ac:dyDescent="0.35">
      <c r="A248" s="14"/>
      <c r="B248" s="31" t="s">
        <v>302</v>
      </c>
      <c r="C248" s="84" t="s">
        <v>1727</v>
      </c>
      <c r="D248" s="84" t="s">
        <v>1606</v>
      </c>
      <c r="E248" s="84" t="s">
        <v>1594</v>
      </c>
      <c r="F248" s="84" t="s">
        <v>1470</v>
      </c>
      <c r="G248" s="85"/>
      <c r="H248" s="14"/>
      <c r="I248" s="14"/>
      <c r="J248" s="14" t="s">
        <v>187</v>
      </c>
      <c r="K248" s="14" t="s">
        <v>438</v>
      </c>
      <c r="L248" s="14" t="s">
        <v>537</v>
      </c>
      <c r="M248" s="14" t="s">
        <v>187</v>
      </c>
      <c r="N248" s="14">
        <v>1700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s="4" customFormat="1" hidden="1" outlineLevel="1" x14ac:dyDescent="0.35">
      <c r="A249" s="14"/>
      <c r="B249" s="31" t="s">
        <v>265</v>
      </c>
      <c r="C249" s="84" t="s">
        <v>1692</v>
      </c>
      <c r="D249" s="84" t="s">
        <v>1606</v>
      </c>
      <c r="E249" s="84" t="s">
        <v>1594</v>
      </c>
      <c r="F249" s="84" t="s">
        <v>1470</v>
      </c>
      <c r="G249" s="85"/>
      <c r="H249" s="14"/>
      <c r="I249" s="14"/>
      <c r="J249" s="14" t="s">
        <v>187</v>
      </c>
      <c r="K249" s="14" t="s">
        <v>438</v>
      </c>
      <c r="L249" s="14" t="s">
        <v>537</v>
      </c>
      <c r="M249" s="14" t="s">
        <v>187</v>
      </c>
      <c r="N249" s="14">
        <v>1114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s="4" customFormat="1" hidden="1" outlineLevel="1" x14ac:dyDescent="0.35">
      <c r="A250" s="14"/>
      <c r="B250" s="31" t="s">
        <v>538</v>
      </c>
      <c r="C250" s="84" t="s">
        <v>2062</v>
      </c>
      <c r="D250" s="84" t="s">
        <v>1606</v>
      </c>
      <c r="E250" s="84" t="s">
        <v>1594</v>
      </c>
      <c r="F250" s="84"/>
      <c r="G250" s="85"/>
      <c r="H250" s="14"/>
      <c r="I250" s="14"/>
      <c r="J250" s="14" t="s">
        <v>187</v>
      </c>
      <c r="K250" s="14" t="s">
        <v>438</v>
      </c>
      <c r="L250" s="14" t="s">
        <v>537</v>
      </c>
      <c r="M250" s="14" t="s">
        <v>187</v>
      </c>
      <c r="N250" s="14">
        <v>1607</v>
      </c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s="4" customFormat="1" ht="16.2" hidden="1" outlineLevel="1" thickBot="1" x14ac:dyDescent="0.4">
      <c r="A251" s="14"/>
      <c r="B251" s="91"/>
      <c r="C251" s="92"/>
      <c r="D251" s="92"/>
      <c r="E251" s="92"/>
      <c r="F251" s="92"/>
      <c r="G251" s="93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s="4" customFormat="1" hidden="1" outlineLevel="1" x14ac:dyDescent="0.35">
      <c r="A252" s="14"/>
      <c r="B252" s="392" t="s">
        <v>18</v>
      </c>
      <c r="C252" s="393"/>
      <c r="D252" s="393"/>
      <c r="E252" s="393"/>
      <c r="F252" s="393"/>
      <c r="G252" s="39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s="4" customFormat="1" hidden="1" outlineLevel="1" x14ac:dyDescent="0.35">
      <c r="A253" s="14"/>
      <c r="B253" s="94" t="s">
        <v>2</v>
      </c>
      <c r="C253" s="95" t="s">
        <v>3</v>
      </c>
      <c r="D253" s="95" t="s">
        <v>4</v>
      </c>
      <c r="E253" s="95" t="s">
        <v>5</v>
      </c>
      <c r="F253" s="95"/>
      <c r="G253" s="96" t="s">
        <v>6</v>
      </c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s="292" customFormat="1" ht="17.399999999999999" hidden="1" customHeight="1" outlineLevel="1" x14ac:dyDescent="0.35">
      <c r="A254" s="14"/>
      <c r="B254" s="228" t="s">
        <v>7</v>
      </c>
      <c r="C254" s="228" t="s">
        <v>1468</v>
      </c>
      <c r="D254" s="228" t="s">
        <v>1469</v>
      </c>
      <c r="E254" s="228">
        <v>0</v>
      </c>
      <c r="F254" s="228" t="s">
        <v>1470</v>
      </c>
      <c r="G254" s="228" t="s">
        <v>1471</v>
      </c>
      <c r="H254" s="14"/>
      <c r="I254" s="14"/>
      <c r="J254" s="14" t="s">
        <v>10</v>
      </c>
      <c r="K254" s="14" t="s">
        <v>173</v>
      </c>
      <c r="L254" s="14" t="s">
        <v>9</v>
      </c>
      <c r="M254" s="14" t="s">
        <v>9</v>
      </c>
      <c r="N254" s="14">
        <v>1112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s="292" customFormat="1" ht="17.399999999999999" hidden="1" customHeight="1" outlineLevel="1" x14ac:dyDescent="0.35">
      <c r="A255" s="14"/>
      <c r="B255" s="228" t="s">
        <v>11</v>
      </c>
      <c r="C255" s="228" t="s">
        <v>1472</v>
      </c>
      <c r="D255" s="228" t="s">
        <v>1469</v>
      </c>
      <c r="E255" s="228">
        <v>0</v>
      </c>
      <c r="F255" s="228" t="s">
        <v>1470</v>
      </c>
      <c r="G255" s="228" t="s">
        <v>1473</v>
      </c>
      <c r="H255" s="14"/>
      <c r="I255" s="14"/>
      <c r="J255" s="14" t="s">
        <v>12</v>
      </c>
      <c r="K255" s="14" t="s">
        <v>174</v>
      </c>
      <c r="L255" s="14" t="s">
        <v>175</v>
      </c>
      <c r="M255" s="14" t="s">
        <v>176</v>
      </c>
      <c r="N255" s="14">
        <v>1700</v>
      </c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s="292" customFormat="1" ht="17.399999999999999" hidden="1" customHeight="1" outlineLevel="1" x14ac:dyDescent="0.35">
      <c r="A256" s="14"/>
      <c r="B256" s="228" t="s">
        <v>13</v>
      </c>
      <c r="C256" s="228" t="s">
        <v>1474</v>
      </c>
      <c r="D256" s="228" t="s">
        <v>1469</v>
      </c>
      <c r="E256" s="228">
        <v>0</v>
      </c>
      <c r="F256" s="228" t="s">
        <v>1470</v>
      </c>
      <c r="G256" s="228"/>
      <c r="H256" s="14"/>
      <c r="I256" s="14"/>
      <c r="J256" s="14" t="s">
        <v>10</v>
      </c>
      <c r="K256" s="14" t="s">
        <v>173</v>
      </c>
      <c r="L256" s="14" t="s">
        <v>9</v>
      </c>
      <c r="M256" s="14" t="s">
        <v>9</v>
      </c>
      <c r="N256" s="14">
        <v>2534</v>
      </c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s="292" customFormat="1" ht="17.399999999999999" hidden="1" customHeight="1" outlineLevel="1" x14ac:dyDescent="0.35">
      <c r="A257" s="14"/>
      <c r="B257" s="228" t="s">
        <v>25</v>
      </c>
      <c r="C257" s="228" t="s">
        <v>1492</v>
      </c>
      <c r="D257" s="228" t="s">
        <v>1469</v>
      </c>
      <c r="E257" s="228">
        <v>0</v>
      </c>
      <c r="F257" s="228" t="s">
        <v>1470</v>
      </c>
      <c r="G257" s="228" t="s">
        <v>1484</v>
      </c>
      <c r="H257" s="14"/>
      <c r="I257" s="14"/>
      <c r="J257" s="14" t="s">
        <v>10</v>
      </c>
      <c r="K257" s="14" t="s">
        <v>173</v>
      </c>
      <c r="L257" s="14" t="s">
        <v>9</v>
      </c>
      <c r="M257" s="14" t="s">
        <v>9</v>
      </c>
      <c r="N257" s="14">
        <v>1080</v>
      </c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s="292" customFormat="1" ht="17.399999999999999" hidden="1" customHeight="1" outlineLevel="1" x14ac:dyDescent="0.35">
      <c r="A258" s="14"/>
      <c r="B258" s="228" t="s">
        <v>61</v>
      </c>
      <c r="C258" s="228" t="s">
        <v>1523</v>
      </c>
      <c r="D258" s="228" t="s">
        <v>1489</v>
      </c>
      <c r="E258" s="228">
        <v>0</v>
      </c>
      <c r="F258" s="228" t="s">
        <v>1470</v>
      </c>
      <c r="G258" s="228" t="s">
        <v>1524</v>
      </c>
      <c r="H258" s="14"/>
      <c r="I258" s="14"/>
      <c r="J258" s="14" t="s">
        <v>20</v>
      </c>
      <c r="K258" s="14" t="s">
        <v>445</v>
      </c>
      <c r="L258" s="14" t="s">
        <v>446</v>
      </c>
      <c r="M258" s="14" t="s">
        <v>446</v>
      </c>
      <c r="N258" s="14">
        <v>1984</v>
      </c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s="292" customFormat="1" ht="17.399999999999999" hidden="1" customHeight="1" outlineLevel="1" x14ac:dyDescent="0.35">
      <c r="A259" s="14"/>
      <c r="B259" s="228" t="s">
        <v>62</v>
      </c>
      <c r="C259" s="228" t="s">
        <v>1525</v>
      </c>
      <c r="D259" s="228" t="s">
        <v>1489</v>
      </c>
      <c r="E259" s="228">
        <v>0</v>
      </c>
      <c r="F259" s="228"/>
      <c r="G259" s="228"/>
      <c r="H259" s="14"/>
      <c r="I259" s="14"/>
      <c r="J259" s="14" t="s">
        <v>20</v>
      </c>
      <c r="K259" s="14" t="s">
        <v>445</v>
      </c>
      <c r="L259" s="14" t="s">
        <v>446</v>
      </c>
      <c r="M259" s="14" t="s">
        <v>446</v>
      </c>
      <c r="N259" s="14">
        <v>1202</v>
      </c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s="292" customFormat="1" ht="17.399999999999999" hidden="1" customHeight="1" outlineLevel="1" x14ac:dyDescent="0.35">
      <c r="A260" s="14"/>
      <c r="B260" s="228" t="s">
        <v>63</v>
      </c>
      <c r="C260" s="228" t="s">
        <v>1526</v>
      </c>
      <c r="D260" s="228" t="s">
        <v>1489</v>
      </c>
      <c r="E260" s="228">
        <v>0</v>
      </c>
      <c r="F260" s="228"/>
      <c r="G260" s="228"/>
      <c r="H260" s="14"/>
      <c r="I260" s="14"/>
      <c r="J260" s="14" t="s">
        <v>20</v>
      </c>
      <c r="K260" s="14" t="s">
        <v>445</v>
      </c>
      <c r="L260" s="14" t="s">
        <v>446</v>
      </c>
      <c r="M260" s="14" t="s">
        <v>446</v>
      </c>
      <c r="N260" s="14">
        <v>1682</v>
      </c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s="292" customFormat="1" ht="17.399999999999999" hidden="1" customHeight="1" outlineLevel="1" x14ac:dyDescent="0.35">
      <c r="A261" s="14"/>
      <c r="B261" s="228" t="s">
        <v>64</v>
      </c>
      <c r="C261" s="228" t="s">
        <v>1527</v>
      </c>
      <c r="D261" s="228" t="s">
        <v>1489</v>
      </c>
      <c r="E261" s="228">
        <v>0</v>
      </c>
      <c r="F261" s="228"/>
      <c r="G261" s="228"/>
      <c r="H261" s="14"/>
      <c r="I261" s="14"/>
      <c r="J261" s="14" t="s">
        <v>20</v>
      </c>
      <c r="K261" s="14" t="s">
        <v>445</v>
      </c>
      <c r="L261" s="14" t="s">
        <v>446</v>
      </c>
      <c r="M261" s="14" t="s">
        <v>446</v>
      </c>
      <c r="N261" s="14">
        <v>1274</v>
      </c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s="292" customFormat="1" ht="17.399999999999999" hidden="1" customHeight="1" outlineLevel="1" x14ac:dyDescent="0.35">
      <c r="A262" s="14"/>
      <c r="B262" s="228" t="s">
        <v>22</v>
      </c>
      <c r="C262" s="228" t="s">
        <v>1488</v>
      </c>
      <c r="D262" s="228" t="s">
        <v>1489</v>
      </c>
      <c r="E262" s="228">
        <v>0</v>
      </c>
      <c r="F262" s="228" t="s">
        <v>1470</v>
      </c>
      <c r="G262" s="228" t="s">
        <v>1490</v>
      </c>
      <c r="H262" s="14"/>
      <c r="I262" s="14"/>
      <c r="J262" s="14" t="s">
        <v>20</v>
      </c>
      <c r="K262" s="14" t="s">
        <v>445</v>
      </c>
      <c r="L262" s="14" t="s">
        <v>446</v>
      </c>
      <c r="M262" s="14" t="s">
        <v>446</v>
      </c>
      <c r="N262" s="14">
        <v>2052</v>
      </c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s="292" customFormat="1" ht="17.399999999999999" hidden="1" customHeight="1" outlineLevel="1" x14ac:dyDescent="0.35">
      <c r="A263" s="14"/>
      <c r="B263" s="228" t="s">
        <v>26</v>
      </c>
      <c r="C263" s="228" t="s">
        <v>1493</v>
      </c>
      <c r="D263" s="228" t="s">
        <v>1494</v>
      </c>
      <c r="E263" s="228">
        <v>0</v>
      </c>
      <c r="F263" s="228" t="s">
        <v>1470</v>
      </c>
      <c r="G263" s="228"/>
      <c r="H263" s="14"/>
      <c r="I263" s="14"/>
      <c r="J263" s="14" t="s">
        <v>20</v>
      </c>
      <c r="K263" s="14" t="s">
        <v>445</v>
      </c>
      <c r="L263" s="14" t="s">
        <v>446</v>
      </c>
      <c r="M263" s="14" t="s">
        <v>446</v>
      </c>
      <c r="N263" s="14">
        <v>2183</v>
      </c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s="4" customFormat="1" ht="16.2" hidden="1" outlineLevel="1" thickBot="1" x14ac:dyDescent="0.4">
      <c r="A264" s="14"/>
      <c r="B264" s="67"/>
      <c r="C264" s="84"/>
      <c r="D264" s="84"/>
      <c r="E264" s="84"/>
      <c r="F264" s="84"/>
      <c r="G264" s="85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s="4" customFormat="1" hidden="1" outlineLevel="1" x14ac:dyDescent="0.35">
      <c r="A265" s="14"/>
      <c r="B265" s="389" t="s">
        <v>28</v>
      </c>
      <c r="C265" s="390"/>
      <c r="D265" s="390"/>
      <c r="E265" s="390"/>
      <c r="F265" s="390"/>
      <c r="G265" s="391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s="4" customFormat="1" hidden="1" outlineLevel="1" x14ac:dyDescent="0.35">
      <c r="A266" s="14"/>
      <c r="B266" s="32" t="s">
        <v>2</v>
      </c>
      <c r="C266" s="33" t="s">
        <v>3</v>
      </c>
      <c r="D266" s="33" t="s">
        <v>4</v>
      </c>
      <c r="E266" s="33"/>
      <c r="F266" s="33"/>
      <c r="G266" s="34" t="s">
        <v>6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s="4" customFormat="1" hidden="1" outlineLevel="1" x14ac:dyDescent="0.35">
      <c r="A267" s="14"/>
      <c r="B267" s="57"/>
      <c r="C267" s="58"/>
      <c r="D267" s="58"/>
      <c r="E267" s="58"/>
      <c r="F267" s="58"/>
      <c r="G267" s="59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s="4" customFormat="1" ht="16.2" hidden="1" outlineLevel="1" thickBot="1" x14ac:dyDescent="0.4">
      <c r="A268" s="14"/>
      <c r="B268" s="100"/>
      <c r="C268" s="101"/>
      <c r="D268" s="101"/>
      <c r="E268" s="101"/>
      <c r="F268" s="101"/>
      <c r="G268" s="102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s="4" customFormat="1" hidden="1" outlineLevel="1" x14ac:dyDescent="0.35">
      <c r="A269" s="14"/>
      <c r="B269" s="392" t="s">
        <v>29</v>
      </c>
      <c r="C269" s="393"/>
      <c r="D269" s="393"/>
      <c r="E269" s="393"/>
      <c r="F269" s="393"/>
      <c r="G269" s="39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s="4" customFormat="1" hidden="1" outlineLevel="1" x14ac:dyDescent="0.35">
      <c r="A270" s="14"/>
      <c r="B270" s="64"/>
      <c r="C270" s="65"/>
      <c r="D270" s="65"/>
      <c r="E270" s="65"/>
      <c r="F270" s="65"/>
      <c r="G270" s="66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s="4" customFormat="1" hidden="1" outlineLevel="1" x14ac:dyDescent="0.35">
      <c r="A271" s="14"/>
      <c r="B271" s="301" t="s">
        <v>545</v>
      </c>
      <c r="C271" s="65"/>
      <c r="D271" s="65"/>
      <c r="E271" s="65"/>
      <c r="F271" s="65"/>
      <c r="G271" s="371" t="s">
        <v>2414</v>
      </c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s="4" customFormat="1" ht="16.2" hidden="1" outlineLevel="1" thickBot="1" x14ac:dyDescent="0.4">
      <c r="A272" s="14"/>
      <c r="B272" s="103"/>
      <c r="C272" s="92"/>
      <c r="D272" s="92"/>
      <c r="E272" s="92"/>
      <c r="F272" s="92"/>
      <c r="G272" s="93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6.2" hidden="1" outlineLevel="1" thickBot="1" x14ac:dyDescent="0.3"/>
    <row r="274" spans="1:27" s="3" customFormat="1" ht="17.399999999999999" customHeight="1" collapsed="1" thickBot="1" x14ac:dyDescent="0.3">
      <c r="A274" s="5"/>
      <c r="B274" s="15" t="s">
        <v>1279</v>
      </c>
      <c r="C274" s="16" t="s">
        <v>1912</v>
      </c>
      <c r="D274" s="17" t="s">
        <v>1281</v>
      </c>
      <c r="E274" s="16" t="s">
        <v>546</v>
      </c>
      <c r="F274" s="17" t="s">
        <v>1282</v>
      </c>
      <c r="G274" s="18" t="s">
        <v>1913</v>
      </c>
    </row>
    <row r="275" spans="1:27" s="3" customFormat="1" ht="17.399999999999999" hidden="1" customHeight="1" outlineLevel="1" x14ac:dyDescent="0.25">
      <c r="A275" s="5"/>
      <c r="B275" s="19" t="s">
        <v>1284</v>
      </c>
      <c r="C275" s="20" t="s">
        <v>1285</v>
      </c>
      <c r="D275" s="21" t="s">
        <v>1286</v>
      </c>
      <c r="E275" s="20" t="s">
        <v>1914</v>
      </c>
      <c r="F275" s="21" t="s">
        <v>1288</v>
      </c>
      <c r="G275" s="22" t="s">
        <v>1318</v>
      </c>
    </row>
    <row r="276" spans="1:27" s="3" customFormat="1" ht="17.399999999999999" hidden="1" customHeight="1" outlineLevel="1" thickBot="1" x14ac:dyDescent="0.3">
      <c r="A276" s="5"/>
      <c r="B276" s="19" t="s">
        <v>1290</v>
      </c>
      <c r="C276" s="23" t="s">
        <v>1291</v>
      </c>
      <c r="D276" s="21" t="s">
        <v>1292</v>
      </c>
      <c r="E276" s="23">
        <v>5</v>
      </c>
      <c r="F276" s="21" t="s">
        <v>1293</v>
      </c>
      <c r="G276" s="24" t="s">
        <v>1294</v>
      </c>
    </row>
    <row r="277" spans="1:27" s="3" customFormat="1" ht="17.399999999999999" hidden="1" customHeight="1" outlineLevel="1" x14ac:dyDescent="0.25">
      <c r="A277" s="5"/>
      <c r="B277" s="395" t="s">
        <v>1</v>
      </c>
      <c r="C277" s="396"/>
      <c r="D277" s="396"/>
      <c r="E277" s="396"/>
      <c r="F277" s="396"/>
      <c r="G277" s="397"/>
    </row>
    <row r="278" spans="1:27" s="3" customFormat="1" ht="17.399999999999999" hidden="1" customHeight="1" outlineLevel="1" x14ac:dyDescent="0.25">
      <c r="A278" s="5"/>
      <c r="B278" s="25" t="s">
        <v>2</v>
      </c>
      <c r="C278" s="26" t="s">
        <v>3</v>
      </c>
      <c r="D278" s="26" t="s">
        <v>4</v>
      </c>
      <c r="E278" s="26" t="s">
        <v>5</v>
      </c>
      <c r="F278" s="26"/>
      <c r="G278" s="27" t="s">
        <v>6</v>
      </c>
    </row>
    <row r="279" spans="1:27" s="3" customFormat="1" hidden="1" outlineLevel="1" x14ac:dyDescent="0.25">
      <c r="B279" s="28" t="s">
        <v>7</v>
      </c>
      <c r="C279" s="29" t="s">
        <v>1468</v>
      </c>
      <c r="D279" s="29" t="s">
        <v>1469</v>
      </c>
      <c r="E279" s="29">
        <v>0</v>
      </c>
      <c r="F279" s="29" t="s">
        <v>1470</v>
      </c>
      <c r="G279" s="30" t="s">
        <v>1471</v>
      </c>
      <c r="J279" s="3" t="s">
        <v>10</v>
      </c>
      <c r="K279" s="3" t="s">
        <v>173</v>
      </c>
      <c r="L279" s="3" t="s">
        <v>9</v>
      </c>
      <c r="M279" s="3" t="s">
        <v>9</v>
      </c>
      <c r="N279" s="3">
        <v>1112</v>
      </c>
    </row>
    <row r="280" spans="1:27" s="3" customFormat="1" hidden="1" outlineLevel="1" x14ac:dyDescent="0.25">
      <c r="B280" s="28" t="s">
        <v>14</v>
      </c>
      <c r="C280" s="29" t="s">
        <v>1475</v>
      </c>
      <c r="D280" s="29" t="s">
        <v>1469</v>
      </c>
      <c r="E280" s="29">
        <v>0</v>
      </c>
      <c r="F280" s="29" t="s">
        <v>1476</v>
      </c>
      <c r="G280" s="30" t="s">
        <v>1477</v>
      </c>
      <c r="J280" s="3" t="s">
        <v>10</v>
      </c>
      <c r="K280" s="3" t="s">
        <v>173</v>
      </c>
      <c r="L280" s="3" t="s">
        <v>9</v>
      </c>
      <c r="M280" s="3" t="s">
        <v>9</v>
      </c>
      <c r="N280" s="3">
        <v>2155</v>
      </c>
    </row>
    <row r="281" spans="1:27" s="3" customFormat="1" hidden="1" outlineLevel="1" x14ac:dyDescent="0.25">
      <c r="B281" s="28" t="s">
        <v>15</v>
      </c>
      <c r="C281" s="29" t="s">
        <v>1478</v>
      </c>
      <c r="D281" s="29" t="s">
        <v>1469</v>
      </c>
      <c r="E281" s="29">
        <v>0</v>
      </c>
      <c r="F281" s="29" t="s">
        <v>1470</v>
      </c>
      <c r="G281" s="30"/>
      <c r="J281" s="3" t="s">
        <v>10</v>
      </c>
      <c r="K281" s="3" t="s">
        <v>173</v>
      </c>
      <c r="L281" s="3" t="s">
        <v>9</v>
      </c>
      <c r="M281" s="3" t="s">
        <v>9</v>
      </c>
      <c r="N281" s="3">
        <v>2430</v>
      </c>
    </row>
    <row r="282" spans="1:27" s="3" customFormat="1" hidden="1" outlineLevel="1" x14ac:dyDescent="0.25">
      <c r="B282" s="28" t="s">
        <v>87</v>
      </c>
      <c r="C282" s="29" t="s">
        <v>1535</v>
      </c>
      <c r="D282" s="29" t="s">
        <v>1469</v>
      </c>
      <c r="E282" s="29">
        <v>0</v>
      </c>
      <c r="F282" s="29" t="s">
        <v>1476</v>
      </c>
      <c r="G282" s="30"/>
      <c r="J282" s="3" t="s">
        <v>10</v>
      </c>
      <c r="K282" s="3" t="s">
        <v>173</v>
      </c>
      <c r="L282" s="3" t="s">
        <v>9</v>
      </c>
      <c r="M282" s="3" t="s">
        <v>9</v>
      </c>
      <c r="N282" s="3">
        <v>2433</v>
      </c>
    </row>
    <row r="283" spans="1:27" s="291" customFormat="1" hidden="1" outlineLevel="1" x14ac:dyDescent="0.35">
      <c r="A283" s="14"/>
      <c r="B283" s="404" t="s">
        <v>18</v>
      </c>
      <c r="C283" s="405"/>
      <c r="D283" s="405"/>
      <c r="E283" s="405"/>
      <c r="F283" s="405"/>
      <c r="G283" s="406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s="291" customFormat="1" hidden="1" outlineLevel="1" x14ac:dyDescent="0.35">
      <c r="A284" s="14"/>
      <c r="B284" s="201" t="s">
        <v>2</v>
      </c>
      <c r="C284" s="107" t="s">
        <v>3</v>
      </c>
      <c r="D284" s="107" t="s">
        <v>4</v>
      </c>
      <c r="E284" s="107" t="s">
        <v>5</v>
      </c>
      <c r="F284" s="107"/>
      <c r="G284" s="108" t="s">
        <v>6</v>
      </c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s="7" customFormat="1" ht="17.399999999999999" hidden="1" customHeight="1" outlineLevel="1" x14ac:dyDescent="0.25">
      <c r="A285" s="14"/>
      <c r="B285" s="204" t="s">
        <v>7</v>
      </c>
      <c r="C285" s="205" t="s">
        <v>1468</v>
      </c>
      <c r="D285" s="205" t="s">
        <v>1469</v>
      </c>
      <c r="E285" s="205">
        <v>0</v>
      </c>
      <c r="F285" s="205" t="s">
        <v>1470</v>
      </c>
      <c r="G285" s="206" t="s">
        <v>1471</v>
      </c>
      <c r="H285" s="14"/>
      <c r="I285" s="14"/>
      <c r="J285" s="14" t="s">
        <v>10</v>
      </c>
      <c r="K285" s="14" t="s">
        <v>173</v>
      </c>
      <c r="L285" s="14" t="s">
        <v>9</v>
      </c>
      <c r="M285" s="14" t="s">
        <v>9</v>
      </c>
      <c r="N285" s="14">
        <v>1112</v>
      </c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s="291" customFormat="1" ht="17.399999999999999" hidden="1" customHeight="1" outlineLevel="1" x14ac:dyDescent="0.35">
      <c r="A286" s="14"/>
      <c r="B286" s="201" t="s">
        <v>14</v>
      </c>
      <c r="C286" s="107" t="s">
        <v>1475</v>
      </c>
      <c r="D286" s="107" t="s">
        <v>1469</v>
      </c>
      <c r="E286" s="107">
        <v>0</v>
      </c>
      <c r="F286" s="107" t="s">
        <v>1476</v>
      </c>
      <c r="G286" s="108" t="s">
        <v>1477</v>
      </c>
      <c r="H286" s="14"/>
      <c r="I286" s="14"/>
      <c r="J286" s="14" t="s">
        <v>10</v>
      </c>
      <c r="K286" s="14" t="s">
        <v>173</v>
      </c>
      <c r="L286" s="14" t="s">
        <v>9</v>
      </c>
      <c r="M286" s="14" t="s">
        <v>9</v>
      </c>
      <c r="N286" s="14">
        <v>2155</v>
      </c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s="291" customFormat="1" ht="17.399999999999999" hidden="1" customHeight="1" outlineLevel="1" x14ac:dyDescent="0.35">
      <c r="A287" s="14"/>
      <c r="B287" s="201" t="s">
        <v>15</v>
      </c>
      <c r="C287" s="107" t="s">
        <v>1478</v>
      </c>
      <c r="D287" s="107" t="s">
        <v>1469</v>
      </c>
      <c r="E287" s="107">
        <v>0</v>
      </c>
      <c r="F287" s="107" t="s">
        <v>1470</v>
      </c>
      <c r="G287" s="108"/>
      <c r="H287" s="14"/>
      <c r="I287" s="14"/>
      <c r="J287" s="14" t="s">
        <v>10</v>
      </c>
      <c r="K287" s="14" t="s">
        <v>173</v>
      </c>
      <c r="L287" s="14" t="s">
        <v>9</v>
      </c>
      <c r="M287" s="14" t="s">
        <v>9</v>
      </c>
      <c r="N287" s="14">
        <v>2430</v>
      </c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s="291" customFormat="1" ht="17.399999999999999" hidden="1" customHeight="1" outlineLevel="1" x14ac:dyDescent="0.35">
      <c r="A288" s="14"/>
      <c r="B288" s="201" t="s">
        <v>87</v>
      </c>
      <c r="C288" s="107" t="s">
        <v>1535</v>
      </c>
      <c r="D288" s="107" t="s">
        <v>1469</v>
      </c>
      <c r="E288" s="107">
        <v>0</v>
      </c>
      <c r="F288" s="107" t="s">
        <v>1476</v>
      </c>
      <c r="G288" s="108"/>
      <c r="H288" s="14"/>
      <c r="I288" s="14"/>
      <c r="J288" s="14" t="s">
        <v>10</v>
      </c>
      <c r="K288" s="14" t="s">
        <v>173</v>
      </c>
      <c r="L288" s="14" t="s">
        <v>9</v>
      </c>
      <c r="M288" s="14" t="s">
        <v>9</v>
      </c>
      <c r="N288" s="14">
        <v>2433</v>
      </c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s="291" customFormat="1" ht="17.399999999999999" hidden="1" customHeight="1" outlineLevel="1" x14ac:dyDescent="0.35">
      <c r="A289" s="14"/>
      <c r="B289" s="201" t="s">
        <v>88</v>
      </c>
      <c r="C289" s="107" t="s">
        <v>1536</v>
      </c>
      <c r="D289" s="107" t="s">
        <v>1486</v>
      </c>
      <c r="E289" s="107">
        <v>0</v>
      </c>
      <c r="F289" s="107"/>
      <c r="G289" s="108"/>
      <c r="H289" s="14"/>
      <c r="I289" s="14"/>
      <c r="J289" s="14" t="s">
        <v>20</v>
      </c>
      <c r="K289" s="14" t="s">
        <v>445</v>
      </c>
      <c r="L289" s="14" t="s">
        <v>446</v>
      </c>
      <c r="M289" s="14" t="s">
        <v>446</v>
      </c>
      <c r="N289" s="14">
        <v>1270</v>
      </c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s="291" customFormat="1" ht="17.399999999999999" hidden="1" customHeight="1" outlineLevel="1" x14ac:dyDescent="0.35">
      <c r="A290" s="14"/>
      <c r="B290" s="201" t="s">
        <v>89</v>
      </c>
      <c r="C290" s="107" t="s">
        <v>1537</v>
      </c>
      <c r="D290" s="107" t="s">
        <v>1486</v>
      </c>
      <c r="E290" s="107">
        <v>0</v>
      </c>
      <c r="F290" s="107"/>
      <c r="G290" s="108"/>
      <c r="H290" s="14"/>
      <c r="I290" s="14"/>
      <c r="J290" s="14" t="s">
        <v>20</v>
      </c>
      <c r="K290" s="14" t="s">
        <v>445</v>
      </c>
      <c r="L290" s="14" t="s">
        <v>446</v>
      </c>
      <c r="M290" s="14" t="s">
        <v>446</v>
      </c>
      <c r="N290" s="14">
        <v>1273</v>
      </c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s="291" customFormat="1" ht="17.399999999999999" hidden="1" customHeight="1" outlineLevel="1" x14ac:dyDescent="0.35">
      <c r="A291" s="14"/>
      <c r="B291" s="201" t="s">
        <v>19</v>
      </c>
      <c r="C291" s="107" t="s">
        <v>1485</v>
      </c>
      <c r="D291" s="107" t="s">
        <v>1486</v>
      </c>
      <c r="E291" s="107">
        <v>0</v>
      </c>
      <c r="F291" s="107"/>
      <c r="G291" s="108"/>
      <c r="H291" s="14"/>
      <c r="I291" s="14"/>
      <c r="J291" s="14" t="s">
        <v>20</v>
      </c>
      <c r="K291" s="14" t="s">
        <v>445</v>
      </c>
      <c r="L291" s="14" t="s">
        <v>446</v>
      </c>
      <c r="M291" s="14" t="s">
        <v>446</v>
      </c>
      <c r="N291" s="14">
        <v>1203</v>
      </c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s="291" customFormat="1" ht="17.399999999999999" hidden="1" customHeight="1" outlineLevel="1" x14ac:dyDescent="0.35">
      <c r="A292" s="14"/>
      <c r="B292" s="201" t="s">
        <v>90</v>
      </c>
      <c r="C292" s="107" t="s">
        <v>1538</v>
      </c>
      <c r="D292" s="107" t="s">
        <v>1539</v>
      </c>
      <c r="E292" s="107">
        <v>0</v>
      </c>
      <c r="F292" s="107" t="s">
        <v>1470</v>
      </c>
      <c r="G292" s="108" t="s">
        <v>1540</v>
      </c>
      <c r="H292" s="14"/>
      <c r="I292" s="14"/>
      <c r="J292" s="14" t="s">
        <v>20</v>
      </c>
      <c r="K292" s="14" t="s">
        <v>445</v>
      </c>
      <c r="L292" s="14" t="s">
        <v>446</v>
      </c>
      <c r="M292" s="14" t="s">
        <v>446</v>
      </c>
      <c r="N292" s="14">
        <v>1162</v>
      </c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s="291" customFormat="1" ht="17.399999999999999" hidden="1" customHeight="1" outlineLevel="1" x14ac:dyDescent="0.35">
      <c r="A293" s="14"/>
      <c r="B293" s="201" t="s">
        <v>91</v>
      </c>
      <c r="C293" s="107" t="s">
        <v>1541</v>
      </c>
      <c r="D293" s="107" t="s">
        <v>1539</v>
      </c>
      <c r="E293" s="107">
        <v>0</v>
      </c>
      <c r="F293" s="107" t="s">
        <v>1470</v>
      </c>
      <c r="G293" s="108"/>
      <c r="H293" s="14"/>
      <c r="I293" s="14"/>
      <c r="J293" s="14" t="s">
        <v>20</v>
      </c>
      <c r="K293" s="14" t="s">
        <v>445</v>
      </c>
      <c r="L293" s="14" t="s">
        <v>446</v>
      </c>
      <c r="M293" s="14" t="s">
        <v>446</v>
      </c>
      <c r="N293" s="14">
        <v>1727</v>
      </c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s="291" customFormat="1" ht="17.399999999999999" hidden="1" customHeight="1" outlineLevel="1" x14ac:dyDescent="0.35">
      <c r="A294" s="14"/>
      <c r="B294" s="201" t="s">
        <v>62</v>
      </c>
      <c r="C294" s="107" t="s">
        <v>1525</v>
      </c>
      <c r="D294" s="107" t="s">
        <v>1489</v>
      </c>
      <c r="E294" s="107">
        <v>0</v>
      </c>
      <c r="F294" s="107"/>
      <c r="G294" s="108"/>
      <c r="H294" s="14"/>
      <c r="I294" s="14"/>
      <c r="J294" s="14" t="s">
        <v>20</v>
      </c>
      <c r="K294" s="14" t="s">
        <v>445</v>
      </c>
      <c r="L294" s="14" t="s">
        <v>446</v>
      </c>
      <c r="M294" s="14" t="s">
        <v>446</v>
      </c>
      <c r="N294" s="14">
        <v>1202</v>
      </c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s="291" customFormat="1" hidden="1" outlineLevel="1" x14ac:dyDescent="0.35">
      <c r="A295" s="14"/>
      <c r="B295" s="201"/>
      <c r="C295" s="107"/>
      <c r="D295" s="107"/>
      <c r="E295" s="107"/>
      <c r="F295" s="107"/>
      <c r="G295" s="108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s="291" customFormat="1" hidden="1" outlineLevel="1" x14ac:dyDescent="0.35">
      <c r="A296" s="14"/>
      <c r="B296" s="201"/>
      <c r="C296" s="107"/>
      <c r="D296" s="107"/>
      <c r="E296" s="107"/>
      <c r="F296" s="107"/>
      <c r="G296" s="108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s="291" customFormat="1" ht="16.2" hidden="1" outlineLevel="1" thickBot="1" x14ac:dyDescent="0.4">
      <c r="A297" s="14"/>
      <c r="B297" s="156"/>
      <c r="C297" s="207"/>
      <c r="D297" s="207"/>
      <c r="E297" s="207"/>
      <c r="F297" s="207"/>
      <c r="G297" s="208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s="291" customFormat="1" hidden="1" outlineLevel="1" x14ac:dyDescent="0.35">
      <c r="A298" s="14"/>
      <c r="B298" s="407" t="s">
        <v>28</v>
      </c>
      <c r="C298" s="408"/>
      <c r="D298" s="408"/>
      <c r="E298" s="408"/>
      <c r="F298" s="408"/>
      <c r="G298" s="409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s="291" customFormat="1" hidden="1" outlineLevel="1" x14ac:dyDescent="0.35">
      <c r="A299" s="14"/>
      <c r="B299" s="201" t="s">
        <v>2</v>
      </c>
      <c r="C299" s="107" t="s">
        <v>3</v>
      </c>
      <c r="D299" s="107" t="s">
        <v>4</v>
      </c>
      <c r="E299" s="107"/>
      <c r="F299" s="107"/>
      <c r="G299" s="108" t="s">
        <v>6</v>
      </c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s="291" customFormat="1" hidden="1" outlineLevel="1" x14ac:dyDescent="0.35">
      <c r="A300" s="14"/>
      <c r="B300" s="156"/>
      <c r="C300" s="107"/>
      <c r="D300" s="107"/>
      <c r="E300" s="107"/>
      <c r="F300" s="107"/>
      <c r="G300" s="108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s="291" customFormat="1" hidden="1" outlineLevel="1" x14ac:dyDescent="0.35">
      <c r="A301" s="14"/>
      <c r="B301" s="156"/>
      <c r="C301" s="107"/>
      <c r="D301" s="107"/>
      <c r="E301" s="107"/>
      <c r="F301" s="107"/>
      <c r="G301" s="108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s="291" customFormat="1" ht="16.2" hidden="1" outlineLevel="1" thickBot="1" x14ac:dyDescent="0.4">
      <c r="A302" s="14"/>
      <c r="B302" s="156"/>
      <c r="C302" s="107"/>
      <c r="D302" s="107"/>
      <c r="E302" s="107"/>
      <c r="F302" s="107"/>
      <c r="G302" s="108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s="291" customFormat="1" hidden="1" outlineLevel="1" x14ac:dyDescent="0.35">
      <c r="A303" s="14"/>
      <c r="B303" s="407" t="s">
        <v>29</v>
      </c>
      <c r="C303" s="408"/>
      <c r="D303" s="408"/>
      <c r="E303" s="408"/>
      <c r="F303" s="408"/>
      <c r="G303" s="409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s="291" customFormat="1" hidden="1" outlineLevel="1" x14ac:dyDescent="0.35">
      <c r="A304" s="14"/>
      <c r="B304" s="156" t="s">
        <v>547</v>
      </c>
      <c r="C304" s="107"/>
      <c r="D304" s="107"/>
      <c r="E304" s="107"/>
      <c r="F304" s="107"/>
      <c r="G304" s="377" t="s">
        <v>2415</v>
      </c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s="7" customFormat="1" hidden="1" outlineLevel="1" x14ac:dyDescent="0.25">
      <c r="A305" s="14"/>
      <c r="B305" s="156"/>
      <c r="C305" s="107"/>
      <c r="D305" s="107"/>
      <c r="E305" s="107"/>
      <c r="F305" s="107"/>
      <c r="G305" s="108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s="291" customFormat="1" ht="16.2" hidden="1" outlineLevel="1" thickBot="1" x14ac:dyDescent="0.4">
      <c r="A306" s="14"/>
      <c r="B306" s="157"/>
      <c r="C306" s="202"/>
      <c r="D306" s="202"/>
      <c r="E306" s="202"/>
      <c r="F306" s="202"/>
      <c r="G306" s="203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s="7" customFormat="1" ht="16.2" hidden="1" outlineLevel="1" thickBot="1" x14ac:dyDescent="0.3">
      <c r="A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s="3" customFormat="1" ht="17.399999999999999" customHeight="1" collapsed="1" thickBot="1" x14ac:dyDescent="0.3">
      <c r="A308" s="5"/>
      <c r="B308" s="15" t="s">
        <v>1279</v>
      </c>
      <c r="C308" s="16" t="s">
        <v>1915</v>
      </c>
      <c r="D308" s="17" t="s">
        <v>1281</v>
      </c>
      <c r="E308" s="16" t="s">
        <v>548</v>
      </c>
      <c r="F308" s="17" t="s">
        <v>1282</v>
      </c>
      <c r="G308" s="18" t="s">
        <v>1916</v>
      </c>
    </row>
    <row r="309" spans="1:27" s="3" customFormat="1" ht="17.399999999999999" hidden="1" customHeight="1" outlineLevel="1" x14ac:dyDescent="0.25">
      <c r="A309" s="5"/>
      <c r="B309" s="19" t="s">
        <v>1284</v>
      </c>
      <c r="C309" s="20" t="s">
        <v>1285</v>
      </c>
      <c r="D309" s="21" t="s">
        <v>1286</v>
      </c>
      <c r="E309" s="20" t="s">
        <v>1917</v>
      </c>
      <c r="F309" s="21" t="s">
        <v>1288</v>
      </c>
      <c r="G309" s="22" t="s">
        <v>1322</v>
      </c>
    </row>
    <row r="310" spans="1:27" s="3" customFormat="1" ht="17.399999999999999" hidden="1" customHeight="1" outlineLevel="1" thickBot="1" x14ac:dyDescent="0.3">
      <c r="A310" s="5"/>
      <c r="B310" s="19" t="s">
        <v>1290</v>
      </c>
      <c r="C310" s="23" t="s">
        <v>1291</v>
      </c>
      <c r="D310" s="21" t="s">
        <v>1292</v>
      </c>
      <c r="E310" s="23">
        <v>5</v>
      </c>
      <c r="F310" s="21" t="s">
        <v>1293</v>
      </c>
      <c r="G310" s="24" t="s">
        <v>1294</v>
      </c>
    </row>
    <row r="311" spans="1:27" s="3" customFormat="1" ht="17.399999999999999" hidden="1" customHeight="1" outlineLevel="1" x14ac:dyDescent="0.25">
      <c r="A311" s="5"/>
      <c r="B311" s="395" t="s">
        <v>1</v>
      </c>
      <c r="C311" s="396"/>
      <c r="D311" s="396"/>
      <c r="E311" s="396"/>
      <c r="F311" s="396"/>
      <c r="G311" s="397"/>
    </row>
    <row r="312" spans="1:27" s="3" customFormat="1" ht="17.399999999999999" hidden="1" customHeight="1" outlineLevel="1" x14ac:dyDescent="0.25">
      <c r="A312" s="5"/>
      <c r="B312" s="25" t="s">
        <v>2</v>
      </c>
      <c r="C312" s="26" t="s">
        <v>3</v>
      </c>
      <c r="D312" s="26" t="s">
        <v>4</v>
      </c>
      <c r="E312" s="26" t="s">
        <v>5</v>
      </c>
      <c r="F312" s="26"/>
      <c r="G312" s="27" t="s">
        <v>6</v>
      </c>
    </row>
    <row r="313" spans="1:27" s="3" customFormat="1" hidden="1" outlineLevel="1" x14ac:dyDescent="0.25">
      <c r="B313" s="28" t="s">
        <v>14</v>
      </c>
      <c r="C313" s="29" t="s">
        <v>1475</v>
      </c>
      <c r="D313" s="29" t="s">
        <v>1469</v>
      </c>
      <c r="E313" s="29">
        <v>0</v>
      </c>
      <c r="F313" s="29" t="s">
        <v>1476</v>
      </c>
      <c r="G313" s="30" t="s">
        <v>1477</v>
      </c>
      <c r="J313" s="3" t="s">
        <v>10</v>
      </c>
      <c r="K313" s="3" t="s">
        <v>173</v>
      </c>
      <c r="L313" s="3" t="s">
        <v>9</v>
      </c>
      <c r="M313" s="3" t="s">
        <v>9</v>
      </c>
      <c r="N313" s="3">
        <v>2155</v>
      </c>
    </row>
    <row r="314" spans="1:27" s="3" customFormat="1" hidden="1" outlineLevel="1" x14ac:dyDescent="0.25">
      <c r="B314" s="28" t="s">
        <v>15</v>
      </c>
      <c r="C314" s="29" t="s">
        <v>1478</v>
      </c>
      <c r="D314" s="29" t="s">
        <v>1469</v>
      </c>
      <c r="E314" s="29">
        <v>0</v>
      </c>
      <c r="F314" s="29" t="s">
        <v>1470</v>
      </c>
      <c r="G314" s="30"/>
      <c r="J314" s="3" t="s">
        <v>10</v>
      </c>
      <c r="K314" s="3" t="s">
        <v>173</v>
      </c>
      <c r="L314" s="3" t="s">
        <v>9</v>
      </c>
      <c r="M314" s="3" t="s">
        <v>9</v>
      </c>
      <c r="N314" s="3">
        <v>2430</v>
      </c>
    </row>
    <row r="315" spans="1:27" s="3" customFormat="1" hidden="1" outlineLevel="1" x14ac:dyDescent="0.25">
      <c r="B315" s="28" t="s">
        <v>87</v>
      </c>
      <c r="C315" s="29" t="s">
        <v>1535</v>
      </c>
      <c r="D315" s="29" t="s">
        <v>1469</v>
      </c>
      <c r="E315" s="29">
        <v>0</v>
      </c>
      <c r="F315" s="29" t="s">
        <v>1476</v>
      </c>
      <c r="G315" s="30"/>
      <c r="J315" s="3" t="s">
        <v>10</v>
      </c>
      <c r="K315" s="3" t="s">
        <v>173</v>
      </c>
      <c r="L315" s="3" t="s">
        <v>9</v>
      </c>
      <c r="M315" s="3" t="s">
        <v>9</v>
      </c>
      <c r="N315" s="3">
        <v>2433</v>
      </c>
    </row>
    <row r="316" spans="1:27" s="291" customFormat="1" ht="16.2" hidden="1" outlineLevel="1" thickBot="1" x14ac:dyDescent="0.4">
      <c r="A316" s="14"/>
      <c r="B316" s="157"/>
      <c r="C316" s="202"/>
      <c r="D316" s="202"/>
      <c r="E316" s="202"/>
      <c r="F316" s="202"/>
      <c r="G316" s="203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s="291" customFormat="1" hidden="1" outlineLevel="1" x14ac:dyDescent="0.35">
      <c r="A317" s="14"/>
      <c r="B317" s="407" t="s">
        <v>18</v>
      </c>
      <c r="C317" s="408"/>
      <c r="D317" s="408"/>
      <c r="E317" s="408"/>
      <c r="F317" s="408"/>
      <c r="G317" s="409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s="291" customFormat="1" hidden="1" outlineLevel="1" x14ac:dyDescent="0.35">
      <c r="A318" s="14"/>
      <c r="B318" s="201" t="s">
        <v>2</v>
      </c>
      <c r="C318" s="107" t="s">
        <v>3</v>
      </c>
      <c r="D318" s="107" t="s">
        <v>4</v>
      </c>
      <c r="E318" s="107" t="s">
        <v>5</v>
      </c>
      <c r="F318" s="107"/>
      <c r="G318" s="108" t="s">
        <v>6</v>
      </c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s="291" customFormat="1" ht="17.399999999999999" hidden="1" customHeight="1" outlineLevel="1" x14ac:dyDescent="0.35">
      <c r="A319" s="14"/>
      <c r="B319" s="201" t="s">
        <v>14</v>
      </c>
      <c r="C319" s="107" t="s">
        <v>1475</v>
      </c>
      <c r="D319" s="107" t="s">
        <v>1469</v>
      </c>
      <c r="E319" s="107">
        <v>0</v>
      </c>
      <c r="F319" s="107" t="s">
        <v>1476</v>
      </c>
      <c r="G319" s="108" t="s">
        <v>1477</v>
      </c>
      <c r="H319" s="14"/>
      <c r="I319" s="14"/>
      <c r="J319" s="14" t="s">
        <v>10</v>
      </c>
      <c r="K319" s="14" t="s">
        <v>173</v>
      </c>
      <c r="L319" s="14" t="s">
        <v>9</v>
      </c>
      <c r="M319" s="14" t="s">
        <v>9</v>
      </c>
      <c r="N319" s="14">
        <v>2155</v>
      </c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s="291" customFormat="1" ht="17.399999999999999" hidden="1" customHeight="1" outlineLevel="1" x14ac:dyDescent="0.35">
      <c r="A320" s="14"/>
      <c r="B320" s="201" t="s">
        <v>15</v>
      </c>
      <c r="C320" s="107" t="s">
        <v>1478</v>
      </c>
      <c r="D320" s="107" t="s">
        <v>1469</v>
      </c>
      <c r="E320" s="107">
        <v>0</v>
      </c>
      <c r="F320" s="107" t="s">
        <v>1470</v>
      </c>
      <c r="G320" s="108"/>
      <c r="H320" s="14"/>
      <c r="I320" s="14"/>
      <c r="J320" s="14" t="s">
        <v>10</v>
      </c>
      <c r="K320" s="14" t="s">
        <v>173</v>
      </c>
      <c r="L320" s="14" t="s">
        <v>9</v>
      </c>
      <c r="M320" s="14" t="s">
        <v>9</v>
      </c>
      <c r="N320" s="14">
        <v>2430</v>
      </c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s="291" customFormat="1" ht="17.399999999999999" hidden="1" customHeight="1" outlineLevel="1" x14ac:dyDescent="0.35">
      <c r="A321" s="14"/>
      <c r="B321" s="201" t="s">
        <v>87</v>
      </c>
      <c r="C321" s="107" t="s">
        <v>1535</v>
      </c>
      <c r="D321" s="107" t="s">
        <v>1469</v>
      </c>
      <c r="E321" s="107">
        <v>0</v>
      </c>
      <c r="F321" s="107" t="s">
        <v>1476</v>
      </c>
      <c r="G321" s="108"/>
      <c r="H321" s="14"/>
      <c r="I321" s="14"/>
      <c r="J321" s="14" t="s">
        <v>10</v>
      </c>
      <c r="K321" s="14" t="s">
        <v>173</v>
      </c>
      <c r="L321" s="14" t="s">
        <v>9</v>
      </c>
      <c r="M321" s="14" t="s">
        <v>9</v>
      </c>
      <c r="N321" s="14">
        <v>2433</v>
      </c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s="291" customFormat="1" ht="17.399999999999999" hidden="1" customHeight="1" outlineLevel="1" x14ac:dyDescent="0.35">
      <c r="A322" s="14"/>
      <c r="B322" s="201" t="s">
        <v>88</v>
      </c>
      <c r="C322" s="107" t="s">
        <v>1536</v>
      </c>
      <c r="D322" s="107" t="s">
        <v>1486</v>
      </c>
      <c r="E322" s="107">
        <v>0</v>
      </c>
      <c r="F322" s="107"/>
      <c r="G322" s="108"/>
      <c r="H322" s="14"/>
      <c r="I322" s="14"/>
      <c r="J322" s="14" t="s">
        <v>20</v>
      </c>
      <c r="K322" s="14" t="s">
        <v>445</v>
      </c>
      <c r="L322" s="14" t="s">
        <v>446</v>
      </c>
      <c r="M322" s="14" t="s">
        <v>446</v>
      </c>
      <c r="N322" s="14">
        <v>1270</v>
      </c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s="291" customFormat="1" ht="17.399999999999999" hidden="1" customHeight="1" outlineLevel="1" x14ac:dyDescent="0.35">
      <c r="A323" s="14"/>
      <c r="B323" s="201" t="s">
        <v>89</v>
      </c>
      <c r="C323" s="107" t="s">
        <v>1537</v>
      </c>
      <c r="D323" s="107" t="s">
        <v>1486</v>
      </c>
      <c r="E323" s="107">
        <v>0</v>
      </c>
      <c r="F323" s="107"/>
      <c r="G323" s="108"/>
      <c r="H323" s="14"/>
      <c r="I323" s="14"/>
      <c r="J323" s="14" t="s">
        <v>20</v>
      </c>
      <c r="K323" s="14" t="s">
        <v>445</v>
      </c>
      <c r="L323" s="14" t="s">
        <v>446</v>
      </c>
      <c r="M323" s="14" t="s">
        <v>446</v>
      </c>
      <c r="N323" s="14">
        <v>1273</v>
      </c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s="291" customFormat="1" ht="17.399999999999999" hidden="1" customHeight="1" outlineLevel="1" x14ac:dyDescent="0.35">
      <c r="A324" s="14"/>
      <c r="B324" s="201" t="s">
        <v>19</v>
      </c>
      <c r="C324" s="107" t="s">
        <v>1485</v>
      </c>
      <c r="D324" s="107" t="s">
        <v>1486</v>
      </c>
      <c r="E324" s="107">
        <v>0</v>
      </c>
      <c r="F324" s="107"/>
      <c r="G324" s="108"/>
      <c r="H324" s="14"/>
      <c r="I324" s="14"/>
      <c r="J324" s="14" t="s">
        <v>20</v>
      </c>
      <c r="K324" s="14" t="s">
        <v>445</v>
      </c>
      <c r="L324" s="14" t="s">
        <v>446</v>
      </c>
      <c r="M324" s="14" t="s">
        <v>446</v>
      </c>
      <c r="N324" s="14">
        <v>1203</v>
      </c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s="291" customFormat="1" ht="17.399999999999999" hidden="1" customHeight="1" outlineLevel="1" x14ac:dyDescent="0.35">
      <c r="A325" s="14"/>
      <c r="B325" s="201" t="s">
        <v>91</v>
      </c>
      <c r="C325" s="107" t="s">
        <v>1541</v>
      </c>
      <c r="D325" s="107" t="s">
        <v>1539</v>
      </c>
      <c r="E325" s="107">
        <v>0</v>
      </c>
      <c r="F325" s="107" t="s">
        <v>1470</v>
      </c>
      <c r="G325" s="108"/>
      <c r="H325" s="14"/>
      <c r="I325" s="14"/>
      <c r="J325" s="14" t="s">
        <v>20</v>
      </c>
      <c r="K325" s="14" t="s">
        <v>445</v>
      </c>
      <c r="L325" s="14" t="s">
        <v>446</v>
      </c>
      <c r="M325" s="14" t="s">
        <v>446</v>
      </c>
      <c r="N325" s="14">
        <v>1727</v>
      </c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s="291" customFormat="1" ht="17.399999999999999" hidden="1" customHeight="1" outlineLevel="1" x14ac:dyDescent="0.35">
      <c r="A326" s="14"/>
      <c r="B326" s="201" t="s">
        <v>62</v>
      </c>
      <c r="C326" s="107" t="s">
        <v>1525</v>
      </c>
      <c r="D326" s="107" t="s">
        <v>1489</v>
      </c>
      <c r="E326" s="107">
        <v>0</v>
      </c>
      <c r="F326" s="107"/>
      <c r="G326" s="108"/>
      <c r="H326" s="14"/>
      <c r="I326" s="14"/>
      <c r="J326" s="14" t="s">
        <v>20</v>
      </c>
      <c r="K326" s="14" t="s">
        <v>445</v>
      </c>
      <c r="L326" s="14" t="s">
        <v>446</v>
      </c>
      <c r="M326" s="14" t="s">
        <v>446</v>
      </c>
      <c r="N326" s="14">
        <v>1202</v>
      </c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s="291" customFormat="1" hidden="1" outlineLevel="1" x14ac:dyDescent="0.35">
      <c r="A327" s="14"/>
      <c r="B327" s="201" t="s">
        <v>95</v>
      </c>
      <c r="C327" s="107" t="s">
        <v>1542</v>
      </c>
      <c r="D327" s="107" t="s">
        <v>1494</v>
      </c>
      <c r="E327" s="107">
        <v>0</v>
      </c>
      <c r="F327" s="107"/>
      <c r="G327" s="108"/>
      <c r="H327" s="14"/>
      <c r="I327" s="14"/>
      <c r="J327" s="14" t="s">
        <v>20</v>
      </c>
      <c r="K327" s="14" t="s">
        <v>445</v>
      </c>
      <c r="L327" s="14" t="s">
        <v>446</v>
      </c>
      <c r="M327" s="14" t="s">
        <v>446</v>
      </c>
      <c r="N327" s="14">
        <v>1197</v>
      </c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s="291" customFormat="1" hidden="1" outlineLevel="1" x14ac:dyDescent="0.35">
      <c r="A328" s="14"/>
      <c r="B328" s="201"/>
      <c r="C328" s="107"/>
      <c r="D328" s="107"/>
      <c r="E328" s="107"/>
      <c r="F328" s="107"/>
      <c r="G328" s="108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s="291" customFormat="1" ht="16.2" hidden="1" outlineLevel="1" thickBot="1" x14ac:dyDescent="0.4">
      <c r="A329" s="14"/>
      <c r="B329" s="156"/>
      <c r="C329" s="207"/>
      <c r="D329" s="207"/>
      <c r="E329" s="207"/>
      <c r="F329" s="207"/>
      <c r="G329" s="208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s="291" customFormat="1" hidden="1" outlineLevel="1" x14ac:dyDescent="0.35">
      <c r="A330" s="14"/>
      <c r="B330" s="407" t="s">
        <v>28</v>
      </c>
      <c r="C330" s="408"/>
      <c r="D330" s="408"/>
      <c r="E330" s="408"/>
      <c r="F330" s="408"/>
      <c r="G330" s="409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s="291" customFormat="1" hidden="1" outlineLevel="1" x14ac:dyDescent="0.35">
      <c r="A331" s="14"/>
      <c r="B331" s="201" t="s">
        <v>2</v>
      </c>
      <c r="C331" s="107" t="s">
        <v>3</v>
      </c>
      <c r="D331" s="107" t="s">
        <v>4</v>
      </c>
      <c r="E331" s="107"/>
      <c r="F331" s="107"/>
      <c r="G331" s="108" t="s">
        <v>6</v>
      </c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s="291" customFormat="1" hidden="1" outlineLevel="1" x14ac:dyDescent="0.35">
      <c r="A332" s="14"/>
      <c r="B332" s="156"/>
      <c r="C332" s="107"/>
      <c r="D332" s="107"/>
      <c r="E332" s="107"/>
      <c r="F332" s="107"/>
      <c r="G332" s="108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s="291" customFormat="1" hidden="1" outlineLevel="1" x14ac:dyDescent="0.35">
      <c r="A333" s="14"/>
      <c r="B333" s="156"/>
      <c r="C333" s="107"/>
      <c r="D333" s="107"/>
      <c r="E333" s="107"/>
      <c r="F333" s="107"/>
      <c r="G333" s="108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s="291" customFormat="1" ht="16.2" hidden="1" outlineLevel="1" thickBot="1" x14ac:dyDescent="0.4">
      <c r="A334" s="14"/>
      <c r="B334" s="156"/>
      <c r="C334" s="107"/>
      <c r="D334" s="107"/>
      <c r="E334" s="107"/>
      <c r="F334" s="107"/>
      <c r="G334" s="108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s="291" customFormat="1" hidden="1" outlineLevel="1" x14ac:dyDescent="0.35">
      <c r="A335" s="14"/>
      <c r="B335" s="407" t="s">
        <v>29</v>
      </c>
      <c r="C335" s="408"/>
      <c r="D335" s="408"/>
      <c r="E335" s="408"/>
      <c r="F335" s="408"/>
      <c r="G335" s="409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s="291" customFormat="1" hidden="1" outlineLevel="1" x14ac:dyDescent="0.35">
      <c r="A336" s="14"/>
      <c r="B336" s="156" t="s">
        <v>549</v>
      </c>
      <c r="C336" s="107"/>
      <c r="D336" s="107"/>
      <c r="E336" s="107"/>
      <c r="F336" s="107"/>
      <c r="G336" s="377" t="s">
        <v>2416</v>
      </c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s="7" customFormat="1" hidden="1" outlineLevel="1" x14ac:dyDescent="0.25">
      <c r="A337" s="14"/>
      <c r="B337" s="156"/>
      <c r="C337" s="107"/>
      <c r="D337" s="107"/>
      <c r="E337" s="107"/>
      <c r="F337" s="107"/>
      <c r="G337" s="108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s="291" customFormat="1" ht="16.2" hidden="1" outlineLevel="1" thickBot="1" x14ac:dyDescent="0.4">
      <c r="A338" s="14"/>
      <c r="B338" s="157"/>
      <c r="C338" s="202"/>
      <c r="D338" s="202"/>
      <c r="E338" s="202"/>
      <c r="F338" s="202"/>
      <c r="G338" s="203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s="7" customFormat="1" ht="16.2" hidden="1" outlineLevel="1" thickBot="1" x14ac:dyDescent="0.3">
      <c r="A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s="3" customFormat="1" ht="17.399999999999999" customHeight="1" collapsed="1" thickBot="1" x14ac:dyDescent="0.3">
      <c r="A340" s="5"/>
      <c r="B340" s="15" t="s">
        <v>1279</v>
      </c>
      <c r="C340" s="16" t="s">
        <v>1918</v>
      </c>
      <c r="D340" s="17" t="s">
        <v>1281</v>
      </c>
      <c r="E340" s="16" t="s">
        <v>550</v>
      </c>
      <c r="F340" s="17" t="s">
        <v>1282</v>
      </c>
      <c r="G340" s="18" t="s">
        <v>1919</v>
      </c>
    </row>
    <row r="341" spans="1:27" s="3" customFormat="1" ht="17.399999999999999" hidden="1" customHeight="1" outlineLevel="1" x14ac:dyDescent="0.25">
      <c r="A341" s="5"/>
      <c r="B341" s="19" t="s">
        <v>1284</v>
      </c>
      <c r="C341" s="20" t="s">
        <v>1285</v>
      </c>
      <c r="D341" s="21" t="s">
        <v>1286</v>
      </c>
      <c r="E341" s="20" t="s">
        <v>1920</v>
      </c>
      <c r="F341" s="21" t="s">
        <v>1288</v>
      </c>
      <c r="G341" s="22" t="s">
        <v>1326</v>
      </c>
    </row>
    <row r="342" spans="1:27" s="3" customFormat="1" ht="17.399999999999999" hidden="1" customHeight="1" outlineLevel="1" thickBot="1" x14ac:dyDescent="0.3">
      <c r="A342" s="5"/>
      <c r="B342" s="19" t="s">
        <v>1290</v>
      </c>
      <c r="C342" s="23" t="s">
        <v>1291</v>
      </c>
      <c r="D342" s="21" t="s">
        <v>1292</v>
      </c>
      <c r="E342" s="23">
        <v>5</v>
      </c>
      <c r="F342" s="21" t="s">
        <v>1293</v>
      </c>
      <c r="G342" s="24" t="s">
        <v>1294</v>
      </c>
    </row>
    <row r="343" spans="1:27" s="3" customFormat="1" ht="17.399999999999999" hidden="1" customHeight="1" outlineLevel="1" x14ac:dyDescent="0.25">
      <c r="A343" s="5"/>
      <c r="B343" s="395" t="s">
        <v>1</v>
      </c>
      <c r="C343" s="396"/>
      <c r="D343" s="396"/>
      <c r="E343" s="396"/>
      <c r="F343" s="396"/>
      <c r="G343" s="397"/>
    </row>
    <row r="344" spans="1:27" s="3" customFormat="1" ht="17.399999999999999" hidden="1" customHeight="1" outlineLevel="1" x14ac:dyDescent="0.25">
      <c r="A344" s="5"/>
      <c r="B344" s="25" t="s">
        <v>2</v>
      </c>
      <c r="C344" s="26" t="s">
        <v>3</v>
      </c>
      <c r="D344" s="26" t="s">
        <v>4</v>
      </c>
      <c r="E344" s="26" t="s">
        <v>5</v>
      </c>
      <c r="F344" s="26"/>
      <c r="G344" s="27" t="s">
        <v>6</v>
      </c>
    </row>
    <row r="345" spans="1:27" s="3" customFormat="1" hidden="1" outlineLevel="1" x14ac:dyDescent="0.25">
      <c r="B345" s="28" t="s">
        <v>7</v>
      </c>
      <c r="C345" s="29" t="s">
        <v>1468</v>
      </c>
      <c r="D345" s="29" t="s">
        <v>1469</v>
      </c>
      <c r="E345" s="29">
        <v>0</v>
      </c>
      <c r="F345" s="29" t="s">
        <v>1470</v>
      </c>
      <c r="G345" s="30" t="s">
        <v>1471</v>
      </c>
      <c r="J345" s="3" t="s">
        <v>10</v>
      </c>
      <c r="K345" s="3" t="s">
        <v>173</v>
      </c>
      <c r="L345" s="3" t="s">
        <v>9</v>
      </c>
      <c r="M345" s="3" t="s">
        <v>9</v>
      </c>
      <c r="N345" s="3">
        <v>1112</v>
      </c>
    </row>
    <row r="346" spans="1:27" s="3" customFormat="1" hidden="1" outlineLevel="1" x14ac:dyDescent="0.25">
      <c r="B346" s="28" t="s">
        <v>15</v>
      </c>
      <c r="C346" s="29" t="s">
        <v>1478</v>
      </c>
      <c r="D346" s="29" t="s">
        <v>1469</v>
      </c>
      <c r="E346" s="29">
        <v>0</v>
      </c>
      <c r="F346" s="29" t="s">
        <v>1470</v>
      </c>
      <c r="G346" s="30"/>
      <c r="J346" s="3" t="s">
        <v>10</v>
      </c>
      <c r="K346" s="3" t="s">
        <v>173</v>
      </c>
      <c r="L346" s="3" t="s">
        <v>9</v>
      </c>
      <c r="M346" s="3" t="s">
        <v>9</v>
      </c>
      <c r="N346" s="3">
        <v>2430</v>
      </c>
    </row>
    <row r="347" spans="1:27" s="3" customFormat="1" hidden="1" outlineLevel="1" x14ac:dyDescent="0.25">
      <c r="B347" s="28" t="s">
        <v>14</v>
      </c>
      <c r="C347" s="29" t="s">
        <v>1475</v>
      </c>
      <c r="D347" s="29" t="s">
        <v>1469</v>
      </c>
      <c r="E347" s="29">
        <v>0</v>
      </c>
      <c r="F347" s="29" t="s">
        <v>1476</v>
      </c>
      <c r="G347" s="30" t="s">
        <v>1477</v>
      </c>
      <c r="H347" s="3" t="s">
        <v>98</v>
      </c>
      <c r="J347" s="3" t="s">
        <v>10</v>
      </c>
      <c r="K347" s="3" t="s">
        <v>173</v>
      </c>
      <c r="L347" s="3" t="s">
        <v>9</v>
      </c>
      <c r="M347" s="3" t="s">
        <v>9</v>
      </c>
      <c r="N347" s="3">
        <v>2155</v>
      </c>
    </row>
    <row r="348" spans="1:27" s="3" customFormat="1" hidden="1" outlineLevel="1" x14ac:dyDescent="0.25">
      <c r="B348" s="28" t="s">
        <v>87</v>
      </c>
      <c r="C348" s="29" t="s">
        <v>1535</v>
      </c>
      <c r="D348" s="29" t="s">
        <v>1469</v>
      </c>
      <c r="E348" s="29">
        <v>0</v>
      </c>
      <c r="F348" s="29" t="s">
        <v>1476</v>
      </c>
      <c r="G348" s="30"/>
      <c r="H348" s="3" t="s">
        <v>99</v>
      </c>
      <c r="J348" s="3" t="s">
        <v>10</v>
      </c>
      <c r="K348" s="3" t="s">
        <v>173</v>
      </c>
      <c r="L348" s="3" t="s">
        <v>9</v>
      </c>
      <c r="M348" s="3" t="s">
        <v>9</v>
      </c>
      <c r="N348" s="3">
        <v>2433</v>
      </c>
    </row>
    <row r="349" spans="1:27" s="4" customFormat="1" ht="17.399999999999999" hidden="1" customHeight="1" outlineLevel="1" thickBot="1" x14ac:dyDescent="0.4">
      <c r="A349" s="14"/>
      <c r="B349" s="91"/>
      <c r="C349" s="92"/>
      <c r="D349" s="92"/>
      <c r="E349" s="92"/>
      <c r="F349" s="92"/>
      <c r="G349" s="93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s="291" customFormat="1" hidden="1" outlineLevel="1" x14ac:dyDescent="0.35">
      <c r="A350" s="14"/>
      <c r="B350" s="407" t="s">
        <v>18</v>
      </c>
      <c r="C350" s="408"/>
      <c r="D350" s="408"/>
      <c r="E350" s="408"/>
      <c r="F350" s="408"/>
      <c r="G350" s="409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s="291" customFormat="1" hidden="1" outlineLevel="1" x14ac:dyDescent="0.35">
      <c r="A351" s="14"/>
      <c r="B351" s="201" t="s">
        <v>2</v>
      </c>
      <c r="C351" s="107" t="s">
        <v>3</v>
      </c>
      <c r="D351" s="107" t="s">
        <v>4</v>
      </c>
      <c r="E351" s="107" t="s">
        <v>5</v>
      </c>
      <c r="F351" s="107"/>
      <c r="G351" s="108" t="s">
        <v>6</v>
      </c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s="228" customFormat="1" ht="17.399999999999999" hidden="1" customHeight="1" outlineLevel="1" x14ac:dyDescent="0.25">
      <c r="A352" s="14"/>
      <c r="B352" s="228" t="s">
        <v>7</v>
      </c>
      <c r="C352" s="228" t="s">
        <v>1468</v>
      </c>
      <c r="D352" s="228" t="s">
        <v>1469</v>
      </c>
      <c r="E352" s="228">
        <v>0</v>
      </c>
      <c r="F352" s="228" t="s">
        <v>1470</v>
      </c>
      <c r="G352" s="228" t="s">
        <v>1471</v>
      </c>
      <c r="H352" s="14"/>
      <c r="I352" s="14"/>
      <c r="J352" s="14" t="s">
        <v>10</v>
      </c>
      <c r="K352" s="14" t="s">
        <v>173</v>
      </c>
      <c r="L352" s="14" t="s">
        <v>9</v>
      </c>
      <c r="M352" s="14" t="s">
        <v>9</v>
      </c>
      <c r="N352" s="14">
        <v>1112</v>
      </c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s="292" customFormat="1" ht="17.399999999999999" hidden="1" customHeight="1" outlineLevel="1" x14ac:dyDescent="0.35">
      <c r="A353" s="14"/>
      <c r="B353" s="228" t="s">
        <v>14</v>
      </c>
      <c r="C353" s="228" t="s">
        <v>1475</v>
      </c>
      <c r="D353" s="228" t="s">
        <v>1469</v>
      </c>
      <c r="E353" s="228">
        <v>0</v>
      </c>
      <c r="F353" s="228" t="s">
        <v>1476</v>
      </c>
      <c r="G353" s="228" t="s">
        <v>1477</v>
      </c>
      <c r="H353" s="14"/>
      <c r="I353" s="14"/>
      <c r="J353" s="14" t="s">
        <v>10</v>
      </c>
      <c r="K353" s="14" t="s">
        <v>173</v>
      </c>
      <c r="L353" s="14" t="s">
        <v>9</v>
      </c>
      <c r="M353" s="14" t="s">
        <v>9</v>
      </c>
      <c r="N353" s="14">
        <v>2155</v>
      </c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s="4" customFormat="1" ht="17.399999999999999" hidden="1" customHeight="1" outlineLevel="1" x14ac:dyDescent="0.35">
      <c r="A354" s="5"/>
      <c r="B354" s="67" t="s">
        <v>100</v>
      </c>
      <c r="C354" s="65" t="s">
        <v>1543</v>
      </c>
      <c r="D354" s="65" t="s">
        <v>1469</v>
      </c>
      <c r="E354" s="65">
        <v>0</v>
      </c>
      <c r="F354" s="65" t="s">
        <v>1476</v>
      </c>
      <c r="G354" s="66" t="s">
        <v>1544</v>
      </c>
      <c r="H354" s="5"/>
      <c r="I354" s="5"/>
      <c r="J354" s="5"/>
      <c r="K354" s="5"/>
      <c r="L354" s="5"/>
      <c r="M354" s="5"/>
    </row>
    <row r="355" spans="1:27" s="292" customFormat="1" ht="17.399999999999999" hidden="1" customHeight="1" outlineLevel="1" x14ac:dyDescent="0.35">
      <c r="A355" s="14"/>
      <c r="B355" s="228" t="s">
        <v>15</v>
      </c>
      <c r="C355" s="228" t="s">
        <v>1478</v>
      </c>
      <c r="D355" s="228" t="s">
        <v>1469</v>
      </c>
      <c r="E355" s="228">
        <v>0</v>
      </c>
      <c r="F355" s="228" t="s">
        <v>1470</v>
      </c>
      <c r="G355" s="228"/>
      <c r="H355" s="14"/>
      <c r="I355" s="14"/>
      <c r="J355" s="14" t="s">
        <v>10</v>
      </c>
      <c r="K355" s="14" t="s">
        <v>173</v>
      </c>
      <c r="L355" s="14" t="s">
        <v>9</v>
      </c>
      <c r="M355" s="14" t="s">
        <v>9</v>
      </c>
      <c r="N355" s="14">
        <v>2430</v>
      </c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s="292" customFormat="1" ht="17.399999999999999" hidden="1" customHeight="1" outlineLevel="1" x14ac:dyDescent="0.35">
      <c r="A356" s="14"/>
      <c r="B356" s="228" t="s">
        <v>87</v>
      </c>
      <c r="C356" s="228" t="s">
        <v>1535</v>
      </c>
      <c r="D356" s="228" t="s">
        <v>1469</v>
      </c>
      <c r="E356" s="228">
        <v>0</v>
      </c>
      <c r="F356" s="228" t="s">
        <v>1476</v>
      </c>
      <c r="G356" s="228"/>
      <c r="H356" s="14"/>
      <c r="I356" s="14"/>
      <c r="J356" s="14" t="s">
        <v>10</v>
      </c>
      <c r="K356" s="14" t="s">
        <v>173</v>
      </c>
      <c r="L356" s="14" t="s">
        <v>9</v>
      </c>
      <c r="M356" s="14" t="s">
        <v>9</v>
      </c>
      <c r="N356" s="14">
        <v>2433</v>
      </c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s="292" customFormat="1" ht="17.399999999999999" hidden="1" customHeight="1" outlineLevel="1" x14ac:dyDescent="0.35">
      <c r="A357" s="14"/>
      <c r="B357" s="228" t="s">
        <v>101</v>
      </c>
      <c r="C357" s="228" t="s">
        <v>1545</v>
      </c>
      <c r="D357" s="228" t="s">
        <v>1486</v>
      </c>
      <c r="E357" s="228">
        <v>0</v>
      </c>
      <c r="F357" s="228" t="s">
        <v>1470</v>
      </c>
      <c r="G357" s="228"/>
      <c r="H357" s="14"/>
      <c r="I357" s="14"/>
      <c r="J357" s="14" t="s">
        <v>20</v>
      </c>
      <c r="K357" s="14" t="s">
        <v>445</v>
      </c>
      <c r="L357" s="14" t="s">
        <v>446</v>
      </c>
      <c r="M357" s="14" t="s">
        <v>446</v>
      </c>
      <c r="N357" s="14">
        <v>2591</v>
      </c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s="292" customFormat="1" ht="17.399999999999999" hidden="1" customHeight="1" outlineLevel="1" x14ac:dyDescent="0.35">
      <c r="A358" s="14"/>
      <c r="B358" s="228" t="s">
        <v>88</v>
      </c>
      <c r="C358" s="228" t="s">
        <v>1536</v>
      </c>
      <c r="D358" s="228" t="s">
        <v>1486</v>
      </c>
      <c r="E358" s="228">
        <v>0</v>
      </c>
      <c r="F358" s="228"/>
      <c r="G358" s="228"/>
      <c r="H358" s="14"/>
      <c r="I358" s="14"/>
      <c r="J358" s="14" t="s">
        <v>20</v>
      </c>
      <c r="K358" s="14" t="s">
        <v>445</v>
      </c>
      <c r="L358" s="14" t="s">
        <v>446</v>
      </c>
      <c r="M358" s="14" t="s">
        <v>446</v>
      </c>
      <c r="N358" s="14">
        <v>1270</v>
      </c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s="292" customFormat="1" ht="17.399999999999999" hidden="1" customHeight="1" outlineLevel="1" x14ac:dyDescent="0.35">
      <c r="A359" s="14"/>
      <c r="B359" s="228" t="s">
        <v>102</v>
      </c>
      <c r="C359" s="228" t="s">
        <v>1546</v>
      </c>
      <c r="D359" s="228" t="s">
        <v>1489</v>
      </c>
      <c r="E359" s="228">
        <v>0</v>
      </c>
      <c r="F359" s="228"/>
      <c r="G359" s="228"/>
      <c r="H359" s="14"/>
      <c r="I359" s="14"/>
      <c r="J359" s="14" t="s">
        <v>20</v>
      </c>
      <c r="K359" s="14" t="s">
        <v>445</v>
      </c>
      <c r="L359" s="14" t="s">
        <v>446</v>
      </c>
      <c r="M359" s="14" t="s">
        <v>446</v>
      </c>
      <c r="N359" s="14">
        <v>1269</v>
      </c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s="292" customFormat="1" ht="17.399999999999999" hidden="1" customHeight="1" outlineLevel="1" x14ac:dyDescent="0.35">
      <c r="A360" s="14"/>
      <c r="B360" s="228" t="s">
        <v>103</v>
      </c>
      <c r="C360" s="228" t="s">
        <v>1547</v>
      </c>
      <c r="D360" s="228" t="s">
        <v>1539</v>
      </c>
      <c r="E360" s="228">
        <v>0</v>
      </c>
      <c r="F360" s="228"/>
      <c r="G360" s="228"/>
      <c r="H360" s="14"/>
      <c r="I360" s="14"/>
      <c r="J360" s="14" t="s">
        <v>20</v>
      </c>
      <c r="K360" s="14" t="s">
        <v>445</v>
      </c>
      <c r="L360" s="14" t="s">
        <v>446</v>
      </c>
      <c r="M360" s="14" t="s">
        <v>446</v>
      </c>
      <c r="N360" s="14">
        <v>1268</v>
      </c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s="292" customFormat="1" ht="17.399999999999999" hidden="1" customHeight="1" outlineLevel="1" x14ac:dyDescent="0.35">
      <c r="A361" s="14"/>
      <c r="B361" s="228" t="s">
        <v>104</v>
      </c>
      <c r="C361" s="228" t="s">
        <v>1548</v>
      </c>
      <c r="D361" s="228" t="s">
        <v>1469</v>
      </c>
      <c r="E361" s="228" t="s">
        <v>1549</v>
      </c>
      <c r="F361" s="228"/>
      <c r="G361" s="228"/>
      <c r="H361" s="14"/>
      <c r="I361" s="14"/>
      <c r="J361" s="14" t="s">
        <v>10</v>
      </c>
      <c r="K361" s="14" t="s">
        <v>173</v>
      </c>
      <c r="L361" s="14" t="s">
        <v>9</v>
      </c>
      <c r="M361" s="14" t="s">
        <v>9</v>
      </c>
      <c r="N361" s="14">
        <v>1877</v>
      </c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s="292" customFormat="1" ht="17.399999999999999" hidden="1" customHeight="1" outlineLevel="1" x14ac:dyDescent="0.35">
      <c r="A362" s="14"/>
      <c r="B362" s="228" t="s">
        <v>105</v>
      </c>
      <c r="C362" s="228" t="s">
        <v>1550</v>
      </c>
      <c r="D362" s="228" t="s">
        <v>1469</v>
      </c>
      <c r="E362" s="228" t="s">
        <v>1549</v>
      </c>
      <c r="F362" s="228"/>
      <c r="G362" s="228"/>
      <c r="H362" s="14"/>
      <c r="I362" s="14"/>
      <c r="J362" s="14" t="s">
        <v>10</v>
      </c>
      <c r="K362" s="14" t="s">
        <v>173</v>
      </c>
      <c r="L362" s="14" t="s">
        <v>9</v>
      </c>
      <c r="M362" s="14" t="s">
        <v>9</v>
      </c>
      <c r="N362" s="14">
        <v>1876</v>
      </c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s="292" customFormat="1" ht="17.399999999999999" hidden="1" customHeight="1" outlineLevel="1" x14ac:dyDescent="0.35">
      <c r="A363" s="14"/>
      <c r="B363" s="228" t="s">
        <v>89</v>
      </c>
      <c r="C363" s="228" t="s">
        <v>1537</v>
      </c>
      <c r="D363" s="228" t="s">
        <v>1486</v>
      </c>
      <c r="E363" s="228">
        <v>0</v>
      </c>
      <c r="F363" s="228"/>
      <c r="G363" s="228"/>
      <c r="H363" s="14"/>
      <c r="I363" s="14"/>
      <c r="J363" s="14" t="s">
        <v>20</v>
      </c>
      <c r="K363" s="14" t="s">
        <v>445</v>
      </c>
      <c r="L363" s="14" t="s">
        <v>446</v>
      </c>
      <c r="M363" s="14" t="s">
        <v>446</v>
      </c>
      <c r="N363" s="14">
        <v>1273</v>
      </c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s="292" customFormat="1" ht="17.399999999999999" hidden="1" customHeight="1" outlineLevel="1" x14ac:dyDescent="0.35">
      <c r="A364" s="14"/>
      <c r="B364" s="228" t="s">
        <v>106</v>
      </c>
      <c r="C364" s="228" t="s">
        <v>1551</v>
      </c>
      <c r="D364" s="228" t="s">
        <v>1489</v>
      </c>
      <c r="E364" s="228">
        <v>0</v>
      </c>
      <c r="F364" s="228"/>
      <c r="G364" s="228"/>
      <c r="H364" s="14"/>
      <c r="I364" s="14"/>
      <c r="J364" s="14" t="s">
        <v>20</v>
      </c>
      <c r="K364" s="14" t="s">
        <v>445</v>
      </c>
      <c r="L364" s="14" t="s">
        <v>446</v>
      </c>
      <c r="M364" s="14" t="s">
        <v>446</v>
      </c>
      <c r="N364" s="14">
        <v>1272</v>
      </c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s="292" customFormat="1" ht="17.399999999999999" hidden="1" customHeight="1" outlineLevel="1" x14ac:dyDescent="0.35">
      <c r="A365" s="14"/>
      <c r="B365" s="228" t="s">
        <v>107</v>
      </c>
      <c r="C365" s="228" t="s">
        <v>1552</v>
      </c>
      <c r="D365" s="228" t="s">
        <v>1539</v>
      </c>
      <c r="E365" s="228">
        <v>0</v>
      </c>
      <c r="F365" s="228"/>
      <c r="G365" s="228"/>
      <c r="H365" s="14"/>
      <c r="I365" s="14"/>
      <c r="J365" s="14" t="s">
        <v>20</v>
      </c>
      <c r="K365" s="14" t="s">
        <v>445</v>
      </c>
      <c r="L365" s="14" t="s">
        <v>446</v>
      </c>
      <c r="M365" s="14" t="s">
        <v>446</v>
      </c>
      <c r="N365" s="14">
        <v>1271</v>
      </c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s="292" customFormat="1" ht="17.399999999999999" hidden="1" customHeight="1" outlineLevel="1" x14ac:dyDescent="0.35">
      <c r="A366" s="14"/>
      <c r="B366" s="228" t="s">
        <v>108</v>
      </c>
      <c r="C366" s="228" t="s">
        <v>1553</v>
      </c>
      <c r="D366" s="228" t="s">
        <v>1469</v>
      </c>
      <c r="E366" s="228" t="s">
        <v>1549</v>
      </c>
      <c r="F366" s="228"/>
      <c r="G366" s="228"/>
      <c r="H366" s="14"/>
      <c r="I366" s="14"/>
      <c r="J366" s="14" t="s">
        <v>10</v>
      </c>
      <c r="K366" s="14" t="s">
        <v>173</v>
      </c>
      <c r="L366" s="14" t="s">
        <v>9</v>
      </c>
      <c r="M366" s="14" t="s">
        <v>9</v>
      </c>
      <c r="N366" s="14">
        <v>1893</v>
      </c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s="292" customFormat="1" ht="17.399999999999999" hidden="1" customHeight="1" outlineLevel="1" x14ac:dyDescent="0.35">
      <c r="A367" s="14"/>
      <c r="B367" s="228" t="s">
        <v>109</v>
      </c>
      <c r="C367" s="228" t="s">
        <v>1554</v>
      </c>
      <c r="D367" s="228" t="s">
        <v>1469</v>
      </c>
      <c r="E367" s="228" t="s">
        <v>1549</v>
      </c>
      <c r="F367" s="228"/>
      <c r="G367" s="228"/>
      <c r="H367" s="14"/>
      <c r="I367" s="14"/>
      <c r="J367" s="14" t="s">
        <v>10</v>
      </c>
      <c r="K367" s="14" t="s">
        <v>173</v>
      </c>
      <c r="L367" s="14" t="s">
        <v>9</v>
      </c>
      <c r="M367" s="14" t="s">
        <v>9</v>
      </c>
      <c r="N367" s="14">
        <v>1892</v>
      </c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s="292" customFormat="1" ht="17.399999999999999" hidden="1" customHeight="1" outlineLevel="1" x14ac:dyDescent="0.35">
      <c r="A368" s="14"/>
      <c r="B368" s="228" t="s">
        <v>19</v>
      </c>
      <c r="C368" s="228" t="s">
        <v>1485</v>
      </c>
      <c r="D368" s="228" t="s">
        <v>1486</v>
      </c>
      <c r="E368" s="228">
        <v>0</v>
      </c>
      <c r="F368" s="228"/>
      <c r="G368" s="228"/>
      <c r="H368" s="14"/>
      <c r="I368" s="14"/>
      <c r="J368" s="14" t="s">
        <v>20</v>
      </c>
      <c r="K368" s="14" t="s">
        <v>445</v>
      </c>
      <c r="L368" s="14" t="s">
        <v>446</v>
      </c>
      <c r="M368" s="14" t="s">
        <v>446</v>
      </c>
      <c r="N368" s="14">
        <v>1203</v>
      </c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s="292" customFormat="1" ht="17.399999999999999" hidden="1" customHeight="1" outlineLevel="1" x14ac:dyDescent="0.35">
      <c r="A369" s="14"/>
      <c r="B369" s="228" t="s">
        <v>91</v>
      </c>
      <c r="C369" s="228" t="s">
        <v>1541</v>
      </c>
      <c r="D369" s="228" t="s">
        <v>1539</v>
      </c>
      <c r="E369" s="228">
        <v>0</v>
      </c>
      <c r="F369" s="228" t="s">
        <v>1470</v>
      </c>
      <c r="G369" s="228"/>
      <c r="H369" s="14"/>
      <c r="I369" s="14"/>
      <c r="J369" s="14" t="s">
        <v>20</v>
      </c>
      <c r="K369" s="14" t="s">
        <v>445</v>
      </c>
      <c r="L369" s="14" t="s">
        <v>446</v>
      </c>
      <c r="M369" s="14" t="s">
        <v>446</v>
      </c>
      <c r="N369" s="14">
        <v>1727</v>
      </c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s="292" customFormat="1" ht="17.399999999999999" hidden="1" customHeight="1" outlineLevel="1" x14ac:dyDescent="0.35">
      <c r="A370" s="14"/>
      <c r="B370" s="228" t="s">
        <v>62</v>
      </c>
      <c r="C370" s="228" t="s">
        <v>1525</v>
      </c>
      <c r="D370" s="228" t="s">
        <v>1489</v>
      </c>
      <c r="E370" s="228">
        <v>0</v>
      </c>
      <c r="F370" s="228"/>
      <c r="G370" s="228"/>
      <c r="H370" s="14"/>
      <c r="I370" s="14"/>
      <c r="J370" s="14" t="s">
        <v>20</v>
      </c>
      <c r="K370" s="14" t="s">
        <v>445</v>
      </c>
      <c r="L370" s="14" t="s">
        <v>446</v>
      </c>
      <c r="M370" s="14" t="s">
        <v>446</v>
      </c>
      <c r="N370" s="14">
        <v>1202</v>
      </c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s="291" customFormat="1" hidden="1" outlineLevel="1" x14ac:dyDescent="0.35">
      <c r="A371" s="14"/>
      <c r="B371" s="201"/>
      <c r="C371" s="107"/>
      <c r="D371" s="107"/>
      <c r="E371" s="107"/>
      <c r="F371" s="107"/>
      <c r="G371" s="108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s="291" customFormat="1" ht="16.2" hidden="1" outlineLevel="1" thickBot="1" x14ac:dyDescent="0.4">
      <c r="A372" s="14"/>
      <c r="B372" s="201"/>
      <c r="C372" s="107"/>
      <c r="D372" s="107"/>
      <c r="E372" s="107"/>
      <c r="F372" s="107"/>
      <c r="G372" s="108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s="291" customFormat="1" hidden="1" outlineLevel="1" x14ac:dyDescent="0.35">
      <c r="A373" s="14"/>
      <c r="B373" s="407" t="s">
        <v>28</v>
      </c>
      <c r="C373" s="408"/>
      <c r="D373" s="408"/>
      <c r="E373" s="408"/>
      <c r="F373" s="408"/>
      <c r="G373" s="409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s="291" customFormat="1" hidden="1" outlineLevel="1" x14ac:dyDescent="0.35">
      <c r="A374" s="14"/>
      <c r="B374" s="201" t="s">
        <v>2</v>
      </c>
      <c r="C374" s="107" t="s">
        <v>3</v>
      </c>
      <c r="D374" s="107" t="s">
        <v>4</v>
      </c>
      <c r="E374" s="107"/>
      <c r="F374" s="107"/>
      <c r="G374" s="108" t="s">
        <v>6</v>
      </c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s="291" customFormat="1" hidden="1" outlineLevel="1" x14ac:dyDescent="0.35">
      <c r="A375" s="14"/>
      <c r="B375" s="156"/>
      <c r="C375" s="107"/>
      <c r="D375" s="107"/>
      <c r="E375" s="107"/>
      <c r="F375" s="107"/>
      <c r="G375" s="108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s="291" customFormat="1" ht="16.2" hidden="1" outlineLevel="1" thickBot="1" x14ac:dyDescent="0.4">
      <c r="A376" s="14"/>
      <c r="B376" s="156"/>
      <c r="C376" s="107"/>
      <c r="D376" s="107"/>
      <c r="E376" s="107"/>
      <c r="F376" s="107"/>
      <c r="G376" s="108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s="291" customFormat="1" hidden="1" outlineLevel="1" x14ac:dyDescent="0.35">
      <c r="A377" s="14"/>
      <c r="B377" s="407" t="s">
        <v>29</v>
      </c>
      <c r="C377" s="408"/>
      <c r="D377" s="408"/>
      <c r="E377" s="408"/>
      <c r="F377" s="408"/>
      <c r="G377" s="409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s="291" customFormat="1" hidden="1" outlineLevel="1" x14ac:dyDescent="0.35">
      <c r="A378" s="14"/>
      <c r="B378" s="156" t="s">
        <v>551</v>
      </c>
      <c r="C378" s="107"/>
      <c r="D378" s="107"/>
      <c r="E378" s="107"/>
      <c r="F378" s="107"/>
      <c r="G378" s="377" t="s">
        <v>2417</v>
      </c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s="7" customFormat="1" hidden="1" outlineLevel="1" x14ac:dyDescent="0.25">
      <c r="A379" s="14"/>
      <c r="B379" s="156"/>
      <c r="C379" s="107"/>
      <c r="D379" s="107"/>
      <c r="E379" s="107"/>
      <c r="F379" s="107"/>
      <c r="G379" s="108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s="291" customFormat="1" ht="16.2" hidden="1" outlineLevel="1" thickBot="1" x14ac:dyDescent="0.4">
      <c r="A380" s="14"/>
      <c r="B380" s="157"/>
      <c r="C380" s="202"/>
      <c r="D380" s="202"/>
      <c r="E380" s="202"/>
      <c r="F380" s="202"/>
      <c r="G380" s="203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s="7" customFormat="1" ht="16.2" hidden="1" outlineLevel="1" thickBot="1" x14ac:dyDescent="0.3">
      <c r="A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s="3" customFormat="1" ht="17.399999999999999" customHeight="1" collapsed="1" thickBot="1" x14ac:dyDescent="0.3">
      <c r="A382" s="5"/>
      <c r="B382" s="15" t="s">
        <v>1279</v>
      </c>
      <c r="C382" s="16" t="s">
        <v>1921</v>
      </c>
      <c r="D382" s="17" t="s">
        <v>1281</v>
      </c>
      <c r="E382" s="16" t="s">
        <v>552</v>
      </c>
      <c r="F382" s="17" t="s">
        <v>1282</v>
      </c>
      <c r="G382" s="18" t="s">
        <v>1922</v>
      </c>
    </row>
    <row r="383" spans="1:27" s="3" customFormat="1" ht="17.399999999999999" hidden="1" customHeight="1" outlineLevel="1" x14ac:dyDescent="0.25">
      <c r="A383" s="5"/>
      <c r="B383" s="19" t="s">
        <v>1284</v>
      </c>
      <c r="C383" s="20" t="s">
        <v>1285</v>
      </c>
      <c r="D383" s="21" t="s">
        <v>1286</v>
      </c>
      <c r="E383" s="20" t="s">
        <v>1923</v>
      </c>
      <c r="F383" s="21" t="s">
        <v>1288</v>
      </c>
      <c r="G383" s="22" t="s">
        <v>1330</v>
      </c>
    </row>
    <row r="384" spans="1:27" s="3" customFormat="1" ht="17.399999999999999" hidden="1" customHeight="1" outlineLevel="1" thickBot="1" x14ac:dyDescent="0.3">
      <c r="A384" s="5"/>
      <c r="B384" s="19" t="s">
        <v>1290</v>
      </c>
      <c r="C384" s="23" t="s">
        <v>1291</v>
      </c>
      <c r="D384" s="21" t="s">
        <v>1292</v>
      </c>
      <c r="E384" s="23">
        <v>5</v>
      </c>
      <c r="F384" s="21" t="s">
        <v>1293</v>
      </c>
      <c r="G384" s="24" t="s">
        <v>1294</v>
      </c>
    </row>
    <row r="385" spans="1:27" s="3" customFormat="1" ht="17.399999999999999" hidden="1" customHeight="1" outlineLevel="1" x14ac:dyDescent="0.25">
      <c r="A385" s="5"/>
      <c r="B385" s="395" t="s">
        <v>1</v>
      </c>
      <c r="C385" s="396"/>
      <c r="D385" s="396"/>
      <c r="E385" s="396"/>
      <c r="F385" s="396"/>
      <c r="G385" s="397"/>
    </row>
    <row r="386" spans="1:27" s="3" customFormat="1" ht="17.399999999999999" hidden="1" customHeight="1" outlineLevel="1" x14ac:dyDescent="0.25">
      <c r="A386" s="5"/>
      <c r="B386" s="25" t="s">
        <v>2</v>
      </c>
      <c r="C386" s="26" t="s">
        <v>3</v>
      </c>
      <c r="D386" s="26" t="s">
        <v>4</v>
      </c>
      <c r="E386" s="26" t="s">
        <v>5</v>
      </c>
      <c r="F386" s="26"/>
      <c r="G386" s="27" t="s">
        <v>6</v>
      </c>
    </row>
    <row r="387" spans="1:27" s="3" customFormat="1" hidden="1" outlineLevel="1" x14ac:dyDescent="0.25">
      <c r="B387" s="28" t="s">
        <v>112</v>
      </c>
      <c r="C387" s="29" t="s">
        <v>1555</v>
      </c>
      <c r="D387" s="29" t="s">
        <v>1469</v>
      </c>
      <c r="E387" s="29">
        <v>0</v>
      </c>
      <c r="F387" s="29" t="s">
        <v>1470</v>
      </c>
      <c r="G387" s="30" t="s">
        <v>1556</v>
      </c>
      <c r="J387" s="3" t="s">
        <v>10</v>
      </c>
      <c r="K387" s="3" t="s">
        <v>173</v>
      </c>
      <c r="L387" s="3" t="s">
        <v>9</v>
      </c>
      <c r="M387" s="3" t="s">
        <v>9</v>
      </c>
      <c r="N387" s="3">
        <v>1606</v>
      </c>
    </row>
    <row r="388" spans="1:27" s="3" customFormat="1" hidden="1" outlineLevel="1" x14ac:dyDescent="0.25">
      <c r="B388" s="28" t="s">
        <v>7</v>
      </c>
      <c r="C388" s="29" t="s">
        <v>1468</v>
      </c>
      <c r="D388" s="29" t="s">
        <v>1469</v>
      </c>
      <c r="E388" s="29">
        <v>0</v>
      </c>
      <c r="F388" s="29" t="s">
        <v>1470</v>
      </c>
      <c r="G388" s="30" t="s">
        <v>1471</v>
      </c>
      <c r="J388" s="3" t="s">
        <v>10</v>
      </c>
      <c r="K388" s="3" t="s">
        <v>173</v>
      </c>
      <c r="L388" s="3" t="s">
        <v>9</v>
      </c>
      <c r="M388" s="3" t="s">
        <v>9</v>
      </c>
      <c r="N388" s="3">
        <v>1112</v>
      </c>
    </row>
    <row r="389" spans="1:27" s="3" customFormat="1" hidden="1" outlineLevel="1" x14ac:dyDescent="0.25">
      <c r="B389" s="28" t="s">
        <v>114</v>
      </c>
      <c r="C389" s="29" t="s">
        <v>1557</v>
      </c>
      <c r="D389" s="29" t="s">
        <v>1469</v>
      </c>
      <c r="E389" s="29">
        <v>-1</v>
      </c>
      <c r="F389" s="29" t="s">
        <v>1470</v>
      </c>
      <c r="G389" s="30"/>
      <c r="J389" s="3" t="s">
        <v>10</v>
      </c>
      <c r="K389" s="3" t="s">
        <v>173</v>
      </c>
      <c r="L389" s="3" t="s">
        <v>9</v>
      </c>
      <c r="M389" s="3" t="s">
        <v>9</v>
      </c>
      <c r="N389" s="3">
        <v>2449</v>
      </c>
    </row>
    <row r="390" spans="1:27" s="3" customFormat="1" hidden="1" outlineLevel="1" x14ac:dyDescent="0.25">
      <c r="B390" s="28" t="s">
        <v>553</v>
      </c>
      <c r="C390" s="29" t="s">
        <v>2063</v>
      </c>
      <c r="D390" s="29" t="s">
        <v>1606</v>
      </c>
      <c r="E390" s="29" t="s">
        <v>1594</v>
      </c>
      <c r="F390" s="29" t="s">
        <v>1470</v>
      </c>
      <c r="G390" s="30"/>
      <c r="J390" s="3" t="s">
        <v>187</v>
      </c>
      <c r="K390" s="3" t="s">
        <v>438</v>
      </c>
      <c r="L390" s="3" t="s">
        <v>537</v>
      </c>
      <c r="M390" s="3" t="s">
        <v>187</v>
      </c>
      <c r="N390" s="3">
        <v>1967</v>
      </c>
    </row>
    <row r="391" spans="1:27" s="7" customFormat="1" hidden="1" outlineLevel="1" x14ac:dyDescent="0.25">
      <c r="A391" s="14"/>
      <c r="B391" s="156"/>
      <c r="C391" s="207"/>
      <c r="D391" s="207"/>
      <c r="E391" s="207"/>
      <c r="F391" s="207"/>
      <c r="G391" s="208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s="7" customFormat="1" hidden="1" outlineLevel="1" x14ac:dyDescent="0.25">
      <c r="A392" s="14"/>
      <c r="B392" s="410" t="s">
        <v>18</v>
      </c>
      <c r="C392" s="411"/>
      <c r="D392" s="411"/>
      <c r="E392" s="411"/>
      <c r="F392" s="411"/>
      <c r="G392" s="412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s="7" customFormat="1" hidden="1" outlineLevel="1" x14ac:dyDescent="0.25">
      <c r="A393" s="14"/>
      <c r="B393" s="201" t="s">
        <v>2</v>
      </c>
      <c r="C393" s="107" t="s">
        <v>3</v>
      </c>
      <c r="D393" s="107" t="s">
        <v>4</v>
      </c>
      <c r="E393" s="107" t="s">
        <v>5</v>
      </c>
      <c r="F393" s="107"/>
      <c r="G393" s="108" t="s">
        <v>6</v>
      </c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s="228" customFormat="1" ht="17.399999999999999" hidden="1" customHeight="1" outlineLevel="1" x14ac:dyDescent="0.25">
      <c r="A394" s="14"/>
      <c r="B394" s="228" t="s">
        <v>15</v>
      </c>
      <c r="C394" s="228" t="s">
        <v>1478</v>
      </c>
      <c r="D394" s="228" t="s">
        <v>1469</v>
      </c>
      <c r="E394" s="228">
        <v>0</v>
      </c>
      <c r="F394" s="228" t="s">
        <v>1470</v>
      </c>
      <c r="H394" s="14"/>
      <c r="I394" s="14"/>
      <c r="J394" s="14" t="s">
        <v>10</v>
      </c>
      <c r="K394" s="14" t="s">
        <v>173</v>
      </c>
      <c r="L394" s="14" t="s">
        <v>9</v>
      </c>
      <c r="M394" s="14" t="s">
        <v>9</v>
      </c>
      <c r="N394" s="14">
        <v>2430</v>
      </c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s="228" customFormat="1" ht="17.399999999999999" hidden="1" customHeight="1" outlineLevel="1" x14ac:dyDescent="0.25">
      <c r="A395" s="14"/>
      <c r="B395" s="228" t="s">
        <v>14</v>
      </c>
      <c r="C395" s="228" t="s">
        <v>1475</v>
      </c>
      <c r="D395" s="228" t="s">
        <v>1469</v>
      </c>
      <c r="E395" s="228">
        <v>0</v>
      </c>
      <c r="F395" s="228" t="s">
        <v>1476</v>
      </c>
      <c r="G395" s="228" t="s">
        <v>1477</v>
      </c>
      <c r="H395" s="14"/>
      <c r="I395" s="14"/>
      <c r="J395" s="14" t="s">
        <v>10</v>
      </c>
      <c r="K395" s="14" t="s">
        <v>173</v>
      </c>
      <c r="L395" s="14" t="s">
        <v>9</v>
      </c>
      <c r="M395" s="14" t="s">
        <v>9</v>
      </c>
      <c r="N395" s="14">
        <v>2155</v>
      </c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s="228" customFormat="1" ht="17.399999999999999" hidden="1" customHeight="1" outlineLevel="1" x14ac:dyDescent="0.25">
      <c r="A396" s="14"/>
      <c r="B396" s="228" t="s">
        <v>115</v>
      </c>
      <c r="C396" s="228" t="s">
        <v>1558</v>
      </c>
      <c r="D396" s="228" t="s">
        <v>1539</v>
      </c>
      <c r="E396" s="228">
        <v>0</v>
      </c>
      <c r="F396" s="228" t="s">
        <v>1470</v>
      </c>
      <c r="H396" s="14"/>
      <c r="I396" s="14"/>
      <c r="J396" s="14" t="s">
        <v>20</v>
      </c>
      <c r="K396" s="14" t="s">
        <v>445</v>
      </c>
      <c r="L396" s="14" t="s">
        <v>446</v>
      </c>
      <c r="M396" s="14" t="s">
        <v>446</v>
      </c>
      <c r="N396" s="14">
        <v>2586</v>
      </c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s="228" customFormat="1" ht="17.399999999999999" hidden="1" customHeight="1" outlineLevel="1" x14ac:dyDescent="0.25">
      <c r="A397" s="14"/>
      <c r="B397" s="228" t="s">
        <v>116</v>
      </c>
      <c r="C397" s="228" t="s">
        <v>1559</v>
      </c>
      <c r="D397" s="228" t="s">
        <v>1486</v>
      </c>
      <c r="E397" s="228">
        <v>0</v>
      </c>
      <c r="F397" s="228" t="s">
        <v>1470</v>
      </c>
      <c r="G397" s="228" t="s">
        <v>1560</v>
      </c>
      <c r="H397" s="14"/>
      <c r="I397" s="14"/>
      <c r="J397" s="14" t="s">
        <v>20</v>
      </c>
      <c r="K397" s="14" t="s">
        <v>445</v>
      </c>
      <c r="L397" s="14" t="s">
        <v>446</v>
      </c>
      <c r="M397" s="14" t="s">
        <v>446</v>
      </c>
      <c r="N397" s="14">
        <v>1986</v>
      </c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s="228" customFormat="1" ht="17.399999999999999" hidden="1" customHeight="1" outlineLevel="1" x14ac:dyDescent="0.25">
      <c r="A398" s="14"/>
      <c r="B398" s="228" t="s">
        <v>75</v>
      </c>
      <c r="C398" s="228" t="s">
        <v>1530</v>
      </c>
      <c r="D398" s="228" t="s">
        <v>1486</v>
      </c>
      <c r="E398" s="228">
        <v>0</v>
      </c>
      <c r="F398" s="228" t="s">
        <v>1470</v>
      </c>
      <c r="G398" s="228" t="s">
        <v>1531</v>
      </c>
      <c r="H398" s="14"/>
      <c r="I398" s="14"/>
      <c r="J398" s="14" t="s">
        <v>20</v>
      </c>
      <c r="K398" s="14" t="s">
        <v>445</v>
      </c>
      <c r="L398" s="14" t="s">
        <v>446</v>
      </c>
      <c r="M398" s="14" t="s">
        <v>446</v>
      </c>
      <c r="N398" s="14">
        <v>1262</v>
      </c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s="228" customFormat="1" ht="17.399999999999999" hidden="1" customHeight="1" outlineLevel="1" x14ac:dyDescent="0.25">
      <c r="A399" s="14"/>
      <c r="B399" s="228" t="s">
        <v>62</v>
      </c>
      <c r="C399" s="228" t="s">
        <v>1525</v>
      </c>
      <c r="D399" s="228" t="s">
        <v>1489</v>
      </c>
      <c r="E399" s="228">
        <v>0</v>
      </c>
      <c r="H399" s="14"/>
      <c r="I399" s="14"/>
      <c r="J399" s="14" t="s">
        <v>20</v>
      </c>
      <c r="K399" s="14" t="s">
        <v>445</v>
      </c>
      <c r="L399" s="14" t="s">
        <v>446</v>
      </c>
      <c r="M399" s="14" t="s">
        <v>446</v>
      </c>
      <c r="N399" s="14">
        <v>1202</v>
      </c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s="228" customFormat="1" ht="17.399999999999999" hidden="1" customHeight="1" outlineLevel="1" x14ac:dyDescent="0.25">
      <c r="A400" s="14"/>
      <c r="B400" s="228" t="s">
        <v>117</v>
      </c>
      <c r="C400" s="228" t="s">
        <v>1561</v>
      </c>
      <c r="D400" s="228" t="s">
        <v>1489</v>
      </c>
      <c r="E400" s="228">
        <v>0</v>
      </c>
      <c r="F400" s="228" t="s">
        <v>1470</v>
      </c>
      <c r="H400" s="14"/>
      <c r="I400" s="14"/>
      <c r="J400" s="14" t="s">
        <v>20</v>
      </c>
      <c r="K400" s="14" t="s">
        <v>445</v>
      </c>
      <c r="L400" s="14" t="s">
        <v>446</v>
      </c>
      <c r="M400" s="14" t="s">
        <v>446</v>
      </c>
      <c r="N400" s="14">
        <v>1163</v>
      </c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s="228" customFormat="1" ht="17.399999999999999" hidden="1" customHeight="1" outlineLevel="1" x14ac:dyDescent="0.25">
      <c r="A401" s="14"/>
      <c r="B401" s="228" t="s">
        <v>90</v>
      </c>
      <c r="C401" s="228" t="s">
        <v>1538</v>
      </c>
      <c r="D401" s="228" t="s">
        <v>1539</v>
      </c>
      <c r="E401" s="228">
        <v>0</v>
      </c>
      <c r="F401" s="228" t="s">
        <v>1470</v>
      </c>
      <c r="G401" s="228" t="s">
        <v>1540</v>
      </c>
      <c r="H401" s="14"/>
      <c r="I401" s="14"/>
      <c r="J401" s="14" t="s">
        <v>20</v>
      </c>
      <c r="K401" s="14" t="s">
        <v>445</v>
      </c>
      <c r="L401" s="14" t="s">
        <v>446</v>
      </c>
      <c r="M401" s="14" t="s">
        <v>446</v>
      </c>
      <c r="N401" s="14">
        <v>1162</v>
      </c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s="228" customFormat="1" ht="17.399999999999999" hidden="1" customHeight="1" outlineLevel="1" x14ac:dyDescent="0.25">
      <c r="A402" s="14"/>
      <c r="B402" s="228" t="s">
        <v>24</v>
      </c>
      <c r="C402" s="228" t="s">
        <v>1491</v>
      </c>
      <c r="D402" s="228" t="s">
        <v>1489</v>
      </c>
      <c r="E402" s="228">
        <v>0</v>
      </c>
      <c r="F402" s="228" t="s">
        <v>1470</v>
      </c>
      <c r="H402" s="14"/>
      <c r="I402" s="14"/>
      <c r="J402" s="14" t="s">
        <v>20</v>
      </c>
      <c r="K402" s="14" t="s">
        <v>445</v>
      </c>
      <c r="L402" s="14" t="s">
        <v>446</v>
      </c>
      <c r="M402" s="14" t="s">
        <v>446</v>
      </c>
      <c r="N402" s="14">
        <v>2153</v>
      </c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s="228" customFormat="1" ht="17.399999999999999" hidden="1" customHeight="1" outlineLevel="1" x14ac:dyDescent="0.25">
      <c r="A403" s="14"/>
      <c r="B403" s="228" t="s">
        <v>118</v>
      </c>
      <c r="C403" s="228" t="s">
        <v>1562</v>
      </c>
      <c r="D403" s="228" t="s">
        <v>1489</v>
      </c>
      <c r="E403" s="228">
        <v>0</v>
      </c>
      <c r="H403" s="14"/>
      <c r="I403" s="14"/>
      <c r="J403" s="14" t="s">
        <v>20</v>
      </c>
      <c r="K403" s="14" t="s">
        <v>445</v>
      </c>
      <c r="L403" s="14" t="s">
        <v>446</v>
      </c>
      <c r="M403" s="14" t="s">
        <v>446</v>
      </c>
      <c r="N403" s="14">
        <v>1461</v>
      </c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s="228" customFormat="1" ht="17.399999999999999" hidden="1" customHeight="1" outlineLevel="1" x14ac:dyDescent="0.25">
      <c r="A404" s="14"/>
      <c r="B404" s="228" t="s">
        <v>119</v>
      </c>
      <c r="C404" s="228" t="s">
        <v>1563</v>
      </c>
      <c r="D404" s="228" t="s">
        <v>1494</v>
      </c>
      <c r="E404" s="228">
        <v>0</v>
      </c>
      <c r="H404" s="14"/>
      <c r="I404" s="14"/>
      <c r="J404" s="14" t="s">
        <v>20</v>
      </c>
      <c r="K404" s="14" t="s">
        <v>445</v>
      </c>
      <c r="L404" s="14" t="s">
        <v>446</v>
      </c>
      <c r="M404" s="14" t="s">
        <v>446</v>
      </c>
      <c r="N404" s="14">
        <v>1462</v>
      </c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s="228" customFormat="1" ht="17.399999999999999" hidden="1" customHeight="1" outlineLevel="1" x14ac:dyDescent="0.25">
      <c r="A405" s="14"/>
      <c r="B405" s="228" t="s">
        <v>120</v>
      </c>
      <c r="C405" s="228" t="s">
        <v>1564</v>
      </c>
      <c r="D405" s="228" t="s">
        <v>1494</v>
      </c>
      <c r="E405" s="228">
        <v>0</v>
      </c>
      <c r="H405" s="14"/>
      <c r="I405" s="14"/>
      <c r="J405" s="14" t="s">
        <v>20</v>
      </c>
      <c r="K405" s="14" t="s">
        <v>445</v>
      </c>
      <c r="L405" s="14" t="s">
        <v>446</v>
      </c>
      <c r="M405" s="14" t="s">
        <v>446</v>
      </c>
      <c r="N405" s="14">
        <v>2169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s="228" customFormat="1" ht="17.399999999999999" hidden="1" customHeight="1" outlineLevel="1" x14ac:dyDescent="0.25">
      <c r="A406" s="14"/>
      <c r="B406" s="228" t="s">
        <v>121</v>
      </c>
      <c r="C406" s="228" t="s">
        <v>1565</v>
      </c>
      <c r="D406" s="228" t="s">
        <v>1494</v>
      </c>
      <c r="E406" s="228">
        <v>0</v>
      </c>
      <c r="H406" s="14"/>
      <c r="I406" s="14"/>
      <c r="J406" s="14" t="s">
        <v>20</v>
      </c>
      <c r="K406" s="14" t="s">
        <v>445</v>
      </c>
      <c r="L406" s="14" t="s">
        <v>446</v>
      </c>
      <c r="M406" s="14" t="s">
        <v>446</v>
      </c>
      <c r="N406" s="14">
        <v>1740</v>
      </c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s="7" customFormat="1" hidden="1" outlineLevel="1" x14ac:dyDescent="0.25">
      <c r="A407" s="14"/>
      <c r="B407" s="156"/>
      <c r="C407" s="207"/>
      <c r="D407" s="207"/>
      <c r="E407" s="207"/>
      <c r="F407" s="207"/>
      <c r="G407" s="208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s="7" customFormat="1" hidden="1" outlineLevel="1" x14ac:dyDescent="0.25">
      <c r="A408" s="14"/>
      <c r="B408" s="156"/>
      <c r="C408" s="207"/>
      <c r="D408" s="207"/>
      <c r="E408" s="207"/>
      <c r="F408" s="207"/>
      <c r="G408" s="208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s="7" customFormat="1" ht="16.2" hidden="1" outlineLevel="1" thickBot="1" x14ac:dyDescent="0.3">
      <c r="A409" s="14"/>
      <c r="B409" s="156"/>
      <c r="C409" s="207"/>
      <c r="D409" s="207"/>
      <c r="E409" s="207"/>
      <c r="F409" s="207"/>
      <c r="G409" s="208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s="7" customFormat="1" hidden="1" outlineLevel="1" x14ac:dyDescent="0.25">
      <c r="A410" s="14"/>
      <c r="B410" s="407" t="s">
        <v>28</v>
      </c>
      <c r="C410" s="408"/>
      <c r="D410" s="408"/>
      <c r="E410" s="408"/>
      <c r="F410" s="408"/>
      <c r="G410" s="409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s="7" customFormat="1" ht="18" hidden="1" customHeight="1" outlineLevel="1" x14ac:dyDescent="0.25">
      <c r="A411" s="14"/>
      <c r="B411" s="156"/>
      <c r="C411" s="207"/>
      <c r="D411" s="207"/>
      <c r="E411" s="207"/>
      <c r="F411" s="207"/>
      <c r="G411" s="208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s="7" customFormat="1" hidden="1" outlineLevel="1" x14ac:dyDescent="0.25">
      <c r="A412" s="14"/>
      <c r="B412" s="201"/>
      <c r="C412" s="107"/>
      <c r="D412" s="107"/>
      <c r="E412" s="107"/>
      <c r="F412" s="107"/>
      <c r="G412" s="108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s="7" customFormat="1" ht="16.2" hidden="1" outlineLevel="1" thickBot="1" x14ac:dyDescent="0.3">
      <c r="A413" s="14"/>
      <c r="B413" s="201"/>
      <c r="C413" s="107"/>
      <c r="D413" s="107"/>
      <c r="E413" s="107"/>
      <c r="F413" s="107"/>
      <c r="G413" s="108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s="7" customFormat="1" hidden="1" outlineLevel="1" x14ac:dyDescent="0.25">
      <c r="A414" s="14"/>
      <c r="B414" s="407" t="s">
        <v>29</v>
      </c>
      <c r="C414" s="408"/>
      <c r="D414" s="408"/>
      <c r="E414" s="408"/>
      <c r="F414" s="408"/>
      <c r="G414" s="409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s="7" customFormat="1" hidden="1" outlineLevel="1" x14ac:dyDescent="0.25">
      <c r="A415" s="14"/>
      <c r="B415" s="201" t="s">
        <v>554</v>
      </c>
      <c r="C415" s="107"/>
      <c r="D415" s="107" t="s">
        <v>555</v>
      </c>
      <c r="E415" s="107"/>
      <c r="F415" s="107"/>
      <c r="G415" s="377" t="s">
        <v>2418</v>
      </c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s="7" customFormat="1" hidden="1" outlineLevel="1" x14ac:dyDescent="0.25">
      <c r="A416" s="14"/>
      <c r="B416" s="201"/>
      <c r="C416" s="107"/>
      <c r="D416" s="107"/>
      <c r="E416" s="107"/>
      <c r="F416" s="107"/>
      <c r="G416" s="108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s="7" customFormat="1" hidden="1" outlineLevel="1" x14ac:dyDescent="0.25">
      <c r="A417" s="14"/>
      <c r="B417" s="201"/>
      <c r="C417" s="107"/>
      <c r="D417" s="107"/>
      <c r="E417" s="107"/>
      <c r="F417" s="107"/>
      <c r="G417" s="108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s="7" customFormat="1" ht="16.2" hidden="1" outlineLevel="1" thickBot="1" x14ac:dyDescent="0.3">
      <c r="A418" s="14"/>
      <c r="B418" s="157"/>
      <c r="C418" s="202"/>
      <c r="D418" s="202"/>
      <c r="E418" s="202"/>
      <c r="F418" s="202"/>
      <c r="G418" s="203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s="7" customFormat="1" ht="16.2" hidden="1" outlineLevel="1" thickBot="1" x14ac:dyDescent="0.3">
      <c r="A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s="3" customFormat="1" ht="17.399999999999999" customHeight="1" collapsed="1" thickBot="1" x14ac:dyDescent="0.3">
      <c r="A420" s="5"/>
      <c r="B420" s="15" t="s">
        <v>1279</v>
      </c>
      <c r="C420" s="16" t="s">
        <v>1924</v>
      </c>
      <c r="D420" s="17" t="s">
        <v>1281</v>
      </c>
      <c r="E420" s="16" t="s">
        <v>556</v>
      </c>
      <c r="F420" s="17" t="s">
        <v>1282</v>
      </c>
      <c r="G420" s="18" t="s">
        <v>1925</v>
      </c>
    </row>
    <row r="421" spans="1:27" s="3" customFormat="1" ht="17.399999999999999" hidden="1" customHeight="1" outlineLevel="1" x14ac:dyDescent="0.25">
      <c r="A421" s="5"/>
      <c r="B421" s="19" t="s">
        <v>1284</v>
      </c>
      <c r="C421" s="20" t="s">
        <v>1285</v>
      </c>
      <c r="D421" s="21" t="s">
        <v>1286</v>
      </c>
      <c r="E421" s="20" t="s">
        <v>1926</v>
      </c>
      <c r="F421" s="21" t="s">
        <v>1288</v>
      </c>
      <c r="G421" s="22" t="s">
        <v>1334</v>
      </c>
    </row>
    <row r="422" spans="1:27" s="3" customFormat="1" ht="17.399999999999999" hidden="1" customHeight="1" outlineLevel="1" thickBot="1" x14ac:dyDescent="0.3">
      <c r="A422" s="5"/>
      <c r="B422" s="19" t="s">
        <v>1290</v>
      </c>
      <c r="C422" s="23" t="s">
        <v>1291</v>
      </c>
      <c r="D422" s="21" t="s">
        <v>1292</v>
      </c>
      <c r="E422" s="23">
        <v>5</v>
      </c>
      <c r="F422" s="21" t="s">
        <v>1293</v>
      </c>
      <c r="G422" s="24" t="s">
        <v>1294</v>
      </c>
    </row>
    <row r="423" spans="1:27" s="3" customFormat="1" ht="17.399999999999999" hidden="1" customHeight="1" outlineLevel="1" x14ac:dyDescent="0.25">
      <c r="A423" s="5"/>
      <c r="B423" s="395" t="s">
        <v>1</v>
      </c>
      <c r="C423" s="396"/>
      <c r="D423" s="396"/>
      <c r="E423" s="396"/>
      <c r="F423" s="396"/>
      <c r="G423" s="397"/>
    </row>
    <row r="424" spans="1:27" s="3" customFormat="1" ht="17.399999999999999" hidden="1" customHeight="1" outlineLevel="1" x14ac:dyDescent="0.25">
      <c r="A424" s="5"/>
      <c r="B424" s="25" t="s">
        <v>2</v>
      </c>
      <c r="C424" s="26" t="s">
        <v>3</v>
      </c>
      <c r="D424" s="26" t="s">
        <v>4</v>
      </c>
      <c r="E424" s="26" t="s">
        <v>5</v>
      </c>
      <c r="F424" s="26"/>
      <c r="G424" s="27" t="s">
        <v>6</v>
      </c>
    </row>
    <row r="425" spans="1:27" s="3" customFormat="1" hidden="1" outlineLevel="1" x14ac:dyDescent="0.25">
      <c r="B425" s="28" t="s">
        <v>112</v>
      </c>
      <c r="C425" s="29" t="s">
        <v>1555</v>
      </c>
      <c r="D425" s="29" t="s">
        <v>1469</v>
      </c>
      <c r="E425" s="29">
        <v>0</v>
      </c>
      <c r="F425" s="29" t="s">
        <v>1470</v>
      </c>
      <c r="G425" s="30" t="s">
        <v>1556</v>
      </c>
      <c r="J425" s="3" t="s">
        <v>10</v>
      </c>
      <c r="K425" s="3" t="s">
        <v>173</v>
      </c>
      <c r="L425" s="3" t="s">
        <v>9</v>
      </c>
      <c r="M425" s="3" t="s">
        <v>9</v>
      </c>
      <c r="N425" s="3">
        <v>1606</v>
      </c>
    </row>
    <row r="426" spans="1:27" s="3" customFormat="1" hidden="1" outlineLevel="1" x14ac:dyDescent="0.25">
      <c r="B426" s="28" t="s">
        <v>7</v>
      </c>
      <c r="C426" s="29" t="s">
        <v>1468</v>
      </c>
      <c r="D426" s="29" t="s">
        <v>1469</v>
      </c>
      <c r="E426" s="29">
        <v>0</v>
      </c>
      <c r="F426" s="29" t="s">
        <v>1470</v>
      </c>
      <c r="G426" s="30" t="s">
        <v>1471</v>
      </c>
      <c r="J426" s="3" t="s">
        <v>10</v>
      </c>
      <c r="K426" s="3" t="s">
        <v>173</v>
      </c>
      <c r="L426" s="3" t="s">
        <v>9</v>
      </c>
      <c r="M426" s="3" t="s">
        <v>9</v>
      </c>
      <c r="N426" s="3">
        <v>1112</v>
      </c>
    </row>
    <row r="427" spans="1:27" s="3" customFormat="1" hidden="1" outlineLevel="1" x14ac:dyDescent="0.25">
      <c r="B427" s="28" t="s">
        <v>11</v>
      </c>
      <c r="C427" s="29" t="s">
        <v>1472</v>
      </c>
      <c r="D427" s="29" t="s">
        <v>1469</v>
      </c>
      <c r="E427" s="29">
        <v>0</v>
      </c>
      <c r="F427" s="29" t="s">
        <v>1470</v>
      </c>
      <c r="G427" s="30" t="s">
        <v>1473</v>
      </c>
      <c r="J427" s="3" t="s">
        <v>12</v>
      </c>
      <c r="K427" s="3" t="s">
        <v>174</v>
      </c>
      <c r="L427" s="3" t="s">
        <v>175</v>
      </c>
      <c r="M427" s="3" t="s">
        <v>176</v>
      </c>
      <c r="N427" s="3">
        <v>1700</v>
      </c>
    </row>
    <row r="428" spans="1:27" s="3" customFormat="1" hidden="1" outlineLevel="1" x14ac:dyDescent="0.25">
      <c r="A428" s="14"/>
      <c r="B428" s="31" t="s">
        <v>114</v>
      </c>
      <c r="C428" s="20" t="s">
        <v>1557</v>
      </c>
      <c r="D428" s="20" t="s">
        <v>1469</v>
      </c>
      <c r="E428" s="20">
        <v>-1</v>
      </c>
      <c r="F428" s="20" t="s">
        <v>1470</v>
      </c>
      <c r="G428" s="22"/>
      <c r="H428" s="14"/>
      <c r="I428" s="14"/>
      <c r="J428" s="14" t="s">
        <v>10</v>
      </c>
      <c r="K428" s="14" t="s">
        <v>173</v>
      </c>
      <c r="L428" s="14" t="s">
        <v>9</v>
      </c>
      <c r="M428" s="14" t="s">
        <v>9</v>
      </c>
      <c r="N428" s="14">
        <v>2449</v>
      </c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s="3" customFormat="1" ht="17.399999999999999" hidden="1" customHeight="1" outlineLevel="1" x14ac:dyDescent="0.25">
      <c r="A429" s="14"/>
      <c r="B429" s="116" t="s">
        <v>553</v>
      </c>
      <c r="C429" s="117" t="s">
        <v>2063</v>
      </c>
      <c r="D429" s="117" t="s">
        <v>1606</v>
      </c>
      <c r="E429" s="117" t="s">
        <v>1594</v>
      </c>
      <c r="F429" s="117" t="s">
        <v>1470</v>
      </c>
      <c r="G429" s="118"/>
      <c r="H429" s="14"/>
      <c r="I429" s="14"/>
      <c r="J429" s="14" t="s">
        <v>187</v>
      </c>
      <c r="K429" s="14" t="s">
        <v>438</v>
      </c>
      <c r="L429" s="14" t="s">
        <v>537</v>
      </c>
      <c r="M429" s="14" t="s">
        <v>187</v>
      </c>
      <c r="N429" s="14">
        <v>1967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s="3" customFormat="1" ht="16.2" hidden="1" outlineLevel="1" thickBot="1" x14ac:dyDescent="0.3">
      <c r="A430" s="14"/>
      <c r="B430" s="52"/>
      <c r="C430" s="53"/>
      <c r="D430" s="53"/>
      <c r="E430" s="53"/>
      <c r="F430" s="53"/>
      <c r="G430" s="5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s="3" customFormat="1" hidden="1" outlineLevel="1" x14ac:dyDescent="0.25">
      <c r="A431" s="14"/>
      <c r="B431" s="401" t="s">
        <v>18</v>
      </c>
      <c r="C431" s="402"/>
      <c r="D431" s="402"/>
      <c r="E431" s="402"/>
      <c r="F431" s="402"/>
      <c r="G431" s="403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s="3" customFormat="1" hidden="1" outlineLevel="1" x14ac:dyDescent="0.25">
      <c r="A432" s="14"/>
      <c r="B432" s="25" t="s">
        <v>2</v>
      </c>
      <c r="C432" s="26" t="s">
        <v>3</v>
      </c>
      <c r="D432" s="26" t="s">
        <v>4</v>
      </c>
      <c r="E432" s="26" t="s">
        <v>5</v>
      </c>
      <c r="F432" s="26"/>
      <c r="G432" s="27" t="s">
        <v>6</v>
      </c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s="228" customFormat="1" ht="17.399999999999999" hidden="1" customHeight="1" outlineLevel="1" x14ac:dyDescent="0.25">
      <c r="A433" s="14"/>
      <c r="B433" s="228" t="s">
        <v>15</v>
      </c>
      <c r="C433" s="228" t="s">
        <v>1478</v>
      </c>
      <c r="D433" s="228" t="s">
        <v>1469</v>
      </c>
      <c r="E433" s="228">
        <v>0</v>
      </c>
      <c r="F433" s="228" t="s">
        <v>1470</v>
      </c>
      <c r="H433" s="14"/>
      <c r="I433" s="14"/>
      <c r="J433" s="14" t="s">
        <v>10</v>
      </c>
      <c r="K433" s="14" t="s">
        <v>173</v>
      </c>
      <c r="L433" s="14" t="s">
        <v>9</v>
      </c>
      <c r="M433" s="14" t="s">
        <v>9</v>
      </c>
      <c r="N433" s="14">
        <v>2430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s="228" customFormat="1" ht="17.399999999999999" hidden="1" customHeight="1" outlineLevel="1" x14ac:dyDescent="0.25">
      <c r="A434" s="14"/>
      <c r="B434" s="228" t="s">
        <v>14</v>
      </c>
      <c r="C434" s="228" t="s">
        <v>1475</v>
      </c>
      <c r="D434" s="228" t="s">
        <v>1469</v>
      </c>
      <c r="E434" s="228">
        <v>0</v>
      </c>
      <c r="F434" s="228" t="s">
        <v>1476</v>
      </c>
      <c r="G434" s="228" t="s">
        <v>1477</v>
      </c>
      <c r="H434" s="14"/>
      <c r="I434" s="14"/>
      <c r="J434" s="14" t="s">
        <v>10</v>
      </c>
      <c r="K434" s="14" t="s">
        <v>173</v>
      </c>
      <c r="L434" s="14" t="s">
        <v>9</v>
      </c>
      <c r="M434" s="14" t="s">
        <v>9</v>
      </c>
      <c r="N434" s="14">
        <v>2155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s="228" customFormat="1" ht="17.399999999999999" hidden="1" customHeight="1" outlineLevel="1" x14ac:dyDescent="0.25">
      <c r="A435" s="14"/>
      <c r="B435" s="228" t="s">
        <v>62</v>
      </c>
      <c r="C435" s="228" t="s">
        <v>1525</v>
      </c>
      <c r="D435" s="228" t="s">
        <v>1489</v>
      </c>
      <c r="E435" s="228">
        <v>0</v>
      </c>
      <c r="H435" s="14"/>
      <c r="I435" s="14"/>
      <c r="J435" s="14" t="s">
        <v>20</v>
      </c>
      <c r="K435" s="14" t="s">
        <v>445</v>
      </c>
      <c r="L435" s="14" t="s">
        <v>446</v>
      </c>
      <c r="M435" s="14" t="s">
        <v>446</v>
      </c>
      <c r="N435" s="14">
        <v>1202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s="228" customFormat="1" ht="17.399999999999999" hidden="1" customHeight="1" outlineLevel="1" x14ac:dyDescent="0.25">
      <c r="A436" s="14"/>
      <c r="B436" s="228" t="s">
        <v>116</v>
      </c>
      <c r="C436" s="228" t="s">
        <v>1559</v>
      </c>
      <c r="D436" s="228" t="s">
        <v>1486</v>
      </c>
      <c r="E436" s="228">
        <v>0</v>
      </c>
      <c r="F436" s="228" t="s">
        <v>1470</v>
      </c>
      <c r="G436" s="228" t="s">
        <v>1560</v>
      </c>
      <c r="H436" s="14"/>
      <c r="I436" s="14"/>
      <c r="J436" s="14" t="s">
        <v>20</v>
      </c>
      <c r="K436" s="14" t="s">
        <v>445</v>
      </c>
      <c r="L436" s="14" t="s">
        <v>446</v>
      </c>
      <c r="M436" s="14" t="s">
        <v>446</v>
      </c>
      <c r="N436" s="14">
        <v>1986</v>
      </c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s="228" customFormat="1" ht="17.399999999999999" hidden="1" customHeight="1" outlineLevel="1" x14ac:dyDescent="0.25">
      <c r="A437" s="14"/>
      <c r="B437" s="228" t="s">
        <v>75</v>
      </c>
      <c r="C437" s="228" t="s">
        <v>1530</v>
      </c>
      <c r="D437" s="228" t="s">
        <v>1486</v>
      </c>
      <c r="E437" s="228">
        <v>0</v>
      </c>
      <c r="F437" s="228" t="s">
        <v>1470</v>
      </c>
      <c r="G437" s="228" t="s">
        <v>1531</v>
      </c>
      <c r="H437" s="14"/>
      <c r="I437" s="14"/>
      <c r="J437" s="14" t="s">
        <v>20</v>
      </c>
      <c r="K437" s="14" t="s">
        <v>445</v>
      </c>
      <c r="L437" s="14" t="s">
        <v>446</v>
      </c>
      <c r="M437" s="14" t="s">
        <v>446</v>
      </c>
      <c r="N437" s="14">
        <v>1262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s="228" customFormat="1" ht="17.399999999999999" hidden="1" customHeight="1" outlineLevel="1" x14ac:dyDescent="0.25">
      <c r="A438" s="14"/>
      <c r="B438" s="228" t="s">
        <v>117</v>
      </c>
      <c r="C438" s="228" t="s">
        <v>1561</v>
      </c>
      <c r="D438" s="228" t="s">
        <v>1489</v>
      </c>
      <c r="E438" s="228">
        <v>0</v>
      </c>
      <c r="F438" s="228" t="s">
        <v>1470</v>
      </c>
      <c r="H438" s="14"/>
      <c r="I438" s="14"/>
      <c r="J438" s="14" t="s">
        <v>20</v>
      </c>
      <c r="K438" s="14" t="s">
        <v>445</v>
      </c>
      <c r="L438" s="14" t="s">
        <v>446</v>
      </c>
      <c r="M438" s="14" t="s">
        <v>446</v>
      </c>
      <c r="N438" s="14">
        <v>1163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s="228" customFormat="1" ht="17.399999999999999" hidden="1" customHeight="1" outlineLevel="1" x14ac:dyDescent="0.25">
      <c r="A439" s="14"/>
      <c r="B439" s="228" t="s">
        <v>24</v>
      </c>
      <c r="C439" s="228" t="s">
        <v>1491</v>
      </c>
      <c r="D439" s="228" t="s">
        <v>1489</v>
      </c>
      <c r="E439" s="228">
        <v>0</v>
      </c>
      <c r="F439" s="228" t="s">
        <v>1470</v>
      </c>
      <c r="H439" s="14"/>
      <c r="I439" s="14"/>
      <c r="J439" s="14" t="s">
        <v>20</v>
      </c>
      <c r="K439" s="14" t="s">
        <v>445</v>
      </c>
      <c r="L439" s="14" t="s">
        <v>446</v>
      </c>
      <c r="M439" s="14" t="s">
        <v>446</v>
      </c>
      <c r="N439" s="14">
        <v>2153</v>
      </c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s="228" customFormat="1" ht="17.399999999999999" hidden="1" customHeight="1" outlineLevel="1" x14ac:dyDescent="0.25">
      <c r="A440" s="14"/>
      <c r="B440" s="228" t="s">
        <v>90</v>
      </c>
      <c r="C440" s="228" t="s">
        <v>1538</v>
      </c>
      <c r="D440" s="228" t="s">
        <v>1539</v>
      </c>
      <c r="E440" s="228">
        <v>0</v>
      </c>
      <c r="F440" s="228" t="s">
        <v>1470</v>
      </c>
      <c r="G440" s="228" t="s">
        <v>1540</v>
      </c>
      <c r="H440" s="14"/>
      <c r="I440" s="14"/>
      <c r="J440" s="14" t="s">
        <v>20</v>
      </c>
      <c r="K440" s="14" t="s">
        <v>445</v>
      </c>
      <c r="L440" s="14" t="s">
        <v>446</v>
      </c>
      <c r="M440" s="14" t="s">
        <v>446</v>
      </c>
      <c r="N440" s="14">
        <v>1162</v>
      </c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s="228" customFormat="1" ht="17.399999999999999" hidden="1" customHeight="1" outlineLevel="1" x14ac:dyDescent="0.25">
      <c r="A441" s="14"/>
      <c r="B441" s="228" t="s">
        <v>115</v>
      </c>
      <c r="C441" s="228" t="s">
        <v>1558</v>
      </c>
      <c r="D441" s="228" t="s">
        <v>1539</v>
      </c>
      <c r="E441" s="228">
        <v>0</v>
      </c>
      <c r="F441" s="228" t="s">
        <v>1470</v>
      </c>
      <c r="H441" s="14"/>
      <c r="I441" s="14"/>
      <c r="J441" s="14" t="s">
        <v>20</v>
      </c>
      <c r="K441" s="14" t="s">
        <v>445</v>
      </c>
      <c r="L441" s="14" t="s">
        <v>446</v>
      </c>
      <c r="M441" s="14" t="s">
        <v>446</v>
      </c>
      <c r="N441" s="14">
        <v>2586</v>
      </c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s="228" customFormat="1" ht="17.399999999999999" hidden="1" customHeight="1" outlineLevel="1" x14ac:dyDescent="0.25">
      <c r="A442" s="14"/>
      <c r="B442" s="228" t="s">
        <v>118</v>
      </c>
      <c r="C442" s="228" t="s">
        <v>1562</v>
      </c>
      <c r="D442" s="228" t="s">
        <v>1489</v>
      </c>
      <c r="E442" s="228">
        <v>0</v>
      </c>
      <c r="H442" s="14"/>
      <c r="I442" s="14"/>
      <c r="J442" s="14" t="s">
        <v>20</v>
      </c>
      <c r="K442" s="14" t="s">
        <v>445</v>
      </c>
      <c r="L442" s="14" t="s">
        <v>446</v>
      </c>
      <c r="M442" s="14" t="s">
        <v>446</v>
      </c>
      <c r="N442" s="14">
        <v>1461</v>
      </c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s="228" customFormat="1" ht="17.399999999999999" hidden="1" customHeight="1" outlineLevel="1" x14ac:dyDescent="0.25">
      <c r="A443" s="14"/>
      <c r="B443" s="228" t="s">
        <v>119</v>
      </c>
      <c r="C443" s="228" t="s">
        <v>1563</v>
      </c>
      <c r="D443" s="228" t="s">
        <v>1494</v>
      </c>
      <c r="E443" s="228">
        <v>0</v>
      </c>
      <c r="H443" s="14"/>
      <c r="I443" s="14"/>
      <c r="J443" s="14" t="s">
        <v>20</v>
      </c>
      <c r="K443" s="14" t="s">
        <v>445</v>
      </c>
      <c r="L443" s="14" t="s">
        <v>446</v>
      </c>
      <c r="M443" s="14" t="s">
        <v>446</v>
      </c>
      <c r="N443" s="14">
        <v>1462</v>
      </c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s="228" customFormat="1" ht="17.399999999999999" hidden="1" customHeight="1" outlineLevel="1" x14ac:dyDescent="0.25">
      <c r="A444" s="14"/>
      <c r="B444" s="228" t="s">
        <v>120</v>
      </c>
      <c r="C444" s="228" t="s">
        <v>1564</v>
      </c>
      <c r="D444" s="228" t="s">
        <v>1494</v>
      </c>
      <c r="E444" s="228">
        <v>0</v>
      </c>
      <c r="H444" s="14"/>
      <c r="I444" s="14"/>
      <c r="J444" s="14" t="s">
        <v>20</v>
      </c>
      <c r="K444" s="14" t="s">
        <v>445</v>
      </c>
      <c r="L444" s="14" t="s">
        <v>446</v>
      </c>
      <c r="M444" s="14" t="s">
        <v>446</v>
      </c>
      <c r="N444" s="14">
        <v>2169</v>
      </c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s="228" customFormat="1" ht="17.399999999999999" hidden="1" customHeight="1" outlineLevel="1" x14ac:dyDescent="0.25">
      <c r="A445" s="14"/>
      <c r="B445" s="228" t="s">
        <v>121</v>
      </c>
      <c r="C445" s="228" t="s">
        <v>1565</v>
      </c>
      <c r="D445" s="228" t="s">
        <v>1494</v>
      </c>
      <c r="E445" s="228">
        <v>0</v>
      </c>
      <c r="H445" s="14"/>
      <c r="I445" s="14"/>
      <c r="J445" s="14" t="s">
        <v>20</v>
      </c>
      <c r="K445" s="14" t="s">
        <v>445</v>
      </c>
      <c r="L445" s="14" t="s">
        <v>446</v>
      </c>
      <c r="M445" s="14" t="s">
        <v>446</v>
      </c>
      <c r="N445" s="14">
        <v>1740</v>
      </c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s="3" customFormat="1" ht="17.399999999999999" hidden="1" customHeight="1" outlineLevel="1" x14ac:dyDescent="0.25">
      <c r="A446" s="14"/>
      <c r="B446" s="31"/>
      <c r="C446" s="20"/>
      <c r="D446" s="20"/>
      <c r="E446" s="20"/>
      <c r="F446" s="20"/>
      <c r="G446" s="22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s="3" customFormat="1" hidden="1" outlineLevel="1" x14ac:dyDescent="0.25">
      <c r="A447" s="14"/>
      <c r="B447" s="31"/>
      <c r="C447" s="20"/>
      <c r="D447" s="20"/>
      <c r="E447" s="20"/>
      <c r="F447" s="20"/>
      <c r="G447" s="22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s="3" customFormat="1" hidden="1" outlineLevel="1" x14ac:dyDescent="0.25">
      <c r="A448" s="14"/>
      <c r="B448" s="31"/>
      <c r="C448" s="20"/>
      <c r="D448" s="20"/>
      <c r="E448" s="20"/>
      <c r="F448" s="20"/>
      <c r="G448" s="22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s="3" customFormat="1" hidden="1" outlineLevel="1" x14ac:dyDescent="0.25">
      <c r="A449" s="14"/>
      <c r="B449" s="398" t="s">
        <v>28</v>
      </c>
      <c r="C449" s="399"/>
      <c r="D449" s="399"/>
      <c r="E449" s="399"/>
      <c r="F449" s="399"/>
      <c r="G449" s="400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s="3" customFormat="1" hidden="1" outlineLevel="1" x14ac:dyDescent="0.25">
      <c r="A450" s="14"/>
      <c r="B450" s="25" t="s">
        <v>2</v>
      </c>
      <c r="C450" s="26" t="s">
        <v>3</v>
      </c>
      <c r="D450" s="26" t="s">
        <v>4</v>
      </c>
      <c r="E450" s="26" t="s">
        <v>5</v>
      </c>
      <c r="F450" s="26"/>
      <c r="G450" s="27" t="s">
        <v>6</v>
      </c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s="3" customFormat="1" ht="17.399999999999999" hidden="1" customHeight="1" outlineLevel="1" x14ac:dyDescent="0.25">
      <c r="A451" s="14"/>
      <c r="B451" s="116"/>
      <c r="C451" s="117"/>
      <c r="D451" s="117"/>
      <c r="E451" s="117"/>
      <c r="F451" s="117"/>
      <c r="G451" s="118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s="3" customFormat="1" ht="16.5" hidden="1" customHeight="1" outlineLevel="1" thickBot="1" x14ac:dyDescent="0.3">
      <c r="A452" s="14"/>
      <c r="B452" s="116"/>
      <c r="C452" s="117"/>
      <c r="D452" s="117"/>
      <c r="E452" s="117"/>
      <c r="F452" s="117"/>
      <c r="G452" s="118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s="3" customFormat="1" hidden="1" outlineLevel="1" x14ac:dyDescent="0.25">
      <c r="A453" s="14"/>
      <c r="B453" s="401" t="s">
        <v>29</v>
      </c>
      <c r="C453" s="402"/>
      <c r="D453" s="402"/>
      <c r="E453" s="402"/>
      <c r="F453" s="402"/>
      <c r="G453" s="403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s="3" customFormat="1" hidden="1" outlineLevel="1" x14ac:dyDescent="0.25">
      <c r="A454" s="14"/>
      <c r="B454" s="116" t="s">
        <v>557</v>
      </c>
      <c r="C454" s="117"/>
      <c r="D454" s="122"/>
      <c r="E454" s="117"/>
      <c r="F454" s="117"/>
      <c r="G454" s="371" t="s">
        <v>2419</v>
      </c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s="3" customFormat="1" hidden="1" outlineLevel="1" x14ac:dyDescent="0.25">
      <c r="A455" s="14"/>
      <c r="B455" s="125"/>
      <c r="C455" s="117"/>
      <c r="D455" s="117"/>
      <c r="E455" s="117"/>
      <c r="F455" s="117"/>
      <c r="G455" s="118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6.2" hidden="1" outlineLevel="1" thickBot="1" x14ac:dyDescent="0.3"/>
    <row r="457" spans="1:27" s="3" customFormat="1" ht="17.399999999999999" customHeight="1" collapsed="1" thickBot="1" x14ac:dyDescent="0.3">
      <c r="A457" s="5"/>
      <c r="B457" s="15" t="s">
        <v>1279</v>
      </c>
      <c r="C457" s="16" t="s">
        <v>1927</v>
      </c>
      <c r="D457" s="17" t="s">
        <v>1281</v>
      </c>
      <c r="E457" s="16" t="s">
        <v>558</v>
      </c>
      <c r="F457" s="17" t="s">
        <v>1282</v>
      </c>
      <c r="G457" s="18" t="s">
        <v>1928</v>
      </c>
    </row>
    <row r="458" spans="1:27" s="3" customFormat="1" ht="17.399999999999999" hidden="1" customHeight="1" outlineLevel="1" x14ac:dyDescent="0.25">
      <c r="A458" s="5"/>
      <c r="B458" s="19" t="s">
        <v>1284</v>
      </c>
      <c r="C458" s="20" t="s">
        <v>1285</v>
      </c>
      <c r="D458" s="21" t="s">
        <v>1286</v>
      </c>
      <c r="E458" s="20" t="s">
        <v>1929</v>
      </c>
      <c r="F458" s="21" t="s">
        <v>1288</v>
      </c>
      <c r="G458" s="22" t="s">
        <v>1338</v>
      </c>
    </row>
    <row r="459" spans="1:27" s="3" customFormat="1" ht="17.399999999999999" hidden="1" customHeight="1" outlineLevel="1" thickBot="1" x14ac:dyDescent="0.3">
      <c r="A459" s="5"/>
      <c r="B459" s="19" t="s">
        <v>1290</v>
      </c>
      <c r="C459" s="23" t="s">
        <v>1291</v>
      </c>
      <c r="D459" s="21" t="s">
        <v>1292</v>
      </c>
      <c r="E459" s="23">
        <v>5</v>
      </c>
      <c r="F459" s="21" t="s">
        <v>1293</v>
      </c>
      <c r="G459" s="24" t="s">
        <v>1294</v>
      </c>
    </row>
    <row r="460" spans="1:27" s="3" customFormat="1" ht="17.399999999999999" hidden="1" customHeight="1" outlineLevel="1" x14ac:dyDescent="0.25">
      <c r="A460" s="5"/>
      <c r="B460" s="395" t="s">
        <v>1</v>
      </c>
      <c r="C460" s="396"/>
      <c r="D460" s="396"/>
      <c r="E460" s="396"/>
      <c r="F460" s="396"/>
      <c r="G460" s="397"/>
    </row>
    <row r="461" spans="1:27" s="3" customFormat="1" ht="17.399999999999999" hidden="1" customHeight="1" outlineLevel="1" x14ac:dyDescent="0.25">
      <c r="A461" s="5"/>
      <c r="B461" s="25" t="s">
        <v>2</v>
      </c>
      <c r="C461" s="26" t="s">
        <v>3</v>
      </c>
      <c r="D461" s="26" t="s">
        <v>4</v>
      </c>
      <c r="E461" s="26" t="s">
        <v>5</v>
      </c>
      <c r="F461" s="26"/>
      <c r="G461" s="27" t="s">
        <v>6</v>
      </c>
    </row>
    <row r="462" spans="1:27" s="3" customFormat="1" hidden="1" outlineLevel="1" x14ac:dyDescent="0.25">
      <c r="B462" s="28" t="s">
        <v>112</v>
      </c>
      <c r="C462" s="29" t="s">
        <v>1555</v>
      </c>
      <c r="D462" s="29" t="s">
        <v>1469</v>
      </c>
      <c r="E462" s="29">
        <v>0</v>
      </c>
      <c r="F462" s="29" t="s">
        <v>1470</v>
      </c>
      <c r="G462" s="30" t="s">
        <v>1556</v>
      </c>
      <c r="J462" s="3" t="s">
        <v>10</v>
      </c>
      <c r="K462" s="3" t="s">
        <v>173</v>
      </c>
      <c r="L462" s="3" t="s">
        <v>9</v>
      </c>
      <c r="M462" s="3" t="s">
        <v>9</v>
      </c>
      <c r="N462" s="3">
        <v>1606</v>
      </c>
    </row>
    <row r="463" spans="1:27" s="3" customFormat="1" hidden="1" outlineLevel="1" x14ac:dyDescent="0.25">
      <c r="B463" s="28" t="s">
        <v>15</v>
      </c>
      <c r="C463" s="29" t="s">
        <v>1478</v>
      </c>
      <c r="D463" s="29" t="s">
        <v>1469</v>
      </c>
      <c r="E463" s="29">
        <v>0</v>
      </c>
      <c r="F463" s="29" t="s">
        <v>1470</v>
      </c>
      <c r="G463" s="30"/>
      <c r="J463" s="3" t="s">
        <v>10</v>
      </c>
      <c r="K463" s="3" t="s">
        <v>173</v>
      </c>
      <c r="L463" s="3" t="s">
        <v>9</v>
      </c>
      <c r="M463" s="3" t="s">
        <v>9</v>
      </c>
      <c r="N463" s="3">
        <v>2430</v>
      </c>
    </row>
    <row r="464" spans="1:27" s="3" customFormat="1" hidden="1" outlineLevel="1" x14ac:dyDescent="0.25">
      <c r="B464" s="28" t="s">
        <v>14</v>
      </c>
      <c r="C464" s="29" t="s">
        <v>1475</v>
      </c>
      <c r="D464" s="29" t="s">
        <v>1469</v>
      </c>
      <c r="E464" s="29">
        <v>0</v>
      </c>
      <c r="F464" s="29" t="s">
        <v>1476</v>
      </c>
      <c r="G464" s="30" t="s">
        <v>1477</v>
      </c>
      <c r="J464" s="3" t="s">
        <v>10</v>
      </c>
      <c r="K464" s="3" t="s">
        <v>173</v>
      </c>
      <c r="L464" s="3" t="s">
        <v>9</v>
      </c>
      <c r="M464" s="3" t="s">
        <v>9</v>
      </c>
      <c r="N464" s="3">
        <v>2155</v>
      </c>
    </row>
    <row r="465" spans="1:27" s="3" customFormat="1" hidden="1" outlineLevel="1" x14ac:dyDescent="0.25">
      <c r="B465" s="28" t="s">
        <v>87</v>
      </c>
      <c r="C465" s="29" t="s">
        <v>1535</v>
      </c>
      <c r="D465" s="29" t="s">
        <v>1469</v>
      </c>
      <c r="E465" s="29">
        <v>0</v>
      </c>
      <c r="F465" s="29" t="s">
        <v>1476</v>
      </c>
      <c r="G465" s="30"/>
      <c r="J465" s="3" t="s">
        <v>10</v>
      </c>
      <c r="K465" s="3" t="s">
        <v>173</v>
      </c>
      <c r="L465" s="3" t="s">
        <v>9</v>
      </c>
      <c r="M465" s="3" t="s">
        <v>9</v>
      </c>
      <c r="N465" s="3">
        <v>2433</v>
      </c>
    </row>
    <row r="466" spans="1:27" s="7" customFormat="1" ht="17.399999999999999" hidden="1" customHeight="1" outlineLevel="1" x14ac:dyDescent="0.25">
      <c r="A466" s="14"/>
      <c r="B466" s="302" t="s">
        <v>128</v>
      </c>
      <c r="C466" s="303" t="s">
        <v>1566</v>
      </c>
      <c r="D466" s="303" t="s">
        <v>1567</v>
      </c>
      <c r="E466" s="303">
        <v>0</v>
      </c>
      <c r="F466" s="303" t="s">
        <v>1470</v>
      </c>
      <c r="G466" s="304"/>
      <c r="H466" s="14"/>
      <c r="I466" s="14"/>
      <c r="J466" s="14" t="s">
        <v>12</v>
      </c>
      <c r="K466" s="14" t="s">
        <v>174</v>
      </c>
      <c r="L466" s="14" t="s">
        <v>175</v>
      </c>
      <c r="M466" s="14" t="s">
        <v>176</v>
      </c>
      <c r="N466" s="14">
        <v>1629</v>
      </c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s="7" customFormat="1" ht="17.399999999999999" hidden="1" customHeight="1" outlineLevel="1" x14ac:dyDescent="0.25">
      <c r="A467" s="14"/>
      <c r="B467" s="302" t="s">
        <v>114</v>
      </c>
      <c r="C467" s="303" t="s">
        <v>1557</v>
      </c>
      <c r="D467" s="303" t="s">
        <v>1469</v>
      </c>
      <c r="E467" s="303">
        <v>-1</v>
      </c>
      <c r="F467" s="303" t="s">
        <v>1470</v>
      </c>
      <c r="G467" s="304"/>
      <c r="H467" s="14"/>
      <c r="I467" s="14"/>
      <c r="J467" s="14" t="s">
        <v>10</v>
      </c>
      <c r="K467" s="14" t="s">
        <v>173</v>
      </c>
      <c r="L467" s="14" t="s">
        <v>9</v>
      </c>
      <c r="M467" s="14" t="s">
        <v>9</v>
      </c>
      <c r="N467" s="14">
        <v>2449</v>
      </c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s="7" customFormat="1" ht="17.399999999999999" hidden="1" customHeight="1" outlineLevel="1" thickBot="1" x14ac:dyDescent="0.3">
      <c r="A468" s="14"/>
      <c r="B468" s="305"/>
      <c r="C468" s="306"/>
      <c r="D468" s="306"/>
      <c r="E468" s="306"/>
      <c r="F468" s="306"/>
      <c r="G468" s="307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s="7" customFormat="1" ht="17.399999999999999" hidden="1" customHeight="1" outlineLevel="1" x14ac:dyDescent="0.25">
      <c r="A469" s="14"/>
      <c r="B469" s="413" t="s">
        <v>18</v>
      </c>
      <c r="C469" s="414"/>
      <c r="D469" s="414"/>
      <c r="E469" s="414"/>
      <c r="F469" s="414"/>
      <c r="G469" s="415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s="7" customFormat="1" ht="17.399999999999999" hidden="1" customHeight="1" outlineLevel="1" x14ac:dyDescent="0.25">
      <c r="A470" s="14"/>
      <c r="B470" s="308" t="s">
        <v>2</v>
      </c>
      <c r="C470" s="309" t="s">
        <v>3</v>
      </c>
      <c r="D470" s="309" t="s">
        <v>4</v>
      </c>
      <c r="E470" s="309" t="s">
        <v>5</v>
      </c>
      <c r="F470" s="309"/>
      <c r="G470" s="310" t="s">
        <v>6</v>
      </c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s="7" customFormat="1" ht="17.399999999999999" hidden="1" customHeight="1" outlineLevel="1" x14ac:dyDescent="0.25">
      <c r="A471" s="14"/>
      <c r="B471" s="308" t="s">
        <v>128</v>
      </c>
      <c r="C471" s="309" t="s">
        <v>1566</v>
      </c>
      <c r="D471" s="309" t="s">
        <v>1567</v>
      </c>
      <c r="E471" s="309">
        <v>0</v>
      </c>
      <c r="F471" s="309" t="s">
        <v>1470</v>
      </c>
      <c r="G471" s="310"/>
      <c r="H471" s="14"/>
      <c r="I471" s="14"/>
      <c r="J471" s="14" t="s">
        <v>12</v>
      </c>
      <c r="K471" s="14" t="s">
        <v>174</v>
      </c>
      <c r="L471" s="14" t="s">
        <v>175</v>
      </c>
      <c r="M471" s="14" t="s">
        <v>176</v>
      </c>
      <c r="N471" s="14">
        <v>1629</v>
      </c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s="6" customFormat="1" hidden="1" outlineLevel="1" x14ac:dyDescent="0.25">
      <c r="A472" s="5"/>
      <c r="B472" s="81" t="s">
        <v>16</v>
      </c>
      <c r="C472" s="20" t="s">
        <v>1479</v>
      </c>
      <c r="D472" s="20" t="s">
        <v>1469</v>
      </c>
      <c r="E472" s="20" t="s">
        <v>1480</v>
      </c>
      <c r="F472" s="20" t="s">
        <v>1481</v>
      </c>
      <c r="G472" s="22" t="s">
        <v>1482</v>
      </c>
      <c r="J472" s="3" t="s">
        <v>78</v>
      </c>
      <c r="K472" s="3" t="s">
        <v>130</v>
      </c>
    </row>
    <row r="473" spans="1:27" s="7" customFormat="1" ht="17.399999999999999" hidden="1" customHeight="1" outlineLevel="1" x14ac:dyDescent="0.25">
      <c r="A473" s="14"/>
      <c r="B473" s="308" t="s">
        <v>112</v>
      </c>
      <c r="C473" s="309" t="s">
        <v>1555</v>
      </c>
      <c r="D473" s="309" t="s">
        <v>1469</v>
      </c>
      <c r="E473" s="309">
        <v>0</v>
      </c>
      <c r="F473" s="309" t="s">
        <v>1470</v>
      </c>
      <c r="G473" s="310" t="s">
        <v>1556</v>
      </c>
      <c r="H473" s="14"/>
      <c r="I473" s="14"/>
      <c r="J473" s="14" t="s">
        <v>10</v>
      </c>
      <c r="K473" s="14" t="s">
        <v>173</v>
      </c>
      <c r="L473" s="14" t="s">
        <v>9</v>
      </c>
      <c r="M473" s="14" t="s">
        <v>9</v>
      </c>
      <c r="N473" s="14">
        <v>1606</v>
      </c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s="7" customFormat="1" ht="17.399999999999999" hidden="1" customHeight="1" outlineLevel="1" x14ac:dyDescent="0.25">
      <c r="A474" s="14"/>
      <c r="B474" s="308" t="s">
        <v>15</v>
      </c>
      <c r="C474" s="309" t="s">
        <v>1478</v>
      </c>
      <c r="D474" s="309" t="s">
        <v>1469</v>
      </c>
      <c r="E474" s="309">
        <v>0</v>
      </c>
      <c r="F474" s="309" t="s">
        <v>1470</v>
      </c>
      <c r="G474" s="310"/>
      <c r="H474" s="14"/>
      <c r="I474" s="14"/>
      <c r="J474" s="14" t="s">
        <v>10</v>
      </c>
      <c r="K474" s="14" t="s">
        <v>173</v>
      </c>
      <c r="L474" s="14" t="s">
        <v>9</v>
      </c>
      <c r="M474" s="14" t="s">
        <v>9</v>
      </c>
      <c r="N474" s="14">
        <v>2430</v>
      </c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s="7" customFormat="1" ht="17.399999999999999" hidden="1" customHeight="1" outlineLevel="1" x14ac:dyDescent="0.25">
      <c r="A475" s="14"/>
      <c r="B475" s="308" t="s">
        <v>14</v>
      </c>
      <c r="C475" s="309" t="s">
        <v>1475</v>
      </c>
      <c r="D475" s="309" t="s">
        <v>1469</v>
      </c>
      <c r="E475" s="309">
        <v>0</v>
      </c>
      <c r="F475" s="309" t="s">
        <v>1476</v>
      </c>
      <c r="G475" s="310" t="s">
        <v>1477</v>
      </c>
      <c r="H475" s="14"/>
      <c r="I475" s="14"/>
      <c r="J475" s="14" t="s">
        <v>10</v>
      </c>
      <c r="K475" s="14" t="s">
        <v>173</v>
      </c>
      <c r="L475" s="14" t="s">
        <v>9</v>
      </c>
      <c r="M475" s="14" t="s">
        <v>9</v>
      </c>
      <c r="N475" s="14">
        <v>2155</v>
      </c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s="4" customFormat="1" ht="17.399999999999999" hidden="1" customHeight="1" outlineLevel="1" x14ac:dyDescent="0.35">
      <c r="A476" s="5"/>
      <c r="B476" s="67" t="s">
        <v>100</v>
      </c>
      <c r="C476" s="65" t="s">
        <v>1543</v>
      </c>
      <c r="D476" s="65" t="s">
        <v>1469</v>
      </c>
      <c r="E476" s="65">
        <v>0</v>
      </c>
      <c r="F476" s="65" t="s">
        <v>1476</v>
      </c>
      <c r="G476" s="66" t="s">
        <v>1544</v>
      </c>
      <c r="H476" s="5"/>
      <c r="I476" s="5"/>
      <c r="J476" s="5"/>
      <c r="K476" s="5"/>
      <c r="L476" s="5"/>
      <c r="M476" s="5"/>
    </row>
    <row r="477" spans="1:27" s="7" customFormat="1" ht="17.399999999999999" hidden="1" customHeight="1" outlineLevel="1" x14ac:dyDescent="0.25">
      <c r="A477" s="14"/>
      <c r="B477" s="308" t="s">
        <v>87</v>
      </c>
      <c r="C477" s="309" t="s">
        <v>1535</v>
      </c>
      <c r="D477" s="309" t="s">
        <v>1469</v>
      </c>
      <c r="E477" s="309">
        <v>0</v>
      </c>
      <c r="F477" s="309" t="s">
        <v>1476</v>
      </c>
      <c r="G477" s="310"/>
      <c r="H477" s="14"/>
      <c r="I477" s="14"/>
      <c r="J477" s="14" t="s">
        <v>10</v>
      </c>
      <c r="K477" s="14" t="s">
        <v>173</v>
      </c>
      <c r="L477" s="14" t="s">
        <v>9</v>
      </c>
      <c r="M477" s="14" t="s">
        <v>9</v>
      </c>
      <c r="N477" s="14">
        <v>2433</v>
      </c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s="7" customFormat="1" ht="17.399999999999999" hidden="1" customHeight="1" outlineLevel="1" x14ac:dyDescent="0.25">
      <c r="A478" s="14"/>
      <c r="B478" s="308" t="s">
        <v>62</v>
      </c>
      <c r="C478" s="309" t="s">
        <v>1525</v>
      </c>
      <c r="D478" s="309" t="s">
        <v>1489</v>
      </c>
      <c r="E478" s="309">
        <v>0</v>
      </c>
      <c r="F478" s="309"/>
      <c r="G478" s="310"/>
      <c r="H478" s="14"/>
      <c r="I478" s="14"/>
      <c r="J478" s="14" t="s">
        <v>20</v>
      </c>
      <c r="K478" s="14" t="s">
        <v>445</v>
      </c>
      <c r="L478" s="14" t="s">
        <v>446</v>
      </c>
      <c r="M478" s="14" t="s">
        <v>446</v>
      </c>
      <c r="N478" s="14">
        <v>1202</v>
      </c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s="7" customFormat="1" ht="17.399999999999999" hidden="1" customHeight="1" outlineLevel="1" x14ac:dyDescent="0.25">
      <c r="A479" s="14"/>
      <c r="B479" s="308" t="s">
        <v>116</v>
      </c>
      <c r="C479" s="309" t="s">
        <v>1559</v>
      </c>
      <c r="D479" s="309" t="s">
        <v>1486</v>
      </c>
      <c r="E479" s="309">
        <v>0</v>
      </c>
      <c r="F479" s="309" t="s">
        <v>1470</v>
      </c>
      <c r="G479" s="310" t="s">
        <v>1560</v>
      </c>
      <c r="H479" s="14"/>
      <c r="I479" s="14"/>
      <c r="J479" s="14" t="s">
        <v>20</v>
      </c>
      <c r="K479" s="14" t="s">
        <v>445</v>
      </c>
      <c r="L479" s="14" t="s">
        <v>446</v>
      </c>
      <c r="M479" s="14" t="s">
        <v>446</v>
      </c>
      <c r="N479" s="14">
        <v>1986</v>
      </c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s="7" customFormat="1" ht="17.399999999999999" hidden="1" customHeight="1" outlineLevel="1" x14ac:dyDescent="0.25">
      <c r="A480" s="14"/>
      <c r="B480" s="308" t="s">
        <v>75</v>
      </c>
      <c r="C480" s="309" t="s">
        <v>1530</v>
      </c>
      <c r="D480" s="309" t="s">
        <v>1486</v>
      </c>
      <c r="E480" s="309">
        <v>0</v>
      </c>
      <c r="F480" s="309" t="s">
        <v>1470</v>
      </c>
      <c r="G480" s="310" t="s">
        <v>1531</v>
      </c>
      <c r="H480" s="14"/>
      <c r="I480" s="14"/>
      <c r="J480" s="14" t="s">
        <v>20</v>
      </c>
      <c r="K480" s="14" t="s">
        <v>445</v>
      </c>
      <c r="L480" s="14" t="s">
        <v>446</v>
      </c>
      <c r="M480" s="14" t="s">
        <v>446</v>
      </c>
      <c r="N480" s="14">
        <v>1262</v>
      </c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s="7" customFormat="1" ht="17.399999999999999" hidden="1" customHeight="1" outlineLevel="1" x14ac:dyDescent="0.25">
      <c r="A481" s="14"/>
      <c r="B481" s="308" t="s">
        <v>131</v>
      </c>
      <c r="C481" s="309" t="s">
        <v>1568</v>
      </c>
      <c r="D481" s="309" t="s">
        <v>1486</v>
      </c>
      <c r="E481" s="309">
        <v>0</v>
      </c>
      <c r="F481" s="309" t="s">
        <v>1470</v>
      </c>
      <c r="G481" s="310" t="s">
        <v>1569</v>
      </c>
      <c r="H481" s="14"/>
      <c r="I481" s="14"/>
      <c r="J481" s="14" t="s">
        <v>20</v>
      </c>
      <c r="K481" s="14" t="s">
        <v>445</v>
      </c>
      <c r="L481" s="14" t="s">
        <v>446</v>
      </c>
      <c r="M481" s="14" t="s">
        <v>446</v>
      </c>
      <c r="N481" s="14">
        <v>1317</v>
      </c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s="7" customFormat="1" ht="17.399999999999999" hidden="1" customHeight="1" outlineLevel="1" x14ac:dyDescent="0.25">
      <c r="A482" s="14"/>
      <c r="B482" s="308" t="s">
        <v>132</v>
      </c>
      <c r="C482" s="309" t="s">
        <v>1570</v>
      </c>
      <c r="D482" s="309" t="s">
        <v>1486</v>
      </c>
      <c r="E482" s="309">
        <v>0</v>
      </c>
      <c r="F482" s="309" t="s">
        <v>1470</v>
      </c>
      <c r="G482" s="310" t="s">
        <v>1571</v>
      </c>
      <c r="H482" s="14"/>
      <c r="I482" s="14"/>
      <c r="J482" s="14" t="s">
        <v>20</v>
      </c>
      <c r="K482" s="14" t="s">
        <v>445</v>
      </c>
      <c r="L482" s="14" t="s">
        <v>446</v>
      </c>
      <c r="M482" s="14" t="s">
        <v>446</v>
      </c>
      <c r="N482" s="14">
        <v>1721</v>
      </c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s="7" customFormat="1" ht="17.399999999999999" hidden="1" customHeight="1" outlineLevel="1" x14ac:dyDescent="0.25">
      <c r="A483" s="14"/>
      <c r="B483" s="308" t="s">
        <v>133</v>
      </c>
      <c r="C483" s="309" t="s">
        <v>1572</v>
      </c>
      <c r="D483" s="309" t="s">
        <v>1486</v>
      </c>
      <c r="E483" s="309">
        <v>0</v>
      </c>
      <c r="F483" s="309" t="s">
        <v>1470</v>
      </c>
      <c r="G483" s="310"/>
      <c r="H483" s="14"/>
      <c r="I483" s="14"/>
      <c r="J483" s="14" t="s">
        <v>20</v>
      </c>
      <c r="K483" s="14" t="s">
        <v>445</v>
      </c>
      <c r="L483" s="14" t="s">
        <v>446</v>
      </c>
      <c r="M483" s="14" t="s">
        <v>446</v>
      </c>
      <c r="N483" s="14">
        <v>2498</v>
      </c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s="7" customFormat="1" ht="17.399999999999999" hidden="1" customHeight="1" outlineLevel="1" x14ac:dyDescent="0.25">
      <c r="A484" s="14"/>
      <c r="B484" s="308" t="s">
        <v>134</v>
      </c>
      <c r="C484" s="309" t="s">
        <v>1573</v>
      </c>
      <c r="D484" s="309" t="s">
        <v>1486</v>
      </c>
      <c r="E484" s="309">
        <v>0</v>
      </c>
      <c r="F484" s="309" t="s">
        <v>1470</v>
      </c>
      <c r="G484" s="310"/>
      <c r="H484" s="14"/>
      <c r="I484" s="14"/>
      <c r="J484" s="14" t="s">
        <v>20</v>
      </c>
      <c r="K484" s="14" t="s">
        <v>445</v>
      </c>
      <c r="L484" s="14" t="s">
        <v>446</v>
      </c>
      <c r="M484" s="14" t="s">
        <v>446</v>
      </c>
      <c r="N484" s="14">
        <v>2486</v>
      </c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s="7" customFormat="1" ht="17.399999999999999" hidden="1" customHeight="1" outlineLevel="1" x14ac:dyDescent="0.25">
      <c r="A485" s="14"/>
      <c r="B485" s="308" t="s">
        <v>135</v>
      </c>
      <c r="C485" s="309" t="s">
        <v>1574</v>
      </c>
      <c r="D485" s="309" t="s">
        <v>1486</v>
      </c>
      <c r="E485" s="309">
        <v>0</v>
      </c>
      <c r="F485" s="309" t="s">
        <v>1470</v>
      </c>
      <c r="G485" s="310"/>
      <c r="H485" s="14"/>
      <c r="I485" s="14"/>
      <c r="J485" s="14" t="s">
        <v>20</v>
      </c>
      <c r="K485" s="14" t="s">
        <v>445</v>
      </c>
      <c r="L485" s="14" t="s">
        <v>446</v>
      </c>
      <c r="M485" s="14" t="s">
        <v>446</v>
      </c>
      <c r="N485" s="14">
        <v>1699</v>
      </c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s="7" customFormat="1" ht="17.399999999999999" hidden="1" customHeight="1" outlineLevel="1" x14ac:dyDescent="0.25">
      <c r="A486" s="14"/>
      <c r="B486" s="308" t="s">
        <v>136</v>
      </c>
      <c r="C486" s="309" t="s">
        <v>1575</v>
      </c>
      <c r="D486" s="309" t="s">
        <v>1486</v>
      </c>
      <c r="E486" s="309">
        <v>0</v>
      </c>
      <c r="F486" s="309" t="s">
        <v>1470</v>
      </c>
      <c r="G486" s="310"/>
      <c r="H486" s="14"/>
      <c r="I486" s="14"/>
      <c r="J486" s="14" t="s">
        <v>20</v>
      </c>
      <c r="K486" s="14" t="s">
        <v>445</v>
      </c>
      <c r="L486" s="14" t="s">
        <v>446</v>
      </c>
      <c r="M486" s="14" t="s">
        <v>446</v>
      </c>
      <c r="N486" s="14">
        <v>1688</v>
      </c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s="7" customFormat="1" ht="17.399999999999999" hidden="1" customHeight="1" outlineLevel="1" x14ac:dyDescent="0.25">
      <c r="A487" s="14"/>
      <c r="B487" s="308" t="s">
        <v>137</v>
      </c>
      <c r="C487" s="309" t="s">
        <v>1576</v>
      </c>
      <c r="D487" s="309" t="s">
        <v>1486</v>
      </c>
      <c r="E487" s="309">
        <v>0</v>
      </c>
      <c r="F487" s="309" t="s">
        <v>1470</v>
      </c>
      <c r="G487" s="310"/>
      <c r="H487" s="14"/>
      <c r="I487" s="14"/>
      <c r="J487" s="14" t="s">
        <v>20</v>
      </c>
      <c r="K487" s="14" t="s">
        <v>445</v>
      </c>
      <c r="L487" s="14" t="s">
        <v>446</v>
      </c>
      <c r="M487" s="14" t="s">
        <v>446</v>
      </c>
      <c r="N487" s="14">
        <v>1191</v>
      </c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s="7" customFormat="1" ht="17.399999999999999" hidden="1" customHeight="1" outlineLevel="1" x14ac:dyDescent="0.25">
      <c r="A488" s="14"/>
      <c r="B488" s="308" t="s">
        <v>138</v>
      </c>
      <c r="C488" s="309" t="s">
        <v>1577</v>
      </c>
      <c r="D488" s="309" t="s">
        <v>1486</v>
      </c>
      <c r="E488" s="309">
        <v>0</v>
      </c>
      <c r="F488" s="309" t="s">
        <v>1470</v>
      </c>
      <c r="G488" s="310"/>
      <c r="H488" s="14"/>
      <c r="I488" s="14"/>
      <c r="J488" s="14" t="s">
        <v>20</v>
      </c>
      <c r="K488" s="14" t="s">
        <v>445</v>
      </c>
      <c r="L488" s="14" t="s">
        <v>446</v>
      </c>
      <c r="M488" s="14" t="s">
        <v>446</v>
      </c>
      <c r="N488" s="14">
        <v>1187</v>
      </c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s="7" customFormat="1" ht="17.399999999999999" hidden="1" customHeight="1" outlineLevel="1" x14ac:dyDescent="0.25">
      <c r="A489" s="14"/>
      <c r="B489" s="308" t="s">
        <v>117</v>
      </c>
      <c r="C489" s="309" t="s">
        <v>1561</v>
      </c>
      <c r="D489" s="309" t="s">
        <v>1489</v>
      </c>
      <c r="E489" s="309">
        <v>0</v>
      </c>
      <c r="F489" s="309" t="s">
        <v>1470</v>
      </c>
      <c r="G489" s="310"/>
      <c r="H489" s="14"/>
      <c r="I489" s="14"/>
      <c r="J489" s="14" t="s">
        <v>20</v>
      </c>
      <c r="K489" s="14" t="s">
        <v>445</v>
      </c>
      <c r="L489" s="14" t="s">
        <v>446</v>
      </c>
      <c r="M489" s="14" t="s">
        <v>446</v>
      </c>
      <c r="N489" s="14">
        <v>1163</v>
      </c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s="7" customFormat="1" ht="17.399999999999999" hidden="1" customHeight="1" outlineLevel="1" x14ac:dyDescent="0.25">
      <c r="A490" s="14"/>
      <c r="B490" s="308" t="s">
        <v>24</v>
      </c>
      <c r="C490" s="309" t="s">
        <v>1491</v>
      </c>
      <c r="D490" s="309" t="s">
        <v>1489</v>
      </c>
      <c r="E490" s="309">
        <v>0</v>
      </c>
      <c r="F490" s="309" t="s">
        <v>1470</v>
      </c>
      <c r="G490" s="310"/>
      <c r="H490" s="14"/>
      <c r="I490" s="14"/>
      <c r="J490" s="14" t="s">
        <v>20</v>
      </c>
      <c r="K490" s="14" t="s">
        <v>445</v>
      </c>
      <c r="L490" s="14" t="s">
        <v>446</v>
      </c>
      <c r="M490" s="14" t="s">
        <v>446</v>
      </c>
      <c r="N490" s="14">
        <v>2153</v>
      </c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s="7" customFormat="1" ht="17.399999999999999" hidden="1" customHeight="1" outlineLevel="1" x14ac:dyDescent="0.25">
      <c r="A491" s="14"/>
      <c r="B491" s="302" t="s">
        <v>140</v>
      </c>
      <c r="C491" s="303" t="s">
        <v>1578</v>
      </c>
      <c r="D491" s="303" t="s">
        <v>1489</v>
      </c>
      <c r="E491" s="303">
        <v>0</v>
      </c>
      <c r="F491" s="303" t="s">
        <v>1470</v>
      </c>
      <c r="G491" s="304"/>
      <c r="H491" s="14"/>
      <c r="I491" s="14"/>
      <c r="J491" s="14" t="s">
        <v>20</v>
      </c>
      <c r="K491" s="14" t="s">
        <v>445</v>
      </c>
      <c r="L491" s="14" t="s">
        <v>446</v>
      </c>
      <c r="M491" s="14" t="s">
        <v>446</v>
      </c>
      <c r="N491" s="14">
        <v>1852</v>
      </c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s="7" customFormat="1" ht="17.399999999999999" hidden="1" customHeight="1" outlineLevel="1" x14ac:dyDescent="0.25">
      <c r="A492" s="14"/>
      <c r="B492" s="302" t="s">
        <v>141</v>
      </c>
      <c r="C492" s="303" t="s">
        <v>1579</v>
      </c>
      <c r="D492" s="303" t="s">
        <v>1489</v>
      </c>
      <c r="E492" s="303">
        <v>0</v>
      </c>
      <c r="F492" s="303" t="s">
        <v>1470</v>
      </c>
      <c r="G492" s="304"/>
      <c r="H492" s="14"/>
      <c r="I492" s="14"/>
      <c r="J492" s="14" t="s">
        <v>20</v>
      </c>
      <c r="K492" s="14" t="s">
        <v>445</v>
      </c>
      <c r="L492" s="14" t="s">
        <v>446</v>
      </c>
      <c r="M492" s="14" t="s">
        <v>446</v>
      </c>
      <c r="N492" s="14">
        <v>1857</v>
      </c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s="7" customFormat="1" ht="17.399999999999999" hidden="1" customHeight="1" outlineLevel="1" x14ac:dyDescent="0.25">
      <c r="A493" s="14"/>
      <c r="B493" s="302" t="s">
        <v>90</v>
      </c>
      <c r="C493" s="303" t="s">
        <v>1538</v>
      </c>
      <c r="D493" s="303" t="s">
        <v>1539</v>
      </c>
      <c r="E493" s="303">
        <v>0</v>
      </c>
      <c r="F493" s="303" t="s">
        <v>1470</v>
      </c>
      <c r="G493" s="304" t="s">
        <v>1540</v>
      </c>
      <c r="H493" s="14"/>
      <c r="I493" s="14"/>
      <c r="J493" s="14" t="s">
        <v>20</v>
      </c>
      <c r="K493" s="14" t="s">
        <v>445</v>
      </c>
      <c r="L493" s="14" t="s">
        <v>446</v>
      </c>
      <c r="M493" s="14" t="s">
        <v>446</v>
      </c>
      <c r="N493" s="14">
        <v>1162</v>
      </c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s="7" customFormat="1" ht="17.399999999999999" hidden="1" customHeight="1" outlineLevel="1" x14ac:dyDescent="0.25">
      <c r="A494" s="14"/>
      <c r="B494" s="302" t="s">
        <v>115</v>
      </c>
      <c r="C494" s="303" t="s">
        <v>1558</v>
      </c>
      <c r="D494" s="303" t="s">
        <v>1539</v>
      </c>
      <c r="E494" s="303">
        <v>0</v>
      </c>
      <c r="F494" s="303" t="s">
        <v>1470</v>
      </c>
      <c r="G494" s="304"/>
      <c r="H494" s="14"/>
      <c r="I494" s="14"/>
      <c r="J494" s="14" t="s">
        <v>20</v>
      </c>
      <c r="K494" s="14" t="s">
        <v>445</v>
      </c>
      <c r="L494" s="14" t="s">
        <v>446</v>
      </c>
      <c r="M494" s="14" t="s">
        <v>446</v>
      </c>
      <c r="N494" s="14">
        <v>2586</v>
      </c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s="7" customFormat="1" ht="17.399999999999999" hidden="1" customHeight="1" outlineLevel="1" x14ac:dyDescent="0.25">
      <c r="A495" s="14"/>
      <c r="B495" s="302" t="s">
        <v>118</v>
      </c>
      <c r="C495" s="303" t="s">
        <v>1562</v>
      </c>
      <c r="D495" s="303" t="s">
        <v>1489</v>
      </c>
      <c r="E495" s="303">
        <v>0</v>
      </c>
      <c r="F495" s="303"/>
      <c r="G495" s="304"/>
      <c r="H495" s="14"/>
      <c r="I495" s="14"/>
      <c r="J495" s="14" t="s">
        <v>20</v>
      </c>
      <c r="K495" s="14" t="s">
        <v>445</v>
      </c>
      <c r="L495" s="14" t="s">
        <v>446</v>
      </c>
      <c r="M495" s="14" t="s">
        <v>446</v>
      </c>
      <c r="N495" s="14">
        <v>1461</v>
      </c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s="7" customFormat="1" ht="17.399999999999999" hidden="1" customHeight="1" outlineLevel="1" x14ac:dyDescent="0.25">
      <c r="A496" s="14"/>
      <c r="B496" s="302" t="s">
        <v>142</v>
      </c>
      <c r="C496" s="303" t="s">
        <v>1580</v>
      </c>
      <c r="D496" s="303" t="s">
        <v>1494</v>
      </c>
      <c r="E496" s="303">
        <v>0</v>
      </c>
      <c r="F496" s="303"/>
      <c r="G496" s="304"/>
      <c r="H496" s="14"/>
      <c r="I496" s="14"/>
      <c r="J496" s="14" t="s">
        <v>20</v>
      </c>
      <c r="K496" s="14" t="s">
        <v>445</v>
      </c>
      <c r="L496" s="14" t="s">
        <v>446</v>
      </c>
      <c r="M496" s="14" t="s">
        <v>446</v>
      </c>
      <c r="N496" s="14">
        <v>2346</v>
      </c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s="7" customFormat="1" ht="17.399999999999999" hidden="1" customHeight="1" outlineLevel="1" x14ac:dyDescent="0.25">
      <c r="A497" s="14"/>
      <c r="B497" s="302" t="s">
        <v>143</v>
      </c>
      <c r="C497" s="303" t="s">
        <v>1581</v>
      </c>
      <c r="D497" s="303" t="s">
        <v>1486</v>
      </c>
      <c r="E497" s="303">
        <v>0</v>
      </c>
      <c r="F497" s="303"/>
      <c r="G497" s="304" t="s">
        <v>1582</v>
      </c>
      <c r="H497" s="14"/>
      <c r="I497" s="14"/>
      <c r="J497" s="14" t="s">
        <v>20</v>
      </c>
      <c r="K497" s="14" t="s">
        <v>445</v>
      </c>
      <c r="L497" s="14" t="s">
        <v>446</v>
      </c>
      <c r="M497" s="14" t="s">
        <v>446</v>
      </c>
      <c r="N497" s="14">
        <v>1677</v>
      </c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s="7" customFormat="1" ht="17.399999999999999" hidden="1" customHeight="1" outlineLevel="1" x14ac:dyDescent="0.25">
      <c r="A498" s="14"/>
      <c r="B498" s="302" t="s">
        <v>144</v>
      </c>
      <c r="C498" s="303" t="s">
        <v>1583</v>
      </c>
      <c r="D498" s="303" t="s">
        <v>1486</v>
      </c>
      <c r="E498" s="303">
        <v>0</v>
      </c>
      <c r="F498" s="303"/>
      <c r="G498" s="304" t="s">
        <v>1582</v>
      </c>
      <c r="H498" s="14"/>
      <c r="I498" s="14"/>
      <c r="J498" s="14" t="s">
        <v>20</v>
      </c>
      <c r="K498" s="14" t="s">
        <v>445</v>
      </c>
      <c r="L498" s="14" t="s">
        <v>446</v>
      </c>
      <c r="M498" s="14" t="s">
        <v>446</v>
      </c>
      <c r="N498" s="14">
        <v>2459</v>
      </c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s="7" customFormat="1" ht="17.399999999999999" hidden="1" customHeight="1" outlineLevel="1" x14ac:dyDescent="0.25">
      <c r="A499" s="14"/>
      <c r="B499" s="302" t="s">
        <v>145</v>
      </c>
      <c r="C499" s="303" t="s">
        <v>1584</v>
      </c>
      <c r="D499" s="303" t="s">
        <v>1486</v>
      </c>
      <c r="E499" s="303">
        <v>0</v>
      </c>
      <c r="F499" s="303"/>
      <c r="G499" s="304"/>
      <c r="H499" s="14"/>
      <c r="I499" s="14"/>
      <c r="J499" s="14" t="s">
        <v>20</v>
      </c>
      <c r="K499" s="14" t="s">
        <v>445</v>
      </c>
      <c r="L499" s="14" t="s">
        <v>446</v>
      </c>
      <c r="M499" s="14" t="s">
        <v>446</v>
      </c>
      <c r="N499" s="14">
        <v>1744</v>
      </c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s="7" customFormat="1" ht="17.399999999999999" hidden="1" customHeight="1" outlineLevel="1" x14ac:dyDescent="0.25">
      <c r="A500" s="14"/>
      <c r="B500" s="302" t="s">
        <v>95</v>
      </c>
      <c r="C500" s="303" t="s">
        <v>1542</v>
      </c>
      <c r="D500" s="303" t="s">
        <v>1494</v>
      </c>
      <c r="E500" s="303">
        <v>0</v>
      </c>
      <c r="F500" s="303"/>
      <c r="G500" s="304"/>
      <c r="H500" s="14"/>
      <c r="I500" s="14"/>
      <c r="J500" s="14" t="s">
        <v>20</v>
      </c>
      <c r="K500" s="14" t="s">
        <v>445</v>
      </c>
      <c r="L500" s="14" t="s">
        <v>446</v>
      </c>
      <c r="M500" s="14" t="s">
        <v>446</v>
      </c>
      <c r="N500" s="14">
        <v>1197</v>
      </c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s="7" customFormat="1" ht="17.399999999999999" hidden="1" customHeight="1" outlineLevel="1" x14ac:dyDescent="0.25">
      <c r="A501" s="14"/>
      <c r="B501" s="302" t="s">
        <v>146</v>
      </c>
      <c r="C501" s="303" t="s">
        <v>1585</v>
      </c>
      <c r="D501" s="303" t="s">
        <v>1489</v>
      </c>
      <c r="E501" s="303">
        <v>0</v>
      </c>
      <c r="F501" s="303"/>
      <c r="G501" s="304"/>
      <c r="H501" s="14"/>
      <c r="I501" s="14"/>
      <c r="J501" s="14" t="s">
        <v>20</v>
      </c>
      <c r="K501" s="14" t="s">
        <v>445</v>
      </c>
      <c r="L501" s="14" t="s">
        <v>446</v>
      </c>
      <c r="M501" s="14" t="s">
        <v>446</v>
      </c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s="7" customFormat="1" ht="17.399999999999999" hidden="1" customHeight="1" outlineLevel="1" x14ac:dyDescent="0.25">
      <c r="A502" s="14"/>
      <c r="B502" s="302" t="s">
        <v>147</v>
      </c>
      <c r="C502" s="303" t="s">
        <v>1586</v>
      </c>
      <c r="D502" s="303" t="s">
        <v>1489</v>
      </c>
      <c r="E502" s="303">
        <v>0</v>
      </c>
      <c r="F502" s="303"/>
      <c r="G502" s="304"/>
      <c r="H502" s="14"/>
      <c r="I502" s="14"/>
      <c r="J502" s="14" t="s">
        <v>20</v>
      </c>
      <c r="K502" s="14" t="s">
        <v>445</v>
      </c>
      <c r="L502" s="14" t="s">
        <v>446</v>
      </c>
      <c r="M502" s="14" t="s">
        <v>446</v>
      </c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s="7" customFormat="1" ht="17.399999999999999" hidden="1" customHeight="1" outlineLevel="1" x14ac:dyDescent="0.25">
      <c r="A503" s="14"/>
      <c r="B503" s="302" t="s">
        <v>148</v>
      </c>
      <c r="C503" s="303" t="s">
        <v>1587</v>
      </c>
      <c r="D503" s="303" t="s">
        <v>1486</v>
      </c>
      <c r="E503" s="303">
        <v>0</v>
      </c>
      <c r="F503" s="303" t="s">
        <v>1470</v>
      </c>
      <c r="G503" s="304"/>
      <c r="H503" s="14"/>
      <c r="I503" s="14"/>
      <c r="J503" s="14" t="s">
        <v>20</v>
      </c>
      <c r="K503" s="14" t="s">
        <v>445</v>
      </c>
      <c r="L503" s="14" t="s">
        <v>446</v>
      </c>
      <c r="M503" s="14" t="s">
        <v>446</v>
      </c>
      <c r="N503" s="14">
        <v>2511</v>
      </c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s="7" customFormat="1" ht="17.399999999999999" hidden="1" customHeight="1" outlineLevel="1" x14ac:dyDescent="0.25">
      <c r="A504" s="14"/>
      <c r="B504" s="302"/>
      <c r="C504" s="303"/>
      <c r="D504" s="303"/>
      <c r="E504" s="303"/>
      <c r="F504" s="303"/>
      <c r="G504" s="30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s="7" customFormat="1" ht="17.399999999999999" hidden="1" customHeight="1" outlineLevel="1" x14ac:dyDescent="0.25">
      <c r="A505" s="14"/>
      <c r="B505" s="302"/>
      <c r="C505" s="303"/>
      <c r="D505" s="303"/>
      <c r="E505" s="303"/>
      <c r="F505" s="303"/>
      <c r="G505" s="30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s="7" customFormat="1" ht="17.399999999999999" hidden="1" customHeight="1" outlineLevel="1" x14ac:dyDescent="0.25">
      <c r="A506" s="14"/>
      <c r="B506" s="302"/>
      <c r="C506" s="303"/>
      <c r="D506" s="303"/>
      <c r="E506" s="303"/>
      <c r="F506" s="303"/>
      <c r="G506" s="30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s="7" customFormat="1" ht="17.399999999999999" hidden="1" customHeight="1" outlineLevel="1" x14ac:dyDescent="0.25">
      <c r="A507" s="14"/>
      <c r="B507" s="416" t="s">
        <v>28</v>
      </c>
      <c r="C507" s="417"/>
      <c r="D507" s="417"/>
      <c r="E507" s="417"/>
      <c r="F507" s="417"/>
      <c r="G507" s="418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s="7" customFormat="1" ht="17.399999999999999" hidden="1" customHeight="1" outlineLevel="1" x14ac:dyDescent="0.25">
      <c r="A508" s="14"/>
      <c r="B508" s="308" t="s">
        <v>2</v>
      </c>
      <c r="C508" s="309" t="s">
        <v>3</v>
      </c>
      <c r="D508" s="309" t="s">
        <v>4</v>
      </c>
      <c r="E508" s="309" t="s">
        <v>5</v>
      </c>
      <c r="F508" s="309"/>
      <c r="G508" s="310" t="s">
        <v>6</v>
      </c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s="7" customFormat="1" ht="17.399999999999999" hidden="1" customHeight="1" outlineLevel="1" x14ac:dyDescent="0.25">
      <c r="A509" s="14"/>
      <c r="B509" s="311"/>
      <c r="C509" s="303"/>
      <c r="D509" s="303"/>
      <c r="E509" s="303"/>
      <c r="F509" s="303"/>
      <c r="G509" s="30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s="7" customFormat="1" ht="17.399999999999999" hidden="1" customHeight="1" outlineLevel="1" x14ac:dyDescent="0.25">
      <c r="A510" s="14"/>
      <c r="B510" s="311"/>
      <c r="C510" s="303"/>
      <c r="D510" s="303"/>
      <c r="E510" s="303"/>
      <c r="F510" s="303"/>
      <c r="G510" s="30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s="7" customFormat="1" ht="17.399999999999999" hidden="1" customHeight="1" outlineLevel="1" thickBot="1" x14ac:dyDescent="0.3">
      <c r="A511" s="14"/>
      <c r="B511" s="311"/>
      <c r="C511" s="303"/>
      <c r="D511" s="303"/>
      <c r="E511" s="303"/>
      <c r="F511" s="303"/>
      <c r="G511" s="30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s="7" customFormat="1" ht="17.399999999999999" hidden="1" customHeight="1" outlineLevel="1" x14ac:dyDescent="0.25">
      <c r="A512" s="14"/>
      <c r="B512" s="413" t="s">
        <v>29</v>
      </c>
      <c r="C512" s="414"/>
      <c r="D512" s="414"/>
      <c r="E512" s="414"/>
      <c r="F512" s="414"/>
      <c r="G512" s="415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s="7" customFormat="1" ht="16.5" hidden="1" customHeight="1" outlineLevel="1" x14ac:dyDescent="0.25">
      <c r="A513" s="14"/>
      <c r="B513" s="308" t="s">
        <v>559</v>
      </c>
      <c r="C513" s="309"/>
      <c r="D513" s="309"/>
      <c r="E513" s="309"/>
      <c r="F513" s="309"/>
      <c r="G513" s="310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s="7" customFormat="1" ht="17.399999999999999" hidden="1" customHeight="1" outlineLevel="1" thickBot="1" x14ac:dyDescent="0.3">
      <c r="A514" s="14"/>
      <c r="B514" s="305" t="s">
        <v>560</v>
      </c>
      <c r="C514" s="306"/>
      <c r="D514" s="306"/>
      <c r="E514" s="306"/>
      <c r="F514" s="306"/>
      <c r="G514" s="307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s="7" customFormat="1" ht="16.5" hidden="1" customHeight="1" outlineLevel="1" x14ac:dyDescent="0.25">
      <c r="A515" s="14"/>
      <c r="B515" s="308" t="s">
        <v>561</v>
      </c>
      <c r="C515" s="309"/>
      <c r="D515" s="309"/>
      <c r="E515" s="309"/>
      <c r="F515" s="309"/>
      <c r="G515" s="310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s="7" customFormat="1" ht="17.399999999999999" hidden="1" customHeight="1" outlineLevel="1" x14ac:dyDescent="0.25">
      <c r="A516" s="14"/>
      <c r="B516" s="308" t="s">
        <v>562</v>
      </c>
      <c r="C516" s="309"/>
      <c r="D516" s="309"/>
      <c r="E516" s="309"/>
      <c r="F516" s="309"/>
      <c r="G516" s="372" t="s">
        <v>2420</v>
      </c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s="7" customFormat="1" ht="16.5" hidden="1" customHeight="1" outlineLevel="1" x14ac:dyDescent="0.25">
      <c r="A517" s="14"/>
      <c r="B517" s="308"/>
      <c r="C517" s="309"/>
      <c r="D517" s="309"/>
      <c r="E517" s="309"/>
      <c r="F517" s="309"/>
      <c r="G517" s="310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s="7" customFormat="1" ht="17.399999999999999" hidden="1" customHeight="1" outlineLevel="1" thickBot="1" x14ac:dyDescent="0.3">
      <c r="A518" s="14"/>
      <c r="B518" s="305"/>
      <c r="C518" s="306"/>
      <c r="D518" s="306"/>
      <c r="E518" s="306"/>
      <c r="F518" s="306"/>
      <c r="G518" s="307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s="7" customFormat="1" ht="16.2" hidden="1" outlineLevel="1" thickBot="1" x14ac:dyDescent="0.3">
      <c r="A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s="3" customFormat="1" ht="17.399999999999999" customHeight="1" collapsed="1" thickBot="1" x14ac:dyDescent="0.3">
      <c r="A520" s="5"/>
      <c r="B520" s="15" t="s">
        <v>1279</v>
      </c>
      <c r="C520" s="16" t="s">
        <v>1930</v>
      </c>
      <c r="D520" s="17" t="s">
        <v>1281</v>
      </c>
      <c r="E520" s="16" t="s">
        <v>563</v>
      </c>
      <c r="F520" s="17" t="s">
        <v>1282</v>
      </c>
      <c r="G520" s="18" t="s">
        <v>1931</v>
      </c>
    </row>
    <row r="521" spans="1:27" s="3" customFormat="1" ht="17.399999999999999" hidden="1" customHeight="1" outlineLevel="1" x14ac:dyDescent="0.25">
      <c r="A521" s="5"/>
      <c r="B521" s="19" t="s">
        <v>1284</v>
      </c>
      <c r="C521" s="20" t="s">
        <v>1285</v>
      </c>
      <c r="D521" s="21" t="s">
        <v>1286</v>
      </c>
      <c r="E521" s="20" t="s">
        <v>1932</v>
      </c>
      <c r="F521" s="21" t="s">
        <v>1288</v>
      </c>
      <c r="G521" s="22" t="s">
        <v>1342</v>
      </c>
    </row>
    <row r="522" spans="1:27" s="3" customFormat="1" ht="17.399999999999999" hidden="1" customHeight="1" outlineLevel="1" thickBot="1" x14ac:dyDescent="0.3">
      <c r="A522" s="5"/>
      <c r="B522" s="19" t="s">
        <v>1290</v>
      </c>
      <c r="C522" s="23" t="s">
        <v>1291</v>
      </c>
      <c r="D522" s="21" t="s">
        <v>1292</v>
      </c>
      <c r="E522" s="23">
        <v>5</v>
      </c>
      <c r="F522" s="21" t="s">
        <v>1293</v>
      </c>
      <c r="G522" s="24" t="s">
        <v>1294</v>
      </c>
    </row>
    <row r="523" spans="1:27" s="3" customFormat="1" ht="17.399999999999999" hidden="1" customHeight="1" outlineLevel="1" x14ac:dyDescent="0.25">
      <c r="A523" s="5"/>
      <c r="B523" s="395" t="s">
        <v>1</v>
      </c>
      <c r="C523" s="396"/>
      <c r="D523" s="396"/>
      <c r="E523" s="396"/>
      <c r="F523" s="396"/>
      <c r="G523" s="397"/>
    </row>
    <row r="524" spans="1:27" s="3" customFormat="1" ht="17.399999999999999" hidden="1" customHeight="1" outlineLevel="1" x14ac:dyDescent="0.25">
      <c r="A524" s="5"/>
      <c r="B524" s="25" t="s">
        <v>2</v>
      </c>
      <c r="C524" s="26" t="s">
        <v>3</v>
      </c>
      <c r="D524" s="26" t="s">
        <v>4</v>
      </c>
      <c r="E524" s="26" t="s">
        <v>5</v>
      </c>
      <c r="F524" s="26"/>
      <c r="G524" s="27" t="s">
        <v>6</v>
      </c>
    </row>
    <row r="525" spans="1:27" s="3" customFormat="1" hidden="1" outlineLevel="1" x14ac:dyDescent="0.25">
      <c r="B525" s="28" t="s">
        <v>73</v>
      </c>
      <c r="C525" s="29" t="s">
        <v>1528</v>
      </c>
      <c r="D525" s="29" t="s">
        <v>1469</v>
      </c>
      <c r="E525" s="29" t="s">
        <v>1480</v>
      </c>
      <c r="F525" s="29" t="s">
        <v>1481</v>
      </c>
      <c r="G525" s="30"/>
      <c r="J525" s="3" t="s">
        <v>10</v>
      </c>
      <c r="K525" s="3" t="s">
        <v>173</v>
      </c>
      <c r="L525" s="3" t="s">
        <v>9</v>
      </c>
      <c r="M525" s="3" t="s">
        <v>9</v>
      </c>
      <c r="N525" s="3">
        <v>1767</v>
      </c>
    </row>
    <row r="526" spans="1:27" s="3" customFormat="1" hidden="1" outlineLevel="1" x14ac:dyDescent="0.25">
      <c r="B526" s="28" t="s">
        <v>74</v>
      </c>
      <c r="C526" s="29" t="s">
        <v>1529</v>
      </c>
      <c r="D526" s="29" t="s">
        <v>1469</v>
      </c>
      <c r="E526" s="29" t="s">
        <v>1480</v>
      </c>
      <c r="F526" s="29" t="s">
        <v>1481</v>
      </c>
      <c r="G526" s="30"/>
      <c r="J526" s="3" t="s">
        <v>10</v>
      </c>
      <c r="K526" s="3" t="s">
        <v>173</v>
      </c>
      <c r="L526" s="3" t="s">
        <v>9</v>
      </c>
      <c r="M526" s="3" t="s">
        <v>9</v>
      </c>
      <c r="N526" s="3">
        <v>1713</v>
      </c>
    </row>
    <row r="527" spans="1:27" s="3" customFormat="1" hidden="1" outlineLevel="1" x14ac:dyDescent="0.25">
      <c r="B527" s="28" t="s">
        <v>112</v>
      </c>
      <c r="C527" s="29" t="s">
        <v>1555</v>
      </c>
      <c r="D527" s="29" t="s">
        <v>1469</v>
      </c>
      <c r="E527" s="29">
        <v>0</v>
      </c>
      <c r="F527" s="29" t="s">
        <v>1470</v>
      </c>
      <c r="G527" s="30" t="s">
        <v>1556</v>
      </c>
      <c r="J527" s="3" t="s">
        <v>10</v>
      </c>
      <c r="K527" s="3" t="s">
        <v>173</v>
      </c>
      <c r="L527" s="3" t="s">
        <v>9</v>
      </c>
      <c r="M527" s="3" t="s">
        <v>9</v>
      </c>
      <c r="N527" s="3">
        <v>1606</v>
      </c>
    </row>
    <row r="528" spans="1:27" s="3" customFormat="1" hidden="1" outlineLevel="1" x14ac:dyDescent="0.25">
      <c r="B528" s="28" t="s">
        <v>15</v>
      </c>
      <c r="C528" s="29" t="s">
        <v>1478</v>
      </c>
      <c r="D528" s="29" t="s">
        <v>1469</v>
      </c>
      <c r="E528" s="29">
        <v>0</v>
      </c>
      <c r="F528" s="29" t="s">
        <v>1470</v>
      </c>
      <c r="G528" s="30"/>
      <c r="J528" s="3" t="s">
        <v>10</v>
      </c>
      <c r="K528" s="3" t="s">
        <v>173</v>
      </c>
      <c r="L528" s="3" t="s">
        <v>9</v>
      </c>
      <c r="M528" s="3" t="s">
        <v>9</v>
      </c>
      <c r="N528" s="3">
        <v>2430</v>
      </c>
    </row>
    <row r="529" spans="1:27" s="3" customFormat="1" ht="17.399999999999999" hidden="1" customHeight="1" outlineLevel="1" x14ac:dyDescent="0.25">
      <c r="A529" s="14"/>
      <c r="B529" s="116" t="s">
        <v>14</v>
      </c>
      <c r="C529" s="117" t="s">
        <v>1475</v>
      </c>
      <c r="D529" s="122" t="s">
        <v>1469</v>
      </c>
      <c r="E529" s="117">
        <v>0</v>
      </c>
      <c r="F529" s="117" t="s">
        <v>1476</v>
      </c>
      <c r="G529" s="105" t="s">
        <v>1477</v>
      </c>
      <c r="H529" s="14"/>
      <c r="I529" s="14"/>
      <c r="J529" s="14" t="s">
        <v>10</v>
      </c>
      <c r="K529" s="14" t="s">
        <v>173</v>
      </c>
      <c r="L529" s="14" t="s">
        <v>9</v>
      </c>
      <c r="M529" s="14" t="s">
        <v>9</v>
      </c>
      <c r="N529" s="14">
        <v>2155</v>
      </c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s="3" customFormat="1" ht="17.399999999999999" hidden="1" customHeight="1" outlineLevel="1" x14ac:dyDescent="0.25">
      <c r="A530" s="14"/>
      <c r="B530" s="31" t="s">
        <v>87</v>
      </c>
      <c r="C530" s="20" t="s">
        <v>1535</v>
      </c>
      <c r="D530" s="20" t="s">
        <v>1469</v>
      </c>
      <c r="E530" s="20">
        <v>0</v>
      </c>
      <c r="F530" s="20" t="s">
        <v>1476</v>
      </c>
      <c r="G530" s="22"/>
      <c r="H530" s="14"/>
      <c r="I530" s="14"/>
      <c r="J530" s="14" t="s">
        <v>10</v>
      </c>
      <c r="K530" s="14" t="s">
        <v>173</v>
      </c>
      <c r="L530" s="14" t="s">
        <v>9</v>
      </c>
      <c r="M530" s="14" t="s">
        <v>9</v>
      </c>
      <c r="N530" s="14">
        <v>2433</v>
      </c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s="3" customFormat="1" ht="17.399999999999999" hidden="1" customHeight="1" outlineLevel="1" x14ac:dyDescent="0.25">
      <c r="A531" s="14"/>
      <c r="B531" s="31" t="s">
        <v>128</v>
      </c>
      <c r="C531" s="20" t="s">
        <v>1566</v>
      </c>
      <c r="D531" s="20" t="s">
        <v>1567</v>
      </c>
      <c r="E531" s="20">
        <v>0</v>
      </c>
      <c r="F531" s="20" t="s">
        <v>1470</v>
      </c>
      <c r="G531" s="22"/>
      <c r="H531" s="14"/>
      <c r="I531" s="14"/>
      <c r="J531" s="14" t="s">
        <v>12</v>
      </c>
      <c r="K531" s="14" t="s">
        <v>174</v>
      </c>
      <c r="L531" s="14" t="s">
        <v>175</v>
      </c>
      <c r="M531" s="14" t="s">
        <v>176</v>
      </c>
      <c r="N531" s="14">
        <v>1629</v>
      </c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s="3" customFormat="1" ht="17.399999999999999" hidden="1" customHeight="1" outlineLevel="1" x14ac:dyDescent="0.25">
      <c r="A532" s="14"/>
      <c r="B532" s="117" t="s">
        <v>114</v>
      </c>
      <c r="C532" s="117" t="s">
        <v>1557</v>
      </c>
      <c r="D532" s="117" t="s">
        <v>1469</v>
      </c>
      <c r="E532" s="20">
        <v>-1</v>
      </c>
      <c r="F532" s="20" t="s">
        <v>1470</v>
      </c>
      <c r="G532" s="22"/>
      <c r="H532" s="14"/>
      <c r="I532" s="14"/>
      <c r="J532" s="14" t="s">
        <v>10</v>
      </c>
      <c r="K532" s="14" t="s">
        <v>173</v>
      </c>
      <c r="L532" s="14" t="s">
        <v>9</v>
      </c>
      <c r="M532" s="14" t="s">
        <v>9</v>
      </c>
      <c r="N532" s="14">
        <v>2449</v>
      </c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s="3" customFormat="1" ht="17.399999999999999" hidden="1" customHeight="1" outlineLevel="1" x14ac:dyDescent="0.25">
      <c r="A533" s="14"/>
      <c r="B533" s="196"/>
      <c r="C533" s="188"/>
      <c r="D533" s="188"/>
      <c r="E533" s="20"/>
      <c r="F533" s="20"/>
      <c r="G533" s="22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s="3" customFormat="1" ht="17.399999999999999" hidden="1" customHeight="1" outlineLevel="1" thickBot="1" x14ac:dyDescent="0.3">
      <c r="A534" s="14"/>
      <c r="B534" s="52"/>
      <c r="C534" s="53"/>
      <c r="D534" s="53"/>
      <c r="E534" s="53"/>
      <c r="F534" s="53"/>
      <c r="G534" s="5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s="3" customFormat="1" ht="17.399999999999999" hidden="1" customHeight="1" outlineLevel="1" x14ac:dyDescent="0.25">
      <c r="A535" s="14"/>
      <c r="B535" s="401" t="s">
        <v>18</v>
      </c>
      <c r="C535" s="402"/>
      <c r="D535" s="402"/>
      <c r="E535" s="402"/>
      <c r="F535" s="402"/>
      <c r="G535" s="403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s="3" customFormat="1" ht="17.399999999999999" hidden="1" customHeight="1" outlineLevel="1" x14ac:dyDescent="0.25">
      <c r="A536" s="14"/>
      <c r="B536" s="25" t="s">
        <v>2</v>
      </c>
      <c r="C536" s="26" t="s">
        <v>3</v>
      </c>
      <c r="D536" s="26" t="s">
        <v>4</v>
      </c>
      <c r="E536" s="26" t="s">
        <v>5</v>
      </c>
      <c r="F536" s="26"/>
      <c r="G536" s="27" t="s">
        <v>6</v>
      </c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s="3" customFormat="1" ht="17.399999999999999" hidden="1" customHeight="1" outlineLevel="1" x14ac:dyDescent="0.25">
      <c r="A537" s="14"/>
      <c r="B537" s="116" t="s">
        <v>128</v>
      </c>
      <c r="C537" s="117" t="s">
        <v>1566</v>
      </c>
      <c r="D537" s="117" t="s">
        <v>1567</v>
      </c>
      <c r="E537" s="117">
        <v>0</v>
      </c>
      <c r="F537" s="117" t="s">
        <v>1470</v>
      </c>
      <c r="G537" s="118"/>
      <c r="H537" s="14"/>
      <c r="I537" s="14"/>
      <c r="J537" s="14" t="s">
        <v>12</v>
      </c>
      <c r="K537" s="14" t="s">
        <v>174</v>
      </c>
      <c r="L537" s="14" t="s">
        <v>175</v>
      </c>
      <c r="M537" s="14" t="s">
        <v>176</v>
      </c>
      <c r="N537" s="14">
        <v>1629</v>
      </c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s="6" customFormat="1" hidden="1" outlineLevel="1" x14ac:dyDescent="0.25">
      <c r="A538" s="5"/>
      <c r="B538" s="81" t="s">
        <v>16</v>
      </c>
      <c r="C538" s="20" t="s">
        <v>1479</v>
      </c>
      <c r="D538" s="20" t="s">
        <v>1469</v>
      </c>
      <c r="E538" s="20" t="s">
        <v>1480</v>
      </c>
      <c r="F538" s="20" t="s">
        <v>1481</v>
      </c>
      <c r="G538" s="22" t="s">
        <v>1482</v>
      </c>
      <c r="J538" s="3" t="s">
        <v>78</v>
      </c>
      <c r="K538" s="3" t="s">
        <v>130</v>
      </c>
    </row>
    <row r="539" spans="1:27" s="3" customFormat="1" ht="17.399999999999999" hidden="1" customHeight="1" outlineLevel="1" x14ac:dyDescent="0.25">
      <c r="A539" s="14"/>
      <c r="B539" s="116" t="s">
        <v>112</v>
      </c>
      <c r="C539" s="117" t="s">
        <v>1555</v>
      </c>
      <c r="D539" s="117" t="s">
        <v>1469</v>
      </c>
      <c r="E539" s="117">
        <v>0</v>
      </c>
      <c r="F539" s="117" t="s">
        <v>1470</v>
      </c>
      <c r="G539" s="118" t="s">
        <v>1556</v>
      </c>
      <c r="H539" s="14"/>
      <c r="I539" s="14"/>
      <c r="J539" s="14" t="s">
        <v>10</v>
      </c>
      <c r="K539" s="14" t="s">
        <v>173</v>
      </c>
      <c r="L539" s="14" t="s">
        <v>9</v>
      </c>
      <c r="M539" s="14" t="s">
        <v>9</v>
      </c>
      <c r="N539" s="14">
        <v>1606</v>
      </c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s="3" customFormat="1" ht="17.399999999999999" hidden="1" customHeight="1" outlineLevel="1" x14ac:dyDescent="0.25">
      <c r="A540" s="14"/>
      <c r="B540" s="116" t="s">
        <v>15</v>
      </c>
      <c r="C540" s="117" t="s">
        <v>1478</v>
      </c>
      <c r="D540" s="117" t="s">
        <v>1469</v>
      </c>
      <c r="E540" s="117">
        <v>0</v>
      </c>
      <c r="F540" s="117" t="s">
        <v>1470</v>
      </c>
      <c r="G540" s="118"/>
      <c r="H540" s="14"/>
      <c r="I540" s="14"/>
      <c r="J540" s="14" t="s">
        <v>10</v>
      </c>
      <c r="K540" s="14" t="s">
        <v>173</v>
      </c>
      <c r="L540" s="14" t="s">
        <v>9</v>
      </c>
      <c r="M540" s="14" t="s">
        <v>9</v>
      </c>
      <c r="N540" s="14">
        <v>2430</v>
      </c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s="3" customFormat="1" ht="17.399999999999999" hidden="1" customHeight="1" outlineLevel="1" x14ac:dyDescent="0.25">
      <c r="A541" s="14"/>
      <c r="B541" s="116" t="s">
        <v>14</v>
      </c>
      <c r="C541" s="117" t="s">
        <v>1475</v>
      </c>
      <c r="D541" s="117" t="s">
        <v>1469</v>
      </c>
      <c r="E541" s="117">
        <v>0</v>
      </c>
      <c r="F541" s="117" t="s">
        <v>1476</v>
      </c>
      <c r="G541" s="118" t="s">
        <v>1477</v>
      </c>
      <c r="H541" s="14"/>
      <c r="I541" s="14"/>
      <c r="J541" s="14" t="s">
        <v>10</v>
      </c>
      <c r="K541" s="14" t="s">
        <v>173</v>
      </c>
      <c r="L541" s="14" t="s">
        <v>9</v>
      </c>
      <c r="M541" s="14" t="s">
        <v>9</v>
      </c>
      <c r="N541" s="14">
        <v>2155</v>
      </c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s="4" customFormat="1" ht="17.399999999999999" hidden="1" customHeight="1" outlineLevel="1" x14ac:dyDescent="0.35">
      <c r="A542" s="5"/>
      <c r="B542" s="67" t="s">
        <v>100</v>
      </c>
      <c r="C542" s="65" t="s">
        <v>1543</v>
      </c>
      <c r="D542" s="65" t="s">
        <v>1469</v>
      </c>
      <c r="E542" s="65">
        <v>0</v>
      </c>
      <c r="F542" s="65" t="s">
        <v>1476</v>
      </c>
      <c r="G542" s="66" t="s">
        <v>1544</v>
      </c>
      <c r="H542" s="5"/>
      <c r="I542" s="5"/>
      <c r="J542" s="5"/>
      <c r="K542" s="5"/>
      <c r="L542" s="5"/>
      <c r="M542" s="5"/>
    </row>
    <row r="543" spans="1:27" s="3" customFormat="1" ht="17.399999999999999" hidden="1" customHeight="1" outlineLevel="1" x14ac:dyDescent="0.25">
      <c r="A543" s="14"/>
      <c r="B543" s="116" t="s">
        <v>87</v>
      </c>
      <c r="C543" s="117" t="s">
        <v>1535</v>
      </c>
      <c r="D543" s="117" t="s">
        <v>1469</v>
      </c>
      <c r="E543" s="117">
        <v>0</v>
      </c>
      <c r="F543" s="117" t="s">
        <v>1476</v>
      </c>
      <c r="G543" s="118"/>
      <c r="H543" s="14"/>
      <c r="I543" s="14"/>
      <c r="J543" s="14" t="s">
        <v>10</v>
      </c>
      <c r="K543" s="14" t="s">
        <v>173</v>
      </c>
      <c r="L543" s="14" t="s">
        <v>9</v>
      </c>
      <c r="M543" s="14" t="s">
        <v>9</v>
      </c>
      <c r="N543" s="14">
        <v>2433</v>
      </c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s="3" customFormat="1" ht="17.399999999999999" hidden="1" customHeight="1" outlineLevel="1" x14ac:dyDescent="0.25">
      <c r="A544" s="14"/>
      <c r="B544" s="116" t="s">
        <v>62</v>
      </c>
      <c r="C544" s="117" t="s">
        <v>1525</v>
      </c>
      <c r="D544" s="117" t="s">
        <v>1489</v>
      </c>
      <c r="E544" s="117">
        <v>0</v>
      </c>
      <c r="F544" s="117"/>
      <c r="G544" s="118"/>
      <c r="H544" s="14"/>
      <c r="I544" s="14"/>
      <c r="J544" s="14" t="s">
        <v>20</v>
      </c>
      <c r="K544" s="14" t="s">
        <v>445</v>
      </c>
      <c r="L544" s="14" t="s">
        <v>446</v>
      </c>
      <c r="M544" s="14" t="s">
        <v>446</v>
      </c>
      <c r="N544" s="14">
        <v>1202</v>
      </c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s="3" customFormat="1" ht="17.399999999999999" hidden="1" customHeight="1" outlineLevel="1" x14ac:dyDescent="0.25">
      <c r="A545" s="14"/>
      <c r="B545" s="116" t="s">
        <v>116</v>
      </c>
      <c r="C545" s="117" t="s">
        <v>1559</v>
      </c>
      <c r="D545" s="117" t="s">
        <v>1486</v>
      </c>
      <c r="E545" s="117">
        <v>0</v>
      </c>
      <c r="F545" s="117" t="s">
        <v>1470</v>
      </c>
      <c r="G545" s="118" t="s">
        <v>1560</v>
      </c>
      <c r="H545" s="14"/>
      <c r="I545" s="14"/>
      <c r="J545" s="14" t="s">
        <v>20</v>
      </c>
      <c r="K545" s="14" t="s">
        <v>445</v>
      </c>
      <c r="L545" s="14" t="s">
        <v>446</v>
      </c>
      <c r="M545" s="14" t="s">
        <v>446</v>
      </c>
      <c r="N545" s="14">
        <v>1986</v>
      </c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s="3" customFormat="1" ht="17.399999999999999" hidden="1" customHeight="1" outlineLevel="1" x14ac:dyDescent="0.25">
      <c r="A546" s="14"/>
      <c r="B546" s="116" t="s">
        <v>75</v>
      </c>
      <c r="C546" s="117" t="s">
        <v>1530</v>
      </c>
      <c r="D546" s="117" t="s">
        <v>1486</v>
      </c>
      <c r="E546" s="117">
        <v>0</v>
      </c>
      <c r="F546" s="117" t="s">
        <v>1470</v>
      </c>
      <c r="G546" s="118" t="s">
        <v>1531</v>
      </c>
      <c r="H546" s="14"/>
      <c r="I546" s="14"/>
      <c r="J546" s="14" t="s">
        <v>20</v>
      </c>
      <c r="K546" s="14" t="s">
        <v>445</v>
      </c>
      <c r="L546" s="14" t="s">
        <v>446</v>
      </c>
      <c r="M546" s="14" t="s">
        <v>446</v>
      </c>
      <c r="N546" s="14">
        <v>1262</v>
      </c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s="3" customFormat="1" ht="17.399999999999999" hidden="1" customHeight="1" outlineLevel="1" x14ac:dyDescent="0.25">
      <c r="A547" s="14"/>
      <c r="B547" s="116" t="s">
        <v>131</v>
      </c>
      <c r="C547" s="117" t="s">
        <v>1568</v>
      </c>
      <c r="D547" s="117" t="s">
        <v>1486</v>
      </c>
      <c r="E547" s="117">
        <v>0</v>
      </c>
      <c r="F547" s="117" t="s">
        <v>1470</v>
      </c>
      <c r="G547" s="118" t="s">
        <v>1569</v>
      </c>
      <c r="H547" s="14"/>
      <c r="I547" s="14"/>
      <c r="J547" s="14" t="s">
        <v>20</v>
      </c>
      <c r="K547" s="14" t="s">
        <v>445</v>
      </c>
      <c r="L547" s="14" t="s">
        <v>446</v>
      </c>
      <c r="M547" s="14" t="s">
        <v>446</v>
      </c>
      <c r="N547" s="14">
        <v>1317</v>
      </c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s="3" customFormat="1" ht="17.399999999999999" hidden="1" customHeight="1" outlineLevel="1" x14ac:dyDescent="0.25">
      <c r="A548" s="14"/>
      <c r="B548" s="116" t="s">
        <v>132</v>
      </c>
      <c r="C548" s="117" t="s">
        <v>1570</v>
      </c>
      <c r="D548" s="117" t="s">
        <v>1486</v>
      </c>
      <c r="E548" s="117">
        <v>0</v>
      </c>
      <c r="F548" s="117" t="s">
        <v>1470</v>
      </c>
      <c r="G548" s="118" t="s">
        <v>1571</v>
      </c>
      <c r="H548" s="14"/>
      <c r="I548" s="14"/>
      <c r="J548" s="14" t="s">
        <v>20</v>
      </c>
      <c r="K548" s="14" t="s">
        <v>445</v>
      </c>
      <c r="L548" s="14" t="s">
        <v>446</v>
      </c>
      <c r="M548" s="14" t="s">
        <v>446</v>
      </c>
      <c r="N548" s="14">
        <v>1721</v>
      </c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s="3" customFormat="1" ht="17.399999999999999" hidden="1" customHeight="1" outlineLevel="1" x14ac:dyDescent="0.25">
      <c r="A549" s="14"/>
      <c r="B549" s="116" t="s">
        <v>133</v>
      </c>
      <c r="C549" s="117" t="s">
        <v>1572</v>
      </c>
      <c r="D549" s="117" t="s">
        <v>1486</v>
      </c>
      <c r="E549" s="117">
        <v>0</v>
      </c>
      <c r="F549" s="117" t="s">
        <v>1470</v>
      </c>
      <c r="G549" s="118"/>
      <c r="H549" s="14"/>
      <c r="I549" s="14"/>
      <c r="J549" s="14" t="s">
        <v>20</v>
      </c>
      <c r="K549" s="14" t="s">
        <v>445</v>
      </c>
      <c r="L549" s="14" t="s">
        <v>446</v>
      </c>
      <c r="M549" s="14" t="s">
        <v>446</v>
      </c>
      <c r="N549" s="14">
        <v>2498</v>
      </c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s="3" customFormat="1" ht="17.399999999999999" hidden="1" customHeight="1" outlineLevel="1" x14ac:dyDescent="0.25">
      <c r="A550" s="14"/>
      <c r="B550" s="116" t="s">
        <v>134</v>
      </c>
      <c r="C550" s="117" t="s">
        <v>1573</v>
      </c>
      <c r="D550" s="117" t="s">
        <v>1486</v>
      </c>
      <c r="E550" s="117">
        <v>0</v>
      </c>
      <c r="F550" s="117" t="s">
        <v>1470</v>
      </c>
      <c r="G550" s="118"/>
      <c r="H550" s="14"/>
      <c r="I550" s="14"/>
      <c r="J550" s="14" t="s">
        <v>20</v>
      </c>
      <c r="K550" s="14" t="s">
        <v>445</v>
      </c>
      <c r="L550" s="14" t="s">
        <v>446</v>
      </c>
      <c r="M550" s="14" t="s">
        <v>446</v>
      </c>
      <c r="N550" s="14">
        <v>2486</v>
      </c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s="3" customFormat="1" ht="17.399999999999999" hidden="1" customHeight="1" outlineLevel="1" x14ac:dyDescent="0.25">
      <c r="A551" s="14"/>
      <c r="B551" s="116" t="s">
        <v>135</v>
      </c>
      <c r="C551" s="117" t="s">
        <v>1574</v>
      </c>
      <c r="D551" s="117" t="s">
        <v>1486</v>
      </c>
      <c r="E551" s="117">
        <v>0</v>
      </c>
      <c r="F551" s="117" t="s">
        <v>1470</v>
      </c>
      <c r="G551" s="118"/>
      <c r="H551" s="14"/>
      <c r="I551" s="14"/>
      <c r="J551" s="14" t="s">
        <v>20</v>
      </c>
      <c r="K551" s="14" t="s">
        <v>445</v>
      </c>
      <c r="L551" s="14" t="s">
        <v>446</v>
      </c>
      <c r="M551" s="14" t="s">
        <v>446</v>
      </c>
      <c r="N551" s="14">
        <v>1699</v>
      </c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s="3" customFormat="1" ht="17.399999999999999" hidden="1" customHeight="1" outlineLevel="1" x14ac:dyDescent="0.25">
      <c r="A552" s="14"/>
      <c r="B552" s="116" t="s">
        <v>136</v>
      </c>
      <c r="C552" s="117" t="s">
        <v>1575</v>
      </c>
      <c r="D552" s="117" t="s">
        <v>1486</v>
      </c>
      <c r="E552" s="117">
        <v>0</v>
      </c>
      <c r="F552" s="117" t="s">
        <v>1470</v>
      </c>
      <c r="G552" s="118"/>
      <c r="H552" s="14"/>
      <c r="I552" s="14"/>
      <c r="J552" s="14" t="s">
        <v>20</v>
      </c>
      <c r="K552" s="14" t="s">
        <v>445</v>
      </c>
      <c r="L552" s="14" t="s">
        <v>446</v>
      </c>
      <c r="M552" s="14" t="s">
        <v>446</v>
      </c>
      <c r="N552" s="14">
        <v>1688</v>
      </c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s="3" customFormat="1" ht="17.399999999999999" hidden="1" customHeight="1" outlineLevel="1" x14ac:dyDescent="0.25">
      <c r="A553" s="14"/>
      <c r="B553" s="116" t="s">
        <v>137</v>
      </c>
      <c r="C553" s="117" t="s">
        <v>1576</v>
      </c>
      <c r="D553" s="117" t="s">
        <v>1486</v>
      </c>
      <c r="E553" s="117">
        <v>0</v>
      </c>
      <c r="F553" s="117" t="s">
        <v>1470</v>
      </c>
      <c r="G553" s="118"/>
      <c r="H553" s="14"/>
      <c r="I553" s="14"/>
      <c r="J553" s="14" t="s">
        <v>20</v>
      </c>
      <c r="K553" s="14" t="s">
        <v>445</v>
      </c>
      <c r="L553" s="14" t="s">
        <v>446</v>
      </c>
      <c r="M553" s="14" t="s">
        <v>446</v>
      </c>
      <c r="N553" s="14">
        <v>1191</v>
      </c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s="3" customFormat="1" ht="17.399999999999999" hidden="1" customHeight="1" outlineLevel="1" x14ac:dyDescent="0.25">
      <c r="A554" s="14"/>
      <c r="B554" s="116" t="s">
        <v>138</v>
      </c>
      <c r="C554" s="117" t="s">
        <v>1577</v>
      </c>
      <c r="D554" s="117" t="s">
        <v>1486</v>
      </c>
      <c r="E554" s="117">
        <v>0</v>
      </c>
      <c r="F554" s="117" t="s">
        <v>1470</v>
      </c>
      <c r="G554" s="118"/>
      <c r="H554" s="14"/>
      <c r="I554" s="14"/>
      <c r="J554" s="14" t="s">
        <v>20</v>
      </c>
      <c r="K554" s="14" t="s">
        <v>445</v>
      </c>
      <c r="L554" s="14" t="s">
        <v>446</v>
      </c>
      <c r="M554" s="14" t="s">
        <v>446</v>
      </c>
      <c r="N554" s="14">
        <v>1187</v>
      </c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s="3" customFormat="1" ht="17.399999999999999" hidden="1" customHeight="1" outlineLevel="1" x14ac:dyDescent="0.25">
      <c r="A555" s="14"/>
      <c r="B555" s="116" t="s">
        <v>117</v>
      </c>
      <c r="C555" s="117" t="s">
        <v>1561</v>
      </c>
      <c r="D555" s="117" t="s">
        <v>1489</v>
      </c>
      <c r="E555" s="117">
        <v>0</v>
      </c>
      <c r="F555" s="117" t="s">
        <v>1470</v>
      </c>
      <c r="G555" s="118"/>
      <c r="H555" s="14"/>
      <c r="I555" s="14"/>
      <c r="J555" s="14" t="s">
        <v>20</v>
      </c>
      <c r="K555" s="14" t="s">
        <v>445</v>
      </c>
      <c r="L555" s="14" t="s">
        <v>446</v>
      </c>
      <c r="M555" s="14" t="s">
        <v>446</v>
      </c>
      <c r="N555" s="14">
        <v>1163</v>
      </c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s="3" customFormat="1" ht="17.399999999999999" hidden="1" customHeight="1" outlineLevel="1" x14ac:dyDescent="0.25">
      <c r="A556" s="14"/>
      <c r="B556" s="116" t="s">
        <v>24</v>
      </c>
      <c r="C556" s="117" t="s">
        <v>1491</v>
      </c>
      <c r="D556" s="117" t="s">
        <v>1489</v>
      </c>
      <c r="E556" s="117">
        <v>0</v>
      </c>
      <c r="F556" s="117" t="s">
        <v>1470</v>
      </c>
      <c r="G556" s="118"/>
      <c r="H556" s="14"/>
      <c r="I556" s="14"/>
      <c r="J556" s="14" t="s">
        <v>20</v>
      </c>
      <c r="K556" s="14" t="s">
        <v>445</v>
      </c>
      <c r="L556" s="14" t="s">
        <v>446</v>
      </c>
      <c r="M556" s="14" t="s">
        <v>446</v>
      </c>
      <c r="N556" s="14">
        <v>2153</v>
      </c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s="3" customFormat="1" ht="17.399999999999999" hidden="1" customHeight="1" outlineLevel="1" x14ac:dyDescent="0.25">
      <c r="A557" s="14"/>
      <c r="B557" s="31" t="s">
        <v>140</v>
      </c>
      <c r="C557" s="20" t="s">
        <v>1578</v>
      </c>
      <c r="D557" s="20" t="s">
        <v>1489</v>
      </c>
      <c r="E557" s="20">
        <v>0</v>
      </c>
      <c r="F557" s="20" t="s">
        <v>1470</v>
      </c>
      <c r="G557" s="22"/>
      <c r="H557" s="14"/>
      <c r="I557" s="14"/>
      <c r="J557" s="14" t="s">
        <v>20</v>
      </c>
      <c r="K557" s="14" t="s">
        <v>445</v>
      </c>
      <c r="L557" s="14" t="s">
        <v>446</v>
      </c>
      <c r="M557" s="14" t="s">
        <v>446</v>
      </c>
      <c r="N557" s="14">
        <v>1852</v>
      </c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s="3" customFormat="1" ht="17.399999999999999" hidden="1" customHeight="1" outlineLevel="1" x14ac:dyDescent="0.25">
      <c r="A558" s="14"/>
      <c r="B558" s="31" t="s">
        <v>141</v>
      </c>
      <c r="C558" s="20" t="s">
        <v>1579</v>
      </c>
      <c r="D558" s="20" t="s">
        <v>1489</v>
      </c>
      <c r="E558" s="20">
        <v>0</v>
      </c>
      <c r="F558" s="20" t="s">
        <v>1470</v>
      </c>
      <c r="G558" s="22"/>
      <c r="H558" s="14"/>
      <c r="I558" s="14"/>
      <c r="J558" s="14" t="s">
        <v>20</v>
      </c>
      <c r="K558" s="14" t="s">
        <v>445</v>
      </c>
      <c r="L558" s="14" t="s">
        <v>446</v>
      </c>
      <c r="M558" s="14" t="s">
        <v>446</v>
      </c>
      <c r="N558" s="14">
        <v>1857</v>
      </c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s="3" customFormat="1" ht="17.399999999999999" hidden="1" customHeight="1" outlineLevel="1" x14ac:dyDescent="0.25">
      <c r="A559" s="14"/>
      <c r="B559" s="31" t="s">
        <v>90</v>
      </c>
      <c r="C559" s="20" t="s">
        <v>1538</v>
      </c>
      <c r="D559" s="20" t="s">
        <v>1539</v>
      </c>
      <c r="E559" s="20">
        <v>0</v>
      </c>
      <c r="F559" s="20" t="s">
        <v>1470</v>
      </c>
      <c r="G559" s="22" t="s">
        <v>1540</v>
      </c>
      <c r="H559" s="14"/>
      <c r="I559" s="14"/>
      <c r="J559" s="14" t="s">
        <v>20</v>
      </c>
      <c r="K559" s="14" t="s">
        <v>445</v>
      </c>
      <c r="L559" s="14" t="s">
        <v>446</v>
      </c>
      <c r="M559" s="14" t="s">
        <v>446</v>
      </c>
      <c r="N559" s="14">
        <v>1162</v>
      </c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s="3" customFormat="1" ht="17.399999999999999" hidden="1" customHeight="1" outlineLevel="1" x14ac:dyDescent="0.25">
      <c r="A560" s="14"/>
      <c r="B560" s="31" t="s">
        <v>115</v>
      </c>
      <c r="C560" s="20" t="s">
        <v>1558</v>
      </c>
      <c r="D560" s="20" t="s">
        <v>1539</v>
      </c>
      <c r="E560" s="20">
        <v>0</v>
      </c>
      <c r="F560" s="20" t="s">
        <v>1470</v>
      </c>
      <c r="G560" s="22"/>
      <c r="H560" s="14"/>
      <c r="I560" s="14"/>
      <c r="J560" s="14" t="s">
        <v>20</v>
      </c>
      <c r="K560" s="14" t="s">
        <v>445</v>
      </c>
      <c r="L560" s="14" t="s">
        <v>446</v>
      </c>
      <c r="M560" s="14" t="s">
        <v>446</v>
      </c>
      <c r="N560" s="14">
        <v>2586</v>
      </c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s="3" customFormat="1" ht="17.399999999999999" hidden="1" customHeight="1" outlineLevel="1" x14ac:dyDescent="0.25">
      <c r="A561" s="14"/>
      <c r="B561" s="31" t="s">
        <v>118</v>
      </c>
      <c r="C561" s="20" t="s">
        <v>1562</v>
      </c>
      <c r="D561" s="20" t="s">
        <v>1489</v>
      </c>
      <c r="E561" s="20">
        <v>0</v>
      </c>
      <c r="F561" s="20"/>
      <c r="G561" s="22"/>
      <c r="H561" s="14"/>
      <c r="I561" s="14"/>
      <c r="J561" s="14" t="s">
        <v>20</v>
      </c>
      <c r="K561" s="14" t="s">
        <v>445</v>
      </c>
      <c r="L561" s="14" t="s">
        <v>446</v>
      </c>
      <c r="M561" s="14" t="s">
        <v>446</v>
      </c>
      <c r="N561" s="14">
        <v>1461</v>
      </c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s="3" customFormat="1" ht="17.399999999999999" hidden="1" customHeight="1" outlineLevel="1" x14ac:dyDescent="0.25">
      <c r="A562" s="14"/>
      <c r="B562" s="31" t="s">
        <v>142</v>
      </c>
      <c r="C562" s="20" t="s">
        <v>1580</v>
      </c>
      <c r="D562" s="20" t="s">
        <v>1494</v>
      </c>
      <c r="E562" s="20">
        <v>0</v>
      </c>
      <c r="F562" s="20"/>
      <c r="G562" s="22"/>
      <c r="H562" s="14"/>
      <c r="I562" s="14"/>
      <c r="J562" s="14" t="s">
        <v>20</v>
      </c>
      <c r="K562" s="14" t="s">
        <v>445</v>
      </c>
      <c r="L562" s="14" t="s">
        <v>446</v>
      </c>
      <c r="M562" s="14" t="s">
        <v>446</v>
      </c>
      <c r="N562" s="14">
        <v>2346</v>
      </c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s="3" customFormat="1" ht="17.399999999999999" hidden="1" customHeight="1" outlineLevel="1" x14ac:dyDescent="0.25">
      <c r="A563" s="14"/>
      <c r="B563" s="31" t="s">
        <v>143</v>
      </c>
      <c r="C563" s="20" t="s">
        <v>1581</v>
      </c>
      <c r="D563" s="20" t="s">
        <v>1486</v>
      </c>
      <c r="E563" s="20">
        <v>0</v>
      </c>
      <c r="F563" s="20"/>
      <c r="G563" s="22" t="s">
        <v>1582</v>
      </c>
      <c r="H563" s="14"/>
      <c r="I563" s="14"/>
      <c r="J563" s="14" t="s">
        <v>20</v>
      </c>
      <c r="K563" s="14" t="s">
        <v>445</v>
      </c>
      <c r="L563" s="14" t="s">
        <v>446</v>
      </c>
      <c r="M563" s="14" t="s">
        <v>446</v>
      </c>
      <c r="N563" s="14">
        <v>1677</v>
      </c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s="3" customFormat="1" ht="17.399999999999999" hidden="1" customHeight="1" outlineLevel="1" x14ac:dyDescent="0.25">
      <c r="A564" s="14"/>
      <c r="B564" s="31" t="s">
        <v>144</v>
      </c>
      <c r="C564" s="20" t="s">
        <v>1583</v>
      </c>
      <c r="D564" s="20" t="s">
        <v>1486</v>
      </c>
      <c r="E564" s="20">
        <v>0</v>
      </c>
      <c r="F564" s="20"/>
      <c r="G564" s="22" t="s">
        <v>1582</v>
      </c>
      <c r="H564" s="14"/>
      <c r="I564" s="14"/>
      <c r="J564" s="14" t="s">
        <v>20</v>
      </c>
      <c r="K564" s="14" t="s">
        <v>445</v>
      </c>
      <c r="L564" s="14" t="s">
        <v>446</v>
      </c>
      <c r="M564" s="14" t="s">
        <v>446</v>
      </c>
      <c r="N564" s="14">
        <v>2459</v>
      </c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s="3" customFormat="1" ht="17.399999999999999" hidden="1" customHeight="1" outlineLevel="1" x14ac:dyDescent="0.25">
      <c r="A565" s="14"/>
      <c r="B565" s="31" t="s">
        <v>145</v>
      </c>
      <c r="C565" s="20" t="s">
        <v>1584</v>
      </c>
      <c r="D565" s="20" t="s">
        <v>1486</v>
      </c>
      <c r="E565" s="20">
        <v>0</v>
      </c>
      <c r="F565" s="20"/>
      <c r="G565" s="22"/>
      <c r="H565" s="14"/>
      <c r="I565" s="14"/>
      <c r="J565" s="14" t="s">
        <v>20</v>
      </c>
      <c r="K565" s="14" t="s">
        <v>445</v>
      </c>
      <c r="L565" s="14" t="s">
        <v>446</v>
      </c>
      <c r="M565" s="14" t="s">
        <v>446</v>
      </c>
      <c r="N565" s="14">
        <v>1744</v>
      </c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s="3" customFormat="1" ht="17.399999999999999" hidden="1" customHeight="1" outlineLevel="1" x14ac:dyDescent="0.25">
      <c r="A566" s="14"/>
      <c r="B566" s="31" t="s">
        <v>95</v>
      </c>
      <c r="C566" s="20" t="s">
        <v>1542</v>
      </c>
      <c r="D566" s="20" t="s">
        <v>1494</v>
      </c>
      <c r="E566" s="20">
        <v>0</v>
      </c>
      <c r="F566" s="20"/>
      <c r="G566" s="22"/>
      <c r="H566" s="14"/>
      <c r="I566" s="14"/>
      <c r="J566" s="14" t="s">
        <v>20</v>
      </c>
      <c r="K566" s="14" t="s">
        <v>445</v>
      </c>
      <c r="L566" s="14" t="s">
        <v>446</v>
      </c>
      <c r="M566" s="14" t="s">
        <v>446</v>
      </c>
      <c r="N566" s="14">
        <v>1197</v>
      </c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s="3" customFormat="1" ht="17.399999999999999" hidden="1" customHeight="1" outlineLevel="1" x14ac:dyDescent="0.25">
      <c r="A567" s="14"/>
      <c r="B567" s="31" t="s">
        <v>146</v>
      </c>
      <c r="C567" s="20" t="s">
        <v>1585</v>
      </c>
      <c r="D567" s="20" t="s">
        <v>1489</v>
      </c>
      <c r="E567" s="20">
        <v>0</v>
      </c>
      <c r="F567" s="20"/>
      <c r="G567" s="22"/>
      <c r="H567" s="14"/>
      <c r="I567" s="14"/>
      <c r="J567" s="14" t="s">
        <v>20</v>
      </c>
      <c r="K567" s="14" t="s">
        <v>445</v>
      </c>
      <c r="L567" s="14" t="s">
        <v>446</v>
      </c>
      <c r="M567" s="14" t="s">
        <v>446</v>
      </c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s="3" customFormat="1" ht="17.399999999999999" hidden="1" customHeight="1" outlineLevel="1" x14ac:dyDescent="0.25">
      <c r="A568" s="14"/>
      <c r="B568" s="31" t="s">
        <v>147</v>
      </c>
      <c r="C568" s="20" t="s">
        <v>1586</v>
      </c>
      <c r="D568" s="20" t="s">
        <v>1489</v>
      </c>
      <c r="E568" s="20">
        <v>0</v>
      </c>
      <c r="F568" s="20"/>
      <c r="G568" s="22"/>
      <c r="H568" s="14"/>
      <c r="I568" s="14"/>
      <c r="J568" s="14" t="s">
        <v>20</v>
      </c>
      <c r="K568" s="14" t="s">
        <v>445</v>
      </c>
      <c r="L568" s="14" t="s">
        <v>446</v>
      </c>
      <c r="M568" s="14" t="s">
        <v>446</v>
      </c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s="3" customFormat="1" ht="17.399999999999999" hidden="1" customHeight="1" outlineLevel="1" x14ac:dyDescent="0.25">
      <c r="A569" s="14"/>
      <c r="B569" s="31" t="s">
        <v>148</v>
      </c>
      <c r="C569" s="20" t="s">
        <v>1587</v>
      </c>
      <c r="D569" s="20" t="s">
        <v>1486</v>
      </c>
      <c r="E569" s="20">
        <v>0</v>
      </c>
      <c r="F569" s="20" t="s">
        <v>1470</v>
      </c>
      <c r="G569" s="22"/>
      <c r="H569" s="14"/>
      <c r="I569" s="14"/>
      <c r="J569" s="14" t="s">
        <v>20</v>
      </c>
      <c r="K569" s="14" t="s">
        <v>445</v>
      </c>
      <c r="L569" s="14" t="s">
        <v>446</v>
      </c>
      <c r="M569" s="14" t="s">
        <v>446</v>
      </c>
      <c r="N569" s="14">
        <v>2511</v>
      </c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s="3" customFormat="1" ht="17.399999999999999" hidden="1" customHeight="1" outlineLevel="1" x14ac:dyDescent="0.25">
      <c r="A570" s="14"/>
      <c r="B570" s="31"/>
      <c r="C570" s="20"/>
      <c r="D570" s="20"/>
      <c r="E570" s="20"/>
      <c r="F570" s="20"/>
      <c r="G570" s="22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s="3" customFormat="1" ht="17.399999999999999" hidden="1" customHeight="1" outlineLevel="1" x14ac:dyDescent="0.25">
      <c r="A571" s="14"/>
      <c r="B571" s="31"/>
      <c r="C571" s="20"/>
      <c r="D571" s="20"/>
      <c r="E571" s="20"/>
      <c r="F571" s="20"/>
      <c r="G571" s="22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s="3" customFormat="1" ht="17.399999999999999" hidden="1" customHeight="1" outlineLevel="1" x14ac:dyDescent="0.25">
      <c r="A572" s="14"/>
      <c r="B572" s="31"/>
      <c r="C572" s="20"/>
      <c r="D572" s="20"/>
      <c r="E572" s="20"/>
      <c r="F572" s="20"/>
      <c r="G572" s="22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s="3" customFormat="1" ht="17.399999999999999" hidden="1" customHeight="1" outlineLevel="1" x14ac:dyDescent="0.25">
      <c r="A573" s="14"/>
      <c r="B573" s="398" t="s">
        <v>28</v>
      </c>
      <c r="C573" s="399"/>
      <c r="D573" s="399"/>
      <c r="E573" s="399"/>
      <c r="F573" s="399"/>
      <c r="G573" s="400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s="3" customFormat="1" ht="17.399999999999999" hidden="1" customHeight="1" outlineLevel="1" x14ac:dyDescent="0.25">
      <c r="A574" s="14"/>
      <c r="B574" s="25" t="s">
        <v>2</v>
      </c>
      <c r="C574" s="26" t="s">
        <v>3</v>
      </c>
      <c r="D574" s="26" t="s">
        <v>4</v>
      </c>
      <c r="E574" s="26" t="s">
        <v>5</v>
      </c>
      <c r="F574" s="26"/>
      <c r="G574" s="27" t="s">
        <v>6</v>
      </c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s="3" customFormat="1" ht="17.399999999999999" hidden="1" customHeight="1" outlineLevel="1" x14ac:dyDescent="0.25">
      <c r="A575" s="14"/>
      <c r="B575" s="195"/>
      <c r="C575" s="20"/>
      <c r="D575" s="20"/>
      <c r="E575" s="20"/>
      <c r="F575" s="20"/>
      <c r="G575" s="22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s="3" customFormat="1" ht="17.399999999999999" hidden="1" customHeight="1" outlineLevel="1" x14ac:dyDescent="0.25">
      <c r="A576" s="14"/>
      <c r="B576" s="195"/>
      <c r="C576" s="20"/>
      <c r="D576" s="20"/>
      <c r="E576" s="20"/>
      <c r="F576" s="20"/>
      <c r="G576" s="22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s="3" customFormat="1" ht="17.399999999999999" hidden="1" customHeight="1" outlineLevel="1" thickBot="1" x14ac:dyDescent="0.3">
      <c r="A577" s="14"/>
      <c r="B577" s="195"/>
      <c r="C577" s="20"/>
      <c r="D577" s="20"/>
      <c r="E577" s="20"/>
      <c r="F577" s="20"/>
      <c r="G577" s="22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s="3" customFormat="1" ht="17.399999999999999" hidden="1" customHeight="1" outlineLevel="1" x14ac:dyDescent="0.25">
      <c r="A578" s="14"/>
      <c r="B578" s="401" t="s">
        <v>29</v>
      </c>
      <c r="C578" s="402"/>
      <c r="D578" s="402"/>
      <c r="E578" s="402"/>
      <c r="F578" s="402"/>
      <c r="G578" s="403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s="7" customFormat="1" ht="16.5" hidden="1" customHeight="1" outlineLevel="1" x14ac:dyDescent="0.25">
      <c r="A579" s="14"/>
      <c r="B579" s="308" t="s">
        <v>559</v>
      </c>
      <c r="C579" s="309"/>
      <c r="D579" s="309"/>
      <c r="E579" s="309"/>
      <c r="F579" s="309"/>
      <c r="G579" s="310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s="7" customFormat="1" ht="17.399999999999999" hidden="1" customHeight="1" outlineLevel="1" thickBot="1" x14ac:dyDescent="0.3">
      <c r="A580" s="14"/>
      <c r="B580" s="305" t="s">
        <v>560</v>
      </c>
      <c r="C580" s="306"/>
      <c r="D580" s="306"/>
      <c r="E580" s="306"/>
      <c r="F580" s="306"/>
      <c r="G580" s="307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s="7" customFormat="1" ht="16.5" hidden="1" customHeight="1" outlineLevel="1" x14ac:dyDescent="0.25">
      <c r="A581" s="14"/>
      <c r="B581" s="308" t="s">
        <v>561</v>
      </c>
      <c r="C581" s="309"/>
      <c r="D581" s="309"/>
      <c r="E581" s="309"/>
      <c r="F581" s="309"/>
      <c r="G581" s="310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s="3" customFormat="1" ht="17.399999999999999" hidden="1" customHeight="1" outlineLevel="1" x14ac:dyDescent="0.25">
      <c r="A582" s="14"/>
      <c r="B582" s="28" t="s">
        <v>564</v>
      </c>
      <c r="C582" s="29"/>
      <c r="D582" s="29"/>
      <c r="E582" s="29"/>
      <c r="F582" s="29"/>
      <c r="G582" s="375" t="s">
        <v>2421</v>
      </c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s="3" customFormat="1" ht="16.5" hidden="1" customHeight="1" outlineLevel="1" x14ac:dyDescent="0.25">
      <c r="A583" s="14"/>
      <c r="B583" s="116"/>
      <c r="C583" s="117"/>
      <c r="D583" s="117"/>
      <c r="E583" s="117"/>
      <c r="F583" s="117"/>
      <c r="G583" s="118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s="3" customFormat="1" ht="17.399999999999999" hidden="1" customHeight="1" outlineLevel="1" thickBot="1" x14ac:dyDescent="0.3">
      <c r="A584" s="14"/>
      <c r="B584" s="132"/>
      <c r="C584" s="53"/>
      <c r="D584" s="53"/>
      <c r="E584" s="53"/>
      <c r="F584" s="53"/>
      <c r="G584" s="5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6.2" hidden="1" outlineLevel="1" thickBot="1" x14ac:dyDescent="0.3"/>
    <row r="586" spans="1:27" s="3" customFormat="1" ht="17.399999999999999" customHeight="1" collapsed="1" thickBot="1" x14ac:dyDescent="0.3">
      <c r="A586" s="5"/>
      <c r="B586" s="15" t="s">
        <v>1279</v>
      </c>
      <c r="C586" s="16" t="s">
        <v>1933</v>
      </c>
      <c r="D586" s="17" t="s">
        <v>1281</v>
      </c>
      <c r="E586" s="133" t="s">
        <v>565</v>
      </c>
      <c r="F586" s="17" t="s">
        <v>1282</v>
      </c>
      <c r="G586" s="18" t="s">
        <v>1934</v>
      </c>
    </row>
    <row r="587" spans="1:27" s="3" customFormat="1" ht="17.399999999999999" hidden="1" customHeight="1" outlineLevel="1" x14ac:dyDescent="0.25">
      <c r="A587" s="5"/>
      <c r="B587" s="19" t="s">
        <v>1284</v>
      </c>
      <c r="C587" s="20" t="s">
        <v>1285</v>
      </c>
      <c r="D587" s="21" t="s">
        <v>1286</v>
      </c>
      <c r="E587" s="20" t="s">
        <v>1935</v>
      </c>
      <c r="F587" s="21" t="s">
        <v>1288</v>
      </c>
      <c r="G587" s="22" t="s">
        <v>1346</v>
      </c>
    </row>
    <row r="588" spans="1:27" s="3" customFormat="1" ht="17.399999999999999" hidden="1" customHeight="1" outlineLevel="1" thickBot="1" x14ac:dyDescent="0.3">
      <c r="A588" s="5"/>
      <c r="B588" s="19" t="s">
        <v>1290</v>
      </c>
      <c r="C588" s="23" t="s">
        <v>1291</v>
      </c>
      <c r="D588" s="21" t="s">
        <v>1292</v>
      </c>
      <c r="E588" s="23">
        <v>5</v>
      </c>
      <c r="F588" s="21" t="s">
        <v>1293</v>
      </c>
      <c r="G588" s="24" t="s">
        <v>1294</v>
      </c>
    </row>
    <row r="589" spans="1:27" s="3" customFormat="1" ht="17.399999999999999" hidden="1" customHeight="1" outlineLevel="1" x14ac:dyDescent="0.25">
      <c r="A589" s="5"/>
      <c r="B589" s="395" t="s">
        <v>1</v>
      </c>
      <c r="C589" s="396"/>
      <c r="D589" s="396"/>
      <c r="E589" s="396"/>
      <c r="F589" s="396"/>
      <c r="G589" s="397"/>
    </row>
    <row r="590" spans="1:27" s="3" customFormat="1" ht="17.399999999999999" hidden="1" customHeight="1" outlineLevel="1" x14ac:dyDescent="0.25">
      <c r="A590" s="5"/>
      <c r="B590" s="25" t="s">
        <v>2</v>
      </c>
      <c r="C590" s="26" t="s">
        <v>3</v>
      </c>
      <c r="D590" s="26" t="s">
        <v>4</v>
      </c>
      <c r="E590" s="26" t="s">
        <v>5</v>
      </c>
      <c r="F590" s="26"/>
      <c r="G590" s="27" t="s">
        <v>6</v>
      </c>
    </row>
    <row r="591" spans="1:27" s="4" customFormat="1" ht="17.399999999999999" hidden="1" customHeight="1" outlineLevel="1" x14ac:dyDescent="0.35">
      <c r="A591" s="5"/>
      <c r="B591" s="57" t="s">
        <v>7</v>
      </c>
      <c r="C591" s="58" t="s">
        <v>1468</v>
      </c>
      <c r="D591" s="58" t="s">
        <v>1469</v>
      </c>
      <c r="E591" s="58">
        <v>0</v>
      </c>
      <c r="F591" s="58" t="s">
        <v>1470</v>
      </c>
      <c r="G591" s="59" t="s">
        <v>1471</v>
      </c>
      <c r="J591" s="3" t="s">
        <v>154</v>
      </c>
      <c r="K591" s="81" t="s">
        <v>112</v>
      </c>
      <c r="N591" s="4">
        <v>1112</v>
      </c>
    </row>
    <row r="592" spans="1:27" s="4" customFormat="1" ht="17.399999999999999" hidden="1" customHeight="1" outlineLevel="1" x14ac:dyDescent="0.35">
      <c r="A592" s="5"/>
      <c r="B592" s="57" t="s">
        <v>11</v>
      </c>
      <c r="C592" s="58" t="s">
        <v>1472</v>
      </c>
      <c r="D592" s="58" t="s">
        <v>1469</v>
      </c>
      <c r="E592" s="58">
        <v>0</v>
      </c>
      <c r="F592" s="58" t="s">
        <v>1470</v>
      </c>
      <c r="G592" s="59" t="s">
        <v>1473</v>
      </c>
      <c r="J592" s="3" t="s">
        <v>155</v>
      </c>
      <c r="K592" s="81" t="s">
        <v>7</v>
      </c>
      <c r="N592" s="4">
        <v>1700</v>
      </c>
    </row>
    <row r="593" spans="1:14" s="4" customFormat="1" ht="17.399999999999999" hidden="1" customHeight="1" outlineLevel="1" x14ac:dyDescent="0.35">
      <c r="A593" s="5"/>
      <c r="B593" s="60" t="s">
        <v>13</v>
      </c>
      <c r="C593" s="61" t="s">
        <v>1474</v>
      </c>
      <c r="D593" s="61" t="s">
        <v>1469</v>
      </c>
      <c r="E593" s="61">
        <v>0</v>
      </c>
      <c r="F593" s="61" t="s">
        <v>1470</v>
      </c>
      <c r="G593" s="62"/>
      <c r="H593" s="63"/>
      <c r="J593" s="3" t="s">
        <v>156</v>
      </c>
      <c r="K593" s="81" t="s">
        <v>11</v>
      </c>
      <c r="N593" s="4">
        <v>2534</v>
      </c>
    </row>
    <row r="594" spans="1:14" s="4" customFormat="1" ht="17.399999999999999" hidden="1" customHeight="1" outlineLevel="1" x14ac:dyDescent="0.35">
      <c r="A594" s="5"/>
      <c r="B594" s="60" t="s">
        <v>14</v>
      </c>
      <c r="C594" s="61" t="s">
        <v>1475</v>
      </c>
      <c r="D594" s="61" t="s">
        <v>1469</v>
      </c>
      <c r="E594" s="61">
        <v>0</v>
      </c>
      <c r="F594" s="61" t="s">
        <v>1476</v>
      </c>
      <c r="G594" s="62" t="s">
        <v>1477</v>
      </c>
      <c r="H594" s="63"/>
      <c r="J594" s="3" t="s">
        <v>157</v>
      </c>
      <c r="K594" s="78" t="s">
        <v>13</v>
      </c>
      <c r="N594" s="4">
        <v>2155</v>
      </c>
    </row>
    <row r="595" spans="1:14" s="4" customFormat="1" ht="17.399999999999999" hidden="1" customHeight="1" outlineLevel="1" x14ac:dyDescent="0.35">
      <c r="A595" s="5"/>
      <c r="B595" s="60" t="s">
        <v>15</v>
      </c>
      <c r="C595" s="61" t="s">
        <v>1478</v>
      </c>
      <c r="D595" s="61" t="s">
        <v>1469</v>
      </c>
      <c r="E595" s="61">
        <v>0</v>
      </c>
      <c r="F595" s="61" t="s">
        <v>1470</v>
      </c>
      <c r="G595" s="62"/>
      <c r="H595" s="63"/>
      <c r="J595" s="3" t="s">
        <v>158</v>
      </c>
      <c r="K595" s="81" t="s">
        <v>14</v>
      </c>
      <c r="N595" s="4">
        <v>2430</v>
      </c>
    </row>
    <row r="596" spans="1:14" s="4" customFormat="1" ht="17.399999999999999" hidden="1" customHeight="1" outlineLevel="1" x14ac:dyDescent="0.35">
      <c r="A596" s="5"/>
      <c r="B596" s="134" t="s">
        <v>17</v>
      </c>
      <c r="C596" s="135" t="s">
        <v>1483</v>
      </c>
      <c r="D596" s="135" t="s">
        <v>1469</v>
      </c>
      <c r="E596" s="65">
        <v>0</v>
      </c>
      <c r="F596" s="65" t="s">
        <v>1470</v>
      </c>
      <c r="G596" s="66" t="s">
        <v>1484</v>
      </c>
      <c r="H596" s="5"/>
      <c r="I596" s="5"/>
      <c r="J596" s="3" t="s">
        <v>159</v>
      </c>
      <c r="K596" s="78" t="s">
        <v>15</v>
      </c>
      <c r="L596" s="5"/>
      <c r="M596" s="5"/>
      <c r="N596" s="4">
        <v>1097</v>
      </c>
    </row>
    <row r="597" spans="1:14" s="3" customFormat="1" hidden="1" outlineLevel="1" x14ac:dyDescent="0.25">
      <c r="A597" s="5"/>
      <c r="B597" s="31" t="s">
        <v>160</v>
      </c>
      <c r="C597" s="20" t="s">
        <v>1588</v>
      </c>
      <c r="D597" s="20" t="s">
        <v>1469</v>
      </c>
      <c r="E597" s="20">
        <v>0</v>
      </c>
      <c r="F597" s="20"/>
      <c r="G597" s="22"/>
      <c r="J597" s="3" t="s">
        <v>161</v>
      </c>
      <c r="K597" s="3" t="s">
        <v>64</v>
      </c>
      <c r="N597" s="3">
        <v>1604</v>
      </c>
    </row>
    <row r="598" spans="1:14" s="3" customFormat="1" hidden="1" outlineLevel="1" x14ac:dyDescent="0.25">
      <c r="A598" s="5"/>
      <c r="B598" s="31" t="s">
        <v>162</v>
      </c>
      <c r="C598" s="20" t="s">
        <v>1589</v>
      </c>
      <c r="D598" s="20" t="s">
        <v>1469</v>
      </c>
      <c r="E598" s="20">
        <v>0</v>
      </c>
      <c r="F598" s="20"/>
      <c r="G598" s="22" t="s">
        <v>1590</v>
      </c>
    </row>
    <row r="599" spans="1:14" s="3" customFormat="1" hidden="1" outlineLevel="1" x14ac:dyDescent="0.25">
      <c r="A599" s="5"/>
      <c r="B599" s="31" t="s">
        <v>163</v>
      </c>
      <c r="C599" s="20" t="s">
        <v>1591</v>
      </c>
      <c r="D599" s="20" t="s">
        <v>1469</v>
      </c>
      <c r="E599" s="20">
        <v>0</v>
      </c>
      <c r="F599" s="20"/>
      <c r="G599" s="22" t="s">
        <v>1590</v>
      </c>
    </row>
    <row r="600" spans="1:14" s="3" customFormat="1" hidden="1" outlineLevel="1" x14ac:dyDescent="0.25">
      <c r="A600" s="5"/>
      <c r="B600" s="31"/>
      <c r="C600" s="20"/>
      <c r="D600" s="20"/>
      <c r="E600" s="20"/>
      <c r="F600" s="20"/>
      <c r="G600" s="22"/>
      <c r="J600" s="3" t="s">
        <v>64</v>
      </c>
      <c r="K600" s="3" t="s">
        <v>164</v>
      </c>
    </row>
    <row r="601" spans="1:14" s="6" customFormat="1" ht="16.2" hidden="1" outlineLevel="1" thickBot="1" x14ac:dyDescent="0.4">
      <c r="A601" s="5"/>
      <c r="B601" s="91"/>
      <c r="C601" s="92"/>
      <c r="D601" s="92"/>
      <c r="E601" s="92"/>
      <c r="F601" s="92"/>
      <c r="G601" s="93"/>
      <c r="J601" s="3" t="s">
        <v>164</v>
      </c>
      <c r="K601" s="4" t="s">
        <v>22</v>
      </c>
    </row>
    <row r="602" spans="1:14" s="6" customFormat="1" hidden="1" outlineLevel="1" x14ac:dyDescent="0.35">
      <c r="A602" s="5"/>
      <c r="B602" s="383" t="s">
        <v>18</v>
      </c>
      <c r="C602" s="384"/>
      <c r="D602" s="384"/>
      <c r="E602" s="384"/>
      <c r="F602" s="384"/>
      <c r="G602" s="385"/>
      <c r="J602" s="4" t="s">
        <v>22</v>
      </c>
      <c r="K602" s="3" t="s">
        <v>63</v>
      </c>
    </row>
    <row r="603" spans="1:14" s="6" customFormat="1" hidden="1" outlineLevel="1" x14ac:dyDescent="0.25">
      <c r="A603" s="5"/>
      <c r="B603" s="136" t="s">
        <v>2</v>
      </c>
      <c r="C603" s="137" t="s">
        <v>3</v>
      </c>
      <c r="D603" s="137" t="s">
        <v>4</v>
      </c>
      <c r="E603" s="137" t="s">
        <v>5</v>
      </c>
      <c r="F603" s="137"/>
      <c r="G603" s="138" t="s">
        <v>6</v>
      </c>
      <c r="J603" s="3" t="s">
        <v>63</v>
      </c>
      <c r="K603" s="3" t="s">
        <v>78</v>
      </c>
    </row>
    <row r="604" spans="1:14" s="6" customFormat="1" hidden="1" outlineLevel="1" x14ac:dyDescent="0.25">
      <c r="A604" s="5"/>
      <c r="B604" s="81" t="s">
        <v>16</v>
      </c>
      <c r="C604" s="20" t="s">
        <v>1479</v>
      </c>
      <c r="D604" s="20" t="s">
        <v>1469</v>
      </c>
      <c r="E604" s="20" t="s">
        <v>1480</v>
      </c>
      <c r="F604" s="20" t="s">
        <v>1481</v>
      </c>
      <c r="G604" s="22" t="s">
        <v>1482</v>
      </c>
      <c r="J604" s="3" t="s">
        <v>78</v>
      </c>
      <c r="K604" s="3" t="s">
        <v>130</v>
      </c>
    </row>
    <row r="605" spans="1:14" s="3" customFormat="1" hidden="1" outlineLevel="1" x14ac:dyDescent="0.25">
      <c r="B605" s="81" t="s">
        <v>7</v>
      </c>
      <c r="C605" s="29" t="s">
        <v>1468</v>
      </c>
      <c r="D605" s="29" t="s">
        <v>1469</v>
      </c>
      <c r="E605" s="29">
        <v>0</v>
      </c>
      <c r="F605" s="29" t="s">
        <v>1470</v>
      </c>
      <c r="G605" s="30" t="s">
        <v>1471</v>
      </c>
      <c r="J605" s="3" t="s">
        <v>165</v>
      </c>
      <c r="K605" s="3" t="s">
        <v>166</v>
      </c>
      <c r="N605" s="3">
        <v>2534</v>
      </c>
    </row>
    <row r="606" spans="1:14" s="3" customFormat="1" hidden="1" outlineLevel="1" x14ac:dyDescent="0.35">
      <c r="B606" s="81" t="s">
        <v>11</v>
      </c>
      <c r="C606" s="29" t="s">
        <v>1472</v>
      </c>
      <c r="D606" s="29" t="s">
        <v>1469</v>
      </c>
      <c r="E606" s="29">
        <v>0</v>
      </c>
      <c r="F606" s="29" t="s">
        <v>1470</v>
      </c>
      <c r="G606" s="30" t="s">
        <v>1473</v>
      </c>
      <c r="J606" s="3" t="s">
        <v>166</v>
      </c>
      <c r="K606" s="4" t="s">
        <v>167</v>
      </c>
      <c r="N606" s="3">
        <v>1700</v>
      </c>
    </row>
    <row r="607" spans="1:14" s="3" customFormat="1" hidden="1" outlineLevel="1" x14ac:dyDescent="0.35">
      <c r="B607" s="81" t="s">
        <v>13</v>
      </c>
      <c r="C607" s="39" t="s">
        <v>1474</v>
      </c>
      <c r="D607" s="39" t="s">
        <v>1469</v>
      </c>
      <c r="E607" s="39">
        <v>0</v>
      </c>
      <c r="F607" s="39" t="s">
        <v>1470</v>
      </c>
      <c r="G607" s="40"/>
      <c r="J607" s="4" t="s">
        <v>167</v>
      </c>
      <c r="K607" s="3" t="s">
        <v>168</v>
      </c>
      <c r="N607" s="3">
        <v>1689</v>
      </c>
    </row>
    <row r="608" spans="1:14" s="4" customFormat="1" hidden="1" outlineLevel="1" x14ac:dyDescent="0.35">
      <c r="A608" s="5"/>
      <c r="B608" s="57" t="s">
        <v>25</v>
      </c>
      <c r="C608" s="58" t="s">
        <v>1492</v>
      </c>
      <c r="D608" s="58" t="s">
        <v>1469</v>
      </c>
      <c r="E608" s="58">
        <v>0</v>
      </c>
      <c r="F608" s="58" t="s">
        <v>1470</v>
      </c>
      <c r="G608" s="59" t="s">
        <v>1484</v>
      </c>
      <c r="J608" s="4" t="s">
        <v>10</v>
      </c>
      <c r="N608" s="4">
        <v>1080</v>
      </c>
    </row>
    <row r="609" spans="1:14" s="3" customFormat="1" hidden="1" outlineLevel="1" x14ac:dyDescent="0.25">
      <c r="B609" s="81" t="s">
        <v>14</v>
      </c>
      <c r="C609" s="29" t="s">
        <v>1475</v>
      </c>
      <c r="D609" s="29" t="s">
        <v>1469</v>
      </c>
      <c r="E609" s="29">
        <v>0</v>
      </c>
      <c r="F609" s="29" t="s">
        <v>1476</v>
      </c>
      <c r="G609" s="30" t="s">
        <v>1477</v>
      </c>
      <c r="J609" s="3" t="s">
        <v>168</v>
      </c>
      <c r="N609" s="3">
        <v>2052</v>
      </c>
    </row>
    <row r="610" spans="1:14" s="3" customFormat="1" hidden="1" outlineLevel="1" x14ac:dyDescent="0.25">
      <c r="B610" s="81" t="s">
        <v>159</v>
      </c>
      <c r="C610" s="29" t="s">
        <v>1592</v>
      </c>
      <c r="D610" s="29" t="s">
        <v>1593</v>
      </c>
      <c r="E610" s="29" t="s">
        <v>1594</v>
      </c>
      <c r="F610" s="29" t="s">
        <v>1470</v>
      </c>
      <c r="G610" s="30" t="s">
        <v>1595</v>
      </c>
      <c r="N610" s="3">
        <v>2153</v>
      </c>
    </row>
    <row r="611" spans="1:14" s="3" customFormat="1" hidden="1" outlineLevel="1" x14ac:dyDescent="0.25">
      <c r="B611" s="81" t="s">
        <v>15</v>
      </c>
      <c r="C611" s="29" t="s">
        <v>1478</v>
      </c>
      <c r="D611" s="29" t="s">
        <v>1469</v>
      </c>
      <c r="E611" s="29">
        <v>0</v>
      </c>
      <c r="F611" s="29" t="s">
        <v>1470</v>
      </c>
      <c r="G611" s="30"/>
      <c r="N611" s="3">
        <v>2183</v>
      </c>
    </row>
    <row r="612" spans="1:14" s="3" customFormat="1" hidden="1" outlineLevel="1" x14ac:dyDescent="0.25">
      <c r="A612" s="77"/>
      <c r="B612" s="81" t="s">
        <v>24</v>
      </c>
      <c r="C612" s="79" t="s">
        <v>1491</v>
      </c>
      <c r="D612" s="79" t="s">
        <v>1489</v>
      </c>
      <c r="E612" s="79">
        <v>0</v>
      </c>
      <c r="F612" s="79" t="s">
        <v>1470</v>
      </c>
      <c r="G612" s="80"/>
      <c r="H612" s="3" t="str">
        <f>"TRUNCATE TABLE "&amp;C612&amp;";#"&amp;E612</f>
        <v>TRUNCATE TABLE realize_pandl;#0</v>
      </c>
    </row>
    <row r="613" spans="1:14" s="3" customFormat="1" hidden="1" outlineLevel="1" x14ac:dyDescent="0.25">
      <c r="A613" s="77"/>
      <c r="B613" s="81" t="s">
        <v>58</v>
      </c>
      <c r="C613" s="79" t="s">
        <v>1522</v>
      </c>
      <c r="D613" s="79" t="s">
        <v>1489</v>
      </c>
      <c r="E613" s="79">
        <v>0</v>
      </c>
      <c r="F613" s="79" t="s">
        <v>1470</v>
      </c>
      <c r="G613" s="80"/>
      <c r="H613" s="3" t="str">
        <f>"TRUNCATE TABLE "&amp;C613&amp;";#"&amp;E613</f>
        <v>TRUNCATE TABLE over_night_pandl;#0</v>
      </c>
    </row>
    <row r="614" spans="1:14" s="3" customFormat="1" hidden="1" outlineLevel="1" x14ac:dyDescent="0.25">
      <c r="B614" s="145" t="s">
        <v>22</v>
      </c>
      <c r="C614" s="39" t="s">
        <v>1488</v>
      </c>
      <c r="D614" s="39" t="s">
        <v>1489</v>
      </c>
      <c r="E614" s="39">
        <v>0</v>
      </c>
      <c r="F614" s="39" t="s">
        <v>1470</v>
      </c>
      <c r="G614" s="40" t="s">
        <v>1490</v>
      </c>
    </row>
    <row r="615" spans="1:14" s="3" customFormat="1" hidden="1" outlineLevel="1" x14ac:dyDescent="0.25">
      <c r="B615" s="145" t="s">
        <v>63</v>
      </c>
      <c r="C615" s="39" t="s">
        <v>1526</v>
      </c>
      <c r="D615" s="39" t="s">
        <v>1489</v>
      </c>
      <c r="E615" s="39">
        <v>0</v>
      </c>
      <c r="F615" s="39"/>
      <c r="G615" s="40"/>
    </row>
    <row r="616" spans="1:14" s="3" customFormat="1" hidden="1" outlineLevel="1" x14ac:dyDescent="0.25">
      <c r="B616" s="145" t="s">
        <v>78</v>
      </c>
      <c r="C616" s="39" t="s">
        <v>1534</v>
      </c>
      <c r="D616" s="39" t="s">
        <v>1489</v>
      </c>
      <c r="E616" s="39">
        <v>0</v>
      </c>
      <c r="F616" s="39"/>
      <c r="G616" s="40"/>
    </row>
    <row r="617" spans="1:14" s="3" customFormat="1" hidden="1" outlineLevel="1" x14ac:dyDescent="0.25">
      <c r="B617" s="145" t="s">
        <v>130</v>
      </c>
      <c r="C617" s="29" t="s">
        <v>1596</v>
      </c>
      <c r="D617" s="29" t="s">
        <v>1486</v>
      </c>
      <c r="E617" s="29">
        <v>0</v>
      </c>
      <c r="F617" s="29"/>
      <c r="G617" s="30"/>
    </row>
    <row r="618" spans="1:14" s="3" customFormat="1" hidden="1" outlineLevel="1" x14ac:dyDescent="0.25">
      <c r="B618" s="145" t="s">
        <v>165</v>
      </c>
      <c r="C618" s="29" t="s">
        <v>1597</v>
      </c>
      <c r="D618" s="29" t="s">
        <v>1489</v>
      </c>
      <c r="E618" s="29">
        <v>0</v>
      </c>
      <c r="F618" s="29"/>
      <c r="G618" s="30"/>
    </row>
    <row r="619" spans="1:14" s="3" customFormat="1" hidden="1" outlineLevel="1" x14ac:dyDescent="0.25">
      <c r="B619" s="145" t="s">
        <v>166</v>
      </c>
      <c r="C619" s="29" t="s">
        <v>1598</v>
      </c>
      <c r="D619" s="29" t="s">
        <v>1486</v>
      </c>
      <c r="E619" s="29">
        <v>0</v>
      </c>
      <c r="F619" s="29"/>
      <c r="G619" s="30"/>
    </row>
    <row r="620" spans="1:14" s="3" customFormat="1" hidden="1" outlineLevel="1" x14ac:dyDescent="0.25">
      <c r="B620" s="145" t="s">
        <v>167</v>
      </c>
      <c r="C620" s="29" t="s">
        <v>1599</v>
      </c>
      <c r="D620" s="29" t="s">
        <v>1489</v>
      </c>
      <c r="E620" s="29">
        <v>0</v>
      </c>
      <c r="F620" s="29"/>
      <c r="G620" s="30"/>
    </row>
    <row r="621" spans="1:14" s="3" customFormat="1" hidden="1" outlineLevel="1" x14ac:dyDescent="0.25">
      <c r="B621" s="139" t="s">
        <v>77</v>
      </c>
      <c r="C621" s="23" t="s">
        <v>1533</v>
      </c>
      <c r="D621" s="23" t="s">
        <v>1486</v>
      </c>
      <c r="E621" s="23">
        <v>0</v>
      </c>
      <c r="F621" s="23" t="s">
        <v>1470</v>
      </c>
      <c r="G621" s="24"/>
      <c r="M621" s="147" t="s">
        <v>27</v>
      </c>
    </row>
    <row r="622" spans="1:14" s="3" customFormat="1" hidden="1" outlineLevel="1" x14ac:dyDescent="0.25">
      <c r="B622" s="139" t="s">
        <v>26</v>
      </c>
      <c r="C622" s="23" t="s">
        <v>1493</v>
      </c>
      <c r="D622" s="23" t="s">
        <v>1494</v>
      </c>
      <c r="E622" s="23">
        <v>0</v>
      </c>
      <c r="F622" s="23" t="s">
        <v>1470</v>
      </c>
      <c r="G622" s="24"/>
      <c r="M622" s="146" t="s">
        <v>75</v>
      </c>
    </row>
    <row r="623" spans="1:14" s="3" customFormat="1" hidden="1" outlineLevel="1" x14ac:dyDescent="0.25">
      <c r="B623" s="139" t="s">
        <v>27</v>
      </c>
      <c r="C623" s="23" t="s">
        <v>1495</v>
      </c>
      <c r="D623" s="23" t="s">
        <v>1489</v>
      </c>
      <c r="E623" s="23">
        <v>0</v>
      </c>
      <c r="F623" s="23" t="s">
        <v>1470</v>
      </c>
      <c r="G623" s="24"/>
      <c r="M623" s="148" t="s">
        <v>19</v>
      </c>
    </row>
    <row r="624" spans="1:14" s="3" customFormat="1" hidden="1" outlineLevel="1" x14ac:dyDescent="0.25">
      <c r="B624" s="139" t="s">
        <v>75</v>
      </c>
      <c r="C624" s="23" t="s">
        <v>1530</v>
      </c>
      <c r="D624" s="23" t="s">
        <v>1486</v>
      </c>
      <c r="E624" s="23">
        <v>0</v>
      </c>
      <c r="F624" s="23" t="s">
        <v>1470</v>
      </c>
      <c r="G624" s="24" t="s">
        <v>1531</v>
      </c>
      <c r="M624" s="28" t="s">
        <v>21</v>
      </c>
    </row>
    <row r="625" spans="1:13" s="3" customFormat="1" hidden="1" outlineLevel="1" x14ac:dyDescent="0.25">
      <c r="B625" s="139" t="s">
        <v>19</v>
      </c>
      <c r="C625" s="23" t="s">
        <v>1485</v>
      </c>
      <c r="D625" s="23" t="s">
        <v>1486</v>
      </c>
      <c r="E625" s="23">
        <v>0</v>
      </c>
      <c r="F625" s="23"/>
      <c r="G625" s="24"/>
      <c r="M625" s="44" t="s">
        <v>76</v>
      </c>
    </row>
    <row r="626" spans="1:13" s="3" customFormat="1" hidden="1" outlineLevel="1" x14ac:dyDescent="0.25">
      <c r="B626" s="139" t="s">
        <v>21</v>
      </c>
      <c r="C626" s="23" t="s">
        <v>1487</v>
      </c>
      <c r="D626" s="23" t="s">
        <v>1486</v>
      </c>
      <c r="E626" s="23">
        <v>0</v>
      </c>
      <c r="F626" s="23"/>
      <c r="G626" s="24"/>
      <c r="M626" s="149"/>
    </row>
    <row r="627" spans="1:13" s="3" customFormat="1" hidden="1" outlineLevel="1" x14ac:dyDescent="0.25">
      <c r="B627" s="139" t="s">
        <v>76</v>
      </c>
      <c r="C627" s="23" t="s">
        <v>1532</v>
      </c>
      <c r="D627" s="23" t="s">
        <v>1489</v>
      </c>
      <c r="E627" s="23">
        <v>0</v>
      </c>
      <c r="F627" s="23"/>
      <c r="G627" s="24"/>
      <c r="M627" s="149"/>
    </row>
    <row r="628" spans="1:13" s="3" customFormat="1" ht="16.2" hidden="1" outlineLevel="1" thickBot="1" x14ac:dyDescent="0.3">
      <c r="A628" s="5"/>
      <c r="B628" s="52"/>
      <c r="C628" s="53"/>
      <c r="D628" s="53"/>
      <c r="E628" s="53"/>
      <c r="F628" s="53"/>
      <c r="G628" s="54"/>
    </row>
    <row r="629" spans="1:13" s="6" customFormat="1" hidden="1" outlineLevel="1" x14ac:dyDescent="0.25">
      <c r="A629" s="5"/>
      <c r="B629" s="392" t="s">
        <v>29</v>
      </c>
      <c r="C629" s="393"/>
      <c r="D629" s="393"/>
      <c r="E629" s="393"/>
      <c r="F629" s="393"/>
      <c r="G629" s="394"/>
    </row>
    <row r="630" spans="1:13" s="3" customFormat="1" hidden="1" outlineLevel="1" x14ac:dyDescent="0.25">
      <c r="A630" s="5"/>
      <c r="B630" s="31"/>
      <c r="C630" s="20"/>
      <c r="D630" s="20"/>
      <c r="E630" s="20"/>
      <c r="F630" s="20"/>
      <c r="G630" s="22" t="s">
        <v>566</v>
      </c>
    </row>
    <row r="631" spans="1:13" s="3" customFormat="1" hidden="1" outlineLevel="1" x14ac:dyDescent="0.25">
      <c r="A631" s="5"/>
      <c r="B631" s="31"/>
      <c r="C631" s="20"/>
      <c r="D631" s="20"/>
      <c r="E631" s="20"/>
      <c r="F631" s="20"/>
      <c r="G631" s="22"/>
    </row>
    <row r="632" spans="1:13" s="3" customFormat="1" hidden="1" outlineLevel="1" x14ac:dyDescent="0.25">
      <c r="A632" s="5"/>
      <c r="B632" s="31"/>
      <c r="C632" s="20"/>
      <c r="D632" s="20"/>
      <c r="E632" s="20"/>
      <c r="F632" s="20"/>
      <c r="G632" s="22"/>
    </row>
    <row r="633" spans="1:13" s="3" customFormat="1" hidden="1" outlineLevel="1" x14ac:dyDescent="0.25">
      <c r="A633" s="5"/>
      <c r="B633" s="31" t="s">
        <v>567</v>
      </c>
      <c r="C633" s="20"/>
      <c r="D633" s="20"/>
      <c r="E633" s="20"/>
      <c r="F633" s="20"/>
      <c r="G633" s="373" t="s">
        <v>2422</v>
      </c>
    </row>
    <row r="634" spans="1:13" s="3" customFormat="1" ht="16.2" hidden="1" outlineLevel="1" thickBot="1" x14ac:dyDescent="0.3">
      <c r="A634" s="5"/>
      <c r="B634" s="52"/>
      <c r="C634" s="53"/>
      <c r="D634" s="53"/>
      <c r="E634" s="53"/>
      <c r="F634" s="53"/>
      <c r="G634" s="54"/>
    </row>
    <row r="635" spans="1:13" ht="16.2" hidden="1" outlineLevel="1" thickBot="1" x14ac:dyDescent="0.3"/>
    <row r="636" spans="1:13" s="3" customFormat="1" ht="17.399999999999999" customHeight="1" collapsed="1" thickBot="1" x14ac:dyDescent="0.3">
      <c r="A636" s="5"/>
      <c r="B636" s="15" t="s">
        <v>1279</v>
      </c>
      <c r="C636" s="16" t="s">
        <v>1936</v>
      </c>
      <c r="D636" s="17" t="s">
        <v>1281</v>
      </c>
      <c r="E636" s="133" t="s">
        <v>568</v>
      </c>
      <c r="F636" s="17" t="s">
        <v>1282</v>
      </c>
      <c r="G636" s="18" t="s">
        <v>1937</v>
      </c>
    </row>
    <row r="637" spans="1:13" s="3" customFormat="1" ht="17.399999999999999" hidden="1" customHeight="1" outlineLevel="1" x14ac:dyDescent="0.25">
      <c r="A637" s="5"/>
      <c r="B637" s="19" t="s">
        <v>1284</v>
      </c>
      <c r="C637" s="20" t="s">
        <v>1285</v>
      </c>
      <c r="D637" s="21" t="s">
        <v>1286</v>
      </c>
      <c r="E637" s="20" t="s">
        <v>1938</v>
      </c>
      <c r="F637" s="21" t="s">
        <v>1288</v>
      </c>
      <c r="G637" s="22" t="s">
        <v>1350</v>
      </c>
    </row>
    <row r="638" spans="1:13" s="3" customFormat="1" ht="17.399999999999999" hidden="1" customHeight="1" outlineLevel="1" thickBot="1" x14ac:dyDescent="0.3">
      <c r="A638" s="5"/>
      <c r="B638" s="19" t="s">
        <v>1290</v>
      </c>
      <c r="C638" s="23" t="s">
        <v>1291</v>
      </c>
      <c r="D638" s="21" t="s">
        <v>1292</v>
      </c>
      <c r="E638" s="23">
        <v>5</v>
      </c>
      <c r="F638" s="21" t="s">
        <v>1293</v>
      </c>
      <c r="G638" s="24" t="s">
        <v>1294</v>
      </c>
    </row>
    <row r="639" spans="1:13" s="3" customFormat="1" ht="17.399999999999999" hidden="1" customHeight="1" outlineLevel="1" x14ac:dyDescent="0.25">
      <c r="A639" s="5"/>
      <c r="B639" s="401" t="s">
        <v>1</v>
      </c>
      <c r="C639" s="402"/>
      <c r="D639" s="402"/>
      <c r="E639" s="402"/>
      <c r="F639" s="402"/>
      <c r="G639" s="403"/>
    </row>
    <row r="640" spans="1:13" s="3" customFormat="1" ht="17.399999999999999" hidden="1" customHeight="1" outlineLevel="1" x14ac:dyDescent="0.25">
      <c r="A640" s="5"/>
      <c r="B640" s="25" t="s">
        <v>2</v>
      </c>
      <c r="C640" s="26" t="s">
        <v>3</v>
      </c>
      <c r="D640" s="26" t="s">
        <v>4</v>
      </c>
      <c r="E640" s="26" t="s">
        <v>5</v>
      </c>
      <c r="F640" s="26"/>
      <c r="G640" s="27" t="s">
        <v>6</v>
      </c>
    </row>
    <row r="641" spans="1:14" s="4" customFormat="1" ht="17.399999999999999" hidden="1" customHeight="1" outlineLevel="1" x14ac:dyDescent="0.35">
      <c r="A641" s="5"/>
      <c r="B641" s="57" t="s">
        <v>7</v>
      </c>
      <c r="C641" s="58" t="s">
        <v>1468</v>
      </c>
      <c r="D641" s="58" t="s">
        <v>1469</v>
      </c>
      <c r="E641" s="58">
        <v>0</v>
      </c>
      <c r="F641" s="58" t="s">
        <v>1470</v>
      </c>
      <c r="G641" s="59" t="s">
        <v>1471</v>
      </c>
      <c r="J641" s="3" t="s">
        <v>154</v>
      </c>
      <c r="K641" s="81" t="s">
        <v>112</v>
      </c>
      <c r="N641" s="4">
        <v>1112</v>
      </c>
    </row>
    <row r="642" spans="1:14" s="4" customFormat="1" ht="17.399999999999999" hidden="1" customHeight="1" outlineLevel="1" x14ac:dyDescent="0.35">
      <c r="A642" s="5"/>
      <c r="B642" s="57" t="s">
        <v>11</v>
      </c>
      <c r="C642" s="58" t="s">
        <v>1472</v>
      </c>
      <c r="D642" s="58" t="s">
        <v>1469</v>
      </c>
      <c r="E642" s="58">
        <v>0</v>
      </c>
      <c r="F642" s="58" t="s">
        <v>1470</v>
      </c>
      <c r="G642" s="59" t="s">
        <v>1473</v>
      </c>
      <c r="J642" s="3" t="s">
        <v>155</v>
      </c>
      <c r="K642" s="81" t="s">
        <v>7</v>
      </c>
      <c r="N642" s="4">
        <v>1700</v>
      </c>
    </row>
    <row r="643" spans="1:14" s="4" customFormat="1" ht="17.399999999999999" hidden="1" customHeight="1" outlineLevel="1" x14ac:dyDescent="0.35">
      <c r="A643" s="5"/>
      <c r="B643" s="60" t="s">
        <v>13</v>
      </c>
      <c r="C643" s="61" t="s">
        <v>1474</v>
      </c>
      <c r="D643" s="61" t="s">
        <v>1469</v>
      </c>
      <c r="E643" s="61">
        <v>0</v>
      </c>
      <c r="F643" s="61" t="s">
        <v>1470</v>
      </c>
      <c r="G643" s="62"/>
      <c r="H643" s="63"/>
      <c r="J643" s="3" t="s">
        <v>156</v>
      </c>
      <c r="K643" s="81" t="s">
        <v>11</v>
      </c>
      <c r="N643" s="4">
        <v>2534</v>
      </c>
    </row>
    <row r="644" spans="1:14" s="4" customFormat="1" ht="17.399999999999999" hidden="1" customHeight="1" outlineLevel="1" x14ac:dyDescent="0.35">
      <c r="A644" s="5"/>
      <c r="B644" s="60" t="s">
        <v>14</v>
      </c>
      <c r="C644" s="61" t="s">
        <v>1475</v>
      </c>
      <c r="D644" s="61" t="s">
        <v>1469</v>
      </c>
      <c r="E644" s="61">
        <v>0</v>
      </c>
      <c r="F644" s="61" t="s">
        <v>1476</v>
      </c>
      <c r="G644" s="62" t="s">
        <v>1477</v>
      </c>
      <c r="H644" s="63"/>
      <c r="J644" s="3" t="s">
        <v>157</v>
      </c>
      <c r="K644" s="78" t="s">
        <v>13</v>
      </c>
      <c r="N644" s="4">
        <v>2155</v>
      </c>
    </row>
    <row r="645" spans="1:14" s="4" customFormat="1" ht="17.399999999999999" hidden="1" customHeight="1" outlineLevel="1" x14ac:dyDescent="0.35">
      <c r="A645" s="5"/>
      <c r="B645" s="60" t="s">
        <v>15</v>
      </c>
      <c r="C645" s="61" t="s">
        <v>1478</v>
      </c>
      <c r="D645" s="61" t="s">
        <v>1469</v>
      </c>
      <c r="E645" s="61">
        <v>0</v>
      </c>
      <c r="F645" s="61" t="s">
        <v>1470</v>
      </c>
      <c r="G645" s="62"/>
      <c r="H645" s="63"/>
      <c r="J645" s="3" t="s">
        <v>158</v>
      </c>
      <c r="K645" s="81" t="s">
        <v>14</v>
      </c>
      <c r="N645" s="4">
        <v>2430</v>
      </c>
    </row>
    <row r="646" spans="1:14" s="4" customFormat="1" ht="17.399999999999999" hidden="1" customHeight="1" outlineLevel="1" x14ac:dyDescent="0.35">
      <c r="A646" s="5"/>
      <c r="B646" s="134" t="s">
        <v>17</v>
      </c>
      <c r="C646" s="135" t="s">
        <v>1483</v>
      </c>
      <c r="D646" s="135" t="s">
        <v>1469</v>
      </c>
      <c r="E646" s="65">
        <v>0</v>
      </c>
      <c r="F646" s="65" t="s">
        <v>1470</v>
      </c>
      <c r="G646" s="66" t="s">
        <v>1484</v>
      </c>
      <c r="H646" s="5"/>
      <c r="I646" s="5"/>
      <c r="J646" s="3" t="s">
        <v>159</v>
      </c>
      <c r="K646" s="78" t="s">
        <v>15</v>
      </c>
      <c r="L646" s="5"/>
      <c r="M646" s="5"/>
      <c r="N646" s="4">
        <v>1097</v>
      </c>
    </row>
    <row r="647" spans="1:14" s="3" customFormat="1" hidden="1" outlineLevel="1" x14ac:dyDescent="0.25">
      <c r="A647" s="5"/>
      <c r="B647" s="31" t="s">
        <v>160</v>
      </c>
      <c r="C647" s="20" t="s">
        <v>1588</v>
      </c>
      <c r="D647" s="20" t="s">
        <v>1469</v>
      </c>
      <c r="E647" s="20">
        <v>0</v>
      </c>
      <c r="F647" s="20"/>
      <c r="G647" s="22"/>
      <c r="J647" s="3" t="s">
        <v>161</v>
      </c>
      <c r="K647" s="3" t="s">
        <v>64</v>
      </c>
      <c r="N647" s="3">
        <v>1604</v>
      </c>
    </row>
    <row r="648" spans="1:14" s="3" customFormat="1" hidden="1" outlineLevel="1" x14ac:dyDescent="0.25">
      <c r="A648" s="5"/>
      <c r="B648" s="31" t="s">
        <v>162</v>
      </c>
      <c r="C648" s="20" t="s">
        <v>1589</v>
      </c>
      <c r="D648" s="20" t="s">
        <v>1469</v>
      </c>
      <c r="E648" s="20">
        <v>0</v>
      </c>
      <c r="F648" s="20"/>
      <c r="G648" s="22" t="s">
        <v>1590</v>
      </c>
    </row>
    <row r="649" spans="1:14" s="3" customFormat="1" hidden="1" outlineLevel="1" x14ac:dyDescent="0.25">
      <c r="A649" s="5"/>
      <c r="B649" s="31" t="s">
        <v>163</v>
      </c>
      <c r="C649" s="20" t="s">
        <v>1591</v>
      </c>
      <c r="D649" s="20" t="s">
        <v>1469</v>
      </c>
      <c r="E649" s="20">
        <v>0</v>
      </c>
      <c r="F649" s="20"/>
      <c r="G649" s="22" t="s">
        <v>1590</v>
      </c>
    </row>
    <row r="650" spans="1:14" s="3" customFormat="1" hidden="1" outlineLevel="1" x14ac:dyDescent="0.25">
      <c r="A650" s="5"/>
      <c r="B650" s="31"/>
      <c r="C650" s="20"/>
      <c r="D650" s="20"/>
      <c r="E650" s="20"/>
      <c r="F650" s="20"/>
      <c r="G650" s="22"/>
      <c r="J650" s="3" t="s">
        <v>64</v>
      </c>
      <c r="K650" s="3" t="s">
        <v>164</v>
      </c>
    </row>
    <row r="651" spans="1:14" s="6" customFormat="1" ht="16.2" hidden="1" outlineLevel="1" thickBot="1" x14ac:dyDescent="0.4">
      <c r="A651" s="5"/>
      <c r="B651" s="91"/>
      <c r="C651" s="92"/>
      <c r="D651" s="92"/>
      <c r="E651" s="92"/>
      <c r="F651" s="92"/>
      <c r="G651" s="93"/>
      <c r="J651" s="3" t="s">
        <v>164</v>
      </c>
      <c r="K651" s="4" t="s">
        <v>22</v>
      </c>
    </row>
    <row r="652" spans="1:14" s="6" customFormat="1" hidden="1" outlineLevel="1" x14ac:dyDescent="0.35">
      <c r="A652" s="5"/>
      <c r="B652" s="383" t="s">
        <v>18</v>
      </c>
      <c r="C652" s="384"/>
      <c r="D652" s="384"/>
      <c r="E652" s="384"/>
      <c r="F652" s="384"/>
      <c r="G652" s="385"/>
      <c r="J652" s="4" t="s">
        <v>22</v>
      </c>
      <c r="K652" s="3" t="s">
        <v>63</v>
      </c>
    </row>
    <row r="653" spans="1:14" s="6" customFormat="1" hidden="1" outlineLevel="1" x14ac:dyDescent="0.25">
      <c r="A653" s="5"/>
      <c r="B653" s="136" t="s">
        <v>2</v>
      </c>
      <c r="C653" s="137" t="s">
        <v>3</v>
      </c>
      <c r="D653" s="137" t="s">
        <v>4</v>
      </c>
      <c r="E653" s="137" t="s">
        <v>5</v>
      </c>
      <c r="F653" s="137"/>
      <c r="G653" s="138" t="s">
        <v>6</v>
      </c>
      <c r="J653" s="3" t="s">
        <v>63</v>
      </c>
      <c r="K653" s="3" t="s">
        <v>78</v>
      </c>
    </row>
    <row r="654" spans="1:14" s="6" customFormat="1" hidden="1" outlineLevel="1" x14ac:dyDescent="0.25">
      <c r="A654" s="5"/>
      <c r="B654" s="81" t="s">
        <v>16</v>
      </c>
      <c r="C654" s="20" t="s">
        <v>1479</v>
      </c>
      <c r="D654" s="20" t="s">
        <v>1469</v>
      </c>
      <c r="E654" s="20" t="s">
        <v>1480</v>
      </c>
      <c r="F654" s="20" t="s">
        <v>1481</v>
      </c>
      <c r="G654" s="22" t="s">
        <v>1482</v>
      </c>
      <c r="J654" s="3" t="s">
        <v>78</v>
      </c>
      <c r="K654" s="3" t="s">
        <v>130</v>
      </c>
    </row>
    <row r="655" spans="1:14" s="3" customFormat="1" hidden="1" outlineLevel="1" x14ac:dyDescent="0.25">
      <c r="B655" s="81" t="s">
        <v>7</v>
      </c>
      <c r="C655" s="29" t="s">
        <v>1468</v>
      </c>
      <c r="D655" s="29" t="s">
        <v>1469</v>
      </c>
      <c r="E655" s="29">
        <v>0</v>
      </c>
      <c r="F655" s="29" t="s">
        <v>1470</v>
      </c>
      <c r="G655" s="30" t="s">
        <v>1471</v>
      </c>
      <c r="J655" s="3" t="s">
        <v>165</v>
      </c>
      <c r="K655" s="3" t="s">
        <v>166</v>
      </c>
      <c r="N655" s="3">
        <v>2534</v>
      </c>
    </row>
    <row r="656" spans="1:14" s="3" customFormat="1" hidden="1" outlineLevel="1" x14ac:dyDescent="0.35">
      <c r="B656" s="81" t="s">
        <v>11</v>
      </c>
      <c r="C656" s="29" t="s">
        <v>1472</v>
      </c>
      <c r="D656" s="29" t="s">
        <v>1469</v>
      </c>
      <c r="E656" s="29">
        <v>0</v>
      </c>
      <c r="F656" s="29" t="s">
        <v>1470</v>
      </c>
      <c r="G656" s="30" t="s">
        <v>1473</v>
      </c>
      <c r="J656" s="3" t="s">
        <v>166</v>
      </c>
      <c r="K656" s="4" t="s">
        <v>167</v>
      </c>
      <c r="N656" s="3">
        <v>1700</v>
      </c>
    </row>
    <row r="657" spans="1:14" s="3" customFormat="1" hidden="1" outlineLevel="1" x14ac:dyDescent="0.35">
      <c r="B657" s="81" t="s">
        <v>13</v>
      </c>
      <c r="C657" s="39" t="s">
        <v>1474</v>
      </c>
      <c r="D657" s="39" t="s">
        <v>1469</v>
      </c>
      <c r="E657" s="39">
        <v>0</v>
      </c>
      <c r="F657" s="39" t="s">
        <v>1470</v>
      </c>
      <c r="G657" s="40"/>
      <c r="J657" s="4" t="s">
        <v>167</v>
      </c>
      <c r="K657" s="3" t="s">
        <v>168</v>
      </c>
      <c r="N657" s="3">
        <v>1689</v>
      </c>
    </row>
    <row r="658" spans="1:14" s="3" customFormat="1" hidden="1" outlineLevel="1" x14ac:dyDescent="0.25">
      <c r="B658" s="81" t="s">
        <v>14</v>
      </c>
      <c r="C658" s="29" t="s">
        <v>1475</v>
      </c>
      <c r="D658" s="29" t="s">
        <v>1469</v>
      </c>
      <c r="E658" s="29">
        <v>0</v>
      </c>
      <c r="F658" s="29" t="s">
        <v>1476</v>
      </c>
      <c r="G658" s="30" t="s">
        <v>1477</v>
      </c>
      <c r="J658" s="3" t="s">
        <v>168</v>
      </c>
      <c r="N658" s="3">
        <v>2052</v>
      </c>
    </row>
    <row r="659" spans="1:14" s="3" customFormat="1" hidden="1" outlineLevel="1" x14ac:dyDescent="0.25">
      <c r="B659" s="81" t="s">
        <v>159</v>
      </c>
      <c r="C659" s="29" t="s">
        <v>1592</v>
      </c>
      <c r="D659" s="29" t="s">
        <v>1593</v>
      </c>
      <c r="E659" s="29" t="s">
        <v>1594</v>
      </c>
      <c r="F659" s="29" t="s">
        <v>1470</v>
      </c>
      <c r="G659" s="30" t="s">
        <v>1595</v>
      </c>
      <c r="N659" s="3">
        <v>2153</v>
      </c>
    </row>
    <row r="660" spans="1:14" s="3" customFormat="1" hidden="1" outlineLevel="1" x14ac:dyDescent="0.25">
      <c r="B660" s="81" t="s">
        <v>15</v>
      </c>
      <c r="C660" s="29" t="s">
        <v>1478</v>
      </c>
      <c r="D660" s="29" t="s">
        <v>1469</v>
      </c>
      <c r="E660" s="29">
        <v>0</v>
      </c>
      <c r="F660" s="29" t="s">
        <v>1470</v>
      </c>
      <c r="G660" s="30"/>
      <c r="N660" s="3">
        <v>2183</v>
      </c>
    </row>
    <row r="661" spans="1:14" s="4" customFormat="1" ht="17.399999999999999" hidden="1" customHeight="1" outlineLevel="1" x14ac:dyDescent="0.35">
      <c r="A661" s="5"/>
      <c r="B661" s="145" t="s">
        <v>64</v>
      </c>
      <c r="C661" s="42" t="s">
        <v>1527</v>
      </c>
      <c r="D661" s="42" t="s">
        <v>1489</v>
      </c>
      <c r="E661" s="42">
        <v>0</v>
      </c>
      <c r="F661" s="42"/>
      <c r="G661" s="43"/>
      <c r="J661" s="5"/>
      <c r="K661" s="5"/>
      <c r="L661" s="5"/>
      <c r="M661" s="5"/>
    </row>
    <row r="662" spans="1:14" s="3" customFormat="1" hidden="1" outlineLevel="1" x14ac:dyDescent="0.25">
      <c r="A662" s="77"/>
      <c r="B662" s="81" t="s">
        <v>24</v>
      </c>
      <c r="C662" s="79" t="s">
        <v>1491</v>
      </c>
      <c r="D662" s="79" t="s">
        <v>1489</v>
      </c>
      <c r="E662" s="79">
        <v>0</v>
      </c>
      <c r="F662" s="79" t="s">
        <v>1470</v>
      </c>
      <c r="G662" s="80"/>
      <c r="H662" s="3" t="str">
        <f>"TRUNCATE TABLE "&amp;C662&amp;";#"&amp;E662</f>
        <v>TRUNCATE TABLE realize_pandl;#0</v>
      </c>
    </row>
    <row r="663" spans="1:14" s="3" customFormat="1" hidden="1" outlineLevel="1" x14ac:dyDescent="0.25">
      <c r="A663" s="77"/>
      <c r="B663" s="81" t="s">
        <v>58</v>
      </c>
      <c r="C663" s="79" t="s">
        <v>1522</v>
      </c>
      <c r="D663" s="79" t="s">
        <v>1489</v>
      </c>
      <c r="E663" s="79">
        <v>0</v>
      </c>
      <c r="F663" s="79" t="s">
        <v>1470</v>
      </c>
      <c r="G663" s="80"/>
      <c r="H663" s="3" t="str">
        <f>"TRUNCATE TABLE "&amp;C663&amp;";#"&amp;E663</f>
        <v>TRUNCATE TABLE over_night_pandl;#0</v>
      </c>
    </row>
    <row r="664" spans="1:14" s="3" customFormat="1" hidden="1" outlineLevel="1" x14ac:dyDescent="0.25">
      <c r="B664" s="145" t="s">
        <v>22</v>
      </c>
      <c r="C664" s="39" t="s">
        <v>1488</v>
      </c>
      <c r="D664" s="39" t="s">
        <v>1489</v>
      </c>
      <c r="E664" s="39">
        <v>0</v>
      </c>
      <c r="F664" s="39" t="s">
        <v>1470</v>
      </c>
      <c r="G664" s="40" t="s">
        <v>1490</v>
      </c>
    </row>
    <row r="665" spans="1:14" s="3" customFormat="1" hidden="1" outlineLevel="1" x14ac:dyDescent="0.25">
      <c r="B665" s="145" t="s">
        <v>63</v>
      </c>
      <c r="C665" s="39" t="s">
        <v>1526</v>
      </c>
      <c r="D665" s="39" t="s">
        <v>1489</v>
      </c>
      <c r="E665" s="39">
        <v>0</v>
      </c>
      <c r="F665" s="39"/>
      <c r="G665" s="40"/>
    </row>
    <row r="666" spans="1:14" s="3" customFormat="1" hidden="1" outlineLevel="1" x14ac:dyDescent="0.25">
      <c r="B666" s="145" t="s">
        <v>78</v>
      </c>
      <c r="C666" s="39" t="s">
        <v>1534</v>
      </c>
      <c r="D666" s="39" t="s">
        <v>1489</v>
      </c>
      <c r="E666" s="39">
        <v>0</v>
      </c>
      <c r="F666" s="39"/>
      <c r="G666" s="40"/>
    </row>
    <row r="667" spans="1:14" s="3" customFormat="1" hidden="1" outlineLevel="1" x14ac:dyDescent="0.25">
      <c r="B667" s="145" t="s">
        <v>130</v>
      </c>
      <c r="C667" s="29" t="s">
        <v>1596</v>
      </c>
      <c r="D667" s="29" t="s">
        <v>1486</v>
      </c>
      <c r="E667" s="29">
        <v>0</v>
      </c>
      <c r="F667" s="29"/>
      <c r="G667" s="30"/>
    </row>
    <row r="668" spans="1:14" s="3" customFormat="1" hidden="1" outlineLevel="1" x14ac:dyDescent="0.25">
      <c r="B668" s="145" t="s">
        <v>165</v>
      </c>
      <c r="C668" s="29" t="s">
        <v>1597</v>
      </c>
      <c r="D668" s="29" t="s">
        <v>1489</v>
      </c>
      <c r="E668" s="29">
        <v>0</v>
      </c>
      <c r="F668" s="29"/>
      <c r="G668" s="30"/>
    </row>
    <row r="669" spans="1:14" s="3" customFormat="1" hidden="1" outlineLevel="1" x14ac:dyDescent="0.25">
      <c r="B669" s="145" t="s">
        <v>166</v>
      </c>
      <c r="C669" s="29" t="s">
        <v>1598</v>
      </c>
      <c r="D669" s="29" t="s">
        <v>1486</v>
      </c>
      <c r="E669" s="29">
        <v>0</v>
      </c>
      <c r="F669" s="29"/>
      <c r="G669" s="30"/>
    </row>
    <row r="670" spans="1:14" s="3" customFormat="1" hidden="1" outlineLevel="1" x14ac:dyDescent="0.25">
      <c r="B670" s="145" t="s">
        <v>167</v>
      </c>
      <c r="C670" s="29" t="s">
        <v>1599</v>
      </c>
      <c r="D670" s="29" t="s">
        <v>1489</v>
      </c>
      <c r="E670" s="29">
        <v>0</v>
      </c>
      <c r="F670" s="29"/>
      <c r="G670" s="30"/>
    </row>
    <row r="671" spans="1:14" s="3" customFormat="1" ht="16.2" hidden="1" outlineLevel="1" thickBot="1" x14ac:dyDescent="0.3">
      <c r="B671" s="28"/>
      <c r="C671" s="29"/>
      <c r="D671" s="29"/>
      <c r="E671" s="29"/>
      <c r="F671" s="29"/>
      <c r="G671" s="30"/>
    </row>
    <row r="672" spans="1:14" s="3" customFormat="1" ht="17.399999999999999" hidden="1" customHeight="1" outlineLevel="1" x14ac:dyDescent="0.25">
      <c r="A672" s="5"/>
      <c r="B672" s="395" t="s">
        <v>29</v>
      </c>
      <c r="C672" s="396"/>
      <c r="D672" s="396"/>
      <c r="E672" s="396"/>
      <c r="F672" s="396"/>
      <c r="G672" s="397"/>
    </row>
    <row r="673" spans="1:27" s="3" customFormat="1" hidden="1" outlineLevel="1" x14ac:dyDescent="0.25">
      <c r="B673" s="28"/>
      <c r="C673" s="29"/>
      <c r="D673" s="29"/>
      <c r="E673" s="29"/>
      <c r="F673" s="29"/>
      <c r="G673" s="30"/>
    </row>
    <row r="674" spans="1:27" s="3" customFormat="1" hidden="1" outlineLevel="1" x14ac:dyDescent="0.25">
      <c r="B674" s="28"/>
      <c r="C674" s="29"/>
      <c r="D674" s="29"/>
      <c r="E674" s="29"/>
      <c r="F674" s="29"/>
      <c r="G674" s="30"/>
    </row>
    <row r="675" spans="1:27" s="3" customFormat="1" hidden="1" outlineLevel="1" x14ac:dyDescent="0.25">
      <c r="B675" s="28" t="s">
        <v>569</v>
      </c>
      <c r="C675" s="29"/>
      <c r="D675" s="29"/>
      <c r="E675" s="29"/>
      <c r="F675" s="29"/>
      <c r="G675" s="375" t="s">
        <v>2423</v>
      </c>
    </row>
    <row r="676" spans="1:27" s="3" customFormat="1" ht="16.2" hidden="1" outlineLevel="1" thickBot="1" x14ac:dyDescent="0.3">
      <c r="B676" s="163"/>
      <c r="C676" s="164"/>
      <c r="D676" s="164"/>
      <c r="E676" s="164"/>
      <c r="F676" s="164"/>
      <c r="G676" s="165"/>
    </row>
    <row r="677" spans="1:27" s="7" customFormat="1" ht="16.2" hidden="1" outlineLevel="1" thickBot="1" x14ac:dyDescent="0.3">
      <c r="A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s="3" customFormat="1" ht="17.399999999999999" customHeight="1" collapsed="1" thickBot="1" x14ac:dyDescent="0.3">
      <c r="A678" s="5"/>
      <c r="B678" s="15" t="s">
        <v>1279</v>
      </c>
      <c r="C678" s="16" t="s">
        <v>1939</v>
      </c>
      <c r="D678" s="17" t="s">
        <v>1281</v>
      </c>
      <c r="E678" s="133" t="s">
        <v>570</v>
      </c>
      <c r="F678" s="17" t="s">
        <v>1282</v>
      </c>
      <c r="G678" s="18" t="s">
        <v>1940</v>
      </c>
    </row>
    <row r="679" spans="1:27" s="3" customFormat="1" ht="17.399999999999999" hidden="1" customHeight="1" outlineLevel="1" x14ac:dyDescent="0.25">
      <c r="A679" s="5"/>
      <c r="B679" s="19" t="s">
        <v>1284</v>
      </c>
      <c r="C679" s="20" t="s">
        <v>1285</v>
      </c>
      <c r="D679" s="21" t="s">
        <v>1286</v>
      </c>
      <c r="E679" s="20" t="s">
        <v>1941</v>
      </c>
      <c r="F679" s="21" t="s">
        <v>1288</v>
      </c>
      <c r="G679" s="22" t="s">
        <v>1354</v>
      </c>
    </row>
    <row r="680" spans="1:27" s="3" customFormat="1" ht="17.399999999999999" hidden="1" customHeight="1" outlineLevel="1" thickBot="1" x14ac:dyDescent="0.3">
      <c r="A680" s="5"/>
      <c r="B680" s="19" t="s">
        <v>1290</v>
      </c>
      <c r="C680" s="23" t="s">
        <v>1291</v>
      </c>
      <c r="D680" s="21" t="s">
        <v>1292</v>
      </c>
      <c r="E680" s="23">
        <v>5</v>
      </c>
      <c r="F680" s="21" t="s">
        <v>1293</v>
      </c>
      <c r="G680" s="24" t="s">
        <v>1294</v>
      </c>
    </row>
    <row r="681" spans="1:27" s="3" customFormat="1" ht="17.399999999999999" hidden="1" customHeight="1" outlineLevel="1" x14ac:dyDescent="0.25">
      <c r="A681" s="5"/>
      <c r="B681" s="395" t="s">
        <v>1</v>
      </c>
      <c r="C681" s="396"/>
      <c r="D681" s="396"/>
      <c r="E681" s="396"/>
      <c r="F681" s="396"/>
      <c r="G681" s="397"/>
    </row>
    <row r="682" spans="1:27" s="3" customFormat="1" ht="17.399999999999999" hidden="1" customHeight="1" outlineLevel="1" x14ac:dyDescent="0.25">
      <c r="A682" s="5"/>
      <c r="B682" s="25" t="s">
        <v>2</v>
      </c>
      <c r="C682" s="26" t="s">
        <v>3</v>
      </c>
      <c r="D682" s="26" t="s">
        <v>4</v>
      </c>
      <c r="E682" s="26" t="s">
        <v>5</v>
      </c>
      <c r="F682" s="26"/>
      <c r="G682" s="27" t="s">
        <v>6</v>
      </c>
    </row>
    <row r="683" spans="1:27" s="4" customFormat="1" ht="17.399999999999999" hidden="1" customHeight="1" outlineLevel="1" x14ac:dyDescent="0.35">
      <c r="A683" s="5"/>
      <c r="B683" s="57" t="s">
        <v>7</v>
      </c>
      <c r="C683" s="58" t="s">
        <v>1468</v>
      </c>
      <c r="D683" s="58" t="s">
        <v>1469</v>
      </c>
      <c r="E683" s="58">
        <v>0</v>
      </c>
      <c r="F683" s="58" t="s">
        <v>1470</v>
      </c>
      <c r="G683" s="59" t="s">
        <v>1471</v>
      </c>
      <c r="J683" s="4" t="s">
        <v>10</v>
      </c>
      <c r="K683" s="4" t="s">
        <v>173</v>
      </c>
      <c r="L683" s="4" t="s">
        <v>9</v>
      </c>
      <c r="M683" s="4" t="s">
        <v>9</v>
      </c>
      <c r="N683" s="4">
        <v>1112</v>
      </c>
    </row>
    <row r="684" spans="1:27" s="4" customFormat="1" ht="17.399999999999999" hidden="1" customHeight="1" outlineLevel="1" x14ac:dyDescent="0.35">
      <c r="A684" s="5"/>
      <c r="B684" s="57" t="s">
        <v>11</v>
      </c>
      <c r="C684" s="58" t="s">
        <v>1472</v>
      </c>
      <c r="D684" s="58" t="s">
        <v>1469</v>
      </c>
      <c r="E684" s="58">
        <v>0</v>
      </c>
      <c r="F684" s="58" t="s">
        <v>1470</v>
      </c>
      <c r="G684" s="59" t="s">
        <v>1473</v>
      </c>
      <c r="J684" s="4" t="s">
        <v>12</v>
      </c>
      <c r="K684" s="4" t="s">
        <v>174</v>
      </c>
      <c r="L684" s="4" t="s">
        <v>175</v>
      </c>
      <c r="M684" s="4" t="s">
        <v>176</v>
      </c>
      <c r="N684" s="4">
        <v>1700</v>
      </c>
    </row>
    <row r="685" spans="1:27" s="4" customFormat="1" ht="17.399999999999999" hidden="1" customHeight="1" outlineLevel="1" x14ac:dyDescent="0.35">
      <c r="A685" s="5"/>
      <c r="B685" s="60" t="s">
        <v>13</v>
      </c>
      <c r="C685" s="61" t="s">
        <v>1474</v>
      </c>
      <c r="D685" s="61" t="s">
        <v>1469</v>
      </c>
      <c r="E685" s="61">
        <v>0</v>
      </c>
      <c r="F685" s="61" t="s">
        <v>1470</v>
      </c>
      <c r="G685" s="62"/>
      <c r="H685" s="63"/>
      <c r="J685" s="4" t="s">
        <v>10</v>
      </c>
      <c r="K685" s="4" t="s">
        <v>173</v>
      </c>
      <c r="L685" s="4" t="s">
        <v>9</v>
      </c>
      <c r="M685" s="4" t="s">
        <v>9</v>
      </c>
      <c r="N685" s="4">
        <v>2534</v>
      </c>
    </row>
    <row r="686" spans="1:27" s="4" customFormat="1" ht="17.399999999999999" hidden="1" customHeight="1" outlineLevel="1" x14ac:dyDescent="0.35">
      <c r="A686" s="5"/>
      <c r="B686" s="60" t="s">
        <v>14</v>
      </c>
      <c r="C686" s="61" t="s">
        <v>1475</v>
      </c>
      <c r="D686" s="61" t="s">
        <v>1469</v>
      </c>
      <c r="E686" s="61">
        <v>0</v>
      </c>
      <c r="F686" s="61" t="s">
        <v>1476</v>
      </c>
      <c r="G686" s="62" t="s">
        <v>1477</v>
      </c>
      <c r="H686" s="63"/>
      <c r="J686" s="4" t="s">
        <v>10</v>
      </c>
      <c r="K686" s="4" t="s">
        <v>173</v>
      </c>
      <c r="L686" s="4" t="s">
        <v>9</v>
      </c>
      <c r="M686" s="4" t="s">
        <v>9</v>
      </c>
      <c r="N686" s="4">
        <v>2155</v>
      </c>
    </row>
    <row r="687" spans="1:27" s="4" customFormat="1" ht="17.399999999999999" hidden="1" customHeight="1" outlineLevel="1" x14ac:dyDescent="0.35">
      <c r="A687" s="5"/>
      <c r="B687" s="60" t="s">
        <v>15</v>
      </c>
      <c r="C687" s="61" t="s">
        <v>1478</v>
      </c>
      <c r="D687" s="61" t="s">
        <v>1469</v>
      </c>
      <c r="E687" s="61">
        <v>0</v>
      </c>
      <c r="F687" s="61" t="s">
        <v>1470</v>
      </c>
      <c r="G687" s="62"/>
      <c r="H687" s="63"/>
      <c r="J687" s="4" t="s">
        <v>10</v>
      </c>
      <c r="K687" s="4" t="s">
        <v>173</v>
      </c>
      <c r="L687" s="4" t="s">
        <v>9</v>
      </c>
      <c r="M687" s="4" t="s">
        <v>9</v>
      </c>
      <c r="N687" s="4">
        <v>2430</v>
      </c>
    </row>
    <row r="688" spans="1:27" s="4" customFormat="1" ht="17.399999999999999" hidden="1" customHeight="1" outlineLevel="1" x14ac:dyDescent="0.35">
      <c r="A688" s="5"/>
      <c r="B688" s="134" t="s">
        <v>17</v>
      </c>
      <c r="C688" s="135" t="s">
        <v>1483</v>
      </c>
      <c r="D688" s="135" t="s">
        <v>1469</v>
      </c>
      <c r="E688" s="65">
        <v>0</v>
      </c>
      <c r="F688" s="65" t="s">
        <v>1470</v>
      </c>
      <c r="G688" s="66" t="s">
        <v>1484</v>
      </c>
      <c r="H688" s="5"/>
      <c r="I688" s="5"/>
      <c r="J688" s="5" t="s">
        <v>10</v>
      </c>
      <c r="K688" s="5" t="s">
        <v>173</v>
      </c>
      <c r="L688" s="5" t="s">
        <v>9</v>
      </c>
      <c r="M688" s="5" t="s">
        <v>9</v>
      </c>
      <c r="N688" s="4">
        <v>1097</v>
      </c>
    </row>
    <row r="689" spans="1:14" s="3" customFormat="1" hidden="1" outlineLevel="1" x14ac:dyDescent="0.25">
      <c r="A689" s="5"/>
      <c r="B689" s="31" t="s">
        <v>160</v>
      </c>
      <c r="C689" s="20" t="s">
        <v>1588</v>
      </c>
      <c r="D689" s="20" t="s">
        <v>1469</v>
      </c>
      <c r="E689" s="20">
        <v>0</v>
      </c>
      <c r="F689" s="20"/>
      <c r="G689" s="22"/>
      <c r="J689" s="3" t="s">
        <v>10</v>
      </c>
      <c r="K689" s="3" t="s">
        <v>173</v>
      </c>
      <c r="L689" s="3" t="s">
        <v>9</v>
      </c>
      <c r="M689" s="3" t="s">
        <v>9</v>
      </c>
      <c r="N689" s="3">
        <v>1604</v>
      </c>
    </row>
    <row r="690" spans="1:14" s="3" customFormat="1" hidden="1" outlineLevel="1" x14ac:dyDescent="0.25">
      <c r="A690" s="5"/>
      <c r="B690" s="31" t="s">
        <v>162</v>
      </c>
      <c r="C690" s="20" t="s">
        <v>1589</v>
      </c>
      <c r="D690" s="20" t="s">
        <v>1469</v>
      </c>
      <c r="E690" s="20">
        <v>0</v>
      </c>
      <c r="F690" s="20"/>
      <c r="G690" s="22" t="s">
        <v>1590</v>
      </c>
    </row>
    <row r="691" spans="1:14" s="3" customFormat="1" hidden="1" outlineLevel="1" x14ac:dyDescent="0.25">
      <c r="A691" s="5"/>
      <c r="B691" s="31" t="s">
        <v>163</v>
      </c>
      <c r="C691" s="20" t="s">
        <v>1591</v>
      </c>
      <c r="D691" s="20" t="s">
        <v>1469</v>
      </c>
      <c r="E691" s="20">
        <v>0</v>
      </c>
      <c r="F691" s="20"/>
      <c r="G691" s="22" t="s">
        <v>1590</v>
      </c>
    </row>
    <row r="692" spans="1:14" s="6" customFormat="1" hidden="1" outlineLevel="1" x14ac:dyDescent="0.25">
      <c r="A692" s="5"/>
      <c r="B692" s="64"/>
      <c r="C692" s="65"/>
      <c r="D692" s="65"/>
      <c r="E692" s="65"/>
      <c r="F692" s="65"/>
      <c r="G692" s="66"/>
    </row>
    <row r="693" spans="1:14" s="6" customFormat="1" ht="16.2" hidden="1" outlineLevel="1" thickBot="1" x14ac:dyDescent="0.3">
      <c r="A693" s="5"/>
      <c r="B693" s="91"/>
      <c r="C693" s="92"/>
      <c r="D693" s="92"/>
      <c r="E693" s="92"/>
      <c r="F693" s="92"/>
      <c r="G693" s="93"/>
    </row>
    <row r="694" spans="1:14" s="6" customFormat="1" hidden="1" outlineLevel="1" x14ac:dyDescent="0.25">
      <c r="A694" s="5"/>
      <c r="B694" s="383" t="s">
        <v>18</v>
      </c>
      <c r="C694" s="384"/>
      <c r="D694" s="384"/>
      <c r="E694" s="384"/>
      <c r="F694" s="384"/>
      <c r="G694" s="385"/>
    </row>
    <row r="695" spans="1:14" s="6" customFormat="1" hidden="1" outlineLevel="1" x14ac:dyDescent="0.25">
      <c r="A695" s="5"/>
      <c r="B695" s="136" t="s">
        <v>2</v>
      </c>
      <c r="C695" s="137" t="s">
        <v>3</v>
      </c>
      <c r="D695" s="137" t="s">
        <v>4</v>
      </c>
      <c r="E695" s="137" t="s">
        <v>5</v>
      </c>
      <c r="F695" s="137"/>
      <c r="G695" s="138" t="s">
        <v>6</v>
      </c>
    </row>
    <row r="696" spans="1:14" s="3" customFormat="1" ht="17.399999999999999" hidden="1" customHeight="1" outlineLevel="1" x14ac:dyDescent="0.25">
      <c r="A696" s="5"/>
      <c r="B696" s="31" t="s">
        <v>16</v>
      </c>
      <c r="C696" s="20" t="s">
        <v>1479</v>
      </c>
      <c r="D696" s="20" t="s">
        <v>1469</v>
      </c>
      <c r="E696" s="20" t="s">
        <v>1480</v>
      </c>
      <c r="F696" s="20" t="s">
        <v>1481</v>
      </c>
      <c r="G696" s="22" t="s">
        <v>1482</v>
      </c>
      <c r="J696" s="3" t="s">
        <v>10</v>
      </c>
      <c r="N696" s="3">
        <v>1211</v>
      </c>
    </row>
    <row r="697" spans="1:14" s="3" customFormat="1" hidden="1" outlineLevel="1" x14ac:dyDescent="0.25">
      <c r="B697" s="28" t="s">
        <v>7</v>
      </c>
      <c r="C697" s="29" t="s">
        <v>1468</v>
      </c>
      <c r="D697" s="29" t="s">
        <v>1469</v>
      </c>
      <c r="E697" s="29">
        <v>0</v>
      </c>
      <c r="F697" s="29" t="s">
        <v>1470</v>
      </c>
      <c r="G697" s="30" t="s">
        <v>1471</v>
      </c>
      <c r="J697" s="3" t="s">
        <v>10</v>
      </c>
      <c r="N697" s="3">
        <v>1112</v>
      </c>
    </row>
    <row r="698" spans="1:14" s="3" customFormat="1" hidden="1" outlineLevel="1" x14ac:dyDescent="0.25">
      <c r="B698" s="28" t="s">
        <v>11</v>
      </c>
      <c r="C698" s="29" t="s">
        <v>1472</v>
      </c>
      <c r="D698" s="29" t="s">
        <v>1469</v>
      </c>
      <c r="E698" s="29">
        <v>0</v>
      </c>
      <c r="F698" s="29" t="s">
        <v>1470</v>
      </c>
      <c r="G698" s="30" t="s">
        <v>1473</v>
      </c>
      <c r="J698" s="3" t="s">
        <v>12</v>
      </c>
      <c r="N698" s="3">
        <v>1700</v>
      </c>
    </row>
    <row r="699" spans="1:14" s="3" customFormat="1" hidden="1" outlineLevel="1" x14ac:dyDescent="0.25">
      <c r="B699" s="28" t="s">
        <v>13</v>
      </c>
      <c r="C699" s="29" t="s">
        <v>1474</v>
      </c>
      <c r="D699" s="29" t="s">
        <v>1469</v>
      </c>
      <c r="E699" s="29">
        <v>0</v>
      </c>
      <c r="F699" s="29" t="s">
        <v>1470</v>
      </c>
      <c r="G699" s="30"/>
      <c r="J699" s="3" t="s">
        <v>10</v>
      </c>
      <c r="N699" s="3">
        <v>2534</v>
      </c>
    </row>
    <row r="700" spans="1:14" s="3" customFormat="1" ht="17.399999999999999" hidden="1" customHeight="1" outlineLevel="1" x14ac:dyDescent="0.25">
      <c r="A700" s="5"/>
      <c r="B700" s="31" t="s">
        <v>25</v>
      </c>
      <c r="C700" s="20" t="s">
        <v>1492</v>
      </c>
      <c r="D700" s="20" t="s">
        <v>1469</v>
      </c>
      <c r="E700" s="20">
        <v>0</v>
      </c>
      <c r="F700" s="20" t="s">
        <v>1470</v>
      </c>
      <c r="G700" s="22" t="s">
        <v>1484</v>
      </c>
      <c r="J700" s="3" t="s">
        <v>10</v>
      </c>
      <c r="N700" s="3">
        <v>2155</v>
      </c>
    </row>
    <row r="701" spans="1:14" s="3" customFormat="1" ht="17.399999999999999" hidden="1" customHeight="1" outlineLevel="1" x14ac:dyDescent="0.25">
      <c r="A701" s="5"/>
      <c r="B701" s="31" t="s">
        <v>14</v>
      </c>
      <c r="C701" s="20" t="s">
        <v>1475</v>
      </c>
      <c r="D701" s="20" t="s">
        <v>1469</v>
      </c>
      <c r="E701" s="20">
        <v>0</v>
      </c>
      <c r="F701" s="20" t="s">
        <v>1476</v>
      </c>
      <c r="G701" s="22" t="s">
        <v>1477</v>
      </c>
      <c r="J701" s="3" t="s">
        <v>10</v>
      </c>
      <c r="N701" s="3">
        <v>2430</v>
      </c>
    </row>
    <row r="702" spans="1:14" s="3" customFormat="1" ht="17.399999999999999" hidden="1" customHeight="1" outlineLevel="1" x14ac:dyDescent="0.25">
      <c r="A702" s="5"/>
      <c r="B702" s="31" t="s">
        <v>15</v>
      </c>
      <c r="C702" s="20" t="s">
        <v>1478</v>
      </c>
      <c r="D702" s="20" t="s">
        <v>1469</v>
      </c>
      <c r="E702" s="20">
        <v>0</v>
      </c>
      <c r="F702" s="20" t="s">
        <v>1470</v>
      </c>
      <c r="G702" s="22"/>
      <c r="J702" s="3" t="s">
        <v>20</v>
      </c>
      <c r="N702" s="3">
        <v>1203</v>
      </c>
    </row>
    <row r="703" spans="1:14" s="3" customFormat="1" ht="17.399999999999999" hidden="1" customHeight="1" outlineLevel="1" x14ac:dyDescent="0.25">
      <c r="A703" s="5"/>
      <c r="B703" s="159" t="s">
        <v>75</v>
      </c>
      <c r="C703" s="20" t="s">
        <v>1530</v>
      </c>
      <c r="D703" s="20" t="s">
        <v>1486</v>
      </c>
      <c r="E703" s="20">
        <v>0</v>
      </c>
      <c r="F703" s="20" t="s">
        <v>1470</v>
      </c>
      <c r="G703" s="22" t="s">
        <v>1531</v>
      </c>
      <c r="H703" s="3" t="str">
        <f t="shared" ref="H703:H712" si="2">",SUM(a.{"&amp;B703&amp;"}) as {"&amp;B703&amp;"}"</f>
        <v>,SUM(a.{当前数量}) as {当前数量}</v>
      </c>
    </row>
    <row r="704" spans="1:14" s="3" customFormat="1" ht="17.399999999999999" hidden="1" customHeight="1" outlineLevel="1" x14ac:dyDescent="0.25">
      <c r="A704" s="5"/>
      <c r="B704" s="31" t="s">
        <v>76</v>
      </c>
      <c r="C704" s="20" t="s">
        <v>1532</v>
      </c>
      <c r="D704" s="20" t="s">
        <v>1489</v>
      </c>
      <c r="E704" s="20">
        <v>0</v>
      </c>
      <c r="F704" s="20"/>
      <c r="G704" s="22"/>
      <c r="H704" s="3" t="str">
        <f t="shared" si="2"/>
        <v>,SUM(a.{开仓市值}) as {开仓市值}</v>
      </c>
    </row>
    <row r="705" spans="1:8" s="3" customFormat="1" ht="17.399999999999999" hidden="1" customHeight="1" outlineLevel="1" x14ac:dyDescent="0.25">
      <c r="A705" s="5"/>
      <c r="B705" s="81" t="s">
        <v>177</v>
      </c>
      <c r="C705" s="20" t="s">
        <v>1600</v>
      </c>
      <c r="D705" s="20" t="s">
        <v>1489</v>
      </c>
      <c r="E705" s="20">
        <v>0</v>
      </c>
      <c r="F705" s="20" t="s">
        <v>1470</v>
      </c>
      <c r="G705" s="22"/>
      <c r="H705" s="3" t="str">
        <f t="shared" si="2"/>
        <v>,SUM(a.{开仓费用}) as {开仓费用}</v>
      </c>
    </row>
    <row r="706" spans="1:8" s="3" customFormat="1" ht="17.399999999999999" hidden="1" customHeight="1" outlineLevel="1" x14ac:dyDescent="0.25">
      <c r="A706" s="5"/>
      <c r="B706" s="31" t="s">
        <v>77</v>
      </c>
      <c r="C706" s="20" t="s">
        <v>1533</v>
      </c>
      <c r="D706" s="20" t="s">
        <v>1486</v>
      </c>
      <c r="E706" s="20">
        <v>0</v>
      </c>
      <c r="F706" s="20" t="s">
        <v>1470</v>
      </c>
      <c r="G706" s="22"/>
      <c r="H706" s="3" t="str">
        <f t="shared" si="2"/>
        <v>,SUM(a.{平仓数量}) as {平仓数量}</v>
      </c>
    </row>
    <row r="707" spans="1:8" s="3" customFormat="1" ht="17.399999999999999" hidden="1" customHeight="1" outlineLevel="1" x14ac:dyDescent="0.25">
      <c r="A707" s="5"/>
      <c r="B707" s="31" t="s">
        <v>78</v>
      </c>
      <c r="C707" s="20" t="s">
        <v>1534</v>
      </c>
      <c r="D707" s="20" t="s">
        <v>1489</v>
      </c>
      <c r="E707" s="20">
        <v>0</v>
      </c>
      <c r="F707" s="20"/>
      <c r="G707" s="22"/>
      <c r="H707" s="3" t="str">
        <f t="shared" si="2"/>
        <v>,SUM(a.{平仓市值}) as {平仓市值}</v>
      </c>
    </row>
    <row r="708" spans="1:8" s="3" customFormat="1" ht="17.399999999999999" hidden="1" customHeight="1" outlineLevel="1" x14ac:dyDescent="0.25">
      <c r="A708" s="5"/>
      <c r="B708" s="81" t="s">
        <v>178</v>
      </c>
      <c r="C708" s="20" t="s">
        <v>1601</v>
      </c>
      <c r="D708" s="20" t="s">
        <v>1489</v>
      </c>
      <c r="E708" s="20">
        <v>0</v>
      </c>
      <c r="F708" s="20" t="s">
        <v>1470</v>
      </c>
      <c r="G708" s="22"/>
      <c r="H708" s="3" t="str">
        <f t="shared" si="2"/>
        <v>,SUM(a.{平仓费用}) as {平仓费用}</v>
      </c>
    </row>
    <row r="709" spans="1:8" s="3" customFormat="1" hidden="1" outlineLevel="1" x14ac:dyDescent="0.25">
      <c r="B709" s="159" t="s">
        <v>179</v>
      </c>
      <c r="C709" s="29" t="s">
        <v>1602</v>
      </c>
      <c r="D709" s="29" t="s">
        <v>1486</v>
      </c>
      <c r="E709" s="29">
        <v>0</v>
      </c>
      <c r="F709" s="29" t="s">
        <v>1470</v>
      </c>
      <c r="G709" s="30"/>
      <c r="H709" s="3" t="str">
        <f t="shared" si="2"/>
        <v>,SUM(a.{未平仓数量}) as {未平仓数量}</v>
      </c>
    </row>
    <row r="710" spans="1:8" s="3" customFormat="1" hidden="1" outlineLevel="1" x14ac:dyDescent="0.25">
      <c r="B710" s="159" t="s">
        <v>180</v>
      </c>
      <c r="C710" s="29" t="s">
        <v>1603</v>
      </c>
      <c r="D710" s="29" t="s">
        <v>1489</v>
      </c>
      <c r="E710" s="29">
        <v>0</v>
      </c>
      <c r="F710" s="29" t="s">
        <v>1470</v>
      </c>
      <c r="G710" s="30"/>
      <c r="H710" s="3" t="str">
        <f t="shared" si="2"/>
        <v>,SUM(a.{未平仓市值}) as {未平仓市值}</v>
      </c>
    </row>
    <row r="711" spans="1:8" s="3" customFormat="1" hidden="1" outlineLevel="1" x14ac:dyDescent="0.25">
      <c r="B711" s="81" t="s">
        <v>24</v>
      </c>
      <c r="C711" s="23" t="s">
        <v>1491</v>
      </c>
      <c r="D711" s="23" t="s">
        <v>1489</v>
      </c>
      <c r="E711" s="23">
        <v>0</v>
      </c>
      <c r="F711" s="23" t="s">
        <v>1470</v>
      </c>
      <c r="G711" s="24"/>
      <c r="H711" s="3" t="str">
        <f t="shared" si="2"/>
        <v>,SUM(a.{实现盈亏}) as {实现盈亏}</v>
      </c>
    </row>
    <row r="712" spans="1:8" s="3" customFormat="1" hidden="1" outlineLevel="1" x14ac:dyDescent="0.25">
      <c r="B712" s="81" t="s">
        <v>58</v>
      </c>
      <c r="C712" s="23" t="s">
        <v>1522</v>
      </c>
      <c r="D712" s="23" t="s">
        <v>1489</v>
      </c>
      <c r="E712" s="23">
        <v>0</v>
      </c>
      <c r="F712" s="23" t="s">
        <v>1470</v>
      </c>
      <c r="G712" s="24"/>
      <c r="H712" s="3" t="str">
        <f t="shared" si="2"/>
        <v>,SUM(a.{隔夜盈亏}) as {隔夜盈亏}</v>
      </c>
    </row>
    <row r="713" spans="1:8" s="3" customFormat="1" ht="16.2" hidden="1" outlineLevel="1" thickBot="1" x14ac:dyDescent="0.3">
      <c r="B713" s="28"/>
      <c r="C713" s="29"/>
      <c r="D713" s="29"/>
      <c r="E713" s="29"/>
      <c r="F713" s="29"/>
      <c r="G713" s="30"/>
    </row>
    <row r="714" spans="1:8" s="3" customFormat="1" ht="17.399999999999999" hidden="1" customHeight="1" outlineLevel="1" x14ac:dyDescent="0.25">
      <c r="A714" s="5"/>
      <c r="B714" s="395" t="s">
        <v>29</v>
      </c>
      <c r="C714" s="396"/>
      <c r="D714" s="396"/>
      <c r="E714" s="396"/>
      <c r="F714" s="396"/>
      <c r="G714" s="397"/>
    </row>
    <row r="715" spans="1:8" s="3" customFormat="1" hidden="1" outlineLevel="1" x14ac:dyDescent="0.25">
      <c r="B715" s="28"/>
      <c r="C715" s="29"/>
      <c r="D715" s="29"/>
      <c r="E715" s="29"/>
      <c r="F715" s="29"/>
      <c r="G715" s="30"/>
    </row>
    <row r="716" spans="1:8" s="3" customFormat="1" hidden="1" outlineLevel="1" x14ac:dyDescent="0.25">
      <c r="B716" s="28"/>
      <c r="C716" s="29"/>
      <c r="D716" s="29"/>
      <c r="E716" s="29"/>
      <c r="F716" s="29"/>
      <c r="G716" s="30"/>
    </row>
    <row r="717" spans="1:8" s="3" customFormat="1" hidden="1" outlineLevel="1" x14ac:dyDescent="0.25">
      <c r="B717" s="28"/>
      <c r="C717" s="29"/>
      <c r="D717" s="29"/>
      <c r="E717" s="29"/>
      <c r="F717" s="29"/>
      <c r="G717" s="30"/>
    </row>
    <row r="718" spans="1:8" s="3" customFormat="1" hidden="1" outlineLevel="1" x14ac:dyDescent="0.25">
      <c r="B718" s="28" t="s">
        <v>571</v>
      </c>
      <c r="C718" s="29"/>
      <c r="D718" s="29"/>
      <c r="E718" s="29"/>
      <c r="F718" s="29"/>
      <c r="G718" s="375" t="s">
        <v>2424</v>
      </c>
    </row>
    <row r="719" spans="1:8" s="3" customFormat="1" ht="16.2" hidden="1" outlineLevel="1" thickBot="1" x14ac:dyDescent="0.3">
      <c r="B719" s="163"/>
      <c r="C719" s="164"/>
      <c r="D719" s="164"/>
      <c r="E719" s="164"/>
      <c r="F719" s="164"/>
      <c r="G719" s="165"/>
    </row>
    <row r="720" spans="1:8" s="3" customFormat="1" ht="16.2" hidden="1" outlineLevel="1" thickBot="1" x14ac:dyDescent="0.3"/>
    <row r="721" spans="1:14" s="3" customFormat="1" ht="17.399999999999999" customHeight="1" collapsed="1" thickBot="1" x14ac:dyDescent="0.3">
      <c r="A721" s="5"/>
      <c r="B721" s="15" t="s">
        <v>1279</v>
      </c>
      <c r="C721" s="16" t="s">
        <v>1942</v>
      </c>
      <c r="D721" s="17" t="s">
        <v>1281</v>
      </c>
      <c r="E721" s="133" t="s">
        <v>572</v>
      </c>
      <c r="F721" s="17" t="s">
        <v>1282</v>
      </c>
      <c r="G721" s="18" t="s">
        <v>1943</v>
      </c>
    </row>
    <row r="722" spans="1:14" s="3" customFormat="1" ht="17.399999999999999" hidden="1" customHeight="1" outlineLevel="1" x14ac:dyDescent="0.25">
      <c r="A722" s="5"/>
      <c r="B722" s="19" t="s">
        <v>1284</v>
      </c>
      <c r="C722" s="20" t="s">
        <v>1285</v>
      </c>
      <c r="D722" s="21" t="s">
        <v>1286</v>
      </c>
      <c r="E722" s="20" t="s">
        <v>1944</v>
      </c>
      <c r="F722" s="21" t="s">
        <v>1288</v>
      </c>
      <c r="G722" s="22" t="s">
        <v>1358</v>
      </c>
    </row>
    <row r="723" spans="1:14" s="3" customFormat="1" ht="17.399999999999999" hidden="1" customHeight="1" outlineLevel="1" thickBot="1" x14ac:dyDescent="0.3">
      <c r="A723" s="5"/>
      <c r="B723" s="19" t="s">
        <v>1290</v>
      </c>
      <c r="C723" s="23" t="s">
        <v>1291</v>
      </c>
      <c r="D723" s="21" t="s">
        <v>1292</v>
      </c>
      <c r="E723" s="23">
        <v>5</v>
      </c>
      <c r="F723" s="21" t="s">
        <v>1293</v>
      </c>
      <c r="G723" s="24" t="s">
        <v>1294</v>
      </c>
    </row>
    <row r="724" spans="1:14" s="3" customFormat="1" ht="17.399999999999999" hidden="1" customHeight="1" outlineLevel="1" x14ac:dyDescent="0.25">
      <c r="A724" s="5"/>
      <c r="B724" s="395" t="s">
        <v>1</v>
      </c>
      <c r="C724" s="396"/>
      <c r="D724" s="396"/>
      <c r="E724" s="396"/>
      <c r="F724" s="396"/>
      <c r="G724" s="397"/>
    </row>
    <row r="725" spans="1:14" s="3" customFormat="1" ht="17.399999999999999" hidden="1" customHeight="1" outlineLevel="1" x14ac:dyDescent="0.25">
      <c r="A725" s="5"/>
      <c r="B725" s="25" t="s">
        <v>2</v>
      </c>
      <c r="C725" s="26" t="s">
        <v>3</v>
      </c>
      <c r="D725" s="26" t="s">
        <v>4</v>
      </c>
      <c r="E725" s="26" t="s">
        <v>5</v>
      </c>
      <c r="F725" s="26"/>
      <c r="G725" s="27" t="s">
        <v>6</v>
      </c>
    </row>
    <row r="726" spans="1:14" s="4" customFormat="1" ht="17.399999999999999" hidden="1" customHeight="1" outlineLevel="1" x14ac:dyDescent="0.35">
      <c r="A726" s="5"/>
      <c r="B726" s="57" t="s">
        <v>7</v>
      </c>
      <c r="C726" s="58" t="s">
        <v>1468</v>
      </c>
      <c r="D726" s="58" t="s">
        <v>1469</v>
      </c>
      <c r="E726" s="58">
        <v>0</v>
      </c>
      <c r="F726" s="58" t="s">
        <v>1470</v>
      </c>
      <c r="G726" s="59" t="s">
        <v>1471</v>
      </c>
      <c r="J726" s="4" t="s">
        <v>10</v>
      </c>
      <c r="K726" s="4" t="s">
        <v>173</v>
      </c>
      <c r="L726" s="4" t="s">
        <v>9</v>
      </c>
      <c r="M726" s="4" t="s">
        <v>9</v>
      </c>
      <c r="N726" s="4">
        <v>1112</v>
      </c>
    </row>
    <row r="727" spans="1:14" s="4" customFormat="1" ht="17.399999999999999" hidden="1" customHeight="1" outlineLevel="1" x14ac:dyDescent="0.35">
      <c r="A727" s="5"/>
      <c r="B727" s="57" t="s">
        <v>11</v>
      </c>
      <c r="C727" s="58" t="s">
        <v>1472</v>
      </c>
      <c r="D727" s="58" t="s">
        <v>1469</v>
      </c>
      <c r="E727" s="58">
        <v>0</v>
      </c>
      <c r="F727" s="58" t="s">
        <v>1470</v>
      </c>
      <c r="G727" s="59" t="s">
        <v>1473</v>
      </c>
      <c r="J727" s="4" t="s">
        <v>12</v>
      </c>
      <c r="K727" s="4" t="s">
        <v>174</v>
      </c>
      <c r="L727" s="4" t="s">
        <v>175</v>
      </c>
      <c r="M727" s="4" t="s">
        <v>176</v>
      </c>
      <c r="N727" s="4">
        <v>1700</v>
      </c>
    </row>
    <row r="728" spans="1:14" s="4" customFormat="1" ht="17.399999999999999" hidden="1" customHeight="1" outlineLevel="1" x14ac:dyDescent="0.35">
      <c r="A728" s="5"/>
      <c r="B728" s="60" t="s">
        <v>13</v>
      </c>
      <c r="C728" s="61" t="s">
        <v>1474</v>
      </c>
      <c r="D728" s="61" t="s">
        <v>1469</v>
      </c>
      <c r="E728" s="61">
        <v>0</v>
      </c>
      <c r="F728" s="61" t="s">
        <v>1470</v>
      </c>
      <c r="G728" s="62"/>
      <c r="H728" s="63"/>
      <c r="J728" s="4" t="s">
        <v>10</v>
      </c>
      <c r="K728" s="4" t="s">
        <v>173</v>
      </c>
      <c r="L728" s="4" t="s">
        <v>9</v>
      </c>
      <c r="M728" s="4" t="s">
        <v>9</v>
      </c>
      <c r="N728" s="4">
        <v>2534</v>
      </c>
    </row>
    <row r="729" spans="1:14" s="4" customFormat="1" ht="17.399999999999999" hidden="1" customHeight="1" outlineLevel="1" x14ac:dyDescent="0.35">
      <c r="A729" s="5"/>
      <c r="B729" s="60" t="s">
        <v>14</v>
      </c>
      <c r="C729" s="61" t="s">
        <v>1475</v>
      </c>
      <c r="D729" s="61" t="s">
        <v>1469</v>
      </c>
      <c r="E729" s="61">
        <v>0</v>
      </c>
      <c r="F729" s="61" t="s">
        <v>1476</v>
      </c>
      <c r="G729" s="62" t="s">
        <v>1477</v>
      </c>
      <c r="H729" s="63"/>
      <c r="J729" s="4" t="s">
        <v>10</v>
      </c>
      <c r="K729" s="4" t="s">
        <v>173</v>
      </c>
      <c r="L729" s="4" t="s">
        <v>9</v>
      </c>
      <c r="M729" s="4" t="s">
        <v>9</v>
      </c>
      <c r="N729" s="4">
        <v>2155</v>
      </c>
    </row>
    <row r="730" spans="1:14" s="4" customFormat="1" ht="17.399999999999999" hidden="1" customHeight="1" outlineLevel="1" x14ac:dyDescent="0.35">
      <c r="A730" s="5"/>
      <c r="B730" s="60" t="s">
        <v>15</v>
      </c>
      <c r="C730" s="61" t="s">
        <v>1478</v>
      </c>
      <c r="D730" s="61" t="s">
        <v>1469</v>
      </c>
      <c r="E730" s="61">
        <v>0</v>
      </c>
      <c r="F730" s="61" t="s">
        <v>1470</v>
      </c>
      <c r="G730" s="62"/>
      <c r="H730" s="63"/>
      <c r="J730" s="4" t="s">
        <v>10</v>
      </c>
      <c r="K730" s="4" t="s">
        <v>173</v>
      </c>
      <c r="L730" s="4" t="s">
        <v>9</v>
      </c>
      <c r="M730" s="4" t="s">
        <v>9</v>
      </c>
      <c r="N730" s="4">
        <v>2430</v>
      </c>
    </row>
    <row r="731" spans="1:14" s="4" customFormat="1" ht="17.399999999999999" hidden="1" customHeight="1" outlineLevel="1" x14ac:dyDescent="0.35">
      <c r="A731" s="5"/>
      <c r="B731" s="134" t="s">
        <v>17</v>
      </c>
      <c r="C731" s="135" t="s">
        <v>1483</v>
      </c>
      <c r="D731" s="135" t="s">
        <v>1469</v>
      </c>
      <c r="E731" s="65">
        <v>0</v>
      </c>
      <c r="F731" s="65" t="s">
        <v>1470</v>
      </c>
      <c r="G731" s="66" t="s">
        <v>1484</v>
      </c>
      <c r="H731" s="5"/>
      <c r="I731" s="5"/>
      <c r="J731" s="5" t="s">
        <v>10</v>
      </c>
      <c r="K731" s="5" t="s">
        <v>173</v>
      </c>
      <c r="L731" s="5" t="s">
        <v>9</v>
      </c>
      <c r="M731" s="5" t="s">
        <v>9</v>
      </c>
      <c r="N731" s="4">
        <v>1097</v>
      </c>
    </row>
    <row r="732" spans="1:14" s="3" customFormat="1" hidden="1" outlineLevel="1" x14ac:dyDescent="0.25">
      <c r="A732" s="5"/>
      <c r="B732" s="31" t="s">
        <v>160</v>
      </c>
      <c r="C732" s="20" t="s">
        <v>1588</v>
      </c>
      <c r="D732" s="20" t="s">
        <v>1469</v>
      </c>
      <c r="E732" s="20">
        <v>0</v>
      </c>
      <c r="F732" s="20"/>
      <c r="G732" s="22"/>
      <c r="J732" s="3" t="s">
        <v>10</v>
      </c>
      <c r="K732" s="3" t="s">
        <v>173</v>
      </c>
      <c r="L732" s="3" t="s">
        <v>9</v>
      </c>
      <c r="M732" s="3" t="s">
        <v>9</v>
      </c>
      <c r="N732" s="3">
        <v>1604</v>
      </c>
    </row>
    <row r="733" spans="1:14" s="3" customFormat="1" ht="17.399999999999999" hidden="1" customHeight="1" outlineLevel="1" x14ac:dyDescent="0.25">
      <c r="A733" s="5"/>
      <c r="B733" s="64" t="s">
        <v>73</v>
      </c>
      <c r="C733" s="65" t="s">
        <v>1528</v>
      </c>
      <c r="D733" s="65" t="s">
        <v>1469</v>
      </c>
      <c r="E733" s="65" t="s">
        <v>1480</v>
      </c>
      <c r="F733" s="65" t="s">
        <v>1481</v>
      </c>
      <c r="G733" s="66"/>
      <c r="J733" s="3" t="s">
        <v>10</v>
      </c>
      <c r="K733" s="3" t="s">
        <v>173</v>
      </c>
      <c r="L733" s="3" t="s">
        <v>9</v>
      </c>
      <c r="M733" s="3" t="s">
        <v>9</v>
      </c>
      <c r="N733" s="3">
        <v>1767</v>
      </c>
    </row>
    <row r="734" spans="1:14" s="3" customFormat="1" ht="17.399999999999999" hidden="1" customHeight="1" outlineLevel="1" thickBot="1" x14ac:dyDescent="0.3">
      <c r="A734" s="5"/>
      <c r="B734" s="91" t="s">
        <v>74</v>
      </c>
      <c r="C734" s="92" t="s">
        <v>1529</v>
      </c>
      <c r="D734" s="92" t="s">
        <v>1469</v>
      </c>
      <c r="E734" s="92" t="s">
        <v>1480</v>
      </c>
      <c r="F734" s="92" t="s">
        <v>1481</v>
      </c>
      <c r="G734" s="93"/>
      <c r="J734" s="3" t="s">
        <v>10</v>
      </c>
      <c r="K734" s="3" t="s">
        <v>173</v>
      </c>
      <c r="L734" s="3" t="s">
        <v>9</v>
      </c>
      <c r="M734" s="3" t="s">
        <v>9</v>
      </c>
      <c r="N734" s="3">
        <v>1713</v>
      </c>
    </row>
    <row r="735" spans="1:14" s="3" customFormat="1" ht="17.399999999999999" hidden="1" customHeight="1" outlineLevel="1" x14ac:dyDescent="0.25">
      <c r="A735" s="5"/>
      <c r="B735" s="383" t="s">
        <v>18</v>
      </c>
      <c r="C735" s="384"/>
      <c r="D735" s="384"/>
      <c r="E735" s="384"/>
      <c r="F735" s="384"/>
      <c r="G735" s="385"/>
    </row>
    <row r="736" spans="1:14" s="3" customFormat="1" ht="17.399999999999999" hidden="1" customHeight="1" outlineLevel="1" x14ac:dyDescent="0.25">
      <c r="A736" s="5"/>
      <c r="B736" s="94" t="s">
        <v>2</v>
      </c>
      <c r="C736" s="95" t="s">
        <v>3</v>
      </c>
      <c r="D736" s="95" t="s">
        <v>4</v>
      </c>
      <c r="E736" s="95" t="s">
        <v>5</v>
      </c>
      <c r="F736" s="95"/>
      <c r="G736" s="96" t="s">
        <v>6</v>
      </c>
    </row>
    <row r="737" spans="1:14" s="3" customFormat="1" ht="17.399999999999999" hidden="1" customHeight="1" outlineLevel="1" x14ac:dyDescent="0.25">
      <c r="A737" s="5"/>
      <c r="B737" s="31" t="s">
        <v>16</v>
      </c>
      <c r="C737" s="20" t="s">
        <v>1479</v>
      </c>
      <c r="D737" s="20" t="s">
        <v>1469</v>
      </c>
      <c r="E737" s="20" t="s">
        <v>1480</v>
      </c>
      <c r="F737" s="20" t="s">
        <v>1481</v>
      </c>
      <c r="G737" s="22" t="s">
        <v>1482</v>
      </c>
      <c r="J737" s="3" t="s">
        <v>10</v>
      </c>
      <c r="K737" s="3" t="s">
        <v>173</v>
      </c>
      <c r="L737" s="3" t="s">
        <v>9</v>
      </c>
      <c r="M737" s="3" t="s">
        <v>9</v>
      </c>
      <c r="N737" s="3">
        <v>1211</v>
      </c>
    </row>
    <row r="738" spans="1:14" s="3" customFormat="1" hidden="1" outlineLevel="1" x14ac:dyDescent="0.25">
      <c r="B738" s="28" t="s">
        <v>7</v>
      </c>
      <c r="C738" s="29" t="s">
        <v>1468</v>
      </c>
      <c r="D738" s="29" t="s">
        <v>1469</v>
      </c>
      <c r="E738" s="29">
        <v>0</v>
      </c>
      <c r="F738" s="29" t="s">
        <v>1470</v>
      </c>
      <c r="G738" s="30" t="s">
        <v>1471</v>
      </c>
      <c r="J738" s="3" t="s">
        <v>10</v>
      </c>
      <c r="K738" s="3" t="s">
        <v>173</v>
      </c>
      <c r="L738" s="3" t="s">
        <v>9</v>
      </c>
      <c r="M738" s="3" t="s">
        <v>9</v>
      </c>
      <c r="N738" s="3">
        <v>1112</v>
      </c>
    </row>
    <row r="739" spans="1:14" s="3" customFormat="1" hidden="1" outlineLevel="1" x14ac:dyDescent="0.25">
      <c r="B739" s="28" t="s">
        <v>11</v>
      </c>
      <c r="C739" s="29" t="s">
        <v>1472</v>
      </c>
      <c r="D739" s="29" t="s">
        <v>1469</v>
      </c>
      <c r="E739" s="29">
        <v>0</v>
      </c>
      <c r="F739" s="29" t="s">
        <v>1470</v>
      </c>
      <c r="G739" s="30" t="s">
        <v>1473</v>
      </c>
      <c r="J739" s="3" t="s">
        <v>12</v>
      </c>
      <c r="K739" s="3" t="s">
        <v>174</v>
      </c>
      <c r="L739" s="3" t="s">
        <v>175</v>
      </c>
      <c r="M739" s="3" t="s">
        <v>176</v>
      </c>
      <c r="N739" s="3">
        <v>1700</v>
      </c>
    </row>
    <row r="740" spans="1:14" s="3" customFormat="1" hidden="1" outlineLevel="1" x14ac:dyDescent="0.25">
      <c r="B740" s="28" t="s">
        <v>13</v>
      </c>
      <c r="C740" s="29" t="s">
        <v>1474</v>
      </c>
      <c r="D740" s="29" t="s">
        <v>1469</v>
      </c>
      <c r="E740" s="29">
        <v>0</v>
      </c>
      <c r="F740" s="29" t="s">
        <v>1470</v>
      </c>
      <c r="G740" s="30"/>
      <c r="J740" s="3" t="s">
        <v>10</v>
      </c>
      <c r="K740" s="3" t="s">
        <v>173</v>
      </c>
      <c r="L740" s="3" t="s">
        <v>9</v>
      </c>
      <c r="M740" s="3" t="s">
        <v>9</v>
      </c>
      <c r="N740" s="3">
        <v>2534</v>
      </c>
    </row>
    <row r="741" spans="1:14" s="3" customFormat="1" hidden="1" outlineLevel="1" x14ac:dyDescent="0.25">
      <c r="B741" s="35" t="s">
        <v>25</v>
      </c>
      <c r="C741" s="36" t="s">
        <v>1492</v>
      </c>
      <c r="D741" s="36" t="s">
        <v>1469</v>
      </c>
      <c r="E741" s="36">
        <v>0</v>
      </c>
      <c r="F741" s="36" t="s">
        <v>1470</v>
      </c>
      <c r="G741" s="37" t="s">
        <v>1484</v>
      </c>
      <c r="J741" s="3" t="s">
        <v>10</v>
      </c>
      <c r="K741" s="3" t="s">
        <v>173</v>
      </c>
      <c r="L741" s="3" t="s">
        <v>9</v>
      </c>
      <c r="M741" s="3" t="s">
        <v>9</v>
      </c>
      <c r="N741" s="3">
        <v>2155</v>
      </c>
    </row>
    <row r="742" spans="1:14" s="3" customFormat="1" hidden="1" outlineLevel="1" x14ac:dyDescent="0.25">
      <c r="B742" s="28" t="s">
        <v>14</v>
      </c>
      <c r="C742" s="29" t="s">
        <v>1475</v>
      </c>
      <c r="D742" s="29" t="s">
        <v>1469</v>
      </c>
      <c r="E742" s="29">
        <v>0</v>
      </c>
      <c r="F742" s="29" t="s">
        <v>1476</v>
      </c>
      <c r="G742" s="30" t="s">
        <v>1477</v>
      </c>
      <c r="J742" s="3" t="s">
        <v>10</v>
      </c>
      <c r="K742" s="3" t="s">
        <v>173</v>
      </c>
      <c r="L742" s="3" t="s">
        <v>9</v>
      </c>
      <c r="M742" s="3" t="s">
        <v>9</v>
      </c>
      <c r="N742" s="3">
        <v>2430</v>
      </c>
    </row>
    <row r="743" spans="1:14" s="3" customFormat="1" hidden="1" outlineLevel="1" x14ac:dyDescent="0.25">
      <c r="B743" s="28" t="s">
        <v>15</v>
      </c>
      <c r="C743" s="29" t="s">
        <v>1478</v>
      </c>
      <c r="D743" s="29" t="s">
        <v>1469</v>
      </c>
      <c r="E743" s="29">
        <v>0</v>
      </c>
      <c r="F743" s="29" t="s">
        <v>1470</v>
      </c>
      <c r="G743" s="30"/>
      <c r="J743" s="3" t="s">
        <v>20</v>
      </c>
      <c r="K743" s="3" t="s">
        <v>445</v>
      </c>
      <c r="L743" s="3" t="s">
        <v>446</v>
      </c>
      <c r="M743" s="3" t="s">
        <v>446</v>
      </c>
      <c r="N743" s="3">
        <v>1203</v>
      </c>
    </row>
    <row r="744" spans="1:14" s="3" customFormat="1" hidden="1" outlineLevel="1" x14ac:dyDescent="0.25">
      <c r="B744" s="38" t="s">
        <v>19</v>
      </c>
      <c r="C744" s="39" t="s">
        <v>1485</v>
      </c>
      <c r="D744" s="39" t="s">
        <v>1486</v>
      </c>
      <c r="E744" s="39">
        <v>0</v>
      </c>
      <c r="F744" s="39"/>
      <c r="G744" s="40"/>
      <c r="J744" s="3" t="s">
        <v>20</v>
      </c>
      <c r="K744" s="3" t="s">
        <v>445</v>
      </c>
      <c r="L744" s="3" t="s">
        <v>446</v>
      </c>
      <c r="M744" s="3" t="s">
        <v>446</v>
      </c>
      <c r="N744" s="3">
        <v>1689</v>
      </c>
    </row>
    <row r="745" spans="1:14" s="3" customFormat="1" hidden="1" outlineLevel="1" x14ac:dyDescent="0.25">
      <c r="B745" s="28" t="s">
        <v>21</v>
      </c>
      <c r="C745" s="29" t="s">
        <v>1487</v>
      </c>
      <c r="D745" s="29" t="s">
        <v>1486</v>
      </c>
      <c r="E745" s="29">
        <v>0</v>
      </c>
      <c r="F745" s="29"/>
      <c r="G745" s="30"/>
      <c r="J745" s="3" t="s">
        <v>20</v>
      </c>
      <c r="K745" s="3" t="s">
        <v>445</v>
      </c>
      <c r="L745" s="3" t="s">
        <v>446</v>
      </c>
      <c r="M745" s="3" t="s">
        <v>446</v>
      </c>
      <c r="N745" s="3">
        <v>2052</v>
      </c>
    </row>
    <row r="746" spans="1:14" s="3" customFormat="1" hidden="1" outlineLevel="1" x14ac:dyDescent="0.25">
      <c r="B746" s="28" t="s">
        <v>22</v>
      </c>
      <c r="C746" s="29" t="s">
        <v>1488</v>
      </c>
      <c r="D746" s="29" t="s">
        <v>1489</v>
      </c>
      <c r="E746" s="29">
        <v>0</v>
      </c>
      <c r="F746" s="29" t="s">
        <v>1470</v>
      </c>
      <c r="G746" s="30" t="s">
        <v>1490</v>
      </c>
      <c r="J746" s="3" t="s">
        <v>20</v>
      </c>
      <c r="K746" s="3" t="s">
        <v>445</v>
      </c>
      <c r="L746" s="3" t="s">
        <v>446</v>
      </c>
      <c r="M746" s="3" t="s">
        <v>446</v>
      </c>
      <c r="N746" s="3">
        <v>2153</v>
      </c>
    </row>
    <row r="747" spans="1:14" s="3" customFormat="1" hidden="1" outlineLevel="1" x14ac:dyDescent="0.25">
      <c r="B747" s="28" t="s">
        <v>26</v>
      </c>
      <c r="C747" s="29" t="s">
        <v>1493</v>
      </c>
      <c r="D747" s="29" t="s">
        <v>1494</v>
      </c>
      <c r="E747" s="29">
        <v>0</v>
      </c>
      <c r="F747" s="29" t="s">
        <v>1470</v>
      </c>
      <c r="G747" s="30"/>
      <c r="J747" s="3" t="s">
        <v>20</v>
      </c>
      <c r="K747" s="3" t="s">
        <v>445</v>
      </c>
      <c r="L747" s="3" t="s">
        <v>446</v>
      </c>
      <c r="M747" s="3" t="s">
        <v>446</v>
      </c>
      <c r="N747" s="3">
        <v>2183</v>
      </c>
    </row>
    <row r="748" spans="1:14" s="4" customFormat="1" ht="17.399999999999999" hidden="1" customHeight="1" outlineLevel="1" x14ac:dyDescent="0.35">
      <c r="A748" s="5"/>
      <c r="B748" s="41" t="s">
        <v>27</v>
      </c>
      <c r="C748" s="42" t="s">
        <v>1495</v>
      </c>
      <c r="D748" s="42" t="s">
        <v>1489</v>
      </c>
      <c r="E748" s="42">
        <v>0</v>
      </c>
      <c r="F748" s="42" t="s">
        <v>1470</v>
      </c>
      <c r="G748" s="43"/>
      <c r="J748" s="5" t="s">
        <v>20</v>
      </c>
      <c r="K748" s="5" t="s">
        <v>445</v>
      </c>
      <c r="L748" s="5" t="s">
        <v>446</v>
      </c>
      <c r="M748" s="5" t="s">
        <v>446</v>
      </c>
    </row>
    <row r="749" spans="1:14" s="3" customFormat="1" hidden="1" outlineLevel="1" x14ac:dyDescent="0.25">
      <c r="B749" s="44" t="s">
        <v>75</v>
      </c>
      <c r="C749" s="39" t="s">
        <v>1530</v>
      </c>
      <c r="D749" s="39" t="s">
        <v>1486</v>
      </c>
      <c r="E749" s="39">
        <v>0</v>
      </c>
      <c r="F749" s="39" t="s">
        <v>1470</v>
      </c>
      <c r="G749" s="40" t="s">
        <v>1531</v>
      </c>
    </row>
    <row r="750" spans="1:14" s="3" customFormat="1" hidden="1" outlineLevel="1" x14ac:dyDescent="0.25">
      <c r="B750" s="44" t="s">
        <v>76</v>
      </c>
      <c r="C750" s="29" t="s">
        <v>1532</v>
      </c>
      <c r="D750" s="29" t="s">
        <v>1489</v>
      </c>
      <c r="E750" s="29">
        <v>0</v>
      </c>
      <c r="F750" s="29"/>
      <c r="G750" s="30"/>
    </row>
    <row r="751" spans="1:14" s="3" customFormat="1" hidden="1" outlineLevel="1" x14ac:dyDescent="0.25">
      <c r="B751" s="44" t="s">
        <v>77</v>
      </c>
      <c r="C751" s="29" t="s">
        <v>1533</v>
      </c>
      <c r="D751" s="29" t="s">
        <v>1486</v>
      </c>
      <c r="E751" s="29">
        <v>0</v>
      </c>
      <c r="F751" s="29" t="s">
        <v>1470</v>
      </c>
      <c r="G751" s="30"/>
    </row>
    <row r="752" spans="1:14" s="3" customFormat="1" hidden="1" outlineLevel="1" x14ac:dyDescent="0.25">
      <c r="B752" s="44" t="s">
        <v>78</v>
      </c>
      <c r="C752" s="29" t="s">
        <v>1534</v>
      </c>
      <c r="D752" s="29" t="s">
        <v>1489</v>
      </c>
      <c r="E752" s="29">
        <v>0</v>
      </c>
      <c r="F752" s="29"/>
      <c r="G752" s="30"/>
    </row>
    <row r="753" spans="1:27" s="3" customFormat="1" hidden="1" outlineLevel="1" x14ac:dyDescent="0.25">
      <c r="B753" s="44" t="s">
        <v>24</v>
      </c>
      <c r="C753" s="29" t="s">
        <v>1491</v>
      </c>
      <c r="D753" s="29" t="s">
        <v>1489</v>
      </c>
      <c r="E753" s="29">
        <v>0</v>
      </c>
      <c r="F753" s="29" t="s">
        <v>1470</v>
      </c>
      <c r="G753" s="30"/>
    </row>
    <row r="754" spans="1:27" s="4" customFormat="1" ht="17.399999999999999" hidden="1" customHeight="1" outlineLevel="1" x14ac:dyDescent="0.35">
      <c r="A754" s="5"/>
      <c r="B754" s="44" t="s">
        <v>58</v>
      </c>
      <c r="C754" s="42" t="s">
        <v>1522</v>
      </c>
      <c r="D754" s="42" t="s">
        <v>1489</v>
      </c>
      <c r="E754" s="42">
        <v>0</v>
      </c>
      <c r="F754" s="42" t="s">
        <v>1470</v>
      </c>
      <c r="G754" s="43"/>
      <c r="K754" s="5"/>
      <c r="L754" s="5"/>
      <c r="M754" s="5"/>
    </row>
    <row r="755" spans="1:27" s="3" customFormat="1" hidden="1" outlineLevel="1" x14ac:dyDescent="0.25">
      <c r="A755" s="5"/>
      <c r="B755" s="45" t="s">
        <v>63</v>
      </c>
      <c r="C755" s="20" t="s">
        <v>1526</v>
      </c>
      <c r="D755" s="20" t="s">
        <v>1489</v>
      </c>
      <c r="E755" s="20">
        <v>0</v>
      </c>
      <c r="F755" s="20"/>
      <c r="G755" s="22"/>
    </row>
    <row r="756" spans="1:27" s="3" customFormat="1" ht="17.399999999999999" hidden="1" customHeight="1" outlineLevel="1" thickBot="1" x14ac:dyDescent="0.3">
      <c r="A756" s="5"/>
      <c r="B756" s="103"/>
      <c r="C756" s="92"/>
      <c r="D756" s="92"/>
      <c r="E756" s="92"/>
      <c r="F756" s="92"/>
      <c r="G756" s="93"/>
    </row>
    <row r="757" spans="1:27" s="3" customFormat="1" ht="17.399999999999999" hidden="1" customHeight="1" outlineLevel="1" x14ac:dyDescent="0.25">
      <c r="A757" s="5"/>
      <c r="B757" s="57"/>
      <c r="C757" s="58"/>
      <c r="D757" s="58"/>
      <c r="E757" s="58"/>
      <c r="F757" s="58"/>
      <c r="G757" s="59"/>
    </row>
    <row r="758" spans="1:27" s="3" customFormat="1" ht="16.2" hidden="1" outlineLevel="1" thickBot="1" x14ac:dyDescent="0.3">
      <c r="A758" s="14"/>
      <c r="B758" s="67"/>
      <c r="C758" s="84"/>
      <c r="D758" s="84"/>
      <c r="E758" s="84"/>
      <c r="F758" s="84"/>
      <c r="G758" s="85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s="3" customFormat="1" hidden="1" outlineLevel="1" x14ac:dyDescent="0.25">
      <c r="A759" s="14"/>
      <c r="B759" s="389" t="s">
        <v>28</v>
      </c>
      <c r="C759" s="390"/>
      <c r="D759" s="390"/>
      <c r="E759" s="390"/>
      <c r="F759" s="390"/>
      <c r="G759" s="391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s="3" customFormat="1" hidden="1" outlineLevel="1" x14ac:dyDescent="0.25">
      <c r="A760" s="14"/>
      <c r="B760" s="32" t="s">
        <v>2</v>
      </c>
      <c r="C760" s="33" t="s">
        <v>3</v>
      </c>
      <c r="D760" s="33" t="s">
        <v>4</v>
      </c>
      <c r="E760" s="33"/>
      <c r="F760" s="33"/>
      <c r="G760" s="34" t="s">
        <v>6</v>
      </c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s="3" customFormat="1" hidden="1" outlineLevel="1" x14ac:dyDescent="0.25">
      <c r="A761" s="14"/>
      <c r="B761" s="57"/>
      <c r="C761" s="58"/>
      <c r="D761" s="58"/>
      <c r="E761" s="58"/>
      <c r="F761" s="58"/>
      <c r="G761" s="59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s="3" customFormat="1" ht="16.2" hidden="1" outlineLevel="1" thickBot="1" x14ac:dyDescent="0.3">
      <c r="A762" s="14"/>
      <c r="B762" s="100"/>
      <c r="C762" s="101"/>
      <c r="D762" s="101"/>
      <c r="E762" s="101"/>
      <c r="F762" s="101"/>
      <c r="G762" s="102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s="3" customFormat="1" hidden="1" outlineLevel="1" x14ac:dyDescent="0.25">
      <c r="A763" s="14"/>
      <c r="B763" s="392" t="s">
        <v>29</v>
      </c>
      <c r="C763" s="393"/>
      <c r="D763" s="393"/>
      <c r="E763" s="393"/>
      <c r="F763" s="393"/>
      <c r="G763" s="39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s="3" customFormat="1" ht="17.399999999999999" hidden="1" customHeight="1" outlineLevel="1" x14ac:dyDescent="0.25">
      <c r="A764" s="14"/>
      <c r="B764" s="57"/>
      <c r="C764" s="58"/>
      <c r="D764" s="58"/>
      <c r="E764" s="58"/>
      <c r="F764" s="58"/>
      <c r="G764" s="59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s="3" customFormat="1" ht="17.399999999999999" hidden="1" customHeight="1" outlineLevel="1" x14ac:dyDescent="0.25">
      <c r="A765" s="14"/>
      <c r="B765" s="57"/>
      <c r="C765" s="58"/>
      <c r="D765" s="58"/>
      <c r="E765" s="58"/>
      <c r="F765" s="58"/>
      <c r="G765" s="59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s="3" customFormat="1" ht="17.399999999999999" hidden="1" customHeight="1" outlineLevel="1" x14ac:dyDescent="0.25">
      <c r="A766" s="14"/>
      <c r="B766" s="57"/>
      <c r="C766" s="58"/>
      <c r="D766" s="58"/>
      <c r="E766" s="58"/>
      <c r="F766" s="58"/>
      <c r="G766" s="59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s="3" customFormat="1" ht="17.399999999999999" hidden="1" customHeight="1" outlineLevel="1" x14ac:dyDescent="0.25">
      <c r="A767" s="14"/>
      <c r="B767" s="57" t="s">
        <v>573</v>
      </c>
      <c r="C767" s="58"/>
      <c r="D767" s="58"/>
      <c r="E767" s="58"/>
      <c r="F767" s="58"/>
      <c r="G767" s="378" t="s">
        <v>2425</v>
      </c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s="3" customFormat="1" ht="16.2" hidden="1" outlineLevel="1" thickBot="1" x14ac:dyDescent="0.3">
      <c r="A768" s="14"/>
      <c r="B768" s="103"/>
      <c r="C768" s="92"/>
      <c r="D768" s="92"/>
      <c r="E768" s="92"/>
      <c r="F768" s="92"/>
      <c r="G768" s="93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s="3" customFormat="1" ht="16.2" hidden="1" outlineLevel="1" thickBot="1" x14ac:dyDescent="0.3">
      <c r="A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s="3" customFormat="1" ht="17.399999999999999" customHeight="1" collapsed="1" thickBot="1" x14ac:dyDescent="0.3">
      <c r="A770" s="5"/>
      <c r="B770" s="15" t="s">
        <v>1279</v>
      </c>
      <c r="C770" s="16" t="s">
        <v>1945</v>
      </c>
      <c r="D770" s="17" t="s">
        <v>1281</v>
      </c>
      <c r="E770" s="16" t="s">
        <v>574</v>
      </c>
      <c r="F770" s="17" t="s">
        <v>1282</v>
      </c>
      <c r="G770" s="18" t="s">
        <v>1946</v>
      </c>
    </row>
    <row r="771" spans="1:27" s="3" customFormat="1" ht="17.399999999999999" hidden="1" customHeight="1" outlineLevel="1" x14ac:dyDescent="0.25">
      <c r="A771" s="5"/>
      <c r="B771" s="19" t="s">
        <v>1284</v>
      </c>
      <c r="C771" s="20" t="s">
        <v>1285</v>
      </c>
      <c r="D771" s="21" t="s">
        <v>1286</v>
      </c>
      <c r="E771" s="20" t="s">
        <v>1947</v>
      </c>
      <c r="F771" s="21" t="s">
        <v>1288</v>
      </c>
      <c r="G771" s="22" t="s">
        <v>1362</v>
      </c>
    </row>
    <row r="772" spans="1:27" s="3" customFormat="1" ht="17.399999999999999" hidden="1" customHeight="1" outlineLevel="1" thickBot="1" x14ac:dyDescent="0.3">
      <c r="A772" s="5"/>
      <c r="B772" s="19" t="s">
        <v>1290</v>
      </c>
      <c r="C772" s="23" t="s">
        <v>1291</v>
      </c>
      <c r="D772" s="21" t="s">
        <v>1292</v>
      </c>
      <c r="E772" s="23">
        <v>5</v>
      </c>
      <c r="F772" s="21" t="s">
        <v>1293</v>
      </c>
      <c r="G772" s="24" t="s">
        <v>1294</v>
      </c>
    </row>
    <row r="773" spans="1:27" s="3" customFormat="1" ht="17.399999999999999" hidden="1" customHeight="1" outlineLevel="1" x14ac:dyDescent="0.25">
      <c r="A773" s="5"/>
      <c r="B773" s="395" t="s">
        <v>1</v>
      </c>
      <c r="C773" s="396"/>
      <c r="D773" s="396"/>
      <c r="E773" s="396"/>
      <c r="F773" s="396"/>
      <c r="G773" s="397"/>
    </row>
    <row r="774" spans="1:27" s="3" customFormat="1" ht="17.399999999999999" hidden="1" customHeight="1" outlineLevel="1" x14ac:dyDescent="0.25">
      <c r="A774" s="5"/>
      <c r="B774" s="25" t="s">
        <v>2</v>
      </c>
      <c r="C774" s="26" t="s">
        <v>3</v>
      </c>
      <c r="D774" s="26" t="s">
        <v>4</v>
      </c>
      <c r="E774" s="26" t="s">
        <v>5</v>
      </c>
      <c r="F774" s="26"/>
      <c r="G774" s="27" t="s">
        <v>6</v>
      </c>
    </row>
    <row r="775" spans="1:27" s="3" customFormat="1" hidden="1" outlineLevel="1" x14ac:dyDescent="0.25">
      <c r="B775" s="28" t="s">
        <v>112</v>
      </c>
      <c r="C775" s="29" t="s">
        <v>1555</v>
      </c>
      <c r="D775" s="29" t="s">
        <v>1469</v>
      </c>
      <c r="E775" s="29">
        <v>0</v>
      </c>
      <c r="F775" s="29" t="s">
        <v>1470</v>
      </c>
      <c r="G775" s="30" t="s">
        <v>1556</v>
      </c>
      <c r="J775" s="3" t="s">
        <v>10</v>
      </c>
      <c r="K775" s="3" t="s">
        <v>173</v>
      </c>
      <c r="L775" s="3" t="s">
        <v>9</v>
      </c>
      <c r="M775" s="3" t="s">
        <v>9</v>
      </c>
      <c r="N775" s="3">
        <v>1606</v>
      </c>
    </row>
    <row r="776" spans="1:27" s="3" customFormat="1" hidden="1" outlineLevel="1" x14ac:dyDescent="0.25">
      <c r="B776" s="28" t="s">
        <v>185</v>
      </c>
      <c r="C776" s="29" t="s">
        <v>1604</v>
      </c>
      <c r="D776" s="29" t="s">
        <v>1469</v>
      </c>
      <c r="E776" s="29">
        <v>0</v>
      </c>
      <c r="F776" s="29" t="s">
        <v>1470</v>
      </c>
      <c r="G776" s="30"/>
      <c r="J776" s="3" t="s">
        <v>10</v>
      </c>
      <c r="K776" s="3" t="s">
        <v>173</v>
      </c>
      <c r="L776" s="3" t="s">
        <v>9</v>
      </c>
      <c r="M776" s="3" t="s">
        <v>9</v>
      </c>
      <c r="N776" s="3">
        <v>2330</v>
      </c>
    </row>
    <row r="777" spans="1:27" s="3" customFormat="1" hidden="1" outlineLevel="1" x14ac:dyDescent="0.25">
      <c r="B777" s="28" t="s">
        <v>7</v>
      </c>
      <c r="C777" s="29" t="s">
        <v>1468</v>
      </c>
      <c r="D777" s="29" t="s">
        <v>1469</v>
      </c>
      <c r="E777" s="29">
        <v>0</v>
      </c>
      <c r="F777" s="29" t="s">
        <v>1470</v>
      </c>
      <c r="G777" s="30" t="s">
        <v>1471</v>
      </c>
      <c r="J777" s="3" t="s">
        <v>10</v>
      </c>
      <c r="K777" s="3" t="s">
        <v>173</v>
      </c>
      <c r="L777" s="3" t="s">
        <v>9</v>
      </c>
      <c r="M777" s="3" t="s">
        <v>9</v>
      </c>
      <c r="N777" s="3">
        <v>1112</v>
      </c>
    </row>
    <row r="778" spans="1:27" s="3" customFormat="1" hidden="1" outlineLevel="1" x14ac:dyDescent="0.25">
      <c r="B778" s="28" t="s">
        <v>186</v>
      </c>
      <c r="C778" s="29" t="s">
        <v>1605</v>
      </c>
      <c r="D778" s="29" t="s">
        <v>1606</v>
      </c>
      <c r="E778" s="29" t="s">
        <v>1594</v>
      </c>
      <c r="F778" s="29"/>
      <c r="G778" s="30"/>
      <c r="J778" s="3" t="s">
        <v>187</v>
      </c>
      <c r="K778" s="3" t="s">
        <v>438</v>
      </c>
      <c r="L778" s="3" t="s">
        <v>537</v>
      </c>
      <c r="M778" s="3" t="s">
        <v>187</v>
      </c>
      <c r="N778" s="3">
        <v>2434</v>
      </c>
    </row>
    <row r="779" spans="1:27" s="3" customFormat="1" hidden="1" outlineLevel="1" x14ac:dyDescent="0.25">
      <c r="B779" s="28" t="s">
        <v>188</v>
      </c>
      <c r="C779" s="29" t="s">
        <v>1607</v>
      </c>
      <c r="D779" s="29" t="s">
        <v>1606</v>
      </c>
      <c r="E779" s="29" t="s">
        <v>1594</v>
      </c>
      <c r="F779" s="29"/>
      <c r="G779" s="30"/>
      <c r="J779" s="3" t="s">
        <v>187</v>
      </c>
      <c r="K779" s="3" t="s">
        <v>438</v>
      </c>
      <c r="L779" s="3" t="s">
        <v>537</v>
      </c>
      <c r="M779" s="3" t="s">
        <v>187</v>
      </c>
      <c r="N779" s="3">
        <v>2156</v>
      </c>
    </row>
    <row r="780" spans="1:27" s="3" customFormat="1" hidden="1" outlineLevel="1" x14ac:dyDescent="0.25">
      <c r="B780" s="28" t="s">
        <v>15</v>
      </c>
      <c r="C780" s="29" t="s">
        <v>1478</v>
      </c>
      <c r="D780" s="29" t="s">
        <v>1469</v>
      </c>
      <c r="E780" s="29">
        <v>0</v>
      </c>
      <c r="F780" s="29" t="s">
        <v>1470</v>
      </c>
      <c r="G780" s="30"/>
      <c r="J780" s="3" t="s">
        <v>10</v>
      </c>
      <c r="K780" s="3" t="s">
        <v>173</v>
      </c>
      <c r="L780" s="3" t="s">
        <v>9</v>
      </c>
      <c r="M780" s="3" t="s">
        <v>9</v>
      </c>
      <c r="N780" s="3">
        <v>2430</v>
      </c>
    </row>
    <row r="781" spans="1:27" s="4" customFormat="1" ht="17.399999999999999" hidden="1" customHeight="1" outlineLevel="1" x14ac:dyDescent="0.35">
      <c r="A781" s="5"/>
      <c r="B781" s="57" t="s">
        <v>189</v>
      </c>
      <c r="C781" s="58" t="s">
        <v>1608</v>
      </c>
      <c r="D781" s="58" t="s">
        <v>1609</v>
      </c>
      <c r="E781" s="58" t="s">
        <v>1594</v>
      </c>
      <c r="F781" s="58"/>
      <c r="G781" s="59"/>
      <c r="H781" s="5"/>
      <c r="I781" s="5"/>
      <c r="J781" s="5" t="s">
        <v>187</v>
      </c>
      <c r="K781" s="5" t="s">
        <v>438</v>
      </c>
      <c r="L781" s="5" t="s">
        <v>537</v>
      </c>
      <c r="M781" s="5" t="s">
        <v>187</v>
      </c>
      <c r="N781" s="5">
        <v>1303</v>
      </c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s="4" customFormat="1" ht="17.399999999999999" hidden="1" customHeight="1" outlineLevel="1" x14ac:dyDescent="0.35">
      <c r="A782" s="5"/>
      <c r="B782" s="57" t="s">
        <v>190</v>
      </c>
      <c r="C782" s="58" t="s">
        <v>1610</v>
      </c>
      <c r="D782" s="58" t="s">
        <v>1469</v>
      </c>
      <c r="E782" s="58">
        <v>0</v>
      </c>
      <c r="F782" s="58"/>
      <c r="G782" s="59"/>
      <c r="H782" s="5"/>
      <c r="I782" s="5"/>
      <c r="J782" s="5" t="s">
        <v>10</v>
      </c>
      <c r="K782" s="5" t="s">
        <v>173</v>
      </c>
      <c r="L782" s="5" t="s">
        <v>9</v>
      </c>
      <c r="M782" s="5" t="s">
        <v>9</v>
      </c>
      <c r="N782" s="5">
        <v>1099</v>
      </c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s="4" customFormat="1" ht="17.399999999999999" hidden="1" customHeight="1" outlineLevel="1" x14ac:dyDescent="0.35">
      <c r="A783" s="5"/>
      <c r="B783" s="57" t="s">
        <v>128</v>
      </c>
      <c r="C783" s="58" t="s">
        <v>1566</v>
      </c>
      <c r="D783" s="58" t="s">
        <v>1567</v>
      </c>
      <c r="E783" s="58">
        <v>0</v>
      </c>
      <c r="F783" s="58" t="s">
        <v>1470</v>
      </c>
      <c r="G783" s="59"/>
      <c r="H783" s="5"/>
      <c r="I783" s="5"/>
      <c r="J783" s="5" t="s">
        <v>12</v>
      </c>
      <c r="K783" s="5" t="s">
        <v>174</v>
      </c>
      <c r="L783" s="5" t="s">
        <v>175</v>
      </c>
      <c r="M783" s="5" t="s">
        <v>176</v>
      </c>
      <c r="N783" s="5">
        <v>1629</v>
      </c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s="4" customFormat="1" ht="17.399999999999999" hidden="1" customHeight="1" outlineLevel="1" x14ac:dyDescent="0.35">
      <c r="A784" s="5"/>
      <c r="B784" s="57" t="s">
        <v>114</v>
      </c>
      <c r="C784" s="58" t="s">
        <v>1557</v>
      </c>
      <c r="D784" s="58" t="s">
        <v>1469</v>
      </c>
      <c r="E784" s="58">
        <v>-1</v>
      </c>
      <c r="F784" s="58" t="s">
        <v>1470</v>
      </c>
      <c r="G784" s="59"/>
      <c r="H784" s="5"/>
      <c r="I784" s="5"/>
      <c r="J784" s="5" t="s">
        <v>10</v>
      </c>
      <c r="K784" s="5" t="s">
        <v>173</v>
      </c>
      <c r="L784" s="5" t="s">
        <v>9</v>
      </c>
      <c r="M784" s="5" t="s">
        <v>9</v>
      </c>
      <c r="N784" s="5">
        <v>2449</v>
      </c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s="4" customFormat="1" ht="17.399999999999999" hidden="1" customHeight="1" outlineLevel="1" x14ac:dyDescent="0.35">
      <c r="A785" s="5"/>
      <c r="B785" s="57" t="s">
        <v>191</v>
      </c>
      <c r="C785" s="58" t="s">
        <v>1611</v>
      </c>
      <c r="D785" s="58" t="s">
        <v>1567</v>
      </c>
      <c r="E785" s="58">
        <v>0</v>
      </c>
      <c r="F785" s="58" t="s">
        <v>1470</v>
      </c>
      <c r="G785" s="59" t="s">
        <v>1612</v>
      </c>
      <c r="H785" s="5"/>
      <c r="I785" s="5"/>
      <c r="J785" s="5" t="s">
        <v>12</v>
      </c>
      <c r="K785" s="5" t="s">
        <v>174</v>
      </c>
      <c r="L785" s="5" t="s">
        <v>175</v>
      </c>
      <c r="M785" s="5" t="s">
        <v>176</v>
      </c>
      <c r="N785" s="5">
        <v>2495</v>
      </c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s="4" customFormat="1" ht="17.399999999999999" hidden="1" customHeight="1" outlineLevel="1" x14ac:dyDescent="0.35">
      <c r="A786" s="5"/>
      <c r="B786" s="57" t="s">
        <v>192</v>
      </c>
      <c r="C786" s="58" t="s">
        <v>1613</v>
      </c>
      <c r="D786" s="58" t="s">
        <v>1469</v>
      </c>
      <c r="E786" s="58">
        <v>1</v>
      </c>
      <c r="F786" s="58" t="s">
        <v>1470</v>
      </c>
      <c r="G786" s="59" t="s">
        <v>1614</v>
      </c>
      <c r="H786" s="5"/>
      <c r="I786" s="5"/>
      <c r="J786" s="5" t="s">
        <v>10</v>
      </c>
      <c r="K786" s="5" t="s">
        <v>173</v>
      </c>
      <c r="L786" s="5" t="s">
        <v>9</v>
      </c>
      <c r="M786" s="5" t="s">
        <v>9</v>
      </c>
      <c r="N786" s="5">
        <v>1951</v>
      </c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s="4" customFormat="1" ht="17.399999999999999" hidden="1" customHeight="1" outlineLevel="1" x14ac:dyDescent="0.35">
      <c r="A787" s="5"/>
      <c r="B787" s="57" t="s">
        <v>193</v>
      </c>
      <c r="C787" s="58" t="s">
        <v>1615</v>
      </c>
      <c r="D787" s="58" t="s">
        <v>1616</v>
      </c>
      <c r="E787" s="58" t="s">
        <v>1617</v>
      </c>
      <c r="F787" s="58" t="s">
        <v>1476</v>
      </c>
      <c r="G787" s="59"/>
      <c r="H787" s="5"/>
      <c r="I787" s="5"/>
      <c r="J787" s="5" t="s">
        <v>187</v>
      </c>
      <c r="K787" s="5" t="s">
        <v>438</v>
      </c>
      <c r="L787" s="5" t="s">
        <v>537</v>
      </c>
      <c r="M787" s="5" t="s">
        <v>187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s="4" customFormat="1" ht="17.399999999999999" hidden="1" customHeight="1" outlineLevel="1" x14ac:dyDescent="0.35">
      <c r="A788" s="5"/>
      <c r="B788" s="57" t="s">
        <v>575</v>
      </c>
      <c r="C788" s="58" t="s">
        <v>2062</v>
      </c>
      <c r="D788" s="58" t="s">
        <v>1606</v>
      </c>
      <c r="E788" s="58" t="s">
        <v>1594</v>
      </c>
      <c r="F788" s="58"/>
      <c r="G788" s="59"/>
      <c r="H788" s="5"/>
      <c r="I788" s="5"/>
      <c r="J788" s="5" t="s">
        <v>187</v>
      </c>
      <c r="K788" s="5" t="s">
        <v>438</v>
      </c>
      <c r="L788" s="5" t="s">
        <v>537</v>
      </c>
      <c r="M788" s="5" t="s">
        <v>187</v>
      </c>
      <c r="N788" s="5">
        <v>1607</v>
      </c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s="4" customFormat="1" ht="17.399999999999999" hidden="1" customHeight="1" outlineLevel="1" x14ac:dyDescent="0.35">
      <c r="A789" s="5"/>
      <c r="B789" s="57" t="s">
        <v>265</v>
      </c>
      <c r="C789" s="58" t="s">
        <v>1692</v>
      </c>
      <c r="D789" s="58" t="s">
        <v>1606</v>
      </c>
      <c r="E789" s="58" t="s">
        <v>1594</v>
      </c>
      <c r="F789" s="58" t="s">
        <v>1470</v>
      </c>
      <c r="G789" s="59"/>
      <c r="H789" s="5"/>
      <c r="I789" s="5"/>
      <c r="J789" s="5" t="s">
        <v>187</v>
      </c>
      <c r="K789" s="5" t="s">
        <v>438</v>
      </c>
      <c r="L789" s="5" t="s">
        <v>537</v>
      </c>
      <c r="M789" s="5" t="s">
        <v>187</v>
      </c>
      <c r="N789" s="5">
        <v>1114</v>
      </c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s="4" customFormat="1" ht="17.399999999999999" hidden="1" customHeight="1" outlineLevel="1" x14ac:dyDescent="0.35">
      <c r="A790" s="5"/>
      <c r="B790" s="57" t="s">
        <v>302</v>
      </c>
      <c r="C790" s="58" t="s">
        <v>1727</v>
      </c>
      <c r="D790" s="58" t="s">
        <v>1606</v>
      </c>
      <c r="E790" s="58" t="s">
        <v>1594</v>
      </c>
      <c r="F790" s="58" t="s">
        <v>1470</v>
      </c>
      <c r="G790" s="59"/>
      <c r="H790" s="5"/>
      <c r="I790" s="5"/>
      <c r="J790" s="5" t="s">
        <v>187</v>
      </c>
      <c r="K790" s="5" t="s">
        <v>438</v>
      </c>
      <c r="L790" s="5" t="s">
        <v>537</v>
      </c>
      <c r="M790" s="5" t="s">
        <v>187</v>
      </c>
      <c r="N790" s="5">
        <v>1700</v>
      </c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s="4" customFormat="1" ht="17.399999999999999" hidden="1" customHeight="1" outlineLevel="1" x14ac:dyDescent="0.35">
      <c r="A791" s="5"/>
      <c r="B791" s="57" t="s">
        <v>194</v>
      </c>
      <c r="C791" s="58" t="s">
        <v>1618</v>
      </c>
      <c r="D791" s="58" t="s">
        <v>1469</v>
      </c>
      <c r="E791" s="58">
        <v>0</v>
      </c>
      <c r="F791" s="58"/>
      <c r="G791" s="59" t="s">
        <v>1619</v>
      </c>
      <c r="H791" s="5"/>
      <c r="I791" s="5"/>
      <c r="J791" s="5" t="s">
        <v>10</v>
      </c>
      <c r="K791" s="5" t="s">
        <v>173</v>
      </c>
      <c r="L791" s="5" t="s">
        <v>9</v>
      </c>
      <c r="M791" s="5" t="s">
        <v>9</v>
      </c>
      <c r="N791" s="5">
        <v>3169</v>
      </c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s="4" customFormat="1" ht="17.399999999999999" hidden="1" customHeight="1" outlineLevel="1" thickBot="1" x14ac:dyDescent="0.4">
      <c r="A792" s="5"/>
      <c r="B792" s="57" t="s">
        <v>195</v>
      </c>
      <c r="C792" s="58" t="s">
        <v>1620</v>
      </c>
      <c r="D792" s="58" t="s">
        <v>1469</v>
      </c>
      <c r="E792" s="58">
        <v>0</v>
      </c>
      <c r="F792" s="58"/>
      <c r="G792" s="59" t="s">
        <v>1621</v>
      </c>
      <c r="H792" s="5"/>
      <c r="I792" s="5"/>
      <c r="J792" s="5" t="s">
        <v>10</v>
      </c>
      <c r="K792" s="5" t="s">
        <v>173</v>
      </c>
      <c r="L792" s="5" t="s">
        <v>9</v>
      </c>
      <c r="M792" s="5" t="s">
        <v>9</v>
      </c>
      <c r="N792" s="5">
        <v>3168</v>
      </c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s="6" customFormat="1" hidden="1" outlineLevel="1" x14ac:dyDescent="0.25">
      <c r="A793" s="14"/>
      <c r="B793" s="401" t="s">
        <v>18</v>
      </c>
      <c r="C793" s="402"/>
      <c r="D793" s="402"/>
      <c r="E793" s="402"/>
      <c r="F793" s="402"/>
      <c r="G793" s="403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s="6" customFormat="1" hidden="1" outlineLevel="1" x14ac:dyDescent="0.25">
      <c r="A794" s="14"/>
      <c r="B794" s="25" t="s">
        <v>2</v>
      </c>
      <c r="C794" s="26" t="s">
        <v>3</v>
      </c>
      <c r="D794" s="26" t="s">
        <v>4</v>
      </c>
      <c r="E794" s="26" t="s">
        <v>5</v>
      </c>
      <c r="F794" s="26"/>
      <c r="G794" s="27" t="s">
        <v>6</v>
      </c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s="3" customFormat="1" hidden="1" outlineLevel="1" x14ac:dyDescent="0.25">
      <c r="A795" s="14"/>
      <c r="B795" s="195" t="s">
        <v>112</v>
      </c>
      <c r="C795" s="183" t="s">
        <v>1555</v>
      </c>
      <c r="D795" s="183" t="s">
        <v>1469</v>
      </c>
      <c r="E795" s="183">
        <v>0</v>
      </c>
      <c r="F795" s="183" t="s">
        <v>1470</v>
      </c>
      <c r="G795" s="184" t="s">
        <v>1556</v>
      </c>
      <c r="H795" s="14"/>
      <c r="I795" s="14"/>
      <c r="J795" s="14" t="s">
        <v>10</v>
      </c>
      <c r="K795" s="14" t="s">
        <v>173</v>
      </c>
      <c r="L795" s="14" t="s">
        <v>9</v>
      </c>
      <c r="M795" s="14" t="s">
        <v>9</v>
      </c>
      <c r="N795" s="14">
        <v>1606</v>
      </c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s="3" customFormat="1" hidden="1" outlineLevel="1" x14ac:dyDescent="0.25">
      <c r="A796" s="14"/>
      <c r="B796" s="195" t="s">
        <v>7</v>
      </c>
      <c r="C796" s="183" t="s">
        <v>1468</v>
      </c>
      <c r="D796" s="183" t="s">
        <v>1469</v>
      </c>
      <c r="E796" s="183">
        <v>0</v>
      </c>
      <c r="F796" s="183" t="s">
        <v>1470</v>
      </c>
      <c r="G796" s="184" t="s">
        <v>1471</v>
      </c>
      <c r="H796" s="14"/>
      <c r="I796" s="14"/>
      <c r="J796" s="14" t="s">
        <v>10</v>
      </c>
      <c r="K796" s="14" t="s">
        <v>173</v>
      </c>
      <c r="L796" s="14" t="s">
        <v>9</v>
      </c>
      <c r="M796" s="14" t="s">
        <v>9</v>
      </c>
      <c r="N796" s="14">
        <v>1112</v>
      </c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s="3" customFormat="1" hidden="1" outlineLevel="1" x14ac:dyDescent="0.25">
      <c r="A797" s="14"/>
      <c r="B797" s="195" t="s">
        <v>156</v>
      </c>
      <c r="C797" s="183" t="s">
        <v>2064</v>
      </c>
      <c r="D797" s="183" t="s">
        <v>1652</v>
      </c>
      <c r="E797" s="183" t="s">
        <v>1594</v>
      </c>
      <c r="F797" s="183" t="s">
        <v>2065</v>
      </c>
      <c r="G797" s="184" t="s">
        <v>2066</v>
      </c>
      <c r="H797" s="14"/>
      <c r="I797" s="14"/>
      <c r="J797" s="14" t="s">
        <v>187</v>
      </c>
      <c r="K797" s="14" t="s">
        <v>438</v>
      </c>
      <c r="L797" s="14" t="s">
        <v>537</v>
      </c>
      <c r="M797" s="14" t="s">
        <v>187</v>
      </c>
      <c r="N797" s="14">
        <v>1139</v>
      </c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s="3" customFormat="1" hidden="1" outlineLevel="1" x14ac:dyDescent="0.25">
      <c r="A798" s="14"/>
      <c r="B798" s="195" t="s">
        <v>11</v>
      </c>
      <c r="C798" s="183" t="s">
        <v>1472</v>
      </c>
      <c r="D798" s="183" t="s">
        <v>1469</v>
      </c>
      <c r="E798" s="183">
        <v>0</v>
      </c>
      <c r="F798" s="183" t="s">
        <v>1470</v>
      </c>
      <c r="G798" s="184" t="s">
        <v>1473</v>
      </c>
      <c r="H798" s="14"/>
      <c r="I798" s="14"/>
      <c r="J798" s="14" t="s">
        <v>12</v>
      </c>
      <c r="K798" s="14" t="s">
        <v>174</v>
      </c>
      <c r="L798" s="14" t="s">
        <v>175</v>
      </c>
      <c r="M798" s="14" t="s">
        <v>176</v>
      </c>
      <c r="N798" s="14">
        <v>1700</v>
      </c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s="3" customFormat="1" hidden="1" outlineLevel="1" x14ac:dyDescent="0.25">
      <c r="A799" s="14"/>
      <c r="B799" s="195" t="s">
        <v>196</v>
      </c>
      <c r="C799" s="183" t="s">
        <v>1622</v>
      </c>
      <c r="D799" s="183" t="s">
        <v>1469</v>
      </c>
      <c r="E799" s="183" t="s">
        <v>1480</v>
      </c>
      <c r="F799" s="183" t="s">
        <v>1481</v>
      </c>
      <c r="G799" s="184" t="s">
        <v>1623</v>
      </c>
      <c r="H799" s="14"/>
      <c r="I799" s="14"/>
      <c r="J799" s="14" t="s">
        <v>10</v>
      </c>
      <c r="K799" s="14" t="s">
        <v>173</v>
      </c>
      <c r="L799" s="14" t="s">
        <v>9</v>
      </c>
      <c r="M799" s="14" t="s">
        <v>9</v>
      </c>
      <c r="N799" s="14">
        <v>2130</v>
      </c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s="3" customFormat="1" hidden="1" outlineLevel="1" x14ac:dyDescent="0.25">
      <c r="A800" s="14"/>
      <c r="B800" s="28" t="s">
        <v>197</v>
      </c>
      <c r="C800" s="29" t="s">
        <v>1624</v>
      </c>
      <c r="D800" s="29" t="s">
        <v>1469</v>
      </c>
      <c r="E800" s="29">
        <v>0</v>
      </c>
      <c r="F800" s="29" t="s">
        <v>1470</v>
      </c>
      <c r="G800" s="24" t="s">
        <v>1625</v>
      </c>
      <c r="H800" s="14"/>
      <c r="I800" s="14"/>
      <c r="J800" s="14" t="s">
        <v>10</v>
      </c>
      <c r="K800" s="14" t="s">
        <v>173</v>
      </c>
      <c r="L800" s="14" t="s">
        <v>9</v>
      </c>
      <c r="M800" s="14" t="s">
        <v>9</v>
      </c>
      <c r="N800" s="14">
        <v>2204</v>
      </c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s="3" customFormat="1" hidden="1" outlineLevel="1" x14ac:dyDescent="0.25">
      <c r="A801" s="14"/>
      <c r="B801" s="28" t="s">
        <v>198</v>
      </c>
      <c r="C801" s="29" t="s">
        <v>1626</v>
      </c>
      <c r="D801" s="29" t="s">
        <v>1469</v>
      </c>
      <c r="E801" s="29">
        <v>0</v>
      </c>
      <c r="F801" s="29" t="s">
        <v>1470</v>
      </c>
      <c r="G801" s="24" t="s">
        <v>1627</v>
      </c>
      <c r="H801" s="14"/>
      <c r="I801" s="14"/>
      <c r="J801" s="14" t="s">
        <v>10</v>
      </c>
      <c r="K801" s="14" t="s">
        <v>173</v>
      </c>
      <c r="L801" s="14" t="s">
        <v>9</v>
      </c>
      <c r="M801" s="14" t="s">
        <v>9</v>
      </c>
      <c r="N801" s="14">
        <v>1295</v>
      </c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s="3" customFormat="1" hidden="1" outlineLevel="1" x14ac:dyDescent="0.25">
      <c r="A802" s="14"/>
      <c r="B802" s="28" t="s">
        <v>191</v>
      </c>
      <c r="C802" s="29" t="s">
        <v>1611</v>
      </c>
      <c r="D802" s="29" t="s">
        <v>1567</v>
      </c>
      <c r="E802" s="29">
        <v>0</v>
      </c>
      <c r="F802" s="29" t="s">
        <v>1470</v>
      </c>
      <c r="G802" s="24" t="s">
        <v>1612</v>
      </c>
      <c r="H802" s="14"/>
      <c r="I802" s="14"/>
      <c r="J802" s="14" t="s">
        <v>12</v>
      </c>
      <c r="K802" s="14" t="s">
        <v>174</v>
      </c>
      <c r="L802" s="14" t="s">
        <v>175</v>
      </c>
      <c r="M802" s="14" t="s">
        <v>176</v>
      </c>
      <c r="N802" s="14">
        <v>2495</v>
      </c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s="3" customFormat="1" hidden="1" outlineLevel="1" x14ac:dyDescent="0.25">
      <c r="A803" s="14"/>
      <c r="B803" s="28" t="s">
        <v>199</v>
      </c>
      <c r="C803" s="29" t="s">
        <v>1628</v>
      </c>
      <c r="D803" s="29" t="s">
        <v>1469</v>
      </c>
      <c r="E803" s="29" t="s">
        <v>1480</v>
      </c>
      <c r="F803" s="29" t="s">
        <v>1481</v>
      </c>
      <c r="G803" s="24" t="s">
        <v>1482</v>
      </c>
      <c r="H803" s="14"/>
      <c r="I803" s="14"/>
      <c r="J803" s="14" t="s">
        <v>10</v>
      </c>
      <c r="K803" s="14" t="s">
        <v>173</v>
      </c>
      <c r="L803" s="14" t="s">
        <v>9</v>
      </c>
      <c r="M803" s="14" t="s">
        <v>9</v>
      </c>
      <c r="N803" s="14">
        <v>1308</v>
      </c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s="3" customFormat="1" hidden="1" outlineLevel="1" x14ac:dyDescent="0.25">
      <c r="A804" s="14"/>
      <c r="B804" s="28" t="s">
        <v>200</v>
      </c>
      <c r="C804" s="29" t="s">
        <v>1629</v>
      </c>
      <c r="D804" s="29" t="s">
        <v>1469</v>
      </c>
      <c r="E804" s="29" t="s">
        <v>1549</v>
      </c>
      <c r="F804" s="29" t="s">
        <v>1481</v>
      </c>
      <c r="G804" s="24" t="s">
        <v>1630</v>
      </c>
      <c r="H804" s="14"/>
      <c r="I804" s="14"/>
      <c r="J804" s="14" t="s">
        <v>10</v>
      </c>
      <c r="K804" s="14" t="s">
        <v>173</v>
      </c>
      <c r="L804" s="14" t="s">
        <v>9</v>
      </c>
      <c r="M804" s="14" t="s">
        <v>9</v>
      </c>
      <c r="N804" s="14">
        <v>1309</v>
      </c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s="3" customFormat="1" hidden="1" outlineLevel="1" x14ac:dyDescent="0.25">
      <c r="A805" s="14"/>
      <c r="B805" s="28" t="s">
        <v>201</v>
      </c>
      <c r="C805" s="29" t="s">
        <v>1631</v>
      </c>
      <c r="D805" s="29" t="s">
        <v>1632</v>
      </c>
      <c r="E805" s="29" t="s">
        <v>1594</v>
      </c>
      <c r="F805" s="29" t="s">
        <v>1470</v>
      </c>
      <c r="G805" s="24" t="s">
        <v>1633</v>
      </c>
      <c r="H805" s="14"/>
      <c r="I805" s="14"/>
      <c r="J805" s="14" t="s">
        <v>10</v>
      </c>
      <c r="K805" s="14" t="s">
        <v>173</v>
      </c>
      <c r="L805" s="14" t="s">
        <v>9</v>
      </c>
      <c r="M805" s="14" t="s">
        <v>9</v>
      </c>
      <c r="N805" s="14">
        <v>2127</v>
      </c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s="3" customFormat="1" hidden="1" outlineLevel="1" x14ac:dyDescent="0.25">
      <c r="A806" s="14"/>
      <c r="B806" s="28" t="s">
        <v>576</v>
      </c>
      <c r="C806" s="29" t="s">
        <v>2067</v>
      </c>
      <c r="D806" s="29" t="s">
        <v>2068</v>
      </c>
      <c r="E806" s="29" t="s">
        <v>1594</v>
      </c>
      <c r="F806" s="29" t="s">
        <v>1470</v>
      </c>
      <c r="G806" s="30"/>
      <c r="H806" s="14"/>
      <c r="I806" s="14"/>
      <c r="J806" s="14" t="s">
        <v>187</v>
      </c>
      <c r="K806" s="14" t="s">
        <v>438</v>
      </c>
      <c r="L806" s="14" t="s">
        <v>537</v>
      </c>
      <c r="M806" s="14" t="s">
        <v>187</v>
      </c>
      <c r="N806" s="14">
        <v>2533</v>
      </c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s="3" customFormat="1" hidden="1" outlineLevel="1" x14ac:dyDescent="0.25">
      <c r="A807" s="14"/>
      <c r="B807" s="28" t="s">
        <v>577</v>
      </c>
      <c r="C807" s="29" t="s">
        <v>2069</v>
      </c>
      <c r="D807" s="29" t="s">
        <v>2068</v>
      </c>
      <c r="E807" s="29" t="s">
        <v>1594</v>
      </c>
      <c r="F807" s="29" t="s">
        <v>1470</v>
      </c>
      <c r="G807" s="30"/>
      <c r="H807" s="14"/>
      <c r="I807" s="14"/>
      <c r="J807" s="14" t="s">
        <v>187</v>
      </c>
      <c r="K807" s="14" t="s">
        <v>438</v>
      </c>
      <c r="L807" s="14" t="s">
        <v>537</v>
      </c>
      <c r="M807" s="14" t="s">
        <v>187</v>
      </c>
      <c r="N807" s="14">
        <v>1498</v>
      </c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s="3" customFormat="1" hidden="1" outlineLevel="1" x14ac:dyDescent="0.25">
      <c r="A808" s="14"/>
      <c r="B808" s="28" t="s">
        <v>14</v>
      </c>
      <c r="C808" s="29" t="s">
        <v>1475</v>
      </c>
      <c r="D808" s="29" t="s">
        <v>1469</v>
      </c>
      <c r="E808" s="29">
        <v>0</v>
      </c>
      <c r="F808" s="29" t="s">
        <v>1476</v>
      </c>
      <c r="G808" s="30" t="s">
        <v>1477</v>
      </c>
      <c r="H808" s="14"/>
      <c r="I808" s="14"/>
      <c r="J808" s="14" t="s">
        <v>10</v>
      </c>
      <c r="K808" s="14" t="s">
        <v>173</v>
      </c>
      <c r="L808" s="14" t="s">
        <v>9</v>
      </c>
      <c r="M808" s="14" t="s">
        <v>9</v>
      </c>
      <c r="N808" s="14">
        <v>2155</v>
      </c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s="3" customFormat="1" hidden="1" outlineLevel="1" x14ac:dyDescent="0.25">
      <c r="A809" s="14"/>
      <c r="B809" s="28" t="s">
        <v>87</v>
      </c>
      <c r="C809" s="29" t="s">
        <v>1535</v>
      </c>
      <c r="D809" s="29" t="s">
        <v>1469</v>
      </c>
      <c r="E809" s="29">
        <v>0</v>
      </c>
      <c r="F809" s="29" t="s">
        <v>1476</v>
      </c>
      <c r="G809" s="30"/>
      <c r="H809" s="14"/>
      <c r="I809" s="14"/>
      <c r="J809" s="14" t="s">
        <v>10</v>
      </c>
      <c r="K809" s="14" t="s">
        <v>173</v>
      </c>
      <c r="L809" s="14" t="s">
        <v>9</v>
      </c>
      <c r="M809" s="14" t="s">
        <v>9</v>
      </c>
      <c r="N809" s="14">
        <v>2433</v>
      </c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s="6" customFormat="1" hidden="1" outlineLevel="1" x14ac:dyDescent="0.25">
      <c r="A810" s="14"/>
      <c r="B810" s="185" t="s">
        <v>15</v>
      </c>
      <c r="C810" s="23" t="s">
        <v>1478</v>
      </c>
      <c r="D810" s="23" t="s">
        <v>1469</v>
      </c>
      <c r="E810" s="23">
        <v>0</v>
      </c>
      <c r="F810" s="23" t="s">
        <v>1470</v>
      </c>
      <c r="G810" s="24"/>
      <c r="H810" s="14"/>
      <c r="I810" s="14"/>
      <c r="J810" s="14" t="s">
        <v>10</v>
      </c>
      <c r="K810" s="14" t="s">
        <v>173</v>
      </c>
      <c r="L810" s="14" t="s">
        <v>9</v>
      </c>
      <c r="M810" s="14" t="s">
        <v>9</v>
      </c>
      <c r="N810" s="14">
        <v>2430</v>
      </c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s="3" customFormat="1" hidden="1" outlineLevel="1" x14ac:dyDescent="0.25">
      <c r="A811" s="14"/>
      <c r="B811" s="28" t="s">
        <v>203</v>
      </c>
      <c r="C811" s="29" t="s">
        <v>1635</v>
      </c>
      <c r="D811" s="29" t="s">
        <v>1636</v>
      </c>
      <c r="E811" s="29" t="s">
        <v>1637</v>
      </c>
      <c r="F811" s="29" t="s">
        <v>1476</v>
      </c>
      <c r="G811" s="24"/>
      <c r="H811" s="14"/>
      <c r="I811" s="14"/>
      <c r="J811" s="14" t="s">
        <v>187</v>
      </c>
      <c r="K811" s="14" t="s">
        <v>438</v>
      </c>
      <c r="L811" s="14" t="s">
        <v>537</v>
      </c>
      <c r="M811" s="14" t="s">
        <v>187</v>
      </c>
      <c r="N811" s="14">
        <v>1041</v>
      </c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s="3" customFormat="1" hidden="1" outlineLevel="1" x14ac:dyDescent="0.25">
      <c r="A812" s="14"/>
      <c r="B812" s="28" t="s">
        <v>204</v>
      </c>
      <c r="C812" s="29" t="s">
        <v>1638</v>
      </c>
      <c r="D812" s="29" t="s">
        <v>1539</v>
      </c>
      <c r="E812" s="29">
        <v>0</v>
      </c>
      <c r="F812" s="29" t="s">
        <v>1470</v>
      </c>
      <c r="G812" s="24" t="s">
        <v>1639</v>
      </c>
      <c r="H812" s="14"/>
      <c r="I812" s="14"/>
      <c r="J812" s="14" t="s">
        <v>20</v>
      </c>
      <c r="K812" s="14" t="s">
        <v>445</v>
      </c>
      <c r="L812" s="14" t="s">
        <v>446</v>
      </c>
      <c r="M812" s="14" t="s">
        <v>446</v>
      </c>
      <c r="N812" s="14">
        <v>1179</v>
      </c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s="3" customFormat="1" hidden="1" outlineLevel="1" x14ac:dyDescent="0.25">
      <c r="A813" s="14"/>
      <c r="B813" s="28" t="s">
        <v>205</v>
      </c>
      <c r="C813" s="29" t="s">
        <v>1640</v>
      </c>
      <c r="D813" s="29" t="s">
        <v>1469</v>
      </c>
      <c r="E813" s="29">
        <v>0</v>
      </c>
      <c r="F813" s="29" t="s">
        <v>1476</v>
      </c>
      <c r="G813" s="24" t="s">
        <v>1641</v>
      </c>
      <c r="H813" s="14"/>
      <c r="I813" s="14"/>
      <c r="J813" s="14" t="s">
        <v>10</v>
      </c>
      <c r="K813" s="14" t="s">
        <v>173</v>
      </c>
      <c r="L813" s="14" t="s">
        <v>9</v>
      </c>
      <c r="M813" s="14" t="s">
        <v>9</v>
      </c>
      <c r="N813" s="14">
        <v>1302</v>
      </c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s="3" customFormat="1" hidden="1" outlineLevel="1" x14ac:dyDescent="0.25">
      <c r="A814" s="14"/>
      <c r="B814" s="28" t="s">
        <v>206</v>
      </c>
      <c r="C814" s="29" t="s">
        <v>1642</v>
      </c>
      <c r="D814" s="29" t="s">
        <v>1539</v>
      </c>
      <c r="E814" s="29">
        <v>0</v>
      </c>
      <c r="F814" s="29" t="s">
        <v>1470</v>
      </c>
      <c r="G814" s="24" t="s">
        <v>1643</v>
      </c>
      <c r="H814" s="14"/>
      <c r="I814" s="14"/>
      <c r="J814" s="14" t="s">
        <v>20</v>
      </c>
      <c r="K814" s="14" t="s">
        <v>445</v>
      </c>
      <c r="L814" s="14" t="s">
        <v>446</v>
      </c>
      <c r="M814" s="14" t="s">
        <v>446</v>
      </c>
      <c r="N814" s="14">
        <v>1306</v>
      </c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s="3" customFormat="1" hidden="1" outlineLevel="1" x14ac:dyDescent="0.25">
      <c r="A815" s="14"/>
      <c r="B815" s="28" t="s">
        <v>207</v>
      </c>
      <c r="C815" s="29" t="s">
        <v>1644</v>
      </c>
      <c r="D815" s="29" t="s">
        <v>1486</v>
      </c>
      <c r="E815" s="29">
        <v>0</v>
      </c>
      <c r="F815" s="29" t="s">
        <v>1470</v>
      </c>
      <c r="G815" s="24" t="s">
        <v>1645</v>
      </c>
      <c r="H815" s="14"/>
      <c r="I815" s="14"/>
      <c r="J815" s="14" t="s">
        <v>20</v>
      </c>
      <c r="K815" s="14" t="s">
        <v>445</v>
      </c>
      <c r="L815" s="14" t="s">
        <v>446</v>
      </c>
      <c r="M815" s="14" t="s">
        <v>446</v>
      </c>
      <c r="N815" s="14">
        <v>1310</v>
      </c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s="3" customFormat="1" hidden="1" outlineLevel="1" x14ac:dyDescent="0.25">
      <c r="A816" s="14"/>
      <c r="B816" s="195" t="s">
        <v>208</v>
      </c>
      <c r="C816" s="183" t="s">
        <v>1646</v>
      </c>
      <c r="D816" s="183" t="s">
        <v>1469</v>
      </c>
      <c r="E816" s="183" t="s">
        <v>1480</v>
      </c>
      <c r="F816" s="183" t="s">
        <v>1481</v>
      </c>
      <c r="G816" s="184" t="s">
        <v>1647</v>
      </c>
      <c r="H816" s="14"/>
      <c r="I816" s="14"/>
      <c r="J816" s="14" t="s">
        <v>10</v>
      </c>
      <c r="K816" s="14" t="s">
        <v>173</v>
      </c>
      <c r="L816" s="14" t="s">
        <v>9</v>
      </c>
      <c r="M816" s="14" t="s">
        <v>9</v>
      </c>
      <c r="N816" s="14">
        <v>1184</v>
      </c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s="3" customFormat="1" hidden="1" outlineLevel="1" x14ac:dyDescent="0.25">
      <c r="A817" s="14"/>
      <c r="B817" s="195" t="s">
        <v>209</v>
      </c>
      <c r="C817" s="183" t="s">
        <v>1648</v>
      </c>
      <c r="D817" s="183" t="s">
        <v>1469</v>
      </c>
      <c r="E817" s="183" t="s">
        <v>1549</v>
      </c>
      <c r="F817" s="183" t="s">
        <v>1481</v>
      </c>
      <c r="G817" s="184" t="s">
        <v>1649</v>
      </c>
      <c r="H817" s="14"/>
      <c r="I817" s="14"/>
      <c r="J817" s="14" t="s">
        <v>10</v>
      </c>
      <c r="K817" s="14" t="s">
        <v>173</v>
      </c>
      <c r="L817" s="14" t="s">
        <v>9</v>
      </c>
      <c r="M817" s="14" t="s">
        <v>9</v>
      </c>
      <c r="N817" s="14">
        <v>1185</v>
      </c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s="3" customFormat="1" hidden="1" outlineLevel="1" x14ac:dyDescent="0.25">
      <c r="A818" s="14"/>
      <c r="B818" s="195" t="s">
        <v>210</v>
      </c>
      <c r="C818" s="183" t="s">
        <v>1650</v>
      </c>
      <c r="D818" s="183" t="s">
        <v>1567</v>
      </c>
      <c r="E818" s="183">
        <v>0</v>
      </c>
      <c r="F818" s="183"/>
      <c r="G818" s="184"/>
      <c r="H818" s="14"/>
      <c r="I818" s="14"/>
      <c r="J818" s="14" t="s">
        <v>12</v>
      </c>
      <c r="K818" s="14" t="s">
        <v>174</v>
      </c>
      <c r="L818" s="14" t="s">
        <v>175</v>
      </c>
      <c r="M818" s="14" t="s">
        <v>176</v>
      </c>
      <c r="N818" s="14">
        <v>1189</v>
      </c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s="3" customFormat="1" hidden="1" outlineLevel="1" x14ac:dyDescent="0.25">
      <c r="A819" s="14"/>
      <c r="B819" s="28" t="s">
        <v>211</v>
      </c>
      <c r="C819" s="29" t="s">
        <v>1651</v>
      </c>
      <c r="D819" s="29" t="s">
        <v>1652</v>
      </c>
      <c r="E819" s="29" t="s">
        <v>1594</v>
      </c>
      <c r="F819" s="29" t="s">
        <v>1470</v>
      </c>
      <c r="G819" s="30" t="s">
        <v>1653</v>
      </c>
      <c r="H819" s="14"/>
      <c r="I819" s="14"/>
      <c r="J819" s="14" t="s">
        <v>10</v>
      </c>
      <c r="K819" s="14" t="s">
        <v>173</v>
      </c>
      <c r="L819" s="14" t="s">
        <v>9</v>
      </c>
      <c r="M819" s="14" t="s">
        <v>9</v>
      </c>
      <c r="N819" s="14">
        <v>1173</v>
      </c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s="3" customFormat="1" hidden="1" outlineLevel="1" x14ac:dyDescent="0.25">
      <c r="A820" s="14"/>
      <c r="B820" s="28" t="s">
        <v>212</v>
      </c>
      <c r="C820" s="29" t="s">
        <v>1654</v>
      </c>
      <c r="D820" s="29" t="s">
        <v>1486</v>
      </c>
      <c r="E820" s="29">
        <v>0</v>
      </c>
      <c r="F820" s="29" t="s">
        <v>1470</v>
      </c>
      <c r="G820" s="24" t="s">
        <v>1655</v>
      </c>
      <c r="H820" s="14"/>
      <c r="I820" s="14"/>
      <c r="J820" s="14" t="s">
        <v>20</v>
      </c>
      <c r="K820" s="14" t="s">
        <v>445</v>
      </c>
      <c r="L820" s="14" t="s">
        <v>446</v>
      </c>
      <c r="M820" s="14" t="s">
        <v>446</v>
      </c>
      <c r="N820" s="14">
        <v>1188</v>
      </c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s="3" customFormat="1" hidden="1" outlineLevel="1" x14ac:dyDescent="0.25">
      <c r="A821" s="14"/>
      <c r="B821" s="185" t="s">
        <v>213</v>
      </c>
      <c r="C821" s="23" t="s">
        <v>1656</v>
      </c>
      <c r="D821" s="23" t="s">
        <v>1489</v>
      </c>
      <c r="E821" s="23">
        <v>0</v>
      </c>
      <c r="F821" s="23" t="s">
        <v>1470</v>
      </c>
      <c r="G821" s="24" t="s">
        <v>1657</v>
      </c>
      <c r="H821" s="14"/>
      <c r="I821" s="14"/>
      <c r="J821" s="14" t="s">
        <v>20</v>
      </c>
      <c r="K821" s="14" t="s">
        <v>445</v>
      </c>
      <c r="L821" s="14" t="s">
        <v>446</v>
      </c>
      <c r="M821" s="14" t="s">
        <v>446</v>
      </c>
      <c r="N821" s="14">
        <v>1180</v>
      </c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s="3" customFormat="1" hidden="1" outlineLevel="1" x14ac:dyDescent="0.25">
      <c r="A822" s="14"/>
      <c r="B822" s="28" t="s">
        <v>22</v>
      </c>
      <c r="C822" s="23" t="s">
        <v>1488</v>
      </c>
      <c r="D822" s="23" t="s">
        <v>1489</v>
      </c>
      <c r="E822" s="23">
        <v>0</v>
      </c>
      <c r="F822" s="23" t="s">
        <v>1470</v>
      </c>
      <c r="G822" s="24" t="s">
        <v>1490</v>
      </c>
      <c r="H822" s="14"/>
      <c r="I822" s="14"/>
      <c r="J822" s="14" t="s">
        <v>20</v>
      </c>
      <c r="K822" s="14" t="s">
        <v>445</v>
      </c>
      <c r="L822" s="14" t="s">
        <v>446</v>
      </c>
      <c r="M822" s="14" t="s">
        <v>446</v>
      </c>
      <c r="N822" s="14">
        <v>2052</v>
      </c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s="3" customFormat="1" hidden="1" outlineLevel="1" x14ac:dyDescent="0.25">
      <c r="A823" s="14"/>
      <c r="B823" s="28" t="s">
        <v>214</v>
      </c>
      <c r="C823" s="23" t="s">
        <v>1658</v>
      </c>
      <c r="D823" s="23" t="s">
        <v>1489</v>
      </c>
      <c r="E823" s="23">
        <v>0</v>
      </c>
      <c r="F823" s="23" t="s">
        <v>1470</v>
      </c>
      <c r="G823" s="24" t="s">
        <v>1659</v>
      </c>
      <c r="H823" s="14"/>
      <c r="I823" s="14"/>
      <c r="J823" s="14" t="s">
        <v>20</v>
      </c>
      <c r="K823" s="14" t="s">
        <v>445</v>
      </c>
      <c r="L823" s="14" t="s">
        <v>446</v>
      </c>
      <c r="M823" s="14" t="s">
        <v>446</v>
      </c>
      <c r="N823" s="14">
        <v>2345</v>
      </c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s="3" customFormat="1" hidden="1" outlineLevel="1" x14ac:dyDescent="0.25">
      <c r="A824" s="14"/>
      <c r="B824" s="28" t="s">
        <v>215</v>
      </c>
      <c r="C824" s="23" t="s">
        <v>1660</v>
      </c>
      <c r="D824" s="23" t="s">
        <v>1489</v>
      </c>
      <c r="E824" s="23">
        <v>0</v>
      </c>
      <c r="F824" s="23" t="s">
        <v>1470</v>
      </c>
      <c r="G824" s="24"/>
      <c r="H824" s="14"/>
      <c r="I824" s="14"/>
      <c r="J824" s="14" t="s">
        <v>20</v>
      </c>
      <c r="K824" s="14" t="s">
        <v>445</v>
      </c>
      <c r="L824" s="14" t="s">
        <v>446</v>
      </c>
      <c r="M824" s="14" t="s">
        <v>446</v>
      </c>
      <c r="N824" s="14">
        <v>1518</v>
      </c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s="3" customFormat="1" hidden="1" outlineLevel="1" x14ac:dyDescent="0.25">
      <c r="A825" s="14"/>
      <c r="B825" s="28" t="s">
        <v>216</v>
      </c>
      <c r="C825" s="23" t="s">
        <v>1661</v>
      </c>
      <c r="D825" s="23" t="s">
        <v>1489</v>
      </c>
      <c r="E825" s="23">
        <v>0</v>
      </c>
      <c r="F825" s="23" t="s">
        <v>1470</v>
      </c>
      <c r="G825" s="24" t="s">
        <v>1662</v>
      </c>
      <c r="H825" s="14"/>
      <c r="I825" s="14"/>
      <c r="J825" s="14" t="s">
        <v>20</v>
      </c>
      <c r="K825" s="14" t="s">
        <v>445</v>
      </c>
      <c r="L825" s="14" t="s">
        <v>446</v>
      </c>
      <c r="M825" s="14" t="s">
        <v>446</v>
      </c>
      <c r="N825" s="14">
        <v>1735</v>
      </c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s="3" customFormat="1" hidden="1" outlineLevel="1" x14ac:dyDescent="0.25">
      <c r="A826" s="14"/>
      <c r="B826" s="28" t="s">
        <v>217</v>
      </c>
      <c r="C826" s="23" t="s">
        <v>1663</v>
      </c>
      <c r="D826" s="23" t="s">
        <v>1489</v>
      </c>
      <c r="E826" s="23">
        <v>0</v>
      </c>
      <c r="F826" s="23" t="s">
        <v>1470</v>
      </c>
      <c r="G826" s="24" t="s">
        <v>1664</v>
      </c>
      <c r="H826" s="14"/>
      <c r="I826" s="14"/>
      <c r="J826" s="14" t="s">
        <v>20</v>
      </c>
      <c r="K826" s="14" t="s">
        <v>445</v>
      </c>
      <c r="L826" s="14" t="s">
        <v>446</v>
      </c>
      <c r="M826" s="14" t="s">
        <v>446</v>
      </c>
      <c r="N826" s="14">
        <v>2424</v>
      </c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s="3" customFormat="1" hidden="1" outlineLevel="1" x14ac:dyDescent="0.25">
      <c r="A827" s="14"/>
      <c r="B827" s="28" t="s">
        <v>218</v>
      </c>
      <c r="C827" s="23" t="s">
        <v>1665</v>
      </c>
      <c r="D827" s="23" t="s">
        <v>1489</v>
      </c>
      <c r="E827" s="23">
        <v>0</v>
      </c>
      <c r="F827" s="23" t="s">
        <v>1470</v>
      </c>
      <c r="G827" s="24" t="s">
        <v>1666</v>
      </c>
      <c r="H827" s="14"/>
      <c r="I827" s="14"/>
      <c r="J827" s="14" t="s">
        <v>20</v>
      </c>
      <c r="K827" s="14" t="s">
        <v>445</v>
      </c>
      <c r="L827" s="14" t="s">
        <v>446</v>
      </c>
      <c r="M827" s="14" t="s">
        <v>446</v>
      </c>
      <c r="N827" s="14">
        <v>1994</v>
      </c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s="3" customFormat="1" hidden="1" outlineLevel="1" x14ac:dyDescent="0.25">
      <c r="A828" s="14"/>
      <c r="B828" s="28" t="s">
        <v>219</v>
      </c>
      <c r="C828" s="23" t="s">
        <v>1667</v>
      </c>
      <c r="D828" s="23" t="s">
        <v>1489</v>
      </c>
      <c r="E828" s="23">
        <v>0</v>
      </c>
      <c r="F828" s="23" t="s">
        <v>1470</v>
      </c>
      <c r="G828" s="24" t="s">
        <v>1668</v>
      </c>
      <c r="H828" s="14"/>
      <c r="I828" s="14"/>
      <c r="J828" s="14" t="s">
        <v>20</v>
      </c>
      <c r="K828" s="14" t="s">
        <v>445</v>
      </c>
      <c r="L828" s="14" t="s">
        <v>446</v>
      </c>
      <c r="M828" s="14" t="s">
        <v>446</v>
      </c>
      <c r="N828" s="14">
        <v>1692</v>
      </c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s="3" customFormat="1" hidden="1" outlineLevel="1" x14ac:dyDescent="0.25">
      <c r="A829" s="14"/>
      <c r="B829" s="28" t="s">
        <v>220</v>
      </c>
      <c r="C829" s="23" t="s">
        <v>1669</v>
      </c>
      <c r="D829" s="23" t="s">
        <v>1489</v>
      </c>
      <c r="E829" s="23">
        <v>0</v>
      </c>
      <c r="F829" s="23" t="s">
        <v>1470</v>
      </c>
      <c r="G829" s="24" t="s">
        <v>1670</v>
      </c>
      <c r="H829" s="14"/>
      <c r="I829" s="14"/>
      <c r="J829" s="14" t="s">
        <v>20</v>
      </c>
      <c r="K829" s="14" t="s">
        <v>445</v>
      </c>
      <c r="L829" s="14" t="s">
        <v>446</v>
      </c>
      <c r="M829" s="14" t="s">
        <v>446</v>
      </c>
      <c r="N829" s="14">
        <v>1996</v>
      </c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s="6" customFormat="1" hidden="1" outlineLevel="1" x14ac:dyDescent="0.25">
      <c r="A830" s="14"/>
      <c r="B830" s="28" t="s">
        <v>128</v>
      </c>
      <c r="C830" s="23" t="s">
        <v>1566</v>
      </c>
      <c r="D830" s="23" t="s">
        <v>1567</v>
      </c>
      <c r="E830" s="23">
        <v>0</v>
      </c>
      <c r="F830" s="23" t="s">
        <v>1470</v>
      </c>
      <c r="G830" s="24"/>
      <c r="H830" s="14"/>
      <c r="I830" s="14"/>
      <c r="J830" s="14" t="s">
        <v>12</v>
      </c>
      <c r="K830" s="14" t="s">
        <v>174</v>
      </c>
      <c r="L830" s="14" t="s">
        <v>175</v>
      </c>
      <c r="M830" s="14" t="s">
        <v>176</v>
      </c>
      <c r="N830" s="14">
        <v>1629</v>
      </c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s="6" customFormat="1" hidden="1" outlineLevel="1" x14ac:dyDescent="0.25">
      <c r="A831" s="14"/>
      <c r="B831" s="28" t="s">
        <v>221</v>
      </c>
      <c r="C831" s="23" t="s">
        <v>1671</v>
      </c>
      <c r="D831" s="23" t="s">
        <v>1616</v>
      </c>
      <c r="E831" s="23" t="s">
        <v>1617</v>
      </c>
      <c r="F831" s="23" t="s">
        <v>1476</v>
      </c>
      <c r="G831" s="24" t="s">
        <v>1672</v>
      </c>
      <c r="H831" s="14"/>
      <c r="I831" s="14"/>
      <c r="J831" s="14" t="s">
        <v>187</v>
      </c>
      <c r="K831" s="14" t="s">
        <v>438</v>
      </c>
      <c r="L831" s="14" t="s">
        <v>537</v>
      </c>
      <c r="M831" s="14" t="s">
        <v>187</v>
      </c>
      <c r="N831" s="14">
        <v>1073</v>
      </c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s="6" customFormat="1" hidden="1" outlineLevel="1" x14ac:dyDescent="0.25">
      <c r="A832" s="14"/>
      <c r="B832" s="28" t="s">
        <v>185</v>
      </c>
      <c r="C832" s="23" t="s">
        <v>1604</v>
      </c>
      <c r="D832" s="23" t="s">
        <v>1469</v>
      </c>
      <c r="E832" s="23">
        <v>0</v>
      </c>
      <c r="F832" s="23" t="s">
        <v>1470</v>
      </c>
      <c r="G832" s="24"/>
      <c r="H832" s="14"/>
      <c r="I832" s="14"/>
      <c r="J832" s="14" t="s">
        <v>10</v>
      </c>
      <c r="K832" s="14" t="s">
        <v>173</v>
      </c>
      <c r="L832" s="14" t="s">
        <v>9</v>
      </c>
      <c r="M832" s="14" t="s">
        <v>9</v>
      </c>
      <c r="N832" s="14">
        <v>2330</v>
      </c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s="6" customFormat="1" hidden="1" outlineLevel="1" x14ac:dyDescent="0.25">
      <c r="A833" s="14"/>
      <c r="B833" s="28" t="s">
        <v>222</v>
      </c>
      <c r="C833" s="23" t="s">
        <v>1673</v>
      </c>
      <c r="D833" s="23" t="s">
        <v>1652</v>
      </c>
      <c r="E833" s="23" t="s">
        <v>1594</v>
      </c>
      <c r="F833" s="23" t="s">
        <v>1470</v>
      </c>
      <c r="G833" s="24"/>
      <c r="H833" s="14"/>
      <c r="I833" s="14"/>
      <c r="J833" s="14" t="s">
        <v>187</v>
      </c>
      <c r="K833" s="14" t="s">
        <v>438</v>
      </c>
      <c r="L833" s="14" t="s">
        <v>537</v>
      </c>
      <c r="M833" s="14" t="s">
        <v>187</v>
      </c>
      <c r="N833" s="14">
        <v>2331</v>
      </c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s="6" customFormat="1" hidden="1" outlineLevel="1" x14ac:dyDescent="0.25">
      <c r="A834" s="14"/>
      <c r="B834" s="185" t="s">
        <v>223</v>
      </c>
      <c r="C834" s="23" t="s">
        <v>1674</v>
      </c>
      <c r="D834" s="23" t="s">
        <v>1494</v>
      </c>
      <c r="E834" s="23">
        <v>0</v>
      </c>
      <c r="F834" s="23" t="s">
        <v>1470</v>
      </c>
      <c r="G834" s="24"/>
      <c r="H834" s="14"/>
      <c r="I834" s="14"/>
      <c r="J834" s="14" t="s">
        <v>20</v>
      </c>
      <c r="K834" s="14" t="s">
        <v>445</v>
      </c>
      <c r="L834" s="14" t="s">
        <v>446</v>
      </c>
      <c r="M834" s="14" t="s">
        <v>446</v>
      </c>
      <c r="N834" s="14">
        <v>2398</v>
      </c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s="6" customFormat="1" hidden="1" outlineLevel="1" x14ac:dyDescent="0.25">
      <c r="A835" s="14"/>
      <c r="B835" s="185" t="s">
        <v>224</v>
      </c>
      <c r="C835" s="23" t="s">
        <v>1675</v>
      </c>
      <c r="D835" s="23" t="s">
        <v>1469</v>
      </c>
      <c r="E835" s="23">
        <v>0</v>
      </c>
      <c r="F835" s="23" t="s">
        <v>1476</v>
      </c>
      <c r="G835" s="24"/>
      <c r="H835" s="14"/>
      <c r="I835" s="14"/>
      <c r="J835" s="14" t="s">
        <v>10</v>
      </c>
      <c r="K835" s="14" t="s">
        <v>173</v>
      </c>
      <c r="L835" s="14" t="s">
        <v>9</v>
      </c>
      <c r="M835" s="14" t="s">
        <v>9</v>
      </c>
      <c r="N835" s="14">
        <v>1737</v>
      </c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s="6" customFormat="1" hidden="1" outlineLevel="1" x14ac:dyDescent="0.25">
      <c r="A836" s="14"/>
      <c r="B836" s="28" t="s">
        <v>225</v>
      </c>
      <c r="C836" s="23" t="s">
        <v>1676</v>
      </c>
      <c r="D836" s="23" t="s">
        <v>1489</v>
      </c>
      <c r="E836" s="23">
        <v>0</v>
      </c>
      <c r="F836" s="23" t="s">
        <v>1470</v>
      </c>
      <c r="G836" s="24"/>
      <c r="H836" s="14"/>
      <c r="I836" s="14"/>
      <c r="J836" s="14" t="s">
        <v>20</v>
      </c>
      <c r="K836" s="14" t="s">
        <v>445</v>
      </c>
      <c r="L836" s="14" t="s">
        <v>446</v>
      </c>
      <c r="M836" s="14" t="s">
        <v>446</v>
      </c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s="6" customFormat="1" hidden="1" outlineLevel="1" x14ac:dyDescent="0.25">
      <c r="A837" s="14"/>
      <c r="B837" s="185" t="s">
        <v>226</v>
      </c>
      <c r="C837" s="23" t="s">
        <v>1677</v>
      </c>
      <c r="D837" s="23" t="s">
        <v>1539</v>
      </c>
      <c r="E837" s="23">
        <v>0</v>
      </c>
      <c r="F837" s="23" t="s">
        <v>1470</v>
      </c>
      <c r="G837" s="24"/>
      <c r="H837" s="14"/>
      <c r="I837" s="14"/>
      <c r="J837" s="14" t="s">
        <v>20</v>
      </c>
      <c r="K837" s="14" t="s">
        <v>445</v>
      </c>
      <c r="L837" s="14" t="s">
        <v>446</v>
      </c>
      <c r="M837" s="14" t="s">
        <v>446</v>
      </c>
      <c r="N837" s="14">
        <v>1182</v>
      </c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s="6" customFormat="1" hidden="1" outlineLevel="1" x14ac:dyDescent="0.25">
      <c r="A838" s="14"/>
      <c r="B838" s="185" t="s">
        <v>194</v>
      </c>
      <c r="C838" s="312" t="s">
        <v>1618</v>
      </c>
      <c r="D838" s="312" t="s">
        <v>1469</v>
      </c>
      <c r="E838" s="312">
        <v>0</v>
      </c>
      <c r="F838" s="312"/>
      <c r="G838" s="313" t="s">
        <v>1619</v>
      </c>
      <c r="H838" s="14"/>
      <c r="I838" s="14"/>
      <c r="J838" s="14" t="s">
        <v>10</v>
      </c>
      <c r="K838" s="14" t="s">
        <v>173</v>
      </c>
      <c r="L838" s="14" t="s">
        <v>9</v>
      </c>
      <c r="M838" s="14" t="s">
        <v>9</v>
      </c>
      <c r="N838" s="14">
        <v>3169</v>
      </c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s="6" customFormat="1" ht="16.2" hidden="1" outlineLevel="1" thickBot="1" x14ac:dyDescent="0.3">
      <c r="A839" s="14"/>
      <c r="B839" s="185" t="s">
        <v>195</v>
      </c>
      <c r="C839" s="312" t="s">
        <v>1620</v>
      </c>
      <c r="D839" s="312" t="s">
        <v>1469</v>
      </c>
      <c r="E839" s="312">
        <v>0</v>
      </c>
      <c r="F839" s="312"/>
      <c r="G839" s="313" t="s">
        <v>1621</v>
      </c>
      <c r="H839" s="14"/>
      <c r="I839" s="14"/>
      <c r="J839" s="14" t="s">
        <v>10</v>
      </c>
      <c r="K839" s="14" t="s">
        <v>173</v>
      </c>
      <c r="L839" s="14" t="s">
        <v>9</v>
      </c>
      <c r="M839" s="14" t="s">
        <v>9</v>
      </c>
      <c r="N839" s="14">
        <v>3168</v>
      </c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s="6" customFormat="1" hidden="1" outlineLevel="1" x14ac:dyDescent="0.25">
      <c r="A840" s="14"/>
      <c r="B840" s="401" t="s">
        <v>28</v>
      </c>
      <c r="C840" s="402"/>
      <c r="D840" s="402"/>
      <c r="E840" s="402"/>
      <c r="F840" s="402"/>
      <c r="G840" s="403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s="6" customFormat="1" hidden="1" outlineLevel="1" x14ac:dyDescent="0.25">
      <c r="A841" s="14"/>
      <c r="B841" s="25" t="s">
        <v>2</v>
      </c>
      <c r="C841" s="26" t="s">
        <v>3</v>
      </c>
      <c r="D841" s="26" t="s">
        <v>4</v>
      </c>
      <c r="E841" s="26" t="s">
        <v>5</v>
      </c>
      <c r="F841" s="26"/>
      <c r="G841" s="27" t="s">
        <v>6</v>
      </c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s="6" customFormat="1" ht="16.2" hidden="1" outlineLevel="1" thickBot="1" x14ac:dyDescent="0.3">
      <c r="A842" s="14"/>
      <c r="B842" s="182"/>
      <c r="C842" s="314"/>
      <c r="D842" s="314"/>
      <c r="E842" s="314"/>
      <c r="F842" s="314"/>
      <c r="G842" s="315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s="6" customFormat="1" hidden="1" outlineLevel="1" x14ac:dyDescent="0.25">
      <c r="A843" s="14"/>
      <c r="B843" s="401" t="s">
        <v>29</v>
      </c>
      <c r="C843" s="402"/>
      <c r="D843" s="402"/>
      <c r="E843" s="402"/>
      <c r="F843" s="402"/>
      <c r="G843" s="403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s="6" customFormat="1" hidden="1" outlineLevel="1" x14ac:dyDescent="0.25">
      <c r="A844" s="14"/>
      <c r="B844" s="83" t="s">
        <v>578</v>
      </c>
      <c r="C844" s="274"/>
      <c r="D844" s="274"/>
      <c r="E844" s="274"/>
      <c r="F844" s="274"/>
      <c r="G844" s="275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s="6" customFormat="1" hidden="1" outlineLevel="1" x14ac:dyDescent="0.25">
      <c r="A845" s="14"/>
      <c r="B845" s="83" t="s">
        <v>579</v>
      </c>
      <c r="C845" s="274"/>
      <c r="D845" s="274"/>
      <c r="E845" s="274"/>
      <c r="F845" s="274"/>
      <c r="G845" s="275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s="6" customFormat="1" hidden="1" outlineLevel="1" x14ac:dyDescent="0.25">
      <c r="A846" s="14"/>
      <c r="B846" s="83" t="s">
        <v>561</v>
      </c>
      <c r="C846" s="274"/>
      <c r="D846" s="274"/>
      <c r="E846" s="274"/>
      <c r="F846" s="274"/>
      <c r="G846" s="275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s="7" customFormat="1" ht="16.5" hidden="1" customHeight="1" outlineLevel="1" x14ac:dyDescent="0.25">
      <c r="A847" s="14"/>
      <c r="B847" s="308" t="s">
        <v>559</v>
      </c>
      <c r="C847" s="309"/>
      <c r="D847" s="309"/>
      <c r="E847" s="309"/>
      <c r="F847" s="309"/>
      <c r="G847" s="310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s="7" customFormat="1" ht="17.399999999999999" hidden="1" customHeight="1" outlineLevel="1" thickBot="1" x14ac:dyDescent="0.3">
      <c r="A848" s="14"/>
      <c r="B848" s="305" t="s">
        <v>560</v>
      </c>
      <c r="C848" s="306"/>
      <c r="D848" s="306"/>
      <c r="E848" s="306"/>
      <c r="F848" s="306"/>
      <c r="G848" s="307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s="7" customFormat="1" ht="16.5" hidden="1" customHeight="1" outlineLevel="1" x14ac:dyDescent="0.25">
      <c r="A849" s="14"/>
      <c r="B849" s="308" t="s">
        <v>561</v>
      </c>
      <c r="C849" s="309"/>
      <c r="D849" s="309"/>
      <c r="E849" s="309"/>
      <c r="F849" s="309"/>
      <c r="G849" s="310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s="6" customFormat="1" hidden="1" outlineLevel="1" x14ac:dyDescent="0.25">
      <c r="A850" s="14"/>
      <c r="B850" s="83" t="s">
        <v>580</v>
      </c>
      <c r="C850" s="274"/>
      <c r="D850" s="274"/>
      <c r="E850" s="274"/>
      <c r="F850" s="274"/>
      <c r="G850" s="275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s="6" customFormat="1" hidden="1" outlineLevel="1" x14ac:dyDescent="0.25">
      <c r="A851" s="14"/>
      <c r="B851" s="83" t="s">
        <v>581</v>
      </c>
      <c r="C851" s="274"/>
      <c r="D851" s="274"/>
      <c r="E851" s="274"/>
      <c r="F851" s="274"/>
      <c r="G851" s="275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s="6" customFormat="1" hidden="1" outlineLevel="1" x14ac:dyDescent="0.25">
      <c r="A852" s="14"/>
      <c r="B852" s="83" t="s">
        <v>582</v>
      </c>
      <c r="C852" s="274"/>
      <c r="D852" s="274"/>
      <c r="E852" s="274"/>
      <c r="F852" s="274"/>
      <c r="G852" s="275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s="6" customFormat="1" hidden="1" outlineLevel="1" x14ac:dyDescent="0.25">
      <c r="A853" s="14"/>
      <c r="B853" s="83" t="s">
        <v>583</v>
      </c>
      <c r="C853" s="274"/>
      <c r="D853" s="274"/>
      <c r="E853" s="274"/>
      <c r="F853" s="274"/>
      <c r="G853" s="275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s="6" customFormat="1" hidden="1" outlineLevel="1" x14ac:dyDescent="0.25">
      <c r="A854" s="14"/>
      <c r="B854" s="83" t="s">
        <v>584</v>
      </c>
      <c r="C854" s="274"/>
      <c r="D854" s="274"/>
      <c r="E854" s="274"/>
      <c r="F854" s="274"/>
      <c r="G854" s="275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s="6" customFormat="1" hidden="1" outlineLevel="1" x14ac:dyDescent="0.25">
      <c r="A855" s="14"/>
      <c r="B855" s="83" t="s">
        <v>2078</v>
      </c>
      <c r="C855" s="274"/>
      <c r="D855" s="274"/>
      <c r="E855" s="274"/>
      <c r="F855" s="274"/>
      <c r="G855" s="275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s="6" customFormat="1" hidden="1" outlineLevel="1" x14ac:dyDescent="0.25">
      <c r="A856" s="14"/>
      <c r="B856" s="83" t="s">
        <v>2079</v>
      </c>
      <c r="C856" s="274"/>
      <c r="D856" s="274"/>
      <c r="E856" s="274"/>
      <c r="F856" s="274"/>
      <c r="G856" s="275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s="6" customFormat="1" hidden="1" outlineLevel="1" x14ac:dyDescent="0.25">
      <c r="A857" s="14"/>
      <c r="B857" s="83" t="s">
        <v>585</v>
      </c>
      <c r="C857" s="274"/>
      <c r="D857" s="274"/>
      <c r="E857" s="274"/>
      <c r="F857" s="274"/>
      <c r="G857" s="275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s="6" customFormat="1" hidden="1" outlineLevel="1" x14ac:dyDescent="0.25">
      <c r="A858" s="14"/>
      <c r="B858" s="83" t="s">
        <v>586</v>
      </c>
      <c r="C858" s="274"/>
      <c r="D858" s="274"/>
      <c r="E858" s="274"/>
      <c r="F858" s="274"/>
      <c r="G858" s="275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s="6" customFormat="1" hidden="1" outlineLevel="1" x14ac:dyDescent="0.25">
      <c r="A859" s="14"/>
      <c r="B859" s="83" t="s">
        <v>587</v>
      </c>
      <c r="C859" s="274"/>
      <c r="D859" s="274"/>
      <c r="E859" s="274"/>
      <c r="F859" s="274"/>
      <c r="G859" s="275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s="6" customFormat="1" hidden="1" outlineLevel="1" x14ac:dyDescent="0.25">
      <c r="A860" s="14"/>
      <c r="B860" s="83" t="s">
        <v>588</v>
      </c>
      <c r="C860" s="274"/>
      <c r="D860" s="274"/>
      <c r="E860" s="274"/>
      <c r="F860" s="274"/>
      <c r="G860" s="275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s="6" customFormat="1" hidden="1" outlineLevel="1" x14ac:dyDescent="0.25">
      <c r="A861" s="14"/>
      <c r="B861" s="83" t="s">
        <v>561</v>
      </c>
      <c r="C861" s="274"/>
      <c r="D861" s="274"/>
      <c r="E861" s="274"/>
      <c r="F861" s="274"/>
      <c r="G861" s="275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s="6" customFormat="1" hidden="1" outlineLevel="1" x14ac:dyDescent="0.25">
      <c r="A862" s="14"/>
      <c r="B862" s="83" t="s">
        <v>2080</v>
      </c>
      <c r="C862" s="274"/>
      <c r="D862" s="274"/>
      <c r="E862" s="274"/>
      <c r="F862" s="274"/>
      <c r="G862" s="275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s="6" customFormat="1" ht="17.399999999999999" hidden="1" customHeight="1" outlineLevel="1" x14ac:dyDescent="0.25">
      <c r="A863" s="14"/>
      <c r="B863" s="83" t="s">
        <v>2081</v>
      </c>
      <c r="C863" s="274"/>
      <c r="D863" s="274"/>
      <c r="E863" s="274"/>
      <c r="F863" s="274"/>
      <c r="G863" s="275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s="6" customFormat="1" hidden="1" outlineLevel="1" x14ac:dyDescent="0.25">
      <c r="A864" s="14"/>
      <c r="B864" s="83" t="s">
        <v>2082</v>
      </c>
      <c r="C864" s="274"/>
      <c r="D864" s="274"/>
      <c r="E864" s="274"/>
      <c r="F864" s="274"/>
      <c r="G864" s="275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s="6" customFormat="1" hidden="1" outlineLevel="1" x14ac:dyDescent="0.25">
      <c r="A865" s="14"/>
      <c r="B865" s="83" t="s">
        <v>2083</v>
      </c>
      <c r="C865" s="274"/>
      <c r="D865" s="274"/>
      <c r="E865" s="274"/>
      <c r="F865" s="274"/>
      <c r="G865" s="275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s="6" customFormat="1" hidden="1" outlineLevel="1" x14ac:dyDescent="0.25">
      <c r="A866" s="14"/>
      <c r="B866" s="83" t="s">
        <v>2084</v>
      </c>
      <c r="C866" s="274"/>
      <c r="D866" s="274"/>
      <c r="E866" s="274"/>
      <c r="F866" s="274"/>
      <c r="G866" s="275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s="6" customFormat="1" hidden="1" outlineLevel="1" x14ac:dyDescent="0.25">
      <c r="A867" s="14"/>
      <c r="B867" s="83" t="s">
        <v>2085</v>
      </c>
      <c r="C867" s="274"/>
      <c r="D867" s="274"/>
      <c r="E867" s="274"/>
      <c r="F867" s="274"/>
      <c r="G867" s="275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s="6" customFormat="1" hidden="1" outlineLevel="1" x14ac:dyDescent="0.25">
      <c r="A868" s="14"/>
      <c r="B868" s="83" t="s">
        <v>2086</v>
      </c>
      <c r="C868" s="274"/>
      <c r="D868" s="274"/>
      <c r="E868" s="274"/>
      <c r="F868" s="274"/>
      <c r="G868" s="275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s="6" customFormat="1" hidden="1" outlineLevel="1" x14ac:dyDescent="0.25">
      <c r="A869" s="14"/>
      <c r="B869" s="83" t="s">
        <v>2087</v>
      </c>
      <c r="C869" s="274"/>
      <c r="D869" s="274"/>
      <c r="E869" s="274"/>
      <c r="F869" s="274"/>
      <c r="G869" s="275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s="6" customFormat="1" hidden="1" outlineLevel="1" x14ac:dyDescent="0.25">
      <c r="A870" s="14"/>
      <c r="B870" s="83" t="s">
        <v>2088</v>
      </c>
      <c r="C870" s="274"/>
      <c r="D870" s="274"/>
      <c r="E870" s="274"/>
      <c r="F870" s="274"/>
      <c r="G870" s="275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s="6" customFormat="1" hidden="1" outlineLevel="1" x14ac:dyDescent="0.25">
      <c r="A871" s="14"/>
      <c r="B871" s="83" t="s">
        <v>2089</v>
      </c>
      <c r="C871" s="274"/>
      <c r="D871" s="274"/>
      <c r="E871" s="274"/>
      <c r="F871" s="274"/>
      <c r="G871" s="275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s="6" customFormat="1" hidden="1" outlineLevel="1" x14ac:dyDescent="0.25">
      <c r="A872" s="14"/>
      <c r="B872" s="83" t="s">
        <v>2090</v>
      </c>
      <c r="C872" s="274"/>
      <c r="D872" s="274"/>
      <c r="E872" s="274"/>
      <c r="F872" s="274"/>
      <c r="G872" s="275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s="6" customFormat="1" hidden="1" outlineLevel="1" x14ac:dyDescent="0.25">
      <c r="A873" s="14"/>
      <c r="B873" s="83" t="s">
        <v>2091</v>
      </c>
      <c r="C873" s="274"/>
      <c r="D873" s="274"/>
      <c r="E873" s="274"/>
      <c r="F873" s="274"/>
      <c r="G873" s="275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s="6" customFormat="1" hidden="1" outlineLevel="1" x14ac:dyDescent="0.25">
      <c r="A874" s="14"/>
      <c r="B874" s="83" t="s">
        <v>589</v>
      </c>
      <c r="C874" s="274"/>
      <c r="D874" s="274"/>
      <c r="E874" s="274"/>
      <c r="F874" s="274"/>
      <c r="G874" s="275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s="6" customFormat="1" hidden="1" outlineLevel="1" x14ac:dyDescent="0.25">
      <c r="A875" s="14"/>
      <c r="B875" s="83" t="s">
        <v>2092</v>
      </c>
      <c r="C875" s="274"/>
      <c r="D875" s="274"/>
      <c r="E875" s="274"/>
      <c r="F875" s="274"/>
      <c r="G875" s="275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s="6" customFormat="1" hidden="1" outlineLevel="1" x14ac:dyDescent="0.25">
      <c r="A876" s="14"/>
      <c r="B876" s="83" t="s">
        <v>561</v>
      </c>
      <c r="C876" s="274"/>
      <c r="D876" s="274"/>
      <c r="E876" s="274"/>
      <c r="F876" s="274"/>
      <c r="G876" s="275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s="6" customFormat="1" hidden="1" outlineLevel="1" x14ac:dyDescent="0.25">
      <c r="A877" s="14"/>
      <c r="B877" s="83" t="s">
        <v>590</v>
      </c>
      <c r="C877" s="274"/>
      <c r="D877" s="274"/>
      <c r="E877" s="274"/>
      <c r="F877" s="274"/>
      <c r="G877" s="275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s="6" customFormat="1" hidden="1" outlineLevel="1" x14ac:dyDescent="0.25">
      <c r="A878" s="14"/>
      <c r="B878" s="83" t="s">
        <v>2093</v>
      </c>
      <c r="C878" s="274"/>
      <c r="D878" s="274"/>
      <c r="E878" s="274"/>
      <c r="F878" s="274"/>
      <c r="G878" s="275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s="6" customFormat="1" hidden="1" outlineLevel="1" x14ac:dyDescent="0.25">
      <c r="A879" s="14"/>
      <c r="B879" s="83" t="s">
        <v>561</v>
      </c>
      <c r="C879" s="274"/>
      <c r="D879" s="274"/>
      <c r="E879" s="274"/>
      <c r="F879" s="274"/>
      <c r="G879" s="275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s="6" customFormat="1" hidden="1" outlineLevel="1" x14ac:dyDescent="0.25">
      <c r="A880" s="14"/>
      <c r="B880" s="83" t="s">
        <v>591</v>
      </c>
      <c r="C880" s="274"/>
      <c r="D880" s="274"/>
      <c r="E880" s="274"/>
      <c r="F880" s="274"/>
      <c r="G880" s="275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s="6" customFormat="1" hidden="1" outlineLevel="1" x14ac:dyDescent="0.25">
      <c r="A881" s="14"/>
      <c r="B881" s="83" t="s">
        <v>592</v>
      </c>
      <c r="C881" s="274"/>
      <c r="D881" s="274"/>
      <c r="E881" s="274"/>
      <c r="F881" s="274"/>
      <c r="G881" s="275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s="6" customFormat="1" hidden="1" outlineLevel="1" x14ac:dyDescent="0.25">
      <c r="A882" s="14"/>
      <c r="B882" s="83" t="s">
        <v>593</v>
      </c>
      <c r="C882" s="274"/>
      <c r="D882" s="274"/>
      <c r="E882" s="274"/>
      <c r="F882" s="274"/>
      <c r="G882" s="275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s="6" customFormat="1" hidden="1" outlineLevel="1" x14ac:dyDescent="0.25">
      <c r="A883" s="14"/>
      <c r="B883" s="83" t="s">
        <v>594</v>
      </c>
      <c r="C883" s="274"/>
      <c r="D883" s="274"/>
      <c r="E883" s="274"/>
      <c r="F883" s="274"/>
      <c r="G883" s="275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s="6" customFormat="1" hidden="1" outlineLevel="1" x14ac:dyDescent="0.25">
      <c r="A884" s="14"/>
      <c r="B884" s="83" t="s">
        <v>595</v>
      </c>
      <c r="C884" s="274"/>
      <c r="D884" s="274"/>
      <c r="E884" s="274"/>
      <c r="F884" s="274"/>
      <c r="G884" s="275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s="6" customFormat="1" hidden="1" outlineLevel="1" x14ac:dyDescent="0.25">
      <c r="A885" s="14"/>
      <c r="B885" s="83" t="s">
        <v>596</v>
      </c>
      <c r="C885" s="274"/>
      <c r="D885" s="274"/>
      <c r="E885" s="274"/>
      <c r="F885" s="274"/>
      <c r="G885" s="275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s="6" customFormat="1" hidden="1" outlineLevel="1" x14ac:dyDescent="0.25">
      <c r="A886" s="14"/>
      <c r="B886" s="83" t="s">
        <v>597</v>
      </c>
      <c r="C886" s="274"/>
      <c r="D886" s="274"/>
      <c r="E886" s="274"/>
      <c r="F886" s="274"/>
      <c r="G886" s="275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s="6" customFormat="1" hidden="1" outlineLevel="1" x14ac:dyDescent="0.25">
      <c r="A887" s="14"/>
      <c r="B887" s="83" t="s">
        <v>598</v>
      </c>
      <c r="C887" s="274"/>
      <c r="D887" s="274"/>
      <c r="E887" s="274"/>
      <c r="F887" s="274"/>
      <c r="G887" s="275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s="6" customFormat="1" hidden="1" outlineLevel="1" x14ac:dyDescent="0.25">
      <c r="A888" s="14"/>
      <c r="B888" s="83" t="s">
        <v>561</v>
      </c>
      <c r="C888" s="274"/>
      <c r="D888" s="274"/>
      <c r="E888" s="274"/>
      <c r="F888" s="274"/>
      <c r="G888" s="275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s="6" customFormat="1" hidden="1" outlineLevel="1" x14ac:dyDescent="0.25">
      <c r="A889" s="14"/>
      <c r="B889" s="83" t="s">
        <v>2094</v>
      </c>
      <c r="C889" s="274"/>
      <c r="D889" s="274"/>
      <c r="E889" s="274"/>
      <c r="F889" s="274"/>
      <c r="G889" s="275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s="6" customFormat="1" hidden="1" outlineLevel="1" x14ac:dyDescent="0.25">
      <c r="A890" s="14"/>
      <c r="B890" s="83" t="s">
        <v>2095</v>
      </c>
      <c r="C890" s="274"/>
      <c r="D890" s="274"/>
      <c r="E890" s="274"/>
      <c r="F890" s="274"/>
      <c r="G890" s="275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s="6" customFormat="1" hidden="1" outlineLevel="1" x14ac:dyDescent="0.25">
      <c r="A891" s="14"/>
      <c r="B891" s="83" t="s">
        <v>599</v>
      </c>
      <c r="C891" s="274"/>
      <c r="D891" s="274"/>
      <c r="E891" s="274"/>
      <c r="F891" s="274"/>
      <c r="G891" s="376" t="s">
        <v>2426</v>
      </c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s="6" customFormat="1" hidden="1" outlineLevel="1" x14ac:dyDescent="0.25">
      <c r="A892" s="14"/>
      <c r="B892" s="83"/>
      <c r="C892" s="274"/>
      <c r="D892" s="274"/>
      <c r="E892" s="274"/>
      <c r="F892" s="274"/>
      <c r="G892" s="275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s="6" customFormat="1" ht="16.2" hidden="1" outlineLevel="1" thickBot="1" x14ac:dyDescent="0.3">
      <c r="A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s="6" customFormat="1" ht="16.2" collapsed="1" thickBot="1" x14ac:dyDescent="0.3">
      <c r="A894" s="14"/>
      <c r="B894" s="15" t="s">
        <v>1279</v>
      </c>
      <c r="C894" s="16" t="s">
        <v>1948</v>
      </c>
      <c r="D894" s="17" t="s">
        <v>1281</v>
      </c>
      <c r="E894" s="16" t="s">
        <v>600</v>
      </c>
      <c r="F894" s="17" t="s">
        <v>1282</v>
      </c>
      <c r="G894" s="192" t="s">
        <v>1949</v>
      </c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s="6" customFormat="1" hidden="1" outlineLevel="1" x14ac:dyDescent="0.25">
      <c r="A895" s="14"/>
      <c r="B895" s="179" t="s">
        <v>1284</v>
      </c>
      <c r="C895" s="29" t="s">
        <v>1285</v>
      </c>
      <c r="D895" s="180" t="s">
        <v>1286</v>
      </c>
      <c r="E895" s="29" t="s">
        <v>1950</v>
      </c>
      <c r="F895" s="180" t="s">
        <v>1288</v>
      </c>
      <c r="G895" s="30" t="s">
        <v>1366</v>
      </c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s="6" customFormat="1" ht="16.2" hidden="1" outlineLevel="1" thickBot="1" x14ac:dyDescent="0.3">
      <c r="A896" s="14"/>
      <c r="B896" s="193" t="s">
        <v>1290</v>
      </c>
      <c r="C896" s="164" t="s">
        <v>1291</v>
      </c>
      <c r="D896" s="194" t="s">
        <v>1292</v>
      </c>
      <c r="E896" s="164">
        <v>5</v>
      </c>
      <c r="F896" s="194" t="s">
        <v>1293</v>
      </c>
      <c r="G896" s="165" t="s">
        <v>1294</v>
      </c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s="6" customFormat="1" hidden="1" outlineLevel="1" x14ac:dyDescent="0.25">
      <c r="A897" s="14"/>
      <c r="B897" s="401" t="s">
        <v>1</v>
      </c>
      <c r="C897" s="402"/>
      <c r="D897" s="402"/>
      <c r="E897" s="402"/>
      <c r="F897" s="402"/>
      <c r="G897" s="403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s="6" customFormat="1" hidden="1" outlineLevel="1" x14ac:dyDescent="0.25">
      <c r="A898" s="14"/>
      <c r="B898" s="25" t="s">
        <v>2</v>
      </c>
      <c r="C898" s="26" t="s">
        <v>3</v>
      </c>
      <c r="D898" s="26" t="s">
        <v>4</v>
      </c>
      <c r="E898" s="26" t="s">
        <v>5</v>
      </c>
      <c r="F898" s="26"/>
      <c r="G898" s="27" t="s">
        <v>6</v>
      </c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s="6" customFormat="1" hidden="1" outlineLevel="1" x14ac:dyDescent="0.25">
      <c r="A899" s="14"/>
      <c r="B899" s="185" t="s">
        <v>73</v>
      </c>
      <c r="C899" s="23" t="s">
        <v>1528</v>
      </c>
      <c r="D899" s="23" t="s">
        <v>1469</v>
      </c>
      <c r="E899" s="23" t="s">
        <v>1480</v>
      </c>
      <c r="F899" s="23" t="s">
        <v>1481</v>
      </c>
      <c r="G899" s="24"/>
      <c r="H899" s="14"/>
      <c r="I899" s="14"/>
      <c r="J899" s="14" t="s">
        <v>10</v>
      </c>
      <c r="K899" s="14" t="s">
        <v>173</v>
      </c>
      <c r="L899" s="14" t="s">
        <v>9</v>
      </c>
      <c r="M899" s="14" t="s">
        <v>9</v>
      </c>
      <c r="N899" s="14">
        <v>1767</v>
      </c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s="6" customFormat="1" hidden="1" outlineLevel="1" x14ac:dyDescent="0.25">
      <c r="A900" s="14"/>
      <c r="B900" s="185" t="s">
        <v>74</v>
      </c>
      <c r="C900" s="23" t="s">
        <v>1529</v>
      </c>
      <c r="D900" s="23" t="s">
        <v>1469</v>
      </c>
      <c r="E900" s="23" t="s">
        <v>1480</v>
      </c>
      <c r="F900" s="23" t="s">
        <v>1481</v>
      </c>
      <c r="G900" s="24"/>
      <c r="H900" s="14"/>
      <c r="I900" s="14"/>
      <c r="J900" s="14" t="s">
        <v>10</v>
      </c>
      <c r="K900" s="14" t="s">
        <v>173</v>
      </c>
      <c r="L900" s="14" t="s">
        <v>9</v>
      </c>
      <c r="M900" s="14" t="s">
        <v>9</v>
      </c>
      <c r="N900" s="14">
        <v>1713</v>
      </c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s="6" customFormat="1" hidden="1" outlineLevel="1" x14ac:dyDescent="0.25">
      <c r="A901" s="14"/>
      <c r="B901" s="185" t="s">
        <v>112</v>
      </c>
      <c r="C901" s="23" t="s">
        <v>1555</v>
      </c>
      <c r="D901" s="23" t="s">
        <v>1469</v>
      </c>
      <c r="E901" s="23">
        <v>0</v>
      </c>
      <c r="F901" s="23" t="s">
        <v>1470</v>
      </c>
      <c r="G901" s="24" t="s">
        <v>1556</v>
      </c>
      <c r="H901" s="14"/>
      <c r="I901" s="14"/>
      <c r="J901" s="14" t="s">
        <v>10</v>
      </c>
      <c r="K901" s="14" t="s">
        <v>173</v>
      </c>
      <c r="L901" s="14" t="s">
        <v>9</v>
      </c>
      <c r="M901" s="14" t="s">
        <v>9</v>
      </c>
      <c r="N901" s="14">
        <v>1606</v>
      </c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s="6" customFormat="1" hidden="1" outlineLevel="1" x14ac:dyDescent="0.25">
      <c r="A902" s="14"/>
      <c r="B902" s="185" t="s">
        <v>185</v>
      </c>
      <c r="C902" s="23" t="s">
        <v>1604</v>
      </c>
      <c r="D902" s="23" t="s">
        <v>1469</v>
      </c>
      <c r="E902" s="23">
        <v>0</v>
      </c>
      <c r="F902" s="23" t="s">
        <v>1470</v>
      </c>
      <c r="G902" s="24"/>
      <c r="H902" s="14"/>
      <c r="I902" s="14"/>
      <c r="J902" s="14" t="s">
        <v>10</v>
      </c>
      <c r="K902" s="14" t="s">
        <v>173</v>
      </c>
      <c r="L902" s="14" t="s">
        <v>9</v>
      </c>
      <c r="M902" s="14" t="s">
        <v>9</v>
      </c>
      <c r="N902" s="14">
        <v>2330</v>
      </c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s="6" customFormat="1" hidden="1" outlineLevel="1" x14ac:dyDescent="0.25">
      <c r="A903" s="14"/>
      <c r="B903" s="185" t="s">
        <v>186</v>
      </c>
      <c r="C903" s="23" t="s">
        <v>1605</v>
      </c>
      <c r="D903" s="23" t="s">
        <v>1606</v>
      </c>
      <c r="E903" s="23" t="s">
        <v>1594</v>
      </c>
      <c r="F903" s="23"/>
      <c r="G903" s="24"/>
      <c r="H903" s="14"/>
      <c r="I903" s="14"/>
      <c r="J903" s="14" t="s">
        <v>187</v>
      </c>
      <c r="K903" s="14" t="s">
        <v>438</v>
      </c>
      <c r="L903" s="14" t="s">
        <v>537</v>
      </c>
      <c r="M903" s="14" t="s">
        <v>187</v>
      </c>
      <c r="N903" s="14">
        <v>2434</v>
      </c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s="6" customFormat="1" hidden="1" outlineLevel="1" x14ac:dyDescent="0.25">
      <c r="A904" s="14"/>
      <c r="B904" s="185" t="s">
        <v>188</v>
      </c>
      <c r="C904" s="23" t="s">
        <v>1607</v>
      </c>
      <c r="D904" s="23" t="s">
        <v>1606</v>
      </c>
      <c r="E904" s="23" t="s">
        <v>1594</v>
      </c>
      <c r="F904" s="23"/>
      <c r="G904" s="24"/>
      <c r="H904" s="14"/>
      <c r="I904" s="14"/>
      <c r="J904" s="14" t="s">
        <v>187</v>
      </c>
      <c r="K904" s="14" t="s">
        <v>438</v>
      </c>
      <c r="L904" s="14" t="s">
        <v>537</v>
      </c>
      <c r="M904" s="14" t="s">
        <v>187</v>
      </c>
      <c r="N904" s="14">
        <v>2156</v>
      </c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s="6" customFormat="1" hidden="1" outlineLevel="1" x14ac:dyDescent="0.25">
      <c r="A905" s="14"/>
      <c r="B905" s="185" t="s">
        <v>15</v>
      </c>
      <c r="C905" s="23" t="s">
        <v>1478</v>
      </c>
      <c r="D905" s="23" t="s">
        <v>1469</v>
      </c>
      <c r="E905" s="23">
        <v>0</v>
      </c>
      <c r="F905" s="23" t="s">
        <v>1470</v>
      </c>
      <c r="G905" s="24"/>
      <c r="H905" s="14"/>
      <c r="I905" s="14"/>
      <c r="J905" s="14" t="s">
        <v>10</v>
      </c>
      <c r="K905" s="14" t="s">
        <v>173</v>
      </c>
      <c r="L905" s="14" t="s">
        <v>9</v>
      </c>
      <c r="M905" s="14" t="s">
        <v>9</v>
      </c>
      <c r="N905" s="14">
        <v>2430</v>
      </c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s="6" customFormat="1" hidden="1" outlineLevel="1" x14ac:dyDescent="0.25">
      <c r="A906" s="14"/>
      <c r="B906" s="185" t="s">
        <v>189</v>
      </c>
      <c r="C906" s="23" t="s">
        <v>1608</v>
      </c>
      <c r="D906" s="23" t="s">
        <v>1609</v>
      </c>
      <c r="E906" s="23" t="s">
        <v>1594</v>
      </c>
      <c r="F906" s="23"/>
      <c r="G906" s="24"/>
      <c r="H906" s="14"/>
      <c r="I906" s="14"/>
      <c r="J906" s="14" t="s">
        <v>187</v>
      </c>
      <c r="K906" s="14" t="s">
        <v>438</v>
      </c>
      <c r="L906" s="14" t="s">
        <v>537</v>
      </c>
      <c r="M906" s="14" t="s">
        <v>187</v>
      </c>
      <c r="N906" s="14">
        <v>1303</v>
      </c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s="6" customFormat="1" hidden="1" outlineLevel="1" x14ac:dyDescent="0.25">
      <c r="A907" s="14"/>
      <c r="B907" s="185" t="s">
        <v>190</v>
      </c>
      <c r="C907" s="23" t="s">
        <v>1610</v>
      </c>
      <c r="D907" s="23" t="s">
        <v>1469</v>
      </c>
      <c r="E907" s="23">
        <v>0</v>
      </c>
      <c r="F907" s="23"/>
      <c r="G907" s="24"/>
      <c r="H907" s="14"/>
      <c r="I907" s="14"/>
      <c r="J907" s="14" t="s">
        <v>10</v>
      </c>
      <c r="K907" s="14" t="s">
        <v>173</v>
      </c>
      <c r="L907" s="14" t="s">
        <v>9</v>
      </c>
      <c r="M907" s="14" t="s">
        <v>9</v>
      </c>
      <c r="N907" s="14">
        <v>1099</v>
      </c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s="6" customFormat="1" hidden="1" outlineLevel="1" x14ac:dyDescent="0.25">
      <c r="A908" s="14"/>
      <c r="B908" s="185" t="s">
        <v>128</v>
      </c>
      <c r="C908" s="23" t="s">
        <v>1566</v>
      </c>
      <c r="D908" s="23" t="s">
        <v>1567</v>
      </c>
      <c r="E908" s="23">
        <v>0</v>
      </c>
      <c r="F908" s="23" t="s">
        <v>1470</v>
      </c>
      <c r="G908" s="24"/>
      <c r="H908" s="14"/>
      <c r="I908" s="14"/>
      <c r="J908" s="14" t="s">
        <v>12</v>
      </c>
      <c r="K908" s="14" t="s">
        <v>174</v>
      </c>
      <c r="L908" s="14" t="s">
        <v>175</v>
      </c>
      <c r="M908" s="14" t="s">
        <v>176</v>
      </c>
      <c r="N908" s="14">
        <v>1629</v>
      </c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s="6" customFormat="1" hidden="1" outlineLevel="1" x14ac:dyDescent="0.25">
      <c r="A909" s="14"/>
      <c r="B909" s="185" t="s">
        <v>114</v>
      </c>
      <c r="C909" s="23" t="s">
        <v>1557</v>
      </c>
      <c r="D909" s="23" t="s">
        <v>1469</v>
      </c>
      <c r="E909" s="23">
        <v>-1</v>
      </c>
      <c r="F909" s="23" t="s">
        <v>1470</v>
      </c>
      <c r="G909" s="24"/>
      <c r="H909" s="14"/>
      <c r="I909" s="14"/>
      <c r="J909" s="14" t="s">
        <v>10</v>
      </c>
      <c r="K909" s="14" t="s">
        <v>173</v>
      </c>
      <c r="L909" s="14" t="s">
        <v>9</v>
      </c>
      <c r="M909" s="14" t="s">
        <v>9</v>
      </c>
      <c r="N909" s="14">
        <v>2449</v>
      </c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s="6" customFormat="1" hidden="1" outlineLevel="1" x14ac:dyDescent="0.25">
      <c r="A910" s="14"/>
      <c r="B910" s="185" t="s">
        <v>191</v>
      </c>
      <c r="C910" s="23" t="s">
        <v>1611</v>
      </c>
      <c r="D910" s="23" t="s">
        <v>1567</v>
      </c>
      <c r="E910" s="23">
        <v>0</v>
      </c>
      <c r="F910" s="23" t="s">
        <v>1470</v>
      </c>
      <c r="G910" s="24" t="s">
        <v>1612</v>
      </c>
      <c r="H910" s="14"/>
      <c r="I910" s="14"/>
      <c r="J910" s="14" t="s">
        <v>12</v>
      </c>
      <c r="K910" s="14" t="s">
        <v>174</v>
      </c>
      <c r="L910" s="14" t="s">
        <v>175</v>
      </c>
      <c r="M910" s="14" t="s">
        <v>176</v>
      </c>
      <c r="N910" s="14">
        <v>2495</v>
      </c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s="6" customFormat="1" hidden="1" outlineLevel="1" x14ac:dyDescent="0.25">
      <c r="A911" s="14"/>
      <c r="B911" s="185" t="s">
        <v>192</v>
      </c>
      <c r="C911" s="23" t="s">
        <v>1613</v>
      </c>
      <c r="D911" s="23" t="s">
        <v>1469</v>
      </c>
      <c r="E911" s="23">
        <v>1</v>
      </c>
      <c r="F911" s="23" t="s">
        <v>1470</v>
      </c>
      <c r="G911" s="24" t="s">
        <v>1614</v>
      </c>
      <c r="H911" s="14"/>
      <c r="I911" s="14"/>
      <c r="J911" s="14" t="s">
        <v>10</v>
      </c>
      <c r="K911" s="14" t="s">
        <v>173</v>
      </c>
      <c r="L911" s="14" t="s">
        <v>9</v>
      </c>
      <c r="M911" s="14" t="s">
        <v>9</v>
      </c>
      <c r="N911" s="14">
        <v>1951</v>
      </c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s="6" customFormat="1" hidden="1" outlineLevel="1" x14ac:dyDescent="0.25">
      <c r="A912" s="14"/>
      <c r="B912" s="185" t="s">
        <v>193</v>
      </c>
      <c r="C912" s="23" t="s">
        <v>1615</v>
      </c>
      <c r="D912" s="23" t="s">
        <v>1616</v>
      </c>
      <c r="E912" s="23" t="s">
        <v>1617</v>
      </c>
      <c r="F912" s="23" t="s">
        <v>1476</v>
      </c>
      <c r="G912" s="24"/>
      <c r="H912" s="14"/>
      <c r="I912" s="14"/>
      <c r="J912" s="14" t="s">
        <v>187</v>
      </c>
      <c r="K912" s="14" t="s">
        <v>438</v>
      </c>
      <c r="L912" s="14" t="s">
        <v>537</v>
      </c>
      <c r="M912" s="14" t="s">
        <v>187</v>
      </c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s="6" customFormat="1" hidden="1" outlineLevel="1" x14ac:dyDescent="0.25">
      <c r="A913" s="14"/>
      <c r="B913" s="116" t="s">
        <v>575</v>
      </c>
      <c r="C913" s="117" t="s">
        <v>2062</v>
      </c>
      <c r="D913" s="117" t="s">
        <v>1606</v>
      </c>
      <c r="E913" s="117" t="s">
        <v>1594</v>
      </c>
      <c r="F913" s="117"/>
      <c r="G913" s="118"/>
      <c r="H913" s="14"/>
      <c r="I913" s="14"/>
      <c r="J913" s="14" t="s">
        <v>187</v>
      </c>
      <c r="K913" s="14" t="s">
        <v>438</v>
      </c>
      <c r="L913" s="14" t="s">
        <v>537</v>
      </c>
      <c r="M913" s="14" t="s">
        <v>187</v>
      </c>
      <c r="N913" s="14">
        <v>1607</v>
      </c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s="6" customFormat="1" hidden="1" outlineLevel="1" x14ac:dyDescent="0.25">
      <c r="A914" s="14"/>
      <c r="B914" s="316" t="s">
        <v>265</v>
      </c>
      <c r="C914" s="117" t="s">
        <v>1692</v>
      </c>
      <c r="D914" s="117" t="s">
        <v>1606</v>
      </c>
      <c r="E914" s="117" t="s">
        <v>1594</v>
      </c>
      <c r="F914" s="117" t="s">
        <v>1470</v>
      </c>
      <c r="G914" s="118"/>
      <c r="H914" s="14"/>
      <c r="I914" s="14"/>
      <c r="J914" s="14" t="s">
        <v>187</v>
      </c>
      <c r="K914" s="14" t="s">
        <v>438</v>
      </c>
      <c r="L914" s="14" t="s">
        <v>537</v>
      </c>
      <c r="M914" s="14" t="s">
        <v>187</v>
      </c>
      <c r="N914" s="14">
        <v>1114</v>
      </c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s="6" customFormat="1" hidden="1" outlineLevel="1" x14ac:dyDescent="0.25">
      <c r="A915" s="14"/>
      <c r="B915" s="316" t="s">
        <v>302</v>
      </c>
      <c r="C915" s="117" t="s">
        <v>1727</v>
      </c>
      <c r="D915" s="117" t="s">
        <v>1606</v>
      </c>
      <c r="E915" s="117" t="s">
        <v>1594</v>
      </c>
      <c r="F915" s="117" t="s">
        <v>1470</v>
      </c>
      <c r="G915" s="118"/>
      <c r="H915" s="14"/>
      <c r="I915" s="14"/>
      <c r="J915" s="14" t="s">
        <v>187</v>
      </c>
      <c r="K915" s="14" t="s">
        <v>438</v>
      </c>
      <c r="L915" s="14" t="s">
        <v>537</v>
      </c>
      <c r="M915" s="14" t="s">
        <v>187</v>
      </c>
      <c r="N915" s="14">
        <v>1700</v>
      </c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s="6" customFormat="1" hidden="1" outlineLevel="1" x14ac:dyDescent="0.25">
      <c r="A916" s="14"/>
      <c r="B916" s="83" t="s">
        <v>194</v>
      </c>
      <c r="C916" s="274" t="s">
        <v>1618</v>
      </c>
      <c r="D916" s="274" t="s">
        <v>1469</v>
      </c>
      <c r="E916" s="274">
        <v>0</v>
      </c>
      <c r="F916" s="274"/>
      <c r="G916" s="317" t="s">
        <v>1619</v>
      </c>
      <c r="H916" s="14"/>
      <c r="I916" s="14"/>
      <c r="J916" s="14" t="s">
        <v>10</v>
      </c>
      <c r="K916" s="14" t="s">
        <v>173</v>
      </c>
      <c r="L916" s="14" t="s">
        <v>9</v>
      </c>
      <c r="M916" s="14" t="s">
        <v>9</v>
      </c>
      <c r="N916" s="14">
        <v>3169</v>
      </c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s="6" customFormat="1" ht="16.2" hidden="1" outlineLevel="1" thickBot="1" x14ac:dyDescent="0.3">
      <c r="A917" s="14"/>
      <c r="B917" s="83" t="s">
        <v>195</v>
      </c>
      <c r="C917" s="274" t="s">
        <v>1620</v>
      </c>
      <c r="D917" s="274" t="s">
        <v>1469</v>
      </c>
      <c r="E917" s="274">
        <v>0</v>
      </c>
      <c r="F917" s="274"/>
      <c r="G917" s="317" t="s">
        <v>1621</v>
      </c>
      <c r="H917" s="14"/>
      <c r="I917" s="14"/>
      <c r="J917" s="14" t="s">
        <v>10</v>
      </c>
      <c r="K917" s="14" t="s">
        <v>173</v>
      </c>
      <c r="L917" s="14" t="s">
        <v>9</v>
      </c>
      <c r="M917" s="14" t="s">
        <v>9</v>
      </c>
      <c r="N917" s="14">
        <v>3168</v>
      </c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s="6" customFormat="1" hidden="1" outlineLevel="1" x14ac:dyDescent="0.25">
      <c r="A918" s="14"/>
      <c r="B918" s="401" t="s">
        <v>18</v>
      </c>
      <c r="C918" s="402"/>
      <c r="D918" s="402"/>
      <c r="E918" s="402"/>
      <c r="F918" s="402"/>
      <c r="G918" s="403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s="6" customFormat="1" hidden="1" outlineLevel="1" x14ac:dyDescent="0.25">
      <c r="A919" s="14"/>
      <c r="B919" s="25" t="s">
        <v>2</v>
      </c>
      <c r="C919" s="26" t="s">
        <v>3</v>
      </c>
      <c r="D919" s="26" t="s">
        <v>4</v>
      </c>
      <c r="E919" s="26" t="s">
        <v>5</v>
      </c>
      <c r="F919" s="26"/>
      <c r="G919" s="27" t="s">
        <v>6</v>
      </c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s="3" customFormat="1" hidden="1" outlineLevel="1" x14ac:dyDescent="0.25">
      <c r="A920" s="14"/>
      <c r="B920" s="195" t="s">
        <v>112</v>
      </c>
      <c r="C920" s="183" t="s">
        <v>1555</v>
      </c>
      <c r="D920" s="183" t="s">
        <v>1469</v>
      </c>
      <c r="E920" s="183">
        <v>0</v>
      </c>
      <c r="F920" s="183" t="s">
        <v>1470</v>
      </c>
      <c r="G920" s="184" t="s">
        <v>1556</v>
      </c>
      <c r="H920" s="14"/>
      <c r="I920" s="14"/>
      <c r="J920" s="14" t="s">
        <v>10</v>
      </c>
      <c r="K920" s="14" t="s">
        <v>173</v>
      </c>
      <c r="L920" s="14" t="s">
        <v>9</v>
      </c>
      <c r="M920" s="14" t="s">
        <v>9</v>
      </c>
      <c r="N920" s="14">
        <v>1606</v>
      </c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s="3" customFormat="1" hidden="1" outlineLevel="1" x14ac:dyDescent="0.25">
      <c r="A921" s="14"/>
      <c r="B921" s="195" t="s">
        <v>7</v>
      </c>
      <c r="C921" s="183" t="s">
        <v>1468</v>
      </c>
      <c r="D921" s="183" t="s">
        <v>1469</v>
      </c>
      <c r="E921" s="183">
        <v>0</v>
      </c>
      <c r="F921" s="183" t="s">
        <v>1470</v>
      </c>
      <c r="G921" s="184" t="s">
        <v>1471</v>
      </c>
      <c r="H921" s="14"/>
      <c r="I921" s="14"/>
      <c r="J921" s="14" t="s">
        <v>10</v>
      </c>
      <c r="K921" s="14" t="s">
        <v>173</v>
      </c>
      <c r="L921" s="14" t="s">
        <v>9</v>
      </c>
      <c r="M921" s="14" t="s">
        <v>9</v>
      </c>
      <c r="N921" s="14">
        <v>1112</v>
      </c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s="3" customFormat="1" hidden="1" outlineLevel="1" x14ac:dyDescent="0.25">
      <c r="A922" s="14"/>
      <c r="B922" s="195" t="s">
        <v>156</v>
      </c>
      <c r="C922" s="183" t="s">
        <v>2064</v>
      </c>
      <c r="D922" s="183" t="s">
        <v>1652</v>
      </c>
      <c r="E922" s="183" t="s">
        <v>1594</v>
      </c>
      <c r="F922" s="183" t="s">
        <v>2065</v>
      </c>
      <c r="G922" s="184" t="s">
        <v>2066</v>
      </c>
      <c r="H922" s="14"/>
      <c r="I922" s="14"/>
      <c r="J922" s="14" t="s">
        <v>187</v>
      </c>
      <c r="K922" s="14" t="s">
        <v>438</v>
      </c>
      <c r="L922" s="14" t="s">
        <v>537</v>
      </c>
      <c r="M922" s="14" t="s">
        <v>187</v>
      </c>
      <c r="N922" s="14">
        <v>1139</v>
      </c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s="3" customFormat="1" hidden="1" outlineLevel="1" x14ac:dyDescent="0.25">
      <c r="A923" s="14"/>
      <c r="B923" s="195" t="s">
        <v>11</v>
      </c>
      <c r="C923" s="183" t="s">
        <v>1472</v>
      </c>
      <c r="D923" s="183" t="s">
        <v>1469</v>
      </c>
      <c r="E923" s="183">
        <v>0</v>
      </c>
      <c r="F923" s="183" t="s">
        <v>1470</v>
      </c>
      <c r="G923" s="184" t="s">
        <v>1473</v>
      </c>
      <c r="H923" s="14"/>
      <c r="I923" s="14"/>
      <c r="J923" s="14" t="s">
        <v>12</v>
      </c>
      <c r="K923" s="14" t="s">
        <v>174</v>
      </c>
      <c r="L923" s="14" t="s">
        <v>175</v>
      </c>
      <c r="M923" s="14" t="s">
        <v>176</v>
      </c>
      <c r="N923" s="14">
        <v>1700</v>
      </c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s="3" customFormat="1" hidden="1" outlineLevel="1" x14ac:dyDescent="0.25">
      <c r="A924" s="14"/>
      <c r="B924" s="195" t="s">
        <v>196</v>
      </c>
      <c r="C924" s="183" t="s">
        <v>1622</v>
      </c>
      <c r="D924" s="183" t="s">
        <v>1469</v>
      </c>
      <c r="E924" s="183" t="s">
        <v>1480</v>
      </c>
      <c r="F924" s="183" t="s">
        <v>1481</v>
      </c>
      <c r="G924" s="184" t="s">
        <v>1623</v>
      </c>
      <c r="H924" s="14"/>
      <c r="I924" s="14"/>
      <c r="J924" s="14" t="s">
        <v>10</v>
      </c>
      <c r="K924" s="14" t="s">
        <v>173</v>
      </c>
      <c r="L924" s="14" t="s">
        <v>9</v>
      </c>
      <c r="M924" s="14" t="s">
        <v>9</v>
      </c>
      <c r="N924" s="14">
        <v>2130</v>
      </c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s="3" customFormat="1" hidden="1" outlineLevel="1" x14ac:dyDescent="0.25">
      <c r="A925" s="14"/>
      <c r="B925" s="28" t="s">
        <v>197</v>
      </c>
      <c r="C925" s="29" t="s">
        <v>1624</v>
      </c>
      <c r="D925" s="29" t="s">
        <v>1469</v>
      </c>
      <c r="E925" s="29">
        <v>0</v>
      </c>
      <c r="F925" s="29" t="s">
        <v>1470</v>
      </c>
      <c r="G925" s="24" t="s">
        <v>1625</v>
      </c>
      <c r="H925" s="14"/>
      <c r="I925" s="14"/>
      <c r="J925" s="14" t="s">
        <v>10</v>
      </c>
      <c r="K925" s="14" t="s">
        <v>173</v>
      </c>
      <c r="L925" s="14" t="s">
        <v>9</v>
      </c>
      <c r="M925" s="14" t="s">
        <v>9</v>
      </c>
      <c r="N925" s="14">
        <v>2204</v>
      </c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s="3" customFormat="1" hidden="1" outlineLevel="1" x14ac:dyDescent="0.25">
      <c r="A926" s="14"/>
      <c r="B926" s="28" t="s">
        <v>198</v>
      </c>
      <c r="C926" s="29" t="s">
        <v>1626</v>
      </c>
      <c r="D926" s="29" t="s">
        <v>1469</v>
      </c>
      <c r="E926" s="29">
        <v>0</v>
      </c>
      <c r="F926" s="29" t="s">
        <v>1470</v>
      </c>
      <c r="G926" s="24" t="s">
        <v>1627</v>
      </c>
      <c r="H926" s="14"/>
      <c r="I926" s="14"/>
      <c r="J926" s="14" t="s">
        <v>10</v>
      </c>
      <c r="K926" s="14" t="s">
        <v>173</v>
      </c>
      <c r="L926" s="14" t="s">
        <v>9</v>
      </c>
      <c r="M926" s="14" t="s">
        <v>9</v>
      </c>
      <c r="N926" s="14">
        <v>1295</v>
      </c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s="3" customFormat="1" hidden="1" outlineLevel="1" x14ac:dyDescent="0.25">
      <c r="A927" s="14"/>
      <c r="B927" s="28" t="s">
        <v>191</v>
      </c>
      <c r="C927" s="29" t="s">
        <v>1611</v>
      </c>
      <c r="D927" s="29" t="s">
        <v>1567</v>
      </c>
      <c r="E927" s="29">
        <v>0</v>
      </c>
      <c r="F927" s="29" t="s">
        <v>1470</v>
      </c>
      <c r="G927" s="24" t="s">
        <v>1612</v>
      </c>
      <c r="H927" s="14"/>
      <c r="I927" s="14"/>
      <c r="J927" s="14" t="s">
        <v>12</v>
      </c>
      <c r="K927" s="14" t="s">
        <v>174</v>
      </c>
      <c r="L927" s="14" t="s">
        <v>175</v>
      </c>
      <c r="M927" s="14" t="s">
        <v>176</v>
      </c>
      <c r="N927" s="14">
        <v>2495</v>
      </c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s="3" customFormat="1" hidden="1" outlineLevel="1" x14ac:dyDescent="0.25">
      <c r="A928" s="14"/>
      <c r="B928" s="28" t="s">
        <v>199</v>
      </c>
      <c r="C928" s="29" t="s">
        <v>1628</v>
      </c>
      <c r="D928" s="29" t="s">
        <v>1469</v>
      </c>
      <c r="E928" s="29" t="s">
        <v>1480</v>
      </c>
      <c r="F928" s="29" t="s">
        <v>1481</v>
      </c>
      <c r="G928" s="24" t="s">
        <v>1482</v>
      </c>
      <c r="H928" s="14"/>
      <c r="I928" s="14"/>
      <c r="J928" s="14" t="s">
        <v>10</v>
      </c>
      <c r="K928" s="14" t="s">
        <v>173</v>
      </c>
      <c r="L928" s="14" t="s">
        <v>9</v>
      </c>
      <c r="M928" s="14" t="s">
        <v>9</v>
      </c>
      <c r="N928" s="14">
        <v>1308</v>
      </c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s="3" customFormat="1" hidden="1" outlineLevel="1" x14ac:dyDescent="0.25">
      <c r="A929" s="14"/>
      <c r="B929" s="28" t="s">
        <v>200</v>
      </c>
      <c r="C929" s="29" t="s">
        <v>1629</v>
      </c>
      <c r="D929" s="29" t="s">
        <v>1469</v>
      </c>
      <c r="E929" s="29" t="s">
        <v>1549</v>
      </c>
      <c r="F929" s="29" t="s">
        <v>1481</v>
      </c>
      <c r="G929" s="24" t="s">
        <v>1630</v>
      </c>
      <c r="H929" s="14"/>
      <c r="I929" s="14"/>
      <c r="J929" s="14" t="s">
        <v>10</v>
      </c>
      <c r="K929" s="14" t="s">
        <v>173</v>
      </c>
      <c r="L929" s="14" t="s">
        <v>9</v>
      </c>
      <c r="M929" s="14" t="s">
        <v>9</v>
      </c>
      <c r="N929" s="14">
        <v>1309</v>
      </c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s="3" customFormat="1" hidden="1" outlineLevel="1" x14ac:dyDescent="0.25">
      <c r="A930" s="14"/>
      <c r="B930" s="28" t="s">
        <v>201</v>
      </c>
      <c r="C930" s="29" t="s">
        <v>1631</v>
      </c>
      <c r="D930" s="29" t="s">
        <v>1632</v>
      </c>
      <c r="E930" s="29" t="s">
        <v>1594</v>
      </c>
      <c r="F930" s="29" t="s">
        <v>1470</v>
      </c>
      <c r="G930" s="24" t="s">
        <v>1633</v>
      </c>
      <c r="H930" s="14"/>
      <c r="I930" s="14"/>
      <c r="J930" s="14" t="s">
        <v>10</v>
      </c>
      <c r="K930" s="14" t="s">
        <v>173</v>
      </c>
      <c r="L930" s="14" t="s">
        <v>9</v>
      </c>
      <c r="M930" s="14" t="s">
        <v>9</v>
      </c>
      <c r="N930" s="14">
        <v>2127</v>
      </c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s="3" customFormat="1" hidden="1" outlineLevel="1" x14ac:dyDescent="0.25">
      <c r="A931" s="14"/>
      <c r="B931" s="28" t="s">
        <v>13</v>
      </c>
      <c r="C931" s="29" t="s">
        <v>1474</v>
      </c>
      <c r="D931" s="29" t="s">
        <v>1469</v>
      </c>
      <c r="E931" s="29">
        <v>0</v>
      </c>
      <c r="F931" s="29" t="s">
        <v>1470</v>
      </c>
      <c r="G931" s="30"/>
      <c r="H931" s="14"/>
      <c r="I931" s="14"/>
      <c r="J931" s="14" t="s">
        <v>10</v>
      </c>
      <c r="K931" s="14" t="s">
        <v>173</v>
      </c>
      <c r="L931" s="14" t="s">
        <v>9</v>
      </c>
      <c r="M931" s="14" t="s">
        <v>9</v>
      </c>
      <c r="N931" s="14">
        <v>2534</v>
      </c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s="3" customFormat="1" hidden="1" outlineLevel="1" x14ac:dyDescent="0.25">
      <c r="A932" s="14"/>
      <c r="B932" s="28" t="s">
        <v>202</v>
      </c>
      <c r="C932" s="29" t="s">
        <v>1634</v>
      </c>
      <c r="D932" s="29" t="s">
        <v>1469</v>
      </c>
      <c r="E932" s="29">
        <v>0</v>
      </c>
      <c r="F932" s="29" t="s">
        <v>1470</v>
      </c>
      <c r="G932" s="30"/>
      <c r="H932" s="14"/>
      <c r="I932" s="14"/>
      <c r="J932" s="14" t="s">
        <v>10</v>
      </c>
      <c r="K932" s="14" t="s">
        <v>173</v>
      </c>
      <c r="L932" s="14" t="s">
        <v>9</v>
      </c>
      <c r="M932" s="14" t="s">
        <v>9</v>
      </c>
      <c r="N932" s="14">
        <v>1498</v>
      </c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s="3" customFormat="1" hidden="1" outlineLevel="1" x14ac:dyDescent="0.25">
      <c r="A933" s="14"/>
      <c r="B933" s="28" t="s">
        <v>14</v>
      </c>
      <c r="C933" s="29" t="s">
        <v>1475</v>
      </c>
      <c r="D933" s="29" t="s">
        <v>1469</v>
      </c>
      <c r="E933" s="29">
        <v>0</v>
      </c>
      <c r="F933" s="29" t="s">
        <v>1476</v>
      </c>
      <c r="G933" s="30" t="s">
        <v>1477</v>
      </c>
      <c r="H933" s="14"/>
      <c r="I933" s="14"/>
      <c r="J933" s="14" t="s">
        <v>10</v>
      </c>
      <c r="K933" s="14" t="s">
        <v>173</v>
      </c>
      <c r="L933" s="14" t="s">
        <v>9</v>
      </c>
      <c r="M933" s="14" t="s">
        <v>9</v>
      </c>
      <c r="N933" s="14">
        <v>2155</v>
      </c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s="3" customFormat="1" hidden="1" outlineLevel="1" x14ac:dyDescent="0.25">
      <c r="A934" s="14"/>
      <c r="B934" s="28" t="s">
        <v>87</v>
      </c>
      <c r="C934" s="29" t="s">
        <v>1535</v>
      </c>
      <c r="D934" s="29" t="s">
        <v>1469</v>
      </c>
      <c r="E934" s="29">
        <v>0</v>
      </c>
      <c r="F934" s="29" t="s">
        <v>1476</v>
      </c>
      <c r="G934" s="30"/>
      <c r="H934" s="14"/>
      <c r="I934" s="14"/>
      <c r="J934" s="14" t="s">
        <v>10</v>
      </c>
      <c r="K934" s="14" t="s">
        <v>173</v>
      </c>
      <c r="L934" s="14" t="s">
        <v>9</v>
      </c>
      <c r="M934" s="14" t="s">
        <v>9</v>
      </c>
      <c r="N934" s="14">
        <v>2433</v>
      </c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s="3" customFormat="1" hidden="1" outlineLevel="1" x14ac:dyDescent="0.25">
      <c r="A935" s="14"/>
      <c r="B935" s="28" t="s">
        <v>15</v>
      </c>
      <c r="C935" s="29" t="s">
        <v>1478</v>
      </c>
      <c r="D935" s="29" t="s">
        <v>1469</v>
      </c>
      <c r="E935" s="29">
        <v>0</v>
      </c>
      <c r="F935" s="29" t="s">
        <v>1470</v>
      </c>
      <c r="G935" s="30"/>
      <c r="H935" s="14"/>
      <c r="I935" s="14"/>
      <c r="J935" s="14" t="s">
        <v>10</v>
      </c>
      <c r="K935" s="14" t="s">
        <v>173</v>
      </c>
      <c r="L935" s="14" t="s">
        <v>9</v>
      </c>
      <c r="M935" s="14" t="s">
        <v>9</v>
      </c>
      <c r="N935" s="14">
        <v>2430</v>
      </c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s="3" customFormat="1" hidden="1" outlineLevel="1" x14ac:dyDescent="0.25">
      <c r="A936" s="14"/>
      <c r="B936" s="28" t="s">
        <v>161</v>
      </c>
      <c r="C936" s="29" t="s">
        <v>1846</v>
      </c>
      <c r="D936" s="29" t="s">
        <v>1652</v>
      </c>
      <c r="E936" s="29" t="s">
        <v>1594</v>
      </c>
      <c r="F936" s="29" t="s">
        <v>1470</v>
      </c>
      <c r="G936" s="30"/>
      <c r="H936" s="14"/>
      <c r="I936" s="14"/>
      <c r="J936" s="14" t="s">
        <v>187</v>
      </c>
      <c r="K936" s="14" t="s">
        <v>438</v>
      </c>
      <c r="L936" s="14" t="s">
        <v>537</v>
      </c>
      <c r="M936" s="14" t="s">
        <v>187</v>
      </c>
      <c r="N936" s="14">
        <v>2436</v>
      </c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s="3" customFormat="1" hidden="1" outlineLevel="1" x14ac:dyDescent="0.25">
      <c r="A937" s="14"/>
      <c r="B937" s="28" t="s">
        <v>203</v>
      </c>
      <c r="C937" s="29" t="s">
        <v>1635</v>
      </c>
      <c r="D937" s="29" t="s">
        <v>1636</v>
      </c>
      <c r="E937" s="29" t="s">
        <v>1637</v>
      </c>
      <c r="F937" s="29" t="s">
        <v>1476</v>
      </c>
      <c r="G937" s="24"/>
      <c r="H937" s="14"/>
      <c r="I937" s="14"/>
      <c r="J937" s="14" t="s">
        <v>187</v>
      </c>
      <c r="K937" s="14" t="s">
        <v>438</v>
      </c>
      <c r="L937" s="14" t="s">
        <v>537</v>
      </c>
      <c r="M937" s="14" t="s">
        <v>187</v>
      </c>
      <c r="N937" s="14">
        <v>1041</v>
      </c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s="3" customFormat="1" hidden="1" outlineLevel="1" x14ac:dyDescent="0.25">
      <c r="A938" s="14"/>
      <c r="B938" s="28" t="s">
        <v>204</v>
      </c>
      <c r="C938" s="29" t="s">
        <v>1638</v>
      </c>
      <c r="D938" s="29" t="s">
        <v>1539</v>
      </c>
      <c r="E938" s="29">
        <v>0</v>
      </c>
      <c r="F938" s="29" t="s">
        <v>1470</v>
      </c>
      <c r="G938" s="24" t="s">
        <v>1639</v>
      </c>
      <c r="H938" s="14"/>
      <c r="I938" s="14"/>
      <c r="J938" s="14" t="s">
        <v>20</v>
      </c>
      <c r="K938" s="14" t="s">
        <v>445</v>
      </c>
      <c r="L938" s="14" t="s">
        <v>446</v>
      </c>
      <c r="M938" s="14" t="s">
        <v>446</v>
      </c>
      <c r="N938" s="14">
        <v>1179</v>
      </c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s="3" customFormat="1" hidden="1" outlineLevel="1" x14ac:dyDescent="0.25">
      <c r="A939" s="14"/>
      <c r="B939" s="28" t="s">
        <v>205</v>
      </c>
      <c r="C939" s="29" t="s">
        <v>1640</v>
      </c>
      <c r="D939" s="29" t="s">
        <v>1469</v>
      </c>
      <c r="E939" s="29">
        <v>0</v>
      </c>
      <c r="F939" s="29" t="s">
        <v>1476</v>
      </c>
      <c r="G939" s="24" t="s">
        <v>1641</v>
      </c>
      <c r="H939" s="14"/>
      <c r="I939" s="14"/>
      <c r="J939" s="14" t="s">
        <v>10</v>
      </c>
      <c r="K939" s="14" t="s">
        <v>173</v>
      </c>
      <c r="L939" s="14" t="s">
        <v>9</v>
      </c>
      <c r="M939" s="14" t="s">
        <v>9</v>
      </c>
      <c r="N939" s="14">
        <v>1302</v>
      </c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s="3" customFormat="1" hidden="1" outlineLevel="1" x14ac:dyDescent="0.25">
      <c r="A940" s="14"/>
      <c r="B940" s="28" t="s">
        <v>206</v>
      </c>
      <c r="C940" s="29" t="s">
        <v>1642</v>
      </c>
      <c r="D940" s="29" t="s">
        <v>1539</v>
      </c>
      <c r="E940" s="29">
        <v>0</v>
      </c>
      <c r="F940" s="29" t="s">
        <v>1470</v>
      </c>
      <c r="G940" s="24" t="s">
        <v>1643</v>
      </c>
      <c r="H940" s="14"/>
      <c r="I940" s="14"/>
      <c r="J940" s="14" t="s">
        <v>20</v>
      </c>
      <c r="K940" s="14" t="s">
        <v>445</v>
      </c>
      <c r="L940" s="14" t="s">
        <v>446</v>
      </c>
      <c r="M940" s="14" t="s">
        <v>446</v>
      </c>
      <c r="N940" s="14">
        <v>1306</v>
      </c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s="3" customFormat="1" hidden="1" outlineLevel="1" x14ac:dyDescent="0.25">
      <c r="A941" s="14"/>
      <c r="B941" s="28" t="s">
        <v>207</v>
      </c>
      <c r="C941" s="29" t="s">
        <v>1644</v>
      </c>
      <c r="D941" s="29" t="s">
        <v>1486</v>
      </c>
      <c r="E941" s="29">
        <v>0</v>
      </c>
      <c r="F941" s="29" t="s">
        <v>1470</v>
      </c>
      <c r="G941" s="24" t="s">
        <v>1645</v>
      </c>
      <c r="H941" s="14"/>
      <c r="I941" s="14"/>
      <c r="J941" s="14" t="s">
        <v>20</v>
      </c>
      <c r="K941" s="14" t="s">
        <v>445</v>
      </c>
      <c r="L941" s="14" t="s">
        <v>446</v>
      </c>
      <c r="M941" s="14" t="s">
        <v>446</v>
      </c>
      <c r="N941" s="14">
        <v>1310</v>
      </c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s="3" customFormat="1" hidden="1" outlineLevel="1" x14ac:dyDescent="0.25">
      <c r="A942" s="14"/>
      <c r="B942" s="195" t="s">
        <v>208</v>
      </c>
      <c r="C942" s="183" t="s">
        <v>1646</v>
      </c>
      <c r="D942" s="183" t="s">
        <v>1469</v>
      </c>
      <c r="E942" s="183" t="s">
        <v>1480</v>
      </c>
      <c r="F942" s="183" t="s">
        <v>1481</v>
      </c>
      <c r="G942" s="184" t="s">
        <v>1647</v>
      </c>
      <c r="H942" s="14"/>
      <c r="I942" s="14"/>
      <c r="J942" s="14" t="s">
        <v>10</v>
      </c>
      <c r="K942" s="14" t="s">
        <v>173</v>
      </c>
      <c r="L942" s="14" t="s">
        <v>9</v>
      </c>
      <c r="M942" s="14" t="s">
        <v>9</v>
      </c>
      <c r="N942" s="14">
        <v>1184</v>
      </c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s="3" customFormat="1" hidden="1" outlineLevel="1" x14ac:dyDescent="0.25">
      <c r="A943" s="14"/>
      <c r="B943" s="195" t="s">
        <v>209</v>
      </c>
      <c r="C943" s="183" t="s">
        <v>1648</v>
      </c>
      <c r="D943" s="183" t="s">
        <v>1469</v>
      </c>
      <c r="E943" s="183" t="s">
        <v>1549</v>
      </c>
      <c r="F943" s="183" t="s">
        <v>1481</v>
      </c>
      <c r="G943" s="184" t="s">
        <v>1649</v>
      </c>
      <c r="H943" s="14"/>
      <c r="I943" s="14"/>
      <c r="J943" s="14" t="s">
        <v>10</v>
      </c>
      <c r="K943" s="14" t="s">
        <v>173</v>
      </c>
      <c r="L943" s="14" t="s">
        <v>9</v>
      </c>
      <c r="M943" s="14" t="s">
        <v>9</v>
      </c>
      <c r="N943" s="14">
        <v>1185</v>
      </c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s="3" customFormat="1" hidden="1" outlineLevel="1" x14ac:dyDescent="0.25">
      <c r="A944" s="14"/>
      <c r="B944" s="195" t="s">
        <v>210</v>
      </c>
      <c r="C944" s="183" t="s">
        <v>1650</v>
      </c>
      <c r="D944" s="183" t="s">
        <v>1567</v>
      </c>
      <c r="E944" s="183">
        <v>0</v>
      </c>
      <c r="F944" s="183"/>
      <c r="G944" s="184"/>
      <c r="H944" s="14"/>
      <c r="I944" s="14"/>
      <c r="J944" s="14" t="s">
        <v>12</v>
      </c>
      <c r="K944" s="14" t="s">
        <v>174</v>
      </c>
      <c r="L944" s="14" t="s">
        <v>175</v>
      </c>
      <c r="M944" s="14" t="s">
        <v>176</v>
      </c>
      <c r="N944" s="14">
        <v>1189</v>
      </c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s="3" customFormat="1" hidden="1" outlineLevel="1" x14ac:dyDescent="0.25">
      <c r="A945" s="14"/>
      <c r="B945" s="28" t="s">
        <v>211</v>
      </c>
      <c r="C945" s="29" t="s">
        <v>1651</v>
      </c>
      <c r="D945" s="29" t="s">
        <v>1652</v>
      </c>
      <c r="E945" s="29" t="s">
        <v>1594</v>
      </c>
      <c r="F945" s="29" t="s">
        <v>1470</v>
      </c>
      <c r="G945" s="30" t="s">
        <v>1653</v>
      </c>
      <c r="H945" s="14"/>
      <c r="I945" s="14"/>
      <c r="J945" s="14" t="s">
        <v>10</v>
      </c>
      <c r="K945" s="14" t="s">
        <v>173</v>
      </c>
      <c r="L945" s="14" t="s">
        <v>9</v>
      </c>
      <c r="M945" s="14" t="s">
        <v>9</v>
      </c>
      <c r="N945" s="14">
        <v>1173</v>
      </c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s="3" customFormat="1" hidden="1" outlineLevel="1" x14ac:dyDescent="0.25">
      <c r="A946" s="14"/>
      <c r="B946" s="28" t="s">
        <v>212</v>
      </c>
      <c r="C946" s="29" t="s">
        <v>1654</v>
      </c>
      <c r="D946" s="29" t="s">
        <v>1486</v>
      </c>
      <c r="E946" s="29">
        <v>0</v>
      </c>
      <c r="F946" s="29" t="s">
        <v>1470</v>
      </c>
      <c r="G946" s="24" t="s">
        <v>1655</v>
      </c>
      <c r="H946" s="14"/>
      <c r="I946" s="14"/>
      <c r="J946" s="14" t="s">
        <v>20</v>
      </c>
      <c r="K946" s="14" t="s">
        <v>445</v>
      </c>
      <c r="L946" s="14" t="s">
        <v>446</v>
      </c>
      <c r="M946" s="14" t="s">
        <v>446</v>
      </c>
      <c r="N946" s="14">
        <v>1188</v>
      </c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s="3" customFormat="1" hidden="1" outlineLevel="1" x14ac:dyDescent="0.25">
      <c r="A947" s="14"/>
      <c r="B947" s="185" t="s">
        <v>213</v>
      </c>
      <c r="C947" s="23" t="s">
        <v>1656</v>
      </c>
      <c r="D947" s="23" t="s">
        <v>1489</v>
      </c>
      <c r="E947" s="23">
        <v>0</v>
      </c>
      <c r="F947" s="23" t="s">
        <v>1470</v>
      </c>
      <c r="G947" s="24" t="s">
        <v>1657</v>
      </c>
      <c r="H947" s="14"/>
      <c r="I947" s="14"/>
      <c r="J947" s="14" t="s">
        <v>20</v>
      </c>
      <c r="K947" s="14" t="s">
        <v>445</v>
      </c>
      <c r="L947" s="14" t="s">
        <v>446</v>
      </c>
      <c r="M947" s="14" t="s">
        <v>446</v>
      </c>
      <c r="N947" s="14">
        <v>1180</v>
      </c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s="3" customFormat="1" hidden="1" outlineLevel="1" x14ac:dyDescent="0.25">
      <c r="A948" s="14"/>
      <c r="B948" s="28" t="s">
        <v>22</v>
      </c>
      <c r="C948" s="23" t="s">
        <v>1488</v>
      </c>
      <c r="D948" s="23" t="s">
        <v>1489</v>
      </c>
      <c r="E948" s="23">
        <v>0</v>
      </c>
      <c r="F948" s="23" t="s">
        <v>1470</v>
      </c>
      <c r="G948" s="24" t="s">
        <v>1490</v>
      </c>
      <c r="H948" s="14"/>
      <c r="I948" s="14"/>
      <c r="J948" s="14" t="s">
        <v>20</v>
      </c>
      <c r="K948" s="14" t="s">
        <v>445</v>
      </c>
      <c r="L948" s="14" t="s">
        <v>446</v>
      </c>
      <c r="M948" s="14" t="s">
        <v>446</v>
      </c>
      <c r="N948" s="14">
        <v>2052</v>
      </c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s="3" customFormat="1" hidden="1" outlineLevel="1" x14ac:dyDescent="0.25">
      <c r="A949" s="14"/>
      <c r="B949" s="28" t="s">
        <v>214</v>
      </c>
      <c r="C949" s="23" t="s">
        <v>1658</v>
      </c>
      <c r="D949" s="23" t="s">
        <v>1489</v>
      </c>
      <c r="E949" s="23">
        <v>0</v>
      </c>
      <c r="F949" s="23" t="s">
        <v>1470</v>
      </c>
      <c r="G949" s="24" t="s">
        <v>1659</v>
      </c>
      <c r="H949" s="14"/>
      <c r="I949" s="14"/>
      <c r="J949" s="14" t="s">
        <v>20</v>
      </c>
      <c r="K949" s="14" t="s">
        <v>445</v>
      </c>
      <c r="L949" s="14" t="s">
        <v>446</v>
      </c>
      <c r="M949" s="14" t="s">
        <v>446</v>
      </c>
      <c r="N949" s="14">
        <v>2345</v>
      </c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s="3" customFormat="1" hidden="1" outlineLevel="1" x14ac:dyDescent="0.25">
      <c r="A950" s="14"/>
      <c r="B950" s="28" t="s">
        <v>215</v>
      </c>
      <c r="C950" s="23" t="s">
        <v>1660</v>
      </c>
      <c r="D950" s="23" t="s">
        <v>1489</v>
      </c>
      <c r="E950" s="23">
        <v>0</v>
      </c>
      <c r="F950" s="23" t="s">
        <v>1470</v>
      </c>
      <c r="G950" s="24"/>
      <c r="H950" s="14"/>
      <c r="I950" s="14"/>
      <c r="J950" s="14" t="s">
        <v>20</v>
      </c>
      <c r="K950" s="14" t="s">
        <v>445</v>
      </c>
      <c r="L950" s="14" t="s">
        <v>446</v>
      </c>
      <c r="M950" s="14" t="s">
        <v>446</v>
      </c>
      <c r="N950" s="14">
        <v>1518</v>
      </c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s="3" customFormat="1" hidden="1" outlineLevel="1" x14ac:dyDescent="0.25">
      <c r="A951" s="14"/>
      <c r="B951" s="28" t="s">
        <v>216</v>
      </c>
      <c r="C951" s="23" t="s">
        <v>1661</v>
      </c>
      <c r="D951" s="23" t="s">
        <v>1489</v>
      </c>
      <c r="E951" s="23">
        <v>0</v>
      </c>
      <c r="F951" s="23" t="s">
        <v>1470</v>
      </c>
      <c r="G951" s="24" t="s">
        <v>1662</v>
      </c>
      <c r="H951" s="14"/>
      <c r="I951" s="14"/>
      <c r="J951" s="14" t="s">
        <v>20</v>
      </c>
      <c r="K951" s="14" t="s">
        <v>445</v>
      </c>
      <c r="L951" s="14" t="s">
        <v>446</v>
      </c>
      <c r="M951" s="14" t="s">
        <v>446</v>
      </c>
      <c r="N951" s="14">
        <v>1735</v>
      </c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s="3" customFormat="1" hidden="1" outlineLevel="1" x14ac:dyDescent="0.25">
      <c r="A952" s="14"/>
      <c r="B952" s="28" t="s">
        <v>217</v>
      </c>
      <c r="C952" s="23" t="s">
        <v>1663</v>
      </c>
      <c r="D952" s="23" t="s">
        <v>1489</v>
      </c>
      <c r="E952" s="23">
        <v>0</v>
      </c>
      <c r="F952" s="23" t="s">
        <v>1470</v>
      </c>
      <c r="G952" s="24" t="s">
        <v>1664</v>
      </c>
      <c r="H952" s="14"/>
      <c r="I952" s="14"/>
      <c r="J952" s="14" t="s">
        <v>20</v>
      </c>
      <c r="K952" s="14" t="s">
        <v>445</v>
      </c>
      <c r="L952" s="14" t="s">
        <v>446</v>
      </c>
      <c r="M952" s="14" t="s">
        <v>446</v>
      </c>
      <c r="N952" s="14">
        <v>2424</v>
      </c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s="3" customFormat="1" hidden="1" outlineLevel="1" x14ac:dyDescent="0.25">
      <c r="A953" s="14"/>
      <c r="B953" s="28" t="s">
        <v>218</v>
      </c>
      <c r="C953" s="23" t="s">
        <v>1665</v>
      </c>
      <c r="D953" s="23" t="s">
        <v>1489</v>
      </c>
      <c r="E953" s="23">
        <v>0</v>
      </c>
      <c r="F953" s="23" t="s">
        <v>1470</v>
      </c>
      <c r="G953" s="24" t="s">
        <v>1666</v>
      </c>
      <c r="H953" s="14"/>
      <c r="I953" s="14"/>
      <c r="J953" s="14" t="s">
        <v>20</v>
      </c>
      <c r="K953" s="14" t="s">
        <v>445</v>
      </c>
      <c r="L953" s="14" t="s">
        <v>446</v>
      </c>
      <c r="M953" s="14" t="s">
        <v>446</v>
      </c>
      <c r="N953" s="14">
        <v>1994</v>
      </c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s="3" customFormat="1" hidden="1" outlineLevel="1" x14ac:dyDescent="0.25">
      <c r="A954" s="14"/>
      <c r="B954" s="28" t="s">
        <v>219</v>
      </c>
      <c r="C954" s="23" t="s">
        <v>1667</v>
      </c>
      <c r="D954" s="23" t="s">
        <v>1489</v>
      </c>
      <c r="E954" s="23">
        <v>0</v>
      </c>
      <c r="F954" s="23" t="s">
        <v>1470</v>
      </c>
      <c r="G954" s="24" t="s">
        <v>1668</v>
      </c>
      <c r="H954" s="14"/>
      <c r="I954" s="14"/>
      <c r="J954" s="14" t="s">
        <v>20</v>
      </c>
      <c r="K954" s="14" t="s">
        <v>445</v>
      </c>
      <c r="L954" s="14" t="s">
        <v>446</v>
      </c>
      <c r="M954" s="14" t="s">
        <v>446</v>
      </c>
      <c r="N954" s="14">
        <v>1692</v>
      </c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s="3" customFormat="1" hidden="1" outlineLevel="1" x14ac:dyDescent="0.25">
      <c r="A955" s="14"/>
      <c r="B955" s="28" t="s">
        <v>220</v>
      </c>
      <c r="C955" s="23" t="s">
        <v>1669</v>
      </c>
      <c r="D955" s="23" t="s">
        <v>1489</v>
      </c>
      <c r="E955" s="23">
        <v>0</v>
      </c>
      <c r="F955" s="23" t="s">
        <v>1470</v>
      </c>
      <c r="G955" s="24" t="s">
        <v>1670</v>
      </c>
      <c r="H955" s="14"/>
      <c r="I955" s="14"/>
      <c r="J955" s="14" t="s">
        <v>20</v>
      </c>
      <c r="K955" s="14" t="s">
        <v>445</v>
      </c>
      <c r="L955" s="14" t="s">
        <v>446</v>
      </c>
      <c r="M955" s="14" t="s">
        <v>446</v>
      </c>
      <c r="N955" s="14">
        <v>1996</v>
      </c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s="6" customFormat="1" hidden="1" outlineLevel="1" x14ac:dyDescent="0.25">
      <c r="A956" s="14"/>
      <c r="B956" s="28" t="s">
        <v>128</v>
      </c>
      <c r="C956" s="29" t="s">
        <v>1566</v>
      </c>
      <c r="D956" s="29" t="s">
        <v>1567</v>
      </c>
      <c r="E956" s="29">
        <v>0</v>
      </c>
      <c r="F956" s="29" t="s">
        <v>1470</v>
      </c>
      <c r="G956" s="24"/>
      <c r="H956" s="14"/>
      <c r="I956" s="14"/>
      <c r="J956" s="14" t="s">
        <v>12</v>
      </c>
      <c r="K956" s="14" t="s">
        <v>174</v>
      </c>
      <c r="L956" s="14" t="s">
        <v>175</v>
      </c>
      <c r="M956" s="14" t="s">
        <v>176</v>
      </c>
      <c r="N956" s="14">
        <v>1629</v>
      </c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s="6" customFormat="1" hidden="1" outlineLevel="1" x14ac:dyDescent="0.25">
      <c r="A957" s="14"/>
      <c r="B957" s="28" t="s">
        <v>221</v>
      </c>
      <c r="C957" s="29" t="s">
        <v>1671</v>
      </c>
      <c r="D957" s="29" t="s">
        <v>1616</v>
      </c>
      <c r="E957" s="29" t="s">
        <v>1617</v>
      </c>
      <c r="F957" s="29" t="s">
        <v>1476</v>
      </c>
      <c r="G957" s="24" t="s">
        <v>1672</v>
      </c>
      <c r="H957" s="14"/>
      <c r="I957" s="14"/>
      <c r="J957" s="14" t="s">
        <v>187</v>
      </c>
      <c r="K957" s="14" t="s">
        <v>438</v>
      </c>
      <c r="L957" s="14" t="s">
        <v>537</v>
      </c>
      <c r="M957" s="14" t="s">
        <v>187</v>
      </c>
      <c r="N957" s="14">
        <v>1073</v>
      </c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s="6" customFormat="1" hidden="1" outlineLevel="1" x14ac:dyDescent="0.25">
      <c r="A958" s="14"/>
      <c r="B958" s="28" t="s">
        <v>185</v>
      </c>
      <c r="C958" s="29" t="s">
        <v>1604</v>
      </c>
      <c r="D958" s="29" t="s">
        <v>1469</v>
      </c>
      <c r="E958" s="29">
        <v>0</v>
      </c>
      <c r="F958" s="29" t="s">
        <v>1470</v>
      </c>
      <c r="G958" s="24"/>
      <c r="H958" s="14"/>
      <c r="I958" s="14"/>
      <c r="J958" s="14" t="s">
        <v>10</v>
      </c>
      <c r="K958" s="14" t="s">
        <v>173</v>
      </c>
      <c r="L958" s="14" t="s">
        <v>9</v>
      </c>
      <c r="M958" s="14" t="s">
        <v>9</v>
      </c>
      <c r="N958" s="14">
        <v>2330</v>
      </c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s="6" customFormat="1" hidden="1" outlineLevel="1" x14ac:dyDescent="0.25">
      <c r="A959" s="14"/>
      <c r="B959" s="28" t="s">
        <v>222</v>
      </c>
      <c r="C959" s="29" t="s">
        <v>1673</v>
      </c>
      <c r="D959" s="29" t="s">
        <v>1652</v>
      </c>
      <c r="E959" s="29" t="s">
        <v>1594</v>
      </c>
      <c r="F959" s="29" t="s">
        <v>1470</v>
      </c>
      <c r="G959" s="24"/>
      <c r="H959" s="14"/>
      <c r="I959" s="14"/>
      <c r="J959" s="14" t="s">
        <v>187</v>
      </c>
      <c r="K959" s="14" t="s">
        <v>438</v>
      </c>
      <c r="L959" s="14" t="s">
        <v>537</v>
      </c>
      <c r="M959" s="14" t="s">
        <v>187</v>
      </c>
      <c r="N959" s="14">
        <v>2331</v>
      </c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s="6" customFormat="1" hidden="1" outlineLevel="1" x14ac:dyDescent="0.25">
      <c r="A960" s="14"/>
      <c r="B960" s="28" t="s">
        <v>223</v>
      </c>
      <c r="C960" s="23" t="s">
        <v>1674</v>
      </c>
      <c r="D960" s="23" t="s">
        <v>1494</v>
      </c>
      <c r="E960" s="23">
        <v>0</v>
      </c>
      <c r="F960" s="23" t="s">
        <v>1470</v>
      </c>
      <c r="G960" s="24"/>
      <c r="H960" s="14"/>
      <c r="I960" s="14"/>
      <c r="J960" s="14" t="s">
        <v>20</v>
      </c>
      <c r="K960" s="14" t="s">
        <v>445</v>
      </c>
      <c r="L960" s="14" t="s">
        <v>446</v>
      </c>
      <c r="M960" s="14" t="s">
        <v>446</v>
      </c>
      <c r="N960" s="14">
        <v>2398</v>
      </c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s="6" customFormat="1" hidden="1" outlineLevel="1" x14ac:dyDescent="0.25">
      <c r="A961" s="14"/>
      <c r="B961" s="28" t="s">
        <v>224</v>
      </c>
      <c r="C961" s="23" t="s">
        <v>1675</v>
      </c>
      <c r="D961" s="23" t="s">
        <v>1469</v>
      </c>
      <c r="E961" s="23">
        <v>0</v>
      </c>
      <c r="F961" s="23" t="s">
        <v>1476</v>
      </c>
      <c r="G961" s="24"/>
      <c r="H961" s="14"/>
      <c r="I961" s="14"/>
      <c r="J961" s="14" t="s">
        <v>10</v>
      </c>
      <c r="K961" s="14" t="s">
        <v>173</v>
      </c>
      <c r="L961" s="14" t="s">
        <v>9</v>
      </c>
      <c r="M961" s="14" t="s">
        <v>9</v>
      </c>
      <c r="N961" s="14">
        <v>1737</v>
      </c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s="6" customFormat="1" hidden="1" outlineLevel="1" x14ac:dyDescent="0.25">
      <c r="A962" s="14"/>
      <c r="B962" s="28" t="s">
        <v>225</v>
      </c>
      <c r="C962" s="23" t="s">
        <v>1676</v>
      </c>
      <c r="D962" s="23" t="s">
        <v>1489</v>
      </c>
      <c r="E962" s="23">
        <v>0</v>
      </c>
      <c r="F962" s="23" t="s">
        <v>1470</v>
      </c>
      <c r="G962" s="24"/>
      <c r="H962" s="14"/>
      <c r="I962" s="14"/>
      <c r="J962" s="14" t="s">
        <v>20</v>
      </c>
      <c r="K962" s="14" t="s">
        <v>445</v>
      </c>
      <c r="L962" s="14" t="s">
        <v>446</v>
      </c>
      <c r="M962" s="14" t="s">
        <v>446</v>
      </c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s="6" customFormat="1" hidden="1" outlineLevel="1" x14ac:dyDescent="0.25">
      <c r="A963" s="14"/>
      <c r="B963" s="185" t="s">
        <v>226</v>
      </c>
      <c r="C963" s="23" t="s">
        <v>1677</v>
      </c>
      <c r="D963" s="23" t="s">
        <v>1539</v>
      </c>
      <c r="E963" s="23">
        <v>0</v>
      </c>
      <c r="F963" s="23" t="s">
        <v>1470</v>
      </c>
      <c r="G963" s="24"/>
      <c r="H963" s="14"/>
      <c r="I963" s="14"/>
      <c r="J963" s="14" t="s">
        <v>20</v>
      </c>
      <c r="K963" s="14" t="s">
        <v>445</v>
      </c>
      <c r="L963" s="14" t="s">
        <v>446</v>
      </c>
      <c r="M963" s="14" t="s">
        <v>446</v>
      </c>
      <c r="N963" s="14">
        <v>1182</v>
      </c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s="6" customFormat="1" hidden="1" outlineLevel="1" x14ac:dyDescent="0.25">
      <c r="A964" s="14"/>
      <c r="B964" s="318" t="s">
        <v>194</v>
      </c>
      <c r="C964" s="312" t="s">
        <v>1618</v>
      </c>
      <c r="D964" s="312" t="s">
        <v>1469</v>
      </c>
      <c r="E964" s="312">
        <v>0</v>
      </c>
      <c r="F964" s="312"/>
      <c r="G964" s="313" t="s">
        <v>1619</v>
      </c>
      <c r="H964" s="14"/>
      <c r="I964" s="14"/>
      <c r="J964" s="14" t="s">
        <v>10</v>
      </c>
      <c r="K964" s="14" t="s">
        <v>173</v>
      </c>
      <c r="L964" s="14" t="s">
        <v>9</v>
      </c>
      <c r="M964" s="14" t="s">
        <v>9</v>
      </c>
      <c r="N964" s="14">
        <v>3169</v>
      </c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s="6" customFormat="1" ht="16.2" hidden="1" outlineLevel="1" thickBot="1" x14ac:dyDescent="0.3">
      <c r="A965" s="14"/>
      <c r="B965" s="318" t="s">
        <v>195</v>
      </c>
      <c r="C965" s="312" t="s">
        <v>1620</v>
      </c>
      <c r="D965" s="312" t="s">
        <v>1469</v>
      </c>
      <c r="E965" s="312">
        <v>0</v>
      </c>
      <c r="F965" s="312"/>
      <c r="G965" s="313" t="s">
        <v>1621</v>
      </c>
      <c r="H965" s="14"/>
      <c r="I965" s="14"/>
      <c r="J965" s="14" t="s">
        <v>10</v>
      </c>
      <c r="K965" s="14" t="s">
        <v>173</v>
      </c>
      <c r="L965" s="14" t="s">
        <v>9</v>
      </c>
      <c r="M965" s="14" t="s">
        <v>9</v>
      </c>
      <c r="N965" s="14">
        <v>3168</v>
      </c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s="6" customFormat="1" hidden="1" outlineLevel="1" x14ac:dyDescent="0.25">
      <c r="A966" s="14"/>
      <c r="B966" s="401" t="s">
        <v>28</v>
      </c>
      <c r="C966" s="402"/>
      <c r="D966" s="402"/>
      <c r="E966" s="402"/>
      <c r="F966" s="402"/>
      <c r="G966" s="403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s="6" customFormat="1" hidden="1" outlineLevel="1" x14ac:dyDescent="0.25">
      <c r="A967" s="14"/>
      <c r="B967" s="25" t="s">
        <v>2</v>
      </c>
      <c r="C967" s="26" t="s">
        <v>3</v>
      </c>
      <c r="D967" s="26" t="s">
        <v>4</v>
      </c>
      <c r="E967" s="26" t="s">
        <v>5</v>
      </c>
      <c r="F967" s="26"/>
      <c r="G967" s="27" t="s">
        <v>6</v>
      </c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s="6" customFormat="1" ht="16.2" hidden="1" outlineLevel="1" thickBot="1" x14ac:dyDescent="0.3">
      <c r="A968" s="14"/>
      <c r="B968" s="116"/>
      <c r="C968" s="117"/>
      <c r="D968" s="117"/>
      <c r="E968" s="117"/>
      <c r="F968" s="117"/>
      <c r="G968" s="118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s="6" customFormat="1" hidden="1" outlineLevel="1" x14ac:dyDescent="0.25">
      <c r="A969" s="14"/>
      <c r="B969" s="401" t="s">
        <v>29</v>
      </c>
      <c r="C969" s="402"/>
      <c r="D969" s="402"/>
      <c r="E969" s="402"/>
      <c r="F969" s="402"/>
      <c r="G969" s="403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s="6" customFormat="1" hidden="1" outlineLevel="1" x14ac:dyDescent="0.25">
      <c r="A970" s="14"/>
      <c r="B970" s="83" t="s">
        <v>578</v>
      </c>
      <c r="C970" s="274"/>
      <c r="D970" s="274"/>
      <c r="E970" s="274"/>
      <c r="F970" s="274"/>
      <c r="G970" s="275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s="6" customFormat="1" hidden="1" outlineLevel="1" x14ac:dyDescent="0.25">
      <c r="A971" s="14"/>
      <c r="B971" s="83" t="s">
        <v>579</v>
      </c>
      <c r="C971" s="274"/>
      <c r="D971" s="274"/>
      <c r="E971" s="274"/>
      <c r="F971" s="274"/>
      <c r="G971" s="275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s="6" customFormat="1" hidden="1" outlineLevel="1" x14ac:dyDescent="0.25">
      <c r="A972" s="14"/>
      <c r="B972" s="83" t="s">
        <v>561</v>
      </c>
      <c r="C972" s="274"/>
      <c r="D972" s="274"/>
      <c r="E972" s="274"/>
      <c r="F972" s="274"/>
      <c r="G972" s="275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s="7" customFormat="1" ht="16.5" hidden="1" customHeight="1" outlineLevel="1" x14ac:dyDescent="0.25">
      <c r="A973" s="14"/>
      <c r="B973" s="308" t="s">
        <v>559</v>
      </c>
      <c r="C973" s="309"/>
      <c r="D973" s="309"/>
      <c r="E973" s="309"/>
      <c r="F973" s="309"/>
      <c r="G973" s="310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s="7" customFormat="1" ht="17.399999999999999" hidden="1" customHeight="1" outlineLevel="1" thickBot="1" x14ac:dyDescent="0.3">
      <c r="A974" s="14"/>
      <c r="B974" s="305" t="s">
        <v>560</v>
      </c>
      <c r="C974" s="306"/>
      <c r="D974" s="306"/>
      <c r="E974" s="306"/>
      <c r="F974" s="306"/>
      <c r="G974" s="307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s="7" customFormat="1" ht="16.5" hidden="1" customHeight="1" outlineLevel="1" x14ac:dyDescent="0.25">
      <c r="A975" s="14"/>
      <c r="B975" s="308" t="s">
        <v>561</v>
      </c>
      <c r="C975" s="309"/>
      <c r="D975" s="309"/>
      <c r="E975" s="309"/>
      <c r="F975" s="309"/>
      <c r="G975" s="310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s="6" customFormat="1" hidden="1" outlineLevel="1" x14ac:dyDescent="0.25">
      <c r="A976" s="14"/>
      <c r="B976" s="83" t="s">
        <v>580</v>
      </c>
      <c r="C976" s="274"/>
      <c r="D976" s="274"/>
      <c r="E976" s="274"/>
      <c r="F976" s="274"/>
      <c r="G976" s="275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s="6" customFormat="1" hidden="1" outlineLevel="1" x14ac:dyDescent="0.25">
      <c r="A977" s="14"/>
      <c r="B977" s="83" t="s">
        <v>581</v>
      </c>
      <c r="C977" s="274"/>
      <c r="D977" s="274"/>
      <c r="E977" s="274"/>
      <c r="F977" s="274"/>
      <c r="G977" s="275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s="6" customFormat="1" hidden="1" outlineLevel="1" x14ac:dyDescent="0.25">
      <c r="A978" s="14"/>
      <c r="B978" s="83" t="s">
        <v>582</v>
      </c>
      <c r="C978" s="274"/>
      <c r="D978" s="274"/>
      <c r="E978" s="274"/>
      <c r="F978" s="274"/>
      <c r="G978" s="275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s="6" customFormat="1" hidden="1" outlineLevel="1" x14ac:dyDescent="0.25">
      <c r="A979" s="14"/>
      <c r="B979" s="83" t="s">
        <v>583</v>
      </c>
      <c r="C979" s="274"/>
      <c r="D979" s="274"/>
      <c r="E979" s="274"/>
      <c r="F979" s="274"/>
      <c r="G979" s="275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s="6" customFormat="1" hidden="1" outlineLevel="1" x14ac:dyDescent="0.25">
      <c r="A980" s="14"/>
      <c r="B980" s="83" t="s">
        <v>584</v>
      </c>
      <c r="C980" s="274"/>
      <c r="D980" s="274"/>
      <c r="E980" s="274"/>
      <c r="F980" s="274"/>
      <c r="G980" s="275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s="6" customFormat="1" hidden="1" outlineLevel="1" x14ac:dyDescent="0.25">
      <c r="A981" s="14"/>
      <c r="B981" s="83" t="s">
        <v>2078</v>
      </c>
      <c r="C981" s="274"/>
      <c r="D981" s="274"/>
      <c r="E981" s="274"/>
      <c r="F981" s="274"/>
      <c r="G981" s="275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s="6" customFormat="1" hidden="1" outlineLevel="1" x14ac:dyDescent="0.25">
      <c r="A982" s="14"/>
      <c r="B982" s="83" t="s">
        <v>2079</v>
      </c>
      <c r="C982" s="274"/>
      <c r="D982" s="274"/>
      <c r="E982" s="274"/>
      <c r="F982" s="274"/>
      <c r="G982" s="275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s="6" customFormat="1" hidden="1" outlineLevel="1" x14ac:dyDescent="0.25">
      <c r="A983" s="14"/>
      <c r="B983" s="83" t="s">
        <v>585</v>
      </c>
      <c r="C983" s="274"/>
      <c r="D983" s="274"/>
      <c r="E983" s="274"/>
      <c r="F983" s="274"/>
      <c r="G983" s="275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s="6" customFormat="1" hidden="1" outlineLevel="1" x14ac:dyDescent="0.25">
      <c r="A984" s="14"/>
      <c r="B984" s="83" t="s">
        <v>586</v>
      </c>
      <c r="C984" s="274"/>
      <c r="D984" s="274"/>
      <c r="E984" s="274"/>
      <c r="F984" s="274"/>
      <c r="G984" s="275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s="6" customFormat="1" hidden="1" outlineLevel="1" x14ac:dyDescent="0.25">
      <c r="A985" s="14"/>
      <c r="B985" s="83" t="s">
        <v>587</v>
      </c>
      <c r="C985" s="274"/>
      <c r="D985" s="274"/>
      <c r="E985" s="274"/>
      <c r="F985" s="274"/>
      <c r="G985" s="275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s="6" customFormat="1" hidden="1" outlineLevel="1" x14ac:dyDescent="0.25">
      <c r="A986" s="14"/>
      <c r="B986" s="83" t="s">
        <v>588</v>
      </c>
      <c r="C986" s="274"/>
      <c r="D986" s="274"/>
      <c r="E986" s="274"/>
      <c r="F986" s="274"/>
      <c r="G986" s="275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s="6" customFormat="1" hidden="1" outlineLevel="1" x14ac:dyDescent="0.25">
      <c r="A987" s="14"/>
      <c r="B987" s="83" t="s">
        <v>561</v>
      </c>
      <c r="C987" s="274"/>
      <c r="D987" s="274"/>
      <c r="E987" s="274"/>
      <c r="F987" s="274"/>
      <c r="G987" s="275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s="6" customFormat="1" hidden="1" outlineLevel="1" x14ac:dyDescent="0.25">
      <c r="A988" s="14"/>
      <c r="B988" s="83" t="s">
        <v>601</v>
      </c>
      <c r="C988" s="274"/>
      <c r="D988" s="274"/>
      <c r="E988" s="274"/>
      <c r="F988" s="274"/>
      <c r="G988" s="275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s="6" customFormat="1" hidden="1" outlineLevel="1" x14ac:dyDescent="0.25">
      <c r="A989" s="14"/>
      <c r="B989" s="83" t="s">
        <v>602</v>
      </c>
      <c r="C989" s="274"/>
      <c r="D989" s="274"/>
      <c r="E989" s="274"/>
      <c r="F989" s="274"/>
      <c r="G989" s="275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s="6" customFormat="1" hidden="1" outlineLevel="1" x14ac:dyDescent="0.25">
      <c r="A990" s="14"/>
      <c r="B990" s="83" t="s">
        <v>2096</v>
      </c>
      <c r="C990" s="274"/>
      <c r="D990" s="274"/>
      <c r="E990" s="274"/>
      <c r="F990" s="274"/>
      <c r="G990" s="275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 s="6" customFormat="1" hidden="1" outlineLevel="1" x14ac:dyDescent="0.25">
      <c r="A991" s="14"/>
      <c r="B991" s="83" t="s">
        <v>2097</v>
      </c>
      <c r="C991" s="274"/>
      <c r="D991" s="274"/>
      <c r="E991" s="274"/>
      <c r="F991" s="274"/>
      <c r="G991" s="275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 s="6" customFormat="1" hidden="1" outlineLevel="1" x14ac:dyDescent="0.25">
      <c r="A992" s="14"/>
      <c r="B992" s="83" t="s">
        <v>2080</v>
      </c>
      <c r="C992" s="274"/>
      <c r="D992" s="274"/>
      <c r="E992" s="274"/>
      <c r="F992" s="274"/>
      <c r="G992" s="275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 s="6" customFormat="1" hidden="1" outlineLevel="1" x14ac:dyDescent="0.25">
      <c r="A993" s="14"/>
      <c r="B993" s="83" t="s">
        <v>2082</v>
      </c>
      <c r="C993" s="274"/>
      <c r="D993" s="274"/>
      <c r="E993" s="274"/>
      <c r="F993" s="274"/>
      <c r="G993" s="275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1:27" s="6" customFormat="1" hidden="1" outlineLevel="1" x14ac:dyDescent="0.25">
      <c r="A994" s="14"/>
      <c r="B994" s="83" t="s">
        <v>2081</v>
      </c>
      <c r="C994" s="274"/>
      <c r="D994" s="274"/>
      <c r="E994" s="274"/>
      <c r="F994" s="274"/>
      <c r="G994" s="275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1:27" s="6" customFormat="1" hidden="1" outlineLevel="1" x14ac:dyDescent="0.25">
      <c r="A995" s="14"/>
      <c r="B995" s="83" t="s">
        <v>2098</v>
      </c>
      <c r="C995" s="274"/>
      <c r="D995" s="274"/>
      <c r="E995" s="274"/>
      <c r="F995" s="274"/>
      <c r="G995" s="275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1:27" s="6" customFormat="1" hidden="1" outlineLevel="1" x14ac:dyDescent="0.25">
      <c r="A996" s="14"/>
      <c r="B996" s="83" t="s">
        <v>2086</v>
      </c>
      <c r="C996" s="274"/>
      <c r="D996" s="274"/>
      <c r="E996" s="274"/>
      <c r="F996" s="274"/>
      <c r="G996" s="275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1:27" s="6" customFormat="1" hidden="1" outlineLevel="1" x14ac:dyDescent="0.25">
      <c r="A997" s="14"/>
      <c r="B997" s="83" t="s">
        <v>2087</v>
      </c>
      <c r="C997" s="274"/>
      <c r="D997" s="274"/>
      <c r="E997" s="274"/>
      <c r="F997" s="274"/>
      <c r="G997" s="275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1:27" s="6" customFormat="1" hidden="1" outlineLevel="1" x14ac:dyDescent="0.25">
      <c r="A998" s="14"/>
      <c r="B998" s="83" t="s">
        <v>2088</v>
      </c>
      <c r="C998" s="274"/>
      <c r="D998" s="274"/>
      <c r="E998" s="274"/>
      <c r="F998" s="274"/>
      <c r="G998" s="275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1:27" s="6" customFormat="1" hidden="1" outlineLevel="1" x14ac:dyDescent="0.25">
      <c r="A999" s="14"/>
      <c r="B999" s="83" t="s">
        <v>2089</v>
      </c>
      <c r="C999" s="274"/>
      <c r="D999" s="274"/>
      <c r="E999" s="274"/>
      <c r="F999" s="274"/>
      <c r="G999" s="275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1:27" s="6" customFormat="1" hidden="1" outlineLevel="1" x14ac:dyDescent="0.25">
      <c r="A1000" s="14"/>
      <c r="B1000" s="83" t="s">
        <v>603</v>
      </c>
      <c r="C1000" s="274"/>
      <c r="D1000" s="274"/>
      <c r="E1000" s="274"/>
      <c r="F1000" s="274"/>
      <c r="G1000" s="275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 spans="1:27" s="6" customFormat="1" hidden="1" outlineLevel="1" x14ac:dyDescent="0.25">
      <c r="A1001" s="14"/>
      <c r="B1001" s="83" t="s">
        <v>604</v>
      </c>
      <c r="C1001" s="274"/>
      <c r="D1001" s="274"/>
      <c r="E1001" s="274"/>
      <c r="F1001" s="274"/>
      <c r="G1001" s="275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 spans="1:27" s="6" customFormat="1" hidden="1" outlineLevel="1" x14ac:dyDescent="0.25">
      <c r="A1002" s="14"/>
      <c r="B1002" s="83" t="s">
        <v>589</v>
      </c>
      <c r="C1002" s="274"/>
      <c r="D1002" s="274"/>
      <c r="E1002" s="274"/>
      <c r="F1002" s="274"/>
      <c r="G1002" s="275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 spans="1:27" s="6" customFormat="1" hidden="1" outlineLevel="1" x14ac:dyDescent="0.25">
      <c r="A1003" s="14"/>
      <c r="B1003" s="83" t="s">
        <v>2092</v>
      </c>
      <c r="C1003" s="274"/>
      <c r="D1003" s="274"/>
      <c r="E1003" s="274"/>
      <c r="F1003" s="274"/>
      <c r="G1003" s="275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  <row r="1004" spans="1:27" s="6" customFormat="1" hidden="1" outlineLevel="1" x14ac:dyDescent="0.25">
      <c r="A1004" s="14"/>
      <c r="B1004" s="83" t="s">
        <v>561</v>
      </c>
      <c r="C1004" s="274"/>
      <c r="D1004" s="274"/>
      <c r="E1004" s="274"/>
      <c r="F1004" s="274"/>
      <c r="G1004" s="275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</row>
    <row r="1005" spans="1:27" s="6" customFormat="1" hidden="1" outlineLevel="1" x14ac:dyDescent="0.25">
      <c r="A1005" s="14"/>
      <c r="B1005" s="83" t="s">
        <v>590</v>
      </c>
      <c r="C1005" s="274"/>
      <c r="D1005" s="274"/>
      <c r="E1005" s="274"/>
      <c r="F1005" s="274"/>
      <c r="G1005" s="275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</row>
    <row r="1006" spans="1:27" s="6" customFormat="1" hidden="1" outlineLevel="1" x14ac:dyDescent="0.25">
      <c r="A1006" s="14"/>
      <c r="B1006" s="83" t="s">
        <v>2093</v>
      </c>
      <c r="C1006" s="274"/>
      <c r="D1006" s="274"/>
      <c r="E1006" s="274"/>
      <c r="F1006" s="274"/>
      <c r="G1006" s="275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</row>
    <row r="1007" spans="1:27" s="6" customFormat="1" hidden="1" outlineLevel="1" x14ac:dyDescent="0.25">
      <c r="A1007" s="14"/>
      <c r="B1007" s="83" t="s">
        <v>561</v>
      </c>
      <c r="C1007" s="274"/>
      <c r="D1007" s="274"/>
      <c r="E1007" s="274"/>
      <c r="F1007" s="274"/>
      <c r="G1007" s="275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</row>
    <row r="1008" spans="1:27" s="6" customFormat="1" hidden="1" outlineLevel="1" x14ac:dyDescent="0.25">
      <c r="A1008" s="14"/>
      <c r="B1008" s="83" t="s">
        <v>591</v>
      </c>
      <c r="C1008" s="274"/>
      <c r="D1008" s="274"/>
      <c r="E1008" s="274"/>
      <c r="F1008" s="274"/>
      <c r="G1008" s="275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</row>
    <row r="1009" spans="1:27" s="6" customFormat="1" hidden="1" outlineLevel="1" x14ac:dyDescent="0.25">
      <c r="A1009" s="14"/>
      <c r="B1009" s="83" t="s">
        <v>605</v>
      </c>
      <c r="C1009" s="274"/>
      <c r="D1009" s="274"/>
      <c r="E1009" s="274"/>
      <c r="F1009" s="274"/>
      <c r="G1009" s="275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</row>
    <row r="1010" spans="1:27" s="6" customFormat="1" hidden="1" outlineLevel="1" x14ac:dyDescent="0.25">
      <c r="A1010" s="14"/>
      <c r="B1010" s="83" t="s">
        <v>593</v>
      </c>
      <c r="C1010" s="274"/>
      <c r="D1010" s="274"/>
      <c r="E1010" s="274"/>
      <c r="F1010" s="274"/>
      <c r="G1010" s="275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</row>
    <row r="1011" spans="1:27" s="6" customFormat="1" hidden="1" outlineLevel="1" x14ac:dyDescent="0.25">
      <c r="A1011" s="14"/>
      <c r="B1011" s="83" t="s">
        <v>606</v>
      </c>
      <c r="C1011" s="274"/>
      <c r="D1011" s="274"/>
      <c r="E1011" s="274"/>
      <c r="F1011" s="274"/>
      <c r="G1011" s="275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</row>
    <row r="1012" spans="1:27" s="6" customFormat="1" hidden="1" outlineLevel="1" x14ac:dyDescent="0.25">
      <c r="A1012" s="14"/>
      <c r="B1012" s="83" t="s">
        <v>595</v>
      </c>
      <c r="C1012" s="274"/>
      <c r="D1012" s="274"/>
      <c r="E1012" s="274"/>
      <c r="F1012" s="274"/>
      <c r="G1012" s="275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</row>
    <row r="1013" spans="1:27" s="6" customFormat="1" hidden="1" outlineLevel="1" x14ac:dyDescent="0.25">
      <c r="A1013" s="14"/>
      <c r="B1013" s="83" t="s">
        <v>607</v>
      </c>
      <c r="C1013" s="274"/>
      <c r="D1013" s="274"/>
      <c r="E1013" s="274"/>
      <c r="F1013" s="274"/>
      <c r="G1013" s="275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</row>
    <row r="1014" spans="1:27" s="6" customFormat="1" hidden="1" outlineLevel="1" x14ac:dyDescent="0.25">
      <c r="A1014" s="14"/>
      <c r="B1014" s="83" t="s">
        <v>597</v>
      </c>
      <c r="C1014" s="274"/>
      <c r="D1014" s="274"/>
      <c r="E1014" s="274"/>
      <c r="F1014" s="274"/>
      <c r="G1014" s="275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</row>
    <row r="1015" spans="1:27" s="6" customFormat="1" hidden="1" outlineLevel="1" x14ac:dyDescent="0.25">
      <c r="A1015" s="14"/>
      <c r="B1015" s="83" t="s">
        <v>606</v>
      </c>
      <c r="C1015" s="274"/>
      <c r="D1015" s="274"/>
      <c r="E1015" s="274"/>
      <c r="F1015" s="274"/>
      <c r="G1015" s="275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</row>
    <row r="1016" spans="1:27" s="6" customFormat="1" hidden="1" outlineLevel="1" x14ac:dyDescent="0.25">
      <c r="A1016" s="14"/>
      <c r="B1016" s="83" t="s">
        <v>561</v>
      </c>
      <c r="C1016" s="274"/>
      <c r="D1016" s="274"/>
      <c r="E1016" s="274"/>
      <c r="F1016" s="274"/>
      <c r="G1016" s="275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</row>
    <row r="1017" spans="1:27" s="6" customFormat="1" hidden="1" outlineLevel="1" x14ac:dyDescent="0.25">
      <c r="A1017" s="14"/>
      <c r="B1017" s="83" t="s">
        <v>2094</v>
      </c>
      <c r="C1017" s="274"/>
      <c r="D1017" s="274"/>
      <c r="E1017" s="274"/>
      <c r="F1017" s="274"/>
      <c r="G1017" s="275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</row>
    <row r="1018" spans="1:27" s="6" customFormat="1" hidden="1" outlineLevel="1" x14ac:dyDescent="0.25">
      <c r="A1018" s="14"/>
      <c r="B1018" s="83" t="s">
        <v>2095</v>
      </c>
      <c r="C1018" s="274"/>
      <c r="D1018" s="274"/>
      <c r="E1018" s="274"/>
      <c r="F1018" s="274"/>
      <c r="G1018" s="275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</row>
    <row r="1019" spans="1:27" s="6" customFormat="1" hidden="1" outlineLevel="1" x14ac:dyDescent="0.25">
      <c r="A1019" s="14"/>
      <c r="B1019" s="83" t="s">
        <v>608</v>
      </c>
      <c r="C1019" s="274"/>
      <c r="D1019" s="274"/>
      <c r="E1019" s="274"/>
      <c r="F1019" s="274"/>
      <c r="G1019" s="376" t="s">
        <v>2427</v>
      </c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</row>
    <row r="1020" spans="1:27" s="6" customFormat="1" hidden="1" outlineLevel="1" x14ac:dyDescent="0.25">
      <c r="A1020" s="14"/>
      <c r="B1020" s="83"/>
      <c r="C1020" s="274"/>
      <c r="D1020" s="274"/>
      <c r="E1020" s="274"/>
      <c r="F1020" s="274"/>
      <c r="G1020" s="275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</row>
    <row r="1021" spans="1:27" s="6" customFormat="1" ht="16.2" hidden="1" outlineLevel="1" thickBot="1" x14ac:dyDescent="0.3">
      <c r="A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</row>
    <row r="1022" spans="1:27" s="3" customFormat="1" ht="17.399999999999999" customHeight="1" collapsed="1" thickBot="1" x14ac:dyDescent="0.3">
      <c r="A1022" s="5"/>
      <c r="B1022" s="15" t="s">
        <v>1279</v>
      </c>
      <c r="C1022" s="16" t="s">
        <v>1951</v>
      </c>
      <c r="D1022" s="17" t="s">
        <v>1281</v>
      </c>
      <c r="E1022" s="16" t="s">
        <v>609</v>
      </c>
      <c r="F1022" s="17" t="s">
        <v>1282</v>
      </c>
      <c r="G1022" s="18" t="s">
        <v>1952</v>
      </c>
    </row>
    <row r="1023" spans="1:27" s="3" customFormat="1" ht="17.399999999999999" hidden="1" customHeight="1" outlineLevel="1" x14ac:dyDescent="0.25">
      <c r="A1023" s="5"/>
      <c r="B1023" s="19" t="s">
        <v>1284</v>
      </c>
      <c r="C1023" s="20" t="s">
        <v>1285</v>
      </c>
      <c r="D1023" s="21" t="s">
        <v>1286</v>
      </c>
      <c r="E1023" s="20" t="s">
        <v>1953</v>
      </c>
      <c r="F1023" s="21" t="s">
        <v>1288</v>
      </c>
      <c r="G1023" s="22" t="s">
        <v>1370</v>
      </c>
    </row>
    <row r="1024" spans="1:27" s="3" customFormat="1" ht="17.399999999999999" hidden="1" customHeight="1" outlineLevel="1" thickBot="1" x14ac:dyDescent="0.3">
      <c r="A1024" s="5"/>
      <c r="B1024" s="19" t="s">
        <v>1290</v>
      </c>
      <c r="C1024" s="23" t="s">
        <v>1291</v>
      </c>
      <c r="D1024" s="21" t="s">
        <v>1292</v>
      </c>
      <c r="E1024" s="23">
        <v>5</v>
      </c>
      <c r="F1024" s="21" t="s">
        <v>1293</v>
      </c>
      <c r="G1024" s="24" t="s">
        <v>1294</v>
      </c>
    </row>
    <row r="1025" spans="1:14" s="3" customFormat="1" ht="17.399999999999999" hidden="1" customHeight="1" outlineLevel="1" x14ac:dyDescent="0.25">
      <c r="A1025" s="5"/>
      <c r="B1025" s="395" t="s">
        <v>1</v>
      </c>
      <c r="C1025" s="396"/>
      <c r="D1025" s="396"/>
      <c r="E1025" s="396"/>
      <c r="F1025" s="396"/>
      <c r="G1025" s="397"/>
    </row>
    <row r="1026" spans="1:14" s="3" customFormat="1" ht="17.399999999999999" hidden="1" customHeight="1" outlineLevel="1" x14ac:dyDescent="0.25">
      <c r="A1026" s="5"/>
      <c r="B1026" s="25" t="s">
        <v>2</v>
      </c>
      <c r="C1026" s="26" t="s">
        <v>3</v>
      </c>
      <c r="D1026" s="26" t="s">
        <v>4</v>
      </c>
      <c r="E1026" s="26" t="s">
        <v>5</v>
      </c>
      <c r="F1026" s="26"/>
      <c r="G1026" s="27" t="s">
        <v>6</v>
      </c>
    </row>
    <row r="1027" spans="1:14" s="3" customFormat="1" hidden="1" outlineLevel="1" x14ac:dyDescent="0.25">
      <c r="B1027" s="28" t="s">
        <v>7</v>
      </c>
      <c r="C1027" s="29" t="s">
        <v>1468</v>
      </c>
      <c r="D1027" s="29" t="s">
        <v>1469</v>
      </c>
      <c r="E1027" s="29">
        <v>0</v>
      </c>
      <c r="F1027" s="29" t="s">
        <v>1470</v>
      </c>
      <c r="G1027" s="30" t="s">
        <v>1471</v>
      </c>
      <c r="J1027" s="3" t="s">
        <v>10</v>
      </c>
      <c r="K1027" s="3" t="s">
        <v>173</v>
      </c>
      <c r="L1027" s="3" t="s">
        <v>9</v>
      </c>
      <c r="M1027" s="3" t="s">
        <v>9</v>
      </c>
      <c r="N1027" s="3">
        <v>1112</v>
      </c>
    </row>
    <row r="1028" spans="1:14" s="3" customFormat="1" hidden="1" outlineLevel="1" x14ac:dyDescent="0.25">
      <c r="B1028" s="28" t="s">
        <v>11</v>
      </c>
      <c r="C1028" s="29" t="s">
        <v>1472</v>
      </c>
      <c r="D1028" s="29" t="s">
        <v>1469</v>
      </c>
      <c r="E1028" s="29">
        <v>0</v>
      </c>
      <c r="F1028" s="29" t="s">
        <v>1470</v>
      </c>
      <c r="G1028" s="30" t="s">
        <v>1473</v>
      </c>
      <c r="J1028" s="3" t="s">
        <v>12</v>
      </c>
      <c r="K1028" s="3" t="s">
        <v>174</v>
      </c>
      <c r="L1028" s="3" t="s">
        <v>175</v>
      </c>
      <c r="M1028" s="3" t="s">
        <v>176</v>
      </c>
      <c r="N1028" s="3">
        <v>1700</v>
      </c>
    </row>
    <row r="1029" spans="1:14" s="3" customFormat="1" hidden="1" outlineLevel="1" x14ac:dyDescent="0.25">
      <c r="B1029" s="28" t="s">
        <v>185</v>
      </c>
      <c r="C1029" s="29" t="s">
        <v>1604</v>
      </c>
      <c r="D1029" s="29" t="s">
        <v>1469</v>
      </c>
      <c r="E1029" s="29">
        <v>0</v>
      </c>
      <c r="F1029" s="29" t="s">
        <v>1470</v>
      </c>
      <c r="G1029" s="30"/>
      <c r="J1029" s="3" t="s">
        <v>10</v>
      </c>
      <c r="K1029" s="3" t="s">
        <v>173</v>
      </c>
      <c r="L1029" s="3" t="s">
        <v>9</v>
      </c>
      <c r="M1029" s="3" t="s">
        <v>9</v>
      </c>
      <c r="N1029" s="3">
        <v>2330</v>
      </c>
    </row>
    <row r="1030" spans="1:14" s="3" customFormat="1" hidden="1" outlineLevel="1" x14ac:dyDescent="0.25">
      <c r="B1030" s="28" t="s">
        <v>160</v>
      </c>
      <c r="C1030" s="29" t="s">
        <v>1588</v>
      </c>
      <c r="D1030" s="29" t="s">
        <v>1469</v>
      </c>
      <c r="E1030" s="29">
        <v>0</v>
      </c>
      <c r="F1030" s="29"/>
      <c r="G1030" s="30"/>
      <c r="J1030" s="3" t="s">
        <v>10</v>
      </c>
      <c r="K1030" s="3" t="s">
        <v>173</v>
      </c>
      <c r="L1030" s="3" t="s">
        <v>9</v>
      </c>
      <c r="M1030" s="3" t="s">
        <v>9</v>
      </c>
      <c r="N1030" s="3">
        <v>1604</v>
      </c>
    </row>
    <row r="1031" spans="1:14" s="3" customFormat="1" hidden="1" outlineLevel="1" x14ac:dyDescent="0.25">
      <c r="B1031" s="28" t="s">
        <v>302</v>
      </c>
      <c r="C1031" s="29" t="s">
        <v>1727</v>
      </c>
      <c r="D1031" s="29" t="s">
        <v>1606</v>
      </c>
      <c r="E1031" s="29" t="s">
        <v>1594</v>
      </c>
      <c r="F1031" s="29" t="s">
        <v>1470</v>
      </c>
      <c r="G1031" s="30"/>
      <c r="J1031" s="3" t="s">
        <v>187</v>
      </c>
      <c r="K1031" s="3" t="s">
        <v>438</v>
      </c>
      <c r="L1031" s="3" t="s">
        <v>537</v>
      </c>
      <c r="M1031" s="3" t="s">
        <v>187</v>
      </c>
      <c r="N1031" s="3">
        <v>1700</v>
      </c>
    </row>
    <row r="1032" spans="1:14" s="3" customFormat="1" hidden="1" outlineLevel="1" x14ac:dyDescent="0.25">
      <c r="B1032" s="28" t="s">
        <v>265</v>
      </c>
      <c r="C1032" s="29" t="s">
        <v>1692</v>
      </c>
      <c r="D1032" s="29" t="s">
        <v>1606</v>
      </c>
      <c r="E1032" s="29" t="s">
        <v>1594</v>
      </c>
      <c r="F1032" s="29" t="s">
        <v>1470</v>
      </c>
      <c r="G1032" s="30"/>
      <c r="J1032" s="3" t="s">
        <v>187</v>
      </c>
      <c r="K1032" s="3" t="s">
        <v>438</v>
      </c>
      <c r="L1032" s="3" t="s">
        <v>537</v>
      </c>
      <c r="M1032" s="3" t="s">
        <v>187</v>
      </c>
      <c r="N1032" s="3">
        <v>1114</v>
      </c>
    </row>
    <row r="1033" spans="1:14" s="3" customFormat="1" hidden="1" outlineLevel="1" x14ac:dyDescent="0.25">
      <c r="B1033" s="28" t="s">
        <v>538</v>
      </c>
      <c r="C1033" s="29" t="s">
        <v>2062</v>
      </c>
      <c r="D1033" s="29" t="s">
        <v>1606</v>
      </c>
      <c r="E1033" s="29" t="s">
        <v>1594</v>
      </c>
      <c r="F1033" s="29"/>
      <c r="G1033" s="30"/>
      <c r="J1033" s="3" t="s">
        <v>187</v>
      </c>
      <c r="K1033" s="3" t="s">
        <v>438</v>
      </c>
      <c r="L1033" s="3" t="s">
        <v>537</v>
      </c>
      <c r="M1033" s="3" t="s">
        <v>187</v>
      </c>
      <c r="N1033" s="3">
        <v>1607</v>
      </c>
    </row>
    <row r="1034" spans="1:14" s="3" customFormat="1" hidden="1" outlineLevel="1" x14ac:dyDescent="0.25">
      <c r="B1034" s="28"/>
      <c r="C1034" s="29"/>
      <c r="D1034" s="29"/>
      <c r="E1034" s="29"/>
      <c r="F1034" s="29"/>
      <c r="G1034" s="30"/>
    </row>
    <row r="1035" spans="1:14" s="3" customFormat="1" ht="16.2" hidden="1" outlineLevel="1" thickBot="1" x14ac:dyDescent="0.3">
      <c r="B1035" s="28"/>
      <c r="C1035" s="29"/>
      <c r="D1035" s="29"/>
      <c r="E1035" s="29"/>
      <c r="F1035" s="29"/>
      <c r="G1035" s="30"/>
    </row>
    <row r="1036" spans="1:14" s="3" customFormat="1" ht="17.399999999999999" hidden="1" customHeight="1" outlineLevel="1" x14ac:dyDescent="0.25">
      <c r="A1036" s="5"/>
      <c r="B1036" s="395" t="s">
        <v>18</v>
      </c>
      <c r="C1036" s="396"/>
      <c r="D1036" s="396"/>
      <c r="E1036" s="396"/>
      <c r="F1036" s="396"/>
      <c r="G1036" s="397"/>
    </row>
    <row r="1037" spans="1:14" s="3" customFormat="1" ht="17.399999999999999" hidden="1" customHeight="1" outlineLevel="1" x14ac:dyDescent="0.25">
      <c r="A1037" s="5"/>
      <c r="B1037" s="25" t="s">
        <v>2</v>
      </c>
      <c r="C1037" s="26" t="s">
        <v>3</v>
      </c>
      <c r="D1037" s="26" t="s">
        <v>4</v>
      </c>
      <c r="E1037" s="26" t="s">
        <v>5</v>
      </c>
      <c r="F1037" s="26"/>
      <c r="G1037" s="27" t="s">
        <v>6</v>
      </c>
    </row>
    <row r="1038" spans="1:14" s="3" customFormat="1" hidden="1" outlineLevel="1" x14ac:dyDescent="0.25">
      <c r="B1038" s="28" t="s">
        <v>25</v>
      </c>
      <c r="C1038" s="29" t="s">
        <v>1492</v>
      </c>
      <c r="D1038" s="29" t="s">
        <v>1469</v>
      </c>
      <c r="E1038" s="29">
        <v>0</v>
      </c>
      <c r="F1038" s="29" t="s">
        <v>1470</v>
      </c>
      <c r="G1038" s="30" t="s">
        <v>1484</v>
      </c>
      <c r="J1038" s="3" t="s">
        <v>10</v>
      </c>
      <c r="K1038" s="3" t="s">
        <v>173</v>
      </c>
      <c r="L1038" s="3" t="s">
        <v>9</v>
      </c>
      <c r="M1038" s="3" t="s">
        <v>9</v>
      </c>
      <c r="N1038" s="3">
        <v>1080</v>
      </c>
    </row>
    <row r="1039" spans="1:14" s="3" customFormat="1" hidden="1" outlineLevel="1" x14ac:dyDescent="0.25">
      <c r="B1039" s="28" t="s">
        <v>154</v>
      </c>
      <c r="C1039" s="29" t="s">
        <v>1678</v>
      </c>
      <c r="D1039" s="29" t="s">
        <v>1652</v>
      </c>
      <c r="E1039" s="29" t="s">
        <v>1594</v>
      </c>
      <c r="F1039" s="29"/>
      <c r="G1039" s="30"/>
      <c r="J1039" s="3" t="s">
        <v>187</v>
      </c>
      <c r="K1039" s="3" t="s">
        <v>438</v>
      </c>
      <c r="L1039" s="3" t="s">
        <v>537</v>
      </c>
      <c r="M1039" s="3" t="s">
        <v>187</v>
      </c>
      <c r="N1039" s="3">
        <v>1087</v>
      </c>
    </row>
    <row r="1040" spans="1:14" s="3" customFormat="1" hidden="1" outlineLevel="1" x14ac:dyDescent="0.25">
      <c r="B1040" s="28" t="s">
        <v>7</v>
      </c>
      <c r="C1040" s="29" t="s">
        <v>1468</v>
      </c>
      <c r="D1040" s="29" t="s">
        <v>1469</v>
      </c>
      <c r="E1040" s="29">
        <v>0</v>
      </c>
      <c r="F1040" s="29" t="s">
        <v>1470</v>
      </c>
      <c r="G1040" s="30" t="s">
        <v>1471</v>
      </c>
      <c r="J1040" s="3" t="s">
        <v>10</v>
      </c>
      <c r="K1040" s="3" t="s">
        <v>173</v>
      </c>
      <c r="L1040" s="3" t="s">
        <v>9</v>
      </c>
      <c r="M1040" s="3" t="s">
        <v>9</v>
      </c>
      <c r="N1040" s="3">
        <v>1112</v>
      </c>
    </row>
    <row r="1041" spans="1:14" s="3" customFormat="1" hidden="1" outlineLevel="1" x14ac:dyDescent="0.25">
      <c r="B1041" s="28" t="s">
        <v>11</v>
      </c>
      <c r="C1041" s="29" t="s">
        <v>1472</v>
      </c>
      <c r="D1041" s="29" t="s">
        <v>1469</v>
      </c>
      <c r="E1041" s="29">
        <v>0</v>
      </c>
      <c r="F1041" s="29" t="s">
        <v>1470</v>
      </c>
      <c r="G1041" s="30" t="s">
        <v>1473</v>
      </c>
      <c r="J1041" s="3" t="s">
        <v>12</v>
      </c>
      <c r="K1041" s="3" t="s">
        <v>174</v>
      </c>
      <c r="L1041" s="3" t="s">
        <v>175</v>
      </c>
      <c r="M1041" s="3" t="s">
        <v>176</v>
      </c>
      <c r="N1041" s="3">
        <v>1700</v>
      </c>
    </row>
    <row r="1042" spans="1:14" s="3" customFormat="1" hidden="1" outlineLevel="1" x14ac:dyDescent="0.25">
      <c r="B1042" s="28" t="s">
        <v>240</v>
      </c>
      <c r="C1042" s="29" t="s">
        <v>1679</v>
      </c>
      <c r="D1042" s="29" t="s">
        <v>1489</v>
      </c>
      <c r="E1042" s="29">
        <v>0</v>
      </c>
      <c r="F1042" s="29"/>
      <c r="G1042" s="30" t="s">
        <v>1680</v>
      </c>
      <c r="J1042" s="3" t="s">
        <v>20</v>
      </c>
      <c r="K1042" s="3" t="s">
        <v>445</v>
      </c>
      <c r="L1042" s="3" t="s">
        <v>446</v>
      </c>
      <c r="M1042" s="3" t="s">
        <v>446</v>
      </c>
      <c r="N1042" s="3">
        <v>1274</v>
      </c>
    </row>
    <row r="1043" spans="1:14" s="3" customFormat="1" hidden="1" outlineLevel="1" x14ac:dyDescent="0.25">
      <c r="B1043" s="28" t="s">
        <v>22</v>
      </c>
      <c r="C1043" s="29" t="s">
        <v>1488</v>
      </c>
      <c r="D1043" s="29" t="s">
        <v>1489</v>
      </c>
      <c r="E1043" s="29">
        <v>0</v>
      </c>
      <c r="F1043" s="29" t="s">
        <v>1470</v>
      </c>
      <c r="G1043" s="30" t="s">
        <v>1490</v>
      </c>
      <c r="J1043" s="3" t="s">
        <v>20</v>
      </c>
      <c r="K1043" s="3" t="s">
        <v>445</v>
      </c>
      <c r="L1043" s="3" t="s">
        <v>446</v>
      </c>
      <c r="M1043" s="3" t="s">
        <v>446</v>
      </c>
      <c r="N1043" s="3">
        <v>2052</v>
      </c>
    </row>
    <row r="1044" spans="1:14" s="3" customFormat="1" hidden="1" outlineLevel="1" x14ac:dyDescent="0.25">
      <c r="B1044" s="28" t="s">
        <v>63</v>
      </c>
      <c r="C1044" s="29" t="s">
        <v>1526</v>
      </c>
      <c r="D1044" s="29" t="s">
        <v>1489</v>
      </c>
      <c r="E1044" s="29">
        <v>0</v>
      </c>
      <c r="F1044" s="29"/>
      <c r="G1044" s="30"/>
      <c r="J1044" s="3" t="s">
        <v>20</v>
      </c>
      <c r="K1044" s="3" t="s">
        <v>445</v>
      </c>
      <c r="L1044" s="3" t="s">
        <v>446</v>
      </c>
      <c r="M1044" s="3" t="s">
        <v>446</v>
      </c>
      <c r="N1044" s="3">
        <v>1682</v>
      </c>
    </row>
    <row r="1045" spans="1:14" s="3" customFormat="1" hidden="1" outlineLevel="1" x14ac:dyDescent="0.25">
      <c r="B1045" s="28" t="s">
        <v>78</v>
      </c>
      <c r="C1045" s="29" t="s">
        <v>1534</v>
      </c>
      <c r="D1045" s="29" t="s">
        <v>1489</v>
      </c>
      <c r="E1045" s="29">
        <v>0</v>
      </c>
      <c r="F1045" s="29"/>
      <c r="G1045" s="30"/>
      <c r="J1045" s="3" t="s">
        <v>20</v>
      </c>
      <c r="K1045" s="3" t="s">
        <v>445</v>
      </c>
      <c r="L1045" s="3" t="s">
        <v>446</v>
      </c>
      <c r="M1045" s="3" t="s">
        <v>446</v>
      </c>
      <c r="N1045" s="3">
        <v>1977</v>
      </c>
    </row>
    <row r="1046" spans="1:14" s="3" customFormat="1" hidden="1" outlineLevel="1" x14ac:dyDescent="0.25">
      <c r="B1046" s="28" t="s">
        <v>165</v>
      </c>
      <c r="C1046" s="29" t="s">
        <v>1597</v>
      </c>
      <c r="D1046" s="29" t="s">
        <v>1489</v>
      </c>
      <c r="E1046" s="29">
        <v>0</v>
      </c>
      <c r="F1046" s="29"/>
      <c r="G1046" s="30"/>
      <c r="J1046" s="3" t="s">
        <v>20</v>
      </c>
      <c r="K1046" s="3" t="s">
        <v>445</v>
      </c>
      <c r="L1046" s="3" t="s">
        <v>446</v>
      </c>
      <c r="M1046" s="3" t="s">
        <v>446</v>
      </c>
    </row>
    <row r="1047" spans="1:14" s="3" customFormat="1" hidden="1" outlineLevel="1" x14ac:dyDescent="0.25">
      <c r="B1047" s="28" t="s">
        <v>241</v>
      </c>
      <c r="C1047" s="29" t="s">
        <v>1681</v>
      </c>
      <c r="D1047" s="29" t="s">
        <v>1489</v>
      </c>
      <c r="E1047" s="29">
        <v>0</v>
      </c>
      <c r="F1047" s="29"/>
      <c r="G1047" s="30"/>
      <c r="J1047" s="3" t="s">
        <v>20</v>
      </c>
      <c r="K1047" s="3" t="s">
        <v>445</v>
      </c>
      <c r="L1047" s="3" t="s">
        <v>446</v>
      </c>
      <c r="M1047" s="3" t="s">
        <v>446</v>
      </c>
    </row>
    <row r="1048" spans="1:14" s="3" customFormat="1" ht="16.2" hidden="1" outlineLevel="1" thickBot="1" x14ac:dyDescent="0.3">
      <c r="B1048" s="28"/>
      <c r="C1048" s="29"/>
      <c r="D1048" s="29"/>
      <c r="E1048" s="29"/>
      <c r="F1048" s="29"/>
      <c r="G1048" s="30"/>
    </row>
    <row r="1049" spans="1:14" s="3" customFormat="1" ht="17.399999999999999" hidden="1" customHeight="1" outlineLevel="1" x14ac:dyDescent="0.25">
      <c r="A1049" s="5"/>
      <c r="B1049" s="395" t="s">
        <v>29</v>
      </c>
      <c r="C1049" s="396"/>
      <c r="D1049" s="396"/>
      <c r="E1049" s="396"/>
      <c r="F1049" s="396"/>
      <c r="G1049" s="397"/>
    </row>
    <row r="1050" spans="1:14" s="3" customFormat="1" hidden="1" outlineLevel="1" x14ac:dyDescent="0.25">
      <c r="B1050" s="28"/>
      <c r="C1050" s="29"/>
      <c r="D1050" s="29"/>
      <c r="E1050" s="29"/>
      <c r="F1050" s="29"/>
      <c r="G1050" s="30"/>
    </row>
    <row r="1051" spans="1:14" s="3" customFormat="1" hidden="1" outlineLevel="1" x14ac:dyDescent="0.25">
      <c r="B1051" s="28" t="s">
        <v>610</v>
      </c>
      <c r="C1051" s="29"/>
      <c r="D1051" s="29"/>
      <c r="E1051" s="29"/>
      <c r="F1051" s="29"/>
      <c r="G1051" s="30"/>
    </row>
    <row r="1052" spans="1:14" s="3" customFormat="1" hidden="1" outlineLevel="1" x14ac:dyDescent="0.25">
      <c r="B1052" s="28" t="s">
        <v>611</v>
      </c>
      <c r="C1052" s="29"/>
      <c r="D1052" s="29"/>
      <c r="E1052" s="29"/>
      <c r="F1052" s="29"/>
      <c r="G1052" s="30"/>
    </row>
    <row r="1053" spans="1:14" s="3" customFormat="1" hidden="1" outlineLevel="1" x14ac:dyDescent="0.25">
      <c r="B1053" s="28" t="s">
        <v>612</v>
      </c>
      <c r="C1053" s="29"/>
      <c r="D1053" s="29"/>
      <c r="E1053" s="29"/>
      <c r="F1053" s="29"/>
      <c r="G1053" s="375" t="s">
        <v>2428</v>
      </c>
    </row>
    <row r="1054" spans="1:14" s="3" customFormat="1" ht="16.2" hidden="1" outlineLevel="1" thickBot="1" x14ac:dyDescent="0.3">
      <c r="B1054" s="163"/>
      <c r="C1054" s="164"/>
      <c r="D1054" s="164"/>
      <c r="E1054" s="164"/>
      <c r="F1054" s="164"/>
      <c r="G1054" s="165"/>
    </row>
    <row r="1055" spans="1:14" s="3" customFormat="1" ht="17.399999999999999" hidden="1" customHeight="1" outlineLevel="1" thickBot="1" x14ac:dyDescent="0.3"/>
    <row r="1056" spans="1:14" s="3" customFormat="1" ht="17.399999999999999" customHeight="1" collapsed="1" thickBot="1" x14ac:dyDescent="0.3">
      <c r="A1056" s="5"/>
      <c r="B1056" s="15" t="s">
        <v>1279</v>
      </c>
      <c r="C1056" s="16" t="s">
        <v>1954</v>
      </c>
      <c r="D1056" s="17" t="s">
        <v>1281</v>
      </c>
      <c r="E1056" s="16" t="s">
        <v>613</v>
      </c>
      <c r="F1056" s="17" t="s">
        <v>1282</v>
      </c>
      <c r="G1056" s="18" t="s">
        <v>1955</v>
      </c>
    </row>
    <row r="1057" spans="1:14" s="3" customFormat="1" ht="17.399999999999999" hidden="1" customHeight="1" outlineLevel="1" x14ac:dyDescent="0.25">
      <c r="A1057" s="5"/>
      <c r="B1057" s="19" t="s">
        <v>1284</v>
      </c>
      <c r="C1057" s="20" t="s">
        <v>1285</v>
      </c>
      <c r="D1057" s="21" t="s">
        <v>1286</v>
      </c>
      <c r="E1057" s="20" t="s">
        <v>1956</v>
      </c>
      <c r="F1057" s="21" t="s">
        <v>1288</v>
      </c>
      <c r="G1057" s="22"/>
    </row>
    <row r="1058" spans="1:14" s="3" customFormat="1" ht="17.399999999999999" hidden="1" customHeight="1" outlineLevel="1" thickBot="1" x14ac:dyDescent="0.3">
      <c r="A1058" s="5"/>
      <c r="B1058" s="19" t="s">
        <v>1290</v>
      </c>
      <c r="C1058" s="23" t="s">
        <v>1291</v>
      </c>
      <c r="D1058" s="21" t="s">
        <v>1292</v>
      </c>
      <c r="E1058" s="23">
        <v>5</v>
      </c>
      <c r="F1058" s="21" t="s">
        <v>1293</v>
      </c>
      <c r="G1058" s="24" t="s">
        <v>1294</v>
      </c>
    </row>
    <row r="1059" spans="1:14" s="3" customFormat="1" ht="17.399999999999999" hidden="1" customHeight="1" outlineLevel="1" x14ac:dyDescent="0.25">
      <c r="A1059" s="5"/>
      <c r="B1059" s="395" t="s">
        <v>1</v>
      </c>
      <c r="C1059" s="396"/>
      <c r="D1059" s="396"/>
      <c r="E1059" s="396"/>
      <c r="F1059" s="396"/>
      <c r="G1059" s="397"/>
    </row>
    <row r="1060" spans="1:14" s="3" customFormat="1" ht="17.399999999999999" hidden="1" customHeight="1" outlineLevel="1" x14ac:dyDescent="0.25">
      <c r="A1060" s="5"/>
      <c r="B1060" s="25" t="s">
        <v>2</v>
      </c>
      <c r="C1060" s="26" t="s">
        <v>3</v>
      </c>
      <c r="D1060" s="26" t="s">
        <v>4</v>
      </c>
      <c r="E1060" s="26" t="s">
        <v>5</v>
      </c>
      <c r="F1060" s="26"/>
      <c r="G1060" s="27" t="s">
        <v>6</v>
      </c>
    </row>
    <row r="1061" spans="1:14" s="3" customFormat="1" hidden="1" outlineLevel="1" x14ac:dyDescent="0.25">
      <c r="B1061" s="28" t="s">
        <v>7</v>
      </c>
      <c r="C1061" s="29" t="s">
        <v>1468</v>
      </c>
      <c r="D1061" s="29" t="s">
        <v>1469</v>
      </c>
      <c r="E1061" s="29">
        <v>0</v>
      </c>
      <c r="F1061" s="29" t="s">
        <v>1470</v>
      </c>
      <c r="G1061" s="30" t="s">
        <v>1471</v>
      </c>
      <c r="J1061" s="3" t="s">
        <v>10</v>
      </c>
      <c r="K1061" s="3" t="s">
        <v>173</v>
      </c>
      <c r="L1061" s="3" t="s">
        <v>9</v>
      </c>
      <c r="M1061" s="3" t="s">
        <v>9</v>
      </c>
      <c r="N1061" s="3">
        <v>1112</v>
      </c>
    </row>
    <row r="1062" spans="1:14" s="3" customFormat="1" hidden="1" outlineLevel="1" x14ac:dyDescent="0.25">
      <c r="B1062" s="28" t="s">
        <v>11</v>
      </c>
      <c r="C1062" s="29" t="s">
        <v>1472</v>
      </c>
      <c r="D1062" s="29" t="s">
        <v>1469</v>
      </c>
      <c r="E1062" s="29">
        <v>0</v>
      </c>
      <c r="F1062" s="29" t="s">
        <v>1470</v>
      </c>
      <c r="G1062" s="30" t="s">
        <v>1473</v>
      </c>
      <c r="J1062" s="3" t="s">
        <v>12</v>
      </c>
      <c r="K1062" s="3" t="s">
        <v>174</v>
      </c>
      <c r="L1062" s="3" t="s">
        <v>175</v>
      </c>
      <c r="M1062" s="3" t="s">
        <v>176</v>
      </c>
      <c r="N1062" s="3">
        <v>1700</v>
      </c>
    </row>
    <row r="1063" spans="1:14" s="3" customFormat="1" hidden="1" outlineLevel="1" x14ac:dyDescent="0.25">
      <c r="B1063" s="28" t="s">
        <v>185</v>
      </c>
      <c r="C1063" s="29" t="s">
        <v>1604</v>
      </c>
      <c r="D1063" s="29" t="s">
        <v>1469</v>
      </c>
      <c r="E1063" s="29">
        <v>0</v>
      </c>
      <c r="F1063" s="29" t="s">
        <v>1470</v>
      </c>
      <c r="G1063" s="30"/>
      <c r="J1063" s="3" t="s">
        <v>10</v>
      </c>
      <c r="K1063" s="3" t="s">
        <v>173</v>
      </c>
      <c r="L1063" s="3" t="s">
        <v>9</v>
      </c>
      <c r="M1063" s="3" t="s">
        <v>9</v>
      </c>
      <c r="N1063" s="3">
        <v>2330</v>
      </c>
    </row>
    <row r="1064" spans="1:14" s="3" customFormat="1" hidden="1" outlineLevel="1" x14ac:dyDescent="0.25">
      <c r="B1064" s="28" t="s">
        <v>160</v>
      </c>
      <c r="C1064" s="29" t="s">
        <v>1588</v>
      </c>
      <c r="D1064" s="29" t="s">
        <v>1469</v>
      </c>
      <c r="E1064" s="29">
        <v>0</v>
      </c>
      <c r="F1064" s="29"/>
      <c r="G1064" s="30"/>
      <c r="J1064" s="3" t="s">
        <v>10</v>
      </c>
      <c r="K1064" s="3" t="s">
        <v>173</v>
      </c>
      <c r="L1064" s="3" t="s">
        <v>9</v>
      </c>
      <c r="M1064" s="3" t="s">
        <v>9</v>
      </c>
      <c r="N1064" s="3">
        <v>1604</v>
      </c>
    </row>
    <row r="1065" spans="1:14" s="3" customFormat="1" hidden="1" outlineLevel="1" x14ac:dyDescent="0.25">
      <c r="B1065" s="28" t="s">
        <v>73</v>
      </c>
      <c r="C1065" s="29" t="s">
        <v>1528</v>
      </c>
      <c r="D1065" s="29" t="s">
        <v>1469</v>
      </c>
      <c r="E1065" s="29" t="s">
        <v>1480</v>
      </c>
      <c r="F1065" s="29" t="s">
        <v>1481</v>
      </c>
      <c r="G1065" s="30"/>
      <c r="J1065" s="3" t="s">
        <v>10</v>
      </c>
      <c r="K1065" s="3" t="s">
        <v>173</v>
      </c>
      <c r="L1065" s="3" t="s">
        <v>9</v>
      </c>
      <c r="M1065" s="3" t="s">
        <v>9</v>
      </c>
      <c r="N1065" s="3">
        <v>1767</v>
      </c>
    </row>
    <row r="1066" spans="1:14" s="3" customFormat="1" hidden="1" outlineLevel="1" x14ac:dyDescent="0.25">
      <c r="B1066" s="28" t="s">
        <v>74</v>
      </c>
      <c r="C1066" s="29" t="s">
        <v>1529</v>
      </c>
      <c r="D1066" s="29" t="s">
        <v>1469</v>
      </c>
      <c r="E1066" s="29" t="s">
        <v>1480</v>
      </c>
      <c r="F1066" s="29" t="s">
        <v>1481</v>
      </c>
      <c r="G1066" s="30"/>
      <c r="J1066" s="3" t="s">
        <v>10</v>
      </c>
      <c r="K1066" s="3" t="s">
        <v>173</v>
      </c>
      <c r="L1066" s="3" t="s">
        <v>9</v>
      </c>
      <c r="M1066" s="3" t="s">
        <v>9</v>
      </c>
      <c r="N1066" s="3">
        <v>1713</v>
      </c>
    </row>
    <row r="1067" spans="1:14" s="3" customFormat="1" hidden="1" outlineLevel="1" x14ac:dyDescent="0.25">
      <c r="B1067" s="28" t="s">
        <v>302</v>
      </c>
      <c r="C1067" s="29" t="s">
        <v>1727</v>
      </c>
      <c r="D1067" s="29" t="s">
        <v>1606</v>
      </c>
      <c r="E1067" s="29" t="s">
        <v>1594</v>
      </c>
      <c r="F1067" s="29" t="s">
        <v>1470</v>
      </c>
      <c r="G1067" s="30"/>
      <c r="J1067" s="3" t="s">
        <v>187</v>
      </c>
      <c r="K1067" s="3" t="s">
        <v>438</v>
      </c>
      <c r="L1067" s="3" t="s">
        <v>537</v>
      </c>
      <c r="M1067" s="3" t="s">
        <v>187</v>
      </c>
      <c r="N1067" s="3">
        <v>1700</v>
      </c>
    </row>
    <row r="1068" spans="1:14" s="3" customFormat="1" hidden="1" outlineLevel="1" x14ac:dyDescent="0.25">
      <c r="B1068" s="28" t="s">
        <v>265</v>
      </c>
      <c r="C1068" s="29" t="s">
        <v>1692</v>
      </c>
      <c r="D1068" s="29" t="s">
        <v>1606</v>
      </c>
      <c r="E1068" s="29" t="s">
        <v>1594</v>
      </c>
      <c r="F1068" s="29" t="s">
        <v>1470</v>
      </c>
      <c r="G1068" s="30"/>
      <c r="J1068" s="3" t="s">
        <v>187</v>
      </c>
      <c r="K1068" s="3" t="s">
        <v>438</v>
      </c>
      <c r="L1068" s="3" t="s">
        <v>537</v>
      </c>
      <c r="M1068" s="3" t="s">
        <v>187</v>
      </c>
      <c r="N1068" s="3">
        <v>1114</v>
      </c>
    </row>
    <row r="1069" spans="1:14" s="3" customFormat="1" hidden="1" outlineLevel="1" x14ac:dyDescent="0.25">
      <c r="B1069" s="28" t="s">
        <v>538</v>
      </c>
      <c r="C1069" s="29" t="s">
        <v>2062</v>
      </c>
      <c r="D1069" s="29" t="s">
        <v>1606</v>
      </c>
      <c r="E1069" s="29" t="s">
        <v>1594</v>
      </c>
      <c r="F1069" s="29"/>
      <c r="G1069" s="30"/>
      <c r="J1069" s="3" t="s">
        <v>187</v>
      </c>
      <c r="K1069" s="3" t="s">
        <v>438</v>
      </c>
      <c r="L1069" s="3" t="s">
        <v>537</v>
      </c>
      <c r="M1069" s="3" t="s">
        <v>187</v>
      </c>
      <c r="N1069" s="3">
        <v>1607</v>
      </c>
    </row>
    <row r="1070" spans="1:14" s="3" customFormat="1" ht="16.2" hidden="1" outlineLevel="1" thickBot="1" x14ac:dyDescent="0.3">
      <c r="B1070" s="28"/>
      <c r="C1070" s="29"/>
      <c r="D1070" s="29"/>
      <c r="E1070" s="29"/>
      <c r="F1070" s="29"/>
      <c r="G1070" s="30"/>
    </row>
    <row r="1071" spans="1:14" s="3" customFormat="1" ht="17.399999999999999" hidden="1" customHeight="1" outlineLevel="1" x14ac:dyDescent="0.25">
      <c r="A1071" s="5"/>
      <c r="B1071" s="395" t="s">
        <v>18</v>
      </c>
      <c r="C1071" s="396"/>
      <c r="D1071" s="396"/>
      <c r="E1071" s="396"/>
      <c r="F1071" s="396"/>
      <c r="G1071" s="397"/>
    </row>
    <row r="1072" spans="1:14" s="3" customFormat="1" ht="17.399999999999999" hidden="1" customHeight="1" outlineLevel="1" x14ac:dyDescent="0.25">
      <c r="A1072" s="5"/>
      <c r="B1072" s="25" t="s">
        <v>2</v>
      </c>
      <c r="C1072" s="26" t="s">
        <v>3</v>
      </c>
      <c r="D1072" s="26" t="s">
        <v>4</v>
      </c>
      <c r="E1072" s="26" t="s">
        <v>5</v>
      </c>
      <c r="F1072" s="26"/>
      <c r="G1072" s="27" t="s">
        <v>6</v>
      </c>
    </row>
    <row r="1073" spans="1:14" s="3" customFormat="1" hidden="1" outlineLevel="1" x14ac:dyDescent="0.25">
      <c r="B1073" s="28" t="s">
        <v>247</v>
      </c>
      <c r="C1073" s="29" t="s">
        <v>1682</v>
      </c>
      <c r="D1073" s="29" t="s">
        <v>1469</v>
      </c>
      <c r="E1073" s="29">
        <v>0</v>
      </c>
      <c r="F1073" s="29"/>
      <c r="G1073" s="30"/>
      <c r="J1073" s="3" t="s">
        <v>10</v>
      </c>
      <c r="K1073" s="3" t="s">
        <v>173</v>
      </c>
      <c r="L1073" s="3" t="s">
        <v>9</v>
      </c>
      <c r="M1073" s="3" t="s">
        <v>9</v>
      </c>
      <c r="N1073" s="3">
        <v>1263</v>
      </c>
    </row>
    <row r="1074" spans="1:14" s="3" customFormat="1" hidden="1" outlineLevel="1" x14ac:dyDescent="0.25">
      <c r="B1074" s="28" t="s">
        <v>25</v>
      </c>
      <c r="C1074" s="29" t="s">
        <v>1492</v>
      </c>
      <c r="D1074" s="29" t="s">
        <v>1469</v>
      </c>
      <c r="E1074" s="29">
        <v>0</v>
      </c>
      <c r="F1074" s="29" t="s">
        <v>1470</v>
      </c>
      <c r="G1074" s="30" t="s">
        <v>1484</v>
      </c>
      <c r="J1074" s="3" t="s">
        <v>10</v>
      </c>
      <c r="K1074" s="3" t="s">
        <v>173</v>
      </c>
      <c r="L1074" s="3" t="s">
        <v>9</v>
      </c>
      <c r="M1074" s="3" t="s">
        <v>9</v>
      </c>
      <c r="N1074" s="3">
        <v>1080</v>
      </c>
    </row>
    <row r="1075" spans="1:14" s="3" customFormat="1" hidden="1" outlineLevel="1" x14ac:dyDescent="0.25">
      <c r="B1075" s="28" t="s">
        <v>7</v>
      </c>
      <c r="C1075" s="29" t="s">
        <v>1468</v>
      </c>
      <c r="D1075" s="29" t="s">
        <v>1469</v>
      </c>
      <c r="E1075" s="29">
        <v>0</v>
      </c>
      <c r="F1075" s="29" t="s">
        <v>1470</v>
      </c>
      <c r="G1075" s="30" t="s">
        <v>1471</v>
      </c>
      <c r="J1075" s="3" t="s">
        <v>10</v>
      </c>
      <c r="K1075" s="3" t="s">
        <v>173</v>
      </c>
      <c r="L1075" s="3" t="s">
        <v>9</v>
      </c>
      <c r="M1075" s="3" t="s">
        <v>9</v>
      </c>
      <c r="N1075" s="3">
        <v>1112</v>
      </c>
    </row>
    <row r="1076" spans="1:14" s="3" customFormat="1" hidden="1" outlineLevel="1" x14ac:dyDescent="0.25">
      <c r="B1076" s="28" t="s">
        <v>11</v>
      </c>
      <c r="C1076" s="29" t="s">
        <v>1472</v>
      </c>
      <c r="D1076" s="29" t="s">
        <v>1469</v>
      </c>
      <c r="E1076" s="29">
        <v>0</v>
      </c>
      <c r="F1076" s="29" t="s">
        <v>1470</v>
      </c>
      <c r="G1076" s="30" t="s">
        <v>1473</v>
      </c>
      <c r="J1076" s="3" t="s">
        <v>12</v>
      </c>
      <c r="K1076" s="3" t="s">
        <v>174</v>
      </c>
      <c r="L1076" s="3" t="s">
        <v>175</v>
      </c>
      <c r="M1076" s="3" t="s">
        <v>176</v>
      </c>
      <c r="N1076" s="3">
        <v>1700</v>
      </c>
    </row>
    <row r="1077" spans="1:14" s="3" customFormat="1" hidden="1" outlineLevel="1" x14ac:dyDescent="0.25">
      <c r="B1077" s="28" t="s">
        <v>240</v>
      </c>
      <c r="C1077" s="29" t="s">
        <v>1679</v>
      </c>
      <c r="D1077" s="29" t="s">
        <v>1489</v>
      </c>
      <c r="E1077" s="29">
        <v>0</v>
      </c>
      <c r="F1077" s="29"/>
      <c r="G1077" s="30" t="s">
        <v>1680</v>
      </c>
      <c r="J1077" s="3" t="s">
        <v>20</v>
      </c>
      <c r="K1077" s="3" t="s">
        <v>445</v>
      </c>
      <c r="L1077" s="3" t="s">
        <v>446</v>
      </c>
      <c r="M1077" s="3" t="s">
        <v>446</v>
      </c>
      <c r="N1077" s="3">
        <v>1274</v>
      </c>
    </row>
    <row r="1078" spans="1:14" s="3" customFormat="1" hidden="1" outlineLevel="1" x14ac:dyDescent="0.25">
      <c r="B1078" s="28" t="s">
        <v>22</v>
      </c>
      <c r="C1078" s="29" t="s">
        <v>1488</v>
      </c>
      <c r="D1078" s="29" t="s">
        <v>1489</v>
      </c>
      <c r="E1078" s="29">
        <v>0</v>
      </c>
      <c r="F1078" s="29" t="s">
        <v>1470</v>
      </c>
      <c r="G1078" s="30" t="s">
        <v>1490</v>
      </c>
      <c r="J1078" s="3" t="s">
        <v>20</v>
      </c>
      <c r="K1078" s="3" t="s">
        <v>445</v>
      </c>
      <c r="L1078" s="3" t="s">
        <v>446</v>
      </c>
      <c r="M1078" s="3" t="s">
        <v>446</v>
      </c>
      <c r="N1078" s="3">
        <v>2052</v>
      </c>
    </row>
    <row r="1079" spans="1:14" s="3" customFormat="1" hidden="1" outlineLevel="1" x14ac:dyDescent="0.25">
      <c r="B1079" s="28" t="s">
        <v>63</v>
      </c>
      <c r="C1079" s="29" t="s">
        <v>1526</v>
      </c>
      <c r="D1079" s="29" t="s">
        <v>1489</v>
      </c>
      <c r="E1079" s="29">
        <v>0</v>
      </c>
      <c r="F1079" s="29"/>
      <c r="G1079" s="30"/>
      <c r="J1079" s="3" t="s">
        <v>20</v>
      </c>
      <c r="K1079" s="3" t="s">
        <v>445</v>
      </c>
      <c r="L1079" s="3" t="s">
        <v>446</v>
      </c>
      <c r="M1079" s="3" t="s">
        <v>446</v>
      </c>
      <c r="N1079" s="3">
        <v>1682</v>
      </c>
    </row>
    <row r="1080" spans="1:14" s="3" customFormat="1" hidden="1" outlineLevel="1" x14ac:dyDescent="0.25">
      <c r="B1080" s="28" t="s">
        <v>78</v>
      </c>
      <c r="C1080" s="29" t="s">
        <v>1534</v>
      </c>
      <c r="D1080" s="29" t="s">
        <v>1489</v>
      </c>
      <c r="E1080" s="29">
        <v>0</v>
      </c>
      <c r="F1080" s="29"/>
      <c r="G1080" s="30"/>
      <c r="J1080" s="3" t="s">
        <v>20</v>
      </c>
      <c r="K1080" s="3" t="s">
        <v>445</v>
      </c>
      <c r="L1080" s="3" t="s">
        <v>446</v>
      </c>
      <c r="M1080" s="3" t="s">
        <v>446</v>
      </c>
      <c r="N1080" s="3">
        <v>1977</v>
      </c>
    </row>
    <row r="1081" spans="1:14" s="3" customFormat="1" hidden="1" outlineLevel="1" x14ac:dyDescent="0.25">
      <c r="B1081" s="28" t="s">
        <v>165</v>
      </c>
      <c r="C1081" s="29" t="s">
        <v>1597</v>
      </c>
      <c r="D1081" s="29" t="s">
        <v>1489</v>
      </c>
      <c r="E1081" s="29">
        <v>0</v>
      </c>
      <c r="F1081" s="29"/>
      <c r="G1081" s="30"/>
      <c r="J1081" s="3" t="s">
        <v>20</v>
      </c>
      <c r="K1081" s="3" t="s">
        <v>445</v>
      </c>
      <c r="L1081" s="3" t="s">
        <v>446</v>
      </c>
      <c r="M1081" s="3" t="s">
        <v>446</v>
      </c>
    </row>
    <row r="1082" spans="1:14" s="3" customFormat="1" hidden="1" outlineLevel="1" x14ac:dyDescent="0.25">
      <c r="B1082" s="28" t="s">
        <v>241</v>
      </c>
      <c r="C1082" s="29" t="s">
        <v>1681</v>
      </c>
      <c r="D1082" s="29" t="s">
        <v>1489</v>
      </c>
      <c r="E1082" s="29">
        <v>0</v>
      </c>
      <c r="F1082" s="29"/>
      <c r="G1082" s="30"/>
      <c r="J1082" s="3" t="s">
        <v>20</v>
      </c>
      <c r="K1082" s="3" t="s">
        <v>445</v>
      </c>
      <c r="L1082" s="3" t="s">
        <v>446</v>
      </c>
      <c r="M1082" s="3" t="s">
        <v>446</v>
      </c>
    </row>
    <row r="1083" spans="1:14" s="3" customFormat="1" hidden="1" outlineLevel="1" x14ac:dyDescent="0.25">
      <c r="B1083" s="28" t="s">
        <v>26</v>
      </c>
      <c r="C1083" s="29" t="s">
        <v>1493</v>
      </c>
      <c r="D1083" s="29" t="s">
        <v>1494</v>
      </c>
      <c r="E1083" s="29">
        <v>0</v>
      </c>
      <c r="F1083" s="29" t="s">
        <v>1470</v>
      </c>
      <c r="G1083" s="30"/>
      <c r="J1083" s="3" t="s">
        <v>20</v>
      </c>
      <c r="K1083" s="3" t="s">
        <v>445</v>
      </c>
      <c r="L1083" s="3" t="s">
        <v>446</v>
      </c>
      <c r="M1083" s="3" t="s">
        <v>446</v>
      </c>
      <c r="N1083" s="3">
        <v>2183</v>
      </c>
    </row>
    <row r="1084" spans="1:14" s="3" customFormat="1" ht="16.2" hidden="1" outlineLevel="1" thickBot="1" x14ac:dyDescent="0.3">
      <c r="B1084" s="28"/>
      <c r="C1084" s="29"/>
      <c r="D1084" s="29"/>
      <c r="E1084" s="29"/>
      <c r="F1084" s="29"/>
      <c r="G1084" s="30"/>
    </row>
    <row r="1085" spans="1:14" s="3" customFormat="1" ht="17.399999999999999" hidden="1" customHeight="1" outlineLevel="1" x14ac:dyDescent="0.25">
      <c r="A1085" s="5"/>
      <c r="B1085" s="395" t="s">
        <v>29</v>
      </c>
      <c r="C1085" s="396"/>
      <c r="D1085" s="396"/>
      <c r="E1085" s="396"/>
      <c r="F1085" s="396"/>
      <c r="G1085" s="397"/>
    </row>
    <row r="1086" spans="1:14" s="3" customFormat="1" hidden="1" outlineLevel="1" x14ac:dyDescent="0.25">
      <c r="B1086" s="28"/>
      <c r="C1086" s="29"/>
      <c r="D1086" s="29"/>
      <c r="E1086" s="29"/>
      <c r="F1086" s="29"/>
      <c r="G1086" s="30"/>
    </row>
    <row r="1087" spans="1:14" s="3" customFormat="1" hidden="1" outlineLevel="1" x14ac:dyDescent="0.25">
      <c r="B1087" s="28" t="s">
        <v>610</v>
      </c>
      <c r="C1087" s="29"/>
      <c r="D1087" s="29"/>
      <c r="E1087" s="29"/>
      <c r="F1087" s="29"/>
      <c r="G1087" s="30"/>
    </row>
    <row r="1088" spans="1:14" s="3" customFormat="1" hidden="1" outlineLevel="1" x14ac:dyDescent="0.25">
      <c r="B1088" s="28" t="s">
        <v>611</v>
      </c>
      <c r="C1088" s="29"/>
      <c r="D1088" s="29"/>
      <c r="E1088" s="29"/>
      <c r="F1088" s="29"/>
      <c r="G1088" s="30"/>
    </row>
    <row r="1089" spans="1:14" s="3" customFormat="1" hidden="1" outlineLevel="1" x14ac:dyDescent="0.25">
      <c r="B1089" s="28" t="s">
        <v>614</v>
      </c>
      <c r="C1089" s="29"/>
      <c r="D1089" s="29"/>
      <c r="E1089" s="29"/>
      <c r="F1089" s="29"/>
      <c r="G1089" s="375" t="s">
        <v>2429</v>
      </c>
    </row>
    <row r="1090" spans="1:14" s="3" customFormat="1" ht="16.2" hidden="1" outlineLevel="1" thickBot="1" x14ac:dyDescent="0.3">
      <c r="B1090" s="163"/>
      <c r="C1090" s="164"/>
      <c r="D1090" s="164"/>
      <c r="E1090" s="164"/>
      <c r="F1090" s="164"/>
      <c r="G1090" s="165"/>
    </row>
    <row r="1091" spans="1:14" s="3" customFormat="1" ht="17.399999999999999" hidden="1" customHeight="1" outlineLevel="1" thickBot="1" x14ac:dyDescent="0.3"/>
    <row r="1092" spans="1:14" s="3" customFormat="1" ht="16.2" collapsed="1" thickBot="1" x14ac:dyDescent="0.3">
      <c r="A1092" s="5"/>
      <c r="B1092" s="166" t="s">
        <v>1279</v>
      </c>
      <c r="C1092" s="167" t="s">
        <v>1957</v>
      </c>
      <c r="D1092" s="168" t="s">
        <v>1281</v>
      </c>
      <c r="E1092" s="169" t="s">
        <v>615</v>
      </c>
      <c r="F1092" s="168" t="s">
        <v>1282</v>
      </c>
      <c r="G1092" s="170" t="s">
        <v>1958</v>
      </c>
    </row>
    <row r="1093" spans="1:14" s="3" customFormat="1" hidden="1" outlineLevel="1" x14ac:dyDescent="0.25">
      <c r="A1093" s="5"/>
      <c r="B1093" s="136" t="s">
        <v>1284</v>
      </c>
      <c r="C1093" s="20" t="s">
        <v>1285</v>
      </c>
      <c r="D1093" s="137" t="s">
        <v>1286</v>
      </c>
      <c r="E1093" s="84" t="s">
        <v>1959</v>
      </c>
      <c r="F1093" s="137" t="s">
        <v>1288</v>
      </c>
      <c r="G1093" s="85"/>
    </row>
    <row r="1094" spans="1:14" s="3" customFormat="1" ht="16.2" hidden="1" outlineLevel="1" thickBot="1" x14ac:dyDescent="0.3">
      <c r="A1094" s="5"/>
      <c r="B1094" s="171" t="s">
        <v>1290</v>
      </c>
      <c r="C1094" s="172" t="s">
        <v>1291</v>
      </c>
      <c r="D1094" s="173" t="s">
        <v>1292</v>
      </c>
      <c r="E1094" s="172">
        <v>5</v>
      </c>
      <c r="F1094" s="173" t="s">
        <v>1293</v>
      </c>
      <c r="G1094" s="24" t="s">
        <v>1294</v>
      </c>
    </row>
    <row r="1095" spans="1:14" s="3" customFormat="1" hidden="1" outlineLevel="1" x14ac:dyDescent="0.25">
      <c r="A1095" s="5"/>
      <c r="B1095" s="380" t="s">
        <v>1</v>
      </c>
      <c r="C1095" s="381"/>
      <c r="D1095" s="381"/>
      <c r="E1095" s="381"/>
      <c r="F1095" s="381"/>
      <c r="G1095" s="382"/>
    </row>
    <row r="1096" spans="1:14" s="3" customFormat="1" hidden="1" outlineLevel="1" x14ac:dyDescent="0.25">
      <c r="A1096" s="5"/>
      <c r="B1096" s="94" t="s">
        <v>2</v>
      </c>
      <c r="C1096" s="95" t="s">
        <v>3</v>
      </c>
      <c r="D1096" s="95" t="s">
        <v>4</v>
      </c>
      <c r="E1096" s="95" t="s">
        <v>5</v>
      </c>
      <c r="F1096" s="95"/>
      <c r="G1096" s="96" t="s">
        <v>6</v>
      </c>
    </row>
    <row r="1097" spans="1:14" s="4" customFormat="1" ht="17.399999999999999" hidden="1" customHeight="1" outlineLevel="1" x14ac:dyDescent="0.35">
      <c r="A1097" s="5"/>
      <c r="B1097" s="57" t="s">
        <v>7</v>
      </c>
      <c r="C1097" s="58" t="s">
        <v>1468</v>
      </c>
      <c r="D1097" s="58" t="s">
        <v>1469</v>
      </c>
      <c r="E1097" s="58">
        <v>0</v>
      </c>
      <c r="F1097" s="58" t="s">
        <v>1470</v>
      </c>
      <c r="G1097" s="59" t="s">
        <v>1471</v>
      </c>
      <c r="J1097" s="4" t="s">
        <v>10</v>
      </c>
      <c r="K1097" s="4" t="s">
        <v>173</v>
      </c>
      <c r="L1097" s="4" t="s">
        <v>9</v>
      </c>
      <c r="M1097" s="4" t="s">
        <v>9</v>
      </c>
      <c r="N1097" s="4">
        <v>1112</v>
      </c>
    </row>
    <row r="1098" spans="1:14" s="4" customFormat="1" ht="17.399999999999999" hidden="1" customHeight="1" outlineLevel="1" x14ac:dyDescent="0.35">
      <c r="A1098" s="5"/>
      <c r="B1098" s="57" t="s">
        <v>11</v>
      </c>
      <c r="C1098" s="58" t="s">
        <v>1472</v>
      </c>
      <c r="D1098" s="58" t="s">
        <v>1469</v>
      </c>
      <c r="E1098" s="58">
        <v>0</v>
      </c>
      <c r="F1098" s="58" t="s">
        <v>1470</v>
      </c>
      <c r="G1098" s="59" t="s">
        <v>1473</v>
      </c>
      <c r="J1098" s="4" t="s">
        <v>12</v>
      </c>
      <c r="K1098" s="4" t="s">
        <v>174</v>
      </c>
      <c r="L1098" s="4" t="s">
        <v>175</v>
      </c>
      <c r="M1098" s="4" t="s">
        <v>176</v>
      </c>
      <c r="N1098" s="4">
        <v>1700</v>
      </c>
    </row>
    <row r="1099" spans="1:14" s="4" customFormat="1" ht="17.399999999999999" hidden="1" customHeight="1" outlineLevel="1" x14ac:dyDescent="0.35">
      <c r="A1099" s="5"/>
      <c r="B1099" s="60" t="s">
        <v>13</v>
      </c>
      <c r="C1099" s="61" t="s">
        <v>1474</v>
      </c>
      <c r="D1099" s="61" t="s">
        <v>1469</v>
      </c>
      <c r="E1099" s="61">
        <v>0</v>
      </c>
      <c r="F1099" s="61" t="s">
        <v>1470</v>
      </c>
      <c r="G1099" s="62"/>
      <c r="H1099" s="63"/>
      <c r="J1099" s="4" t="s">
        <v>10</v>
      </c>
      <c r="K1099" s="4" t="s">
        <v>173</v>
      </c>
      <c r="L1099" s="4" t="s">
        <v>9</v>
      </c>
      <c r="M1099" s="4" t="s">
        <v>9</v>
      </c>
      <c r="N1099" s="4">
        <v>2534</v>
      </c>
    </row>
    <row r="1100" spans="1:14" s="4" customFormat="1" ht="17.399999999999999" hidden="1" customHeight="1" outlineLevel="1" x14ac:dyDescent="0.35">
      <c r="A1100" s="5"/>
      <c r="B1100" s="60" t="s">
        <v>14</v>
      </c>
      <c r="C1100" s="61" t="s">
        <v>1475</v>
      </c>
      <c r="D1100" s="61" t="s">
        <v>1469</v>
      </c>
      <c r="E1100" s="61">
        <v>0</v>
      </c>
      <c r="F1100" s="61" t="s">
        <v>1476</v>
      </c>
      <c r="G1100" s="62" t="s">
        <v>1477</v>
      </c>
      <c r="H1100" s="63"/>
      <c r="J1100" s="4" t="s">
        <v>10</v>
      </c>
      <c r="K1100" s="4" t="s">
        <v>173</v>
      </c>
      <c r="L1100" s="4" t="s">
        <v>9</v>
      </c>
      <c r="M1100" s="4" t="s">
        <v>9</v>
      </c>
      <c r="N1100" s="4">
        <v>2155</v>
      </c>
    </row>
    <row r="1101" spans="1:14" s="4" customFormat="1" ht="17.399999999999999" hidden="1" customHeight="1" outlineLevel="1" x14ac:dyDescent="0.35">
      <c r="A1101" s="5"/>
      <c r="B1101" s="60" t="s">
        <v>15</v>
      </c>
      <c r="C1101" s="61" t="s">
        <v>1478</v>
      </c>
      <c r="D1101" s="61" t="s">
        <v>1469</v>
      </c>
      <c r="E1101" s="61">
        <v>0</v>
      </c>
      <c r="F1101" s="61" t="s">
        <v>1470</v>
      </c>
      <c r="G1101" s="62"/>
      <c r="H1101" s="63"/>
      <c r="J1101" s="4" t="s">
        <v>10</v>
      </c>
      <c r="K1101" s="4" t="s">
        <v>173</v>
      </c>
      <c r="L1101" s="4" t="s">
        <v>9</v>
      </c>
      <c r="M1101" s="4" t="s">
        <v>9</v>
      </c>
      <c r="N1101" s="4">
        <v>2430</v>
      </c>
    </row>
    <row r="1102" spans="1:14" s="4" customFormat="1" ht="17.399999999999999" hidden="1" customHeight="1" outlineLevel="1" x14ac:dyDescent="0.35">
      <c r="A1102" s="5"/>
      <c r="B1102" s="134" t="s">
        <v>17</v>
      </c>
      <c r="C1102" s="135" t="s">
        <v>1483</v>
      </c>
      <c r="D1102" s="135" t="s">
        <v>1469</v>
      </c>
      <c r="E1102" s="65">
        <v>0</v>
      </c>
      <c r="F1102" s="65" t="s">
        <v>1470</v>
      </c>
      <c r="G1102" s="66" t="s">
        <v>1484</v>
      </c>
      <c r="H1102" s="5"/>
      <c r="I1102" s="5"/>
      <c r="J1102" s="5" t="s">
        <v>10</v>
      </c>
      <c r="K1102" s="5" t="s">
        <v>173</v>
      </c>
      <c r="L1102" s="5" t="s">
        <v>9</v>
      </c>
      <c r="M1102" s="5" t="s">
        <v>9</v>
      </c>
      <c r="N1102" s="4">
        <v>1097</v>
      </c>
    </row>
    <row r="1103" spans="1:14" s="3" customFormat="1" hidden="1" outlineLevel="1" x14ac:dyDescent="0.25">
      <c r="A1103" s="5"/>
      <c r="B1103" s="31" t="s">
        <v>160</v>
      </c>
      <c r="C1103" s="20" t="s">
        <v>1588</v>
      </c>
      <c r="D1103" s="20" t="s">
        <v>1469</v>
      </c>
      <c r="E1103" s="20">
        <v>0</v>
      </c>
      <c r="F1103" s="20"/>
      <c r="G1103" s="22"/>
      <c r="J1103" s="3" t="s">
        <v>10</v>
      </c>
      <c r="K1103" s="3" t="s">
        <v>173</v>
      </c>
      <c r="L1103" s="3" t="s">
        <v>9</v>
      </c>
      <c r="M1103" s="3" t="s">
        <v>9</v>
      </c>
      <c r="N1103" s="3">
        <v>1604</v>
      </c>
    </row>
    <row r="1104" spans="1:14" s="4" customFormat="1" ht="17.399999999999999" hidden="1" customHeight="1" outlineLevel="1" x14ac:dyDescent="0.35">
      <c r="A1104" s="5"/>
      <c r="B1104" s="64" t="s">
        <v>16</v>
      </c>
      <c r="C1104" s="65" t="s">
        <v>1479</v>
      </c>
      <c r="D1104" s="65" t="s">
        <v>1469</v>
      </c>
      <c r="E1104" s="65" t="s">
        <v>1480</v>
      </c>
      <c r="F1104" s="65" t="s">
        <v>1481</v>
      </c>
      <c r="G1104" s="66" t="s">
        <v>1482</v>
      </c>
      <c r="H1104" s="5"/>
      <c r="I1104" s="5"/>
      <c r="J1104" s="5" t="s">
        <v>10</v>
      </c>
      <c r="K1104" s="5" t="s">
        <v>173</v>
      </c>
      <c r="L1104" s="5" t="s">
        <v>9</v>
      </c>
      <c r="M1104" s="5" t="s">
        <v>9</v>
      </c>
      <c r="N1104" s="4">
        <v>1211</v>
      </c>
    </row>
    <row r="1105" spans="1:14" s="3" customFormat="1" ht="17.399999999999999" hidden="1" customHeight="1" outlineLevel="1" thickBot="1" x14ac:dyDescent="0.3">
      <c r="A1105" s="5"/>
      <c r="B1105" s="91"/>
      <c r="C1105" s="92"/>
      <c r="D1105" s="92"/>
      <c r="E1105" s="92"/>
      <c r="F1105" s="92"/>
      <c r="G1105" s="93"/>
    </row>
    <row r="1106" spans="1:14" s="3" customFormat="1" ht="17.399999999999999" hidden="1" customHeight="1" outlineLevel="1" x14ac:dyDescent="0.25">
      <c r="A1106" s="5"/>
      <c r="B1106" s="383" t="s">
        <v>18</v>
      </c>
      <c r="C1106" s="384"/>
      <c r="D1106" s="384"/>
      <c r="E1106" s="384"/>
      <c r="F1106" s="384"/>
      <c r="G1106" s="385"/>
    </row>
    <row r="1107" spans="1:14" s="3" customFormat="1" ht="17.399999999999999" hidden="1" customHeight="1" outlineLevel="1" x14ac:dyDescent="0.25">
      <c r="A1107" s="5"/>
      <c r="B1107" s="94" t="s">
        <v>2</v>
      </c>
      <c r="C1107" s="95" t="s">
        <v>3</v>
      </c>
      <c r="D1107" s="95" t="s">
        <v>4</v>
      </c>
      <c r="E1107" s="95" t="s">
        <v>5</v>
      </c>
      <c r="F1107" s="95"/>
      <c r="G1107" s="96" t="s">
        <v>6</v>
      </c>
    </row>
    <row r="1108" spans="1:14" s="3" customFormat="1" ht="17.399999999999999" hidden="1" customHeight="1" outlineLevel="1" x14ac:dyDescent="0.25">
      <c r="A1108" s="5"/>
      <c r="B1108" s="31" t="s">
        <v>16</v>
      </c>
      <c r="C1108" s="20" t="s">
        <v>1479</v>
      </c>
      <c r="D1108" s="20" t="s">
        <v>1469</v>
      </c>
      <c r="E1108" s="20" t="s">
        <v>1480</v>
      </c>
      <c r="F1108" s="20" t="s">
        <v>1481</v>
      </c>
      <c r="G1108" s="22" t="s">
        <v>1482</v>
      </c>
      <c r="J1108" s="3" t="s">
        <v>10</v>
      </c>
      <c r="K1108" s="3" t="s">
        <v>173</v>
      </c>
      <c r="L1108" s="3" t="s">
        <v>9</v>
      </c>
      <c r="M1108" s="3" t="s">
        <v>9</v>
      </c>
      <c r="N1108" s="3">
        <v>1211</v>
      </c>
    </row>
    <row r="1109" spans="1:14" s="3" customFormat="1" hidden="1" outlineLevel="1" x14ac:dyDescent="0.25">
      <c r="B1109" s="28" t="s">
        <v>7</v>
      </c>
      <c r="C1109" s="29" t="s">
        <v>1468</v>
      </c>
      <c r="D1109" s="29" t="s">
        <v>1469</v>
      </c>
      <c r="E1109" s="29">
        <v>0</v>
      </c>
      <c r="F1109" s="29" t="s">
        <v>1470</v>
      </c>
      <c r="G1109" s="30" t="s">
        <v>1471</v>
      </c>
      <c r="J1109" s="3" t="s">
        <v>10</v>
      </c>
      <c r="K1109" s="3" t="s">
        <v>173</v>
      </c>
      <c r="L1109" s="3" t="s">
        <v>9</v>
      </c>
      <c r="M1109" s="3" t="s">
        <v>9</v>
      </c>
      <c r="N1109" s="3">
        <v>1112</v>
      </c>
    </row>
    <row r="1110" spans="1:14" s="3" customFormat="1" hidden="1" outlineLevel="1" x14ac:dyDescent="0.25">
      <c r="B1110" s="28" t="s">
        <v>11</v>
      </c>
      <c r="C1110" s="29" t="s">
        <v>1472</v>
      </c>
      <c r="D1110" s="29" t="s">
        <v>1469</v>
      </c>
      <c r="E1110" s="29">
        <v>0</v>
      </c>
      <c r="F1110" s="29" t="s">
        <v>1470</v>
      </c>
      <c r="G1110" s="30" t="s">
        <v>1473</v>
      </c>
      <c r="J1110" s="3" t="s">
        <v>12</v>
      </c>
      <c r="K1110" s="3" t="s">
        <v>174</v>
      </c>
      <c r="L1110" s="3" t="s">
        <v>175</v>
      </c>
      <c r="M1110" s="3" t="s">
        <v>176</v>
      </c>
      <c r="N1110" s="3">
        <v>1700</v>
      </c>
    </row>
    <row r="1111" spans="1:14" s="3" customFormat="1" hidden="1" outlineLevel="1" x14ac:dyDescent="0.25">
      <c r="B1111" s="28" t="s">
        <v>13</v>
      </c>
      <c r="C1111" s="29" t="s">
        <v>1474</v>
      </c>
      <c r="D1111" s="29" t="s">
        <v>1469</v>
      </c>
      <c r="E1111" s="29">
        <v>0</v>
      </c>
      <c r="F1111" s="29" t="s">
        <v>1470</v>
      </c>
      <c r="G1111" s="30"/>
      <c r="J1111" s="3" t="s">
        <v>10</v>
      </c>
      <c r="K1111" s="3" t="s">
        <v>173</v>
      </c>
      <c r="L1111" s="3" t="s">
        <v>9</v>
      </c>
      <c r="M1111" s="3" t="s">
        <v>9</v>
      </c>
      <c r="N1111" s="3">
        <v>2534</v>
      </c>
    </row>
    <row r="1112" spans="1:14" s="3" customFormat="1" hidden="1" outlineLevel="1" x14ac:dyDescent="0.25">
      <c r="B1112" s="35" t="s">
        <v>25</v>
      </c>
      <c r="C1112" s="36" t="s">
        <v>1492</v>
      </c>
      <c r="D1112" s="36" t="s">
        <v>1469</v>
      </c>
      <c r="E1112" s="36">
        <v>0</v>
      </c>
      <c r="F1112" s="36" t="s">
        <v>1470</v>
      </c>
      <c r="G1112" s="37" t="s">
        <v>1484</v>
      </c>
      <c r="J1112" s="3" t="s">
        <v>10</v>
      </c>
      <c r="K1112" s="3" t="s">
        <v>173</v>
      </c>
      <c r="L1112" s="3" t="s">
        <v>9</v>
      </c>
      <c r="M1112" s="3" t="s">
        <v>9</v>
      </c>
      <c r="N1112" s="3">
        <v>2155</v>
      </c>
    </row>
    <row r="1113" spans="1:14" s="3" customFormat="1" hidden="1" outlineLevel="1" x14ac:dyDescent="0.25">
      <c r="B1113" s="28" t="s">
        <v>14</v>
      </c>
      <c r="C1113" s="29" t="s">
        <v>1475</v>
      </c>
      <c r="D1113" s="29" t="s">
        <v>1469</v>
      </c>
      <c r="E1113" s="29">
        <v>0</v>
      </c>
      <c r="F1113" s="29" t="s">
        <v>1476</v>
      </c>
      <c r="G1113" s="30" t="s">
        <v>1477</v>
      </c>
      <c r="J1113" s="3" t="s">
        <v>10</v>
      </c>
      <c r="K1113" s="3" t="s">
        <v>173</v>
      </c>
      <c r="L1113" s="3" t="s">
        <v>9</v>
      </c>
      <c r="M1113" s="3" t="s">
        <v>9</v>
      </c>
      <c r="N1113" s="3">
        <v>2430</v>
      </c>
    </row>
    <row r="1114" spans="1:14" s="3" customFormat="1" hidden="1" outlineLevel="1" x14ac:dyDescent="0.25">
      <c r="B1114" s="28" t="s">
        <v>15</v>
      </c>
      <c r="C1114" s="29" t="s">
        <v>1478</v>
      </c>
      <c r="D1114" s="29" t="s">
        <v>1469</v>
      </c>
      <c r="E1114" s="29">
        <v>0</v>
      </c>
      <c r="F1114" s="29" t="s">
        <v>1470</v>
      </c>
      <c r="G1114" s="30"/>
      <c r="J1114" s="3" t="s">
        <v>20</v>
      </c>
      <c r="K1114" s="3" t="s">
        <v>445</v>
      </c>
      <c r="L1114" s="3" t="s">
        <v>446</v>
      </c>
      <c r="M1114" s="3" t="s">
        <v>446</v>
      </c>
      <c r="N1114" s="3">
        <v>1203</v>
      </c>
    </row>
    <row r="1115" spans="1:14" s="3" customFormat="1" hidden="1" outlineLevel="1" x14ac:dyDescent="0.25">
      <c r="B1115" s="38" t="s">
        <v>19</v>
      </c>
      <c r="C1115" s="39" t="s">
        <v>1485</v>
      </c>
      <c r="D1115" s="39" t="s">
        <v>1486</v>
      </c>
      <c r="E1115" s="39">
        <v>0</v>
      </c>
      <c r="F1115" s="39"/>
      <c r="G1115" s="40"/>
      <c r="J1115" s="3" t="s">
        <v>20</v>
      </c>
      <c r="K1115" s="3" t="s">
        <v>445</v>
      </c>
      <c r="L1115" s="3" t="s">
        <v>446</v>
      </c>
      <c r="M1115" s="3" t="s">
        <v>446</v>
      </c>
      <c r="N1115" s="3">
        <v>1689</v>
      </c>
    </row>
    <row r="1116" spans="1:14" s="3" customFormat="1" hidden="1" outlineLevel="1" x14ac:dyDescent="0.25">
      <c r="B1116" s="28" t="s">
        <v>21</v>
      </c>
      <c r="C1116" s="29" t="s">
        <v>1487</v>
      </c>
      <c r="D1116" s="29" t="s">
        <v>1486</v>
      </c>
      <c r="E1116" s="29">
        <v>0</v>
      </c>
      <c r="F1116" s="29"/>
      <c r="G1116" s="30"/>
      <c r="J1116" s="3" t="s">
        <v>20</v>
      </c>
      <c r="K1116" s="3" t="s">
        <v>445</v>
      </c>
      <c r="L1116" s="3" t="s">
        <v>446</v>
      </c>
      <c r="M1116" s="3" t="s">
        <v>446</v>
      </c>
      <c r="N1116" s="3">
        <v>2052</v>
      </c>
    </row>
    <row r="1117" spans="1:14" s="3" customFormat="1" hidden="1" outlineLevel="1" x14ac:dyDescent="0.25">
      <c r="B1117" s="28" t="s">
        <v>22</v>
      </c>
      <c r="C1117" s="29" t="s">
        <v>1488</v>
      </c>
      <c r="D1117" s="29" t="s">
        <v>1489</v>
      </c>
      <c r="E1117" s="29">
        <v>0</v>
      </c>
      <c r="F1117" s="29" t="s">
        <v>1470</v>
      </c>
      <c r="G1117" s="30" t="s">
        <v>1490</v>
      </c>
      <c r="J1117" s="3" t="s">
        <v>20</v>
      </c>
      <c r="K1117" s="3" t="s">
        <v>445</v>
      </c>
      <c r="L1117" s="3" t="s">
        <v>446</v>
      </c>
      <c r="M1117" s="3" t="s">
        <v>446</v>
      </c>
      <c r="N1117" s="3">
        <v>2153</v>
      </c>
    </row>
    <row r="1118" spans="1:14" s="3" customFormat="1" hidden="1" outlineLevel="1" x14ac:dyDescent="0.25">
      <c r="B1118" s="28" t="s">
        <v>26</v>
      </c>
      <c r="C1118" s="29" t="s">
        <v>1493</v>
      </c>
      <c r="D1118" s="29" t="s">
        <v>1494</v>
      </c>
      <c r="E1118" s="29">
        <v>0</v>
      </c>
      <c r="F1118" s="29" t="s">
        <v>1470</v>
      </c>
      <c r="G1118" s="30"/>
      <c r="J1118" s="3" t="s">
        <v>20</v>
      </c>
      <c r="K1118" s="3" t="s">
        <v>445</v>
      </c>
      <c r="L1118" s="3" t="s">
        <v>446</v>
      </c>
      <c r="M1118" s="3" t="s">
        <v>446</v>
      </c>
      <c r="N1118" s="3">
        <v>2183</v>
      </c>
    </row>
    <row r="1119" spans="1:14" s="4" customFormat="1" ht="17.399999999999999" hidden="1" customHeight="1" outlineLevel="1" x14ac:dyDescent="0.35">
      <c r="A1119" s="5"/>
      <c r="B1119" s="41" t="s">
        <v>27</v>
      </c>
      <c r="C1119" s="42" t="s">
        <v>1495</v>
      </c>
      <c r="D1119" s="42" t="s">
        <v>1489</v>
      </c>
      <c r="E1119" s="42">
        <v>0</v>
      </c>
      <c r="F1119" s="42" t="s">
        <v>1470</v>
      </c>
      <c r="G1119" s="43"/>
      <c r="J1119" s="5" t="s">
        <v>20</v>
      </c>
      <c r="K1119" s="5" t="s">
        <v>445</v>
      </c>
      <c r="L1119" s="5" t="s">
        <v>446</v>
      </c>
      <c r="M1119" s="5" t="s">
        <v>446</v>
      </c>
    </row>
    <row r="1120" spans="1:14" s="3" customFormat="1" hidden="1" outlineLevel="1" x14ac:dyDescent="0.25">
      <c r="B1120" s="44" t="s">
        <v>75</v>
      </c>
      <c r="C1120" s="39" t="s">
        <v>1530</v>
      </c>
      <c r="D1120" s="39" t="s">
        <v>1486</v>
      </c>
      <c r="E1120" s="39">
        <v>0</v>
      </c>
      <c r="F1120" s="39" t="s">
        <v>1470</v>
      </c>
      <c r="G1120" s="40" t="s">
        <v>1531</v>
      </c>
    </row>
    <row r="1121" spans="1:13" s="3" customFormat="1" hidden="1" outlineLevel="1" x14ac:dyDescent="0.25">
      <c r="B1121" s="44" t="s">
        <v>76</v>
      </c>
      <c r="C1121" s="29" t="s">
        <v>1532</v>
      </c>
      <c r="D1121" s="29" t="s">
        <v>1489</v>
      </c>
      <c r="E1121" s="29">
        <v>0</v>
      </c>
      <c r="F1121" s="29"/>
      <c r="G1121" s="30"/>
    </row>
    <row r="1122" spans="1:13" s="3" customFormat="1" hidden="1" outlineLevel="1" x14ac:dyDescent="0.25">
      <c r="B1122" s="44" t="s">
        <v>77</v>
      </c>
      <c r="C1122" s="29" t="s">
        <v>1533</v>
      </c>
      <c r="D1122" s="29" t="s">
        <v>1486</v>
      </c>
      <c r="E1122" s="29">
        <v>0</v>
      </c>
      <c r="F1122" s="29" t="s">
        <v>1470</v>
      </c>
      <c r="G1122" s="30"/>
    </row>
    <row r="1123" spans="1:13" s="3" customFormat="1" hidden="1" outlineLevel="1" x14ac:dyDescent="0.25">
      <c r="B1123" s="44" t="s">
        <v>78</v>
      </c>
      <c r="C1123" s="29" t="s">
        <v>1534</v>
      </c>
      <c r="D1123" s="29" t="s">
        <v>1489</v>
      </c>
      <c r="E1123" s="29">
        <v>0</v>
      </c>
      <c r="F1123" s="29"/>
      <c r="G1123" s="30"/>
    </row>
    <row r="1124" spans="1:13" s="3" customFormat="1" hidden="1" outlineLevel="1" x14ac:dyDescent="0.25">
      <c r="B1124" s="44" t="s">
        <v>24</v>
      </c>
      <c r="C1124" s="29" t="s">
        <v>1491</v>
      </c>
      <c r="D1124" s="29" t="s">
        <v>1489</v>
      </c>
      <c r="E1124" s="29">
        <v>0</v>
      </c>
      <c r="F1124" s="29" t="s">
        <v>1470</v>
      </c>
      <c r="G1124" s="30"/>
    </row>
    <row r="1125" spans="1:13" s="4" customFormat="1" ht="17.399999999999999" hidden="1" customHeight="1" outlineLevel="1" x14ac:dyDescent="0.35">
      <c r="A1125" s="5"/>
      <c r="B1125" s="44" t="s">
        <v>58</v>
      </c>
      <c r="C1125" s="42" t="s">
        <v>1522</v>
      </c>
      <c r="D1125" s="42" t="s">
        <v>1489</v>
      </c>
      <c r="E1125" s="42">
        <v>0</v>
      </c>
      <c r="F1125" s="42" t="s">
        <v>1470</v>
      </c>
      <c r="G1125" s="43"/>
      <c r="K1125" s="5"/>
      <c r="L1125" s="5"/>
      <c r="M1125" s="5"/>
    </row>
    <row r="1126" spans="1:13" s="3" customFormat="1" hidden="1" outlineLevel="1" x14ac:dyDescent="0.25">
      <c r="A1126" s="5"/>
      <c r="B1126" s="45" t="s">
        <v>63</v>
      </c>
      <c r="C1126" s="20" t="s">
        <v>1526</v>
      </c>
      <c r="D1126" s="20" t="s">
        <v>1489</v>
      </c>
      <c r="E1126" s="20">
        <v>0</v>
      </c>
      <c r="F1126" s="20"/>
      <c r="G1126" s="22"/>
    </row>
    <row r="1127" spans="1:13" s="3" customFormat="1" ht="17.399999999999999" hidden="1" customHeight="1" outlineLevel="1" thickBot="1" x14ac:dyDescent="0.3">
      <c r="A1127" s="5"/>
      <c r="B1127" s="103"/>
      <c r="C1127" s="92"/>
      <c r="D1127" s="92"/>
      <c r="E1127" s="92"/>
      <c r="F1127" s="92"/>
      <c r="G1127" s="93"/>
    </row>
    <row r="1128" spans="1:13" s="3" customFormat="1" hidden="1" outlineLevel="1" x14ac:dyDescent="0.25">
      <c r="A1128" s="5"/>
      <c r="B1128" s="380" t="s">
        <v>29</v>
      </c>
      <c r="C1128" s="381"/>
      <c r="D1128" s="381"/>
      <c r="E1128" s="381"/>
      <c r="F1128" s="381"/>
      <c r="G1128" s="382"/>
    </row>
    <row r="1129" spans="1:13" s="3" customFormat="1" hidden="1" outlineLevel="1" x14ac:dyDescent="0.25">
      <c r="A1129" s="5"/>
      <c r="B1129" s="64"/>
      <c r="C1129" s="65"/>
      <c r="D1129" s="65"/>
      <c r="E1129" s="65"/>
      <c r="F1129" s="65"/>
      <c r="G1129" s="66"/>
    </row>
    <row r="1130" spans="1:13" s="3" customFormat="1" hidden="1" outlineLevel="1" x14ac:dyDescent="0.25">
      <c r="A1130" s="5"/>
      <c r="B1130" s="301" t="s">
        <v>616</v>
      </c>
      <c r="C1130" s="65"/>
      <c r="D1130" s="65"/>
      <c r="E1130" s="65"/>
      <c r="F1130" s="65"/>
      <c r="G1130" s="371" t="s">
        <v>2430</v>
      </c>
    </row>
    <row r="1131" spans="1:13" s="3" customFormat="1" ht="16.2" hidden="1" outlineLevel="1" thickBot="1" x14ac:dyDescent="0.3">
      <c r="A1131" s="5"/>
      <c r="B1131" s="103"/>
      <c r="C1131" s="92"/>
      <c r="D1131" s="92"/>
      <c r="E1131" s="92"/>
      <c r="F1131" s="92"/>
      <c r="G1131" s="93"/>
    </row>
    <row r="1132" spans="1:13" s="3" customFormat="1" ht="16.2" hidden="1" outlineLevel="1" thickBot="1" x14ac:dyDescent="0.3">
      <c r="A1132" s="5"/>
    </row>
    <row r="1133" spans="1:13" s="3" customFormat="1" ht="16.2" collapsed="1" thickBot="1" x14ac:dyDescent="0.3">
      <c r="A1133" s="5"/>
      <c r="B1133" s="166" t="s">
        <v>1279</v>
      </c>
      <c r="C1133" s="167" t="s">
        <v>1960</v>
      </c>
      <c r="D1133" s="168" t="s">
        <v>1281</v>
      </c>
      <c r="E1133" s="169" t="s">
        <v>617</v>
      </c>
      <c r="F1133" s="168" t="s">
        <v>1282</v>
      </c>
      <c r="G1133" s="170" t="s">
        <v>1961</v>
      </c>
    </row>
    <row r="1134" spans="1:13" s="3" customFormat="1" hidden="1" outlineLevel="1" x14ac:dyDescent="0.25">
      <c r="A1134" s="5"/>
      <c r="B1134" s="136" t="s">
        <v>1284</v>
      </c>
      <c r="C1134" s="20" t="s">
        <v>1285</v>
      </c>
      <c r="D1134" s="137" t="s">
        <v>1286</v>
      </c>
      <c r="E1134" s="84" t="s">
        <v>1962</v>
      </c>
      <c r="F1134" s="137" t="s">
        <v>1288</v>
      </c>
      <c r="G1134" s="85"/>
    </row>
    <row r="1135" spans="1:13" s="3" customFormat="1" ht="16.2" hidden="1" outlineLevel="1" thickBot="1" x14ac:dyDescent="0.3">
      <c r="A1135" s="5"/>
      <c r="B1135" s="171" t="s">
        <v>1290</v>
      </c>
      <c r="C1135" s="172" t="s">
        <v>1291</v>
      </c>
      <c r="D1135" s="173" t="s">
        <v>1292</v>
      </c>
      <c r="E1135" s="172">
        <v>5</v>
      </c>
      <c r="F1135" s="173" t="s">
        <v>1293</v>
      </c>
      <c r="G1135" s="24" t="s">
        <v>1294</v>
      </c>
    </row>
    <row r="1136" spans="1:13" s="3" customFormat="1" hidden="1" outlineLevel="1" x14ac:dyDescent="0.25">
      <c r="A1136" s="5"/>
      <c r="B1136" s="380" t="s">
        <v>1</v>
      </c>
      <c r="C1136" s="381"/>
      <c r="D1136" s="381"/>
      <c r="E1136" s="381"/>
      <c r="F1136" s="381"/>
      <c r="G1136" s="382"/>
    </row>
    <row r="1137" spans="1:14" s="3" customFormat="1" hidden="1" outlineLevel="1" x14ac:dyDescent="0.25">
      <c r="A1137" s="5"/>
      <c r="B1137" s="94" t="s">
        <v>2</v>
      </c>
      <c r="C1137" s="95" t="s">
        <v>3</v>
      </c>
      <c r="D1137" s="95" t="s">
        <v>4</v>
      </c>
      <c r="E1137" s="95" t="s">
        <v>5</v>
      </c>
      <c r="F1137" s="95"/>
      <c r="G1137" s="96" t="s">
        <v>6</v>
      </c>
    </row>
    <row r="1138" spans="1:14" s="4" customFormat="1" ht="17.399999999999999" hidden="1" customHeight="1" outlineLevel="1" x14ac:dyDescent="0.35">
      <c r="A1138" s="5"/>
      <c r="B1138" s="57" t="s">
        <v>7</v>
      </c>
      <c r="C1138" s="58" t="s">
        <v>1468</v>
      </c>
      <c r="D1138" s="58" t="s">
        <v>1469</v>
      </c>
      <c r="E1138" s="58">
        <v>0</v>
      </c>
      <c r="F1138" s="58" t="s">
        <v>1470</v>
      </c>
      <c r="G1138" s="59" t="s">
        <v>1471</v>
      </c>
      <c r="J1138" s="4" t="s">
        <v>10</v>
      </c>
      <c r="K1138" s="4" t="s">
        <v>173</v>
      </c>
      <c r="L1138" s="4" t="s">
        <v>9</v>
      </c>
      <c r="M1138" s="4" t="s">
        <v>9</v>
      </c>
      <c r="N1138" s="4">
        <v>1112</v>
      </c>
    </row>
    <row r="1139" spans="1:14" s="4" customFormat="1" ht="17.399999999999999" hidden="1" customHeight="1" outlineLevel="1" x14ac:dyDescent="0.35">
      <c r="A1139" s="5"/>
      <c r="B1139" s="57" t="s">
        <v>11</v>
      </c>
      <c r="C1139" s="58" t="s">
        <v>1472</v>
      </c>
      <c r="D1139" s="58" t="s">
        <v>1469</v>
      </c>
      <c r="E1139" s="58">
        <v>0</v>
      </c>
      <c r="F1139" s="58" t="s">
        <v>1470</v>
      </c>
      <c r="G1139" s="59" t="s">
        <v>1473</v>
      </c>
      <c r="J1139" s="4" t="s">
        <v>12</v>
      </c>
      <c r="K1139" s="4" t="s">
        <v>174</v>
      </c>
      <c r="L1139" s="4" t="s">
        <v>175</v>
      </c>
      <c r="M1139" s="4" t="s">
        <v>176</v>
      </c>
      <c r="N1139" s="4">
        <v>1700</v>
      </c>
    </row>
    <row r="1140" spans="1:14" s="4" customFormat="1" ht="17.399999999999999" hidden="1" customHeight="1" outlineLevel="1" x14ac:dyDescent="0.35">
      <c r="A1140" s="5"/>
      <c r="B1140" s="60" t="s">
        <v>13</v>
      </c>
      <c r="C1140" s="61" t="s">
        <v>1474</v>
      </c>
      <c r="D1140" s="61" t="s">
        <v>1469</v>
      </c>
      <c r="E1140" s="61">
        <v>0</v>
      </c>
      <c r="F1140" s="61" t="s">
        <v>1470</v>
      </c>
      <c r="G1140" s="62"/>
      <c r="H1140" s="63"/>
      <c r="J1140" s="4" t="s">
        <v>10</v>
      </c>
      <c r="K1140" s="4" t="s">
        <v>173</v>
      </c>
      <c r="L1140" s="4" t="s">
        <v>9</v>
      </c>
      <c r="M1140" s="4" t="s">
        <v>9</v>
      </c>
      <c r="N1140" s="4">
        <v>2534</v>
      </c>
    </row>
    <row r="1141" spans="1:14" s="4" customFormat="1" ht="17.399999999999999" hidden="1" customHeight="1" outlineLevel="1" x14ac:dyDescent="0.35">
      <c r="A1141" s="5"/>
      <c r="B1141" s="60" t="s">
        <v>14</v>
      </c>
      <c r="C1141" s="61" t="s">
        <v>1475</v>
      </c>
      <c r="D1141" s="61" t="s">
        <v>1469</v>
      </c>
      <c r="E1141" s="61">
        <v>0</v>
      </c>
      <c r="F1141" s="61" t="s">
        <v>1476</v>
      </c>
      <c r="G1141" s="62" t="s">
        <v>1477</v>
      </c>
      <c r="H1141" s="63"/>
      <c r="J1141" s="4" t="s">
        <v>10</v>
      </c>
      <c r="K1141" s="4" t="s">
        <v>173</v>
      </c>
      <c r="L1141" s="4" t="s">
        <v>9</v>
      </c>
      <c r="M1141" s="4" t="s">
        <v>9</v>
      </c>
      <c r="N1141" s="4">
        <v>2155</v>
      </c>
    </row>
    <row r="1142" spans="1:14" s="4" customFormat="1" ht="17.399999999999999" hidden="1" customHeight="1" outlineLevel="1" x14ac:dyDescent="0.35">
      <c r="A1142" s="5"/>
      <c r="B1142" s="60" t="s">
        <v>15</v>
      </c>
      <c r="C1142" s="61" t="s">
        <v>1478</v>
      </c>
      <c r="D1142" s="61" t="s">
        <v>1469</v>
      </c>
      <c r="E1142" s="61">
        <v>0</v>
      </c>
      <c r="F1142" s="61" t="s">
        <v>1470</v>
      </c>
      <c r="G1142" s="62"/>
      <c r="H1142" s="63"/>
      <c r="J1142" s="4" t="s">
        <v>10</v>
      </c>
      <c r="K1142" s="4" t="s">
        <v>173</v>
      </c>
      <c r="L1142" s="4" t="s">
        <v>9</v>
      </c>
      <c r="M1142" s="4" t="s">
        <v>9</v>
      </c>
      <c r="N1142" s="4">
        <v>2430</v>
      </c>
    </row>
    <row r="1143" spans="1:14" s="4" customFormat="1" ht="17.399999999999999" hidden="1" customHeight="1" outlineLevel="1" x14ac:dyDescent="0.35">
      <c r="A1143" s="5"/>
      <c r="B1143" s="134" t="s">
        <v>17</v>
      </c>
      <c r="C1143" s="135" t="s">
        <v>1483</v>
      </c>
      <c r="D1143" s="135" t="s">
        <v>1469</v>
      </c>
      <c r="E1143" s="65">
        <v>0</v>
      </c>
      <c r="F1143" s="65" t="s">
        <v>1470</v>
      </c>
      <c r="G1143" s="66" t="s">
        <v>1484</v>
      </c>
      <c r="H1143" s="5"/>
      <c r="I1143" s="5"/>
      <c r="J1143" s="5" t="s">
        <v>10</v>
      </c>
      <c r="K1143" s="5" t="s">
        <v>173</v>
      </c>
      <c r="L1143" s="5" t="s">
        <v>9</v>
      </c>
      <c r="M1143" s="5" t="s">
        <v>9</v>
      </c>
      <c r="N1143" s="4">
        <v>1097</v>
      </c>
    </row>
    <row r="1144" spans="1:14" s="3" customFormat="1" hidden="1" outlineLevel="1" x14ac:dyDescent="0.25">
      <c r="A1144" s="5"/>
      <c r="B1144" s="31" t="s">
        <v>160</v>
      </c>
      <c r="C1144" s="20" t="s">
        <v>1588</v>
      </c>
      <c r="D1144" s="20" t="s">
        <v>1469</v>
      </c>
      <c r="E1144" s="20">
        <v>0</v>
      </c>
      <c r="F1144" s="20"/>
      <c r="G1144" s="22"/>
      <c r="J1144" s="3" t="s">
        <v>10</v>
      </c>
      <c r="K1144" s="3" t="s">
        <v>173</v>
      </c>
      <c r="L1144" s="3" t="s">
        <v>9</v>
      </c>
      <c r="M1144" s="3" t="s">
        <v>9</v>
      </c>
      <c r="N1144" s="3">
        <v>1604</v>
      </c>
    </row>
    <row r="1145" spans="1:14" s="3" customFormat="1" ht="17.399999999999999" hidden="1" customHeight="1" outlineLevel="1" x14ac:dyDescent="0.25">
      <c r="A1145" s="5"/>
      <c r="B1145" s="64" t="s">
        <v>73</v>
      </c>
      <c r="C1145" s="65" t="s">
        <v>1528</v>
      </c>
      <c r="D1145" s="65" t="s">
        <v>1469</v>
      </c>
      <c r="E1145" s="65" t="s">
        <v>1480</v>
      </c>
      <c r="F1145" s="65" t="s">
        <v>1481</v>
      </c>
      <c r="G1145" s="66"/>
      <c r="J1145" s="3" t="s">
        <v>10</v>
      </c>
      <c r="K1145" s="3" t="s">
        <v>173</v>
      </c>
      <c r="L1145" s="3" t="s">
        <v>9</v>
      </c>
      <c r="M1145" s="3" t="s">
        <v>9</v>
      </c>
    </row>
    <row r="1146" spans="1:14" s="3" customFormat="1" ht="17.399999999999999" hidden="1" customHeight="1" outlineLevel="1" x14ac:dyDescent="0.25">
      <c r="A1146" s="5"/>
      <c r="B1146" s="64" t="s">
        <v>74</v>
      </c>
      <c r="C1146" s="65" t="s">
        <v>1529</v>
      </c>
      <c r="D1146" s="65" t="s">
        <v>1469</v>
      </c>
      <c r="E1146" s="65" t="s">
        <v>1480</v>
      </c>
      <c r="F1146" s="65" t="s">
        <v>1481</v>
      </c>
      <c r="G1146" s="66"/>
      <c r="J1146" s="3" t="s">
        <v>10</v>
      </c>
      <c r="K1146" s="3" t="s">
        <v>173</v>
      </c>
      <c r="L1146" s="3" t="s">
        <v>9</v>
      </c>
      <c r="M1146" s="3" t="s">
        <v>9</v>
      </c>
    </row>
    <row r="1147" spans="1:14" s="3" customFormat="1" ht="17.399999999999999" hidden="1" customHeight="1" outlineLevel="1" x14ac:dyDescent="0.25">
      <c r="A1147" s="5"/>
      <c r="B1147" s="64"/>
      <c r="C1147" s="65"/>
      <c r="D1147" s="65"/>
      <c r="E1147" s="65"/>
      <c r="F1147" s="65"/>
      <c r="G1147" s="66"/>
    </row>
    <row r="1148" spans="1:14" s="3" customFormat="1" ht="17.399999999999999" hidden="1" customHeight="1" outlineLevel="1" x14ac:dyDescent="0.25">
      <c r="A1148" s="5"/>
      <c r="B1148" s="383" t="s">
        <v>18</v>
      </c>
      <c r="C1148" s="384"/>
      <c r="D1148" s="384"/>
      <c r="E1148" s="384"/>
      <c r="F1148" s="384"/>
      <c r="G1148" s="385"/>
    </row>
    <row r="1149" spans="1:14" s="3" customFormat="1" ht="17.399999999999999" hidden="1" customHeight="1" outlineLevel="1" x14ac:dyDescent="0.25">
      <c r="A1149" s="5"/>
      <c r="B1149" s="94" t="s">
        <v>2</v>
      </c>
      <c r="C1149" s="95" t="s">
        <v>3</v>
      </c>
      <c r="D1149" s="95" t="s">
        <v>4</v>
      </c>
      <c r="E1149" s="95" t="s">
        <v>5</v>
      </c>
      <c r="F1149" s="95"/>
      <c r="G1149" s="96" t="s">
        <v>6</v>
      </c>
    </row>
    <row r="1150" spans="1:14" s="3" customFormat="1" ht="17.399999999999999" hidden="1" customHeight="1" outlineLevel="1" x14ac:dyDescent="0.25">
      <c r="A1150" s="5"/>
      <c r="B1150" s="31" t="s">
        <v>16</v>
      </c>
      <c r="C1150" s="20" t="s">
        <v>1479</v>
      </c>
      <c r="D1150" s="20" t="s">
        <v>1469</v>
      </c>
      <c r="E1150" s="20" t="s">
        <v>1480</v>
      </c>
      <c r="F1150" s="20" t="s">
        <v>1481</v>
      </c>
      <c r="G1150" s="22" t="s">
        <v>1482</v>
      </c>
      <c r="J1150" s="3" t="s">
        <v>10</v>
      </c>
      <c r="K1150" s="3" t="s">
        <v>173</v>
      </c>
      <c r="L1150" s="3" t="s">
        <v>9</v>
      </c>
      <c r="M1150" s="3" t="s">
        <v>9</v>
      </c>
      <c r="N1150" s="3">
        <v>1211</v>
      </c>
    </row>
    <row r="1151" spans="1:14" s="3" customFormat="1" hidden="1" outlineLevel="1" x14ac:dyDescent="0.25">
      <c r="B1151" s="28" t="s">
        <v>7</v>
      </c>
      <c r="C1151" s="29" t="s">
        <v>1468</v>
      </c>
      <c r="D1151" s="29" t="s">
        <v>1469</v>
      </c>
      <c r="E1151" s="29">
        <v>0</v>
      </c>
      <c r="F1151" s="29" t="s">
        <v>1470</v>
      </c>
      <c r="G1151" s="30" t="s">
        <v>1471</v>
      </c>
      <c r="J1151" s="3" t="s">
        <v>10</v>
      </c>
      <c r="K1151" s="3" t="s">
        <v>173</v>
      </c>
      <c r="L1151" s="3" t="s">
        <v>9</v>
      </c>
      <c r="M1151" s="3" t="s">
        <v>9</v>
      </c>
      <c r="N1151" s="3">
        <v>1112</v>
      </c>
    </row>
    <row r="1152" spans="1:14" s="3" customFormat="1" hidden="1" outlineLevel="1" x14ac:dyDescent="0.25">
      <c r="B1152" s="28" t="s">
        <v>11</v>
      </c>
      <c r="C1152" s="29" t="s">
        <v>1472</v>
      </c>
      <c r="D1152" s="29" t="s">
        <v>1469</v>
      </c>
      <c r="E1152" s="29">
        <v>0</v>
      </c>
      <c r="F1152" s="29" t="s">
        <v>1470</v>
      </c>
      <c r="G1152" s="30" t="s">
        <v>1473</v>
      </c>
      <c r="J1152" s="3" t="s">
        <v>12</v>
      </c>
      <c r="K1152" s="3" t="s">
        <v>174</v>
      </c>
      <c r="L1152" s="3" t="s">
        <v>175</v>
      </c>
      <c r="M1152" s="3" t="s">
        <v>176</v>
      </c>
      <c r="N1152" s="3">
        <v>1700</v>
      </c>
    </row>
    <row r="1153" spans="1:14" s="3" customFormat="1" hidden="1" outlineLevel="1" x14ac:dyDescent="0.25">
      <c r="B1153" s="28" t="s">
        <v>13</v>
      </c>
      <c r="C1153" s="29" t="s">
        <v>1474</v>
      </c>
      <c r="D1153" s="29" t="s">
        <v>1469</v>
      </c>
      <c r="E1153" s="29">
        <v>0</v>
      </c>
      <c r="F1153" s="29" t="s">
        <v>1470</v>
      </c>
      <c r="G1153" s="30"/>
      <c r="J1153" s="3" t="s">
        <v>10</v>
      </c>
      <c r="K1153" s="3" t="s">
        <v>173</v>
      </c>
      <c r="L1153" s="3" t="s">
        <v>9</v>
      </c>
      <c r="M1153" s="3" t="s">
        <v>9</v>
      </c>
      <c r="N1153" s="3">
        <v>2534</v>
      </c>
    </row>
    <row r="1154" spans="1:14" s="3" customFormat="1" hidden="1" outlineLevel="1" x14ac:dyDescent="0.25">
      <c r="B1154" s="35" t="s">
        <v>25</v>
      </c>
      <c r="C1154" s="36" t="s">
        <v>1492</v>
      </c>
      <c r="D1154" s="36" t="s">
        <v>1469</v>
      </c>
      <c r="E1154" s="36">
        <v>0</v>
      </c>
      <c r="F1154" s="36" t="s">
        <v>1470</v>
      </c>
      <c r="G1154" s="37" t="s">
        <v>1484</v>
      </c>
      <c r="J1154" s="3" t="s">
        <v>10</v>
      </c>
      <c r="K1154" s="3" t="s">
        <v>173</v>
      </c>
      <c r="L1154" s="3" t="s">
        <v>9</v>
      </c>
      <c r="M1154" s="3" t="s">
        <v>9</v>
      </c>
      <c r="N1154" s="3">
        <v>2155</v>
      </c>
    </row>
    <row r="1155" spans="1:14" s="3" customFormat="1" hidden="1" outlineLevel="1" x14ac:dyDescent="0.25">
      <c r="B1155" s="28" t="s">
        <v>14</v>
      </c>
      <c r="C1155" s="29" t="s">
        <v>1475</v>
      </c>
      <c r="D1155" s="29" t="s">
        <v>1469</v>
      </c>
      <c r="E1155" s="29">
        <v>0</v>
      </c>
      <c r="F1155" s="29" t="s">
        <v>1476</v>
      </c>
      <c r="G1155" s="30" t="s">
        <v>1477</v>
      </c>
      <c r="J1155" s="3" t="s">
        <v>10</v>
      </c>
      <c r="K1155" s="3" t="s">
        <v>173</v>
      </c>
      <c r="L1155" s="3" t="s">
        <v>9</v>
      </c>
      <c r="M1155" s="3" t="s">
        <v>9</v>
      </c>
      <c r="N1155" s="3">
        <v>2430</v>
      </c>
    </row>
    <row r="1156" spans="1:14" s="3" customFormat="1" hidden="1" outlineLevel="1" x14ac:dyDescent="0.25">
      <c r="B1156" s="28" t="s">
        <v>15</v>
      </c>
      <c r="C1156" s="29" t="s">
        <v>1478</v>
      </c>
      <c r="D1156" s="29" t="s">
        <v>1469</v>
      </c>
      <c r="E1156" s="29">
        <v>0</v>
      </c>
      <c r="F1156" s="29" t="s">
        <v>1470</v>
      </c>
      <c r="G1156" s="30"/>
      <c r="J1156" s="3" t="s">
        <v>20</v>
      </c>
      <c r="K1156" s="3" t="s">
        <v>445</v>
      </c>
      <c r="L1156" s="3" t="s">
        <v>446</v>
      </c>
      <c r="M1156" s="3" t="s">
        <v>446</v>
      </c>
      <c r="N1156" s="3">
        <v>1203</v>
      </c>
    </row>
    <row r="1157" spans="1:14" s="3" customFormat="1" hidden="1" outlineLevel="1" x14ac:dyDescent="0.25">
      <c r="B1157" s="38" t="s">
        <v>19</v>
      </c>
      <c r="C1157" s="39" t="s">
        <v>1485</v>
      </c>
      <c r="D1157" s="39" t="s">
        <v>1486</v>
      </c>
      <c r="E1157" s="39">
        <v>0</v>
      </c>
      <c r="F1157" s="39"/>
      <c r="G1157" s="40"/>
      <c r="J1157" s="3" t="s">
        <v>20</v>
      </c>
      <c r="K1157" s="3" t="s">
        <v>445</v>
      </c>
      <c r="L1157" s="3" t="s">
        <v>446</v>
      </c>
      <c r="M1157" s="3" t="s">
        <v>446</v>
      </c>
      <c r="N1157" s="3">
        <v>1689</v>
      </c>
    </row>
    <row r="1158" spans="1:14" s="3" customFormat="1" hidden="1" outlineLevel="1" x14ac:dyDescent="0.25">
      <c r="B1158" s="28" t="s">
        <v>21</v>
      </c>
      <c r="C1158" s="29" t="s">
        <v>1487</v>
      </c>
      <c r="D1158" s="29" t="s">
        <v>1486</v>
      </c>
      <c r="E1158" s="29">
        <v>0</v>
      </c>
      <c r="F1158" s="29"/>
      <c r="G1158" s="30"/>
      <c r="J1158" s="3" t="s">
        <v>20</v>
      </c>
      <c r="K1158" s="3" t="s">
        <v>445</v>
      </c>
      <c r="L1158" s="3" t="s">
        <v>446</v>
      </c>
      <c r="M1158" s="3" t="s">
        <v>446</v>
      </c>
      <c r="N1158" s="3">
        <v>2052</v>
      </c>
    </row>
    <row r="1159" spans="1:14" s="3" customFormat="1" hidden="1" outlineLevel="1" x14ac:dyDescent="0.25">
      <c r="B1159" s="28" t="s">
        <v>22</v>
      </c>
      <c r="C1159" s="29" t="s">
        <v>1488</v>
      </c>
      <c r="D1159" s="29" t="s">
        <v>1489</v>
      </c>
      <c r="E1159" s="29">
        <v>0</v>
      </c>
      <c r="F1159" s="29" t="s">
        <v>1470</v>
      </c>
      <c r="G1159" s="30" t="s">
        <v>1490</v>
      </c>
      <c r="J1159" s="3" t="s">
        <v>20</v>
      </c>
      <c r="K1159" s="3" t="s">
        <v>445</v>
      </c>
      <c r="L1159" s="3" t="s">
        <v>446</v>
      </c>
      <c r="M1159" s="3" t="s">
        <v>446</v>
      </c>
      <c r="N1159" s="3">
        <v>2153</v>
      </c>
    </row>
    <row r="1160" spans="1:14" s="3" customFormat="1" hidden="1" outlineLevel="1" x14ac:dyDescent="0.25">
      <c r="B1160" s="28" t="s">
        <v>26</v>
      </c>
      <c r="C1160" s="29" t="s">
        <v>1493</v>
      </c>
      <c r="D1160" s="29" t="s">
        <v>1494</v>
      </c>
      <c r="E1160" s="29">
        <v>0</v>
      </c>
      <c r="F1160" s="29" t="s">
        <v>1470</v>
      </c>
      <c r="G1160" s="30"/>
      <c r="J1160" s="3" t="s">
        <v>20</v>
      </c>
      <c r="K1160" s="3" t="s">
        <v>445</v>
      </c>
      <c r="L1160" s="3" t="s">
        <v>446</v>
      </c>
      <c r="M1160" s="3" t="s">
        <v>446</v>
      </c>
      <c r="N1160" s="3">
        <v>2183</v>
      </c>
    </row>
    <row r="1161" spans="1:14" s="4" customFormat="1" ht="17.399999999999999" hidden="1" customHeight="1" outlineLevel="1" x14ac:dyDescent="0.35">
      <c r="A1161" s="5"/>
      <c r="B1161" s="41" t="s">
        <v>27</v>
      </c>
      <c r="C1161" s="42" t="s">
        <v>1495</v>
      </c>
      <c r="D1161" s="42" t="s">
        <v>1489</v>
      </c>
      <c r="E1161" s="42">
        <v>0</v>
      </c>
      <c r="F1161" s="42" t="s">
        <v>1470</v>
      </c>
      <c r="G1161" s="43"/>
      <c r="J1161" s="5" t="s">
        <v>20</v>
      </c>
      <c r="K1161" s="5" t="s">
        <v>445</v>
      </c>
      <c r="L1161" s="5" t="s">
        <v>446</v>
      </c>
      <c r="M1161" s="5" t="s">
        <v>446</v>
      </c>
    </row>
    <row r="1162" spans="1:14" s="3" customFormat="1" hidden="1" outlineLevel="1" x14ac:dyDescent="0.25">
      <c r="B1162" s="44" t="s">
        <v>75</v>
      </c>
      <c r="C1162" s="39" t="s">
        <v>1530</v>
      </c>
      <c r="D1162" s="39" t="s">
        <v>1486</v>
      </c>
      <c r="E1162" s="39">
        <v>0</v>
      </c>
      <c r="F1162" s="39" t="s">
        <v>1470</v>
      </c>
      <c r="G1162" s="40" t="s">
        <v>1531</v>
      </c>
    </row>
    <row r="1163" spans="1:14" s="3" customFormat="1" hidden="1" outlineLevel="1" x14ac:dyDescent="0.25">
      <c r="B1163" s="44" t="s">
        <v>76</v>
      </c>
      <c r="C1163" s="29" t="s">
        <v>1532</v>
      </c>
      <c r="D1163" s="29" t="s">
        <v>1489</v>
      </c>
      <c r="E1163" s="29">
        <v>0</v>
      </c>
      <c r="F1163" s="29"/>
      <c r="G1163" s="30"/>
    </row>
    <row r="1164" spans="1:14" s="3" customFormat="1" hidden="1" outlineLevel="1" x14ac:dyDescent="0.25">
      <c r="B1164" s="44" t="s">
        <v>77</v>
      </c>
      <c r="C1164" s="29" t="s">
        <v>1533</v>
      </c>
      <c r="D1164" s="29" t="s">
        <v>1486</v>
      </c>
      <c r="E1164" s="29">
        <v>0</v>
      </c>
      <c r="F1164" s="29" t="s">
        <v>1470</v>
      </c>
      <c r="G1164" s="30"/>
    </row>
    <row r="1165" spans="1:14" s="3" customFormat="1" hidden="1" outlineLevel="1" x14ac:dyDescent="0.25">
      <c r="B1165" s="44" t="s">
        <v>78</v>
      </c>
      <c r="C1165" s="29" t="s">
        <v>1534</v>
      </c>
      <c r="D1165" s="29" t="s">
        <v>1489</v>
      </c>
      <c r="E1165" s="29">
        <v>0</v>
      </c>
      <c r="F1165" s="29"/>
      <c r="G1165" s="30"/>
    </row>
    <row r="1166" spans="1:14" s="3" customFormat="1" hidden="1" outlineLevel="1" x14ac:dyDescent="0.25">
      <c r="B1166" s="44" t="s">
        <v>24</v>
      </c>
      <c r="C1166" s="29" t="s">
        <v>1491</v>
      </c>
      <c r="D1166" s="29" t="s">
        <v>1489</v>
      </c>
      <c r="E1166" s="29">
        <v>0</v>
      </c>
      <c r="F1166" s="29" t="s">
        <v>1470</v>
      </c>
      <c r="G1166" s="30"/>
    </row>
    <row r="1167" spans="1:14" s="4" customFormat="1" ht="17.399999999999999" hidden="1" customHeight="1" outlineLevel="1" x14ac:dyDescent="0.35">
      <c r="A1167" s="5"/>
      <c r="B1167" s="44" t="s">
        <v>58</v>
      </c>
      <c r="C1167" s="42" t="s">
        <v>1522</v>
      </c>
      <c r="D1167" s="42" t="s">
        <v>1489</v>
      </c>
      <c r="E1167" s="42">
        <v>0</v>
      </c>
      <c r="F1167" s="42" t="s">
        <v>1470</v>
      </c>
      <c r="G1167" s="43"/>
      <c r="K1167" s="5"/>
      <c r="L1167" s="5"/>
      <c r="M1167" s="5"/>
    </row>
    <row r="1168" spans="1:14" s="3" customFormat="1" hidden="1" outlineLevel="1" x14ac:dyDescent="0.25">
      <c r="A1168" s="5"/>
      <c r="B1168" s="45" t="s">
        <v>63</v>
      </c>
      <c r="C1168" s="20" t="s">
        <v>1526</v>
      </c>
      <c r="D1168" s="20" t="s">
        <v>1489</v>
      </c>
      <c r="E1168" s="20">
        <v>0</v>
      </c>
      <c r="F1168" s="20"/>
      <c r="G1168" s="22"/>
    </row>
    <row r="1169" spans="1:27" s="3" customFormat="1" ht="17.399999999999999" hidden="1" customHeight="1" outlineLevel="1" thickBot="1" x14ac:dyDescent="0.3">
      <c r="A1169" s="5"/>
      <c r="B1169" s="103"/>
      <c r="C1169" s="92"/>
      <c r="D1169" s="92"/>
      <c r="E1169" s="92"/>
      <c r="F1169" s="92"/>
      <c r="G1169" s="93"/>
    </row>
    <row r="1170" spans="1:27" s="3" customFormat="1" hidden="1" outlineLevel="1" x14ac:dyDescent="0.25">
      <c r="A1170" s="5"/>
      <c r="B1170" s="392" t="s">
        <v>29</v>
      </c>
      <c r="C1170" s="393"/>
      <c r="D1170" s="393"/>
      <c r="E1170" s="393"/>
      <c r="F1170" s="393"/>
      <c r="G1170" s="394"/>
    </row>
    <row r="1171" spans="1:27" s="3" customFormat="1" hidden="1" outlineLevel="1" x14ac:dyDescent="0.25">
      <c r="A1171" s="5"/>
      <c r="B1171" s="64"/>
      <c r="C1171" s="65"/>
      <c r="D1171" s="65"/>
      <c r="E1171" s="65"/>
      <c r="F1171" s="65"/>
      <c r="G1171" s="66"/>
    </row>
    <row r="1172" spans="1:27" s="3" customFormat="1" hidden="1" outlineLevel="1" x14ac:dyDescent="0.25">
      <c r="A1172" s="5"/>
      <c r="B1172" s="301" t="s">
        <v>618</v>
      </c>
      <c r="C1172" s="65"/>
      <c r="D1172" s="65"/>
      <c r="E1172" s="65"/>
      <c r="F1172" s="65"/>
      <c r="G1172" s="371" t="s">
        <v>2431</v>
      </c>
    </row>
    <row r="1173" spans="1:27" s="3" customFormat="1" ht="16.2" hidden="1" outlineLevel="1" thickBot="1" x14ac:dyDescent="0.3">
      <c r="A1173" s="5"/>
      <c r="B1173" s="103"/>
      <c r="C1173" s="92"/>
      <c r="D1173" s="92"/>
      <c r="E1173" s="92"/>
      <c r="F1173" s="92"/>
      <c r="G1173" s="93"/>
    </row>
    <row r="1174" spans="1:27" s="3" customFormat="1" hidden="1" outlineLevel="1" x14ac:dyDescent="0.25">
      <c r="A1174" s="5"/>
    </row>
    <row r="1175" spans="1:27" ht="16.2" hidden="1" outlineLevel="1" thickBot="1" x14ac:dyDescent="0.3"/>
    <row r="1176" spans="1:27" s="3" customFormat="1" ht="17.399999999999999" customHeight="1" collapsed="1" thickBot="1" x14ac:dyDescent="0.3">
      <c r="A1176" s="5"/>
      <c r="B1176" s="15" t="s">
        <v>1279</v>
      </c>
      <c r="C1176" s="16" t="s">
        <v>2020</v>
      </c>
      <c r="D1176" s="17" t="s">
        <v>1281</v>
      </c>
      <c r="E1176" s="16" t="s">
        <v>619</v>
      </c>
      <c r="F1176" s="17" t="s">
        <v>1282</v>
      </c>
      <c r="G1176" s="18" t="s">
        <v>2021</v>
      </c>
    </row>
    <row r="1177" spans="1:27" s="3" customFormat="1" ht="17.399999999999999" hidden="1" customHeight="1" outlineLevel="1" x14ac:dyDescent="0.25">
      <c r="A1177" s="5"/>
      <c r="B1177" s="19" t="s">
        <v>1284</v>
      </c>
      <c r="C1177" s="20" t="s">
        <v>1285</v>
      </c>
      <c r="D1177" s="21" t="s">
        <v>1286</v>
      </c>
      <c r="E1177" s="20" t="s">
        <v>2022</v>
      </c>
      <c r="F1177" s="21" t="s">
        <v>1288</v>
      </c>
      <c r="G1177" s="22"/>
    </row>
    <row r="1178" spans="1:27" s="3" customFormat="1" ht="17.399999999999999" hidden="1" customHeight="1" outlineLevel="1" thickBot="1" x14ac:dyDescent="0.3">
      <c r="A1178" s="5"/>
      <c r="B1178" s="19" t="s">
        <v>1290</v>
      </c>
      <c r="C1178" s="23" t="s">
        <v>1291</v>
      </c>
      <c r="D1178" s="21" t="s">
        <v>1292</v>
      </c>
      <c r="E1178" s="23">
        <v>5</v>
      </c>
      <c r="F1178" s="21" t="s">
        <v>1293</v>
      </c>
      <c r="G1178" s="24" t="s">
        <v>1294</v>
      </c>
    </row>
    <row r="1179" spans="1:27" s="3" customFormat="1" ht="17.399999999999999" hidden="1" customHeight="1" outlineLevel="1" x14ac:dyDescent="0.25">
      <c r="A1179" s="5"/>
      <c r="B1179" s="395" t="s">
        <v>1</v>
      </c>
      <c r="C1179" s="396"/>
      <c r="D1179" s="396"/>
      <c r="E1179" s="396"/>
      <c r="F1179" s="396"/>
      <c r="G1179" s="397"/>
    </row>
    <row r="1180" spans="1:27" s="3" customFormat="1" ht="17.399999999999999" hidden="1" customHeight="1" outlineLevel="1" x14ac:dyDescent="0.25">
      <c r="A1180" s="5"/>
      <c r="B1180" s="25" t="s">
        <v>2</v>
      </c>
      <c r="C1180" s="26" t="s">
        <v>3</v>
      </c>
      <c r="D1180" s="26" t="s">
        <v>4</v>
      </c>
      <c r="E1180" s="26" t="s">
        <v>5</v>
      </c>
      <c r="F1180" s="26"/>
      <c r="G1180" s="27" t="s">
        <v>6</v>
      </c>
    </row>
    <row r="1181" spans="1:27" s="3" customFormat="1" hidden="1" outlineLevel="1" x14ac:dyDescent="0.25">
      <c r="B1181" s="28" t="s">
        <v>112</v>
      </c>
      <c r="C1181" s="29" t="s">
        <v>1555</v>
      </c>
      <c r="D1181" s="29" t="s">
        <v>1469</v>
      </c>
      <c r="E1181" s="29">
        <v>0</v>
      </c>
      <c r="F1181" s="29" t="s">
        <v>1470</v>
      </c>
      <c r="G1181" s="30" t="s">
        <v>1556</v>
      </c>
      <c r="J1181" s="3" t="s">
        <v>10</v>
      </c>
      <c r="K1181" s="3" t="s">
        <v>173</v>
      </c>
      <c r="L1181" s="3" t="s">
        <v>9</v>
      </c>
      <c r="M1181" s="3" t="s">
        <v>9</v>
      </c>
      <c r="N1181" s="3">
        <v>1606</v>
      </c>
      <c r="O1181" s="3">
        <v>32</v>
      </c>
    </row>
    <row r="1182" spans="1:27" s="3" customFormat="1" hidden="1" outlineLevel="1" x14ac:dyDescent="0.25">
      <c r="B1182" s="28" t="s">
        <v>7</v>
      </c>
      <c r="C1182" s="29" t="s">
        <v>1468</v>
      </c>
      <c r="D1182" s="29" t="s">
        <v>1469</v>
      </c>
      <c r="E1182" s="29">
        <v>0</v>
      </c>
      <c r="F1182" s="29" t="s">
        <v>1470</v>
      </c>
      <c r="G1182" s="30" t="s">
        <v>1471</v>
      </c>
      <c r="J1182" s="3" t="s">
        <v>10</v>
      </c>
      <c r="K1182" s="3" t="s">
        <v>173</v>
      </c>
      <c r="L1182" s="3" t="s">
        <v>9</v>
      </c>
      <c r="M1182" s="3" t="s">
        <v>9</v>
      </c>
      <c r="N1182" s="3">
        <v>1112</v>
      </c>
      <c r="O1182" s="3">
        <v>32</v>
      </c>
    </row>
    <row r="1183" spans="1:27" s="3" customFormat="1" hidden="1" outlineLevel="1" x14ac:dyDescent="0.25">
      <c r="B1183" s="28" t="s">
        <v>11</v>
      </c>
      <c r="C1183" s="29" t="s">
        <v>1472</v>
      </c>
      <c r="D1183" s="29" t="s">
        <v>1469</v>
      </c>
      <c r="E1183" s="29">
        <v>0</v>
      </c>
      <c r="F1183" s="29" t="s">
        <v>1470</v>
      </c>
      <c r="G1183" s="30" t="s">
        <v>1473</v>
      </c>
      <c r="J1183" s="3" t="s">
        <v>12</v>
      </c>
      <c r="K1183" s="3" t="s">
        <v>174</v>
      </c>
      <c r="L1183" s="3" t="s">
        <v>175</v>
      </c>
      <c r="M1183" s="3" t="s">
        <v>176</v>
      </c>
      <c r="N1183" s="3">
        <v>1700</v>
      </c>
      <c r="O1183" s="3">
        <v>32</v>
      </c>
    </row>
    <row r="1184" spans="1:27" s="3" customFormat="1" hidden="1" outlineLevel="1" x14ac:dyDescent="0.25">
      <c r="A1184" s="14"/>
      <c r="B1184" s="195" t="s">
        <v>254</v>
      </c>
      <c r="C1184" s="183" t="s">
        <v>1683</v>
      </c>
      <c r="D1184" s="183" t="s">
        <v>1616</v>
      </c>
      <c r="E1184" s="183" t="s">
        <v>1617</v>
      </c>
      <c r="F1184" s="183"/>
      <c r="G1184" s="184"/>
      <c r="H1184" s="14"/>
      <c r="I1184" s="14"/>
      <c r="J1184" s="14" t="s">
        <v>187</v>
      </c>
      <c r="K1184" s="14" t="s">
        <v>438</v>
      </c>
      <c r="L1184" s="14" t="s">
        <v>537</v>
      </c>
      <c r="M1184" s="14" t="s">
        <v>187</v>
      </c>
      <c r="N1184" s="14">
        <v>1704</v>
      </c>
      <c r="O1184" s="14">
        <v>2</v>
      </c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</row>
    <row r="1185" spans="1:27" s="3" customFormat="1" ht="16.2" hidden="1" outlineLevel="1" thickBot="1" x14ac:dyDescent="0.3">
      <c r="A1185" s="14"/>
      <c r="B1185" s="163"/>
      <c r="C1185" s="164"/>
      <c r="D1185" s="164"/>
      <c r="E1185" s="164"/>
      <c r="F1185" s="164"/>
      <c r="G1185" s="165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</row>
    <row r="1186" spans="1:27" s="3" customFormat="1" hidden="1" outlineLevel="1" x14ac:dyDescent="0.25">
      <c r="A1186" s="14"/>
      <c r="B1186" s="401" t="s">
        <v>18</v>
      </c>
      <c r="C1186" s="402"/>
      <c r="D1186" s="402"/>
      <c r="E1186" s="402"/>
      <c r="F1186" s="402"/>
      <c r="G1186" s="403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</row>
    <row r="1187" spans="1:27" s="3" customFormat="1" hidden="1" outlineLevel="1" x14ac:dyDescent="0.25">
      <c r="A1187" s="14"/>
      <c r="B1187" s="179" t="s">
        <v>2</v>
      </c>
      <c r="C1187" s="180" t="s">
        <v>3</v>
      </c>
      <c r="D1187" s="180" t="s">
        <v>4</v>
      </c>
      <c r="E1187" s="180" t="s">
        <v>5</v>
      </c>
      <c r="F1187" s="180"/>
      <c r="G1187" s="181" t="s">
        <v>6</v>
      </c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</row>
    <row r="1188" spans="1:27" s="3" customFormat="1" hidden="1" outlineLevel="1" x14ac:dyDescent="0.25">
      <c r="A1188" s="14"/>
      <c r="B1188" s="195" t="s">
        <v>11</v>
      </c>
      <c r="C1188" s="183" t="s">
        <v>1472</v>
      </c>
      <c r="D1188" s="183" t="s">
        <v>1469</v>
      </c>
      <c r="E1188" s="183">
        <v>0</v>
      </c>
      <c r="F1188" s="183" t="s">
        <v>1470</v>
      </c>
      <c r="G1188" s="184" t="s">
        <v>1473</v>
      </c>
      <c r="H1188" s="14"/>
      <c r="I1188" s="14"/>
      <c r="J1188" s="14" t="s">
        <v>12</v>
      </c>
      <c r="K1188" s="14" t="s">
        <v>174</v>
      </c>
      <c r="L1188" s="14" t="s">
        <v>175</v>
      </c>
      <c r="M1188" s="14" t="s">
        <v>176</v>
      </c>
      <c r="N1188" s="14">
        <v>1700</v>
      </c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</row>
    <row r="1189" spans="1:27" s="3" customFormat="1" hidden="1" outlineLevel="1" x14ac:dyDescent="0.25">
      <c r="A1189" s="14"/>
      <c r="B1189" s="195" t="s">
        <v>112</v>
      </c>
      <c r="C1189" s="183" t="s">
        <v>1555</v>
      </c>
      <c r="D1189" s="183" t="s">
        <v>1469</v>
      </c>
      <c r="E1189" s="183">
        <v>0</v>
      </c>
      <c r="F1189" s="183" t="s">
        <v>1470</v>
      </c>
      <c r="G1189" s="184" t="s">
        <v>1556</v>
      </c>
      <c r="H1189" s="14"/>
      <c r="I1189" s="14"/>
      <c r="J1189" s="14" t="s">
        <v>10</v>
      </c>
      <c r="K1189" s="14" t="s">
        <v>173</v>
      </c>
      <c r="L1189" s="14" t="s">
        <v>9</v>
      </c>
      <c r="M1189" s="14" t="s">
        <v>9</v>
      </c>
      <c r="N1189" s="14">
        <v>1606</v>
      </c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</row>
    <row r="1190" spans="1:27" s="3" customFormat="1" hidden="1" outlineLevel="1" x14ac:dyDescent="0.25">
      <c r="A1190" s="14"/>
      <c r="B1190" s="116" t="s">
        <v>157</v>
      </c>
      <c r="C1190" s="183" t="s">
        <v>1684</v>
      </c>
      <c r="D1190" s="183" t="s">
        <v>1632</v>
      </c>
      <c r="E1190" s="183" t="s">
        <v>1594</v>
      </c>
      <c r="F1190" s="183" t="s">
        <v>1470</v>
      </c>
      <c r="G1190" s="184" t="s">
        <v>1685</v>
      </c>
      <c r="H1190" s="14"/>
      <c r="I1190" s="14"/>
      <c r="J1190" s="14" t="s">
        <v>187</v>
      </c>
      <c r="K1190" s="14" t="s">
        <v>438</v>
      </c>
      <c r="L1190" s="14" t="s">
        <v>537</v>
      </c>
      <c r="M1190" s="14" t="s">
        <v>187</v>
      </c>
      <c r="N1190" s="14">
        <v>1701</v>
      </c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</row>
    <row r="1191" spans="1:27" s="3" customFormat="1" hidden="1" outlineLevel="1" x14ac:dyDescent="0.25">
      <c r="A1191" s="14"/>
      <c r="B1191" s="116" t="s">
        <v>158</v>
      </c>
      <c r="C1191" s="183" t="s">
        <v>1686</v>
      </c>
      <c r="D1191" s="183" t="s">
        <v>1652</v>
      </c>
      <c r="E1191" s="183" t="s">
        <v>1594</v>
      </c>
      <c r="F1191" s="183"/>
      <c r="G1191" s="184"/>
      <c r="H1191" s="14"/>
      <c r="I1191" s="14"/>
      <c r="J1191" s="14" t="s">
        <v>187</v>
      </c>
      <c r="K1191" s="14" t="s">
        <v>438</v>
      </c>
      <c r="L1191" s="14" t="s">
        <v>537</v>
      </c>
      <c r="M1191" s="14" t="s">
        <v>187</v>
      </c>
      <c r="N1191" s="14">
        <v>1703</v>
      </c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</row>
    <row r="1192" spans="1:27" s="3" customFormat="1" hidden="1" outlineLevel="1" x14ac:dyDescent="0.25">
      <c r="A1192" s="14"/>
      <c r="B1192" s="116" t="s">
        <v>254</v>
      </c>
      <c r="C1192" s="23" t="s">
        <v>1683</v>
      </c>
      <c r="D1192" s="23" t="s">
        <v>1616</v>
      </c>
      <c r="E1192" s="23" t="s">
        <v>1617</v>
      </c>
      <c r="F1192" s="23"/>
      <c r="G1192" s="24"/>
      <c r="H1192" s="14"/>
      <c r="I1192" s="14"/>
      <c r="J1192" s="14" t="s">
        <v>187</v>
      </c>
      <c r="K1192" s="14" t="s">
        <v>438</v>
      </c>
      <c r="L1192" s="14" t="s">
        <v>537</v>
      </c>
      <c r="M1192" s="14" t="s">
        <v>187</v>
      </c>
      <c r="N1192" s="14">
        <v>1704</v>
      </c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</row>
    <row r="1193" spans="1:27" s="3" customFormat="1" hidden="1" outlineLevel="1" x14ac:dyDescent="0.25">
      <c r="A1193" s="14"/>
      <c r="B1193" s="116" t="s">
        <v>255</v>
      </c>
      <c r="C1193" s="29" t="s">
        <v>1687</v>
      </c>
      <c r="D1193" s="29" t="s">
        <v>1469</v>
      </c>
      <c r="E1193" s="29">
        <v>0</v>
      </c>
      <c r="F1193" s="29" t="s">
        <v>1476</v>
      </c>
      <c r="G1193" s="30"/>
      <c r="H1193" s="14"/>
      <c r="I1193" s="14"/>
      <c r="J1193" s="14" t="s">
        <v>10</v>
      </c>
      <c r="K1193" s="14" t="s">
        <v>173</v>
      </c>
      <c r="L1193" s="14" t="s">
        <v>9</v>
      </c>
      <c r="M1193" s="14" t="s">
        <v>9</v>
      </c>
      <c r="N1193" s="14">
        <v>1924</v>
      </c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</row>
    <row r="1194" spans="1:27" s="3" customFormat="1" hidden="1" outlineLevel="1" x14ac:dyDescent="0.25">
      <c r="A1194" s="14"/>
      <c r="B1194" s="182" t="s">
        <v>7</v>
      </c>
      <c r="C1194" s="183" t="s">
        <v>1468</v>
      </c>
      <c r="D1194" s="183" t="s">
        <v>1469</v>
      </c>
      <c r="E1194" s="183">
        <v>0</v>
      </c>
      <c r="F1194" s="183" t="s">
        <v>1470</v>
      </c>
      <c r="G1194" s="184" t="s">
        <v>1471</v>
      </c>
      <c r="H1194" s="14"/>
      <c r="I1194" s="14"/>
      <c r="J1194" s="14" t="s">
        <v>10</v>
      </c>
      <c r="K1194" s="14" t="s">
        <v>173</v>
      </c>
      <c r="L1194" s="14" t="s">
        <v>9</v>
      </c>
      <c r="M1194" s="14" t="s">
        <v>9</v>
      </c>
      <c r="N1194" s="14">
        <v>1112</v>
      </c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</row>
    <row r="1195" spans="1:27" s="3" customFormat="1" ht="16.2" hidden="1" outlineLevel="1" thickBot="1" x14ac:dyDescent="0.3">
      <c r="A1195" s="14"/>
      <c r="B1195" s="185"/>
      <c r="C1195" s="23"/>
      <c r="D1195" s="23"/>
      <c r="E1195" s="23"/>
      <c r="F1195" s="23"/>
      <c r="G1195" s="2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</row>
    <row r="1196" spans="1:27" s="3" customFormat="1" hidden="1" outlineLevel="1" x14ac:dyDescent="0.25">
      <c r="A1196" s="14"/>
      <c r="B1196" s="401" t="s">
        <v>29</v>
      </c>
      <c r="C1196" s="402"/>
      <c r="D1196" s="402"/>
      <c r="E1196" s="402"/>
      <c r="F1196" s="402"/>
      <c r="G1196" s="403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</row>
    <row r="1197" spans="1:27" s="3" customFormat="1" hidden="1" outlineLevel="1" x14ac:dyDescent="0.25">
      <c r="A1197" s="14"/>
      <c r="B1197" s="195"/>
      <c r="C1197" s="183"/>
      <c r="D1197" s="183"/>
      <c r="E1197" s="183"/>
      <c r="F1197" s="183"/>
      <c r="G1197" s="18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</row>
    <row r="1198" spans="1:27" s="3" customFormat="1" hidden="1" outlineLevel="1" x14ac:dyDescent="0.25">
      <c r="A1198" s="14"/>
      <c r="B1198" s="195"/>
      <c r="C1198" s="183"/>
      <c r="D1198" s="183"/>
      <c r="E1198" s="183"/>
      <c r="F1198" s="183"/>
      <c r="G1198" s="18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</row>
    <row r="1199" spans="1:27" s="3" customFormat="1" hidden="1" outlineLevel="1" x14ac:dyDescent="0.25">
      <c r="A1199" s="14"/>
      <c r="B1199" s="186" t="s">
        <v>620</v>
      </c>
      <c r="C1199" s="117"/>
      <c r="D1199" s="117"/>
      <c r="E1199" s="117"/>
      <c r="F1199" s="117"/>
      <c r="G1199" s="371" t="s">
        <v>2432</v>
      </c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</row>
    <row r="1200" spans="1:27" s="3" customFormat="1" ht="16.2" hidden="1" outlineLevel="1" thickBot="1" x14ac:dyDescent="0.3">
      <c r="A1200" s="14"/>
      <c r="B1200" s="132"/>
      <c r="C1200" s="190"/>
      <c r="D1200" s="190"/>
      <c r="E1200" s="190"/>
      <c r="F1200" s="190"/>
      <c r="G1200" s="191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</row>
    <row r="1201" spans="1:27" s="3" customFormat="1" ht="16.2" hidden="1" outlineLevel="1" thickBot="1" x14ac:dyDescent="0.3">
      <c r="A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</row>
    <row r="1202" spans="1:27" s="3" customFormat="1" ht="17.399999999999999" customHeight="1" collapsed="1" thickBot="1" x14ac:dyDescent="0.3">
      <c r="A1202" s="5"/>
      <c r="B1202" s="15" t="s">
        <v>1279</v>
      </c>
      <c r="C1202" s="16" t="s">
        <v>2023</v>
      </c>
      <c r="D1202" s="17" t="s">
        <v>1281</v>
      </c>
      <c r="E1202" s="16" t="s">
        <v>621</v>
      </c>
      <c r="F1202" s="17" t="s">
        <v>1282</v>
      </c>
      <c r="G1202" s="18" t="s">
        <v>2024</v>
      </c>
    </row>
    <row r="1203" spans="1:27" s="3" customFormat="1" ht="17.399999999999999" hidden="1" customHeight="1" outlineLevel="1" x14ac:dyDescent="0.25">
      <c r="A1203" s="5"/>
      <c r="B1203" s="19" t="s">
        <v>1284</v>
      </c>
      <c r="C1203" s="20" t="s">
        <v>1285</v>
      </c>
      <c r="D1203" s="21" t="s">
        <v>1286</v>
      </c>
      <c r="E1203" s="20" t="s">
        <v>2025</v>
      </c>
      <c r="F1203" s="21" t="s">
        <v>1288</v>
      </c>
      <c r="G1203" s="22"/>
    </row>
    <row r="1204" spans="1:27" s="3" customFormat="1" ht="17.399999999999999" hidden="1" customHeight="1" outlineLevel="1" thickBot="1" x14ac:dyDescent="0.3">
      <c r="A1204" s="5"/>
      <c r="B1204" s="19" t="s">
        <v>1290</v>
      </c>
      <c r="C1204" s="23" t="s">
        <v>1291</v>
      </c>
      <c r="D1204" s="21" t="s">
        <v>1292</v>
      </c>
      <c r="E1204" s="23">
        <v>5</v>
      </c>
      <c r="F1204" s="21" t="s">
        <v>1293</v>
      </c>
      <c r="G1204" s="24" t="s">
        <v>1294</v>
      </c>
    </row>
    <row r="1205" spans="1:27" s="3" customFormat="1" ht="17.399999999999999" hidden="1" customHeight="1" outlineLevel="1" x14ac:dyDescent="0.25">
      <c r="A1205" s="5"/>
      <c r="B1205" s="395" t="s">
        <v>1</v>
      </c>
      <c r="C1205" s="396"/>
      <c r="D1205" s="396"/>
      <c r="E1205" s="396"/>
      <c r="F1205" s="396"/>
      <c r="G1205" s="397"/>
    </row>
    <row r="1206" spans="1:27" s="3" customFormat="1" ht="17.399999999999999" hidden="1" customHeight="1" outlineLevel="1" x14ac:dyDescent="0.25">
      <c r="A1206" s="5"/>
      <c r="B1206" s="25" t="s">
        <v>2</v>
      </c>
      <c r="C1206" s="26" t="s">
        <v>3</v>
      </c>
      <c r="D1206" s="26" t="s">
        <v>4</v>
      </c>
      <c r="E1206" s="26" t="s">
        <v>5</v>
      </c>
      <c r="F1206" s="26"/>
      <c r="G1206" s="27" t="s">
        <v>6</v>
      </c>
    </row>
    <row r="1207" spans="1:27" s="3" customFormat="1" hidden="1" outlineLevel="1" x14ac:dyDescent="0.25">
      <c r="B1207" s="28" t="s">
        <v>17</v>
      </c>
      <c r="C1207" s="29" t="s">
        <v>1483</v>
      </c>
      <c r="D1207" s="29" t="s">
        <v>1469</v>
      </c>
      <c r="E1207" s="29">
        <v>0</v>
      </c>
      <c r="F1207" s="29" t="s">
        <v>1470</v>
      </c>
      <c r="G1207" s="30" t="s">
        <v>1484</v>
      </c>
      <c r="J1207" s="3" t="s">
        <v>10</v>
      </c>
      <c r="K1207" s="3" t="s">
        <v>173</v>
      </c>
      <c r="L1207" s="3" t="s">
        <v>9</v>
      </c>
      <c r="M1207" s="3" t="s">
        <v>9</v>
      </c>
      <c r="N1207" s="3">
        <v>1097</v>
      </c>
      <c r="O1207" s="3">
        <v>32</v>
      </c>
    </row>
    <row r="1208" spans="1:27" s="3" customFormat="1" hidden="1" outlineLevel="1" x14ac:dyDescent="0.25">
      <c r="B1208" s="28" t="s">
        <v>112</v>
      </c>
      <c r="C1208" s="29" t="s">
        <v>1555</v>
      </c>
      <c r="D1208" s="29" t="s">
        <v>1469</v>
      </c>
      <c r="E1208" s="29">
        <v>0</v>
      </c>
      <c r="F1208" s="29" t="s">
        <v>1470</v>
      </c>
      <c r="G1208" s="30" t="s">
        <v>1556</v>
      </c>
      <c r="J1208" s="3" t="s">
        <v>10</v>
      </c>
      <c r="K1208" s="3" t="s">
        <v>173</v>
      </c>
      <c r="L1208" s="3" t="s">
        <v>9</v>
      </c>
      <c r="M1208" s="3" t="s">
        <v>9</v>
      </c>
      <c r="N1208" s="3">
        <v>1606</v>
      </c>
      <c r="O1208" s="3">
        <v>32</v>
      </c>
    </row>
    <row r="1209" spans="1:27" s="3" customFormat="1" hidden="1" outlineLevel="1" x14ac:dyDescent="0.25">
      <c r="B1209" s="28" t="s">
        <v>259</v>
      </c>
      <c r="C1209" s="29" t="s">
        <v>1688</v>
      </c>
      <c r="D1209" s="29" t="s">
        <v>1469</v>
      </c>
      <c r="E1209" s="29">
        <v>0</v>
      </c>
      <c r="F1209" s="29"/>
      <c r="G1209" s="30"/>
      <c r="J1209" s="3" t="s">
        <v>10</v>
      </c>
      <c r="K1209" s="3" t="s">
        <v>173</v>
      </c>
      <c r="L1209" s="3" t="s">
        <v>9</v>
      </c>
      <c r="M1209" s="3" t="s">
        <v>9</v>
      </c>
      <c r="N1209" s="3">
        <v>2174</v>
      </c>
      <c r="O1209" s="3">
        <v>32</v>
      </c>
    </row>
    <row r="1210" spans="1:27" s="3" customFormat="1" hidden="1" outlineLevel="1" x14ac:dyDescent="0.25">
      <c r="B1210" s="28" t="s">
        <v>260</v>
      </c>
      <c r="C1210" s="29" t="s">
        <v>1689</v>
      </c>
      <c r="D1210" s="29" t="s">
        <v>1652</v>
      </c>
      <c r="E1210" s="29" t="s">
        <v>1594</v>
      </c>
      <c r="F1210" s="29" t="s">
        <v>1470</v>
      </c>
      <c r="G1210" s="30"/>
      <c r="J1210" s="3" t="s">
        <v>187</v>
      </c>
      <c r="K1210" s="3" t="s">
        <v>438</v>
      </c>
      <c r="L1210" s="3" t="s">
        <v>537</v>
      </c>
      <c r="M1210" s="3" t="s">
        <v>187</v>
      </c>
      <c r="N1210" s="3">
        <v>1094</v>
      </c>
      <c r="O1210" s="3">
        <v>64</v>
      </c>
    </row>
    <row r="1211" spans="1:27" s="3" customFormat="1" hidden="1" outlineLevel="1" x14ac:dyDescent="0.25">
      <c r="A1211" s="14"/>
      <c r="B1211" s="195" t="s">
        <v>128</v>
      </c>
      <c r="C1211" s="23" t="s">
        <v>1566</v>
      </c>
      <c r="D1211" s="23" t="s">
        <v>1567</v>
      </c>
      <c r="E1211" s="23">
        <v>0</v>
      </c>
      <c r="F1211" s="23" t="s">
        <v>1470</v>
      </c>
      <c r="G1211" s="24"/>
      <c r="H1211" s="14"/>
      <c r="I1211" s="14"/>
      <c r="J1211" s="14" t="s">
        <v>12</v>
      </c>
      <c r="K1211" s="14" t="s">
        <v>174</v>
      </c>
      <c r="L1211" s="14" t="s">
        <v>175</v>
      </c>
      <c r="M1211" s="14" t="s">
        <v>176</v>
      </c>
      <c r="N1211" s="14">
        <v>1629</v>
      </c>
      <c r="O1211" s="14">
        <v>64</v>
      </c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</row>
    <row r="1212" spans="1:27" s="3" customFormat="1" hidden="1" outlineLevel="1" x14ac:dyDescent="0.25">
      <c r="A1212" s="14"/>
      <c r="B1212" s="196" t="s">
        <v>114</v>
      </c>
      <c r="C1212" s="23" t="s">
        <v>1557</v>
      </c>
      <c r="D1212" s="23" t="s">
        <v>1469</v>
      </c>
      <c r="E1212" s="23">
        <v>-1</v>
      </c>
      <c r="F1212" s="23" t="s">
        <v>1470</v>
      </c>
      <c r="G1212" s="24"/>
      <c r="H1212" s="14"/>
      <c r="I1212" s="14"/>
      <c r="J1212" s="14" t="s">
        <v>10</v>
      </c>
      <c r="K1212" s="14" t="s">
        <v>173</v>
      </c>
      <c r="L1212" s="14" t="s">
        <v>9</v>
      </c>
      <c r="M1212" s="14" t="s">
        <v>9</v>
      </c>
      <c r="N1212" s="14">
        <v>2449</v>
      </c>
      <c r="O1212" s="14">
        <v>32</v>
      </c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</row>
    <row r="1213" spans="1:27" s="3" customFormat="1" ht="16.2" hidden="1" outlineLevel="1" thickBot="1" x14ac:dyDescent="0.3">
      <c r="A1213" s="14"/>
      <c r="B1213" s="163"/>
      <c r="C1213" s="164"/>
      <c r="D1213" s="164"/>
      <c r="E1213" s="164"/>
      <c r="F1213" s="164"/>
      <c r="G1213" s="165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</row>
    <row r="1214" spans="1:27" s="3" customFormat="1" hidden="1" outlineLevel="1" x14ac:dyDescent="0.25">
      <c r="A1214" s="14"/>
      <c r="B1214" s="401" t="s">
        <v>18</v>
      </c>
      <c r="C1214" s="402"/>
      <c r="D1214" s="402"/>
      <c r="E1214" s="402"/>
      <c r="F1214" s="402"/>
      <c r="G1214" s="403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</row>
    <row r="1215" spans="1:27" s="3" customFormat="1" hidden="1" outlineLevel="1" x14ac:dyDescent="0.25">
      <c r="A1215" s="14"/>
      <c r="B1215" s="179" t="s">
        <v>2</v>
      </c>
      <c r="C1215" s="180" t="s">
        <v>3</v>
      </c>
      <c r="D1215" s="180" t="s">
        <v>4</v>
      </c>
      <c r="E1215" s="180" t="s">
        <v>5</v>
      </c>
      <c r="F1215" s="180"/>
      <c r="G1215" s="181" t="s">
        <v>6</v>
      </c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</row>
    <row r="1216" spans="1:27" s="3" customFormat="1" hidden="1" outlineLevel="1" x14ac:dyDescent="0.25">
      <c r="A1216" s="14"/>
      <c r="B1216" s="195" t="s">
        <v>128</v>
      </c>
      <c r="C1216" s="29" t="s">
        <v>1566</v>
      </c>
      <c r="D1216" s="29" t="s">
        <v>1567</v>
      </c>
      <c r="E1216" s="29">
        <v>0</v>
      </c>
      <c r="F1216" s="29" t="s">
        <v>1470</v>
      </c>
      <c r="G1216" s="30"/>
      <c r="H1216" s="14"/>
      <c r="I1216" s="14"/>
      <c r="J1216" s="14" t="s">
        <v>12</v>
      </c>
      <c r="K1216" s="14" t="s">
        <v>174</v>
      </c>
      <c r="L1216" s="14" t="s">
        <v>175</v>
      </c>
      <c r="M1216" s="14" t="s">
        <v>176</v>
      </c>
      <c r="N1216" s="14">
        <v>1629</v>
      </c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</row>
    <row r="1217" spans="1:27" s="3" customFormat="1" hidden="1" outlineLevel="1" x14ac:dyDescent="0.25">
      <c r="A1217" s="14"/>
      <c r="B1217" s="195" t="s">
        <v>112</v>
      </c>
      <c r="C1217" s="183" t="s">
        <v>1555</v>
      </c>
      <c r="D1217" s="183" t="s">
        <v>1469</v>
      </c>
      <c r="E1217" s="183">
        <v>0</v>
      </c>
      <c r="F1217" s="183" t="s">
        <v>1470</v>
      </c>
      <c r="G1217" s="184" t="s">
        <v>1556</v>
      </c>
      <c r="H1217" s="14"/>
      <c r="I1217" s="14"/>
      <c r="J1217" s="14" t="s">
        <v>10</v>
      </c>
      <c r="K1217" s="14" t="s">
        <v>173</v>
      </c>
      <c r="L1217" s="14" t="s">
        <v>9</v>
      </c>
      <c r="M1217" s="14" t="s">
        <v>9</v>
      </c>
      <c r="N1217" s="14">
        <v>1606</v>
      </c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</row>
    <row r="1218" spans="1:27" s="3" customFormat="1" hidden="1" outlineLevel="1" x14ac:dyDescent="0.25">
      <c r="A1218" s="14"/>
      <c r="B1218" s="195" t="s">
        <v>25</v>
      </c>
      <c r="C1218" s="183" t="s">
        <v>1492</v>
      </c>
      <c r="D1218" s="183" t="s">
        <v>1469</v>
      </c>
      <c r="E1218" s="183">
        <v>0</v>
      </c>
      <c r="F1218" s="183" t="s">
        <v>1470</v>
      </c>
      <c r="G1218" s="184" t="s">
        <v>1484</v>
      </c>
      <c r="H1218" s="14"/>
      <c r="I1218" s="14"/>
      <c r="J1218" s="14" t="s">
        <v>10</v>
      </c>
      <c r="K1218" s="14" t="s">
        <v>173</v>
      </c>
      <c r="L1218" s="14" t="s">
        <v>9</v>
      </c>
      <c r="M1218" s="14" t="s">
        <v>9</v>
      </c>
      <c r="N1218" s="14">
        <v>1080</v>
      </c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</row>
    <row r="1219" spans="1:27" s="3" customFormat="1" hidden="1" outlineLevel="1" x14ac:dyDescent="0.25">
      <c r="A1219" s="14"/>
      <c r="B1219" s="195" t="s">
        <v>154</v>
      </c>
      <c r="C1219" s="314" t="s">
        <v>1678</v>
      </c>
      <c r="D1219" s="183" t="s">
        <v>1652</v>
      </c>
      <c r="E1219" s="183" t="s">
        <v>1594</v>
      </c>
      <c r="F1219" s="183"/>
      <c r="G1219" s="184"/>
      <c r="H1219" s="14"/>
      <c r="I1219" s="14"/>
      <c r="J1219" s="14" t="s">
        <v>187</v>
      </c>
      <c r="K1219" s="14" t="s">
        <v>438</v>
      </c>
      <c r="L1219" s="14" t="s">
        <v>537</v>
      </c>
      <c r="M1219" s="14" t="s">
        <v>187</v>
      </c>
      <c r="N1219" s="14">
        <v>1087</v>
      </c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</row>
    <row r="1220" spans="1:27" s="3" customFormat="1" hidden="1" outlineLevel="1" x14ac:dyDescent="0.25">
      <c r="A1220" s="14"/>
      <c r="B1220" s="195" t="s">
        <v>261</v>
      </c>
      <c r="C1220" s="183" t="s">
        <v>1690</v>
      </c>
      <c r="D1220" s="183" t="s">
        <v>1469</v>
      </c>
      <c r="E1220" s="183">
        <v>0</v>
      </c>
      <c r="F1220" s="183" t="s">
        <v>1476</v>
      </c>
      <c r="G1220" s="184"/>
      <c r="H1220" s="14"/>
      <c r="I1220" s="14"/>
      <c r="J1220" s="14" t="s">
        <v>10</v>
      </c>
      <c r="K1220" s="14" t="s">
        <v>173</v>
      </c>
      <c r="L1220" s="14" t="s">
        <v>9</v>
      </c>
      <c r="M1220" s="14" t="s">
        <v>9</v>
      </c>
      <c r="N1220" s="14">
        <v>1083</v>
      </c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</row>
    <row r="1221" spans="1:27" s="3" customFormat="1" hidden="1" outlineLevel="1" x14ac:dyDescent="0.25">
      <c r="A1221" s="14"/>
      <c r="B1221" s="195" t="s">
        <v>262</v>
      </c>
      <c r="C1221" s="183" t="s">
        <v>1691</v>
      </c>
      <c r="D1221" s="183" t="s">
        <v>1616</v>
      </c>
      <c r="E1221" s="183" t="s">
        <v>1617</v>
      </c>
      <c r="F1221" s="183" t="s">
        <v>1476</v>
      </c>
      <c r="G1221" s="184"/>
      <c r="H1221" s="14"/>
      <c r="I1221" s="14"/>
      <c r="J1221" s="14" t="s">
        <v>187</v>
      </c>
      <c r="K1221" s="14" t="s">
        <v>438</v>
      </c>
      <c r="L1221" s="14" t="s">
        <v>537</v>
      </c>
      <c r="M1221" s="14" t="s">
        <v>187</v>
      </c>
      <c r="N1221" s="14">
        <v>1093</v>
      </c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</row>
    <row r="1222" spans="1:27" s="3" customFormat="1" ht="16.2" hidden="1" outlineLevel="1" thickBot="1" x14ac:dyDescent="0.3">
      <c r="A1222" s="14"/>
      <c r="B1222" s="185"/>
      <c r="C1222" s="23"/>
      <c r="D1222" s="23"/>
      <c r="E1222" s="23"/>
      <c r="F1222" s="23"/>
      <c r="G1222" s="2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</row>
    <row r="1223" spans="1:27" s="3" customFormat="1" hidden="1" outlineLevel="1" x14ac:dyDescent="0.25">
      <c r="A1223" s="14"/>
      <c r="B1223" s="401" t="s">
        <v>29</v>
      </c>
      <c r="C1223" s="402"/>
      <c r="D1223" s="402"/>
      <c r="E1223" s="402"/>
      <c r="F1223" s="402"/>
      <c r="G1223" s="403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</row>
    <row r="1224" spans="1:27" s="7" customFormat="1" ht="16.5" hidden="1" customHeight="1" outlineLevel="1" x14ac:dyDescent="0.25">
      <c r="A1224" s="14"/>
      <c r="B1224" s="308" t="s">
        <v>559</v>
      </c>
      <c r="C1224" s="309"/>
      <c r="D1224" s="309"/>
      <c r="E1224" s="309"/>
      <c r="F1224" s="309"/>
      <c r="G1224" s="310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</row>
    <row r="1225" spans="1:27" s="7" customFormat="1" ht="17.399999999999999" hidden="1" customHeight="1" outlineLevel="1" thickBot="1" x14ac:dyDescent="0.3">
      <c r="A1225" s="14"/>
      <c r="B1225" s="305" t="s">
        <v>560</v>
      </c>
      <c r="C1225" s="306"/>
      <c r="D1225" s="306"/>
      <c r="E1225" s="306"/>
      <c r="F1225" s="306"/>
      <c r="G1225" s="307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</row>
    <row r="1226" spans="1:27" s="7" customFormat="1" ht="16.5" hidden="1" customHeight="1" outlineLevel="1" x14ac:dyDescent="0.25">
      <c r="A1226" s="14"/>
      <c r="B1226" s="308" t="s">
        <v>561</v>
      </c>
      <c r="C1226" s="309"/>
      <c r="D1226" s="309"/>
      <c r="E1226" s="309"/>
      <c r="F1226" s="309"/>
      <c r="G1226" s="310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</row>
    <row r="1227" spans="1:27" s="3" customFormat="1" hidden="1" outlineLevel="1" x14ac:dyDescent="0.25">
      <c r="A1227" s="14"/>
      <c r="B1227" s="195"/>
      <c r="C1227" s="183"/>
      <c r="D1227" s="183"/>
      <c r="E1227" s="183"/>
      <c r="F1227" s="183"/>
      <c r="G1227" s="18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</row>
    <row r="1228" spans="1:27" s="3" customFormat="1" hidden="1" outlineLevel="1" x14ac:dyDescent="0.25">
      <c r="A1228" s="14"/>
      <c r="B1228" s="116" t="s">
        <v>622</v>
      </c>
      <c r="C1228" s="198"/>
      <c r="D1228" s="117"/>
      <c r="E1228" s="117"/>
      <c r="F1228" s="117"/>
      <c r="G1228" s="105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</row>
    <row r="1229" spans="1:27" s="3" customFormat="1" hidden="1" outlineLevel="1" x14ac:dyDescent="0.25">
      <c r="A1229" s="14"/>
      <c r="B1229" s="182" t="s">
        <v>623</v>
      </c>
      <c r="C1229" s="198"/>
      <c r="D1229" s="198"/>
      <c r="E1229" s="198"/>
      <c r="F1229" s="198"/>
      <c r="G1229" s="275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</row>
    <row r="1230" spans="1:27" s="3" customFormat="1" hidden="1" outlineLevel="1" x14ac:dyDescent="0.25">
      <c r="A1230" s="14"/>
      <c r="B1230" s="182" t="s">
        <v>624</v>
      </c>
      <c r="C1230" s="319"/>
      <c r="D1230" s="319"/>
      <c r="E1230" s="319"/>
      <c r="F1230" s="319"/>
      <c r="G1230" s="275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</row>
    <row r="1231" spans="1:27" s="3" customFormat="1" hidden="1" outlineLevel="1" x14ac:dyDescent="0.25">
      <c r="A1231" s="14"/>
      <c r="B1231" s="182" t="s">
        <v>561</v>
      </c>
      <c r="C1231" s="319"/>
      <c r="D1231" s="319"/>
      <c r="E1231" s="319"/>
      <c r="F1231" s="319"/>
      <c r="G1231" s="275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</row>
    <row r="1232" spans="1:27" s="3" customFormat="1" hidden="1" outlineLevel="1" x14ac:dyDescent="0.25">
      <c r="A1232" s="14"/>
      <c r="B1232" s="182"/>
      <c r="C1232" s="319"/>
      <c r="D1232" s="319"/>
      <c r="E1232" s="319"/>
      <c r="F1232" s="319"/>
      <c r="G1232" s="275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</row>
    <row r="1233" spans="1:27" s="3" customFormat="1" hidden="1" outlineLevel="1" x14ac:dyDescent="0.25">
      <c r="A1233" s="14"/>
      <c r="B1233" s="186" t="s">
        <v>625</v>
      </c>
      <c r="C1233" s="117"/>
      <c r="D1233" s="117"/>
      <c r="E1233" s="117"/>
      <c r="F1233" s="117"/>
      <c r="G1233" s="371" t="s">
        <v>2433</v>
      </c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</row>
    <row r="1234" spans="1:27" s="3" customFormat="1" ht="16.2" hidden="1" outlineLevel="1" thickBot="1" x14ac:dyDescent="0.3">
      <c r="A1234" s="14"/>
      <c r="B1234" s="132"/>
      <c r="C1234" s="190"/>
      <c r="D1234" s="190"/>
      <c r="E1234" s="190"/>
      <c r="F1234" s="190"/>
      <c r="G1234" s="191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</row>
    <row r="1235" spans="1:27" s="3" customFormat="1" hidden="1" outlineLevel="1" x14ac:dyDescent="0.25">
      <c r="A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</row>
    <row r="1236" spans="1:27" ht="16.2" hidden="1" outlineLevel="1" thickBot="1" x14ac:dyDescent="0.3"/>
    <row r="1237" spans="1:27" s="3" customFormat="1" ht="17.399999999999999" customHeight="1" collapsed="1" thickBot="1" x14ac:dyDescent="0.3">
      <c r="A1237" s="5"/>
      <c r="B1237" s="15" t="s">
        <v>1279</v>
      </c>
      <c r="C1237" s="16" t="s">
        <v>1963</v>
      </c>
      <c r="D1237" s="17" t="s">
        <v>1281</v>
      </c>
      <c r="E1237" s="200" t="s">
        <v>626</v>
      </c>
      <c r="F1237" s="17" t="s">
        <v>1282</v>
      </c>
      <c r="G1237" s="18" t="s">
        <v>1964</v>
      </c>
    </row>
    <row r="1238" spans="1:27" s="3" customFormat="1" ht="17.399999999999999" hidden="1" customHeight="1" outlineLevel="1" x14ac:dyDescent="0.25">
      <c r="A1238" s="5"/>
      <c r="B1238" s="19" t="s">
        <v>1284</v>
      </c>
      <c r="C1238" s="20" t="s">
        <v>1285</v>
      </c>
      <c r="D1238" s="21" t="s">
        <v>1286</v>
      </c>
      <c r="E1238" s="20" t="s">
        <v>1965</v>
      </c>
      <c r="F1238" s="21" t="s">
        <v>1288</v>
      </c>
      <c r="G1238" s="22" t="s">
        <v>1383</v>
      </c>
    </row>
    <row r="1239" spans="1:27" s="3" customFormat="1" ht="17.399999999999999" hidden="1" customHeight="1" outlineLevel="1" thickBot="1" x14ac:dyDescent="0.3">
      <c r="A1239" s="5"/>
      <c r="B1239" s="19" t="s">
        <v>1290</v>
      </c>
      <c r="C1239" s="23" t="s">
        <v>1291</v>
      </c>
      <c r="D1239" s="21" t="s">
        <v>1292</v>
      </c>
      <c r="E1239" s="23">
        <v>5</v>
      </c>
      <c r="F1239" s="21" t="s">
        <v>1293</v>
      </c>
      <c r="G1239" s="24" t="s">
        <v>1294</v>
      </c>
    </row>
    <row r="1240" spans="1:27" s="3" customFormat="1" ht="17.399999999999999" hidden="1" customHeight="1" outlineLevel="1" x14ac:dyDescent="0.25">
      <c r="A1240" s="5"/>
      <c r="B1240" s="395" t="s">
        <v>1</v>
      </c>
      <c r="C1240" s="396"/>
      <c r="D1240" s="396"/>
      <c r="E1240" s="396"/>
      <c r="F1240" s="396"/>
      <c r="G1240" s="397"/>
    </row>
    <row r="1241" spans="1:27" s="3" customFormat="1" ht="17.399999999999999" hidden="1" customHeight="1" outlineLevel="1" x14ac:dyDescent="0.25">
      <c r="A1241" s="5"/>
      <c r="B1241" s="25" t="s">
        <v>2</v>
      </c>
      <c r="C1241" s="26" t="s">
        <v>3</v>
      </c>
      <c r="D1241" s="26" t="s">
        <v>4</v>
      </c>
      <c r="E1241" s="26" t="s">
        <v>5</v>
      </c>
      <c r="F1241" s="26"/>
      <c r="G1241" s="27" t="s">
        <v>6</v>
      </c>
    </row>
    <row r="1242" spans="1:27" s="3" customFormat="1" hidden="1" outlineLevel="1" x14ac:dyDescent="0.25">
      <c r="B1242" s="28" t="s">
        <v>7</v>
      </c>
      <c r="C1242" s="29" t="s">
        <v>1468</v>
      </c>
      <c r="D1242" s="29" t="s">
        <v>1469</v>
      </c>
      <c r="E1242" s="29">
        <v>0</v>
      </c>
      <c r="F1242" s="29" t="s">
        <v>1470</v>
      </c>
      <c r="G1242" s="30" t="s">
        <v>1471</v>
      </c>
      <c r="J1242" s="3" t="s">
        <v>10</v>
      </c>
      <c r="K1242" s="3" t="s">
        <v>173</v>
      </c>
      <c r="L1242" s="3" t="s">
        <v>9</v>
      </c>
      <c r="M1242" s="3" t="s">
        <v>9</v>
      </c>
      <c r="N1242" s="3">
        <v>1112</v>
      </c>
    </row>
    <row r="1243" spans="1:27" s="3" customFormat="1" hidden="1" outlineLevel="1" x14ac:dyDescent="0.25">
      <c r="B1243" s="28" t="s">
        <v>265</v>
      </c>
      <c r="C1243" s="29" t="s">
        <v>1692</v>
      </c>
      <c r="D1243" s="29" t="s">
        <v>1606</v>
      </c>
      <c r="E1243" s="29" t="s">
        <v>1594</v>
      </c>
      <c r="F1243" s="29" t="s">
        <v>1470</v>
      </c>
      <c r="G1243" s="30"/>
      <c r="J1243" s="3" t="s">
        <v>187</v>
      </c>
      <c r="K1243" s="3" t="s">
        <v>438</v>
      </c>
      <c r="L1243" s="3" t="s">
        <v>537</v>
      </c>
      <c r="M1243" s="3" t="s">
        <v>187</v>
      </c>
      <c r="N1243" s="3">
        <v>1114</v>
      </c>
    </row>
    <row r="1244" spans="1:27" s="3" customFormat="1" hidden="1" outlineLevel="1" x14ac:dyDescent="0.25">
      <c r="B1244" s="28" t="s">
        <v>203</v>
      </c>
      <c r="C1244" s="29" t="s">
        <v>1635</v>
      </c>
      <c r="D1244" s="29" t="s">
        <v>1636</v>
      </c>
      <c r="E1244" s="29" t="s">
        <v>1637</v>
      </c>
      <c r="F1244" s="29" t="s">
        <v>1476</v>
      </c>
      <c r="G1244" s="30"/>
      <c r="J1244" s="3" t="s">
        <v>187</v>
      </c>
      <c r="K1244" s="3" t="s">
        <v>438</v>
      </c>
      <c r="L1244" s="3" t="s">
        <v>537</v>
      </c>
      <c r="M1244" s="3" t="s">
        <v>187</v>
      </c>
      <c r="N1244" s="3">
        <v>1041</v>
      </c>
    </row>
    <row r="1245" spans="1:27" s="3" customFormat="1" hidden="1" outlineLevel="1" x14ac:dyDescent="0.25">
      <c r="B1245" s="28"/>
      <c r="C1245" s="29"/>
      <c r="D1245" s="29"/>
      <c r="E1245" s="29"/>
      <c r="F1245" s="29"/>
      <c r="G1245" s="30"/>
    </row>
    <row r="1246" spans="1:27" s="3" customFormat="1" ht="16.2" hidden="1" outlineLevel="1" thickBot="1" x14ac:dyDescent="0.3">
      <c r="A1246" s="14"/>
      <c r="B1246" s="195"/>
      <c r="C1246" s="23"/>
      <c r="D1246" s="23"/>
      <c r="E1246" s="23"/>
      <c r="F1246" s="23"/>
      <c r="G1246" s="2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</row>
    <row r="1247" spans="1:27" s="3" customFormat="1" ht="17.399999999999999" hidden="1" customHeight="1" outlineLevel="1" x14ac:dyDescent="0.25">
      <c r="A1247" s="5"/>
      <c r="B1247" s="395" t="s">
        <v>18</v>
      </c>
      <c r="C1247" s="396"/>
      <c r="D1247" s="396"/>
      <c r="E1247" s="396"/>
      <c r="F1247" s="396"/>
      <c r="G1247" s="397"/>
    </row>
    <row r="1248" spans="1:27" s="3" customFormat="1" ht="17.399999999999999" hidden="1" customHeight="1" outlineLevel="1" x14ac:dyDescent="0.25">
      <c r="A1248" s="5"/>
      <c r="B1248" s="25" t="s">
        <v>2</v>
      </c>
      <c r="C1248" s="26" t="s">
        <v>3</v>
      </c>
      <c r="D1248" s="26" t="s">
        <v>4</v>
      </c>
      <c r="E1248" s="26" t="s">
        <v>5</v>
      </c>
      <c r="F1248" s="26"/>
      <c r="G1248" s="27" t="s">
        <v>6</v>
      </c>
    </row>
    <row r="1249" spans="2:14" s="3" customFormat="1" hidden="1" outlineLevel="1" x14ac:dyDescent="0.25">
      <c r="B1249" s="28" t="s">
        <v>16</v>
      </c>
      <c r="C1249" s="29" t="s">
        <v>1479</v>
      </c>
      <c r="D1249" s="29" t="s">
        <v>1469</v>
      </c>
      <c r="E1249" s="29" t="s">
        <v>1480</v>
      </c>
      <c r="F1249" s="29" t="s">
        <v>1481</v>
      </c>
      <c r="G1249" s="30" t="s">
        <v>1482</v>
      </c>
      <c r="H1249" s="3" t="str">
        <f>"{"&amp;B1249&amp;"},"</f>
        <v>{初始化日期},</v>
      </c>
      <c r="J1249" s="3" t="s">
        <v>10</v>
      </c>
      <c r="N1249" s="3">
        <v>1211</v>
      </c>
    </row>
    <row r="1250" spans="2:14" s="3" customFormat="1" hidden="1" outlineLevel="1" x14ac:dyDescent="0.25">
      <c r="B1250" s="28" t="s">
        <v>7</v>
      </c>
      <c r="C1250" s="29" t="s">
        <v>1468</v>
      </c>
      <c r="D1250" s="29" t="s">
        <v>1469</v>
      </c>
      <c r="E1250" s="29">
        <v>0</v>
      </c>
      <c r="F1250" s="29" t="s">
        <v>1470</v>
      </c>
      <c r="G1250" s="30" t="s">
        <v>1471</v>
      </c>
      <c r="H1250" s="3" t="str">
        <f>"{"&amp;B1250&amp;"},"</f>
        <v>{产品编号},</v>
      </c>
      <c r="J1250" s="3" t="s">
        <v>10</v>
      </c>
      <c r="N1250" s="3">
        <v>1112</v>
      </c>
    </row>
    <row r="1251" spans="2:14" s="3" customFormat="1" hidden="1" outlineLevel="1" x14ac:dyDescent="0.25">
      <c r="B1251" s="28" t="s">
        <v>266</v>
      </c>
      <c r="C1251" s="29" t="s">
        <v>1693</v>
      </c>
      <c r="D1251" s="29" t="s">
        <v>1486</v>
      </c>
      <c r="E1251" s="29">
        <v>0</v>
      </c>
      <c r="F1251" s="29" t="s">
        <v>1470</v>
      </c>
      <c r="G1251" s="30"/>
      <c r="H1251" s="3" t="str">
        <f>"{"&amp;B1251&amp;"},"</f>
        <v>{产品总份额},</v>
      </c>
      <c r="J1251" s="3" t="s">
        <v>20</v>
      </c>
      <c r="N1251" s="3">
        <v>1149</v>
      </c>
    </row>
    <row r="1252" spans="2:14" s="3" customFormat="1" hidden="1" outlineLevel="1" x14ac:dyDescent="0.25">
      <c r="B1252" s="28" t="s">
        <v>267</v>
      </c>
      <c r="C1252" s="29" t="s">
        <v>1694</v>
      </c>
      <c r="D1252" s="29" t="s">
        <v>1486</v>
      </c>
      <c r="E1252" s="29">
        <v>0</v>
      </c>
      <c r="F1252" s="29" t="s">
        <v>1470</v>
      </c>
      <c r="G1252" s="30"/>
    </row>
    <row r="1253" spans="2:14" s="3" customFormat="1" hidden="1" outlineLevel="1" x14ac:dyDescent="0.25">
      <c r="B1253" s="28" t="s">
        <v>268</v>
      </c>
      <c r="C1253" s="29" t="s">
        <v>1695</v>
      </c>
      <c r="D1253" s="29" t="s">
        <v>1489</v>
      </c>
      <c r="E1253" s="29">
        <v>0</v>
      </c>
      <c r="F1253" s="29" t="s">
        <v>1470</v>
      </c>
      <c r="G1253" s="30"/>
      <c r="H1253" s="3" t="str">
        <f t="shared" ref="H1253:H1273" si="3">"{"&amp;B1253&amp;"},"</f>
        <v>{净资产},</v>
      </c>
      <c r="J1253" s="3" t="s">
        <v>20</v>
      </c>
      <c r="N1253" s="3">
        <v>1741</v>
      </c>
    </row>
    <row r="1254" spans="2:14" s="3" customFormat="1" hidden="1" outlineLevel="1" x14ac:dyDescent="0.25">
      <c r="B1254" s="28" t="s">
        <v>269</v>
      </c>
      <c r="C1254" s="29" t="s">
        <v>1696</v>
      </c>
      <c r="D1254" s="29" t="s">
        <v>1489</v>
      </c>
      <c r="E1254" s="29">
        <v>0</v>
      </c>
      <c r="F1254" s="29" t="s">
        <v>1470</v>
      </c>
      <c r="G1254" s="30"/>
      <c r="H1254" s="3" t="str">
        <f t="shared" si="3"/>
        <v>{单位净值},</v>
      </c>
      <c r="J1254" s="3" t="s">
        <v>20</v>
      </c>
      <c r="N1254" s="3">
        <v>1244</v>
      </c>
    </row>
    <row r="1255" spans="2:14" s="3" customFormat="1" hidden="1" outlineLevel="1" x14ac:dyDescent="0.25">
      <c r="B1255" s="28" t="s">
        <v>270</v>
      </c>
      <c r="C1255" s="29" t="s">
        <v>1697</v>
      </c>
      <c r="D1255" s="29" t="s">
        <v>1489</v>
      </c>
      <c r="E1255" s="29">
        <v>0</v>
      </c>
      <c r="F1255" s="29"/>
      <c r="G1255" s="30"/>
      <c r="H1255" s="3" t="str">
        <f t="shared" si="3"/>
        <v>{昨日净值},</v>
      </c>
      <c r="J1255" s="3" t="s">
        <v>20</v>
      </c>
      <c r="N1255" s="3">
        <v>2595</v>
      </c>
    </row>
    <row r="1256" spans="2:14" s="3" customFormat="1" hidden="1" outlineLevel="1" x14ac:dyDescent="0.25">
      <c r="B1256" s="28" t="s">
        <v>271</v>
      </c>
      <c r="C1256" s="29" t="s">
        <v>1698</v>
      </c>
      <c r="D1256" s="29" t="s">
        <v>1494</v>
      </c>
      <c r="E1256" s="29">
        <v>0</v>
      </c>
      <c r="F1256" s="29"/>
      <c r="G1256" s="30"/>
      <c r="H1256" s="3" t="str">
        <f t="shared" si="3"/>
        <v>{净值波动},</v>
      </c>
      <c r="J1256" s="3" t="s">
        <v>20</v>
      </c>
      <c r="N1256" s="3">
        <v>1739</v>
      </c>
    </row>
    <row r="1257" spans="2:14" s="3" customFormat="1" hidden="1" outlineLevel="1" x14ac:dyDescent="0.25">
      <c r="B1257" s="28" t="s">
        <v>272</v>
      </c>
      <c r="C1257" s="29" t="s">
        <v>1699</v>
      </c>
      <c r="D1257" s="29" t="s">
        <v>1489</v>
      </c>
      <c r="E1257" s="29">
        <v>0</v>
      </c>
      <c r="F1257" s="29"/>
      <c r="G1257" s="30"/>
      <c r="H1257" s="3" t="str">
        <f t="shared" si="3"/>
        <v>{现金资产},</v>
      </c>
      <c r="J1257" s="3" t="s">
        <v>20</v>
      </c>
      <c r="N1257" s="3">
        <v>2309</v>
      </c>
    </row>
    <row r="1258" spans="2:14" s="3" customFormat="1" hidden="1" outlineLevel="1" x14ac:dyDescent="0.25">
      <c r="B1258" s="28" t="s">
        <v>273</v>
      </c>
      <c r="C1258" s="29" t="s">
        <v>1700</v>
      </c>
      <c r="D1258" s="29" t="s">
        <v>1489</v>
      </c>
      <c r="E1258" s="29">
        <v>0</v>
      </c>
      <c r="F1258" s="29" t="s">
        <v>1470</v>
      </c>
      <c r="G1258" s="30"/>
      <c r="H1258" s="3" t="str">
        <f t="shared" si="3"/>
        <v>{股票资产},</v>
      </c>
      <c r="J1258" s="3" t="s">
        <v>20</v>
      </c>
      <c r="N1258" s="3">
        <v>1511</v>
      </c>
    </row>
    <row r="1259" spans="2:14" s="3" customFormat="1" hidden="1" outlineLevel="1" x14ac:dyDescent="0.25">
      <c r="B1259" s="28" t="s">
        <v>274</v>
      </c>
      <c r="C1259" s="29" t="s">
        <v>1701</v>
      </c>
      <c r="D1259" s="29" t="s">
        <v>1489</v>
      </c>
      <c r="E1259" s="29">
        <v>0</v>
      </c>
      <c r="F1259" s="29" t="s">
        <v>1470</v>
      </c>
      <c r="G1259" s="30"/>
      <c r="H1259" s="3" t="str">
        <f t="shared" si="3"/>
        <v>{债券资产},</v>
      </c>
      <c r="J1259" s="3" t="s">
        <v>20</v>
      </c>
      <c r="N1259" s="3">
        <v>2402</v>
      </c>
    </row>
    <row r="1260" spans="2:14" s="3" customFormat="1" hidden="1" outlineLevel="1" x14ac:dyDescent="0.25">
      <c r="B1260" s="28" t="s">
        <v>275</v>
      </c>
      <c r="C1260" s="29" t="s">
        <v>1702</v>
      </c>
      <c r="D1260" s="29" t="s">
        <v>1489</v>
      </c>
      <c r="E1260" s="29">
        <v>0</v>
      </c>
      <c r="F1260" s="29" t="s">
        <v>1470</v>
      </c>
      <c r="G1260" s="30"/>
      <c r="H1260" s="3" t="str">
        <f t="shared" si="3"/>
        <v>{基金资产},</v>
      </c>
      <c r="J1260" s="3" t="s">
        <v>20</v>
      </c>
      <c r="N1260" s="3">
        <v>1618</v>
      </c>
    </row>
    <row r="1261" spans="2:14" s="3" customFormat="1" hidden="1" outlineLevel="1" x14ac:dyDescent="0.25">
      <c r="B1261" s="185" t="s">
        <v>276</v>
      </c>
      <c r="C1261" s="23" t="s">
        <v>1703</v>
      </c>
      <c r="D1261" s="23" t="s">
        <v>1489</v>
      </c>
      <c r="E1261" s="29">
        <v>0</v>
      </c>
      <c r="F1261" s="29"/>
      <c r="G1261" s="30"/>
    </row>
    <row r="1262" spans="2:14" s="3" customFormat="1" hidden="1" outlineLevel="1" x14ac:dyDescent="0.25">
      <c r="B1262" s="185" t="s">
        <v>277</v>
      </c>
      <c r="C1262" s="23" t="s">
        <v>1704</v>
      </c>
      <c r="D1262" s="23" t="s">
        <v>1489</v>
      </c>
      <c r="E1262" s="29">
        <v>0</v>
      </c>
      <c r="F1262" s="29"/>
      <c r="G1262" s="30"/>
    </row>
    <row r="1263" spans="2:14" s="3" customFormat="1" hidden="1" outlineLevel="1" x14ac:dyDescent="0.25">
      <c r="B1263" s="28" t="s">
        <v>278</v>
      </c>
      <c r="C1263" s="29" t="s">
        <v>1705</v>
      </c>
      <c r="D1263" s="29" t="s">
        <v>1489</v>
      </c>
      <c r="E1263" s="29">
        <v>0</v>
      </c>
      <c r="F1263" s="29"/>
      <c r="G1263" s="30"/>
      <c r="H1263" s="3" t="str">
        <f t="shared" si="3"/>
        <v>{回购资产},</v>
      </c>
      <c r="J1263" s="3" t="s">
        <v>20</v>
      </c>
      <c r="N1263" s="3">
        <v>1599</v>
      </c>
    </row>
    <row r="1264" spans="2:14" s="3" customFormat="1" hidden="1" outlineLevel="1" x14ac:dyDescent="0.25">
      <c r="B1264" s="28" t="s">
        <v>279</v>
      </c>
      <c r="C1264" s="29" t="s">
        <v>1706</v>
      </c>
      <c r="D1264" s="29" t="s">
        <v>1489</v>
      </c>
      <c r="E1264" s="29">
        <v>0</v>
      </c>
      <c r="F1264" s="29" t="s">
        <v>1470</v>
      </c>
      <c r="G1264" s="30"/>
      <c r="H1264" s="3" t="str">
        <f t="shared" si="3"/>
        <v>{其他资产},</v>
      </c>
      <c r="J1264" s="3" t="s">
        <v>20</v>
      </c>
      <c r="N1264" s="3">
        <v>1997</v>
      </c>
    </row>
    <row r="1265" spans="2:14" s="3" customFormat="1" hidden="1" outlineLevel="1" x14ac:dyDescent="0.25">
      <c r="B1265" s="28" t="s">
        <v>280</v>
      </c>
      <c r="C1265" s="29" t="s">
        <v>1707</v>
      </c>
      <c r="D1265" s="29" t="s">
        <v>1489</v>
      </c>
      <c r="E1265" s="29">
        <v>0</v>
      </c>
      <c r="F1265" s="29"/>
      <c r="G1265" s="30"/>
      <c r="H1265" s="3" t="str">
        <f t="shared" si="3"/>
        <v>{港股通资产},</v>
      </c>
      <c r="J1265" s="3" t="s">
        <v>20</v>
      </c>
      <c r="N1265" s="3">
        <v>1842</v>
      </c>
    </row>
    <row r="1266" spans="2:14" s="3" customFormat="1" hidden="1" outlineLevel="1" x14ac:dyDescent="0.25">
      <c r="B1266" s="28" t="s">
        <v>281</v>
      </c>
      <c r="C1266" s="29" t="s">
        <v>1708</v>
      </c>
      <c r="D1266" s="29" t="s">
        <v>1489</v>
      </c>
      <c r="E1266" s="29">
        <v>0</v>
      </c>
      <c r="F1266" s="29" t="s">
        <v>1470</v>
      </c>
      <c r="G1266" s="30"/>
      <c r="H1266" s="3" t="str">
        <f t="shared" si="3"/>
        <v>{期货资产},</v>
      </c>
      <c r="J1266" s="3" t="s">
        <v>20</v>
      </c>
      <c r="N1266" s="3">
        <v>1843</v>
      </c>
    </row>
    <row r="1267" spans="2:14" s="3" customFormat="1" hidden="1" outlineLevel="1" x14ac:dyDescent="0.25">
      <c r="B1267" s="28" t="s">
        <v>282</v>
      </c>
      <c r="C1267" s="29" t="s">
        <v>1709</v>
      </c>
      <c r="D1267" s="29" t="s">
        <v>1489</v>
      </c>
      <c r="E1267" s="29">
        <v>0</v>
      </c>
      <c r="F1267" s="29"/>
      <c r="G1267" s="30"/>
      <c r="H1267" s="3" t="str">
        <f t="shared" si="3"/>
        <v>{可分配金额},</v>
      </c>
      <c r="J1267" s="3" t="s">
        <v>20</v>
      </c>
      <c r="N1267" s="3">
        <v>1774</v>
      </c>
    </row>
    <row r="1268" spans="2:14" s="3" customFormat="1" hidden="1" outlineLevel="1" x14ac:dyDescent="0.25">
      <c r="B1268" s="28" t="s">
        <v>203</v>
      </c>
      <c r="C1268" s="29" t="s">
        <v>1635</v>
      </c>
      <c r="D1268" s="29" t="s">
        <v>1636</v>
      </c>
      <c r="E1268" s="29" t="s">
        <v>1637</v>
      </c>
      <c r="F1268" s="29" t="s">
        <v>1476</v>
      </c>
      <c r="G1268" s="30"/>
      <c r="H1268" s="3" t="str">
        <f t="shared" si="3"/>
        <v>{本币币种},</v>
      </c>
      <c r="J1268" s="3" t="s">
        <v>187</v>
      </c>
      <c r="N1268" s="3">
        <v>1041</v>
      </c>
    </row>
    <row r="1269" spans="2:14" s="3" customFormat="1" hidden="1" outlineLevel="1" x14ac:dyDescent="0.25">
      <c r="B1269" s="28" t="s">
        <v>64</v>
      </c>
      <c r="C1269" s="29" t="s">
        <v>1527</v>
      </c>
      <c r="D1269" s="29" t="s">
        <v>1489</v>
      </c>
      <c r="E1269" s="29">
        <v>0</v>
      </c>
      <c r="F1269" s="29"/>
      <c r="G1269" s="30"/>
      <c r="H1269" s="3" t="str">
        <f t="shared" si="3"/>
        <v>{当日盈亏},</v>
      </c>
      <c r="J1269" s="3" t="s">
        <v>20</v>
      </c>
      <c r="N1269" s="3">
        <v>1274</v>
      </c>
    </row>
    <row r="1270" spans="2:14" s="3" customFormat="1" hidden="1" outlineLevel="1" x14ac:dyDescent="0.25">
      <c r="B1270" s="28" t="s">
        <v>283</v>
      </c>
      <c r="C1270" s="29" t="s">
        <v>1710</v>
      </c>
      <c r="D1270" s="29" t="s">
        <v>1494</v>
      </c>
      <c r="E1270" s="29">
        <v>0</v>
      </c>
      <c r="F1270" s="29" t="s">
        <v>1470</v>
      </c>
      <c r="G1270" s="30"/>
      <c r="H1270" s="3" t="str">
        <f t="shared" si="3"/>
        <v>{当日收益率},</v>
      </c>
      <c r="J1270" s="3" t="s">
        <v>20</v>
      </c>
    </row>
    <row r="1271" spans="2:14" s="3" customFormat="1" hidden="1" outlineLevel="1" x14ac:dyDescent="0.25">
      <c r="B1271" s="28" t="s">
        <v>284</v>
      </c>
      <c r="C1271" s="29" t="s">
        <v>1711</v>
      </c>
      <c r="D1271" s="29" t="s">
        <v>1489</v>
      </c>
      <c r="E1271" s="29">
        <v>0</v>
      </c>
      <c r="F1271" s="29"/>
      <c r="G1271" s="30"/>
      <c r="H1271" s="3" t="str">
        <f t="shared" si="3"/>
        <v>{可提现金额},</v>
      </c>
      <c r="J1271" s="3" t="s">
        <v>20</v>
      </c>
    </row>
    <row r="1272" spans="2:14" s="3" customFormat="1" hidden="1" outlineLevel="1" x14ac:dyDescent="0.25">
      <c r="B1272" s="28" t="s">
        <v>285</v>
      </c>
      <c r="C1272" s="29" t="s">
        <v>1712</v>
      </c>
      <c r="D1272" s="29" t="s">
        <v>1494</v>
      </c>
      <c r="E1272" s="29">
        <v>0</v>
      </c>
      <c r="F1272" s="29"/>
      <c r="G1272" s="30"/>
      <c r="H1272" s="3" t="str">
        <f t="shared" si="3"/>
        <v>{股票资产占比},</v>
      </c>
      <c r="J1272" s="3" t="s">
        <v>20</v>
      </c>
      <c r="N1272" s="3">
        <v>1512</v>
      </c>
    </row>
    <row r="1273" spans="2:14" s="3" customFormat="1" hidden="1" outlineLevel="1" x14ac:dyDescent="0.25">
      <c r="B1273" s="28" t="s">
        <v>286</v>
      </c>
      <c r="C1273" s="29" t="s">
        <v>1713</v>
      </c>
      <c r="D1273" s="29" t="s">
        <v>1494</v>
      </c>
      <c r="E1273" s="29">
        <v>0</v>
      </c>
      <c r="F1273" s="29"/>
      <c r="G1273" s="30"/>
      <c r="H1273" s="3" t="str">
        <f t="shared" si="3"/>
        <v>{证券占比},</v>
      </c>
      <c r="J1273" s="3" t="s">
        <v>20</v>
      </c>
    </row>
    <row r="1274" spans="2:14" s="3" customFormat="1" hidden="1" outlineLevel="1" x14ac:dyDescent="0.25">
      <c r="B1274" s="28" t="s">
        <v>287</v>
      </c>
      <c r="C1274" s="29" t="s">
        <v>1714</v>
      </c>
      <c r="D1274" s="29" t="s">
        <v>1494</v>
      </c>
      <c r="E1274" s="29">
        <v>0</v>
      </c>
      <c r="F1274" s="29"/>
      <c r="G1274" s="30"/>
    </row>
    <row r="1275" spans="2:14" s="3" customFormat="1" hidden="1" outlineLevel="1" x14ac:dyDescent="0.25">
      <c r="B1275" s="28" t="s">
        <v>288</v>
      </c>
      <c r="C1275" s="29" t="s">
        <v>1715</v>
      </c>
      <c r="D1275" s="29" t="s">
        <v>1489</v>
      </c>
      <c r="E1275" s="29">
        <v>0</v>
      </c>
      <c r="F1275" s="29" t="s">
        <v>1470</v>
      </c>
      <c r="G1275" s="30"/>
    </row>
    <row r="1276" spans="2:14" s="3" customFormat="1" hidden="1" outlineLevel="1" x14ac:dyDescent="0.25">
      <c r="B1276" s="28" t="s">
        <v>289</v>
      </c>
      <c r="C1276" s="29" t="s">
        <v>1716</v>
      </c>
      <c r="D1276" s="29" t="s">
        <v>1489</v>
      </c>
      <c r="E1276" s="29">
        <v>0</v>
      </c>
      <c r="F1276" s="29" t="s">
        <v>1470</v>
      </c>
      <c r="G1276" s="30"/>
    </row>
    <row r="1277" spans="2:14" s="3" customFormat="1" hidden="1" outlineLevel="1" x14ac:dyDescent="0.25">
      <c r="B1277" s="28" t="s">
        <v>290</v>
      </c>
      <c r="C1277" s="29" t="s">
        <v>1717</v>
      </c>
      <c r="D1277" s="29" t="s">
        <v>1489</v>
      </c>
      <c r="E1277" s="29">
        <v>0</v>
      </c>
      <c r="F1277" s="29"/>
      <c r="G1277" s="30"/>
    </row>
    <row r="1278" spans="2:14" s="3" customFormat="1" hidden="1" outlineLevel="1" x14ac:dyDescent="0.25">
      <c r="B1278" s="28" t="s">
        <v>291</v>
      </c>
      <c r="C1278" s="29" t="s">
        <v>1718</v>
      </c>
      <c r="D1278" s="29" t="s">
        <v>1489</v>
      </c>
      <c r="E1278" s="29">
        <v>0</v>
      </c>
      <c r="F1278" s="29" t="s">
        <v>1470</v>
      </c>
      <c r="G1278" s="30"/>
    </row>
    <row r="1279" spans="2:14" s="3" customFormat="1" hidden="1" outlineLevel="1" x14ac:dyDescent="0.25">
      <c r="B1279" s="267" t="s">
        <v>292</v>
      </c>
      <c r="C1279" s="268" t="s">
        <v>1719</v>
      </c>
      <c r="D1279" s="268" t="s">
        <v>1489</v>
      </c>
      <c r="E1279" s="268">
        <v>0</v>
      </c>
      <c r="F1279" s="268" t="s">
        <v>1470</v>
      </c>
      <c r="G1279" s="269"/>
    </row>
    <row r="1280" spans="2:14" s="3" customFormat="1" hidden="1" outlineLevel="1" x14ac:dyDescent="0.25">
      <c r="B1280" s="28" t="s">
        <v>293</v>
      </c>
      <c r="C1280" s="29" t="s">
        <v>1720</v>
      </c>
      <c r="D1280" s="29" t="s">
        <v>1489</v>
      </c>
      <c r="E1280" s="29">
        <v>0</v>
      </c>
      <c r="F1280" s="29"/>
      <c r="G1280" s="30"/>
    </row>
    <row r="1281" spans="1:7" hidden="1" outlineLevel="1" x14ac:dyDescent="0.25">
      <c r="B1281" s="320" t="s">
        <v>294</v>
      </c>
      <c r="C1281" s="321" t="s">
        <v>1721</v>
      </c>
      <c r="D1281" s="321" t="s">
        <v>1489</v>
      </c>
      <c r="E1281" s="321">
        <v>0</v>
      </c>
      <c r="F1281" s="321"/>
      <c r="G1281" s="258"/>
    </row>
    <row r="1282" spans="1:7" hidden="1" outlineLevel="1" x14ac:dyDescent="0.25">
      <c r="B1282" s="322" t="s">
        <v>295</v>
      </c>
      <c r="C1282" s="323" t="s">
        <v>1722</v>
      </c>
      <c r="D1282" s="321" t="s">
        <v>1489</v>
      </c>
      <c r="E1282" s="321">
        <v>0</v>
      </c>
      <c r="F1282" s="321"/>
      <c r="G1282" s="258"/>
    </row>
    <row r="1283" spans="1:7" hidden="1" outlineLevel="1" x14ac:dyDescent="0.25">
      <c r="B1283" s="322" t="s">
        <v>296</v>
      </c>
      <c r="C1283" s="323" t="s">
        <v>1723</v>
      </c>
      <c r="D1283" s="321" t="s">
        <v>1489</v>
      </c>
      <c r="E1283" s="321">
        <v>0</v>
      </c>
      <c r="F1283" s="321"/>
      <c r="G1283" s="258"/>
    </row>
    <row r="1284" spans="1:7" hidden="1" outlineLevel="1" x14ac:dyDescent="0.25">
      <c r="B1284" s="324" t="s">
        <v>297</v>
      </c>
      <c r="C1284" s="325" t="s">
        <v>1724</v>
      </c>
      <c r="D1284" s="321" t="s">
        <v>1489</v>
      </c>
      <c r="E1284" s="321">
        <v>0</v>
      </c>
      <c r="F1284" s="321" t="s">
        <v>2336</v>
      </c>
      <c r="G1284" s="258"/>
    </row>
    <row r="1285" spans="1:7" s="3" customFormat="1" hidden="1" outlineLevel="1" x14ac:dyDescent="0.25">
      <c r="B1285" s="324" t="s">
        <v>298</v>
      </c>
      <c r="C1285" s="29" t="s">
        <v>1725</v>
      </c>
      <c r="D1285" s="29" t="s">
        <v>1489</v>
      </c>
      <c r="E1285" s="29">
        <v>0</v>
      </c>
      <c r="F1285" s="29" t="s">
        <v>2336</v>
      </c>
      <c r="G1285" s="30"/>
    </row>
    <row r="1286" spans="1:7" hidden="1" outlineLevel="1" x14ac:dyDescent="0.25">
      <c r="B1286" s="324" t="s">
        <v>299</v>
      </c>
      <c r="C1286" s="321" t="s">
        <v>1726</v>
      </c>
      <c r="D1286" s="321" t="s">
        <v>1489</v>
      </c>
      <c r="E1286" s="321">
        <v>0</v>
      </c>
      <c r="F1286" s="321" t="s">
        <v>2336</v>
      </c>
      <c r="G1286" s="258"/>
    </row>
    <row r="1287" spans="1:7" s="3" customFormat="1" ht="16.2" hidden="1" outlineLevel="1" thickBot="1" x14ac:dyDescent="0.3">
      <c r="B1287" s="267"/>
      <c r="C1287" s="268"/>
      <c r="D1287" s="268"/>
      <c r="E1287" s="268"/>
      <c r="F1287" s="268"/>
      <c r="G1287" s="269"/>
    </row>
    <row r="1288" spans="1:7" s="3" customFormat="1" ht="17.399999999999999" hidden="1" customHeight="1" outlineLevel="1" x14ac:dyDescent="0.25">
      <c r="A1288" s="5"/>
      <c r="B1288" s="395" t="s">
        <v>28</v>
      </c>
      <c r="C1288" s="396"/>
      <c r="D1288" s="396"/>
      <c r="E1288" s="396"/>
      <c r="F1288" s="396"/>
      <c r="G1288" s="397"/>
    </row>
    <row r="1289" spans="1:7" s="3" customFormat="1" ht="17.399999999999999" hidden="1" customHeight="1" outlineLevel="1" x14ac:dyDescent="0.25">
      <c r="A1289" s="5"/>
      <c r="B1289" s="25" t="s">
        <v>2</v>
      </c>
      <c r="C1289" s="26" t="s">
        <v>3</v>
      </c>
      <c r="D1289" s="26" t="s">
        <v>4</v>
      </c>
      <c r="E1289" s="26"/>
      <c r="F1289" s="26"/>
      <c r="G1289" s="27" t="s">
        <v>6</v>
      </c>
    </row>
    <row r="1290" spans="1:7" s="3" customFormat="1" ht="16.2" hidden="1" outlineLevel="1" thickBot="1" x14ac:dyDescent="0.3">
      <c r="B1290" s="28"/>
      <c r="C1290" s="29"/>
      <c r="D1290" s="29"/>
      <c r="E1290" s="29"/>
      <c r="F1290" s="29"/>
      <c r="G1290" s="30"/>
    </row>
    <row r="1291" spans="1:7" s="3" customFormat="1" ht="17.399999999999999" hidden="1" customHeight="1" outlineLevel="1" x14ac:dyDescent="0.25">
      <c r="A1291" s="5"/>
      <c r="B1291" s="395" t="s">
        <v>29</v>
      </c>
      <c r="C1291" s="396"/>
      <c r="D1291" s="396"/>
      <c r="E1291" s="396"/>
      <c r="F1291" s="396"/>
      <c r="G1291" s="397"/>
    </row>
    <row r="1292" spans="1:7" s="3" customFormat="1" hidden="1" outlineLevel="1" x14ac:dyDescent="0.25">
      <c r="B1292" s="28"/>
      <c r="C1292" s="29"/>
      <c r="D1292" s="29"/>
      <c r="E1292" s="29"/>
      <c r="F1292" s="29"/>
      <c r="G1292" s="30"/>
    </row>
    <row r="1293" spans="1:7" s="3" customFormat="1" hidden="1" outlineLevel="1" x14ac:dyDescent="0.25">
      <c r="B1293" s="28" t="s">
        <v>627</v>
      </c>
      <c r="C1293" s="29"/>
      <c r="D1293" s="29"/>
      <c r="E1293" s="29"/>
      <c r="F1293" s="29"/>
      <c r="G1293" s="375" t="s">
        <v>2434</v>
      </c>
    </row>
    <row r="1294" spans="1:7" s="3" customFormat="1" hidden="1" outlineLevel="1" x14ac:dyDescent="0.25">
      <c r="B1294" s="28"/>
      <c r="C1294" s="29"/>
      <c r="D1294" s="29"/>
      <c r="E1294" s="29"/>
      <c r="F1294" s="29"/>
      <c r="G1294" s="30"/>
    </row>
    <row r="1295" spans="1:7" s="3" customFormat="1" hidden="1" outlineLevel="1" x14ac:dyDescent="0.25">
      <c r="B1295" s="28"/>
      <c r="C1295" s="29"/>
      <c r="D1295" s="29"/>
      <c r="E1295" s="29"/>
      <c r="F1295" s="29"/>
      <c r="G1295" s="30"/>
    </row>
    <row r="1296" spans="1:7" s="3" customFormat="1" ht="16.2" hidden="1" outlineLevel="1" thickBot="1" x14ac:dyDescent="0.3">
      <c r="B1296" s="163"/>
      <c r="C1296" s="164"/>
      <c r="D1296" s="164"/>
      <c r="E1296" s="164"/>
      <c r="F1296" s="164"/>
      <c r="G1296" s="165"/>
    </row>
    <row r="1297" spans="1:27" s="3" customFormat="1" ht="17.399999999999999" hidden="1" customHeight="1" outlineLevel="1" thickBot="1" x14ac:dyDescent="0.3"/>
    <row r="1298" spans="1:27" s="3" customFormat="1" ht="17.399999999999999" customHeight="1" collapsed="1" thickBot="1" x14ac:dyDescent="0.3">
      <c r="A1298" s="5"/>
      <c r="B1298" s="15" t="s">
        <v>1279</v>
      </c>
      <c r="C1298" s="16" t="s">
        <v>1966</v>
      </c>
      <c r="D1298" s="17" t="s">
        <v>1281</v>
      </c>
      <c r="E1298" s="200" t="s">
        <v>628</v>
      </c>
      <c r="F1298" s="17" t="s">
        <v>1282</v>
      </c>
      <c r="G1298" s="18" t="s">
        <v>1967</v>
      </c>
    </row>
    <row r="1299" spans="1:27" s="3" customFormat="1" ht="17.399999999999999" hidden="1" customHeight="1" outlineLevel="1" x14ac:dyDescent="0.25">
      <c r="A1299" s="5"/>
      <c r="B1299" s="19" t="s">
        <v>1284</v>
      </c>
      <c r="C1299" s="20" t="s">
        <v>1285</v>
      </c>
      <c r="D1299" s="21" t="s">
        <v>1286</v>
      </c>
      <c r="E1299" s="20" t="s">
        <v>1968</v>
      </c>
      <c r="F1299" s="21" t="s">
        <v>1288</v>
      </c>
      <c r="G1299" s="22"/>
    </row>
    <row r="1300" spans="1:27" s="3" customFormat="1" ht="17.399999999999999" hidden="1" customHeight="1" outlineLevel="1" thickBot="1" x14ac:dyDescent="0.3">
      <c r="A1300" s="5"/>
      <c r="B1300" s="19" t="s">
        <v>1290</v>
      </c>
      <c r="C1300" s="23" t="s">
        <v>1291</v>
      </c>
      <c r="D1300" s="21" t="s">
        <v>1292</v>
      </c>
      <c r="E1300" s="23">
        <v>5</v>
      </c>
      <c r="F1300" s="21" t="s">
        <v>1293</v>
      </c>
      <c r="G1300" s="24" t="s">
        <v>1294</v>
      </c>
    </row>
    <row r="1301" spans="1:27" s="3" customFormat="1" ht="17.399999999999999" hidden="1" customHeight="1" outlineLevel="1" x14ac:dyDescent="0.25">
      <c r="A1301" s="5"/>
      <c r="B1301" s="395" t="s">
        <v>1</v>
      </c>
      <c r="C1301" s="396"/>
      <c r="D1301" s="396"/>
      <c r="E1301" s="396"/>
      <c r="F1301" s="396"/>
      <c r="G1301" s="397"/>
    </row>
    <row r="1302" spans="1:27" s="3" customFormat="1" ht="17.399999999999999" hidden="1" customHeight="1" outlineLevel="1" x14ac:dyDescent="0.25">
      <c r="A1302" s="5"/>
      <c r="B1302" s="25" t="s">
        <v>2</v>
      </c>
      <c r="C1302" s="26" t="s">
        <v>3</v>
      </c>
      <c r="D1302" s="26" t="s">
        <v>4</v>
      </c>
      <c r="E1302" s="26" t="s">
        <v>5</v>
      </c>
      <c r="F1302" s="26"/>
      <c r="G1302" s="27" t="s">
        <v>6</v>
      </c>
    </row>
    <row r="1303" spans="1:27" s="3" customFormat="1" hidden="1" outlineLevel="1" x14ac:dyDescent="0.25">
      <c r="B1303" s="28" t="s">
        <v>7</v>
      </c>
      <c r="C1303" s="29" t="s">
        <v>1468</v>
      </c>
      <c r="D1303" s="29" t="s">
        <v>1469</v>
      </c>
      <c r="E1303" s="29">
        <v>0</v>
      </c>
      <c r="F1303" s="29" t="s">
        <v>1470</v>
      </c>
      <c r="G1303" s="30" t="s">
        <v>1471</v>
      </c>
      <c r="J1303" s="3" t="s">
        <v>10</v>
      </c>
      <c r="K1303" s="3" t="s">
        <v>173</v>
      </c>
      <c r="L1303" s="3" t="s">
        <v>9</v>
      </c>
      <c r="M1303" s="3" t="s">
        <v>9</v>
      </c>
      <c r="N1303" s="3">
        <v>1112</v>
      </c>
    </row>
    <row r="1304" spans="1:27" s="3" customFormat="1" hidden="1" outlineLevel="1" x14ac:dyDescent="0.25">
      <c r="B1304" s="28" t="s">
        <v>265</v>
      </c>
      <c r="C1304" s="29" t="s">
        <v>1692</v>
      </c>
      <c r="D1304" s="29" t="s">
        <v>1606</v>
      </c>
      <c r="E1304" s="29" t="s">
        <v>1594</v>
      </c>
      <c r="F1304" s="29" t="s">
        <v>1470</v>
      </c>
      <c r="G1304" s="30"/>
      <c r="J1304" s="3" t="s">
        <v>187</v>
      </c>
      <c r="K1304" s="3" t="s">
        <v>438</v>
      </c>
      <c r="L1304" s="3" t="s">
        <v>537</v>
      </c>
      <c r="M1304" s="3" t="s">
        <v>187</v>
      </c>
      <c r="N1304" s="3">
        <v>1114</v>
      </c>
    </row>
    <row r="1305" spans="1:27" s="3" customFormat="1" hidden="1" outlineLevel="1" x14ac:dyDescent="0.25">
      <c r="B1305" s="28" t="s">
        <v>11</v>
      </c>
      <c r="C1305" s="29" t="s">
        <v>1472</v>
      </c>
      <c r="D1305" s="29" t="s">
        <v>1469</v>
      </c>
      <c r="E1305" s="29">
        <v>0</v>
      </c>
      <c r="F1305" s="29" t="s">
        <v>1470</v>
      </c>
      <c r="G1305" s="30" t="s">
        <v>1473</v>
      </c>
      <c r="J1305" s="3" t="s">
        <v>12</v>
      </c>
      <c r="K1305" s="3" t="s">
        <v>174</v>
      </c>
      <c r="L1305" s="3" t="s">
        <v>175</v>
      </c>
      <c r="M1305" s="3" t="s">
        <v>176</v>
      </c>
      <c r="N1305" s="3">
        <v>1700</v>
      </c>
    </row>
    <row r="1306" spans="1:27" s="3" customFormat="1" hidden="1" outlineLevel="1" x14ac:dyDescent="0.25">
      <c r="B1306" s="28" t="s">
        <v>302</v>
      </c>
      <c r="C1306" s="29" t="s">
        <v>1727</v>
      </c>
      <c r="D1306" s="29" t="s">
        <v>1606</v>
      </c>
      <c r="E1306" s="29" t="s">
        <v>1594</v>
      </c>
      <c r="F1306" s="29" t="s">
        <v>1470</v>
      </c>
      <c r="G1306" s="30"/>
      <c r="J1306" s="3" t="s">
        <v>187</v>
      </c>
      <c r="K1306" s="3" t="s">
        <v>438</v>
      </c>
      <c r="L1306" s="3" t="s">
        <v>537</v>
      </c>
      <c r="M1306" s="3" t="s">
        <v>187</v>
      </c>
      <c r="N1306" s="3">
        <v>1700</v>
      </c>
    </row>
    <row r="1307" spans="1:27" s="3" customFormat="1" hidden="1" outlineLevel="1" x14ac:dyDescent="0.25">
      <c r="A1307" s="14"/>
      <c r="B1307" s="195" t="s">
        <v>203</v>
      </c>
      <c r="C1307" s="23" t="s">
        <v>1635</v>
      </c>
      <c r="D1307" s="23" t="s">
        <v>1636</v>
      </c>
      <c r="E1307" s="23" t="s">
        <v>1637</v>
      </c>
      <c r="F1307" s="23" t="s">
        <v>1476</v>
      </c>
      <c r="G1307" s="24"/>
      <c r="H1307" s="14"/>
      <c r="I1307" s="14"/>
      <c r="J1307" s="14" t="s">
        <v>187</v>
      </c>
      <c r="K1307" s="14" t="s">
        <v>438</v>
      </c>
      <c r="L1307" s="14" t="s">
        <v>537</v>
      </c>
      <c r="M1307" s="14" t="s">
        <v>187</v>
      </c>
      <c r="N1307" s="14">
        <v>1041</v>
      </c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</row>
    <row r="1308" spans="1:27" s="3" customFormat="1" ht="16.2" hidden="1" outlineLevel="1" thickBot="1" x14ac:dyDescent="0.3">
      <c r="A1308" s="14"/>
      <c r="B1308" s="196"/>
      <c r="C1308" s="23"/>
      <c r="D1308" s="23"/>
      <c r="E1308" s="23"/>
      <c r="F1308" s="23"/>
      <c r="G1308" s="2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</row>
    <row r="1309" spans="1:27" s="3" customFormat="1" ht="17.399999999999999" hidden="1" customHeight="1" outlineLevel="1" x14ac:dyDescent="0.25">
      <c r="A1309" s="5"/>
      <c r="B1309" s="395" t="s">
        <v>18</v>
      </c>
      <c r="C1309" s="396"/>
      <c r="D1309" s="396"/>
      <c r="E1309" s="396"/>
      <c r="F1309" s="396"/>
      <c r="G1309" s="397"/>
    </row>
    <row r="1310" spans="1:27" s="3" customFormat="1" ht="17.399999999999999" hidden="1" customHeight="1" outlineLevel="1" x14ac:dyDescent="0.25">
      <c r="A1310" s="5"/>
      <c r="B1310" s="25" t="s">
        <v>2</v>
      </c>
      <c r="C1310" s="26" t="s">
        <v>3</v>
      </c>
      <c r="D1310" s="26" t="s">
        <v>4</v>
      </c>
      <c r="E1310" s="26" t="s">
        <v>5</v>
      </c>
      <c r="F1310" s="26"/>
      <c r="G1310" s="27" t="s">
        <v>6</v>
      </c>
    </row>
    <row r="1311" spans="1:27" s="3" customFormat="1" hidden="1" outlineLevel="1" x14ac:dyDescent="0.25">
      <c r="B1311" s="28" t="s">
        <v>16</v>
      </c>
      <c r="C1311" s="29" t="s">
        <v>1479</v>
      </c>
      <c r="D1311" s="29" t="s">
        <v>1469</v>
      </c>
      <c r="E1311" s="29" t="s">
        <v>1480</v>
      </c>
      <c r="F1311" s="29" t="s">
        <v>1481</v>
      </c>
      <c r="G1311" s="30" t="s">
        <v>1482</v>
      </c>
      <c r="H1311" s="3" t="str">
        <f t="shared" ref="H1311:H1335" si="4">"{"&amp;B1311&amp;"},"</f>
        <v>{初始化日期},</v>
      </c>
      <c r="J1311" s="3" t="s">
        <v>10</v>
      </c>
      <c r="K1311" s="3" t="s">
        <v>173</v>
      </c>
      <c r="L1311" s="3" t="s">
        <v>9</v>
      </c>
      <c r="M1311" s="3" t="s">
        <v>9</v>
      </c>
      <c r="N1311" s="3">
        <v>1211</v>
      </c>
    </row>
    <row r="1312" spans="1:27" s="3" customFormat="1" hidden="1" outlineLevel="1" x14ac:dyDescent="0.25">
      <c r="B1312" s="28" t="s">
        <v>7</v>
      </c>
      <c r="C1312" s="29" t="s">
        <v>1468</v>
      </c>
      <c r="D1312" s="29" t="s">
        <v>1469</v>
      </c>
      <c r="E1312" s="29">
        <v>0</v>
      </c>
      <c r="F1312" s="29" t="s">
        <v>1470</v>
      </c>
      <c r="G1312" s="30" t="s">
        <v>1471</v>
      </c>
      <c r="H1312" s="3" t="str">
        <f t="shared" si="4"/>
        <v>{产品编号},</v>
      </c>
      <c r="J1312" s="3" t="s">
        <v>10</v>
      </c>
      <c r="K1312" s="3" t="s">
        <v>173</v>
      </c>
      <c r="L1312" s="3" t="s">
        <v>9</v>
      </c>
      <c r="M1312" s="3" t="s">
        <v>9</v>
      </c>
      <c r="N1312" s="3">
        <v>1112</v>
      </c>
    </row>
    <row r="1313" spans="2:14" s="3" customFormat="1" hidden="1" outlineLevel="1" x14ac:dyDescent="0.25">
      <c r="B1313" s="28" t="s">
        <v>11</v>
      </c>
      <c r="C1313" s="29" t="s">
        <v>1472</v>
      </c>
      <c r="D1313" s="29" t="s">
        <v>1469</v>
      </c>
      <c r="E1313" s="29">
        <v>0</v>
      </c>
      <c r="F1313" s="29" t="s">
        <v>1470</v>
      </c>
      <c r="G1313" s="30" t="s">
        <v>1473</v>
      </c>
      <c r="H1313" s="3" t="str">
        <f t="shared" si="4"/>
        <v>{交易组编号},</v>
      </c>
      <c r="J1313" s="3" t="s">
        <v>12</v>
      </c>
      <c r="K1313" s="3" t="s">
        <v>174</v>
      </c>
      <c r="L1313" s="3" t="s">
        <v>175</v>
      </c>
      <c r="M1313" s="3" t="s">
        <v>176</v>
      </c>
      <c r="N1313" s="3">
        <v>1700</v>
      </c>
    </row>
    <row r="1314" spans="2:14" s="3" customFormat="1" hidden="1" outlineLevel="1" x14ac:dyDescent="0.25">
      <c r="B1314" s="28" t="s">
        <v>268</v>
      </c>
      <c r="C1314" s="29" t="s">
        <v>1695</v>
      </c>
      <c r="D1314" s="29" t="s">
        <v>1489</v>
      </c>
      <c r="E1314" s="29">
        <v>0</v>
      </c>
      <c r="F1314" s="29" t="s">
        <v>1470</v>
      </c>
      <c r="G1314" s="30"/>
      <c r="H1314" s="3" t="str">
        <f t="shared" si="4"/>
        <v>{净资产},</v>
      </c>
      <c r="J1314" s="3" t="s">
        <v>20</v>
      </c>
      <c r="K1314" s="3" t="s">
        <v>445</v>
      </c>
      <c r="L1314" s="3" t="s">
        <v>446</v>
      </c>
      <c r="M1314" s="3" t="s">
        <v>446</v>
      </c>
      <c r="N1314" s="3">
        <v>1741</v>
      </c>
    </row>
    <row r="1315" spans="2:14" s="3" customFormat="1" hidden="1" outlineLevel="1" x14ac:dyDescent="0.25">
      <c r="B1315" s="28" t="s">
        <v>303</v>
      </c>
      <c r="C1315" s="29" t="s">
        <v>1728</v>
      </c>
      <c r="D1315" s="29" t="s">
        <v>1486</v>
      </c>
      <c r="E1315" s="29">
        <v>0</v>
      </c>
      <c r="F1315" s="29"/>
      <c r="G1315" s="30"/>
      <c r="H1315" s="3" t="str">
        <f t="shared" si="4"/>
        <v>{交易组产品份额},</v>
      </c>
      <c r="J1315" s="3" t="s">
        <v>20</v>
      </c>
      <c r="K1315" s="3" t="s">
        <v>445</v>
      </c>
      <c r="L1315" s="3" t="s">
        <v>446</v>
      </c>
      <c r="M1315" s="3" t="s">
        <v>446</v>
      </c>
      <c r="N1315" s="3">
        <v>1702</v>
      </c>
    </row>
    <row r="1316" spans="2:14" s="3" customFormat="1" hidden="1" outlineLevel="1" x14ac:dyDescent="0.25">
      <c r="B1316" s="28" t="s">
        <v>269</v>
      </c>
      <c r="C1316" s="29" t="s">
        <v>1696</v>
      </c>
      <c r="D1316" s="29" t="s">
        <v>1489</v>
      </c>
      <c r="E1316" s="29">
        <v>0</v>
      </c>
      <c r="F1316" s="29" t="s">
        <v>1470</v>
      </c>
      <c r="G1316" s="30"/>
      <c r="H1316" s="3" t="str">
        <f t="shared" si="4"/>
        <v>{单位净值},</v>
      </c>
      <c r="J1316" s="3" t="s">
        <v>20</v>
      </c>
      <c r="K1316" s="3" t="s">
        <v>445</v>
      </c>
      <c r="L1316" s="3" t="s">
        <v>446</v>
      </c>
      <c r="M1316" s="3" t="s">
        <v>446</v>
      </c>
      <c r="N1316" s="3">
        <v>1244</v>
      </c>
    </row>
    <row r="1317" spans="2:14" s="3" customFormat="1" hidden="1" outlineLevel="1" x14ac:dyDescent="0.25">
      <c r="B1317" s="28" t="s">
        <v>270</v>
      </c>
      <c r="C1317" s="29" t="s">
        <v>1697</v>
      </c>
      <c r="D1317" s="29" t="s">
        <v>1489</v>
      </c>
      <c r="E1317" s="29">
        <v>0</v>
      </c>
      <c r="F1317" s="29"/>
      <c r="G1317" s="30"/>
      <c r="H1317" s="3" t="str">
        <f t="shared" si="4"/>
        <v>{昨日净值},</v>
      </c>
      <c r="J1317" s="3" t="s">
        <v>20</v>
      </c>
      <c r="K1317" s="3" t="s">
        <v>445</v>
      </c>
      <c r="L1317" s="3" t="s">
        <v>446</v>
      </c>
      <c r="M1317" s="3" t="s">
        <v>446</v>
      </c>
      <c r="N1317" s="3">
        <v>2595</v>
      </c>
    </row>
    <row r="1318" spans="2:14" s="3" customFormat="1" hidden="1" outlineLevel="1" x14ac:dyDescent="0.25">
      <c r="B1318" s="28" t="s">
        <v>271</v>
      </c>
      <c r="C1318" s="29" t="s">
        <v>1698</v>
      </c>
      <c r="D1318" s="29" t="s">
        <v>1494</v>
      </c>
      <c r="E1318" s="29">
        <v>0</v>
      </c>
      <c r="F1318" s="29"/>
      <c r="G1318" s="30"/>
      <c r="H1318" s="3" t="str">
        <f t="shared" si="4"/>
        <v>{净值波动},</v>
      </c>
      <c r="J1318" s="3" t="s">
        <v>20</v>
      </c>
      <c r="K1318" s="3" t="s">
        <v>445</v>
      </c>
      <c r="L1318" s="3" t="s">
        <v>446</v>
      </c>
      <c r="M1318" s="3" t="s">
        <v>446</v>
      </c>
      <c r="N1318" s="3">
        <v>1739</v>
      </c>
    </row>
    <row r="1319" spans="2:14" s="3" customFormat="1" hidden="1" outlineLevel="1" x14ac:dyDescent="0.25">
      <c r="B1319" s="28" t="s">
        <v>272</v>
      </c>
      <c r="C1319" s="29" t="s">
        <v>1699</v>
      </c>
      <c r="D1319" s="29" t="s">
        <v>1489</v>
      </c>
      <c r="E1319" s="29">
        <v>0</v>
      </c>
      <c r="F1319" s="29"/>
      <c r="G1319" s="30"/>
      <c r="H1319" s="3" t="str">
        <f t="shared" si="4"/>
        <v>{现金资产},</v>
      </c>
      <c r="J1319" s="3" t="s">
        <v>20</v>
      </c>
      <c r="K1319" s="3" t="s">
        <v>445</v>
      </c>
      <c r="L1319" s="3" t="s">
        <v>446</v>
      </c>
      <c r="M1319" s="3" t="s">
        <v>446</v>
      </c>
      <c r="N1319" s="3">
        <v>2309</v>
      </c>
    </row>
    <row r="1320" spans="2:14" s="3" customFormat="1" hidden="1" outlineLevel="1" x14ac:dyDescent="0.25">
      <c r="B1320" s="28" t="s">
        <v>273</v>
      </c>
      <c r="C1320" s="29" t="s">
        <v>1700</v>
      </c>
      <c r="D1320" s="29" t="s">
        <v>1489</v>
      </c>
      <c r="E1320" s="29">
        <v>0</v>
      </c>
      <c r="F1320" s="29" t="s">
        <v>1470</v>
      </c>
      <c r="G1320" s="30"/>
      <c r="H1320" s="3" t="str">
        <f t="shared" si="4"/>
        <v>{股票资产},</v>
      </c>
      <c r="J1320" s="3" t="s">
        <v>20</v>
      </c>
      <c r="K1320" s="3" t="s">
        <v>445</v>
      </c>
      <c r="L1320" s="3" t="s">
        <v>446</v>
      </c>
      <c r="M1320" s="3" t="s">
        <v>446</v>
      </c>
      <c r="N1320" s="3">
        <v>1511</v>
      </c>
    </row>
    <row r="1321" spans="2:14" s="3" customFormat="1" hidden="1" outlineLevel="1" x14ac:dyDescent="0.25">
      <c r="B1321" s="28" t="s">
        <v>274</v>
      </c>
      <c r="C1321" s="29" t="s">
        <v>1701</v>
      </c>
      <c r="D1321" s="29" t="s">
        <v>1489</v>
      </c>
      <c r="E1321" s="29">
        <v>0</v>
      </c>
      <c r="F1321" s="29" t="s">
        <v>1470</v>
      </c>
      <c r="G1321" s="30"/>
      <c r="H1321" s="3" t="str">
        <f t="shared" si="4"/>
        <v>{债券资产},</v>
      </c>
      <c r="J1321" s="3" t="s">
        <v>20</v>
      </c>
      <c r="K1321" s="3" t="s">
        <v>445</v>
      </c>
      <c r="L1321" s="3" t="s">
        <v>446</v>
      </c>
      <c r="M1321" s="3" t="s">
        <v>446</v>
      </c>
      <c r="N1321" s="3">
        <v>2402</v>
      </c>
    </row>
    <row r="1322" spans="2:14" s="3" customFormat="1" hidden="1" outlineLevel="1" x14ac:dyDescent="0.25">
      <c r="B1322" s="28" t="s">
        <v>275</v>
      </c>
      <c r="C1322" s="29" t="s">
        <v>1702</v>
      </c>
      <c r="D1322" s="29" t="s">
        <v>1489</v>
      </c>
      <c r="E1322" s="29">
        <v>0</v>
      </c>
      <c r="F1322" s="29" t="s">
        <v>1470</v>
      </c>
      <c r="G1322" s="30"/>
      <c r="H1322" s="3" t="str">
        <f t="shared" si="4"/>
        <v>{基金资产},</v>
      </c>
      <c r="J1322" s="3" t="s">
        <v>20</v>
      </c>
      <c r="K1322" s="3" t="s">
        <v>445</v>
      </c>
      <c r="L1322" s="3" t="s">
        <v>446</v>
      </c>
      <c r="M1322" s="3" t="s">
        <v>446</v>
      </c>
      <c r="N1322" s="3">
        <v>1618</v>
      </c>
    </row>
    <row r="1323" spans="2:14" s="3" customFormat="1" hidden="1" outlineLevel="1" x14ac:dyDescent="0.25">
      <c r="B1323" s="185" t="s">
        <v>276</v>
      </c>
      <c r="C1323" s="23" t="s">
        <v>1703</v>
      </c>
      <c r="D1323" s="23" t="s">
        <v>1489</v>
      </c>
      <c r="E1323" s="29">
        <v>0</v>
      </c>
      <c r="F1323" s="29"/>
      <c r="G1323" s="30"/>
    </row>
    <row r="1324" spans="2:14" s="3" customFormat="1" hidden="1" outlineLevel="1" x14ac:dyDescent="0.25">
      <c r="B1324" s="185" t="s">
        <v>277</v>
      </c>
      <c r="C1324" s="23" t="s">
        <v>1704</v>
      </c>
      <c r="D1324" s="23" t="s">
        <v>1489</v>
      </c>
      <c r="E1324" s="29">
        <v>0</v>
      </c>
      <c r="F1324" s="29"/>
      <c r="G1324" s="30"/>
    </row>
    <row r="1325" spans="2:14" s="3" customFormat="1" hidden="1" outlineLevel="1" x14ac:dyDescent="0.25">
      <c r="B1325" s="28" t="s">
        <v>278</v>
      </c>
      <c r="C1325" s="29" t="s">
        <v>1705</v>
      </c>
      <c r="D1325" s="29" t="s">
        <v>1489</v>
      </c>
      <c r="E1325" s="29">
        <v>0</v>
      </c>
      <c r="F1325" s="29"/>
      <c r="G1325" s="30"/>
      <c r="H1325" s="3" t="str">
        <f t="shared" si="4"/>
        <v>{回购资产},</v>
      </c>
      <c r="J1325" s="3" t="s">
        <v>20</v>
      </c>
      <c r="K1325" s="3" t="s">
        <v>445</v>
      </c>
      <c r="L1325" s="3" t="s">
        <v>446</v>
      </c>
      <c r="M1325" s="3" t="s">
        <v>446</v>
      </c>
      <c r="N1325" s="3">
        <v>1599</v>
      </c>
    </row>
    <row r="1326" spans="2:14" s="3" customFormat="1" hidden="1" outlineLevel="1" x14ac:dyDescent="0.25">
      <c r="B1326" s="28" t="s">
        <v>279</v>
      </c>
      <c r="C1326" s="29" t="s">
        <v>1706</v>
      </c>
      <c r="D1326" s="29" t="s">
        <v>1489</v>
      </c>
      <c r="E1326" s="29">
        <v>0</v>
      </c>
      <c r="F1326" s="29" t="s">
        <v>1470</v>
      </c>
      <c r="G1326" s="30"/>
      <c r="H1326" s="3" t="str">
        <f t="shared" si="4"/>
        <v>{其他资产},</v>
      </c>
      <c r="J1326" s="3" t="s">
        <v>20</v>
      </c>
      <c r="K1326" s="3" t="s">
        <v>445</v>
      </c>
      <c r="L1326" s="3" t="s">
        <v>446</v>
      </c>
      <c r="M1326" s="3" t="s">
        <v>446</v>
      </c>
      <c r="N1326" s="3">
        <v>1997</v>
      </c>
    </row>
    <row r="1327" spans="2:14" s="3" customFormat="1" hidden="1" outlineLevel="1" x14ac:dyDescent="0.25">
      <c r="B1327" s="28" t="s">
        <v>281</v>
      </c>
      <c r="C1327" s="29" t="s">
        <v>1708</v>
      </c>
      <c r="D1327" s="29" t="s">
        <v>1489</v>
      </c>
      <c r="E1327" s="29">
        <v>0</v>
      </c>
      <c r="F1327" s="29" t="s">
        <v>1470</v>
      </c>
      <c r="G1327" s="30"/>
      <c r="H1327" s="3" t="str">
        <f t="shared" si="4"/>
        <v>{期货资产},</v>
      </c>
      <c r="J1327" s="3" t="s">
        <v>20</v>
      </c>
      <c r="K1327" s="3" t="s">
        <v>445</v>
      </c>
      <c r="L1327" s="3" t="s">
        <v>446</v>
      </c>
      <c r="M1327" s="3" t="s">
        <v>446</v>
      </c>
      <c r="N1327" s="3">
        <v>1842</v>
      </c>
    </row>
    <row r="1328" spans="2:14" s="3" customFormat="1" hidden="1" outlineLevel="1" x14ac:dyDescent="0.25">
      <c r="B1328" s="28" t="s">
        <v>280</v>
      </c>
      <c r="C1328" s="29" t="s">
        <v>1707</v>
      </c>
      <c r="D1328" s="29" t="s">
        <v>1489</v>
      </c>
      <c r="E1328" s="29">
        <v>0</v>
      </c>
      <c r="F1328" s="29"/>
      <c r="G1328" s="30"/>
      <c r="H1328" s="3" t="str">
        <f t="shared" si="4"/>
        <v>{港股通资产},</v>
      </c>
      <c r="J1328" s="3" t="s">
        <v>20</v>
      </c>
      <c r="K1328" s="3" t="s">
        <v>445</v>
      </c>
      <c r="L1328" s="3" t="s">
        <v>446</v>
      </c>
      <c r="M1328" s="3" t="s">
        <v>446</v>
      </c>
      <c r="N1328" s="3">
        <v>1843</v>
      </c>
    </row>
    <row r="1329" spans="2:14" s="3" customFormat="1" hidden="1" outlineLevel="1" x14ac:dyDescent="0.25">
      <c r="B1329" s="28" t="s">
        <v>282</v>
      </c>
      <c r="C1329" s="29" t="s">
        <v>1709</v>
      </c>
      <c r="D1329" s="29" t="s">
        <v>1489</v>
      </c>
      <c r="E1329" s="29">
        <v>0</v>
      </c>
      <c r="F1329" s="29"/>
      <c r="G1329" s="30"/>
      <c r="H1329" s="3" t="str">
        <f t="shared" si="4"/>
        <v>{可分配金额},</v>
      </c>
      <c r="J1329" s="3" t="s">
        <v>20</v>
      </c>
      <c r="K1329" s="3" t="s">
        <v>445</v>
      </c>
      <c r="L1329" s="3" t="s">
        <v>446</v>
      </c>
      <c r="M1329" s="3" t="s">
        <v>446</v>
      </c>
      <c r="N1329" s="3">
        <v>1774</v>
      </c>
    </row>
    <row r="1330" spans="2:14" s="3" customFormat="1" hidden="1" outlineLevel="1" x14ac:dyDescent="0.25">
      <c r="B1330" s="28" t="s">
        <v>203</v>
      </c>
      <c r="C1330" s="29" t="s">
        <v>1635</v>
      </c>
      <c r="D1330" s="29" t="s">
        <v>1636</v>
      </c>
      <c r="E1330" s="29" t="s">
        <v>1637</v>
      </c>
      <c r="F1330" s="29" t="s">
        <v>1476</v>
      </c>
      <c r="G1330" s="30"/>
      <c r="H1330" s="3" t="str">
        <f t="shared" si="4"/>
        <v>{本币币种},</v>
      </c>
      <c r="J1330" s="3" t="s">
        <v>187</v>
      </c>
      <c r="K1330" s="3" t="s">
        <v>438</v>
      </c>
      <c r="L1330" s="3" t="s">
        <v>537</v>
      </c>
      <c r="M1330" s="3" t="s">
        <v>187</v>
      </c>
      <c r="N1330" s="3">
        <v>1041</v>
      </c>
    </row>
    <row r="1331" spans="2:14" s="3" customFormat="1" hidden="1" outlineLevel="1" x14ac:dyDescent="0.25">
      <c r="B1331" s="28" t="s">
        <v>64</v>
      </c>
      <c r="C1331" s="29" t="s">
        <v>1527</v>
      </c>
      <c r="D1331" s="29" t="s">
        <v>1489</v>
      </c>
      <c r="E1331" s="29">
        <v>0</v>
      </c>
      <c r="F1331" s="29"/>
      <c r="G1331" s="30"/>
      <c r="H1331" s="3" t="str">
        <f t="shared" si="4"/>
        <v>{当日盈亏},</v>
      </c>
      <c r="J1331" s="3" t="s">
        <v>20</v>
      </c>
      <c r="K1331" s="3" t="s">
        <v>445</v>
      </c>
      <c r="L1331" s="3" t="s">
        <v>446</v>
      </c>
      <c r="M1331" s="3" t="s">
        <v>446</v>
      </c>
      <c r="N1331" s="3">
        <v>1274</v>
      </c>
    </row>
    <row r="1332" spans="2:14" s="3" customFormat="1" hidden="1" outlineLevel="1" x14ac:dyDescent="0.25">
      <c r="B1332" s="28" t="s">
        <v>283</v>
      </c>
      <c r="C1332" s="29" t="s">
        <v>1710</v>
      </c>
      <c r="D1332" s="29" t="s">
        <v>1494</v>
      </c>
      <c r="E1332" s="29">
        <v>0</v>
      </c>
      <c r="F1332" s="29" t="s">
        <v>1470</v>
      </c>
      <c r="G1332" s="30"/>
      <c r="H1332" s="3" t="str">
        <f t="shared" si="4"/>
        <v>{当日收益率},</v>
      </c>
      <c r="J1332" s="3" t="s">
        <v>20</v>
      </c>
      <c r="K1332" s="3" t="s">
        <v>445</v>
      </c>
      <c r="L1332" s="3" t="s">
        <v>446</v>
      </c>
      <c r="M1332" s="3" t="s">
        <v>446</v>
      </c>
    </row>
    <row r="1333" spans="2:14" s="3" customFormat="1" hidden="1" outlineLevel="1" x14ac:dyDescent="0.25">
      <c r="B1333" s="28" t="s">
        <v>304</v>
      </c>
      <c r="C1333" s="29" t="s">
        <v>1729</v>
      </c>
      <c r="D1333" s="29" t="s">
        <v>1489</v>
      </c>
      <c r="E1333" s="29">
        <v>0</v>
      </c>
      <c r="F1333" s="29"/>
      <c r="G1333" s="30"/>
      <c r="H1333" s="3" t="str">
        <f t="shared" si="4"/>
        <v>{累计实现收益},</v>
      </c>
      <c r="J1333" s="3" t="s">
        <v>20</v>
      </c>
      <c r="K1333" s="3" t="s">
        <v>445</v>
      </c>
      <c r="L1333" s="3" t="s">
        <v>446</v>
      </c>
      <c r="M1333" s="3" t="s">
        <v>446</v>
      </c>
      <c r="N1333" s="3">
        <v>1840</v>
      </c>
    </row>
    <row r="1334" spans="2:14" s="3" customFormat="1" hidden="1" outlineLevel="1" x14ac:dyDescent="0.25">
      <c r="B1334" s="28" t="s">
        <v>305</v>
      </c>
      <c r="C1334" s="29" t="s">
        <v>1730</v>
      </c>
      <c r="D1334" s="29" t="s">
        <v>1494</v>
      </c>
      <c r="E1334" s="29">
        <v>0</v>
      </c>
      <c r="F1334" s="29"/>
      <c r="G1334" s="30"/>
      <c r="H1334" s="3" t="str">
        <f t="shared" si="4"/>
        <v>{累计收益率},</v>
      </c>
      <c r="J1334" s="3" t="s">
        <v>20</v>
      </c>
      <c r="K1334" s="3" t="s">
        <v>445</v>
      </c>
      <c r="L1334" s="3" t="s">
        <v>446</v>
      </c>
      <c r="M1334" s="3" t="s">
        <v>446</v>
      </c>
      <c r="N1334" s="3">
        <v>1841</v>
      </c>
    </row>
    <row r="1335" spans="2:14" s="3" customFormat="1" hidden="1" outlineLevel="1" x14ac:dyDescent="0.25">
      <c r="B1335" s="28" t="s">
        <v>306</v>
      </c>
      <c r="C1335" s="29" t="s">
        <v>1731</v>
      </c>
      <c r="D1335" s="29" t="s">
        <v>1494</v>
      </c>
      <c r="E1335" s="29">
        <v>0</v>
      </c>
      <c r="F1335" s="29"/>
      <c r="G1335" s="30"/>
      <c r="H1335" s="3" t="str">
        <f t="shared" si="4"/>
        <v>{持股比例},</v>
      </c>
      <c r="J1335" s="3" t="s">
        <v>20</v>
      </c>
      <c r="K1335" s="3" t="s">
        <v>445</v>
      </c>
      <c r="L1335" s="3" t="s">
        <v>446</v>
      </c>
      <c r="M1335" s="3" t="s">
        <v>446</v>
      </c>
      <c r="N1335" s="3">
        <v>1208</v>
      </c>
    </row>
    <row r="1336" spans="2:14" s="3" customFormat="1" hidden="1" outlineLevel="1" x14ac:dyDescent="0.25">
      <c r="B1336" s="28" t="s">
        <v>288</v>
      </c>
      <c r="C1336" s="29" t="s">
        <v>1715</v>
      </c>
      <c r="D1336" s="29" t="s">
        <v>1489</v>
      </c>
      <c r="E1336" s="29">
        <v>0</v>
      </c>
      <c r="F1336" s="29" t="s">
        <v>1470</v>
      </c>
      <c r="G1336" s="30"/>
    </row>
    <row r="1337" spans="2:14" s="3" customFormat="1" hidden="1" outlineLevel="1" x14ac:dyDescent="0.25">
      <c r="B1337" s="28" t="s">
        <v>289</v>
      </c>
      <c r="C1337" s="29" t="s">
        <v>1716</v>
      </c>
      <c r="D1337" s="29" t="s">
        <v>1489</v>
      </c>
      <c r="E1337" s="29">
        <v>0</v>
      </c>
      <c r="F1337" s="29" t="s">
        <v>1470</v>
      </c>
      <c r="G1337" s="30"/>
    </row>
    <row r="1338" spans="2:14" s="3" customFormat="1" hidden="1" outlineLevel="1" x14ac:dyDescent="0.25">
      <c r="B1338" s="28" t="s">
        <v>290</v>
      </c>
      <c r="C1338" s="29" t="s">
        <v>1717</v>
      </c>
      <c r="D1338" s="29" t="s">
        <v>1489</v>
      </c>
      <c r="E1338" s="29">
        <v>0</v>
      </c>
      <c r="F1338" s="29"/>
      <c r="G1338" s="30"/>
    </row>
    <row r="1339" spans="2:14" s="3" customFormat="1" hidden="1" outlineLevel="1" x14ac:dyDescent="0.25">
      <c r="B1339" s="28" t="s">
        <v>291</v>
      </c>
      <c r="C1339" s="29" t="s">
        <v>1718</v>
      </c>
      <c r="D1339" s="29" t="s">
        <v>1489</v>
      </c>
      <c r="E1339" s="29">
        <v>0</v>
      </c>
      <c r="F1339" s="29" t="s">
        <v>1470</v>
      </c>
      <c r="G1339" s="30"/>
    </row>
    <row r="1340" spans="2:14" s="3" customFormat="1" hidden="1" outlineLevel="1" x14ac:dyDescent="0.25">
      <c r="B1340" s="267" t="s">
        <v>292</v>
      </c>
      <c r="C1340" s="268" t="s">
        <v>1719</v>
      </c>
      <c r="D1340" s="268" t="s">
        <v>1489</v>
      </c>
      <c r="E1340" s="268">
        <v>0</v>
      </c>
      <c r="F1340" s="268" t="s">
        <v>1470</v>
      </c>
      <c r="G1340" s="269"/>
    </row>
    <row r="1341" spans="2:14" s="3" customFormat="1" hidden="1" outlineLevel="1" x14ac:dyDescent="0.25">
      <c r="B1341" s="28" t="s">
        <v>293</v>
      </c>
      <c r="C1341" s="29" t="s">
        <v>1720</v>
      </c>
      <c r="D1341" s="29" t="s">
        <v>1489</v>
      </c>
      <c r="E1341" s="29">
        <v>0</v>
      </c>
      <c r="F1341" s="29"/>
      <c r="G1341" s="30"/>
    </row>
    <row r="1342" spans="2:14" hidden="1" outlineLevel="1" x14ac:dyDescent="0.25">
      <c r="B1342" s="320" t="s">
        <v>294</v>
      </c>
      <c r="C1342" s="321" t="s">
        <v>1721</v>
      </c>
      <c r="D1342" s="321" t="s">
        <v>1489</v>
      </c>
      <c r="E1342" s="321">
        <v>0</v>
      </c>
      <c r="F1342" s="321"/>
      <c r="G1342" s="258"/>
    </row>
    <row r="1343" spans="2:14" hidden="1" outlineLevel="1" x14ac:dyDescent="0.25">
      <c r="B1343" s="322" t="s">
        <v>295</v>
      </c>
      <c r="C1343" s="323" t="s">
        <v>1722</v>
      </c>
      <c r="D1343" s="321" t="s">
        <v>1489</v>
      </c>
      <c r="E1343" s="321">
        <v>0</v>
      </c>
      <c r="F1343" s="321"/>
      <c r="G1343" s="258"/>
    </row>
    <row r="1344" spans="2:14" hidden="1" outlineLevel="1" x14ac:dyDescent="0.25">
      <c r="B1344" s="322" t="s">
        <v>296</v>
      </c>
      <c r="C1344" s="323" t="s">
        <v>1723</v>
      </c>
      <c r="D1344" s="321" t="s">
        <v>1489</v>
      </c>
      <c r="E1344" s="321">
        <v>0</v>
      </c>
      <c r="F1344" s="321"/>
      <c r="G1344" s="258"/>
    </row>
    <row r="1345" spans="1:27" s="3" customFormat="1" hidden="1" outlineLevel="1" x14ac:dyDescent="0.25">
      <c r="B1345" s="28" t="s">
        <v>307</v>
      </c>
      <c r="C1345" s="29" t="s">
        <v>1732</v>
      </c>
      <c r="D1345" s="321" t="s">
        <v>1489</v>
      </c>
      <c r="E1345" s="29">
        <v>0</v>
      </c>
      <c r="F1345" s="29" t="s">
        <v>2336</v>
      </c>
      <c r="G1345" s="30"/>
    </row>
    <row r="1346" spans="1:27" s="3" customFormat="1" hidden="1" outlineLevel="1" x14ac:dyDescent="0.25">
      <c r="B1346" s="324" t="s">
        <v>298</v>
      </c>
      <c r="C1346" s="29" t="s">
        <v>1725</v>
      </c>
      <c r="D1346" s="29" t="s">
        <v>1489</v>
      </c>
      <c r="E1346" s="29">
        <v>0</v>
      </c>
      <c r="F1346" s="29" t="s">
        <v>2336</v>
      </c>
      <c r="G1346" s="30"/>
    </row>
    <row r="1347" spans="1:27" ht="16.2" hidden="1" outlineLevel="1" thickBot="1" x14ac:dyDescent="0.3">
      <c r="B1347" s="324" t="s">
        <v>299</v>
      </c>
      <c r="C1347" s="321" t="s">
        <v>1726</v>
      </c>
      <c r="D1347" s="321" t="s">
        <v>1489</v>
      </c>
      <c r="E1347" s="321">
        <v>0</v>
      </c>
      <c r="F1347" s="321" t="s">
        <v>2336</v>
      </c>
      <c r="G1347" s="258"/>
    </row>
    <row r="1348" spans="1:27" s="3" customFormat="1" ht="17.399999999999999" hidden="1" customHeight="1" outlineLevel="1" x14ac:dyDescent="0.25">
      <c r="A1348" s="5"/>
      <c r="B1348" s="395" t="s">
        <v>29</v>
      </c>
      <c r="C1348" s="396"/>
      <c r="D1348" s="396"/>
      <c r="E1348" s="396"/>
      <c r="F1348" s="396"/>
      <c r="G1348" s="397"/>
    </row>
    <row r="1349" spans="1:27" s="3" customFormat="1" hidden="1" outlineLevel="1" x14ac:dyDescent="0.25">
      <c r="B1349" s="28"/>
      <c r="C1349" s="29"/>
      <c r="D1349" s="29"/>
      <c r="E1349" s="29"/>
      <c r="F1349" s="29"/>
      <c r="G1349" s="30"/>
    </row>
    <row r="1350" spans="1:27" s="3" customFormat="1" hidden="1" outlineLevel="1" x14ac:dyDescent="0.25">
      <c r="B1350" s="28" t="s">
        <v>629</v>
      </c>
      <c r="C1350" s="29"/>
      <c r="D1350" s="29"/>
      <c r="E1350" s="29"/>
      <c r="F1350" s="29"/>
      <c r="G1350" s="375" t="s">
        <v>2435</v>
      </c>
    </row>
    <row r="1351" spans="1:27" s="3" customFormat="1" hidden="1" outlineLevel="1" x14ac:dyDescent="0.25">
      <c r="B1351" s="28"/>
      <c r="C1351" s="29"/>
      <c r="D1351" s="29"/>
      <c r="E1351" s="29"/>
      <c r="F1351" s="29"/>
      <c r="G1351" s="30"/>
    </row>
    <row r="1352" spans="1:27" s="3" customFormat="1" hidden="1" outlineLevel="1" x14ac:dyDescent="0.25">
      <c r="B1352" s="28"/>
      <c r="C1352" s="29"/>
      <c r="D1352" s="29"/>
      <c r="E1352" s="29"/>
      <c r="F1352" s="29"/>
      <c r="G1352" s="30"/>
    </row>
    <row r="1353" spans="1:27" s="3" customFormat="1" ht="16.2" hidden="1" outlineLevel="1" thickBot="1" x14ac:dyDescent="0.3">
      <c r="B1353" s="163"/>
      <c r="C1353" s="164"/>
      <c r="D1353" s="164"/>
      <c r="E1353" s="164"/>
      <c r="F1353" s="164"/>
      <c r="G1353" s="165"/>
    </row>
    <row r="1354" spans="1:27" s="7" customFormat="1" ht="17.399999999999999" hidden="1" customHeight="1" outlineLevel="1" x14ac:dyDescent="0.25">
      <c r="A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</row>
    <row r="1355" spans="1:27" ht="16.2" hidden="1" outlineLevel="1" thickBot="1" x14ac:dyDescent="0.3"/>
    <row r="1356" spans="1:27" s="3" customFormat="1" ht="17.399999999999999" customHeight="1" collapsed="1" thickBot="1" x14ac:dyDescent="0.3">
      <c r="A1356" s="5"/>
      <c r="B1356" s="15" t="s">
        <v>1279</v>
      </c>
      <c r="C1356" s="16" t="s">
        <v>1969</v>
      </c>
      <c r="D1356" s="17" t="s">
        <v>1281</v>
      </c>
      <c r="E1356" s="200" t="s">
        <v>630</v>
      </c>
      <c r="F1356" s="17" t="s">
        <v>1282</v>
      </c>
      <c r="G1356" s="18" t="s">
        <v>1970</v>
      </c>
    </row>
    <row r="1357" spans="1:27" s="3" customFormat="1" ht="17.399999999999999" hidden="1" customHeight="1" outlineLevel="1" x14ac:dyDescent="0.25">
      <c r="A1357" s="5"/>
      <c r="B1357" s="19" t="s">
        <v>1284</v>
      </c>
      <c r="C1357" s="20" t="s">
        <v>1285</v>
      </c>
      <c r="D1357" s="21" t="s">
        <v>1286</v>
      </c>
      <c r="E1357" s="20" t="s">
        <v>1971</v>
      </c>
      <c r="F1357" s="21" t="s">
        <v>1288</v>
      </c>
      <c r="G1357" s="22" t="s">
        <v>1390</v>
      </c>
    </row>
    <row r="1358" spans="1:27" s="3" customFormat="1" ht="17.399999999999999" hidden="1" customHeight="1" outlineLevel="1" thickBot="1" x14ac:dyDescent="0.3">
      <c r="A1358" s="5"/>
      <c r="B1358" s="19" t="s">
        <v>1290</v>
      </c>
      <c r="C1358" s="23" t="s">
        <v>1291</v>
      </c>
      <c r="D1358" s="21" t="s">
        <v>1292</v>
      </c>
      <c r="E1358" s="23">
        <v>5</v>
      </c>
      <c r="F1358" s="21" t="s">
        <v>1293</v>
      </c>
      <c r="G1358" s="24" t="s">
        <v>1294</v>
      </c>
    </row>
    <row r="1359" spans="1:27" s="3" customFormat="1" ht="17.399999999999999" hidden="1" customHeight="1" outlineLevel="1" x14ac:dyDescent="0.25">
      <c r="A1359" s="5"/>
      <c r="B1359" s="395" t="s">
        <v>1</v>
      </c>
      <c r="C1359" s="396"/>
      <c r="D1359" s="396"/>
      <c r="E1359" s="396"/>
      <c r="F1359" s="396"/>
      <c r="G1359" s="397"/>
    </row>
    <row r="1360" spans="1:27" s="3" customFormat="1" ht="17.399999999999999" hidden="1" customHeight="1" outlineLevel="1" x14ac:dyDescent="0.25">
      <c r="A1360" s="5"/>
      <c r="B1360" s="25" t="s">
        <v>2</v>
      </c>
      <c r="C1360" s="26" t="s">
        <v>3</v>
      </c>
      <c r="D1360" s="26" t="s">
        <v>4</v>
      </c>
      <c r="E1360" s="26" t="s">
        <v>5</v>
      </c>
      <c r="F1360" s="26"/>
      <c r="G1360" s="27" t="s">
        <v>6</v>
      </c>
    </row>
    <row r="1361" spans="1:27" s="3" customFormat="1" hidden="1" outlineLevel="1" x14ac:dyDescent="0.25">
      <c r="B1361" s="28" t="s">
        <v>7</v>
      </c>
      <c r="C1361" s="29" t="s">
        <v>1468</v>
      </c>
      <c r="D1361" s="29" t="s">
        <v>1469</v>
      </c>
      <c r="E1361" s="29">
        <v>0</v>
      </c>
      <c r="F1361" s="29" t="s">
        <v>1470</v>
      </c>
      <c r="G1361" s="30" t="s">
        <v>1471</v>
      </c>
      <c r="J1361" s="3" t="s">
        <v>10</v>
      </c>
      <c r="K1361" s="3" t="s">
        <v>173</v>
      </c>
      <c r="L1361" s="3" t="s">
        <v>9</v>
      </c>
      <c r="M1361" s="3" t="s">
        <v>9</v>
      </c>
      <c r="N1361" s="3">
        <v>1112</v>
      </c>
    </row>
    <row r="1362" spans="1:27" s="3" customFormat="1" hidden="1" outlineLevel="1" x14ac:dyDescent="0.25">
      <c r="B1362" s="28" t="s">
        <v>265</v>
      </c>
      <c r="C1362" s="29" t="s">
        <v>1692</v>
      </c>
      <c r="D1362" s="29" t="s">
        <v>1606</v>
      </c>
      <c r="E1362" s="29" t="s">
        <v>1594</v>
      </c>
      <c r="F1362" s="29" t="s">
        <v>1470</v>
      </c>
      <c r="G1362" s="30"/>
      <c r="J1362" s="3" t="s">
        <v>187</v>
      </c>
      <c r="K1362" s="3" t="s">
        <v>438</v>
      </c>
      <c r="L1362" s="3" t="s">
        <v>537</v>
      </c>
      <c r="M1362" s="3" t="s">
        <v>187</v>
      </c>
      <c r="N1362" s="3">
        <v>1114</v>
      </c>
    </row>
    <row r="1363" spans="1:27" s="3" customFormat="1" hidden="1" outlineLevel="1" x14ac:dyDescent="0.25">
      <c r="B1363" s="28" t="s">
        <v>203</v>
      </c>
      <c r="C1363" s="29" t="s">
        <v>1635</v>
      </c>
      <c r="D1363" s="29" t="s">
        <v>1636</v>
      </c>
      <c r="E1363" s="29" t="s">
        <v>1637</v>
      </c>
      <c r="F1363" s="29" t="s">
        <v>1476</v>
      </c>
      <c r="G1363" s="30"/>
      <c r="J1363" s="3" t="s">
        <v>187</v>
      </c>
      <c r="K1363" s="3" t="s">
        <v>438</v>
      </c>
      <c r="L1363" s="3" t="s">
        <v>537</v>
      </c>
      <c r="M1363" s="3" t="s">
        <v>187</v>
      </c>
      <c r="N1363" s="3">
        <v>1041</v>
      </c>
    </row>
    <row r="1364" spans="1:27" s="3" customFormat="1" hidden="1" outlineLevel="1" x14ac:dyDescent="0.25">
      <c r="B1364" s="28" t="s">
        <v>128</v>
      </c>
      <c r="C1364" s="29" t="s">
        <v>1566</v>
      </c>
      <c r="D1364" s="29" t="s">
        <v>1567</v>
      </c>
      <c r="E1364" s="29">
        <v>0</v>
      </c>
      <c r="F1364" s="29" t="s">
        <v>1470</v>
      </c>
      <c r="G1364" s="30"/>
      <c r="J1364" s="3" t="s">
        <v>12</v>
      </c>
      <c r="K1364" s="3" t="s">
        <v>174</v>
      </c>
      <c r="L1364" s="3" t="s">
        <v>175</v>
      </c>
      <c r="M1364" s="3" t="s">
        <v>176</v>
      </c>
      <c r="N1364" s="3">
        <v>1629</v>
      </c>
    </row>
    <row r="1365" spans="1:27" s="3" customFormat="1" hidden="1" outlineLevel="1" x14ac:dyDescent="0.25">
      <c r="A1365" s="14"/>
      <c r="B1365" s="195" t="s">
        <v>114</v>
      </c>
      <c r="C1365" s="23" t="s">
        <v>1557</v>
      </c>
      <c r="D1365" s="23" t="s">
        <v>1469</v>
      </c>
      <c r="E1365" s="23">
        <v>-1</v>
      </c>
      <c r="F1365" s="23" t="s">
        <v>1470</v>
      </c>
      <c r="G1365" s="24"/>
      <c r="H1365" s="14"/>
      <c r="I1365" s="14"/>
      <c r="J1365" s="14" t="s">
        <v>10</v>
      </c>
      <c r="K1365" s="14" t="s">
        <v>173</v>
      </c>
      <c r="L1365" s="14" t="s">
        <v>9</v>
      </c>
      <c r="M1365" s="14" t="s">
        <v>9</v>
      </c>
      <c r="N1365" s="14">
        <v>2449</v>
      </c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</row>
    <row r="1366" spans="1:27" s="3" customFormat="1" hidden="1" outlineLevel="1" x14ac:dyDescent="0.25">
      <c r="B1366" s="28" t="s">
        <v>73</v>
      </c>
      <c r="C1366" s="29" t="s">
        <v>1528</v>
      </c>
      <c r="D1366" s="29" t="s">
        <v>1469</v>
      </c>
      <c r="E1366" s="29" t="s">
        <v>1480</v>
      </c>
      <c r="F1366" s="29" t="s">
        <v>1481</v>
      </c>
      <c r="G1366" s="30"/>
      <c r="J1366" s="3" t="s">
        <v>10</v>
      </c>
      <c r="K1366" s="3" t="s">
        <v>173</v>
      </c>
      <c r="L1366" s="3" t="s">
        <v>9</v>
      </c>
      <c r="M1366" s="3" t="s">
        <v>9</v>
      </c>
      <c r="N1366" s="3">
        <v>1767</v>
      </c>
    </row>
    <row r="1367" spans="1:27" s="3" customFormat="1" hidden="1" outlineLevel="1" x14ac:dyDescent="0.25">
      <c r="B1367" s="28" t="s">
        <v>74</v>
      </c>
      <c r="C1367" s="29" t="s">
        <v>1529</v>
      </c>
      <c r="D1367" s="29" t="s">
        <v>1469</v>
      </c>
      <c r="E1367" s="29" t="s">
        <v>1480</v>
      </c>
      <c r="F1367" s="29" t="s">
        <v>1481</v>
      </c>
      <c r="G1367" s="30"/>
      <c r="J1367" s="3" t="s">
        <v>10</v>
      </c>
      <c r="K1367" s="3" t="s">
        <v>173</v>
      </c>
      <c r="L1367" s="3" t="s">
        <v>9</v>
      </c>
      <c r="M1367" s="3" t="s">
        <v>9</v>
      </c>
      <c r="N1367" s="3">
        <v>1713</v>
      </c>
    </row>
    <row r="1368" spans="1:27" s="3" customFormat="1" hidden="1" outlineLevel="1" x14ac:dyDescent="0.25">
      <c r="B1368" s="28"/>
      <c r="C1368" s="29"/>
      <c r="D1368" s="29"/>
      <c r="E1368" s="29"/>
      <c r="F1368" s="29"/>
      <c r="G1368" s="30"/>
    </row>
    <row r="1369" spans="1:27" s="3" customFormat="1" ht="16.2" hidden="1" outlineLevel="1" thickBot="1" x14ac:dyDescent="0.3">
      <c r="B1369" s="28"/>
      <c r="C1369" s="29"/>
      <c r="D1369" s="29"/>
      <c r="E1369" s="29"/>
      <c r="F1369" s="29"/>
      <c r="G1369" s="30"/>
    </row>
    <row r="1370" spans="1:27" s="3" customFormat="1" ht="17.399999999999999" hidden="1" customHeight="1" outlineLevel="1" x14ac:dyDescent="0.25">
      <c r="A1370" s="5"/>
      <c r="B1370" s="395" t="s">
        <v>18</v>
      </c>
      <c r="C1370" s="396"/>
      <c r="D1370" s="396"/>
      <c r="E1370" s="396"/>
      <c r="F1370" s="396"/>
      <c r="G1370" s="397"/>
    </row>
    <row r="1371" spans="1:27" s="3" customFormat="1" ht="17.399999999999999" hidden="1" customHeight="1" outlineLevel="1" x14ac:dyDescent="0.25">
      <c r="A1371" s="5"/>
      <c r="B1371" s="25" t="s">
        <v>2</v>
      </c>
      <c r="C1371" s="26" t="s">
        <v>3</v>
      </c>
      <c r="D1371" s="26" t="s">
        <v>4</v>
      </c>
      <c r="E1371" s="26" t="s">
        <v>5</v>
      </c>
      <c r="F1371" s="26"/>
      <c r="G1371" s="27" t="s">
        <v>6</v>
      </c>
    </row>
    <row r="1372" spans="1:27" s="3" customFormat="1" ht="17.399999999999999" hidden="1" customHeight="1" outlineLevel="1" x14ac:dyDescent="0.25">
      <c r="A1372" s="5"/>
      <c r="B1372" s="326" t="s">
        <v>128</v>
      </c>
      <c r="C1372" s="26" t="s">
        <v>1566</v>
      </c>
      <c r="D1372" s="26" t="s">
        <v>1567</v>
      </c>
      <c r="E1372" s="26">
        <v>0</v>
      </c>
      <c r="F1372" s="26" t="s">
        <v>1470</v>
      </c>
      <c r="G1372" s="27"/>
    </row>
    <row r="1373" spans="1:27" s="3" customFormat="1" hidden="1" outlineLevel="1" x14ac:dyDescent="0.25">
      <c r="B1373" s="28" t="s">
        <v>16</v>
      </c>
      <c r="C1373" s="29" t="s">
        <v>1479</v>
      </c>
      <c r="D1373" s="29" t="s">
        <v>1469</v>
      </c>
      <c r="E1373" s="29" t="s">
        <v>1480</v>
      </c>
      <c r="F1373" s="29" t="s">
        <v>1481</v>
      </c>
      <c r="G1373" s="30" t="s">
        <v>1482</v>
      </c>
      <c r="H1373" s="3" t="str">
        <f>"{"&amp;B1373&amp;"},"</f>
        <v>{初始化日期},</v>
      </c>
      <c r="J1373" s="3" t="s">
        <v>10</v>
      </c>
      <c r="K1373" s="3" t="s">
        <v>173</v>
      </c>
      <c r="L1373" s="3" t="s">
        <v>9</v>
      </c>
      <c r="M1373" s="3" t="s">
        <v>9</v>
      </c>
      <c r="N1373" s="3">
        <v>1211</v>
      </c>
    </row>
    <row r="1374" spans="1:27" s="3" customFormat="1" hidden="1" outlineLevel="1" x14ac:dyDescent="0.25">
      <c r="B1374" s="28" t="s">
        <v>7</v>
      </c>
      <c r="C1374" s="29" t="s">
        <v>1468</v>
      </c>
      <c r="D1374" s="29" t="s">
        <v>1469</v>
      </c>
      <c r="E1374" s="29">
        <v>0</v>
      </c>
      <c r="F1374" s="29" t="s">
        <v>1470</v>
      </c>
      <c r="G1374" s="30" t="s">
        <v>1471</v>
      </c>
      <c r="H1374" s="3" t="str">
        <f>"{"&amp;B1374&amp;"},"</f>
        <v>{产品编号},</v>
      </c>
      <c r="J1374" s="3" t="s">
        <v>10</v>
      </c>
      <c r="K1374" s="3" t="s">
        <v>173</v>
      </c>
      <c r="L1374" s="3" t="s">
        <v>9</v>
      </c>
      <c r="M1374" s="3" t="s">
        <v>9</v>
      </c>
      <c r="N1374" s="3">
        <v>1112</v>
      </c>
    </row>
    <row r="1375" spans="1:27" s="3" customFormat="1" hidden="1" outlineLevel="1" x14ac:dyDescent="0.25">
      <c r="B1375" s="28" t="s">
        <v>266</v>
      </c>
      <c r="C1375" s="29" t="s">
        <v>1693</v>
      </c>
      <c r="D1375" s="29" t="s">
        <v>1486</v>
      </c>
      <c r="E1375" s="29">
        <v>0</v>
      </c>
      <c r="F1375" s="29" t="s">
        <v>1470</v>
      </c>
      <c r="G1375" s="30"/>
      <c r="H1375" s="3" t="str">
        <f>"{"&amp;B1375&amp;"},"</f>
        <v>{产品总份额},</v>
      </c>
      <c r="J1375" s="3" t="s">
        <v>20</v>
      </c>
      <c r="K1375" s="3" t="s">
        <v>445</v>
      </c>
      <c r="L1375" s="3" t="s">
        <v>446</v>
      </c>
      <c r="M1375" s="3" t="s">
        <v>446</v>
      </c>
      <c r="N1375" s="3">
        <v>1149</v>
      </c>
    </row>
    <row r="1376" spans="1:27" s="3" customFormat="1" hidden="1" outlineLevel="1" x14ac:dyDescent="0.25">
      <c r="B1376" s="28" t="s">
        <v>267</v>
      </c>
      <c r="C1376" s="29" t="s">
        <v>1694</v>
      </c>
      <c r="D1376" s="29" t="s">
        <v>1486</v>
      </c>
      <c r="E1376" s="29">
        <v>0</v>
      </c>
      <c r="F1376" s="29" t="s">
        <v>1470</v>
      </c>
      <c r="G1376" s="30"/>
    </row>
    <row r="1377" spans="2:14" s="3" customFormat="1" hidden="1" outlineLevel="1" x14ac:dyDescent="0.25">
      <c r="B1377" s="28" t="s">
        <v>268</v>
      </c>
      <c r="C1377" s="29" t="s">
        <v>1695</v>
      </c>
      <c r="D1377" s="29" t="s">
        <v>1489</v>
      </c>
      <c r="E1377" s="29">
        <v>0</v>
      </c>
      <c r="F1377" s="29" t="s">
        <v>1470</v>
      </c>
      <c r="G1377" s="30"/>
      <c r="H1377" s="3" t="str">
        <f t="shared" ref="H1377:H1397" si="5">"{"&amp;B1377&amp;"},"</f>
        <v>{净资产},</v>
      </c>
      <c r="J1377" s="3" t="s">
        <v>20</v>
      </c>
      <c r="K1377" s="3" t="s">
        <v>445</v>
      </c>
      <c r="L1377" s="3" t="s">
        <v>446</v>
      </c>
      <c r="M1377" s="3" t="s">
        <v>446</v>
      </c>
      <c r="N1377" s="3">
        <v>1741</v>
      </c>
    </row>
    <row r="1378" spans="2:14" s="3" customFormat="1" hidden="1" outlineLevel="1" x14ac:dyDescent="0.25">
      <c r="B1378" s="28" t="s">
        <v>269</v>
      </c>
      <c r="C1378" s="29" t="s">
        <v>1696</v>
      </c>
      <c r="D1378" s="29" t="s">
        <v>1489</v>
      </c>
      <c r="E1378" s="29">
        <v>0</v>
      </c>
      <c r="F1378" s="29" t="s">
        <v>1470</v>
      </c>
      <c r="G1378" s="30"/>
      <c r="H1378" s="3" t="str">
        <f t="shared" si="5"/>
        <v>{单位净值},</v>
      </c>
      <c r="J1378" s="3" t="s">
        <v>20</v>
      </c>
      <c r="K1378" s="3" t="s">
        <v>445</v>
      </c>
      <c r="L1378" s="3" t="s">
        <v>446</v>
      </c>
      <c r="M1378" s="3" t="s">
        <v>446</v>
      </c>
      <c r="N1378" s="3">
        <v>1244</v>
      </c>
    </row>
    <row r="1379" spans="2:14" s="3" customFormat="1" hidden="1" outlineLevel="1" x14ac:dyDescent="0.25">
      <c r="B1379" s="28" t="s">
        <v>270</v>
      </c>
      <c r="C1379" s="29" t="s">
        <v>1697</v>
      </c>
      <c r="D1379" s="29" t="s">
        <v>1489</v>
      </c>
      <c r="E1379" s="29">
        <v>0</v>
      </c>
      <c r="F1379" s="29"/>
      <c r="G1379" s="30"/>
      <c r="H1379" s="3" t="str">
        <f t="shared" si="5"/>
        <v>{昨日净值},</v>
      </c>
      <c r="J1379" s="3" t="s">
        <v>20</v>
      </c>
      <c r="K1379" s="3" t="s">
        <v>445</v>
      </c>
      <c r="L1379" s="3" t="s">
        <v>446</v>
      </c>
      <c r="M1379" s="3" t="s">
        <v>446</v>
      </c>
      <c r="N1379" s="3">
        <v>2595</v>
      </c>
    </row>
    <row r="1380" spans="2:14" s="3" customFormat="1" hidden="1" outlineLevel="1" x14ac:dyDescent="0.25">
      <c r="B1380" s="28" t="s">
        <v>271</v>
      </c>
      <c r="C1380" s="29" t="s">
        <v>1698</v>
      </c>
      <c r="D1380" s="29" t="s">
        <v>1494</v>
      </c>
      <c r="E1380" s="29">
        <v>0</v>
      </c>
      <c r="F1380" s="29"/>
      <c r="G1380" s="30"/>
      <c r="H1380" s="3" t="str">
        <f t="shared" si="5"/>
        <v>{净值波动},</v>
      </c>
      <c r="J1380" s="3" t="s">
        <v>20</v>
      </c>
      <c r="K1380" s="3" t="s">
        <v>445</v>
      </c>
      <c r="L1380" s="3" t="s">
        <v>446</v>
      </c>
      <c r="M1380" s="3" t="s">
        <v>446</v>
      </c>
      <c r="N1380" s="3">
        <v>1739</v>
      </c>
    </row>
    <row r="1381" spans="2:14" s="3" customFormat="1" hidden="1" outlineLevel="1" x14ac:dyDescent="0.25">
      <c r="B1381" s="28" t="s">
        <v>272</v>
      </c>
      <c r="C1381" s="29" t="s">
        <v>1699</v>
      </c>
      <c r="D1381" s="29" t="s">
        <v>1489</v>
      </c>
      <c r="E1381" s="29">
        <v>0</v>
      </c>
      <c r="F1381" s="29"/>
      <c r="G1381" s="30"/>
      <c r="H1381" s="3" t="str">
        <f t="shared" si="5"/>
        <v>{现金资产},</v>
      </c>
      <c r="J1381" s="3" t="s">
        <v>20</v>
      </c>
      <c r="K1381" s="3" t="s">
        <v>445</v>
      </c>
      <c r="L1381" s="3" t="s">
        <v>446</v>
      </c>
      <c r="M1381" s="3" t="s">
        <v>446</v>
      </c>
      <c r="N1381" s="3">
        <v>2309</v>
      </c>
    </row>
    <row r="1382" spans="2:14" s="3" customFormat="1" hidden="1" outlineLevel="1" x14ac:dyDescent="0.25">
      <c r="B1382" s="28" t="s">
        <v>273</v>
      </c>
      <c r="C1382" s="29" t="s">
        <v>1700</v>
      </c>
      <c r="D1382" s="29" t="s">
        <v>1489</v>
      </c>
      <c r="E1382" s="29">
        <v>0</v>
      </c>
      <c r="F1382" s="29" t="s">
        <v>1470</v>
      </c>
      <c r="G1382" s="30"/>
      <c r="H1382" s="3" t="str">
        <f t="shared" si="5"/>
        <v>{股票资产},</v>
      </c>
      <c r="J1382" s="3" t="s">
        <v>20</v>
      </c>
      <c r="K1382" s="3" t="s">
        <v>445</v>
      </c>
      <c r="L1382" s="3" t="s">
        <v>446</v>
      </c>
      <c r="M1382" s="3" t="s">
        <v>446</v>
      </c>
      <c r="N1382" s="3">
        <v>1511</v>
      </c>
    </row>
    <row r="1383" spans="2:14" s="3" customFormat="1" hidden="1" outlineLevel="1" x14ac:dyDescent="0.25">
      <c r="B1383" s="28" t="s">
        <v>274</v>
      </c>
      <c r="C1383" s="29" t="s">
        <v>1701</v>
      </c>
      <c r="D1383" s="29" t="s">
        <v>1489</v>
      </c>
      <c r="E1383" s="29">
        <v>0</v>
      </c>
      <c r="F1383" s="29" t="s">
        <v>1470</v>
      </c>
      <c r="G1383" s="30"/>
      <c r="H1383" s="3" t="str">
        <f t="shared" si="5"/>
        <v>{债券资产},</v>
      </c>
      <c r="J1383" s="3" t="s">
        <v>20</v>
      </c>
      <c r="K1383" s="3" t="s">
        <v>445</v>
      </c>
      <c r="L1383" s="3" t="s">
        <v>446</v>
      </c>
      <c r="M1383" s="3" t="s">
        <v>446</v>
      </c>
      <c r="N1383" s="3">
        <v>2402</v>
      </c>
    </row>
    <row r="1384" spans="2:14" s="3" customFormat="1" hidden="1" outlineLevel="1" x14ac:dyDescent="0.25">
      <c r="B1384" s="28" t="s">
        <v>275</v>
      </c>
      <c r="C1384" s="29" t="s">
        <v>1702</v>
      </c>
      <c r="D1384" s="29" t="s">
        <v>1489</v>
      </c>
      <c r="E1384" s="29">
        <v>0</v>
      </c>
      <c r="F1384" s="29" t="s">
        <v>1470</v>
      </c>
      <c r="G1384" s="30"/>
      <c r="H1384" s="3" t="str">
        <f t="shared" si="5"/>
        <v>{基金资产},</v>
      </c>
      <c r="J1384" s="3" t="s">
        <v>20</v>
      </c>
      <c r="K1384" s="3" t="s">
        <v>445</v>
      </c>
      <c r="L1384" s="3" t="s">
        <v>446</v>
      </c>
      <c r="M1384" s="3" t="s">
        <v>446</v>
      </c>
      <c r="N1384" s="3">
        <v>1618</v>
      </c>
    </row>
    <row r="1385" spans="2:14" s="3" customFormat="1" hidden="1" outlineLevel="1" x14ac:dyDescent="0.25">
      <c r="B1385" s="185" t="s">
        <v>276</v>
      </c>
      <c r="C1385" s="23" t="s">
        <v>1703</v>
      </c>
      <c r="D1385" s="23" t="s">
        <v>1489</v>
      </c>
      <c r="E1385" s="29">
        <v>0</v>
      </c>
      <c r="F1385" s="29"/>
      <c r="G1385" s="30"/>
    </row>
    <row r="1386" spans="2:14" s="3" customFormat="1" hidden="1" outlineLevel="1" x14ac:dyDescent="0.25">
      <c r="B1386" s="185" t="s">
        <v>277</v>
      </c>
      <c r="C1386" s="23" t="s">
        <v>1704</v>
      </c>
      <c r="D1386" s="23" t="s">
        <v>1489</v>
      </c>
      <c r="E1386" s="29">
        <v>0</v>
      </c>
      <c r="F1386" s="29"/>
      <c r="G1386" s="30"/>
    </row>
    <row r="1387" spans="2:14" s="3" customFormat="1" hidden="1" outlineLevel="1" x14ac:dyDescent="0.25">
      <c r="B1387" s="28" t="s">
        <v>278</v>
      </c>
      <c r="C1387" s="29" t="s">
        <v>1705</v>
      </c>
      <c r="D1387" s="29" t="s">
        <v>1489</v>
      </c>
      <c r="E1387" s="29">
        <v>0</v>
      </c>
      <c r="F1387" s="29"/>
      <c r="G1387" s="30"/>
      <c r="H1387" s="3" t="str">
        <f t="shared" si="5"/>
        <v>{回购资产},</v>
      </c>
      <c r="J1387" s="3" t="s">
        <v>20</v>
      </c>
      <c r="K1387" s="3" t="s">
        <v>445</v>
      </c>
      <c r="L1387" s="3" t="s">
        <v>446</v>
      </c>
      <c r="M1387" s="3" t="s">
        <v>446</v>
      </c>
      <c r="N1387" s="3">
        <v>1599</v>
      </c>
    </row>
    <row r="1388" spans="2:14" s="3" customFormat="1" hidden="1" outlineLevel="1" x14ac:dyDescent="0.25">
      <c r="B1388" s="28" t="s">
        <v>279</v>
      </c>
      <c r="C1388" s="29" t="s">
        <v>1706</v>
      </c>
      <c r="D1388" s="29" t="s">
        <v>1489</v>
      </c>
      <c r="E1388" s="29">
        <v>0</v>
      </c>
      <c r="F1388" s="29" t="s">
        <v>1470</v>
      </c>
      <c r="G1388" s="30"/>
      <c r="H1388" s="3" t="str">
        <f t="shared" si="5"/>
        <v>{其他资产},</v>
      </c>
      <c r="J1388" s="3" t="s">
        <v>20</v>
      </c>
      <c r="K1388" s="3" t="s">
        <v>445</v>
      </c>
      <c r="L1388" s="3" t="s">
        <v>446</v>
      </c>
      <c r="M1388" s="3" t="s">
        <v>446</v>
      </c>
      <c r="N1388" s="3">
        <v>1997</v>
      </c>
    </row>
    <row r="1389" spans="2:14" s="3" customFormat="1" hidden="1" outlineLevel="1" x14ac:dyDescent="0.25">
      <c r="B1389" s="28" t="s">
        <v>280</v>
      </c>
      <c r="C1389" s="29" t="s">
        <v>1707</v>
      </c>
      <c r="D1389" s="29" t="s">
        <v>1489</v>
      </c>
      <c r="E1389" s="29">
        <v>0</v>
      </c>
      <c r="F1389" s="29"/>
      <c r="G1389" s="30"/>
      <c r="H1389" s="3" t="str">
        <f t="shared" si="5"/>
        <v>{港股通资产},</v>
      </c>
      <c r="J1389" s="3" t="s">
        <v>20</v>
      </c>
      <c r="K1389" s="3" t="s">
        <v>445</v>
      </c>
      <c r="L1389" s="3" t="s">
        <v>446</v>
      </c>
      <c r="M1389" s="3" t="s">
        <v>446</v>
      </c>
      <c r="N1389" s="3">
        <v>1842</v>
      </c>
    </row>
    <row r="1390" spans="2:14" s="3" customFormat="1" hidden="1" outlineLevel="1" x14ac:dyDescent="0.25">
      <c r="B1390" s="28" t="s">
        <v>281</v>
      </c>
      <c r="C1390" s="29" t="s">
        <v>1708</v>
      </c>
      <c r="D1390" s="29" t="s">
        <v>1489</v>
      </c>
      <c r="E1390" s="29">
        <v>0</v>
      </c>
      <c r="F1390" s="29" t="s">
        <v>1470</v>
      </c>
      <c r="G1390" s="30"/>
      <c r="H1390" s="3" t="str">
        <f t="shared" si="5"/>
        <v>{期货资产},</v>
      </c>
      <c r="J1390" s="3" t="s">
        <v>20</v>
      </c>
      <c r="K1390" s="3" t="s">
        <v>445</v>
      </c>
      <c r="L1390" s="3" t="s">
        <v>446</v>
      </c>
      <c r="M1390" s="3" t="s">
        <v>446</v>
      </c>
      <c r="N1390" s="3">
        <v>1843</v>
      </c>
    </row>
    <row r="1391" spans="2:14" s="3" customFormat="1" hidden="1" outlineLevel="1" x14ac:dyDescent="0.25">
      <c r="B1391" s="28" t="s">
        <v>282</v>
      </c>
      <c r="C1391" s="29" t="s">
        <v>1709</v>
      </c>
      <c r="D1391" s="29" t="s">
        <v>1489</v>
      </c>
      <c r="E1391" s="29">
        <v>0</v>
      </c>
      <c r="F1391" s="29"/>
      <c r="G1391" s="30"/>
      <c r="H1391" s="3" t="str">
        <f t="shared" si="5"/>
        <v>{可分配金额},</v>
      </c>
    </row>
    <row r="1392" spans="2:14" s="3" customFormat="1" hidden="1" outlineLevel="1" x14ac:dyDescent="0.25">
      <c r="B1392" s="28" t="s">
        <v>203</v>
      </c>
      <c r="C1392" s="29" t="s">
        <v>1635</v>
      </c>
      <c r="D1392" s="29" t="s">
        <v>1636</v>
      </c>
      <c r="E1392" s="29" t="s">
        <v>1637</v>
      </c>
      <c r="F1392" s="29" t="s">
        <v>1476</v>
      </c>
      <c r="G1392" s="30"/>
      <c r="H1392" s="3" t="str">
        <f t="shared" si="5"/>
        <v>{本币币种},</v>
      </c>
      <c r="J1392" s="3" t="s">
        <v>187</v>
      </c>
      <c r="K1392" s="3" t="s">
        <v>438</v>
      </c>
      <c r="L1392" s="3" t="s">
        <v>537</v>
      </c>
      <c r="M1392" s="3" t="s">
        <v>187</v>
      </c>
      <c r="N1392" s="3">
        <v>1041</v>
      </c>
    </row>
    <row r="1393" spans="2:14" s="3" customFormat="1" hidden="1" outlineLevel="1" x14ac:dyDescent="0.25">
      <c r="B1393" s="28" t="s">
        <v>64</v>
      </c>
      <c r="C1393" s="29" t="s">
        <v>1527</v>
      </c>
      <c r="D1393" s="29" t="s">
        <v>1489</v>
      </c>
      <c r="E1393" s="29">
        <v>0</v>
      </c>
      <c r="F1393" s="29"/>
      <c r="G1393" s="30"/>
      <c r="H1393" s="3" t="str">
        <f t="shared" si="5"/>
        <v>{当日盈亏},</v>
      </c>
      <c r="J1393" s="3" t="s">
        <v>20</v>
      </c>
      <c r="K1393" s="3" t="s">
        <v>445</v>
      </c>
      <c r="L1393" s="3" t="s">
        <v>446</v>
      </c>
      <c r="M1393" s="3" t="s">
        <v>446</v>
      </c>
      <c r="N1393" s="3">
        <v>1274</v>
      </c>
    </row>
    <row r="1394" spans="2:14" s="3" customFormat="1" hidden="1" outlineLevel="1" x14ac:dyDescent="0.25">
      <c r="B1394" s="28" t="s">
        <v>283</v>
      </c>
      <c r="C1394" s="29" t="s">
        <v>1710</v>
      </c>
      <c r="D1394" s="29" t="s">
        <v>1494</v>
      </c>
      <c r="E1394" s="29">
        <v>0</v>
      </c>
      <c r="F1394" s="29" t="s">
        <v>1470</v>
      </c>
      <c r="G1394" s="30"/>
      <c r="H1394" s="3" t="str">
        <f t="shared" si="5"/>
        <v>{当日收益率},</v>
      </c>
      <c r="J1394" s="3" t="s">
        <v>20</v>
      </c>
      <c r="K1394" s="3" t="s">
        <v>445</v>
      </c>
      <c r="L1394" s="3" t="s">
        <v>446</v>
      </c>
      <c r="M1394" s="3" t="s">
        <v>446</v>
      </c>
    </row>
    <row r="1395" spans="2:14" s="3" customFormat="1" hidden="1" outlineLevel="1" x14ac:dyDescent="0.25">
      <c r="B1395" s="28" t="s">
        <v>284</v>
      </c>
      <c r="C1395" s="29" t="s">
        <v>1711</v>
      </c>
      <c r="D1395" s="29" t="s">
        <v>1489</v>
      </c>
      <c r="E1395" s="29">
        <v>0</v>
      </c>
      <c r="F1395" s="29"/>
      <c r="G1395" s="30"/>
      <c r="H1395" s="3" t="str">
        <f t="shared" si="5"/>
        <v>{可提现金额},</v>
      </c>
      <c r="J1395" s="3" t="s">
        <v>20</v>
      </c>
      <c r="K1395" s="3" t="s">
        <v>445</v>
      </c>
      <c r="L1395" s="3" t="s">
        <v>446</v>
      </c>
      <c r="M1395" s="3" t="s">
        <v>446</v>
      </c>
    </row>
    <row r="1396" spans="2:14" s="3" customFormat="1" hidden="1" outlineLevel="1" x14ac:dyDescent="0.25">
      <c r="B1396" s="28" t="s">
        <v>285</v>
      </c>
      <c r="C1396" s="29" t="s">
        <v>1712</v>
      </c>
      <c r="D1396" s="29" t="s">
        <v>1494</v>
      </c>
      <c r="E1396" s="29">
        <v>0</v>
      </c>
      <c r="F1396" s="29"/>
      <c r="G1396" s="30"/>
      <c r="H1396" s="3" t="str">
        <f t="shared" si="5"/>
        <v>{股票资产占比},</v>
      </c>
      <c r="J1396" s="3" t="s">
        <v>20</v>
      </c>
      <c r="K1396" s="3" t="s">
        <v>445</v>
      </c>
      <c r="L1396" s="3" t="s">
        <v>446</v>
      </c>
      <c r="M1396" s="3" t="s">
        <v>446</v>
      </c>
      <c r="N1396" s="3">
        <v>1512</v>
      </c>
    </row>
    <row r="1397" spans="2:14" s="3" customFormat="1" hidden="1" outlineLevel="1" x14ac:dyDescent="0.25">
      <c r="B1397" s="28" t="s">
        <v>286</v>
      </c>
      <c r="C1397" s="29" t="s">
        <v>1713</v>
      </c>
      <c r="D1397" s="29" t="s">
        <v>1494</v>
      </c>
      <c r="E1397" s="29">
        <v>0</v>
      </c>
      <c r="F1397" s="29"/>
      <c r="G1397" s="30"/>
      <c r="H1397" s="3" t="str">
        <f t="shared" si="5"/>
        <v>{证券占比},</v>
      </c>
      <c r="J1397" s="3" t="s">
        <v>20</v>
      </c>
      <c r="K1397" s="3" t="s">
        <v>445</v>
      </c>
      <c r="L1397" s="3" t="s">
        <v>446</v>
      </c>
      <c r="M1397" s="3" t="s">
        <v>446</v>
      </c>
    </row>
    <row r="1398" spans="2:14" s="3" customFormat="1" hidden="1" outlineLevel="1" x14ac:dyDescent="0.25">
      <c r="B1398" s="28" t="s">
        <v>287</v>
      </c>
      <c r="C1398" s="29" t="s">
        <v>1714</v>
      </c>
      <c r="D1398" s="29" t="s">
        <v>1494</v>
      </c>
      <c r="E1398" s="29">
        <v>0</v>
      </c>
      <c r="F1398" s="29"/>
      <c r="G1398" s="30"/>
    </row>
    <row r="1399" spans="2:14" s="3" customFormat="1" hidden="1" outlineLevel="1" x14ac:dyDescent="0.25">
      <c r="B1399" s="28" t="s">
        <v>288</v>
      </c>
      <c r="C1399" s="29" t="s">
        <v>1715</v>
      </c>
      <c r="D1399" s="29" t="s">
        <v>1489</v>
      </c>
      <c r="E1399" s="29">
        <v>0</v>
      </c>
      <c r="F1399" s="29" t="s">
        <v>1470</v>
      </c>
      <c r="G1399" s="30"/>
    </row>
    <row r="1400" spans="2:14" s="3" customFormat="1" hidden="1" outlineLevel="1" x14ac:dyDescent="0.25">
      <c r="B1400" s="28" t="s">
        <v>289</v>
      </c>
      <c r="C1400" s="29" t="s">
        <v>1716</v>
      </c>
      <c r="D1400" s="29" t="s">
        <v>1489</v>
      </c>
      <c r="E1400" s="29">
        <v>0</v>
      </c>
      <c r="F1400" s="29" t="s">
        <v>1470</v>
      </c>
      <c r="G1400" s="30"/>
    </row>
    <row r="1401" spans="2:14" s="3" customFormat="1" hidden="1" outlineLevel="1" x14ac:dyDescent="0.25">
      <c r="B1401" s="28" t="s">
        <v>290</v>
      </c>
      <c r="C1401" s="29" t="s">
        <v>1717</v>
      </c>
      <c r="D1401" s="29" t="s">
        <v>1489</v>
      </c>
      <c r="E1401" s="29">
        <v>0</v>
      </c>
      <c r="F1401" s="29"/>
      <c r="G1401" s="30"/>
    </row>
    <row r="1402" spans="2:14" s="3" customFormat="1" hidden="1" outlineLevel="1" x14ac:dyDescent="0.25">
      <c r="B1402" s="28" t="s">
        <v>291</v>
      </c>
      <c r="C1402" s="29" t="s">
        <v>1718</v>
      </c>
      <c r="D1402" s="29" t="s">
        <v>1489</v>
      </c>
      <c r="E1402" s="29">
        <v>0</v>
      </c>
      <c r="F1402" s="29" t="s">
        <v>1470</v>
      </c>
      <c r="G1402" s="30"/>
    </row>
    <row r="1403" spans="2:14" s="3" customFormat="1" hidden="1" outlineLevel="1" x14ac:dyDescent="0.25">
      <c r="B1403" s="267" t="s">
        <v>292</v>
      </c>
      <c r="C1403" s="268" t="s">
        <v>1719</v>
      </c>
      <c r="D1403" s="268" t="s">
        <v>1489</v>
      </c>
      <c r="E1403" s="268">
        <v>0</v>
      </c>
      <c r="F1403" s="268" t="s">
        <v>1470</v>
      </c>
      <c r="G1403" s="269"/>
    </row>
    <row r="1404" spans="2:14" s="3" customFormat="1" hidden="1" outlineLevel="1" x14ac:dyDescent="0.25">
      <c r="B1404" s="28" t="s">
        <v>293</v>
      </c>
      <c r="C1404" s="29" t="s">
        <v>1720</v>
      </c>
      <c r="D1404" s="29" t="s">
        <v>1489</v>
      </c>
      <c r="E1404" s="29">
        <v>0</v>
      </c>
      <c r="F1404" s="29"/>
      <c r="G1404" s="30"/>
    </row>
    <row r="1405" spans="2:14" hidden="1" outlineLevel="1" x14ac:dyDescent="0.25">
      <c r="B1405" s="320" t="s">
        <v>294</v>
      </c>
      <c r="C1405" s="321" t="s">
        <v>1721</v>
      </c>
      <c r="D1405" s="321" t="s">
        <v>1489</v>
      </c>
      <c r="E1405" s="321">
        <v>0</v>
      </c>
      <c r="F1405" s="321"/>
      <c r="G1405" s="258"/>
    </row>
    <row r="1406" spans="2:14" hidden="1" outlineLevel="1" x14ac:dyDescent="0.25">
      <c r="B1406" s="322" t="s">
        <v>295</v>
      </c>
      <c r="C1406" s="323" t="s">
        <v>1722</v>
      </c>
      <c r="D1406" s="321" t="s">
        <v>1489</v>
      </c>
      <c r="E1406" s="321">
        <v>0</v>
      </c>
      <c r="F1406" s="321"/>
      <c r="G1406" s="258"/>
    </row>
    <row r="1407" spans="2:14" hidden="1" outlineLevel="1" x14ac:dyDescent="0.25">
      <c r="B1407" s="322" t="s">
        <v>296</v>
      </c>
      <c r="C1407" s="323" t="s">
        <v>1723</v>
      </c>
      <c r="D1407" s="321" t="s">
        <v>1489</v>
      </c>
      <c r="E1407" s="321">
        <v>0</v>
      </c>
      <c r="F1407" s="321"/>
      <c r="G1407" s="258"/>
    </row>
    <row r="1408" spans="2:14" hidden="1" outlineLevel="1" x14ac:dyDescent="0.25">
      <c r="B1408" s="324" t="s">
        <v>297</v>
      </c>
      <c r="C1408" s="325" t="s">
        <v>1724</v>
      </c>
      <c r="D1408" s="321" t="s">
        <v>1489</v>
      </c>
      <c r="E1408" s="321">
        <v>0</v>
      </c>
      <c r="F1408" s="321" t="s">
        <v>2336</v>
      </c>
      <c r="G1408" s="258"/>
    </row>
    <row r="1409" spans="1:27" s="3" customFormat="1" hidden="1" outlineLevel="1" x14ac:dyDescent="0.25">
      <c r="B1409" s="324" t="s">
        <v>298</v>
      </c>
      <c r="C1409" s="29" t="s">
        <v>1725</v>
      </c>
      <c r="D1409" s="29" t="s">
        <v>1489</v>
      </c>
      <c r="E1409" s="29">
        <v>0</v>
      </c>
      <c r="F1409" s="29" t="s">
        <v>2336</v>
      </c>
      <c r="G1409" s="30"/>
    </row>
    <row r="1410" spans="1:27" hidden="1" outlineLevel="1" x14ac:dyDescent="0.25">
      <c r="B1410" s="324" t="s">
        <v>299</v>
      </c>
      <c r="C1410" s="321" t="s">
        <v>1726</v>
      </c>
      <c r="D1410" s="321" t="s">
        <v>1489</v>
      </c>
      <c r="E1410" s="321">
        <v>0</v>
      </c>
      <c r="F1410" s="321" t="s">
        <v>2336</v>
      </c>
      <c r="G1410" s="258"/>
    </row>
    <row r="1411" spans="1:27" s="3" customFormat="1" ht="16.2" hidden="1" outlineLevel="1" thickBot="1" x14ac:dyDescent="0.3">
      <c r="B1411" s="267"/>
      <c r="C1411" s="268"/>
      <c r="D1411" s="268"/>
      <c r="E1411" s="268"/>
      <c r="F1411" s="268"/>
      <c r="G1411" s="269"/>
    </row>
    <row r="1412" spans="1:27" s="3" customFormat="1" ht="17.399999999999999" hidden="1" customHeight="1" outlineLevel="1" x14ac:dyDescent="0.25">
      <c r="A1412" s="5"/>
      <c r="B1412" s="395" t="s">
        <v>29</v>
      </c>
      <c r="C1412" s="396"/>
      <c r="D1412" s="396"/>
      <c r="E1412" s="396"/>
      <c r="F1412" s="396"/>
      <c r="G1412" s="397"/>
    </row>
    <row r="1413" spans="1:27" s="7" customFormat="1" ht="16.5" hidden="1" customHeight="1" outlineLevel="1" x14ac:dyDescent="0.25">
      <c r="A1413" s="14"/>
      <c r="B1413" s="308" t="s">
        <v>559</v>
      </c>
      <c r="C1413" s="309"/>
      <c r="D1413" s="309"/>
      <c r="E1413" s="309"/>
      <c r="F1413" s="309"/>
      <c r="G1413" s="310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</row>
    <row r="1414" spans="1:27" s="7" customFormat="1" ht="17.399999999999999" hidden="1" customHeight="1" outlineLevel="1" thickBot="1" x14ac:dyDescent="0.3">
      <c r="A1414" s="14"/>
      <c r="B1414" s="305" t="s">
        <v>560</v>
      </c>
      <c r="C1414" s="306"/>
      <c r="D1414" s="306"/>
      <c r="E1414" s="306"/>
      <c r="F1414" s="306"/>
      <c r="G1414" s="307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</row>
    <row r="1415" spans="1:27" s="7" customFormat="1" ht="16.5" hidden="1" customHeight="1" outlineLevel="1" x14ac:dyDescent="0.25">
      <c r="A1415" s="14"/>
      <c r="B1415" s="308" t="s">
        <v>561</v>
      </c>
      <c r="C1415" s="309"/>
      <c r="D1415" s="309"/>
      <c r="E1415" s="309"/>
      <c r="F1415" s="309"/>
      <c r="G1415" s="310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</row>
    <row r="1416" spans="1:27" s="3" customFormat="1" hidden="1" outlineLevel="1" x14ac:dyDescent="0.25">
      <c r="B1416" s="28"/>
      <c r="C1416" s="29"/>
      <c r="D1416" s="29"/>
      <c r="E1416" s="29"/>
      <c r="F1416" s="29"/>
      <c r="G1416" s="30"/>
    </row>
    <row r="1417" spans="1:27" s="3" customFormat="1" hidden="1" outlineLevel="1" x14ac:dyDescent="0.25">
      <c r="B1417" s="28" t="s">
        <v>631</v>
      </c>
      <c r="C1417" s="29"/>
      <c r="D1417" s="29"/>
      <c r="E1417" s="29"/>
      <c r="F1417" s="29"/>
      <c r="G1417" s="375" t="s">
        <v>2436</v>
      </c>
    </row>
    <row r="1418" spans="1:27" s="3" customFormat="1" hidden="1" outlineLevel="1" x14ac:dyDescent="0.25">
      <c r="B1418" s="28"/>
      <c r="C1418" s="29"/>
      <c r="D1418" s="29"/>
      <c r="E1418" s="29"/>
      <c r="F1418" s="29"/>
      <c r="G1418" s="30"/>
    </row>
    <row r="1419" spans="1:27" s="3" customFormat="1" hidden="1" outlineLevel="1" x14ac:dyDescent="0.25">
      <c r="B1419" s="28"/>
      <c r="C1419" s="29"/>
      <c r="D1419" s="29"/>
      <c r="E1419" s="29"/>
      <c r="F1419" s="29"/>
      <c r="G1419" s="30"/>
    </row>
    <row r="1420" spans="1:27" s="3" customFormat="1" ht="16.2" hidden="1" outlineLevel="1" thickBot="1" x14ac:dyDescent="0.3">
      <c r="B1420" s="163"/>
      <c r="C1420" s="164"/>
      <c r="D1420" s="164"/>
      <c r="E1420" s="164"/>
      <c r="F1420" s="164"/>
      <c r="G1420" s="165"/>
    </row>
    <row r="1421" spans="1:27" s="7" customFormat="1" ht="17.399999999999999" hidden="1" customHeight="1" outlineLevel="1" thickBot="1" x14ac:dyDescent="0.3">
      <c r="A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</row>
    <row r="1422" spans="1:27" s="3" customFormat="1" ht="18.75" customHeight="1" collapsed="1" thickBot="1" x14ac:dyDescent="0.3">
      <c r="A1422" s="5"/>
      <c r="B1422" s="15" t="s">
        <v>1279</v>
      </c>
      <c r="C1422" s="16" t="s">
        <v>1972</v>
      </c>
      <c r="D1422" s="17" t="s">
        <v>1281</v>
      </c>
      <c r="E1422" s="200" t="s">
        <v>632</v>
      </c>
      <c r="F1422" s="17" t="s">
        <v>1282</v>
      </c>
      <c r="G1422" s="18" t="s">
        <v>1973</v>
      </c>
    </row>
    <row r="1423" spans="1:27" s="3" customFormat="1" ht="17.399999999999999" hidden="1" customHeight="1" outlineLevel="1" x14ac:dyDescent="0.25">
      <c r="A1423" s="5"/>
      <c r="B1423" s="19" t="s">
        <v>1284</v>
      </c>
      <c r="C1423" s="20" t="s">
        <v>1285</v>
      </c>
      <c r="D1423" s="21" t="s">
        <v>1286</v>
      </c>
      <c r="E1423" s="20" t="s">
        <v>1974</v>
      </c>
      <c r="F1423" s="21" t="s">
        <v>1288</v>
      </c>
      <c r="G1423" s="22"/>
    </row>
    <row r="1424" spans="1:27" s="3" customFormat="1" ht="17.399999999999999" hidden="1" customHeight="1" outlineLevel="1" thickBot="1" x14ac:dyDescent="0.3">
      <c r="A1424" s="5"/>
      <c r="B1424" s="19" t="s">
        <v>1290</v>
      </c>
      <c r="C1424" s="23" t="s">
        <v>1291</v>
      </c>
      <c r="D1424" s="21" t="s">
        <v>1292</v>
      </c>
      <c r="E1424" s="23">
        <v>5</v>
      </c>
      <c r="F1424" s="21" t="s">
        <v>1293</v>
      </c>
      <c r="G1424" s="24" t="s">
        <v>1294</v>
      </c>
    </row>
    <row r="1425" spans="1:14" s="3" customFormat="1" ht="17.399999999999999" hidden="1" customHeight="1" outlineLevel="1" x14ac:dyDescent="0.25">
      <c r="A1425" s="5"/>
      <c r="B1425" s="401" t="s">
        <v>1</v>
      </c>
      <c r="C1425" s="402"/>
      <c r="D1425" s="402"/>
      <c r="E1425" s="402"/>
      <c r="F1425" s="402"/>
      <c r="G1425" s="403"/>
    </row>
    <row r="1426" spans="1:14" s="3" customFormat="1" ht="17.399999999999999" hidden="1" customHeight="1" outlineLevel="1" x14ac:dyDescent="0.25">
      <c r="A1426" s="5"/>
      <c r="B1426" s="25" t="s">
        <v>2</v>
      </c>
      <c r="C1426" s="26" t="s">
        <v>3</v>
      </c>
      <c r="D1426" s="26" t="s">
        <v>4</v>
      </c>
      <c r="E1426" s="26" t="s">
        <v>5</v>
      </c>
      <c r="F1426" s="26"/>
      <c r="G1426" s="27" t="s">
        <v>6</v>
      </c>
    </row>
    <row r="1427" spans="1:14" s="3" customFormat="1" hidden="1" outlineLevel="1" x14ac:dyDescent="0.25">
      <c r="B1427" s="28" t="s">
        <v>7</v>
      </c>
      <c r="C1427" s="29" t="s">
        <v>1468</v>
      </c>
      <c r="D1427" s="29" t="s">
        <v>1469</v>
      </c>
      <c r="E1427" s="29">
        <v>0</v>
      </c>
      <c r="F1427" s="29" t="s">
        <v>1470</v>
      </c>
      <c r="G1427" s="30" t="s">
        <v>1471</v>
      </c>
      <c r="J1427" s="3" t="s">
        <v>10</v>
      </c>
      <c r="K1427" s="3" t="s">
        <v>173</v>
      </c>
      <c r="L1427" s="3" t="s">
        <v>9</v>
      </c>
      <c r="M1427" s="3" t="s">
        <v>9</v>
      </c>
      <c r="N1427" s="3">
        <v>1112</v>
      </c>
    </row>
    <row r="1428" spans="1:14" s="3" customFormat="1" hidden="1" outlineLevel="1" x14ac:dyDescent="0.25">
      <c r="B1428" s="28" t="s">
        <v>265</v>
      </c>
      <c r="C1428" s="29" t="s">
        <v>1692</v>
      </c>
      <c r="D1428" s="29" t="s">
        <v>1606</v>
      </c>
      <c r="E1428" s="29" t="s">
        <v>1594</v>
      </c>
      <c r="F1428" s="29" t="s">
        <v>1470</v>
      </c>
      <c r="G1428" s="30"/>
      <c r="J1428" s="3" t="s">
        <v>187</v>
      </c>
      <c r="K1428" s="3" t="s">
        <v>438</v>
      </c>
      <c r="L1428" s="3" t="s">
        <v>537</v>
      </c>
      <c r="M1428" s="3" t="s">
        <v>187</v>
      </c>
      <c r="N1428" s="3">
        <v>1114</v>
      </c>
    </row>
    <row r="1429" spans="1:14" s="3" customFormat="1" hidden="1" outlineLevel="1" x14ac:dyDescent="0.25">
      <c r="B1429" s="28" t="s">
        <v>11</v>
      </c>
      <c r="C1429" s="29" t="s">
        <v>1472</v>
      </c>
      <c r="D1429" s="29" t="s">
        <v>1469</v>
      </c>
      <c r="E1429" s="29">
        <v>0</v>
      </c>
      <c r="F1429" s="29" t="s">
        <v>1470</v>
      </c>
      <c r="G1429" s="30" t="s">
        <v>1473</v>
      </c>
      <c r="J1429" s="3" t="s">
        <v>12</v>
      </c>
      <c r="K1429" s="3" t="s">
        <v>174</v>
      </c>
      <c r="L1429" s="3" t="s">
        <v>175</v>
      </c>
      <c r="M1429" s="3" t="s">
        <v>176</v>
      </c>
      <c r="N1429" s="3">
        <v>1700</v>
      </c>
    </row>
    <row r="1430" spans="1:14" s="3" customFormat="1" hidden="1" outlineLevel="1" x14ac:dyDescent="0.25">
      <c r="B1430" s="28" t="s">
        <v>302</v>
      </c>
      <c r="C1430" s="29" t="s">
        <v>1727</v>
      </c>
      <c r="D1430" s="29" t="s">
        <v>1606</v>
      </c>
      <c r="E1430" s="29" t="s">
        <v>1594</v>
      </c>
      <c r="F1430" s="29" t="s">
        <v>1470</v>
      </c>
      <c r="G1430" s="30"/>
      <c r="J1430" s="3" t="s">
        <v>187</v>
      </c>
      <c r="K1430" s="3" t="s">
        <v>438</v>
      </c>
      <c r="L1430" s="3" t="s">
        <v>537</v>
      </c>
      <c r="M1430" s="3" t="s">
        <v>187</v>
      </c>
      <c r="N1430" s="3">
        <v>1700</v>
      </c>
    </row>
    <row r="1431" spans="1:14" s="3" customFormat="1" hidden="1" outlineLevel="1" x14ac:dyDescent="0.25">
      <c r="B1431" s="28" t="s">
        <v>203</v>
      </c>
      <c r="C1431" s="29" t="s">
        <v>1635</v>
      </c>
      <c r="D1431" s="29" t="s">
        <v>1636</v>
      </c>
      <c r="E1431" s="29" t="s">
        <v>1637</v>
      </c>
      <c r="F1431" s="29" t="s">
        <v>1476</v>
      </c>
      <c r="G1431" s="30"/>
      <c r="J1431" s="3" t="s">
        <v>187</v>
      </c>
      <c r="K1431" s="3" t="s">
        <v>438</v>
      </c>
      <c r="L1431" s="3" t="s">
        <v>537</v>
      </c>
      <c r="M1431" s="3" t="s">
        <v>187</v>
      </c>
      <c r="N1431" s="3">
        <v>1041</v>
      </c>
    </row>
    <row r="1432" spans="1:14" s="3" customFormat="1" hidden="1" outlineLevel="1" x14ac:dyDescent="0.25">
      <c r="B1432" s="28" t="s">
        <v>128</v>
      </c>
      <c r="C1432" s="29" t="s">
        <v>1566</v>
      </c>
      <c r="D1432" s="29" t="s">
        <v>1567</v>
      </c>
      <c r="E1432" s="29">
        <v>0</v>
      </c>
      <c r="F1432" s="29" t="s">
        <v>1470</v>
      </c>
      <c r="G1432" s="30"/>
      <c r="J1432" s="3" t="s">
        <v>12</v>
      </c>
      <c r="K1432" s="3" t="s">
        <v>174</v>
      </c>
      <c r="L1432" s="3" t="s">
        <v>175</v>
      </c>
      <c r="M1432" s="3" t="s">
        <v>176</v>
      </c>
      <c r="N1432" s="3">
        <v>1629</v>
      </c>
    </row>
    <row r="1433" spans="1:14" s="3" customFormat="1" hidden="1" outlineLevel="1" x14ac:dyDescent="0.25">
      <c r="B1433" s="28" t="s">
        <v>114</v>
      </c>
      <c r="C1433" s="29" t="s">
        <v>1557</v>
      </c>
      <c r="D1433" s="29" t="s">
        <v>1469</v>
      </c>
      <c r="E1433" s="29">
        <v>-1</v>
      </c>
      <c r="F1433" s="29" t="s">
        <v>1470</v>
      </c>
      <c r="G1433" s="30"/>
      <c r="J1433" s="3" t="s">
        <v>10</v>
      </c>
      <c r="K1433" s="3" t="s">
        <v>173</v>
      </c>
      <c r="L1433" s="3" t="s">
        <v>9</v>
      </c>
      <c r="M1433" s="3" t="s">
        <v>9</v>
      </c>
      <c r="N1433" s="3">
        <v>2449</v>
      </c>
    </row>
    <row r="1434" spans="1:14" s="3" customFormat="1" hidden="1" outlineLevel="1" x14ac:dyDescent="0.25">
      <c r="B1434" s="28" t="s">
        <v>73</v>
      </c>
      <c r="C1434" s="29" t="s">
        <v>1528</v>
      </c>
      <c r="D1434" s="29" t="s">
        <v>1469</v>
      </c>
      <c r="E1434" s="29" t="s">
        <v>1480</v>
      </c>
      <c r="F1434" s="29" t="s">
        <v>1481</v>
      </c>
      <c r="G1434" s="30"/>
      <c r="J1434" s="3" t="s">
        <v>10</v>
      </c>
      <c r="K1434" s="3" t="s">
        <v>173</v>
      </c>
      <c r="L1434" s="3" t="s">
        <v>9</v>
      </c>
      <c r="M1434" s="3" t="s">
        <v>9</v>
      </c>
      <c r="N1434" s="3">
        <v>1767</v>
      </c>
    </row>
    <row r="1435" spans="1:14" s="3" customFormat="1" hidden="1" outlineLevel="1" x14ac:dyDescent="0.25">
      <c r="B1435" s="28" t="s">
        <v>74</v>
      </c>
      <c r="C1435" s="29" t="s">
        <v>1529</v>
      </c>
      <c r="D1435" s="29" t="s">
        <v>1469</v>
      </c>
      <c r="E1435" s="29" t="s">
        <v>1480</v>
      </c>
      <c r="F1435" s="29" t="s">
        <v>1481</v>
      </c>
      <c r="G1435" s="30"/>
      <c r="J1435" s="3" t="s">
        <v>10</v>
      </c>
      <c r="K1435" s="3" t="s">
        <v>173</v>
      </c>
      <c r="L1435" s="3" t="s">
        <v>9</v>
      </c>
      <c r="M1435" s="3" t="s">
        <v>9</v>
      </c>
      <c r="N1435" s="3">
        <v>1713</v>
      </c>
    </row>
    <row r="1436" spans="1:14" s="3" customFormat="1" ht="16.2" hidden="1" outlineLevel="1" thickBot="1" x14ac:dyDescent="0.3">
      <c r="B1436" s="28"/>
      <c r="C1436" s="29"/>
      <c r="D1436" s="29"/>
      <c r="E1436" s="29"/>
      <c r="F1436" s="29"/>
      <c r="G1436" s="30"/>
    </row>
    <row r="1437" spans="1:14" s="3" customFormat="1" ht="17.399999999999999" hidden="1" customHeight="1" outlineLevel="1" x14ac:dyDescent="0.25">
      <c r="A1437" s="5"/>
      <c r="B1437" s="401" t="s">
        <v>18</v>
      </c>
      <c r="C1437" s="402"/>
      <c r="D1437" s="402"/>
      <c r="E1437" s="402"/>
      <c r="F1437" s="402"/>
      <c r="G1437" s="403"/>
    </row>
    <row r="1438" spans="1:14" s="3" customFormat="1" ht="17.399999999999999" hidden="1" customHeight="1" outlineLevel="1" x14ac:dyDescent="0.25">
      <c r="A1438" s="5"/>
      <c r="B1438" s="25" t="s">
        <v>2</v>
      </c>
      <c r="C1438" s="26" t="s">
        <v>3</v>
      </c>
      <c r="D1438" s="26" t="s">
        <v>4</v>
      </c>
      <c r="E1438" s="26" t="s">
        <v>5</v>
      </c>
      <c r="F1438" s="26"/>
      <c r="G1438" s="27" t="s">
        <v>6</v>
      </c>
    </row>
    <row r="1439" spans="1:14" s="3" customFormat="1" ht="17.399999999999999" hidden="1" customHeight="1" outlineLevel="1" x14ac:dyDescent="0.25">
      <c r="A1439" s="5"/>
      <c r="B1439" s="326" t="s">
        <v>128</v>
      </c>
      <c r="C1439" s="26" t="s">
        <v>1566</v>
      </c>
      <c r="D1439" s="26" t="s">
        <v>1567</v>
      </c>
      <c r="E1439" s="26">
        <v>0</v>
      </c>
      <c r="F1439" s="26" t="s">
        <v>1470</v>
      </c>
      <c r="G1439" s="27"/>
    </row>
    <row r="1440" spans="1:14" s="3" customFormat="1" hidden="1" outlineLevel="1" x14ac:dyDescent="0.25">
      <c r="B1440" s="28" t="s">
        <v>16</v>
      </c>
      <c r="C1440" s="29" t="s">
        <v>1479</v>
      </c>
      <c r="D1440" s="29" t="s">
        <v>1469</v>
      </c>
      <c r="E1440" s="29" t="s">
        <v>1480</v>
      </c>
      <c r="F1440" s="29" t="s">
        <v>1481</v>
      </c>
      <c r="G1440" s="30" t="s">
        <v>1482</v>
      </c>
      <c r="H1440" s="3" t="str">
        <f t="shared" ref="H1440:H1464" si="6">"{"&amp;B1440&amp;"},"</f>
        <v>{初始化日期},</v>
      </c>
      <c r="J1440" s="3" t="s">
        <v>10</v>
      </c>
      <c r="K1440" s="3" t="s">
        <v>173</v>
      </c>
      <c r="L1440" s="3" t="s">
        <v>9</v>
      </c>
      <c r="M1440" s="3" t="s">
        <v>9</v>
      </c>
      <c r="N1440" s="3">
        <v>1211</v>
      </c>
    </row>
    <row r="1441" spans="2:14" s="3" customFormat="1" hidden="1" outlineLevel="1" x14ac:dyDescent="0.25">
      <c r="B1441" s="28" t="s">
        <v>7</v>
      </c>
      <c r="C1441" s="29" t="s">
        <v>1468</v>
      </c>
      <c r="D1441" s="29" t="s">
        <v>1469</v>
      </c>
      <c r="E1441" s="29">
        <v>0</v>
      </c>
      <c r="F1441" s="29" t="s">
        <v>1470</v>
      </c>
      <c r="G1441" s="30" t="s">
        <v>1471</v>
      </c>
      <c r="H1441" s="3" t="str">
        <f t="shared" si="6"/>
        <v>{产品编号},</v>
      </c>
      <c r="J1441" s="3" t="s">
        <v>10</v>
      </c>
      <c r="K1441" s="3" t="s">
        <v>173</v>
      </c>
      <c r="L1441" s="3" t="s">
        <v>9</v>
      </c>
      <c r="M1441" s="3" t="s">
        <v>9</v>
      </c>
      <c r="N1441" s="3">
        <v>1112</v>
      </c>
    </row>
    <row r="1442" spans="2:14" s="3" customFormat="1" hidden="1" outlineLevel="1" x14ac:dyDescent="0.25">
      <c r="B1442" s="28" t="s">
        <v>11</v>
      </c>
      <c r="C1442" s="29" t="s">
        <v>1472</v>
      </c>
      <c r="D1442" s="29" t="s">
        <v>1469</v>
      </c>
      <c r="E1442" s="29">
        <v>0</v>
      </c>
      <c r="F1442" s="29" t="s">
        <v>1470</v>
      </c>
      <c r="G1442" s="30" t="s">
        <v>1473</v>
      </c>
      <c r="H1442" s="3" t="str">
        <f t="shared" si="6"/>
        <v>{交易组编号},</v>
      </c>
      <c r="J1442" s="3" t="s">
        <v>12</v>
      </c>
      <c r="K1442" s="3" t="s">
        <v>174</v>
      </c>
      <c r="L1442" s="3" t="s">
        <v>175</v>
      </c>
      <c r="M1442" s="3" t="s">
        <v>176</v>
      </c>
      <c r="N1442" s="3">
        <v>1700</v>
      </c>
    </row>
    <row r="1443" spans="2:14" s="3" customFormat="1" hidden="1" outlineLevel="1" x14ac:dyDescent="0.25">
      <c r="B1443" s="28" t="s">
        <v>268</v>
      </c>
      <c r="C1443" s="29" t="s">
        <v>1695</v>
      </c>
      <c r="D1443" s="29" t="s">
        <v>1489</v>
      </c>
      <c r="E1443" s="29">
        <v>0</v>
      </c>
      <c r="F1443" s="29" t="s">
        <v>1470</v>
      </c>
      <c r="G1443" s="30"/>
      <c r="H1443" s="3" t="str">
        <f t="shared" si="6"/>
        <v>{净资产},</v>
      </c>
      <c r="J1443" s="3" t="s">
        <v>20</v>
      </c>
      <c r="K1443" s="3" t="s">
        <v>445</v>
      </c>
      <c r="L1443" s="3" t="s">
        <v>446</v>
      </c>
      <c r="M1443" s="3" t="s">
        <v>446</v>
      </c>
      <c r="N1443" s="3">
        <v>1741</v>
      </c>
    </row>
    <row r="1444" spans="2:14" s="3" customFormat="1" hidden="1" outlineLevel="1" x14ac:dyDescent="0.25">
      <c r="B1444" s="28" t="s">
        <v>303</v>
      </c>
      <c r="C1444" s="29" t="s">
        <v>1728</v>
      </c>
      <c r="D1444" s="29" t="s">
        <v>1486</v>
      </c>
      <c r="E1444" s="29">
        <v>0</v>
      </c>
      <c r="F1444" s="29"/>
      <c r="G1444" s="30"/>
      <c r="H1444" s="3" t="str">
        <f t="shared" si="6"/>
        <v>{交易组产品份额},</v>
      </c>
      <c r="J1444" s="3" t="s">
        <v>20</v>
      </c>
      <c r="K1444" s="3" t="s">
        <v>445</v>
      </c>
      <c r="L1444" s="3" t="s">
        <v>446</v>
      </c>
      <c r="M1444" s="3" t="s">
        <v>446</v>
      </c>
      <c r="N1444" s="3">
        <v>1702</v>
      </c>
    </row>
    <row r="1445" spans="2:14" s="3" customFormat="1" hidden="1" outlineLevel="1" x14ac:dyDescent="0.25">
      <c r="B1445" s="28" t="s">
        <v>269</v>
      </c>
      <c r="C1445" s="29" t="s">
        <v>1696</v>
      </c>
      <c r="D1445" s="29" t="s">
        <v>1489</v>
      </c>
      <c r="E1445" s="29">
        <v>0</v>
      </c>
      <c r="F1445" s="29" t="s">
        <v>1470</v>
      </c>
      <c r="G1445" s="30"/>
      <c r="H1445" s="3" t="str">
        <f t="shared" si="6"/>
        <v>{单位净值},</v>
      </c>
      <c r="J1445" s="3" t="s">
        <v>20</v>
      </c>
      <c r="K1445" s="3" t="s">
        <v>445</v>
      </c>
      <c r="L1445" s="3" t="s">
        <v>446</v>
      </c>
      <c r="M1445" s="3" t="s">
        <v>446</v>
      </c>
      <c r="N1445" s="3">
        <v>1244</v>
      </c>
    </row>
    <row r="1446" spans="2:14" s="3" customFormat="1" hidden="1" outlineLevel="1" x14ac:dyDescent="0.25">
      <c r="B1446" s="28" t="s">
        <v>270</v>
      </c>
      <c r="C1446" s="29" t="s">
        <v>1697</v>
      </c>
      <c r="D1446" s="29" t="s">
        <v>1489</v>
      </c>
      <c r="E1446" s="29">
        <v>0</v>
      </c>
      <c r="F1446" s="29"/>
      <c r="G1446" s="30"/>
      <c r="H1446" s="3" t="str">
        <f t="shared" si="6"/>
        <v>{昨日净值},</v>
      </c>
      <c r="J1446" s="3" t="s">
        <v>20</v>
      </c>
      <c r="K1446" s="3" t="s">
        <v>445</v>
      </c>
      <c r="L1446" s="3" t="s">
        <v>446</v>
      </c>
      <c r="M1446" s="3" t="s">
        <v>446</v>
      </c>
      <c r="N1446" s="3">
        <v>2595</v>
      </c>
    </row>
    <row r="1447" spans="2:14" s="3" customFormat="1" hidden="1" outlineLevel="1" x14ac:dyDescent="0.25">
      <c r="B1447" s="28" t="s">
        <v>271</v>
      </c>
      <c r="C1447" s="29" t="s">
        <v>1698</v>
      </c>
      <c r="D1447" s="29" t="s">
        <v>1494</v>
      </c>
      <c r="E1447" s="29">
        <v>0</v>
      </c>
      <c r="F1447" s="29"/>
      <c r="G1447" s="30"/>
      <c r="H1447" s="3" t="str">
        <f t="shared" si="6"/>
        <v>{净值波动},</v>
      </c>
      <c r="J1447" s="3" t="s">
        <v>20</v>
      </c>
      <c r="K1447" s="3" t="s">
        <v>445</v>
      </c>
      <c r="L1447" s="3" t="s">
        <v>446</v>
      </c>
      <c r="M1447" s="3" t="s">
        <v>446</v>
      </c>
      <c r="N1447" s="3">
        <v>1739</v>
      </c>
    </row>
    <row r="1448" spans="2:14" s="3" customFormat="1" hidden="1" outlineLevel="1" x14ac:dyDescent="0.25">
      <c r="B1448" s="28" t="s">
        <v>272</v>
      </c>
      <c r="C1448" s="29" t="s">
        <v>1699</v>
      </c>
      <c r="D1448" s="29" t="s">
        <v>1489</v>
      </c>
      <c r="E1448" s="29">
        <v>0</v>
      </c>
      <c r="F1448" s="29"/>
      <c r="G1448" s="30"/>
      <c r="H1448" s="3" t="str">
        <f t="shared" si="6"/>
        <v>{现金资产},</v>
      </c>
      <c r="J1448" s="3" t="s">
        <v>20</v>
      </c>
      <c r="K1448" s="3" t="s">
        <v>445</v>
      </c>
      <c r="L1448" s="3" t="s">
        <v>446</v>
      </c>
      <c r="M1448" s="3" t="s">
        <v>446</v>
      </c>
      <c r="N1448" s="3">
        <v>2309</v>
      </c>
    </row>
    <row r="1449" spans="2:14" s="3" customFormat="1" hidden="1" outlineLevel="1" x14ac:dyDescent="0.25">
      <c r="B1449" s="28" t="s">
        <v>273</v>
      </c>
      <c r="C1449" s="29" t="s">
        <v>1700</v>
      </c>
      <c r="D1449" s="29" t="s">
        <v>1489</v>
      </c>
      <c r="E1449" s="29">
        <v>0</v>
      </c>
      <c r="F1449" s="29" t="s">
        <v>1470</v>
      </c>
      <c r="G1449" s="30"/>
      <c r="H1449" s="3" t="str">
        <f t="shared" si="6"/>
        <v>{股票资产},</v>
      </c>
      <c r="J1449" s="3" t="s">
        <v>20</v>
      </c>
      <c r="K1449" s="3" t="s">
        <v>445</v>
      </c>
      <c r="L1449" s="3" t="s">
        <v>446</v>
      </c>
      <c r="M1449" s="3" t="s">
        <v>446</v>
      </c>
      <c r="N1449" s="3">
        <v>1511</v>
      </c>
    </row>
    <row r="1450" spans="2:14" s="3" customFormat="1" hidden="1" outlineLevel="1" x14ac:dyDescent="0.25">
      <c r="B1450" s="28" t="s">
        <v>274</v>
      </c>
      <c r="C1450" s="29" t="s">
        <v>1701</v>
      </c>
      <c r="D1450" s="29" t="s">
        <v>1489</v>
      </c>
      <c r="E1450" s="29">
        <v>0</v>
      </c>
      <c r="F1450" s="29" t="s">
        <v>1470</v>
      </c>
      <c r="G1450" s="30"/>
      <c r="H1450" s="3" t="str">
        <f t="shared" si="6"/>
        <v>{债券资产},</v>
      </c>
      <c r="J1450" s="3" t="s">
        <v>20</v>
      </c>
      <c r="K1450" s="3" t="s">
        <v>445</v>
      </c>
      <c r="L1450" s="3" t="s">
        <v>446</v>
      </c>
      <c r="M1450" s="3" t="s">
        <v>446</v>
      </c>
      <c r="N1450" s="3">
        <v>2402</v>
      </c>
    </row>
    <row r="1451" spans="2:14" s="3" customFormat="1" hidden="1" outlineLevel="1" x14ac:dyDescent="0.25">
      <c r="B1451" s="28" t="s">
        <v>275</v>
      </c>
      <c r="C1451" s="29" t="s">
        <v>1702</v>
      </c>
      <c r="D1451" s="29" t="s">
        <v>1489</v>
      </c>
      <c r="E1451" s="29">
        <v>0</v>
      </c>
      <c r="F1451" s="29" t="s">
        <v>1470</v>
      </c>
      <c r="G1451" s="30"/>
      <c r="H1451" s="3" t="str">
        <f t="shared" si="6"/>
        <v>{基金资产},</v>
      </c>
      <c r="J1451" s="3" t="s">
        <v>20</v>
      </c>
      <c r="K1451" s="3" t="s">
        <v>445</v>
      </c>
      <c r="L1451" s="3" t="s">
        <v>446</v>
      </c>
      <c r="M1451" s="3" t="s">
        <v>446</v>
      </c>
      <c r="N1451" s="3">
        <v>1618</v>
      </c>
    </row>
    <row r="1452" spans="2:14" s="3" customFormat="1" hidden="1" outlineLevel="1" x14ac:dyDescent="0.25">
      <c r="B1452" s="185" t="s">
        <v>276</v>
      </c>
      <c r="C1452" s="23" t="s">
        <v>1703</v>
      </c>
      <c r="D1452" s="23" t="s">
        <v>1489</v>
      </c>
      <c r="E1452" s="29">
        <v>0</v>
      </c>
      <c r="F1452" s="29"/>
      <c r="G1452" s="30"/>
    </row>
    <row r="1453" spans="2:14" s="3" customFormat="1" hidden="1" outlineLevel="1" x14ac:dyDescent="0.25">
      <c r="B1453" s="185" t="s">
        <v>277</v>
      </c>
      <c r="C1453" s="23" t="s">
        <v>1704</v>
      </c>
      <c r="D1453" s="23" t="s">
        <v>1489</v>
      </c>
      <c r="E1453" s="29">
        <v>0</v>
      </c>
      <c r="F1453" s="29"/>
      <c r="G1453" s="30"/>
    </row>
    <row r="1454" spans="2:14" s="3" customFormat="1" hidden="1" outlineLevel="1" x14ac:dyDescent="0.25">
      <c r="B1454" s="28" t="s">
        <v>278</v>
      </c>
      <c r="C1454" s="29" t="s">
        <v>1705</v>
      </c>
      <c r="D1454" s="29" t="s">
        <v>1489</v>
      </c>
      <c r="E1454" s="29">
        <v>0</v>
      </c>
      <c r="F1454" s="29"/>
      <c r="G1454" s="30"/>
      <c r="H1454" s="3" t="str">
        <f t="shared" si="6"/>
        <v>{回购资产},</v>
      </c>
      <c r="J1454" s="3" t="s">
        <v>20</v>
      </c>
      <c r="K1454" s="3" t="s">
        <v>445</v>
      </c>
      <c r="L1454" s="3" t="s">
        <v>446</v>
      </c>
      <c r="M1454" s="3" t="s">
        <v>446</v>
      </c>
      <c r="N1454" s="3">
        <v>1599</v>
      </c>
    </row>
    <row r="1455" spans="2:14" s="3" customFormat="1" hidden="1" outlineLevel="1" x14ac:dyDescent="0.25">
      <c r="B1455" s="28" t="s">
        <v>279</v>
      </c>
      <c r="C1455" s="29" t="s">
        <v>1706</v>
      </c>
      <c r="D1455" s="29" t="s">
        <v>1489</v>
      </c>
      <c r="E1455" s="29">
        <v>0</v>
      </c>
      <c r="F1455" s="29" t="s">
        <v>1470</v>
      </c>
      <c r="G1455" s="30"/>
      <c r="H1455" s="3" t="str">
        <f t="shared" si="6"/>
        <v>{其他资产},</v>
      </c>
      <c r="J1455" s="3" t="s">
        <v>20</v>
      </c>
      <c r="K1455" s="3" t="s">
        <v>445</v>
      </c>
      <c r="L1455" s="3" t="s">
        <v>446</v>
      </c>
      <c r="M1455" s="3" t="s">
        <v>446</v>
      </c>
      <c r="N1455" s="3">
        <v>1997</v>
      </c>
    </row>
    <row r="1456" spans="2:14" s="3" customFormat="1" hidden="1" outlineLevel="1" x14ac:dyDescent="0.25">
      <c r="B1456" s="28" t="s">
        <v>281</v>
      </c>
      <c r="C1456" s="29" t="s">
        <v>1708</v>
      </c>
      <c r="D1456" s="29" t="s">
        <v>1489</v>
      </c>
      <c r="E1456" s="29">
        <v>0</v>
      </c>
      <c r="F1456" s="29" t="s">
        <v>1470</v>
      </c>
      <c r="G1456" s="30"/>
      <c r="H1456" s="3" t="str">
        <f t="shared" si="6"/>
        <v>{期货资产},</v>
      </c>
      <c r="J1456" s="3" t="s">
        <v>20</v>
      </c>
      <c r="K1456" s="3" t="s">
        <v>445</v>
      </c>
      <c r="L1456" s="3" t="s">
        <v>446</v>
      </c>
      <c r="M1456" s="3" t="s">
        <v>446</v>
      </c>
      <c r="N1456" s="3">
        <v>1842</v>
      </c>
    </row>
    <row r="1457" spans="2:14" s="3" customFormat="1" hidden="1" outlineLevel="1" x14ac:dyDescent="0.25">
      <c r="B1457" s="28" t="s">
        <v>280</v>
      </c>
      <c r="C1457" s="29" t="s">
        <v>1707</v>
      </c>
      <c r="D1457" s="29" t="s">
        <v>1489</v>
      </c>
      <c r="E1457" s="29">
        <v>0</v>
      </c>
      <c r="F1457" s="29"/>
      <c r="G1457" s="30"/>
      <c r="H1457" s="3" t="str">
        <f t="shared" si="6"/>
        <v>{港股通资产},</v>
      </c>
      <c r="J1457" s="3" t="s">
        <v>20</v>
      </c>
      <c r="K1457" s="3" t="s">
        <v>445</v>
      </c>
      <c r="L1457" s="3" t="s">
        <v>446</v>
      </c>
      <c r="M1457" s="3" t="s">
        <v>446</v>
      </c>
      <c r="N1457" s="3">
        <v>1843</v>
      </c>
    </row>
    <row r="1458" spans="2:14" s="3" customFormat="1" hidden="1" outlineLevel="1" x14ac:dyDescent="0.25">
      <c r="B1458" s="28" t="s">
        <v>282</v>
      </c>
      <c r="C1458" s="29" t="s">
        <v>1709</v>
      </c>
      <c r="D1458" s="29" t="s">
        <v>1489</v>
      </c>
      <c r="E1458" s="29">
        <v>0</v>
      </c>
      <c r="F1458" s="29"/>
      <c r="G1458" s="30"/>
      <c r="H1458" s="3" t="str">
        <f t="shared" si="6"/>
        <v>{可分配金额},</v>
      </c>
      <c r="J1458" s="3" t="s">
        <v>20</v>
      </c>
      <c r="K1458" s="3" t="s">
        <v>445</v>
      </c>
      <c r="L1458" s="3" t="s">
        <v>446</v>
      </c>
      <c r="M1458" s="3" t="s">
        <v>446</v>
      </c>
      <c r="N1458" s="3">
        <v>1774</v>
      </c>
    </row>
    <row r="1459" spans="2:14" s="3" customFormat="1" hidden="1" outlineLevel="1" x14ac:dyDescent="0.25">
      <c r="B1459" s="28" t="s">
        <v>203</v>
      </c>
      <c r="C1459" s="29" t="s">
        <v>1635</v>
      </c>
      <c r="D1459" s="29" t="s">
        <v>1636</v>
      </c>
      <c r="E1459" s="29" t="s">
        <v>1637</v>
      </c>
      <c r="F1459" s="29" t="s">
        <v>1476</v>
      </c>
      <c r="G1459" s="30"/>
      <c r="H1459" s="3" t="str">
        <f t="shared" si="6"/>
        <v>{本币币种},</v>
      </c>
      <c r="J1459" s="3" t="s">
        <v>187</v>
      </c>
      <c r="K1459" s="3" t="s">
        <v>438</v>
      </c>
      <c r="L1459" s="3" t="s">
        <v>537</v>
      </c>
      <c r="M1459" s="3" t="s">
        <v>187</v>
      </c>
      <c r="N1459" s="3">
        <v>1041</v>
      </c>
    </row>
    <row r="1460" spans="2:14" s="3" customFormat="1" hidden="1" outlineLevel="1" x14ac:dyDescent="0.25">
      <c r="B1460" s="28" t="s">
        <v>64</v>
      </c>
      <c r="C1460" s="29" t="s">
        <v>1527</v>
      </c>
      <c r="D1460" s="29" t="s">
        <v>1489</v>
      </c>
      <c r="E1460" s="29">
        <v>0</v>
      </c>
      <c r="F1460" s="29"/>
      <c r="G1460" s="30"/>
      <c r="H1460" s="3" t="str">
        <f t="shared" si="6"/>
        <v>{当日盈亏},</v>
      </c>
      <c r="J1460" s="3" t="s">
        <v>20</v>
      </c>
      <c r="K1460" s="3" t="s">
        <v>445</v>
      </c>
      <c r="L1460" s="3" t="s">
        <v>446</v>
      </c>
      <c r="M1460" s="3" t="s">
        <v>446</v>
      </c>
      <c r="N1460" s="3">
        <v>1274</v>
      </c>
    </row>
    <row r="1461" spans="2:14" s="3" customFormat="1" hidden="1" outlineLevel="1" x14ac:dyDescent="0.25">
      <c r="B1461" s="28" t="s">
        <v>283</v>
      </c>
      <c r="C1461" s="29" t="s">
        <v>1710</v>
      </c>
      <c r="D1461" s="29" t="s">
        <v>1494</v>
      </c>
      <c r="E1461" s="29">
        <v>0</v>
      </c>
      <c r="F1461" s="29" t="s">
        <v>1470</v>
      </c>
      <c r="G1461" s="30"/>
      <c r="H1461" s="3" t="str">
        <f t="shared" si="6"/>
        <v>{当日收益率},</v>
      </c>
      <c r="J1461" s="3" t="s">
        <v>20</v>
      </c>
      <c r="K1461" s="3" t="s">
        <v>445</v>
      </c>
      <c r="L1461" s="3" t="s">
        <v>446</v>
      </c>
      <c r="M1461" s="3" t="s">
        <v>446</v>
      </c>
    </row>
    <row r="1462" spans="2:14" s="3" customFormat="1" hidden="1" outlineLevel="1" x14ac:dyDescent="0.25">
      <c r="B1462" s="28" t="s">
        <v>304</v>
      </c>
      <c r="C1462" s="29" t="s">
        <v>1729</v>
      </c>
      <c r="D1462" s="29" t="s">
        <v>1489</v>
      </c>
      <c r="E1462" s="29">
        <v>0</v>
      </c>
      <c r="F1462" s="29"/>
      <c r="G1462" s="30"/>
      <c r="H1462" s="3" t="str">
        <f t="shared" si="6"/>
        <v>{累计实现收益},</v>
      </c>
      <c r="J1462" s="3" t="s">
        <v>20</v>
      </c>
      <c r="K1462" s="3" t="s">
        <v>445</v>
      </c>
      <c r="L1462" s="3" t="s">
        <v>446</v>
      </c>
      <c r="M1462" s="3" t="s">
        <v>446</v>
      </c>
      <c r="N1462" s="3">
        <v>1840</v>
      </c>
    </row>
    <row r="1463" spans="2:14" s="3" customFormat="1" hidden="1" outlineLevel="1" x14ac:dyDescent="0.25">
      <c r="B1463" s="28" t="s">
        <v>305</v>
      </c>
      <c r="C1463" s="29" t="s">
        <v>1730</v>
      </c>
      <c r="D1463" s="29" t="s">
        <v>1494</v>
      </c>
      <c r="E1463" s="29">
        <v>0</v>
      </c>
      <c r="F1463" s="29"/>
      <c r="G1463" s="30"/>
      <c r="H1463" s="3" t="str">
        <f t="shared" si="6"/>
        <v>{累计收益率},</v>
      </c>
      <c r="J1463" s="3" t="s">
        <v>20</v>
      </c>
      <c r="K1463" s="3" t="s">
        <v>445</v>
      </c>
      <c r="L1463" s="3" t="s">
        <v>446</v>
      </c>
      <c r="M1463" s="3" t="s">
        <v>446</v>
      </c>
      <c r="N1463" s="3">
        <v>1841</v>
      </c>
    </row>
    <row r="1464" spans="2:14" s="3" customFormat="1" hidden="1" outlineLevel="1" x14ac:dyDescent="0.25">
      <c r="B1464" s="28" t="s">
        <v>306</v>
      </c>
      <c r="C1464" s="29" t="s">
        <v>1731</v>
      </c>
      <c r="D1464" s="29" t="s">
        <v>1494</v>
      </c>
      <c r="E1464" s="29">
        <v>0</v>
      </c>
      <c r="F1464" s="29"/>
      <c r="G1464" s="30"/>
      <c r="H1464" s="3" t="str">
        <f t="shared" si="6"/>
        <v>{持股比例},</v>
      </c>
      <c r="J1464" s="3" t="s">
        <v>20</v>
      </c>
      <c r="K1464" s="3" t="s">
        <v>445</v>
      </c>
      <c r="L1464" s="3" t="s">
        <v>446</v>
      </c>
      <c r="M1464" s="3" t="s">
        <v>446</v>
      </c>
      <c r="N1464" s="3">
        <v>1208</v>
      </c>
    </row>
    <row r="1465" spans="2:14" s="3" customFormat="1" hidden="1" outlineLevel="1" x14ac:dyDescent="0.25">
      <c r="B1465" s="28" t="s">
        <v>288</v>
      </c>
      <c r="C1465" s="29" t="s">
        <v>1715</v>
      </c>
      <c r="D1465" s="29" t="s">
        <v>1489</v>
      </c>
      <c r="E1465" s="29">
        <v>0</v>
      </c>
      <c r="F1465" s="29" t="s">
        <v>1470</v>
      </c>
      <c r="G1465" s="30"/>
    </row>
    <row r="1466" spans="2:14" s="3" customFormat="1" hidden="1" outlineLevel="1" x14ac:dyDescent="0.25">
      <c r="B1466" s="28" t="s">
        <v>289</v>
      </c>
      <c r="C1466" s="29" t="s">
        <v>1716</v>
      </c>
      <c r="D1466" s="29" t="s">
        <v>1489</v>
      </c>
      <c r="E1466" s="29">
        <v>0</v>
      </c>
      <c r="F1466" s="29" t="s">
        <v>1470</v>
      </c>
      <c r="G1466" s="30"/>
    </row>
    <row r="1467" spans="2:14" s="3" customFormat="1" hidden="1" outlineLevel="1" x14ac:dyDescent="0.25">
      <c r="B1467" s="28" t="s">
        <v>290</v>
      </c>
      <c r="C1467" s="29" t="s">
        <v>1717</v>
      </c>
      <c r="D1467" s="29" t="s">
        <v>1489</v>
      </c>
      <c r="E1467" s="29">
        <v>0</v>
      </c>
      <c r="F1467" s="29"/>
      <c r="G1467" s="30"/>
    </row>
    <row r="1468" spans="2:14" s="3" customFormat="1" hidden="1" outlineLevel="1" x14ac:dyDescent="0.25">
      <c r="B1468" s="28" t="s">
        <v>291</v>
      </c>
      <c r="C1468" s="29" t="s">
        <v>1718</v>
      </c>
      <c r="D1468" s="29" t="s">
        <v>1489</v>
      </c>
      <c r="E1468" s="29">
        <v>0</v>
      </c>
      <c r="F1468" s="29" t="s">
        <v>1470</v>
      </c>
      <c r="G1468" s="30"/>
    </row>
    <row r="1469" spans="2:14" s="3" customFormat="1" hidden="1" outlineLevel="1" x14ac:dyDescent="0.25">
      <c r="B1469" s="267" t="s">
        <v>292</v>
      </c>
      <c r="C1469" s="268" t="s">
        <v>1719</v>
      </c>
      <c r="D1469" s="268" t="s">
        <v>1489</v>
      </c>
      <c r="E1469" s="268">
        <v>0</v>
      </c>
      <c r="F1469" s="268" t="s">
        <v>1470</v>
      </c>
      <c r="G1469" s="269"/>
    </row>
    <row r="1470" spans="2:14" s="3" customFormat="1" hidden="1" outlineLevel="1" x14ac:dyDescent="0.25">
      <c r="B1470" s="28" t="s">
        <v>293</v>
      </c>
      <c r="C1470" s="29" t="s">
        <v>1720</v>
      </c>
      <c r="D1470" s="29" t="s">
        <v>1489</v>
      </c>
      <c r="E1470" s="29">
        <v>0</v>
      </c>
      <c r="F1470" s="29"/>
      <c r="G1470" s="30"/>
    </row>
    <row r="1471" spans="2:14" hidden="1" outlineLevel="1" x14ac:dyDescent="0.25">
      <c r="B1471" s="320" t="s">
        <v>294</v>
      </c>
      <c r="C1471" s="321" t="s">
        <v>1721</v>
      </c>
      <c r="D1471" s="321" t="s">
        <v>1489</v>
      </c>
      <c r="E1471" s="321">
        <v>0</v>
      </c>
      <c r="F1471" s="321"/>
      <c r="G1471" s="258"/>
    </row>
    <row r="1472" spans="2:14" hidden="1" outlineLevel="1" x14ac:dyDescent="0.25">
      <c r="B1472" s="322" t="s">
        <v>295</v>
      </c>
      <c r="C1472" s="323" t="s">
        <v>1722</v>
      </c>
      <c r="D1472" s="321" t="s">
        <v>1489</v>
      </c>
      <c r="E1472" s="321">
        <v>0</v>
      </c>
      <c r="F1472" s="321"/>
      <c r="G1472" s="258"/>
    </row>
    <row r="1473" spans="1:27" hidden="1" outlineLevel="1" x14ac:dyDescent="0.25">
      <c r="B1473" s="322" t="s">
        <v>296</v>
      </c>
      <c r="C1473" s="323" t="s">
        <v>1723</v>
      </c>
      <c r="D1473" s="321" t="s">
        <v>1489</v>
      </c>
      <c r="E1473" s="321">
        <v>0</v>
      </c>
      <c r="F1473" s="321"/>
      <c r="G1473" s="258"/>
    </row>
    <row r="1474" spans="1:27" s="3" customFormat="1" hidden="1" outlineLevel="1" x14ac:dyDescent="0.25">
      <c r="B1474" s="28" t="s">
        <v>307</v>
      </c>
      <c r="C1474" s="29" t="s">
        <v>1732</v>
      </c>
      <c r="D1474" s="321" t="s">
        <v>1489</v>
      </c>
      <c r="E1474" s="29">
        <v>0</v>
      </c>
      <c r="F1474" s="29" t="s">
        <v>2336</v>
      </c>
      <c r="G1474" s="30"/>
    </row>
    <row r="1475" spans="1:27" s="3" customFormat="1" hidden="1" outlineLevel="1" x14ac:dyDescent="0.25">
      <c r="B1475" s="324" t="s">
        <v>298</v>
      </c>
      <c r="C1475" s="29" t="s">
        <v>1725</v>
      </c>
      <c r="D1475" s="29" t="s">
        <v>1489</v>
      </c>
      <c r="E1475" s="29">
        <v>0</v>
      </c>
      <c r="F1475" s="29" t="s">
        <v>2336</v>
      </c>
      <c r="G1475" s="30"/>
    </row>
    <row r="1476" spans="1:27" hidden="1" outlineLevel="1" x14ac:dyDescent="0.25">
      <c r="B1476" s="324" t="s">
        <v>299</v>
      </c>
      <c r="C1476" s="321" t="s">
        <v>1726</v>
      </c>
      <c r="D1476" s="321" t="s">
        <v>1489</v>
      </c>
      <c r="E1476" s="321">
        <v>0</v>
      </c>
      <c r="F1476" s="321" t="s">
        <v>2336</v>
      </c>
      <c r="G1476" s="258"/>
    </row>
    <row r="1477" spans="1:27" s="3" customFormat="1" ht="16.2" hidden="1" outlineLevel="1" thickBot="1" x14ac:dyDescent="0.3">
      <c r="B1477" s="267"/>
      <c r="C1477" s="268"/>
      <c r="D1477" s="268"/>
      <c r="E1477" s="268"/>
      <c r="F1477" s="268"/>
      <c r="G1477" s="269"/>
    </row>
    <row r="1478" spans="1:27" s="7" customFormat="1" ht="17.399999999999999" hidden="1" customHeight="1" outlineLevel="1" x14ac:dyDescent="0.25">
      <c r="A1478" s="14"/>
      <c r="B1478" s="407" t="s">
        <v>29</v>
      </c>
      <c r="C1478" s="408"/>
      <c r="D1478" s="408"/>
      <c r="E1478" s="408"/>
      <c r="F1478" s="408"/>
      <c r="G1478" s="409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</row>
    <row r="1479" spans="1:27" s="7" customFormat="1" ht="16.5" hidden="1" customHeight="1" outlineLevel="1" x14ac:dyDescent="0.25">
      <c r="A1479" s="14"/>
      <c r="B1479" s="308" t="s">
        <v>559</v>
      </c>
      <c r="C1479" s="309"/>
      <c r="D1479" s="309"/>
      <c r="E1479" s="309"/>
      <c r="F1479" s="309"/>
      <c r="G1479" s="310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</row>
    <row r="1480" spans="1:27" s="7" customFormat="1" ht="17.399999999999999" hidden="1" customHeight="1" outlineLevel="1" thickBot="1" x14ac:dyDescent="0.3">
      <c r="A1480" s="14"/>
      <c r="B1480" s="305" t="s">
        <v>560</v>
      </c>
      <c r="C1480" s="306"/>
      <c r="D1480" s="306"/>
      <c r="E1480" s="306"/>
      <c r="F1480" s="306"/>
      <c r="G1480" s="307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</row>
    <row r="1481" spans="1:27" s="7" customFormat="1" ht="16.5" hidden="1" customHeight="1" outlineLevel="1" x14ac:dyDescent="0.25">
      <c r="A1481" s="14"/>
      <c r="B1481" s="308" t="s">
        <v>561</v>
      </c>
      <c r="C1481" s="309"/>
      <c r="D1481" s="309"/>
      <c r="E1481" s="309"/>
      <c r="F1481" s="309"/>
      <c r="G1481" s="310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</row>
    <row r="1482" spans="1:27" s="3" customFormat="1" hidden="1" outlineLevel="1" x14ac:dyDescent="0.25">
      <c r="B1482" s="28"/>
      <c r="C1482" s="29"/>
      <c r="D1482" s="29"/>
      <c r="E1482" s="29"/>
      <c r="F1482" s="29"/>
      <c r="G1482" s="30"/>
    </row>
    <row r="1483" spans="1:27" s="3" customFormat="1" hidden="1" outlineLevel="1" x14ac:dyDescent="0.25">
      <c r="B1483" s="28" t="s">
        <v>633</v>
      </c>
      <c r="C1483" s="29"/>
      <c r="D1483" s="29"/>
      <c r="E1483" s="29"/>
      <c r="F1483" s="29"/>
      <c r="G1483" s="375" t="s">
        <v>2437</v>
      </c>
    </row>
    <row r="1484" spans="1:27" s="3" customFormat="1" hidden="1" outlineLevel="1" x14ac:dyDescent="0.25">
      <c r="B1484" s="28"/>
      <c r="C1484" s="29"/>
      <c r="D1484" s="29"/>
      <c r="E1484" s="29"/>
      <c r="F1484" s="29"/>
      <c r="G1484" s="30"/>
    </row>
    <row r="1485" spans="1:27" s="3" customFormat="1" hidden="1" outlineLevel="1" x14ac:dyDescent="0.25">
      <c r="B1485" s="28"/>
      <c r="C1485" s="29"/>
      <c r="D1485" s="29"/>
      <c r="E1485" s="29"/>
      <c r="F1485" s="29"/>
      <c r="G1485" s="30"/>
    </row>
    <row r="1486" spans="1:27" s="3" customFormat="1" ht="16.2" hidden="1" outlineLevel="1" thickBot="1" x14ac:dyDescent="0.3">
      <c r="B1486" s="163"/>
      <c r="C1486" s="164"/>
      <c r="D1486" s="164"/>
      <c r="E1486" s="164"/>
      <c r="F1486" s="164"/>
      <c r="G1486" s="165"/>
    </row>
    <row r="1487" spans="1:27" s="7" customFormat="1" ht="17.399999999999999" hidden="1" customHeight="1" outlineLevel="1" x14ac:dyDescent="0.25">
      <c r="A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</row>
    <row r="1488" spans="1:27" ht="16.2" hidden="1" outlineLevel="1" thickBot="1" x14ac:dyDescent="0.3"/>
    <row r="1489" spans="1:27" s="3" customFormat="1" ht="18.75" customHeight="1" collapsed="1" thickBot="1" x14ac:dyDescent="0.3">
      <c r="A1489" s="5"/>
      <c r="B1489" s="15" t="s">
        <v>1279</v>
      </c>
      <c r="C1489" s="16" t="s">
        <v>1975</v>
      </c>
      <c r="D1489" s="17" t="s">
        <v>1281</v>
      </c>
      <c r="E1489" s="16" t="s">
        <v>634</v>
      </c>
      <c r="F1489" s="17" t="s">
        <v>1282</v>
      </c>
      <c r="G1489" s="18" t="s">
        <v>1976</v>
      </c>
    </row>
    <row r="1490" spans="1:27" s="3" customFormat="1" ht="17.399999999999999" hidden="1" customHeight="1" outlineLevel="1" x14ac:dyDescent="0.25">
      <c r="A1490" s="5"/>
      <c r="B1490" s="19" t="s">
        <v>1284</v>
      </c>
      <c r="C1490" s="20" t="s">
        <v>1285</v>
      </c>
      <c r="D1490" s="21" t="s">
        <v>1286</v>
      </c>
      <c r="E1490" s="20" t="s">
        <v>1977</v>
      </c>
      <c r="F1490" s="21" t="s">
        <v>1288</v>
      </c>
      <c r="G1490" s="22" t="s">
        <v>1397</v>
      </c>
    </row>
    <row r="1491" spans="1:27" s="3" customFormat="1" ht="17.399999999999999" hidden="1" customHeight="1" outlineLevel="1" thickBot="1" x14ac:dyDescent="0.3">
      <c r="A1491" s="5"/>
      <c r="B1491" s="19" t="s">
        <v>1290</v>
      </c>
      <c r="C1491" s="23" t="s">
        <v>1291</v>
      </c>
      <c r="D1491" s="21" t="s">
        <v>1292</v>
      </c>
      <c r="E1491" s="23">
        <v>5</v>
      </c>
      <c r="F1491" s="21" t="s">
        <v>1293</v>
      </c>
      <c r="G1491" s="24" t="s">
        <v>1294</v>
      </c>
    </row>
    <row r="1492" spans="1:27" s="3" customFormat="1" ht="17.399999999999999" hidden="1" customHeight="1" outlineLevel="1" x14ac:dyDescent="0.25">
      <c r="A1492" s="5"/>
      <c r="B1492" s="401" t="s">
        <v>1</v>
      </c>
      <c r="C1492" s="402"/>
      <c r="D1492" s="402"/>
      <c r="E1492" s="402"/>
      <c r="F1492" s="402"/>
      <c r="G1492" s="403"/>
    </row>
    <row r="1493" spans="1:27" s="3" customFormat="1" ht="17.399999999999999" hidden="1" customHeight="1" outlineLevel="1" x14ac:dyDescent="0.25">
      <c r="A1493" s="5"/>
      <c r="B1493" s="25" t="s">
        <v>2</v>
      </c>
      <c r="C1493" s="26" t="s">
        <v>3</v>
      </c>
      <c r="D1493" s="26" t="s">
        <v>4</v>
      </c>
      <c r="E1493" s="26" t="s">
        <v>5</v>
      </c>
      <c r="F1493" s="26"/>
      <c r="G1493" s="27" t="s">
        <v>6</v>
      </c>
    </row>
    <row r="1494" spans="1:27" s="3" customFormat="1" hidden="1" outlineLevel="1" x14ac:dyDescent="0.25">
      <c r="B1494" s="28" t="s">
        <v>7</v>
      </c>
      <c r="C1494" s="29" t="s">
        <v>1468</v>
      </c>
      <c r="D1494" s="29" t="s">
        <v>1469</v>
      </c>
      <c r="E1494" s="29">
        <v>0</v>
      </c>
      <c r="F1494" s="29" t="s">
        <v>1470</v>
      </c>
      <c r="G1494" s="30" t="s">
        <v>1471</v>
      </c>
      <c r="J1494" s="3" t="s">
        <v>10</v>
      </c>
      <c r="K1494" s="3" t="s">
        <v>173</v>
      </c>
      <c r="L1494" s="3" t="s">
        <v>9</v>
      </c>
      <c r="M1494" s="3" t="s">
        <v>9</v>
      </c>
      <c r="N1494" s="3">
        <v>1112</v>
      </c>
    </row>
    <row r="1495" spans="1:27" s="3" customFormat="1" hidden="1" outlineLevel="1" x14ac:dyDescent="0.25">
      <c r="B1495" s="28" t="s">
        <v>188</v>
      </c>
      <c r="C1495" s="29" t="s">
        <v>1607</v>
      </c>
      <c r="D1495" s="29" t="s">
        <v>1606</v>
      </c>
      <c r="E1495" s="29" t="s">
        <v>1594</v>
      </c>
      <c r="F1495" s="29"/>
      <c r="G1495" s="30"/>
      <c r="J1495" s="3" t="s">
        <v>187</v>
      </c>
      <c r="K1495" s="3" t="s">
        <v>438</v>
      </c>
      <c r="L1495" s="3" t="s">
        <v>537</v>
      </c>
      <c r="M1495" s="3" t="s">
        <v>187</v>
      </c>
      <c r="N1495" s="3">
        <v>2156</v>
      </c>
    </row>
    <row r="1496" spans="1:27" s="3" customFormat="1" hidden="1" outlineLevel="1" x14ac:dyDescent="0.25">
      <c r="B1496" s="28" t="s">
        <v>15</v>
      </c>
      <c r="C1496" s="29" t="s">
        <v>1478</v>
      </c>
      <c r="D1496" s="29" t="s">
        <v>1469</v>
      </c>
      <c r="E1496" s="29">
        <v>0</v>
      </c>
      <c r="F1496" s="29" t="s">
        <v>1470</v>
      </c>
      <c r="G1496" s="30"/>
      <c r="J1496" s="3" t="s">
        <v>10</v>
      </c>
      <c r="K1496" s="3" t="s">
        <v>173</v>
      </c>
      <c r="L1496" s="3" t="s">
        <v>9</v>
      </c>
      <c r="M1496" s="3" t="s">
        <v>9</v>
      </c>
      <c r="N1496" s="3">
        <v>2430</v>
      </c>
    </row>
    <row r="1497" spans="1:27" s="3" customFormat="1" hidden="1" outlineLevel="1" x14ac:dyDescent="0.25">
      <c r="B1497" s="28" t="s">
        <v>87</v>
      </c>
      <c r="C1497" s="29" t="s">
        <v>1535</v>
      </c>
      <c r="D1497" s="29" t="s">
        <v>1469</v>
      </c>
      <c r="E1497" s="29">
        <v>0</v>
      </c>
      <c r="F1497" s="29" t="s">
        <v>1476</v>
      </c>
      <c r="G1497" s="30"/>
      <c r="J1497" s="3" t="s">
        <v>10</v>
      </c>
      <c r="K1497" s="3" t="s">
        <v>173</v>
      </c>
      <c r="L1497" s="3" t="s">
        <v>9</v>
      </c>
      <c r="M1497" s="3" t="s">
        <v>9</v>
      </c>
      <c r="N1497" s="3">
        <v>2433</v>
      </c>
    </row>
    <row r="1498" spans="1:27" s="3" customFormat="1" hidden="1" outlineLevel="1" x14ac:dyDescent="0.25">
      <c r="B1498" s="28" t="s">
        <v>128</v>
      </c>
      <c r="C1498" s="29" t="s">
        <v>1566</v>
      </c>
      <c r="D1498" s="29" t="s">
        <v>1567</v>
      </c>
      <c r="E1498" s="29">
        <v>0</v>
      </c>
      <c r="F1498" s="29" t="s">
        <v>1470</v>
      </c>
      <c r="G1498" s="30"/>
      <c r="J1498" s="3" t="s">
        <v>12</v>
      </c>
      <c r="K1498" s="3" t="s">
        <v>174</v>
      </c>
      <c r="L1498" s="3" t="s">
        <v>175</v>
      </c>
      <c r="M1498" s="3" t="s">
        <v>176</v>
      </c>
      <c r="N1498" s="3">
        <v>1629</v>
      </c>
    </row>
    <row r="1499" spans="1:27" s="3" customFormat="1" hidden="1" outlineLevel="1" x14ac:dyDescent="0.25">
      <c r="B1499" s="28" t="s">
        <v>114</v>
      </c>
      <c r="C1499" s="29" t="s">
        <v>1557</v>
      </c>
      <c r="D1499" s="29" t="s">
        <v>1469</v>
      </c>
      <c r="E1499" s="29">
        <v>-1</v>
      </c>
      <c r="F1499" s="29" t="s">
        <v>1470</v>
      </c>
      <c r="G1499" s="30"/>
      <c r="J1499" s="3" t="s">
        <v>10</v>
      </c>
      <c r="K1499" s="3" t="s">
        <v>173</v>
      </c>
      <c r="L1499" s="3" t="s">
        <v>9</v>
      </c>
      <c r="M1499" s="3" t="s">
        <v>9</v>
      </c>
      <c r="N1499" s="3">
        <v>2449</v>
      </c>
    </row>
    <row r="1500" spans="1:27" s="3" customFormat="1" hidden="1" outlineLevel="1" x14ac:dyDescent="0.25">
      <c r="B1500" s="28"/>
      <c r="C1500" s="29"/>
      <c r="D1500" s="29"/>
      <c r="E1500" s="29"/>
      <c r="F1500" s="29"/>
      <c r="G1500" s="30"/>
    </row>
    <row r="1501" spans="1:27" s="3" customFormat="1" ht="17.399999999999999" hidden="1" customHeight="1" outlineLevel="1" x14ac:dyDescent="0.25">
      <c r="A1501" s="14"/>
      <c r="B1501" s="398" t="s">
        <v>18</v>
      </c>
      <c r="C1501" s="399"/>
      <c r="D1501" s="399"/>
      <c r="E1501" s="399"/>
      <c r="F1501" s="399"/>
      <c r="G1501" s="400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</row>
    <row r="1502" spans="1:27" s="3" customFormat="1" ht="17.399999999999999" hidden="1" customHeight="1" outlineLevel="1" x14ac:dyDescent="0.25">
      <c r="A1502" s="14"/>
      <c r="B1502" s="25" t="s">
        <v>2</v>
      </c>
      <c r="C1502" s="26" t="s">
        <v>3</v>
      </c>
      <c r="D1502" s="26" t="s">
        <v>4</v>
      </c>
      <c r="E1502" s="26" t="s">
        <v>5</v>
      </c>
      <c r="F1502" s="26"/>
      <c r="G1502" s="27" t="s">
        <v>6</v>
      </c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</row>
    <row r="1503" spans="1:27" s="4" customFormat="1" ht="17.399999999999999" hidden="1" customHeight="1" outlineLevel="1" x14ac:dyDescent="0.35">
      <c r="A1503" s="5"/>
      <c r="B1503" s="64" t="s">
        <v>128</v>
      </c>
      <c r="C1503" s="65" t="s">
        <v>1566</v>
      </c>
      <c r="D1503" s="65" t="s">
        <v>1567</v>
      </c>
      <c r="E1503" s="65">
        <v>0</v>
      </c>
      <c r="F1503" s="65" t="s">
        <v>1470</v>
      </c>
      <c r="G1503" s="66"/>
      <c r="H1503" s="5"/>
      <c r="I1503" s="5"/>
      <c r="J1503" s="5" t="s">
        <v>12</v>
      </c>
      <c r="K1503" s="5" t="s">
        <v>174</v>
      </c>
      <c r="L1503" s="5" t="s">
        <v>314</v>
      </c>
      <c r="M1503" s="5" t="s">
        <v>176</v>
      </c>
      <c r="N1503" s="4">
        <v>2241</v>
      </c>
      <c r="O1503" s="4">
        <v>64</v>
      </c>
    </row>
    <row r="1504" spans="1:27" hidden="1" outlineLevel="1" x14ac:dyDescent="0.25">
      <c r="B1504" s="256" t="s">
        <v>16</v>
      </c>
      <c r="C1504" s="257" t="s">
        <v>1479</v>
      </c>
      <c r="D1504" s="257" t="s">
        <v>1469</v>
      </c>
      <c r="E1504" s="257" t="s">
        <v>1480</v>
      </c>
      <c r="F1504" s="257" t="s">
        <v>1481</v>
      </c>
      <c r="G1504" s="258" t="s">
        <v>1482</v>
      </c>
    </row>
    <row r="1505" spans="2:7" hidden="1" outlineLevel="1" x14ac:dyDescent="0.25">
      <c r="B1505" s="256" t="s">
        <v>112</v>
      </c>
      <c r="C1505" s="257" t="s">
        <v>1555</v>
      </c>
      <c r="D1505" s="257" t="s">
        <v>1469</v>
      </c>
      <c r="E1505" s="257">
        <v>0</v>
      </c>
      <c r="F1505" s="257" t="s">
        <v>1470</v>
      </c>
      <c r="G1505" s="258" t="s">
        <v>1556</v>
      </c>
    </row>
    <row r="1506" spans="2:7" hidden="1" outlineLevel="1" x14ac:dyDescent="0.25">
      <c r="B1506" s="256" t="s">
        <v>7</v>
      </c>
      <c r="C1506" s="257" t="s">
        <v>1468</v>
      </c>
      <c r="D1506" s="257" t="s">
        <v>1469</v>
      </c>
      <c r="E1506" s="257">
        <v>0</v>
      </c>
      <c r="F1506" s="257" t="s">
        <v>1470</v>
      </c>
      <c r="G1506" s="258" t="s">
        <v>1471</v>
      </c>
    </row>
    <row r="1507" spans="2:7" hidden="1" outlineLevel="1" x14ac:dyDescent="0.25">
      <c r="B1507" s="256" t="s">
        <v>13</v>
      </c>
      <c r="C1507" s="257" t="s">
        <v>1474</v>
      </c>
      <c r="D1507" s="257" t="s">
        <v>1469</v>
      </c>
      <c r="E1507" s="257">
        <v>0</v>
      </c>
      <c r="F1507" s="257" t="s">
        <v>1470</v>
      </c>
      <c r="G1507" s="258"/>
    </row>
    <row r="1508" spans="2:7" hidden="1" outlineLevel="1" x14ac:dyDescent="0.25">
      <c r="B1508" s="256" t="s">
        <v>202</v>
      </c>
      <c r="C1508" s="257" t="s">
        <v>1634</v>
      </c>
      <c r="D1508" s="257" t="s">
        <v>1469</v>
      </c>
      <c r="E1508" s="257">
        <v>0</v>
      </c>
      <c r="F1508" s="257" t="s">
        <v>1470</v>
      </c>
      <c r="G1508" s="258"/>
    </row>
    <row r="1509" spans="2:7" hidden="1" outlineLevel="1" x14ac:dyDescent="0.25">
      <c r="B1509" s="256" t="s">
        <v>15</v>
      </c>
      <c r="C1509" s="257" t="s">
        <v>1478</v>
      </c>
      <c r="D1509" s="257" t="s">
        <v>1469</v>
      </c>
      <c r="E1509" s="257">
        <v>0</v>
      </c>
      <c r="F1509" s="257" t="s">
        <v>1470</v>
      </c>
      <c r="G1509" s="258"/>
    </row>
    <row r="1510" spans="2:7" hidden="1" outlineLevel="1" x14ac:dyDescent="0.25">
      <c r="B1510" s="256" t="s">
        <v>87</v>
      </c>
      <c r="C1510" s="257" t="s">
        <v>1535</v>
      </c>
      <c r="D1510" s="257" t="s">
        <v>1469</v>
      </c>
      <c r="E1510" s="257">
        <v>0</v>
      </c>
      <c r="F1510" s="257" t="s">
        <v>1476</v>
      </c>
      <c r="G1510" s="258"/>
    </row>
    <row r="1511" spans="2:7" hidden="1" outlineLevel="1" x14ac:dyDescent="0.25">
      <c r="B1511" s="256" t="s">
        <v>14</v>
      </c>
      <c r="C1511" s="257" t="s">
        <v>1475</v>
      </c>
      <c r="D1511" s="257" t="s">
        <v>1469</v>
      </c>
      <c r="E1511" s="257">
        <v>0</v>
      </c>
      <c r="F1511" s="257" t="s">
        <v>1476</v>
      </c>
      <c r="G1511" s="258" t="s">
        <v>1477</v>
      </c>
    </row>
    <row r="1512" spans="2:7" hidden="1" outlineLevel="1" x14ac:dyDescent="0.25">
      <c r="B1512" s="256" t="s">
        <v>100</v>
      </c>
      <c r="C1512" s="257" t="s">
        <v>1543</v>
      </c>
      <c r="D1512" s="257" t="s">
        <v>1469</v>
      </c>
      <c r="E1512" s="257">
        <v>0</v>
      </c>
      <c r="F1512" s="257" t="s">
        <v>1476</v>
      </c>
      <c r="G1512" s="258" t="s">
        <v>1544</v>
      </c>
    </row>
    <row r="1513" spans="2:7" hidden="1" outlineLevel="1" x14ac:dyDescent="0.25">
      <c r="B1513" s="219" t="s">
        <v>116</v>
      </c>
      <c r="C1513" s="219" t="s">
        <v>1559</v>
      </c>
      <c r="D1513" s="257" t="s">
        <v>1486</v>
      </c>
      <c r="E1513" s="257">
        <v>0</v>
      </c>
      <c r="F1513" s="257" t="s">
        <v>1470</v>
      </c>
      <c r="G1513" s="258" t="s">
        <v>1560</v>
      </c>
    </row>
    <row r="1514" spans="2:7" hidden="1" outlineLevel="1" x14ac:dyDescent="0.25">
      <c r="B1514" s="219" t="s">
        <v>75</v>
      </c>
      <c r="C1514" s="219" t="s">
        <v>1530</v>
      </c>
      <c r="D1514" s="257" t="s">
        <v>1486</v>
      </c>
      <c r="E1514" s="257">
        <v>0</v>
      </c>
      <c r="F1514" s="257" t="s">
        <v>1470</v>
      </c>
      <c r="G1514" s="258" t="s">
        <v>1531</v>
      </c>
    </row>
    <row r="1515" spans="2:7" hidden="1" outlineLevel="1" x14ac:dyDescent="0.25">
      <c r="B1515" s="219" t="s">
        <v>315</v>
      </c>
      <c r="C1515" s="219" t="s">
        <v>1733</v>
      </c>
      <c r="D1515" s="257" t="s">
        <v>1486</v>
      </c>
      <c r="E1515" s="257">
        <v>0</v>
      </c>
      <c r="F1515" s="257"/>
      <c r="G1515" s="258"/>
    </row>
    <row r="1516" spans="2:7" hidden="1" outlineLevel="1" x14ac:dyDescent="0.25">
      <c r="B1516" s="219" t="s">
        <v>131</v>
      </c>
      <c r="C1516" s="219" t="s">
        <v>1568</v>
      </c>
      <c r="D1516" s="257" t="s">
        <v>1486</v>
      </c>
      <c r="E1516" s="257">
        <v>0</v>
      </c>
      <c r="F1516" s="257" t="s">
        <v>1470</v>
      </c>
      <c r="G1516" s="258" t="s">
        <v>1569</v>
      </c>
    </row>
    <row r="1517" spans="2:7" hidden="1" outlineLevel="1" x14ac:dyDescent="0.25">
      <c r="B1517" s="219" t="s">
        <v>132</v>
      </c>
      <c r="C1517" s="219" t="s">
        <v>1570</v>
      </c>
      <c r="D1517" s="257" t="s">
        <v>1486</v>
      </c>
      <c r="E1517" s="257">
        <v>0</v>
      </c>
      <c r="F1517" s="257" t="s">
        <v>1470</v>
      </c>
      <c r="G1517" s="258" t="s">
        <v>1571</v>
      </c>
    </row>
    <row r="1518" spans="2:7" hidden="1" outlineLevel="1" x14ac:dyDescent="0.25">
      <c r="B1518" s="219" t="s">
        <v>316</v>
      </c>
      <c r="C1518" s="219" t="s">
        <v>1734</v>
      </c>
      <c r="D1518" s="257" t="s">
        <v>1486</v>
      </c>
      <c r="E1518" s="257">
        <v>0</v>
      </c>
      <c r="F1518" s="257"/>
      <c r="G1518" s="258"/>
    </row>
    <row r="1519" spans="2:7" hidden="1" outlineLevel="1" x14ac:dyDescent="0.25">
      <c r="B1519" s="219" t="s">
        <v>317</v>
      </c>
      <c r="C1519" s="219" t="s">
        <v>1735</v>
      </c>
      <c r="D1519" s="257" t="s">
        <v>1486</v>
      </c>
      <c r="E1519" s="257">
        <v>0</v>
      </c>
      <c r="F1519" s="257"/>
      <c r="G1519" s="258"/>
    </row>
    <row r="1520" spans="2:7" hidden="1" outlineLevel="1" x14ac:dyDescent="0.25">
      <c r="B1520" s="219" t="s">
        <v>133</v>
      </c>
      <c r="C1520" s="219" t="s">
        <v>1572</v>
      </c>
      <c r="D1520" s="257" t="s">
        <v>1486</v>
      </c>
      <c r="E1520" s="257">
        <v>0</v>
      </c>
      <c r="F1520" s="257" t="s">
        <v>1470</v>
      </c>
      <c r="G1520" s="258"/>
    </row>
    <row r="1521" spans="2:7" hidden="1" outlineLevel="1" x14ac:dyDescent="0.25">
      <c r="B1521" s="219" t="s">
        <v>134</v>
      </c>
      <c r="C1521" s="219" t="s">
        <v>1573</v>
      </c>
      <c r="D1521" s="257" t="s">
        <v>1486</v>
      </c>
      <c r="E1521" s="257">
        <v>0</v>
      </c>
      <c r="F1521" s="257" t="s">
        <v>1470</v>
      </c>
      <c r="G1521" s="258"/>
    </row>
    <row r="1522" spans="2:7" hidden="1" outlineLevel="1" x14ac:dyDescent="0.25">
      <c r="B1522" s="219" t="s">
        <v>318</v>
      </c>
      <c r="C1522" s="219" t="s">
        <v>1736</v>
      </c>
      <c r="D1522" s="257" t="s">
        <v>1486</v>
      </c>
      <c r="E1522" s="257">
        <v>0</v>
      </c>
      <c r="F1522" s="257"/>
      <c r="G1522" s="258"/>
    </row>
    <row r="1523" spans="2:7" hidden="1" outlineLevel="1" x14ac:dyDescent="0.25">
      <c r="B1523" s="219" t="s">
        <v>319</v>
      </c>
      <c r="C1523" s="219" t="s">
        <v>1737</v>
      </c>
      <c r="D1523" s="257" t="s">
        <v>1486</v>
      </c>
      <c r="E1523" s="257">
        <v>0</v>
      </c>
      <c r="F1523" s="257"/>
      <c r="G1523" s="258"/>
    </row>
    <row r="1524" spans="2:7" hidden="1" outlineLevel="1" x14ac:dyDescent="0.25">
      <c r="B1524" s="219" t="s">
        <v>135</v>
      </c>
      <c r="C1524" s="219" t="s">
        <v>1574</v>
      </c>
      <c r="D1524" s="257" t="s">
        <v>1486</v>
      </c>
      <c r="E1524" s="257">
        <v>0</v>
      </c>
      <c r="F1524" s="257" t="s">
        <v>1470</v>
      </c>
      <c r="G1524" s="258"/>
    </row>
    <row r="1525" spans="2:7" hidden="1" outlineLevel="1" x14ac:dyDescent="0.25">
      <c r="B1525" s="219" t="s">
        <v>136</v>
      </c>
      <c r="C1525" s="219" t="s">
        <v>1575</v>
      </c>
      <c r="D1525" s="257" t="s">
        <v>1486</v>
      </c>
      <c r="E1525" s="257">
        <v>0</v>
      </c>
      <c r="F1525" s="257" t="s">
        <v>1470</v>
      </c>
      <c r="G1525" s="258"/>
    </row>
    <row r="1526" spans="2:7" hidden="1" outlineLevel="1" x14ac:dyDescent="0.25">
      <c r="B1526" s="219" t="s">
        <v>137</v>
      </c>
      <c r="C1526" s="219" t="s">
        <v>1576</v>
      </c>
      <c r="D1526" s="257" t="s">
        <v>1486</v>
      </c>
      <c r="E1526" s="257">
        <v>0</v>
      </c>
      <c r="F1526" s="257" t="s">
        <v>1470</v>
      </c>
      <c r="G1526" s="258"/>
    </row>
    <row r="1527" spans="2:7" hidden="1" outlineLevel="1" x14ac:dyDescent="0.25">
      <c r="B1527" s="219" t="s">
        <v>138</v>
      </c>
      <c r="C1527" s="219" t="s">
        <v>1577</v>
      </c>
      <c r="D1527" s="257" t="s">
        <v>1486</v>
      </c>
      <c r="E1527" s="257">
        <v>0</v>
      </c>
      <c r="F1527" s="257" t="s">
        <v>1470</v>
      </c>
      <c r="G1527" s="258"/>
    </row>
    <row r="1528" spans="2:7" hidden="1" outlineLevel="1" x14ac:dyDescent="0.25">
      <c r="B1528" s="219" t="s">
        <v>320</v>
      </c>
      <c r="C1528" s="219" t="s">
        <v>1738</v>
      </c>
      <c r="D1528" s="257" t="s">
        <v>1486</v>
      </c>
      <c r="E1528" s="257">
        <v>0</v>
      </c>
      <c r="F1528" s="257"/>
      <c r="G1528" s="258"/>
    </row>
    <row r="1529" spans="2:7" hidden="1" outlineLevel="1" x14ac:dyDescent="0.25">
      <c r="B1529" s="219" t="s">
        <v>321</v>
      </c>
      <c r="C1529" s="219" t="s">
        <v>1739</v>
      </c>
      <c r="D1529" s="257" t="s">
        <v>1486</v>
      </c>
      <c r="E1529" s="257">
        <v>0</v>
      </c>
      <c r="F1529" s="257"/>
      <c r="G1529" s="258"/>
    </row>
    <row r="1530" spans="2:7" hidden="1" outlineLevel="1" x14ac:dyDescent="0.25">
      <c r="B1530" s="219" t="s">
        <v>322</v>
      </c>
      <c r="C1530" s="219" t="s">
        <v>1740</v>
      </c>
      <c r="D1530" s="257" t="s">
        <v>1486</v>
      </c>
      <c r="E1530" s="257">
        <v>0</v>
      </c>
      <c r="F1530" s="257" t="s">
        <v>1470</v>
      </c>
      <c r="G1530" s="258"/>
    </row>
    <row r="1531" spans="2:7" hidden="1" outlineLevel="1" x14ac:dyDescent="0.25">
      <c r="B1531" s="219" t="s">
        <v>323</v>
      </c>
      <c r="C1531" s="219" t="s">
        <v>1741</v>
      </c>
      <c r="D1531" s="257" t="s">
        <v>1486</v>
      </c>
      <c r="E1531" s="257">
        <v>0</v>
      </c>
      <c r="F1531" s="257" t="s">
        <v>1470</v>
      </c>
      <c r="G1531" s="258"/>
    </row>
    <row r="1532" spans="2:7" hidden="1" outlineLevel="1" x14ac:dyDescent="0.25">
      <c r="B1532" s="219" t="s">
        <v>117</v>
      </c>
      <c r="C1532" s="219" t="s">
        <v>1561</v>
      </c>
      <c r="D1532" s="257" t="s">
        <v>1489</v>
      </c>
      <c r="E1532" s="257">
        <v>0</v>
      </c>
      <c r="F1532" s="257" t="s">
        <v>1470</v>
      </c>
      <c r="G1532" s="258"/>
    </row>
    <row r="1533" spans="2:7" hidden="1" outlineLevel="1" x14ac:dyDescent="0.25">
      <c r="B1533" s="219" t="s">
        <v>24</v>
      </c>
      <c r="C1533" s="219" t="s">
        <v>1491</v>
      </c>
      <c r="D1533" s="257" t="s">
        <v>1489</v>
      </c>
      <c r="E1533" s="257">
        <v>0</v>
      </c>
      <c r="F1533" s="257" t="s">
        <v>1470</v>
      </c>
      <c r="G1533" s="258"/>
    </row>
    <row r="1534" spans="2:7" hidden="1" outlineLevel="1" x14ac:dyDescent="0.25">
      <c r="B1534" s="219" t="s">
        <v>140</v>
      </c>
      <c r="C1534" s="219" t="s">
        <v>1578</v>
      </c>
      <c r="D1534" s="257" t="s">
        <v>1489</v>
      </c>
      <c r="E1534" s="257">
        <v>0</v>
      </c>
      <c r="F1534" s="257" t="s">
        <v>1470</v>
      </c>
      <c r="G1534" s="258"/>
    </row>
    <row r="1535" spans="2:7" hidden="1" outlineLevel="1" x14ac:dyDescent="0.25">
      <c r="B1535" s="219" t="s">
        <v>141</v>
      </c>
      <c r="C1535" s="219" t="s">
        <v>1579</v>
      </c>
      <c r="D1535" s="257" t="s">
        <v>1489</v>
      </c>
      <c r="E1535" s="257">
        <v>0</v>
      </c>
      <c r="F1535" s="257" t="s">
        <v>1470</v>
      </c>
      <c r="G1535" s="258"/>
    </row>
    <row r="1536" spans="2:7" hidden="1" outlineLevel="1" x14ac:dyDescent="0.25">
      <c r="B1536" s="219" t="s">
        <v>324</v>
      </c>
      <c r="C1536" s="219" t="s">
        <v>1742</v>
      </c>
      <c r="D1536" s="257" t="s">
        <v>1486</v>
      </c>
      <c r="E1536" s="257">
        <v>0</v>
      </c>
      <c r="F1536" s="257" t="s">
        <v>1470</v>
      </c>
      <c r="G1536" s="258"/>
    </row>
    <row r="1537" spans="1:11" hidden="1" outlineLevel="1" x14ac:dyDescent="0.25">
      <c r="B1537" s="219" t="s">
        <v>148</v>
      </c>
      <c r="C1537" s="219" t="s">
        <v>1587</v>
      </c>
      <c r="D1537" s="257" t="s">
        <v>1486</v>
      </c>
      <c r="E1537" s="257">
        <v>0</v>
      </c>
      <c r="F1537" s="257" t="s">
        <v>1470</v>
      </c>
      <c r="G1537" s="258"/>
    </row>
    <row r="1538" spans="1:11" hidden="1" outlineLevel="1" x14ac:dyDescent="0.25">
      <c r="B1538" s="327" t="s">
        <v>146</v>
      </c>
      <c r="C1538" s="328" t="s">
        <v>1585</v>
      </c>
      <c r="D1538" s="328" t="s">
        <v>1489</v>
      </c>
      <c r="E1538" s="328">
        <v>0</v>
      </c>
      <c r="F1538" s="328"/>
      <c r="G1538" s="329"/>
    </row>
    <row r="1539" spans="1:11" hidden="1" outlineLevel="1" x14ac:dyDescent="0.25">
      <c r="B1539" s="327" t="s">
        <v>325</v>
      </c>
      <c r="C1539" s="328" t="s">
        <v>1743</v>
      </c>
      <c r="D1539" s="328" t="s">
        <v>1539</v>
      </c>
      <c r="E1539" s="328">
        <v>0</v>
      </c>
      <c r="F1539" s="328"/>
      <c r="G1539" s="329"/>
    </row>
    <row r="1540" spans="1:11" hidden="1" outlineLevel="1" x14ac:dyDescent="0.25">
      <c r="B1540" s="327" t="s">
        <v>326</v>
      </c>
      <c r="C1540" s="328" t="s">
        <v>1744</v>
      </c>
      <c r="D1540" s="328" t="s">
        <v>1539</v>
      </c>
      <c r="E1540" s="328">
        <v>0</v>
      </c>
      <c r="F1540" s="328"/>
      <c r="G1540" s="329"/>
    </row>
    <row r="1541" spans="1:11" hidden="1" outlineLevel="1" x14ac:dyDescent="0.25">
      <c r="B1541" s="217" t="s">
        <v>115</v>
      </c>
      <c r="C1541" s="330" t="s">
        <v>1558</v>
      </c>
      <c r="D1541" s="330" t="s">
        <v>1539</v>
      </c>
      <c r="E1541" s="330">
        <v>0</v>
      </c>
      <c r="F1541" s="330" t="s">
        <v>1470</v>
      </c>
      <c r="G1541" s="331"/>
    </row>
    <row r="1542" spans="1:11" hidden="1" outlineLevel="1" x14ac:dyDescent="0.25">
      <c r="B1542" s="217" t="s">
        <v>327</v>
      </c>
      <c r="C1542" s="330" t="s">
        <v>1745</v>
      </c>
      <c r="D1542" s="330" t="s">
        <v>1539</v>
      </c>
      <c r="E1542" s="330">
        <v>0</v>
      </c>
      <c r="F1542" s="330" t="s">
        <v>1470</v>
      </c>
      <c r="G1542" s="331"/>
    </row>
    <row r="1543" spans="1:11" hidden="1" outlineLevel="1" x14ac:dyDescent="0.25">
      <c r="B1543" s="327" t="s">
        <v>62</v>
      </c>
      <c r="C1543" s="328" t="s">
        <v>1525</v>
      </c>
      <c r="D1543" s="328" t="s">
        <v>1489</v>
      </c>
      <c r="E1543" s="328">
        <v>0</v>
      </c>
      <c r="F1543" s="328"/>
      <c r="G1543" s="329"/>
    </row>
    <row r="1544" spans="1:11" hidden="1" outlineLevel="1" x14ac:dyDescent="0.25">
      <c r="B1544" s="327" t="s">
        <v>147</v>
      </c>
      <c r="C1544" s="328" t="s">
        <v>1586</v>
      </c>
      <c r="D1544" s="328" t="s">
        <v>1489</v>
      </c>
      <c r="E1544" s="328">
        <v>0</v>
      </c>
      <c r="F1544" s="328"/>
      <c r="G1544" s="329"/>
    </row>
    <row r="1545" spans="1:11" hidden="1" outlineLevel="1" x14ac:dyDescent="0.25">
      <c r="B1545" s="280" t="s">
        <v>328</v>
      </c>
      <c r="C1545" s="262" t="s">
        <v>1746</v>
      </c>
      <c r="D1545" s="262" t="s">
        <v>1489</v>
      </c>
      <c r="E1545" s="262">
        <v>0</v>
      </c>
      <c r="F1545" s="262"/>
      <c r="G1545" s="263"/>
    </row>
    <row r="1546" spans="1:11" hidden="1" outlineLevel="1" x14ac:dyDescent="0.25">
      <c r="B1546" s="201" t="s">
        <v>329</v>
      </c>
      <c r="C1546" s="107" t="s">
        <v>1747</v>
      </c>
      <c r="D1546" s="107" t="s">
        <v>1469</v>
      </c>
      <c r="E1546" s="107">
        <v>0</v>
      </c>
      <c r="F1546" s="107" t="s">
        <v>1476</v>
      </c>
      <c r="G1546" s="108" t="s">
        <v>1748</v>
      </c>
    </row>
    <row r="1547" spans="1:11" hidden="1" outlineLevel="1" x14ac:dyDescent="0.25">
      <c r="B1547" s="201" t="s">
        <v>330</v>
      </c>
      <c r="C1547" s="107" t="s">
        <v>1749</v>
      </c>
      <c r="D1547" s="107" t="s">
        <v>1539</v>
      </c>
      <c r="E1547" s="107">
        <v>0</v>
      </c>
      <c r="F1547" s="107" t="s">
        <v>1470</v>
      </c>
      <c r="G1547" s="108"/>
    </row>
    <row r="1548" spans="1:11" s="12" customFormat="1" hidden="1" outlineLevel="1" x14ac:dyDescent="0.25">
      <c r="A1548" s="278"/>
      <c r="B1548" s="201" t="s">
        <v>223</v>
      </c>
      <c r="C1548" s="107" t="s">
        <v>1674</v>
      </c>
      <c r="D1548" s="107" t="s">
        <v>1494</v>
      </c>
      <c r="E1548" s="107">
        <v>0</v>
      </c>
      <c r="F1548" s="107" t="s">
        <v>1470</v>
      </c>
      <c r="G1548" s="108"/>
      <c r="H1548" s="14"/>
    </row>
    <row r="1549" spans="1:11" s="12" customFormat="1" hidden="1" outlineLevel="1" x14ac:dyDescent="0.25">
      <c r="A1549" s="278"/>
      <c r="B1549" s="201" t="s">
        <v>331</v>
      </c>
      <c r="C1549" s="107" t="s">
        <v>1750</v>
      </c>
      <c r="D1549" s="107" t="s">
        <v>1469</v>
      </c>
      <c r="E1549" s="107">
        <v>0</v>
      </c>
      <c r="F1549" s="107" t="s">
        <v>1476</v>
      </c>
      <c r="G1549" s="108"/>
      <c r="H1549" s="14"/>
    </row>
    <row r="1550" spans="1:11" s="12" customFormat="1" hidden="1" outlineLevel="1" x14ac:dyDescent="0.25">
      <c r="A1550" s="278"/>
      <c r="B1550" s="201" t="s">
        <v>224</v>
      </c>
      <c r="C1550" s="107" t="s">
        <v>1675</v>
      </c>
      <c r="D1550" s="107" t="s">
        <v>1469</v>
      </c>
      <c r="E1550" s="107">
        <v>0</v>
      </c>
      <c r="F1550" s="107" t="s">
        <v>1476</v>
      </c>
      <c r="G1550" s="108"/>
      <c r="H1550" s="14"/>
    </row>
    <row r="1551" spans="1:11" s="3" customFormat="1" hidden="1" outlineLevel="1" x14ac:dyDescent="0.25">
      <c r="A1551" s="278"/>
      <c r="B1551" s="201" t="s">
        <v>332</v>
      </c>
      <c r="C1551" s="107" t="s">
        <v>1751</v>
      </c>
      <c r="D1551" s="107" t="s">
        <v>1494</v>
      </c>
      <c r="E1551" s="107">
        <v>0</v>
      </c>
      <c r="F1551" s="107" t="s">
        <v>1470</v>
      </c>
      <c r="G1551" s="108"/>
      <c r="H1551" s="14"/>
      <c r="I1551" s="3" t="s">
        <v>173</v>
      </c>
      <c r="J1551" s="3" t="s">
        <v>9</v>
      </c>
      <c r="K1551" s="3" t="s">
        <v>9</v>
      </c>
    </row>
    <row r="1552" spans="1:11" s="3" customFormat="1" hidden="1" outlineLevel="1" x14ac:dyDescent="0.25">
      <c r="A1552" s="278"/>
      <c r="B1552" s="217" t="s">
        <v>333</v>
      </c>
      <c r="C1552" s="330" t="s">
        <v>1752</v>
      </c>
      <c r="D1552" s="330" t="s">
        <v>1486</v>
      </c>
      <c r="E1552" s="330">
        <v>0</v>
      </c>
      <c r="F1552" s="330" t="s">
        <v>1470</v>
      </c>
      <c r="G1552" s="331"/>
      <c r="H1552" s="14"/>
    </row>
    <row r="1553" spans="1:27" s="4" customFormat="1" ht="17.399999999999999" hidden="1" customHeight="1" outlineLevel="1" x14ac:dyDescent="0.35">
      <c r="A1553" s="5"/>
      <c r="B1553" s="330" t="s">
        <v>334</v>
      </c>
      <c r="C1553" s="330" t="s">
        <v>1753</v>
      </c>
      <c r="D1553" s="330" t="s">
        <v>1486</v>
      </c>
      <c r="E1553" s="330">
        <v>0</v>
      </c>
      <c r="F1553" s="332" t="s">
        <v>1470</v>
      </c>
      <c r="G1553" s="331"/>
      <c r="H1553" s="5"/>
      <c r="I1553" s="5"/>
      <c r="J1553" s="5"/>
      <c r="K1553" s="5"/>
      <c r="L1553" s="5"/>
      <c r="M1553" s="5"/>
    </row>
    <row r="1554" spans="1:27" s="4" customFormat="1" ht="17.399999999999999" hidden="1" customHeight="1" outlineLevel="1" thickBot="1" x14ac:dyDescent="0.4">
      <c r="A1554" s="5"/>
      <c r="B1554" s="333" t="s">
        <v>335</v>
      </c>
      <c r="C1554" s="330" t="s">
        <v>2337</v>
      </c>
      <c r="D1554" s="330" t="s">
        <v>2338</v>
      </c>
      <c r="E1554" s="330" t="s">
        <v>2339</v>
      </c>
      <c r="F1554" s="332" t="s">
        <v>2336</v>
      </c>
      <c r="G1554" s="331" t="s">
        <v>2340</v>
      </c>
      <c r="H1554" s="5"/>
      <c r="I1554" s="5"/>
      <c r="J1554" s="5"/>
      <c r="K1554" s="5"/>
      <c r="L1554" s="5"/>
      <c r="M1554" s="5"/>
    </row>
    <row r="1555" spans="1:27" s="3" customFormat="1" ht="17.399999999999999" hidden="1" customHeight="1" outlineLevel="1" x14ac:dyDescent="0.25">
      <c r="A1555" s="14"/>
      <c r="B1555" s="401" t="s">
        <v>28</v>
      </c>
      <c r="C1555" s="402"/>
      <c r="D1555" s="402"/>
      <c r="E1555" s="402"/>
      <c r="F1555" s="402"/>
      <c r="G1555" s="403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</row>
    <row r="1556" spans="1:27" s="3" customFormat="1" ht="17.399999999999999" hidden="1" customHeight="1" outlineLevel="1" x14ac:dyDescent="0.25">
      <c r="A1556" s="14"/>
      <c r="B1556" s="116"/>
      <c r="C1556" s="117"/>
      <c r="D1556" s="117"/>
      <c r="E1556" s="117"/>
      <c r="F1556" s="117"/>
      <c r="G1556" s="105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</row>
    <row r="1557" spans="1:27" s="3" customFormat="1" ht="17.399999999999999" hidden="1" customHeight="1" outlineLevel="1" thickBot="1" x14ac:dyDescent="0.3">
      <c r="A1557" s="14"/>
      <c r="B1557" s="116"/>
      <c r="C1557" s="117"/>
      <c r="D1557" s="117"/>
      <c r="E1557" s="117"/>
      <c r="F1557" s="117"/>
      <c r="G1557" s="105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</row>
    <row r="1558" spans="1:27" s="3" customFormat="1" ht="17.399999999999999" hidden="1" customHeight="1" outlineLevel="1" x14ac:dyDescent="0.25">
      <c r="A1558" s="14"/>
      <c r="B1558" s="401" t="s">
        <v>29</v>
      </c>
      <c r="C1558" s="402"/>
      <c r="D1558" s="402"/>
      <c r="E1558" s="402"/>
      <c r="F1558" s="402"/>
      <c r="G1558" s="403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</row>
    <row r="1559" spans="1:27" s="7" customFormat="1" ht="16.5" hidden="1" customHeight="1" outlineLevel="1" x14ac:dyDescent="0.25">
      <c r="A1559" s="14"/>
      <c r="B1559" s="308" t="s">
        <v>559</v>
      </c>
      <c r="C1559" s="309"/>
      <c r="D1559" s="309"/>
      <c r="E1559" s="309"/>
      <c r="F1559" s="309"/>
      <c r="G1559" s="310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</row>
    <row r="1560" spans="1:27" s="7" customFormat="1" ht="17.399999999999999" hidden="1" customHeight="1" outlineLevel="1" thickBot="1" x14ac:dyDescent="0.3">
      <c r="A1560" s="14"/>
      <c r="B1560" s="305" t="s">
        <v>560</v>
      </c>
      <c r="C1560" s="306"/>
      <c r="D1560" s="306"/>
      <c r="E1560" s="306"/>
      <c r="F1560" s="306"/>
      <c r="G1560" s="307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</row>
    <row r="1561" spans="1:27" s="7" customFormat="1" ht="16.5" hidden="1" customHeight="1" outlineLevel="1" x14ac:dyDescent="0.25">
      <c r="A1561" s="14"/>
      <c r="B1561" s="308" t="s">
        <v>561</v>
      </c>
      <c r="C1561" s="309"/>
      <c r="D1561" s="309"/>
      <c r="E1561" s="309"/>
      <c r="F1561" s="309"/>
      <c r="G1561" s="310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</row>
    <row r="1562" spans="1:27" s="3" customFormat="1" hidden="1" outlineLevel="1" x14ac:dyDescent="0.25">
      <c r="B1562" s="28"/>
      <c r="C1562" s="29"/>
      <c r="D1562" s="29"/>
      <c r="E1562" s="29"/>
      <c r="F1562" s="29"/>
      <c r="G1562" s="30"/>
    </row>
    <row r="1563" spans="1:27" s="3" customFormat="1" hidden="1" outlineLevel="1" x14ac:dyDescent="0.25">
      <c r="B1563" s="28" t="s">
        <v>635</v>
      </c>
      <c r="C1563" s="29"/>
      <c r="D1563" s="29"/>
      <c r="E1563" s="29"/>
      <c r="F1563" s="29"/>
      <c r="G1563" s="375" t="s">
        <v>2438</v>
      </c>
    </row>
    <row r="1564" spans="1:27" s="3" customFormat="1" hidden="1" outlineLevel="1" x14ac:dyDescent="0.25">
      <c r="B1564" s="28"/>
      <c r="C1564" s="29"/>
      <c r="D1564" s="29"/>
      <c r="E1564" s="29"/>
      <c r="F1564" s="29"/>
      <c r="G1564" s="30"/>
    </row>
    <row r="1565" spans="1:27" s="3" customFormat="1" hidden="1" outlineLevel="1" x14ac:dyDescent="0.25">
      <c r="B1565" s="28"/>
      <c r="C1565" s="29"/>
      <c r="D1565" s="29"/>
      <c r="E1565" s="29"/>
      <c r="F1565" s="29"/>
      <c r="G1565" s="30"/>
    </row>
    <row r="1566" spans="1:27" s="3" customFormat="1" ht="16.2" hidden="1" outlineLevel="1" thickBot="1" x14ac:dyDescent="0.3">
      <c r="B1566" s="163"/>
      <c r="C1566" s="164"/>
      <c r="D1566" s="164"/>
      <c r="E1566" s="164"/>
      <c r="F1566" s="164"/>
      <c r="G1566" s="165"/>
    </row>
    <row r="1567" spans="1:27" s="3" customFormat="1" ht="17.399999999999999" hidden="1" customHeight="1" outlineLevel="1" thickBot="1" x14ac:dyDescent="0.3">
      <c r="A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</row>
    <row r="1568" spans="1:27" s="3" customFormat="1" ht="18.75" customHeight="1" collapsed="1" thickBot="1" x14ac:dyDescent="0.3">
      <c r="A1568" s="5"/>
      <c r="B1568" s="15" t="s">
        <v>1279</v>
      </c>
      <c r="C1568" s="16" t="s">
        <v>1978</v>
      </c>
      <c r="D1568" s="17" t="s">
        <v>1281</v>
      </c>
      <c r="E1568" s="16" t="s">
        <v>636</v>
      </c>
      <c r="F1568" s="17" t="s">
        <v>1282</v>
      </c>
      <c r="G1568" s="18" t="s">
        <v>1979</v>
      </c>
    </row>
    <row r="1569" spans="1:27" s="3" customFormat="1" ht="17.399999999999999" hidden="1" customHeight="1" outlineLevel="1" x14ac:dyDescent="0.25">
      <c r="A1569" s="5"/>
      <c r="B1569" s="19" t="s">
        <v>1284</v>
      </c>
      <c r="C1569" s="20" t="s">
        <v>1285</v>
      </c>
      <c r="D1569" s="21" t="s">
        <v>1286</v>
      </c>
      <c r="E1569" s="20" t="s">
        <v>1980</v>
      </c>
      <c r="F1569" s="21" t="s">
        <v>1288</v>
      </c>
      <c r="G1569" s="22" t="s">
        <v>1401</v>
      </c>
    </row>
    <row r="1570" spans="1:27" s="3" customFormat="1" ht="17.399999999999999" hidden="1" customHeight="1" outlineLevel="1" thickBot="1" x14ac:dyDescent="0.3">
      <c r="A1570" s="5"/>
      <c r="B1570" s="19" t="s">
        <v>1290</v>
      </c>
      <c r="C1570" s="23" t="s">
        <v>1291</v>
      </c>
      <c r="D1570" s="21" t="s">
        <v>1292</v>
      </c>
      <c r="E1570" s="23">
        <v>5</v>
      </c>
      <c r="F1570" s="21" t="s">
        <v>1293</v>
      </c>
      <c r="G1570" s="24" t="s">
        <v>1294</v>
      </c>
    </row>
    <row r="1571" spans="1:27" s="3" customFormat="1" ht="17.399999999999999" hidden="1" customHeight="1" outlineLevel="1" x14ac:dyDescent="0.25">
      <c r="A1571" s="5"/>
      <c r="B1571" s="401" t="s">
        <v>1</v>
      </c>
      <c r="C1571" s="402"/>
      <c r="D1571" s="402"/>
      <c r="E1571" s="402"/>
      <c r="F1571" s="402"/>
      <c r="G1571" s="403"/>
    </row>
    <row r="1572" spans="1:27" s="3" customFormat="1" ht="17.399999999999999" hidden="1" customHeight="1" outlineLevel="1" x14ac:dyDescent="0.25">
      <c r="A1572" s="5"/>
      <c r="B1572" s="25" t="s">
        <v>2</v>
      </c>
      <c r="C1572" s="26" t="s">
        <v>3</v>
      </c>
      <c r="D1572" s="26" t="s">
        <v>4</v>
      </c>
      <c r="E1572" s="26" t="s">
        <v>5</v>
      </c>
      <c r="F1572" s="26"/>
      <c r="G1572" s="27" t="s">
        <v>6</v>
      </c>
    </row>
    <row r="1573" spans="1:27" s="3" customFormat="1" hidden="1" outlineLevel="1" x14ac:dyDescent="0.25">
      <c r="B1573" s="28" t="s">
        <v>7</v>
      </c>
      <c r="C1573" s="29" t="s">
        <v>1468</v>
      </c>
      <c r="D1573" s="29" t="s">
        <v>1469</v>
      </c>
      <c r="E1573" s="29">
        <v>0</v>
      </c>
      <c r="F1573" s="29" t="s">
        <v>1470</v>
      </c>
      <c r="G1573" s="30" t="s">
        <v>1471</v>
      </c>
      <c r="J1573" s="3" t="s">
        <v>10</v>
      </c>
      <c r="K1573" s="3" t="s">
        <v>173</v>
      </c>
      <c r="L1573" s="3" t="s">
        <v>9</v>
      </c>
      <c r="M1573" s="3" t="s">
        <v>9</v>
      </c>
      <c r="N1573" s="3">
        <v>1112</v>
      </c>
    </row>
    <row r="1574" spans="1:27" s="3" customFormat="1" hidden="1" outlineLevel="1" x14ac:dyDescent="0.25">
      <c r="B1574" s="28" t="s">
        <v>188</v>
      </c>
      <c r="C1574" s="29" t="s">
        <v>1607</v>
      </c>
      <c r="D1574" s="29" t="s">
        <v>1606</v>
      </c>
      <c r="E1574" s="29" t="s">
        <v>1594</v>
      </c>
      <c r="F1574" s="29"/>
      <c r="G1574" s="30"/>
      <c r="J1574" s="3" t="s">
        <v>187</v>
      </c>
      <c r="K1574" s="3" t="s">
        <v>438</v>
      </c>
      <c r="L1574" s="3" t="s">
        <v>537</v>
      </c>
      <c r="M1574" s="3" t="s">
        <v>187</v>
      </c>
      <c r="N1574" s="3">
        <v>2156</v>
      </c>
    </row>
    <row r="1575" spans="1:27" s="3" customFormat="1" hidden="1" outlineLevel="1" x14ac:dyDescent="0.25">
      <c r="B1575" s="28" t="s">
        <v>15</v>
      </c>
      <c r="C1575" s="29" t="s">
        <v>1478</v>
      </c>
      <c r="D1575" s="29" t="s">
        <v>1469</v>
      </c>
      <c r="E1575" s="29">
        <v>0</v>
      </c>
      <c r="F1575" s="29" t="s">
        <v>1470</v>
      </c>
      <c r="G1575" s="30"/>
      <c r="J1575" s="3" t="s">
        <v>10</v>
      </c>
      <c r="K1575" s="3" t="s">
        <v>173</v>
      </c>
      <c r="L1575" s="3" t="s">
        <v>9</v>
      </c>
      <c r="M1575" s="3" t="s">
        <v>9</v>
      </c>
      <c r="N1575" s="3">
        <v>2430</v>
      </c>
    </row>
    <row r="1576" spans="1:27" s="3" customFormat="1" hidden="1" outlineLevel="1" x14ac:dyDescent="0.25">
      <c r="B1576" s="28" t="s">
        <v>87</v>
      </c>
      <c r="C1576" s="29" t="s">
        <v>1535</v>
      </c>
      <c r="D1576" s="29" t="s">
        <v>1469</v>
      </c>
      <c r="E1576" s="29">
        <v>0</v>
      </c>
      <c r="F1576" s="29" t="s">
        <v>1476</v>
      </c>
      <c r="G1576" s="30"/>
      <c r="J1576" s="3" t="s">
        <v>10</v>
      </c>
      <c r="K1576" s="3" t="s">
        <v>173</v>
      </c>
      <c r="L1576" s="3" t="s">
        <v>9</v>
      </c>
      <c r="M1576" s="3" t="s">
        <v>9</v>
      </c>
      <c r="N1576" s="3">
        <v>2433</v>
      </c>
    </row>
    <row r="1577" spans="1:27" s="3" customFormat="1" hidden="1" outlineLevel="1" x14ac:dyDescent="0.25">
      <c r="B1577" s="28" t="s">
        <v>11</v>
      </c>
      <c r="C1577" s="29" t="s">
        <v>1472</v>
      </c>
      <c r="D1577" s="29" t="s">
        <v>1469</v>
      </c>
      <c r="E1577" s="29">
        <v>0</v>
      </c>
      <c r="F1577" s="29" t="s">
        <v>1470</v>
      </c>
      <c r="G1577" s="30" t="s">
        <v>1473</v>
      </c>
      <c r="J1577" s="3" t="s">
        <v>12</v>
      </c>
      <c r="K1577" s="3" t="s">
        <v>174</v>
      </c>
      <c r="L1577" s="3" t="s">
        <v>175</v>
      </c>
      <c r="M1577" s="3" t="s">
        <v>176</v>
      </c>
      <c r="N1577" s="3">
        <v>1700</v>
      </c>
    </row>
    <row r="1578" spans="1:27" s="3" customFormat="1" hidden="1" outlineLevel="1" x14ac:dyDescent="0.25">
      <c r="B1578" s="28" t="s">
        <v>128</v>
      </c>
      <c r="C1578" s="29" t="s">
        <v>1566</v>
      </c>
      <c r="D1578" s="29" t="s">
        <v>1567</v>
      </c>
      <c r="E1578" s="29">
        <v>0</v>
      </c>
      <c r="F1578" s="29" t="s">
        <v>1470</v>
      </c>
      <c r="G1578" s="30"/>
      <c r="J1578" s="3" t="s">
        <v>12</v>
      </c>
      <c r="K1578" s="3" t="s">
        <v>174</v>
      </c>
      <c r="L1578" s="3" t="s">
        <v>175</v>
      </c>
      <c r="M1578" s="3" t="s">
        <v>176</v>
      </c>
      <c r="N1578" s="3">
        <v>1629</v>
      </c>
    </row>
    <row r="1579" spans="1:27" s="3" customFormat="1" hidden="1" outlineLevel="1" x14ac:dyDescent="0.25">
      <c r="B1579" s="28" t="s">
        <v>114</v>
      </c>
      <c r="C1579" s="29" t="s">
        <v>1557</v>
      </c>
      <c r="D1579" s="29" t="s">
        <v>1469</v>
      </c>
      <c r="E1579" s="29">
        <v>-1</v>
      </c>
      <c r="F1579" s="29" t="s">
        <v>1470</v>
      </c>
      <c r="G1579" s="30"/>
      <c r="J1579" s="3" t="s">
        <v>10</v>
      </c>
      <c r="K1579" s="3" t="s">
        <v>173</v>
      </c>
      <c r="L1579" s="3" t="s">
        <v>9</v>
      </c>
      <c r="M1579" s="3" t="s">
        <v>9</v>
      </c>
      <c r="N1579" s="3">
        <v>2449</v>
      </c>
    </row>
    <row r="1580" spans="1:27" s="3" customFormat="1" ht="17.399999999999999" hidden="1" customHeight="1" outlineLevel="1" thickBot="1" x14ac:dyDescent="0.3">
      <c r="A1580" s="14"/>
      <c r="B1580" s="52"/>
      <c r="C1580" s="53"/>
      <c r="D1580" s="53"/>
      <c r="E1580" s="53"/>
      <c r="F1580" s="53"/>
      <c r="G1580" s="5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</row>
    <row r="1581" spans="1:27" s="3" customFormat="1" ht="17.399999999999999" hidden="1" customHeight="1" outlineLevel="1" x14ac:dyDescent="0.25">
      <c r="A1581" s="14"/>
      <c r="B1581" s="401" t="s">
        <v>18</v>
      </c>
      <c r="C1581" s="402"/>
      <c r="D1581" s="402"/>
      <c r="E1581" s="402"/>
      <c r="F1581" s="402"/>
      <c r="G1581" s="403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</row>
    <row r="1582" spans="1:27" s="3" customFormat="1" ht="17.399999999999999" hidden="1" customHeight="1" outlineLevel="1" x14ac:dyDescent="0.25">
      <c r="A1582" s="14"/>
      <c r="B1582" s="25" t="s">
        <v>2</v>
      </c>
      <c r="C1582" s="26" t="s">
        <v>3</v>
      </c>
      <c r="D1582" s="26" t="s">
        <v>4</v>
      </c>
      <c r="E1582" s="26" t="s">
        <v>5</v>
      </c>
      <c r="F1582" s="26"/>
      <c r="G1582" s="27" t="s">
        <v>6</v>
      </c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</row>
    <row r="1583" spans="1:27" s="3" customFormat="1" hidden="1" outlineLevel="1" x14ac:dyDescent="0.25">
      <c r="B1583" s="28" t="s">
        <v>128</v>
      </c>
      <c r="C1583" s="29" t="s">
        <v>1566</v>
      </c>
      <c r="D1583" s="29" t="s">
        <v>1567</v>
      </c>
      <c r="E1583" s="29">
        <v>0</v>
      </c>
      <c r="F1583" s="29" t="s">
        <v>1470</v>
      </c>
      <c r="G1583" s="30"/>
      <c r="H1583" s="3" t="str">
        <f>"{"&amp;B1583&amp;"},"</f>
        <v>{记录序号},</v>
      </c>
      <c r="J1583" s="3" t="s">
        <v>12</v>
      </c>
      <c r="K1583" s="3" t="s">
        <v>174</v>
      </c>
      <c r="L1583" s="3" t="s">
        <v>175</v>
      </c>
      <c r="M1583" s="3" t="s">
        <v>176</v>
      </c>
      <c r="N1583" s="3">
        <v>1629</v>
      </c>
    </row>
    <row r="1584" spans="1:27" hidden="1" outlineLevel="1" x14ac:dyDescent="0.25">
      <c r="B1584" s="280" t="s">
        <v>16</v>
      </c>
      <c r="C1584" s="262" t="s">
        <v>1479</v>
      </c>
      <c r="D1584" s="262" t="s">
        <v>1469</v>
      </c>
      <c r="E1584" s="262" t="s">
        <v>1480</v>
      </c>
      <c r="F1584" s="262" t="s">
        <v>1481</v>
      </c>
      <c r="G1584" s="263" t="s">
        <v>1482</v>
      </c>
    </row>
    <row r="1585" spans="2:7" hidden="1" outlineLevel="1" x14ac:dyDescent="0.25">
      <c r="B1585" s="280" t="s">
        <v>112</v>
      </c>
      <c r="C1585" s="262" t="s">
        <v>1555</v>
      </c>
      <c r="D1585" s="262" t="s">
        <v>1469</v>
      </c>
      <c r="E1585" s="262">
        <v>0</v>
      </c>
      <c r="F1585" s="262" t="s">
        <v>1470</v>
      </c>
      <c r="G1585" s="263" t="s">
        <v>1556</v>
      </c>
    </row>
    <row r="1586" spans="2:7" hidden="1" outlineLevel="1" x14ac:dyDescent="0.25">
      <c r="B1586" s="280" t="s">
        <v>7</v>
      </c>
      <c r="C1586" s="262" t="s">
        <v>1468</v>
      </c>
      <c r="D1586" s="262" t="s">
        <v>1469</v>
      </c>
      <c r="E1586" s="262">
        <v>0</v>
      </c>
      <c r="F1586" s="262" t="s">
        <v>1470</v>
      </c>
      <c r="G1586" s="263" t="s">
        <v>1471</v>
      </c>
    </row>
    <row r="1587" spans="2:7" hidden="1" outlineLevel="1" x14ac:dyDescent="0.25">
      <c r="B1587" s="280" t="s">
        <v>11</v>
      </c>
      <c r="C1587" s="262" t="s">
        <v>1472</v>
      </c>
      <c r="D1587" s="262" t="s">
        <v>1469</v>
      </c>
      <c r="E1587" s="262">
        <v>0</v>
      </c>
      <c r="F1587" s="262" t="s">
        <v>1470</v>
      </c>
      <c r="G1587" s="263" t="s">
        <v>1473</v>
      </c>
    </row>
    <row r="1588" spans="2:7" hidden="1" outlineLevel="1" x14ac:dyDescent="0.25">
      <c r="B1588" s="280" t="s">
        <v>13</v>
      </c>
      <c r="C1588" s="262" t="s">
        <v>1474</v>
      </c>
      <c r="D1588" s="262" t="s">
        <v>1469</v>
      </c>
      <c r="E1588" s="262">
        <v>0</v>
      </c>
      <c r="F1588" s="262" t="s">
        <v>1470</v>
      </c>
      <c r="G1588" s="263"/>
    </row>
    <row r="1589" spans="2:7" hidden="1" outlineLevel="1" x14ac:dyDescent="0.25">
      <c r="B1589" s="280" t="s">
        <v>202</v>
      </c>
      <c r="C1589" s="262" t="s">
        <v>1634</v>
      </c>
      <c r="D1589" s="262" t="s">
        <v>1469</v>
      </c>
      <c r="E1589" s="262">
        <v>0</v>
      </c>
      <c r="F1589" s="262" t="s">
        <v>1470</v>
      </c>
      <c r="G1589" s="263"/>
    </row>
    <row r="1590" spans="2:7" hidden="1" outlineLevel="1" x14ac:dyDescent="0.25">
      <c r="B1590" s="280" t="s">
        <v>15</v>
      </c>
      <c r="C1590" s="262" t="s">
        <v>1478</v>
      </c>
      <c r="D1590" s="262" t="s">
        <v>1469</v>
      </c>
      <c r="E1590" s="262">
        <v>0</v>
      </c>
      <c r="F1590" s="262" t="s">
        <v>1470</v>
      </c>
      <c r="G1590" s="263"/>
    </row>
    <row r="1591" spans="2:7" hidden="1" outlineLevel="1" x14ac:dyDescent="0.25">
      <c r="B1591" s="280" t="s">
        <v>159</v>
      </c>
      <c r="C1591" s="262" t="s">
        <v>1592</v>
      </c>
      <c r="D1591" s="262" t="s">
        <v>2346</v>
      </c>
      <c r="E1591" s="262" t="s">
        <v>2339</v>
      </c>
      <c r="F1591" s="262" t="s">
        <v>2336</v>
      </c>
      <c r="G1591" s="263" t="s">
        <v>2347</v>
      </c>
    </row>
    <row r="1592" spans="2:7" hidden="1" outlineLevel="1" x14ac:dyDescent="0.25">
      <c r="B1592" s="280" t="s">
        <v>161</v>
      </c>
      <c r="C1592" s="262" t="s">
        <v>1846</v>
      </c>
      <c r="D1592" s="262" t="s">
        <v>2348</v>
      </c>
      <c r="E1592" s="262" t="s">
        <v>2339</v>
      </c>
      <c r="F1592" s="262" t="s">
        <v>2336</v>
      </c>
      <c r="G1592" s="263"/>
    </row>
    <row r="1593" spans="2:7" hidden="1" outlineLevel="1" x14ac:dyDescent="0.25">
      <c r="B1593" s="280" t="s">
        <v>87</v>
      </c>
      <c r="C1593" s="262" t="s">
        <v>1535</v>
      </c>
      <c r="D1593" s="262" t="s">
        <v>1469</v>
      </c>
      <c r="E1593" s="262">
        <v>0</v>
      </c>
      <c r="F1593" s="262" t="s">
        <v>1476</v>
      </c>
      <c r="G1593" s="263"/>
    </row>
    <row r="1594" spans="2:7" hidden="1" outlineLevel="1" x14ac:dyDescent="0.25">
      <c r="B1594" s="280" t="s">
        <v>14</v>
      </c>
      <c r="C1594" s="262" t="s">
        <v>1475</v>
      </c>
      <c r="D1594" s="262" t="s">
        <v>1469</v>
      </c>
      <c r="E1594" s="262">
        <v>0</v>
      </c>
      <c r="F1594" s="262" t="s">
        <v>1476</v>
      </c>
      <c r="G1594" s="263" t="s">
        <v>1477</v>
      </c>
    </row>
    <row r="1595" spans="2:7" hidden="1" outlineLevel="1" x14ac:dyDescent="0.25">
      <c r="B1595" s="280" t="s">
        <v>62</v>
      </c>
      <c r="C1595" s="262" t="s">
        <v>1525</v>
      </c>
      <c r="D1595" s="262" t="s">
        <v>1489</v>
      </c>
      <c r="E1595" s="262">
        <v>0</v>
      </c>
      <c r="F1595" s="262"/>
      <c r="G1595" s="263"/>
    </row>
    <row r="1596" spans="2:7" hidden="1" outlineLevel="1" x14ac:dyDescent="0.25">
      <c r="B1596" s="280" t="s">
        <v>100</v>
      </c>
      <c r="C1596" s="262" t="s">
        <v>1543</v>
      </c>
      <c r="D1596" s="262" t="s">
        <v>1469</v>
      </c>
      <c r="E1596" s="262">
        <v>0</v>
      </c>
      <c r="F1596" s="262" t="s">
        <v>1476</v>
      </c>
      <c r="G1596" s="263" t="s">
        <v>1544</v>
      </c>
    </row>
    <row r="1597" spans="2:7" hidden="1" outlineLevel="1" x14ac:dyDescent="0.25">
      <c r="B1597" s="280" t="s">
        <v>116</v>
      </c>
      <c r="C1597" s="262" t="s">
        <v>1559</v>
      </c>
      <c r="D1597" s="262" t="s">
        <v>1486</v>
      </c>
      <c r="E1597" s="262">
        <v>0</v>
      </c>
      <c r="F1597" s="262" t="s">
        <v>1470</v>
      </c>
      <c r="G1597" s="263" t="s">
        <v>1560</v>
      </c>
    </row>
    <row r="1598" spans="2:7" hidden="1" outlineLevel="1" x14ac:dyDescent="0.25">
      <c r="B1598" s="280" t="s">
        <v>75</v>
      </c>
      <c r="C1598" s="262" t="s">
        <v>1530</v>
      </c>
      <c r="D1598" s="262" t="s">
        <v>1486</v>
      </c>
      <c r="E1598" s="262">
        <v>0</v>
      </c>
      <c r="F1598" s="262" t="s">
        <v>1470</v>
      </c>
      <c r="G1598" s="263" t="s">
        <v>1531</v>
      </c>
    </row>
    <row r="1599" spans="2:7" hidden="1" outlineLevel="1" x14ac:dyDescent="0.25">
      <c r="B1599" s="280" t="s">
        <v>315</v>
      </c>
      <c r="C1599" s="262" t="s">
        <v>1733</v>
      </c>
      <c r="D1599" s="262" t="s">
        <v>1486</v>
      </c>
      <c r="E1599" s="262">
        <v>0</v>
      </c>
      <c r="F1599" s="262"/>
      <c r="G1599" s="263"/>
    </row>
    <row r="1600" spans="2:7" hidden="1" outlineLevel="1" x14ac:dyDescent="0.25">
      <c r="B1600" s="280" t="s">
        <v>131</v>
      </c>
      <c r="C1600" s="262" t="s">
        <v>1568</v>
      </c>
      <c r="D1600" s="262" t="s">
        <v>1486</v>
      </c>
      <c r="E1600" s="262">
        <v>0</v>
      </c>
      <c r="F1600" s="262" t="s">
        <v>1470</v>
      </c>
      <c r="G1600" s="263" t="s">
        <v>1569</v>
      </c>
    </row>
    <row r="1601" spans="2:7" hidden="1" outlineLevel="1" x14ac:dyDescent="0.25">
      <c r="B1601" s="280" t="s">
        <v>132</v>
      </c>
      <c r="C1601" s="262" t="s">
        <v>1570</v>
      </c>
      <c r="D1601" s="262" t="s">
        <v>1486</v>
      </c>
      <c r="E1601" s="262">
        <v>0</v>
      </c>
      <c r="F1601" s="262" t="s">
        <v>1470</v>
      </c>
      <c r="G1601" s="263" t="s">
        <v>1571</v>
      </c>
    </row>
    <row r="1602" spans="2:7" hidden="1" outlineLevel="1" x14ac:dyDescent="0.25">
      <c r="B1602" s="280" t="s">
        <v>316</v>
      </c>
      <c r="C1602" s="262" t="s">
        <v>1734</v>
      </c>
      <c r="D1602" s="262" t="s">
        <v>1486</v>
      </c>
      <c r="E1602" s="262">
        <v>0</v>
      </c>
      <c r="F1602" s="262"/>
      <c r="G1602" s="263"/>
    </row>
    <row r="1603" spans="2:7" hidden="1" outlineLevel="1" x14ac:dyDescent="0.25">
      <c r="B1603" s="280" t="s">
        <v>317</v>
      </c>
      <c r="C1603" s="262" t="s">
        <v>1735</v>
      </c>
      <c r="D1603" s="262" t="s">
        <v>1486</v>
      </c>
      <c r="E1603" s="262">
        <v>0</v>
      </c>
      <c r="F1603" s="262"/>
      <c r="G1603" s="263"/>
    </row>
    <row r="1604" spans="2:7" hidden="1" outlineLevel="1" x14ac:dyDescent="0.25">
      <c r="B1604" s="280" t="s">
        <v>133</v>
      </c>
      <c r="C1604" s="262" t="s">
        <v>1572</v>
      </c>
      <c r="D1604" s="262" t="s">
        <v>1486</v>
      </c>
      <c r="E1604" s="262">
        <v>0</v>
      </c>
      <c r="F1604" s="262" t="s">
        <v>1470</v>
      </c>
      <c r="G1604" s="263"/>
    </row>
    <row r="1605" spans="2:7" hidden="1" outlineLevel="1" x14ac:dyDescent="0.25">
      <c r="B1605" s="280" t="s">
        <v>134</v>
      </c>
      <c r="C1605" s="262" t="s">
        <v>1573</v>
      </c>
      <c r="D1605" s="262" t="s">
        <v>1486</v>
      </c>
      <c r="E1605" s="262">
        <v>0</v>
      </c>
      <c r="F1605" s="262" t="s">
        <v>1470</v>
      </c>
      <c r="G1605" s="263"/>
    </row>
    <row r="1606" spans="2:7" hidden="1" outlineLevel="1" x14ac:dyDescent="0.25">
      <c r="B1606" s="280" t="s">
        <v>318</v>
      </c>
      <c r="C1606" s="262" t="s">
        <v>1736</v>
      </c>
      <c r="D1606" s="262" t="s">
        <v>1486</v>
      </c>
      <c r="E1606" s="262">
        <v>0</v>
      </c>
      <c r="F1606" s="262"/>
      <c r="G1606" s="263"/>
    </row>
    <row r="1607" spans="2:7" hidden="1" outlineLevel="1" x14ac:dyDescent="0.25">
      <c r="B1607" s="280" t="s">
        <v>319</v>
      </c>
      <c r="C1607" s="262" t="s">
        <v>1737</v>
      </c>
      <c r="D1607" s="262" t="s">
        <v>1486</v>
      </c>
      <c r="E1607" s="262">
        <v>0</v>
      </c>
      <c r="F1607" s="262"/>
      <c r="G1607" s="263"/>
    </row>
    <row r="1608" spans="2:7" hidden="1" outlineLevel="1" x14ac:dyDescent="0.25">
      <c r="B1608" s="280" t="s">
        <v>135</v>
      </c>
      <c r="C1608" s="262" t="s">
        <v>1574</v>
      </c>
      <c r="D1608" s="262" t="s">
        <v>1486</v>
      </c>
      <c r="E1608" s="262">
        <v>0</v>
      </c>
      <c r="F1608" s="262" t="s">
        <v>1470</v>
      </c>
      <c r="G1608" s="263"/>
    </row>
    <row r="1609" spans="2:7" hidden="1" outlineLevel="1" x14ac:dyDescent="0.25">
      <c r="B1609" s="280" t="s">
        <v>136</v>
      </c>
      <c r="C1609" s="262" t="s">
        <v>1575</v>
      </c>
      <c r="D1609" s="262" t="s">
        <v>1486</v>
      </c>
      <c r="E1609" s="262">
        <v>0</v>
      </c>
      <c r="F1609" s="262" t="s">
        <v>1470</v>
      </c>
      <c r="G1609" s="263"/>
    </row>
    <row r="1610" spans="2:7" hidden="1" outlineLevel="1" x14ac:dyDescent="0.25">
      <c r="B1610" s="280" t="s">
        <v>137</v>
      </c>
      <c r="C1610" s="262" t="s">
        <v>1576</v>
      </c>
      <c r="D1610" s="262" t="s">
        <v>1486</v>
      </c>
      <c r="E1610" s="262">
        <v>0</v>
      </c>
      <c r="F1610" s="262" t="s">
        <v>1470</v>
      </c>
      <c r="G1610" s="263"/>
    </row>
    <row r="1611" spans="2:7" hidden="1" outlineLevel="1" x14ac:dyDescent="0.25">
      <c r="B1611" s="280" t="s">
        <v>138</v>
      </c>
      <c r="C1611" s="262" t="s">
        <v>1577</v>
      </c>
      <c r="D1611" s="262" t="s">
        <v>1486</v>
      </c>
      <c r="E1611" s="262">
        <v>0</v>
      </c>
      <c r="F1611" s="262" t="s">
        <v>1470</v>
      </c>
      <c r="G1611" s="263"/>
    </row>
    <row r="1612" spans="2:7" hidden="1" outlineLevel="1" x14ac:dyDescent="0.25">
      <c r="B1612" s="280" t="s">
        <v>320</v>
      </c>
      <c r="C1612" s="262" t="s">
        <v>1738</v>
      </c>
      <c r="D1612" s="262" t="s">
        <v>1486</v>
      </c>
      <c r="E1612" s="262">
        <v>0</v>
      </c>
      <c r="F1612" s="262"/>
      <c r="G1612" s="263"/>
    </row>
    <row r="1613" spans="2:7" hidden="1" outlineLevel="1" x14ac:dyDescent="0.25">
      <c r="B1613" s="280" t="s">
        <v>321</v>
      </c>
      <c r="C1613" s="262" t="s">
        <v>1739</v>
      </c>
      <c r="D1613" s="262" t="s">
        <v>1486</v>
      </c>
      <c r="E1613" s="262">
        <v>0</v>
      </c>
      <c r="F1613" s="262"/>
      <c r="G1613" s="263"/>
    </row>
    <row r="1614" spans="2:7" hidden="1" outlineLevel="1" x14ac:dyDescent="0.25">
      <c r="B1614" s="280" t="s">
        <v>322</v>
      </c>
      <c r="C1614" s="262" t="s">
        <v>1740</v>
      </c>
      <c r="D1614" s="262" t="s">
        <v>1486</v>
      </c>
      <c r="E1614" s="262">
        <v>0</v>
      </c>
      <c r="F1614" s="262" t="s">
        <v>1470</v>
      </c>
      <c r="G1614" s="263"/>
    </row>
    <row r="1615" spans="2:7" hidden="1" outlineLevel="1" x14ac:dyDescent="0.25">
      <c r="B1615" s="280" t="s">
        <v>323</v>
      </c>
      <c r="C1615" s="262" t="s">
        <v>1741</v>
      </c>
      <c r="D1615" s="262" t="s">
        <v>1486</v>
      </c>
      <c r="E1615" s="262">
        <v>0</v>
      </c>
      <c r="F1615" s="262" t="s">
        <v>1470</v>
      </c>
      <c r="G1615" s="263"/>
    </row>
    <row r="1616" spans="2:7" hidden="1" outlineLevel="1" x14ac:dyDescent="0.25">
      <c r="B1616" s="280" t="s">
        <v>117</v>
      </c>
      <c r="C1616" s="262" t="s">
        <v>1561</v>
      </c>
      <c r="D1616" s="262" t="s">
        <v>1489</v>
      </c>
      <c r="E1616" s="262">
        <v>0</v>
      </c>
      <c r="F1616" s="262" t="s">
        <v>1470</v>
      </c>
      <c r="G1616" s="263"/>
    </row>
    <row r="1617" spans="2:7" hidden="1" outlineLevel="1" x14ac:dyDescent="0.25">
      <c r="B1617" s="280" t="s">
        <v>24</v>
      </c>
      <c r="C1617" s="262" t="s">
        <v>1491</v>
      </c>
      <c r="D1617" s="262" t="s">
        <v>1489</v>
      </c>
      <c r="E1617" s="262">
        <v>0</v>
      </c>
      <c r="F1617" s="262" t="s">
        <v>1470</v>
      </c>
      <c r="G1617" s="263"/>
    </row>
    <row r="1618" spans="2:7" hidden="1" outlineLevel="1" x14ac:dyDescent="0.25">
      <c r="B1618" s="280" t="s">
        <v>140</v>
      </c>
      <c r="C1618" s="262" t="s">
        <v>1578</v>
      </c>
      <c r="D1618" s="262" t="s">
        <v>1489</v>
      </c>
      <c r="E1618" s="262">
        <v>0</v>
      </c>
      <c r="F1618" s="262" t="s">
        <v>1470</v>
      </c>
      <c r="G1618" s="263"/>
    </row>
    <row r="1619" spans="2:7" hidden="1" outlineLevel="1" x14ac:dyDescent="0.25">
      <c r="B1619" s="280" t="s">
        <v>141</v>
      </c>
      <c r="C1619" s="262" t="s">
        <v>1579</v>
      </c>
      <c r="D1619" s="262" t="s">
        <v>1489</v>
      </c>
      <c r="E1619" s="262">
        <v>0</v>
      </c>
      <c r="F1619" s="262" t="s">
        <v>1470</v>
      </c>
      <c r="G1619" s="263"/>
    </row>
    <row r="1620" spans="2:7" hidden="1" outlineLevel="1" x14ac:dyDescent="0.25">
      <c r="B1620" s="280" t="s">
        <v>147</v>
      </c>
      <c r="C1620" s="262" t="s">
        <v>1586</v>
      </c>
      <c r="D1620" s="262" t="s">
        <v>1489</v>
      </c>
      <c r="E1620" s="262">
        <v>0</v>
      </c>
      <c r="F1620" s="262"/>
      <c r="G1620" s="263"/>
    </row>
    <row r="1621" spans="2:7" hidden="1" outlineLevel="1" x14ac:dyDescent="0.25">
      <c r="B1621" s="280" t="s">
        <v>148</v>
      </c>
      <c r="C1621" s="262" t="s">
        <v>1587</v>
      </c>
      <c r="D1621" s="262" t="s">
        <v>1486</v>
      </c>
      <c r="E1621" s="262">
        <v>0</v>
      </c>
      <c r="F1621" s="262" t="s">
        <v>1470</v>
      </c>
      <c r="G1621" s="263"/>
    </row>
    <row r="1622" spans="2:7" hidden="1" outlineLevel="1" x14ac:dyDescent="0.25">
      <c r="B1622" s="280" t="s">
        <v>146</v>
      </c>
      <c r="C1622" s="262" t="s">
        <v>1585</v>
      </c>
      <c r="D1622" s="262" t="s">
        <v>1489</v>
      </c>
      <c r="E1622" s="262">
        <v>0</v>
      </c>
      <c r="F1622" s="262"/>
      <c r="G1622" s="263"/>
    </row>
    <row r="1623" spans="2:7" s="293" customFormat="1" hidden="1" outlineLevel="1" x14ac:dyDescent="0.25">
      <c r="B1623" s="217" t="s">
        <v>325</v>
      </c>
      <c r="C1623" s="330" t="s">
        <v>1743</v>
      </c>
      <c r="D1623" s="330" t="s">
        <v>1539</v>
      </c>
      <c r="E1623" s="330">
        <v>0</v>
      </c>
      <c r="F1623" s="330"/>
      <c r="G1623" s="331"/>
    </row>
    <row r="1624" spans="2:7" hidden="1" outlineLevel="1" x14ac:dyDescent="0.25">
      <c r="B1624" s="217" t="s">
        <v>326</v>
      </c>
      <c r="C1624" s="330" t="s">
        <v>1744</v>
      </c>
      <c r="D1624" s="330" t="s">
        <v>1539</v>
      </c>
      <c r="E1624" s="330">
        <v>0</v>
      </c>
      <c r="F1624" s="330"/>
      <c r="G1624" s="331"/>
    </row>
    <row r="1625" spans="2:7" hidden="1" outlineLevel="1" x14ac:dyDescent="0.25">
      <c r="B1625" s="217" t="s">
        <v>115</v>
      </c>
      <c r="C1625" s="330" t="s">
        <v>1558</v>
      </c>
      <c r="D1625" s="330" t="s">
        <v>1539</v>
      </c>
      <c r="E1625" s="330">
        <v>0</v>
      </c>
      <c r="F1625" s="330" t="s">
        <v>1470</v>
      </c>
      <c r="G1625" s="331"/>
    </row>
    <row r="1626" spans="2:7" hidden="1" outlineLevel="1" x14ac:dyDescent="0.25">
      <c r="B1626" s="217" t="s">
        <v>327</v>
      </c>
      <c r="C1626" s="330" t="s">
        <v>1745</v>
      </c>
      <c r="D1626" s="330" t="s">
        <v>1539</v>
      </c>
      <c r="E1626" s="330">
        <v>0</v>
      </c>
      <c r="F1626" s="330" t="s">
        <v>1470</v>
      </c>
      <c r="G1626" s="331"/>
    </row>
    <row r="1627" spans="2:7" hidden="1" outlineLevel="1" x14ac:dyDescent="0.25">
      <c r="B1627" s="280" t="s">
        <v>143</v>
      </c>
      <c r="C1627" s="262" t="s">
        <v>1581</v>
      </c>
      <c r="D1627" s="262" t="s">
        <v>1486</v>
      </c>
      <c r="E1627" s="262">
        <v>0</v>
      </c>
      <c r="F1627" s="262"/>
      <c r="G1627" s="263" t="s">
        <v>1582</v>
      </c>
    </row>
    <row r="1628" spans="2:7" hidden="1" outlineLevel="1" x14ac:dyDescent="0.25">
      <c r="B1628" s="280" t="s">
        <v>144</v>
      </c>
      <c r="C1628" s="262" t="s">
        <v>1583</v>
      </c>
      <c r="D1628" s="262" t="s">
        <v>1486</v>
      </c>
      <c r="E1628" s="262">
        <v>0</v>
      </c>
      <c r="F1628" s="262"/>
      <c r="G1628" s="263" t="s">
        <v>1582</v>
      </c>
    </row>
    <row r="1629" spans="2:7" hidden="1" outlineLevel="1" x14ac:dyDescent="0.25">
      <c r="B1629" s="280" t="s">
        <v>145</v>
      </c>
      <c r="C1629" s="262" t="s">
        <v>1584</v>
      </c>
      <c r="D1629" s="262" t="s">
        <v>1486</v>
      </c>
      <c r="E1629" s="262">
        <v>0</v>
      </c>
      <c r="F1629" s="262"/>
      <c r="G1629" s="263"/>
    </row>
    <row r="1630" spans="2:7" hidden="1" outlineLevel="1" x14ac:dyDescent="0.25">
      <c r="B1630" s="280" t="s">
        <v>328</v>
      </c>
      <c r="C1630" s="262" t="s">
        <v>1746</v>
      </c>
      <c r="D1630" s="262" t="s">
        <v>1489</v>
      </c>
      <c r="E1630" s="262">
        <v>0</v>
      </c>
      <c r="F1630" s="262"/>
      <c r="G1630" s="263"/>
    </row>
    <row r="1631" spans="2:7" hidden="1" outlineLevel="1" x14ac:dyDescent="0.25">
      <c r="B1631" s="201" t="s">
        <v>329</v>
      </c>
      <c r="C1631" s="107" t="s">
        <v>1747</v>
      </c>
      <c r="D1631" s="107" t="s">
        <v>1469</v>
      </c>
      <c r="E1631" s="107">
        <v>0</v>
      </c>
      <c r="F1631" s="107" t="s">
        <v>1476</v>
      </c>
      <c r="G1631" s="108" t="s">
        <v>1748</v>
      </c>
    </row>
    <row r="1632" spans="2:7" hidden="1" outlineLevel="1" x14ac:dyDescent="0.25">
      <c r="B1632" s="201" t="s">
        <v>330</v>
      </c>
      <c r="C1632" s="107" t="s">
        <v>1749</v>
      </c>
      <c r="D1632" s="107" t="s">
        <v>1539</v>
      </c>
      <c r="E1632" s="107">
        <v>0</v>
      </c>
      <c r="F1632" s="107" t="s">
        <v>1470</v>
      </c>
      <c r="G1632" s="108"/>
    </row>
    <row r="1633" spans="1:27" s="12" customFormat="1" hidden="1" outlineLevel="1" x14ac:dyDescent="0.25">
      <c r="A1633" s="278"/>
      <c r="B1633" s="201" t="s">
        <v>223</v>
      </c>
      <c r="C1633" s="107" t="s">
        <v>1674</v>
      </c>
      <c r="D1633" s="107" t="s">
        <v>1494</v>
      </c>
      <c r="E1633" s="107">
        <v>0</v>
      </c>
      <c r="F1633" s="107" t="s">
        <v>1470</v>
      </c>
      <c r="G1633" s="108"/>
    </row>
    <row r="1634" spans="1:27" s="12" customFormat="1" hidden="1" outlineLevel="1" x14ac:dyDescent="0.25">
      <c r="A1634" s="278"/>
      <c r="B1634" s="201" t="s">
        <v>331</v>
      </c>
      <c r="C1634" s="107" t="s">
        <v>1750</v>
      </c>
      <c r="D1634" s="107" t="s">
        <v>1469</v>
      </c>
      <c r="E1634" s="107">
        <v>0</v>
      </c>
      <c r="F1634" s="107" t="s">
        <v>1476</v>
      </c>
      <c r="G1634" s="108"/>
    </row>
    <row r="1635" spans="1:27" s="12" customFormat="1" hidden="1" outlineLevel="1" x14ac:dyDescent="0.25">
      <c r="A1635" s="278"/>
      <c r="B1635" s="201" t="s">
        <v>224</v>
      </c>
      <c r="C1635" s="107" t="s">
        <v>1675</v>
      </c>
      <c r="D1635" s="107" t="s">
        <v>1469</v>
      </c>
      <c r="E1635" s="107">
        <v>0</v>
      </c>
      <c r="F1635" s="107" t="s">
        <v>1476</v>
      </c>
      <c r="G1635" s="108"/>
    </row>
    <row r="1636" spans="1:27" s="3" customFormat="1" hidden="1" outlineLevel="1" x14ac:dyDescent="0.25">
      <c r="A1636" s="278"/>
      <c r="B1636" s="201" t="s">
        <v>332</v>
      </c>
      <c r="C1636" s="107" t="s">
        <v>1751</v>
      </c>
      <c r="D1636" s="107" t="s">
        <v>1494</v>
      </c>
      <c r="E1636" s="107">
        <v>0</v>
      </c>
      <c r="F1636" s="107" t="s">
        <v>1470</v>
      </c>
      <c r="G1636" s="108"/>
      <c r="H1636" s="3" t="s">
        <v>10</v>
      </c>
      <c r="I1636" s="3" t="s">
        <v>173</v>
      </c>
      <c r="J1636" s="3" t="s">
        <v>9</v>
      </c>
      <c r="K1636" s="3" t="s">
        <v>9</v>
      </c>
    </row>
    <row r="1637" spans="1:27" s="4" customFormat="1" ht="17.399999999999999" hidden="1" customHeight="1" outlineLevel="1" x14ac:dyDescent="0.35">
      <c r="A1637" s="5"/>
      <c r="B1637" s="333" t="s">
        <v>335</v>
      </c>
      <c r="C1637" s="330" t="s">
        <v>2337</v>
      </c>
      <c r="D1637" s="330" t="s">
        <v>2338</v>
      </c>
      <c r="E1637" s="330" t="s">
        <v>2339</v>
      </c>
      <c r="F1637" s="332" t="s">
        <v>2336</v>
      </c>
      <c r="G1637" s="331" t="s">
        <v>2340</v>
      </c>
      <c r="H1637" s="5"/>
      <c r="I1637" s="5"/>
      <c r="J1637" s="5"/>
      <c r="K1637" s="5"/>
      <c r="L1637" s="5"/>
      <c r="M1637" s="5"/>
    </row>
    <row r="1638" spans="1:27" s="3" customFormat="1" ht="17.399999999999999" hidden="1" customHeight="1" outlineLevel="1" x14ac:dyDescent="0.25">
      <c r="A1638" s="14"/>
      <c r="B1638" s="398" t="s">
        <v>28</v>
      </c>
      <c r="C1638" s="399"/>
      <c r="D1638" s="399"/>
      <c r="E1638" s="399"/>
      <c r="F1638" s="399"/>
      <c r="G1638" s="400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</row>
    <row r="1639" spans="1:27" s="3" customFormat="1" ht="17.399999999999999" hidden="1" customHeight="1" outlineLevel="1" x14ac:dyDescent="0.25">
      <c r="A1639" s="14"/>
      <c r="B1639" s="25" t="s">
        <v>2</v>
      </c>
      <c r="C1639" s="26" t="s">
        <v>3</v>
      </c>
      <c r="D1639" s="26" t="s">
        <v>4</v>
      </c>
      <c r="E1639" s="26" t="s">
        <v>5</v>
      </c>
      <c r="F1639" s="26"/>
      <c r="G1639" s="27" t="s">
        <v>6</v>
      </c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</row>
    <row r="1640" spans="1:27" s="3" customFormat="1" ht="17.399999999999999" hidden="1" customHeight="1" outlineLevel="1" thickBot="1" x14ac:dyDescent="0.3">
      <c r="A1640" s="14"/>
      <c r="B1640" s="116"/>
      <c r="C1640" s="117"/>
      <c r="D1640" s="117"/>
      <c r="E1640" s="117"/>
      <c r="F1640" s="117"/>
      <c r="G1640" s="118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</row>
    <row r="1641" spans="1:27" s="3" customFormat="1" ht="17.399999999999999" hidden="1" customHeight="1" outlineLevel="1" x14ac:dyDescent="0.25">
      <c r="A1641" s="14"/>
      <c r="B1641" s="401" t="s">
        <v>29</v>
      </c>
      <c r="C1641" s="402"/>
      <c r="D1641" s="402"/>
      <c r="E1641" s="402"/>
      <c r="F1641" s="402"/>
      <c r="G1641" s="403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</row>
    <row r="1642" spans="1:27" s="3" customFormat="1" hidden="1" outlineLevel="1" x14ac:dyDescent="0.25">
      <c r="B1642" s="28"/>
      <c r="C1642" s="29"/>
      <c r="D1642" s="29"/>
      <c r="E1642" s="29"/>
      <c r="F1642" s="29"/>
      <c r="G1642" s="30"/>
    </row>
    <row r="1643" spans="1:27" s="7" customFormat="1" ht="16.5" hidden="1" customHeight="1" outlineLevel="1" x14ac:dyDescent="0.25">
      <c r="A1643" s="14"/>
      <c r="B1643" s="308" t="s">
        <v>559</v>
      </c>
      <c r="C1643" s="309"/>
      <c r="D1643" s="309"/>
      <c r="E1643" s="309"/>
      <c r="F1643" s="309"/>
      <c r="G1643" s="310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</row>
    <row r="1644" spans="1:27" s="7" customFormat="1" ht="17.399999999999999" hidden="1" customHeight="1" outlineLevel="1" thickBot="1" x14ac:dyDescent="0.3">
      <c r="A1644" s="14"/>
      <c r="B1644" s="305" t="s">
        <v>560</v>
      </c>
      <c r="C1644" s="306"/>
      <c r="D1644" s="306"/>
      <c r="E1644" s="306"/>
      <c r="F1644" s="306"/>
      <c r="G1644" s="307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</row>
    <row r="1645" spans="1:27" s="7" customFormat="1" ht="16.5" hidden="1" customHeight="1" outlineLevel="1" x14ac:dyDescent="0.25">
      <c r="A1645" s="14"/>
      <c r="B1645" s="308" t="s">
        <v>561</v>
      </c>
      <c r="C1645" s="309"/>
      <c r="D1645" s="309"/>
      <c r="E1645" s="309"/>
      <c r="F1645" s="309"/>
      <c r="G1645" s="310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</row>
    <row r="1646" spans="1:27" s="3" customFormat="1" hidden="1" outlineLevel="1" x14ac:dyDescent="0.25">
      <c r="B1646" s="28" t="s">
        <v>637</v>
      </c>
      <c r="C1646" s="29"/>
      <c r="D1646" s="29"/>
      <c r="E1646" s="29"/>
      <c r="F1646" s="29"/>
      <c r="G1646" s="375" t="s">
        <v>2439</v>
      </c>
    </row>
    <row r="1647" spans="1:27" s="3" customFormat="1" ht="16.2" hidden="1" outlineLevel="1" thickBot="1" x14ac:dyDescent="0.3">
      <c r="B1647" s="163"/>
      <c r="C1647" s="164"/>
      <c r="D1647" s="164"/>
      <c r="E1647" s="164"/>
      <c r="F1647" s="164"/>
      <c r="G1647" s="165"/>
    </row>
    <row r="1648" spans="1:27" s="3" customFormat="1" ht="17.399999999999999" hidden="1" customHeight="1" outlineLevel="1" x14ac:dyDescent="0.25">
      <c r="A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</row>
    <row r="1649" spans="1:27" ht="16.2" hidden="1" outlineLevel="1" thickBot="1" x14ac:dyDescent="0.3"/>
    <row r="1650" spans="1:27" s="3" customFormat="1" ht="18.75" customHeight="1" collapsed="1" thickBot="1" x14ac:dyDescent="0.3">
      <c r="A1650" s="5"/>
      <c r="B1650" s="15" t="s">
        <v>1279</v>
      </c>
      <c r="C1650" s="16" t="s">
        <v>1981</v>
      </c>
      <c r="D1650" s="17" t="s">
        <v>1281</v>
      </c>
      <c r="E1650" s="16" t="s">
        <v>638</v>
      </c>
      <c r="F1650" s="17" t="s">
        <v>1282</v>
      </c>
      <c r="G1650" s="18" t="s">
        <v>1982</v>
      </c>
    </row>
    <row r="1651" spans="1:27" s="3" customFormat="1" ht="17.399999999999999" hidden="1" customHeight="1" outlineLevel="1" x14ac:dyDescent="0.25">
      <c r="A1651" s="5"/>
      <c r="B1651" s="19" t="s">
        <v>1284</v>
      </c>
      <c r="C1651" s="20" t="s">
        <v>1285</v>
      </c>
      <c r="D1651" s="21" t="s">
        <v>1286</v>
      </c>
      <c r="E1651" s="20" t="s">
        <v>1983</v>
      </c>
      <c r="F1651" s="21" t="s">
        <v>1288</v>
      </c>
      <c r="G1651" s="22" t="s">
        <v>1405</v>
      </c>
    </row>
    <row r="1652" spans="1:27" s="3" customFormat="1" ht="17.399999999999999" hidden="1" customHeight="1" outlineLevel="1" thickBot="1" x14ac:dyDescent="0.3">
      <c r="A1652" s="5"/>
      <c r="B1652" s="19" t="s">
        <v>1290</v>
      </c>
      <c r="C1652" s="23" t="s">
        <v>1291</v>
      </c>
      <c r="D1652" s="21" t="s">
        <v>1292</v>
      </c>
      <c r="E1652" s="23">
        <v>5</v>
      </c>
      <c r="F1652" s="21" t="s">
        <v>1293</v>
      </c>
      <c r="G1652" s="24" t="s">
        <v>1294</v>
      </c>
    </row>
    <row r="1653" spans="1:27" s="3" customFormat="1" ht="17.399999999999999" hidden="1" customHeight="1" outlineLevel="1" x14ac:dyDescent="0.25">
      <c r="A1653" s="5"/>
      <c r="B1653" s="401" t="s">
        <v>1</v>
      </c>
      <c r="C1653" s="402"/>
      <c r="D1653" s="402"/>
      <c r="E1653" s="402"/>
      <c r="F1653" s="402"/>
      <c r="G1653" s="403"/>
    </row>
    <row r="1654" spans="1:27" s="3" customFormat="1" ht="17.399999999999999" hidden="1" customHeight="1" outlineLevel="1" x14ac:dyDescent="0.25">
      <c r="A1654" s="5"/>
      <c r="B1654" s="25" t="s">
        <v>2</v>
      </c>
      <c r="C1654" s="26" t="s">
        <v>3</v>
      </c>
      <c r="D1654" s="26" t="s">
        <v>4</v>
      </c>
      <c r="E1654" s="26" t="s">
        <v>5</v>
      </c>
      <c r="F1654" s="26"/>
      <c r="G1654" s="27" t="s">
        <v>6</v>
      </c>
    </row>
    <row r="1655" spans="1:27" s="3" customFormat="1" hidden="1" outlineLevel="1" x14ac:dyDescent="0.25">
      <c r="B1655" s="28" t="s">
        <v>7</v>
      </c>
      <c r="C1655" s="29" t="s">
        <v>1468</v>
      </c>
      <c r="D1655" s="29" t="s">
        <v>1469</v>
      </c>
      <c r="E1655" s="29">
        <v>0</v>
      </c>
      <c r="F1655" s="29" t="s">
        <v>1470</v>
      </c>
      <c r="G1655" s="30" t="s">
        <v>1471</v>
      </c>
      <c r="J1655" s="3" t="s">
        <v>10</v>
      </c>
      <c r="K1655" s="3" t="s">
        <v>173</v>
      </c>
      <c r="L1655" s="3" t="s">
        <v>9</v>
      </c>
      <c r="M1655" s="3" t="s">
        <v>9</v>
      </c>
      <c r="N1655" s="3">
        <v>1112</v>
      </c>
    </row>
    <row r="1656" spans="1:27" s="3" customFormat="1" hidden="1" outlineLevel="1" x14ac:dyDescent="0.25">
      <c r="B1656" s="28" t="s">
        <v>188</v>
      </c>
      <c r="C1656" s="29" t="s">
        <v>1607</v>
      </c>
      <c r="D1656" s="29" t="s">
        <v>1606</v>
      </c>
      <c r="E1656" s="29" t="s">
        <v>1594</v>
      </c>
      <c r="F1656" s="29"/>
      <c r="G1656" s="30"/>
      <c r="J1656" s="3" t="s">
        <v>187</v>
      </c>
      <c r="K1656" s="3" t="s">
        <v>438</v>
      </c>
      <c r="L1656" s="3" t="s">
        <v>537</v>
      </c>
      <c r="M1656" s="3" t="s">
        <v>187</v>
      </c>
      <c r="N1656" s="3">
        <v>2156</v>
      </c>
    </row>
    <row r="1657" spans="1:27" s="3" customFormat="1" hidden="1" outlineLevel="1" x14ac:dyDescent="0.25">
      <c r="B1657" s="28" t="s">
        <v>15</v>
      </c>
      <c r="C1657" s="29" t="s">
        <v>1478</v>
      </c>
      <c r="D1657" s="29" t="s">
        <v>1469</v>
      </c>
      <c r="E1657" s="29">
        <v>0</v>
      </c>
      <c r="F1657" s="29" t="s">
        <v>1470</v>
      </c>
      <c r="G1657" s="30"/>
      <c r="J1657" s="3" t="s">
        <v>10</v>
      </c>
      <c r="K1657" s="3" t="s">
        <v>173</v>
      </c>
      <c r="L1657" s="3" t="s">
        <v>9</v>
      </c>
      <c r="M1657" s="3" t="s">
        <v>9</v>
      </c>
      <c r="N1657" s="3">
        <v>2430</v>
      </c>
    </row>
    <row r="1658" spans="1:27" s="3" customFormat="1" hidden="1" outlineLevel="1" x14ac:dyDescent="0.25">
      <c r="B1658" s="28" t="s">
        <v>87</v>
      </c>
      <c r="C1658" s="29" t="s">
        <v>1535</v>
      </c>
      <c r="D1658" s="29" t="s">
        <v>1469</v>
      </c>
      <c r="E1658" s="29">
        <v>0</v>
      </c>
      <c r="F1658" s="29" t="s">
        <v>1476</v>
      </c>
      <c r="G1658" s="30"/>
      <c r="J1658" s="3" t="s">
        <v>10</v>
      </c>
      <c r="K1658" s="3" t="s">
        <v>173</v>
      </c>
      <c r="L1658" s="3" t="s">
        <v>9</v>
      </c>
      <c r="M1658" s="3" t="s">
        <v>9</v>
      </c>
      <c r="N1658" s="3">
        <v>2433</v>
      </c>
    </row>
    <row r="1659" spans="1:27" s="3" customFormat="1" hidden="1" outlineLevel="1" x14ac:dyDescent="0.25">
      <c r="B1659" s="28" t="s">
        <v>128</v>
      </c>
      <c r="C1659" s="29" t="s">
        <v>1566</v>
      </c>
      <c r="D1659" s="29" t="s">
        <v>1567</v>
      </c>
      <c r="E1659" s="29">
        <v>0</v>
      </c>
      <c r="F1659" s="29" t="s">
        <v>1470</v>
      </c>
      <c r="G1659" s="30"/>
      <c r="J1659" s="3" t="s">
        <v>12</v>
      </c>
      <c r="K1659" s="3" t="s">
        <v>174</v>
      </c>
      <c r="L1659" s="3" t="s">
        <v>175</v>
      </c>
      <c r="M1659" s="3" t="s">
        <v>176</v>
      </c>
      <c r="N1659" s="3">
        <v>1629</v>
      </c>
    </row>
    <row r="1660" spans="1:27" s="3" customFormat="1" hidden="1" outlineLevel="1" x14ac:dyDescent="0.25">
      <c r="B1660" s="28" t="s">
        <v>114</v>
      </c>
      <c r="C1660" s="29" t="s">
        <v>1557</v>
      </c>
      <c r="D1660" s="29" t="s">
        <v>1469</v>
      </c>
      <c r="E1660" s="29">
        <v>-1</v>
      </c>
      <c r="F1660" s="29" t="s">
        <v>1470</v>
      </c>
      <c r="G1660" s="30"/>
      <c r="J1660" s="3" t="s">
        <v>10</v>
      </c>
      <c r="K1660" s="3" t="s">
        <v>173</v>
      </c>
      <c r="L1660" s="3" t="s">
        <v>9</v>
      </c>
      <c r="M1660" s="3" t="s">
        <v>9</v>
      </c>
      <c r="N1660" s="3">
        <v>2449</v>
      </c>
    </row>
    <row r="1661" spans="1:27" s="3" customFormat="1" hidden="1" outlineLevel="1" x14ac:dyDescent="0.25">
      <c r="B1661" s="28" t="s">
        <v>73</v>
      </c>
      <c r="C1661" s="29" t="s">
        <v>1528</v>
      </c>
      <c r="D1661" s="29" t="s">
        <v>1469</v>
      </c>
      <c r="E1661" s="29" t="s">
        <v>1480</v>
      </c>
      <c r="F1661" s="29" t="s">
        <v>1481</v>
      </c>
      <c r="G1661" s="30"/>
      <c r="J1661" s="3" t="s">
        <v>10</v>
      </c>
      <c r="K1661" s="3" t="s">
        <v>173</v>
      </c>
      <c r="L1661" s="3" t="s">
        <v>9</v>
      </c>
      <c r="M1661" s="3" t="s">
        <v>9</v>
      </c>
      <c r="N1661" s="3">
        <v>1767</v>
      </c>
    </row>
    <row r="1662" spans="1:27" s="3" customFormat="1" hidden="1" outlineLevel="1" x14ac:dyDescent="0.25">
      <c r="B1662" s="28" t="s">
        <v>74</v>
      </c>
      <c r="C1662" s="29" t="s">
        <v>1529</v>
      </c>
      <c r="D1662" s="29" t="s">
        <v>1469</v>
      </c>
      <c r="E1662" s="29" t="s">
        <v>1480</v>
      </c>
      <c r="F1662" s="29" t="s">
        <v>1481</v>
      </c>
      <c r="G1662" s="30"/>
      <c r="J1662" s="3" t="s">
        <v>10</v>
      </c>
      <c r="K1662" s="3" t="s">
        <v>173</v>
      </c>
      <c r="L1662" s="3" t="s">
        <v>9</v>
      </c>
      <c r="M1662" s="3" t="s">
        <v>9</v>
      </c>
      <c r="N1662" s="3">
        <v>1713</v>
      </c>
    </row>
    <row r="1663" spans="1:27" s="3" customFormat="1" hidden="1" outlineLevel="1" x14ac:dyDescent="0.25">
      <c r="B1663" s="28"/>
      <c r="C1663" s="29"/>
      <c r="D1663" s="29"/>
      <c r="E1663" s="29"/>
      <c r="F1663" s="29"/>
      <c r="G1663" s="30"/>
    </row>
    <row r="1664" spans="1:27" s="3" customFormat="1" ht="17.399999999999999" hidden="1" customHeight="1" outlineLevel="1" x14ac:dyDescent="0.25">
      <c r="A1664" s="14"/>
      <c r="B1664" s="398" t="s">
        <v>18</v>
      </c>
      <c r="C1664" s="399"/>
      <c r="D1664" s="399"/>
      <c r="E1664" s="399"/>
      <c r="F1664" s="399"/>
      <c r="G1664" s="400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</row>
    <row r="1665" spans="1:27" s="3" customFormat="1" ht="17.399999999999999" hidden="1" customHeight="1" outlineLevel="1" x14ac:dyDescent="0.25">
      <c r="A1665" s="14"/>
      <c r="B1665" s="25" t="s">
        <v>2</v>
      </c>
      <c r="C1665" s="26" t="s">
        <v>3</v>
      </c>
      <c r="D1665" s="26" t="s">
        <v>4</v>
      </c>
      <c r="E1665" s="26" t="s">
        <v>5</v>
      </c>
      <c r="F1665" s="26"/>
      <c r="G1665" s="27" t="s">
        <v>6</v>
      </c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</row>
    <row r="1666" spans="1:27" s="4" customFormat="1" ht="17.399999999999999" hidden="1" customHeight="1" outlineLevel="1" x14ac:dyDescent="0.35">
      <c r="A1666" s="5"/>
      <c r="B1666" s="64" t="s">
        <v>128</v>
      </c>
      <c r="C1666" s="65" t="s">
        <v>1566</v>
      </c>
      <c r="D1666" s="65" t="s">
        <v>1567</v>
      </c>
      <c r="E1666" s="65">
        <v>0</v>
      </c>
      <c r="F1666" s="65" t="s">
        <v>1470</v>
      </c>
      <c r="G1666" s="66"/>
      <c r="H1666" s="5" t="str">
        <f>"t.{"&amp;B1666&amp;"},"</f>
        <v>t.{记录序号},</v>
      </c>
      <c r="I1666" s="5"/>
      <c r="J1666" s="5" t="s">
        <v>12</v>
      </c>
      <c r="K1666" s="5" t="s">
        <v>174</v>
      </c>
      <c r="L1666" s="5" t="s">
        <v>314</v>
      </c>
      <c r="M1666" s="5" t="s">
        <v>176</v>
      </c>
      <c r="N1666" s="4">
        <v>2241</v>
      </c>
      <c r="O1666" s="4">
        <v>64</v>
      </c>
    </row>
    <row r="1667" spans="1:27" hidden="1" outlineLevel="1" x14ac:dyDescent="0.25">
      <c r="B1667" s="256" t="s">
        <v>16</v>
      </c>
      <c r="C1667" s="257" t="s">
        <v>1479</v>
      </c>
      <c r="D1667" s="257" t="s">
        <v>1469</v>
      </c>
      <c r="E1667" s="257" t="s">
        <v>1480</v>
      </c>
      <c r="F1667" s="257" t="s">
        <v>1481</v>
      </c>
      <c r="G1667" s="258" t="s">
        <v>1482</v>
      </c>
    </row>
    <row r="1668" spans="1:27" hidden="1" outlineLevel="1" x14ac:dyDescent="0.25">
      <c r="B1668" s="256" t="s">
        <v>112</v>
      </c>
      <c r="C1668" s="257" t="s">
        <v>1555</v>
      </c>
      <c r="D1668" s="257" t="s">
        <v>1469</v>
      </c>
      <c r="E1668" s="257">
        <v>0</v>
      </c>
      <c r="F1668" s="257" t="s">
        <v>1470</v>
      </c>
      <c r="G1668" s="258" t="s">
        <v>1556</v>
      </c>
    </row>
    <row r="1669" spans="1:27" hidden="1" outlineLevel="1" x14ac:dyDescent="0.25">
      <c r="B1669" s="256" t="s">
        <v>7</v>
      </c>
      <c r="C1669" s="257" t="s">
        <v>1468</v>
      </c>
      <c r="D1669" s="257" t="s">
        <v>1469</v>
      </c>
      <c r="E1669" s="257">
        <v>0</v>
      </c>
      <c r="F1669" s="257" t="s">
        <v>1470</v>
      </c>
      <c r="G1669" s="258" t="s">
        <v>1471</v>
      </c>
    </row>
    <row r="1670" spans="1:27" hidden="1" outlineLevel="1" x14ac:dyDescent="0.25">
      <c r="B1670" s="256" t="s">
        <v>13</v>
      </c>
      <c r="C1670" s="257" t="s">
        <v>1474</v>
      </c>
      <c r="D1670" s="257" t="s">
        <v>1469</v>
      </c>
      <c r="E1670" s="257">
        <v>0</v>
      </c>
      <c r="F1670" s="257" t="s">
        <v>1470</v>
      </c>
      <c r="G1670" s="258"/>
    </row>
    <row r="1671" spans="1:27" hidden="1" outlineLevel="1" x14ac:dyDescent="0.25">
      <c r="B1671" s="256" t="s">
        <v>202</v>
      </c>
      <c r="C1671" s="257" t="s">
        <v>1634</v>
      </c>
      <c r="D1671" s="257" t="s">
        <v>1469</v>
      </c>
      <c r="E1671" s="257">
        <v>0</v>
      </c>
      <c r="F1671" s="257" t="s">
        <v>1470</v>
      </c>
      <c r="G1671" s="258"/>
    </row>
    <row r="1672" spans="1:27" hidden="1" outlineLevel="1" x14ac:dyDescent="0.25">
      <c r="B1672" s="256" t="s">
        <v>15</v>
      </c>
      <c r="C1672" s="257" t="s">
        <v>1478</v>
      </c>
      <c r="D1672" s="257" t="s">
        <v>1469</v>
      </c>
      <c r="E1672" s="257">
        <v>0</v>
      </c>
      <c r="F1672" s="257" t="s">
        <v>1470</v>
      </c>
      <c r="G1672" s="258"/>
    </row>
    <row r="1673" spans="1:27" hidden="1" outlineLevel="1" x14ac:dyDescent="0.25">
      <c r="B1673" s="256" t="s">
        <v>87</v>
      </c>
      <c r="C1673" s="257" t="s">
        <v>1535</v>
      </c>
      <c r="D1673" s="257" t="s">
        <v>1469</v>
      </c>
      <c r="E1673" s="257">
        <v>0</v>
      </c>
      <c r="F1673" s="257" t="s">
        <v>1476</v>
      </c>
      <c r="G1673" s="258"/>
    </row>
    <row r="1674" spans="1:27" hidden="1" outlineLevel="1" x14ac:dyDescent="0.25">
      <c r="B1674" s="256" t="s">
        <v>14</v>
      </c>
      <c r="C1674" s="257" t="s">
        <v>1475</v>
      </c>
      <c r="D1674" s="257" t="s">
        <v>1469</v>
      </c>
      <c r="E1674" s="257">
        <v>0</v>
      </c>
      <c r="F1674" s="257" t="s">
        <v>1476</v>
      </c>
      <c r="G1674" s="258" t="s">
        <v>1477</v>
      </c>
    </row>
    <row r="1675" spans="1:27" hidden="1" outlineLevel="1" x14ac:dyDescent="0.25">
      <c r="B1675" s="256" t="s">
        <v>62</v>
      </c>
      <c r="C1675" s="257" t="s">
        <v>1525</v>
      </c>
      <c r="D1675" s="257" t="s">
        <v>1489</v>
      </c>
      <c r="E1675" s="257">
        <v>0</v>
      </c>
      <c r="F1675" s="257"/>
      <c r="G1675" s="258"/>
    </row>
    <row r="1676" spans="1:27" hidden="1" outlineLevel="1" x14ac:dyDescent="0.25">
      <c r="B1676" s="256" t="s">
        <v>95</v>
      </c>
      <c r="C1676" s="257" t="s">
        <v>1542</v>
      </c>
      <c r="D1676" s="257" t="s">
        <v>1494</v>
      </c>
      <c r="E1676" s="257">
        <v>0</v>
      </c>
      <c r="F1676" s="257"/>
      <c r="G1676" s="258"/>
    </row>
    <row r="1677" spans="1:27" hidden="1" outlineLevel="1" x14ac:dyDescent="0.25">
      <c r="B1677" s="256" t="s">
        <v>100</v>
      </c>
      <c r="C1677" s="257" t="s">
        <v>1543</v>
      </c>
      <c r="D1677" s="257" t="s">
        <v>1469</v>
      </c>
      <c r="E1677" s="257">
        <v>0</v>
      </c>
      <c r="F1677" s="257" t="s">
        <v>1476</v>
      </c>
      <c r="G1677" s="258" t="s">
        <v>1544</v>
      </c>
    </row>
    <row r="1678" spans="1:27" hidden="1" outlineLevel="1" x14ac:dyDescent="0.25">
      <c r="B1678" s="256" t="s">
        <v>116</v>
      </c>
      <c r="C1678" s="257" t="s">
        <v>1559</v>
      </c>
      <c r="D1678" s="257" t="s">
        <v>1486</v>
      </c>
      <c r="E1678" s="257">
        <v>0</v>
      </c>
      <c r="F1678" s="257" t="s">
        <v>1470</v>
      </c>
      <c r="G1678" s="258" t="s">
        <v>1560</v>
      </c>
    </row>
    <row r="1679" spans="1:27" hidden="1" outlineLevel="1" x14ac:dyDescent="0.25">
      <c r="B1679" s="256" t="s">
        <v>75</v>
      </c>
      <c r="C1679" s="257" t="s">
        <v>1530</v>
      </c>
      <c r="D1679" s="257" t="s">
        <v>1486</v>
      </c>
      <c r="E1679" s="257">
        <v>0</v>
      </c>
      <c r="F1679" s="257" t="s">
        <v>1470</v>
      </c>
      <c r="G1679" s="258" t="s">
        <v>1531</v>
      </c>
    </row>
    <row r="1680" spans="1:27" hidden="1" outlineLevel="1" x14ac:dyDescent="0.25">
      <c r="B1680" s="256" t="s">
        <v>315</v>
      </c>
      <c r="C1680" s="257" t="s">
        <v>1733</v>
      </c>
      <c r="D1680" s="257" t="s">
        <v>1486</v>
      </c>
      <c r="E1680" s="257">
        <v>0</v>
      </c>
      <c r="F1680" s="257"/>
      <c r="G1680" s="258"/>
    </row>
    <row r="1681" spans="2:7" hidden="1" outlineLevel="1" x14ac:dyDescent="0.25">
      <c r="B1681" s="256" t="s">
        <v>131</v>
      </c>
      <c r="C1681" s="257" t="s">
        <v>1568</v>
      </c>
      <c r="D1681" s="257" t="s">
        <v>1486</v>
      </c>
      <c r="E1681" s="257">
        <v>0</v>
      </c>
      <c r="F1681" s="257" t="s">
        <v>1470</v>
      </c>
      <c r="G1681" s="258" t="s">
        <v>1569</v>
      </c>
    </row>
    <row r="1682" spans="2:7" hidden="1" outlineLevel="1" x14ac:dyDescent="0.25">
      <c r="B1682" s="256" t="s">
        <v>132</v>
      </c>
      <c r="C1682" s="257" t="s">
        <v>1570</v>
      </c>
      <c r="D1682" s="257" t="s">
        <v>1486</v>
      </c>
      <c r="E1682" s="257">
        <v>0</v>
      </c>
      <c r="F1682" s="257" t="s">
        <v>1470</v>
      </c>
      <c r="G1682" s="258" t="s">
        <v>1571</v>
      </c>
    </row>
    <row r="1683" spans="2:7" hidden="1" outlineLevel="1" x14ac:dyDescent="0.25">
      <c r="B1683" s="256" t="s">
        <v>322</v>
      </c>
      <c r="C1683" s="257" t="s">
        <v>1740</v>
      </c>
      <c r="D1683" s="257" t="s">
        <v>1486</v>
      </c>
      <c r="E1683" s="257">
        <v>0</v>
      </c>
      <c r="F1683" s="257" t="s">
        <v>1470</v>
      </c>
      <c r="G1683" s="258"/>
    </row>
    <row r="1684" spans="2:7" hidden="1" outlineLevel="1" x14ac:dyDescent="0.25">
      <c r="B1684" s="256" t="s">
        <v>323</v>
      </c>
      <c r="C1684" s="257" t="s">
        <v>1741</v>
      </c>
      <c r="D1684" s="257" t="s">
        <v>1486</v>
      </c>
      <c r="E1684" s="257">
        <v>0</v>
      </c>
      <c r="F1684" s="257" t="s">
        <v>1470</v>
      </c>
      <c r="G1684" s="258"/>
    </row>
    <row r="1685" spans="2:7" hidden="1" outlineLevel="1" x14ac:dyDescent="0.25">
      <c r="B1685" s="256" t="s">
        <v>117</v>
      </c>
      <c r="C1685" s="257" t="s">
        <v>1561</v>
      </c>
      <c r="D1685" s="257" t="s">
        <v>1489</v>
      </c>
      <c r="E1685" s="257">
        <v>0</v>
      </c>
      <c r="F1685" s="257" t="s">
        <v>1470</v>
      </c>
      <c r="G1685" s="258"/>
    </row>
    <row r="1686" spans="2:7" hidden="1" outlineLevel="1" x14ac:dyDescent="0.25">
      <c r="B1686" s="256" t="s">
        <v>24</v>
      </c>
      <c r="C1686" s="257" t="s">
        <v>1491</v>
      </c>
      <c r="D1686" s="257" t="s">
        <v>1489</v>
      </c>
      <c r="E1686" s="257">
        <v>0</v>
      </c>
      <c r="F1686" s="257" t="s">
        <v>1470</v>
      </c>
      <c r="G1686" s="258"/>
    </row>
    <row r="1687" spans="2:7" hidden="1" outlineLevel="1" x14ac:dyDescent="0.25">
      <c r="B1687" s="256" t="s">
        <v>140</v>
      </c>
      <c r="C1687" s="257" t="s">
        <v>1578</v>
      </c>
      <c r="D1687" s="257" t="s">
        <v>1489</v>
      </c>
      <c r="E1687" s="257">
        <v>0</v>
      </c>
      <c r="F1687" s="257" t="s">
        <v>1470</v>
      </c>
      <c r="G1687" s="258"/>
    </row>
    <row r="1688" spans="2:7" hidden="1" outlineLevel="1" x14ac:dyDescent="0.25">
      <c r="B1688" s="256" t="s">
        <v>141</v>
      </c>
      <c r="C1688" s="257" t="s">
        <v>1579</v>
      </c>
      <c r="D1688" s="257" t="s">
        <v>1489</v>
      </c>
      <c r="E1688" s="257">
        <v>0</v>
      </c>
      <c r="F1688" s="257" t="s">
        <v>1470</v>
      </c>
      <c r="G1688" s="258"/>
    </row>
    <row r="1689" spans="2:7" hidden="1" outlineLevel="1" x14ac:dyDescent="0.25">
      <c r="B1689" s="256" t="s">
        <v>324</v>
      </c>
      <c r="C1689" s="257" t="s">
        <v>1742</v>
      </c>
      <c r="D1689" s="257" t="s">
        <v>1486</v>
      </c>
      <c r="E1689" s="257">
        <v>0</v>
      </c>
      <c r="F1689" s="257" t="s">
        <v>1470</v>
      </c>
      <c r="G1689" s="258"/>
    </row>
    <row r="1690" spans="2:7" hidden="1" outlineLevel="1" x14ac:dyDescent="0.25">
      <c r="B1690" s="256" t="s">
        <v>147</v>
      </c>
      <c r="C1690" s="257" t="s">
        <v>1586</v>
      </c>
      <c r="D1690" s="257" t="s">
        <v>1489</v>
      </c>
      <c r="E1690" s="257">
        <v>0</v>
      </c>
      <c r="F1690" s="257"/>
      <c r="G1690" s="258"/>
    </row>
    <row r="1691" spans="2:7" hidden="1" outlineLevel="1" x14ac:dyDescent="0.25">
      <c r="B1691" s="256" t="s">
        <v>268</v>
      </c>
      <c r="C1691" s="257" t="s">
        <v>1695</v>
      </c>
      <c r="D1691" s="257" t="s">
        <v>1489</v>
      </c>
      <c r="E1691" s="257">
        <v>0</v>
      </c>
      <c r="F1691" s="257" t="s">
        <v>1470</v>
      </c>
      <c r="G1691" s="258"/>
    </row>
    <row r="1692" spans="2:7" hidden="1" outlineLevel="1" x14ac:dyDescent="0.25">
      <c r="B1692" s="256" t="s">
        <v>148</v>
      </c>
      <c r="C1692" s="257" t="s">
        <v>1587</v>
      </c>
      <c r="D1692" s="257" t="s">
        <v>1486</v>
      </c>
      <c r="E1692" s="257">
        <v>0</v>
      </c>
      <c r="F1692" s="257" t="s">
        <v>1470</v>
      </c>
      <c r="G1692" s="258"/>
    </row>
    <row r="1693" spans="2:7" hidden="1" outlineLevel="1" x14ac:dyDescent="0.25">
      <c r="B1693" s="256" t="s">
        <v>146</v>
      </c>
      <c r="C1693" s="257" t="s">
        <v>1585</v>
      </c>
      <c r="D1693" s="257" t="s">
        <v>1489</v>
      </c>
      <c r="E1693" s="257">
        <v>0</v>
      </c>
      <c r="F1693" s="257"/>
      <c r="G1693" s="258"/>
    </row>
    <row r="1694" spans="2:7" hidden="1" outlineLevel="1" x14ac:dyDescent="0.25">
      <c r="B1694" s="256" t="s">
        <v>325</v>
      </c>
      <c r="C1694" s="257" t="s">
        <v>1743</v>
      </c>
      <c r="D1694" s="257" t="s">
        <v>1539</v>
      </c>
      <c r="E1694" s="257">
        <v>0</v>
      </c>
      <c r="F1694" s="257"/>
      <c r="G1694" s="258"/>
    </row>
    <row r="1695" spans="2:7" hidden="1" outlineLevel="1" x14ac:dyDescent="0.25">
      <c r="B1695" s="256" t="s">
        <v>326</v>
      </c>
      <c r="C1695" s="257" t="s">
        <v>1744</v>
      </c>
      <c r="D1695" s="257" t="s">
        <v>1539</v>
      </c>
      <c r="E1695" s="257">
        <v>0</v>
      </c>
      <c r="F1695" s="257"/>
      <c r="G1695" s="258"/>
    </row>
    <row r="1696" spans="2:7" hidden="1" outlineLevel="1" x14ac:dyDescent="0.25">
      <c r="B1696" s="280" t="s">
        <v>115</v>
      </c>
      <c r="C1696" s="262" t="s">
        <v>1558</v>
      </c>
      <c r="D1696" s="262" t="s">
        <v>1539</v>
      </c>
      <c r="E1696" s="262">
        <v>0</v>
      </c>
      <c r="F1696" s="262" t="s">
        <v>1470</v>
      </c>
      <c r="G1696" s="263"/>
    </row>
    <row r="1697" spans="1:27" hidden="1" outlineLevel="1" x14ac:dyDescent="0.25">
      <c r="B1697" s="280" t="s">
        <v>327</v>
      </c>
      <c r="C1697" s="262" t="s">
        <v>1745</v>
      </c>
      <c r="D1697" s="262" t="s">
        <v>1539</v>
      </c>
      <c r="E1697" s="262">
        <v>0</v>
      </c>
      <c r="F1697" s="262" t="s">
        <v>1470</v>
      </c>
      <c r="G1697" s="263"/>
    </row>
    <row r="1698" spans="1:27" hidden="1" outlineLevel="1" x14ac:dyDescent="0.25">
      <c r="B1698" s="280" t="s">
        <v>90</v>
      </c>
      <c r="C1698" s="262" t="s">
        <v>1538</v>
      </c>
      <c r="D1698" s="262" t="s">
        <v>1539</v>
      </c>
      <c r="E1698" s="262">
        <v>0</v>
      </c>
      <c r="F1698" s="262" t="s">
        <v>1470</v>
      </c>
      <c r="G1698" s="263" t="s">
        <v>1540</v>
      </c>
    </row>
    <row r="1699" spans="1:27" s="4" customFormat="1" ht="17.399999999999999" hidden="1" customHeight="1" outlineLevel="1" thickBot="1" x14ac:dyDescent="0.4">
      <c r="A1699" s="5"/>
      <c r="B1699" s="333" t="s">
        <v>335</v>
      </c>
      <c r="C1699" s="330" t="s">
        <v>2337</v>
      </c>
      <c r="D1699" s="330" t="s">
        <v>2338</v>
      </c>
      <c r="E1699" s="330" t="s">
        <v>2339</v>
      </c>
      <c r="F1699" s="332" t="s">
        <v>2336</v>
      </c>
      <c r="G1699" s="331" t="s">
        <v>2340</v>
      </c>
      <c r="H1699" s="5"/>
      <c r="I1699" s="5"/>
      <c r="J1699" s="5"/>
      <c r="K1699" s="5"/>
      <c r="L1699" s="5"/>
      <c r="M1699" s="5"/>
    </row>
    <row r="1700" spans="1:27" s="3" customFormat="1" ht="17.399999999999999" hidden="1" customHeight="1" outlineLevel="1" x14ac:dyDescent="0.25">
      <c r="A1700" s="14"/>
      <c r="B1700" s="401" t="s">
        <v>29</v>
      </c>
      <c r="C1700" s="402"/>
      <c r="D1700" s="402"/>
      <c r="E1700" s="402"/>
      <c r="F1700" s="402"/>
      <c r="G1700" s="403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</row>
    <row r="1701" spans="1:27" s="7" customFormat="1" ht="16.5" hidden="1" customHeight="1" outlineLevel="1" x14ac:dyDescent="0.25">
      <c r="A1701" s="14"/>
      <c r="B1701" s="308" t="s">
        <v>559</v>
      </c>
      <c r="C1701" s="309"/>
      <c r="D1701" s="309"/>
      <c r="E1701" s="309"/>
      <c r="F1701" s="309"/>
      <c r="G1701" s="310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</row>
    <row r="1702" spans="1:27" s="7" customFormat="1" ht="17.399999999999999" hidden="1" customHeight="1" outlineLevel="1" thickBot="1" x14ac:dyDescent="0.3">
      <c r="A1702" s="14"/>
      <c r="B1702" s="305" t="s">
        <v>560</v>
      </c>
      <c r="C1702" s="306"/>
      <c r="D1702" s="306"/>
      <c r="E1702" s="306"/>
      <c r="F1702" s="306"/>
      <c r="G1702" s="307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</row>
    <row r="1703" spans="1:27" s="7" customFormat="1" ht="16.5" hidden="1" customHeight="1" outlineLevel="1" x14ac:dyDescent="0.25">
      <c r="A1703" s="14"/>
      <c r="B1703" s="308" t="s">
        <v>561</v>
      </c>
      <c r="C1703" s="309"/>
      <c r="D1703" s="309"/>
      <c r="E1703" s="309"/>
      <c r="F1703" s="309"/>
      <c r="G1703" s="310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14"/>
    </row>
    <row r="1704" spans="1:27" s="3" customFormat="1" hidden="1" outlineLevel="1" x14ac:dyDescent="0.25">
      <c r="B1704" s="28"/>
      <c r="C1704" s="29"/>
      <c r="D1704" s="29"/>
      <c r="E1704" s="29"/>
      <c r="F1704" s="29"/>
      <c r="G1704" s="30"/>
    </row>
    <row r="1705" spans="1:27" s="3" customFormat="1" hidden="1" outlineLevel="1" x14ac:dyDescent="0.25">
      <c r="B1705" s="28" t="s">
        <v>639</v>
      </c>
      <c r="C1705" s="29"/>
      <c r="D1705" s="29"/>
      <c r="E1705" s="29"/>
      <c r="F1705" s="29"/>
      <c r="G1705" s="375" t="s">
        <v>2440</v>
      </c>
    </row>
    <row r="1706" spans="1:27" s="3" customFormat="1" hidden="1" outlineLevel="1" x14ac:dyDescent="0.25">
      <c r="B1706" s="28"/>
      <c r="C1706" s="29"/>
      <c r="D1706" s="29"/>
      <c r="E1706" s="29"/>
      <c r="F1706" s="29"/>
      <c r="G1706" s="30"/>
    </row>
    <row r="1707" spans="1:27" s="3" customFormat="1" hidden="1" outlineLevel="1" x14ac:dyDescent="0.25">
      <c r="B1707" s="28"/>
      <c r="C1707" s="29"/>
      <c r="D1707" s="29"/>
      <c r="E1707" s="29"/>
      <c r="F1707" s="29"/>
      <c r="G1707" s="30"/>
    </row>
    <row r="1708" spans="1:27" s="3" customFormat="1" ht="16.2" hidden="1" outlineLevel="1" thickBot="1" x14ac:dyDescent="0.3">
      <c r="B1708" s="163"/>
      <c r="C1708" s="164"/>
      <c r="D1708" s="164"/>
      <c r="E1708" s="164"/>
      <c r="F1708" s="164"/>
      <c r="G1708" s="165"/>
    </row>
    <row r="1709" spans="1:27" s="3" customFormat="1" ht="17.399999999999999" hidden="1" customHeight="1" outlineLevel="1" thickBot="1" x14ac:dyDescent="0.3">
      <c r="A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</row>
    <row r="1710" spans="1:27" s="3" customFormat="1" ht="18.75" customHeight="1" collapsed="1" thickBot="1" x14ac:dyDescent="0.3">
      <c r="A1710" s="5"/>
      <c r="B1710" s="15" t="s">
        <v>1279</v>
      </c>
      <c r="C1710" s="16" t="s">
        <v>1984</v>
      </c>
      <c r="D1710" s="17" t="s">
        <v>1281</v>
      </c>
      <c r="E1710" s="16" t="s">
        <v>640</v>
      </c>
      <c r="F1710" s="17" t="s">
        <v>1282</v>
      </c>
      <c r="G1710" s="18" t="s">
        <v>1985</v>
      </c>
    </row>
    <row r="1711" spans="1:27" s="3" customFormat="1" ht="17.399999999999999" hidden="1" customHeight="1" outlineLevel="1" x14ac:dyDescent="0.25">
      <c r="A1711" s="5"/>
      <c r="B1711" s="19" t="s">
        <v>1284</v>
      </c>
      <c r="C1711" s="20" t="s">
        <v>1285</v>
      </c>
      <c r="D1711" s="21" t="s">
        <v>1286</v>
      </c>
      <c r="E1711" s="20" t="s">
        <v>1986</v>
      </c>
      <c r="F1711" s="21" t="s">
        <v>1288</v>
      </c>
      <c r="G1711" s="22" t="s">
        <v>1409</v>
      </c>
    </row>
    <row r="1712" spans="1:27" s="3" customFormat="1" ht="17.399999999999999" hidden="1" customHeight="1" outlineLevel="1" thickBot="1" x14ac:dyDescent="0.3">
      <c r="A1712" s="5"/>
      <c r="B1712" s="19" t="s">
        <v>1290</v>
      </c>
      <c r="C1712" s="23" t="s">
        <v>1291</v>
      </c>
      <c r="D1712" s="21" t="s">
        <v>1292</v>
      </c>
      <c r="E1712" s="23">
        <v>5</v>
      </c>
      <c r="F1712" s="21" t="s">
        <v>1293</v>
      </c>
      <c r="G1712" s="24" t="s">
        <v>1294</v>
      </c>
    </row>
    <row r="1713" spans="1:27" s="3" customFormat="1" ht="17.399999999999999" hidden="1" customHeight="1" outlineLevel="1" x14ac:dyDescent="0.25">
      <c r="A1713" s="5"/>
      <c r="B1713" s="401" t="s">
        <v>1</v>
      </c>
      <c r="C1713" s="402"/>
      <c r="D1713" s="402"/>
      <c r="E1713" s="402"/>
      <c r="F1713" s="402"/>
      <c r="G1713" s="403"/>
    </row>
    <row r="1714" spans="1:27" s="3" customFormat="1" ht="17.399999999999999" hidden="1" customHeight="1" outlineLevel="1" x14ac:dyDescent="0.25">
      <c r="A1714" s="5"/>
      <c r="B1714" s="25" t="s">
        <v>2</v>
      </c>
      <c r="C1714" s="26" t="s">
        <v>3</v>
      </c>
      <c r="D1714" s="26" t="s">
        <v>4</v>
      </c>
      <c r="E1714" s="26" t="s">
        <v>5</v>
      </c>
      <c r="F1714" s="26"/>
      <c r="G1714" s="27" t="s">
        <v>6</v>
      </c>
    </row>
    <row r="1715" spans="1:27" s="3" customFormat="1" hidden="1" outlineLevel="1" x14ac:dyDescent="0.25">
      <c r="B1715" s="28" t="s">
        <v>7</v>
      </c>
      <c r="C1715" s="29" t="s">
        <v>1468</v>
      </c>
      <c r="D1715" s="29" t="s">
        <v>1469</v>
      </c>
      <c r="E1715" s="29">
        <v>0</v>
      </c>
      <c r="F1715" s="29" t="s">
        <v>1470</v>
      </c>
      <c r="G1715" s="30" t="s">
        <v>1471</v>
      </c>
      <c r="J1715" s="3" t="s">
        <v>10</v>
      </c>
      <c r="K1715" s="3" t="s">
        <v>173</v>
      </c>
      <c r="L1715" s="3" t="s">
        <v>9</v>
      </c>
      <c r="M1715" s="3" t="s">
        <v>9</v>
      </c>
      <c r="N1715" s="3">
        <v>1112</v>
      </c>
    </row>
    <row r="1716" spans="1:27" s="3" customFormat="1" hidden="1" outlineLevel="1" x14ac:dyDescent="0.25">
      <c r="B1716" s="28" t="s">
        <v>188</v>
      </c>
      <c r="C1716" s="29" t="s">
        <v>1607</v>
      </c>
      <c r="D1716" s="29" t="s">
        <v>1606</v>
      </c>
      <c r="E1716" s="29" t="s">
        <v>1594</v>
      </c>
      <c r="F1716" s="29"/>
      <c r="G1716" s="30"/>
      <c r="J1716" s="3" t="s">
        <v>187</v>
      </c>
      <c r="K1716" s="3" t="s">
        <v>438</v>
      </c>
      <c r="L1716" s="3" t="s">
        <v>537</v>
      </c>
      <c r="M1716" s="3" t="s">
        <v>187</v>
      </c>
      <c r="N1716" s="3">
        <v>2156</v>
      </c>
    </row>
    <row r="1717" spans="1:27" s="3" customFormat="1" hidden="1" outlineLevel="1" x14ac:dyDescent="0.25">
      <c r="B1717" s="28" t="s">
        <v>15</v>
      </c>
      <c r="C1717" s="29" t="s">
        <v>1478</v>
      </c>
      <c r="D1717" s="29" t="s">
        <v>1469</v>
      </c>
      <c r="E1717" s="29">
        <v>0</v>
      </c>
      <c r="F1717" s="29" t="s">
        <v>1470</v>
      </c>
      <c r="G1717" s="30"/>
      <c r="J1717" s="3" t="s">
        <v>10</v>
      </c>
      <c r="K1717" s="3" t="s">
        <v>173</v>
      </c>
      <c r="L1717" s="3" t="s">
        <v>9</v>
      </c>
      <c r="M1717" s="3" t="s">
        <v>9</v>
      </c>
      <c r="N1717" s="3">
        <v>2430</v>
      </c>
    </row>
    <row r="1718" spans="1:27" s="3" customFormat="1" hidden="1" outlineLevel="1" x14ac:dyDescent="0.25">
      <c r="B1718" s="28" t="s">
        <v>87</v>
      </c>
      <c r="C1718" s="29" t="s">
        <v>1535</v>
      </c>
      <c r="D1718" s="29" t="s">
        <v>1469</v>
      </c>
      <c r="E1718" s="29">
        <v>0</v>
      </c>
      <c r="F1718" s="29" t="s">
        <v>1476</v>
      </c>
      <c r="G1718" s="30"/>
      <c r="J1718" s="3" t="s">
        <v>10</v>
      </c>
      <c r="K1718" s="3" t="s">
        <v>173</v>
      </c>
      <c r="L1718" s="3" t="s">
        <v>9</v>
      </c>
      <c r="M1718" s="3" t="s">
        <v>9</v>
      </c>
      <c r="N1718" s="3">
        <v>2433</v>
      </c>
    </row>
    <row r="1719" spans="1:27" s="3" customFormat="1" hidden="1" outlineLevel="1" x14ac:dyDescent="0.25">
      <c r="B1719" s="28" t="s">
        <v>11</v>
      </c>
      <c r="C1719" s="29" t="s">
        <v>1472</v>
      </c>
      <c r="D1719" s="29" t="s">
        <v>1469</v>
      </c>
      <c r="E1719" s="29">
        <v>0</v>
      </c>
      <c r="F1719" s="29" t="s">
        <v>1470</v>
      </c>
      <c r="G1719" s="30" t="s">
        <v>1473</v>
      </c>
      <c r="J1719" s="3" t="s">
        <v>12</v>
      </c>
      <c r="K1719" s="3" t="s">
        <v>174</v>
      </c>
      <c r="L1719" s="3" t="s">
        <v>175</v>
      </c>
      <c r="M1719" s="3" t="s">
        <v>176</v>
      </c>
      <c r="N1719" s="3">
        <v>1700</v>
      </c>
    </row>
    <row r="1720" spans="1:27" s="3" customFormat="1" hidden="1" outlineLevel="1" x14ac:dyDescent="0.25">
      <c r="B1720" s="28" t="s">
        <v>128</v>
      </c>
      <c r="C1720" s="29" t="s">
        <v>1566</v>
      </c>
      <c r="D1720" s="29" t="s">
        <v>1567</v>
      </c>
      <c r="E1720" s="29">
        <v>0</v>
      </c>
      <c r="F1720" s="29" t="s">
        <v>1470</v>
      </c>
      <c r="G1720" s="30"/>
      <c r="J1720" s="3" t="s">
        <v>12</v>
      </c>
      <c r="K1720" s="3" t="s">
        <v>174</v>
      </c>
      <c r="L1720" s="3" t="s">
        <v>175</v>
      </c>
      <c r="M1720" s="3" t="s">
        <v>176</v>
      </c>
      <c r="N1720" s="3">
        <v>1629</v>
      </c>
    </row>
    <row r="1721" spans="1:27" s="3" customFormat="1" hidden="1" outlineLevel="1" x14ac:dyDescent="0.25">
      <c r="B1721" s="28" t="s">
        <v>114</v>
      </c>
      <c r="C1721" s="29" t="s">
        <v>1557</v>
      </c>
      <c r="D1721" s="29" t="s">
        <v>1469</v>
      </c>
      <c r="E1721" s="29">
        <v>-1</v>
      </c>
      <c r="F1721" s="29" t="s">
        <v>1470</v>
      </c>
      <c r="G1721" s="30"/>
      <c r="J1721" s="3" t="s">
        <v>10</v>
      </c>
      <c r="K1721" s="3" t="s">
        <v>173</v>
      </c>
      <c r="L1721" s="3" t="s">
        <v>9</v>
      </c>
      <c r="M1721" s="3" t="s">
        <v>9</v>
      </c>
      <c r="N1721" s="3">
        <v>2449</v>
      </c>
    </row>
    <row r="1722" spans="1:27" s="3" customFormat="1" hidden="1" outlineLevel="1" x14ac:dyDescent="0.25">
      <c r="B1722" s="28" t="s">
        <v>73</v>
      </c>
      <c r="C1722" s="29" t="s">
        <v>1528</v>
      </c>
      <c r="D1722" s="29" t="s">
        <v>1469</v>
      </c>
      <c r="E1722" s="29" t="s">
        <v>1480</v>
      </c>
      <c r="F1722" s="29" t="s">
        <v>1481</v>
      </c>
      <c r="G1722" s="30"/>
      <c r="J1722" s="3" t="s">
        <v>10</v>
      </c>
      <c r="K1722" s="3" t="s">
        <v>173</v>
      </c>
      <c r="L1722" s="3" t="s">
        <v>9</v>
      </c>
      <c r="M1722" s="3" t="s">
        <v>9</v>
      </c>
      <c r="N1722" s="3">
        <v>1767</v>
      </c>
    </row>
    <row r="1723" spans="1:27" s="3" customFormat="1" hidden="1" outlineLevel="1" x14ac:dyDescent="0.25">
      <c r="B1723" s="28" t="s">
        <v>74</v>
      </c>
      <c r="C1723" s="29" t="s">
        <v>1529</v>
      </c>
      <c r="D1723" s="29" t="s">
        <v>1469</v>
      </c>
      <c r="E1723" s="29" t="s">
        <v>1480</v>
      </c>
      <c r="F1723" s="29" t="s">
        <v>1481</v>
      </c>
      <c r="G1723" s="30"/>
      <c r="J1723" s="3" t="s">
        <v>10</v>
      </c>
      <c r="K1723" s="3" t="s">
        <v>173</v>
      </c>
      <c r="L1723" s="3" t="s">
        <v>9</v>
      </c>
      <c r="M1723" s="3" t="s">
        <v>9</v>
      </c>
      <c r="N1723" s="3">
        <v>1713</v>
      </c>
    </row>
    <row r="1724" spans="1:27" s="3" customFormat="1" ht="16.2" hidden="1" outlineLevel="1" thickBot="1" x14ac:dyDescent="0.3">
      <c r="B1724" s="28"/>
      <c r="C1724" s="29"/>
      <c r="D1724" s="29"/>
      <c r="E1724" s="29"/>
      <c r="F1724" s="29"/>
      <c r="G1724" s="30"/>
    </row>
    <row r="1725" spans="1:27" s="3" customFormat="1" ht="17.399999999999999" hidden="1" customHeight="1" outlineLevel="1" x14ac:dyDescent="0.25">
      <c r="A1725" s="14"/>
      <c r="B1725" s="401" t="s">
        <v>18</v>
      </c>
      <c r="C1725" s="402"/>
      <c r="D1725" s="402"/>
      <c r="E1725" s="402"/>
      <c r="F1725" s="402"/>
      <c r="G1725" s="403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</row>
    <row r="1726" spans="1:27" s="3" customFormat="1" ht="17.399999999999999" hidden="1" customHeight="1" outlineLevel="1" x14ac:dyDescent="0.25">
      <c r="A1726" s="14"/>
      <c r="B1726" s="25" t="s">
        <v>2</v>
      </c>
      <c r="C1726" s="26" t="s">
        <v>3</v>
      </c>
      <c r="D1726" s="26" t="s">
        <v>4</v>
      </c>
      <c r="E1726" s="26" t="s">
        <v>5</v>
      </c>
      <c r="F1726" s="26"/>
      <c r="G1726" s="27" t="s">
        <v>6</v>
      </c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</row>
    <row r="1727" spans="1:27" s="3" customFormat="1" hidden="1" outlineLevel="1" x14ac:dyDescent="0.25">
      <c r="B1727" s="28" t="s">
        <v>128</v>
      </c>
      <c r="C1727" s="29" t="s">
        <v>1566</v>
      </c>
      <c r="D1727" s="29" t="s">
        <v>1567</v>
      </c>
      <c r="E1727" s="29">
        <v>0</v>
      </c>
      <c r="F1727" s="29" t="s">
        <v>1470</v>
      </c>
      <c r="G1727" s="30"/>
      <c r="H1727" s="3" t="str">
        <f t="shared" ref="H1727:H1757" si="7">"{"&amp;B1727&amp;"},"</f>
        <v>{记录序号},</v>
      </c>
      <c r="J1727" s="3" t="s">
        <v>12</v>
      </c>
      <c r="K1727" s="3" t="s">
        <v>174</v>
      </c>
      <c r="L1727" s="3" t="s">
        <v>175</v>
      </c>
      <c r="M1727" s="3" t="s">
        <v>176</v>
      </c>
      <c r="N1727" s="3">
        <v>1629</v>
      </c>
    </row>
    <row r="1728" spans="1:27" s="3" customFormat="1" hidden="1" outlineLevel="1" x14ac:dyDescent="0.25">
      <c r="B1728" s="28" t="s">
        <v>16</v>
      </c>
      <c r="C1728" s="29" t="s">
        <v>1479</v>
      </c>
      <c r="D1728" s="29" t="s">
        <v>1469</v>
      </c>
      <c r="E1728" s="29" t="s">
        <v>1480</v>
      </c>
      <c r="F1728" s="29" t="s">
        <v>1481</v>
      </c>
      <c r="G1728" s="30" t="s">
        <v>1482</v>
      </c>
      <c r="H1728" s="3" t="str">
        <f t="shared" si="7"/>
        <v>{初始化日期},</v>
      </c>
      <c r="J1728" s="3" t="s">
        <v>10</v>
      </c>
      <c r="K1728" s="3" t="s">
        <v>173</v>
      </c>
      <c r="L1728" s="3" t="s">
        <v>9</v>
      </c>
      <c r="M1728" s="3" t="s">
        <v>9</v>
      </c>
      <c r="N1728" s="3">
        <v>1211</v>
      </c>
    </row>
    <row r="1729" spans="2:14" s="3" customFormat="1" hidden="1" outlineLevel="1" x14ac:dyDescent="0.25">
      <c r="B1729" s="28" t="s">
        <v>112</v>
      </c>
      <c r="C1729" s="29" t="s">
        <v>1555</v>
      </c>
      <c r="D1729" s="29" t="s">
        <v>1469</v>
      </c>
      <c r="E1729" s="29">
        <v>0</v>
      </c>
      <c r="F1729" s="29" t="s">
        <v>1470</v>
      </c>
      <c r="G1729" s="30" t="s">
        <v>1556</v>
      </c>
      <c r="H1729" s="3" t="str">
        <f t="shared" si="7"/>
        <v>{机构编号},</v>
      </c>
      <c r="J1729" s="3" t="s">
        <v>10</v>
      </c>
      <c r="K1729" s="3" t="s">
        <v>173</v>
      </c>
      <c r="L1729" s="3" t="s">
        <v>9</v>
      </c>
      <c r="M1729" s="3" t="s">
        <v>9</v>
      </c>
      <c r="N1729" s="3">
        <v>1606</v>
      </c>
    </row>
    <row r="1730" spans="2:14" s="3" customFormat="1" hidden="1" outlineLevel="1" x14ac:dyDescent="0.25">
      <c r="B1730" s="28" t="s">
        <v>7</v>
      </c>
      <c r="C1730" s="29" t="s">
        <v>1468</v>
      </c>
      <c r="D1730" s="29" t="s">
        <v>1469</v>
      </c>
      <c r="E1730" s="29">
        <v>0</v>
      </c>
      <c r="F1730" s="29" t="s">
        <v>1470</v>
      </c>
      <c r="G1730" s="30" t="s">
        <v>1471</v>
      </c>
      <c r="H1730" s="3" t="str">
        <f t="shared" si="7"/>
        <v>{产品编号},</v>
      </c>
      <c r="J1730" s="3" t="s">
        <v>10</v>
      </c>
      <c r="K1730" s="3" t="s">
        <v>173</v>
      </c>
      <c r="L1730" s="3" t="s">
        <v>9</v>
      </c>
      <c r="M1730" s="3" t="s">
        <v>9</v>
      </c>
      <c r="N1730" s="3">
        <v>1112</v>
      </c>
    </row>
    <row r="1731" spans="2:14" s="3" customFormat="1" hidden="1" outlineLevel="1" x14ac:dyDescent="0.25">
      <c r="B1731" s="28" t="s">
        <v>13</v>
      </c>
      <c r="C1731" s="29" t="s">
        <v>1474</v>
      </c>
      <c r="D1731" s="29" t="s">
        <v>1469</v>
      </c>
      <c r="E1731" s="29">
        <v>0</v>
      </c>
      <c r="F1731" s="29" t="s">
        <v>1470</v>
      </c>
      <c r="G1731" s="30"/>
      <c r="H1731" s="3" t="str">
        <f t="shared" si="7"/>
        <v>{资产账户编号},</v>
      </c>
      <c r="J1731" s="3" t="s">
        <v>10</v>
      </c>
      <c r="K1731" s="3" t="s">
        <v>173</v>
      </c>
      <c r="L1731" s="3" t="s">
        <v>9</v>
      </c>
      <c r="M1731" s="3" t="s">
        <v>9</v>
      </c>
      <c r="N1731" s="3">
        <v>2534</v>
      </c>
    </row>
    <row r="1732" spans="2:14" s="3" customFormat="1" hidden="1" outlineLevel="1" x14ac:dyDescent="0.25">
      <c r="B1732" s="28" t="s">
        <v>11</v>
      </c>
      <c r="C1732" s="29" t="s">
        <v>1472</v>
      </c>
      <c r="D1732" s="29" t="s">
        <v>1469</v>
      </c>
      <c r="E1732" s="29">
        <v>0</v>
      </c>
      <c r="F1732" s="29" t="s">
        <v>1470</v>
      </c>
      <c r="G1732" s="30" t="s">
        <v>1473</v>
      </c>
      <c r="H1732" s="3" t="str">
        <f t="shared" si="7"/>
        <v>{交易组编号},</v>
      </c>
      <c r="J1732" s="3" t="s">
        <v>12</v>
      </c>
      <c r="K1732" s="3" t="s">
        <v>174</v>
      </c>
      <c r="L1732" s="3" t="s">
        <v>175</v>
      </c>
      <c r="M1732" s="3" t="s">
        <v>176</v>
      </c>
      <c r="N1732" s="3">
        <v>1700</v>
      </c>
    </row>
    <row r="1733" spans="2:14" s="3" customFormat="1" hidden="1" outlineLevel="1" x14ac:dyDescent="0.25">
      <c r="B1733" s="28" t="s">
        <v>14</v>
      </c>
      <c r="C1733" s="29" t="s">
        <v>1475</v>
      </c>
      <c r="D1733" s="29" t="s">
        <v>1469</v>
      </c>
      <c r="E1733" s="29">
        <v>0</v>
      </c>
      <c r="F1733" s="29" t="s">
        <v>1476</v>
      </c>
      <c r="G1733" s="30" t="s">
        <v>1477</v>
      </c>
      <c r="H1733" s="3" t="str">
        <f t="shared" si="7"/>
        <v>{市场编号},</v>
      </c>
      <c r="J1733" s="3" t="s">
        <v>10</v>
      </c>
      <c r="K1733" s="3" t="s">
        <v>173</v>
      </c>
      <c r="L1733" s="3" t="s">
        <v>9</v>
      </c>
      <c r="M1733" s="3" t="s">
        <v>9</v>
      </c>
      <c r="N1733" s="3">
        <v>2155</v>
      </c>
    </row>
    <row r="1734" spans="2:14" s="3" customFormat="1" hidden="1" outlineLevel="1" x14ac:dyDescent="0.25">
      <c r="B1734" s="28" t="s">
        <v>100</v>
      </c>
      <c r="C1734" s="29" t="s">
        <v>1543</v>
      </c>
      <c r="D1734" s="29" t="s">
        <v>1469</v>
      </c>
      <c r="E1734" s="29">
        <v>0</v>
      </c>
      <c r="F1734" s="29" t="s">
        <v>1476</v>
      </c>
      <c r="G1734" s="30" t="s">
        <v>1544</v>
      </c>
      <c r="H1734" s="3" t="str">
        <f t="shared" si="7"/>
        <v>{投资类型},</v>
      </c>
      <c r="J1734" s="3" t="s">
        <v>10</v>
      </c>
      <c r="K1734" s="3" t="s">
        <v>173</v>
      </c>
      <c r="L1734" s="3" t="s">
        <v>9</v>
      </c>
      <c r="M1734" s="3" t="s">
        <v>9</v>
      </c>
      <c r="N1734" s="3">
        <v>2237</v>
      </c>
    </row>
    <row r="1735" spans="2:14" s="3" customFormat="1" hidden="1" outlineLevel="1" x14ac:dyDescent="0.25">
      <c r="B1735" s="28" t="s">
        <v>15</v>
      </c>
      <c r="C1735" s="29" t="s">
        <v>1478</v>
      </c>
      <c r="D1735" s="29" t="s">
        <v>1469</v>
      </c>
      <c r="E1735" s="29">
        <v>0</v>
      </c>
      <c r="F1735" s="29" t="s">
        <v>1470</v>
      </c>
      <c r="G1735" s="30"/>
      <c r="H1735" s="3" t="str">
        <f t="shared" si="7"/>
        <v>{证券代码编号},</v>
      </c>
      <c r="J1735" s="3" t="s">
        <v>10</v>
      </c>
      <c r="K1735" s="3" t="s">
        <v>173</v>
      </c>
      <c r="L1735" s="3" t="s">
        <v>9</v>
      </c>
      <c r="M1735" s="3" t="s">
        <v>9</v>
      </c>
      <c r="N1735" s="3">
        <v>2430</v>
      </c>
    </row>
    <row r="1736" spans="2:14" s="3" customFormat="1" hidden="1" outlineLevel="1" x14ac:dyDescent="0.25">
      <c r="B1736" s="28" t="s">
        <v>87</v>
      </c>
      <c r="C1736" s="29" t="s">
        <v>1535</v>
      </c>
      <c r="D1736" s="29" t="s">
        <v>1469</v>
      </c>
      <c r="E1736" s="29">
        <v>0</v>
      </c>
      <c r="F1736" s="29" t="s">
        <v>1476</v>
      </c>
      <c r="G1736" s="30"/>
      <c r="H1736" s="3" t="str">
        <f t="shared" si="7"/>
        <v>{证券类型},</v>
      </c>
      <c r="J1736" s="3" t="s">
        <v>10</v>
      </c>
      <c r="K1736" s="3" t="s">
        <v>173</v>
      </c>
      <c r="L1736" s="3" t="s">
        <v>9</v>
      </c>
      <c r="M1736" s="3" t="s">
        <v>9</v>
      </c>
      <c r="N1736" s="3">
        <v>2433</v>
      </c>
    </row>
    <row r="1737" spans="2:14" s="3" customFormat="1" hidden="1" outlineLevel="1" x14ac:dyDescent="0.25">
      <c r="B1737" s="28" t="s">
        <v>116</v>
      </c>
      <c r="C1737" s="29" t="s">
        <v>1559</v>
      </c>
      <c r="D1737" s="29" t="s">
        <v>1486</v>
      </c>
      <c r="E1737" s="29">
        <v>0</v>
      </c>
      <c r="F1737" s="29" t="s">
        <v>1470</v>
      </c>
      <c r="G1737" s="30" t="s">
        <v>1560</v>
      </c>
      <c r="H1737" s="3" t="str">
        <f t="shared" si="7"/>
        <v>{期初数量},</v>
      </c>
      <c r="J1737" s="3" t="s">
        <v>20</v>
      </c>
      <c r="K1737" s="3" t="s">
        <v>445</v>
      </c>
      <c r="L1737" s="3" t="s">
        <v>446</v>
      </c>
      <c r="M1737" s="3" t="s">
        <v>446</v>
      </c>
      <c r="N1737" s="3">
        <v>1986</v>
      </c>
    </row>
    <row r="1738" spans="2:14" s="3" customFormat="1" hidden="1" outlineLevel="1" x14ac:dyDescent="0.25">
      <c r="B1738" s="28" t="s">
        <v>75</v>
      </c>
      <c r="C1738" s="29" t="s">
        <v>1530</v>
      </c>
      <c r="D1738" s="29" t="s">
        <v>1486</v>
      </c>
      <c r="E1738" s="29">
        <v>0</v>
      </c>
      <c r="F1738" s="29" t="s">
        <v>1470</v>
      </c>
      <c r="G1738" s="30" t="s">
        <v>1531</v>
      </c>
      <c r="H1738" s="3" t="str">
        <f t="shared" si="7"/>
        <v>{当前数量},</v>
      </c>
      <c r="J1738" s="3" t="s">
        <v>20</v>
      </c>
      <c r="K1738" s="3" t="s">
        <v>445</v>
      </c>
      <c r="L1738" s="3" t="s">
        <v>446</v>
      </c>
      <c r="M1738" s="3" t="s">
        <v>446</v>
      </c>
      <c r="N1738" s="3">
        <v>1262</v>
      </c>
    </row>
    <row r="1739" spans="2:14" s="3" customFormat="1" hidden="1" outlineLevel="1" x14ac:dyDescent="0.25">
      <c r="B1739" s="28" t="s">
        <v>131</v>
      </c>
      <c r="C1739" s="29" t="s">
        <v>1568</v>
      </c>
      <c r="D1739" s="29" t="s">
        <v>1486</v>
      </c>
      <c r="E1739" s="29">
        <v>0</v>
      </c>
      <c r="F1739" s="29" t="s">
        <v>1470</v>
      </c>
      <c r="G1739" s="30" t="s">
        <v>1569</v>
      </c>
      <c r="H1739" s="3" t="str">
        <f t="shared" si="7"/>
        <v>{冻结数量},</v>
      </c>
      <c r="J1739" s="3" t="s">
        <v>20</v>
      </c>
      <c r="K1739" s="3" t="s">
        <v>445</v>
      </c>
      <c r="L1739" s="3" t="s">
        <v>446</v>
      </c>
      <c r="M1739" s="3" t="s">
        <v>446</v>
      </c>
      <c r="N1739" s="3">
        <v>1317</v>
      </c>
    </row>
    <row r="1740" spans="2:14" s="3" customFormat="1" hidden="1" outlineLevel="1" x14ac:dyDescent="0.25">
      <c r="B1740" s="28" t="s">
        <v>132</v>
      </c>
      <c r="C1740" s="29" t="s">
        <v>1570</v>
      </c>
      <c r="D1740" s="29" t="s">
        <v>1486</v>
      </c>
      <c r="E1740" s="29">
        <v>0</v>
      </c>
      <c r="F1740" s="29" t="s">
        <v>1470</v>
      </c>
      <c r="G1740" s="30" t="s">
        <v>1571</v>
      </c>
      <c r="H1740" s="3" t="str">
        <f t="shared" si="7"/>
        <v>{解冻数量},</v>
      </c>
      <c r="J1740" s="3" t="s">
        <v>20</v>
      </c>
      <c r="K1740" s="3" t="s">
        <v>445</v>
      </c>
      <c r="L1740" s="3" t="s">
        <v>446</v>
      </c>
      <c r="M1740" s="3" t="s">
        <v>446</v>
      </c>
      <c r="N1740" s="3">
        <v>1721</v>
      </c>
    </row>
    <row r="1741" spans="2:14" s="3" customFormat="1" hidden="1" outlineLevel="1" x14ac:dyDescent="0.25">
      <c r="B1741" s="28" t="s">
        <v>143</v>
      </c>
      <c r="C1741" s="29" t="s">
        <v>1581</v>
      </c>
      <c r="D1741" s="29" t="s">
        <v>1486</v>
      </c>
      <c r="E1741" s="29">
        <v>0</v>
      </c>
      <c r="F1741" s="29"/>
      <c r="G1741" s="30" t="s">
        <v>1582</v>
      </c>
      <c r="H1741" s="3" t="str">
        <f t="shared" si="7"/>
        <v>{交易端可用数量},</v>
      </c>
      <c r="J1741" s="3" t="s">
        <v>20</v>
      </c>
      <c r="K1741" s="3" t="s">
        <v>445</v>
      </c>
      <c r="L1741" s="3" t="s">
        <v>446</v>
      </c>
      <c r="M1741" s="3" t="s">
        <v>446</v>
      </c>
      <c r="N1741" s="3">
        <v>1677</v>
      </c>
    </row>
    <row r="1742" spans="2:14" s="3" customFormat="1" hidden="1" outlineLevel="1" x14ac:dyDescent="0.25">
      <c r="B1742" s="28" t="s">
        <v>144</v>
      </c>
      <c r="C1742" s="29" t="s">
        <v>1583</v>
      </c>
      <c r="D1742" s="29" t="s">
        <v>1486</v>
      </c>
      <c r="E1742" s="29">
        <v>0</v>
      </c>
      <c r="F1742" s="29"/>
      <c r="G1742" s="30" t="s">
        <v>1582</v>
      </c>
      <c r="H1742" s="3" t="str">
        <f t="shared" si="7"/>
        <v>{指令端可用数量},</v>
      </c>
      <c r="J1742" s="3" t="s">
        <v>20</v>
      </c>
      <c r="K1742" s="3" t="s">
        <v>445</v>
      </c>
      <c r="L1742" s="3" t="s">
        <v>446</v>
      </c>
      <c r="M1742" s="3" t="s">
        <v>446</v>
      </c>
      <c r="N1742" s="3">
        <v>2459</v>
      </c>
    </row>
    <row r="1743" spans="2:14" s="3" customFormat="1" hidden="1" outlineLevel="1" x14ac:dyDescent="0.25">
      <c r="B1743" s="28" t="s">
        <v>117</v>
      </c>
      <c r="C1743" s="29" t="s">
        <v>1561</v>
      </c>
      <c r="D1743" s="29" t="s">
        <v>1489</v>
      </c>
      <c r="E1743" s="29">
        <v>0</v>
      </c>
      <c r="F1743" s="29" t="s">
        <v>1470</v>
      </c>
      <c r="G1743" s="30"/>
      <c r="H1743" s="3" t="str">
        <f t="shared" si="7"/>
        <v>{成本金额},</v>
      </c>
      <c r="J1743" s="3" t="s">
        <v>20</v>
      </c>
      <c r="K1743" s="3" t="s">
        <v>445</v>
      </c>
      <c r="L1743" s="3" t="s">
        <v>446</v>
      </c>
      <c r="M1743" s="3" t="s">
        <v>446</v>
      </c>
      <c r="N1743" s="3">
        <v>1163</v>
      </c>
    </row>
    <row r="1744" spans="2:14" s="3" customFormat="1" hidden="1" outlineLevel="1" x14ac:dyDescent="0.25">
      <c r="B1744" s="28" t="s">
        <v>24</v>
      </c>
      <c r="C1744" s="29" t="s">
        <v>1491</v>
      </c>
      <c r="D1744" s="29" t="s">
        <v>1489</v>
      </c>
      <c r="E1744" s="29">
        <v>0</v>
      </c>
      <c r="F1744" s="29" t="s">
        <v>1470</v>
      </c>
      <c r="G1744" s="30"/>
      <c r="H1744" s="3" t="str">
        <f t="shared" si="7"/>
        <v>{实现盈亏},</v>
      </c>
      <c r="J1744" s="3" t="s">
        <v>20</v>
      </c>
      <c r="K1744" s="3" t="s">
        <v>445</v>
      </c>
      <c r="L1744" s="3" t="s">
        <v>446</v>
      </c>
      <c r="M1744" s="3" t="s">
        <v>446</v>
      </c>
      <c r="N1744" s="3">
        <v>2153</v>
      </c>
    </row>
    <row r="1745" spans="1:27" s="3" customFormat="1" hidden="1" outlineLevel="1" x14ac:dyDescent="0.25">
      <c r="B1745" s="28" t="s">
        <v>140</v>
      </c>
      <c r="C1745" s="29" t="s">
        <v>1578</v>
      </c>
      <c r="D1745" s="29" t="s">
        <v>1489</v>
      </c>
      <c r="E1745" s="29">
        <v>0</v>
      </c>
      <c r="F1745" s="29" t="s">
        <v>1470</v>
      </c>
      <c r="G1745" s="30"/>
      <c r="H1745" s="3" t="str">
        <f t="shared" si="7"/>
        <v>{利息成本金额},</v>
      </c>
      <c r="J1745" s="3" t="s">
        <v>20</v>
      </c>
      <c r="K1745" s="3" t="s">
        <v>445</v>
      </c>
      <c r="L1745" s="3" t="s">
        <v>446</v>
      </c>
      <c r="M1745" s="3" t="s">
        <v>446</v>
      </c>
      <c r="N1745" s="3">
        <v>1852</v>
      </c>
    </row>
    <row r="1746" spans="1:27" s="3" customFormat="1" hidden="1" outlineLevel="1" x14ac:dyDescent="0.25">
      <c r="B1746" s="28" t="s">
        <v>141</v>
      </c>
      <c r="C1746" s="29" t="s">
        <v>1579</v>
      </c>
      <c r="D1746" s="29" t="s">
        <v>1489</v>
      </c>
      <c r="E1746" s="29">
        <v>0</v>
      </c>
      <c r="F1746" s="29" t="s">
        <v>1470</v>
      </c>
      <c r="G1746" s="30"/>
      <c r="H1746" s="3" t="str">
        <f t="shared" si="7"/>
        <v>{利息收益},</v>
      </c>
      <c r="J1746" s="3" t="s">
        <v>20</v>
      </c>
      <c r="K1746" s="3" t="s">
        <v>445</v>
      </c>
      <c r="L1746" s="3" t="s">
        <v>446</v>
      </c>
      <c r="M1746" s="3" t="s">
        <v>446</v>
      </c>
      <c r="N1746" s="3">
        <v>1857</v>
      </c>
    </row>
    <row r="1747" spans="1:27" s="3" customFormat="1" hidden="1" outlineLevel="1" x14ac:dyDescent="0.25">
      <c r="B1747" s="28" t="s">
        <v>90</v>
      </c>
      <c r="C1747" s="29" t="s">
        <v>1538</v>
      </c>
      <c r="D1747" s="29" t="s">
        <v>1539</v>
      </c>
      <c r="E1747" s="29">
        <v>0</v>
      </c>
      <c r="F1747" s="29" t="s">
        <v>1470</v>
      </c>
      <c r="G1747" s="30" t="s">
        <v>1540</v>
      </c>
      <c r="H1747" s="3" t="str">
        <f t="shared" si="7"/>
        <v>{成本价},</v>
      </c>
      <c r="J1747" s="3" t="s">
        <v>20</v>
      </c>
      <c r="K1747" s="3" t="s">
        <v>445</v>
      </c>
      <c r="L1747" s="3" t="s">
        <v>446</v>
      </c>
      <c r="M1747" s="3" t="s">
        <v>446</v>
      </c>
      <c r="N1747" s="3">
        <v>1162</v>
      </c>
    </row>
    <row r="1748" spans="1:27" s="3" customFormat="1" hidden="1" outlineLevel="1" x14ac:dyDescent="0.25">
      <c r="B1748" s="28" t="s">
        <v>115</v>
      </c>
      <c r="C1748" s="29" t="s">
        <v>1558</v>
      </c>
      <c r="D1748" s="29" t="s">
        <v>1539</v>
      </c>
      <c r="E1748" s="29">
        <v>0</v>
      </c>
      <c r="F1748" s="29" t="s">
        <v>1470</v>
      </c>
      <c r="G1748" s="30"/>
      <c r="H1748" s="3" t="str">
        <f t="shared" si="7"/>
        <v>{最新价},</v>
      </c>
      <c r="J1748" s="3" t="s">
        <v>20</v>
      </c>
      <c r="K1748" s="3" t="s">
        <v>445</v>
      </c>
      <c r="L1748" s="3" t="s">
        <v>446</v>
      </c>
      <c r="M1748" s="3" t="s">
        <v>446</v>
      </c>
      <c r="N1748" s="3">
        <v>2586</v>
      </c>
    </row>
    <row r="1749" spans="1:27" s="3" customFormat="1" hidden="1" outlineLevel="1" x14ac:dyDescent="0.25">
      <c r="B1749" s="28" t="s">
        <v>327</v>
      </c>
      <c r="C1749" s="29" t="s">
        <v>1745</v>
      </c>
      <c r="D1749" s="29" t="s">
        <v>1539</v>
      </c>
      <c r="E1749" s="29">
        <v>0</v>
      </c>
      <c r="F1749" s="29" t="s">
        <v>1470</v>
      </c>
      <c r="G1749" s="30"/>
      <c r="H1749" s="3" t="str">
        <f t="shared" si="7"/>
        <v>{昨收盘价},</v>
      </c>
      <c r="J1749" s="3" t="s">
        <v>20</v>
      </c>
      <c r="K1749" s="3" t="s">
        <v>445</v>
      </c>
      <c r="L1749" s="3" t="s">
        <v>446</v>
      </c>
      <c r="M1749" s="3" t="s">
        <v>446</v>
      </c>
      <c r="N1749" s="3">
        <v>2597</v>
      </c>
    </row>
    <row r="1750" spans="1:27" s="3" customFormat="1" hidden="1" outlineLevel="1" x14ac:dyDescent="0.25">
      <c r="B1750" s="28" t="s">
        <v>268</v>
      </c>
      <c r="C1750" s="29" t="s">
        <v>1695</v>
      </c>
      <c r="D1750" s="29" t="s">
        <v>1489</v>
      </c>
      <c r="E1750" s="29">
        <v>0</v>
      </c>
      <c r="F1750" s="29" t="s">
        <v>1470</v>
      </c>
      <c r="G1750" s="30"/>
      <c r="H1750" s="3" t="str">
        <f t="shared" si="7"/>
        <v>{净资产},</v>
      </c>
      <c r="J1750" s="3" t="s">
        <v>20</v>
      </c>
      <c r="K1750" s="3" t="s">
        <v>445</v>
      </c>
      <c r="L1750" s="3" t="s">
        <v>446</v>
      </c>
      <c r="M1750" s="3" t="s">
        <v>446</v>
      </c>
      <c r="N1750" s="3">
        <v>1741</v>
      </c>
    </row>
    <row r="1751" spans="1:27" s="3" customFormat="1" hidden="1" outlineLevel="1" x14ac:dyDescent="0.25">
      <c r="B1751" s="28" t="s">
        <v>62</v>
      </c>
      <c r="C1751" s="29" t="s">
        <v>1525</v>
      </c>
      <c r="D1751" s="29" t="s">
        <v>1489</v>
      </c>
      <c r="E1751" s="29">
        <v>0</v>
      </c>
      <c r="F1751" s="29"/>
      <c r="G1751" s="30"/>
      <c r="H1751" s="3" t="str">
        <f t="shared" si="7"/>
        <v>{持仓市值},</v>
      </c>
      <c r="J1751" s="3" t="s">
        <v>20</v>
      </c>
      <c r="K1751" s="3" t="s">
        <v>445</v>
      </c>
      <c r="L1751" s="3" t="s">
        <v>446</v>
      </c>
      <c r="M1751" s="3" t="s">
        <v>446</v>
      </c>
      <c r="N1751" s="3">
        <v>1202</v>
      </c>
    </row>
    <row r="1752" spans="1:27" s="3" customFormat="1" hidden="1" outlineLevel="1" x14ac:dyDescent="0.25">
      <c r="B1752" s="28" t="s">
        <v>95</v>
      </c>
      <c r="C1752" s="29" t="s">
        <v>1542</v>
      </c>
      <c r="D1752" s="29" t="s">
        <v>1494</v>
      </c>
      <c r="E1752" s="29">
        <v>0</v>
      </c>
      <c r="F1752" s="29"/>
      <c r="G1752" s="30"/>
      <c r="H1752" s="3" t="str">
        <f t="shared" si="7"/>
        <v>{持仓净值占比},</v>
      </c>
      <c r="J1752" s="3" t="s">
        <v>20</v>
      </c>
      <c r="K1752" s="3" t="s">
        <v>445</v>
      </c>
      <c r="L1752" s="3" t="s">
        <v>446</v>
      </c>
      <c r="M1752" s="3" t="s">
        <v>446</v>
      </c>
      <c r="N1752" s="3">
        <v>1197</v>
      </c>
    </row>
    <row r="1753" spans="1:27" s="3" customFormat="1" hidden="1" outlineLevel="1" x14ac:dyDescent="0.25">
      <c r="B1753" s="28" t="s">
        <v>147</v>
      </c>
      <c r="C1753" s="29" t="s">
        <v>1586</v>
      </c>
      <c r="D1753" s="29" t="s">
        <v>1489</v>
      </c>
      <c r="E1753" s="29">
        <v>0</v>
      </c>
      <c r="F1753" s="29"/>
      <c r="G1753" s="30"/>
      <c r="H1753" s="3" t="str">
        <f t="shared" si="7"/>
        <v>{全价持仓市值},</v>
      </c>
      <c r="J1753" s="3" t="s">
        <v>20</v>
      </c>
      <c r="K1753" s="3" t="s">
        <v>445</v>
      </c>
      <c r="L1753" s="3" t="s">
        <v>446</v>
      </c>
      <c r="M1753" s="3" t="s">
        <v>446</v>
      </c>
    </row>
    <row r="1754" spans="1:27" s="3" customFormat="1" hidden="1" outlineLevel="1" x14ac:dyDescent="0.25">
      <c r="B1754" s="28" t="s">
        <v>118</v>
      </c>
      <c r="C1754" s="29" t="s">
        <v>1562</v>
      </c>
      <c r="D1754" s="29" t="s">
        <v>1489</v>
      </c>
      <c r="E1754" s="29">
        <v>0</v>
      </c>
      <c r="F1754" s="29"/>
      <c r="G1754" s="30"/>
      <c r="H1754" s="3" t="str">
        <f t="shared" si="7"/>
        <v>{浮动盈亏},</v>
      </c>
      <c r="J1754" s="3" t="s">
        <v>20</v>
      </c>
      <c r="K1754" s="3" t="s">
        <v>445</v>
      </c>
      <c r="L1754" s="3" t="s">
        <v>446</v>
      </c>
      <c r="M1754" s="3" t="s">
        <v>446</v>
      </c>
      <c r="N1754" s="3">
        <v>1461</v>
      </c>
    </row>
    <row r="1755" spans="1:27" s="3" customFormat="1" hidden="1" outlineLevel="1" x14ac:dyDescent="0.25">
      <c r="B1755" s="28" t="s">
        <v>142</v>
      </c>
      <c r="C1755" s="29" t="s">
        <v>1580</v>
      </c>
      <c r="D1755" s="29" t="s">
        <v>1494</v>
      </c>
      <c r="E1755" s="29">
        <v>0</v>
      </c>
      <c r="F1755" s="29"/>
      <c r="G1755" s="30"/>
      <c r="H1755" s="3" t="str">
        <f t="shared" si="7"/>
        <v>{盈亏比例},</v>
      </c>
      <c r="J1755" s="3" t="s">
        <v>20</v>
      </c>
      <c r="K1755" s="3" t="s">
        <v>445</v>
      </c>
      <c r="L1755" s="3" t="s">
        <v>446</v>
      </c>
      <c r="M1755" s="3" t="s">
        <v>446</v>
      </c>
      <c r="N1755" s="3">
        <v>2346</v>
      </c>
    </row>
    <row r="1756" spans="1:27" s="3" customFormat="1" hidden="1" outlineLevel="1" x14ac:dyDescent="0.25">
      <c r="B1756" s="28" t="s">
        <v>146</v>
      </c>
      <c r="C1756" s="29" t="s">
        <v>1585</v>
      </c>
      <c r="D1756" s="29" t="s">
        <v>1489</v>
      </c>
      <c r="E1756" s="29">
        <v>0</v>
      </c>
      <c r="F1756" s="29"/>
      <c r="G1756" s="30"/>
      <c r="H1756" s="3" t="str">
        <f t="shared" si="7"/>
        <v>{债券应收利息},</v>
      </c>
      <c r="J1756" s="3" t="s">
        <v>20</v>
      </c>
      <c r="K1756" s="3" t="s">
        <v>445</v>
      </c>
      <c r="L1756" s="3" t="s">
        <v>446</v>
      </c>
      <c r="M1756" s="3" t="s">
        <v>446</v>
      </c>
    </row>
    <row r="1757" spans="1:27" s="3" customFormat="1" hidden="1" outlineLevel="1" x14ac:dyDescent="0.25">
      <c r="B1757" s="28" t="s">
        <v>148</v>
      </c>
      <c r="C1757" s="29" t="s">
        <v>1587</v>
      </c>
      <c r="D1757" s="29" t="s">
        <v>1486</v>
      </c>
      <c r="E1757" s="29">
        <v>0</v>
      </c>
      <c r="F1757" s="29" t="s">
        <v>1470</v>
      </c>
      <c r="G1757" s="30"/>
      <c r="H1757" s="3" t="str">
        <f t="shared" si="7"/>
        <v>{质押数量},</v>
      </c>
      <c r="J1757" s="3" t="s">
        <v>20</v>
      </c>
      <c r="K1757" s="3" t="s">
        <v>445</v>
      </c>
      <c r="L1757" s="3" t="s">
        <v>446</v>
      </c>
      <c r="M1757" s="3" t="s">
        <v>446</v>
      </c>
      <c r="N1757" s="3">
        <v>2511</v>
      </c>
    </row>
    <row r="1758" spans="1:27" s="4" customFormat="1" ht="17.399999999999999" hidden="1" customHeight="1" outlineLevel="1" x14ac:dyDescent="0.35">
      <c r="A1758" s="5"/>
      <c r="B1758" s="333" t="s">
        <v>335</v>
      </c>
      <c r="C1758" s="330" t="s">
        <v>2337</v>
      </c>
      <c r="D1758" s="330" t="s">
        <v>2338</v>
      </c>
      <c r="E1758" s="330" t="s">
        <v>2339</v>
      </c>
      <c r="F1758" s="332" t="s">
        <v>2336</v>
      </c>
      <c r="G1758" s="331" t="s">
        <v>2340</v>
      </c>
      <c r="H1758" s="5"/>
      <c r="I1758" s="5"/>
      <c r="J1758" s="5"/>
      <c r="K1758" s="5"/>
      <c r="L1758" s="5"/>
      <c r="M1758" s="5"/>
    </row>
    <row r="1759" spans="1:27" s="3" customFormat="1" ht="17.399999999999999" hidden="1" customHeight="1" outlineLevel="1" x14ac:dyDescent="0.25">
      <c r="A1759" s="14"/>
      <c r="B1759" s="419" t="s">
        <v>28</v>
      </c>
      <c r="C1759" s="420"/>
      <c r="D1759" s="420"/>
      <c r="E1759" s="420"/>
      <c r="F1759" s="420"/>
      <c r="G1759" s="421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</row>
    <row r="1760" spans="1:27" s="3" customFormat="1" ht="17.399999999999999" hidden="1" customHeight="1" outlineLevel="1" x14ac:dyDescent="0.25">
      <c r="A1760" s="14"/>
      <c r="B1760" s="25" t="s">
        <v>2</v>
      </c>
      <c r="C1760" s="26" t="s">
        <v>3</v>
      </c>
      <c r="D1760" s="26" t="s">
        <v>4</v>
      </c>
      <c r="E1760" s="26" t="s">
        <v>5</v>
      </c>
      <c r="F1760" s="26"/>
      <c r="G1760" s="27" t="s">
        <v>6</v>
      </c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</row>
    <row r="1761" spans="1:27" s="3" customFormat="1" ht="17.399999999999999" hidden="1" customHeight="1" outlineLevel="1" thickBot="1" x14ac:dyDescent="0.3">
      <c r="A1761" s="14"/>
      <c r="B1761" s="116"/>
      <c r="C1761" s="117"/>
      <c r="D1761" s="117"/>
      <c r="E1761" s="117"/>
      <c r="F1761" s="117"/>
      <c r="G1761" s="118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</row>
    <row r="1762" spans="1:27" s="3" customFormat="1" ht="17.399999999999999" hidden="1" customHeight="1" outlineLevel="1" x14ac:dyDescent="0.25">
      <c r="A1762" s="14"/>
      <c r="B1762" s="401" t="s">
        <v>29</v>
      </c>
      <c r="C1762" s="402"/>
      <c r="D1762" s="402"/>
      <c r="E1762" s="402"/>
      <c r="F1762" s="402"/>
      <c r="G1762" s="403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</row>
    <row r="1763" spans="1:27" s="7" customFormat="1" ht="16.5" hidden="1" customHeight="1" outlineLevel="1" x14ac:dyDescent="0.25">
      <c r="A1763" s="14"/>
      <c r="B1763" s="308" t="s">
        <v>559</v>
      </c>
      <c r="C1763" s="309"/>
      <c r="D1763" s="309"/>
      <c r="E1763" s="309"/>
      <c r="F1763" s="309"/>
      <c r="G1763" s="310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</row>
    <row r="1764" spans="1:27" s="7" customFormat="1" ht="17.399999999999999" hidden="1" customHeight="1" outlineLevel="1" thickBot="1" x14ac:dyDescent="0.3">
      <c r="A1764" s="14"/>
      <c r="B1764" s="305" t="s">
        <v>560</v>
      </c>
      <c r="C1764" s="306"/>
      <c r="D1764" s="306"/>
      <c r="E1764" s="306"/>
      <c r="F1764" s="306"/>
      <c r="G1764" s="307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</row>
    <row r="1765" spans="1:27" s="7" customFormat="1" ht="16.5" hidden="1" customHeight="1" outlineLevel="1" x14ac:dyDescent="0.25">
      <c r="A1765" s="14"/>
      <c r="B1765" s="308" t="s">
        <v>561</v>
      </c>
      <c r="C1765" s="309"/>
      <c r="D1765" s="309"/>
      <c r="E1765" s="309"/>
      <c r="F1765" s="309"/>
      <c r="G1765" s="310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</row>
    <row r="1766" spans="1:27" s="3" customFormat="1" hidden="1" outlineLevel="1" x14ac:dyDescent="0.25">
      <c r="B1766" s="28"/>
      <c r="C1766" s="29"/>
      <c r="D1766" s="29"/>
      <c r="E1766" s="29"/>
      <c r="F1766" s="29"/>
      <c r="G1766" s="30"/>
    </row>
    <row r="1767" spans="1:27" s="3" customFormat="1" hidden="1" outlineLevel="1" x14ac:dyDescent="0.25">
      <c r="B1767" s="28" t="s">
        <v>641</v>
      </c>
      <c r="C1767" s="29"/>
      <c r="D1767" s="29"/>
      <c r="E1767" s="29"/>
      <c r="F1767" s="29"/>
      <c r="G1767" s="375" t="s">
        <v>2441</v>
      </c>
    </row>
    <row r="1768" spans="1:27" s="3" customFormat="1" ht="17.399999999999999" hidden="1" customHeight="1" outlineLevel="1" x14ac:dyDescent="0.25">
      <c r="A1768" s="14"/>
      <c r="B1768" s="125"/>
      <c r="C1768" s="117"/>
      <c r="D1768" s="117"/>
      <c r="E1768" s="117"/>
      <c r="F1768" s="117"/>
      <c r="G1768" s="118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4"/>
    </row>
    <row r="1769" spans="1:27" s="3" customFormat="1" ht="17.399999999999999" hidden="1" customHeight="1" outlineLevel="1" thickBot="1" x14ac:dyDescent="0.3">
      <c r="A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14"/>
    </row>
    <row r="1770" spans="1:27" s="3" customFormat="1" ht="17.399999999999999" customHeight="1" collapsed="1" x14ac:dyDescent="0.25">
      <c r="A1770" s="14"/>
      <c r="B1770" s="15" t="s">
        <v>1279</v>
      </c>
      <c r="C1770" s="16" t="s">
        <v>1987</v>
      </c>
      <c r="D1770" s="17" t="s">
        <v>1281</v>
      </c>
      <c r="E1770" s="16" t="s">
        <v>642</v>
      </c>
      <c r="F1770" s="17" t="s">
        <v>1282</v>
      </c>
      <c r="G1770" s="18" t="s">
        <v>1988</v>
      </c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</row>
    <row r="1771" spans="1:27" s="3" customFormat="1" ht="17.399999999999999" customHeight="1" outlineLevel="1" x14ac:dyDescent="0.25">
      <c r="A1771" s="14"/>
      <c r="B1771" s="19" t="s">
        <v>1284</v>
      </c>
      <c r="C1771" s="20" t="s">
        <v>1285</v>
      </c>
      <c r="D1771" s="21" t="s">
        <v>1286</v>
      </c>
      <c r="E1771" s="20" t="s">
        <v>1989</v>
      </c>
      <c r="F1771" s="21" t="s">
        <v>1288</v>
      </c>
      <c r="G1771" s="22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</row>
    <row r="1772" spans="1:27" s="3" customFormat="1" ht="17.399999999999999" customHeight="1" outlineLevel="1" thickBot="1" x14ac:dyDescent="0.3">
      <c r="A1772" s="14"/>
      <c r="B1772" s="19" t="s">
        <v>1290</v>
      </c>
      <c r="C1772" s="23" t="s">
        <v>1291</v>
      </c>
      <c r="D1772" s="21" t="s">
        <v>1292</v>
      </c>
      <c r="E1772" s="23">
        <v>5</v>
      </c>
      <c r="F1772" s="21" t="s">
        <v>1293</v>
      </c>
      <c r="G1772" s="24" t="s">
        <v>1294</v>
      </c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</row>
    <row r="1773" spans="1:27" s="3" customFormat="1" ht="17.399999999999999" customHeight="1" outlineLevel="1" x14ac:dyDescent="0.25">
      <c r="A1773" s="14"/>
      <c r="B1773" s="401" t="s">
        <v>1</v>
      </c>
      <c r="C1773" s="402"/>
      <c r="D1773" s="402"/>
      <c r="E1773" s="402"/>
      <c r="F1773" s="402"/>
      <c r="G1773" s="403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</row>
    <row r="1774" spans="1:27" s="3" customFormat="1" ht="17.399999999999999" customHeight="1" outlineLevel="1" x14ac:dyDescent="0.25">
      <c r="A1774" s="14"/>
      <c r="B1774" s="25" t="s">
        <v>2</v>
      </c>
      <c r="C1774" s="26" t="s">
        <v>3</v>
      </c>
      <c r="D1774" s="26" t="s">
        <v>4</v>
      </c>
      <c r="E1774" s="26" t="s">
        <v>5</v>
      </c>
      <c r="F1774" s="26"/>
      <c r="G1774" s="27" t="s">
        <v>6</v>
      </c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</row>
    <row r="1775" spans="1:27" s="3" customFormat="1" ht="17.399999999999999" customHeight="1" outlineLevel="1" x14ac:dyDescent="0.25">
      <c r="A1775" s="14"/>
      <c r="B1775" s="28" t="s">
        <v>7</v>
      </c>
      <c r="C1775" s="29" t="s">
        <v>1468</v>
      </c>
      <c r="D1775" s="29" t="s">
        <v>1469</v>
      </c>
      <c r="E1775" s="29">
        <v>0</v>
      </c>
      <c r="F1775" s="29" t="s">
        <v>1470</v>
      </c>
      <c r="G1775" s="30" t="s">
        <v>1471</v>
      </c>
      <c r="H1775" s="14"/>
      <c r="I1775" s="14"/>
      <c r="J1775" s="14" t="s">
        <v>10</v>
      </c>
      <c r="K1775" s="14" t="s">
        <v>173</v>
      </c>
      <c r="L1775" s="14" t="s">
        <v>9</v>
      </c>
      <c r="M1775" s="14" t="s">
        <v>9</v>
      </c>
      <c r="N1775" s="14">
        <v>1112</v>
      </c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</row>
    <row r="1776" spans="1:27" s="3" customFormat="1" ht="17.399999999999999" customHeight="1" outlineLevel="1" x14ac:dyDescent="0.25">
      <c r="A1776" s="14"/>
      <c r="B1776" s="28" t="s">
        <v>345</v>
      </c>
      <c r="C1776" s="29" t="s">
        <v>1754</v>
      </c>
      <c r="D1776" s="29" t="s">
        <v>1469</v>
      </c>
      <c r="E1776" s="29">
        <v>0</v>
      </c>
      <c r="F1776" s="29" t="s">
        <v>1470</v>
      </c>
      <c r="G1776" s="30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</row>
    <row r="1777" spans="1:27" s="3" customFormat="1" ht="17.399999999999999" customHeight="1" outlineLevel="1" x14ac:dyDescent="0.25">
      <c r="A1777" s="14"/>
      <c r="B1777" s="28" t="s">
        <v>128</v>
      </c>
      <c r="C1777" s="29" t="s">
        <v>1566</v>
      </c>
      <c r="D1777" s="29" t="s">
        <v>1567</v>
      </c>
      <c r="E1777" s="29">
        <v>0</v>
      </c>
      <c r="F1777" s="29" t="s">
        <v>1470</v>
      </c>
      <c r="G1777" s="30"/>
      <c r="H1777" s="14"/>
      <c r="I1777" s="14"/>
      <c r="J1777" s="14" t="s">
        <v>12</v>
      </c>
      <c r="K1777" s="14" t="s">
        <v>174</v>
      </c>
      <c r="L1777" s="14" t="s">
        <v>175</v>
      </c>
      <c r="M1777" s="14" t="s">
        <v>176</v>
      </c>
      <c r="N1777" s="14">
        <v>1629</v>
      </c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</row>
    <row r="1778" spans="1:27" s="3" customFormat="1" ht="17.399999999999999" customHeight="1" outlineLevel="1" x14ac:dyDescent="0.25">
      <c r="A1778" s="14"/>
      <c r="B1778" s="28" t="s">
        <v>114</v>
      </c>
      <c r="C1778" s="29" t="s">
        <v>1557</v>
      </c>
      <c r="D1778" s="29" t="s">
        <v>1469</v>
      </c>
      <c r="E1778" s="29">
        <v>-1</v>
      </c>
      <c r="F1778" s="29" t="s">
        <v>1470</v>
      </c>
      <c r="G1778" s="30"/>
      <c r="H1778" s="14"/>
      <c r="I1778" s="14"/>
      <c r="J1778" s="14" t="s">
        <v>10</v>
      </c>
      <c r="K1778" s="14" t="s">
        <v>173</v>
      </c>
      <c r="L1778" s="14" t="s">
        <v>9</v>
      </c>
      <c r="M1778" s="14" t="s">
        <v>9</v>
      </c>
      <c r="N1778" s="14">
        <v>2449</v>
      </c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</row>
    <row r="1779" spans="1:27" s="3" customFormat="1" ht="17.399999999999999" customHeight="1" outlineLevel="1" x14ac:dyDescent="0.25">
      <c r="A1779" s="14"/>
      <c r="B1779" s="31"/>
      <c r="C1779" s="20"/>
      <c r="D1779" s="20"/>
      <c r="E1779" s="20"/>
      <c r="F1779" s="20"/>
      <c r="G1779" s="22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</row>
    <row r="1780" spans="1:27" s="3" customFormat="1" ht="17.399999999999999" customHeight="1" outlineLevel="1" x14ac:dyDescent="0.25">
      <c r="A1780" s="14"/>
      <c r="B1780" s="398" t="s">
        <v>18</v>
      </c>
      <c r="C1780" s="399"/>
      <c r="D1780" s="399"/>
      <c r="E1780" s="399"/>
      <c r="F1780" s="399"/>
      <c r="G1780" s="400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</row>
    <row r="1781" spans="1:27" s="3" customFormat="1" ht="17.399999999999999" customHeight="1" outlineLevel="1" x14ac:dyDescent="0.25">
      <c r="A1781" s="14"/>
      <c r="B1781" s="25" t="s">
        <v>2</v>
      </c>
      <c r="C1781" s="26" t="s">
        <v>3</v>
      </c>
      <c r="D1781" s="26" t="s">
        <v>4</v>
      </c>
      <c r="E1781" s="26" t="s">
        <v>5</v>
      </c>
      <c r="F1781" s="26"/>
      <c r="G1781" s="27" t="s">
        <v>6</v>
      </c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</row>
    <row r="1782" spans="1:27" s="3" customFormat="1" ht="17.399999999999999" customHeight="1" outlineLevel="1" x14ac:dyDescent="0.25">
      <c r="A1782" s="14"/>
      <c r="B1782" s="28" t="s">
        <v>128</v>
      </c>
      <c r="C1782" s="29" t="s">
        <v>1566</v>
      </c>
      <c r="D1782" s="29" t="s">
        <v>1567</v>
      </c>
      <c r="E1782" s="29">
        <v>0</v>
      </c>
      <c r="F1782" s="29" t="s">
        <v>1470</v>
      </c>
      <c r="G1782" s="30"/>
      <c r="H1782" s="14" t="str">
        <f t="shared" ref="H1782:H1800" si="8">"{"&amp;B1782&amp;"},"</f>
        <v>{记录序号},</v>
      </c>
      <c r="I1782" s="14"/>
      <c r="J1782" s="14" t="s">
        <v>12</v>
      </c>
      <c r="K1782" s="14" t="s">
        <v>174</v>
      </c>
      <c r="L1782" s="14" t="s">
        <v>175</v>
      </c>
      <c r="M1782" s="14" t="s">
        <v>176</v>
      </c>
      <c r="N1782" s="14">
        <v>1629</v>
      </c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</row>
    <row r="1783" spans="1:27" s="3" customFormat="1" ht="17.399999999999999" customHeight="1" outlineLevel="1" x14ac:dyDescent="0.25">
      <c r="A1783" s="14"/>
      <c r="B1783" s="28" t="s">
        <v>16</v>
      </c>
      <c r="C1783" s="29" t="s">
        <v>1479</v>
      </c>
      <c r="D1783" s="29" t="s">
        <v>1469</v>
      </c>
      <c r="E1783" s="29" t="s">
        <v>1480</v>
      </c>
      <c r="F1783" s="29" t="s">
        <v>1481</v>
      </c>
      <c r="G1783" s="30" t="s">
        <v>1482</v>
      </c>
      <c r="H1783" s="14" t="str">
        <f t="shared" si="8"/>
        <v>{初始化日期},</v>
      </c>
      <c r="I1783" s="14"/>
      <c r="J1783" s="14" t="s">
        <v>10</v>
      </c>
      <c r="K1783" s="14" t="s">
        <v>173</v>
      </c>
      <c r="L1783" s="14" t="s">
        <v>9</v>
      </c>
      <c r="M1783" s="14" t="s">
        <v>9</v>
      </c>
      <c r="N1783" s="14">
        <v>1211</v>
      </c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</row>
    <row r="1784" spans="1:27" s="3" customFormat="1" ht="17.399999999999999" customHeight="1" outlineLevel="1" x14ac:dyDescent="0.25">
      <c r="A1784" s="14"/>
      <c r="B1784" s="28" t="s">
        <v>112</v>
      </c>
      <c r="C1784" s="29" t="s">
        <v>1555</v>
      </c>
      <c r="D1784" s="29" t="s">
        <v>1469</v>
      </c>
      <c r="E1784" s="29">
        <v>0</v>
      </c>
      <c r="F1784" s="29" t="s">
        <v>1470</v>
      </c>
      <c r="G1784" s="30" t="s">
        <v>1556</v>
      </c>
      <c r="H1784" s="14" t="str">
        <f t="shared" si="8"/>
        <v>{机构编号},</v>
      </c>
      <c r="I1784" s="14"/>
      <c r="J1784" s="14" t="s">
        <v>10</v>
      </c>
      <c r="K1784" s="14" t="s">
        <v>173</v>
      </c>
      <c r="L1784" s="14" t="s">
        <v>9</v>
      </c>
      <c r="M1784" s="14" t="s">
        <v>9</v>
      </c>
      <c r="N1784" s="14">
        <v>1606</v>
      </c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</row>
    <row r="1785" spans="1:27" s="3" customFormat="1" ht="17.399999999999999" customHeight="1" outlineLevel="1" x14ac:dyDescent="0.25">
      <c r="A1785" s="14"/>
      <c r="B1785" s="28" t="s">
        <v>7</v>
      </c>
      <c r="C1785" s="29" t="s">
        <v>1468</v>
      </c>
      <c r="D1785" s="29" t="s">
        <v>1469</v>
      </c>
      <c r="E1785" s="29">
        <v>0</v>
      </c>
      <c r="F1785" s="29" t="s">
        <v>1470</v>
      </c>
      <c r="G1785" s="30" t="s">
        <v>1471</v>
      </c>
      <c r="H1785" s="14" t="str">
        <f t="shared" si="8"/>
        <v>{产品编号},</v>
      </c>
      <c r="I1785" s="14"/>
      <c r="J1785" s="14" t="s">
        <v>10</v>
      </c>
      <c r="K1785" s="14" t="s">
        <v>173</v>
      </c>
      <c r="L1785" s="14" t="s">
        <v>9</v>
      </c>
      <c r="M1785" s="14" t="s">
        <v>9</v>
      </c>
      <c r="N1785" s="14">
        <v>1112</v>
      </c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</row>
    <row r="1786" spans="1:27" s="3" customFormat="1" outlineLevel="1" x14ac:dyDescent="0.25">
      <c r="B1786" s="28" t="s">
        <v>13</v>
      </c>
      <c r="C1786" s="29" t="s">
        <v>1474</v>
      </c>
      <c r="D1786" s="29" t="s">
        <v>1469</v>
      </c>
      <c r="E1786" s="29">
        <v>0</v>
      </c>
      <c r="F1786" s="29" t="s">
        <v>1470</v>
      </c>
      <c r="G1786" s="30"/>
      <c r="H1786" s="3" t="str">
        <f t="shared" si="8"/>
        <v>{资产账户编号},</v>
      </c>
      <c r="J1786" s="3" t="s">
        <v>10</v>
      </c>
      <c r="N1786" s="3">
        <v>2534</v>
      </c>
    </row>
    <row r="1787" spans="1:27" s="3" customFormat="1" ht="17.399999999999999" customHeight="1" outlineLevel="1" x14ac:dyDescent="0.25">
      <c r="A1787" s="14"/>
      <c r="B1787" s="28" t="s">
        <v>14</v>
      </c>
      <c r="C1787" s="29" t="s">
        <v>1475</v>
      </c>
      <c r="D1787" s="29" t="s">
        <v>1469</v>
      </c>
      <c r="E1787" s="29">
        <v>0</v>
      </c>
      <c r="F1787" s="29" t="s">
        <v>1476</v>
      </c>
      <c r="G1787" s="30" t="s">
        <v>1477</v>
      </c>
      <c r="H1787" s="14" t="str">
        <f t="shared" si="8"/>
        <v>{市场编号},</v>
      </c>
      <c r="I1787" s="14"/>
      <c r="J1787" s="14" t="s">
        <v>10</v>
      </c>
      <c r="K1787" s="14" t="s">
        <v>173</v>
      </c>
      <c r="L1787" s="14" t="s">
        <v>9</v>
      </c>
      <c r="M1787" s="14" t="s">
        <v>9</v>
      </c>
      <c r="N1787" s="14">
        <v>2534</v>
      </c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</row>
    <row r="1788" spans="1:27" s="3" customFormat="1" ht="17.399999999999999" customHeight="1" outlineLevel="1" x14ac:dyDescent="0.25">
      <c r="A1788" s="14"/>
      <c r="B1788" s="28" t="s">
        <v>346</v>
      </c>
      <c r="C1788" s="29" t="s">
        <v>1755</v>
      </c>
      <c r="D1788" s="29" t="s">
        <v>1469</v>
      </c>
      <c r="E1788" s="29">
        <v>0</v>
      </c>
      <c r="F1788" s="29" t="s">
        <v>1470</v>
      </c>
      <c r="G1788" s="30"/>
      <c r="H1788" s="14" t="str">
        <f t="shared" si="8"/>
        <v>{交易编码编号},</v>
      </c>
      <c r="I1788" s="14"/>
      <c r="J1788" s="14" t="s">
        <v>10</v>
      </c>
      <c r="K1788" s="14" t="s">
        <v>173</v>
      </c>
      <c r="L1788" s="14" t="s">
        <v>9</v>
      </c>
      <c r="M1788" s="14" t="s">
        <v>9</v>
      </c>
      <c r="N1788" s="14">
        <v>2430</v>
      </c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</row>
    <row r="1789" spans="1:27" s="3" customFormat="1" ht="17.399999999999999" customHeight="1" outlineLevel="1" x14ac:dyDescent="0.25">
      <c r="A1789" s="14"/>
      <c r="B1789" s="28" t="s">
        <v>345</v>
      </c>
      <c r="C1789" s="29" t="s">
        <v>1754</v>
      </c>
      <c r="D1789" s="29" t="s">
        <v>1469</v>
      </c>
      <c r="E1789" s="29">
        <v>0</v>
      </c>
      <c r="F1789" s="29" t="s">
        <v>1470</v>
      </c>
      <c r="G1789" s="30"/>
      <c r="H1789" s="14" t="str">
        <f t="shared" si="8"/>
        <v>{合约代码编号},</v>
      </c>
      <c r="I1789" s="14"/>
      <c r="J1789" s="14" t="s">
        <v>10</v>
      </c>
      <c r="K1789" s="14" t="s">
        <v>173</v>
      </c>
      <c r="L1789" s="14" t="s">
        <v>9</v>
      </c>
      <c r="M1789" s="14" t="s">
        <v>9</v>
      </c>
      <c r="N1789" s="14">
        <v>2433</v>
      </c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</row>
    <row r="1790" spans="1:27" s="3" customFormat="1" ht="17.399999999999999" customHeight="1" outlineLevel="1" x14ac:dyDescent="0.25">
      <c r="A1790" s="14"/>
      <c r="B1790" s="28" t="s">
        <v>347</v>
      </c>
      <c r="C1790" s="29" t="s">
        <v>1756</v>
      </c>
      <c r="D1790" s="29" t="s">
        <v>1469</v>
      </c>
      <c r="E1790" s="29">
        <v>0</v>
      </c>
      <c r="F1790" s="29" t="s">
        <v>1476</v>
      </c>
      <c r="G1790" s="30"/>
      <c r="H1790" s="14" t="str">
        <f t="shared" si="8"/>
        <v>{多空类型},</v>
      </c>
      <c r="I1790" s="14"/>
      <c r="J1790" s="14" t="s">
        <v>10</v>
      </c>
      <c r="K1790" s="14" t="s">
        <v>173</v>
      </c>
      <c r="L1790" s="14" t="s">
        <v>9</v>
      </c>
      <c r="M1790" s="14" t="s">
        <v>9</v>
      </c>
      <c r="N1790" s="14">
        <v>2155</v>
      </c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</row>
    <row r="1791" spans="1:27" s="3" customFormat="1" outlineLevel="1" x14ac:dyDescent="0.25">
      <c r="B1791" s="28" t="s">
        <v>348</v>
      </c>
      <c r="C1791" s="29" t="s">
        <v>1757</v>
      </c>
      <c r="D1791" s="29" t="s">
        <v>1469</v>
      </c>
      <c r="E1791" s="29">
        <v>0</v>
      </c>
      <c r="F1791" s="29" t="s">
        <v>2341</v>
      </c>
      <c r="G1791" s="30" t="s">
        <v>2342</v>
      </c>
      <c r="H1791" s="3" t="str">
        <f t="shared" si="8"/>
        <v>{套保标志},</v>
      </c>
    </row>
    <row r="1792" spans="1:27" s="3" customFormat="1" ht="17.399999999999999" customHeight="1" outlineLevel="1" x14ac:dyDescent="0.25">
      <c r="A1792" s="14"/>
      <c r="B1792" s="28" t="s">
        <v>75</v>
      </c>
      <c r="C1792" s="29" t="s">
        <v>1530</v>
      </c>
      <c r="D1792" s="29" t="s">
        <v>1486</v>
      </c>
      <c r="E1792" s="29">
        <v>0</v>
      </c>
      <c r="F1792" s="29" t="s">
        <v>1470</v>
      </c>
      <c r="G1792" s="30" t="s">
        <v>1531</v>
      </c>
      <c r="H1792" s="14" t="str">
        <f t="shared" si="8"/>
        <v>{当前数量},</v>
      </c>
      <c r="I1792" s="14"/>
      <c r="J1792" s="14" t="s">
        <v>20</v>
      </c>
      <c r="K1792" s="14" t="s">
        <v>445</v>
      </c>
      <c r="L1792" s="14" t="s">
        <v>446</v>
      </c>
      <c r="M1792" s="14" t="s">
        <v>446</v>
      </c>
      <c r="N1792" s="14">
        <v>1202</v>
      </c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</row>
    <row r="1793" spans="1:27" s="3" customFormat="1" ht="17.399999999999999" customHeight="1" outlineLevel="1" x14ac:dyDescent="0.25">
      <c r="A1793" s="14"/>
      <c r="B1793" s="185" t="s">
        <v>349</v>
      </c>
      <c r="C1793" s="23" t="s">
        <v>1758</v>
      </c>
      <c r="D1793" s="23" t="s">
        <v>1539</v>
      </c>
      <c r="E1793" s="29">
        <v>0</v>
      </c>
      <c r="F1793" s="29" t="s">
        <v>1470</v>
      </c>
      <c r="G1793" s="30"/>
      <c r="H1793" s="14" t="str">
        <f t="shared" si="8"/>
        <v>{开仓价格},</v>
      </c>
      <c r="I1793" s="14"/>
      <c r="J1793" s="14" t="s">
        <v>10</v>
      </c>
      <c r="K1793" s="14" t="s">
        <v>173</v>
      </c>
      <c r="L1793" s="14" t="s">
        <v>9</v>
      </c>
      <c r="M1793" s="14" t="s">
        <v>9</v>
      </c>
      <c r="N1793" s="14">
        <v>2237</v>
      </c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</row>
    <row r="1794" spans="1:27" s="3" customFormat="1" ht="17.399999999999999" customHeight="1" outlineLevel="1" x14ac:dyDescent="0.25">
      <c r="A1794" s="14"/>
      <c r="B1794" s="185" t="s">
        <v>350</v>
      </c>
      <c r="C1794" s="23" t="s">
        <v>1759</v>
      </c>
      <c r="D1794" s="23" t="s">
        <v>1489</v>
      </c>
      <c r="E1794" s="29">
        <v>0</v>
      </c>
      <c r="F1794" s="29" t="s">
        <v>1470</v>
      </c>
      <c r="G1794" s="30"/>
      <c r="H1794" s="14" t="str">
        <f t="shared" si="8"/>
        <v>{盯市盈亏},</v>
      </c>
      <c r="I1794" s="14"/>
      <c r="J1794" s="14" t="s">
        <v>20</v>
      </c>
      <c r="K1794" s="14" t="s">
        <v>445</v>
      </c>
      <c r="L1794" s="14" t="s">
        <v>446</v>
      </c>
      <c r="M1794" s="14" t="s">
        <v>446</v>
      </c>
      <c r="N1794" s="14">
        <v>1986</v>
      </c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</row>
    <row r="1795" spans="1:27" s="3" customFormat="1" ht="17.399999999999999" customHeight="1" outlineLevel="1" x14ac:dyDescent="0.25">
      <c r="A1795" s="14"/>
      <c r="B1795" s="28" t="s">
        <v>351</v>
      </c>
      <c r="C1795" s="29" t="s">
        <v>1760</v>
      </c>
      <c r="D1795" s="29" t="s">
        <v>1489</v>
      </c>
      <c r="E1795" s="29">
        <v>0</v>
      </c>
      <c r="F1795" s="29" t="s">
        <v>1470</v>
      </c>
      <c r="G1795" s="30" t="s">
        <v>1761</v>
      </c>
      <c r="H1795" s="14" t="str">
        <f t="shared" si="8"/>
        <v>{应收保证金},</v>
      </c>
      <c r="I1795" s="14"/>
      <c r="J1795" s="14" t="s">
        <v>20</v>
      </c>
      <c r="K1795" s="14" t="s">
        <v>445</v>
      </c>
      <c r="L1795" s="14" t="s">
        <v>446</v>
      </c>
      <c r="M1795" s="14" t="s">
        <v>446</v>
      </c>
      <c r="N1795" s="14">
        <v>1262</v>
      </c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</row>
    <row r="1796" spans="1:27" s="3" customFormat="1" ht="17.399999999999999" customHeight="1" outlineLevel="1" x14ac:dyDescent="0.25">
      <c r="A1796" s="14"/>
      <c r="B1796" s="28" t="s">
        <v>138</v>
      </c>
      <c r="C1796" s="29" t="s">
        <v>1577</v>
      </c>
      <c r="D1796" s="29" t="s">
        <v>1486</v>
      </c>
      <c r="E1796" s="29">
        <v>0</v>
      </c>
      <c r="F1796" s="29" t="s">
        <v>1470</v>
      </c>
      <c r="G1796" s="30"/>
      <c r="H1796" s="14" t="str">
        <f t="shared" si="8"/>
        <v>{成交释放数量},</v>
      </c>
      <c r="I1796" s="14"/>
      <c r="J1796" s="14" t="s">
        <v>20</v>
      </c>
      <c r="K1796" s="14" t="s">
        <v>445</v>
      </c>
      <c r="L1796" s="14" t="s">
        <v>446</v>
      </c>
      <c r="M1796" s="14" t="s">
        <v>446</v>
      </c>
      <c r="N1796" s="14">
        <v>1317</v>
      </c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</row>
    <row r="1797" spans="1:27" s="3" customFormat="1" ht="17.399999999999999" customHeight="1" outlineLevel="1" x14ac:dyDescent="0.25">
      <c r="A1797" s="14"/>
      <c r="B1797" s="28" t="s">
        <v>352</v>
      </c>
      <c r="C1797" s="29" t="s">
        <v>1762</v>
      </c>
      <c r="D1797" s="29" t="s">
        <v>1486</v>
      </c>
      <c r="E1797" s="29">
        <v>0</v>
      </c>
      <c r="F1797" s="29"/>
      <c r="G1797" s="30"/>
      <c r="H1797" s="14" t="str">
        <f t="shared" si="8"/>
        <v>{今仓成交占用数量},</v>
      </c>
      <c r="I1797" s="14"/>
      <c r="J1797" s="14" t="s">
        <v>20</v>
      </c>
      <c r="K1797" s="14" t="s">
        <v>445</v>
      </c>
      <c r="L1797" s="14" t="s">
        <v>446</v>
      </c>
      <c r="M1797" s="14" t="s">
        <v>446</v>
      </c>
      <c r="N1797" s="14">
        <v>1721</v>
      </c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</row>
    <row r="1798" spans="1:27" s="3" customFormat="1" ht="17.399999999999999" customHeight="1" outlineLevel="1" x14ac:dyDescent="0.25">
      <c r="A1798" s="14"/>
      <c r="B1798" s="28" t="s">
        <v>62</v>
      </c>
      <c r="C1798" s="29" t="s">
        <v>1525</v>
      </c>
      <c r="D1798" s="23" t="s">
        <v>1489</v>
      </c>
      <c r="E1798" s="29">
        <v>0</v>
      </c>
      <c r="F1798" s="29"/>
      <c r="G1798" s="30"/>
      <c r="H1798" s="14" t="str">
        <f t="shared" si="8"/>
        <v>{持仓市值},</v>
      </c>
      <c r="I1798" s="14"/>
      <c r="J1798" s="14" t="s">
        <v>20</v>
      </c>
      <c r="K1798" s="14" t="s">
        <v>445</v>
      </c>
      <c r="L1798" s="14" t="s">
        <v>446</v>
      </c>
      <c r="M1798" s="14" t="s">
        <v>446</v>
      </c>
      <c r="N1798" s="14">
        <v>1875</v>
      </c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</row>
    <row r="1799" spans="1:27" s="3" customFormat="1" ht="17.399999999999999" customHeight="1" outlineLevel="1" x14ac:dyDescent="0.25">
      <c r="A1799" s="14"/>
      <c r="B1799" s="28" t="s">
        <v>95</v>
      </c>
      <c r="C1799" s="29" t="s">
        <v>1542</v>
      </c>
      <c r="D1799" s="29" t="s">
        <v>1494</v>
      </c>
      <c r="E1799" s="29">
        <v>0</v>
      </c>
      <c r="F1799" s="29"/>
      <c r="G1799" s="30"/>
      <c r="H1799" s="14" t="str">
        <f t="shared" si="8"/>
        <v>{持仓净值占比},</v>
      </c>
      <c r="I1799" s="14"/>
      <c r="J1799" s="14" t="s">
        <v>20</v>
      </c>
      <c r="K1799" s="14" t="s">
        <v>445</v>
      </c>
      <c r="L1799" s="14" t="s">
        <v>446</v>
      </c>
      <c r="M1799" s="14" t="s">
        <v>446</v>
      </c>
      <c r="N1799" s="14">
        <v>1891</v>
      </c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</row>
    <row r="1800" spans="1:27" s="3" customFormat="1" ht="17.399999999999999" customHeight="1" outlineLevel="1" x14ac:dyDescent="0.25">
      <c r="A1800" s="14"/>
      <c r="B1800" s="185" t="s">
        <v>2331</v>
      </c>
      <c r="C1800" s="23" t="s">
        <v>2343</v>
      </c>
      <c r="D1800" s="23" t="s">
        <v>23</v>
      </c>
      <c r="E1800" s="23">
        <v>0</v>
      </c>
      <c r="F1800" s="23"/>
      <c r="G1800" s="24"/>
      <c r="H1800" s="14" t="str">
        <f t="shared" si="8"/>
        <v>{开仓均价},</v>
      </c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</row>
    <row r="1801" spans="1:27" s="3" customFormat="1" ht="17.399999999999999" customHeight="1" outlineLevel="1" thickBot="1" x14ac:dyDescent="0.3">
      <c r="A1801" s="14"/>
      <c r="B1801" s="31"/>
      <c r="C1801" s="20"/>
      <c r="D1801" s="20"/>
      <c r="E1801" s="20"/>
      <c r="F1801" s="20"/>
      <c r="G1801" s="22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</row>
    <row r="1802" spans="1:27" s="3" customFormat="1" ht="17.399999999999999" customHeight="1" outlineLevel="1" x14ac:dyDescent="0.25">
      <c r="A1802" s="14"/>
      <c r="B1802" s="401" t="s">
        <v>28</v>
      </c>
      <c r="C1802" s="402"/>
      <c r="D1802" s="402"/>
      <c r="E1802" s="402"/>
      <c r="F1802" s="402"/>
      <c r="G1802" s="403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</row>
    <row r="1803" spans="1:27" s="3" customFormat="1" ht="17.399999999999999" customHeight="1" outlineLevel="1" x14ac:dyDescent="0.25">
      <c r="A1803" s="14"/>
      <c r="B1803" s="116"/>
      <c r="C1803" s="117"/>
      <c r="D1803" s="117"/>
      <c r="E1803" s="117"/>
      <c r="F1803" s="117"/>
      <c r="G1803" s="105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14"/>
    </row>
    <row r="1804" spans="1:27" s="3" customFormat="1" ht="17.399999999999999" customHeight="1" outlineLevel="1" thickBot="1" x14ac:dyDescent="0.3">
      <c r="A1804" s="14"/>
      <c r="B1804" s="116"/>
      <c r="C1804" s="117"/>
      <c r="D1804" s="117"/>
      <c r="E1804" s="117"/>
      <c r="F1804" s="117"/>
      <c r="G1804" s="105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14"/>
    </row>
    <row r="1805" spans="1:27" s="3" customFormat="1" ht="17.399999999999999" customHeight="1" outlineLevel="1" x14ac:dyDescent="0.25">
      <c r="A1805" s="14"/>
      <c r="B1805" s="401" t="s">
        <v>29</v>
      </c>
      <c r="C1805" s="402"/>
      <c r="D1805" s="402"/>
      <c r="E1805" s="402"/>
      <c r="F1805" s="402"/>
      <c r="G1805" s="403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</row>
    <row r="1806" spans="1:27" s="7" customFormat="1" ht="16.5" customHeight="1" outlineLevel="1" x14ac:dyDescent="0.25">
      <c r="A1806" s="14"/>
      <c r="B1806" s="308" t="s">
        <v>559</v>
      </c>
      <c r="C1806" s="309"/>
      <c r="D1806" s="309"/>
      <c r="E1806" s="309"/>
      <c r="F1806" s="309"/>
      <c r="G1806" s="310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</row>
    <row r="1807" spans="1:27" s="7" customFormat="1" ht="17.399999999999999" customHeight="1" outlineLevel="1" thickBot="1" x14ac:dyDescent="0.3">
      <c r="A1807" s="14"/>
      <c r="B1807" s="305" t="s">
        <v>560</v>
      </c>
      <c r="C1807" s="306"/>
      <c r="D1807" s="306"/>
      <c r="E1807" s="306"/>
      <c r="F1807" s="306"/>
      <c r="G1807" s="307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</row>
    <row r="1808" spans="1:27" s="7" customFormat="1" ht="16.5" customHeight="1" outlineLevel="1" x14ac:dyDescent="0.25">
      <c r="A1808" s="14"/>
      <c r="B1808" s="308" t="s">
        <v>561</v>
      </c>
      <c r="C1808" s="309"/>
      <c r="D1808" s="309"/>
      <c r="E1808" s="309"/>
      <c r="F1808" s="309"/>
      <c r="G1808" s="310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14"/>
    </row>
    <row r="1809" spans="1:27" s="3" customFormat="1" ht="17.399999999999999" customHeight="1" outlineLevel="1" x14ac:dyDescent="0.25">
      <c r="A1809" s="14"/>
      <c r="B1809" s="28"/>
      <c r="C1809" s="29"/>
      <c r="D1809" s="23"/>
      <c r="E1809" s="29"/>
      <c r="F1809" s="29"/>
      <c r="G1809" s="30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</row>
    <row r="1810" spans="1:27" s="3" customFormat="1" ht="17.399999999999999" customHeight="1" outlineLevel="1" x14ac:dyDescent="0.25">
      <c r="A1810" s="14"/>
      <c r="B1810" s="28" t="s">
        <v>643</v>
      </c>
      <c r="C1810" s="29"/>
      <c r="D1810" s="23"/>
      <c r="E1810" s="29"/>
      <c r="F1810" s="29"/>
      <c r="G1810" s="375" t="s">
        <v>2442</v>
      </c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</row>
    <row r="1811" spans="1:27" s="3" customFormat="1" ht="17.399999999999999" customHeight="1" outlineLevel="1" x14ac:dyDescent="0.25">
      <c r="A1811" s="14"/>
      <c r="B1811" s="28"/>
      <c r="C1811" s="29"/>
      <c r="D1811" s="23"/>
      <c r="E1811" s="29"/>
      <c r="F1811" s="29"/>
      <c r="G1811" s="30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</row>
    <row r="1812" spans="1:27" s="3" customFormat="1" ht="17.399999999999999" customHeight="1" outlineLevel="1" x14ac:dyDescent="0.25">
      <c r="A1812" s="14"/>
      <c r="B1812" s="28"/>
      <c r="C1812" s="29"/>
      <c r="D1812" s="23"/>
      <c r="E1812" s="29"/>
      <c r="F1812" s="29"/>
      <c r="G1812" s="30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</row>
    <row r="1813" spans="1:27" s="3" customFormat="1" ht="17.399999999999999" customHeight="1" outlineLevel="1" thickBot="1" x14ac:dyDescent="0.3">
      <c r="A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</row>
    <row r="1814" spans="1:27" s="3" customFormat="1" ht="17.399999999999999" customHeight="1" thickBot="1" x14ac:dyDescent="0.3">
      <c r="A1814" s="14"/>
      <c r="B1814" s="15" t="s">
        <v>1279</v>
      </c>
      <c r="C1814" s="16" t="s">
        <v>1990</v>
      </c>
      <c r="D1814" s="17" t="s">
        <v>1281</v>
      </c>
      <c r="E1814" s="16" t="s">
        <v>644</v>
      </c>
      <c r="F1814" s="17" t="s">
        <v>1282</v>
      </c>
      <c r="G1814" s="18" t="s">
        <v>1991</v>
      </c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</row>
    <row r="1815" spans="1:27" s="3" customFormat="1" ht="17.399999999999999" hidden="1" customHeight="1" outlineLevel="1" x14ac:dyDescent="0.25">
      <c r="A1815" s="14"/>
      <c r="B1815" s="19" t="s">
        <v>1284</v>
      </c>
      <c r="C1815" s="20" t="s">
        <v>1285</v>
      </c>
      <c r="D1815" s="21" t="s">
        <v>1286</v>
      </c>
      <c r="E1815" s="20" t="s">
        <v>1992</v>
      </c>
      <c r="F1815" s="21" t="s">
        <v>1288</v>
      </c>
      <c r="G1815" s="22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</row>
    <row r="1816" spans="1:27" s="3" customFormat="1" ht="17.399999999999999" hidden="1" customHeight="1" outlineLevel="1" thickBot="1" x14ac:dyDescent="0.3">
      <c r="A1816" s="14"/>
      <c r="B1816" s="19" t="s">
        <v>1290</v>
      </c>
      <c r="C1816" s="23" t="s">
        <v>1291</v>
      </c>
      <c r="D1816" s="21" t="s">
        <v>1292</v>
      </c>
      <c r="E1816" s="23">
        <v>5</v>
      </c>
      <c r="F1816" s="21" t="s">
        <v>1293</v>
      </c>
      <c r="G1816" s="24" t="s">
        <v>1294</v>
      </c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</row>
    <row r="1817" spans="1:27" s="3" customFormat="1" ht="17.399999999999999" hidden="1" customHeight="1" outlineLevel="1" x14ac:dyDescent="0.25">
      <c r="A1817" s="14"/>
      <c r="B1817" s="401" t="s">
        <v>1</v>
      </c>
      <c r="C1817" s="402"/>
      <c r="D1817" s="402"/>
      <c r="E1817" s="402"/>
      <c r="F1817" s="402"/>
      <c r="G1817" s="403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</row>
    <row r="1818" spans="1:27" s="3" customFormat="1" ht="17.399999999999999" hidden="1" customHeight="1" outlineLevel="1" x14ac:dyDescent="0.25">
      <c r="A1818" s="14"/>
      <c r="B1818" s="25" t="s">
        <v>2</v>
      </c>
      <c r="C1818" s="26" t="s">
        <v>3</v>
      </c>
      <c r="D1818" s="26" t="s">
        <v>4</v>
      </c>
      <c r="E1818" s="26" t="s">
        <v>5</v>
      </c>
      <c r="F1818" s="26"/>
      <c r="G1818" s="27" t="s">
        <v>6</v>
      </c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4"/>
    </row>
    <row r="1819" spans="1:27" s="3" customFormat="1" hidden="1" outlineLevel="1" x14ac:dyDescent="0.25">
      <c r="A1819" s="14"/>
      <c r="B1819" s="28" t="s">
        <v>7</v>
      </c>
      <c r="C1819" s="29" t="s">
        <v>1468</v>
      </c>
      <c r="D1819" s="29" t="s">
        <v>1469</v>
      </c>
      <c r="E1819" s="29">
        <v>0</v>
      </c>
      <c r="F1819" s="29" t="s">
        <v>1470</v>
      </c>
      <c r="G1819" s="30" t="s">
        <v>1471</v>
      </c>
      <c r="H1819" s="14"/>
      <c r="I1819" s="14"/>
      <c r="J1819" s="14" t="s">
        <v>10</v>
      </c>
      <c r="K1819" s="14" t="s">
        <v>173</v>
      </c>
      <c r="L1819" s="14" t="s">
        <v>9</v>
      </c>
      <c r="M1819" s="14" t="s">
        <v>9</v>
      </c>
      <c r="N1819" s="14">
        <v>1112</v>
      </c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</row>
    <row r="1820" spans="1:27" s="3" customFormat="1" hidden="1" outlineLevel="1" x14ac:dyDescent="0.25">
      <c r="A1820" s="14"/>
      <c r="B1820" s="28" t="s">
        <v>345</v>
      </c>
      <c r="C1820" s="29" t="s">
        <v>1754</v>
      </c>
      <c r="D1820" s="29" t="s">
        <v>1469</v>
      </c>
      <c r="E1820" s="29">
        <v>0</v>
      </c>
      <c r="F1820" s="29" t="s">
        <v>1470</v>
      </c>
      <c r="G1820" s="30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</row>
    <row r="1821" spans="1:27" s="3" customFormat="1" hidden="1" outlineLevel="1" x14ac:dyDescent="0.25">
      <c r="A1821" s="14"/>
      <c r="B1821" s="28" t="s">
        <v>73</v>
      </c>
      <c r="C1821" s="29" t="s">
        <v>1528</v>
      </c>
      <c r="D1821" s="29" t="s">
        <v>1469</v>
      </c>
      <c r="E1821" s="29" t="s">
        <v>1480</v>
      </c>
      <c r="F1821" s="29" t="s">
        <v>1481</v>
      </c>
      <c r="G1821" s="30"/>
      <c r="H1821" s="14"/>
      <c r="I1821" s="14"/>
      <c r="J1821" s="14" t="s">
        <v>10</v>
      </c>
      <c r="K1821" s="14" t="s">
        <v>173</v>
      </c>
      <c r="L1821" s="14" t="s">
        <v>9</v>
      </c>
      <c r="M1821" s="14" t="s">
        <v>9</v>
      </c>
      <c r="N1821" s="14">
        <v>1767</v>
      </c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</row>
    <row r="1822" spans="1:27" s="3" customFormat="1" hidden="1" outlineLevel="1" x14ac:dyDescent="0.25">
      <c r="A1822" s="14"/>
      <c r="B1822" s="28" t="s">
        <v>74</v>
      </c>
      <c r="C1822" s="29" t="s">
        <v>1529</v>
      </c>
      <c r="D1822" s="29" t="s">
        <v>1469</v>
      </c>
      <c r="E1822" s="29" t="s">
        <v>1480</v>
      </c>
      <c r="F1822" s="29" t="s">
        <v>1481</v>
      </c>
      <c r="G1822" s="30"/>
      <c r="H1822" s="14"/>
      <c r="I1822" s="14"/>
      <c r="J1822" s="14" t="s">
        <v>10</v>
      </c>
      <c r="K1822" s="14" t="s">
        <v>173</v>
      </c>
      <c r="L1822" s="14" t="s">
        <v>9</v>
      </c>
      <c r="M1822" s="14" t="s">
        <v>9</v>
      </c>
      <c r="N1822" s="14">
        <v>1713</v>
      </c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</row>
    <row r="1823" spans="1:27" s="3" customFormat="1" hidden="1" outlineLevel="1" x14ac:dyDescent="0.25">
      <c r="A1823" s="14"/>
      <c r="B1823" s="28" t="s">
        <v>128</v>
      </c>
      <c r="C1823" s="29" t="s">
        <v>1566</v>
      </c>
      <c r="D1823" s="29" t="s">
        <v>1567</v>
      </c>
      <c r="E1823" s="29">
        <v>0</v>
      </c>
      <c r="F1823" s="29" t="s">
        <v>1470</v>
      </c>
      <c r="G1823" s="30"/>
      <c r="H1823" s="14"/>
      <c r="I1823" s="14"/>
      <c r="J1823" s="14" t="s">
        <v>12</v>
      </c>
      <c r="K1823" s="14" t="s">
        <v>174</v>
      </c>
      <c r="L1823" s="14" t="s">
        <v>175</v>
      </c>
      <c r="M1823" s="14" t="s">
        <v>176</v>
      </c>
      <c r="N1823" s="14">
        <v>1629</v>
      </c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</row>
    <row r="1824" spans="1:27" s="3" customFormat="1" hidden="1" outlineLevel="1" x14ac:dyDescent="0.25">
      <c r="A1824" s="14"/>
      <c r="B1824" s="28" t="s">
        <v>114</v>
      </c>
      <c r="C1824" s="29" t="s">
        <v>1557</v>
      </c>
      <c r="D1824" s="29" t="s">
        <v>1469</v>
      </c>
      <c r="E1824" s="29">
        <v>-1</v>
      </c>
      <c r="F1824" s="29" t="s">
        <v>1470</v>
      </c>
      <c r="G1824" s="30"/>
      <c r="H1824" s="14"/>
      <c r="I1824" s="14"/>
      <c r="J1824" s="14" t="s">
        <v>10</v>
      </c>
      <c r="K1824" s="14" t="s">
        <v>173</v>
      </c>
      <c r="L1824" s="14" t="s">
        <v>9</v>
      </c>
      <c r="M1824" s="14" t="s">
        <v>9</v>
      </c>
      <c r="N1824" s="14">
        <v>2449</v>
      </c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</row>
    <row r="1825" spans="1:27" s="3" customFormat="1" ht="17.399999999999999" hidden="1" customHeight="1" outlineLevel="1" x14ac:dyDescent="0.25">
      <c r="A1825" s="14"/>
      <c r="B1825" s="31"/>
      <c r="C1825" s="20"/>
      <c r="D1825" s="20"/>
      <c r="E1825" s="20"/>
      <c r="F1825" s="20"/>
      <c r="G1825" s="22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</row>
    <row r="1826" spans="1:27" s="3" customFormat="1" ht="17.399999999999999" hidden="1" customHeight="1" outlineLevel="1" x14ac:dyDescent="0.25">
      <c r="A1826" s="14"/>
      <c r="B1826" s="398" t="s">
        <v>18</v>
      </c>
      <c r="C1826" s="399"/>
      <c r="D1826" s="399"/>
      <c r="E1826" s="399"/>
      <c r="F1826" s="399"/>
      <c r="G1826" s="400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</row>
    <row r="1827" spans="1:27" s="3" customFormat="1" ht="17.399999999999999" hidden="1" customHeight="1" outlineLevel="1" x14ac:dyDescent="0.25">
      <c r="A1827" s="14"/>
      <c r="B1827" s="25" t="s">
        <v>2</v>
      </c>
      <c r="C1827" s="26" t="s">
        <v>3</v>
      </c>
      <c r="D1827" s="26" t="s">
        <v>4</v>
      </c>
      <c r="E1827" s="26" t="s">
        <v>5</v>
      </c>
      <c r="F1827" s="26"/>
      <c r="G1827" s="27" t="s">
        <v>6</v>
      </c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</row>
    <row r="1828" spans="1:27" s="3" customFormat="1" hidden="1" outlineLevel="1" x14ac:dyDescent="0.25">
      <c r="A1828" s="14"/>
      <c r="B1828" s="28" t="s">
        <v>128</v>
      </c>
      <c r="C1828" s="29" t="s">
        <v>1566</v>
      </c>
      <c r="D1828" s="29" t="s">
        <v>1567</v>
      </c>
      <c r="E1828" s="29">
        <v>0</v>
      </c>
      <c r="F1828" s="29" t="s">
        <v>1470</v>
      </c>
      <c r="G1828" s="30"/>
      <c r="H1828" s="14" t="str">
        <f t="shared" ref="H1828:H1846" si="9">"{"&amp;B1828&amp;"},"</f>
        <v>{记录序号},</v>
      </c>
      <c r="I1828" s="14"/>
      <c r="J1828" s="14" t="s">
        <v>12</v>
      </c>
      <c r="K1828" s="14" t="s">
        <v>174</v>
      </c>
      <c r="L1828" s="14" t="s">
        <v>175</v>
      </c>
      <c r="M1828" s="14" t="s">
        <v>176</v>
      </c>
      <c r="N1828" s="14">
        <v>1629</v>
      </c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</row>
    <row r="1829" spans="1:27" s="3" customFormat="1" hidden="1" outlineLevel="1" x14ac:dyDescent="0.25">
      <c r="A1829" s="14"/>
      <c r="B1829" s="28" t="s">
        <v>16</v>
      </c>
      <c r="C1829" s="29" t="s">
        <v>1479</v>
      </c>
      <c r="D1829" s="29" t="s">
        <v>1469</v>
      </c>
      <c r="E1829" s="29" t="s">
        <v>1480</v>
      </c>
      <c r="F1829" s="29" t="s">
        <v>1481</v>
      </c>
      <c r="G1829" s="30" t="s">
        <v>1482</v>
      </c>
      <c r="H1829" s="14" t="str">
        <f t="shared" si="9"/>
        <v>{初始化日期},</v>
      </c>
      <c r="I1829" s="14"/>
      <c r="J1829" s="14" t="s">
        <v>10</v>
      </c>
      <c r="K1829" s="14" t="s">
        <v>173</v>
      </c>
      <c r="L1829" s="14" t="s">
        <v>9</v>
      </c>
      <c r="M1829" s="14" t="s">
        <v>9</v>
      </c>
      <c r="N1829" s="14">
        <v>1211</v>
      </c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</row>
    <row r="1830" spans="1:27" s="3" customFormat="1" hidden="1" outlineLevel="1" x14ac:dyDescent="0.25">
      <c r="A1830" s="14"/>
      <c r="B1830" s="28" t="s">
        <v>112</v>
      </c>
      <c r="C1830" s="29" t="s">
        <v>1555</v>
      </c>
      <c r="D1830" s="29" t="s">
        <v>1469</v>
      </c>
      <c r="E1830" s="29">
        <v>0</v>
      </c>
      <c r="F1830" s="29" t="s">
        <v>1470</v>
      </c>
      <c r="G1830" s="30" t="s">
        <v>1556</v>
      </c>
      <c r="H1830" s="14" t="str">
        <f t="shared" si="9"/>
        <v>{机构编号},</v>
      </c>
      <c r="I1830" s="14"/>
      <c r="J1830" s="14" t="s">
        <v>10</v>
      </c>
      <c r="K1830" s="14" t="s">
        <v>173</v>
      </c>
      <c r="L1830" s="14" t="s">
        <v>9</v>
      </c>
      <c r="M1830" s="14" t="s">
        <v>9</v>
      </c>
      <c r="N1830" s="14">
        <v>1606</v>
      </c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</row>
    <row r="1831" spans="1:27" s="3" customFormat="1" hidden="1" outlineLevel="1" x14ac:dyDescent="0.25">
      <c r="A1831" s="14"/>
      <c r="B1831" s="28" t="s">
        <v>7</v>
      </c>
      <c r="C1831" s="29" t="s">
        <v>1468</v>
      </c>
      <c r="D1831" s="29" t="s">
        <v>1469</v>
      </c>
      <c r="E1831" s="29">
        <v>0</v>
      </c>
      <c r="F1831" s="29" t="s">
        <v>1470</v>
      </c>
      <c r="G1831" s="30" t="s">
        <v>1471</v>
      </c>
      <c r="H1831" s="14" t="str">
        <f t="shared" si="9"/>
        <v>{产品编号},</v>
      </c>
      <c r="I1831" s="14"/>
      <c r="J1831" s="14" t="s">
        <v>10</v>
      </c>
      <c r="K1831" s="14" t="s">
        <v>173</v>
      </c>
      <c r="L1831" s="14" t="s">
        <v>9</v>
      </c>
      <c r="M1831" s="14" t="s">
        <v>9</v>
      </c>
      <c r="N1831" s="14">
        <v>1112</v>
      </c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</row>
    <row r="1832" spans="1:27" s="3" customFormat="1" hidden="1" outlineLevel="1" x14ac:dyDescent="0.25">
      <c r="B1832" s="28" t="s">
        <v>13</v>
      </c>
      <c r="C1832" s="29" t="s">
        <v>1474</v>
      </c>
      <c r="D1832" s="29" t="s">
        <v>1469</v>
      </c>
      <c r="E1832" s="29">
        <v>0</v>
      </c>
      <c r="F1832" s="29" t="s">
        <v>1470</v>
      </c>
      <c r="G1832" s="30"/>
      <c r="H1832" s="3" t="str">
        <f t="shared" si="9"/>
        <v>{资产账户编号},</v>
      </c>
      <c r="J1832" s="3" t="s">
        <v>10</v>
      </c>
      <c r="N1832" s="3">
        <v>2534</v>
      </c>
    </row>
    <row r="1833" spans="1:27" s="3" customFormat="1" hidden="1" outlineLevel="1" x14ac:dyDescent="0.25">
      <c r="A1833" s="14"/>
      <c r="B1833" s="28" t="s">
        <v>14</v>
      </c>
      <c r="C1833" s="29" t="s">
        <v>1475</v>
      </c>
      <c r="D1833" s="29" t="s">
        <v>1469</v>
      </c>
      <c r="E1833" s="29">
        <v>0</v>
      </c>
      <c r="F1833" s="29" t="s">
        <v>1476</v>
      </c>
      <c r="G1833" s="30" t="s">
        <v>1477</v>
      </c>
      <c r="H1833" s="14" t="str">
        <f t="shared" si="9"/>
        <v>{市场编号},</v>
      </c>
      <c r="I1833" s="14"/>
      <c r="J1833" s="14" t="s">
        <v>10</v>
      </c>
      <c r="K1833" s="14" t="s">
        <v>173</v>
      </c>
      <c r="L1833" s="14" t="s">
        <v>9</v>
      </c>
      <c r="M1833" s="14" t="s">
        <v>9</v>
      </c>
      <c r="N1833" s="14">
        <v>2534</v>
      </c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</row>
    <row r="1834" spans="1:27" s="3" customFormat="1" hidden="1" outlineLevel="1" x14ac:dyDescent="0.25">
      <c r="A1834" s="14"/>
      <c r="B1834" s="28" t="s">
        <v>346</v>
      </c>
      <c r="C1834" s="29" t="s">
        <v>1755</v>
      </c>
      <c r="D1834" s="29" t="s">
        <v>1469</v>
      </c>
      <c r="E1834" s="29">
        <v>0</v>
      </c>
      <c r="F1834" s="29" t="s">
        <v>1470</v>
      </c>
      <c r="G1834" s="30"/>
      <c r="H1834" s="14" t="str">
        <f t="shared" si="9"/>
        <v>{交易编码编号},</v>
      </c>
      <c r="I1834" s="14"/>
      <c r="J1834" s="14" t="s">
        <v>10</v>
      </c>
      <c r="K1834" s="14" t="s">
        <v>173</v>
      </c>
      <c r="L1834" s="14" t="s">
        <v>9</v>
      </c>
      <c r="M1834" s="14" t="s">
        <v>9</v>
      </c>
      <c r="N1834" s="14">
        <v>2430</v>
      </c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</row>
    <row r="1835" spans="1:27" s="3" customFormat="1" hidden="1" outlineLevel="1" x14ac:dyDescent="0.25">
      <c r="A1835" s="14"/>
      <c r="B1835" s="28" t="s">
        <v>345</v>
      </c>
      <c r="C1835" s="29" t="s">
        <v>1754</v>
      </c>
      <c r="D1835" s="29" t="s">
        <v>1469</v>
      </c>
      <c r="E1835" s="29">
        <v>0</v>
      </c>
      <c r="F1835" s="29" t="s">
        <v>1470</v>
      </c>
      <c r="G1835" s="30"/>
      <c r="H1835" s="14" t="str">
        <f t="shared" si="9"/>
        <v>{合约代码编号},</v>
      </c>
      <c r="I1835" s="14"/>
      <c r="J1835" s="14" t="s">
        <v>10</v>
      </c>
      <c r="K1835" s="14" t="s">
        <v>173</v>
      </c>
      <c r="L1835" s="14" t="s">
        <v>9</v>
      </c>
      <c r="M1835" s="14" t="s">
        <v>9</v>
      </c>
      <c r="N1835" s="14">
        <v>2433</v>
      </c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</row>
    <row r="1836" spans="1:27" s="3" customFormat="1" hidden="1" outlineLevel="1" x14ac:dyDescent="0.25">
      <c r="A1836" s="14"/>
      <c r="B1836" s="28" t="s">
        <v>347</v>
      </c>
      <c r="C1836" s="29" t="s">
        <v>1756</v>
      </c>
      <c r="D1836" s="29" t="s">
        <v>1469</v>
      </c>
      <c r="E1836" s="29">
        <v>0</v>
      </c>
      <c r="F1836" s="29" t="s">
        <v>1476</v>
      </c>
      <c r="G1836" s="30"/>
      <c r="H1836" s="14" t="str">
        <f t="shared" si="9"/>
        <v>{多空类型},</v>
      </c>
      <c r="I1836" s="14"/>
      <c r="J1836" s="14" t="s">
        <v>10</v>
      </c>
      <c r="K1836" s="14" t="s">
        <v>173</v>
      </c>
      <c r="L1836" s="14" t="s">
        <v>9</v>
      </c>
      <c r="M1836" s="14" t="s">
        <v>9</v>
      </c>
      <c r="N1836" s="14">
        <v>2155</v>
      </c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</row>
    <row r="1837" spans="1:27" s="3" customFormat="1" hidden="1" outlineLevel="1" x14ac:dyDescent="0.25">
      <c r="B1837" s="28" t="s">
        <v>348</v>
      </c>
      <c r="C1837" s="29" t="s">
        <v>1757</v>
      </c>
      <c r="D1837" s="29" t="s">
        <v>1469</v>
      </c>
      <c r="E1837" s="29">
        <v>0</v>
      </c>
      <c r="F1837" s="29" t="s">
        <v>2341</v>
      </c>
      <c r="G1837" s="30" t="s">
        <v>2342</v>
      </c>
      <c r="H1837" s="3" t="str">
        <f t="shared" si="9"/>
        <v>{套保标志},</v>
      </c>
    </row>
    <row r="1838" spans="1:27" s="3" customFormat="1" hidden="1" outlineLevel="1" x14ac:dyDescent="0.25">
      <c r="A1838" s="14"/>
      <c r="B1838" s="28" t="s">
        <v>75</v>
      </c>
      <c r="C1838" s="29" t="s">
        <v>1530</v>
      </c>
      <c r="D1838" s="29" t="s">
        <v>1486</v>
      </c>
      <c r="E1838" s="29">
        <v>0</v>
      </c>
      <c r="F1838" s="29" t="s">
        <v>1470</v>
      </c>
      <c r="G1838" s="30" t="s">
        <v>1531</v>
      </c>
      <c r="H1838" s="14" t="str">
        <f t="shared" si="9"/>
        <v>{当前数量},</v>
      </c>
      <c r="I1838" s="14"/>
      <c r="J1838" s="14" t="s">
        <v>20</v>
      </c>
      <c r="K1838" s="14" t="s">
        <v>445</v>
      </c>
      <c r="L1838" s="14" t="s">
        <v>446</v>
      </c>
      <c r="M1838" s="14" t="s">
        <v>446</v>
      </c>
      <c r="N1838" s="14">
        <v>1202</v>
      </c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</row>
    <row r="1839" spans="1:27" s="3" customFormat="1" hidden="1" outlineLevel="1" x14ac:dyDescent="0.25">
      <c r="A1839" s="14"/>
      <c r="B1839" s="185" t="s">
        <v>349</v>
      </c>
      <c r="C1839" s="23" t="s">
        <v>1758</v>
      </c>
      <c r="D1839" s="23" t="s">
        <v>1539</v>
      </c>
      <c r="E1839" s="29">
        <v>0</v>
      </c>
      <c r="F1839" s="29" t="s">
        <v>1470</v>
      </c>
      <c r="G1839" s="30"/>
      <c r="H1839" s="14" t="str">
        <f t="shared" si="9"/>
        <v>{开仓价格},</v>
      </c>
      <c r="I1839" s="14"/>
      <c r="J1839" s="14" t="s">
        <v>10</v>
      </c>
      <c r="K1839" s="14" t="s">
        <v>173</v>
      </c>
      <c r="L1839" s="14" t="s">
        <v>9</v>
      </c>
      <c r="M1839" s="14" t="s">
        <v>9</v>
      </c>
      <c r="N1839" s="14">
        <v>2237</v>
      </c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</row>
    <row r="1840" spans="1:27" s="3" customFormat="1" hidden="1" outlineLevel="1" x14ac:dyDescent="0.25">
      <c r="A1840" s="14"/>
      <c r="B1840" s="185" t="s">
        <v>350</v>
      </c>
      <c r="C1840" s="23" t="s">
        <v>1759</v>
      </c>
      <c r="D1840" s="23" t="s">
        <v>1489</v>
      </c>
      <c r="E1840" s="29">
        <v>0</v>
      </c>
      <c r="F1840" s="29" t="s">
        <v>1470</v>
      </c>
      <c r="G1840" s="30"/>
      <c r="H1840" s="14" t="str">
        <f t="shared" si="9"/>
        <v>{盯市盈亏},</v>
      </c>
      <c r="I1840" s="14"/>
      <c r="J1840" s="14" t="s">
        <v>20</v>
      </c>
      <c r="K1840" s="14" t="s">
        <v>445</v>
      </c>
      <c r="L1840" s="14" t="s">
        <v>446</v>
      </c>
      <c r="M1840" s="14" t="s">
        <v>446</v>
      </c>
      <c r="N1840" s="14">
        <v>1986</v>
      </c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</row>
    <row r="1841" spans="1:27" s="3" customFormat="1" hidden="1" outlineLevel="1" x14ac:dyDescent="0.25">
      <c r="A1841" s="14"/>
      <c r="B1841" s="28" t="s">
        <v>351</v>
      </c>
      <c r="C1841" s="29" t="s">
        <v>1760</v>
      </c>
      <c r="D1841" s="29" t="s">
        <v>1489</v>
      </c>
      <c r="E1841" s="29">
        <v>0</v>
      </c>
      <c r="F1841" s="29" t="s">
        <v>1470</v>
      </c>
      <c r="G1841" s="30" t="s">
        <v>1761</v>
      </c>
      <c r="H1841" s="14" t="str">
        <f t="shared" si="9"/>
        <v>{应收保证金},</v>
      </c>
      <c r="I1841" s="14"/>
      <c r="J1841" s="14" t="s">
        <v>20</v>
      </c>
      <c r="K1841" s="14" t="s">
        <v>445</v>
      </c>
      <c r="L1841" s="14" t="s">
        <v>446</v>
      </c>
      <c r="M1841" s="14" t="s">
        <v>446</v>
      </c>
      <c r="N1841" s="14">
        <v>1262</v>
      </c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</row>
    <row r="1842" spans="1:27" s="3" customFormat="1" hidden="1" outlineLevel="1" x14ac:dyDescent="0.25">
      <c r="A1842" s="14"/>
      <c r="B1842" s="28" t="s">
        <v>138</v>
      </c>
      <c r="C1842" s="29" t="s">
        <v>1577</v>
      </c>
      <c r="D1842" s="29" t="s">
        <v>1486</v>
      </c>
      <c r="E1842" s="29">
        <v>0</v>
      </c>
      <c r="F1842" s="29" t="s">
        <v>1470</v>
      </c>
      <c r="G1842" s="30"/>
      <c r="H1842" s="14" t="str">
        <f t="shared" si="9"/>
        <v>{成交释放数量},</v>
      </c>
      <c r="I1842" s="14"/>
      <c r="J1842" s="14" t="s">
        <v>20</v>
      </c>
      <c r="K1842" s="14" t="s">
        <v>445</v>
      </c>
      <c r="L1842" s="14" t="s">
        <v>446</v>
      </c>
      <c r="M1842" s="14" t="s">
        <v>446</v>
      </c>
      <c r="N1842" s="14">
        <v>1317</v>
      </c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</row>
    <row r="1843" spans="1:27" s="3" customFormat="1" hidden="1" outlineLevel="1" x14ac:dyDescent="0.25">
      <c r="A1843" s="14"/>
      <c r="B1843" s="28" t="s">
        <v>352</v>
      </c>
      <c r="C1843" s="29" t="s">
        <v>1762</v>
      </c>
      <c r="D1843" s="29" t="s">
        <v>1486</v>
      </c>
      <c r="E1843" s="29">
        <v>0</v>
      </c>
      <c r="F1843" s="29"/>
      <c r="G1843" s="30"/>
      <c r="H1843" s="14" t="str">
        <f t="shared" si="9"/>
        <v>{今仓成交占用数量},</v>
      </c>
      <c r="I1843" s="14"/>
      <c r="J1843" s="14" t="s">
        <v>20</v>
      </c>
      <c r="K1843" s="14" t="s">
        <v>445</v>
      </c>
      <c r="L1843" s="14" t="s">
        <v>446</v>
      </c>
      <c r="M1843" s="14" t="s">
        <v>446</v>
      </c>
      <c r="N1843" s="14">
        <v>1721</v>
      </c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</row>
    <row r="1844" spans="1:27" s="3" customFormat="1" hidden="1" outlineLevel="1" x14ac:dyDescent="0.25">
      <c r="A1844" s="14"/>
      <c r="B1844" s="28" t="s">
        <v>62</v>
      </c>
      <c r="C1844" s="29" t="s">
        <v>1525</v>
      </c>
      <c r="D1844" s="23" t="s">
        <v>1489</v>
      </c>
      <c r="E1844" s="29">
        <v>0</v>
      </c>
      <c r="F1844" s="29"/>
      <c r="G1844" s="30"/>
      <c r="H1844" s="14" t="str">
        <f t="shared" si="9"/>
        <v>{持仓市值},</v>
      </c>
      <c r="I1844" s="14"/>
      <c r="J1844" s="14" t="s">
        <v>20</v>
      </c>
      <c r="K1844" s="14" t="s">
        <v>445</v>
      </c>
      <c r="L1844" s="14" t="s">
        <v>446</v>
      </c>
      <c r="M1844" s="14" t="s">
        <v>446</v>
      </c>
      <c r="N1844" s="14">
        <v>1875</v>
      </c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</row>
    <row r="1845" spans="1:27" s="3" customFormat="1" hidden="1" outlineLevel="1" x14ac:dyDescent="0.25">
      <c r="A1845" s="14"/>
      <c r="B1845" s="28" t="s">
        <v>95</v>
      </c>
      <c r="C1845" s="29" t="s">
        <v>1542</v>
      </c>
      <c r="D1845" s="29" t="s">
        <v>1494</v>
      </c>
      <c r="E1845" s="29">
        <v>0</v>
      </c>
      <c r="F1845" s="29"/>
      <c r="G1845" s="30"/>
      <c r="H1845" s="14" t="str">
        <f t="shared" si="9"/>
        <v>{持仓净值占比},</v>
      </c>
      <c r="I1845" s="14"/>
      <c r="J1845" s="14" t="s">
        <v>20</v>
      </c>
      <c r="K1845" s="14" t="s">
        <v>445</v>
      </c>
      <c r="L1845" s="14" t="s">
        <v>446</v>
      </c>
      <c r="M1845" s="14" t="s">
        <v>446</v>
      </c>
      <c r="N1845" s="14">
        <v>1891</v>
      </c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</row>
    <row r="1846" spans="1:27" s="3" customFormat="1" hidden="1" outlineLevel="1" x14ac:dyDescent="0.25">
      <c r="A1846" s="14"/>
      <c r="B1846" s="185" t="s">
        <v>2331</v>
      </c>
      <c r="C1846" s="23" t="s">
        <v>2343</v>
      </c>
      <c r="D1846" s="23" t="s">
        <v>23</v>
      </c>
      <c r="E1846" s="23">
        <v>0</v>
      </c>
      <c r="F1846" s="23"/>
      <c r="G1846" s="24"/>
      <c r="H1846" s="14" t="str">
        <f t="shared" si="9"/>
        <v>{开仓均价},</v>
      </c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</row>
    <row r="1847" spans="1:27" s="3" customFormat="1" ht="17.399999999999999" hidden="1" customHeight="1" outlineLevel="1" thickBot="1" x14ac:dyDescent="0.3">
      <c r="A1847" s="14"/>
      <c r="B1847" s="31"/>
      <c r="C1847" s="20"/>
      <c r="D1847" s="20"/>
      <c r="E1847" s="20"/>
      <c r="F1847" s="20"/>
      <c r="G1847" s="22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</row>
    <row r="1848" spans="1:27" s="3" customFormat="1" ht="17.399999999999999" hidden="1" customHeight="1" outlineLevel="1" x14ac:dyDescent="0.25">
      <c r="A1848" s="14"/>
      <c r="B1848" s="401" t="s">
        <v>28</v>
      </c>
      <c r="C1848" s="402"/>
      <c r="D1848" s="402"/>
      <c r="E1848" s="402"/>
      <c r="F1848" s="402"/>
      <c r="G1848" s="403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</row>
    <row r="1849" spans="1:27" s="3" customFormat="1" ht="17.399999999999999" hidden="1" customHeight="1" outlineLevel="1" x14ac:dyDescent="0.25">
      <c r="A1849" s="14"/>
      <c r="B1849" s="116"/>
      <c r="C1849" s="117"/>
      <c r="D1849" s="117"/>
      <c r="E1849" s="117"/>
      <c r="F1849" s="117"/>
      <c r="G1849" s="105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</row>
    <row r="1850" spans="1:27" s="3" customFormat="1" ht="17.399999999999999" hidden="1" customHeight="1" outlineLevel="1" thickBot="1" x14ac:dyDescent="0.3">
      <c r="A1850" s="14"/>
      <c r="B1850" s="116"/>
      <c r="C1850" s="117"/>
      <c r="D1850" s="117"/>
      <c r="E1850" s="117"/>
      <c r="F1850" s="117"/>
      <c r="G1850" s="105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</row>
    <row r="1851" spans="1:27" s="3" customFormat="1" ht="17.399999999999999" hidden="1" customHeight="1" outlineLevel="1" x14ac:dyDescent="0.25">
      <c r="A1851" s="14"/>
      <c r="B1851" s="401" t="s">
        <v>29</v>
      </c>
      <c r="C1851" s="402"/>
      <c r="D1851" s="402"/>
      <c r="E1851" s="402"/>
      <c r="F1851" s="402"/>
      <c r="G1851" s="403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</row>
    <row r="1852" spans="1:27" s="7" customFormat="1" ht="16.5" hidden="1" customHeight="1" outlineLevel="1" x14ac:dyDescent="0.25">
      <c r="A1852" s="14"/>
      <c r="B1852" s="308" t="s">
        <v>559</v>
      </c>
      <c r="C1852" s="309"/>
      <c r="D1852" s="309"/>
      <c r="E1852" s="309"/>
      <c r="F1852" s="309"/>
      <c r="G1852" s="310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</row>
    <row r="1853" spans="1:27" s="7" customFormat="1" ht="17.399999999999999" hidden="1" customHeight="1" outlineLevel="1" thickBot="1" x14ac:dyDescent="0.3">
      <c r="A1853" s="14"/>
      <c r="B1853" s="305" t="s">
        <v>560</v>
      </c>
      <c r="C1853" s="306"/>
      <c r="D1853" s="306"/>
      <c r="E1853" s="306"/>
      <c r="F1853" s="306"/>
      <c r="G1853" s="307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</row>
    <row r="1854" spans="1:27" s="7" customFormat="1" ht="16.5" hidden="1" customHeight="1" outlineLevel="1" x14ac:dyDescent="0.25">
      <c r="A1854" s="14"/>
      <c r="B1854" s="308" t="s">
        <v>561</v>
      </c>
      <c r="C1854" s="309"/>
      <c r="D1854" s="309"/>
      <c r="E1854" s="309"/>
      <c r="F1854" s="309"/>
      <c r="G1854" s="310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</row>
    <row r="1855" spans="1:27" s="3" customFormat="1" hidden="1" outlineLevel="1" x14ac:dyDescent="0.25">
      <c r="A1855" s="14"/>
      <c r="B1855" s="28"/>
      <c r="C1855" s="29"/>
      <c r="D1855" s="23"/>
      <c r="E1855" s="29"/>
      <c r="F1855" s="29"/>
      <c r="G1855" s="30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</row>
    <row r="1856" spans="1:27" s="3" customFormat="1" hidden="1" outlineLevel="1" x14ac:dyDescent="0.25">
      <c r="A1856" s="14"/>
      <c r="B1856" s="28" t="s">
        <v>645</v>
      </c>
      <c r="C1856" s="29"/>
      <c r="D1856" s="23"/>
      <c r="E1856" s="29"/>
      <c r="F1856" s="29"/>
      <c r="G1856" s="375" t="s">
        <v>2443</v>
      </c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</row>
    <row r="1857" spans="1:27" s="3" customFormat="1" hidden="1" outlineLevel="1" x14ac:dyDescent="0.25">
      <c r="A1857" s="14"/>
      <c r="B1857" s="28"/>
      <c r="C1857" s="29"/>
      <c r="D1857" s="23"/>
      <c r="E1857" s="29"/>
      <c r="F1857" s="29"/>
      <c r="G1857" s="30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</row>
    <row r="1858" spans="1:27" s="3" customFormat="1" hidden="1" outlineLevel="1" x14ac:dyDescent="0.25">
      <c r="A1858" s="14"/>
      <c r="B1858" s="28"/>
      <c r="C1858" s="29"/>
      <c r="D1858" s="23"/>
      <c r="E1858" s="29"/>
      <c r="F1858" s="29"/>
      <c r="G1858" s="30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</row>
    <row r="1859" spans="1:27" s="3" customFormat="1" ht="16.2" hidden="1" outlineLevel="1" thickBot="1" x14ac:dyDescent="0.3">
      <c r="A1859" s="14"/>
      <c r="B1859" s="163"/>
      <c r="C1859" s="164"/>
      <c r="D1859" s="164"/>
      <c r="E1859" s="164"/>
      <c r="F1859" s="164"/>
      <c r="G1859" s="165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</row>
    <row r="1860" spans="1:27" s="3" customFormat="1" ht="16.2" hidden="1" outlineLevel="1" thickBot="1" x14ac:dyDescent="0.3">
      <c r="A1860" s="14"/>
      <c r="B1860" s="196"/>
      <c r="C1860" s="334"/>
      <c r="D1860" s="334"/>
      <c r="E1860" s="334"/>
      <c r="F1860" s="334"/>
      <c r="G1860" s="335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</row>
    <row r="1861" spans="1:27" s="3" customFormat="1" ht="17.399999999999999" customHeight="1" collapsed="1" thickBot="1" x14ac:dyDescent="0.3">
      <c r="A1861" s="14"/>
      <c r="B1861" s="15" t="s">
        <v>1279</v>
      </c>
      <c r="C1861" s="16" t="s">
        <v>1993</v>
      </c>
      <c r="D1861" s="17" t="s">
        <v>1281</v>
      </c>
      <c r="E1861" s="16" t="s">
        <v>646</v>
      </c>
      <c r="F1861" s="17" t="s">
        <v>1282</v>
      </c>
      <c r="G1861" s="18" t="s">
        <v>1994</v>
      </c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</row>
    <row r="1862" spans="1:27" s="3" customFormat="1" ht="17.399999999999999" hidden="1" customHeight="1" outlineLevel="1" x14ac:dyDescent="0.25">
      <c r="A1862" s="14"/>
      <c r="B1862" s="19" t="s">
        <v>1284</v>
      </c>
      <c r="C1862" s="20" t="s">
        <v>1285</v>
      </c>
      <c r="D1862" s="21" t="s">
        <v>1286</v>
      </c>
      <c r="E1862" s="20" t="s">
        <v>1995</v>
      </c>
      <c r="F1862" s="21" t="s">
        <v>1288</v>
      </c>
      <c r="G1862" s="22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</row>
    <row r="1863" spans="1:27" s="3" customFormat="1" ht="17.399999999999999" hidden="1" customHeight="1" outlineLevel="1" thickBot="1" x14ac:dyDescent="0.3">
      <c r="A1863" s="14"/>
      <c r="B1863" s="19" t="s">
        <v>1290</v>
      </c>
      <c r="C1863" s="23" t="s">
        <v>1291</v>
      </c>
      <c r="D1863" s="21" t="s">
        <v>1292</v>
      </c>
      <c r="E1863" s="23">
        <v>5</v>
      </c>
      <c r="F1863" s="21" t="s">
        <v>1293</v>
      </c>
      <c r="G1863" s="24" t="s">
        <v>1294</v>
      </c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</row>
    <row r="1864" spans="1:27" s="3" customFormat="1" ht="17.399999999999999" hidden="1" customHeight="1" outlineLevel="1" x14ac:dyDescent="0.25">
      <c r="A1864" s="14"/>
      <c r="B1864" s="401" t="s">
        <v>1</v>
      </c>
      <c r="C1864" s="402"/>
      <c r="D1864" s="402"/>
      <c r="E1864" s="402"/>
      <c r="F1864" s="402"/>
      <c r="G1864" s="403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14"/>
    </row>
    <row r="1865" spans="1:27" s="3" customFormat="1" ht="17.399999999999999" hidden="1" customHeight="1" outlineLevel="1" x14ac:dyDescent="0.25">
      <c r="A1865" s="14"/>
      <c r="B1865" s="25" t="s">
        <v>2</v>
      </c>
      <c r="C1865" s="26" t="s">
        <v>3</v>
      </c>
      <c r="D1865" s="26" t="s">
        <v>4</v>
      </c>
      <c r="E1865" s="26" t="s">
        <v>5</v>
      </c>
      <c r="F1865" s="26"/>
      <c r="G1865" s="27" t="s">
        <v>6</v>
      </c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</row>
    <row r="1866" spans="1:27" s="3" customFormat="1" hidden="1" outlineLevel="1" x14ac:dyDescent="0.25">
      <c r="A1866" s="14"/>
      <c r="B1866" s="28" t="s">
        <v>7</v>
      </c>
      <c r="C1866" s="29" t="s">
        <v>1468</v>
      </c>
      <c r="D1866" s="29" t="s">
        <v>1469</v>
      </c>
      <c r="E1866" s="29">
        <v>0</v>
      </c>
      <c r="F1866" s="29" t="s">
        <v>1470</v>
      </c>
      <c r="G1866" s="30" t="s">
        <v>1471</v>
      </c>
      <c r="H1866" s="14"/>
      <c r="I1866" s="14"/>
      <c r="J1866" s="14" t="s">
        <v>10</v>
      </c>
      <c r="K1866" s="14" t="s">
        <v>173</v>
      </c>
      <c r="L1866" s="14" t="s">
        <v>9</v>
      </c>
      <c r="M1866" s="14" t="s">
        <v>9</v>
      </c>
      <c r="N1866" s="14">
        <v>1112</v>
      </c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</row>
    <row r="1867" spans="1:27" s="3" customFormat="1" hidden="1" outlineLevel="1" x14ac:dyDescent="0.25">
      <c r="A1867" s="14"/>
      <c r="B1867" s="28" t="s">
        <v>345</v>
      </c>
      <c r="C1867" s="29" t="s">
        <v>1754</v>
      </c>
      <c r="D1867" s="29" t="s">
        <v>1469</v>
      </c>
      <c r="E1867" s="29">
        <v>0</v>
      </c>
      <c r="F1867" s="29" t="s">
        <v>1470</v>
      </c>
      <c r="G1867" s="30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</row>
    <row r="1868" spans="1:27" s="3" customFormat="1" hidden="1" outlineLevel="1" x14ac:dyDescent="0.25">
      <c r="A1868" s="14"/>
      <c r="B1868" s="28" t="s">
        <v>128</v>
      </c>
      <c r="C1868" s="29" t="s">
        <v>1566</v>
      </c>
      <c r="D1868" s="29" t="s">
        <v>1567</v>
      </c>
      <c r="E1868" s="29">
        <v>0</v>
      </c>
      <c r="F1868" s="29" t="s">
        <v>1470</v>
      </c>
      <c r="G1868" s="30"/>
      <c r="H1868" s="14"/>
      <c r="I1868" s="14"/>
      <c r="J1868" s="14" t="s">
        <v>12</v>
      </c>
      <c r="K1868" s="14" t="s">
        <v>174</v>
      </c>
      <c r="L1868" s="14" t="s">
        <v>175</v>
      </c>
      <c r="M1868" s="14" t="s">
        <v>176</v>
      </c>
      <c r="N1868" s="14">
        <v>1629</v>
      </c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</row>
    <row r="1869" spans="1:27" s="3" customFormat="1" hidden="1" outlineLevel="1" x14ac:dyDescent="0.25">
      <c r="A1869" s="14"/>
      <c r="B1869" s="28" t="s">
        <v>114</v>
      </c>
      <c r="C1869" s="29" t="s">
        <v>1557</v>
      </c>
      <c r="D1869" s="29" t="s">
        <v>1469</v>
      </c>
      <c r="E1869" s="29">
        <v>-1</v>
      </c>
      <c r="F1869" s="29" t="s">
        <v>1470</v>
      </c>
      <c r="G1869" s="30"/>
      <c r="H1869" s="14"/>
      <c r="I1869" s="14"/>
      <c r="J1869" s="14" t="s">
        <v>10</v>
      </c>
      <c r="K1869" s="14" t="s">
        <v>173</v>
      </c>
      <c r="L1869" s="14" t="s">
        <v>9</v>
      </c>
      <c r="M1869" s="14" t="s">
        <v>9</v>
      </c>
      <c r="N1869" s="14">
        <v>2449</v>
      </c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</row>
    <row r="1870" spans="1:27" s="3" customFormat="1" ht="17.399999999999999" hidden="1" customHeight="1" outlineLevel="1" x14ac:dyDescent="0.25">
      <c r="A1870" s="14"/>
      <c r="B1870" s="31"/>
      <c r="C1870" s="20"/>
      <c r="D1870" s="20"/>
      <c r="E1870" s="20"/>
      <c r="F1870" s="20"/>
      <c r="G1870" s="22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</row>
    <row r="1871" spans="1:27" s="3" customFormat="1" ht="17.399999999999999" hidden="1" customHeight="1" outlineLevel="1" x14ac:dyDescent="0.25">
      <c r="A1871" s="14"/>
      <c r="B1871" s="398" t="s">
        <v>18</v>
      </c>
      <c r="C1871" s="399"/>
      <c r="D1871" s="399"/>
      <c r="E1871" s="399"/>
      <c r="F1871" s="399"/>
      <c r="G1871" s="400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</row>
    <row r="1872" spans="1:27" s="3" customFormat="1" ht="17.399999999999999" hidden="1" customHeight="1" outlineLevel="1" x14ac:dyDescent="0.25">
      <c r="A1872" s="14"/>
      <c r="B1872" s="25" t="s">
        <v>2</v>
      </c>
      <c r="C1872" s="26" t="s">
        <v>3</v>
      </c>
      <c r="D1872" s="26" t="s">
        <v>4</v>
      </c>
      <c r="E1872" s="26" t="s">
        <v>5</v>
      </c>
      <c r="F1872" s="26"/>
      <c r="G1872" s="27" t="s">
        <v>6</v>
      </c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</row>
    <row r="1873" spans="1:27" s="3" customFormat="1" hidden="1" outlineLevel="1" x14ac:dyDescent="0.25">
      <c r="A1873" s="14"/>
      <c r="B1873" s="28" t="s">
        <v>128</v>
      </c>
      <c r="C1873" s="29" t="s">
        <v>1566</v>
      </c>
      <c r="D1873" s="29" t="s">
        <v>1567</v>
      </c>
      <c r="E1873" s="29">
        <v>0</v>
      </c>
      <c r="F1873" s="29" t="s">
        <v>1470</v>
      </c>
      <c r="G1873" s="30"/>
      <c r="H1873" s="14" t="str">
        <f t="shared" ref="H1873:H1892" si="10">"{"&amp;B1873&amp;"},"</f>
        <v>{记录序号},</v>
      </c>
      <c r="I1873" s="14"/>
      <c r="J1873" s="14" t="s">
        <v>12</v>
      </c>
      <c r="K1873" s="14" t="s">
        <v>174</v>
      </c>
      <c r="L1873" s="14" t="s">
        <v>175</v>
      </c>
      <c r="M1873" s="14" t="s">
        <v>176</v>
      </c>
      <c r="N1873" s="14">
        <v>1629</v>
      </c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</row>
    <row r="1874" spans="1:27" s="3" customFormat="1" hidden="1" outlineLevel="1" x14ac:dyDescent="0.25">
      <c r="A1874" s="14"/>
      <c r="B1874" s="28" t="s">
        <v>16</v>
      </c>
      <c r="C1874" s="29" t="s">
        <v>1479</v>
      </c>
      <c r="D1874" s="29" t="s">
        <v>1469</v>
      </c>
      <c r="E1874" s="29" t="s">
        <v>1480</v>
      </c>
      <c r="F1874" s="29" t="s">
        <v>1481</v>
      </c>
      <c r="G1874" s="30" t="s">
        <v>1482</v>
      </c>
      <c r="H1874" s="14" t="str">
        <f t="shared" si="10"/>
        <v>{初始化日期},</v>
      </c>
      <c r="I1874" s="14"/>
      <c r="J1874" s="14" t="s">
        <v>10</v>
      </c>
      <c r="K1874" s="14" t="s">
        <v>173</v>
      </c>
      <c r="L1874" s="14" t="s">
        <v>9</v>
      </c>
      <c r="M1874" s="14" t="s">
        <v>9</v>
      </c>
      <c r="N1874" s="14">
        <v>1211</v>
      </c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</row>
    <row r="1875" spans="1:27" s="3" customFormat="1" hidden="1" outlineLevel="1" x14ac:dyDescent="0.25">
      <c r="A1875" s="14"/>
      <c r="B1875" s="28" t="s">
        <v>112</v>
      </c>
      <c r="C1875" s="29" t="s">
        <v>1555</v>
      </c>
      <c r="D1875" s="29" t="s">
        <v>1469</v>
      </c>
      <c r="E1875" s="29">
        <v>0</v>
      </c>
      <c r="F1875" s="29" t="s">
        <v>1470</v>
      </c>
      <c r="G1875" s="30" t="s">
        <v>1556</v>
      </c>
      <c r="H1875" s="14" t="str">
        <f t="shared" si="10"/>
        <v>{机构编号},</v>
      </c>
      <c r="I1875" s="14"/>
      <c r="J1875" s="14" t="s">
        <v>10</v>
      </c>
      <c r="K1875" s="14" t="s">
        <v>173</v>
      </c>
      <c r="L1875" s="14" t="s">
        <v>9</v>
      </c>
      <c r="M1875" s="14" t="s">
        <v>9</v>
      </c>
      <c r="N1875" s="14">
        <v>1606</v>
      </c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</row>
    <row r="1876" spans="1:27" s="3" customFormat="1" hidden="1" outlineLevel="1" x14ac:dyDescent="0.25">
      <c r="A1876" s="14"/>
      <c r="B1876" s="28" t="s">
        <v>7</v>
      </c>
      <c r="C1876" s="29" t="s">
        <v>1468</v>
      </c>
      <c r="D1876" s="29" t="s">
        <v>1469</v>
      </c>
      <c r="E1876" s="29">
        <v>0</v>
      </c>
      <c r="F1876" s="29" t="s">
        <v>1470</v>
      </c>
      <c r="G1876" s="30" t="s">
        <v>1471</v>
      </c>
      <c r="H1876" s="14" t="str">
        <f t="shared" si="10"/>
        <v>{产品编号},</v>
      </c>
      <c r="I1876" s="14"/>
      <c r="J1876" s="14" t="s">
        <v>10</v>
      </c>
      <c r="K1876" s="14" t="s">
        <v>173</v>
      </c>
      <c r="L1876" s="14" t="s">
        <v>9</v>
      </c>
      <c r="M1876" s="14" t="s">
        <v>9</v>
      </c>
      <c r="N1876" s="14">
        <v>1112</v>
      </c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</row>
    <row r="1877" spans="1:27" s="3" customFormat="1" hidden="1" outlineLevel="1" x14ac:dyDescent="0.25">
      <c r="B1877" s="28" t="s">
        <v>13</v>
      </c>
      <c r="C1877" s="29" t="s">
        <v>1474</v>
      </c>
      <c r="D1877" s="29" t="s">
        <v>1469</v>
      </c>
      <c r="E1877" s="29">
        <v>0</v>
      </c>
      <c r="F1877" s="29" t="s">
        <v>1470</v>
      </c>
      <c r="G1877" s="30"/>
      <c r="H1877" s="3" t="str">
        <f t="shared" si="10"/>
        <v>{资产账户编号},</v>
      </c>
      <c r="J1877" s="3" t="s">
        <v>10</v>
      </c>
      <c r="N1877" s="3">
        <v>2534</v>
      </c>
    </row>
    <row r="1878" spans="1:27" s="3" customFormat="1" hidden="1" outlineLevel="1" x14ac:dyDescent="0.25">
      <c r="A1878" s="14"/>
      <c r="B1878" s="116" t="s">
        <v>11</v>
      </c>
      <c r="C1878" s="117" t="s">
        <v>1472</v>
      </c>
      <c r="D1878" s="117" t="s">
        <v>1469</v>
      </c>
      <c r="E1878" s="29">
        <v>0</v>
      </c>
      <c r="F1878" s="29" t="s">
        <v>1470</v>
      </c>
      <c r="G1878" s="30" t="s">
        <v>1473</v>
      </c>
      <c r="H1878" s="14" t="str">
        <f t="shared" si="10"/>
        <v>{交易组编号},</v>
      </c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</row>
    <row r="1879" spans="1:27" s="3" customFormat="1" hidden="1" outlineLevel="1" x14ac:dyDescent="0.25">
      <c r="A1879" s="14"/>
      <c r="B1879" s="28" t="s">
        <v>14</v>
      </c>
      <c r="C1879" s="29" t="s">
        <v>1475</v>
      </c>
      <c r="D1879" s="29" t="s">
        <v>1469</v>
      </c>
      <c r="E1879" s="29">
        <v>0</v>
      </c>
      <c r="F1879" s="29" t="s">
        <v>1476</v>
      </c>
      <c r="G1879" s="30" t="s">
        <v>1477</v>
      </c>
      <c r="H1879" s="14" t="str">
        <f t="shared" si="10"/>
        <v>{市场编号},</v>
      </c>
      <c r="I1879" s="14"/>
      <c r="J1879" s="14" t="s">
        <v>10</v>
      </c>
      <c r="K1879" s="14" t="s">
        <v>173</v>
      </c>
      <c r="L1879" s="14" t="s">
        <v>9</v>
      </c>
      <c r="M1879" s="14" t="s">
        <v>9</v>
      </c>
      <c r="N1879" s="14">
        <v>2534</v>
      </c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</row>
    <row r="1880" spans="1:27" s="3" customFormat="1" hidden="1" outlineLevel="1" x14ac:dyDescent="0.25">
      <c r="A1880" s="14"/>
      <c r="B1880" s="28" t="s">
        <v>346</v>
      </c>
      <c r="C1880" s="29" t="s">
        <v>1755</v>
      </c>
      <c r="D1880" s="29" t="s">
        <v>1469</v>
      </c>
      <c r="E1880" s="29">
        <v>0</v>
      </c>
      <c r="F1880" s="29" t="s">
        <v>1470</v>
      </c>
      <c r="G1880" s="30"/>
      <c r="H1880" s="14" t="str">
        <f t="shared" si="10"/>
        <v>{交易编码编号},</v>
      </c>
      <c r="I1880" s="14"/>
      <c r="J1880" s="14" t="s">
        <v>10</v>
      </c>
      <c r="K1880" s="14" t="s">
        <v>173</v>
      </c>
      <c r="L1880" s="14" t="s">
        <v>9</v>
      </c>
      <c r="M1880" s="14" t="s">
        <v>9</v>
      </c>
      <c r="N1880" s="14">
        <v>2430</v>
      </c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</row>
    <row r="1881" spans="1:27" s="3" customFormat="1" hidden="1" outlineLevel="1" x14ac:dyDescent="0.25">
      <c r="A1881" s="14"/>
      <c r="B1881" s="28" t="s">
        <v>345</v>
      </c>
      <c r="C1881" s="29" t="s">
        <v>1754</v>
      </c>
      <c r="D1881" s="29" t="s">
        <v>1469</v>
      </c>
      <c r="E1881" s="29">
        <v>0</v>
      </c>
      <c r="F1881" s="29" t="s">
        <v>1470</v>
      </c>
      <c r="G1881" s="30"/>
      <c r="H1881" s="14" t="str">
        <f t="shared" si="10"/>
        <v>{合约代码编号},</v>
      </c>
      <c r="I1881" s="14"/>
      <c r="J1881" s="14" t="s">
        <v>10</v>
      </c>
      <c r="K1881" s="14" t="s">
        <v>173</v>
      </c>
      <c r="L1881" s="14" t="s">
        <v>9</v>
      </c>
      <c r="M1881" s="14" t="s">
        <v>9</v>
      </c>
      <c r="N1881" s="14">
        <v>2433</v>
      </c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</row>
    <row r="1882" spans="1:27" s="3" customFormat="1" hidden="1" outlineLevel="1" x14ac:dyDescent="0.25">
      <c r="A1882" s="14"/>
      <c r="B1882" s="28" t="s">
        <v>347</v>
      </c>
      <c r="C1882" s="29" t="s">
        <v>1756</v>
      </c>
      <c r="D1882" s="29" t="s">
        <v>1469</v>
      </c>
      <c r="E1882" s="29">
        <v>0</v>
      </c>
      <c r="F1882" s="29" t="s">
        <v>1476</v>
      </c>
      <c r="G1882" s="30"/>
      <c r="H1882" s="14" t="str">
        <f t="shared" si="10"/>
        <v>{多空类型},</v>
      </c>
      <c r="I1882" s="14"/>
      <c r="J1882" s="14" t="s">
        <v>10</v>
      </c>
      <c r="K1882" s="14" t="s">
        <v>173</v>
      </c>
      <c r="L1882" s="14" t="s">
        <v>9</v>
      </c>
      <c r="M1882" s="14" t="s">
        <v>9</v>
      </c>
      <c r="N1882" s="14">
        <v>2155</v>
      </c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</row>
    <row r="1883" spans="1:27" s="3" customFormat="1" hidden="1" outlineLevel="1" x14ac:dyDescent="0.25">
      <c r="B1883" s="28" t="s">
        <v>348</v>
      </c>
      <c r="C1883" s="29" t="s">
        <v>1757</v>
      </c>
      <c r="D1883" s="29" t="s">
        <v>1469</v>
      </c>
      <c r="E1883" s="29">
        <v>0</v>
      </c>
      <c r="F1883" s="29" t="s">
        <v>2341</v>
      </c>
      <c r="G1883" s="30" t="s">
        <v>2342</v>
      </c>
      <c r="H1883" s="3" t="str">
        <f t="shared" si="10"/>
        <v>{套保标志},</v>
      </c>
    </row>
    <row r="1884" spans="1:27" s="3" customFormat="1" hidden="1" outlineLevel="1" x14ac:dyDescent="0.25">
      <c r="A1884" s="14"/>
      <c r="B1884" s="28" t="s">
        <v>75</v>
      </c>
      <c r="C1884" s="29" t="s">
        <v>1530</v>
      </c>
      <c r="D1884" s="29" t="s">
        <v>1486</v>
      </c>
      <c r="E1884" s="29">
        <v>0</v>
      </c>
      <c r="F1884" s="29" t="s">
        <v>1470</v>
      </c>
      <c r="G1884" s="30" t="s">
        <v>1531</v>
      </c>
      <c r="H1884" s="14" t="str">
        <f t="shared" si="10"/>
        <v>{当前数量},</v>
      </c>
      <c r="I1884" s="14"/>
      <c r="J1884" s="14" t="s">
        <v>20</v>
      </c>
      <c r="K1884" s="14" t="s">
        <v>445</v>
      </c>
      <c r="L1884" s="14" t="s">
        <v>446</v>
      </c>
      <c r="M1884" s="14" t="s">
        <v>446</v>
      </c>
      <c r="N1884" s="14">
        <v>1202</v>
      </c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</row>
    <row r="1885" spans="1:27" s="3" customFormat="1" hidden="1" outlineLevel="1" x14ac:dyDescent="0.25">
      <c r="A1885" s="14"/>
      <c r="B1885" s="185" t="s">
        <v>349</v>
      </c>
      <c r="C1885" s="23" t="s">
        <v>1758</v>
      </c>
      <c r="D1885" s="23" t="s">
        <v>1539</v>
      </c>
      <c r="E1885" s="29">
        <v>0</v>
      </c>
      <c r="F1885" s="29" t="s">
        <v>1470</v>
      </c>
      <c r="G1885" s="30"/>
      <c r="H1885" s="14" t="str">
        <f t="shared" si="10"/>
        <v>{开仓价格},</v>
      </c>
      <c r="I1885" s="14"/>
      <c r="J1885" s="14" t="s">
        <v>10</v>
      </c>
      <c r="K1885" s="14" t="s">
        <v>173</v>
      </c>
      <c r="L1885" s="14" t="s">
        <v>9</v>
      </c>
      <c r="M1885" s="14" t="s">
        <v>9</v>
      </c>
      <c r="N1885" s="14">
        <v>2237</v>
      </c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</row>
    <row r="1886" spans="1:27" s="3" customFormat="1" hidden="1" outlineLevel="1" x14ac:dyDescent="0.25">
      <c r="A1886" s="14"/>
      <c r="B1886" s="185" t="s">
        <v>350</v>
      </c>
      <c r="C1886" s="23" t="s">
        <v>1759</v>
      </c>
      <c r="D1886" s="23" t="s">
        <v>1489</v>
      </c>
      <c r="E1886" s="29">
        <v>0</v>
      </c>
      <c r="F1886" s="29" t="s">
        <v>1470</v>
      </c>
      <c r="G1886" s="30"/>
      <c r="H1886" s="14" t="str">
        <f t="shared" si="10"/>
        <v>{盯市盈亏},</v>
      </c>
      <c r="I1886" s="14"/>
      <c r="J1886" s="14" t="s">
        <v>20</v>
      </c>
      <c r="K1886" s="14" t="s">
        <v>445</v>
      </c>
      <c r="L1886" s="14" t="s">
        <v>446</v>
      </c>
      <c r="M1886" s="14" t="s">
        <v>446</v>
      </c>
      <c r="N1886" s="14">
        <v>1986</v>
      </c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</row>
    <row r="1887" spans="1:27" s="3" customFormat="1" hidden="1" outlineLevel="1" x14ac:dyDescent="0.25">
      <c r="A1887" s="14"/>
      <c r="B1887" s="28" t="s">
        <v>351</v>
      </c>
      <c r="C1887" s="29" t="s">
        <v>1760</v>
      </c>
      <c r="D1887" s="29" t="s">
        <v>1489</v>
      </c>
      <c r="E1887" s="29">
        <v>0</v>
      </c>
      <c r="F1887" s="29" t="s">
        <v>1470</v>
      </c>
      <c r="G1887" s="30" t="s">
        <v>1761</v>
      </c>
      <c r="H1887" s="14" t="str">
        <f t="shared" si="10"/>
        <v>{应收保证金},</v>
      </c>
      <c r="I1887" s="14"/>
      <c r="J1887" s="14" t="s">
        <v>20</v>
      </c>
      <c r="K1887" s="14" t="s">
        <v>445</v>
      </c>
      <c r="L1887" s="14" t="s">
        <v>446</v>
      </c>
      <c r="M1887" s="14" t="s">
        <v>446</v>
      </c>
      <c r="N1887" s="14">
        <v>1262</v>
      </c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</row>
    <row r="1888" spans="1:27" s="3" customFormat="1" hidden="1" outlineLevel="1" x14ac:dyDescent="0.25">
      <c r="A1888" s="14"/>
      <c r="B1888" s="28" t="s">
        <v>138</v>
      </c>
      <c r="C1888" s="29" t="s">
        <v>1577</v>
      </c>
      <c r="D1888" s="29" t="s">
        <v>1486</v>
      </c>
      <c r="E1888" s="29">
        <v>0</v>
      </c>
      <c r="F1888" s="29" t="s">
        <v>1470</v>
      </c>
      <c r="G1888" s="30"/>
      <c r="H1888" s="14" t="str">
        <f t="shared" si="10"/>
        <v>{成交释放数量},</v>
      </c>
      <c r="I1888" s="14"/>
      <c r="J1888" s="14" t="s">
        <v>20</v>
      </c>
      <c r="K1888" s="14" t="s">
        <v>445</v>
      </c>
      <c r="L1888" s="14" t="s">
        <v>446</v>
      </c>
      <c r="M1888" s="14" t="s">
        <v>446</v>
      </c>
      <c r="N1888" s="14">
        <v>1317</v>
      </c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  <c r="AA1888" s="14"/>
    </row>
    <row r="1889" spans="1:27" s="3" customFormat="1" hidden="1" outlineLevel="1" x14ac:dyDescent="0.25">
      <c r="A1889" s="14"/>
      <c r="B1889" s="28" t="s">
        <v>352</v>
      </c>
      <c r="C1889" s="29" t="s">
        <v>1762</v>
      </c>
      <c r="D1889" s="29" t="s">
        <v>1486</v>
      </c>
      <c r="E1889" s="29">
        <v>0</v>
      </c>
      <c r="F1889" s="29"/>
      <c r="G1889" s="30"/>
      <c r="H1889" s="14" t="str">
        <f t="shared" si="10"/>
        <v>{今仓成交占用数量},</v>
      </c>
      <c r="I1889" s="14"/>
      <c r="J1889" s="14" t="s">
        <v>20</v>
      </c>
      <c r="K1889" s="14" t="s">
        <v>445</v>
      </c>
      <c r="L1889" s="14" t="s">
        <v>446</v>
      </c>
      <c r="M1889" s="14" t="s">
        <v>446</v>
      </c>
      <c r="N1889" s="14">
        <v>1721</v>
      </c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  <c r="AA1889" s="14"/>
    </row>
    <row r="1890" spans="1:27" s="3" customFormat="1" hidden="1" outlineLevel="1" x14ac:dyDescent="0.25">
      <c r="A1890" s="14"/>
      <c r="B1890" s="28" t="s">
        <v>62</v>
      </c>
      <c r="C1890" s="29" t="s">
        <v>1525</v>
      </c>
      <c r="D1890" s="23" t="s">
        <v>1489</v>
      </c>
      <c r="E1890" s="29">
        <v>0</v>
      </c>
      <c r="F1890" s="29"/>
      <c r="G1890" s="30"/>
      <c r="H1890" s="14" t="str">
        <f t="shared" si="10"/>
        <v>{持仓市值},</v>
      </c>
      <c r="I1890" s="14"/>
      <c r="J1890" s="14" t="s">
        <v>20</v>
      </c>
      <c r="K1890" s="14" t="s">
        <v>445</v>
      </c>
      <c r="L1890" s="14" t="s">
        <v>446</v>
      </c>
      <c r="M1890" s="14" t="s">
        <v>446</v>
      </c>
      <c r="N1890" s="14">
        <v>1875</v>
      </c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</row>
    <row r="1891" spans="1:27" s="3" customFormat="1" hidden="1" outlineLevel="1" x14ac:dyDescent="0.25">
      <c r="A1891" s="14"/>
      <c r="B1891" s="28" t="s">
        <v>95</v>
      </c>
      <c r="C1891" s="29" t="s">
        <v>1542</v>
      </c>
      <c r="D1891" s="29" t="s">
        <v>1494</v>
      </c>
      <c r="E1891" s="29">
        <v>0</v>
      </c>
      <c r="F1891" s="29"/>
      <c r="G1891" s="30"/>
      <c r="H1891" s="14" t="str">
        <f t="shared" si="10"/>
        <v>{持仓净值占比},</v>
      </c>
      <c r="I1891" s="14"/>
      <c r="J1891" s="14" t="s">
        <v>20</v>
      </c>
      <c r="K1891" s="14" t="s">
        <v>445</v>
      </c>
      <c r="L1891" s="14" t="s">
        <v>446</v>
      </c>
      <c r="M1891" s="14" t="s">
        <v>446</v>
      </c>
      <c r="N1891" s="14">
        <v>1891</v>
      </c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</row>
    <row r="1892" spans="1:27" s="3" customFormat="1" hidden="1" outlineLevel="1" x14ac:dyDescent="0.25">
      <c r="A1892" s="14"/>
      <c r="B1892" s="185" t="s">
        <v>2331</v>
      </c>
      <c r="C1892" s="23" t="s">
        <v>2343</v>
      </c>
      <c r="D1892" s="23" t="s">
        <v>23</v>
      </c>
      <c r="E1892" s="23">
        <v>0</v>
      </c>
      <c r="F1892" s="23"/>
      <c r="G1892" s="24"/>
      <c r="H1892" s="14" t="str">
        <f t="shared" si="10"/>
        <v>{开仓均价},</v>
      </c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</row>
    <row r="1893" spans="1:27" s="3" customFormat="1" ht="17.399999999999999" hidden="1" customHeight="1" outlineLevel="1" thickBot="1" x14ac:dyDescent="0.3">
      <c r="A1893" s="14"/>
      <c r="B1893" s="31"/>
      <c r="C1893" s="20"/>
      <c r="D1893" s="20"/>
      <c r="E1893" s="20"/>
      <c r="F1893" s="20"/>
      <c r="G1893" s="22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</row>
    <row r="1894" spans="1:27" s="3" customFormat="1" ht="17.399999999999999" hidden="1" customHeight="1" outlineLevel="1" x14ac:dyDescent="0.25">
      <c r="A1894" s="14"/>
      <c r="B1894" s="401" t="s">
        <v>28</v>
      </c>
      <c r="C1894" s="402"/>
      <c r="D1894" s="402"/>
      <c r="E1894" s="402"/>
      <c r="F1894" s="402"/>
      <c r="G1894" s="403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</row>
    <row r="1895" spans="1:27" s="3" customFormat="1" ht="17.399999999999999" hidden="1" customHeight="1" outlineLevel="1" x14ac:dyDescent="0.25">
      <c r="A1895" s="14"/>
      <c r="B1895" s="116"/>
      <c r="C1895" s="117"/>
      <c r="D1895" s="117"/>
      <c r="E1895" s="117"/>
      <c r="F1895" s="117"/>
      <c r="G1895" s="105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</row>
    <row r="1896" spans="1:27" s="3" customFormat="1" ht="17.399999999999999" hidden="1" customHeight="1" outlineLevel="1" thickBot="1" x14ac:dyDescent="0.3">
      <c r="A1896" s="14"/>
      <c r="B1896" s="116"/>
      <c r="C1896" s="117"/>
      <c r="D1896" s="117"/>
      <c r="E1896" s="117"/>
      <c r="F1896" s="117"/>
      <c r="G1896" s="105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</row>
    <row r="1897" spans="1:27" s="3" customFormat="1" ht="17.399999999999999" hidden="1" customHeight="1" outlineLevel="1" x14ac:dyDescent="0.25">
      <c r="A1897" s="14"/>
      <c r="B1897" s="401" t="s">
        <v>29</v>
      </c>
      <c r="C1897" s="402"/>
      <c r="D1897" s="402"/>
      <c r="E1897" s="402"/>
      <c r="F1897" s="402"/>
      <c r="G1897" s="403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</row>
    <row r="1898" spans="1:27" s="7" customFormat="1" ht="16.5" hidden="1" customHeight="1" outlineLevel="1" x14ac:dyDescent="0.25">
      <c r="A1898" s="14"/>
      <c r="B1898" s="308" t="s">
        <v>559</v>
      </c>
      <c r="C1898" s="309"/>
      <c r="D1898" s="309"/>
      <c r="E1898" s="309"/>
      <c r="F1898" s="309"/>
      <c r="G1898" s="310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</row>
    <row r="1899" spans="1:27" s="7" customFormat="1" ht="17.399999999999999" hidden="1" customHeight="1" outlineLevel="1" thickBot="1" x14ac:dyDescent="0.3">
      <c r="A1899" s="14"/>
      <c r="B1899" s="305" t="s">
        <v>560</v>
      </c>
      <c r="C1899" s="306"/>
      <c r="D1899" s="306"/>
      <c r="E1899" s="306"/>
      <c r="F1899" s="306"/>
      <c r="G1899" s="307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14"/>
    </row>
    <row r="1900" spans="1:27" s="7" customFormat="1" ht="16.5" hidden="1" customHeight="1" outlineLevel="1" x14ac:dyDescent="0.25">
      <c r="A1900" s="14"/>
      <c r="B1900" s="308" t="s">
        <v>561</v>
      </c>
      <c r="C1900" s="309"/>
      <c r="D1900" s="309"/>
      <c r="E1900" s="309"/>
      <c r="F1900" s="309"/>
      <c r="G1900" s="310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</row>
    <row r="1901" spans="1:27" s="3" customFormat="1" hidden="1" outlineLevel="1" x14ac:dyDescent="0.25">
      <c r="A1901" s="14"/>
      <c r="B1901" s="28"/>
      <c r="C1901" s="29"/>
      <c r="D1901" s="29"/>
      <c r="E1901" s="29"/>
      <c r="F1901" s="29"/>
      <c r="G1901" s="30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</row>
    <row r="1902" spans="1:27" s="3" customFormat="1" hidden="1" outlineLevel="1" x14ac:dyDescent="0.25">
      <c r="A1902" s="14"/>
      <c r="B1902" s="28" t="s">
        <v>647</v>
      </c>
      <c r="C1902" s="29"/>
      <c r="D1902" s="29"/>
      <c r="E1902" s="29"/>
      <c r="F1902" s="29"/>
      <c r="G1902" s="375" t="s">
        <v>2444</v>
      </c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</row>
    <row r="1903" spans="1:27" s="3" customFormat="1" hidden="1" outlineLevel="1" x14ac:dyDescent="0.25">
      <c r="A1903" s="14"/>
      <c r="B1903" s="28"/>
      <c r="C1903" s="29"/>
      <c r="D1903" s="29"/>
      <c r="E1903" s="29"/>
      <c r="F1903" s="29"/>
      <c r="G1903" s="30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</row>
    <row r="1904" spans="1:27" s="3" customFormat="1" hidden="1" outlineLevel="1" x14ac:dyDescent="0.25">
      <c r="A1904" s="14"/>
      <c r="B1904" s="28"/>
      <c r="C1904" s="29"/>
      <c r="D1904" s="29"/>
      <c r="E1904" s="29"/>
      <c r="F1904" s="29"/>
      <c r="G1904" s="30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</row>
    <row r="1905" spans="1:27" s="3" customFormat="1" ht="18.75" hidden="1" customHeight="1" outlineLevel="1" thickBot="1" x14ac:dyDescent="0.3">
      <c r="A1905" s="14"/>
      <c r="B1905" s="163"/>
      <c r="C1905" s="164"/>
      <c r="D1905" s="164"/>
      <c r="E1905" s="164"/>
      <c r="F1905" s="164"/>
      <c r="G1905" s="165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</row>
    <row r="1906" spans="1:27" s="3" customFormat="1" ht="17.399999999999999" hidden="1" customHeight="1" outlineLevel="1" thickBot="1" x14ac:dyDescent="0.3">
      <c r="A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</row>
    <row r="1907" spans="1:27" s="3" customFormat="1" ht="17.399999999999999" customHeight="1" collapsed="1" x14ac:dyDescent="0.25">
      <c r="A1907" s="14"/>
      <c r="B1907" s="15" t="s">
        <v>1279</v>
      </c>
      <c r="C1907" s="16" t="s">
        <v>1996</v>
      </c>
      <c r="D1907" s="17" t="s">
        <v>1281</v>
      </c>
      <c r="E1907" s="16" t="s">
        <v>648</v>
      </c>
      <c r="F1907" s="17" t="s">
        <v>1282</v>
      </c>
      <c r="G1907" s="18" t="s">
        <v>1997</v>
      </c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</row>
    <row r="1908" spans="1:27" s="3" customFormat="1" ht="17.399999999999999" customHeight="1" outlineLevel="1" x14ac:dyDescent="0.25">
      <c r="A1908" s="14"/>
      <c r="B1908" s="19" t="s">
        <v>1284</v>
      </c>
      <c r="C1908" s="20" t="s">
        <v>1285</v>
      </c>
      <c r="D1908" s="21" t="s">
        <v>1286</v>
      </c>
      <c r="E1908" s="20" t="s">
        <v>1998</v>
      </c>
      <c r="F1908" s="21" t="s">
        <v>1288</v>
      </c>
      <c r="G1908" s="22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</row>
    <row r="1909" spans="1:27" s="3" customFormat="1" ht="17.399999999999999" customHeight="1" outlineLevel="1" thickBot="1" x14ac:dyDescent="0.3">
      <c r="A1909" s="14"/>
      <c r="B1909" s="19" t="s">
        <v>1290</v>
      </c>
      <c r="C1909" s="23" t="s">
        <v>1291</v>
      </c>
      <c r="D1909" s="21" t="s">
        <v>1292</v>
      </c>
      <c r="E1909" s="23">
        <v>5</v>
      </c>
      <c r="F1909" s="21" t="s">
        <v>1293</v>
      </c>
      <c r="G1909" s="24" t="s">
        <v>1294</v>
      </c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14"/>
    </row>
    <row r="1910" spans="1:27" s="3" customFormat="1" ht="17.399999999999999" customHeight="1" outlineLevel="1" x14ac:dyDescent="0.25">
      <c r="A1910" s="14"/>
      <c r="B1910" s="401" t="s">
        <v>1</v>
      </c>
      <c r="C1910" s="402"/>
      <c r="D1910" s="402"/>
      <c r="E1910" s="402"/>
      <c r="F1910" s="402"/>
      <c r="G1910" s="403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</row>
    <row r="1911" spans="1:27" s="3" customFormat="1" ht="17.399999999999999" customHeight="1" outlineLevel="1" x14ac:dyDescent="0.25">
      <c r="A1911" s="14"/>
      <c r="B1911" s="25" t="s">
        <v>2</v>
      </c>
      <c r="C1911" s="26" t="s">
        <v>3</v>
      </c>
      <c r="D1911" s="26" t="s">
        <v>4</v>
      </c>
      <c r="E1911" s="26" t="s">
        <v>5</v>
      </c>
      <c r="F1911" s="26"/>
      <c r="G1911" s="27" t="s">
        <v>6</v>
      </c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</row>
    <row r="1912" spans="1:27" s="3" customFormat="1" outlineLevel="1" x14ac:dyDescent="0.25">
      <c r="A1912" s="14"/>
      <c r="B1912" s="28" t="s">
        <v>7</v>
      </c>
      <c r="C1912" s="29" t="s">
        <v>1468</v>
      </c>
      <c r="D1912" s="29" t="s">
        <v>1469</v>
      </c>
      <c r="E1912" s="29">
        <v>0</v>
      </c>
      <c r="F1912" s="29" t="s">
        <v>1470</v>
      </c>
      <c r="G1912" s="30" t="s">
        <v>1471</v>
      </c>
      <c r="H1912" s="14"/>
      <c r="I1912" s="14"/>
      <c r="J1912" s="14" t="s">
        <v>10</v>
      </c>
      <c r="K1912" s="14" t="s">
        <v>173</v>
      </c>
      <c r="L1912" s="14" t="s">
        <v>9</v>
      </c>
      <c r="M1912" s="14" t="s">
        <v>9</v>
      </c>
      <c r="N1912" s="14">
        <v>1112</v>
      </c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</row>
    <row r="1913" spans="1:27" s="3" customFormat="1" outlineLevel="1" x14ac:dyDescent="0.25">
      <c r="A1913" s="14"/>
      <c r="B1913" s="28" t="s">
        <v>345</v>
      </c>
      <c r="C1913" s="29" t="s">
        <v>1754</v>
      </c>
      <c r="D1913" s="29" t="s">
        <v>1469</v>
      </c>
      <c r="E1913" s="29">
        <v>0</v>
      </c>
      <c r="F1913" s="29" t="s">
        <v>1470</v>
      </c>
      <c r="G1913" s="30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</row>
    <row r="1914" spans="1:27" s="3" customFormat="1" outlineLevel="1" x14ac:dyDescent="0.25">
      <c r="A1914" s="14"/>
      <c r="B1914" s="28" t="s">
        <v>73</v>
      </c>
      <c r="C1914" s="29" t="s">
        <v>1528</v>
      </c>
      <c r="D1914" s="29" t="s">
        <v>1469</v>
      </c>
      <c r="E1914" s="29" t="s">
        <v>1480</v>
      </c>
      <c r="F1914" s="29" t="s">
        <v>1481</v>
      </c>
      <c r="G1914" s="30"/>
      <c r="H1914" s="14"/>
      <c r="I1914" s="14"/>
      <c r="J1914" s="14" t="s">
        <v>10</v>
      </c>
      <c r="K1914" s="14" t="s">
        <v>173</v>
      </c>
      <c r="L1914" s="14" t="s">
        <v>9</v>
      </c>
      <c r="M1914" s="14" t="s">
        <v>9</v>
      </c>
      <c r="N1914" s="14">
        <v>1767</v>
      </c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14"/>
    </row>
    <row r="1915" spans="1:27" s="3" customFormat="1" outlineLevel="1" x14ac:dyDescent="0.25">
      <c r="A1915" s="14"/>
      <c r="B1915" s="28" t="s">
        <v>74</v>
      </c>
      <c r="C1915" s="29" t="s">
        <v>1529</v>
      </c>
      <c r="D1915" s="29" t="s">
        <v>1469</v>
      </c>
      <c r="E1915" s="29" t="s">
        <v>1480</v>
      </c>
      <c r="F1915" s="29" t="s">
        <v>1481</v>
      </c>
      <c r="G1915" s="30"/>
      <c r="H1915" s="14"/>
      <c r="I1915" s="14"/>
      <c r="J1915" s="14" t="s">
        <v>10</v>
      </c>
      <c r="K1915" s="14" t="s">
        <v>173</v>
      </c>
      <c r="L1915" s="14" t="s">
        <v>9</v>
      </c>
      <c r="M1915" s="14" t="s">
        <v>9</v>
      </c>
      <c r="N1915" s="14">
        <v>1713</v>
      </c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</row>
    <row r="1916" spans="1:27" s="3" customFormat="1" outlineLevel="1" x14ac:dyDescent="0.25">
      <c r="A1916" s="14"/>
      <c r="B1916" s="28" t="s">
        <v>128</v>
      </c>
      <c r="C1916" s="29" t="s">
        <v>1566</v>
      </c>
      <c r="D1916" s="29" t="s">
        <v>1567</v>
      </c>
      <c r="E1916" s="29">
        <v>0</v>
      </c>
      <c r="F1916" s="29" t="s">
        <v>1470</v>
      </c>
      <c r="G1916" s="30"/>
      <c r="H1916" s="14"/>
      <c r="I1916" s="14"/>
      <c r="J1916" s="14" t="s">
        <v>12</v>
      </c>
      <c r="K1916" s="14" t="s">
        <v>174</v>
      </c>
      <c r="L1916" s="14" t="s">
        <v>175</v>
      </c>
      <c r="M1916" s="14" t="s">
        <v>176</v>
      </c>
      <c r="N1916" s="14">
        <v>1629</v>
      </c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</row>
    <row r="1917" spans="1:27" s="3" customFormat="1" outlineLevel="1" x14ac:dyDescent="0.25">
      <c r="A1917" s="14"/>
      <c r="B1917" s="28" t="s">
        <v>114</v>
      </c>
      <c r="C1917" s="29" t="s">
        <v>1557</v>
      </c>
      <c r="D1917" s="29" t="s">
        <v>1469</v>
      </c>
      <c r="E1917" s="29">
        <v>-1</v>
      </c>
      <c r="F1917" s="29" t="s">
        <v>1470</v>
      </c>
      <c r="G1917" s="30"/>
      <c r="H1917" s="14"/>
      <c r="I1917" s="14"/>
      <c r="J1917" s="14" t="s">
        <v>10</v>
      </c>
      <c r="K1917" s="14" t="s">
        <v>173</v>
      </c>
      <c r="L1917" s="14" t="s">
        <v>9</v>
      </c>
      <c r="M1917" s="14" t="s">
        <v>9</v>
      </c>
      <c r="N1917" s="14">
        <v>2449</v>
      </c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</row>
    <row r="1918" spans="1:27" s="3" customFormat="1" ht="17.399999999999999" customHeight="1" outlineLevel="1" x14ac:dyDescent="0.25">
      <c r="A1918" s="14"/>
      <c r="B1918" s="31"/>
      <c r="C1918" s="20"/>
      <c r="D1918" s="20"/>
      <c r="E1918" s="20"/>
      <c r="F1918" s="20"/>
      <c r="G1918" s="22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14"/>
    </row>
    <row r="1919" spans="1:27" s="3" customFormat="1" ht="17.399999999999999" customHeight="1" outlineLevel="1" x14ac:dyDescent="0.25">
      <c r="A1919" s="14"/>
      <c r="B1919" s="398" t="s">
        <v>18</v>
      </c>
      <c r="C1919" s="399"/>
      <c r="D1919" s="399"/>
      <c r="E1919" s="399"/>
      <c r="F1919" s="399"/>
      <c r="G1919" s="400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</row>
    <row r="1920" spans="1:27" s="3" customFormat="1" ht="17.399999999999999" customHeight="1" outlineLevel="1" x14ac:dyDescent="0.25">
      <c r="A1920" s="14"/>
      <c r="B1920" s="25" t="s">
        <v>2</v>
      </c>
      <c r="C1920" s="26" t="s">
        <v>3</v>
      </c>
      <c r="D1920" s="26" t="s">
        <v>4</v>
      </c>
      <c r="E1920" s="26" t="s">
        <v>5</v>
      </c>
      <c r="F1920" s="26"/>
      <c r="G1920" s="27" t="s">
        <v>6</v>
      </c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</row>
    <row r="1921" spans="1:27" s="3" customFormat="1" outlineLevel="1" x14ac:dyDescent="0.25">
      <c r="A1921" s="14"/>
      <c r="B1921" s="28" t="s">
        <v>128</v>
      </c>
      <c r="C1921" s="29" t="s">
        <v>1566</v>
      </c>
      <c r="D1921" s="29" t="s">
        <v>1567</v>
      </c>
      <c r="E1921" s="29">
        <v>0</v>
      </c>
      <c r="F1921" s="29" t="s">
        <v>1470</v>
      </c>
      <c r="G1921" s="30"/>
      <c r="H1921" s="14" t="str">
        <f>"{"&amp;B1921&amp;"},"</f>
        <v>{记录序号},</v>
      </c>
      <c r="I1921" s="14"/>
      <c r="J1921" s="14" t="s">
        <v>12</v>
      </c>
      <c r="K1921" s="14" t="s">
        <v>174</v>
      </c>
      <c r="L1921" s="14" t="s">
        <v>175</v>
      </c>
      <c r="M1921" s="14" t="s">
        <v>176</v>
      </c>
      <c r="N1921" s="14">
        <v>1629</v>
      </c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</row>
    <row r="1922" spans="1:27" s="3" customFormat="1" outlineLevel="1" x14ac:dyDescent="0.25">
      <c r="A1922" s="14"/>
      <c r="B1922" s="28" t="s">
        <v>16</v>
      </c>
      <c r="C1922" s="29" t="s">
        <v>1479</v>
      </c>
      <c r="D1922" s="29" t="s">
        <v>1469</v>
      </c>
      <c r="E1922" s="29" t="s">
        <v>1480</v>
      </c>
      <c r="F1922" s="29" t="s">
        <v>1481</v>
      </c>
      <c r="G1922" s="30" t="s">
        <v>1482</v>
      </c>
      <c r="H1922" s="14" t="str">
        <f>"{"&amp;B1922&amp;"},"</f>
        <v>{初始化日期},</v>
      </c>
      <c r="I1922" s="14"/>
      <c r="J1922" s="14" t="s">
        <v>10</v>
      </c>
      <c r="K1922" s="14" t="s">
        <v>173</v>
      </c>
      <c r="L1922" s="14" t="s">
        <v>9</v>
      </c>
      <c r="M1922" s="14" t="s">
        <v>9</v>
      </c>
      <c r="N1922" s="14">
        <v>1211</v>
      </c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</row>
    <row r="1923" spans="1:27" s="3" customFormat="1" outlineLevel="1" x14ac:dyDescent="0.25">
      <c r="A1923" s="14"/>
      <c r="B1923" s="28" t="s">
        <v>112</v>
      </c>
      <c r="C1923" s="29" t="s">
        <v>1555</v>
      </c>
      <c r="D1923" s="29" t="s">
        <v>1469</v>
      </c>
      <c r="E1923" s="29">
        <v>0</v>
      </c>
      <c r="F1923" s="29" t="s">
        <v>1470</v>
      </c>
      <c r="G1923" s="30" t="s">
        <v>1556</v>
      </c>
      <c r="H1923" s="14" t="str">
        <f>"{"&amp;B1923&amp;"},"</f>
        <v>{机构编号},</v>
      </c>
      <c r="I1923" s="14"/>
      <c r="J1923" s="14" t="s">
        <v>10</v>
      </c>
      <c r="K1923" s="14" t="s">
        <v>173</v>
      </c>
      <c r="L1923" s="14" t="s">
        <v>9</v>
      </c>
      <c r="M1923" s="14" t="s">
        <v>9</v>
      </c>
      <c r="N1923" s="14">
        <v>1606</v>
      </c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</row>
    <row r="1924" spans="1:27" s="3" customFormat="1" outlineLevel="1" x14ac:dyDescent="0.25">
      <c r="A1924" s="14"/>
      <c r="B1924" s="28" t="s">
        <v>7</v>
      </c>
      <c r="C1924" s="29" t="s">
        <v>1468</v>
      </c>
      <c r="D1924" s="29" t="s">
        <v>1469</v>
      </c>
      <c r="E1924" s="29">
        <v>0</v>
      </c>
      <c r="F1924" s="29" t="s">
        <v>1470</v>
      </c>
      <c r="G1924" s="30" t="s">
        <v>1471</v>
      </c>
      <c r="H1924" s="14" t="str">
        <f>"{"&amp;B1924&amp;"},"</f>
        <v>{产品编号},</v>
      </c>
      <c r="I1924" s="14"/>
      <c r="J1924" s="14" t="s">
        <v>10</v>
      </c>
      <c r="K1924" s="14" t="s">
        <v>173</v>
      </c>
      <c r="L1924" s="14" t="s">
        <v>9</v>
      </c>
      <c r="M1924" s="14" t="s">
        <v>9</v>
      </c>
      <c r="N1924" s="14">
        <v>1112</v>
      </c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14"/>
    </row>
    <row r="1925" spans="1:27" s="3" customFormat="1" outlineLevel="1" x14ac:dyDescent="0.25">
      <c r="B1925" s="28" t="s">
        <v>13</v>
      </c>
      <c r="C1925" s="29" t="s">
        <v>1474</v>
      </c>
      <c r="D1925" s="29" t="s">
        <v>1469</v>
      </c>
      <c r="E1925" s="29">
        <v>0</v>
      </c>
      <c r="F1925" s="29" t="s">
        <v>1470</v>
      </c>
      <c r="G1925" s="30"/>
      <c r="H1925" s="3" t="str">
        <f t="shared" ref="H1925" si="11">"{"&amp;B1925&amp;"},"</f>
        <v>{资产账户编号},</v>
      </c>
      <c r="J1925" s="3" t="s">
        <v>10</v>
      </c>
      <c r="N1925" s="3">
        <v>2534</v>
      </c>
    </row>
    <row r="1926" spans="1:27" s="3" customFormat="1" outlineLevel="1" x14ac:dyDescent="0.25">
      <c r="A1926" s="14"/>
      <c r="B1926" s="116" t="s">
        <v>11</v>
      </c>
      <c r="C1926" s="117" t="s">
        <v>1472</v>
      </c>
      <c r="D1926" s="117" t="s">
        <v>1469</v>
      </c>
      <c r="E1926" s="29">
        <v>0</v>
      </c>
      <c r="F1926" s="29" t="s">
        <v>1470</v>
      </c>
      <c r="G1926" s="30" t="s">
        <v>1473</v>
      </c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</row>
    <row r="1927" spans="1:27" s="3" customFormat="1" outlineLevel="1" x14ac:dyDescent="0.25">
      <c r="A1927" s="14"/>
      <c r="B1927" s="28" t="s">
        <v>14</v>
      </c>
      <c r="C1927" s="29" t="s">
        <v>1475</v>
      </c>
      <c r="D1927" s="29" t="s">
        <v>1469</v>
      </c>
      <c r="E1927" s="29">
        <v>0</v>
      </c>
      <c r="F1927" s="29" t="s">
        <v>1476</v>
      </c>
      <c r="G1927" s="30" t="s">
        <v>1477</v>
      </c>
      <c r="H1927" s="14" t="str">
        <f t="shared" ref="H1927:H1940" si="12">"{"&amp;B1927&amp;"},"</f>
        <v>{市场编号},</v>
      </c>
      <c r="I1927" s="14"/>
      <c r="J1927" s="14" t="s">
        <v>10</v>
      </c>
      <c r="K1927" s="14" t="s">
        <v>173</v>
      </c>
      <c r="L1927" s="14" t="s">
        <v>9</v>
      </c>
      <c r="M1927" s="14" t="s">
        <v>9</v>
      </c>
      <c r="N1927" s="14">
        <v>2534</v>
      </c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</row>
    <row r="1928" spans="1:27" s="3" customFormat="1" outlineLevel="1" x14ac:dyDescent="0.25">
      <c r="A1928" s="14"/>
      <c r="B1928" s="28" t="s">
        <v>346</v>
      </c>
      <c r="C1928" s="29" t="s">
        <v>1755</v>
      </c>
      <c r="D1928" s="29" t="s">
        <v>1469</v>
      </c>
      <c r="E1928" s="29">
        <v>0</v>
      </c>
      <c r="F1928" s="29" t="s">
        <v>1470</v>
      </c>
      <c r="G1928" s="30"/>
      <c r="H1928" s="14" t="str">
        <f t="shared" si="12"/>
        <v>{交易编码编号},</v>
      </c>
      <c r="I1928" s="14"/>
      <c r="J1928" s="14" t="s">
        <v>10</v>
      </c>
      <c r="K1928" s="14" t="s">
        <v>173</v>
      </c>
      <c r="L1928" s="14" t="s">
        <v>9</v>
      </c>
      <c r="M1928" s="14" t="s">
        <v>9</v>
      </c>
      <c r="N1928" s="14">
        <v>2430</v>
      </c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</row>
    <row r="1929" spans="1:27" s="3" customFormat="1" outlineLevel="1" x14ac:dyDescent="0.25">
      <c r="A1929" s="14"/>
      <c r="B1929" s="28" t="s">
        <v>345</v>
      </c>
      <c r="C1929" s="29" t="s">
        <v>1754</v>
      </c>
      <c r="D1929" s="29" t="s">
        <v>1469</v>
      </c>
      <c r="E1929" s="29">
        <v>0</v>
      </c>
      <c r="F1929" s="29" t="s">
        <v>1470</v>
      </c>
      <c r="G1929" s="30"/>
      <c r="H1929" s="14" t="str">
        <f t="shared" si="12"/>
        <v>{合约代码编号},</v>
      </c>
      <c r="I1929" s="14"/>
      <c r="J1929" s="14" t="s">
        <v>10</v>
      </c>
      <c r="K1929" s="14" t="s">
        <v>173</v>
      </c>
      <c r="L1929" s="14" t="s">
        <v>9</v>
      </c>
      <c r="M1929" s="14" t="s">
        <v>9</v>
      </c>
      <c r="N1929" s="14">
        <v>2433</v>
      </c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</row>
    <row r="1930" spans="1:27" s="3" customFormat="1" outlineLevel="1" x14ac:dyDescent="0.25">
      <c r="A1930" s="14"/>
      <c r="B1930" s="28" t="s">
        <v>347</v>
      </c>
      <c r="C1930" s="29" t="s">
        <v>1756</v>
      </c>
      <c r="D1930" s="29" t="s">
        <v>1469</v>
      </c>
      <c r="E1930" s="29">
        <v>0</v>
      </c>
      <c r="F1930" s="29" t="s">
        <v>1476</v>
      </c>
      <c r="G1930" s="30"/>
      <c r="H1930" s="14" t="str">
        <f t="shared" si="12"/>
        <v>{多空类型},</v>
      </c>
      <c r="I1930" s="14"/>
      <c r="J1930" s="14" t="s">
        <v>10</v>
      </c>
      <c r="K1930" s="14" t="s">
        <v>173</v>
      </c>
      <c r="L1930" s="14" t="s">
        <v>9</v>
      </c>
      <c r="M1930" s="14" t="s">
        <v>9</v>
      </c>
      <c r="N1930" s="14">
        <v>2155</v>
      </c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4"/>
    </row>
    <row r="1931" spans="1:27" s="3" customFormat="1" outlineLevel="1" x14ac:dyDescent="0.25">
      <c r="B1931" s="28" t="s">
        <v>348</v>
      </c>
      <c r="C1931" s="29" t="s">
        <v>1757</v>
      </c>
      <c r="D1931" s="29" t="s">
        <v>1469</v>
      </c>
      <c r="E1931" s="29">
        <v>0</v>
      </c>
      <c r="F1931" s="29" t="s">
        <v>2341</v>
      </c>
      <c r="G1931" s="30" t="s">
        <v>2342</v>
      </c>
      <c r="H1931" s="3" t="str">
        <f t="shared" si="12"/>
        <v>{套保标志},</v>
      </c>
    </row>
    <row r="1932" spans="1:27" s="3" customFormat="1" outlineLevel="1" x14ac:dyDescent="0.25">
      <c r="A1932" s="14"/>
      <c r="B1932" s="28" t="s">
        <v>75</v>
      </c>
      <c r="C1932" s="29" t="s">
        <v>1530</v>
      </c>
      <c r="D1932" s="29" t="s">
        <v>1486</v>
      </c>
      <c r="E1932" s="29">
        <v>0</v>
      </c>
      <c r="F1932" s="29" t="s">
        <v>1470</v>
      </c>
      <c r="G1932" s="30" t="s">
        <v>1531</v>
      </c>
      <c r="H1932" s="14" t="str">
        <f t="shared" si="12"/>
        <v>{当前数量},</v>
      </c>
      <c r="I1932" s="14"/>
      <c r="J1932" s="14" t="s">
        <v>20</v>
      </c>
      <c r="K1932" s="14" t="s">
        <v>445</v>
      </c>
      <c r="L1932" s="14" t="s">
        <v>446</v>
      </c>
      <c r="M1932" s="14" t="s">
        <v>446</v>
      </c>
      <c r="N1932" s="14">
        <v>1202</v>
      </c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</row>
    <row r="1933" spans="1:27" s="3" customFormat="1" outlineLevel="1" x14ac:dyDescent="0.25">
      <c r="A1933" s="14"/>
      <c r="B1933" s="185" t="s">
        <v>349</v>
      </c>
      <c r="C1933" s="23" t="s">
        <v>1758</v>
      </c>
      <c r="D1933" s="23" t="s">
        <v>1539</v>
      </c>
      <c r="E1933" s="29">
        <v>0</v>
      </c>
      <c r="F1933" s="29" t="s">
        <v>1470</v>
      </c>
      <c r="G1933" s="30"/>
      <c r="H1933" s="14" t="str">
        <f t="shared" si="12"/>
        <v>{开仓价格},</v>
      </c>
      <c r="I1933" s="14"/>
      <c r="J1933" s="14" t="s">
        <v>10</v>
      </c>
      <c r="K1933" s="14" t="s">
        <v>173</v>
      </c>
      <c r="L1933" s="14" t="s">
        <v>9</v>
      </c>
      <c r="M1933" s="14" t="s">
        <v>9</v>
      </c>
      <c r="N1933" s="14">
        <v>2237</v>
      </c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</row>
    <row r="1934" spans="1:27" s="3" customFormat="1" outlineLevel="1" x14ac:dyDescent="0.25">
      <c r="A1934" s="14"/>
      <c r="B1934" s="185" t="s">
        <v>350</v>
      </c>
      <c r="C1934" s="23" t="s">
        <v>1759</v>
      </c>
      <c r="D1934" s="23" t="s">
        <v>1489</v>
      </c>
      <c r="E1934" s="29">
        <v>0</v>
      </c>
      <c r="F1934" s="29" t="s">
        <v>1470</v>
      </c>
      <c r="G1934" s="30"/>
      <c r="H1934" s="14" t="str">
        <f t="shared" si="12"/>
        <v>{盯市盈亏},</v>
      </c>
      <c r="I1934" s="14"/>
      <c r="J1934" s="14" t="s">
        <v>20</v>
      </c>
      <c r="K1934" s="14" t="s">
        <v>445</v>
      </c>
      <c r="L1934" s="14" t="s">
        <v>446</v>
      </c>
      <c r="M1934" s="14" t="s">
        <v>446</v>
      </c>
      <c r="N1934" s="14">
        <v>1986</v>
      </c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14"/>
    </row>
    <row r="1935" spans="1:27" s="3" customFormat="1" outlineLevel="1" x14ac:dyDescent="0.25">
      <c r="A1935" s="14"/>
      <c r="B1935" s="28" t="s">
        <v>351</v>
      </c>
      <c r="C1935" s="29" t="s">
        <v>1760</v>
      </c>
      <c r="D1935" s="29" t="s">
        <v>1489</v>
      </c>
      <c r="E1935" s="29">
        <v>0</v>
      </c>
      <c r="F1935" s="29" t="s">
        <v>1470</v>
      </c>
      <c r="G1935" s="30" t="s">
        <v>1761</v>
      </c>
      <c r="H1935" s="14" t="str">
        <f t="shared" si="12"/>
        <v>{应收保证金},</v>
      </c>
      <c r="I1935" s="14"/>
      <c r="J1935" s="14" t="s">
        <v>20</v>
      </c>
      <c r="K1935" s="14" t="s">
        <v>445</v>
      </c>
      <c r="L1935" s="14" t="s">
        <v>446</v>
      </c>
      <c r="M1935" s="14" t="s">
        <v>446</v>
      </c>
      <c r="N1935" s="14">
        <v>1262</v>
      </c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4"/>
    </row>
    <row r="1936" spans="1:27" s="3" customFormat="1" outlineLevel="1" x14ac:dyDescent="0.25">
      <c r="A1936" s="14"/>
      <c r="B1936" s="28" t="s">
        <v>138</v>
      </c>
      <c r="C1936" s="29" t="s">
        <v>1577</v>
      </c>
      <c r="D1936" s="29" t="s">
        <v>1486</v>
      </c>
      <c r="E1936" s="29">
        <v>0</v>
      </c>
      <c r="F1936" s="29" t="s">
        <v>1470</v>
      </c>
      <c r="G1936" s="30"/>
      <c r="H1936" s="14" t="str">
        <f t="shared" si="12"/>
        <v>{成交释放数量},</v>
      </c>
      <c r="I1936" s="14"/>
      <c r="J1936" s="14" t="s">
        <v>20</v>
      </c>
      <c r="K1936" s="14" t="s">
        <v>445</v>
      </c>
      <c r="L1936" s="14" t="s">
        <v>446</v>
      </c>
      <c r="M1936" s="14" t="s">
        <v>446</v>
      </c>
      <c r="N1936" s="14">
        <v>1317</v>
      </c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</row>
    <row r="1937" spans="1:27" s="3" customFormat="1" outlineLevel="1" x14ac:dyDescent="0.25">
      <c r="A1937" s="14"/>
      <c r="B1937" s="28" t="s">
        <v>352</v>
      </c>
      <c r="C1937" s="29" t="s">
        <v>1762</v>
      </c>
      <c r="D1937" s="29" t="s">
        <v>1486</v>
      </c>
      <c r="E1937" s="29">
        <v>0</v>
      </c>
      <c r="F1937" s="29"/>
      <c r="G1937" s="30"/>
      <c r="H1937" s="14" t="str">
        <f t="shared" si="12"/>
        <v>{今仓成交占用数量},</v>
      </c>
      <c r="I1937" s="14"/>
      <c r="J1937" s="14" t="s">
        <v>20</v>
      </c>
      <c r="K1937" s="14" t="s">
        <v>445</v>
      </c>
      <c r="L1937" s="14" t="s">
        <v>446</v>
      </c>
      <c r="M1937" s="14" t="s">
        <v>446</v>
      </c>
      <c r="N1937" s="14">
        <v>1721</v>
      </c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</row>
    <row r="1938" spans="1:27" s="3" customFormat="1" outlineLevel="1" x14ac:dyDescent="0.25">
      <c r="A1938" s="14"/>
      <c r="B1938" s="28" t="s">
        <v>62</v>
      </c>
      <c r="C1938" s="29" t="s">
        <v>1525</v>
      </c>
      <c r="D1938" s="23" t="s">
        <v>1489</v>
      </c>
      <c r="E1938" s="29">
        <v>0</v>
      </c>
      <c r="F1938" s="29"/>
      <c r="G1938" s="30"/>
      <c r="H1938" s="14" t="str">
        <f t="shared" si="12"/>
        <v>{持仓市值},</v>
      </c>
      <c r="I1938" s="14"/>
      <c r="J1938" s="14" t="s">
        <v>20</v>
      </c>
      <c r="K1938" s="14" t="s">
        <v>445</v>
      </c>
      <c r="L1938" s="14" t="s">
        <v>446</v>
      </c>
      <c r="M1938" s="14" t="s">
        <v>446</v>
      </c>
      <c r="N1938" s="14">
        <v>1875</v>
      </c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  <c r="AA1938" s="14"/>
    </row>
    <row r="1939" spans="1:27" s="3" customFormat="1" outlineLevel="1" x14ac:dyDescent="0.25">
      <c r="A1939" s="14"/>
      <c r="B1939" s="28" t="s">
        <v>95</v>
      </c>
      <c r="C1939" s="29" t="s">
        <v>1542</v>
      </c>
      <c r="D1939" s="29" t="s">
        <v>1494</v>
      </c>
      <c r="E1939" s="29">
        <v>0</v>
      </c>
      <c r="F1939" s="29"/>
      <c r="G1939" s="30"/>
      <c r="H1939" s="14" t="str">
        <f t="shared" si="12"/>
        <v>{持仓净值占比},</v>
      </c>
      <c r="I1939" s="14"/>
      <c r="J1939" s="14" t="s">
        <v>20</v>
      </c>
      <c r="K1939" s="14" t="s">
        <v>445</v>
      </c>
      <c r="L1939" s="14" t="s">
        <v>446</v>
      </c>
      <c r="M1939" s="14" t="s">
        <v>446</v>
      </c>
      <c r="N1939" s="14">
        <v>1891</v>
      </c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  <c r="AA1939" s="14"/>
    </row>
    <row r="1940" spans="1:27" s="3" customFormat="1" outlineLevel="1" x14ac:dyDescent="0.25">
      <c r="A1940" s="14"/>
      <c r="B1940" s="185" t="s">
        <v>2331</v>
      </c>
      <c r="C1940" s="23" t="s">
        <v>2343</v>
      </c>
      <c r="D1940" s="23" t="s">
        <v>23</v>
      </c>
      <c r="E1940" s="23">
        <v>0</v>
      </c>
      <c r="F1940" s="23"/>
      <c r="G1940" s="24"/>
      <c r="H1940" s="14" t="str">
        <f t="shared" si="12"/>
        <v>{开仓均价},</v>
      </c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</row>
    <row r="1941" spans="1:27" s="3" customFormat="1" ht="17.399999999999999" customHeight="1" outlineLevel="1" thickBot="1" x14ac:dyDescent="0.3">
      <c r="A1941" s="14"/>
      <c r="B1941" s="31"/>
      <c r="C1941" s="20"/>
      <c r="D1941" s="20"/>
      <c r="E1941" s="20"/>
      <c r="F1941" s="20"/>
      <c r="G1941" s="22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</row>
    <row r="1942" spans="1:27" s="3" customFormat="1" ht="17.399999999999999" customHeight="1" outlineLevel="1" x14ac:dyDescent="0.25">
      <c r="A1942" s="14"/>
      <c r="B1942" s="401" t="s">
        <v>28</v>
      </c>
      <c r="C1942" s="402"/>
      <c r="D1942" s="402"/>
      <c r="E1942" s="402"/>
      <c r="F1942" s="402"/>
      <c r="G1942" s="403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</row>
    <row r="1943" spans="1:27" s="3" customFormat="1" ht="17.399999999999999" customHeight="1" outlineLevel="1" x14ac:dyDescent="0.25">
      <c r="A1943" s="14"/>
      <c r="B1943" s="116"/>
      <c r="C1943" s="117"/>
      <c r="D1943" s="117"/>
      <c r="E1943" s="117"/>
      <c r="F1943" s="117"/>
      <c r="G1943" s="105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14"/>
    </row>
    <row r="1944" spans="1:27" s="3" customFormat="1" ht="17.399999999999999" customHeight="1" outlineLevel="1" thickBot="1" x14ac:dyDescent="0.3">
      <c r="A1944" s="14"/>
      <c r="B1944" s="116"/>
      <c r="C1944" s="117"/>
      <c r="D1944" s="117"/>
      <c r="E1944" s="117"/>
      <c r="F1944" s="117"/>
      <c r="G1944" s="105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</row>
    <row r="1945" spans="1:27" s="3" customFormat="1" ht="17.399999999999999" customHeight="1" outlineLevel="1" x14ac:dyDescent="0.25">
      <c r="A1945" s="14"/>
      <c r="B1945" s="401" t="s">
        <v>29</v>
      </c>
      <c r="C1945" s="402"/>
      <c r="D1945" s="402"/>
      <c r="E1945" s="402"/>
      <c r="F1945" s="402"/>
      <c r="G1945" s="403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</row>
    <row r="1946" spans="1:27" s="7" customFormat="1" ht="16.5" customHeight="1" outlineLevel="1" x14ac:dyDescent="0.25">
      <c r="A1946" s="14"/>
      <c r="B1946" s="308" t="s">
        <v>559</v>
      </c>
      <c r="C1946" s="309"/>
      <c r="D1946" s="309"/>
      <c r="E1946" s="309"/>
      <c r="F1946" s="309"/>
      <c r="G1946" s="310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</row>
    <row r="1947" spans="1:27" s="7" customFormat="1" ht="17.399999999999999" customHeight="1" outlineLevel="1" thickBot="1" x14ac:dyDescent="0.3">
      <c r="A1947" s="14"/>
      <c r="B1947" s="305" t="s">
        <v>560</v>
      </c>
      <c r="C1947" s="306"/>
      <c r="D1947" s="306"/>
      <c r="E1947" s="306"/>
      <c r="F1947" s="306"/>
      <c r="G1947" s="307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</row>
    <row r="1948" spans="1:27" s="7" customFormat="1" ht="16.5" customHeight="1" outlineLevel="1" x14ac:dyDescent="0.25">
      <c r="A1948" s="14"/>
      <c r="B1948" s="308" t="s">
        <v>561</v>
      </c>
      <c r="C1948" s="309"/>
      <c r="D1948" s="309"/>
      <c r="E1948" s="309"/>
      <c r="F1948" s="309"/>
      <c r="G1948" s="310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  <c r="AA1948" s="14"/>
    </row>
    <row r="1949" spans="1:27" s="3" customFormat="1" outlineLevel="1" x14ac:dyDescent="0.25">
      <c r="A1949" s="14"/>
      <c r="B1949" s="28"/>
      <c r="C1949" s="29"/>
      <c r="D1949" s="29"/>
      <c r="E1949" s="29"/>
      <c r="F1949" s="29"/>
      <c r="G1949" s="30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  <c r="AA1949" s="14"/>
    </row>
    <row r="1950" spans="1:27" s="3" customFormat="1" outlineLevel="1" x14ac:dyDescent="0.25">
      <c r="A1950" s="14"/>
      <c r="B1950" s="28"/>
      <c r="C1950" s="29"/>
      <c r="D1950" s="29"/>
      <c r="E1950" s="29"/>
      <c r="F1950" s="29"/>
      <c r="G1950" s="30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</row>
    <row r="1951" spans="1:27" s="3" customFormat="1" outlineLevel="1" x14ac:dyDescent="0.25">
      <c r="A1951" s="14"/>
      <c r="B1951" s="28" t="s">
        <v>649</v>
      </c>
      <c r="C1951" s="29"/>
      <c r="D1951" s="29"/>
      <c r="E1951" s="29"/>
      <c r="F1951" s="29"/>
      <c r="G1951" s="375" t="s">
        <v>2445</v>
      </c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</row>
    <row r="1952" spans="1:27" s="3" customFormat="1" outlineLevel="1" x14ac:dyDescent="0.25">
      <c r="A1952" s="14"/>
      <c r="B1952" s="28"/>
      <c r="C1952" s="29"/>
      <c r="D1952" s="29"/>
      <c r="E1952" s="29"/>
      <c r="F1952" s="29"/>
      <c r="G1952" s="30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</row>
    <row r="1953" spans="1:27" s="3" customFormat="1" outlineLevel="1" x14ac:dyDescent="0.25">
      <c r="A1953" s="14"/>
      <c r="B1953" s="28"/>
      <c r="C1953" s="29"/>
      <c r="D1953" s="29"/>
      <c r="E1953" s="29"/>
      <c r="F1953" s="29"/>
      <c r="G1953" s="30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14"/>
    </row>
    <row r="1954" spans="1:27" s="3" customFormat="1" ht="18.75" customHeight="1" outlineLevel="1" thickBot="1" x14ac:dyDescent="0.3">
      <c r="A1954" s="14"/>
      <c r="B1954" s="163"/>
      <c r="C1954" s="164"/>
      <c r="D1954" s="164"/>
      <c r="E1954" s="164"/>
      <c r="F1954" s="164"/>
      <c r="G1954" s="165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</row>
    <row r="1955" spans="1:27" s="3" customFormat="1" ht="17.399999999999999" customHeight="1" outlineLevel="1" thickBot="1" x14ac:dyDescent="0.3">
      <c r="A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</row>
    <row r="1956" spans="1:27" s="3" customFormat="1" ht="17.399999999999999" customHeight="1" thickBot="1" x14ac:dyDescent="0.3">
      <c r="A1956" s="14"/>
      <c r="B1956" s="15" t="s">
        <v>1279</v>
      </c>
      <c r="C1956" s="16" t="s">
        <v>1999</v>
      </c>
      <c r="D1956" s="17" t="s">
        <v>1281</v>
      </c>
      <c r="E1956" s="16" t="s">
        <v>650</v>
      </c>
      <c r="F1956" s="17" t="s">
        <v>1282</v>
      </c>
      <c r="G1956" s="18" t="s">
        <v>2000</v>
      </c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</row>
    <row r="1957" spans="1:27" s="3" customFormat="1" ht="17.399999999999999" hidden="1" customHeight="1" outlineLevel="1" x14ac:dyDescent="0.25">
      <c r="A1957" s="14"/>
      <c r="B1957" s="19" t="s">
        <v>1284</v>
      </c>
      <c r="C1957" s="20" t="s">
        <v>1285</v>
      </c>
      <c r="D1957" s="21" t="s">
        <v>1286</v>
      </c>
      <c r="E1957" s="20" t="s">
        <v>2001</v>
      </c>
      <c r="F1957" s="21" t="s">
        <v>1288</v>
      </c>
      <c r="G1957" s="22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</row>
    <row r="1958" spans="1:27" s="3" customFormat="1" ht="17.399999999999999" hidden="1" customHeight="1" outlineLevel="1" thickBot="1" x14ac:dyDescent="0.3">
      <c r="A1958" s="14"/>
      <c r="B1958" s="19" t="s">
        <v>1290</v>
      </c>
      <c r="C1958" s="23" t="s">
        <v>1291</v>
      </c>
      <c r="D1958" s="21" t="s">
        <v>1292</v>
      </c>
      <c r="E1958" s="23">
        <v>5</v>
      </c>
      <c r="F1958" s="21" t="s">
        <v>1293</v>
      </c>
      <c r="G1958" s="24" t="s">
        <v>1294</v>
      </c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  <c r="AA1958" s="14"/>
    </row>
    <row r="1959" spans="1:27" s="3" customFormat="1" ht="17.399999999999999" hidden="1" customHeight="1" outlineLevel="1" x14ac:dyDescent="0.25">
      <c r="A1959" s="14"/>
      <c r="B1959" s="401" t="s">
        <v>1</v>
      </c>
      <c r="C1959" s="402"/>
      <c r="D1959" s="402"/>
      <c r="E1959" s="402"/>
      <c r="F1959" s="402"/>
      <c r="G1959" s="403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  <c r="AA1959" s="14"/>
    </row>
    <row r="1960" spans="1:27" s="3" customFormat="1" ht="17.399999999999999" hidden="1" customHeight="1" outlineLevel="1" x14ac:dyDescent="0.25">
      <c r="A1960" s="14"/>
      <c r="B1960" s="25" t="s">
        <v>2</v>
      </c>
      <c r="C1960" s="26" t="s">
        <v>3</v>
      </c>
      <c r="D1960" s="26" t="s">
        <v>4</v>
      </c>
      <c r="E1960" s="26" t="s">
        <v>5</v>
      </c>
      <c r="F1960" s="26"/>
      <c r="G1960" s="27" t="s">
        <v>6</v>
      </c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</row>
    <row r="1961" spans="1:27" s="3" customFormat="1" hidden="1" outlineLevel="1" x14ac:dyDescent="0.25">
      <c r="A1961" s="14"/>
      <c r="B1961" s="28" t="s">
        <v>7</v>
      </c>
      <c r="C1961" s="29" t="s">
        <v>1468</v>
      </c>
      <c r="D1961" s="29" t="s">
        <v>1469</v>
      </c>
      <c r="E1961" s="29">
        <v>0</v>
      </c>
      <c r="F1961" s="29" t="s">
        <v>1470</v>
      </c>
      <c r="G1961" s="30" t="s">
        <v>1471</v>
      </c>
      <c r="H1961" s="14"/>
      <c r="I1961" s="14"/>
      <c r="J1961" s="14" t="s">
        <v>10</v>
      </c>
      <c r="K1961" s="14" t="s">
        <v>173</v>
      </c>
      <c r="L1961" s="14" t="s">
        <v>9</v>
      </c>
      <c r="M1961" s="14" t="s">
        <v>9</v>
      </c>
      <c r="N1961" s="14">
        <v>1112</v>
      </c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</row>
    <row r="1962" spans="1:27" s="3" customFormat="1" hidden="1" outlineLevel="1" x14ac:dyDescent="0.25">
      <c r="A1962" s="14"/>
      <c r="B1962" s="28" t="s">
        <v>345</v>
      </c>
      <c r="C1962" s="29" t="s">
        <v>1754</v>
      </c>
      <c r="D1962" s="29" t="s">
        <v>1469</v>
      </c>
      <c r="E1962" s="29">
        <v>0</v>
      </c>
      <c r="F1962" s="29" t="s">
        <v>1470</v>
      </c>
      <c r="G1962" s="30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</row>
    <row r="1963" spans="1:27" s="3" customFormat="1" hidden="1" outlineLevel="1" x14ac:dyDescent="0.25">
      <c r="A1963" s="14"/>
      <c r="B1963" s="28" t="s">
        <v>128</v>
      </c>
      <c r="C1963" s="29" t="s">
        <v>1566</v>
      </c>
      <c r="D1963" s="29" t="s">
        <v>1567</v>
      </c>
      <c r="E1963" s="29">
        <v>0</v>
      </c>
      <c r="F1963" s="29" t="s">
        <v>1470</v>
      </c>
      <c r="G1963" s="30"/>
      <c r="H1963" s="14"/>
      <c r="I1963" s="14"/>
      <c r="J1963" s="14" t="s">
        <v>12</v>
      </c>
      <c r="K1963" s="14" t="s">
        <v>174</v>
      </c>
      <c r="L1963" s="14" t="s">
        <v>175</v>
      </c>
      <c r="M1963" s="14" t="s">
        <v>176</v>
      </c>
      <c r="N1963" s="14">
        <v>1629</v>
      </c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</row>
    <row r="1964" spans="1:27" s="3" customFormat="1" hidden="1" outlineLevel="1" x14ac:dyDescent="0.25">
      <c r="A1964" s="14"/>
      <c r="B1964" s="28" t="s">
        <v>114</v>
      </c>
      <c r="C1964" s="29" t="s">
        <v>1557</v>
      </c>
      <c r="D1964" s="29" t="s">
        <v>1469</v>
      </c>
      <c r="E1964" s="29">
        <v>-1</v>
      </c>
      <c r="F1964" s="29" t="s">
        <v>1470</v>
      </c>
      <c r="G1964" s="30"/>
      <c r="H1964" s="14"/>
      <c r="I1964" s="14"/>
      <c r="J1964" s="14" t="s">
        <v>10</v>
      </c>
      <c r="K1964" s="14" t="s">
        <v>173</v>
      </c>
      <c r="L1964" s="14" t="s">
        <v>9</v>
      </c>
      <c r="M1964" s="14" t="s">
        <v>9</v>
      </c>
      <c r="N1964" s="14">
        <v>2449</v>
      </c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</row>
    <row r="1965" spans="1:27" s="3" customFormat="1" ht="17.399999999999999" hidden="1" customHeight="1" outlineLevel="1" x14ac:dyDescent="0.25">
      <c r="A1965" s="14"/>
      <c r="B1965" s="31"/>
      <c r="C1965" s="20"/>
      <c r="D1965" s="20"/>
      <c r="E1965" s="20"/>
      <c r="F1965" s="20"/>
      <c r="G1965" s="22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</row>
    <row r="1966" spans="1:27" s="3" customFormat="1" ht="17.399999999999999" hidden="1" customHeight="1" outlineLevel="1" x14ac:dyDescent="0.25">
      <c r="A1966" s="14"/>
      <c r="B1966" s="398" t="s">
        <v>18</v>
      </c>
      <c r="C1966" s="399"/>
      <c r="D1966" s="399"/>
      <c r="E1966" s="399"/>
      <c r="F1966" s="399"/>
      <c r="G1966" s="400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</row>
    <row r="1967" spans="1:27" s="3" customFormat="1" ht="17.399999999999999" hidden="1" customHeight="1" outlineLevel="1" x14ac:dyDescent="0.25">
      <c r="A1967" s="14"/>
      <c r="B1967" s="25" t="s">
        <v>2</v>
      </c>
      <c r="C1967" s="26" t="s">
        <v>3</v>
      </c>
      <c r="D1967" s="26" t="s">
        <v>4</v>
      </c>
      <c r="E1967" s="26" t="s">
        <v>5</v>
      </c>
      <c r="F1967" s="26"/>
      <c r="G1967" s="27" t="s">
        <v>6</v>
      </c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</row>
    <row r="1968" spans="1:27" s="3" customFormat="1" hidden="1" outlineLevel="1" x14ac:dyDescent="0.25">
      <c r="A1968" s="14"/>
      <c r="B1968" s="28" t="s">
        <v>128</v>
      </c>
      <c r="C1968" s="29" t="s">
        <v>1566</v>
      </c>
      <c r="D1968" s="29" t="s">
        <v>1567</v>
      </c>
      <c r="E1968" s="29">
        <v>0</v>
      </c>
      <c r="F1968" s="29" t="s">
        <v>1470</v>
      </c>
      <c r="G1968" s="30"/>
      <c r="H1968" s="14" t="str">
        <f t="shared" ref="H1968:H1985" si="13">"{"&amp;B1968&amp;"},"</f>
        <v>{记录序号},</v>
      </c>
      <c r="I1968" s="14"/>
      <c r="J1968" s="14" t="s">
        <v>12</v>
      </c>
      <c r="K1968" s="14" t="s">
        <v>174</v>
      </c>
      <c r="L1968" s="14" t="s">
        <v>175</v>
      </c>
      <c r="M1968" s="14" t="s">
        <v>176</v>
      </c>
      <c r="N1968" s="14">
        <v>1629</v>
      </c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14"/>
    </row>
    <row r="1969" spans="1:27" s="3" customFormat="1" hidden="1" outlineLevel="1" x14ac:dyDescent="0.25">
      <c r="A1969" s="14"/>
      <c r="B1969" s="28" t="s">
        <v>16</v>
      </c>
      <c r="C1969" s="29" t="s">
        <v>1479</v>
      </c>
      <c r="D1969" s="29" t="s">
        <v>1469</v>
      </c>
      <c r="E1969" s="29" t="s">
        <v>1480</v>
      </c>
      <c r="F1969" s="29" t="s">
        <v>1481</v>
      </c>
      <c r="G1969" s="30" t="s">
        <v>1482</v>
      </c>
      <c r="H1969" s="14" t="str">
        <f t="shared" si="13"/>
        <v>{初始化日期},</v>
      </c>
      <c r="I1969" s="14"/>
      <c r="J1969" s="14" t="s">
        <v>10</v>
      </c>
      <c r="K1969" s="14" t="s">
        <v>173</v>
      </c>
      <c r="L1969" s="14" t="s">
        <v>9</v>
      </c>
      <c r="M1969" s="14" t="s">
        <v>9</v>
      </c>
      <c r="N1969" s="14">
        <v>1211</v>
      </c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  <c r="AA1969" s="14"/>
    </row>
    <row r="1970" spans="1:27" s="3" customFormat="1" hidden="1" outlineLevel="1" x14ac:dyDescent="0.25">
      <c r="A1970" s="14"/>
      <c r="B1970" s="28" t="s">
        <v>112</v>
      </c>
      <c r="C1970" s="29" t="s">
        <v>1555</v>
      </c>
      <c r="D1970" s="29" t="s">
        <v>1469</v>
      </c>
      <c r="E1970" s="29">
        <v>0</v>
      </c>
      <c r="F1970" s="29" t="s">
        <v>1470</v>
      </c>
      <c r="G1970" s="30" t="s">
        <v>1556</v>
      </c>
      <c r="H1970" s="14" t="str">
        <f t="shared" si="13"/>
        <v>{机构编号},</v>
      </c>
      <c r="I1970" s="14"/>
      <c r="J1970" s="14" t="s">
        <v>10</v>
      </c>
      <c r="K1970" s="14" t="s">
        <v>173</v>
      </c>
      <c r="L1970" s="14" t="s">
        <v>9</v>
      </c>
      <c r="M1970" s="14" t="s">
        <v>9</v>
      </c>
      <c r="N1970" s="14">
        <v>1606</v>
      </c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</row>
    <row r="1971" spans="1:27" s="3" customFormat="1" hidden="1" outlineLevel="1" x14ac:dyDescent="0.25">
      <c r="B1971" s="28" t="s">
        <v>13</v>
      </c>
      <c r="C1971" s="29" t="s">
        <v>1474</v>
      </c>
      <c r="D1971" s="29" t="s">
        <v>1469</v>
      </c>
      <c r="E1971" s="29">
        <v>0</v>
      </c>
      <c r="F1971" s="29" t="s">
        <v>1470</v>
      </c>
      <c r="G1971" s="30"/>
      <c r="H1971" s="3" t="str">
        <f t="shared" si="13"/>
        <v>{资产账户编号},</v>
      </c>
      <c r="J1971" s="3" t="s">
        <v>10</v>
      </c>
      <c r="N1971" s="3">
        <v>2534</v>
      </c>
    </row>
    <row r="1972" spans="1:27" s="3" customFormat="1" hidden="1" outlineLevel="1" x14ac:dyDescent="0.25">
      <c r="A1972" s="14"/>
      <c r="B1972" s="28" t="s">
        <v>7</v>
      </c>
      <c r="C1972" s="29" t="s">
        <v>1468</v>
      </c>
      <c r="D1972" s="29" t="s">
        <v>1469</v>
      </c>
      <c r="E1972" s="29">
        <v>0</v>
      </c>
      <c r="F1972" s="29" t="s">
        <v>1470</v>
      </c>
      <c r="G1972" s="30" t="s">
        <v>1471</v>
      </c>
      <c r="H1972" s="14" t="str">
        <f t="shared" si="13"/>
        <v>{产品编号},</v>
      </c>
      <c r="I1972" s="14"/>
      <c r="J1972" s="14" t="s">
        <v>10</v>
      </c>
      <c r="K1972" s="14" t="s">
        <v>173</v>
      </c>
      <c r="L1972" s="14" t="s">
        <v>9</v>
      </c>
      <c r="M1972" s="14" t="s">
        <v>9</v>
      </c>
      <c r="N1972" s="14">
        <v>1112</v>
      </c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</row>
    <row r="1973" spans="1:27" s="3" customFormat="1" hidden="1" outlineLevel="1" x14ac:dyDescent="0.25">
      <c r="A1973" s="14"/>
      <c r="B1973" s="116" t="s">
        <v>11</v>
      </c>
      <c r="C1973" s="117" t="s">
        <v>1472</v>
      </c>
      <c r="D1973" s="117" t="s">
        <v>1469</v>
      </c>
      <c r="E1973" s="29">
        <v>0</v>
      </c>
      <c r="F1973" s="29" t="s">
        <v>1470</v>
      </c>
      <c r="G1973" s="30" t="s">
        <v>1473</v>
      </c>
      <c r="H1973" s="14" t="str">
        <f t="shared" si="13"/>
        <v>{交易组编号},</v>
      </c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</row>
    <row r="1974" spans="1:27" s="3" customFormat="1" hidden="1" outlineLevel="1" x14ac:dyDescent="0.25">
      <c r="A1974" s="14"/>
      <c r="B1974" s="28" t="s">
        <v>14</v>
      </c>
      <c r="C1974" s="29" t="s">
        <v>1475</v>
      </c>
      <c r="D1974" s="29" t="s">
        <v>1469</v>
      </c>
      <c r="E1974" s="29">
        <v>0</v>
      </c>
      <c r="F1974" s="29" t="s">
        <v>1476</v>
      </c>
      <c r="G1974" s="30" t="s">
        <v>1477</v>
      </c>
      <c r="H1974" s="14" t="str">
        <f t="shared" si="13"/>
        <v>{市场编号},</v>
      </c>
      <c r="I1974" s="14"/>
      <c r="J1974" s="14" t="s">
        <v>10</v>
      </c>
      <c r="K1974" s="14" t="s">
        <v>173</v>
      </c>
      <c r="L1974" s="14" t="s">
        <v>9</v>
      </c>
      <c r="M1974" s="14" t="s">
        <v>9</v>
      </c>
      <c r="N1974" s="14">
        <v>2534</v>
      </c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</row>
    <row r="1975" spans="1:27" s="3" customFormat="1" hidden="1" outlineLevel="1" x14ac:dyDescent="0.25">
      <c r="A1975" s="14"/>
      <c r="B1975" s="28" t="s">
        <v>346</v>
      </c>
      <c r="C1975" s="29" t="s">
        <v>1755</v>
      </c>
      <c r="D1975" s="29" t="s">
        <v>1469</v>
      </c>
      <c r="E1975" s="29">
        <v>0</v>
      </c>
      <c r="F1975" s="29" t="s">
        <v>1470</v>
      </c>
      <c r="G1975" s="30"/>
      <c r="H1975" s="14" t="str">
        <f t="shared" si="13"/>
        <v>{交易编码编号},</v>
      </c>
      <c r="I1975" s="14"/>
      <c r="J1975" s="14" t="s">
        <v>10</v>
      </c>
      <c r="K1975" s="14" t="s">
        <v>173</v>
      </c>
      <c r="L1975" s="14" t="s">
        <v>9</v>
      </c>
      <c r="M1975" s="14" t="s">
        <v>9</v>
      </c>
      <c r="N1975" s="14">
        <v>2430</v>
      </c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</row>
    <row r="1976" spans="1:27" s="3" customFormat="1" hidden="1" outlineLevel="1" x14ac:dyDescent="0.25">
      <c r="A1976" s="14"/>
      <c r="B1976" s="28" t="s">
        <v>345</v>
      </c>
      <c r="C1976" s="29" t="s">
        <v>1754</v>
      </c>
      <c r="D1976" s="29" t="s">
        <v>1469</v>
      </c>
      <c r="E1976" s="29">
        <v>0</v>
      </c>
      <c r="F1976" s="29" t="s">
        <v>1470</v>
      </c>
      <c r="G1976" s="30"/>
      <c r="H1976" s="14" t="str">
        <f t="shared" si="13"/>
        <v>{合约代码编号},</v>
      </c>
      <c r="I1976" s="14"/>
      <c r="J1976" s="14" t="s">
        <v>10</v>
      </c>
      <c r="K1976" s="14" t="s">
        <v>173</v>
      </c>
      <c r="L1976" s="14" t="s">
        <v>9</v>
      </c>
      <c r="M1976" s="14" t="s">
        <v>9</v>
      </c>
      <c r="N1976" s="14">
        <v>2433</v>
      </c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</row>
    <row r="1977" spans="1:27" s="3" customFormat="1" hidden="1" outlineLevel="1" x14ac:dyDescent="0.25">
      <c r="A1977" s="14"/>
      <c r="B1977" s="28" t="s">
        <v>347</v>
      </c>
      <c r="C1977" s="29" t="s">
        <v>1756</v>
      </c>
      <c r="D1977" s="29" t="s">
        <v>1469</v>
      </c>
      <c r="E1977" s="29">
        <v>0</v>
      </c>
      <c r="F1977" s="29" t="s">
        <v>1476</v>
      </c>
      <c r="G1977" s="30"/>
      <c r="H1977" s="14" t="str">
        <f t="shared" si="13"/>
        <v>{多空类型},</v>
      </c>
      <c r="I1977" s="14"/>
      <c r="J1977" s="14" t="s">
        <v>10</v>
      </c>
      <c r="K1977" s="14" t="s">
        <v>173</v>
      </c>
      <c r="L1977" s="14" t="s">
        <v>9</v>
      </c>
      <c r="M1977" s="14" t="s">
        <v>9</v>
      </c>
      <c r="N1977" s="14">
        <v>2155</v>
      </c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</row>
    <row r="1978" spans="1:27" s="3" customFormat="1" hidden="1" outlineLevel="1" x14ac:dyDescent="0.25">
      <c r="B1978" s="28" t="s">
        <v>348</v>
      </c>
      <c r="C1978" s="29" t="s">
        <v>1757</v>
      </c>
      <c r="D1978" s="29" t="s">
        <v>1469</v>
      </c>
      <c r="E1978" s="29">
        <v>0</v>
      </c>
      <c r="F1978" s="29" t="s">
        <v>2341</v>
      </c>
      <c r="G1978" s="30" t="s">
        <v>2342</v>
      </c>
      <c r="H1978" s="3" t="str">
        <f t="shared" si="13"/>
        <v>{套保标志},</v>
      </c>
    </row>
    <row r="1979" spans="1:27" s="3" customFormat="1" hidden="1" outlineLevel="1" x14ac:dyDescent="0.25">
      <c r="A1979" s="14"/>
      <c r="B1979" s="28" t="s">
        <v>75</v>
      </c>
      <c r="C1979" s="29" t="s">
        <v>1530</v>
      </c>
      <c r="D1979" s="29" t="s">
        <v>1486</v>
      </c>
      <c r="E1979" s="29">
        <v>0</v>
      </c>
      <c r="F1979" s="29" t="s">
        <v>1470</v>
      </c>
      <c r="G1979" s="30" t="s">
        <v>1531</v>
      </c>
      <c r="H1979" s="14" t="str">
        <f t="shared" si="13"/>
        <v>{当前数量},</v>
      </c>
      <c r="I1979" s="14"/>
      <c r="J1979" s="14" t="s">
        <v>20</v>
      </c>
      <c r="K1979" s="14" t="s">
        <v>445</v>
      </c>
      <c r="L1979" s="14" t="s">
        <v>446</v>
      </c>
      <c r="M1979" s="14" t="s">
        <v>446</v>
      </c>
      <c r="N1979" s="14">
        <v>1202</v>
      </c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  <c r="AA1979" s="14"/>
    </row>
    <row r="1980" spans="1:27" s="3" customFormat="1" hidden="1" outlineLevel="1" x14ac:dyDescent="0.25">
      <c r="A1980" s="14"/>
      <c r="B1980" s="185" t="s">
        <v>349</v>
      </c>
      <c r="C1980" s="23" t="s">
        <v>1758</v>
      </c>
      <c r="D1980" s="23" t="s">
        <v>1539</v>
      </c>
      <c r="E1980" s="29">
        <v>0</v>
      </c>
      <c r="F1980" s="29" t="s">
        <v>1470</v>
      </c>
      <c r="G1980" s="30"/>
      <c r="H1980" s="14" t="str">
        <f t="shared" si="13"/>
        <v>{开仓价格},</v>
      </c>
      <c r="I1980" s="14"/>
      <c r="J1980" s="14" t="s">
        <v>10</v>
      </c>
      <c r="K1980" s="14" t="s">
        <v>173</v>
      </c>
      <c r="L1980" s="14" t="s">
        <v>9</v>
      </c>
      <c r="M1980" s="14" t="s">
        <v>9</v>
      </c>
      <c r="N1980" s="14">
        <v>2237</v>
      </c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</row>
    <row r="1981" spans="1:27" s="3" customFormat="1" hidden="1" outlineLevel="1" x14ac:dyDescent="0.25">
      <c r="A1981" s="14"/>
      <c r="B1981" s="185" t="s">
        <v>361</v>
      </c>
      <c r="C1981" s="23" t="s">
        <v>1763</v>
      </c>
      <c r="D1981" s="29" t="s">
        <v>1469</v>
      </c>
      <c r="E1981" s="29" t="s">
        <v>1480</v>
      </c>
      <c r="F1981" s="29" t="s">
        <v>1481</v>
      </c>
      <c r="G1981" s="30"/>
      <c r="H1981" s="14" t="str">
        <f t="shared" si="13"/>
        <v>{开仓日期},</v>
      </c>
      <c r="I1981" s="14"/>
      <c r="J1981" s="14" t="s">
        <v>20</v>
      </c>
      <c r="K1981" s="14" t="s">
        <v>445</v>
      </c>
      <c r="L1981" s="14" t="s">
        <v>446</v>
      </c>
      <c r="M1981" s="14" t="s">
        <v>446</v>
      </c>
      <c r="N1981" s="14">
        <v>1986</v>
      </c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</row>
    <row r="1982" spans="1:27" s="3" customFormat="1" hidden="1" outlineLevel="1" x14ac:dyDescent="0.25">
      <c r="A1982" s="14"/>
      <c r="B1982" s="185" t="s">
        <v>362</v>
      </c>
      <c r="C1982" s="23" t="s">
        <v>1764</v>
      </c>
      <c r="D1982" s="29" t="s">
        <v>1469</v>
      </c>
      <c r="E1982" s="29" t="s">
        <v>1549</v>
      </c>
      <c r="F1982" s="29" t="s">
        <v>1470</v>
      </c>
      <c r="G1982" s="30"/>
      <c r="H1982" s="14" t="str">
        <f t="shared" si="13"/>
        <v>{开仓时间},</v>
      </c>
      <c r="I1982" s="14"/>
      <c r="J1982" s="14" t="s">
        <v>20</v>
      </c>
      <c r="K1982" s="14" t="s">
        <v>445</v>
      </c>
      <c r="L1982" s="14" t="s">
        <v>446</v>
      </c>
      <c r="M1982" s="14" t="s">
        <v>446</v>
      </c>
      <c r="N1982" s="14">
        <v>1262</v>
      </c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</row>
    <row r="1983" spans="1:27" s="3" customFormat="1" hidden="1" outlineLevel="1" x14ac:dyDescent="0.25">
      <c r="B1983" s="185" t="s">
        <v>363</v>
      </c>
      <c r="C1983" s="23" t="s">
        <v>1765</v>
      </c>
      <c r="D1983" s="23" t="s">
        <v>1489</v>
      </c>
      <c r="E1983" s="29">
        <v>0</v>
      </c>
      <c r="F1983" s="29" t="s">
        <v>2336</v>
      </c>
      <c r="G1983" s="30"/>
      <c r="H1983" s="3" t="str">
        <f t="shared" si="13"/>
        <v>{平仓盈亏},</v>
      </c>
    </row>
    <row r="1984" spans="1:27" s="3" customFormat="1" hidden="1" outlineLevel="1" x14ac:dyDescent="0.25">
      <c r="A1984" s="14"/>
      <c r="B1984" s="185" t="s">
        <v>350</v>
      </c>
      <c r="C1984" s="23" t="s">
        <v>1759</v>
      </c>
      <c r="D1984" s="23" t="s">
        <v>1489</v>
      </c>
      <c r="E1984" s="29">
        <v>0</v>
      </c>
      <c r="F1984" s="29" t="s">
        <v>1470</v>
      </c>
      <c r="G1984" s="30"/>
      <c r="H1984" s="14" t="str">
        <f t="shared" si="13"/>
        <v>{盯市盈亏},</v>
      </c>
      <c r="I1984" s="14"/>
      <c r="J1984" s="14" t="s">
        <v>20</v>
      </c>
      <c r="K1984" s="14" t="s">
        <v>445</v>
      </c>
      <c r="L1984" s="14" t="s">
        <v>446</v>
      </c>
      <c r="M1984" s="14" t="s">
        <v>446</v>
      </c>
      <c r="N1984" s="14">
        <v>1317</v>
      </c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14"/>
    </row>
    <row r="1985" spans="1:27" s="3" customFormat="1" hidden="1" outlineLevel="1" x14ac:dyDescent="0.25">
      <c r="A1985" s="14"/>
      <c r="B1985" s="28" t="s">
        <v>351</v>
      </c>
      <c r="C1985" s="29" t="s">
        <v>1760</v>
      </c>
      <c r="D1985" s="29" t="s">
        <v>1489</v>
      </c>
      <c r="E1985" s="29">
        <v>0</v>
      </c>
      <c r="F1985" s="29" t="s">
        <v>1470</v>
      </c>
      <c r="G1985" s="30" t="s">
        <v>1761</v>
      </c>
      <c r="H1985" s="14" t="str">
        <f t="shared" si="13"/>
        <v>{应收保证金},</v>
      </c>
      <c r="I1985" s="14"/>
      <c r="J1985" s="14" t="s">
        <v>20</v>
      </c>
      <c r="K1985" s="14" t="s">
        <v>445</v>
      </c>
      <c r="L1985" s="14" t="s">
        <v>446</v>
      </c>
      <c r="M1985" s="14" t="s">
        <v>446</v>
      </c>
      <c r="N1985" s="14">
        <v>1721</v>
      </c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</row>
    <row r="1986" spans="1:27" s="3" customFormat="1" ht="17.399999999999999" hidden="1" customHeight="1" outlineLevel="1" thickBot="1" x14ac:dyDescent="0.3">
      <c r="A1986" s="14"/>
      <c r="B1986" s="31"/>
      <c r="C1986" s="20"/>
      <c r="D1986" s="20"/>
      <c r="E1986" s="20"/>
      <c r="F1986" s="20"/>
      <c r="G1986" s="22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</row>
    <row r="1987" spans="1:27" s="3" customFormat="1" ht="17.399999999999999" hidden="1" customHeight="1" outlineLevel="1" x14ac:dyDescent="0.25">
      <c r="A1987" s="14"/>
      <c r="B1987" s="401" t="s">
        <v>28</v>
      </c>
      <c r="C1987" s="402"/>
      <c r="D1987" s="402"/>
      <c r="E1987" s="402"/>
      <c r="F1987" s="402"/>
      <c r="G1987" s="403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</row>
    <row r="1988" spans="1:27" s="3" customFormat="1" ht="17.399999999999999" hidden="1" customHeight="1" outlineLevel="1" x14ac:dyDescent="0.25">
      <c r="A1988" s="14"/>
      <c r="B1988" s="116"/>
      <c r="C1988" s="117"/>
      <c r="D1988" s="117"/>
      <c r="E1988" s="117"/>
      <c r="F1988" s="117"/>
      <c r="G1988" s="105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14"/>
    </row>
    <row r="1989" spans="1:27" s="3" customFormat="1" ht="17.399999999999999" hidden="1" customHeight="1" outlineLevel="1" thickBot="1" x14ac:dyDescent="0.3">
      <c r="A1989" s="14"/>
      <c r="B1989" s="116"/>
      <c r="C1989" s="117"/>
      <c r="D1989" s="117"/>
      <c r="E1989" s="117"/>
      <c r="F1989" s="117"/>
      <c r="G1989" s="105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  <c r="AA1989" s="14"/>
    </row>
    <row r="1990" spans="1:27" s="3" customFormat="1" ht="17.399999999999999" hidden="1" customHeight="1" outlineLevel="1" x14ac:dyDescent="0.25">
      <c r="A1990" s="14"/>
      <c r="B1990" s="401" t="s">
        <v>29</v>
      </c>
      <c r="C1990" s="402"/>
      <c r="D1990" s="402"/>
      <c r="E1990" s="402"/>
      <c r="F1990" s="402"/>
      <c r="G1990" s="403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</row>
    <row r="1991" spans="1:27" s="7" customFormat="1" ht="16.5" hidden="1" customHeight="1" outlineLevel="1" x14ac:dyDescent="0.25">
      <c r="A1991" s="14"/>
      <c r="B1991" s="308" t="s">
        <v>559</v>
      </c>
      <c r="C1991" s="309"/>
      <c r="D1991" s="309"/>
      <c r="E1991" s="309"/>
      <c r="F1991" s="309"/>
      <c r="G1991" s="310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</row>
    <row r="1992" spans="1:27" s="7" customFormat="1" ht="17.399999999999999" hidden="1" customHeight="1" outlineLevel="1" thickBot="1" x14ac:dyDescent="0.3">
      <c r="A1992" s="14"/>
      <c r="B1992" s="305" t="s">
        <v>560</v>
      </c>
      <c r="C1992" s="306"/>
      <c r="D1992" s="306"/>
      <c r="E1992" s="306"/>
      <c r="F1992" s="306"/>
      <c r="G1992" s="307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</row>
    <row r="1993" spans="1:27" s="7" customFormat="1" ht="16.5" hidden="1" customHeight="1" outlineLevel="1" x14ac:dyDescent="0.25">
      <c r="A1993" s="14"/>
      <c r="B1993" s="308" t="s">
        <v>561</v>
      </c>
      <c r="C1993" s="309"/>
      <c r="D1993" s="309"/>
      <c r="E1993" s="309"/>
      <c r="F1993" s="309"/>
      <c r="G1993" s="310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4"/>
    </row>
    <row r="1994" spans="1:27" s="3" customFormat="1" hidden="1" outlineLevel="1" x14ac:dyDescent="0.25">
      <c r="A1994" s="14"/>
      <c r="B1994" s="28"/>
      <c r="C1994" s="29"/>
      <c r="D1994" s="29"/>
      <c r="E1994" s="29"/>
      <c r="F1994" s="29"/>
      <c r="G1994" s="30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14"/>
    </row>
    <row r="1995" spans="1:27" s="3" customFormat="1" hidden="1" outlineLevel="1" x14ac:dyDescent="0.25">
      <c r="A1995" s="14"/>
      <c r="B1995" s="28"/>
      <c r="C1995" s="29"/>
      <c r="D1995" s="29"/>
      <c r="E1995" s="29"/>
      <c r="F1995" s="29"/>
      <c r="G1995" s="30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4"/>
    </row>
    <row r="1996" spans="1:27" s="3" customFormat="1" hidden="1" outlineLevel="1" x14ac:dyDescent="0.25">
      <c r="A1996" s="14"/>
      <c r="B1996" s="28" t="s">
        <v>651</v>
      </c>
      <c r="C1996" s="29"/>
      <c r="D1996" s="29"/>
      <c r="E1996" s="29"/>
      <c r="F1996" s="29"/>
      <c r="G1996" s="375" t="s">
        <v>2446</v>
      </c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</row>
    <row r="1997" spans="1:27" s="3" customFormat="1" hidden="1" outlineLevel="1" x14ac:dyDescent="0.25">
      <c r="A1997" s="14"/>
      <c r="B1997" s="28"/>
      <c r="C1997" s="29"/>
      <c r="D1997" s="29"/>
      <c r="E1997" s="29"/>
      <c r="F1997" s="29"/>
      <c r="G1997" s="30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</row>
    <row r="1998" spans="1:27" s="3" customFormat="1" hidden="1" outlineLevel="1" x14ac:dyDescent="0.25">
      <c r="A1998" s="14"/>
      <c r="B1998" s="28"/>
      <c r="C1998" s="29"/>
      <c r="D1998" s="29"/>
      <c r="E1998" s="29"/>
      <c r="F1998" s="29"/>
      <c r="G1998" s="30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  <c r="AA1998" s="14"/>
    </row>
    <row r="1999" spans="1:27" s="3" customFormat="1" ht="18.75" hidden="1" customHeight="1" outlineLevel="1" thickBot="1" x14ac:dyDescent="0.3">
      <c r="A1999" s="14"/>
      <c r="B1999" s="163"/>
      <c r="C1999" s="164"/>
      <c r="D1999" s="164"/>
      <c r="E1999" s="164"/>
      <c r="F1999" s="164"/>
      <c r="G1999" s="165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14"/>
    </row>
    <row r="2000" spans="1:27" ht="16.2" hidden="1" outlineLevel="1" thickBot="1" x14ac:dyDescent="0.3"/>
    <row r="2001" spans="1:27" s="6" customFormat="1" ht="16.2" collapsed="1" thickBot="1" x14ac:dyDescent="0.3">
      <c r="A2001" s="14"/>
      <c r="B2001" s="15" t="s">
        <v>1279</v>
      </c>
      <c r="C2001" s="16" t="s">
        <v>2008</v>
      </c>
      <c r="D2001" s="17" t="s">
        <v>1281</v>
      </c>
      <c r="E2001" s="16" t="s">
        <v>652</v>
      </c>
      <c r="F2001" s="17" t="s">
        <v>1282</v>
      </c>
      <c r="G2001" s="192" t="s">
        <v>2009</v>
      </c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</row>
    <row r="2002" spans="1:27" s="6" customFormat="1" hidden="1" outlineLevel="1" x14ac:dyDescent="0.25">
      <c r="A2002" s="14"/>
      <c r="B2002" s="179" t="s">
        <v>1284</v>
      </c>
      <c r="C2002" s="29" t="s">
        <v>1285</v>
      </c>
      <c r="D2002" s="180" t="s">
        <v>1286</v>
      </c>
      <c r="E2002" s="29" t="s">
        <v>2010</v>
      </c>
      <c r="F2002" s="180" t="s">
        <v>1288</v>
      </c>
      <c r="G2002" s="30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</row>
    <row r="2003" spans="1:27" s="6" customFormat="1" ht="16.2" hidden="1" outlineLevel="1" thickBot="1" x14ac:dyDescent="0.3">
      <c r="A2003" s="14"/>
      <c r="B2003" s="193" t="s">
        <v>1290</v>
      </c>
      <c r="C2003" s="164" t="s">
        <v>1291</v>
      </c>
      <c r="D2003" s="194" t="s">
        <v>1292</v>
      </c>
      <c r="E2003" s="164">
        <v>5</v>
      </c>
      <c r="F2003" s="194" t="s">
        <v>1293</v>
      </c>
      <c r="G2003" s="165" t="s">
        <v>1294</v>
      </c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14"/>
    </row>
    <row r="2004" spans="1:27" s="6" customFormat="1" hidden="1" outlineLevel="1" x14ac:dyDescent="0.25">
      <c r="A2004" s="14"/>
      <c r="B2004" s="401" t="s">
        <v>1</v>
      </c>
      <c r="C2004" s="402"/>
      <c r="D2004" s="402"/>
      <c r="E2004" s="402"/>
      <c r="F2004" s="402"/>
      <c r="G2004" s="403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14"/>
    </row>
    <row r="2005" spans="1:27" s="6" customFormat="1" hidden="1" outlineLevel="1" x14ac:dyDescent="0.25">
      <c r="A2005" s="14"/>
      <c r="B2005" s="25" t="s">
        <v>2</v>
      </c>
      <c r="C2005" s="26" t="s">
        <v>3</v>
      </c>
      <c r="D2005" s="26" t="s">
        <v>4</v>
      </c>
      <c r="E2005" s="26" t="s">
        <v>5</v>
      </c>
      <c r="F2005" s="26"/>
      <c r="G2005" s="27" t="s">
        <v>6</v>
      </c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</row>
    <row r="2006" spans="1:27" s="4" customFormat="1" ht="17.399999999999999" hidden="1" customHeight="1" outlineLevel="1" x14ac:dyDescent="0.35">
      <c r="A2006" s="5"/>
      <c r="B2006" s="57" t="s">
        <v>7</v>
      </c>
      <c r="C2006" s="58" t="s">
        <v>1468</v>
      </c>
      <c r="D2006" s="58" t="s">
        <v>1469</v>
      </c>
      <c r="E2006" s="58">
        <v>0</v>
      </c>
      <c r="F2006" s="58" t="s">
        <v>1470</v>
      </c>
      <c r="G2006" s="59" t="s">
        <v>1471</v>
      </c>
      <c r="J2006" s="4" t="s">
        <v>10</v>
      </c>
      <c r="K2006" s="4" t="s">
        <v>173</v>
      </c>
      <c r="L2006" s="4" t="s">
        <v>9</v>
      </c>
      <c r="M2006" s="4" t="s">
        <v>9</v>
      </c>
      <c r="N2006" s="4">
        <v>1112</v>
      </c>
    </row>
    <row r="2007" spans="1:27" s="4" customFormat="1" ht="17.399999999999999" hidden="1" customHeight="1" outlineLevel="1" x14ac:dyDescent="0.35">
      <c r="A2007" s="5"/>
      <c r="B2007" s="57" t="s">
        <v>11</v>
      </c>
      <c r="C2007" s="58" t="s">
        <v>1472</v>
      </c>
      <c r="D2007" s="58" t="s">
        <v>1469</v>
      </c>
      <c r="E2007" s="58">
        <v>0</v>
      </c>
      <c r="F2007" s="58" t="s">
        <v>1470</v>
      </c>
      <c r="G2007" s="59" t="s">
        <v>1473</v>
      </c>
      <c r="J2007" s="4" t="s">
        <v>12</v>
      </c>
      <c r="K2007" s="4" t="s">
        <v>174</v>
      </c>
      <c r="L2007" s="4" t="s">
        <v>175</v>
      </c>
      <c r="M2007" s="4" t="s">
        <v>176</v>
      </c>
      <c r="N2007" s="4">
        <v>1700</v>
      </c>
    </row>
    <row r="2008" spans="1:27" s="4" customFormat="1" ht="17.399999999999999" hidden="1" customHeight="1" outlineLevel="1" x14ac:dyDescent="0.35">
      <c r="A2008" s="5"/>
      <c r="B2008" s="60" t="s">
        <v>13</v>
      </c>
      <c r="C2008" s="61" t="s">
        <v>1474</v>
      </c>
      <c r="D2008" s="61" t="s">
        <v>1469</v>
      </c>
      <c r="E2008" s="61">
        <v>0</v>
      </c>
      <c r="F2008" s="61" t="s">
        <v>1470</v>
      </c>
      <c r="G2008" s="62"/>
      <c r="H2008" s="63"/>
      <c r="J2008" s="4" t="s">
        <v>10</v>
      </c>
      <c r="K2008" s="4" t="s">
        <v>173</v>
      </c>
      <c r="L2008" s="4" t="s">
        <v>9</v>
      </c>
      <c r="M2008" s="4" t="s">
        <v>9</v>
      </c>
      <c r="N2008" s="4">
        <v>2534</v>
      </c>
    </row>
    <row r="2009" spans="1:27" s="4" customFormat="1" ht="17.399999999999999" hidden="1" customHeight="1" outlineLevel="1" x14ac:dyDescent="0.35">
      <c r="A2009" s="5"/>
      <c r="B2009" s="60" t="s">
        <v>14</v>
      </c>
      <c r="C2009" s="61" t="s">
        <v>1475</v>
      </c>
      <c r="D2009" s="61" t="s">
        <v>1469</v>
      </c>
      <c r="E2009" s="61">
        <v>0</v>
      </c>
      <c r="F2009" s="61" t="s">
        <v>1476</v>
      </c>
      <c r="G2009" s="62" t="s">
        <v>1477</v>
      </c>
      <c r="H2009" s="63"/>
      <c r="J2009" s="4" t="s">
        <v>10</v>
      </c>
      <c r="K2009" s="4" t="s">
        <v>173</v>
      </c>
      <c r="L2009" s="4" t="s">
        <v>9</v>
      </c>
      <c r="M2009" s="4" t="s">
        <v>9</v>
      </c>
      <c r="N2009" s="4">
        <v>2155</v>
      </c>
    </row>
    <row r="2010" spans="1:27" s="4" customFormat="1" ht="17.399999999999999" hidden="1" customHeight="1" outlineLevel="1" x14ac:dyDescent="0.35">
      <c r="A2010" s="5"/>
      <c r="B2010" s="60" t="s">
        <v>15</v>
      </c>
      <c r="C2010" s="61" t="s">
        <v>1478</v>
      </c>
      <c r="D2010" s="61" t="s">
        <v>1469</v>
      </c>
      <c r="E2010" s="61">
        <v>0</v>
      </c>
      <c r="F2010" s="61" t="s">
        <v>1470</v>
      </c>
      <c r="G2010" s="62"/>
      <c r="H2010" s="63"/>
      <c r="J2010" s="4" t="s">
        <v>10</v>
      </c>
      <c r="K2010" s="4" t="s">
        <v>173</v>
      </c>
      <c r="L2010" s="4" t="s">
        <v>9</v>
      </c>
      <c r="M2010" s="4" t="s">
        <v>9</v>
      </c>
      <c r="N2010" s="4">
        <v>2430</v>
      </c>
    </row>
    <row r="2011" spans="1:27" s="4" customFormat="1" ht="17.399999999999999" hidden="1" customHeight="1" outlineLevel="1" x14ac:dyDescent="0.35">
      <c r="A2011" s="5"/>
      <c r="B2011" s="64" t="s">
        <v>16</v>
      </c>
      <c r="C2011" s="65" t="s">
        <v>1479</v>
      </c>
      <c r="D2011" s="65" t="s">
        <v>1469</v>
      </c>
      <c r="E2011" s="65" t="s">
        <v>1480</v>
      </c>
      <c r="F2011" s="65" t="s">
        <v>1481</v>
      </c>
      <c r="G2011" s="66" t="s">
        <v>1482</v>
      </c>
      <c r="H2011" s="5"/>
      <c r="I2011" s="5"/>
      <c r="J2011" s="5" t="s">
        <v>10</v>
      </c>
      <c r="K2011" s="5" t="s">
        <v>173</v>
      </c>
      <c r="L2011" s="5" t="s">
        <v>9</v>
      </c>
      <c r="M2011" s="5" t="s">
        <v>9</v>
      </c>
      <c r="N2011" s="4">
        <v>1211</v>
      </c>
    </row>
    <row r="2012" spans="1:27" s="4" customFormat="1" ht="17.399999999999999" hidden="1" customHeight="1" outlineLevel="1" x14ac:dyDescent="0.35">
      <c r="A2012" s="5"/>
      <c r="B2012" s="64" t="s">
        <v>17</v>
      </c>
      <c r="C2012" s="65" t="s">
        <v>1483</v>
      </c>
      <c r="D2012" s="65" t="s">
        <v>1469</v>
      </c>
      <c r="E2012" s="65">
        <v>0</v>
      </c>
      <c r="F2012" s="65" t="s">
        <v>1470</v>
      </c>
      <c r="G2012" s="66" t="s">
        <v>1484</v>
      </c>
      <c r="H2012" s="5"/>
      <c r="I2012" s="5"/>
      <c r="J2012" s="5" t="s">
        <v>10</v>
      </c>
      <c r="K2012" s="5" t="s">
        <v>173</v>
      </c>
      <c r="L2012" s="5" t="s">
        <v>9</v>
      </c>
      <c r="M2012" s="5" t="s">
        <v>9</v>
      </c>
      <c r="N2012" s="4">
        <v>1097</v>
      </c>
    </row>
    <row r="2013" spans="1:27" s="6" customFormat="1" ht="16.2" hidden="1" outlineLevel="1" thickBot="1" x14ac:dyDescent="0.3">
      <c r="A2013" s="14"/>
      <c r="B2013" s="185"/>
      <c r="C2013" s="23"/>
      <c r="D2013" s="23"/>
      <c r="E2013" s="23"/>
      <c r="F2013" s="23"/>
      <c r="G2013" s="24"/>
      <c r="H2013" s="14"/>
      <c r="I2013" s="14"/>
      <c r="J2013" s="14" t="s">
        <v>187</v>
      </c>
      <c r="K2013" s="14" t="s">
        <v>438</v>
      </c>
      <c r="L2013" s="14" t="s">
        <v>537</v>
      </c>
      <c r="M2013" s="14" t="s">
        <v>187</v>
      </c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  <c r="AA2013" s="14"/>
    </row>
    <row r="2014" spans="1:27" s="6" customFormat="1" hidden="1" outlineLevel="1" x14ac:dyDescent="0.25">
      <c r="A2014" s="14"/>
      <c r="B2014" s="401" t="s">
        <v>18</v>
      </c>
      <c r="C2014" s="402"/>
      <c r="D2014" s="402"/>
      <c r="E2014" s="402"/>
      <c r="F2014" s="402"/>
      <c r="G2014" s="403"/>
      <c r="H2014" s="14"/>
      <c r="I2014" s="14"/>
      <c r="J2014" s="14" t="s">
        <v>10</v>
      </c>
      <c r="K2014" s="14" t="s">
        <v>173</v>
      </c>
      <c r="L2014" s="14" t="s">
        <v>9</v>
      </c>
      <c r="M2014" s="14" t="s">
        <v>9</v>
      </c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14"/>
    </row>
    <row r="2015" spans="1:27" s="6" customFormat="1" hidden="1" outlineLevel="1" x14ac:dyDescent="0.25">
      <c r="A2015" s="14"/>
      <c r="B2015" s="25" t="s">
        <v>2</v>
      </c>
      <c r="C2015" s="26" t="s">
        <v>3</v>
      </c>
      <c r="D2015" s="26" t="s">
        <v>4</v>
      </c>
      <c r="E2015" s="26" t="s">
        <v>5</v>
      </c>
      <c r="F2015" s="26"/>
      <c r="G2015" s="27" t="s">
        <v>6</v>
      </c>
      <c r="H2015" s="14"/>
      <c r="I2015" s="14"/>
      <c r="J2015" s="14" t="s">
        <v>20</v>
      </c>
      <c r="K2015" s="14" t="s">
        <v>445</v>
      </c>
      <c r="L2015" s="14" t="s">
        <v>446</v>
      </c>
      <c r="M2015" s="14" t="s">
        <v>446</v>
      </c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</row>
    <row r="2016" spans="1:27" s="6" customFormat="1" hidden="1" outlineLevel="1" x14ac:dyDescent="0.25">
      <c r="A2016" s="14"/>
      <c r="B2016" s="185" t="s">
        <v>15</v>
      </c>
      <c r="C2016" s="23" t="s">
        <v>1478</v>
      </c>
      <c r="D2016" s="23" t="s">
        <v>1469</v>
      </c>
      <c r="E2016" s="23">
        <v>0</v>
      </c>
      <c r="F2016" s="23" t="s">
        <v>1470</v>
      </c>
      <c r="G2016" s="24"/>
      <c r="H2016" s="14"/>
      <c r="I2016" s="14"/>
      <c r="J2016" s="14" t="s">
        <v>10</v>
      </c>
      <c r="K2016" s="14" t="s">
        <v>173</v>
      </c>
      <c r="L2016" s="14" t="s">
        <v>9</v>
      </c>
      <c r="M2016" s="14" t="s">
        <v>9</v>
      </c>
      <c r="N2016" s="14">
        <v>2430</v>
      </c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</row>
    <row r="2017" spans="1:27" s="6" customFormat="1" hidden="1" outlineLevel="1" x14ac:dyDescent="0.25">
      <c r="A2017" s="14"/>
      <c r="B2017" s="185" t="s">
        <v>14</v>
      </c>
      <c r="C2017" s="23" t="s">
        <v>1475</v>
      </c>
      <c r="D2017" s="23" t="s">
        <v>1469</v>
      </c>
      <c r="E2017" s="23">
        <v>0</v>
      </c>
      <c r="F2017" s="23" t="s">
        <v>1476</v>
      </c>
      <c r="G2017" s="24" t="s">
        <v>1477</v>
      </c>
      <c r="H2017" s="14"/>
      <c r="I2017" s="14"/>
      <c r="J2017" s="14" t="s">
        <v>10</v>
      </c>
      <c r="K2017" s="14" t="s">
        <v>173</v>
      </c>
      <c r="L2017" s="14" t="s">
        <v>9</v>
      </c>
      <c r="M2017" s="14" t="s">
        <v>9</v>
      </c>
      <c r="N2017" s="14">
        <v>2155</v>
      </c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</row>
    <row r="2018" spans="1:27" s="6" customFormat="1" hidden="1" outlineLevel="1" x14ac:dyDescent="0.25">
      <c r="A2018" s="14"/>
      <c r="B2018" s="185" t="s">
        <v>32</v>
      </c>
      <c r="C2018" s="23" t="s">
        <v>1496</v>
      </c>
      <c r="D2018" s="23" t="s">
        <v>1486</v>
      </c>
      <c r="E2018" s="23">
        <v>0</v>
      </c>
      <c r="F2018" s="23"/>
      <c r="G2018" s="24"/>
      <c r="H2018" s="14"/>
      <c r="I2018" s="14"/>
      <c r="J2018" s="14" t="s">
        <v>20</v>
      </c>
      <c r="K2018" s="14" t="s">
        <v>445</v>
      </c>
      <c r="L2018" s="14" t="s">
        <v>446</v>
      </c>
      <c r="M2018" s="14" t="s">
        <v>446</v>
      </c>
      <c r="N2018" s="14">
        <v>2055</v>
      </c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</row>
    <row r="2019" spans="1:27" s="6" customFormat="1" hidden="1" outlineLevel="1" x14ac:dyDescent="0.25">
      <c r="A2019" s="14"/>
      <c r="B2019" s="185" t="s">
        <v>653</v>
      </c>
      <c r="C2019" s="23" t="s">
        <v>2070</v>
      </c>
      <c r="D2019" s="23" t="s">
        <v>1486</v>
      </c>
      <c r="E2019" s="23">
        <v>0</v>
      </c>
      <c r="F2019" s="23"/>
      <c r="G2019" s="24"/>
      <c r="H2019" s="14"/>
      <c r="I2019" s="14"/>
      <c r="J2019" s="14" t="s">
        <v>20</v>
      </c>
      <c r="K2019" s="14" t="s">
        <v>445</v>
      </c>
      <c r="L2019" s="14" t="s">
        <v>446</v>
      </c>
      <c r="M2019" s="14" t="s">
        <v>446</v>
      </c>
      <c r="N2019" s="14">
        <v>1878</v>
      </c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</row>
    <row r="2020" spans="1:27" s="6" customFormat="1" hidden="1" outlineLevel="1" x14ac:dyDescent="0.25">
      <c r="A2020" s="14"/>
      <c r="B2020" s="185" t="s">
        <v>654</v>
      </c>
      <c r="C2020" s="23" t="s">
        <v>2071</v>
      </c>
      <c r="D2020" s="23" t="s">
        <v>1486</v>
      </c>
      <c r="E2020" s="23">
        <v>0</v>
      </c>
      <c r="F2020" s="23"/>
      <c r="G2020" s="24"/>
      <c r="H2020" s="14"/>
      <c r="I2020" s="14"/>
      <c r="J2020" s="14" t="s">
        <v>20</v>
      </c>
      <c r="K2020" s="14" t="s">
        <v>445</v>
      </c>
      <c r="L2020" s="14" t="s">
        <v>446</v>
      </c>
      <c r="M2020" s="14" t="s">
        <v>446</v>
      </c>
      <c r="N2020" s="14">
        <v>1894</v>
      </c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</row>
    <row r="2021" spans="1:27" s="6" customFormat="1" hidden="1" outlineLevel="1" x14ac:dyDescent="0.25">
      <c r="A2021" s="14"/>
      <c r="B2021" s="185" t="s">
        <v>19</v>
      </c>
      <c r="C2021" s="23" t="s">
        <v>1485</v>
      </c>
      <c r="D2021" s="23" t="s">
        <v>1486</v>
      </c>
      <c r="E2021" s="23">
        <v>0</v>
      </c>
      <c r="F2021" s="23"/>
      <c r="G2021" s="24"/>
      <c r="H2021" s="14"/>
      <c r="I2021" s="14"/>
      <c r="J2021" s="14" t="s">
        <v>20</v>
      </c>
      <c r="K2021" s="14" t="s">
        <v>445</v>
      </c>
      <c r="L2021" s="14" t="s">
        <v>446</v>
      </c>
      <c r="M2021" s="14" t="s">
        <v>446</v>
      </c>
      <c r="N2021" s="14">
        <v>1203</v>
      </c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</row>
    <row r="2022" spans="1:27" s="6" customFormat="1" hidden="1" outlineLevel="1" x14ac:dyDescent="0.25">
      <c r="A2022" s="14"/>
      <c r="B2022" s="185" t="s">
        <v>64</v>
      </c>
      <c r="C2022" s="23" t="s">
        <v>1527</v>
      </c>
      <c r="D2022" s="23" t="s">
        <v>1489</v>
      </c>
      <c r="E2022" s="23">
        <v>0</v>
      </c>
      <c r="F2022" s="23"/>
      <c r="G2022" s="24"/>
      <c r="H2022" s="14"/>
      <c r="I2022" s="14"/>
      <c r="J2022" s="14" t="s">
        <v>20</v>
      </c>
      <c r="K2022" s="14" t="s">
        <v>445</v>
      </c>
      <c r="L2022" s="14" t="s">
        <v>446</v>
      </c>
      <c r="M2022" s="14" t="s">
        <v>446</v>
      </c>
      <c r="N2022" s="14">
        <v>1274</v>
      </c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</row>
    <row r="2023" spans="1:27" s="6" customFormat="1" hidden="1" outlineLevel="1" x14ac:dyDescent="0.25">
      <c r="A2023" s="14"/>
      <c r="B2023" s="185" t="s">
        <v>655</v>
      </c>
      <c r="C2023" s="23" t="s">
        <v>2072</v>
      </c>
      <c r="D2023" s="23" t="s">
        <v>1489</v>
      </c>
      <c r="E2023" s="23">
        <v>0</v>
      </c>
      <c r="F2023" s="23"/>
      <c r="G2023" s="24"/>
      <c r="H2023" s="14"/>
      <c r="I2023" s="14"/>
      <c r="J2023" s="14" t="s">
        <v>20</v>
      </c>
      <c r="K2023" s="14" t="s">
        <v>445</v>
      </c>
      <c r="L2023" s="14" t="s">
        <v>446</v>
      </c>
      <c r="M2023" s="14" t="s">
        <v>446</v>
      </c>
      <c r="N2023" s="14">
        <v>1266</v>
      </c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14"/>
    </row>
    <row r="2024" spans="1:27" s="6" customFormat="1" hidden="1" outlineLevel="1" x14ac:dyDescent="0.25">
      <c r="A2024" s="14"/>
      <c r="B2024" s="185" t="s">
        <v>7</v>
      </c>
      <c r="C2024" s="23" t="s">
        <v>1468</v>
      </c>
      <c r="D2024" s="23" t="s">
        <v>1469</v>
      </c>
      <c r="E2024" s="23">
        <v>0</v>
      </c>
      <c r="F2024" s="23" t="s">
        <v>1470</v>
      </c>
      <c r="G2024" s="24" t="s">
        <v>1471</v>
      </c>
      <c r="H2024" s="14"/>
      <c r="I2024" s="14"/>
      <c r="J2024" s="14" t="s">
        <v>10</v>
      </c>
      <c r="K2024" s="14" t="s">
        <v>173</v>
      </c>
      <c r="L2024" s="14" t="s">
        <v>9</v>
      </c>
      <c r="M2024" s="14" t="s">
        <v>9</v>
      </c>
      <c r="N2024" s="14">
        <v>1112</v>
      </c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</row>
    <row r="2025" spans="1:27" s="6" customFormat="1" hidden="1" outlineLevel="1" x14ac:dyDescent="0.25">
      <c r="A2025" s="14"/>
      <c r="B2025" s="185" t="s">
        <v>156</v>
      </c>
      <c r="C2025" s="23" t="s">
        <v>2064</v>
      </c>
      <c r="D2025" s="23" t="s">
        <v>1652</v>
      </c>
      <c r="E2025" s="23" t="s">
        <v>1594</v>
      </c>
      <c r="F2025" s="23" t="s">
        <v>2065</v>
      </c>
      <c r="G2025" s="24" t="s">
        <v>2066</v>
      </c>
      <c r="H2025" s="14"/>
      <c r="I2025" s="14"/>
      <c r="J2025" s="14" t="s">
        <v>187</v>
      </c>
      <c r="K2025" s="14" t="s">
        <v>438</v>
      </c>
      <c r="L2025" s="14" t="s">
        <v>537</v>
      </c>
      <c r="M2025" s="14" t="s">
        <v>187</v>
      </c>
      <c r="N2025" s="14">
        <v>1139</v>
      </c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</row>
    <row r="2026" spans="1:27" s="6" customFormat="1" hidden="1" outlineLevel="1" x14ac:dyDescent="0.25">
      <c r="A2026" s="14"/>
      <c r="B2026" s="185" t="s">
        <v>11</v>
      </c>
      <c r="C2026" s="23" t="s">
        <v>1472</v>
      </c>
      <c r="D2026" s="23" t="s">
        <v>1469</v>
      </c>
      <c r="E2026" s="23">
        <v>0</v>
      </c>
      <c r="F2026" s="23" t="s">
        <v>1470</v>
      </c>
      <c r="G2026" s="24" t="s">
        <v>1473</v>
      </c>
      <c r="H2026" s="14"/>
      <c r="I2026" s="14"/>
      <c r="J2026" s="14" t="s">
        <v>12</v>
      </c>
      <c r="K2026" s="14" t="s">
        <v>174</v>
      </c>
      <c r="L2026" s="14" t="s">
        <v>175</v>
      </c>
      <c r="M2026" s="14" t="s">
        <v>176</v>
      </c>
      <c r="N2026" s="14">
        <v>1700</v>
      </c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</row>
    <row r="2027" spans="1:27" s="6" customFormat="1" hidden="1" outlineLevel="1" x14ac:dyDescent="0.25">
      <c r="A2027" s="14"/>
      <c r="B2027" s="185" t="s">
        <v>13</v>
      </c>
      <c r="C2027" s="23" t="s">
        <v>1474</v>
      </c>
      <c r="D2027" s="23" t="s">
        <v>1469</v>
      </c>
      <c r="E2027" s="23">
        <v>0</v>
      </c>
      <c r="F2027" s="23" t="s">
        <v>1470</v>
      </c>
      <c r="G2027" s="24"/>
      <c r="H2027" s="14"/>
      <c r="I2027" s="14"/>
      <c r="J2027" s="14" t="s">
        <v>10</v>
      </c>
      <c r="K2027" s="14" t="s">
        <v>173</v>
      </c>
      <c r="L2027" s="14" t="s">
        <v>9</v>
      </c>
      <c r="M2027" s="14" t="s">
        <v>9</v>
      </c>
      <c r="N2027" s="14">
        <v>2534</v>
      </c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</row>
    <row r="2028" spans="1:27" s="6" customFormat="1" ht="16.2" hidden="1" outlineLevel="1" thickBot="1" x14ac:dyDescent="0.3">
      <c r="A2028" s="14"/>
      <c r="B2028" s="185"/>
      <c r="C2028" s="23"/>
      <c r="D2028" s="23"/>
      <c r="E2028" s="23"/>
      <c r="F2028" s="23"/>
      <c r="G2028" s="2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4"/>
    </row>
    <row r="2029" spans="1:27" s="6" customFormat="1" hidden="1" outlineLevel="1" x14ac:dyDescent="0.25">
      <c r="A2029" s="14"/>
      <c r="B2029" s="401" t="s">
        <v>29</v>
      </c>
      <c r="C2029" s="402"/>
      <c r="D2029" s="402"/>
      <c r="E2029" s="402"/>
      <c r="F2029" s="402"/>
      <c r="G2029" s="403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14"/>
    </row>
    <row r="2030" spans="1:27" s="6" customFormat="1" hidden="1" outlineLevel="1" x14ac:dyDescent="0.25">
      <c r="A2030" s="14"/>
      <c r="B2030" s="185"/>
      <c r="C2030" s="23"/>
      <c r="D2030" s="23"/>
      <c r="E2030" s="23"/>
      <c r="F2030" s="23"/>
      <c r="G2030" s="2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</row>
    <row r="2031" spans="1:27" s="6" customFormat="1" hidden="1" outlineLevel="1" x14ac:dyDescent="0.25">
      <c r="A2031" s="14"/>
      <c r="B2031" s="185" t="s">
        <v>656</v>
      </c>
      <c r="C2031" s="23"/>
      <c r="D2031" s="23"/>
      <c r="E2031" s="23"/>
      <c r="F2031" s="23"/>
      <c r="G2031" s="374" t="s">
        <v>2447</v>
      </c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</row>
    <row r="2032" spans="1:27" s="6" customFormat="1" hidden="1" outlineLevel="1" x14ac:dyDescent="0.25">
      <c r="A2032" s="14"/>
      <c r="B2032" s="185"/>
      <c r="C2032" s="23"/>
      <c r="D2032" s="23"/>
      <c r="E2032" s="23"/>
      <c r="F2032" s="23"/>
      <c r="G2032" s="2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</row>
    <row r="2033" spans="1:27" s="6" customFormat="1" ht="16.2" hidden="1" outlineLevel="1" thickBot="1" x14ac:dyDescent="0.3">
      <c r="A2033" s="14"/>
      <c r="B2033" s="163"/>
      <c r="C2033" s="164"/>
      <c r="D2033" s="164"/>
      <c r="E2033" s="164"/>
      <c r="F2033" s="164"/>
      <c r="G2033" s="165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  <c r="AA2033" s="14"/>
    </row>
    <row r="2034" spans="1:27" ht="16.2" hidden="1" outlineLevel="1" thickBot="1" x14ac:dyDescent="0.3"/>
    <row r="2035" spans="1:27" s="6" customFormat="1" ht="16.2" collapsed="1" thickBot="1" x14ac:dyDescent="0.3">
      <c r="A2035" s="14"/>
      <c r="B2035" s="15" t="s">
        <v>1279</v>
      </c>
      <c r="C2035" s="16" t="s">
        <v>2011</v>
      </c>
      <c r="D2035" s="17" t="s">
        <v>1281</v>
      </c>
      <c r="E2035" s="16" t="s">
        <v>657</v>
      </c>
      <c r="F2035" s="17" t="s">
        <v>1282</v>
      </c>
      <c r="G2035" s="192" t="s">
        <v>2012</v>
      </c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</row>
    <row r="2036" spans="1:27" s="6" customFormat="1" hidden="1" outlineLevel="1" x14ac:dyDescent="0.25">
      <c r="A2036" s="14"/>
      <c r="B2036" s="179" t="s">
        <v>1284</v>
      </c>
      <c r="C2036" s="29" t="s">
        <v>1285</v>
      </c>
      <c r="D2036" s="180" t="s">
        <v>1286</v>
      </c>
      <c r="E2036" s="29" t="s">
        <v>2013</v>
      </c>
      <c r="F2036" s="180" t="s">
        <v>1288</v>
      </c>
      <c r="G2036" s="30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</row>
    <row r="2037" spans="1:27" s="6" customFormat="1" ht="16.2" hidden="1" outlineLevel="1" thickBot="1" x14ac:dyDescent="0.3">
      <c r="A2037" s="14"/>
      <c r="B2037" s="193" t="s">
        <v>1290</v>
      </c>
      <c r="C2037" s="164" t="s">
        <v>1291</v>
      </c>
      <c r="D2037" s="194" t="s">
        <v>1292</v>
      </c>
      <c r="E2037" s="164">
        <v>5</v>
      </c>
      <c r="F2037" s="194" t="s">
        <v>1293</v>
      </c>
      <c r="G2037" s="165" t="s">
        <v>1294</v>
      </c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</row>
    <row r="2038" spans="1:27" s="6" customFormat="1" hidden="1" outlineLevel="1" x14ac:dyDescent="0.25">
      <c r="A2038" s="14"/>
      <c r="B2038" s="401" t="s">
        <v>1</v>
      </c>
      <c r="C2038" s="402"/>
      <c r="D2038" s="402"/>
      <c r="E2038" s="402"/>
      <c r="F2038" s="402"/>
      <c r="G2038" s="403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</row>
    <row r="2039" spans="1:27" s="6" customFormat="1" hidden="1" outlineLevel="1" x14ac:dyDescent="0.25">
      <c r="A2039" s="14"/>
      <c r="B2039" s="25" t="s">
        <v>2</v>
      </c>
      <c r="C2039" s="26" t="s">
        <v>3</v>
      </c>
      <c r="D2039" s="26" t="s">
        <v>4</v>
      </c>
      <c r="E2039" s="26" t="s">
        <v>5</v>
      </c>
      <c r="F2039" s="26"/>
      <c r="G2039" s="27" t="s">
        <v>6</v>
      </c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</row>
    <row r="2040" spans="1:27" s="6" customFormat="1" hidden="1" outlineLevel="1" x14ac:dyDescent="0.25">
      <c r="A2040" s="14"/>
      <c r="B2040" s="185" t="s">
        <v>112</v>
      </c>
      <c r="C2040" s="23" t="s">
        <v>1555</v>
      </c>
      <c r="D2040" s="23" t="s">
        <v>1469</v>
      </c>
      <c r="E2040" s="23">
        <v>0</v>
      </c>
      <c r="F2040" s="23" t="s">
        <v>1470</v>
      </c>
      <c r="G2040" s="24" t="s">
        <v>1556</v>
      </c>
      <c r="H2040" s="14"/>
      <c r="I2040" s="14"/>
      <c r="J2040" s="14" t="s">
        <v>10</v>
      </c>
      <c r="K2040" s="14" t="s">
        <v>173</v>
      </c>
      <c r="L2040" s="14" t="s">
        <v>9</v>
      </c>
      <c r="M2040" s="14" t="s">
        <v>9</v>
      </c>
      <c r="N2040" s="14">
        <v>1606</v>
      </c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4"/>
    </row>
    <row r="2041" spans="1:27" s="6" customFormat="1" hidden="1" outlineLevel="1" x14ac:dyDescent="0.25">
      <c r="A2041" s="14"/>
      <c r="B2041" s="185" t="s">
        <v>13</v>
      </c>
      <c r="C2041" s="23" t="s">
        <v>1474</v>
      </c>
      <c r="D2041" s="23" t="s">
        <v>1469</v>
      </c>
      <c r="E2041" s="23">
        <v>0</v>
      </c>
      <c r="F2041" s="23" t="s">
        <v>1470</v>
      </c>
      <c r="G2041" s="24"/>
      <c r="H2041" s="14"/>
      <c r="I2041" s="14"/>
      <c r="J2041" s="14" t="s">
        <v>10</v>
      </c>
      <c r="K2041" s="14" t="s">
        <v>173</v>
      </c>
      <c r="L2041" s="14" t="s">
        <v>9</v>
      </c>
      <c r="M2041" s="14" t="s">
        <v>9</v>
      </c>
      <c r="N2041" s="14">
        <v>2534</v>
      </c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</row>
    <row r="2042" spans="1:27" s="6" customFormat="1" hidden="1" outlineLevel="1" x14ac:dyDescent="0.25">
      <c r="A2042" s="14"/>
      <c r="B2042" s="185" t="s">
        <v>16</v>
      </c>
      <c r="C2042" s="23" t="s">
        <v>1479</v>
      </c>
      <c r="D2042" s="23" t="s">
        <v>1469</v>
      </c>
      <c r="E2042" s="23" t="s">
        <v>1480</v>
      </c>
      <c r="F2042" s="23" t="s">
        <v>1481</v>
      </c>
      <c r="G2042" s="24" t="s">
        <v>1482</v>
      </c>
      <c r="H2042" s="14"/>
      <c r="I2042" s="14"/>
      <c r="J2042" s="14" t="s">
        <v>10</v>
      </c>
      <c r="K2042" s="14" t="s">
        <v>173</v>
      </c>
      <c r="L2042" s="14" t="s">
        <v>9</v>
      </c>
      <c r="M2042" s="14" t="s">
        <v>9</v>
      </c>
      <c r="N2042" s="14">
        <v>1211</v>
      </c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</row>
    <row r="2043" spans="1:27" s="6" customFormat="1" hidden="1" outlineLevel="1" x14ac:dyDescent="0.25">
      <c r="A2043" s="14"/>
      <c r="B2043" s="185" t="s">
        <v>302</v>
      </c>
      <c r="C2043" s="23" t="s">
        <v>1727</v>
      </c>
      <c r="D2043" s="23" t="s">
        <v>1606</v>
      </c>
      <c r="E2043" s="23" t="s">
        <v>1594</v>
      </c>
      <c r="F2043" s="23" t="s">
        <v>1470</v>
      </c>
      <c r="G2043" s="24"/>
      <c r="H2043" s="14"/>
      <c r="I2043" s="14"/>
      <c r="J2043" s="14" t="s">
        <v>187</v>
      </c>
      <c r="K2043" s="14" t="s">
        <v>438</v>
      </c>
      <c r="L2043" s="14" t="s">
        <v>537</v>
      </c>
      <c r="M2043" s="14" t="s">
        <v>187</v>
      </c>
      <c r="N2043" s="14">
        <v>1700</v>
      </c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  <c r="AA2043" s="14"/>
    </row>
    <row r="2044" spans="1:27" s="6" customFormat="1" hidden="1" outlineLevel="1" x14ac:dyDescent="0.25">
      <c r="A2044" s="14"/>
      <c r="B2044" s="185" t="s">
        <v>265</v>
      </c>
      <c r="C2044" s="23" t="s">
        <v>1692</v>
      </c>
      <c r="D2044" s="23" t="s">
        <v>1606</v>
      </c>
      <c r="E2044" s="23" t="s">
        <v>1594</v>
      </c>
      <c r="F2044" s="23" t="s">
        <v>1470</v>
      </c>
      <c r="G2044" s="24"/>
      <c r="H2044" s="14"/>
      <c r="I2044" s="14"/>
      <c r="J2044" s="14" t="s">
        <v>187</v>
      </c>
      <c r="K2044" s="14" t="s">
        <v>438</v>
      </c>
      <c r="L2044" s="14" t="s">
        <v>537</v>
      </c>
      <c r="M2044" s="14" t="s">
        <v>187</v>
      </c>
      <c r="N2044" s="14">
        <v>1114</v>
      </c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14"/>
    </row>
    <row r="2045" spans="1:27" s="6" customFormat="1" hidden="1" outlineLevel="1" x14ac:dyDescent="0.25">
      <c r="A2045" s="14"/>
      <c r="B2045" s="185" t="s">
        <v>538</v>
      </c>
      <c r="C2045" s="23" t="s">
        <v>2062</v>
      </c>
      <c r="D2045" s="23" t="s">
        <v>1606</v>
      </c>
      <c r="E2045" s="23" t="s">
        <v>1594</v>
      </c>
      <c r="F2045" s="23"/>
      <c r="G2045" s="24"/>
      <c r="H2045" s="14"/>
      <c r="I2045" s="14"/>
      <c r="J2045" s="14" t="s">
        <v>187</v>
      </c>
      <c r="K2045" s="14" t="s">
        <v>438</v>
      </c>
      <c r="L2045" s="14" t="s">
        <v>537</v>
      </c>
      <c r="M2045" s="14" t="s">
        <v>187</v>
      </c>
      <c r="N2045" s="14">
        <v>1607</v>
      </c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</row>
    <row r="2046" spans="1:27" s="6" customFormat="1" ht="16.2" hidden="1" outlineLevel="1" thickBot="1" x14ac:dyDescent="0.3">
      <c r="A2046" s="14"/>
      <c r="B2046" s="185"/>
      <c r="C2046" s="23"/>
      <c r="D2046" s="23"/>
      <c r="E2046" s="23"/>
      <c r="F2046" s="23"/>
      <c r="G2046" s="24"/>
      <c r="H2046" s="14"/>
      <c r="I2046" s="14"/>
      <c r="J2046" s="14" t="s">
        <v>187</v>
      </c>
      <c r="K2046" s="14" t="s">
        <v>438</v>
      </c>
      <c r="L2046" s="14" t="s">
        <v>537</v>
      </c>
      <c r="M2046" s="14" t="s">
        <v>187</v>
      </c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</row>
    <row r="2047" spans="1:27" s="6" customFormat="1" hidden="1" outlineLevel="1" x14ac:dyDescent="0.25">
      <c r="A2047" s="14"/>
      <c r="B2047" s="401" t="s">
        <v>18</v>
      </c>
      <c r="C2047" s="402"/>
      <c r="D2047" s="402"/>
      <c r="E2047" s="402"/>
      <c r="F2047" s="402"/>
      <c r="G2047" s="403"/>
      <c r="H2047" s="14"/>
      <c r="I2047" s="14"/>
      <c r="J2047" s="14" t="s">
        <v>10</v>
      </c>
      <c r="K2047" s="14" t="s">
        <v>173</v>
      </c>
      <c r="L2047" s="14" t="s">
        <v>9</v>
      </c>
      <c r="M2047" s="14" t="s">
        <v>9</v>
      </c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</row>
    <row r="2048" spans="1:27" s="6" customFormat="1" hidden="1" outlineLevel="1" x14ac:dyDescent="0.25">
      <c r="A2048" s="14"/>
      <c r="B2048" s="25" t="s">
        <v>2</v>
      </c>
      <c r="C2048" s="26" t="s">
        <v>3</v>
      </c>
      <c r="D2048" s="26" t="s">
        <v>4</v>
      </c>
      <c r="E2048" s="26" t="s">
        <v>5</v>
      </c>
      <c r="F2048" s="26"/>
      <c r="G2048" s="27" t="s">
        <v>6</v>
      </c>
      <c r="H2048" s="14"/>
      <c r="I2048" s="14"/>
      <c r="J2048" s="14" t="s">
        <v>20</v>
      </c>
      <c r="K2048" s="14" t="s">
        <v>445</v>
      </c>
      <c r="L2048" s="14" t="s">
        <v>446</v>
      </c>
      <c r="M2048" s="14" t="s">
        <v>446</v>
      </c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  <c r="AA2048" s="14"/>
    </row>
    <row r="2049" spans="1:27" s="6" customFormat="1" hidden="1" outlineLevel="1" x14ac:dyDescent="0.25">
      <c r="A2049" s="14"/>
      <c r="B2049" s="185" t="s">
        <v>15</v>
      </c>
      <c r="C2049" s="23" t="s">
        <v>1478</v>
      </c>
      <c r="D2049" s="23" t="s">
        <v>1469</v>
      </c>
      <c r="E2049" s="23">
        <v>0</v>
      </c>
      <c r="F2049" s="23" t="s">
        <v>1470</v>
      </c>
      <c r="G2049" s="24"/>
      <c r="H2049" s="14"/>
      <c r="I2049" s="14"/>
      <c r="J2049" s="14" t="s">
        <v>10</v>
      </c>
      <c r="K2049" s="14" t="s">
        <v>173</v>
      </c>
      <c r="L2049" s="14" t="s">
        <v>9</v>
      </c>
      <c r="M2049" s="14" t="s">
        <v>9</v>
      </c>
      <c r="N2049" s="14">
        <v>2430</v>
      </c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</row>
    <row r="2050" spans="1:27" s="6" customFormat="1" hidden="1" outlineLevel="1" x14ac:dyDescent="0.25">
      <c r="A2050" s="14"/>
      <c r="B2050" s="185" t="s">
        <v>14</v>
      </c>
      <c r="C2050" s="23" t="s">
        <v>1475</v>
      </c>
      <c r="D2050" s="23" t="s">
        <v>1469</v>
      </c>
      <c r="E2050" s="23">
        <v>0</v>
      </c>
      <c r="F2050" s="23" t="s">
        <v>1476</v>
      </c>
      <c r="G2050" s="24" t="s">
        <v>1477</v>
      </c>
      <c r="H2050" s="14"/>
      <c r="I2050" s="14"/>
      <c r="J2050" s="14" t="s">
        <v>10</v>
      </c>
      <c r="K2050" s="14" t="s">
        <v>173</v>
      </c>
      <c r="L2050" s="14" t="s">
        <v>9</v>
      </c>
      <c r="M2050" s="14" t="s">
        <v>9</v>
      </c>
      <c r="N2050" s="14">
        <v>2155</v>
      </c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4"/>
    </row>
    <row r="2051" spans="1:27" s="6" customFormat="1" hidden="1" outlineLevel="1" x14ac:dyDescent="0.25">
      <c r="A2051" s="14"/>
      <c r="B2051" s="185" t="s">
        <v>19</v>
      </c>
      <c r="C2051" s="23" t="s">
        <v>1485</v>
      </c>
      <c r="D2051" s="23" t="s">
        <v>1486</v>
      </c>
      <c r="E2051" s="23">
        <v>0</v>
      </c>
      <c r="F2051" s="23"/>
      <c r="G2051" s="24"/>
      <c r="H2051" s="14"/>
      <c r="I2051" s="14"/>
      <c r="J2051" s="14" t="s">
        <v>20</v>
      </c>
      <c r="K2051" s="14" t="s">
        <v>445</v>
      </c>
      <c r="L2051" s="14" t="s">
        <v>446</v>
      </c>
      <c r="M2051" s="14" t="s">
        <v>446</v>
      </c>
      <c r="N2051" s="14">
        <v>1203</v>
      </c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</row>
    <row r="2052" spans="1:27" s="6" customFormat="1" hidden="1" outlineLevel="1" x14ac:dyDescent="0.25">
      <c r="A2052" s="14"/>
      <c r="B2052" s="185" t="s">
        <v>75</v>
      </c>
      <c r="C2052" s="23" t="s">
        <v>1530</v>
      </c>
      <c r="D2052" s="23" t="s">
        <v>1486</v>
      </c>
      <c r="E2052" s="23">
        <v>0</v>
      </c>
      <c r="F2052" s="23" t="s">
        <v>1470</v>
      </c>
      <c r="G2052" s="24" t="s">
        <v>1531</v>
      </c>
      <c r="H2052" s="14"/>
      <c r="I2052" s="14"/>
      <c r="J2052" s="14" t="s">
        <v>20</v>
      </c>
      <c r="K2052" s="14" t="s">
        <v>445</v>
      </c>
      <c r="L2052" s="14" t="s">
        <v>446</v>
      </c>
      <c r="M2052" s="14" t="s">
        <v>446</v>
      </c>
      <c r="N2052" s="14">
        <v>1262</v>
      </c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</row>
    <row r="2053" spans="1:27" s="6" customFormat="1" hidden="1" outlineLevel="1" x14ac:dyDescent="0.25">
      <c r="A2053" s="14"/>
      <c r="B2053" s="185" t="s">
        <v>76</v>
      </c>
      <c r="C2053" s="23" t="s">
        <v>1532</v>
      </c>
      <c r="D2053" s="23" t="s">
        <v>1489</v>
      </c>
      <c r="E2053" s="23">
        <v>0</v>
      </c>
      <c r="F2053" s="23"/>
      <c r="G2053" s="24"/>
      <c r="H2053" s="14"/>
      <c r="I2053" s="14"/>
      <c r="J2053" s="14" t="s">
        <v>20</v>
      </c>
      <c r="K2053" s="14" t="s">
        <v>445</v>
      </c>
      <c r="L2053" s="14" t="s">
        <v>446</v>
      </c>
      <c r="M2053" s="14" t="s">
        <v>446</v>
      </c>
      <c r="N2053" s="14">
        <v>1757</v>
      </c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  <c r="AA2053" s="14"/>
    </row>
    <row r="2054" spans="1:27" s="6" customFormat="1" hidden="1" outlineLevel="1" x14ac:dyDescent="0.25">
      <c r="A2054" s="14"/>
      <c r="B2054" s="185" t="s">
        <v>177</v>
      </c>
      <c r="C2054" s="23" t="s">
        <v>1600</v>
      </c>
      <c r="D2054" s="23" t="s">
        <v>1489</v>
      </c>
      <c r="E2054" s="23">
        <v>0</v>
      </c>
      <c r="F2054" s="23" t="s">
        <v>1470</v>
      </c>
      <c r="G2054" s="24"/>
      <c r="H2054" s="14"/>
      <c r="I2054" s="14"/>
      <c r="J2054" s="14" t="s">
        <v>20</v>
      </c>
      <c r="K2054" s="14" t="s">
        <v>445</v>
      </c>
      <c r="L2054" s="14" t="s">
        <v>446</v>
      </c>
      <c r="M2054" s="14" t="s">
        <v>446</v>
      </c>
      <c r="N2054" s="14">
        <v>1752</v>
      </c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  <c r="AA2054" s="14"/>
    </row>
    <row r="2055" spans="1:27" s="6" customFormat="1" hidden="1" outlineLevel="1" x14ac:dyDescent="0.25">
      <c r="A2055" s="14"/>
      <c r="B2055" s="185" t="s">
        <v>658</v>
      </c>
      <c r="C2055" s="23" t="s">
        <v>2073</v>
      </c>
      <c r="D2055" s="23" t="s">
        <v>1567</v>
      </c>
      <c r="E2055" s="23">
        <v>0</v>
      </c>
      <c r="F2055" s="23" t="s">
        <v>1470</v>
      </c>
      <c r="G2055" s="24"/>
      <c r="H2055" s="14"/>
      <c r="I2055" s="14"/>
      <c r="J2055" s="14" t="s">
        <v>12</v>
      </c>
      <c r="K2055" s="14" t="s">
        <v>174</v>
      </c>
      <c r="L2055" s="14" t="s">
        <v>175</v>
      </c>
      <c r="M2055" s="14" t="s">
        <v>176</v>
      </c>
      <c r="N2055" s="14">
        <v>1919</v>
      </c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4"/>
    </row>
    <row r="2056" spans="1:27" s="6" customFormat="1" hidden="1" outlineLevel="1" x14ac:dyDescent="0.25">
      <c r="A2056" s="14"/>
      <c r="B2056" s="185" t="s">
        <v>362</v>
      </c>
      <c r="C2056" s="23" t="s">
        <v>1764</v>
      </c>
      <c r="D2056" s="23" t="s">
        <v>1469</v>
      </c>
      <c r="E2056" s="23" t="s">
        <v>1549</v>
      </c>
      <c r="F2056" s="23" t="s">
        <v>1470</v>
      </c>
      <c r="G2056" s="24"/>
      <c r="H2056" s="14"/>
      <c r="I2056" s="14"/>
      <c r="J2056" s="14" t="s">
        <v>10</v>
      </c>
      <c r="K2056" s="14" t="s">
        <v>173</v>
      </c>
      <c r="L2056" s="14" t="s">
        <v>9</v>
      </c>
      <c r="M2056" s="14" t="s">
        <v>9</v>
      </c>
      <c r="N2056" s="14">
        <v>1756</v>
      </c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</row>
    <row r="2057" spans="1:27" s="6" customFormat="1" hidden="1" outlineLevel="1" x14ac:dyDescent="0.25">
      <c r="A2057" s="14"/>
      <c r="B2057" s="185" t="s">
        <v>7</v>
      </c>
      <c r="C2057" s="23" t="s">
        <v>1468</v>
      </c>
      <c r="D2057" s="23" t="s">
        <v>1469</v>
      </c>
      <c r="E2057" s="23">
        <v>0</v>
      </c>
      <c r="F2057" s="23" t="s">
        <v>1470</v>
      </c>
      <c r="G2057" s="24" t="s">
        <v>1471</v>
      </c>
      <c r="H2057" s="14"/>
      <c r="I2057" s="14"/>
      <c r="J2057" s="14" t="s">
        <v>10</v>
      </c>
      <c r="K2057" s="14" t="s">
        <v>173</v>
      </c>
      <c r="L2057" s="14" t="s">
        <v>9</v>
      </c>
      <c r="M2057" s="14" t="s">
        <v>9</v>
      </c>
      <c r="N2057" s="14">
        <v>1112</v>
      </c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</row>
    <row r="2058" spans="1:27" s="6" customFormat="1" hidden="1" outlineLevel="1" x14ac:dyDescent="0.25">
      <c r="A2058" s="14"/>
      <c r="B2058" s="185" t="s">
        <v>11</v>
      </c>
      <c r="C2058" s="23" t="s">
        <v>1472</v>
      </c>
      <c r="D2058" s="23" t="s">
        <v>1469</v>
      </c>
      <c r="E2058" s="23">
        <v>0</v>
      </c>
      <c r="F2058" s="23" t="s">
        <v>1470</v>
      </c>
      <c r="G2058" s="24" t="s">
        <v>1473</v>
      </c>
      <c r="H2058" s="14"/>
      <c r="I2058" s="14"/>
      <c r="J2058" s="14" t="s">
        <v>12</v>
      </c>
      <c r="K2058" s="14" t="s">
        <v>174</v>
      </c>
      <c r="L2058" s="14" t="s">
        <v>175</v>
      </c>
      <c r="M2058" s="14" t="s">
        <v>176</v>
      </c>
      <c r="N2058" s="14">
        <v>1700</v>
      </c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  <c r="AA2058" s="14"/>
    </row>
    <row r="2059" spans="1:27" s="6" customFormat="1" ht="16.2" hidden="1" outlineLevel="1" thickBot="1" x14ac:dyDescent="0.3">
      <c r="A2059" s="14"/>
      <c r="B2059" s="185" t="s">
        <v>13</v>
      </c>
      <c r="C2059" s="23" t="s">
        <v>1474</v>
      </c>
      <c r="D2059" s="23" t="s">
        <v>1469</v>
      </c>
      <c r="E2059" s="23">
        <v>0</v>
      </c>
      <c r="F2059" s="23" t="s">
        <v>1470</v>
      </c>
      <c r="G2059" s="24"/>
      <c r="H2059" s="14"/>
      <c r="I2059" s="14"/>
      <c r="J2059" s="14" t="s">
        <v>10</v>
      </c>
      <c r="K2059" s="14" t="s">
        <v>173</v>
      </c>
      <c r="L2059" s="14" t="s">
        <v>9</v>
      </c>
      <c r="M2059" s="14" t="s">
        <v>9</v>
      </c>
      <c r="N2059" s="14">
        <v>2534</v>
      </c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</row>
    <row r="2060" spans="1:27" s="6" customFormat="1" hidden="1" outlineLevel="1" x14ac:dyDescent="0.25">
      <c r="A2060" s="14"/>
      <c r="B2060" s="401" t="s">
        <v>29</v>
      </c>
      <c r="C2060" s="402"/>
      <c r="D2060" s="402"/>
      <c r="E2060" s="402"/>
      <c r="F2060" s="402"/>
      <c r="G2060" s="403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</row>
    <row r="2061" spans="1:27" s="6" customFormat="1" hidden="1" outlineLevel="1" x14ac:dyDescent="0.25">
      <c r="A2061" s="14"/>
      <c r="B2061" s="185"/>
      <c r="C2061" s="23"/>
      <c r="D2061" s="23"/>
      <c r="E2061" s="23"/>
      <c r="F2061" s="23"/>
      <c r="G2061" s="2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</row>
    <row r="2062" spans="1:27" s="6" customFormat="1" hidden="1" outlineLevel="1" x14ac:dyDescent="0.25">
      <c r="A2062" s="14"/>
      <c r="B2062" s="185" t="s">
        <v>659</v>
      </c>
      <c r="C2062" s="23"/>
      <c r="D2062" s="23"/>
      <c r="E2062" s="23"/>
      <c r="F2062" s="23"/>
      <c r="G2062" s="374" t="s">
        <v>2448</v>
      </c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</row>
    <row r="2063" spans="1:27" s="6" customFormat="1" hidden="1" outlineLevel="1" x14ac:dyDescent="0.25">
      <c r="A2063" s="14"/>
      <c r="B2063" s="185"/>
      <c r="C2063" s="23"/>
      <c r="D2063" s="23"/>
      <c r="E2063" s="23"/>
      <c r="F2063" s="23"/>
      <c r="G2063" s="2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</row>
    <row r="2064" spans="1:27" s="6" customFormat="1" ht="16.2" hidden="1" outlineLevel="1" thickBot="1" x14ac:dyDescent="0.3">
      <c r="A2064" s="14"/>
      <c r="B2064" s="163"/>
      <c r="C2064" s="164"/>
      <c r="D2064" s="164"/>
      <c r="E2064" s="164"/>
      <c r="F2064" s="164"/>
      <c r="G2064" s="165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  <c r="AA2064" s="14"/>
    </row>
    <row r="2065" spans="1:27" ht="16.2" hidden="1" outlineLevel="1" thickBot="1" x14ac:dyDescent="0.3"/>
    <row r="2066" spans="1:27" s="3" customFormat="1" ht="17.399999999999999" customHeight="1" collapsed="1" thickBot="1" x14ac:dyDescent="0.3">
      <c r="A2066" s="5"/>
      <c r="B2066" s="15" t="s">
        <v>1279</v>
      </c>
      <c r="C2066" s="16" t="s">
        <v>2014</v>
      </c>
      <c r="D2066" s="17" t="s">
        <v>1281</v>
      </c>
      <c r="E2066" s="16" t="s">
        <v>660</v>
      </c>
      <c r="F2066" s="17" t="s">
        <v>1282</v>
      </c>
      <c r="G2066" s="18" t="s">
        <v>2015</v>
      </c>
    </row>
    <row r="2067" spans="1:27" s="3" customFormat="1" ht="17.399999999999999" hidden="1" customHeight="1" outlineLevel="1" x14ac:dyDescent="0.25">
      <c r="A2067" s="5"/>
      <c r="B2067" s="19" t="s">
        <v>1284</v>
      </c>
      <c r="C2067" s="20" t="s">
        <v>1285</v>
      </c>
      <c r="D2067" s="21" t="s">
        <v>1286</v>
      </c>
      <c r="E2067" s="20" t="s">
        <v>2016</v>
      </c>
      <c r="F2067" s="21" t="s">
        <v>1288</v>
      </c>
      <c r="G2067" s="22"/>
    </row>
    <row r="2068" spans="1:27" s="3" customFormat="1" ht="17.399999999999999" hidden="1" customHeight="1" outlineLevel="1" thickBot="1" x14ac:dyDescent="0.3">
      <c r="A2068" s="5"/>
      <c r="B2068" s="19" t="s">
        <v>1290</v>
      </c>
      <c r="C2068" s="23" t="s">
        <v>1291</v>
      </c>
      <c r="D2068" s="21" t="s">
        <v>1292</v>
      </c>
      <c r="E2068" s="23">
        <v>5</v>
      </c>
      <c r="F2068" s="21" t="s">
        <v>1293</v>
      </c>
      <c r="G2068" s="24" t="s">
        <v>1294</v>
      </c>
    </row>
    <row r="2069" spans="1:27" s="3" customFormat="1" ht="17.399999999999999" hidden="1" customHeight="1" outlineLevel="1" x14ac:dyDescent="0.25">
      <c r="A2069" s="5"/>
      <c r="B2069" s="395" t="s">
        <v>1</v>
      </c>
      <c r="C2069" s="396"/>
      <c r="D2069" s="396"/>
      <c r="E2069" s="396"/>
      <c r="F2069" s="396"/>
      <c r="G2069" s="397"/>
    </row>
    <row r="2070" spans="1:27" s="3" customFormat="1" ht="17.399999999999999" hidden="1" customHeight="1" outlineLevel="1" x14ac:dyDescent="0.25">
      <c r="A2070" s="5"/>
      <c r="B2070" s="25" t="s">
        <v>2</v>
      </c>
      <c r="C2070" s="26" t="s">
        <v>3</v>
      </c>
      <c r="D2070" s="26" t="s">
        <v>4</v>
      </c>
      <c r="E2070" s="26" t="s">
        <v>5</v>
      </c>
      <c r="F2070" s="26"/>
      <c r="G2070" s="27" t="s">
        <v>6</v>
      </c>
    </row>
    <row r="2071" spans="1:27" s="3" customFormat="1" hidden="1" outlineLevel="1" x14ac:dyDescent="0.25">
      <c r="B2071" s="28" t="s">
        <v>112</v>
      </c>
      <c r="C2071" s="29" t="s">
        <v>1555</v>
      </c>
      <c r="D2071" s="29" t="s">
        <v>1469</v>
      </c>
      <c r="E2071" s="29">
        <v>0</v>
      </c>
      <c r="F2071" s="29" t="s">
        <v>1470</v>
      </c>
      <c r="G2071" s="30" t="s">
        <v>1556</v>
      </c>
      <c r="J2071" s="3" t="s">
        <v>10</v>
      </c>
      <c r="K2071" s="3" t="s">
        <v>173</v>
      </c>
      <c r="L2071" s="3" t="s">
        <v>9</v>
      </c>
      <c r="M2071" s="3" t="s">
        <v>9</v>
      </c>
      <c r="N2071" s="3">
        <v>1606</v>
      </c>
    </row>
    <row r="2072" spans="1:27" s="3" customFormat="1" hidden="1" outlineLevel="1" x14ac:dyDescent="0.25">
      <c r="B2072" s="28" t="s">
        <v>13</v>
      </c>
      <c r="C2072" s="29" t="s">
        <v>1474</v>
      </c>
      <c r="D2072" s="29" t="s">
        <v>1469</v>
      </c>
      <c r="E2072" s="29">
        <v>0</v>
      </c>
      <c r="F2072" s="29" t="s">
        <v>1470</v>
      </c>
      <c r="G2072" s="30"/>
      <c r="J2072" s="3" t="s">
        <v>10</v>
      </c>
      <c r="K2072" s="3" t="s">
        <v>173</v>
      </c>
      <c r="L2072" s="3" t="s">
        <v>9</v>
      </c>
      <c r="M2072" s="3" t="s">
        <v>9</v>
      </c>
      <c r="N2072" s="3">
        <v>2534</v>
      </c>
    </row>
    <row r="2073" spans="1:27" s="3" customFormat="1" hidden="1" outlineLevel="1" x14ac:dyDescent="0.25">
      <c r="B2073" s="28" t="s">
        <v>302</v>
      </c>
      <c r="C2073" s="29" t="s">
        <v>1727</v>
      </c>
      <c r="D2073" s="29" t="s">
        <v>1606</v>
      </c>
      <c r="E2073" s="29" t="s">
        <v>1594</v>
      </c>
      <c r="F2073" s="29" t="s">
        <v>1470</v>
      </c>
      <c r="G2073" s="30"/>
      <c r="J2073" s="3" t="s">
        <v>187</v>
      </c>
      <c r="K2073" s="3" t="s">
        <v>438</v>
      </c>
      <c r="L2073" s="3" t="s">
        <v>537</v>
      </c>
      <c r="M2073" s="3" t="s">
        <v>187</v>
      </c>
      <c r="N2073" s="3">
        <v>1700</v>
      </c>
    </row>
    <row r="2074" spans="1:27" s="3" customFormat="1" hidden="1" outlineLevel="1" x14ac:dyDescent="0.25">
      <c r="B2074" s="28" t="s">
        <v>265</v>
      </c>
      <c r="C2074" s="29" t="s">
        <v>1692</v>
      </c>
      <c r="D2074" s="29" t="s">
        <v>1606</v>
      </c>
      <c r="E2074" s="29" t="s">
        <v>1594</v>
      </c>
      <c r="F2074" s="29" t="s">
        <v>1470</v>
      </c>
      <c r="G2074" s="30"/>
      <c r="J2074" s="3" t="s">
        <v>187</v>
      </c>
      <c r="K2074" s="3" t="s">
        <v>438</v>
      </c>
      <c r="L2074" s="3" t="s">
        <v>537</v>
      </c>
      <c r="M2074" s="3" t="s">
        <v>187</v>
      </c>
      <c r="N2074" s="3">
        <v>1114</v>
      </c>
    </row>
    <row r="2075" spans="1:27" s="291" customFormat="1" hidden="1" outlineLevel="1" x14ac:dyDescent="0.35">
      <c r="A2075" s="14"/>
      <c r="B2075" s="156" t="s">
        <v>538</v>
      </c>
      <c r="C2075" s="207" t="s">
        <v>2062</v>
      </c>
      <c r="D2075" s="207" t="s">
        <v>1606</v>
      </c>
      <c r="E2075" s="207" t="s">
        <v>1594</v>
      </c>
      <c r="F2075" s="207"/>
      <c r="G2075" s="208"/>
      <c r="H2075" s="14"/>
      <c r="I2075" s="14"/>
      <c r="J2075" s="14" t="s">
        <v>187</v>
      </c>
      <c r="K2075" s="14" t="s">
        <v>438</v>
      </c>
      <c r="L2075" s="14" t="s">
        <v>537</v>
      </c>
      <c r="M2075" s="14" t="s">
        <v>187</v>
      </c>
      <c r="N2075" s="14">
        <v>1607</v>
      </c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</row>
    <row r="2076" spans="1:27" s="291" customFormat="1" ht="16.2" hidden="1" outlineLevel="1" thickBot="1" x14ac:dyDescent="0.4">
      <c r="A2076" s="14"/>
      <c r="B2076" s="156"/>
      <c r="C2076" s="207"/>
      <c r="D2076" s="207"/>
      <c r="E2076" s="207"/>
      <c r="F2076" s="207"/>
      <c r="G2076" s="208"/>
      <c r="H2076" s="14"/>
      <c r="I2076" s="14"/>
      <c r="J2076" s="14" t="s">
        <v>187</v>
      </c>
      <c r="K2076" s="14" t="s">
        <v>438</v>
      </c>
      <c r="L2076" s="14" t="s">
        <v>537</v>
      </c>
      <c r="M2076" s="14" t="s">
        <v>187</v>
      </c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</row>
    <row r="2077" spans="1:27" s="291" customFormat="1" hidden="1" outlineLevel="1" x14ac:dyDescent="0.35">
      <c r="A2077" s="14"/>
      <c r="B2077" s="407" t="s">
        <v>18</v>
      </c>
      <c r="C2077" s="408"/>
      <c r="D2077" s="408"/>
      <c r="E2077" s="408"/>
      <c r="F2077" s="408"/>
      <c r="G2077" s="409"/>
      <c r="H2077" s="14"/>
      <c r="I2077" s="14"/>
      <c r="J2077" s="14" t="s">
        <v>10</v>
      </c>
      <c r="K2077" s="14" t="s">
        <v>173</v>
      </c>
      <c r="L2077" s="14" t="s">
        <v>9</v>
      </c>
      <c r="M2077" s="14" t="s">
        <v>9</v>
      </c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4"/>
    </row>
    <row r="2078" spans="1:27" s="291" customFormat="1" hidden="1" outlineLevel="1" x14ac:dyDescent="0.35">
      <c r="A2078" s="14"/>
      <c r="B2078" s="201" t="s">
        <v>2</v>
      </c>
      <c r="C2078" s="107" t="s">
        <v>3</v>
      </c>
      <c r="D2078" s="107" t="s">
        <v>4</v>
      </c>
      <c r="E2078" s="107" t="s">
        <v>5</v>
      </c>
      <c r="F2078" s="107"/>
      <c r="G2078" s="108" t="s">
        <v>6</v>
      </c>
      <c r="H2078" s="14"/>
      <c r="I2078" s="14"/>
      <c r="J2078" s="14" t="s">
        <v>20</v>
      </c>
      <c r="K2078" s="14" t="s">
        <v>445</v>
      </c>
      <c r="L2078" s="14" t="s">
        <v>446</v>
      </c>
      <c r="M2078" s="14" t="s">
        <v>446</v>
      </c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  <c r="AA2078" s="14"/>
    </row>
    <row r="2079" spans="1:27" s="291" customFormat="1" hidden="1" outlineLevel="1" x14ac:dyDescent="0.35">
      <c r="A2079" s="14"/>
      <c r="B2079" s="156" t="s">
        <v>15</v>
      </c>
      <c r="C2079" s="207" t="s">
        <v>1478</v>
      </c>
      <c r="D2079" s="207" t="s">
        <v>1469</v>
      </c>
      <c r="E2079" s="207">
        <v>0</v>
      </c>
      <c r="F2079" s="207" t="s">
        <v>1470</v>
      </c>
      <c r="G2079" s="208"/>
      <c r="H2079" s="14"/>
      <c r="I2079" s="14"/>
      <c r="J2079" s="14" t="s">
        <v>10</v>
      </c>
      <c r="K2079" s="14" t="s">
        <v>173</v>
      </c>
      <c r="L2079" s="14" t="s">
        <v>9</v>
      </c>
      <c r="M2079" s="14" t="s">
        <v>9</v>
      </c>
      <c r="N2079" s="14">
        <v>2430</v>
      </c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  <c r="AA2079" s="14"/>
    </row>
    <row r="2080" spans="1:27" s="291" customFormat="1" hidden="1" outlineLevel="1" x14ac:dyDescent="0.35">
      <c r="A2080" s="14"/>
      <c r="B2080" s="156" t="s">
        <v>14</v>
      </c>
      <c r="C2080" s="207" t="s">
        <v>1475</v>
      </c>
      <c r="D2080" s="207" t="s">
        <v>1469</v>
      </c>
      <c r="E2080" s="207">
        <v>0</v>
      </c>
      <c r="F2080" s="207" t="s">
        <v>1476</v>
      </c>
      <c r="G2080" s="208" t="s">
        <v>1477</v>
      </c>
      <c r="H2080" s="14"/>
      <c r="I2080" s="14"/>
      <c r="J2080" s="14" t="s">
        <v>10</v>
      </c>
      <c r="K2080" s="14" t="s">
        <v>173</v>
      </c>
      <c r="L2080" s="14" t="s">
        <v>9</v>
      </c>
      <c r="M2080" s="14" t="s">
        <v>9</v>
      </c>
      <c r="N2080" s="14">
        <v>2155</v>
      </c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4"/>
    </row>
    <row r="2081" spans="1:27" s="291" customFormat="1" hidden="1" outlineLevel="1" x14ac:dyDescent="0.35">
      <c r="A2081" s="14"/>
      <c r="B2081" s="156" t="s">
        <v>19</v>
      </c>
      <c r="C2081" s="207" t="s">
        <v>1485</v>
      </c>
      <c r="D2081" s="207" t="s">
        <v>1486</v>
      </c>
      <c r="E2081" s="207">
        <v>0</v>
      </c>
      <c r="F2081" s="207"/>
      <c r="G2081" s="208"/>
      <c r="H2081" s="14"/>
      <c r="I2081" s="14"/>
      <c r="J2081" s="14" t="s">
        <v>20</v>
      </c>
      <c r="K2081" s="14" t="s">
        <v>445</v>
      </c>
      <c r="L2081" s="14" t="s">
        <v>446</v>
      </c>
      <c r="M2081" s="14" t="s">
        <v>446</v>
      </c>
      <c r="N2081" s="14">
        <v>1203</v>
      </c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</row>
    <row r="2082" spans="1:27" s="291" customFormat="1" hidden="1" outlineLevel="1" x14ac:dyDescent="0.35">
      <c r="A2082" s="14"/>
      <c r="B2082" s="156" t="s">
        <v>75</v>
      </c>
      <c r="C2082" s="207" t="s">
        <v>1530</v>
      </c>
      <c r="D2082" s="207" t="s">
        <v>1486</v>
      </c>
      <c r="E2082" s="207">
        <v>0</v>
      </c>
      <c r="F2082" s="207" t="s">
        <v>1470</v>
      </c>
      <c r="G2082" s="208" t="s">
        <v>1531</v>
      </c>
      <c r="H2082" s="14"/>
      <c r="I2082" s="14"/>
      <c r="J2082" s="14" t="s">
        <v>20</v>
      </c>
      <c r="K2082" s="14" t="s">
        <v>445</v>
      </c>
      <c r="L2082" s="14" t="s">
        <v>446</v>
      </c>
      <c r="M2082" s="14" t="s">
        <v>446</v>
      </c>
      <c r="N2082" s="14">
        <v>1262</v>
      </c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</row>
    <row r="2083" spans="1:27" s="291" customFormat="1" hidden="1" outlineLevel="1" x14ac:dyDescent="0.35">
      <c r="A2083" s="14"/>
      <c r="B2083" s="156" t="s">
        <v>76</v>
      </c>
      <c r="C2083" s="207" t="s">
        <v>1532</v>
      </c>
      <c r="D2083" s="207" t="s">
        <v>1489</v>
      </c>
      <c r="E2083" s="207">
        <v>0</v>
      </c>
      <c r="F2083" s="207"/>
      <c r="G2083" s="208"/>
      <c r="H2083" s="14"/>
      <c r="I2083" s="14"/>
      <c r="J2083" s="14" t="s">
        <v>20</v>
      </c>
      <c r="K2083" s="14" t="s">
        <v>445</v>
      </c>
      <c r="L2083" s="14" t="s">
        <v>446</v>
      </c>
      <c r="M2083" s="14" t="s">
        <v>446</v>
      </c>
      <c r="N2083" s="14">
        <v>1757</v>
      </c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  <c r="AA2083" s="14"/>
    </row>
    <row r="2084" spans="1:27" s="291" customFormat="1" hidden="1" outlineLevel="1" x14ac:dyDescent="0.35">
      <c r="A2084" s="14"/>
      <c r="B2084" s="156" t="s">
        <v>177</v>
      </c>
      <c r="C2084" s="207" t="s">
        <v>1600</v>
      </c>
      <c r="D2084" s="207" t="s">
        <v>1489</v>
      </c>
      <c r="E2084" s="207">
        <v>0</v>
      </c>
      <c r="F2084" s="207" t="s">
        <v>1470</v>
      </c>
      <c r="G2084" s="208"/>
      <c r="H2084" s="14"/>
      <c r="I2084" s="14"/>
      <c r="J2084" s="14" t="s">
        <v>20</v>
      </c>
      <c r="K2084" s="14" t="s">
        <v>445</v>
      </c>
      <c r="L2084" s="14" t="s">
        <v>446</v>
      </c>
      <c r="M2084" s="14" t="s">
        <v>446</v>
      </c>
      <c r="N2084" s="14">
        <v>1752</v>
      </c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  <c r="AA2084" s="14"/>
    </row>
    <row r="2085" spans="1:27" s="291" customFormat="1" hidden="1" outlineLevel="1" x14ac:dyDescent="0.35">
      <c r="A2085" s="14"/>
      <c r="B2085" s="156" t="s">
        <v>362</v>
      </c>
      <c r="C2085" s="207" t="s">
        <v>1764</v>
      </c>
      <c r="D2085" s="207" t="s">
        <v>1469</v>
      </c>
      <c r="E2085" s="207" t="s">
        <v>1549</v>
      </c>
      <c r="F2085" s="207" t="s">
        <v>1470</v>
      </c>
      <c r="G2085" s="208"/>
      <c r="H2085" s="14"/>
      <c r="I2085" s="14"/>
      <c r="J2085" s="14" t="s">
        <v>10</v>
      </c>
      <c r="K2085" s="14" t="s">
        <v>173</v>
      </c>
      <c r="L2085" s="14" t="s">
        <v>9</v>
      </c>
      <c r="M2085" s="14" t="s">
        <v>9</v>
      </c>
      <c r="N2085" s="14">
        <v>1756</v>
      </c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4"/>
    </row>
    <row r="2086" spans="1:27" s="291" customFormat="1" hidden="1" outlineLevel="1" x14ac:dyDescent="0.35">
      <c r="A2086" s="14"/>
      <c r="B2086" s="156" t="s">
        <v>7</v>
      </c>
      <c r="C2086" s="207" t="s">
        <v>1468</v>
      </c>
      <c r="D2086" s="207" t="s">
        <v>1469</v>
      </c>
      <c r="E2086" s="207">
        <v>0</v>
      </c>
      <c r="F2086" s="207" t="s">
        <v>1470</v>
      </c>
      <c r="G2086" s="208" t="s">
        <v>1471</v>
      </c>
      <c r="H2086" s="14"/>
      <c r="I2086" s="14"/>
      <c r="J2086" s="14" t="s">
        <v>10</v>
      </c>
      <c r="K2086" s="14" t="s">
        <v>173</v>
      </c>
      <c r="L2086" s="14" t="s">
        <v>9</v>
      </c>
      <c r="M2086" s="14" t="s">
        <v>9</v>
      </c>
      <c r="N2086" s="14">
        <v>1112</v>
      </c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</row>
    <row r="2087" spans="1:27" s="291" customFormat="1" hidden="1" outlineLevel="1" x14ac:dyDescent="0.35">
      <c r="A2087" s="14"/>
      <c r="B2087" s="156" t="s">
        <v>11</v>
      </c>
      <c r="C2087" s="207" t="s">
        <v>1472</v>
      </c>
      <c r="D2087" s="207" t="s">
        <v>1469</v>
      </c>
      <c r="E2087" s="207">
        <v>0</v>
      </c>
      <c r="F2087" s="207" t="s">
        <v>1470</v>
      </c>
      <c r="G2087" s="208" t="s">
        <v>1473</v>
      </c>
      <c r="H2087" s="14"/>
      <c r="I2087" s="14"/>
      <c r="J2087" s="14" t="s">
        <v>12</v>
      </c>
      <c r="K2087" s="14" t="s">
        <v>174</v>
      </c>
      <c r="L2087" s="14" t="s">
        <v>175</v>
      </c>
      <c r="M2087" s="14" t="s">
        <v>176</v>
      </c>
      <c r="N2087" s="14">
        <v>1700</v>
      </c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</row>
    <row r="2088" spans="1:27" s="291" customFormat="1" ht="16.2" hidden="1" outlineLevel="1" thickBot="1" x14ac:dyDescent="0.4">
      <c r="A2088" s="14"/>
      <c r="B2088" s="156" t="s">
        <v>13</v>
      </c>
      <c r="C2088" s="207" t="s">
        <v>1474</v>
      </c>
      <c r="D2088" s="207" t="s">
        <v>1469</v>
      </c>
      <c r="E2088" s="207">
        <v>0</v>
      </c>
      <c r="F2088" s="207" t="s">
        <v>1470</v>
      </c>
      <c r="G2088" s="208"/>
      <c r="H2088" s="14"/>
      <c r="I2088" s="14"/>
      <c r="J2088" s="14" t="s">
        <v>10</v>
      </c>
      <c r="K2088" s="14" t="s">
        <v>173</v>
      </c>
      <c r="L2088" s="14" t="s">
        <v>9</v>
      </c>
      <c r="M2088" s="14" t="s">
        <v>9</v>
      </c>
      <c r="N2088" s="14">
        <v>2534</v>
      </c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  <c r="AA2088" s="14"/>
    </row>
    <row r="2089" spans="1:27" s="291" customFormat="1" hidden="1" outlineLevel="1" x14ac:dyDescent="0.35">
      <c r="A2089" s="14"/>
      <c r="B2089" s="407" t="s">
        <v>28</v>
      </c>
      <c r="C2089" s="408"/>
      <c r="D2089" s="408"/>
      <c r="E2089" s="408"/>
      <c r="F2089" s="408"/>
      <c r="G2089" s="409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  <c r="AA2089" s="14"/>
    </row>
    <row r="2090" spans="1:27" s="291" customFormat="1" hidden="1" outlineLevel="1" x14ac:dyDescent="0.35">
      <c r="A2090" s="14"/>
      <c r="B2090" s="201" t="s">
        <v>2</v>
      </c>
      <c r="C2090" s="107" t="s">
        <v>3</v>
      </c>
      <c r="D2090" s="107" t="s">
        <v>4</v>
      </c>
      <c r="E2090" s="107"/>
      <c r="F2090" s="107"/>
      <c r="G2090" s="108" t="s">
        <v>6</v>
      </c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4"/>
    </row>
    <row r="2091" spans="1:27" s="291" customFormat="1" hidden="1" outlineLevel="1" x14ac:dyDescent="0.35">
      <c r="A2091" s="14"/>
      <c r="B2091" s="204"/>
      <c r="C2091" s="205"/>
      <c r="D2091" s="205"/>
      <c r="E2091" s="205"/>
      <c r="F2091" s="205"/>
      <c r="G2091" s="206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</row>
    <row r="2092" spans="1:27" s="291" customFormat="1" hidden="1" outlineLevel="1" x14ac:dyDescent="0.35">
      <c r="A2092" s="14"/>
      <c r="B2092" s="204"/>
      <c r="C2092" s="205"/>
      <c r="D2092" s="205"/>
      <c r="E2092" s="205"/>
      <c r="F2092" s="205"/>
      <c r="G2092" s="206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</row>
    <row r="2093" spans="1:27" s="291" customFormat="1" ht="16.2" hidden="1" outlineLevel="1" thickBot="1" x14ac:dyDescent="0.4">
      <c r="A2093" s="14"/>
      <c r="B2093" s="156"/>
      <c r="C2093" s="207"/>
      <c r="D2093" s="207"/>
      <c r="E2093" s="207"/>
      <c r="F2093" s="207"/>
      <c r="G2093" s="208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</row>
    <row r="2094" spans="1:27" s="291" customFormat="1" hidden="1" outlineLevel="1" x14ac:dyDescent="0.35">
      <c r="A2094" s="14"/>
      <c r="B2094" s="407" t="s">
        <v>29</v>
      </c>
      <c r="C2094" s="408"/>
      <c r="D2094" s="408"/>
      <c r="E2094" s="408"/>
      <c r="F2094" s="408"/>
      <c r="G2094" s="409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  <c r="AA2094" s="14"/>
    </row>
    <row r="2095" spans="1:27" s="291" customFormat="1" hidden="1" outlineLevel="1" x14ac:dyDescent="0.35">
      <c r="A2095" s="14"/>
      <c r="B2095" s="201" t="s">
        <v>661</v>
      </c>
      <c r="C2095" s="107"/>
      <c r="D2095" s="107"/>
      <c r="E2095" s="107"/>
      <c r="F2095" s="107"/>
      <c r="G2095" s="108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</row>
    <row r="2096" spans="1:27" s="291" customFormat="1" hidden="1" outlineLevel="1" x14ac:dyDescent="0.35">
      <c r="A2096" s="14"/>
      <c r="B2096" s="300" t="s">
        <v>662</v>
      </c>
      <c r="C2096" s="107"/>
      <c r="D2096" s="107"/>
      <c r="E2096" s="107"/>
      <c r="F2096" s="107"/>
      <c r="G2096" s="377" t="s">
        <v>2449</v>
      </c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</row>
    <row r="2097" spans="1:27" s="291" customFormat="1" hidden="1" outlineLevel="1" x14ac:dyDescent="0.35">
      <c r="A2097" s="14"/>
      <c r="B2097" s="201"/>
      <c r="C2097" s="107"/>
      <c r="D2097" s="107"/>
      <c r="E2097" s="107"/>
      <c r="F2097" s="107"/>
      <c r="G2097" s="108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</row>
    <row r="2098" spans="1:27" s="291" customFormat="1" ht="16.2" hidden="1" outlineLevel="1" thickBot="1" x14ac:dyDescent="0.4">
      <c r="A2098" s="14"/>
      <c r="B2098" s="157"/>
      <c r="C2098" s="202"/>
      <c r="D2098" s="202"/>
      <c r="E2098" s="202"/>
      <c r="F2098" s="202"/>
      <c r="G2098" s="203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  <c r="AA2098" s="14"/>
    </row>
    <row r="2099" spans="1:27" s="7" customFormat="1" ht="16.2" hidden="1" outlineLevel="1" thickBot="1" x14ac:dyDescent="0.3">
      <c r="A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  <c r="AA2099" s="14"/>
    </row>
    <row r="2100" spans="1:27" s="3" customFormat="1" ht="17.399999999999999" customHeight="1" collapsed="1" thickBot="1" x14ac:dyDescent="0.3">
      <c r="A2100" s="5"/>
      <c r="B2100" s="15" t="s">
        <v>1279</v>
      </c>
      <c r="C2100" s="16" t="s">
        <v>2017</v>
      </c>
      <c r="D2100" s="17" t="s">
        <v>1281</v>
      </c>
      <c r="E2100" s="16" t="s">
        <v>663</v>
      </c>
      <c r="F2100" s="17" t="s">
        <v>1282</v>
      </c>
      <c r="G2100" s="18" t="s">
        <v>2018</v>
      </c>
    </row>
    <row r="2101" spans="1:27" s="3" customFormat="1" ht="17.399999999999999" hidden="1" customHeight="1" outlineLevel="1" x14ac:dyDescent="0.25">
      <c r="A2101" s="5"/>
      <c r="B2101" s="19" t="s">
        <v>1284</v>
      </c>
      <c r="C2101" s="20" t="s">
        <v>1285</v>
      </c>
      <c r="D2101" s="21" t="s">
        <v>1286</v>
      </c>
      <c r="E2101" s="20" t="s">
        <v>2019</v>
      </c>
      <c r="F2101" s="21" t="s">
        <v>1288</v>
      </c>
      <c r="G2101" s="22"/>
    </row>
    <row r="2102" spans="1:27" s="3" customFormat="1" ht="17.399999999999999" hidden="1" customHeight="1" outlineLevel="1" thickBot="1" x14ac:dyDescent="0.3">
      <c r="A2102" s="5"/>
      <c r="B2102" s="19" t="s">
        <v>1290</v>
      </c>
      <c r="C2102" s="23"/>
      <c r="D2102" s="21" t="s">
        <v>1292</v>
      </c>
      <c r="E2102" s="23">
        <v>5</v>
      </c>
      <c r="F2102" s="21" t="s">
        <v>1293</v>
      </c>
      <c r="G2102" s="24" t="s">
        <v>1294</v>
      </c>
    </row>
    <row r="2103" spans="1:27" s="3" customFormat="1" ht="17.399999999999999" hidden="1" customHeight="1" outlineLevel="1" x14ac:dyDescent="0.25">
      <c r="A2103" s="5"/>
      <c r="B2103" s="395" t="s">
        <v>1</v>
      </c>
      <c r="C2103" s="396"/>
      <c r="D2103" s="396"/>
      <c r="E2103" s="396"/>
      <c r="F2103" s="396"/>
      <c r="G2103" s="397"/>
    </row>
    <row r="2104" spans="1:27" s="3" customFormat="1" ht="17.399999999999999" hidden="1" customHeight="1" outlineLevel="1" x14ac:dyDescent="0.25">
      <c r="A2104" s="5"/>
      <c r="B2104" s="25" t="s">
        <v>2</v>
      </c>
      <c r="C2104" s="26" t="s">
        <v>3</v>
      </c>
      <c r="D2104" s="26" t="s">
        <v>4</v>
      </c>
      <c r="E2104" s="26" t="s">
        <v>5</v>
      </c>
      <c r="F2104" s="26"/>
      <c r="G2104" s="27" t="s">
        <v>6</v>
      </c>
    </row>
    <row r="2105" spans="1:27" s="3" customFormat="1" hidden="1" outlineLevel="1" x14ac:dyDescent="0.25">
      <c r="B2105" s="28" t="s">
        <v>112</v>
      </c>
      <c r="C2105" s="29" t="s">
        <v>1555</v>
      </c>
      <c r="D2105" s="29" t="s">
        <v>1469</v>
      </c>
      <c r="E2105" s="29">
        <v>0</v>
      </c>
      <c r="F2105" s="29" t="s">
        <v>1470</v>
      </c>
      <c r="G2105" s="30" t="s">
        <v>1556</v>
      </c>
      <c r="J2105" s="3" t="s">
        <v>10</v>
      </c>
      <c r="K2105" s="3" t="s">
        <v>173</v>
      </c>
      <c r="L2105" s="3" t="s">
        <v>9</v>
      </c>
      <c r="M2105" s="3" t="s">
        <v>9</v>
      </c>
      <c r="N2105" s="3">
        <v>1606</v>
      </c>
    </row>
    <row r="2106" spans="1:27" s="3" customFormat="1" hidden="1" outlineLevel="1" x14ac:dyDescent="0.25">
      <c r="B2106" s="28" t="s">
        <v>13</v>
      </c>
      <c r="C2106" s="29" t="s">
        <v>1474</v>
      </c>
      <c r="D2106" s="29" t="s">
        <v>1469</v>
      </c>
      <c r="E2106" s="29">
        <v>0</v>
      </c>
      <c r="F2106" s="29" t="s">
        <v>1470</v>
      </c>
      <c r="G2106" s="30"/>
      <c r="J2106" s="3" t="s">
        <v>10</v>
      </c>
      <c r="K2106" s="3" t="s">
        <v>173</v>
      </c>
      <c r="L2106" s="3" t="s">
        <v>9</v>
      </c>
      <c r="M2106" s="3" t="s">
        <v>9</v>
      </c>
      <c r="N2106" s="3">
        <v>2534</v>
      </c>
    </row>
    <row r="2107" spans="1:27" s="3" customFormat="1" hidden="1" outlineLevel="1" x14ac:dyDescent="0.25">
      <c r="B2107" s="28" t="s">
        <v>16</v>
      </c>
      <c r="C2107" s="29" t="s">
        <v>1479</v>
      </c>
      <c r="D2107" s="29" t="s">
        <v>1469</v>
      </c>
      <c r="E2107" s="29" t="s">
        <v>1480</v>
      </c>
      <c r="F2107" s="29" t="s">
        <v>1481</v>
      </c>
      <c r="G2107" s="30" t="s">
        <v>1482</v>
      </c>
      <c r="J2107" s="3" t="s">
        <v>10</v>
      </c>
      <c r="K2107" s="3" t="s">
        <v>173</v>
      </c>
      <c r="L2107" s="3" t="s">
        <v>9</v>
      </c>
      <c r="M2107" s="3" t="s">
        <v>9</v>
      </c>
      <c r="N2107" s="3">
        <v>1211</v>
      </c>
    </row>
    <row r="2108" spans="1:27" s="4" customFormat="1" hidden="1" outlineLevel="1" x14ac:dyDescent="0.35">
      <c r="A2108" s="14"/>
      <c r="B2108" s="60" t="s">
        <v>302</v>
      </c>
      <c r="C2108" s="61" t="s">
        <v>1727</v>
      </c>
      <c r="D2108" s="61" t="s">
        <v>1606</v>
      </c>
      <c r="E2108" s="61" t="s">
        <v>1594</v>
      </c>
      <c r="F2108" s="61" t="s">
        <v>1470</v>
      </c>
      <c r="G2108" s="62"/>
      <c r="H2108" s="14"/>
      <c r="I2108" s="14"/>
      <c r="J2108" s="14" t="s">
        <v>187</v>
      </c>
      <c r="K2108" s="14" t="s">
        <v>438</v>
      </c>
      <c r="L2108" s="14" t="s">
        <v>537</v>
      </c>
      <c r="M2108" s="14" t="s">
        <v>187</v>
      </c>
      <c r="N2108" s="14">
        <v>1700</v>
      </c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</row>
    <row r="2109" spans="1:27" s="4" customFormat="1" hidden="1" outlineLevel="1" x14ac:dyDescent="0.35">
      <c r="A2109" s="14"/>
      <c r="B2109" s="60" t="s">
        <v>265</v>
      </c>
      <c r="C2109" s="61" t="s">
        <v>1692</v>
      </c>
      <c r="D2109" s="61" t="s">
        <v>1606</v>
      </c>
      <c r="E2109" s="61" t="s">
        <v>1594</v>
      </c>
      <c r="F2109" s="61" t="s">
        <v>1470</v>
      </c>
      <c r="G2109" s="62"/>
      <c r="H2109" s="14"/>
      <c r="I2109" s="14"/>
      <c r="J2109" s="14" t="s">
        <v>187</v>
      </c>
      <c r="K2109" s="14" t="s">
        <v>438</v>
      </c>
      <c r="L2109" s="14" t="s">
        <v>537</v>
      </c>
      <c r="M2109" s="14" t="s">
        <v>187</v>
      </c>
      <c r="N2109" s="14">
        <v>1114</v>
      </c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</row>
    <row r="2110" spans="1:27" s="4" customFormat="1" hidden="1" outlineLevel="1" x14ac:dyDescent="0.35">
      <c r="A2110" s="14"/>
      <c r="B2110" s="60" t="s">
        <v>538</v>
      </c>
      <c r="C2110" s="61" t="s">
        <v>2062</v>
      </c>
      <c r="D2110" s="61" t="s">
        <v>1606</v>
      </c>
      <c r="E2110" s="61" t="s">
        <v>1594</v>
      </c>
      <c r="F2110" s="61"/>
      <c r="G2110" s="62"/>
      <c r="H2110" s="14"/>
      <c r="I2110" s="14"/>
      <c r="J2110" s="14" t="s">
        <v>187</v>
      </c>
      <c r="K2110" s="14" t="s">
        <v>438</v>
      </c>
      <c r="L2110" s="14" t="s">
        <v>537</v>
      </c>
      <c r="M2110" s="14" t="s">
        <v>187</v>
      </c>
      <c r="N2110" s="14">
        <v>1607</v>
      </c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4"/>
      <c r="Z2110" s="14"/>
      <c r="AA2110" s="14"/>
    </row>
    <row r="2111" spans="1:27" s="4" customFormat="1" ht="16.2" hidden="1" outlineLevel="1" thickBot="1" x14ac:dyDescent="0.4">
      <c r="A2111" s="14"/>
      <c r="B2111" s="60"/>
      <c r="C2111" s="61"/>
      <c r="D2111" s="61"/>
      <c r="E2111" s="61"/>
      <c r="F2111" s="61"/>
      <c r="G2111" s="62"/>
      <c r="H2111" s="14"/>
      <c r="I2111" s="14"/>
      <c r="J2111" s="14" t="s">
        <v>20</v>
      </c>
      <c r="K2111" s="14" t="s">
        <v>445</v>
      </c>
      <c r="L2111" s="14" t="s">
        <v>446</v>
      </c>
      <c r="M2111" s="14" t="s">
        <v>446</v>
      </c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</row>
    <row r="2112" spans="1:27" s="4" customFormat="1" hidden="1" outlineLevel="1" x14ac:dyDescent="0.35">
      <c r="A2112" s="14"/>
      <c r="B2112" s="389" t="s">
        <v>18</v>
      </c>
      <c r="C2112" s="390"/>
      <c r="D2112" s="390"/>
      <c r="E2112" s="390"/>
      <c r="F2112" s="390"/>
      <c r="G2112" s="391"/>
      <c r="H2112" s="14"/>
      <c r="I2112" s="14"/>
      <c r="J2112" s="14" t="s">
        <v>20</v>
      </c>
      <c r="K2112" s="14" t="s">
        <v>445</v>
      </c>
      <c r="L2112" s="14" t="s">
        <v>446</v>
      </c>
      <c r="M2112" s="14" t="s">
        <v>446</v>
      </c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4"/>
    </row>
    <row r="2113" spans="1:27" s="4" customFormat="1" hidden="1" outlineLevel="1" x14ac:dyDescent="0.35">
      <c r="A2113" s="14"/>
      <c r="B2113" s="94" t="s">
        <v>2</v>
      </c>
      <c r="C2113" s="95" t="s">
        <v>3</v>
      </c>
      <c r="D2113" s="95" t="s">
        <v>4</v>
      </c>
      <c r="E2113" s="95" t="s">
        <v>5</v>
      </c>
      <c r="F2113" s="95"/>
      <c r="G2113" s="96" t="s">
        <v>6</v>
      </c>
      <c r="H2113" s="14"/>
      <c r="I2113" s="14"/>
      <c r="J2113" s="14" t="s">
        <v>20</v>
      </c>
      <c r="K2113" s="14" t="s">
        <v>445</v>
      </c>
      <c r="L2113" s="14" t="s">
        <v>446</v>
      </c>
      <c r="M2113" s="14" t="s">
        <v>446</v>
      </c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  <c r="AA2113" s="14"/>
    </row>
    <row r="2114" spans="1:27" s="4" customFormat="1" hidden="1" outlineLevel="1" x14ac:dyDescent="0.35">
      <c r="A2114" s="14"/>
      <c r="B2114" s="67" t="s">
        <v>63</v>
      </c>
      <c r="C2114" s="84" t="s">
        <v>1526</v>
      </c>
      <c r="D2114" s="84" t="s">
        <v>1489</v>
      </c>
      <c r="E2114" s="84">
        <v>0</v>
      </c>
      <c r="F2114" s="84"/>
      <c r="G2114" s="85"/>
      <c r="H2114" s="14"/>
      <c r="I2114" s="14"/>
      <c r="J2114" s="14" t="s">
        <v>20</v>
      </c>
      <c r="K2114" s="14" t="s">
        <v>445</v>
      </c>
      <c r="L2114" s="14" t="s">
        <v>446</v>
      </c>
      <c r="M2114" s="14" t="s">
        <v>446</v>
      </c>
      <c r="N2114" s="14">
        <v>1682</v>
      </c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  <c r="AA2114" s="14"/>
    </row>
    <row r="2115" spans="1:27" s="4" customFormat="1" hidden="1" outlineLevel="1" x14ac:dyDescent="0.35">
      <c r="A2115" s="14"/>
      <c r="B2115" s="67" t="s">
        <v>21</v>
      </c>
      <c r="C2115" s="84" t="s">
        <v>1487</v>
      </c>
      <c r="D2115" s="84" t="s">
        <v>1486</v>
      </c>
      <c r="E2115" s="84">
        <v>0</v>
      </c>
      <c r="F2115" s="84"/>
      <c r="G2115" s="85"/>
      <c r="H2115" s="14"/>
      <c r="I2115" s="14"/>
      <c r="J2115" s="14" t="s">
        <v>20</v>
      </c>
      <c r="K2115" s="14" t="s">
        <v>445</v>
      </c>
      <c r="L2115" s="14" t="s">
        <v>446</v>
      </c>
      <c r="M2115" s="14" t="s">
        <v>446</v>
      </c>
      <c r="N2115" s="14">
        <v>1689</v>
      </c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4"/>
      <c r="Z2115" s="14"/>
      <c r="AA2115" s="14"/>
    </row>
    <row r="2116" spans="1:27" s="4" customFormat="1" hidden="1" outlineLevel="1" x14ac:dyDescent="0.35">
      <c r="A2116" s="14"/>
      <c r="B2116" s="67" t="s">
        <v>24</v>
      </c>
      <c r="C2116" s="84" t="s">
        <v>1491</v>
      </c>
      <c r="D2116" s="84" t="s">
        <v>1489</v>
      </c>
      <c r="E2116" s="84">
        <v>0</v>
      </c>
      <c r="F2116" s="84" t="s">
        <v>1470</v>
      </c>
      <c r="G2116" s="85"/>
      <c r="H2116" s="14"/>
      <c r="I2116" s="14"/>
      <c r="J2116" s="14" t="s">
        <v>20</v>
      </c>
      <c r="K2116" s="14" t="s">
        <v>445</v>
      </c>
      <c r="L2116" s="14" t="s">
        <v>446</v>
      </c>
      <c r="M2116" s="14" t="s">
        <v>446</v>
      </c>
      <c r="N2116" s="14">
        <v>2153</v>
      </c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</row>
    <row r="2117" spans="1:27" s="4" customFormat="1" hidden="1" outlineLevel="1" x14ac:dyDescent="0.35">
      <c r="A2117" s="14"/>
      <c r="B2117" s="67" t="s">
        <v>26</v>
      </c>
      <c r="C2117" s="84" t="s">
        <v>1493</v>
      </c>
      <c r="D2117" s="84" t="s">
        <v>1494</v>
      </c>
      <c r="E2117" s="84">
        <v>0</v>
      </c>
      <c r="F2117" s="84" t="s">
        <v>1470</v>
      </c>
      <c r="G2117" s="85"/>
      <c r="H2117" s="14"/>
      <c r="I2117" s="14"/>
      <c r="J2117" s="14" t="s">
        <v>20</v>
      </c>
      <c r="K2117" s="14" t="s">
        <v>445</v>
      </c>
      <c r="L2117" s="14" t="s">
        <v>446</v>
      </c>
      <c r="M2117" s="14" t="s">
        <v>446</v>
      </c>
      <c r="N2117" s="14">
        <v>2183</v>
      </c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</row>
    <row r="2118" spans="1:27" s="4" customFormat="1" hidden="1" outlineLevel="1" x14ac:dyDescent="0.35">
      <c r="A2118" s="14"/>
      <c r="B2118" s="67" t="s">
        <v>22</v>
      </c>
      <c r="C2118" s="84" t="s">
        <v>1488</v>
      </c>
      <c r="D2118" s="84" t="s">
        <v>1489</v>
      </c>
      <c r="E2118" s="84">
        <v>0</v>
      </c>
      <c r="F2118" s="84" t="s">
        <v>1470</v>
      </c>
      <c r="G2118" s="85" t="s">
        <v>1490</v>
      </c>
      <c r="H2118" s="14"/>
      <c r="I2118" s="14"/>
      <c r="J2118" s="14" t="s">
        <v>20</v>
      </c>
      <c r="K2118" s="14" t="s">
        <v>445</v>
      </c>
      <c r="L2118" s="14" t="s">
        <v>446</v>
      </c>
      <c r="M2118" s="14" t="s">
        <v>446</v>
      </c>
      <c r="N2118" s="14">
        <v>2052</v>
      </c>
      <c r="O2118" s="14"/>
      <c r="P2118" s="14"/>
      <c r="Q2118" s="14"/>
      <c r="R2118" s="14"/>
      <c r="S2118" s="14"/>
      <c r="T2118" s="14"/>
      <c r="U2118" s="14"/>
      <c r="V2118" s="14"/>
      <c r="W2118" s="14"/>
      <c r="X2118" s="14"/>
      <c r="Y2118" s="14"/>
      <c r="Z2118" s="14"/>
      <c r="AA2118" s="14"/>
    </row>
    <row r="2119" spans="1:27" s="4" customFormat="1" hidden="1" outlineLevel="1" x14ac:dyDescent="0.35">
      <c r="A2119" s="14"/>
      <c r="B2119" s="67" t="s">
        <v>292</v>
      </c>
      <c r="C2119" s="84" t="s">
        <v>1719</v>
      </c>
      <c r="D2119" s="84" t="s">
        <v>1489</v>
      </c>
      <c r="E2119" s="84">
        <v>0</v>
      </c>
      <c r="F2119" s="84" t="s">
        <v>1470</v>
      </c>
      <c r="G2119" s="85"/>
      <c r="H2119" s="14"/>
      <c r="I2119" s="14"/>
      <c r="J2119" s="14" t="s">
        <v>20</v>
      </c>
      <c r="K2119" s="14" t="s">
        <v>445</v>
      </c>
      <c r="L2119" s="14" t="s">
        <v>446</v>
      </c>
      <c r="M2119" s="14" t="s">
        <v>446</v>
      </c>
      <c r="N2119" s="14">
        <v>1781</v>
      </c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  <c r="AA2119" s="14"/>
    </row>
    <row r="2120" spans="1:27" s="4" customFormat="1" ht="16.2" hidden="1" outlineLevel="1" thickBot="1" x14ac:dyDescent="0.4">
      <c r="A2120" s="14"/>
      <c r="B2120" s="67"/>
      <c r="C2120" s="84"/>
      <c r="D2120" s="84"/>
      <c r="E2120" s="84"/>
      <c r="F2120" s="84"/>
      <c r="G2120" s="85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4"/>
    </row>
    <row r="2121" spans="1:27" s="4" customFormat="1" hidden="1" outlineLevel="1" x14ac:dyDescent="0.35">
      <c r="A2121" s="14"/>
      <c r="B2121" s="389" t="s">
        <v>28</v>
      </c>
      <c r="C2121" s="390"/>
      <c r="D2121" s="390"/>
      <c r="E2121" s="390"/>
      <c r="F2121" s="390"/>
      <c r="G2121" s="391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</row>
    <row r="2122" spans="1:27" s="4" customFormat="1" hidden="1" outlineLevel="1" x14ac:dyDescent="0.35">
      <c r="A2122" s="14"/>
      <c r="B2122" s="32" t="s">
        <v>2</v>
      </c>
      <c r="C2122" s="33" t="s">
        <v>3</v>
      </c>
      <c r="D2122" s="33" t="s">
        <v>4</v>
      </c>
      <c r="E2122" s="33"/>
      <c r="F2122" s="33"/>
      <c r="G2122" s="34" t="s">
        <v>6</v>
      </c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</row>
    <row r="2123" spans="1:27" s="4" customFormat="1" hidden="1" outlineLevel="1" x14ac:dyDescent="0.35">
      <c r="A2123" s="14"/>
      <c r="B2123" s="67"/>
      <c r="C2123" s="84"/>
      <c r="D2123" s="84"/>
      <c r="E2123" s="84"/>
      <c r="F2123" s="84"/>
      <c r="G2123" s="85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/>
      <c r="V2123" s="14"/>
      <c r="W2123" s="14"/>
      <c r="X2123" s="14"/>
      <c r="Y2123" s="14"/>
      <c r="Z2123" s="14"/>
      <c r="AA2123" s="14"/>
    </row>
    <row r="2124" spans="1:27" s="4" customFormat="1" ht="16.2" hidden="1" outlineLevel="1" thickBot="1" x14ac:dyDescent="0.4">
      <c r="A2124" s="14"/>
      <c r="B2124" s="100"/>
      <c r="C2124" s="101"/>
      <c r="D2124" s="101"/>
      <c r="E2124" s="101"/>
      <c r="F2124" s="101"/>
      <c r="G2124" s="102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  <c r="AA2124" s="14"/>
    </row>
    <row r="2125" spans="1:27" s="4" customFormat="1" hidden="1" outlineLevel="1" x14ac:dyDescent="0.35">
      <c r="A2125" s="14"/>
      <c r="B2125" s="392" t="s">
        <v>29</v>
      </c>
      <c r="C2125" s="393"/>
      <c r="D2125" s="393"/>
      <c r="E2125" s="393"/>
      <c r="F2125" s="393"/>
      <c r="G2125" s="39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</row>
    <row r="2126" spans="1:27" s="4" customFormat="1" hidden="1" outlineLevel="1" x14ac:dyDescent="0.35">
      <c r="A2126" s="14"/>
      <c r="B2126" s="64" t="s">
        <v>664</v>
      </c>
      <c r="C2126" s="65"/>
      <c r="D2126" s="65"/>
      <c r="E2126" s="65"/>
      <c r="F2126" s="65"/>
      <c r="G2126" s="66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</row>
    <row r="2127" spans="1:27" s="4" customFormat="1" hidden="1" outlineLevel="1" x14ac:dyDescent="0.35">
      <c r="A2127" s="14"/>
      <c r="B2127" s="301" t="s">
        <v>665</v>
      </c>
      <c r="C2127" s="65"/>
      <c r="D2127" s="65"/>
      <c r="E2127" s="65"/>
      <c r="F2127" s="65"/>
      <c r="G2127" s="371" t="s">
        <v>2450</v>
      </c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</row>
    <row r="2128" spans="1:27" s="4" customFormat="1" ht="16.2" hidden="1" outlineLevel="1" thickBot="1" x14ac:dyDescent="0.4">
      <c r="A2128" s="14"/>
      <c r="B2128" s="103" t="s">
        <v>666</v>
      </c>
      <c r="C2128" s="92"/>
      <c r="D2128" s="92"/>
      <c r="E2128" s="92"/>
      <c r="F2128" s="92"/>
      <c r="G2128" s="93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/>
      <c r="V2128" s="14"/>
      <c r="W2128" s="14"/>
      <c r="X2128" s="14"/>
      <c r="Y2128" s="14"/>
      <c r="Z2128" s="14"/>
      <c r="AA2128" s="14"/>
    </row>
    <row r="2129" spans="1:14" ht="16.2" hidden="1" outlineLevel="1" thickBot="1" x14ac:dyDescent="0.3"/>
    <row r="2130" spans="1:14" s="4" customFormat="1" ht="17.399999999999999" customHeight="1" collapsed="1" thickBot="1" x14ac:dyDescent="0.4">
      <c r="A2130" s="5"/>
      <c r="B2130" s="166" t="s">
        <v>1279</v>
      </c>
      <c r="C2130" s="169" t="s">
        <v>2002</v>
      </c>
      <c r="D2130" s="168" t="s">
        <v>1281</v>
      </c>
      <c r="E2130" s="238" t="s">
        <v>667</v>
      </c>
      <c r="F2130" s="168" t="s">
        <v>1282</v>
      </c>
      <c r="G2130" s="170" t="s">
        <v>2003</v>
      </c>
      <c r="H2130" s="5"/>
      <c r="I2130" s="5"/>
      <c r="J2130" s="5"/>
      <c r="K2130" s="5"/>
      <c r="L2130" s="5"/>
      <c r="M2130" s="5"/>
    </row>
    <row r="2131" spans="1:14" s="4" customFormat="1" ht="17.399999999999999" hidden="1" customHeight="1" outlineLevel="1" x14ac:dyDescent="0.35">
      <c r="A2131" s="5"/>
      <c r="B2131" s="136" t="s">
        <v>1284</v>
      </c>
      <c r="C2131" s="84" t="s">
        <v>1285</v>
      </c>
      <c r="D2131" s="137" t="s">
        <v>1286</v>
      </c>
      <c r="E2131" s="84" t="s">
        <v>2004</v>
      </c>
      <c r="F2131" s="137" t="s">
        <v>1288</v>
      </c>
      <c r="G2131" s="85"/>
      <c r="H2131" s="5"/>
      <c r="I2131" s="5"/>
      <c r="J2131" s="5"/>
      <c r="K2131" s="5"/>
      <c r="L2131" s="5"/>
      <c r="M2131" s="5"/>
    </row>
    <row r="2132" spans="1:14" s="4" customFormat="1" ht="17.399999999999999" hidden="1" customHeight="1" outlineLevel="1" thickBot="1" x14ac:dyDescent="0.4">
      <c r="A2132" s="5"/>
      <c r="B2132" s="171" t="s">
        <v>1290</v>
      </c>
      <c r="C2132" s="172" t="s">
        <v>1291</v>
      </c>
      <c r="D2132" s="173" t="s">
        <v>1292</v>
      </c>
      <c r="E2132" s="172">
        <v>4</v>
      </c>
      <c r="F2132" s="173" t="s">
        <v>1293</v>
      </c>
      <c r="G2132" s="174" t="s">
        <v>1294</v>
      </c>
      <c r="H2132" s="5"/>
      <c r="I2132" s="5"/>
      <c r="J2132" s="5"/>
      <c r="K2132" s="5"/>
      <c r="L2132" s="5"/>
      <c r="M2132" s="5"/>
    </row>
    <row r="2133" spans="1:14" s="4" customFormat="1" ht="17.399999999999999" hidden="1" customHeight="1" outlineLevel="1" x14ac:dyDescent="0.35">
      <c r="A2133" s="5"/>
      <c r="B2133" s="380" t="s">
        <v>1</v>
      </c>
      <c r="C2133" s="381"/>
      <c r="D2133" s="381"/>
      <c r="E2133" s="381"/>
      <c r="F2133" s="381"/>
      <c r="G2133" s="382"/>
      <c r="H2133" s="5"/>
      <c r="I2133" s="5"/>
      <c r="J2133" s="5"/>
      <c r="K2133" s="5"/>
      <c r="L2133" s="5"/>
      <c r="M2133" s="5"/>
    </row>
    <row r="2134" spans="1:14" s="4" customFormat="1" ht="17.399999999999999" hidden="1" customHeight="1" outlineLevel="1" x14ac:dyDescent="0.35">
      <c r="A2134" s="5"/>
      <c r="B2134" s="94" t="s">
        <v>2</v>
      </c>
      <c r="C2134" s="95" t="s">
        <v>3</v>
      </c>
      <c r="D2134" s="95" t="s">
        <v>4</v>
      </c>
      <c r="E2134" s="95" t="s">
        <v>5</v>
      </c>
      <c r="F2134" s="95"/>
      <c r="G2134" s="96" t="s">
        <v>6</v>
      </c>
      <c r="H2134" s="5"/>
      <c r="I2134" s="5"/>
      <c r="J2134" s="5"/>
      <c r="K2134" s="5"/>
      <c r="L2134" s="5"/>
      <c r="M2134" s="5"/>
    </row>
    <row r="2135" spans="1:14" s="4" customFormat="1" ht="17.399999999999999" hidden="1" customHeight="1" outlineLevel="1" x14ac:dyDescent="0.35">
      <c r="A2135" s="5"/>
      <c r="B2135" s="57" t="s">
        <v>7</v>
      </c>
      <c r="C2135" s="58" t="s">
        <v>1468</v>
      </c>
      <c r="D2135" s="58" t="s">
        <v>1469</v>
      </c>
      <c r="E2135" s="58">
        <v>0</v>
      </c>
      <c r="F2135" s="58" t="s">
        <v>1470</v>
      </c>
      <c r="G2135" s="59" t="s">
        <v>1471</v>
      </c>
      <c r="J2135" s="3" t="s">
        <v>154</v>
      </c>
      <c r="K2135" s="81"/>
      <c r="N2135" s="4">
        <v>1112</v>
      </c>
    </row>
    <row r="2136" spans="1:14" s="4" customFormat="1" ht="17.399999999999999" hidden="1" customHeight="1" outlineLevel="1" x14ac:dyDescent="0.35">
      <c r="A2136" s="5"/>
      <c r="B2136" s="57" t="s">
        <v>11</v>
      </c>
      <c r="C2136" s="58" t="s">
        <v>1472</v>
      </c>
      <c r="D2136" s="58" t="s">
        <v>1469</v>
      </c>
      <c r="E2136" s="58">
        <v>0</v>
      </c>
      <c r="F2136" s="58" t="s">
        <v>1470</v>
      </c>
      <c r="G2136" s="59" t="s">
        <v>1473</v>
      </c>
      <c r="J2136" s="3" t="s">
        <v>155</v>
      </c>
      <c r="K2136" s="81"/>
      <c r="N2136" s="4">
        <v>1700</v>
      </c>
    </row>
    <row r="2137" spans="1:14" s="4" customFormat="1" ht="17.399999999999999" hidden="1" customHeight="1" outlineLevel="1" x14ac:dyDescent="0.35">
      <c r="A2137" s="5"/>
      <c r="B2137" s="60" t="s">
        <v>13</v>
      </c>
      <c r="C2137" s="61" t="s">
        <v>1474</v>
      </c>
      <c r="D2137" s="61" t="s">
        <v>1469</v>
      </c>
      <c r="E2137" s="61">
        <v>0</v>
      </c>
      <c r="F2137" s="61" t="s">
        <v>1470</v>
      </c>
      <c r="G2137" s="62"/>
      <c r="H2137" s="63"/>
      <c r="J2137" s="3" t="s">
        <v>156</v>
      </c>
      <c r="K2137" s="81"/>
      <c r="N2137" s="4">
        <v>2534</v>
      </c>
    </row>
    <row r="2138" spans="1:14" s="4" customFormat="1" ht="17.399999999999999" hidden="1" customHeight="1" outlineLevel="1" x14ac:dyDescent="0.35">
      <c r="A2138" s="5"/>
      <c r="B2138" s="60" t="s">
        <v>14</v>
      </c>
      <c r="C2138" s="61" t="s">
        <v>1475</v>
      </c>
      <c r="D2138" s="61" t="s">
        <v>1469</v>
      </c>
      <c r="E2138" s="61">
        <v>0</v>
      </c>
      <c r="F2138" s="61" t="s">
        <v>1476</v>
      </c>
      <c r="G2138" s="62" t="s">
        <v>1477</v>
      </c>
      <c r="H2138" s="63"/>
      <c r="J2138" s="3" t="s">
        <v>157</v>
      </c>
      <c r="K2138" s="78"/>
      <c r="N2138" s="4">
        <v>2155</v>
      </c>
    </row>
    <row r="2139" spans="1:14" s="4" customFormat="1" ht="17.399999999999999" hidden="1" customHeight="1" outlineLevel="1" x14ac:dyDescent="0.35">
      <c r="A2139" s="5"/>
      <c r="B2139" s="60" t="s">
        <v>15</v>
      </c>
      <c r="C2139" s="61" t="s">
        <v>1478</v>
      </c>
      <c r="D2139" s="61" t="s">
        <v>1469</v>
      </c>
      <c r="E2139" s="61">
        <v>0</v>
      </c>
      <c r="F2139" s="61" t="s">
        <v>1470</v>
      </c>
      <c r="G2139" s="62"/>
      <c r="H2139" s="63"/>
      <c r="J2139" s="3" t="s">
        <v>158</v>
      </c>
      <c r="K2139" s="81"/>
      <c r="N2139" s="4">
        <v>2430</v>
      </c>
    </row>
    <row r="2140" spans="1:14" s="4" customFormat="1" ht="17.399999999999999" hidden="1" customHeight="1" outlineLevel="1" x14ac:dyDescent="0.35">
      <c r="A2140" s="5"/>
      <c r="B2140" s="134" t="s">
        <v>17</v>
      </c>
      <c r="C2140" s="135" t="s">
        <v>1483</v>
      </c>
      <c r="D2140" s="135" t="s">
        <v>1469</v>
      </c>
      <c r="E2140" s="65">
        <v>0</v>
      </c>
      <c r="F2140" s="65" t="s">
        <v>1470</v>
      </c>
      <c r="G2140" s="66" t="s">
        <v>1484</v>
      </c>
      <c r="H2140" s="5"/>
      <c r="I2140" s="5"/>
      <c r="J2140" s="3" t="s">
        <v>159</v>
      </c>
      <c r="K2140" s="78"/>
      <c r="L2140" s="5"/>
      <c r="M2140" s="5"/>
      <c r="N2140" s="4">
        <v>1097</v>
      </c>
    </row>
    <row r="2141" spans="1:14" s="3" customFormat="1" hidden="1" outlineLevel="1" x14ac:dyDescent="0.25">
      <c r="A2141" s="5"/>
      <c r="B2141" s="31" t="s">
        <v>162</v>
      </c>
      <c r="C2141" s="20" t="s">
        <v>1589</v>
      </c>
      <c r="D2141" s="20" t="s">
        <v>1469</v>
      </c>
      <c r="E2141" s="20">
        <v>0</v>
      </c>
      <c r="F2141" s="20"/>
      <c r="G2141" s="22" t="s">
        <v>1590</v>
      </c>
    </row>
    <row r="2142" spans="1:14" s="3" customFormat="1" hidden="1" outlineLevel="1" x14ac:dyDescent="0.25">
      <c r="A2142" s="5"/>
      <c r="B2142" s="31" t="s">
        <v>163</v>
      </c>
      <c r="C2142" s="20" t="s">
        <v>1591</v>
      </c>
      <c r="D2142" s="20" t="s">
        <v>1469</v>
      </c>
      <c r="E2142" s="20">
        <v>0</v>
      </c>
      <c r="F2142" s="20"/>
      <c r="G2142" s="22" t="s">
        <v>1590</v>
      </c>
    </row>
    <row r="2143" spans="1:14" s="4" customFormat="1" ht="17.399999999999999" hidden="1" customHeight="1" outlineLevel="1" thickBot="1" x14ac:dyDescent="0.4">
      <c r="A2143" s="5"/>
      <c r="B2143" s="91"/>
      <c r="C2143" s="92"/>
      <c r="D2143" s="92"/>
      <c r="E2143" s="92"/>
      <c r="F2143" s="92"/>
      <c r="G2143" s="93"/>
      <c r="H2143" s="5"/>
      <c r="I2143" s="5"/>
      <c r="J2143" s="5"/>
      <c r="K2143" s="5"/>
      <c r="L2143" s="5"/>
      <c r="M2143" s="5"/>
    </row>
    <row r="2144" spans="1:14" s="4" customFormat="1" ht="17.399999999999999" hidden="1" customHeight="1" outlineLevel="1" x14ac:dyDescent="0.35">
      <c r="A2144" s="5"/>
      <c r="B2144" s="383" t="s">
        <v>18</v>
      </c>
      <c r="C2144" s="384"/>
      <c r="D2144" s="384"/>
      <c r="E2144" s="384"/>
      <c r="F2144" s="384"/>
      <c r="G2144" s="385"/>
      <c r="H2144" s="5"/>
      <c r="I2144" s="5"/>
      <c r="J2144" s="5"/>
      <c r="K2144" s="5"/>
      <c r="L2144" s="5"/>
      <c r="M2144" s="5"/>
    </row>
    <row r="2145" spans="1:15" s="4" customFormat="1" ht="17.399999999999999" hidden="1" customHeight="1" outlineLevel="1" x14ac:dyDescent="0.35">
      <c r="A2145" s="5"/>
      <c r="B2145" s="94" t="s">
        <v>2</v>
      </c>
      <c r="C2145" s="95" t="s">
        <v>3</v>
      </c>
      <c r="D2145" s="95" t="s">
        <v>4</v>
      </c>
      <c r="E2145" s="95" t="s">
        <v>5</v>
      </c>
      <c r="F2145" s="95"/>
      <c r="G2145" s="96" t="s">
        <v>6</v>
      </c>
      <c r="H2145" s="5"/>
      <c r="I2145" s="5"/>
      <c r="J2145" s="5"/>
      <c r="K2145" s="5"/>
      <c r="L2145" s="5"/>
      <c r="M2145" s="5"/>
    </row>
    <row r="2146" spans="1:15" s="4" customFormat="1" ht="17.399999999999999" hidden="1" customHeight="1" outlineLevel="1" x14ac:dyDescent="0.35">
      <c r="A2146" s="5"/>
      <c r="B2146" s="64" t="s">
        <v>366</v>
      </c>
      <c r="C2146" s="65" t="s">
        <v>1766</v>
      </c>
      <c r="D2146" s="65" t="s">
        <v>1469</v>
      </c>
      <c r="E2146" s="65">
        <v>0</v>
      </c>
      <c r="F2146" s="65" t="s">
        <v>1476</v>
      </c>
      <c r="G2146" s="66" t="s">
        <v>1767</v>
      </c>
      <c r="H2146" s="5" t="str">
        <f>"t.{"&amp;B2146&amp;"},"</f>
        <v>t.{开平方向},</v>
      </c>
      <c r="I2146" s="5"/>
      <c r="J2146" s="5"/>
      <c r="K2146" s="5"/>
      <c r="L2146" s="5"/>
      <c r="M2146" s="5"/>
    </row>
    <row r="2147" spans="1:15" s="4" customFormat="1" ht="17.399999999999999" hidden="1" customHeight="1" outlineLevel="1" x14ac:dyDescent="0.35">
      <c r="A2147" s="5"/>
      <c r="B2147" s="64" t="s">
        <v>128</v>
      </c>
      <c r="C2147" s="65" t="s">
        <v>1566</v>
      </c>
      <c r="D2147" s="65" t="s">
        <v>1567</v>
      </c>
      <c r="E2147" s="65">
        <v>0</v>
      </c>
      <c r="F2147" s="65" t="s">
        <v>1470</v>
      </c>
      <c r="G2147" s="66"/>
      <c r="H2147" s="5" t="str">
        <f>"t.{"&amp;B2147&amp;"},"</f>
        <v>t.{记录序号},</v>
      </c>
      <c r="I2147" s="5"/>
      <c r="J2147" s="5" t="s">
        <v>12</v>
      </c>
      <c r="K2147" s="5" t="s">
        <v>174</v>
      </c>
      <c r="L2147" s="5" t="s">
        <v>314</v>
      </c>
      <c r="M2147" s="5" t="s">
        <v>176</v>
      </c>
      <c r="N2147" s="4">
        <v>2241</v>
      </c>
      <c r="O2147" s="4">
        <v>64</v>
      </c>
    </row>
    <row r="2148" spans="1:15" s="4" customFormat="1" ht="17.399999999999999" hidden="1" customHeight="1" outlineLevel="1" x14ac:dyDescent="0.35">
      <c r="A2148" s="5"/>
      <c r="B2148" s="81" t="s">
        <v>16</v>
      </c>
      <c r="C2148" s="65" t="s">
        <v>1479</v>
      </c>
      <c r="D2148" s="65" t="s">
        <v>1469</v>
      </c>
      <c r="E2148" s="65" t="s">
        <v>1480</v>
      </c>
      <c r="F2148" s="65" t="s">
        <v>1481</v>
      </c>
      <c r="G2148" s="66" t="s">
        <v>1482</v>
      </c>
      <c r="H2148" s="5"/>
      <c r="I2148" s="5"/>
      <c r="J2148" s="5"/>
      <c r="K2148" s="5"/>
      <c r="L2148" s="5"/>
      <c r="M2148" s="5"/>
    </row>
    <row r="2149" spans="1:15" s="4" customFormat="1" ht="17.399999999999999" hidden="1" customHeight="1" outlineLevel="1" x14ac:dyDescent="0.35">
      <c r="A2149" s="5"/>
      <c r="B2149" s="81" t="s">
        <v>25</v>
      </c>
      <c r="C2149" s="65" t="s">
        <v>1492</v>
      </c>
      <c r="D2149" s="65" t="s">
        <v>1469</v>
      </c>
      <c r="E2149" s="65">
        <v>0</v>
      </c>
      <c r="F2149" s="65" t="s">
        <v>1470</v>
      </c>
      <c r="G2149" s="66" t="s">
        <v>1484</v>
      </c>
      <c r="H2149" s="5"/>
      <c r="I2149" s="5"/>
      <c r="J2149" s="5"/>
      <c r="K2149" s="5"/>
      <c r="L2149" s="5"/>
      <c r="M2149" s="5"/>
    </row>
    <row r="2150" spans="1:15" s="4" customFormat="1" ht="17.399999999999999" hidden="1" customHeight="1" outlineLevel="1" x14ac:dyDescent="0.35">
      <c r="A2150" s="5"/>
      <c r="B2150" s="81" t="s">
        <v>112</v>
      </c>
      <c r="C2150" s="65" t="s">
        <v>1555</v>
      </c>
      <c r="D2150" s="65" t="s">
        <v>1469</v>
      </c>
      <c r="E2150" s="65">
        <v>0</v>
      </c>
      <c r="F2150" s="65" t="s">
        <v>1470</v>
      </c>
      <c r="G2150" s="66" t="s">
        <v>1556</v>
      </c>
      <c r="H2150" s="5"/>
      <c r="I2150" s="5"/>
      <c r="J2150" s="5"/>
      <c r="K2150" s="5"/>
      <c r="L2150" s="5"/>
      <c r="M2150" s="5"/>
    </row>
    <row r="2151" spans="1:15" s="4" customFormat="1" hidden="1" outlineLevel="1" x14ac:dyDescent="0.35">
      <c r="B2151" s="81" t="s">
        <v>7</v>
      </c>
      <c r="C2151" s="79" t="s">
        <v>1468</v>
      </c>
      <c r="D2151" s="79" t="s">
        <v>1469</v>
      </c>
      <c r="E2151" s="79">
        <v>0</v>
      </c>
      <c r="F2151" s="79" t="s">
        <v>1470</v>
      </c>
      <c r="G2151" s="80" t="s">
        <v>1471</v>
      </c>
      <c r="H2151" s="5" t="e">
        <f>"t.{"&amp;#REF!&amp;"},"</f>
        <v>#REF!</v>
      </c>
      <c r="I2151" s="3"/>
      <c r="J2151" s="3"/>
      <c r="K2151" s="3"/>
      <c r="L2151" s="3"/>
      <c r="M2151" s="3"/>
      <c r="N2151" s="3"/>
      <c r="O2151" s="3"/>
    </row>
    <row r="2152" spans="1:15" s="3" customFormat="1" hidden="1" outlineLevel="1" x14ac:dyDescent="0.25">
      <c r="B2152" s="81" t="s">
        <v>11</v>
      </c>
      <c r="C2152" s="79" t="s">
        <v>1472</v>
      </c>
      <c r="D2152" s="79" t="s">
        <v>1469</v>
      </c>
      <c r="E2152" s="79">
        <v>0</v>
      </c>
      <c r="F2152" s="79" t="s">
        <v>1470</v>
      </c>
      <c r="G2152" s="80" t="s">
        <v>1473</v>
      </c>
      <c r="H2152" s="5" t="e">
        <f>"t.{"&amp;#REF!&amp;"},"</f>
        <v>#REF!</v>
      </c>
    </row>
    <row r="2153" spans="1:15" s="3" customFormat="1" hidden="1" outlineLevel="1" x14ac:dyDescent="0.25">
      <c r="B2153" s="81" t="s">
        <v>14</v>
      </c>
      <c r="C2153" s="79" t="s">
        <v>1475</v>
      </c>
      <c r="D2153" s="79" t="s">
        <v>1469</v>
      </c>
      <c r="E2153" s="79">
        <v>0</v>
      </c>
      <c r="F2153" s="79" t="s">
        <v>1476</v>
      </c>
      <c r="G2153" s="80" t="s">
        <v>1477</v>
      </c>
      <c r="H2153" s="5" t="e">
        <f>"t.{"&amp;#REF!&amp;"},"</f>
        <v>#REF!</v>
      </c>
    </row>
    <row r="2154" spans="1:15" s="3" customFormat="1" hidden="1" outlineLevel="1" x14ac:dyDescent="0.25">
      <c r="B2154" s="78" t="s">
        <v>202</v>
      </c>
      <c r="C2154" s="79" t="s">
        <v>1634</v>
      </c>
      <c r="D2154" s="79" t="s">
        <v>1469</v>
      </c>
      <c r="E2154" s="79">
        <v>0</v>
      </c>
      <c r="F2154" s="79" t="s">
        <v>1470</v>
      </c>
      <c r="G2154" s="80"/>
      <c r="H2154" s="5" t="e">
        <f>"t.{"&amp;#REF!&amp;"},"</f>
        <v>#REF!</v>
      </c>
    </row>
    <row r="2155" spans="1:15" s="3" customFormat="1" ht="16.2" hidden="1" outlineLevel="1" thickBot="1" x14ac:dyDescent="0.3">
      <c r="B2155" s="239" t="s">
        <v>15</v>
      </c>
      <c r="C2155" s="79" t="s">
        <v>1478</v>
      </c>
      <c r="D2155" s="79" t="s">
        <v>1469</v>
      </c>
      <c r="E2155" s="79">
        <v>0</v>
      </c>
      <c r="F2155" s="79" t="s">
        <v>1470</v>
      </c>
      <c r="G2155" s="80"/>
      <c r="H2155" s="5" t="e">
        <f>"t.{"&amp;#REF!&amp;"},"</f>
        <v>#REF!</v>
      </c>
    </row>
    <row r="2156" spans="1:15" s="3" customFormat="1" ht="16.2" hidden="1" outlineLevel="1" thickBot="1" x14ac:dyDescent="0.3">
      <c r="B2156" s="239" t="s">
        <v>13</v>
      </c>
      <c r="C2156" s="240" t="s">
        <v>1474</v>
      </c>
      <c r="D2156" s="240" t="s">
        <v>1469</v>
      </c>
      <c r="E2156" s="240">
        <v>0</v>
      </c>
      <c r="F2156" s="240" t="s">
        <v>1470</v>
      </c>
      <c r="G2156" s="241"/>
      <c r="H2156" s="5" t="e">
        <f>"t.{"&amp;#REF!&amp;"},"</f>
        <v>#REF!</v>
      </c>
    </row>
    <row r="2157" spans="1:15" s="3" customFormat="1" hidden="1" outlineLevel="1" x14ac:dyDescent="0.25">
      <c r="B2157" s="81" t="s">
        <v>347</v>
      </c>
      <c r="C2157" s="79" t="s">
        <v>1756</v>
      </c>
      <c r="D2157" s="79" t="s">
        <v>1469</v>
      </c>
      <c r="E2157" s="79">
        <v>0</v>
      </c>
      <c r="F2157" s="79" t="s">
        <v>1476</v>
      </c>
      <c r="G2157" s="80"/>
      <c r="H2157" s="5" t="e">
        <f>"t.{"&amp;#REF!&amp;"},"</f>
        <v>#REF!</v>
      </c>
    </row>
    <row r="2158" spans="1:15" s="3" customFormat="1" hidden="1" outlineLevel="1" x14ac:dyDescent="0.25">
      <c r="B2158" s="81" t="s">
        <v>75</v>
      </c>
      <c r="C2158" s="240" t="s">
        <v>1530</v>
      </c>
      <c r="D2158" s="240" t="s">
        <v>1486</v>
      </c>
      <c r="E2158" s="240">
        <v>0</v>
      </c>
      <c r="F2158" s="240" t="s">
        <v>1470</v>
      </c>
      <c r="G2158" s="241" t="s">
        <v>1531</v>
      </c>
      <c r="H2158" s="5" t="e">
        <f>"t.{"&amp;#REF!&amp;"},"</f>
        <v>#REF!</v>
      </c>
    </row>
    <row r="2159" spans="1:15" s="3" customFormat="1" hidden="1" outlineLevel="1" x14ac:dyDescent="0.25">
      <c r="B2159" s="81" t="s">
        <v>361</v>
      </c>
      <c r="C2159" s="240" t="s">
        <v>1763</v>
      </c>
      <c r="D2159" s="240" t="s">
        <v>1469</v>
      </c>
      <c r="E2159" s="240" t="s">
        <v>1480</v>
      </c>
      <c r="F2159" s="240" t="s">
        <v>1481</v>
      </c>
      <c r="G2159" s="241"/>
      <c r="H2159" s="5" t="e">
        <f>"t.{"&amp;#REF!&amp;"},"</f>
        <v>#REF!</v>
      </c>
    </row>
    <row r="2160" spans="1:15" s="3" customFormat="1" hidden="1" outlineLevel="1" x14ac:dyDescent="0.25">
      <c r="B2160" s="81" t="s">
        <v>362</v>
      </c>
      <c r="C2160" s="79" t="s">
        <v>1764</v>
      </c>
      <c r="D2160" s="79" t="s">
        <v>1469</v>
      </c>
      <c r="E2160" s="79" t="s">
        <v>1549</v>
      </c>
      <c r="F2160" s="79" t="s">
        <v>1470</v>
      </c>
      <c r="G2160" s="80"/>
      <c r="H2160" s="5" t="e">
        <f>"t.{"&amp;#REF!&amp;"},"</f>
        <v>#REF!</v>
      </c>
    </row>
    <row r="2161" spans="1:13" s="3" customFormat="1" hidden="1" outlineLevel="1" x14ac:dyDescent="0.25">
      <c r="B2161" s="81" t="s">
        <v>349</v>
      </c>
      <c r="C2161" s="79" t="s">
        <v>1758</v>
      </c>
      <c r="D2161" s="79" t="s">
        <v>1539</v>
      </c>
      <c r="E2161" s="79">
        <v>0</v>
      </c>
      <c r="F2161" s="79" t="s">
        <v>1470</v>
      </c>
      <c r="G2161" s="80"/>
      <c r="H2161" s="5" t="e">
        <f>"t.{"&amp;#REF!&amp;"},"</f>
        <v>#REF!</v>
      </c>
    </row>
    <row r="2162" spans="1:13" s="3" customFormat="1" hidden="1" outlineLevel="1" x14ac:dyDescent="0.25">
      <c r="B2162" s="81" t="s">
        <v>76</v>
      </c>
      <c r="C2162" s="79" t="s">
        <v>1532</v>
      </c>
      <c r="D2162" s="79" t="s">
        <v>1489</v>
      </c>
      <c r="E2162" s="79">
        <v>0</v>
      </c>
      <c r="F2162" s="79"/>
      <c r="G2162" s="80"/>
      <c r="H2162" s="5" t="e">
        <f>"t.{"&amp;#REF!&amp;"},"</f>
        <v>#REF!</v>
      </c>
    </row>
    <row r="2163" spans="1:13" s="3" customFormat="1" hidden="1" outlineLevel="1" x14ac:dyDescent="0.25">
      <c r="B2163" s="81" t="s">
        <v>177</v>
      </c>
      <c r="C2163" s="79" t="s">
        <v>1600</v>
      </c>
      <c r="D2163" s="79" t="s">
        <v>1489</v>
      </c>
      <c r="E2163" s="79">
        <v>0</v>
      </c>
      <c r="F2163" s="79" t="s">
        <v>1470</v>
      </c>
      <c r="G2163" s="80"/>
      <c r="H2163" s="5" t="e">
        <f>"t.{"&amp;#REF!&amp;"},"</f>
        <v>#REF!</v>
      </c>
    </row>
    <row r="2164" spans="1:13" s="3" customFormat="1" hidden="1" outlineLevel="1" x14ac:dyDescent="0.25">
      <c r="B2164" s="242" t="s">
        <v>367</v>
      </c>
      <c r="C2164" s="79" t="s">
        <v>1768</v>
      </c>
      <c r="D2164" s="79" t="s">
        <v>1469</v>
      </c>
      <c r="E2164" s="79" t="s">
        <v>1480</v>
      </c>
      <c r="F2164" s="79" t="s">
        <v>1481</v>
      </c>
      <c r="G2164" s="80"/>
      <c r="H2164" s="5" t="e">
        <f>"t.{"&amp;#REF!&amp;"},"</f>
        <v>#REF!</v>
      </c>
    </row>
    <row r="2165" spans="1:13" s="3" customFormat="1" hidden="1" outlineLevel="1" x14ac:dyDescent="0.25">
      <c r="B2165" s="242" t="s">
        <v>368</v>
      </c>
      <c r="C2165" s="79" t="s">
        <v>1769</v>
      </c>
      <c r="D2165" s="79" t="s">
        <v>1469</v>
      </c>
      <c r="E2165" s="79" t="s">
        <v>1549</v>
      </c>
      <c r="F2165" s="79" t="s">
        <v>1470</v>
      </c>
      <c r="G2165" s="80"/>
      <c r="H2165" s="5" t="e">
        <f>"t.{"&amp;#REF!&amp;"},"</f>
        <v>#REF!</v>
      </c>
    </row>
    <row r="2166" spans="1:13" s="3" customFormat="1" hidden="1" outlineLevel="1" x14ac:dyDescent="0.25">
      <c r="B2166" s="242" t="s">
        <v>369</v>
      </c>
      <c r="C2166" s="79" t="s">
        <v>1770</v>
      </c>
      <c r="D2166" s="79" t="s">
        <v>1539</v>
      </c>
      <c r="E2166" s="79">
        <v>0</v>
      </c>
      <c r="F2166" s="79" t="s">
        <v>1470</v>
      </c>
      <c r="G2166" s="80"/>
      <c r="H2166" s="5" t="e">
        <f>"t.{"&amp;#REF!&amp;"},"</f>
        <v>#REF!</v>
      </c>
    </row>
    <row r="2167" spans="1:13" s="3" customFormat="1" hidden="1" outlineLevel="1" x14ac:dyDescent="0.25">
      <c r="B2167" s="81" t="s">
        <v>78</v>
      </c>
      <c r="C2167" s="79" t="s">
        <v>1534</v>
      </c>
      <c r="D2167" s="79" t="s">
        <v>1489</v>
      </c>
      <c r="E2167" s="79">
        <v>0</v>
      </c>
      <c r="F2167" s="79"/>
      <c r="G2167" s="80"/>
      <c r="H2167" s="5" t="e">
        <f>"t.{"&amp;#REF!&amp;"},"</f>
        <v>#REF!</v>
      </c>
    </row>
    <row r="2168" spans="1:13" s="3" customFormat="1" hidden="1" outlineLevel="1" x14ac:dyDescent="0.25">
      <c r="B2168" s="81" t="s">
        <v>178</v>
      </c>
      <c r="C2168" s="79" t="s">
        <v>1601</v>
      </c>
      <c r="D2168" s="79" t="s">
        <v>1489</v>
      </c>
      <c r="E2168" s="79">
        <v>0</v>
      </c>
      <c r="F2168" s="79" t="s">
        <v>1470</v>
      </c>
      <c r="G2168" s="80"/>
      <c r="H2168" s="5" t="e">
        <f>"t.{"&amp;#REF!&amp;"},"</f>
        <v>#REF!</v>
      </c>
    </row>
    <row r="2169" spans="1:13" s="3" customFormat="1" hidden="1" outlineLevel="1" x14ac:dyDescent="0.25">
      <c r="B2169" s="81" t="s">
        <v>211</v>
      </c>
      <c r="C2169" s="79" t="s">
        <v>1651</v>
      </c>
      <c r="D2169" s="79" t="s">
        <v>1652</v>
      </c>
      <c r="E2169" s="79" t="s">
        <v>1594</v>
      </c>
      <c r="F2169" s="79" t="s">
        <v>1470</v>
      </c>
      <c r="G2169" s="80" t="s">
        <v>1653</v>
      </c>
      <c r="H2169" s="5" t="e">
        <f>"t.{"&amp;#REF!&amp;"},"</f>
        <v>#REF!</v>
      </c>
    </row>
    <row r="2170" spans="1:13" s="3" customFormat="1" hidden="1" outlineLevel="1" x14ac:dyDescent="0.25">
      <c r="B2170" s="81" t="s">
        <v>77</v>
      </c>
      <c r="C2170" s="79" t="s">
        <v>1533</v>
      </c>
      <c r="D2170" s="79" t="s">
        <v>1486</v>
      </c>
      <c r="E2170" s="79">
        <v>0</v>
      </c>
      <c r="F2170" s="79" t="s">
        <v>1470</v>
      </c>
      <c r="G2170" s="80"/>
      <c r="H2170" s="5" t="e">
        <f>"t.{"&amp;#REF!&amp;"},"</f>
        <v>#REF!</v>
      </c>
    </row>
    <row r="2171" spans="1:13" s="3" customFormat="1" hidden="1" outlineLevel="1" x14ac:dyDescent="0.25">
      <c r="B2171" s="81" t="s">
        <v>24</v>
      </c>
      <c r="C2171" s="79" t="s">
        <v>1491</v>
      </c>
      <c r="D2171" s="79" t="s">
        <v>1489</v>
      </c>
      <c r="E2171" s="79">
        <v>0</v>
      </c>
      <c r="F2171" s="79" t="s">
        <v>1470</v>
      </c>
      <c r="G2171" s="80"/>
      <c r="H2171" s="5" t="e">
        <f>"t.{"&amp;#REF!&amp;"},"</f>
        <v>#REF!</v>
      </c>
    </row>
    <row r="2172" spans="1:13" s="3" customFormat="1" hidden="1" outlineLevel="1" x14ac:dyDescent="0.25">
      <c r="B2172" s="81" t="s">
        <v>58</v>
      </c>
      <c r="C2172" s="79" t="s">
        <v>1522</v>
      </c>
      <c r="D2172" s="79" t="s">
        <v>1489</v>
      </c>
      <c r="E2172" s="79">
        <v>0</v>
      </c>
      <c r="F2172" s="79" t="s">
        <v>1470</v>
      </c>
      <c r="G2172" s="80"/>
      <c r="H2172" s="5" t="e">
        <f>"t.{"&amp;#REF!&amp;"},"</f>
        <v>#REF!</v>
      </c>
    </row>
    <row r="2173" spans="1:13" s="4" customFormat="1" ht="17.399999999999999" hidden="1" customHeight="1" outlineLevel="1" x14ac:dyDescent="0.35">
      <c r="A2173" s="5"/>
      <c r="B2173" s="64"/>
      <c r="C2173" s="65"/>
      <c r="D2173" s="65"/>
      <c r="E2173" s="65"/>
      <c r="F2173" s="65"/>
      <c r="G2173" s="66"/>
      <c r="H2173" s="5"/>
      <c r="I2173" s="5"/>
      <c r="J2173" s="5"/>
      <c r="K2173" s="5"/>
      <c r="L2173" s="5"/>
      <c r="M2173" s="5"/>
    </row>
    <row r="2174" spans="1:13" s="4" customFormat="1" ht="17.399999999999999" hidden="1" customHeight="1" outlineLevel="1" thickBot="1" x14ac:dyDescent="0.4">
      <c r="A2174" s="5"/>
      <c r="B2174" s="67"/>
      <c r="C2174" s="84"/>
      <c r="D2174" s="84"/>
      <c r="E2174" s="84"/>
      <c r="F2174" s="84"/>
      <c r="G2174" s="85"/>
      <c r="H2174" s="5"/>
      <c r="I2174" s="5"/>
      <c r="J2174" s="5"/>
      <c r="K2174" s="5"/>
      <c r="L2174" s="5"/>
      <c r="M2174" s="5"/>
    </row>
    <row r="2175" spans="1:13" s="4" customFormat="1" ht="17.399999999999999" hidden="1" customHeight="1" outlineLevel="1" x14ac:dyDescent="0.35">
      <c r="A2175" s="5"/>
      <c r="B2175" s="386" t="s">
        <v>28</v>
      </c>
      <c r="C2175" s="387"/>
      <c r="D2175" s="387"/>
      <c r="E2175" s="387"/>
      <c r="F2175" s="387"/>
      <c r="G2175" s="388"/>
      <c r="H2175" s="5"/>
      <c r="I2175" s="5"/>
      <c r="J2175" s="5"/>
      <c r="K2175" s="5"/>
      <c r="L2175" s="5"/>
      <c r="M2175" s="5"/>
    </row>
    <row r="2176" spans="1:13" s="4" customFormat="1" ht="17.399999999999999" hidden="1" customHeight="1" outlineLevel="1" x14ac:dyDescent="0.35">
      <c r="A2176" s="5"/>
      <c r="B2176" s="32" t="s">
        <v>2</v>
      </c>
      <c r="C2176" s="33" t="s">
        <v>3</v>
      </c>
      <c r="D2176" s="33" t="s">
        <v>4</v>
      </c>
      <c r="E2176" s="33"/>
      <c r="F2176" s="33"/>
      <c r="G2176" s="34" t="s">
        <v>6</v>
      </c>
      <c r="H2176" s="5"/>
      <c r="I2176" s="5"/>
      <c r="J2176" s="5"/>
      <c r="K2176" s="5"/>
      <c r="L2176" s="5"/>
      <c r="M2176" s="5"/>
    </row>
    <row r="2177" spans="1:13" s="4" customFormat="1" ht="17.399999999999999" hidden="1" customHeight="1" outlineLevel="1" x14ac:dyDescent="0.35">
      <c r="A2177" s="5"/>
      <c r="B2177" s="31"/>
      <c r="C2177" s="65"/>
      <c r="D2177" s="65"/>
      <c r="E2177" s="65"/>
      <c r="F2177" s="65"/>
      <c r="G2177" s="66"/>
    </row>
    <row r="2178" spans="1:13" s="4" customFormat="1" ht="17.399999999999999" hidden="1" customHeight="1" outlineLevel="1" thickBot="1" x14ac:dyDescent="0.4">
      <c r="A2178" s="5"/>
      <c r="B2178" s="31"/>
      <c r="C2178" s="65"/>
      <c r="D2178" s="65"/>
      <c r="E2178" s="65"/>
      <c r="F2178" s="65"/>
      <c r="G2178" s="66"/>
      <c r="H2178" s="5"/>
      <c r="I2178" s="5"/>
      <c r="J2178" s="5"/>
      <c r="K2178" s="5"/>
      <c r="L2178" s="5"/>
      <c r="M2178" s="5"/>
    </row>
    <row r="2179" spans="1:13" s="4" customFormat="1" ht="17.399999999999999" hidden="1" customHeight="1" outlineLevel="1" x14ac:dyDescent="0.35">
      <c r="A2179" s="5"/>
      <c r="B2179" s="392" t="s">
        <v>29</v>
      </c>
      <c r="C2179" s="393"/>
      <c r="D2179" s="393"/>
      <c r="E2179" s="393"/>
      <c r="F2179" s="393"/>
      <c r="G2179" s="394"/>
      <c r="H2179" s="5"/>
      <c r="I2179" s="5"/>
      <c r="J2179" s="5"/>
      <c r="K2179" s="5"/>
      <c r="L2179" s="5"/>
      <c r="M2179" s="5"/>
    </row>
    <row r="2180" spans="1:13" s="4" customFormat="1" ht="17.399999999999999" hidden="1" customHeight="1" outlineLevel="1" x14ac:dyDescent="0.35">
      <c r="A2180" s="5"/>
      <c r="B2180" s="28"/>
      <c r="C2180" s="65"/>
      <c r="D2180" s="65"/>
      <c r="E2180" s="65"/>
      <c r="F2180" s="65"/>
      <c r="G2180" s="105" t="s">
        <v>370</v>
      </c>
      <c r="H2180" s="5"/>
      <c r="I2180" s="5"/>
      <c r="J2180" s="5"/>
      <c r="K2180" s="5"/>
      <c r="L2180" s="5"/>
      <c r="M2180" s="5"/>
    </row>
    <row r="2181" spans="1:13" s="4" customFormat="1" ht="17.399999999999999" hidden="1" customHeight="1" outlineLevel="1" x14ac:dyDescent="0.35">
      <c r="A2181" s="5"/>
      <c r="B2181" s="28"/>
      <c r="C2181" s="65"/>
      <c r="D2181" s="65"/>
      <c r="E2181" s="65"/>
      <c r="F2181" s="65"/>
      <c r="G2181" s="105" t="s">
        <v>668</v>
      </c>
      <c r="H2181" s="5"/>
      <c r="I2181" s="5"/>
      <c r="J2181" s="5"/>
      <c r="K2181" s="5"/>
      <c r="L2181" s="5"/>
      <c r="M2181" s="5"/>
    </row>
    <row r="2182" spans="1:13" s="4" customFormat="1" ht="17.399999999999999" hidden="1" customHeight="1" outlineLevel="1" x14ac:dyDescent="0.35">
      <c r="A2182" s="5"/>
      <c r="B2182" s="28"/>
      <c r="C2182" s="65"/>
      <c r="D2182" s="65"/>
      <c r="E2182" s="65"/>
      <c r="F2182" s="65"/>
      <c r="G2182" s="66"/>
      <c r="H2182" s="5"/>
      <c r="I2182" s="5"/>
      <c r="J2182" s="5"/>
      <c r="K2182" s="5"/>
      <c r="L2182" s="5"/>
      <c r="M2182" s="5"/>
    </row>
    <row r="2183" spans="1:13" s="4" customFormat="1" ht="17.399999999999999" hidden="1" customHeight="1" outlineLevel="1" x14ac:dyDescent="0.35">
      <c r="A2183" s="5"/>
      <c r="B2183" s="28"/>
      <c r="C2183" s="65"/>
      <c r="D2183" s="65"/>
      <c r="E2183" s="65"/>
      <c r="F2183" s="65"/>
      <c r="G2183" s="66"/>
      <c r="H2183" s="5"/>
      <c r="I2183" s="5"/>
      <c r="J2183" s="5"/>
      <c r="K2183" s="5"/>
      <c r="L2183" s="5"/>
      <c r="M2183" s="5"/>
    </row>
    <row r="2184" spans="1:13" s="3" customFormat="1" ht="17.399999999999999" hidden="1" customHeight="1" outlineLevel="1" x14ac:dyDescent="0.25">
      <c r="A2184" s="5"/>
      <c r="B2184" s="31" t="s">
        <v>669</v>
      </c>
      <c r="C2184" s="65"/>
      <c r="D2184" s="65"/>
      <c r="E2184" s="65"/>
      <c r="F2184" s="65"/>
      <c r="G2184" s="371" t="s">
        <v>2451</v>
      </c>
    </row>
    <row r="2185" spans="1:13" s="4" customFormat="1" ht="17.399999999999999" hidden="1" customHeight="1" outlineLevel="1" thickBot="1" x14ac:dyDescent="0.4">
      <c r="A2185" s="5"/>
      <c r="B2185" s="103"/>
      <c r="C2185" s="92"/>
      <c r="D2185" s="92"/>
      <c r="E2185" s="92"/>
      <c r="F2185" s="92"/>
      <c r="G2185" s="93"/>
    </row>
    <row r="2186" spans="1:13" s="4" customFormat="1" ht="17.399999999999999" hidden="1" customHeight="1" outlineLevel="1" x14ac:dyDescent="0.35">
      <c r="A2186" s="5"/>
      <c r="B2186" s="5"/>
      <c r="C2186" s="5"/>
      <c r="D2186" s="5"/>
      <c r="E2186" s="5"/>
      <c r="F2186" s="5"/>
      <c r="G2186" s="5"/>
    </row>
    <row r="2187" spans="1:13" ht="16.2" hidden="1" outlineLevel="1" thickBot="1" x14ac:dyDescent="0.3"/>
    <row r="2188" spans="1:13" s="3" customFormat="1" ht="18" customHeight="1" collapsed="1" thickBot="1" x14ac:dyDescent="0.3">
      <c r="A2188" s="5"/>
      <c r="B2188" s="15" t="s">
        <v>1279</v>
      </c>
      <c r="C2188" s="16" t="s">
        <v>2026</v>
      </c>
      <c r="D2188" s="17" t="s">
        <v>1281</v>
      </c>
      <c r="E2188" s="252" t="s">
        <v>670</v>
      </c>
      <c r="F2188" s="17" t="s">
        <v>1282</v>
      </c>
      <c r="G2188" s="18" t="s">
        <v>2027</v>
      </c>
    </row>
    <row r="2189" spans="1:13" s="3" customFormat="1" ht="17.399999999999999" hidden="1" customHeight="1" outlineLevel="1" x14ac:dyDescent="0.25">
      <c r="A2189" s="5"/>
      <c r="B2189" s="19" t="s">
        <v>1284</v>
      </c>
      <c r="C2189" s="20" t="s">
        <v>1285</v>
      </c>
      <c r="D2189" s="21" t="s">
        <v>1286</v>
      </c>
      <c r="E2189" s="20" t="s">
        <v>2028</v>
      </c>
      <c r="F2189" s="21" t="s">
        <v>1288</v>
      </c>
      <c r="G2189" s="22"/>
    </row>
    <row r="2190" spans="1:13" s="3" customFormat="1" ht="17.399999999999999" hidden="1" customHeight="1" outlineLevel="1" thickBot="1" x14ac:dyDescent="0.3">
      <c r="A2190" s="5"/>
      <c r="B2190" s="19" t="s">
        <v>1290</v>
      </c>
      <c r="C2190" s="23" t="s">
        <v>1291</v>
      </c>
      <c r="D2190" s="21" t="s">
        <v>1292</v>
      </c>
      <c r="E2190" s="23">
        <v>5</v>
      </c>
      <c r="F2190" s="21" t="s">
        <v>1293</v>
      </c>
      <c r="G2190" s="24" t="s">
        <v>1294</v>
      </c>
    </row>
    <row r="2191" spans="1:13" s="3" customFormat="1" ht="17.399999999999999" hidden="1" customHeight="1" outlineLevel="1" x14ac:dyDescent="0.25">
      <c r="A2191" s="5"/>
      <c r="B2191" s="401" t="s">
        <v>1</v>
      </c>
      <c r="C2191" s="402"/>
      <c r="D2191" s="402"/>
      <c r="E2191" s="402"/>
      <c r="F2191" s="402"/>
      <c r="G2191" s="403"/>
    </row>
    <row r="2192" spans="1:13" s="3" customFormat="1" ht="17.399999999999999" hidden="1" customHeight="1" outlineLevel="1" x14ac:dyDescent="0.25">
      <c r="A2192" s="5"/>
      <c r="B2192" s="25" t="s">
        <v>2</v>
      </c>
      <c r="C2192" s="26" t="s">
        <v>3</v>
      </c>
      <c r="D2192" s="26" t="s">
        <v>4</v>
      </c>
      <c r="E2192" s="26" t="s">
        <v>5</v>
      </c>
      <c r="F2192" s="26"/>
      <c r="G2192" s="27" t="s">
        <v>6</v>
      </c>
    </row>
    <row r="2193" spans="1:14" s="3" customFormat="1" hidden="1" outlineLevel="1" x14ac:dyDescent="0.25">
      <c r="A2193" s="5"/>
      <c r="B2193" s="31" t="s">
        <v>162</v>
      </c>
      <c r="C2193" s="20" t="s">
        <v>1589</v>
      </c>
      <c r="D2193" s="20" t="s">
        <v>1469</v>
      </c>
      <c r="E2193" s="20">
        <v>0</v>
      </c>
      <c r="F2193" s="20"/>
      <c r="G2193" s="22" t="s">
        <v>1590</v>
      </c>
    </row>
    <row r="2194" spans="1:14" s="3" customFormat="1" hidden="1" outlineLevel="1" x14ac:dyDescent="0.25">
      <c r="A2194" s="5"/>
      <c r="B2194" s="31" t="s">
        <v>163</v>
      </c>
      <c r="C2194" s="20" t="s">
        <v>1591</v>
      </c>
      <c r="D2194" s="20" t="s">
        <v>1469</v>
      </c>
      <c r="E2194" s="20">
        <v>0</v>
      </c>
      <c r="F2194" s="20"/>
      <c r="G2194" s="22" t="s">
        <v>1590</v>
      </c>
    </row>
    <row r="2195" spans="1:14" s="3" customFormat="1" hidden="1" outlineLevel="1" x14ac:dyDescent="0.25">
      <c r="B2195" s="28" t="s">
        <v>128</v>
      </c>
      <c r="C2195" s="29" t="s">
        <v>1566</v>
      </c>
      <c r="D2195" s="29" t="s">
        <v>1567</v>
      </c>
      <c r="E2195" s="29">
        <v>0</v>
      </c>
      <c r="F2195" s="29" t="s">
        <v>1470</v>
      </c>
      <c r="G2195" s="30"/>
      <c r="J2195" s="3" t="s">
        <v>12</v>
      </c>
      <c r="N2195" s="3">
        <v>1629</v>
      </c>
    </row>
    <row r="2196" spans="1:14" s="3" customFormat="1" hidden="1" outlineLevel="1" x14ac:dyDescent="0.25">
      <c r="B2196" s="28" t="s">
        <v>114</v>
      </c>
      <c r="C2196" s="29" t="s">
        <v>1557</v>
      </c>
      <c r="D2196" s="29" t="s">
        <v>1469</v>
      </c>
      <c r="E2196" s="29">
        <v>-1</v>
      </c>
      <c r="F2196" s="29" t="s">
        <v>1470</v>
      </c>
      <c r="G2196" s="30"/>
      <c r="J2196" s="3" t="s">
        <v>10</v>
      </c>
      <c r="N2196" s="3">
        <v>2449</v>
      </c>
    </row>
    <row r="2197" spans="1:14" s="3" customFormat="1" hidden="1" outlineLevel="1" x14ac:dyDescent="0.25">
      <c r="B2197" s="28" t="s">
        <v>7</v>
      </c>
      <c r="C2197" s="29" t="s">
        <v>1468</v>
      </c>
      <c r="D2197" s="29" t="s">
        <v>1469</v>
      </c>
      <c r="E2197" s="29">
        <v>0</v>
      </c>
      <c r="F2197" s="29" t="s">
        <v>1470</v>
      </c>
      <c r="G2197" s="30" t="s">
        <v>1471</v>
      </c>
      <c r="J2197" s="3" t="s">
        <v>10</v>
      </c>
      <c r="N2197" s="3">
        <v>1112</v>
      </c>
    </row>
    <row r="2198" spans="1:14" s="3" customFormat="1" ht="16.2" hidden="1" outlineLevel="1" thickBot="1" x14ac:dyDescent="0.3">
      <c r="B2198" s="28"/>
      <c r="C2198" s="29"/>
      <c r="D2198" s="29"/>
      <c r="E2198" s="29"/>
      <c r="F2198" s="29"/>
      <c r="G2198" s="30"/>
    </row>
    <row r="2199" spans="1:14" s="3" customFormat="1" ht="17.399999999999999" hidden="1" customHeight="1" outlineLevel="1" x14ac:dyDescent="0.25">
      <c r="A2199" s="5"/>
      <c r="B2199" s="401" t="s">
        <v>18</v>
      </c>
      <c r="C2199" s="402"/>
      <c r="D2199" s="402"/>
      <c r="E2199" s="402"/>
      <c r="F2199" s="402"/>
      <c r="G2199" s="403"/>
    </row>
    <row r="2200" spans="1:14" s="3" customFormat="1" ht="17.399999999999999" hidden="1" customHeight="1" outlineLevel="1" x14ac:dyDescent="0.25">
      <c r="A2200" s="5"/>
      <c r="B2200" s="25" t="s">
        <v>2</v>
      </c>
      <c r="C2200" s="26" t="s">
        <v>3</v>
      </c>
      <c r="D2200" s="26" t="s">
        <v>4</v>
      </c>
      <c r="E2200" s="26" t="s">
        <v>5</v>
      </c>
      <c r="F2200" s="26"/>
      <c r="G2200" s="27" t="s">
        <v>6</v>
      </c>
    </row>
    <row r="2201" spans="1:14" s="3" customFormat="1" ht="17.399999999999999" hidden="1" customHeight="1" outlineLevel="1" x14ac:dyDescent="0.25">
      <c r="A2201" s="5"/>
      <c r="B2201" s="253" t="s">
        <v>128</v>
      </c>
      <c r="C2201" s="254" t="s">
        <v>1566</v>
      </c>
      <c r="D2201" s="254" t="s">
        <v>1567</v>
      </c>
      <c r="E2201" s="254">
        <v>0</v>
      </c>
      <c r="F2201" s="254" t="s">
        <v>1470</v>
      </c>
      <c r="G2201" s="255"/>
    </row>
    <row r="2202" spans="1:14" hidden="1" outlineLevel="1" x14ac:dyDescent="0.25">
      <c r="B2202" s="256" t="s">
        <v>16</v>
      </c>
      <c r="C2202" s="257" t="s">
        <v>1479</v>
      </c>
      <c r="D2202" s="257" t="s">
        <v>1469</v>
      </c>
      <c r="E2202" s="257" t="s">
        <v>1480</v>
      </c>
      <c r="F2202" s="257" t="s">
        <v>1481</v>
      </c>
      <c r="G2202" s="258" t="s">
        <v>1482</v>
      </c>
    </row>
    <row r="2203" spans="1:14" hidden="1" outlineLevel="1" x14ac:dyDescent="0.25">
      <c r="B2203" s="256" t="s">
        <v>112</v>
      </c>
      <c r="C2203" s="259" t="s">
        <v>1555</v>
      </c>
      <c r="D2203" s="257" t="s">
        <v>1469</v>
      </c>
      <c r="E2203" s="257">
        <v>0</v>
      </c>
      <c r="F2203" s="257" t="s">
        <v>1470</v>
      </c>
      <c r="G2203" s="258" t="s">
        <v>1556</v>
      </c>
    </row>
    <row r="2204" spans="1:14" hidden="1" outlineLevel="1" x14ac:dyDescent="0.25">
      <c r="B2204" s="256" t="s">
        <v>7</v>
      </c>
      <c r="C2204" s="259" t="s">
        <v>1468</v>
      </c>
      <c r="D2204" s="257" t="s">
        <v>1469</v>
      </c>
      <c r="E2204" s="257">
        <v>0</v>
      </c>
      <c r="F2204" s="257" t="s">
        <v>1470</v>
      </c>
      <c r="G2204" s="258" t="s">
        <v>1471</v>
      </c>
    </row>
    <row r="2205" spans="1:14" hidden="1" outlineLevel="1" x14ac:dyDescent="0.25">
      <c r="B2205" s="256" t="s">
        <v>266</v>
      </c>
      <c r="C2205" s="257" t="s">
        <v>1693</v>
      </c>
      <c r="D2205" s="257" t="s">
        <v>1486</v>
      </c>
      <c r="E2205" s="257">
        <v>0</v>
      </c>
      <c r="F2205" s="257" t="s">
        <v>1470</v>
      </c>
      <c r="G2205" s="258"/>
    </row>
    <row r="2206" spans="1:14" hidden="1" outlineLevel="1" x14ac:dyDescent="0.25">
      <c r="B2206" s="256" t="s">
        <v>267</v>
      </c>
      <c r="C2206" s="257" t="s">
        <v>1694</v>
      </c>
      <c r="D2206" s="257" t="s">
        <v>1486</v>
      </c>
      <c r="E2206" s="257">
        <v>0</v>
      </c>
      <c r="F2206" s="257" t="s">
        <v>1470</v>
      </c>
      <c r="G2206" s="258"/>
    </row>
    <row r="2207" spans="1:14" hidden="1" outlineLevel="1" x14ac:dyDescent="0.25">
      <c r="B2207" s="256" t="s">
        <v>373</v>
      </c>
      <c r="C2207" s="257" t="s">
        <v>1771</v>
      </c>
      <c r="D2207" s="257" t="s">
        <v>1486</v>
      </c>
      <c r="E2207" s="257">
        <v>0</v>
      </c>
      <c r="F2207" s="257"/>
      <c r="G2207" s="258"/>
    </row>
    <row r="2208" spans="1:14" hidden="1" outlineLevel="1" x14ac:dyDescent="0.25">
      <c r="B2208" s="256" t="s">
        <v>374</v>
      </c>
      <c r="C2208" s="257" t="s">
        <v>1772</v>
      </c>
      <c r="D2208" s="257" t="s">
        <v>1489</v>
      </c>
      <c r="E2208" s="257">
        <v>0</v>
      </c>
      <c r="F2208" s="257"/>
      <c r="G2208" s="258"/>
    </row>
    <row r="2209" spans="2:7" hidden="1" outlineLevel="1" x14ac:dyDescent="0.25">
      <c r="B2209" s="256" t="s">
        <v>268</v>
      </c>
      <c r="C2209" s="259" t="s">
        <v>1695</v>
      </c>
      <c r="D2209" s="257" t="s">
        <v>1489</v>
      </c>
      <c r="E2209" s="257">
        <v>0</v>
      </c>
      <c r="F2209" s="257" t="s">
        <v>1470</v>
      </c>
      <c r="G2209" s="258"/>
    </row>
    <row r="2210" spans="2:7" hidden="1" outlineLevel="1" x14ac:dyDescent="0.25">
      <c r="B2210" s="256" t="s">
        <v>269</v>
      </c>
      <c r="C2210" s="257" t="s">
        <v>1696</v>
      </c>
      <c r="D2210" s="257" t="s">
        <v>1489</v>
      </c>
      <c r="E2210" s="257">
        <v>0</v>
      </c>
      <c r="F2210" s="257" t="s">
        <v>1470</v>
      </c>
      <c r="G2210" s="258"/>
    </row>
    <row r="2211" spans="2:7" hidden="1" outlineLevel="1" x14ac:dyDescent="0.25">
      <c r="B2211" s="256" t="s">
        <v>270</v>
      </c>
      <c r="C2211" s="257" t="s">
        <v>1697</v>
      </c>
      <c r="D2211" s="257" t="s">
        <v>1489</v>
      </c>
      <c r="E2211" s="257">
        <v>0</v>
      </c>
      <c r="F2211" s="257"/>
      <c r="G2211" s="258"/>
    </row>
    <row r="2212" spans="2:7" hidden="1" outlineLevel="1" x14ac:dyDescent="0.25">
      <c r="B2212" s="256" t="s">
        <v>271</v>
      </c>
      <c r="C2212" s="257" t="s">
        <v>1698</v>
      </c>
      <c r="D2212" s="257" t="s">
        <v>1494</v>
      </c>
      <c r="E2212" s="257">
        <v>0</v>
      </c>
      <c r="F2212" s="257"/>
      <c r="G2212" s="258"/>
    </row>
    <row r="2213" spans="2:7" hidden="1" outlineLevel="1" x14ac:dyDescent="0.25">
      <c r="B2213" s="256" t="s">
        <v>272</v>
      </c>
      <c r="C2213" s="259" t="s">
        <v>1699</v>
      </c>
      <c r="D2213" s="257" t="s">
        <v>1489</v>
      </c>
      <c r="E2213" s="257">
        <v>0</v>
      </c>
      <c r="F2213" s="257"/>
      <c r="G2213" s="258"/>
    </row>
    <row r="2214" spans="2:7" hidden="1" outlineLevel="1" x14ac:dyDescent="0.25">
      <c r="B2214" s="256" t="s">
        <v>273</v>
      </c>
      <c r="C2214" s="259" t="s">
        <v>1700</v>
      </c>
      <c r="D2214" s="257" t="s">
        <v>1489</v>
      </c>
      <c r="E2214" s="257">
        <v>0</v>
      </c>
      <c r="F2214" s="257" t="s">
        <v>1470</v>
      </c>
      <c r="G2214" s="258"/>
    </row>
    <row r="2215" spans="2:7" hidden="1" outlineLevel="1" x14ac:dyDescent="0.25">
      <c r="B2215" s="260" t="s">
        <v>274</v>
      </c>
      <c r="C2215" s="261" t="s">
        <v>1701</v>
      </c>
      <c r="D2215" s="262" t="s">
        <v>1489</v>
      </c>
      <c r="E2215" s="262">
        <v>0</v>
      </c>
      <c r="F2215" s="262" t="s">
        <v>1470</v>
      </c>
      <c r="G2215" s="263"/>
    </row>
    <row r="2216" spans="2:7" hidden="1" outlineLevel="1" x14ac:dyDescent="0.25">
      <c r="B2216" s="256" t="s">
        <v>275</v>
      </c>
      <c r="C2216" s="259" t="s">
        <v>1702</v>
      </c>
      <c r="D2216" s="257" t="s">
        <v>1489</v>
      </c>
      <c r="E2216" s="257">
        <v>0</v>
      </c>
      <c r="F2216" s="257" t="s">
        <v>1470</v>
      </c>
      <c r="G2216" s="258"/>
    </row>
    <row r="2217" spans="2:7" hidden="1" outlineLevel="1" x14ac:dyDescent="0.25">
      <c r="B2217" s="256" t="s">
        <v>278</v>
      </c>
      <c r="C2217" s="259" t="s">
        <v>1705</v>
      </c>
      <c r="D2217" s="257" t="s">
        <v>1489</v>
      </c>
      <c r="E2217" s="257">
        <v>0</v>
      </c>
      <c r="F2217" s="257"/>
      <c r="G2217" s="258"/>
    </row>
    <row r="2218" spans="2:7" hidden="1" outlineLevel="1" x14ac:dyDescent="0.25">
      <c r="B2218" s="256" t="s">
        <v>279</v>
      </c>
      <c r="C2218" s="259" t="s">
        <v>1706</v>
      </c>
      <c r="D2218" s="257" t="s">
        <v>1489</v>
      </c>
      <c r="E2218" s="257">
        <v>0</v>
      </c>
      <c r="F2218" s="257" t="s">
        <v>1470</v>
      </c>
      <c r="G2218" s="258"/>
    </row>
    <row r="2219" spans="2:7" hidden="1" outlineLevel="1" x14ac:dyDescent="0.25">
      <c r="B2219" s="256" t="s">
        <v>281</v>
      </c>
      <c r="C2219" s="259" t="s">
        <v>1708</v>
      </c>
      <c r="D2219" s="257" t="s">
        <v>1489</v>
      </c>
      <c r="E2219" s="257">
        <v>0</v>
      </c>
      <c r="F2219" s="257" t="s">
        <v>1470</v>
      </c>
      <c r="G2219" s="258"/>
    </row>
    <row r="2220" spans="2:7" hidden="1" outlineLevel="1" x14ac:dyDescent="0.25">
      <c r="B2220" s="256" t="s">
        <v>280</v>
      </c>
      <c r="C2220" s="259" t="s">
        <v>1707</v>
      </c>
      <c r="D2220" s="257" t="s">
        <v>1489</v>
      </c>
      <c r="E2220" s="257">
        <v>0</v>
      </c>
      <c r="F2220" s="257"/>
      <c r="G2220" s="258"/>
    </row>
    <row r="2221" spans="2:7" hidden="1" outlineLevel="1" x14ac:dyDescent="0.25">
      <c r="B2221" s="256" t="s">
        <v>282</v>
      </c>
      <c r="C2221" s="257" t="s">
        <v>1709</v>
      </c>
      <c r="D2221" s="257" t="s">
        <v>1489</v>
      </c>
      <c r="E2221" s="257">
        <v>0</v>
      </c>
      <c r="F2221" s="257"/>
      <c r="G2221" s="258"/>
    </row>
    <row r="2222" spans="2:7" hidden="1" outlineLevel="1" x14ac:dyDescent="0.25">
      <c r="B2222" s="256" t="s">
        <v>203</v>
      </c>
      <c r="C2222" s="257" t="s">
        <v>1635</v>
      </c>
      <c r="D2222" s="257" t="s">
        <v>1636</v>
      </c>
      <c r="E2222" s="257" t="s">
        <v>1637</v>
      </c>
      <c r="F2222" s="257" t="s">
        <v>1476</v>
      </c>
      <c r="G2222" s="258"/>
    </row>
    <row r="2223" spans="2:7" hidden="1" outlineLevel="1" x14ac:dyDescent="0.25">
      <c r="B2223" s="256" t="s">
        <v>64</v>
      </c>
      <c r="C2223" s="257" t="s">
        <v>1527</v>
      </c>
      <c r="D2223" s="257" t="s">
        <v>1489</v>
      </c>
      <c r="E2223" s="257">
        <v>0</v>
      </c>
      <c r="F2223" s="257"/>
      <c r="G2223" s="258"/>
    </row>
    <row r="2224" spans="2:7" hidden="1" outlineLevel="1" x14ac:dyDescent="0.25">
      <c r="B2224" s="256" t="s">
        <v>283</v>
      </c>
      <c r="C2224" s="257" t="s">
        <v>1710</v>
      </c>
      <c r="D2224" s="257" t="s">
        <v>1494</v>
      </c>
      <c r="E2224" s="257">
        <v>0</v>
      </c>
      <c r="F2224" s="257" t="s">
        <v>1470</v>
      </c>
      <c r="G2224" s="258"/>
    </row>
    <row r="2225" spans="2:7" hidden="1" outlineLevel="1" x14ac:dyDescent="0.25">
      <c r="B2225" s="256" t="s">
        <v>284</v>
      </c>
      <c r="C2225" s="257" t="s">
        <v>1711</v>
      </c>
      <c r="D2225" s="257" t="s">
        <v>1489</v>
      </c>
      <c r="E2225" s="257">
        <v>0</v>
      </c>
      <c r="F2225" s="257"/>
      <c r="G2225" s="258"/>
    </row>
    <row r="2226" spans="2:7" hidden="1" outlineLevel="1" x14ac:dyDescent="0.25">
      <c r="B2226" s="256" t="s">
        <v>285</v>
      </c>
      <c r="C2226" s="257" t="s">
        <v>1712</v>
      </c>
      <c r="D2226" s="257" t="s">
        <v>1494</v>
      </c>
      <c r="E2226" s="257">
        <v>0</v>
      </c>
      <c r="F2226" s="257"/>
      <c r="G2226" s="258"/>
    </row>
    <row r="2227" spans="2:7" hidden="1" outlineLevel="1" x14ac:dyDescent="0.25">
      <c r="B2227" s="256" t="s">
        <v>287</v>
      </c>
      <c r="C2227" s="257" t="s">
        <v>1714</v>
      </c>
      <c r="D2227" s="257" t="s">
        <v>1494</v>
      </c>
      <c r="E2227" s="257">
        <v>0</v>
      </c>
      <c r="F2227" s="257"/>
      <c r="G2227" s="258"/>
    </row>
    <row r="2228" spans="2:7" hidden="1" outlineLevel="1" x14ac:dyDescent="0.25">
      <c r="B2228" s="256" t="s">
        <v>286</v>
      </c>
      <c r="C2228" s="257" t="s">
        <v>1713</v>
      </c>
      <c r="D2228" s="257" t="s">
        <v>1494</v>
      </c>
      <c r="E2228" s="257">
        <v>0</v>
      </c>
      <c r="F2228" s="257"/>
      <c r="G2228" s="258"/>
    </row>
    <row r="2229" spans="2:7" hidden="1" outlineLevel="1" x14ac:dyDescent="0.25">
      <c r="B2229" s="256" t="s">
        <v>289</v>
      </c>
      <c r="C2229" s="257" t="s">
        <v>1716</v>
      </c>
      <c r="D2229" s="257" t="s">
        <v>1489</v>
      </c>
      <c r="E2229" s="257">
        <v>0</v>
      </c>
      <c r="F2229" s="257" t="s">
        <v>1470</v>
      </c>
      <c r="G2229" s="258"/>
    </row>
    <row r="2230" spans="2:7" hidden="1" outlineLevel="1" x14ac:dyDescent="0.25">
      <c r="B2230" s="256" t="s">
        <v>288</v>
      </c>
      <c r="C2230" s="257" t="s">
        <v>1715</v>
      </c>
      <c r="D2230" s="257" t="s">
        <v>1489</v>
      </c>
      <c r="E2230" s="257">
        <v>0</v>
      </c>
      <c r="F2230" s="257" t="s">
        <v>1470</v>
      </c>
      <c r="G2230" s="258"/>
    </row>
    <row r="2231" spans="2:7" hidden="1" outlineLevel="1" x14ac:dyDescent="0.25">
      <c r="B2231" s="217" t="s">
        <v>276</v>
      </c>
      <c r="C2231" s="217" t="s">
        <v>1703</v>
      </c>
      <c r="D2231" s="257" t="s">
        <v>1489</v>
      </c>
      <c r="E2231" s="257">
        <v>0</v>
      </c>
      <c r="F2231" s="257"/>
      <c r="G2231" s="258"/>
    </row>
    <row r="2232" spans="2:7" hidden="1" outlineLevel="1" x14ac:dyDescent="0.25">
      <c r="B2232" s="256" t="s">
        <v>375</v>
      </c>
      <c r="C2232" s="259" t="s">
        <v>1773</v>
      </c>
      <c r="D2232" s="257" t="s">
        <v>1489</v>
      </c>
      <c r="E2232" s="257">
        <v>0</v>
      </c>
      <c r="F2232" s="257"/>
      <c r="G2232" s="258"/>
    </row>
    <row r="2233" spans="2:7" hidden="1" outlineLevel="1" x14ac:dyDescent="0.25">
      <c r="B2233" s="260" t="s">
        <v>376</v>
      </c>
      <c r="C2233" s="261" t="s">
        <v>1774</v>
      </c>
      <c r="D2233" s="262" t="s">
        <v>1489</v>
      </c>
      <c r="E2233" s="262">
        <v>0</v>
      </c>
      <c r="F2233" s="262"/>
      <c r="G2233" s="263"/>
    </row>
    <row r="2234" spans="2:7" hidden="1" outlineLevel="1" x14ac:dyDescent="0.25">
      <c r="B2234" s="256" t="s">
        <v>377</v>
      </c>
      <c r="C2234" s="259" t="s">
        <v>1775</v>
      </c>
      <c r="D2234" s="257" t="s">
        <v>1489</v>
      </c>
      <c r="E2234" s="257">
        <v>0</v>
      </c>
      <c r="F2234" s="257"/>
      <c r="G2234" s="258"/>
    </row>
    <row r="2235" spans="2:7" hidden="1" outlineLevel="1" x14ac:dyDescent="0.25">
      <c r="B2235" s="256" t="s">
        <v>378</v>
      </c>
      <c r="C2235" s="259" t="s">
        <v>1776</v>
      </c>
      <c r="D2235" s="257" t="s">
        <v>1489</v>
      </c>
      <c r="E2235" s="257">
        <v>0</v>
      </c>
      <c r="F2235" s="257"/>
      <c r="G2235" s="258"/>
    </row>
    <row r="2236" spans="2:7" hidden="1" outlineLevel="1" x14ac:dyDescent="0.25">
      <c r="B2236" s="256" t="s">
        <v>379</v>
      </c>
      <c r="C2236" s="259" t="s">
        <v>1777</v>
      </c>
      <c r="D2236" s="257" t="s">
        <v>1489</v>
      </c>
      <c r="E2236" s="257">
        <v>0</v>
      </c>
      <c r="F2236" s="257"/>
      <c r="G2236" s="258"/>
    </row>
    <row r="2237" spans="2:7" hidden="1" outlineLevel="1" x14ac:dyDescent="0.25">
      <c r="B2237" s="256" t="s">
        <v>380</v>
      </c>
      <c r="C2237" s="259" t="s">
        <v>1778</v>
      </c>
      <c r="D2237" s="257" t="s">
        <v>1489</v>
      </c>
      <c r="E2237" s="257">
        <v>0</v>
      </c>
      <c r="F2237" s="257"/>
      <c r="G2237" s="258"/>
    </row>
    <row r="2238" spans="2:7" hidden="1" outlineLevel="1" x14ac:dyDescent="0.25">
      <c r="B2238" s="256" t="s">
        <v>381</v>
      </c>
      <c r="C2238" s="259" t="s">
        <v>1779</v>
      </c>
      <c r="D2238" s="257" t="s">
        <v>1489</v>
      </c>
      <c r="E2238" s="257">
        <v>0</v>
      </c>
      <c r="F2238" s="257"/>
      <c r="G2238" s="258"/>
    </row>
    <row r="2239" spans="2:7" hidden="1" outlineLevel="1" x14ac:dyDescent="0.25">
      <c r="B2239" s="217" t="s">
        <v>382</v>
      </c>
      <c r="C2239" s="217" t="s">
        <v>1780</v>
      </c>
      <c r="D2239" s="257" t="s">
        <v>1489</v>
      </c>
      <c r="E2239" s="257">
        <v>0</v>
      </c>
      <c r="F2239" s="257"/>
      <c r="G2239" s="258"/>
    </row>
    <row r="2240" spans="2:7" hidden="1" outlineLevel="1" x14ac:dyDescent="0.25">
      <c r="B2240" s="218" t="s">
        <v>383</v>
      </c>
      <c r="C2240" s="264" t="s">
        <v>1781</v>
      </c>
      <c r="D2240" s="257" t="s">
        <v>1489</v>
      </c>
      <c r="E2240" s="257">
        <v>0</v>
      </c>
      <c r="F2240" s="257" t="s">
        <v>1470</v>
      </c>
      <c r="G2240" s="258"/>
    </row>
    <row r="2241" spans="2:7" hidden="1" outlineLevel="1" x14ac:dyDescent="0.25">
      <c r="B2241" s="218" t="s">
        <v>384</v>
      </c>
      <c r="C2241" s="218" t="s">
        <v>1782</v>
      </c>
      <c r="D2241" s="257" t="s">
        <v>1489</v>
      </c>
      <c r="E2241" s="257">
        <v>0</v>
      </c>
      <c r="F2241" s="257"/>
      <c r="G2241" s="258"/>
    </row>
    <row r="2242" spans="2:7" hidden="1" outlineLevel="1" x14ac:dyDescent="0.25">
      <c r="B2242" s="28" t="s">
        <v>290</v>
      </c>
      <c r="C2242" s="29" t="s">
        <v>1717</v>
      </c>
      <c r="D2242" s="257" t="s">
        <v>1489</v>
      </c>
      <c r="E2242" s="257">
        <v>0</v>
      </c>
      <c r="F2242" s="257"/>
      <c r="G2242" s="258"/>
    </row>
    <row r="2243" spans="2:7" hidden="1" outlineLevel="1" x14ac:dyDescent="0.25">
      <c r="B2243" s="28" t="s">
        <v>385</v>
      </c>
      <c r="C2243" s="28" t="s">
        <v>1783</v>
      </c>
      <c r="D2243" s="257" t="s">
        <v>1567</v>
      </c>
      <c r="E2243" s="257">
        <v>0</v>
      </c>
      <c r="F2243" s="257"/>
      <c r="G2243" s="258"/>
    </row>
    <row r="2244" spans="2:7" hidden="1" outlineLevel="1" x14ac:dyDescent="0.25">
      <c r="B2244" s="256" t="s">
        <v>386</v>
      </c>
      <c r="C2244" s="257" t="s">
        <v>1784</v>
      </c>
      <c r="D2244" s="257" t="s">
        <v>1489</v>
      </c>
      <c r="E2244" s="257">
        <v>0</v>
      </c>
      <c r="F2244" s="257"/>
      <c r="G2244" s="258"/>
    </row>
    <row r="2245" spans="2:7" hidden="1" outlineLevel="1" x14ac:dyDescent="0.25">
      <c r="B2245" s="256" t="s">
        <v>387</v>
      </c>
      <c r="C2245" s="257" t="s">
        <v>1785</v>
      </c>
      <c r="D2245" s="257" t="s">
        <v>1632</v>
      </c>
      <c r="E2245" s="257" t="s">
        <v>1594</v>
      </c>
      <c r="F2245" s="257" t="s">
        <v>1470</v>
      </c>
      <c r="G2245" s="258"/>
    </row>
    <row r="2246" spans="2:7" s="3" customFormat="1" hidden="1" outlineLevel="1" x14ac:dyDescent="0.25">
      <c r="B2246" s="28" t="s">
        <v>291</v>
      </c>
      <c r="C2246" s="29" t="s">
        <v>1718</v>
      </c>
      <c r="D2246" s="29" t="s">
        <v>1489</v>
      </c>
      <c r="E2246" s="29">
        <v>0</v>
      </c>
      <c r="F2246" s="29" t="s">
        <v>1470</v>
      </c>
      <c r="G2246" s="30"/>
    </row>
    <row r="2247" spans="2:7" s="3" customFormat="1" hidden="1" outlineLevel="1" x14ac:dyDescent="0.25">
      <c r="B2247" s="28" t="s">
        <v>292</v>
      </c>
      <c r="C2247" s="29" t="s">
        <v>1719</v>
      </c>
      <c r="D2247" s="29" t="s">
        <v>1489</v>
      </c>
      <c r="E2247" s="29">
        <v>0</v>
      </c>
      <c r="F2247" s="29" t="s">
        <v>1470</v>
      </c>
      <c r="G2247" s="30"/>
    </row>
    <row r="2248" spans="2:7" hidden="1" outlineLevel="1" x14ac:dyDescent="0.25">
      <c r="B2248" s="204" t="s">
        <v>388</v>
      </c>
      <c r="C2248" s="265" t="s">
        <v>1786</v>
      </c>
      <c r="D2248" s="265" t="s">
        <v>1489</v>
      </c>
      <c r="E2248" s="265">
        <v>0</v>
      </c>
      <c r="F2248" s="265"/>
      <c r="G2248" s="266"/>
    </row>
    <row r="2249" spans="2:7" hidden="1" outlineLevel="1" x14ac:dyDescent="0.25">
      <c r="B2249" s="204" t="s">
        <v>389</v>
      </c>
      <c r="C2249" s="265" t="s">
        <v>1787</v>
      </c>
      <c r="D2249" s="265" t="s">
        <v>1489</v>
      </c>
      <c r="E2249" s="265">
        <v>0</v>
      </c>
      <c r="F2249" s="265"/>
      <c r="G2249" s="266"/>
    </row>
    <row r="2250" spans="2:7" hidden="1" outlineLevel="1" x14ac:dyDescent="0.25">
      <c r="B2250" s="201" t="s">
        <v>390</v>
      </c>
      <c r="C2250" s="107" t="s">
        <v>1788</v>
      </c>
      <c r="D2250" s="265" t="s">
        <v>1489</v>
      </c>
      <c r="E2250" s="265">
        <v>0</v>
      </c>
      <c r="F2250" s="265"/>
      <c r="G2250" s="266"/>
    </row>
    <row r="2251" spans="2:7" hidden="1" outlineLevel="1" x14ac:dyDescent="0.25">
      <c r="B2251" s="204" t="s">
        <v>391</v>
      </c>
      <c r="C2251" s="265" t="s">
        <v>1789</v>
      </c>
      <c r="D2251" s="265" t="s">
        <v>1489</v>
      </c>
      <c r="E2251" s="265">
        <v>0</v>
      </c>
      <c r="F2251" s="265"/>
      <c r="G2251" s="266"/>
    </row>
    <row r="2252" spans="2:7" hidden="1" outlineLevel="1" x14ac:dyDescent="0.25">
      <c r="B2252" s="204" t="s">
        <v>392</v>
      </c>
      <c r="C2252" s="265" t="s">
        <v>1790</v>
      </c>
      <c r="D2252" s="265" t="s">
        <v>1489</v>
      </c>
      <c r="E2252" s="265">
        <v>0</v>
      </c>
      <c r="F2252" s="265"/>
      <c r="G2252" s="266"/>
    </row>
    <row r="2253" spans="2:7" hidden="1" outlineLevel="1" x14ac:dyDescent="0.25">
      <c r="B2253" s="204" t="s">
        <v>393</v>
      </c>
      <c r="C2253" s="265" t="s">
        <v>1791</v>
      </c>
      <c r="D2253" s="265" t="s">
        <v>1489</v>
      </c>
      <c r="E2253" s="265">
        <v>0</v>
      </c>
      <c r="F2253" s="265"/>
      <c r="G2253" s="266"/>
    </row>
    <row r="2254" spans="2:7" hidden="1" outlineLevel="1" x14ac:dyDescent="0.25">
      <c r="B2254" s="204" t="s">
        <v>394</v>
      </c>
      <c r="C2254" s="265" t="s">
        <v>1792</v>
      </c>
      <c r="D2254" s="265" t="s">
        <v>1489</v>
      </c>
      <c r="E2254" s="265">
        <v>0</v>
      </c>
      <c r="F2254" s="265"/>
      <c r="G2254" s="266"/>
    </row>
    <row r="2255" spans="2:7" hidden="1" outlineLevel="1" x14ac:dyDescent="0.25">
      <c r="B2255" s="204" t="s">
        <v>395</v>
      </c>
      <c r="C2255" s="265" t="s">
        <v>1793</v>
      </c>
      <c r="D2255" s="265" t="s">
        <v>1489</v>
      </c>
      <c r="E2255" s="265">
        <v>0</v>
      </c>
      <c r="F2255" s="265"/>
      <c r="G2255" s="266"/>
    </row>
    <row r="2256" spans="2:7" hidden="1" outlineLevel="1" x14ac:dyDescent="0.25">
      <c r="B2256" s="201" t="s">
        <v>396</v>
      </c>
      <c r="C2256" s="201" t="s">
        <v>1794</v>
      </c>
      <c r="D2256" s="265" t="s">
        <v>1489</v>
      </c>
      <c r="E2256" s="265">
        <v>0</v>
      </c>
      <c r="F2256" s="265"/>
      <c r="G2256" s="266"/>
    </row>
    <row r="2257" spans="1:27" hidden="1" outlineLevel="1" x14ac:dyDescent="0.25">
      <c r="B2257" s="204" t="s">
        <v>397</v>
      </c>
      <c r="C2257" s="265" t="s">
        <v>1795</v>
      </c>
      <c r="D2257" s="265" t="s">
        <v>1489</v>
      </c>
      <c r="E2257" s="265">
        <v>0</v>
      </c>
      <c r="F2257" s="265"/>
      <c r="G2257" s="266"/>
    </row>
    <row r="2258" spans="1:27" hidden="1" outlineLevel="1" x14ac:dyDescent="0.25">
      <c r="B2258" s="201" t="s">
        <v>398</v>
      </c>
      <c r="C2258" s="107" t="s">
        <v>1796</v>
      </c>
      <c r="D2258" s="265" t="s">
        <v>1489</v>
      </c>
      <c r="E2258" s="265">
        <v>0</v>
      </c>
      <c r="F2258" s="265"/>
      <c r="G2258" s="266"/>
    </row>
    <row r="2259" spans="1:27" hidden="1" outlineLevel="1" x14ac:dyDescent="0.25">
      <c r="B2259" s="204" t="s">
        <v>399</v>
      </c>
      <c r="C2259" s="265" t="s">
        <v>1797</v>
      </c>
      <c r="D2259" s="265" t="s">
        <v>1489</v>
      </c>
      <c r="E2259" s="265">
        <v>0</v>
      </c>
      <c r="F2259" s="265"/>
      <c r="G2259" s="266"/>
    </row>
    <row r="2260" spans="1:27" hidden="1" outlineLevel="1" x14ac:dyDescent="0.25">
      <c r="B2260" s="204" t="s">
        <v>400</v>
      </c>
      <c r="C2260" s="265" t="s">
        <v>1798</v>
      </c>
      <c r="D2260" s="265" t="s">
        <v>1489</v>
      </c>
      <c r="E2260" s="265">
        <v>0</v>
      </c>
      <c r="F2260" s="265"/>
      <c r="G2260" s="266"/>
    </row>
    <row r="2261" spans="1:27" hidden="1" outlineLevel="1" x14ac:dyDescent="0.25">
      <c r="B2261" s="204" t="s">
        <v>401</v>
      </c>
      <c r="C2261" s="265" t="s">
        <v>1799</v>
      </c>
      <c r="D2261" s="107" t="s">
        <v>1489</v>
      </c>
      <c r="E2261" s="107">
        <v>0</v>
      </c>
      <c r="F2261" s="107"/>
      <c r="G2261" s="108"/>
    </row>
    <row r="2262" spans="1:27" hidden="1" outlineLevel="1" x14ac:dyDescent="0.25">
      <c r="B2262" s="204" t="s">
        <v>402</v>
      </c>
      <c r="C2262" s="265" t="s">
        <v>1800</v>
      </c>
      <c r="D2262" s="265" t="s">
        <v>1489</v>
      </c>
      <c r="E2262" s="265">
        <v>0</v>
      </c>
      <c r="F2262" s="265"/>
      <c r="G2262" s="266"/>
    </row>
    <row r="2263" spans="1:27" hidden="1" outlineLevel="1" x14ac:dyDescent="0.25">
      <c r="B2263" s="204" t="s">
        <v>403</v>
      </c>
      <c r="C2263" s="265" t="s">
        <v>1801</v>
      </c>
      <c r="D2263" s="265" t="s">
        <v>1489</v>
      </c>
      <c r="E2263" s="265">
        <v>0</v>
      </c>
      <c r="F2263" s="265"/>
      <c r="G2263" s="266"/>
    </row>
    <row r="2264" spans="1:27" hidden="1" outlineLevel="1" x14ac:dyDescent="0.25">
      <c r="B2264" s="201" t="s">
        <v>404</v>
      </c>
      <c r="C2264" s="201" t="s">
        <v>1802</v>
      </c>
      <c r="D2264" s="265" t="s">
        <v>1489</v>
      </c>
      <c r="E2264" s="265">
        <v>0</v>
      </c>
      <c r="F2264" s="265"/>
      <c r="G2264" s="266"/>
    </row>
    <row r="2265" spans="1:27" hidden="1" outlineLevel="1" x14ac:dyDescent="0.25">
      <c r="B2265" s="201"/>
      <c r="C2265" s="201"/>
      <c r="D2265" s="265"/>
      <c r="E2265" s="265"/>
      <c r="F2265" s="265"/>
      <c r="G2265" s="266"/>
    </row>
    <row r="2266" spans="1:27" hidden="1" outlineLevel="1" x14ac:dyDescent="0.25">
      <c r="B2266" s="201"/>
      <c r="C2266" s="107"/>
      <c r="D2266" s="265"/>
      <c r="E2266" s="265"/>
      <c r="F2266" s="265"/>
      <c r="G2266" s="266"/>
    </row>
    <row r="2267" spans="1:27" hidden="1" outlineLevel="1" x14ac:dyDescent="0.25">
      <c r="B2267" s="201"/>
      <c r="C2267" s="201"/>
      <c r="D2267" s="265"/>
      <c r="E2267" s="265"/>
      <c r="F2267" s="265"/>
      <c r="G2267" s="266"/>
    </row>
    <row r="2268" spans="1:27" s="3" customFormat="1" ht="16.2" hidden="1" outlineLevel="1" thickBot="1" x14ac:dyDescent="0.3">
      <c r="B2268" s="267"/>
      <c r="C2268" s="268"/>
      <c r="D2268" s="268"/>
      <c r="E2268" s="268"/>
      <c r="F2268" s="268"/>
      <c r="G2268" s="269"/>
    </row>
    <row r="2269" spans="1:27" s="3" customFormat="1" ht="17.399999999999999" hidden="1" customHeight="1" outlineLevel="1" x14ac:dyDescent="0.25">
      <c r="A2269" s="5"/>
      <c r="B2269" s="401" t="s">
        <v>29</v>
      </c>
      <c r="C2269" s="402"/>
      <c r="D2269" s="402"/>
      <c r="E2269" s="402"/>
      <c r="F2269" s="402"/>
      <c r="G2269" s="403"/>
    </row>
    <row r="2270" spans="1:27" s="3" customFormat="1" hidden="1" outlineLevel="1" x14ac:dyDescent="0.25">
      <c r="B2270" s="28"/>
      <c r="C2270" s="29"/>
      <c r="D2270" s="29"/>
      <c r="E2270" s="29"/>
      <c r="F2270" s="29"/>
      <c r="G2270" s="30"/>
    </row>
    <row r="2271" spans="1:27" s="3" customFormat="1" hidden="1" outlineLevel="1" x14ac:dyDescent="0.25">
      <c r="B2271" s="28"/>
      <c r="C2271" s="29"/>
      <c r="D2271" s="29"/>
      <c r="E2271" s="29"/>
      <c r="F2271" s="29"/>
      <c r="G2271" s="30"/>
    </row>
    <row r="2272" spans="1:27" s="7" customFormat="1" ht="16.5" hidden="1" customHeight="1" outlineLevel="1" x14ac:dyDescent="0.25">
      <c r="A2272" s="14"/>
      <c r="B2272" s="308" t="s">
        <v>559</v>
      </c>
      <c r="C2272" s="309"/>
      <c r="D2272" s="309"/>
      <c r="E2272" s="309"/>
      <c r="F2272" s="309"/>
      <c r="G2272" s="310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</row>
    <row r="2273" spans="1:27" s="7" customFormat="1" ht="17.399999999999999" hidden="1" customHeight="1" outlineLevel="1" thickBot="1" x14ac:dyDescent="0.3">
      <c r="A2273" s="14"/>
      <c r="B2273" s="305" t="s">
        <v>560</v>
      </c>
      <c r="C2273" s="306"/>
      <c r="D2273" s="306"/>
      <c r="E2273" s="306"/>
      <c r="F2273" s="306"/>
      <c r="G2273" s="307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</row>
    <row r="2274" spans="1:27" s="7" customFormat="1" ht="16.5" hidden="1" customHeight="1" outlineLevel="1" x14ac:dyDescent="0.25">
      <c r="A2274" s="14"/>
      <c r="B2274" s="308" t="s">
        <v>561</v>
      </c>
      <c r="C2274" s="309"/>
      <c r="D2274" s="309"/>
      <c r="E2274" s="309"/>
      <c r="F2274" s="309"/>
      <c r="G2274" s="310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  <c r="AA2274" s="14"/>
    </row>
    <row r="2275" spans="1:27" s="3" customFormat="1" hidden="1" outlineLevel="1" x14ac:dyDescent="0.25">
      <c r="A2275" s="14"/>
      <c r="B2275" s="28"/>
      <c r="C2275" s="29"/>
      <c r="D2275" s="29"/>
      <c r="E2275" s="29"/>
      <c r="F2275" s="29"/>
      <c r="G2275" s="30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4"/>
    </row>
    <row r="2276" spans="1:27" s="3" customFormat="1" hidden="1" outlineLevel="1" x14ac:dyDescent="0.25">
      <c r="B2276" s="28"/>
      <c r="C2276" s="29"/>
      <c r="D2276" s="29"/>
      <c r="E2276" s="29"/>
      <c r="F2276" s="29"/>
      <c r="G2276" s="30"/>
    </row>
    <row r="2277" spans="1:27" s="3" customFormat="1" hidden="1" outlineLevel="1" x14ac:dyDescent="0.25">
      <c r="B2277" s="28"/>
      <c r="C2277" s="29"/>
      <c r="D2277" s="29"/>
      <c r="E2277" s="29"/>
      <c r="F2277" s="29"/>
      <c r="G2277" s="30"/>
    </row>
    <row r="2278" spans="1:27" s="3" customFormat="1" hidden="1" outlineLevel="1" x14ac:dyDescent="0.25">
      <c r="B2278" s="28"/>
      <c r="C2278" s="29"/>
      <c r="D2278" s="29"/>
      <c r="E2278" s="29"/>
      <c r="F2278" s="29"/>
      <c r="G2278" s="30"/>
    </row>
    <row r="2279" spans="1:27" s="3" customFormat="1" hidden="1" outlineLevel="1" x14ac:dyDescent="0.25">
      <c r="B2279" s="28"/>
      <c r="C2279" s="29"/>
      <c r="D2279" s="29"/>
      <c r="E2279" s="29"/>
      <c r="F2279" s="29"/>
      <c r="G2279" s="30"/>
    </row>
    <row r="2280" spans="1:27" s="3" customFormat="1" hidden="1" outlineLevel="1" x14ac:dyDescent="0.25">
      <c r="B2280" s="28"/>
      <c r="C2280" s="29"/>
      <c r="D2280" s="29"/>
      <c r="E2280" s="29"/>
      <c r="F2280" s="29"/>
      <c r="G2280" s="30"/>
    </row>
    <row r="2281" spans="1:27" s="3" customFormat="1" hidden="1" outlineLevel="1" x14ac:dyDescent="0.25">
      <c r="B2281" s="28" t="s">
        <v>671</v>
      </c>
      <c r="C2281" s="29"/>
      <c r="D2281" s="29"/>
      <c r="E2281" s="29"/>
      <c r="F2281" s="29"/>
      <c r="G2281" s="375" t="s">
        <v>2452</v>
      </c>
    </row>
    <row r="2282" spans="1:27" s="3" customFormat="1" ht="16.2" hidden="1" outlineLevel="1" thickBot="1" x14ac:dyDescent="0.3">
      <c r="B2282" s="163"/>
      <c r="C2282" s="164"/>
      <c r="D2282" s="164"/>
      <c r="E2282" s="164"/>
      <c r="F2282" s="164"/>
      <c r="G2282" s="165"/>
    </row>
    <row r="2283" spans="1:27" s="3" customFormat="1" ht="17.399999999999999" hidden="1" customHeight="1" outlineLevel="1" thickBot="1" x14ac:dyDescent="0.3"/>
    <row r="2284" spans="1:27" s="3" customFormat="1" ht="18" customHeight="1" collapsed="1" thickBot="1" x14ac:dyDescent="0.3">
      <c r="A2284" s="5"/>
      <c r="B2284" s="15" t="s">
        <v>1279</v>
      </c>
      <c r="C2284" s="16" t="s">
        <v>2029</v>
      </c>
      <c r="D2284" s="17" t="s">
        <v>1281</v>
      </c>
      <c r="E2284" s="29" t="s">
        <v>672</v>
      </c>
      <c r="F2284" s="17" t="s">
        <v>1282</v>
      </c>
      <c r="G2284" s="18" t="s">
        <v>2030</v>
      </c>
    </row>
    <row r="2285" spans="1:27" s="3" customFormat="1" ht="17.399999999999999" hidden="1" customHeight="1" outlineLevel="1" x14ac:dyDescent="0.25">
      <c r="A2285" s="5"/>
      <c r="B2285" s="19" t="s">
        <v>1284</v>
      </c>
      <c r="C2285" s="20" t="s">
        <v>1285</v>
      </c>
      <c r="D2285" s="21" t="s">
        <v>1286</v>
      </c>
      <c r="E2285" s="20" t="s">
        <v>2031</v>
      </c>
      <c r="F2285" s="21" t="s">
        <v>1288</v>
      </c>
      <c r="G2285" s="22"/>
    </row>
    <row r="2286" spans="1:27" s="3" customFormat="1" ht="17.399999999999999" hidden="1" customHeight="1" outlineLevel="1" thickBot="1" x14ac:dyDescent="0.3">
      <c r="A2286" s="5"/>
      <c r="B2286" s="19" t="s">
        <v>1290</v>
      </c>
      <c r="C2286" s="23" t="s">
        <v>1291</v>
      </c>
      <c r="D2286" s="21" t="s">
        <v>1292</v>
      </c>
      <c r="E2286" s="23">
        <v>5</v>
      </c>
      <c r="F2286" s="21" t="s">
        <v>1293</v>
      </c>
      <c r="G2286" s="24" t="s">
        <v>1294</v>
      </c>
    </row>
    <row r="2287" spans="1:27" s="3" customFormat="1" ht="17.399999999999999" hidden="1" customHeight="1" outlineLevel="1" x14ac:dyDescent="0.25">
      <c r="A2287" s="5"/>
      <c r="B2287" s="401" t="s">
        <v>1</v>
      </c>
      <c r="C2287" s="402"/>
      <c r="D2287" s="402"/>
      <c r="E2287" s="402"/>
      <c r="F2287" s="402"/>
      <c r="G2287" s="403"/>
    </row>
    <row r="2288" spans="1:27" s="3" customFormat="1" ht="17.399999999999999" hidden="1" customHeight="1" outlineLevel="1" x14ac:dyDescent="0.25">
      <c r="A2288" s="5"/>
      <c r="B2288" s="25" t="s">
        <v>2</v>
      </c>
      <c r="C2288" s="26" t="s">
        <v>3</v>
      </c>
      <c r="D2288" s="26" t="s">
        <v>4</v>
      </c>
      <c r="E2288" s="26" t="s">
        <v>5</v>
      </c>
      <c r="F2288" s="26"/>
      <c r="G2288" s="27" t="s">
        <v>6</v>
      </c>
    </row>
    <row r="2289" spans="1:14" s="3" customFormat="1" hidden="1" outlineLevel="1" x14ac:dyDescent="0.25">
      <c r="A2289" s="5"/>
      <c r="B2289" s="31" t="s">
        <v>162</v>
      </c>
      <c r="C2289" s="20" t="s">
        <v>1589</v>
      </c>
      <c r="D2289" s="20" t="s">
        <v>1469</v>
      </c>
      <c r="E2289" s="20">
        <v>0</v>
      </c>
      <c r="F2289" s="20"/>
      <c r="G2289" s="22" t="s">
        <v>1590</v>
      </c>
    </row>
    <row r="2290" spans="1:14" s="3" customFormat="1" hidden="1" outlineLevel="1" x14ac:dyDescent="0.25">
      <c r="A2290" s="5"/>
      <c r="B2290" s="31" t="s">
        <v>163</v>
      </c>
      <c r="C2290" s="20" t="s">
        <v>1591</v>
      </c>
      <c r="D2290" s="20" t="s">
        <v>1469</v>
      </c>
      <c r="E2290" s="20">
        <v>0</v>
      </c>
      <c r="F2290" s="20"/>
      <c r="G2290" s="22" t="s">
        <v>1590</v>
      </c>
    </row>
    <row r="2291" spans="1:14" s="3" customFormat="1" hidden="1" outlineLevel="1" x14ac:dyDescent="0.25">
      <c r="B2291" s="28" t="s">
        <v>128</v>
      </c>
      <c r="C2291" s="29" t="s">
        <v>1566</v>
      </c>
      <c r="D2291" s="29" t="s">
        <v>1567</v>
      </c>
      <c r="E2291" s="29">
        <v>0</v>
      </c>
      <c r="F2291" s="29" t="s">
        <v>1470</v>
      </c>
      <c r="G2291" s="30"/>
      <c r="J2291" s="3" t="s">
        <v>12</v>
      </c>
      <c r="N2291" s="3">
        <v>1629</v>
      </c>
    </row>
    <row r="2292" spans="1:14" s="3" customFormat="1" hidden="1" outlineLevel="1" x14ac:dyDescent="0.25">
      <c r="B2292" s="28" t="s">
        <v>114</v>
      </c>
      <c r="C2292" s="29" t="s">
        <v>1557</v>
      </c>
      <c r="D2292" s="29" t="s">
        <v>1469</v>
      </c>
      <c r="E2292" s="29">
        <v>-1</v>
      </c>
      <c r="F2292" s="29" t="s">
        <v>1470</v>
      </c>
      <c r="G2292" s="30"/>
      <c r="J2292" s="3" t="s">
        <v>10</v>
      </c>
      <c r="N2292" s="3">
        <v>2449</v>
      </c>
    </row>
    <row r="2293" spans="1:14" s="3" customFormat="1" hidden="1" outlineLevel="1" x14ac:dyDescent="0.25">
      <c r="B2293" s="28" t="s">
        <v>7</v>
      </c>
      <c r="C2293" s="29" t="s">
        <v>1468</v>
      </c>
      <c r="D2293" s="29" t="s">
        <v>1469</v>
      </c>
      <c r="E2293" s="29">
        <v>0</v>
      </c>
      <c r="F2293" s="29" t="s">
        <v>1470</v>
      </c>
      <c r="G2293" s="30" t="s">
        <v>1471</v>
      </c>
      <c r="J2293" s="3" t="s">
        <v>10</v>
      </c>
      <c r="N2293" s="3">
        <v>1112</v>
      </c>
    </row>
    <row r="2294" spans="1:14" hidden="1" outlineLevel="1" x14ac:dyDescent="0.25">
      <c r="B2294" s="28" t="s">
        <v>87</v>
      </c>
      <c r="C2294" s="29" t="s">
        <v>1535</v>
      </c>
      <c r="D2294" s="265" t="s">
        <v>1469</v>
      </c>
      <c r="E2294" s="265">
        <v>0</v>
      </c>
      <c r="F2294" s="265" t="s">
        <v>1476</v>
      </c>
      <c r="G2294" s="266"/>
    </row>
    <row r="2295" spans="1:14" s="3" customFormat="1" ht="16.2" hidden="1" outlineLevel="1" thickBot="1" x14ac:dyDescent="0.3">
      <c r="B2295" s="28"/>
      <c r="C2295" s="29"/>
      <c r="D2295" s="29"/>
      <c r="E2295" s="29"/>
      <c r="F2295" s="29"/>
      <c r="G2295" s="30"/>
    </row>
    <row r="2296" spans="1:14" s="3" customFormat="1" ht="17.399999999999999" hidden="1" customHeight="1" outlineLevel="1" x14ac:dyDescent="0.25">
      <c r="A2296" s="5"/>
      <c r="B2296" s="401" t="s">
        <v>18</v>
      </c>
      <c r="C2296" s="402"/>
      <c r="D2296" s="402"/>
      <c r="E2296" s="402"/>
      <c r="F2296" s="402"/>
      <c r="G2296" s="403"/>
    </row>
    <row r="2297" spans="1:14" s="3" customFormat="1" ht="17.399999999999999" hidden="1" customHeight="1" outlineLevel="1" x14ac:dyDescent="0.25">
      <c r="A2297" s="5"/>
      <c r="B2297" s="25" t="s">
        <v>2</v>
      </c>
      <c r="C2297" s="26" t="s">
        <v>3</v>
      </c>
      <c r="D2297" s="26" t="s">
        <v>4</v>
      </c>
      <c r="E2297" s="26" t="s">
        <v>5</v>
      </c>
      <c r="F2297" s="26"/>
      <c r="G2297" s="27" t="s">
        <v>6</v>
      </c>
    </row>
    <row r="2298" spans="1:14" s="3" customFormat="1" ht="17.399999999999999" hidden="1" customHeight="1" outlineLevel="1" x14ac:dyDescent="0.25">
      <c r="A2298" s="5"/>
      <c r="B2298" s="270" t="s">
        <v>73</v>
      </c>
      <c r="C2298" s="271" t="s">
        <v>1528</v>
      </c>
      <c r="D2298" s="271" t="s">
        <v>1469</v>
      </c>
      <c r="E2298" s="271" t="s">
        <v>1480</v>
      </c>
      <c r="F2298" s="271" t="s">
        <v>1481</v>
      </c>
      <c r="G2298" s="272"/>
    </row>
    <row r="2299" spans="1:14" hidden="1" outlineLevel="1" x14ac:dyDescent="0.25">
      <c r="B2299" s="256" t="s">
        <v>74</v>
      </c>
      <c r="C2299" s="257" t="s">
        <v>1529</v>
      </c>
      <c r="D2299" s="257" t="s">
        <v>1469</v>
      </c>
      <c r="E2299" s="257" t="s">
        <v>1480</v>
      </c>
      <c r="F2299" s="257" t="s">
        <v>1481</v>
      </c>
      <c r="G2299" s="258"/>
    </row>
    <row r="2300" spans="1:14" hidden="1" outlineLevel="1" x14ac:dyDescent="0.25">
      <c r="B2300" s="256" t="s">
        <v>112</v>
      </c>
      <c r="C2300" s="259" t="s">
        <v>1555</v>
      </c>
      <c r="D2300" s="257" t="s">
        <v>1469</v>
      </c>
      <c r="E2300" s="257">
        <v>0</v>
      </c>
      <c r="F2300" s="257" t="s">
        <v>1470</v>
      </c>
      <c r="G2300" s="258" t="s">
        <v>1556</v>
      </c>
    </row>
    <row r="2301" spans="1:14" hidden="1" outlineLevel="1" x14ac:dyDescent="0.25">
      <c r="B2301" s="256" t="s">
        <v>7</v>
      </c>
      <c r="C2301" s="259" t="s">
        <v>1468</v>
      </c>
      <c r="D2301" s="257" t="s">
        <v>1469</v>
      </c>
      <c r="E2301" s="257">
        <v>0</v>
      </c>
      <c r="F2301" s="257" t="s">
        <v>1470</v>
      </c>
      <c r="G2301" s="258" t="s">
        <v>1471</v>
      </c>
    </row>
    <row r="2302" spans="1:14" hidden="1" outlineLevel="1" x14ac:dyDescent="0.25">
      <c r="B2302" s="28" t="s">
        <v>407</v>
      </c>
      <c r="C2302" s="29" t="s">
        <v>1803</v>
      </c>
      <c r="D2302" s="257" t="s">
        <v>1489</v>
      </c>
      <c r="E2302" s="257">
        <v>0</v>
      </c>
      <c r="F2302" s="257"/>
      <c r="G2302" s="258"/>
    </row>
    <row r="2303" spans="1:14" hidden="1" outlineLevel="1" x14ac:dyDescent="0.25">
      <c r="B2303" s="28" t="s">
        <v>408</v>
      </c>
      <c r="C2303" s="29" t="s">
        <v>1804</v>
      </c>
      <c r="D2303" s="257" t="s">
        <v>1489</v>
      </c>
      <c r="E2303" s="257">
        <v>0</v>
      </c>
      <c r="F2303" s="257" t="s">
        <v>1470</v>
      </c>
      <c r="G2303" s="258"/>
    </row>
    <row r="2304" spans="1:14" hidden="1" outlineLevel="1" x14ac:dyDescent="0.25">
      <c r="B2304" s="28" t="s">
        <v>409</v>
      </c>
      <c r="C2304" s="29" t="s">
        <v>1805</v>
      </c>
      <c r="D2304" s="257" t="s">
        <v>1489</v>
      </c>
      <c r="E2304" s="257">
        <v>0</v>
      </c>
      <c r="F2304" s="257"/>
      <c r="G2304" s="258"/>
    </row>
    <row r="2305" spans="2:7" hidden="1" outlineLevel="1" x14ac:dyDescent="0.25">
      <c r="B2305" s="28" t="s">
        <v>410</v>
      </c>
      <c r="C2305" s="29" t="s">
        <v>1806</v>
      </c>
      <c r="D2305" s="257" t="s">
        <v>1489</v>
      </c>
      <c r="E2305" s="257">
        <v>0</v>
      </c>
      <c r="F2305" s="257" t="s">
        <v>1470</v>
      </c>
      <c r="G2305" s="258"/>
    </row>
    <row r="2306" spans="2:7" hidden="1" outlineLevel="1" x14ac:dyDescent="0.25">
      <c r="B2306" s="28" t="s">
        <v>411</v>
      </c>
      <c r="C2306" s="29" t="s">
        <v>1807</v>
      </c>
      <c r="D2306" s="257" t="s">
        <v>1489</v>
      </c>
      <c r="E2306" s="257">
        <v>0</v>
      </c>
      <c r="F2306" s="257"/>
      <c r="G2306" s="258"/>
    </row>
    <row r="2307" spans="2:7" hidden="1" outlineLevel="1" x14ac:dyDescent="0.25">
      <c r="B2307" s="28" t="s">
        <v>412</v>
      </c>
      <c r="C2307" s="29" t="s">
        <v>1808</v>
      </c>
      <c r="D2307" s="257" t="s">
        <v>1489</v>
      </c>
      <c r="E2307" s="257">
        <v>0</v>
      </c>
      <c r="F2307" s="257" t="s">
        <v>1470</v>
      </c>
      <c r="G2307" s="258"/>
    </row>
    <row r="2308" spans="2:7" hidden="1" outlineLevel="1" x14ac:dyDescent="0.25">
      <c r="B2308" s="28" t="s">
        <v>413</v>
      </c>
      <c r="C2308" s="29" t="s">
        <v>1809</v>
      </c>
      <c r="D2308" s="257" t="s">
        <v>1489</v>
      </c>
      <c r="E2308" s="257">
        <v>0</v>
      </c>
      <c r="F2308" s="257"/>
      <c r="G2308" s="258"/>
    </row>
    <row r="2309" spans="2:7" hidden="1" outlineLevel="1" x14ac:dyDescent="0.25">
      <c r="B2309" s="28" t="s">
        <v>414</v>
      </c>
      <c r="C2309" s="29" t="s">
        <v>1810</v>
      </c>
      <c r="D2309" s="257" t="s">
        <v>1489</v>
      </c>
      <c r="E2309" s="257">
        <v>0</v>
      </c>
      <c r="F2309" s="257" t="s">
        <v>1470</v>
      </c>
      <c r="G2309" s="258"/>
    </row>
    <row r="2310" spans="2:7" hidden="1" outlineLevel="1" x14ac:dyDescent="0.25">
      <c r="B2310" s="28" t="s">
        <v>415</v>
      </c>
      <c r="C2310" s="29" t="s">
        <v>1811</v>
      </c>
      <c r="D2310" s="257" t="s">
        <v>1489</v>
      </c>
      <c r="E2310" s="257">
        <v>0</v>
      </c>
      <c r="F2310" s="257"/>
      <c r="G2310" s="258"/>
    </row>
    <row r="2311" spans="2:7" hidden="1" outlineLevel="1" x14ac:dyDescent="0.25">
      <c r="B2311" s="28" t="s">
        <v>416</v>
      </c>
      <c r="C2311" s="29" t="s">
        <v>1812</v>
      </c>
      <c r="D2311" s="257" t="s">
        <v>1489</v>
      </c>
      <c r="E2311" s="257">
        <v>0</v>
      </c>
      <c r="F2311" s="257" t="s">
        <v>1470</v>
      </c>
      <c r="G2311" s="258"/>
    </row>
    <row r="2312" spans="2:7" hidden="1" outlineLevel="1" x14ac:dyDescent="0.25">
      <c r="B2312" s="28" t="s">
        <v>417</v>
      </c>
      <c r="C2312" s="29" t="s">
        <v>1813</v>
      </c>
      <c r="D2312" s="257" t="s">
        <v>1489</v>
      </c>
      <c r="E2312" s="257">
        <v>0</v>
      </c>
      <c r="F2312" s="257"/>
      <c r="G2312" s="258"/>
    </row>
    <row r="2313" spans="2:7" hidden="1" outlineLevel="1" x14ac:dyDescent="0.25">
      <c r="B2313" s="28" t="s">
        <v>418</v>
      </c>
      <c r="C2313" s="29" t="s">
        <v>1814</v>
      </c>
      <c r="D2313" s="257" t="s">
        <v>1489</v>
      </c>
      <c r="E2313" s="257">
        <v>0</v>
      </c>
      <c r="F2313" s="257" t="s">
        <v>1470</v>
      </c>
      <c r="G2313" s="258"/>
    </row>
    <row r="2314" spans="2:7" hidden="1" outlineLevel="1" x14ac:dyDescent="0.25">
      <c r="B2314" s="28" t="s">
        <v>419</v>
      </c>
      <c r="C2314" s="29" t="s">
        <v>1815</v>
      </c>
      <c r="D2314" s="257" t="s">
        <v>1489</v>
      </c>
      <c r="E2314" s="257">
        <v>0</v>
      </c>
      <c r="F2314" s="257"/>
      <c r="G2314" s="258"/>
    </row>
    <row r="2315" spans="2:7" hidden="1" outlineLevel="1" x14ac:dyDescent="0.25">
      <c r="B2315" s="28" t="s">
        <v>420</v>
      </c>
      <c r="C2315" s="29" t="s">
        <v>1816</v>
      </c>
      <c r="D2315" s="257" t="s">
        <v>1489</v>
      </c>
      <c r="E2315" s="257">
        <v>0</v>
      </c>
      <c r="F2315" s="257" t="s">
        <v>1470</v>
      </c>
      <c r="G2315" s="258"/>
    </row>
    <row r="2316" spans="2:7" hidden="1" outlineLevel="1" x14ac:dyDescent="0.25">
      <c r="B2316" s="28" t="s">
        <v>421</v>
      </c>
      <c r="C2316" s="29" t="s">
        <v>1817</v>
      </c>
      <c r="D2316" s="257" t="s">
        <v>1489</v>
      </c>
      <c r="E2316" s="257">
        <v>0</v>
      </c>
      <c r="F2316" s="257"/>
      <c r="G2316" s="258"/>
    </row>
    <row r="2317" spans="2:7" hidden="1" outlineLevel="1" x14ac:dyDescent="0.25">
      <c r="B2317" s="28" t="s">
        <v>422</v>
      </c>
      <c r="C2317" s="29" t="s">
        <v>1818</v>
      </c>
      <c r="D2317" s="257" t="s">
        <v>1489</v>
      </c>
      <c r="E2317" s="257">
        <v>0</v>
      </c>
      <c r="F2317" s="257" t="s">
        <v>1470</v>
      </c>
      <c r="G2317" s="258"/>
    </row>
    <row r="2318" spans="2:7" hidden="1" outlineLevel="1" x14ac:dyDescent="0.25">
      <c r="B2318" s="28" t="s">
        <v>423</v>
      </c>
      <c r="C2318" s="29" t="s">
        <v>1819</v>
      </c>
      <c r="D2318" s="257" t="s">
        <v>1489</v>
      </c>
      <c r="E2318" s="257">
        <v>0</v>
      </c>
      <c r="F2318" s="257"/>
      <c r="G2318" s="258"/>
    </row>
    <row r="2319" spans="2:7" hidden="1" outlineLevel="1" x14ac:dyDescent="0.25">
      <c r="B2319" s="28" t="s">
        <v>424</v>
      </c>
      <c r="C2319" s="29" t="s">
        <v>1820</v>
      </c>
      <c r="D2319" s="257" t="s">
        <v>1489</v>
      </c>
      <c r="E2319" s="257">
        <v>0</v>
      </c>
      <c r="F2319" s="257" t="s">
        <v>1470</v>
      </c>
      <c r="G2319" s="258"/>
    </row>
    <row r="2320" spans="2:7" hidden="1" outlineLevel="1" x14ac:dyDescent="0.25">
      <c r="B2320" s="28" t="s">
        <v>425</v>
      </c>
      <c r="C2320" s="29" t="s">
        <v>1821</v>
      </c>
      <c r="D2320" s="257" t="s">
        <v>1469</v>
      </c>
      <c r="E2320" s="257">
        <v>0</v>
      </c>
      <c r="F2320" s="257"/>
      <c r="G2320" s="258"/>
    </row>
    <row r="2321" spans="1:8" hidden="1" outlineLevel="1" x14ac:dyDescent="0.25">
      <c r="B2321" s="28" t="s">
        <v>426</v>
      </c>
      <c r="C2321" s="29" t="s">
        <v>1822</v>
      </c>
      <c r="D2321" s="257" t="s">
        <v>1469</v>
      </c>
      <c r="E2321" s="257">
        <v>0</v>
      </c>
      <c r="F2321" s="257"/>
      <c r="G2321" s="258"/>
    </row>
    <row r="2322" spans="1:8" hidden="1" outlineLevel="1" x14ac:dyDescent="0.25">
      <c r="B2322" s="28" t="s">
        <v>427</v>
      </c>
      <c r="C2322" s="29" t="s">
        <v>1823</v>
      </c>
      <c r="D2322" s="265" t="s">
        <v>1469</v>
      </c>
      <c r="E2322" s="265">
        <v>0</v>
      </c>
      <c r="F2322" s="265"/>
      <c r="G2322" s="266"/>
    </row>
    <row r="2323" spans="1:8" s="3" customFormat="1" hidden="1" outlineLevel="1" x14ac:dyDescent="0.25">
      <c r="B2323" s="28" t="s">
        <v>428</v>
      </c>
      <c r="C2323" s="29" t="s">
        <v>1824</v>
      </c>
      <c r="D2323" s="29" t="s">
        <v>1469</v>
      </c>
      <c r="E2323" s="29">
        <v>0</v>
      </c>
      <c r="F2323" s="29"/>
      <c r="G2323" s="30"/>
      <c r="H2323" s="273"/>
    </row>
    <row r="2324" spans="1:8" s="3" customFormat="1" hidden="1" outlineLevel="1" x14ac:dyDescent="0.25">
      <c r="B2324" s="28" t="s">
        <v>429</v>
      </c>
      <c r="C2324" s="29" t="s">
        <v>1825</v>
      </c>
      <c r="D2324" s="29" t="s">
        <v>1469</v>
      </c>
      <c r="E2324" s="29">
        <v>0</v>
      </c>
      <c r="F2324" s="29"/>
      <c r="G2324" s="30"/>
      <c r="H2324" s="273"/>
    </row>
    <row r="2325" spans="1:8" s="3" customFormat="1" hidden="1" outlineLevel="1" x14ac:dyDescent="0.25">
      <c r="B2325" s="28" t="s">
        <v>430</v>
      </c>
      <c r="C2325" s="29" t="s">
        <v>1826</v>
      </c>
      <c r="D2325" s="29" t="s">
        <v>1469</v>
      </c>
      <c r="E2325" s="29">
        <v>0</v>
      </c>
      <c r="F2325" s="29"/>
      <c r="G2325" s="30"/>
      <c r="H2325" s="273"/>
    </row>
    <row r="2326" spans="1:8" s="3" customFormat="1" hidden="1" outlineLevel="1" x14ac:dyDescent="0.25">
      <c r="B2326" s="28" t="s">
        <v>431</v>
      </c>
      <c r="C2326" s="29" t="s">
        <v>1827</v>
      </c>
      <c r="D2326" s="29" t="s">
        <v>1469</v>
      </c>
      <c r="E2326" s="29">
        <v>0</v>
      </c>
      <c r="F2326" s="29"/>
      <c r="G2326" s="30"/>
      <c r="H2326" s="273"/>
    </row>
    <row r="2327" spans="1:8" s="3" customFormat="1" hidden="1" outlineLevel="1" x14ac:dyDescent="0.25">
      <c r="B2327" s="28" t="s">
        <v>432</v>
      </c>
      <c r="C2327" s="29" t="s">
        <v>1828</v>
      </c>
      <c r="D2327" s="29" t="s">
        <v>1469</v>
      </c>
      <c r="E2327" s="29">
        <v>0</v>
      </c>
      <c r="F2327" s="29"/>
      <c r="G2327" s="30"/>
      <c r="H2327" s="273"/>
    </row>
    <row r="2328" spans="1:8" s="3" customFormat="1" hidden="1" outlineLevel="1" x14ac:dyDescent="0.25">
      <c r="B2328" s="28" t="s">
        <v>433</v>
      </c>
      <c r="C2328" s="29" t="s">
        <v>1829</v>
      </c>
      <c r="D2328" s="29" t="s">
        <v>1469</v>
      </c>
      <c r="E2328" s="29">
        <v>0</v>
      </c>
      <c r="F2328" s="29"/>
      <c r="G2328" s="30"/>
      <c r="H2328" s="273"/>
    </row>
    <row r="2329" spans="1:8" s="3" customFormat="1" hidden="1" outlineLevel="1" x14ac:dyDescent="0.25">
      <c r="B2329" s="28"/>
      <c r="C2329" s="29"/>
      <c r="D2329" s="29"/>
      <c r="E2329" s="29"/>
      <c r="F2329" s="29"/>
      <c r="G2329" s="30"/>
      <c r="H2329" s="273"/>
    </row>
    <row r="2330" spans="1:8" s="3" customFormat="1" ht="16.2" hidden="1" outlineLevel="1" thickBot="1" x14ac:dyDescent="0.3">
      <c r="B2330" s="267"/>
      <c r="C2330" s="268"/>
      <c r="D2330" s="268"/>
      <c r="E2330" s="268"/>
      <c r="F2330" s="268"/>
      <c r="G2330" s="269"/>
    </row>
    <row r="2331" spans="1:8" s="3" customFormat="1" ht="17.399999999999999" hidden="1" customHeight="1" outlineLevel="1" x14ac:dyDescent="0.25">
      <c r="A2331" s="5"/>
      <c r="B2331" s="401" t="s">
        <v>29</v>
      </c>
      <c r="C2331" s="402"/>
      <c r="D2331" s="402"/>
      <c r="E2331" s="402"/>
      <c r="F2331" s="402"/>
      <c r="G2331" s="403"/>
    </row>
    <row r="2332" spans="1:8" s="3" customFormat="1" hidden="1" outlineLevel="1" x14ac:dyDescent="0.25">
      <c r="B2332" s="28"/>
      <c r="C2332" s="29"/>
      <c r="D2332" s="29"/>
      <c r="E2332" s="29"/>
      <c r="F2332" s="29"/>
      <c r="G2332" s="30"/>
    </row>
    <row r="2333" spans="1:8" s="3" customFormat="1" hidden="1" outlineLevel="1" x14ac:dyDescent="0.25">
      <c r="B2333" s="28"/>
      <c r="C2333" s="29"/>
      <c r="D2333" s="29"/>
      <c r="E2333" s="29"/>
      <c r="F2333" s="29"/>
      <c r="G2333" s="30"/>
    </row>
    <row r="2334" spans="1:8" s="3" customFormat="1" hidden="1" outlineLevel="1" x14ac:dyDescent="0.25">
      <c r="B2334" s="28"/>
      <c r="C2334" s="29"/>
      <c r="D2334" s="29"/>
      <c r="E2334" s="29"/>
      <c r="F2334" s="29"/>
      <c r="G2334" s="30"/>
    </row>
    <row r="2335" spans="1:8" s="3" customFormat="1" hidden="1" outlineLevel="1" x14ac:dyDescent="0.25">
      <c r="B2335" s="28"/>
      <c r="C2335" s="29"/>
      <c r="D2335" s="29"/>
      <c r="E2335" s="29"/>
      <c r="F2335" s="29"/>
      <c r="G2335" s="30"/>
    </row>
    <row r="2336" spans="1:8" s="3" customFormat="1" hidden="1" outlineLevel="1" x14ac:dyDescent="0.25">
      <c r="B2336" s="28"/>
      <c r="C2336" s="29"/>
      <c r="D2336" s="29"/>
      <c r="E2336" s="29"/>
      <c r="F2336" s="29"/>
      <c r="G2336" s="30"/>
    </row>
    <row r="2337" spans="1:27" s="7" customFormat="1" ht="16.5" hidden="1" customHeight="1" outlineLevel="1" x14ac:dyDescent="0.25">
      <c r="A2337" s="14"/>
      <c r="B2337" s="308" t="s">
        <v>559</v>
      </c>
      <c r="C2337" s="309"/>
      <c r="D2337" s="309"/>
      <c r="E2337" s="309"/>
      <c r="F2337" s="309"/>
      <c r="G2337" s="310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  <c r="AA2337" s="14"/>
    </row>
    <row r="2338" spans="1:27" s="7" customFormat="1" ht="17.399999999999999" hidden="1" customHeight="1" outlineLevel="1" thickBot="1" x14ac:dyDescent="0.3">
      <c r="A2338" s="14"/>
      <c r="B2338" s="305" t="s">
        <v>560</v>
      </c>
      <c r="C2338" s="306"/>
      <c r="D2338" s="306"/>
      <c r="E2338" s="306"/>
      <c r="F2338" s="306"/>
      <c r="G2338" s="307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4"/>
    </row>
    <row r="2339" spans="1:27" s="7" customFormat="1" ht="16.5" hidden="1" customHeight="1" outlineLevel="1" x14ac:dyDescent="0.25">
      <c r="A2339" s="14"/>
      <c r="B2339" s="308" t="s">
        <v>561</v>
      </c>
      <c r="C2339" s="309"/>
      <c r="D2339" s="309"/>
      <c r="E2339" s="309"/>
      <c r="F2339" s="309"/>
      <c r="G2339" s="310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4"/>
      <c r="Z2339" s="14"/>
      <c r="AA2339" s="14"/>
    </row>
    <row r="2340" spans="1:27" s="3" customFormat="1" hidden="1" outlineLevel="1" x14ac:dyDescent="0.25">
      <c r="A2340" s="14"/>
      <c r="B2340" s="28"/>
      <c r="C2340" s="29"/>
      <c r="D2340" s="29"/>
      <c r="E2340" s="29"/>
      <c r="F2340" s="29"/>
      <c r="G2340" s="30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</row>
    <row r="2341" spans="1:27" s="3" customFormat="1" hidden="1" outlineLevel="1" x14ac:dyDescent="0.25">
      <c r="B2341" s="28"/>
      <c r="C2341" s="29"/>
      <c r="D2341" s="29"/>
      <c r="E2341" s="29"/>
      <c r="F2341" s="29"/>
      <c r="G2341" s="30"/>
    </row>
    <row r="2342" spans="1:27" s="3" customFormat="1" hidden="1" outlineLevel="1" x14ac:dyDescent="0.25">
      <c r="B2342" s="28"/>
      <c r="C2342" s="29"/>
      <c r="D2342" s="29"/>
      <c r="E2342" s="29"/>
      <c r="F2342" s="29"/>
      <c r="G2342" s="30"/>
    </row>
    <row r="2343" spans="1:27" s="3" customFormat="1" hidden="1" outlineLevel="1" x14ac:dyDescent="0.25">
      <c r="B2343" s="28" t="s">
        <v>673</v>
      </c>
      <c r="C2343" s="29"/>
      <c r="D2343" s="29"/>
      <c r="E2343" s="29"/>
      <c r="F2343" s="29"/>
      <c r="G2343" s="375" t="s">
        <v>2453</v>
      </c>
    </row>
    <row r="2344" spans="1:27" s="3" customFormat="1" ht="16.2" hidden="1" outlineLevel="1" thickBot="1" x14ac:dyDescent="0.3">
      <c r="B2344" s="163"/>
      <c r="C2344" s="164"/>
      <c r="D2344" s="164"/>
      <c r="E2344" s="164"/>
      <c r="F2344" s="164"/>
      <c r="G2344" s="165"/>
    </row>
    <row r="2345" spans="1:27" s="3" customFormat="1" ht="17.399999999999999" hidden="1" customHeight="1" outlineLevel="1" x14ac:dyDescent="0.25"/>
    <row r="2346" spans="1:27" ht="16.2" hidden="1" outlineLevel="1" thickBot="1" x14ac:dyDescent="0.3"/>
    <row r="2347" spans="1:27" s="3" customFormat="1" ht="16.2" collapsed="1" thickBot="1" x14ac:dyDescent="0.3">
      <c r="B2347" s="15" t="s">
        <v>1279</v>
      </c>
      <c r="C2347" s="16" t="s">
        <v>2005</v>
      </c>
      <c r="D2347" s="17" t="s">
        <v>1281</v>
      </c>
      <c r="E2347" s="16" t="s">
        <v>674</v>
      </c>
      <c r="F2347" s="17" t="s">
        <v>1282</v>
      </c>
      <c r="G2347" s="192" t="s">
        <v>2006</v>
      </c>
    </row>
    <row r="2348" spans="1:27" s="3" customFormat="1" hidden="1" outlineLevel="1" x14ac:dyDescent="0.25">
      <c r="B2348" s="179" t="s">
        <v>1284</v>
      </c>
      <c r="C2348" s="29" t="s">
        <v>1285</v>
      </c>
      <c r="D2348" s="180" t="s">
        <v>1286</v>
      </c>
      <c r="E2348" s="29" t="s">
        <v>2007</v>
      </c>
      <c r="F2348" s="180" t="s">
        <v>1288</v>
      </c>
      <c r="G2348" s="30"/>
    </row>
    <row r="2349" spans="1:27" s="3" customFormat="1" ht="16.2" hidden="1" outlineLevel="1" thickBot="1" x14ac:dyDescent="0.3">
      <c r="B2349" s="19" t="s">
        <v>1290</v>
      </c>
      <c r="C2349" s="23" t="s">
        <v>1291</v>
      </c>
      <c r="D2349" s="21" t="s">
        <v>1292</v>
      </c>
      <c r="E2349" s="23">
        <v>4</v>
      </c>
      <c r="F2349" s="21" t="s">
        <v>1293</v>
      </c>
      <c r="G2349" s="24" t="s">
        <v>1294</v>
      </c>
    </row>
    <row r="2350" spans="1:27" s="3" customFormat="1" hidden="1" outlineLevel="1" x14ac:dyDescent="0.25">
      <c r="B2350" s="395" t="s">
        <v>1</v>
      </c>
      <c r="C2350" s="396"/>
      <c r="D2350" s="396"/>
      <c r="E2350" s="396"/>
      <c r="F2350" s="396"/>
      <c r="G2350" s="397"/>
    </row>
    <row r="2351" spans="1:27" s="3" customFormat="1" hidden="1" outlineLevel="1" x14ac:dyDescent="0.25">
      <c r="B2351" s="179" t="s">
        <v>2</v>
      </c>
      <c r="C2351" s="180" t="s">
        <v>3</v>
      </c>
      <c r="D2351" s="180" t="s">
        <v>4</v>
      </c>
      <c r="E2351" s="180" t="s">
        <v>5</v>
      </c>
      <c r="F2351" s="180"/>
      <c r="G2351" s="181" t="s">
        <v>6</v>
      </c>
    </row>
    <row r="2352" spans="1:27" s="3" customFormat="1" hidden="1" outlineLevel="1" x14ac:dyDescent="0.25">
      <c r="B2352" s="28" t="s">
        <v>185</v>
      </c>
      <c r="C2352" s="29" t="s">
        <v>1604</v>
      </c>
      <c r="D2352" s="29" t="s">
        <v>1469</v>
      </c>
      <c r="E2352" s="29">
        <v>0</v>
      </c>
      <c r="F2352" s="29" t="s">
        <v>1470</v>
      </c>
      <c r="G2352" s="30"/>
      <c r="J2352" s="3" t="s">
        <v>10</v>
      </c>
      <c r="K2352" s="3" t="s">
        <v>173</v>
      </c>
      <c r="L2352" s="3" t="s">
        <v>436</v>
      </c>
      <c r="M2352" s="3" t="s">
        <v>9</v>
      </c>
      <c r="N2352" s="3">
        <v>2788</v>
      </c>
      <c r="O2352" s="3">
        <v>32</v>
      </c>
    </row>
    <row r="2353" spans="2:15" s="3" customFormat="1" hidden="1" outlineLevel="1" x14ac:dyDescent="0.25">
      <c r="B2353" s="28" t="s">
        <v>437</v>
      </c>
      <c r="C2353" s="29" t="s">
        <v>1830</v>
      </c>
      <c r="D2353" s="29" t="s">
        <v>1616</v>
      </c>
      <c r="E2353" s="29" t="s">
        <v>1594</v>
      </c>
      <c r="F2353" s="29" t="s">
        <v>1476</v>
      </c>
      <c r="G2353" s="30"/>
      <c r="J2353" s="3" t="s">
        <v>187</v>
      </c>
      <c r="K2353" s="3" t="s">
        <v>438</v>
      </c>
      <c r="L2353" s="3" t="s">
        <v>439</v>
      </c>
      <c r="M2353" s="3" t="s">
        <v>187</v>
      </c>
      <c r="N2353" s="3">
        <v>1443</v>
      </c>
      <c r="O2353" s="3">
        <v>2</v>
      </c>
    </row>
    <row r="2354" spans="2:15" s="3" customFormat="1" hidden="1" outlineLevel="1" x14ac:dyDescent="0.25">
      <c r="B2354" s="28" t="s">
        <v>112</v>
      </c>
      <c r="C2354" s="29" t="s">
        <v>1555</v>
      </c>
      <c r="D2354" s="29" t="s">
        <v>1469</v>
      </c>
      <c r="E2354" s="29">
        <v>0</v>
      </c>
      <c r="F2354" s="29" t="s">
        <v>1470</v>
      </c>
      <c r="G2354" s="30" t="s">
        <v>1556</v>
      </c>
      <c r="J2354" s="3" t="s">
        <v>10</v>
      </c>
      <c r="K2354" s="3" t="s">
        <v>173</v>
      </c>
      <c r="L2354" s="3" t="s">
        <v>436</v>
      </c>
      <c r="M2354" s="3" t="s">
        <v>9</v>
      </c>
      <c r="N2354" s="3">
        <v>1827</v>
      </c>
      <c r="O2354" s="3">
        <v>32</v>
      </c>
    </row>
    <row r="2355" spans="2:15" s="3" customFormat="1" hidden="1" outlineLevel="1" x14ac:dyDescent="0.25">
      <c r="B2355" s="28" t="s">
        <v>7</v>
      </c>
      <c r="C2355" s="29" t="s">
        <v>1468</v>
      </c>
      <c r="D2355" s="29" t="s">
        <v>1469</v>
      </c>
      <c r="E2355" s="29">
        <v>0</v>
      </c>
      <c r="F2355" s="29" t="s">
        <v>1470</v>
      </c>
      <c r="G2355" s="30" t="s">
        <v>1471</v>
      </c>
      <c r="J2355" s="3" t="s">
        <v>10</v>
      </c>
      <c r="K2355" s="3" t="s">
        <v>173</v>
      </c>
      <c r="L2355" s="3" t="s">
        <v>436</v>
      </c>
      <c r="M2355" s="3" t="s">
        <v>9</v>
      </c>
      <c r="N2355" s="3">
        <v>1228</v>
      </c>
      <c r="O2355" s="3">
        <v>32</v>
      </c>
    </row>
    <row r="2356" spans="2:15" s="3" customFormat="1" hidden="1" outlineLevel="1" x14ac:dyDescent="0.25">
      <c r="B2356" s="28" t="s">
        <v>11</v>
      </c>
      <c r="C2356" s="29" t="s">
        <v>1472</v>
      </c>
      <c r="D2356" s="29" t="s">
        <v>1469</v>
      </c>
      <c r="E2356" s="29">
        <v>0</v>
      </c>
      <c r="F2356" s="29" t="s">
        <v>1470</v>
      </c>
      <c r="G2356" s="30" t="s">
        <v>1473</v>
      </c>
      <c r="J2356" s="3" t="s">
        <v>10</v>
      </c>
      <c r="K2356" s="3" t="s">
        <v>173</v>
      </c>
      <c r="L2356" s="3" t="s">
        <v>436</v>
      </c>
      <c r="M2356" s="3" t="s">
        <v>9</v>
      </c>
      <c r="N2356" s="3">
        <v>1961</v>
      </c>
      <c r="O2356" s="3">
        <v>32</v>
      </c>
    </row>
    <row r="2357" spans="2:15" s="3" customFormat="1" hidden="1" outlineLevel="1" x14ac:dyDescent="0.25">
      <c r="B2357" s="28" t="s">
        <v>188</v>
      </c>
      <c r="C2357" s="29" t="s">
        <v>1607</v>
      </c>
      <c r="D2357" s="29" t="s">
        <v>1606</v>
      </c>
      <c r="E2357" s="29" t="s">
        <v>1594</v>
      </c>
      <c r="F2357" s="29"/>
      <c r="G2357" s="30"/>
      <c r="J2357" s="3" t="s">
        <v>187</v>
      </c>
      <c r="K2357" s="3" t="s">
        <v>438</v>
      </c>
      <c r="L2357" s="3" t="s">
        <v>439</v>
      </c>
      <c r="M2357" s="3" t="s">
        <v>187</v>
      </c>
      <c r="N2357" s="3">
        <v>2538</v>
      </c>
      <c r="O2357" s="3">
        <v>2048</v>
      </c>
    </row>
    <row r="2358" spans="2:15" s="3" customFormat="1" hidden="1" outlineLevel="1" x14ac:dyDescent="0.25">
      <c r="B2358" s="28" t="s">
        <v>15</v>
      </c>
      <c r="C2358" s="29" t="s">
        <v>1478</v>
      </c>
      <c r="D2358" s="29" t="s">
        <v>1469</v>
      </c>
      <c r="E2358" s="29">
        <v>0</v>
      </c>
      <c r="F2358" s="29" t="s">
        <v>1470</v>
      </c>
      <c r="G2358" s="30"/>
      <c r="J2358" s="3" t="s">
        <v>10</v>
      </c>
      <c r="K2358" s="3" t="s">
        <v>173</v>
      </c>
      <c r="L2358" s="3" t="s">
        <v>436</v>
      </c>
      <c r="M2358" s="3" t="s">
        <v>9</v>
      </c>
      <c r="N2358" s="3">
        <v>2929</v>
      </c>
      <c r="O2358" s="3">
        <v>32</v>
      </c>
    </row>
    <row r="2359" spans="2:15" s="3" customFormat="1" hidden="1" outlineLevel="1" x14ac:dyDescent="0.25">
      <c r="B2359" s="28" t="s">
        <v>186</v>
      </c>
      <c r="C2359" s="29" t="s">
        <v>1605</v>
      </c>
      <c r="D2359" s="29" t="s">
        <v>1606</v>
      </c>
      <c r="E2359" s="29" t="s">
        <v>1594</v>
      </c>
      <c r="F2359" s="29"/>
      <c r="G2359" s="30"/>
      <c r="J2359" s="3" t="s">
        <v>187</v>
      </c>
      <c r="K2359" s="3" t="s">
        <v>438</v>
      </c>
      <c r="L2359" s="3" t="s">
        <v>439</v>
      </c>
      <c r="M2359" s="3" t="s">
        <v>187</v>
      </c>
      <c r="N2359" s="3">
        <v>2938</v>
      </c>
      <c r="O2359" s="3">
        <v>2048</v>
      </c>
    </row>
    <row r="2360" spans="2:15" s="3" customFormat="1" hidden="1" outlineLevel="1" x14ac:dyDescent="0.25">
      <c r="B2360" s="28" t="s">
        <v>191</v>
      </c>
      <c r="C2360" s="29" t="s">
        <v>1611</v>
      </c>
      <c r="D2360" s="29" t="s">
        <v>1567</v>
      </c>
      <c r="E2360" s="29">
        <v>0</v>
      </c>
      <c r="F2360" s="29" t="s">
        <v>1470</v>
      </c>
      <c r="G2360" s="30" t="s">
        <v>1612</v>
      </c>
      <c r="J2360" s="3" t="s">
        <v>12</v>
      </c>
      <c r="K2360" s="3" t="s">
        <v>174</v>
      </c>
      <c r="L2360" s="3" t="s">
        <v>314</v>
      </c>
      <c r="M2360" s="3" t="s">
        <v>176</v>
      </c>
      <c r="N2360" s="3">
        <v>3009</v>
      </c>
      <c r="O2360" s="3">
        <v>64</v>
      </c>
    </row>
    <row r="2361" spans="2:15" s="3" customFormat="1" hidden="1" outlineLevel="1" x14ac:dyDescent="0.25">
      <c r="B2361" s="28" t="s">
        <v>440</v>
      </c>
      <c r="C2361" s="29" t="s">
        <v>1831</v>
      </c>
      <c r="D2361" s="29" t="s">
        <v>1469</v>
      </c>
      <c r="E2361" s="29">
        <v>0</v>
      </c>
      <c r="F2361" s="29" t="s">
        <v>1470</v>
      </c>
      <c r="G2361" s="30"/>
      <c r="J2361" s="3" t="s">
        <v>10</v>
      </c>
      <c r="K2361" s="3" t="s">
        <v>173</v>
      </c>
      <c r="L2361" s="3" t="s">
        <v>436</v>
      </c>
      <c r="M2361" s="3" t="s">
        <v>9</v>
      </c>
      <c r="N2361" s="3">
        <v>2986</v>
      </c>
      <c r="O2361" s="3">
        <v>32</v>
      </c>
    </row>
    <row r="2362" spans="2:15" s="3" customFormat="1" hidden="1" outlineLevel="1" x14ac:dyDescent="0.25">
      <c r="B2362" s="28" t="s">
        <v>441</v>
      </c>
      <c r="C2362" s="29" t="s">
        <v>1832</v>
      </c>
      <c r="D2362" s="29" t="s">
        <v>1469</v>
      </c>
      <c r="E2362" s="29">
        <v>0</v>
      </c>
      <c r="F2362" s="29" t="s">
        <v>1470</v>
      </c>
      <c r="G2362" s="30" t="s">
        <v>1833</v>
      </c>
    </row>
    <row r="2363" spans="2:15" s="3" customFormat="1" hidden="1" outlineLevel="1" x14ac:dyDescent="0.25">
      <c r="B2363" s="28" t="s">
        <v>189</v>
      </c>
      <c r="C2363" s="29" t="s">
        <v>1608</v>
      </c>
      <c r="D2363" s="29" t="s">
        <v>1609</v>
      </c>
      <c r="E2363" s="29" t="s">
        <v>1594</v>
      </c>
      <c r="F2363" s="29"/>
      <c r="G2363" s="30"/>
      <c r="J2363" s="3" t="s">
        <v>187</v>
      </c>
      <c r="K2363" s="3" t="s">
        <v>438</v>
      </c>
      <c r="L2363" s="3" t="s">
        <v>439</v>
      </c>
      <c r="M2363" s="3" t="s">
        <v>187</v>
      </c>
      <c r="N2363" s="3">
        <v>1450</v>
      </c>
      <c r="O2363" s="3">
        <v>64</v>
      </c>
    </row>
    <row r="2364" spans="2:15" s="3" customFormat="1" hidden="1" outlineLevel="1" x14ac:dyDescent="0.25">
      <c r="B2364" s="185" t="s">
        <v>194</v>
      </c>
      <c r="C2364" s="29" t="s">
        <v>1618</v>
      </c>
      <c r="D2364" s="29" t="s">
        <v>1469</v>
      </c>
      <c r="E2364" s="29">
        <v>0</v>
      </c>
      <c r="F2364" s="29"/>
      <c r="G2364" s="30" t="s">
        <v>1619</v>
      </c>
      <c r="J2364" s="3" t="s">
        <v>10</v>
      </c>
      <c r="K2364" s="3" t="s">
        <v>173</v>
      </c>
      <c r="L2364" s="3" t="s">
        <v>436</v>
      </c>
      <c r="M2364" s="3" t="s">
        <v>9</v>
      </c>
      <c r="N2364" s="3">
        <v>3169</v>
      </c>
      <c r="O2364" s="3">
        <v>32</v>
      </c>
    </row>
    <row r="2365" spans="2:15" s="3" customFormat="1" hidden="1" outlineLevel="1" x14ac:dyDescent="0.25">
      <c r="B2365" s="185" t="s">
        <v>195</v>
      </c>
      <c r="C2365" s="29" t="s">
        <v>1620</v>
      </c>
      <c r="D2365" s="29" t="s">
        <v>1469</v>
      </c>
      <c r="E2365" s="29">
        <v>0</v>
      </c>
      <c r="F2365" s="29"/>
      <c r="G2365" s="30" t="s">
        <v>1621</v>
      </c>
      <c r="J2365" s="3" t="s">
        <v>10</v>
      </c>
      <c r="K2365" s="3" t="s">
        <v>173</v>
      </c>
      <c r="L2365" s="3" t="s">
        <v>436</v>
      </c>
      <c r="M2365" s="3" t="s">
        <v>9</v>
      </c>
      <c r="N2365" s="3">
        <v>3168</v>
      </c>
      <c r="O2365" s="3">
        <v>32</v>
      </c>
    </row>
    <row r="2366" spans="2:15" s="3" customFormat="1" hidden="1" outlineLevel="1" x14ac:dyDescent="0.25">
      <c r="B2366" s="28" t="s">
        <v>128</v>
      </c>
      <c r="C2366" s="29" t="s">
        <v>1566</v>
      </c>
      <c r="D2366" s="29" t="s">
        <v>1567</v>
      </c>
      <c r="E2366" s="29">
        <v>0</v>
      </c>
      <c r="F2366" s="29" t="s">
        <v>1470</v>
      </c>
      <c r="G2366" s="30"/>
      <c r="J2366" s="3" t="s">
        <v>12</v>
      </c>
      <c r="K2366" s="3" t="s">
        <v>174</v>
      </c>
      <c r="L2366" s="3" t="s">
        <v>314</v>
      </c>
      <c r="M2366" s="3" t="s">
        <v>176</v>
      </c>
      <c r="N2366" s="3">
        <v>1866</v>
      </c>
      <c r="O2366" s="3">
        <v>64</v>
      </c>
    </row>
    <row r="2367" spans="2:15" s="3" customFormat="1" hidden="1" outlineLevel="1" x14ac:dyDescent="0.25">
      <c r="B2367" s="28" t="s">
        <v>114</v>
      </c>
      <c r="C2367" s="29" t="s">
        <v>1557</v>
      </c>
      <c r="D2367" s="29" t="s">
        <v>1469</v>
      </c>
      <c r="E2367" s="29">
        <v>-1</v>
      </c>
      <c r="F2367" s="29" t="s">
        <v>1470</v>
      </c>
      <c r="G2367" s="30"/>
      <c r="J2367" s="3" t="s">
        <v>10</v>
      </c>
      <c r="K2367" s="3" t="s">
        <v>173</v>
      </c>
      <c r="L2367" s="3" t="s">
        <v>442</v>
      </c>
      <c r="M2367" s="3" t="s">
        <v>9</v>
      </c>
      <c r="N2367" s="3">
        <v>2958</v>
      </c>
      <c r="O2367" s="3">
        <v>32</v>
      </c>
    </row>
    <row r="2368" spans="2:15" s="3" customFormat="1" hidden="1" outlineLevel="1" x14ac:dyDescent="0.25">
      <c r="B2368" s="28" t="s">
        <v>192</v>
      </c>
      <c r="C2368" s="29" t="s">
        <v>1613</v>
      </c>
      <c r="D2368" s="29" t="s">
        <v>1469</v>
      </c>
      <c r="E2368" s="29">
        <v>1</v>
      </c>
      <c r="F2368" s="29" t="s">
        <v>1470</v>
      </c>
      <c r="G2368" s="30" t="s">
        <v>1614</v>
      </c>
      <c r="J2368" s="3" t="s">
        <v>10</v>
      </c>
      <c r="K2368" s="3" t="s">
        <v>173</v>
      </c>
      <c r="L2368" s="3" t="s">
        <v>436</v>
      </c>
      <c r="M2368" s="3" t="s">
        <v>9</v>
      </c>
      <c r="N2368" s="3">
        <v>2289</v>
      </c>
      <c r="O2368" s="3">
        <v>32</v>
      </c>
    </row>
    <row r="2369" spans="1:15" s="3" customFormat="1" hidden="1" outlineLevel="1" x14ac:dyDescent="0.25">
      <c r="B2369" s="185" t="s">
        <v>443</v>
      </c>
      <c r="C2369" s="23" t="s">
        <v>1834</v>
      </c>
      <c r="D2369" s="23" t="s">
        <v>1632</v>
      </c>
      <c r="E2369" s="23" t="s">
        <v>1594</v>
      </c>
      <c r="F2369" s="23"/>
      <c r="G2369" s="24"/>
    </row>
    <row r="2370" spans="1:15" s="3" customFormat="1" hidden="1" outlineLevel="1" x14ac:dyDescent="0.25">
      <c r="A2370" s="5"/>
      <c r="B2370" s="31" t="s">
        <v>162</v>
      </c>
      <c r="C2370" s="20" t="s">
        <v>1589</v>
      </c>
      <c r="D2370" s="20" t="s">
        <v>1469</v>
      </c>
      <c r="E2370" s="20">
        <v>0</v>
      </c>
      <c r="F2370" s="20"/>
      <c r="G2370" s="22" t="s">
        <v>1590</v>
      </c>
    </row>
    <row r="2371" spans="1:15" s="3" customFormat="1" hidden="1" outlineLevel="1" x14ac:dyDescent="0.25">
      <c r="A2371" s="5"/>
      <c r="B2371" s="31" t="s">
        <v>163</v>
      </c>
      <c r="C2371" s="20" t="s">
        <v>1591</v>
      </c>
      <c r="D2371" s="20" t="s">
        <v>1469</v>
      </c>
      <c r="E2371" s="20">
        <v>0</v>
      </c>
      <c r="F2371" s="20"/>
      <c r="G2371" s="22" t="s">
        <v>1590</v>
      </c>
    </row>
    <row r="2372" spans="1:15" s="3" customFormat="1" ht="16.2" hidden="1" outlineLevel="1" thickBot="1" x14ac:dyDescent="0.3">
      <c r="B2372" s="163"/>
      <c r="C2372" s="164"/>
      <c r="D2372" s="164"/>
      <c r="E2372" s="164"/>
      <c r="F2372" s="164"/>
      <c r="G2372" s="165"/>
    </row>
    <row r="2373" spans="1:15" s="3" customFormat="1" hidden="1" outlineLevel="1" x14ac:dyDescent="0.25">
      <c r="B2373" s="398" t="s">
        <v>18</v>
      </c>
      <c r="C2373" s="399"/>
      <c r="D2373" s="399"/>
      <c r="E2373" s="399"/>
      <c r="F2373" s="399"/>
      <c r="G2373" s="400"/>
    </row>
    <row r="2374" spans="1:15" s="3" customFormat="1" hidden="1" outlineLevel="1" x14ac:dyDescent="0.25">
      <c r="B2374" s="179" t="s">
        <v>2</v>
      </c>
      <c r="C2374" s="180" t="s">
        <v>3</v>
      </c>
      <c r="D2374" s="180" t="s">
        <v>4</v>
      </c>
      <c r="E2374" s="180" t="s">
        <v>5</v>
      </c>
      <c r="F2374" s="180"/>
      <c r="G2374" s="181" t="s">
        <v>6</v>
      </c>
    </row>
    <row r="2375" spans="1:15" s="3" customFormat="1" hidden="1" outlineLevel="1" x14ac:dyDescent="0.25">
      <c r="B2375" s="185" t="s">
        <v>128</v>
      </c>
      <c r="C2375" s="23" t="s">
        <v>1566</v>
      </c>
      <c r="D2375" s="23" t="s">
        <v>1567</v>
      </c>
      <c r="E2375" s="23">
        <v>0</v>
      </c>
      <c r="F2375" s="23" t="s">
        <v>1470</v>
      </c>
      <c r="G2375" s="24"/>
      <c r="J2375" s="3" t="s">
        <v>12</v>
      </c>
      <c r="K2375" s="3" t="s">
        <v>174</v>
      </c>
      <c r="L2375" s="3" t="s">
        <v>314</v>
      </c>
      <c r="M2375" s="3" t="s">
        <v>176</v>
      </c>
      <c r="N2375" s="3">
        <v>1866</v>
      </c>
      <c r="O2375" s="3">
        <v>64</v>
      </c>
    </row>
    <row r="2376" spans="1:15" s="3" customFormat="1" hidden="1" outlineLevel="1" x14ac:dyDescent="0.25">
      <c r="B2376" s="185" t="s">
        <v>25</v>
      </c>
      <c r="C2376" s="23" t="s">
        <v>1492</v>
      </c>
      <c r="D2376" s="23" t="s">
        <v>1469</v>
      </c>
      <c r="E2376" s="23">
        <v>0</v>
      </c>
      <c r="F2376" s="23" t="s">
        <v>1470</v>
      </c>
      <c r="G2376" s="24" t="s">
        <v>1484</v>
      </c>
    </row>
    <row r="2377" spans="1:15" s="3" customFormat="1" hidden="1" outlineLevel="1" x14ac:dyDescent="0.25">
      <c r="B2377" s="28" t="s">
        <v>16</v>
      </c>
      <c r="C2377" s="29" t="s">
        <v>1479</v>
      </c>
      <c r="D2377" s="29" t="s">
        <v>1469</v>
      </c>
      <c r="E2377" s="29" t="s">
        <v>1480</v>
      </c>
      <c r="F2377" s="29" t="s">
        <v>1481</v>
      </c>
      <c r="G2377" s="30" t="s">
        <v>1482</v>
      </c>
      <c r="J2377" s="3" t="s">
        <v>10</v>
      </c>
      <c r="K2377" s="3" t="s">
        <v>173</v>
      </c>
      <c r="L2377" s="3" t="s">
        <v>436</v>
      </c>
      <c r="M2377" s="3" t="s">
        <v>9</v>
      </c>
      <c r="N2377" s="3">
        <v>1339</v>
      </c>
      <c r="O2377" s="3">
        <v>32</v>
      </c>
    </row>
    <row r="2378" spans="1:15" s="3" customFormat="1" hidden="1" outlineLevel="1" x14ac:dyDescent="0.25">
      <c r="B2378" s="28" t="s">
        <v>112</v>
      </c>
      <c r="C2378" s="29" t="s">
        <v>1555</v>
      </c>
      <c r="D2378" s="29" t="s">
        <v>1469</v>
      </c>
      <c r="E2378" s="29">
        <v>0</v>
      </c>
      <c r="F2378" s="29" t="s">
        <v>1470</v>
      </c>
      <c r="G2378" s="30" t="s">
        <v>1556</v>
      </c>
      <c r="J2378" s="3" t="s">
        <v>10</v>
      </c>
      <c r="K2378" s="3" t="s">
        <v>173</v>
      </c>
      <c r="L2378" s="3" t="s">
        <v>436</v>
      </c>
      <c r="M2378" s="3" t="s">
        <v>9</v>
      </c>
      <c r="N2378" s="3">
        <v>1827</v>
      </c>
      <c r="O2378" s="3">
        <v>32</v>
      </c>
    </row>
    <row r="2379" spans="1:15" s="3" customFormat="1" hidden="1" outlineLevel="1" x14ac:dyDescent="0.25">
      <c r="B2379" s="28" t="s">
        <v>7</v>
      </c>
      <c r="C2379" s="29" t="s">
        <v>1468</v>
      </c>
      <c r="D2379" s="29" t="s">
        <v>1469</v>
      </c>
      <c r="E2379" s="29">
        <v>0</v>
      </c>
      <c r="F2379" s="29" t="s">
        <v>1470</v>
      </c>
      <c r="G2379" s="30" t="s">
        <v>1471</v>
      </c>
      <c r="J2379" s="3" t="s">
        <v>10</v>
      </c>
      <c r="K2379" s="3" t="s">
        <v>173</v>
      </c>
      <c r="L2379" s="3" t="s">
        <v>436</v>
      </c>
      <c r="M2379" s="3" t="s">
        <v>9</v>
      </c>
      <c r="N2379" s="3">
        <v>1228</v>
      </c>
      <c r="O2379" s="3">
        <v>32</v>
      </c>
    </row>
    <row r="2380" spans="1:15" s="3" customFormat="1" hidden="1" outlineLevel="1" x14ac:dyDescent="0.25">
      <c r="B2380" s="28" t="s">
        <v>11</v>
      </c>
      <c r="C2380" s="29" t="s">
        <v>1472</v>
      </c>
      <c r="D2380" s="29" t="s">
        <v>1469</v>
      </c>
      <c r="E2380" s="29">
        <v>0</v>
      </c>
      <c r="F2380" s="29" t="s">
        <v>1470</v>
      </c>
      <c r="G2380" s="30" t="s">
        <v>1473</v>
      </c>
      <c r="J2380" s="3" t="s">
        <v>10</v>
      </c>
      <c r="K2380" s="3" t="s">
        <v>173</v>
      </c>
      <c r="L2380" s="3" t="s">
        <v>436</v>
      </c>
      <c r="M2380" s="3" t="s">
        <v>9</v>
      </c>
      <c r="N2380" s="3">
        <v>1961</v>
      </c>
      <c r="O2380" s="3">
        <v>32</v>
      </c>
    </row>
    <row r="2381" spans="1:15" s="3" customFormat="1" hidden="1" outlineLevel="1" x14ac:dyDescent="0.25">
      <c r="B2381" s="28" t="s">
        <v>13</v>
      </c>
      <c r="C2381" s="29" t="s">
        <v>1474</v>
      </c>
      <c r="D2381" s="29" t="s">
        <v>1469</v>
      </c>
      <c r="E2381" s="29">
        <v>0</v>
      </c>
      <c r="F2381" s="29" t="s">
        <v>1470</v>
      </c>
      <c r="G2381" s="30"/>
      <c r="J2381" s="3" t="s">
        <v>10</v>
      </c>
      <c r="K2381" s="3" t="s">
        <v>173</v>
      </c>
      <c r="L2381" s="3" t="s">
        <v>436</v>
      </c>
      <c r="M2381" s="3" t="s">
        <v>9</v>
      </c>
      <c r="N2381" s="3">
        <v>3050</v>
      </c>
      <c r="O2381" s="3">
        <v>32</v>
      </c>
    </row>
    <row r="2382" spans="1:15" s="3" customFormat="1" hidden="1" outlineLevel="1" x14ac:dyDescent="0.25">
      <c r="B2382" s="28" t="s">
        <v>197</v>
      </c>
      <c r="C2382" s="29" t="s">
        <v>1624</v>
      </c>
      <c r="D2382" s="29" t="s">
        <v>1469</v>
      </c>
      <c r="E2382" s="29">
        <v>0</v>
      </c>
      <c r="F2382" s="29" t="s">
        <v>1470</v>
      </c>
      <c r="G2382" s="30" t="s">
        <v>1625</v>
      </c>
      <c r="J2382" s="3" t="s">
        <v>10</v>
      </c>
      <c r="K2382" s="3" t="s">
        <v>173</v>
      </c>
      <c r="L2382" s="3" t="s">
        <v>436</v>
      </c>
      <c r="M2382" s="3" t="s">
        <v>9</v>
      </c>
      <c r="N2382" s="3">
        <v>2609</v>
      </c>
      <c r="O2382" s="3">
        <v>32</v>
      </c>
    </row>
    <row r="2383" spans="1:15" s="3" customFormat="1" hidden="1" outlineLevel="1" x14ac:dyDescent="0.25">
      <c r="B2383" s="28" t="s">
        <v>387</v>
      </c>
      <c r="C2383" s="29" t="s">
        <v>1785</v>
      </c>
      <c r="D2383" s="29" t="s">
        <v>1632</v>
      </c>
      <c r="E2383" s="29" t="s">
        <v>1594</v>
      </c>
      <c r="F2383" s="29" t="s">
        <v>1470</v>
      </c>
      <c r="G2383" s="30"/>
      <c r="J2383" s="3" t="s">
        <v>187</v>
      </c>
      <c r="K2383" s="3" t="s">
        <v>438</v>
      </c>
      <c r="L2383" s="3" t="s">
        <v>439</v>
      </c>
      <c r="M2383" s="3" t="s">
        <v>187</v>
      </c>
      <c r="N2383" s="3">
        <v>2696</v>
      </c>
      <c r="O2383" s="3">
        <v>32</v>
      </c>
    </row>
    <row r="2384" spans="1:15" s="3" customFormat="1" hidden="1" outlineLevel="1" x14ac:dyDescent="0.25">
      <c r="B2384" s="28" t="s">
        <v>14</v>
      </c>
      <c r="C2384" s="29" t="s">
        <v>1475</v>
      </c>
      <c r="D2384" s="29" t="s">
        <v>1469</v>
      </c>
      <c r="E2384" s="29">
        <v>0</v>
      </c>
      <c r="F2384" s="29" t="s">
        <v>1476</v>
      </c>
      <c r="G2384" s="30" t="s">
        <v>1477</v>
      </c>
      <c r="J2384" s="3" t="s">
        <v>10</v>
      </c>
      <c r="K2384" s="3" t="s">
        <v>173</v>
      </c>
      <c r="L2384" s="3" t="s">
        <v>436</v>
      </c>
      <c r="M2384" s="3" t="s">
        <v>9</v>
      </c>
      <c r="N2384" s="3">
        <v>2537</v>
      </c>
      <c r="O2384" s="3">
        <v>32</v>
      </c>
    </row>
    <row r="2385" spans="2:15" s="3" customFormat="1" hidden="1" outlineLevel="1" x14ac:dyDescent="0.25">
      <c r="B2385" s="28" t="s">
        <v>202</v>
      </c>
      <c r="C2385" s="29" t="s">
        <v>1634</v>
      </c>
      <c r="D2385" s="29" t="s">
        <v>1469</v>
      </c>
      <c r="E2385" s="29">
        <v>0</v>
      </c>
      <c r="F2385" s="29" t="s">
        <v>1470</v>
      </c>
      <c r="G2385" s="30"/>
      <c r="J2385" s="3" t="s">
        <v>10</v>
      </c>
      <c r="K2385" s="3" t="s">
        <v>173</v>
      </c>
      <c r="L2385" s="3" t="s">
        <v>436</v>
      </c>
      <c r="M2385" s="3" t="s">
        <v>9</v>
      </c>
      <c r="N2385" s="3">
        <v>1696</v>
      </c>
      <c r="O2385" s="3">
        <v>32</v>
      </c>
    </row>
    <row r="2386" spans="2:15" s="3" customFormat="1" hidden="1" outlineLevel="1" x14ac:dyDescent="0.25">
      <c r="B2386" s="28" t="s">
        <v>15</v>
      </c>
      <c r="C2386" s="29" t="s">
        <v>1478</v>
      </c>
      <c r="D2386" s="29" t="s">
        <v>1469</v>
      </c>
      <c r="E2386" s="29">
        <v>0</v>
      </c>
      <c r="F2386" s="29" t="s">
        <v>1470</v>
      </c>
      <c r="G2386" s="30"/>
      <c r="J2386" s="3" t="s">
        <v>10</v>
      </c>
      <c r="K2386" s="3" t="s">
        <v>173</v>
      </c>
      <c r="L2386" s="3" t="s">
        <v>436</v>
      </c>
      <c r="M2386" s="3" t="s">
        <v>9</v>
      </c>
      <c r="N2386" s="3">
        <v>2929</v>
      </c>
      <c r="O2386" s="3">
        <v>32</v>
      </c>
    </row>
    <row r="2387" spans="2:15" s="3" customFormat="1" hidden="1" outlineLevel="1" x14ac:dyDescent="0.25">
      <c r="B2387" s="28" t="s">
        <v>87</v>
      </c>
      <c r="C2387" s="29" t="s">
        <v>1535</v>
      </c>
      <c r="D2387" s="29" t="s">
        <v>1469</v>
      </c>
      <c r="E2387" s="29">
        <v>0</v>
      </c>
      <c r="F2387" s="29" t="s">
        <v>1476</v>
      </c>
      <c r="G2387" s="30"/>
      <c r="J2387" s="3" t="s">
        <v>10</v>
      </c>
      <c r="K2387" s="3" t="s">
        <v>173</v>
      </c>
      <c r="L2387" s="3" t="s">
        <v>436</v>
      </c>
      <c r="M2387" s="3" t="s">
        <v>9</v>
      </c>
      <c r="N2387" s="3">
        <v>2937</v>
      </c>
      <c r="O2387" s="3">
        <v>32</v>
      </c>
    </row>
    <row r="2388" spans="2:15" s="3" customFormat="1" hidden="1" outlineLevel="1" x14ac:dyDescent="0.25">
      <c r="B2388" s="28" t="s">
        <v>191</v>
      </c>
      <c r="C2388" s="29" t="s">
        <v>1611</v>
      </c>
      <c r="D2388" s="29" t="s">
        <v>1567</v>
      </c>
      <c r="E2388" s="29">
        <v>0</v>
      </c>
      <c r="F2388" s="29" t="s">
        <v>1470</v>
      </c>
      <c r="G2388" s="30" t="s">
        <v>1612</v>
      </c>
      <c r="J2388" s="3" t="s">
        <v>12</v>
      </c>
      <c r="K2388" s="3" t="s">
        <v>174</v>
      </c>
      <c r="L2388" s="3" t="s">
        <v>314</v>
      </c>
      <c r="M2388" s="3" t="s">
        <v>176</v>
      </c>
      <c r="N2388" s="3">
        <v>3009</v>
      </c>
      <c r="O2388" s="3">
        <v>64</v>
      </c>
    </row>
    <row r="2389" spans="2:15" s="3" customFormat="1" hidden="1" outlineLevel="1" x14ac:dyDescent="0.25">
      <c r="B2389" s="28" t="s">
        <v>440</v>
      </c>
      <c r="C2389" s="29" t="s">
        <v>1831</v>
      </c>
      <c r="D2389" s="29" t="s">
        <v>1469</v>
      </c>
      <c r="E2389" s="29">
        <v>0</v>
      </c>
      <c r="F2389" s="29" t="s">
        <v>1470</v>
      </c>
      <c r="G2389" s="30"/>
      <c r="J2389" s="3" t="s">
        <v>10</v>
      </c>
      <c r="K2389" s="3" t="s">
        <v>173</v>
      </c>
      <c r="L2389" s="3" t="s">
        <v>436</v>
      </c>
      <c r="M2389" s="3" t="s">
        <v>9</v>
      </c>
      <c r="N2389" s="3">
        <v>2986</v>
      </c>
      <c r="O2389" s="3">
        <v>32</v>
      </c>
    </row>
    <row r="2390" spans="2:15" s="3" customFormat="1" hidden="1" outlineLevel="1" x14ac:dyDescent="0.25">
      <c r="B2390" s="28" t="s">
        <v>208</v>
      </c>
      <c r="C2390" s="29" t="s">
        <v>1646</v>
      </c>
      <c r="D2390" s="29" t="s">
        <v>1469</v>
      </c>
      <c r="E2390" s="29" t="s">
        <v>1480</v>
      </c>
      <c r="F2390" s="29" t="s">
        <v>1481</v>
      </c>
      <c r="G2390" s="30" t="s">
        <v>1647</v>
      </c>
      <c r="J2390" s="3" t="s">
        <v>10</v>
      </c>
      <c r="K2390" s="3" t="s">
        <v>173</v>
      </c>
      <c r="L2390" s="3" t="s">
        <v>436</v>
      </c>
      <c r="M2390" s="3" t="s">
        <v>9</v>
      </c>
      <c r="N2390" s="3">
        <v>1310</v>
      </c>
      <c r="O2390" s="3">
        <v>32</v>
      </c>
    </row>
    <row r="2391" spans="2:15" s="3" customFormat="1" hidden="1" outlineLevel="1" x14ac:dyDescent="0.25">
      <c r="B2391" s="28" t="s">
        <v>209</v>
      </c>
      <c r="C2391" s="29" t="s">
        <v>1648</v>
      </c>
      <c r="D2391" s="29" t="s">
        <v>1469</v>
      </c>
      <c r="E2391" s="29" t="s">
        <v>1549</v>
      </c>
      <c r="F2391" s="29" t="s">
        <v>1481</v>
      </c>
      <c r="G2391" s="30" t="s">
        <v>1649</v>
      </c>
      <c r="J2391" s="3" t="s">
        <v>10</v>
      </c>
      <c r="K2391" s="3" t="s">
        <v>173</v>
      </c>
      <c r="L2391" s="3" t="s">
        <v>436</v>
      </c>
      <c r="M2391" s="3" t="s">
        <v>9</v>
      </c>
      <c r="N2391" s="3">
        <v>1311</v>
      </c>
      <c r="O2391" s="3">
        <v>32</v>
      </c>
    </row>
    <row r="2392" spans="2:15" s="3" customFormat="1" hidden="1" outlineLevel="1" x14ac:dyDescent="0.25">
      <c r="B2392" s="28" t="s">
        <v>211</v>
      </c>
      <c r="C2392" s="29" t="s">
        <v>1651</v>
      </c>
      <c r="D2392" s="29" t="s">
        <v>1652</v>
      </c>
      <c r="E2392" s="29" t="s">
        <v>1594</v>
      </c>
      <c r="F2392" s="29" t="s">
        <v>1470</v>
      </c>
      <c r="G2392" s="30" t="s">
        <v>1653</v>
      </c>
      <c r="J2392" s="3" t="s">
        <v>10</v>
      </c>
      <c r="K2392" s="3" t="s">
        <v>173</v>
      </c>
      <c r="L2392" s="3" t="s">
        <v>436</v>
      </c>
      <c r="M2392" s="3" t="s">
        <v>9</v>
      </c>
      <c r="N2392" s="3">
        <v>1295</v>
      </c>
      <c r="O2392" s="3">
        <v>32</v>
      </c>
    </row>
    <row r="2393" spans="2:15" s="3" customFormat="1" hidden="1" outlineLevel="1" x14ac:dyDescent="0.25">
      <c r="B2393" s="28" t="s">
        <v>196</v>
      </c>
      <c r="C2393" s="29" t="s">
        <v>1622</v>
      </c>
      <c r="D2393" s="29" t="s">
        <v>1469</v>
      </c>
      <c r="E2393" s="29" t="s">
        <v>1480</v>
      </c>
      <c r="F2393" s="29" t="s">
        <v>1481</v>
      </c>
      <c r="G2393" s="30" t="s">
        <v>1623</v>
      </c>
      <c r="J2393" s="3" t="s">
        <v>10</v>
      </c>
      <c r="K2393" s="3" t="s">
        <v>173</v>
      </c>
      <c r="L2393" s="3" t="s">
        <v>436</v>
      </c>
      <c r="M2393" s="3" t="s">
        <v>9</v>
      </c>
      <c r="N2393" s="3">
        <v>2504</v>
      </c>
      <c r="O2393" s="3">
        <v>32</v>
      </c>
    </row>
    <row r="2394" spans="2:15" s="3" customFormat="1" hidden="1" outlineLevel="1" x14ac:dyDescent="0.25">
      <c r="B2394" s="28" t="s">
        <v>201</v>
      </c>
      <c r="C2394" s="29" t="s">
        <v>1631</v>
      </c>
      <c r="D2394" s="29" t="s">
        <v>1632</v>
      </c>
      <c r="E2394" s="29" t="s">
        <v>1594</v>
      </c>
      <c r="F2394" s="29" t="s">
        <v>1470</v>
      </c>
      <c r="G2394" s="30" t="s">
        <v>1633</v>
      </c>
      <c r="J2394" s="3" t="s">
        <v>10</v>
      </c>
      <c r="K2394" s="3" t="s">
        <v>173</v>
      </c>
      <c r="L2394" s="3" t="s">
        <v>436</v>
      </c>
      <c r="M2394" s="3" t="s">
        <v>9</v>
      </c>
      <c r="N2394" s="3">
        <v>2501</v>
      </c>
      <c r="O2394" s="3">
        <v>32</v>
      </c>
    </row>
    <row r="2395" spans="2:15" s="3" customFormat="1" hidden="1" outlineLevel="1" x14ac:dyDescent="0.25">
      <c r="B2395" s="28" t="s">
        <v>199</v>
      </c>
      <c r="C2395" s="29" t="s">
        <v>1628</v>
      </c>
      <c r="D2395" s="29" t="s">
        <v>1469</v>
      </c>
      <c r="E2395" s="29" t="s">
        <v>1480</v>
      </c>
      <c r="F2395" s="29" t="s">
        <v>1481</v>
      </c>
      <c r="G2395" s="30" t="s">
        <v>1482</v>
      </c>
      <c r="J2395" s="3" t="s">
        <v>10</v>
      </c>
      <c r="K2395" s="3" t="s">
        <v>173</v>
      </c>
      <c r="L2395" s="3" t="s">
        <v>436</v>
      </c>
      <c r="M2395" s="3" t="s">
        <v>9</v>
      </c>
      <c r="N2395" s="3">
        <v>1458</v>
      </c>
      <c r="O2395" s="3">
        <v>32</v>
      </c>
    </row>
    <row r="2396" spans="2:15" s="3" customFormat="1" hidden="1" outlineLevel="1" x14ac:dyDescent="0.25">
      <c r="B2396" s="28" t="s">
        <v>200</v>
      </c>
      <c r="C2396" s="29" t="s">
        <v>1629</v>
      </c>
      <c r="D2396" s="29" t="s">
        <v>1469</v>
      </c>
      <c r="E2396" s="29" t="s">
        <v>1549</v>
      </c>
      <c r="F2396" s="29" t="s">
        <v>1481</v>
      </c>
      <c r="G2396" s="30" t="s">
        <v>1630</v>
      </c>
      <c r="J2396" s="3" t="s">
        <v>10</v>
      </c>
      <c r="K2396" s="3" t="s">
        <v>173</v>
      </c>
      <c r="L2396" s="3" t="s">
        <v>436</v>
      </c>
      <c r="M2396" s="3" t="s">
        <v>9</v>
      </c>
      <c r="N2396" s="3">
        <v>1459</v>
      </c>
      <c r="O2396" s="3">
        <v>32</v>
      </c>
    </row>
    <row r="2397" spans="2:15" s="3" customFormat="1" hidden="1" outlineLevel="1" x14ac:dyDescent="0.25">
      <c r="B2397" s="28" t="s">
        <v>444</v>
      </c>
      <c r="C2397" s="29" t="s">
        <v>1835</v>
      </c>
      <c r="D2397" s="29" t="s">
        <v>1567</v>
      </c>
      <c r="E2397" s="29">
        <v>0</v>
      </c>
      <c r="F2397" s="29"/>
      <c r="G2397" s="30"/>
      <c r="J2397" s="3" t="s">
        <v>12</v>
      </c>
      <c r="K2397" s="3" t="s">
        <v>174</v>
      </c>
      <c r="L2397" s="3" t="s">
        <v>314</v>
      </c>
      <c r="M2397" s="3" t="s">
        <v>176</v>
      </c>
      <c r="N2397" s="3">
        <v>1462</v>
      </c>
      <c r="O2397" s="3">
        <v>64</v>
      </c>
    </row>
    <row r="2398" spans="2:15" s="3" customFormat="1" hidden="1" outlineLevel="1" x14ac:dyDescent="0.25">
      <c r="B2398" s="28" t="s">
        <v>441</v>
      </c>
      <c r="C2398" s="29" t="s">
        <v>1832</v>
      </c>
      <c r="D2398" s="29" t="s">
        <v>1469</v>
      </c>
      <c r="E2398" s="29">
        <v>0</v>
      </c>
      <c r="F2398" s="29" t="s">
        <v>1470</v>
      </c>
      <c r="G2398" s="30" t="s">
        <v>1833</v>
      </c>
    </row>
    <row r="2399" spans="2:15" s="3" customFormat="1" hidden="1" outlineLevel="1" x14ac:dyDescent="0.25">
      <c r="B2399" s="28" t="s">
        <v>205</v>
      </c>
      <c r="C2399" s="29" t="s">
        <v>1640</v>
      </c>
      <c r="D2399" s="29" t="s">
        <v>1469</v>
      </c>
      <c r="E2399" s="29">
        <v>0</v>
      </c>
      <c r="F2399" s="29" t="s">
        <v>1476</v>
      </c>
      <c r="G2399" s="30" t="s">
        <v>1641</v>
      </c>
      <c r="J2399" s="3" t="s">
        <v>10</v>
      </c>
      <c r="K2399" s="3" t="s">
        <v>173</v>
      </c>
      <c r="L2399" s="3" t="s">
        <v>436</v>
      </c>
      <c r="M2399" s="3" t="s">
        <v>9</v>
      </c>
      <c r="N2399" s="3">
        <v>1449</v>
      </c>
      <c r="O2399" s="3">
        <v>32</v>
      </c>
    </row>
    <row r="2400" spans="2:15" s="3" customFormat="1" hidden="1" outlineLevel="1" x14ac:dyDescent="0.25">
      <c r="B2400" s="28" t="s">
        <v>206</v>
      </c>
      <c r="C2400" s="29" t="s">
        <v>1642</v>
      </c>
      <c r="D2400" s="29" t="s">
        <v>1539</v>
      </c>
      <c r="E2400" s="29">
        <v>0</v>
      </c>
      <c r="F2400" s="29" t="s">
        <v>1470</v>
      </c>
      <c r="G2400" s="30" t="s">
        <v>1643</v>
      </c>
      <c r="J2400" s="3" t="s">
        <v>20</v>
      </c>
      <c r="K2400" s="3" t="s">
        <v>445</v>
      </c>
      <c r="L2400" s="3" t="s">
        <v>446</v>
      </c>
      <c r="M2400" s="3" t="s">
        <v>446</v>
      </c>
      <c r="N2400" s="3">
        <v>1455</v>
      </c>
      <c r="O2400" s="3">
        <v>16</v>
      </c>
    </row>
    <row r="2401" spans="2:15" s="3" customFormat="1" hidden="1" outlineLevel="1" x14ac:dyDescent="0.25">
      <c r="B2401" s="28" t="s">
        <v>207</v>
      </c>
      <c r="C2401" s="29" t="s">
        <v>1644</v>
      </c>
      <c r="D2401" s="29" t="s">
        <v>1486</v>
      </c>
      <c r="E2401" s="29">
        <v>0</v>
      </c>
      <c r="F2401" s="29" t="s">
        <v>1470</v>
      </c>
      <c r="G2401" s="30" t="s">
        <v>1645</v>
      </c>
      <c r="J2401" s="3" t="s">
        <v>20</v>
      </c>
      <c r="K2401" s="3" t="s">
        <v>445</v>
      </c>
      <c r="L2401" s="3" t="s">
        <v>446</v>
      </c>
      <c r="M2401" s="3" t="s">
        <v>446</v>
      </c>
      <c r="N2401" s="3">
        <v>1460</v>
      </c>
      <c r="O2401" s="3">
        <v>18</v>
      </c>
    </row>
    <row r="2402" spans="2:15" s="3" customFormat="1" hidden="1" outlineLevel="1" x14ac:dyDescent="0.25">
      <c r="B2402" s="28" t="s">
        <v>212</v>
      </c>
      <c r="C2402" s="29" t="s">
        <v>1654</v>
      </c>
      <c r="D2402" s="29" t="s">
        <v>1486</v>
      </c>
      <c r="E2402" s="29">
        <v>0</v>
      </c>
      <c r="F2402" s="29" t="s">
        <v>1470</v>
      </c>
      <c r="G2402" s="30" t="s">
        <v>1655</v>
      </c>
      <c r="J2402" s="3" t="s">
        <v>20</v>
      </c>
      <c r="K2402" s="3" t="s">
        <v>445</v>
      </c>
      <c r="L2402" s="3" t="s">
        <v>446</v>
      </c>
      <c r="M2402" s="3" t="s">
        <v>446</v>
      </c>
      <c r="N2402" s="3">
        <v>1314</v>
      </c>
      <c r="O2402" s="3">
        <v>18</v>
      </c>
    </row>
    <row r="2403" spans="2:15" s="3" customFormat="1" hidden="1" outlineLevel="1" x14ac:dyDescent="0.25">
      <c r="B2403" s="28" t="s">
        <v>204</v>
      </c>
      <c r="C2403" s="29" t="s">
        <v>1638</v>
      </c>
      <c r="D2403" s="29" t="s">
        <v>1539</v>
      </c>
      <c r="E2403" s="29">
        <v>0</v>
      </c>
      <c r="F2403" s="29" t="s">
        <v>1470</v>
      </c>
      <c r="G2403" s="30" t="s">
        <v>1639</v>
      </c>
      <c r="J2403" s="3" t="s">
        <v>20</v>
      </c>
      <c r="K2403" s="3" t="s">
        <v>445</v>
      </c>
      <c r="L2403" s="3" t="s">
        <v>446</v>
      </c>
      <c r="M2403" s="3" t="s">
        <v>446</v>
      </c>
      <c r="N2403" s="3">
        <v>1303</v>
      </c>
      <c r="O2403" s="3">
        <v>16</v>
      </c>
    </row>
    <row r="2404" spans="2:15" s="3" customFormat="1" hidden="1" outlineLevel="1" x14ac:dyDescent="0.25">
      <c r="B2404" s="28" t="s">
        <v>213</v>
      </c>
      <c r="C2404" s="29" t="s">
        <v>1656</v>
      </c>
      <c r="D2404" s="29" t="s">
        <v>1489</v>
      </c>
      <c r="E2404" s="29">
        <v>0</v>
      </c>
      <c r="F2404" s="29" t="s">
        <v>1470</v>
      </c>
      <c r="G2404" s="30" t="s">
        <v>1657</v>
      </c>
      <c r="J2404" s="3" t="s">
        <v>20</v>
      </c>
      <c r="K2404" s="3" t="s">
        <v>445</v>
      </c>
      <c r="L2404" s="3" t="s">
        <v>446</v>
      </c>
      <c r="M2404" s="3" t="s">
        <v>446</v>
      </c>
      <c r="N2404" s="3">
        <v>1305</v>
      </c>
      <c r="O2404" s="3">
        <v>32</v>
      </c>
    </row>
    <row r="2405" spans="2:15" s="3" customFormat="1" hidden="1" outlineLevel="1" x14ac:dyDescent="0.25">
      <c r="B2405" s="28" t="s">
        <v>22</v>
      </c>
      <c r="C2405" s="29" t="s">
        <v>1488</v>
      </c>
      <c r="D2405" s="29" t="s">
        <v>1489</v>
      </c>
      <c r="E2405" s="29">
        <v>0</v>
      </c>
      <c r="F2405" s="29" t="s">
        <v>1470</v>
      </c>
      <c r="G2405" s="30" t="s">
        <v>1490</v>
      </c>
      <c r="J2405" s="3" t="s">
        <v>20</v>
      </c>
      <c r="K2405" s="3" t="s">
        <v>445</v>
      </c>
      <c r="L2405" s="3" t="s">
        <v>446</v>
      </c>
      <c r="M2405" s="3" t="s">
        <v>446</v>
      </c>
      <c r="N2405" s="3">
        <v>2409</v>
      </c>
      <c r="O2405" s="3">
        <v>32</v>
      </c>
    </row>
    <row r="2406" spans="2:15" s="3" customFormat="1" hidden="1" outlineLevel="1" x14ac:dyDescent="0.25">
      <c r="B2406" s="28" t="s">
        <v>214</v>
      </c>
      <c r="C2406" s="29" t="s">
        <v>1658</v>
      </c>
      <c r="D2406" s="29" t="s">
        <v>1489</v>
      </c>
      <c r="E2406" s="29">
        <v>0</v>
      </c>
      <c r="F2406" s="29" t="s">
        <v>1470</v>
      </c>
      <c r="G2406" s="30" t="s">
        <v>1659</v>
      </c>
      <c r="J2406" s="3" t="s">
        <v>20</v>
      </c>
      <c r="K2406" s="3" t="s">
        <v>445</v>
      </c>
      <c r="L2406" s="3" t="s">
        <v>446</v>
      </c>
      <c r="M2406" s="3" t="s">
        <v>446</v>
      </c>
      <c r="N2406" s="3">
        <v>2813</v>
      </c>
      <c r="O2406" s="3">
        <v>32</v>
      </c>
    </row>
    <row r="2407" spans="2:15" s="3" customFormat="1" hidden="1" outlineLevel="1" x14ac:dyDescent="0.25">
      <c r="B2407" s="28" t="s">
        <v>215</v>
      </c>
      <c r="C2407" s="29" t="s">
        <v>1660</v>
      </c>
      <c r="D2407" s="29" t="s">
        <v>1489</v>
      </c>
      <c r="E2407" s="29">
        <v>0</v>
      </c>
      <c r="F2407" s="29" t="s">
        <v>1470</v>
      </c>
      <c r="G2407" s="30"/>
      <c r="J2407" s="3" t="s">
        <v>20</v>
      </c>
      <c r="K2407" s="3" t="s">
        <v>445</v>
      </c>
      <c r="L2407" s="3" t="s">
        <v>446</v>
      </c>
      <c r="M2407" s="3" t="s">
        <v>446</v>
      </c>
      <c r="N2407" s="3">
        <v>1717</v>
      </c>
      <c r="O2407" s="3">
        <v>32</v>
      </c>
    </row>
    <row r="2408" spans="2:15" s="3" customFormat="1" hidden="1" outlineLevel="1" x14ac:dyDescent="0.25">
      <c r="B2408" s="28" t="s">
        <v>216</v>
      </c>
      <c r="C2408" s="29" t="s">
        <v>1661</v>
      </c>
      <c r="D2408" s="29" t="s">
        <v>1489</v>
      </c>
      <c r="E2408" s="29">
        <v>0</v>
      </c>
      <c r="F2408" s="29" t="s">
        <v>1470</v>
      </c>
      <c r="G2408" s="30" t="s">
        <v>1662</v>
      </c>
      <c r="J2408" s="3" t="s">
        <v>20</v>
      </c>
      <c r="K2408" s="3" t="s">
        <v>445</v>
      </c>
      <c r="L2408" s="3" t="s">
        <v>446</v>
      </c>
      <c r="M2408" s="3" t="s">
        <v>446</v>
      </c>
      <c r="N2408" s="3">
        <v>2016</v>
      </c>
      <c r="O2408" s="3">
        <v>32</v>
      </c>
    </row>
    <row r="2409" spans="2:15" s="3" customFormat="1" hidden="1" outlineLevel="1" x14ac:dyDescent="0.25">
      <c r="B2409" s="28" t="s">
        <v>217</v>
      </c>
      <c r="C2409" s="29" t="s">
        <v>1663</v>
      </c>
      <c r="D2409" s="29" t="s">
        <v>1489</v>
      </c>
      <c r="E2409" s="29">
        <v>0</v>
      </c>
      <c r="F2409" s="29" t="s">
        <v>1470</v>
      </c>
      <c r="G2409" s="30" t="s">
        <v>1664</v>
      </c>
      <c r="J2409" s="3" t="s">
        <v>20</v>
      </c>
      <c r="K2409" s="3" t="s">
        <v>445</v>
      </c>
      <c r="L2409" s="3" t="s">
        <v>446</v>
      </c>
      <c r="M2409" s="3" t="s">
        <v>446</v>
      </c>
      <c r="N2409" s="3">
        <v>2921</v>
      </c>
      <c r="O2409" s="3">
        <v>32</v>
      </c>
    </row>
    <row r="2410" spans="2:15" s="3" customFormat="1" hidden="1" outlineLevel="1" x14ac:dyDescent="0.25">
      <c r="B2410" s="28" t="s">
        <v>218</v>
      </c>
      <c r="C2410" s="29" t="s">
        <v>1665</v>
      </c>
      <c r="D2410" s="29" t="s">
        <v>1489</v>
      </c>
      <c r="E2410" s="29">
        <v>0</v>
      </c>
      <c r="F2410" s="29" t="s">
        <v>1470</v>
      </c>
      <c r="G2410" s="30" t="s">
        <v>1666</v>
      </c>
      <c r="J2410" s="3" t="s">
        <v>20</v>
      </c>
      <c r="K2410" s="3" t="s">
        <v>445</v>
      </c>
      <c r="L2410" s="3" t="s">
        <v>446</v>
      </c>
      <c r="M2410" s="3" t="s">
        <v>446</v>
      </c>
      <c r="N2410" s="3">
        <v>2347</v>
      </c>
      <c r="O2410" s="3">
        <v>32</v>
      </c>
    </row>
    <row r="2411" spans="2:15" s="3" customFormat="1" hidden="1" outlineLevel="1" x14ac:dyDescent="0.25">
      <c r="B2411" s="28" t="s">
        <v>219</v>
      </c>
      <c r="C2411" s="29" t="s">
        <v>1667</v>
      </c>
      <c r="D2411" s="29" t="s">
        <v>1489</v>
      </c>
      <c r="E2411" s="29">
        <v>0</v>
      </c>
      <c r="F2411" s="29" t="s">
        <v>1470</v>
      </c>
      <c r="G2411" s="30" t="s">
        <v>1668</v>
      </c>
      <c r="J2411" s="3" t="s">
        <v>20</v>
      </c>
      <c r="K2411" s="3" t="s">
        <v>445</v>
      </c>
      <c r="L2411" s="3" t="s">
        <v>446</v>
      </c>
      <c r="M2411" s="3" t="s">
        <v>446</v>
      </c>
      <c r="N2411" s="3">
        <v>1952</v>
      </c>
      <c r="O2411" s="3">
        <v>32</v>
      </c>
    </row>
    <row r="2412" spans="2:15" s="3" customFormat="1" hidden="1" outlineLevel="1" x14ac:dyDescent="0.25">
      <c r="B2412" s="28" t="s">
        <v>220</v>
      </c>
      <c r="C2412" s="29" t="s">
        <v>1669</v>
      </c>
      <c r="D2412" s="29" t="s">
        <v>1489</v>
      </c>
      <c r="E2412" s="29">
        <v>0</v>
      </c>
      <c r="F2412" s="29" t="s">
        <v>1470</v>
      </c>
      <c r="G2412" s="30" t="s">
        <v>1670</v>
      </c>
      <c r="J2412" s="3" t="s">
        <v>20</v>
      </c>
      <c r="K2412" s="3" t="s">
        <v>445</v>
      </c>
      <c r="L2412" s="3" t="s">
        <v>446</v>
      </c>
      <c r="M2412" s="3" t="s">
        <v>446</v>
      </c>
      <c r="N2412" s="3">
        <v>2349</v>
      </c>
      <c r="O2412" s="3">
        <v>32</v>
      </c>
    </row>
    <row r="2413" spans="2:15" s="3" customFormat="1" hidden="1" outlineLevel="1" x14ac:dyDescent="0.25">
      <c r="B2413" s="28" t="s">
        <v>447</v>
      </c>
      <c r="C2413" s="29" t="s">
        <v>1836</v>
      </c>
      <c r="D2413" s="29" t="s">
        <v>1489</v>
      </c>
      <c r="E2413" s="29">
        <v>0</v>
      </c>
      <c r="F2413" s="29"/>
      <c r="G2413" s="30"/>
    </row>
    <row r="2414" spans="2:15" s="3" customFormat="1" hidden="1" outlineLevel="1" x14ac:dyDescent="0.25">
      <c r="B2414" s="28" t="s">
        <v>448</v>
      </c>
      <c r="C2414" s="29" t="s">
        <v>1837</v>
      </c>
      <c r="D2414" s="29" t="s">
        <v>1489</v>
      </c>
      <c r="E2414" s="29">
        <v>0</v>
      </c>
      <c r="F2414" s="29"/>
      <c r="G2414" s="30"/>
    </row>
    <row r="2415" spans="2:15" s="3" customFormat="1" hidden="1" outlineLevel="1" x14ac:dyDescent="0.25">
      <c r="B2415" s="28" t="s">
        <v>449</v>
      </c>
      <c r="C2415" s="29" t="s">
        <v>1838</v>
      </c>
      <c r="D2415" s="29" t="s">
        <v>1489</v>
      </c>
      <c r="E2415" s="29">
        <v>0</v>
      </c>
      <c r="F2415" s="29"/>
      <c r="G2415" s="30"/>
    </row>
    <row r="2416" spans="2:15" s="3" customFormat="1" hidden="1" outlineLevel="1" x14ac:dyDescent="0.25">
      <c r="B2416" s="28" t="s">
        <v>450</v>
      </c>
      <c r="C2416" s="29" t="s">
        <v>1839</v>
      </c>
      <c r="D2416" s="29" t="s">
        <v>1489</v>
      </c>
      <c r="E2416" s="29">
        <v>0</v>
      </c>
      <c r="F2416" s="29"/>
      <c r="G2416" s="30"/>
    </row>
    <row r="2417" spans="1:27" s="3" customFormat="1" hidden="1" outlineLevel="1" x14ac:dyDescent="0.25">
      <c r="B2417" s="28" t="s">
        <v>223</v>
      </c>
      <c r="C2417" s="29" t="s">
        <v>1674</v>
      </c>
      <c r="D2417" s="29" t="s">
        <v>1494</v>
      </c>
      <c r="E2417" s="29">
        <v>0</v>
      </c>
      <c r="F2417" s="29" t="s">
        <v>1470</v>
      </c>
      <c r="G2417" s="30"/>
      <c r="J2417" s="3" t="s">
        <v>20</v>
      </c>
      <c r="K2417" s="3" t="s">
        <v>445</v>
      </c>
      <c r="L2417" s="3" t="s">
        <v>446</v>
      </c>
      <c r="M2417" s="3" t="s">
        <v>446</v>
      </c>
      <c r="N2417" s="3">
        <v>2892</v>
      </c>
      <c r="O2417" s="3">
        <v>18</v>
      </c>
    </row>
    <row r="2418" spans="1:27" s="3" customFormat="1" hidden="1" outlineLevel="1" x14ac:dyDescent="0.25">
      <c r="B2418" s="28" t="s">
        <v>451</v>
      </c>
      <c r="C2418" s="29" t="s">
        <v>1840</v>
      </c>
      <c r="D2418" s="29" t="s">
        <v>1489</v>
      </c>
      <c r="E2418" s="29">
        <v>0</v>
      </c>
      <c r="F2418" s="29" t="s">
        <v>1470</v>
      </c>
      <c r="G2418" s="30"/>
    </row>
    <row r="2419" spans="1:27" s="3" customFormat="1" hidden="1" outlineLevel="1" x14ac:dyDescent="0.25">
      <c r="B2419" s="28" t="s">
        <v>224</v>
      </c>
      <c r="C2419" s="29" t="s">
        <v>1675</v>
      </c>
      <c r="D2419" s="29" t="s">
        <v>1469</v>
      </c>
      <c r="E2419" s="29">
        <v>0</v>
      </c>
      <c r="F2419" s="29" t="s">
        <v>1476</v>
      </c>
      <c r="G2419" s="30"/>
      <c r="J2419" s="3" t="s">
        <v>10</v>
      </c>
      <c r="K2419" s="3" t="s">
        <v>173</v>
      </c>
      <c r="L2419" s="3" t="s">
        <v>436</v>
      </c>
      <c r="M2419" s="3" t="s">
        <v>9</v>
      </c>
      <c r="N2419" s="3">
        <v>2018</v>
      </c>
      <c r="O2419" s="3">
        <v>32</v>
      </c>
    </row>
    <row r="2420" spans="1:27" s="3" customFormat="1" hidden="1" outlineLevel="1" x14ac:dyDescent="0.25">
      <c r="B2420" s="28" t="s">
        <v>437</v>
      </c>
      <c r="C2420" s="23" t="s">
        <v>1830</v>
      </c>
      <c r="D2420" s="23" t="s">
        <v>1616</v>
      </c>
      <c r="E2420" s="23" t="s">
        <v>1594</v>
      </c>
      <c r="F2420" s="23" t="s">
        <v>1476</v>
      </c>
      <c r="G2420" s="24"/>
      <c r="J2420" s="3" t="s">
        <v>187</v>
      </c>
      <c r="K2420" s="3" t="s">
        <v>438</v>
      </c>
      <c r="L2420" s="3" t="s">
        <v>439</v>
      </c>
      <c r="M2420" s="3" t="s">
        <v>187</v>
      </c>
      <c r="N2420" s="3">
        <v>1443</v>
      </c>
      <c r="O2420" s="3">
        <v>2</v>
      </c>
    </row>
    <row r="2421" spans="1:27" s="3" customFormat="1" hidden="1" outlineLevel="1" x14ac:dyDescent="0.25">
      <c r="B2421" s="185" t="s">
        <v>194</v>
      </c>
      <c r="C2421" s="23" t="s">
        <v>1618</v>
      </c>
      <c r="D2421" s="23" t="s">
        <v>1469</v>
      </c>
      <c r="E2421" s="23">
        <v>0</v>
      </c>
      <c r="F2421" s="23"/>
      <c r="G2421" s="24" t="s">
        <v>1619</v>
      </c>
      <c r="J2421" s="3" t="s">
        <v>10</v>
      </c>
      <c r="K2421" s="3" t="s">
        <v>173</v>
      </c>
      <c r="L2421" s="3" t="s">
        <v>436</v>
      </c>
      <c r="M2421" s="3" t="s">
        <v>9</v>
      </c>
      <c r="N2421" s="3">
        <v>3169</v>
      </c>
      <c r="O2421" s="3">
        <v>32</v>
      </c>
    </row>
    <row r="2422" spans="1:27" s="3" customFormat="1" hidden="1" outlineLevel="1" x14ac:dyDescent="0.25">
      <c r="B2422" s="28" t="s">
        <v>195</v>
      </c>
      <c r="C2422" s="29" t="s">
        <v>1620</v>
      </c>
      <c r="D2422" s="29" t="s">
        <v>1469</v>
      </c>
      <c r="E2422" s="29">
        <v>0</v>
      </c>
      <c r="F2422" s="29"/>
      <c r="G2422" s="30" t="s">
        <v>1621</v>
      </c>
      <c r="J2422" s="3" t="s">
        <v>10</v>
      </c>
      <c r="K2422" s="3" t="s">
        <v>173</v>
      </c>
      <c r="L2422" s="3" t="s">
        <v>436</v>
      </c>
      <c r="M2422" s="3" t="s">
        <v>9</v>
      </c>
      <c r="N2422" s="3">
        <v>3168</v>
      </c>
      <c r="O2422" s="3">
        <v>32</v>
      </c>
    </row>
    <row r="2423" spans="1:27" s="3" customFormat="1" hidden="1" outlineLevel="1" x14ac:dyDescent="0.25">
      <c r="B2423" s="28" t="s">
        <v>452</v>
      </c>
      <c r="C2423" s="29" t="s">
        <v>1841</v>
      </c>
      <c r="D2423" s="29" t="s">
        <v>1469</v>
      </c>
      <c r="E2423" s="29">
        <v>1</v>
      </c>
      <c r="F2423" s="29"/>
      <c r="G2423" s="30"/>
    </row>
    <row r="2424" spans="1:27" s="3" customFormat="1" hidden="1" outlineLevel="1" x14ac:dyDescent="0.25">
      <c r="B2424" s="28" t="s">
        <v>454</v>
      </c>
      <c r="C2424" s="29" t="s">
        <v>1842</v>
      </c>
      <c r="D2424" s="29" t="s">
        <v>1567</v>
      </c>
      <c r="E2424" s="29">
        <v>0</v>
      </c>
      <c r="F2424" s="29" t="s">
        <v>1470</v>
      </c>
      <c r="G2424" s="30" t="s">
        <v>1843</v>
      </c>
    </row>
    <row r="2425" spans="1:27" s="3" customFormat="1" hidden="1" outlineLevel="1" x14ac:dyDescent="0.25">
      <c r="B2425" s="28" t="s">
        <v>443</v>
      </c>
      <c r="C2425" s="29" t="s">
        <v>1834</v>
      </c>
      <c r="D2425" s="29" t="s">
        <v>1632</v>
      </c>
      <c r="E2425" s="29" t="s">
        <v>1594</v>
      </c>
      <c r="F2425" s="29"/>
      <c r="G2425" s="30"/>
    </row>
    <row r="2426" spans="1:27" s="3" customFormat="1" hidden="1" outlineLevel="1" x14ac:dyDescent="0.25">
      <c r="B2426" s="217" t="s">
        <v>455</v>
      </c>
      <c r="C2426" s="29" t="s">
        <v>1844</v>
      </c>
      <c r="D2426" s="29" t="s">
        <v>1486</v>
      </c>
      <c r="E2426" s="29">
        <v>0</v>
      </c>
      <c r="F2426" s="29" t="s">
        <v>1470</v>
      </c>
      <c r="G2426" s="30"/>
    </row>
    <row r="2427" spans="1:27" s="3" customFormat="1" hidden="1" outlineLevel="1" x14ac:dyDescent="0.25">
      <c r="B2427" s="217" t="s">
        <v>456</v>
      </c>
      <c r="C2427" s="29" t="s">
        <v>1845</v>
      </c>
      <c r="D2427" s="29" t="s">
        <v>1489</v>
      </c>
      <c r="E2427" s="29">
        <v>0</v>
      </c>
      <c r="F2427" s="29" t="s">
        <v>1470</v>
      </c>
      <c r="G2427" s="30"/>
    </row>
    <row r="2428" spans="1:27" s="3" customFormat="1" ht="16.2" hidden="1" outlineLevel="1" thickBot="1" x14ac:dyDescent="0.3">
      <c r="B2428" s="116"/>
      <c r="C2428" s="117"/>
      <c r="D2428" s="117"/>
      <c r="E2428" s="117"/>
      <c r="F2428" s="117"/>
      <c r="G2428" s="105" t="s">
        <v>457</v>
      </c>
    </row>
    <row r="2429" spans="1:27" s="3" customFormat="1" hidden="1" outlineLevel="1" x14ac:dyDescent="0.25">
      <c r="B2429" s="395" t="s">
        <v>29</v>
      </c>
      <c r="C2429" s="396"/>
      <c r="D2429" s="396"/>
      <c r="E2429" s="396"/>
      <c r="F2429" s="396"/>
      <c r="G2429" s="397"/>
    </row>
    <row r="2430" spans="1:27" s="3" customFormat="1" hidden="1" outlineLevel="1" x14ac:dyDescent="0.25">
      <c r="B2430" s="125"/>
      <c r="C2430" s="117"/>
      <c r="D2430" s="117"/>
      <c r="E2430" s="117"/>
      <c r="F2430" s="117"/>
      <c r="G2430" s="105"/>
    </row>
    <row r="2431" spans="1:27" s="3" customFormat="1" hidden="1" outlineLevel="1" x14ac:dyDescent="0.25">
      <c r="B2431" s="316"/>
      <c r="C2431" s="117"/>
      <c r="D2431" s="117"/>
      <c r="E2431" s="117"/>
      <c r="F2431" s="117"/>
      <c r="G2431" s="105"/>
    </row>
    <row r="2432" spans="1:27" s="7" customFormat="1" ht="16.5" hidden="1" customHeight="1" outlineLevel="1" x14ac:dyDescent="0.25">
      <c r="A2432" s="14"/>
      <c r="B2432" s="308" t="s">
        <v>559</v>
      </c>
      <c r="C2432" s="309"/>
      <c r="D2432" s="309"/>
      <c r="E2432" s="309"/>
      <c r="F2432" s="309"/>
      <c r="G2432" s="310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T2432" s="14"/>
      <c r="U2432" s="14"/>
      <c r="V2432" s="14"/>
      <c r="W2432" s="14"/>
      <c r="X2432" s="14"/>
      <c r="Y2432" s="14"/>
      <c r="Z2432" s="14"/>
      <c r="AA2432" s="14"/>
    </row>
    <row r="2433" spans="1:27" s="7" customFormat="1" ht="17.399999999999999" hidden="1" customHeight="1" outlineLevel="1" thickBot="1" x14ac:dyDescent="0.3">
      <c r="A2433" s="14"/>
      <c r="B2433" s="305" t="s">
        <v>560</v>
      </c>
      <c r="C2433" s="306"/>
      <c r="D2433" s="306"/>
      <c r="E2433" s="306"/>
      <c r="F2433" s="306"/>
      <c r="G2433" s="307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T2433" s="14"/>
      <c r="U2433" s="14"/>
      <c r="V2433" s="14"/>
      <c r="W2433" s="14"/>
      <c r="X2433" s="14"/>
      <c r="Y2433" s="14"/>
      <c r="Z2433" s="14"/>
      <c r="AA2433" s="14"/>
    </row>
    <row r="2434" spans="1:27" s="7" customFormat="1" ht="16.5" hidden="1" customHeight="1" outlineLevel="1" x14ac:dyDescent="0.25">
      <c r="A2434" s="14"/>
      <c r="B2434" s="308" t="s">
        <v>561</v>
      </c>
      <c r="C2434" s="309"/>
      <c r="D2434" s="309"/>
      <c r="E2434" s="309"/>
      <c r="F2434" s="309"/>
      <c r="G2434" s="310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T2434" s="14"/>
      <c r="U2434" s="14"/>
      <c r="V2434" s="14"/>
      <c r="W2434" s="14"/>
      <c r="X2434" s="14"/>
      <c r="Y2434" s="14"/>
      <c r="Z2434" s="14"/>
      <c r="AA2434" s="14"/>
    </row>
    <row r="2435" spans="1:27" s="3" customFormat="1" hidden="1" outlineLevel="1" x14ac:dyDescent="0.25">
      <c r="A2435" s="14"/>
      <c r="B2435" s="28"/>
      <c r="C2435" s="29"/>
      <c r="D2435" s="29"/>
      <c r="E2435" s="29"/>
      <c r="F2435" s="29"/>
      <c r="G2435" s="30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T2435" s="14"/>
      <c r="U2435" s="14"/>
      <c r="V2435" s="14"/>
      <c r="W2435" s="14"/>
      <c r="X2435" s="14"/>
      <c r="Y2435" s="14"/>
      <c r="Z2435" s="14"/>
      <c r="AA2435" s="14"/>
    </row>
    <row r="2436" spans="1:27" s="3" customFormat="1" hidden="1" outlineLevel="1" x14ac:dyDescent="0.25">
      <c r="B2436" s="116"/>
      <c r="C2436" s="117"/>
      <c r="D2436" s="117"/>
      <c r="E2436" s="117"/>
      <c r="F2436" s="117"/>
      <c r="G2436" s="105" t="s">
        <v>457</v>
      </c>
    </row>
    <row r="2437" spans="1:27" s="3" customFormat="1" hidden="1" outlineLevel="1" x14ac:dyDescent="0.25">
      <c r="B2437" s="116"/>
      <c r="C2437" s="274"/>
      <c r="D2437" s="274"/>
      <c r="E2437" s="274"/>
      <c r="F2437" s="274"/>
      <c r="G2437" s="275"/>
    </row>
    <row r="2438" spans="1:27" s="3" customFormat="1" hidden="1" outlineLevel="1" x14ac:dyDescent="0.25">
      <c r="B2438" s="83" t="s">
        <v>675</v>
      </c>
      <c r="C2438" s="274"/>
      <c r="D2438" s="274"/>
      <c r="E2438" s="274"/>
      <c r="F2438" s="274"/>
      <c r="G2438" s="376" t="s">
        <v>2454</v>
      </c>
    </row>
    <row r="2439" spans="1:27" s="3" customFormat="1" hidden="1" outlineLevel="1" x14ac:dyDescent="0.25">
      <c r="B2439" s="83"/>
      <c r="C2439" s="274"/>
      <c r="D2439" s="274"/>
      <c r="E2439" s="274"/>
      <c r="F2439" s="274"/>
      <c r="G2439" s="275"/>
    </row>
    <row r="2440" spans="1:27" s="3" customFormat="1" hidden="1" outlineLevel="1" x14ac:dyDescent="0.25"/>
    <row r="2441" spans="1:27" ht="16.2" hidden="1" outlineLevel="1" thickBot="1" x14ac:dyDescent="0.3"/>
    <row r="2442" spans="1:27" s="3" customFormat="1" ht="16.2" collapsed="1" thickBot="1" x14ac:dyDescent="0.3">
      <c r="B2442" s="15" t="s">
        <v>1279</v>
      </c>
      <c r="C2442" s="16" t="s">
        <v>2032</v>
      </c>
      <c r="D2442" s="17" t="s">
        <v>1281</v>
      </c>
      <c r="E2442" s="29" t="s">
        <v>676</v>
      </c>
      <c r="F2442" s="17" t="s">
        <v>1282</v>
      </c>
      <c r="G2442" s="192" t="s">
        <v>2033</v>
      </c>
    </row>
    <row r="2443" spans="1:27" s="3" customFormat="1" hidden="1" outlineLevel="1" x14ac:dyDescent="0.25">
      <c r="B2443" s="179" t="s">
        <v>1284</v>
      </c>
      <c r="C2443" s="29" t="s">
        <v>1285</v>
      </c>
      <c r="D2443" s="180" t="s">
        <v>1286</v>
      </c>
      <c r="E2443" s="29" t="s">
        <v>2034</v>
      </c>
      <c r="F2443" s="180" t="s">
        <v>1288</v>
      </c>
      <c r="G2443" s="30"/>
    </row>
    <row r="2444" spans="1:27" s="3" customFormat="1" ht="16.2" hidden="1" outlineLevel="1" thickBot="1" x14ac:dyDescent="0.3">
      <c r="B2444" s="19" t="s">
        <v>1290</v>
      </c>
      <c r="C2444" s="23" t="s">
        <v>1291</v>
      </c>
      <c r="D2444" s="21" t="s">
        <v>1292</v>
      </c>
      <c r="E2444" s="23">
        <v>5</v>
      </c>
      <c r="F2444" s="21" t="s">
        <v>1293</v>
      </c>
      <c r="G2444" s="24" t="s">
        <v>1294</v>
      </c>
    </row>
    <row r="2445" spans="1:27" s="3" customFormat="1" hidden="1" outlineLevel="1" x14ac:dyDescent="0.25">
      <c r="B2445" s="395" t="s">
        <v>1</v>
      </c>
      <c r="C2445" s="396"/>
      <c r="D2445" s="396"/>
      <c r="E2445" s="396"/>
      <c r="F2445" s="396"/>
      <c r="G2445" s="397"/>
    </row>
    <row r="2446" spans="1:27" s="3" customFormat="1" hidden="1" outlineLevel="1" x14ac:dyDescent="0.25">
      <c r="B2446" s="179" t="s">
        <v>2</v>
      </c>
      <c r="C2446" s="180" t="s">
        <v>3</v>
      </c>
      <c r="D2446" s="180" t="s">
        <v>4</v>
      </c>
      <c r="E2446" s="180" t="s">
        <v>5</v>
      </c>
      <c r="F2446" s="180"/>
      <c r="G2446" s="181" t="s">
        <v>6</v>
      </c>
    </row>
    <row r="2447" spans="1:27" s="3" customFormat="1" hidden="1" outlineLevel="1" x14ac:dyDescent="0.25">
      <c r="B2447" s="28" t="s">
        <v>15</v>
      </c>
      <c r="C2447" s="29" t="s">
        <v>1478</v>
      </c>
      <c r="D2447" s="29" t="s">
        <v>1469</v>
      </c>
      <c r="E2447" s="29">
        <v>0</v>
      </c>
      <c r="F2447" s="29" t="s">
        <v>1470</v>
      </c>
      <c r="G2447" s="30"/>
      <c r="J2447" s="3" t="s">
        <v>10</v>
      </c>
      <c r="N2447" s="3">
        <v>2430</v>
      </c>
    </row>
    <row r="2448" spans="1:27" s="11" customFormat="1" hidden="1" outlineLevel="1" x14ac:dyDescent="0.25">
      <c r="A2448" s="278"/>
      <c r="B2448" s="260" t="s">
        <v>159</v>
      </c>
      <c r="C2448" s="279" t="s">
        <v>1592</v>
      </c>
      <c r="D2448" s="262" t="s">
        <v>1593</v>
      </c>
      <c r="E2448" s="262" t="s">
        <v>1594</v>
      </c>
      <c r="F2448" s="262" t="s">
        <v>1470</v>
      </c>
      <c r="G2448" s="263" t="s">
        <v>1595</v>
      </c>
      <c r="H2448" s="12"/>
      <c r="I2448" s="12"/>
      <c r="J2448" s="12"/>
      <c r="K2448" s="12"/>
      <c r="L2448" s="12"/>
      <c r="M2448" s="12"/>
    </row>
    <row r="2449" spans="1:15" s="3" customFormat="1" hidden="1" outlineLevel="1" x14ac:dyDescent="0.25">
      <c r="B2449" s="28" t="s">
        <v>14</v>
      </c>
      <c r="C2449" s="29" t="s">
        <v>1475</v>
      </c>
      <c r="D2449" s="29" t="s">
        <v>1469</v>
      </c>
      <c r="E2449" s="29">
        <v>0</v>
      </c>
      <c r="F2449" s="29" t="s">
        <v>1476</v>
      </c>
      <c r="G2449" s="30" t="s">
        <v>1477</v>
      </c>
    </row>
    <row r="2450" spans="1:15" s="3" customFormat="1" hidden="1" outlineLevel="1" x14ac:dyDescent="0.25">
      <c r="B2450" s="28" t="s">
        <v>87</v>
      </c>
      <c r="C2450" s="29" t="s">
        <v>1535</v>
      </c>
      <c r="D2450" s="29" t="s">
        <v>1469</v>
      </c>
      <c r="E2450" s="29">
        <v>0</v>
      </c>
      <c r="F2450" s="29" t="s">
        <v>1476</v>
      </c>
      <c r="G2450" s="30"/>
      <c r="J2450" s="3" t="s">
        <v>10</v>
      </c>
      <c r="N2450" s="3">
        <v>2433</v>
      </c>
    </row>
    <row r="2451" spans="1:15" s="3" customFormat="1" hidden="1" outlineLevel="1" x14ac:dyDescent="0.25">
      <c r="B2451" s="185" t="s">
        <v>329</v>
      </c>
      <c r="C2451" s="23" t="s">
        <v>1747</v>
      </c>
      <c r="D2451" s="23" t="s">
        <v>1469</v>
      </c>
      <c r="E2451" s="23">
        <v>0</v>
      </c>
      <c r="F2451" s="23" t="s">
        <v>1476</v>
      </c>
      <c r="G2451" s="24" t="s">
        <v>1748</v>
      </c>
    </row>
    <row r="2452" spans="1:15" s="3" customFormat="1" hidden="1" outlineLevel="1" x14ac:dyDescent="0.25">
      <c r="A2452" s="5"/>
      <c r="B2452" s="31" t="s">
        <v>162</v>
      </c>
      <c r="C2452" s="20" t="s">
        <v>1589</v>
      </c>
      <c r="D2452" s="20" t="s">
        <v>1469</v>
      </c>
      <c r="E2452" s="20">
        <v>0</v>
      </c>
      <c r="F2452" s="20"/>
      <c r="G2452" s="22" t="s">
        <v>1590</v>
      </c>
    </row>
    <row r="2453" spans="1:15" s="3" customFormat="1" hidden="1" outlineLevel="1" x14ac:dyDescent="0.25">
      <c r="A2453" s="5"/>
      <c r="B2453" s="31" t="s">
        <v>163</v>
      </c>
      <c r="C2453" s="20" t="s">
        <v>1591</v>
      </c>
      <c r="D2453" s="20" t="s">
        <v>1469</v>
      </c>
      <c r="E2453" s="20">
        <v>0</v>
      </c>
      <c r="F2453" s="20"/>
      <c r="G2453" s="22" t="s">
        <v>1590</v>
      </c>
    </row>
    <row r="2454" spans="1:15" s="3" customFormat="1" hidden="1" outlineLevel="1" x14ac:dyDescent="0.25">
      <c r="B2454" s="28" t="s">
        <v>128</v>
      </c>
      <c r="C2454" s="29" t="s">
        <v>1566</v>
      </c>
      <c r="D2454" s="29" t="s">
        <v>1567</v>
      </c>
      <c r="E2454" s="29">
        <v>0</v>
      </c>
      <c r="F2454" s="29" t="s">
        <v>1470</v>
      </c>
      <c r="G2454" s="30"/>
      <c r="J2454" s="3" t="s">
        <v>12</v>
      </c>
      <c r="N2454" s="3">
        <v>1629</v>
      </c>
    </row>
    <row r="2455" spans="1:15" s="3" customFormat="1" hidden="1" outlineLevel="1" x14ac:dyDescent="0.25">
      <c r="B2455" s="28" t="s">
        <v>114</v>
      </c>
      <c r="C2455" s="29" t="s">
        <v>1557</v>
      </c>
      <c r="D2455" s="29" t="s">
        <v>1469</v>
      </c>
      <c r="E2455" s="29">
        <v>-1</v>
      </c>
      <c r="F2455" s="29" t="s">
        <v>1470</v>
      </c>
      <c r="G2455" s="30"/>
      <c r="J2455" s="3" t="s">
        <v>10</v>
      </c>
      <c r="N2455" s="3">
        <v>2449</v>
      </c>
    </row>
    <row r="2456" spans="1:15" s="3" customFormat="1" ht="16.2" hidden="1" outlineLevel="1" thickBot="1" x14ac:dyDescent="0.3">
      <c r="B2456" s="163"/>
      <c r="C2456" s="164"/>
      <c r="D2456" s="164"/>
      <c r="E2456" s="164"/>
      <c r="F2456" s="164"/>
      <c r="G2456" s="165"/>
    </row>
    <row r="2457" spans="1:15" s="3" customFormat="1" hidden="1" outlineLevel="1" x14ac:dyDescent="0.25">
      <c r="B2457" s="398" t="s">
        <v>18</v>
      </c>
      <c r="C2457" s="399"/>
      <c r="D2457" s="399"/>
      <c r="E2457" s="399"/>
      <c r="F2457" s="399"/>
      <c r="G2457" s="400"/>
    </row>
    <row r="2458" spans="1:15" s="3" customFormat="1" hidden="1" outlineLevel="1" x14ac:dyDescent="0.25">
      <c r="B2458" s="179" t="s">
        <v>2</v>
      </c>
      <c r="C2458" s="180" t="s">
        <v>3</v>
      </c>
      <c r="D2458" s="180" t="s">
        <v>4</v>
      </c>
      <c r="E2458" s="180" t="s">
        <v>5</v>
      </c>
      <c r="F2458" s="180"/>
      <c r="G2458" s="181" t="s">
        <v>6</v>
      </c>
    </row>
    <row r="2459" spans="1:15" s="3" customFormat="1" hidden="1" outlineLevel="1" x14ac:dyDescent="0.25">
      <c r="B2459" s="185" t="s">
        <v>128</v>
      </c>
      <c r="C2459" s="23" t="s">
        <v>1566</v>
      </c>
      <c r="D2459" s="23" t="s">
        <v>1567</v>
      </c>
      <c r="E2459" s="23">
        <v>0</v>
      </c>
      <c r="F2459" s="23" t="s">
        <v>1470</v>
      </c>
      <c r="G2459" s="24"/>
      <c r="J2459" s="3" t="s">
        <v>12</v>
      </c>
      <c r="K2459" s="3" t="s">
        <v>174</v>
      </c>
      <c r="L2459" s="3" t="s">
        <v>314</v>
      </c>
      <c r="M2459" s="3" t="s">
        <v>176</v>
      </c>
      <c r="N2459" s="3">
        <v>1866</v>
      </c>
      <c r="O2459" s="3">
        <v>64</v>
      </c>
    </row>
    <row r="2460" spans="1:15" s="11" customFormat="1" hidden="1" outlineLevel="1" x14ac:dyDescent="0.25">
      <c r="A2460" s="278"/>
      <c r="B2460" s="260" t="s">
        <v>15</v>
      </c>
      <c r="C2460" s="279" t="s">
        <v>1478</v>
      </c>
      <c r="D2460" s="262" t="s">
        <v>1469</v>
      </c>
      <c r="E2460" s="262">
        <v>0</v>
      </c>
      <c r="F2460" s="262" t="s">
        <v>1470</v>
      </c>
      <c r="G2460" s="263"/>
      <c r="H2460" s="12"/>
      <c r="I2460" s="12"/>
      <c r="J2460" s="12"/>
      <c r="K2460" s="12"/>
      <c r="L2460" s="12"/>
      <c r="M2460" s="12"/>
    </row>
    <row r="2461" spans="1:15" s="11" customFormat="1" hidden="1" outlineLevel="1" x14ac:dyDescent="0.25">
      <c r="A2461" s="278"/>
      <c r="B2461" s="260" t="s">
        <v>14</v>
      </c>
      <c r="C2461" s="279" t="s">
        <v>1475</v>
      </c>
      <c r="D2461" s="262" t="s">
        <v>1469</v>
      </c>
      <c r="E2461" s="262">
        <v>0</v>
      </c>
      <c r="F2461" s="262" t="s">
        <v>1476</v>
      </c>
      <c r="G2461" s="263" t="s">
        <v>1477</v>
      </c>
      <c r="H2461" s="12"/>
      <c r="I2461" s="12"/>
      <c r="J2461" s="12"/>
      <c r="K2461" s="12"/>
      <c r="L2461" s="12"/>
      <c r="M2461" s="12"/>
    </row>
    <row r="2462" spans="1:15" s="11" customFormat="1" hidden="1" outlineLevel="1" x14ac:dyDescent="0.25">
      <c r="A2462" s="278"/>
      <c r="B2462" s="260" t="s">
        <v>159</v>
      </c>
      <c r="C2462" s="279" t="s">
        <v>1592</v>
      </c>
      <c r="D2462" s="262" t="s">
        <v>1593</v>
      </c>
      <c r="E2462" s="262" t="s">
        <v>1594</v>
      </c>
      <c r="F2462" s="262" t="s">
        <v>1470</v>
      </c>
      <c r="G2462" s="263" t="s">
        <v>1595</v>
      </c>
      <c r="H2462" s="12"/>
      <c r="I2462" s="12"/>
      <c r="J2462" s="12"/>
      <c r="K2462" s="12"/>
      <c r="L2462" s="12"/>
      <c r="M2462" s="12"/>
    </row>
    <row r="2463" spans="1:15" s="11" customFormat="1" hidden="1" outlineLevel="1" x14ac:dyDescent="0.25">
      <c r="A2463" s="278"/>
      <c r="B2463" s="260" t="s">
        <v>161</v>
      </c>
      <c r="C2463" s="279" t="s">
        <v>1846</v>
      </c>
      <c r="D2463" s="262" t="s">
        <v>1652</v>
      </c>
      <c r="E2463" s="262" t="s">
        <v>1594</v>
      </c>
      <c r="F2463" s="262" t="s">
        <v>1470</v>
      </c>
      <c r="G2463" s="263"/>
      <c r="H2463" s="12"/>
      <c r="I2463" s="12"/>
      <c r="J2463" s="12"/>
      <c r="K2463" s="12"/>
      <c r="L2463" s="12"/>
      <c r="M2463" s="12"/>
    </row>
    <row r="2464" spans="1:15" s="12" customFormat="1" hidden="1" outlineLevel="1" x14ac:dyDescent="0.25">
      <c r="A2464" s="278"/>
      <c r="B2464" s="201" t="s">
        <v>87</v>
      </c>
      <c r="C2464" s="107" t="s">
        <v>1535</v>
      </c>
      <c r="D2464" s="107" t="s">
        <v>1469</v>
      </c>
      <c r="E2464" s="107">
        <v>0</v>
      </c>
      <c r="F2464" s="107" t="s">
        <v>1476</v>
      </c>
      <c r="G2464" s="108"/>
      <c r="H2464" s="273" t="str">
        <f>"ifnull("&amp;IF(I2464&lt;&gt;"",I2464,IF(F2465&lt;&gt;"",F2465,"t")&amp;"."&amp;C2465)&amp;","&amp;E2465&amp;") as "&amp;C2465&amp;",/*"&amp;B2465&amp;"*/"</f>
        <v>ifnull(select.asset_type,0) as asset_type,/*资产类型*/</v>
      </c>
    </row>
    <row r="2465" spans="1:13" s="12" customFormat="1" hidden="1" outlineLevel="1" x14ac:dyDescent="0.25">
      <c r="A2465" s="278"/>
      <c r="B2465" s="201" t="s">
        <v>329</v>
      </c>
      <c r="C2465" s="107" t="s">
        <v>1747</v>
      </c>
      <c r="D2465" s="107" t="s">
        <v>1469</v>
      </c>
      <c r="E2465" s="107">
        <v>0</v>
      </c>
      <c r="F2465" s="107" t="s">
        <v>1476</v>
      </c>
      <c r="G2465" s="108" t="s">
        <v>1748</v>
      </c>
      <c r="H2465" s="273" t="str">
        <f>"ifnull("&amp;IF(I2465&lt;&gt;"",I2465,IF(F2466&lt;&gt;"",F2466,"t")&amp;"."&amp;C2466)&amp;","&amp;E2466&amp;") as "&amp;C2466&amp;",/*"&amp;B2466&amp;"*/"</f>
        <v>ifnull(input.up_limit_price,0) as up_limit_price,/*涨停价*/</v>
      </c>
    </row>
    <row r="2466" spans="1:13" s="6" customFormat="1" hidden="1" outlineLevel="1" x14ac:dyDescent="0.25">
      <c r="A2466" s="278"/>
      <c r="B2466" s="260" t="s">
        <v>460</v>
      </c>
      <c r="C2466" s="262" t="s">
        <v>1847</v>
      </c>
      <c r="D2466" s="262" t="s">
        <v>1539</v>
      </c>
      <c r="E2466" s="262">
        <v>0</v>
      </c>
      <c r="F2466" s="262" t="s">
        <v>1470</v>
      </c>
      <c r="G2466" s="263"/>
      <c r="H2466" s="3"/>
      <c r="I2466" s="3"/>
      <c r="J2466" s="3"/>
      <c r="K2466" s="3"/>
      <c r="L2466" s="3"/>
      <c r="M2466" s="3"/>
    </row>
    <row r="2467" spans="1:13" s="6" customFormat="1" hidden="1" outlineLevel="1" x14ac:dyDescent="0.25">
      <c r="A2467" s="278"/>
      <c r="B2467" s="260" t="s">
        <v>461</v>
      </c>
      <c r="C2467" s="262" t="s">
        <v>1848</v>
      </c>
      <c r="D2467" s="262" t="s">
        <v>1539</v>
      </c>
      <c r="E2467" s="262">
        <v>0</v>
      </c>
      <c r="F2467" s="262" t="s">
        <v>1470</v>
      </c>
      <c r="G2467" s="263"/>
      <c r="H2467" s="3"/>
      <c r="I2467" s="3"/>
      <c r="J2467" s="3"/>
      <c r="K2467" s="3"/>
      <c r="L2467" s="3"/>
      <c r="M2467" s="3"/>
    </row>
    <row r="2468" spans="1:13" s="6" customFormat="1" hidden="1" outlineLevel="1" x14ac:dyDescent="0.25">
      <c r="A2468" s="278"/>
      <c r="B2468" s="260" t="s">
        <v>115</v>
      </c>
      <c r="C2468" s="262" t="s">
        <v>1558</v>
      </c>
      <c r="D2468" s="262" t="s">
        <v>1539</v>
      </c>
      <c r="E2468" s="262">
        <v>0</v>
      </c>
      <c r="F2468" s="262" t="s">
        <v>1470</v>
      </c>
      <c r="G2468" s="263"/>
      <c r="H2468" s="3"/>
      <c r="I2468" s="3"/>
      <c r="J2468" s="3"/>
      <c r="K2468" s="3"/>
      <c r="L2468" s="3"/>
      <c r="M2468" s="3"/>
    </row>
    <row r="2469" spans="1:13" s="6" customFormat="1" hidden="1" outlineLevel="1" x14ac:dyDescent="0.25">
      <c r="A2469" s="278"/>
      <c r="B2469" s="260" t="s">
        <v>327</v>
      </c>
      <c r="C2469" s="262" t="s">
        <v>1745</v>
      </c>
      <c r="D2469" s="262" t="s">
        <v>1539</v>
      </c>
      <c r="E2469" s="262">
        <v>0</v>
      </c>
      <c r="F2469" s="262" t="s">
        <v>1470</v>
      </c>
      <c r="G2469" s="263"/>
      <c r="H2469" s="3"/>
      <c r="I2469" s="3"/>
      <c r="J2469" s="3"/>
      <c r="K2469" s="3"/>
      <c r="L2469" s="3"/>
      <c r="M2469" s="3"/>
    </row>
    <row r="2470" spans="1:13" s="6" customFormat="1" hidden="1" outlineLevel="1" x14ac:dyDescent="0.25">
      <c r="A2470" s="278"/>
      <c r="B2470" s="260" t="s">
        <v>462</v>
      </c>
      <c r="C2470" s="262" t="s">
        <v>1849</v>
      </c>
      <c r="D2470" s="262" t="s">
        <v>1539</v>
      </c>
      <c r="E2470" s="262">
        <v>0</v>
      </c>
      <c r="F2470" s="262" t="s">
        <v>1470</v>
      </c>
      <c r="G2470" s="263"/>
      <c r="H2470" s="3"/>
      <c r="I2470" s="3"/>
      <c r="J2470" s="3"/>
      <c r="K2470" s="3"/>
      <c r="L2470" s="3"/>
      <c r="M2470" s="3"/>
    </row>
    <row r="2471" spans="1:13" s="6" customFormat="1" hidden="1" outlineLevel="1" x14ac:dyDescent="0.25">
      <c r="A2471" s="278"/>
      <c r="B2471" s="260" t="s">
        <v>91</v>
      </c>
      <c r="C2471" s="262" t="s">
        <v>1541</v>
      </c>
      <c r="D2471" s="262" t="s">
        <v>1539</v>
      </c>
      <c r="E2471" s="262">
        <v>0</v>
      </c>
      <c r="F2471" s="262" t="s">
        <v>1470</v>
      </c>
      <c r="G2471" s="263"/>
      <c r="H2471" s="3"/>
      <c r="I2471" s="3"/>
      <c r="J2471" s="3"/>
      <c r="K2471" s="3"/>
      <c r="L2471" s="3"/>
      <c r="M2471" s="3"/>
    </row>
    <row r="2472" spans="1:13" s="6" customFormat="1" hidden="1" outlineLevel="1" x14ac:dyDescent="0.25">
      <c r="A2472" s="278"/>
      <c r="B2472" s="260" t="s">
        <v>463</v>
      </c>
      <c r="C2472" s="262" t="s">
        <v>1850</v>
      </c>
      <c r="D2472" s="262" t="s">
        <v>1539</v>
      </c>
      <c r="E2472" s="262">
        <v>0</v>
      </c>
      <c r="F2472" s="262" t="s">
        <v>1470</v>
      </c>
      <c r="G2472" s="263"/>
      <c r="H2472" s="3"/>
      <c r="I2472" s="3"/>
      <c r="J2472" s="3"/>
      <c r="K2472" s="3"/>
      <c r="L2472" s="3"/>
      <c r="M2472" s="3"/>
    </row>
    <row r="2473" spans="1:13" s="6" customFormat="1" hidden="1" outlineLevel="1" x14ac:dyDescent="0.25">
      <c r="A2473" s="278"/>
      <c r="B2473" s="260" t="s">
        <v>464</v>
      </c>
      <c r="C2473" s="262" t="s">
        <v>1851</v>
      </c>
      <c r="D2473" s="262" t="s">
        <v>1539</v>
      </c>
      <c r="E2473" s="262">
        <v>0</v>
      </c>
      <c r="F2473" s="262" t="s">
        <v>1470</v>
      </c>
      <c r="G2473" s="263"/>
      <c r="H2473" s="3"/>
      <c r="I2473" s="3"/>
      <c r="J2473" s="3"/>
      <c r="K2473" s="3"/>
      <c r="L2473" s="3"/>
      <c r="M2473" s="3"/>
    </row>
    <row r="2474" spans="1:13" s="6" customFormat="1" hidden="1" outlineLevel="1" x14ac:dyDescent="0.25">
      <c r="A2474" s="278"/>
      <c r="B2474" s="280" t="s">
        <v>465</v>
      </c>
      <c r="C2474" s="262" t="s">
        <v>1852</v>
      </c>
      <c r="D2474" s="262" t="s">
        <v>1539</v>
      </c>
      <c r="E2474" s="262">
        <v>0</v>
      </c>
      <c r="F2474" s="262" t="s">
        <v>1470</v>
      </c>
      <c r="G2474" s="263"/>
      <c r="H2474" s="3"/>
      <c r="I2474" s="3"/>
      <c r="J2474" s="3"/>
      <c r="K2474" s="3"/>
      <c r="L2474" s="3"/>
      <c r="M2474" s="3"/>
    </row>
    <row r="2475" spans="1:13" s="6" customFormat="1" hidden="1" outlineLevel="1" x14ac:dyDescent="0.25">
      <c r="A2475" s="278"/>
      <c r="B2475" s="280" t="s">
        <v>466</v>
      </c>
      <c r="C2475" s="262" t="s">
        <v>1853</v>
      </c>
      <c r="D2475" s="262" t="s">
        <v>1486</v>
      </c>
      <c r="E2475" s="262">
        <v>0</v>
      </c>
      <c r="F2475" s="262" t="s">
        <v>1470</v>
      </c>
      <c r="G2475" s="263"/>
      <c r="H2475" s="3"/>
      <c r="I2475" s="3"/>
      <c r="J2475" s="3"/>
      <c r="K2475" s="3"/>
      <c r="L2475" s="3"/>
      <c r="M2475" s="3"/>
    </row>
    <row r="2476" spans="1:13" s="6" customFormat="1" hidden="1" outlineLevel="1" x14ac:dyDescent="0.25">
      <c r="A2476" s="278"/>
      <c r="B2476" s="280" t="s">
        <v>467</v>
      </c>
      <c r="C2476" s="262" t="s">
        <v>1854</v>
      </c>
      <c r="D2476" s="262" t="s">
        <v>1539</v>
      </c>
      <c r="E2476" s="262">
        <v>0</v>
      </c>
      <c r="F2476" s="262" t="s">
        <v>1470</v>
      </c>
      <c r="G2476" s="263"/>
      <c r="H2476" s="3"/>
      <c r="I2476" s="3"/>
      <c r="J2476" s="3"/>
      <c r="K2476" s="3"/>
      <c r="L2476" s="3"/>
      <c r="M2476" s="3"/>
    </row>
    <row r="2477" spans="1:13" s="6" customFormat="1" hidden="1" outlineLevel="1" x14ac:dyDescent="0.25">
      <c r="A2477" s="278"/>
      <c r="B2477" s="280" t="s">
        <v>468</v>
      </c>
      <c r="C2477" s="262" t="s">
        <v>1855</v>
      </c>
      <c r="D2477" s="262" t="s">
        <v>1486</v>
      </c>
      <c r="E2477" s="262">
        <v>0</v>
      </c>
      <c r="F2477" s="262" t="s">
        <v>1470</v>
      </c>
      <c r="G2477" s="263"/>
      <c r="H2477" s="3"/>
      <c r="I2477" s="3"/>
      <c r="J2477" s="3"/>
      <c r="K2477" s="3"/>
      <c r="L2477" s="3"/>
      <c r="M2477" s="3"/>
    </row>
    <row r="2478" spans="1:13" s="6" customFormat="1" hidden="1" outlineLevel="1" x14ac:dyDescent="0.25">
      <c r="A2478" s="278"/>
      <c r="B2478" s="280" t="s">
        <v>469</v>
      </c>
      <c r="C2478" s="262" t="s">
        <v>1856</v>
      </c>
      <c r="D2478" s="262" t="s">
        <v>1539</v>
      </c>
      <c r="E2478" s="262">
        <v>0</v>
      </c>
      <c r="F2478" s="262" t="s">
        <v>1470</v>
      </c>
      <c r="G2478" s="263"/>
      <c r="H2478" s="3"/>
      <c r="I2478" s="3"/>
      <c r="J2478" s="3"/>
      <c r="K2478" s="3"/>
      <c r="L2478" s="3"/>
      <c r="M2478" s="3"/>
    </row>
    <row r="2479" spans="1:13" s="6" customFormat="1" hidden="1" outlineLevel="1" x14ac:dyDescent="0.25">
      <c r="A2479" s="278"/>
      <c r="B2479" s="280" t="s">
        <v>470</v>
      </c>
      <c r="C2479" s="262" t="s">
        <v>1857</v>
      </c>
      <c r="D2479" s="262" t="s">
        <v>1486</v>
      </c>
      <c r="E2479" s="262">
        <v>0</v>
      </c>
      <c r="F2479" s="262" t="s">
        <v>1470</v>
      </c>
      <c r="G2479" s="263"/>
      <c r="H2479" s="3"/>
      <c r="I2479" s="3"/>
      <c r="J2479" s="3"/>
      <c r="K2479" s="3"/>
      <c r="L2479" s="3"/>
      <c r="M2479" s="3"/>
    </row>
    <row r="2480" spans="1:13" s="6" customFormat="1" hidden="1" outlineLevel="1" x14ac:dyDescent="0.25">
      <c r="A2480" s="278"/>
      <c r="B2480" s="280" t="s">
        <v>471</v>
      </c>
      <c r="C2480" s="262" t="s">
        <v>1858</v>
      </c>
      <c r="D2480" s="262" t="s">
        <v>1539</v>
      </c>
      <c r="E2480" s="262">
        <v>0</v>
      </c>
      <c r="F2480" s="262" t="s">
        <v>1470</v>
      </c>
      <c r="G2480" s="263"/>
      <c r="H2480" s="3"/>
      <c r="I2480" s="3"/>
      <c r="J2480" s="3"/>
      <c r="K2480" s="3"/>
      <c r="L2480" s="3"/>
      <c r="M2480" s="3"/>
    </row>
    <row r="2481" spans="1:13" s="6" customFormat="1" hidden="1" outlineLevel="1" x14ac:dyDescent="0.25">
      <c r="A2481" s="278"/>
      <c r="B2481" s="280" t="s">
        <v>472</v>
      </c>
      <c r="C2481" s="262" t="s">
        <v>1859</v>
      </c>
      <c r="D2481" s="262" t="s">
        <v>1486</v>
      </c>
      <c r="E2481" s="262">
        <v>0</v>
      </c>
      <c r="F2481" s="262" t="s">
        <v>1470</v>
      </c>
      <c r="G2481" s="263"/>
      <c r="H2481" s="3"/>
      <c r="I2481" s="3"/>
      <c r="J2481" s="3"/>
      <c r="K2481" s="3"/>
      <c r="L2481" s="3"/>
      <c r="M2481" s="3"/>
    </row>
    <row r="2482" spans="1:13" s="6" customFormat="1" hidden="1" outlineLevel="1" x14ac:dyDescent="0.25">
      <c r="A2482" s="278"/>
      <c r="B2482" s="280" t="s">
        <v>473</v>
      </c>
      <c r="C2482" s="262" t="s">
        <v>1860</v>
      </c>
      <c r="D2482" s="262" t="s">
        <v>1539</v>
      </c>
      <c r="E2482" s="262">
        <v>0</v>
      </c>
      <c r="F2482" s="262" t="s">
        <v>1470</v>
      </c>
      <c r="G2482" s="263"/>
      <c r="H2482" s="3"/>
      <c r="I2482" s="3"/>
      <c r="J2482" s="3"/>
      <c r="K2482" s="3"/>
      <c r="L2482" s="3"/>
      <c r="M2482" s="3"/>
    </row>
    <row r="2483" spans="1:13" s="6" customFormat="1" hidden="1" outlineLevel="1" x14ac:dyDescent="0.25">
      <c r="A2483" s="278"/>
      <c r="B2483" s="280" t="s">
        <v>474</v>
      </c>
      <c r="C2483" s="262" t="s">
        <v>1861</v>
      </c>
      <c r="D2483" s="262" t="s">
        <v>1486</v>
      </c>
      <c r="E2483" s="262">
        <v>0</v>
      </c>
      <c r="F2483" s="262" t="s">
        <v>1470</v>
      </c>
      <c r="G2483" s="263"/>
      <c r="H2483" s="3"/>
      <c r="I2483" s="3"/>
      <c r="J2483" s="3"/>
      <c r="K2483" s="3"/>
      <c r="L2483" s="3"/>
      <c r="M2483" s="3"/>
    </row>
    <row r="2484" spans="1:13" s="6" customFormat="1" hidden="1" outlineLevel="1" x14ac:dyDescent="0.25">
      <c r="A2484" s="278"/>
      <c r="B2484" s="280" t="s">
        <v>475</v>
      </c>
      <c r="C2484" s="262" t="s">
        <v>1862</v>
      </c>
      <c r="D2484" s="262" t="s">
        <v>1539</v>
      </c>
      <c r="E2484" s="262">
        <v>0</v>
      </c>
      <c r="F2484" s="262" t="s">
        <v>1470</v>
      </c>
      <c r="G2484" s="263"/>
      <c r="H2484" s="3"/>
      <c r="I2484" s="3"/>
      <c r="J2484" s="3"/>
      <c r="K2484" s="3"/>
      <c r="L2484" s="3"/>
      <c r="M2484" s="3"/>
    </row>
    <row r="2485" spans="1:13" s="6" customFormat="1" hidden="1" outlineLevel="1" x14ac:dyDescent="0.25">
      <c r="A2485" s="278"/>
      <c r="B2485" s="280" t="s">
        <v>476</v>
      </c>
      <c r="C2485" s="262" t="s">
        <v>1863</v>
      </c>
      <c r="D2485" s="262" t="s">
        <v>1486</v>
      </c>
      <c r="E2485" s="262">
        <v>0</v>
      </c>
      <c r="F2485" s="262" t="s">
        <v>1470</v>
      </c>
      <c r="G2485" s="263"/>
      <c r="H2485" s="3"/>
      <c r="I2485" s="3"/>
      <c r="J2485" s="3"/>
      <c r="K2485" s="3"/>
      <c r="L2485" s="3"/>
      <c r="M2485" s="3"/>
    </row>
    <row r="2486" spans="1:13" s="6" customFormat="1" hidden="1" outlineLevel="1" x14ac:dyDescent="0.25">
      <c r="A2486" s="278"/>
      <c r="B2486" s="280" t="s">
        <v>477</v>
      </c>
      <c r="C2486" s="262" t="s">
        <v>1864</v>
      </c>
      <c r="D2486" s="262" t="s">
        <v>1539</v>
      </c>
      <c r="E2486" s="262">
        <v>0</v>
      </c>
      <c r="F2486" s="262" t="s">
        <v>1470</v>
      </c>
      <c r="G2486" s="263"/>
      <c r="H2486" s="3"/>
      <c r="I2486" s="3"/>
      <c r="J2486" s="3"/>
      <c r="K2486" s="3"/>
      <c r="L2486" s="3"/>
      <c r="M2486" s="3"/>
    </row>
    <row r="2487" spans="1:13" s="6" customFormat="1" hidden="1" outlineLevel="1" x14ac:dyDescent="0.25">
      <c r="A2487" s="278"/>
      <c r="B2487" s="280" t="s">
        <v>478</v>
      </c>
      <c r="C2487" s="262" t="s">
        <v>1865</v>
      </c>
      <c r="D2487" s="262" t="s">
        <v>1486</v>
      </c>
      <c r="E2487" s="262">
        <v>0</v>
      </c>
      <c r="F2487" s="262" t="s">
        <v>1470</v>
      </c>
      <c r="G2487" s="263"/>
      <c r="H2487" s="3"/>
      <c r="I2487" s="3"/>
      <c r="J2487" s="3"/>
      <c r="K2487" s="3"/>
      <c r="L2487" s="3"/>
      <c r="M2487" s="3"/>
    </row>
    <row r="2488" spans="1:13" s="6" customFormat="1" hidden="1" outlineLevel="1" x14ac:dyDescent="0.25">
      <c r="A2488" s="278"/>
      <c r="B2488" s="280" t="s">
        <v>479</v>
      </c>
      <c r="C2488" s="262" t="s">
        <v>1866</v>
      </c>
      <c r="D2488" s="262" t="s">
        <v>1539</v>
      </c>
      <c r="E2488" s="262">
        <v>0</v>
      </c>
      <c r="F2488" s="262" t="s">
        <v>1470</v>
      </c>
      <c r="G2488" s="263"/>
      <c r="H2488" s="3"/>
      <c r="I2488" s="3"/>
      <c r="J2488" s="3"/>
      <c r="K2488" s="3"/>
      <c r="L2488" s="3"/>
      <c r="M2488" s="3"/>
    </row>
    <row r="2489" spans="1:13" s="6" customFormat="1" hidden="1" outlineLevel="1" x14ac:dyDescent="0.25">
      <c r="A2489" s="278"/>
      <c r="B2489" s="280" t="s">
        <v>480</v>
      </c>
      <c r="C2489" s="262" t="s">
        <v>1867</v>
      </c>
      <c r="D2489" s="262" t="s">
        <v>1486</v>
      </c>
      <c r="E2489" s="262">
        <v>0</v>
      </c>
      <c r="F2489" s="262" t="s">
        <v>1470</v>
      </c>
      <c r="G2489" s="263"/>
      <c r="H2489" s="3"/>
      <c r="I2489" s="3"/>
      <c r="J2489" s="3"/>
      <c r="K2489" s="3"/>
      <c r="L2489" s="3"/>
      <c r="M2489" s="3"/>
    </row>
    <row r="2490" spans="1:13" s="6" customFormat="1" hidden="1" outlineLevel="1" x14ac:dyDescent="0.25">
      <c r="A2490" s="278"/>
      <c r="B2490" s="280" t="s">
        <v>481</v>
      </c>
      <c r="C2490" s="262" t="s">
        <v>1868</v>
      </c>
      <c r="D2490" s="262" t="s">
        <v>1539</v>
      </c>
      <c r="E2490" s="262">
        <v>0</v>
      </c>
      <c r="F2490" s="262" t="s">
        <v>1470</v>
      </c>
      <c r="G2490" s="263"/>
      <c r="H2490" s="3"/>
      <c r="I2490" s="3"/>
      <c r="J2490" s="3"/>
      <c r="K2490" s="3"/>
      <c r="L2490" s="3"/>
      <c r="M2490" s="3"/>
    </row>
    <row r="2491" spans="1:13" s="6" customFormat="1" hidden="1" outlineLevel="1" x14ac:dyDescent="0.25">
      <c r="A2491" s="278"/>
      <c r="B2491" s="280" t="s">
        <v>482</v>
      </c>
      <c r="C2491" s="262" t="s">
        <v>1869</v>
      </c>
      <c r="D2491" s="262" t="s">
        <v>1486</v>
      </c>
      <c r="E2491" s="262">
        <v>0</v>
      </c>
      <c r="F2491" s="262" t="s">
        <v>1470</v>
      </c>
      <c r="G2491" s="263"/>
      <c r="H2491" s="3"/>
      <c r="I2491" s="3"/>
      <c r="J2491" s="3"/>
      <c r="K2491" s="3"/>
      <c r="L2491" s="3"/>
      <c r="M2491" s="3"/>
    </row>
    <row r="2492" spans="1:13" s="6" customFormat="1" hidden="1" outlineLevel="1" x14ac:dyDescent="0.25">
      <c r="A2492" s="278"/>
      <c r="B2492" s="280" t="s">
        <v>483</v>
      </c>
      <c r="C2492" s="262" t="s">
        <v>1870</v>
      </c>
      <c r="D2492" s="262" t="s">
        <v>1539</v>
      </c>
      <c r="E2492" s="262">
        <v>0</v>
      </c>
      <c r="F2492" s="262" t="s">
        <v>1470</v>
      </c>
      <c r="G2492" s="263"/>
      <c r="H2492" s="3"/>
      <c r="I2492" s="3"/>
      <c r="J2492" s="3"/>
      <c r="K2492" s="3"/>
      <c r="L2492" s="3"/>
      <c r="M2492" s="3"/>
    </row>
    <row r="2493" spans="1:13" s="6" customFormat="1" hidden="1" outlineLevel="1" x14ac:dyDescent="0.25">
      <c r="A2493" s="278"/>
      <c r="B2493" s="280" t="s">
        <v>484</v>
      </c>
      <c r="C2493" s="262" t="s">
        <v>1871</v>
      </c>
      <c r="D2493" s="262" t="s">
        <v>1486</v>
      </c>
      <c r="E2493" s="262">
        <v>0</v>
      </c>
      <c r="F2493" s="262" t="s">
        <v>1470</v>
      </c>
      <c r="G2493" s="263"/>
      <c r="H2493" s="3"/>
      <c r="I2493" s="3"/>
      <c r="J2493" s="3"/>
      <c r="K2493" s="3"/>
      <c r="L2493" s="3"/>
      <c r="M2493" s="3"/>
    </row>
    <row r="2494" spans="1:13" s="6" customFormat="1" hidden="1" outlineLevel="1" x14ac:dyDescent="0.25">
      <c r="A2494" s="278"/>
      <c r="B2494" s="260" t="s">
        <v>212</v>
      </c>
      <c r="C2494" s="262" t="s">
        <v>1654</v>
      </c>
      <c r="D2494" s="262" t="s">
        <v>1486</v>
      </c>
      <c r="E2494" s="262">
        <v>0</v>
      </c>
      <c r="F2494" s="262" t="s">
        <v>1470</v>
      </c>
      <c r="G2494" s="263" t="s">
        <v>1655</v>
      </c>
      <c r="H2494" s="3"/>
      <c r="I2494" s="3"/>
      <c r="J2494" s="3"/>
      <c r="K2494" s="3"/>
      <c r="L2494" s="3"/>
      <c r="M2494" s="3"/>
    </row>
    <row r="2495" spans="1:13" s="6" customFormat="1" hidden="1" outlineLevel="1" x14ac:dyDescent="0.25">
      <c r="A2495" s="278"/>
      <c r="B2495" s="260" t="s">
        <v>213</v>
      </c>
      <c r="C2495" s="262" t="s">
        <v>1656</v>
      </c>
      <c r="D2495" s="262" t="s">
        <v>1489</v>
      </c>
      <c r="E2495" s="262">
        <v>0</v>
      </c>
      <c r="F2495" s="262" t="s">
        <v>1470</v>
      </c>
      <c r="G2495" s="263" t="s">
        <v>1657</v>
      </c>
      <c r="H2495" s="3"/>
      <c r="I2495" s="3"/>
      <c r="J2495" s="3"/>
      <c r="K2495" s="3"/>
      <c r="L2495" s="3"/>
      <c r="M2495" s="3"/>
    </row>
    <row r="2496" spans="1:13" s="6" customFormat="1" hidden="1" outlineLevel="1" x14ac:dyDescent="0.25">
      <c r="A2496" s="278"/>
      <c r="B2496" s="260" t="s">
        <v>485</v>
      </c>
      <c r="C2496" s="262" t="s">
        <v>1872</v>
      </c>
      <c r="D2496" s="262" t="s">
        <v>1494</v>
      </c>
      <c r="E2496" s="262">
        <v>0</v>
      </c>
      <c r="F2496" s="262" t="s">
        <v>1470</v>
      </c>
      <c r="G2496" s="263"/>
      <c r="H2496" s="3"/>
      <c r="I2496" s="3"/>
      <c r="J2496" s="3"/>
      <c r="K2496" s="3"/>
      <c r="L2496" s="3"/>
      <c r="M2496" s="3"/>
    </row>
    <row r="2497" spans="1:27" s="12" customFormat="1" hidden="1" outlineLevel="1" x14ac:dyDescent="0.25">
      <c r="A2497" s="278"/>
      <c r="B2497" s="260" t="s">
        <v>486</v>
      </c>
      <c r="C2497" s="262" t="s">
        <v>1873</v>
      </c>
      <c r="D2497" s="262" t="s">
        <v>1469</v>
      </c>
      <c r="E2497" s="262" t="s">
        <v>1874</v>
      </c>
      <c r="F2497" s="262"/>
      <c r="G2497" s="263"/>
    </row>
    <row r="2498" spans="1:27" s="3" customFormat="1" ht="16.2" hidden="1" outlineLevel="1" thickBot="1" x14ac:dyDescent="0.3">
      <c r="B2498" s="116"/>
      <c r="C2498" s="117"/>
      <c r="D2498" s="117"/>
      <c r="E2498" s="117"/>
      <c r="F2498" s="117"/>
      <c r="G2498" s="105" t="s">
        <v>677</v>
      </c>
    </row>
    <row r="2499" spans="1:27" s="3" customFormat="1" hidden="1" outlineLevel="1" x14ac:dyDescent="0.25">
      <c r="B2499" s="395" t="s">
        <v>29</v>
      </c>
      <c r="C2499" s="396"/>
      <c r="D2499" s="396"/>
      <c r="E2499" s="396"/>
      <c r="F2499" s="396"/>
      <c r="G2499" s="397"/>
    </row>
    <row r="2500" spans="1:27" s="3" customFormat="1" hidden="1" outlineLevel="1" x14ac:dyDescent="0.25">
      <c r="B2500" s="125"/>
      <c r="C2500" s="117"/>
      <c r="D2500" s="117"/>
      <c r="E2500" s="117"/>
      <c r="F2500" s="117"/>
      <c r="G2500" s="105"/>
    </row>
    <row r="2501" spans="1:27" s="3" customFormat="1" hidden="1" outlineLevel="1" x14ac:dyDescent="0.25">
      <c r="B2501" s="316"/>
      <c r="C2501" s="117"/>
      <c r="D2501" s="117"/>
      <c r="E2501" s="117"/>
      <c r="F2501" s="117"/>
      <c r="G2501" s="105"/>
    </row>
    <row r="2502" spans="1:27" s="7" customFormat="1" ht="16.5" hidden="1" customHeight="1" outlineLevel="1" x14ac:dyDescent="0.25">
      <c r="A2502" s="14"/>
      <c r="B2502" s="308" t="s">
        <v>559</v>
      </c>
      <c r="C2502" s="309"/>
      <c r="D2502" s="309"/>
      <c r="E2502" s="309"/>
      <c r="F2502" s="309"/>
      <c r="G2502" s="310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4"/>
      <c r="AA2502" s="14"/>
    </row>
    <row r="2503" spans="1:27" s="7" customFormat="1" ht="17.399999999999999" hidden="1" customHeight="1" outlineLevel="1" thickBot="1" x14ac:dyDescent="0.3">
      <c r="A2503" s="14"/>
      <c r="B2503" s="305" t="s">
        <v>560</v>
      </c>
      <c r="C2503" s="306"/>
      <c r="D2503" s="306"/>
      <c r="E2503" s="306"/>
      <c r="F2503" s="306"/>
      <c r="G2503" s="307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4"/>
      <c r="U2503" s="14"/>
      <c r="V2503" s="14"/>
      <c r="W2503" s="14"/>
      <c r="X2503" s="14"/>
      <c r="Y2503" s="14"/>
      <c r="Z2503" s="14"/>
      <c r="AA2503" s="14"/>
    </row>
    <row r="2504" spans="1:27" s="7" customFormat="1" ht="16.5" hidden="1" customHeight="1" outlineLevel="1" x14ac:dyDescent="0.25">
      <c r="A2504" s="14"/>
      <c r="B2504" s="308" t="s">
        <v>561</v>
      </c>
      <c r="C2504" s="309"/>
      <c r="D2504" s="309"/>
      <c r="E2504" s="309"/>
      <c r="F2504" s="309"/>
      <c r="G2504" s="310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  <c r="AA2504" s="14"/>
    </row>
    <row r="2505" spans="1:27" s="3" customFormat="1" hidden="1" outlineLevel="1" x14ac:dyDescent="0.25">
      <c r="A2505" s="14"/>
      <c r="B2505" s="28"/>
      <c r="C2505" s="29"/>
      <c r="D2505" s="29"/>
      <c r="E2505" s="29"/>
      <c r="F2505" s="29"/>
      <c r="G2505" s="30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4"/>
      <c r="AA2505" s="14"/>
    </row>
    <row r="2506" spans="1:27" s="3" customFormat="1" hidden="1" outlineLevel="1" x14ac:dyDescent="0.25">
      <c r="B2506" s="116"/>
      <c r="C2506" s="117"/>
      <c r="D2506" s="117"/>
      <c r="E2506" s="117"/>
      <c r="F2506" s="117"/>
      <c r="G2506" s="105" t="s">
        <v>677</v>
      </c>
    </row>
    <row r="2507" spans="1:27" s="3" customFormat="1" hidden="1" outlineLevel="1" x14ac:dyDescent="0.25">
      <c r="B2507" s="116"/>
      <c r="C2507" s="274"/>
      <c r="D2507" s="274"/>
      <c r="E2507" s="274"/>
      <c r="F2507" s="274"/>
      <c r="G2507" s="275"/>
    </row>
    <row r="2508" spans="1:27" s="3" customFormat="1" hidden="1" outlineLevel="1" x14ac:dyDescent="0.25">
      <c r="B2508" s="83" t="s">
        <v>678</v>
      </c>
      <c r="C2508" s="274"/>
      <c r="D2508" s="274"/>
      <c r="E2508" s="274"/>
      <c r="F2508" s="274"/>
      <c r="G2508" s="376" t="s">
        <v>2455</v>
      </c>
    </row>
    <row r="2509" spans="1:27" s="3" customFormat="1" hidden="1" outlineLevel="1" x14ac:dyDescent="0.25">
      <c r="B2509" s="83"/>
      <c r="C2509" s="274"/>
      <c r="D2509" s="274"/>
      <c r="E2509" s="274"/>
      <c r="F2509" s="274"/>
      <c r="G2509" s="275"/>
    </row>
    <row r="2510" spans="1:27" s="3" customFormat="1" hidden="1" outlineLevel="1" x14ac:dyDescent="0.25"/>
    <row r="2511" spans="1:27" ht="16.2" hidden="1" outlineLevel="1" thickBot="1" x14ac:dyDescent="0.3"/>
    <row r="2512" spans="1:27" s="3" customFormat="1" ht="16.2" collapsed="1" thickBot="1" x14ac:dyDescent="0.3">
      <c r="B2512" s="15" t="s">
        <v>1279</v>
      </c>
      <c r="C2512" s="16" t="s">
        <v>2035</v>
      </c>
      <c r="D2512" s="17" t="s">
        <v>1281</v>
      </c>
      <c r="E2512" s="29" t="s">
        <v>679</v>
      </c>
      <c r="F2512" s="17" t="s">
        <v>1282</v>
      </c>
      <c r="G2512" s="192" t="s">
        <v>2036</v>
      </c>
    </row>
    <row r="2513" spans="1:14" s="3" customFormat="1" hidden="1" outlineLevel="1" x14ac:dyDescent="0.25">
      <c r="B2513" s="179" t="s">
        <v>1284</v>
      </c>
      <c r="C2513" s="29" t="s">
        <v>1285</v>
      </c>
      <c r="D2513" s="180" t="s">
        <v>1286</v>
      </c>
      <c r="E2513" s="29" t="s">
        <v>2037</v>
      </c>
      <c r="F2513" s="180" t="s">
        <v>1288</v>
      </c>
      <c r="G2513" s="30"/>
    </row>
    <row r="2514" spans="1:14" s="3" customFormat="1" ht="16.2" hidden="1" outlineLevel="1" thickBot="1" x14ac:dyDescent="0.3">
      <c r="B2514" s="19" t="s">
        <v>1290</v>
      </c>
      <c r="C2514" s="23" t="s">
        <v>1291</v>
      </c>
      <c r="D2514" s="21" t="s">
        <v>1292</v>
      </c>
      <c r="E2514" s="23">
        <v>5</v>
      </c>
      <c r="F2514" s="21" t="s">
        <v>1293</v>
      </c>
      <c r="G2514" s="24" t="s">
        <v>1294</v>
      </c>
    </row>
    <row r="2515" spans="1:14" s="3" customFormat="1" hidden="1" outlineLevel="1" x14ac:dyDescent="0.25">
      <c r="B2515" s="395" t="s">
        <v>1</v>
      </c>
      <c r="C2515" s="396"/>
      <c r="D2515" s="396"/>
      <c r="E2515" s="396"/>
      <c r="F2515" s="396"/>
      <c r="G2515" s="397"/>
    </row>
    <row r="2516" spans="1:14" s="3" customFormat="1" hidden="1" outlineLevel="1" x14ac:dyDescent="0.25">
      <c r="B2516" s="179" t="s">
        <v>2</v>
      </c>
      <c r="C2516" s="180" t="s">
        <v>3</v>
      </c>
      <c r="D2516" s="180" t="s">
        <v>4</v>
      </c>
      <c r="E2516" s="180" t="s">
        <v>5</v>
      </c>
      <c r="F2516" s="180"/>
      <c r="G2516" s="181" t="s">
        <v>6</v>
      </c>
    </row>
    <row r="2517" spans="1:14" s="3" customFormat="1" hidden="1" outlineLevel="1" x14ac:dyDescent="0.25">
      <c r="B2517" s="29" t="s">
        <v>112</v>
      </c>
      <c r="C2517" s="29" t="s">
        <v>1555</v>
      </c>
      <c r="D2517" s="29" t="s">
        <v>1469</v>
      </c>
      <c r="E2517" s="29">
        <v>0</v>
      </c>
      <c r="F2517" s="29" t="s">
        <v>1470</v>
      </c>
      <c r="G2517" s="30" t="s">
        <v>1556</v>
      </c>
    </row>
    <row r="2518" spans="1:14" s="3" customFormat="1" hidden="1" outlineLevel="1" x14ac:dyDescent="0.25">
      <c r="B2518" s="29" t="s">
        <v>7</v>
      </c>
      <c r="C2518" s="29" t="s">
        <v>1468</v>
      </c>
      <c r="D2518" s="29" t="s">
        <v>1469</v>
      </c>
      <c r="E2518" s="29">
        <v>0</v>
      </c>
      <c r="F2518" s="29" t="s">
        <v>1470</v>
      </c>
      <c r="G2518" s="30" t="s">
        <v>1471</v>
      </c>
    </row>
    <row r="2519" spans="1:14" s="3" customFormat="1" hidden="1" outlineLevel="1" x14ac:dyDescent="0.25">
      <c r="B2519" s="28" t="s">
        <v>15</v>
      </c>
      <c r="C2519" s="29" t="s">
        <v>1478</v>
      </c>
      <c r="D2519" s="29" t="s">
        <v>1469</v>
      </c>
      <c r="E2519" s="29">
        <v>0</v>
      </c>
      <c r="F2519" s="29" t="s">
        <v>1470</v>
      </c>
      <c r="G2519" s="30"/>
      <c r="J2519" s="3" t="s">
        <v>10</v>
      </c>
      <c r="N2519" s="3">
        <v>2430</v>
      </c>
    </row>
    <row r="2520" spans="1:14" s="11" customFormat="1" hidden="1" outlineLevel="1" x14ac:dyDescent="0.25">
      <c r="A2520" s="278"/>
      <c r="B2520" s="260" t="s">
        <v>159</v>
      </c>
      <c r="C2520" s="279" t="s">
        <v>1592</v>
      </c>
      <c r="D2520" s="262" t="s">
        <v>1593</v>
      </c>
      <c r="E2520" s="262" t="s">
        <v>1594</v>
      </c>
      <c r="F2520" s="262" t="s">
        <v>1470</v>
      </c>
      <c r="G2520" s="263" t="s">
        <v>1595</v>
      </c>
      <c r="H2520" s="12"/>
      <c r="I2520" s="12"/>
      <c r="J2520" s="12"/>
      <c r="K2520" s="12"/>
      <c r="L2520" s="12"/>
      <c r="M2520" s="12"/>
    </row>
    <row r="2521" spans="1:14" s="3" customFormat="1" hidden="1" outlineLevel="1" x14ac:dyDescent="0.25">
      <c r="B2521" s="28" t="s">
        <v>14</v>
      </c>
      <c r="C2521" s="29" t="s">
        <v>1475</v>
      </c>
      <c r="D2521" s="29" t="s">
        <v>1469</v>
      </c>
      <c r="E2521" s="29">
        <v>0</v>
      </c>
      <c r="F2521" s="29" t="s">
        <v>1476</v>
      </c>
      <c r="G2521" s="30" t="s">
        <v>1477</v>
      </c>
    </row>
    <row r="2522" spans="1:14" s="3" customFormat="1" hidden="1" outlineLevel="1" x14ac:dyDescent="0.25">
      <c r="B2522" s="28" t="s">
        <v>87</v>
      </c>
      <c r="C2522" s="29" t="s">
        <v>1535</v>
      </c>
      <c r="D2522" s="29" t="s">
        <v>1469</v>
      </c>
      <c r="E2522" s="29">
        <v>0</v>
      </c>
      <c r="F2522" s="29" t="s">
        <v>1476</v>
      </c>
      <c r="G2522" s="30"/>
      <c r="J2522" s="3" t="s">
        <v>10</v>
      </c>
      <c r="N2522" s="3">
        <v>2433</v>
      </c>
    </row>
    <row r="2523" spans="1:14" s="3" customFormat="1" hidden="1" outlineLevel="1" x14ac:dyDescent="0.25">
      <c r="B2523" s="185" t="s">
        <v>329</v>
      </c>
      <c r="C2523" s="23" t="s">
        <v>1747</v>
      </c>
      <c r="D2523" s="23" t="s">
        <v>1469</v>
      </c>
      <c r="E2523" s="23">
        <v>0</v>
      </c>
      <c r="F2523" s="23" t="s">
        <v>1476</v>
      </c>
      <c r="G2523" s="24" t="s">
        <v>1748</v>
      </c>
    </row>
    <row r="2524" spans="1:14" s="3" customFormat="1" hidden="1" outlineLevel="1" x14ac:dyDescent="0.25">
      <c r="A2524" s="5"/>
      <c r="B2524" s="31" t="s">
        <v>162</v>
      </c>
      <c r="C2524" s="20" t="s">
        <v>1589</v>
      </c>
      <c r="D2524" s="20" t="s">
        <v>1469</v>
      </c>
      <c r="E2524" s="20">
        <v>0</v>
      </c>
      <c r="F2524" s="20"/>
      <c r="G2524" s="22" t="s">
        <v>1590</v>
      </c>
    </row>
    <row r="2525" spans="1:14" s="3" customFormat="1" hidden="1" outlineLevel="1" x14ac:dyDescent="0.25">
      <c r="A2525" s="5"/>
      <c r="B2525" s="31" t="s">
        <v>163</v>
      </c>
      <c r="C2525" s="20" t="s">
        <v>1591</v>
      </c>
      <c r="D2525" s="20" t="s">
        <v>1469</v>
      </c>
      <c r="E2525" s="20">
        <v>0</v>
      </c>
      <c r="F2525" s="20"/>
      <c r="G2525" s="22" t="s">
        <v>1590</v>
      </c>
    </row>
    <row r="2526" spans="1:14" s="3" customFormat="1" hidden="1" outlineLevel="1" x14ac:dyDescent="0.25">
      <c r="B2526" s="28" t="s">
        <v>128</v>
      </c>
      <c r="C2526" s="29" t="s">
        <v>1566</v>
      </c>
      <c r="D2526" s="29" t="s">
        <v>1567</v>
      </c>
      <c r="E2526" s="29">
        <v>0</v>
      </c>
      <c r="F2526" s="29" t="s">
        <v>1470</v>
      </c>
      <c r="G2526" s="30"/>
      <c r="J2526" s="3" t="s">
        <v>12</v>
      </c>
      <c r="N2526" s="3">
        <v>1629</v>
      </c>
    </row>
    <row r="2527" spans="1:14" s="3" customFormat="1" hidden="1" outlineLevel="1" x14ac:dyDescent="0.25">
      <c r="B2527" s="28" t="s">
        <v>114</v>
      </c>
      <c r="C2527" s="29" t="s">
        <v>1557</v>
      </c>
      <c r="D2527" s="29" t="s">
        <v>1469</v>
      </c>
      <c r="E2527" s="29">
        <v>-1</v>
      </c>
      <c r="F2527" s="29" t="s">
        <v>1470</v>
      </c>
      <c r="G2527" s="30"/>
      <c r="J2527" s="3" t="s">
        <v>10</v>
      </c>
      <c r="N2527" s="3">
        <v>2449</v>
      </c>
    </row>
    <row r="2528" spans="1:14" s="3" customFormat="1" ht="16.2" hidden="1" outlineLevel="1" thickBot="1" x14ac:dyDescent="0.3">
      <c r="B2528" s="163"/>
      <c r="C2528" s="164"/>
      <c r="D2528" s="164"/>
      <c r="E2528" s="164"/>
      <c r="F2528" s="164"/>
      <c r="G2528" s="165"/>
    </row>
    <row r="2529" spans="2:15" s="3" customFormat="1" hidden="1" outlineLevel="1" x14ac:dyDescent="0.25">
      <c r="B2529" s="398" t="s">
        <v>18</v>
      </c>
      <c r="C2529" s="399"/>
      <c r="D2529" s="399"/>
      <c r="E2529" s="399"/>
      <c r="F2529" s="399"/>
      <c r="G2529" s="400"/>
    </row>
    <row r="2530" spans="2:15" s="3" customFormat="1" hidden="1" outlineLevel="1" x14ac:dyDescent="0.25">
      <c r="B2530" s="179" t="s">
        <v>2</v>
      </c>
      <c r="C2530" s="180" t="s">
        <v>3</v>
      </c>
      <c r="D2530" s="180" t="s">
        <v>4</v>
      </c>
      <c r="E2530" s="180" t="s">
        <v>5</v>
      </c>
      <c r="F2530" s="180"/>
      <c r="G2530" s="181" t="s">
        <v>6</v>
      </c>
    </row>
    <row r="2531" spans="2:15" s="3" customFormat="1" hidden="1" outlineLevel="1" x14ac:dyDescent="0.25">
      <c r="B2531" s="185" t="s">
        <v>128</v>
      </c>
      <c r="C2531" s="23" t="s">
        <v>1566</v>
      </c>
      <c r="D2531" s="23" t="s">
        <v>1567</v>
      </c>
      <c r="E2531" s="23">
        <v>0</v>
      </c>
      <c r="F2531" s="23" t="s">
        <v>1470</v>
      </c>
      <c r="G2531" s="24"/>
      <c r="J2531" s="3" t="s">
        <v>12</v>
      </c>
      <c r="K2531" s="3" t="s">
        <v>174</v>
      </c>
      <c r="L2531" s="3" t="s">
        <v>314</v>
      </c>
      <c r="M2531" s="3" t="s">
        <v>176</v>
      </c>
      <c r="N2531" s="3">
        <v>1866</v>
      </c>
      <c r="O2531" s="3">
        <v>64</v>
      </c>
    </row>
    <row r="2532" spans="2:15" s="3" customFormat="1" hidden="1" outlineLevel="1" x14ac:dyDescent="0.25">
      <c r="B2532" s="29" t="s">
        <v>16</v>
      </c>
      <c r="C2532" s="29" t="s">
        <v>1479</v>
      </c>
      <c r="D2532" s="29" t="s">
        <v>1469</v>
      </c>
      <c r="E2532" s="29" t="s">
        <v>1480</v>
      </c>
      <c r="F2532" s="29" t="s">
        <v>1481</v>
      </c>
      <c r="G2532" s="30" t="s">
        <v>1482</v>
      </c>
    </row>
    <row r="2533" spans="2:15" s="3" customFormat="1" hidden="1" outlineLevel="1" x14ac:dyDescent="0.25">
      <c r="B2533" s="29" t="s">
        <v>112</v>
      </c>
      <c r="C2533" s="29" t="s">
        <v>1555</v>
      </c>
      <c r="D2533" s="29" t="s">
        <v>1469</v>
      </c>
      <c r="E2533" s="29">
        <v>0</v>
      </c>
      <c r="F2533" s="29" t="s">
        <v>1470</v>
      </c>
      <c r="G2533" s="30" t="s">
        <v>1556</v>
      </c>
    </row>
    <row r="2534" spans="2:15" s="3" customFormat="1" hidden="1" outlineLevel="1" x14ac:dyDescent="0.25">
      <c r="B2534" s="29" t="s">
        <v>7</v>
      </c>
      <c r="C2534" s="29" t="s">
        <v>1468</v>
      </c>
      <c r="D2534" s="29" t="s">
        <v>1469</v>
      </c>
      <c r="E2534" s="29">
        <v>0</v>
      </c>
      <c r="F2534" s="29" t="s">
        <v>1470</v>
      </c>
      <c r="G2534" s="30" t="s">
        <v>1471</v>
      </c>
    </row>
    <row r="2535" spans="2:15" s="3" customFormat="1" hidden="1" outlineLevel="1" x14ac:dyDescent="0.25">
      <c r="B2535" s="201" t="s">
        <v>205</v>
      </c>
      <c r="C2535" s="29" t="s">
        <v>1640</v>
      </c>
      <c r="D2535" s="29" t="s">
        <v>1469</v>
      </c>
      <c r="E2535" s="29">
        <v>0</v>
      </c>
      <c r="F2535" s="29" t="s">
        <v>1476</v>
      </c>
      <c r="G2535" s="30" t="s">
        <v>1641</v>
      </c>
    </row>
    <row r="2536" spans="2:15" s="3" customFormat="1" hidden="1" outlineLevel="1" x14ac:dyDescent="0.25">
      <c r="B2536" s="218" t="s">
        <v>489</v>
      </c>
      <c r="C2536" s="29" t="s">
        <v>1875</v>
      </c>
      <c r="D2536" s="29" t="s">
        <v>1486</v>
      </c>
      <c r="E2536" s="29">
        <v>0</v>
      </c>
      <c r="F2536" s="29"/>
      <c r="G2536" s="30"/>
    </row>
    <row r="2537" spans="2:15" s="3" customFormat="1" hidden="1" outlineLevel="1" x14ac:dyDescent="0.25">
      <c r="B2537" s="218" t="s">
        <v>490</v>
      </c>
      <c r="C2537" s="29" t="s">
        <v>1876</v>
      </c>
      <c r="D2537" s="29" t="s">
        <v>1486</v>
      </c>
      <c r="E2537" s="29">
        <v>0</v>
      </c>
      <c r="F2537" s="29" t="s">
        <v>1470</v>
      </c>
      <c r="G2537" s="30"/>
    </row>
    <row r="2538" spans="2:15" s="3" customFormat="1" hidden="1" outlineLevel="1" x14ac:dyDescent="0.25">
      <c r="B2538" s="218" t="s">
        <v>491</v>
      </c>
      <c r="C2538" s="29" t="s">
        <v>1877</v>
      </c>
      <c r="D2538" s="29" t="s">
        <v>1489</v>
      </c>
      <c r="E2538" s="29">
        <v>0</v>
      </c>
      <c r="F2538" s="29" t="s">
        <v>1470</v>
      </c>
      <c r="G2538" s="30"/>
    </row>
    <row r="2539" spans="2:15" s="3" customFormat="1" hidden="1" outlineLevel="1" x14ac:dyDescent="0.25">
      <c r="B2539" s="201" t="s">
        <v>492</v>
      </c>
      <c r="C2539" s="29" t="s">
        <v>1878</v>
      </c>
      <c r="D2539" s="29" t="s">
        <v>1469</v>
      </c>
      <c r="E2539" s="29">
        <v>0</v>
      </c>
      <c r="F2539" s="29"/>
      <c r="G2539" s="30"/>
    </row>
    <row r="2540" spans="2:15" s="3" customFormat="1" hidden="1" outlineLevel="1" x14ac:dyDescent="0.25">
      <c r="B2540" s="201" t="s">
        <v>207</v>
      </c>
      <c r="C2540" s="29" t="s">
        <v>1644</v>
      </c>
      <c r="D2540" s="29" t="s">
        <v>1486</v>
      </c>
      <c r="E2540" s="29">
        <v>0</v>
      </c>
      <c r="F2540" s="29" t="s">
        <v>1470</v>
      </c>
      <c r="G2540" s="30" t="s">
        <v>1645</v>
      </c>
    </row>
    <row r="2541" spans="2:15" s="3" customFormat="1" hidden="1" outlineLevel="1" x14ac:dyDescent="0.25">
      <c r="B2541" s="201" t="s">
        <v>493</v>
      </c>
      <c r="C2541" s="29" t="s">
        <v>1879</v>
      </c>
      <c r="D2541" s="29" t="s">
        <v>1489</v>
      </c>
      <c r="E2541" s="29">
        <v>0</v>
      </c>
      <c r="F2541" s="29" t="s">
        <v>1470</v>
      </c>
      <c r="G2541" s="30"/>
    </row>
    <row r="2542" spans="2:15" s="3" customFormat="1" hidden="1" outlineLevel="1" x14ac:dyDescent="0.25">
      <c r="B2542" s="281" t="s">
        <v>494</v>
      </c>
      <c r="C2542" s="29" t="s">
        <v>1880</v>
      </c>
      <c r="D2542" s="29" t="s">
        <v>1489</v>
      </c>
      <c r="E2542" s="29">
        <v>0</v>
      </c>
      <c r="F2542" s="29"/>
      <c r="G2542" s="30"/>
    </row>
    <row r="2543" spans="2:15" s="3" customFormat="1" hidden="1" outlineLevel="1" x14ac:dyDescent="0.25">
      <c r="B2543" s="201" t="s">
        <v>495</v>
      </c>
      <c r="C2543" s="29" t="s">
        <v>1881</v>
      </c>
      <c r="D2543" s="29" t="s">
        <v>1469</v>
      </c>
      <c r="E2543" s="29">
        <v>0</v>
      </c>
      <c r="F2543" s="29" t="s">
        <v>1470</v>
      </c>
      <c r="G2543" s="30"/>
    </row>
    <row r="2544" spans="2:15" s="3" customFormat="1" hidden="1" outlineLevel="1" x14ac:dyDescent="0.25">
      <c r="B2544" s="282" t="s">
        <v>212</v>
      </c>
      <c r="C2544" s="29" t="s">
        <v>1654</v>
      </c>
      <c r="D2544" s="29" t="s">
        <v>1486</v>
      </c>
      <c r="E2544" s="29">
        <v>0</v>
      </c>
      <c r="F2544" s="29" t="s">
        <v>1470</v>
      </c>
      <c r="G2544" s="30" t="s">
        <v>1655</v>
      </c>
    </row>
    <row r="2545" spans="1:27" s="3" customFormat="1" hidden="1" outlineLevel="1" x14ac:dyDescent="0.25">
      <c r="B2545" s="282" t="s">
        <v>213</v>
      </c>
      <c r="C2545" s="29" t="s">
        <v>1656</v>
      </c>
      <c r="D2545" s="29" t="s">
        <v>1489</v>
      </c>
      <c r="E2545" s="29">
        <v>0</v>
      </c>
      <c r="F2545" s="29" t="s">
        <v>1470</v>
      </c>
      <c r="G2545" s="30" t="s">
        <v>1657</v>
      </c>
    </row>
    <row r="2546" spans="1:27" s="3" customFormat="1" hidden="1" outlineLevel="1" x14ac:dyDescent="0.25">
      <c r="B2546" s="201" t="s">
        <v>159</v>
      </c>
      <c r="C2546" s="29" t="s">
        <v>1592</v>
      </c>
      <c r="D2546" s="29" t="s">
        <v>1593</v>
      </c>
      <c r="E2546" s="29" t="s">
        <v>1594</v>
      </c>
      <c r="F2546" s="29" t="s">
        <v>1470</v>
      </c>
      <c r="G2546" s="30" t="s">
        <v>1595</v>
      </c>
    </row>
    <row r="2547" spans="1:27" s="3" customFormat="1" hidden="1" outlineLevel="1" x14ac:dyDescent="0.25">
      <c r="B2547" s="28" t="s">
        <v>14</v>
      </c>
      <c r="C2547" s="29" t="s">
        <v>1475</v>
      </c>
      <c r="D2547" s="29" t="s">
        <v>1469</v>
      </c>
      <c r="E2547" s="29">
        <v>0</v>
      </c>
      <c r="F2547" s="29" t="s">
        <v>1476</v>
      </c>
      <c r="G2547" s="30" t="s">
        <v>1477</v>
      </c>
    </row>
    <row r="2548" spans="1:27" s="3" customFormat="1" hidden="1" outlineLevel="1" x14ac:dyDescent="0.25">
      <c r="B2548" s="201" t="s">
        <v>15</v>
      </c>
      <c r="C2548" s="29" t="s">
        <v>1478</v>
      </c>
      <c r="D2548" s="29" t="s">
        <v>1469</v>
      </c>
      <c r="E2548" s="29">
        <v>0</v>
      </c>
      <c r="F2548" s="29" t="s">
        <v>1470</v>
      </c>
      <c r="G2548" s="30"/>
    </row>
    <row r="2549" spans="1:27" s="3" customFormat="1" hidden="1" outlineLevel="1" x14ac:dyDescent="0.25">
      <c r="B2549" s="201" t="s">
        <v>87</v>
      </c>
      <c r="C2549" s="29" t="s">
        <v>1535</v>
      </c>
      <c r="D2549" s="29" t="s">
        <v>1469</v>
      </c>
      <c r="E2549" s="29">
        <v>0</v>
      </c>
      <c r="F2549" s="29" t="s">
        <v>1476</v>
      </c>
      <c r="G2549" s="30"/>
    </row>
    <row r="2550" spans="1:27" s="3" customFormat="1" hidden="1" outlineLevel="1" x14ac:dyDescent="0.25">
      <c r="B2550" s="201" t="s">
        <v>329</v>
      </c>
      <c r="C2550" s="29" t="s">
        <v>1747</v>
      </c>
      <c r="D2550" s="29" t="s">
        <v>1469</v>
      </c>
      <c r="E2550" s="29">
        <v>0</v>
      </c>
      <c r="F2550" s="29" t="s">
        <v>1476</v>
      </c>
      <c r="G2550" s="30" t="s">
        <v>1748</v>
      </c>
    </row>
    <row r="2551" spans="1:27" s="3" customFormat="1" hidden="1" outlineLevel="1" x14ac:dyDescent="0.25">
      <c r="B2551" s="217" t="s">
        <v>455</v>
      </c>
      <c r="C2551" s="29" t="s">
        <v>1844</v>
      </c>
      <c r="D2551" s="29" t="s">
        <v>1486</v>
      </c>
      <c r="E2551" s="29">
        <v>0</v>
      </c>
      <c r="F2551" s="29" t="s">
        <v>1470</v>
      </c>
      <c r="G2551" s="30"/>
    </row>
    <row r="2552" spans="1:27" s="3" customFormat="1" hidden="1" outlineLevel="1" x14ac:dyDescent="0.25">
      <c r="B2552" s="217" t="s">
        <v>456</v>
      </c>
      <c r="C2552" s="29" t="s">
        <v>1845</v>
      </c>
      <c r="D2552" s="29" t="s">
        <v>1489</v>
      </c>
      <c r="E2552" s="29">
        <v>0</v>
      </c>
      <c r="F2552" s="29" t="s">
        <v>1470</v>
      </c>
      <c r="G2552" s="30"/>
    </row>
    <row r="2553" spans="1:27" s="12" customFormat="1" hidden="1" outlineLevel="1" x14ac:dyDescent="0.25">
      <c r="A2553" s="278"/>
      <c r="B2553" s="260" t="s">
        <v>115</v>
      </c>
      <c r="C2553" s="262" t="s">
        <v>1558</v>
      </c>
      <c r="D2553" s="262" t="s">
        <v>1539</v>
      </c>
      <c r="E2553" s="262">
        <v>0</v>
      </c>
      <c r="F2553" s="262" t="s">
        <v>1470</v>
      </c>
      <c r="G2553" s="263"/>
    </row>
    <row r="2554" spans="1:27" s="3" customFormat="1" ht="16.2" hidden="1" outlineLevel="1" thickBot="1" x14ac:dyDescent="0.3">
      <c r="B2554" s="116"/>
      <c r="C2554" s="117"/>
      <c r="D2554" s="117"/>
      <c r="E2554" s="117"/>
      <c r="F2554" s="117"/>
      <c r="G2554" s="105" t="s">
        <v>677</v>
      </c>
    </row>
    <row r="2555" spans="1:27" s="3" customFormat="1" hidden="1" outlineLevel="1" x14ac:dyDescent="0.25">
      <c r="B2555" s="395" t="s">
        <v>29</v>
      </c>
      <c r="C2555" s="396"/>
      <c r="D2555" s="396"/>
      <c r="E2555" s="396"/>
      <c r="F2555" s="396"/>
      <c r="G2555" s="397"/>
    </row>
    <row r="2556" spans="1:27" s="3" customFormat="1" hidden="1" outlineLevel="1" x14ac:dyDescent="0.25">
      <c r="B2556" s="125"/>
      <c r="C2556" s="117"/>
      <c r="D2556" s="117"/>
      <c r="E2556" s="117"/>
      <c r="F2556" s="117"/>
      <c r="G2556" s="105"/>
    </row>
    <row r="2557" spans="1:27" s="3" customFormat="1" hidden="1" outlineLevel="1" x14ac:dyDescent="0.25">
      <c r="B2557" s="316"/>
      <c r="C2557" s="117"/>
      <c r="D2557" s="117"/>
      <c r="E2557" s="117"/>
      <c r="F2557" s="117"/>
      <c r="G2557" s="105"/>
    </row>
    <row r="2558" spans="1:27" s="7" customFormat="1" ht="16.5" hidden="1" customHeight="1" outlineLevel="1" x14ac:dyDescent="0.25">
      <c r="A2558" s="14"/>
      <c r="B2558" s="308" t="s">
        <v>559</v>
      </c>
      <c r="C2558" s="309"/>
      <c r="D2558" s="309"/>
      <c r="E2558" s="309"/>
      <c r="F2558" s="309"/>
      <c r="G2558" s="310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4"/>
      <c r="AA2558" s="14"/>
    </row>
    <row r="2559" spans="1:27" s="7" customFormat="1" ht="17.399999999999999" hidden="1" customHeight="1" outlineLevel="1" thickBot="1" x14ac:dyDescent="0.3">
      <c r="A2559" s="14"/>
      <c r="B2559" s="305" t="s">
        <v>560</v>
      </c>
      <c r="C2559" s="306"/>
      <c r="D2559" s="306"/>
      <c r="E2559" s="306"/>
      <c r="F2559" s="306"/>
      <c r="G2559" s="307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4"/>
      <c r="AA2559" s="14"/>
    </row>
    <row r="2560" spans="1:27" s="7" customFormat="1" ht="16.5" hidden="1" customHeight="1" outlineLevel="1" x14ac:dyDescent="0.25">
      <c r="A2560" s="14"/>
      <c r="B2560" s="308" t="s">
        <v>561</v>
      </c>
      <c r="C2560" s="309"/>
      <c r="D2560" s="309"/>
      <c r="E2560" s="309"/>
      <c r="F2560" s="309"/>
      <c r="G2560" s="310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4"/>
      <c r="X2560" s="14"/>
      <c r="Y2560" s="14"/>
      <c r="Z2560" s="14"/>
      <c r="AA2560" s="14"/>
    </row>
    <row r="2561" spans="1:14" s="3" customFormat="1" hidden="1" outlineLevel="1" x14ac:dyDescent="0.25">
      <c r="B2561" s="116"/>
      <c r="C2561" s="117"/>
      <c r="D2561" s="117"/>
      <c r="E2561" s="117"/>
      <c r="F2561" s="117"/>
      <c r="G2561" s="105" t="s">
        <v>677</v>
      </c>
    </row>
    <row r="2562" spans="1:14" s="3" customFormat="1" hidden="1" outlineLevel="1" x14ac:dyDescent="0.25">
      <c r="B2562" s="116"/>
      <c r="C2562" s="274"/>
      <c r="D2562" s="274"/>
      <c r="E2562" s="274"/>
      <c r="F2562" s="274"/>
      <c r="G2562" s="275"/>
    </row>
    <row r="2563" spans="1:14" s="3" customFormat="1" hidden="1" outlineLevel="1" x14ac:dyDescent="0.25">
      <c r="B2563" s="83" t="s">
        <v>680</v>
      </c>
      <c r="C2563" s="274"/>
      <c r="D2563" s="274"/>
      <c r="E2563" s="274"/>
      <c r="F2563" s="274"/>
      <c r="G2563" s="376" t="s">
        <v>2456</v>
      </c>
    </row>
    <row r="2564" spans="1:14" s="3" customFormat="1" hidden="1" outlineLevel="1" x14ac:dyDescent="0.25">
      <c r="B2564" s="83"/>
      <c r="C2564" s="274"/>
      <c r="D2564" s="274"/>
      <c r="E2564" s="274"/>
      <c r="F2564" s="274"/>
      <c r="G2564" s="275"/>
    </row>
    <row r="2565" spans="1:14" s="3" customFormat="1" hidden="1" outlineLevel="1" x14ac:dyDescent="0.25"/>
    <row r="2566" spans="1:14" ht="16.2" hidden="1" outlineLevel="1" thickBot="1" x14ac:dyDescent="0.3"/>
    <row r="2567" spans="1:14" s="3" customFormat="1" ht="16.2" collapsed="1" thickBot="1" x14ac:dyDescent="0.3">
      <c r="B2567" s="15" t="s">
        <v>1279</v>
      </c>
      <c r="C2567" s="16" t="s">
        <v>2038</v>
      </c>
      <c r="D2567" s="17" t="s">
        <v>1281</v>
      </c>
      <c r="E2567" s="29" t="s">
        <v>681</v>
      </c>
      <c r="F2567" s="17" t="s">
        <v>1282</v>
      </c>
      <c r="G2567" s="192" t="s">
        <v>2039</v>
      </c>
    </row>
    <row r="2568" spans="1:14" s="3" customFormat="1" hidden="1" outlineLevel="1" x14ac:dyDescent="0.25">
      <c r="B2568" s="179" t="s">
        <v>1284</v>
      </c>
      <c r="C2568" s="29" t="s">
        <v>1285</v>
      </c>
      <c r="D2568" s="180" t="s">
        <v>1286</v>
      </c>
      <c r="E2568" s="29" t="s">
        <v>2040</v>
      </c>
      <c r="F2568" s="180" t="s">
        <v>1288</v>
      </c>
      <c r="G2568" s="30"/>
    </row>
    <row r="2569" spans="1:14" s="3" customFormat="1" ht="16.2" hidden="1" outlineLevel="1" thickBot="1" x14ac:dyDescent="0.3">
      <c r="B2569" s="19" t="s">
        <v>1290</v>
      </c>
      <c r="C2569" s="23" t="s">
        <v>1291</v>
      </c>
      <c r="D2569" s="21" t="s">
        <v>1292</v>
      </c>
      <c r="E2569" s="23">
        <v>5</v>
      </c>
      <c r="F2569" s="21" t="s">
        <v>1293</v>
      </c>
      <c r="G2569" s="24" t="s">
        <v>1294</v>
      </c>
    </row>
    <row r="2570" spans="1:14" s="3" customFormat="1" hidden="1" outlineLevel="1" x14ac:dyDescent="0.25">
      <c r="B2570" s="395" t="s">
        <v>1</v>
      </c>
      <c r="C2570" s="396"/>
      <c r="D2570" s="396"/>
      <c r="E2570" s="396"/>
      <c r="F2570" s="396"/>
      <c r="G2570" s="397"/>
    </row>
    <row r="2571" spans="1:14" s="3" customFormat="1" hidden="1" outlineLevel="1" x14ac:dyDescent="0.25">
      <c r="B2571" s="179" t="s">
        <v>2</v>
      </c>
      <c r="C2571" s="180" t="s">
        <v>3</v>
      </c>
      <c r="D2571" s="180" t="s">
        <v>4</v>
      </c>
      <c r="E2571" s="180" t="s">
        <v>5</v>
      </c>
      <c r="F2571" s="180"/>
      <c r="G2571" s="181" t="s">
        <v>6</v>
      </c>
    </row>
    <row r="2572" spans="1:14" s="3" customFormat="1" hidden="1" outlineLevel="1" x14ac:dyDescent="0.25">
      <c r="B2572" s="29" t="s">
        <v>112</v>
      </c>
      <c r="C2572" s="29" t="s">
        <v>1555</v>
      </c>
      <c r="D2572" s="29" t="s">
        <v>1469</v>
      </c>
      <c r="E2572" s="29">
        <v>0</v>
      </c>
      <c r="F2572" s="29" t="s">
        <v>1470</v>
      </c>
      <c r="G2572" s="30" t="s">
        <v>1556</v>
      </c>
    </row>
    <row r="2573" spans="1:14" s="3" customFormat="1" hidden="1" outlineLevel="1" x14ac:dyDescent="0.25">
      <c r="B2573" s="29" t="s">
        <v>7</v>
      </c>
      <c r="C2573" s="29" t="s">
        <v>1468</v>
      </c>
      <c r="D2573" s="29" t="s">
        <v>1469</v>
      </c>
      <c r="E2573" s="29">
        <v>0</v>
      </c>
      <c r="F2573" s="29" t="s">
        <v>1470</v>
      </c>
      <c r="G2573" s="30" t="s">
        <v>1471</v>
      </c>
    </row>
    <row r="2574" spans="1:14" s="3" customFormat="1" hidden="1" outlineLevel="1" x14ac:dyDescent="0.25">
      <c r="A2574" s="5"/>
      <c r="B2574" s="31" t="s">
        <v>162</v>
      </c>
      <c r="C2574" s="20" t="s">
        <v>1589</v>
      </c>
      <c r="D2574" s="20" t="s">
        <v>1469</v>
      </c>
      <c r="E2574" s="20">
        <v>0</v>
      </c>
      <c r="F2574" s="20"/>
      <c r="G2574" s="22" t="s">
        <v>1590</v>
      </c>
    </row>
    <row r="2575" spans="1:14" s="3" customFormat="1" hidden="1" outlineLevel="1" x14ac:dyDescent="0.25">
      <c r="A2575" s="5"/>
      <c r="B2575" s="31" t="s">
        <v>163</v>
      </c>
      <c r="C2575" s="20" t="s">
        <v>1591</v>
      </c>
      <c r="D2575" s="20" t="s">
        <v>1469</v>
      </c>
      <c r="E2575" s="20">
        <v>0</v>
      </c>
      <c r="F2575" s="20"/>
      <c r="G2575" s="22" t="s">
        <v>1590</v>
      </c>
    </row>
    <row r="2576" spans="1:14" s="3" customFormat="1" hidden="1" outlineLevel="1" x14ac:dyDescent="0.25">
      <c r="B2576" s="28" t="s">
        <v>128</v>
      </c>
      <c r="C2576" s="29" t="s">
        <v>1566</v>
      </c>
      <c r="D2576" s="29" t="s">
        <v>1567</v>
      </c>
      <c r="E2576" s="29">
        <v>0</v>
      </c>
      <c r="F2576" s="29" t="s">
        <v>1470</v>
      </c>
      <c r="G2576" s="30"/>
      <c r="J2576" s="3" t="s">
        <v>12</v>
      </c>
      <c r="N2576" s="3">
        <v>1629</v>
      </c>
    </row>
    <row r="2577" spans="2:15" s="3" customFormat="1" hidden="1" outlineLevel="1" x14ac:dyDescent="0.25">
      <c r="B2577" s="28" t="s">
        <v>114</v>
      </c>
      <c r="C2577" s="29" t="s">
        <v>1557</v>
      </c>
      <c r="D2577" s="29" t="s">
        <v>1469</v>
      </c>
      <c r="E2577" s="29">
        <v>-1</v>
      </c>
      <c r="F2577" s="29" t="s">
        <v>1470</v>
      </c>
      <c r="G2577" s="30"/>
      <c r="J2577" s="3" t="s">
        <v>10</v>
      </c>
      <c r="N2577" s="3">
        <v>2449</v>
      </c>
    </row>
    <row r="2578" spans="2:15" s="3" customFormat="1" ht="16.2" hidden="1" outlineLevel="1" thickBot="1" x14ac:dyDescent="0.3">
      <c r="B2578" s="163"/>
      <c r="C2578" s="164"/>
      <c r="D2578" s="164"/>
      <c r="E2578" s="164"/>
      <c r="F2578" s="164"/>
      <c r="G2578" s="165"/>
    </row>
    <row r="2579" spans="2:15" s="3" customFormat="1" hidden="1" outlineLevel="1" x14ac:dyDescent="0.25">
      <c r="B2579" s="398" t="s">
        <v>18</v>
      </c>
      <c r="C2579" s="399"/>
      <c r="D2579" s="399"/>
      <c r="E2579" s="399"/>
      <c r="F2579" s="399"/>
      <c r="G2579" s="400"/>
    </row>
    <row r="2580" spans="2:15" s="3" customFormat="1" hidden="1" outlineLevel="1" x14ac:dyDescent="0.25">
      <c r="B2580" s="179" t="s">
        <v>2</v>
      </c>
      <c r="C2580" s="180" t="s">
        <v>3</v>
      </c>
      <c r="D2580" s="180" t="s">
        <v>4</v>
      </c>
      <c r="E2580" s="180" t="s">
        <v>5</v>
      </c>
      <c r="F2580" s="180"/>
      <c r="G2580" s="181" t="s">
        <v>6</v>
      </c>
    </row>
    <row r="2581" spans="2:15" s="3" customFormat="1" hidden="1" outlineLevel="1" x14ac:dyDescent="0.25">
      <c r="B2581" s="185" t="s">
        <v>128</v>
      </c>
      <c r="C2581" s="23" t="s">
        <v>1566</v>
      </c>
      <c r="D2581" s="23" t="s">
        <v>1567</v>
      </c>
      <c r="E2581" s="23">
        <v>0</v>
      </c>
      <c r="F2581" s="23" t="s">
        <v>1470</v>
      </c>
      <c r="G2581" s="24"/>
      <c r="J2581" s="3" t="s">
        <v>12</v>
      </c>
      <c r="K2581" s="3" t="s">
        <v>174</v>
      </c>
      <c r="L2581" s="3" t="s">
        <v>314</v>
      </c>
      <c r="M2581" s="3" t="s">
        <v>176</v>
      </c>
      <c r="N2581" s="3">
        <v>1866</v>
      </c>
      <c r="O2581" s="3">
        <v>64</v>
      </c>
    </row>
    <row r="2582" spans="2:15" s="3" customFormat="1" hidden="1" outlineLevel="1" x14ac:dyDescent="0.25">
      <c r="B2582" s="29" t="s">
        <v>112</v>
      </c>
      <c r="C2582" s="29" t="s">
        <v>1555</v>
      </c>
      <c r="D2582" s="29" t="s">
        <v>1469</v>
      </c>
      <c r="E2582" s="29">
        <v>0</v>
      </c>
      <c r="F2582" s="29" t="s">
        <v>1470</v>
      </c>
      <c r="G2582" s="30" t="s">
        <v>1556</v>
      </c>
    </row>
    <row r="2583" spans="2:15" s="3" customFormat="1" hidden="1" outlineLevel="1" x14ac:dyDescent="0.25">
      <c r="B2583" s="29" t="s">
        <v>7</v>
      </c>
      <c r="C2583" s="29" t="s">
        <v>1468</v>
      </c>
      <c r="D2583" s="29" t="s">
        <v>1469</v>
      </c>
      <c r="E2583" s="29">
        <v>0</v>
      </c>
      <c r="F2583" s="29" t="s">
        <v>1470</v>
      </c>
      <c r="G2583" s="30" t="s">
        <v>1471</v>
      </c>
    </row>
    <row r="2584" spans="2:15" s="3" customFormat="1" hidden="1" outlineLevel="1" x14ac:dyDescent="0.35">
      <c r="B2584" s="283" t="s">
        <v>73</v>
      </c>
      <c r="C2584" s="29" t="s">
        <v>1528</v>
      </c>
      <c r="D2584" s="29" t="s">
        <v>1469</v>
      </c>
      <c r="E2584" s="29" t="s">
        <v>1480</v>
      </c>
      <c r="F2584" s="29" t="s">
        <v>1481</v>
      </c>
      <c r="G2584" s="30"/>
    </row>
    <row r="2585" spans="2:15" s="3" customFormat="1" hidden="1" outlineLevel="1" x14ac:dyDescent="0.35">
      <c r="B2585" s="283" t="s">
        <v>74</v>
      </c>
      <c r="C2585" s="29" t="s">
        <v>1529</v>
      </c>
      <c r="D2585" s="29" t="s">
        <v>1469</v>
      </c>
      <c r="E2585" s="29" t="s">
        <v>1480</v>
      </c>
      <c r="F2585" s="29" t="s">
        <v>1481</v>
      </c>
      <c r="G2585" s="30"/>
    </row>
    <row r="2586" spans="2:15" s="3" customFormat="1" hidden="1" outlineLevel="1" x14ac:dyDescent="0.25">
      <c r="B2586" s="284" t="s">
        <v>498</v>
      </c>
      <c r="C2586" s="29" t="s">
        <v>1882</v>
      </c>
      <c r="D2586" s="29" t="s">
        <v>1494</v>
      </c>
      <c r="E2586" s="29">
        <v>0</v>
      </c>
      <c r="F2586" s="29"/>
      <c r="G2586" s="30"/>
    </row>
    <row r="2587" spans="2:15" s="3" customFormat="1" hidden="1" outlineLevel="1" x14ac:dyDescent="0.25">
      <c r="B2587" s="284" t="s">
        <v>499</v>
      </c>
      <c r="C2587" s="29" t="s">
        <v>1883</v>
      </c>
      <c r="D2587" s="29" t="s">
        <v>1494</v>
      </c>
      <c r="E2587" s="29">
        <v>0</v>
      </c>
      <c r="F2587" s="29"/>
      <c r="G2587" s="30"/>
    </row>
    <row r="2588" spans="2:15" s="3" customFormat="1" hidden="1" outlineLevel="1" x14ac:dyDescent="0.25">
      <c r="B2588" s="285" t="s">
        <v>500</v>
      </c>
      <c r="C2588" s="29" t="s">
        <v>1884</v>
      </c>
      <c r="D2588" s="29" t="s">
        <v>1489</v>
      </c>
      <c r="E2588" s="29">
        <v>0</v>
      </c>
      <c r="F2588" s="29"/>
      <c r="G2588" s="30"/>
    </row>
    <row r="2589" spans="2:15" s="3" customFormat="1" hidden="1" outlineLevel="1" x14ac:dyDescent="0.25">
      <c r="B2589" s="285" t="s">
        <v>165</v>
      </c>
      <c r="C2589" s="29" t="s">
        <v>1597</v>
      </c>
      <c r="D2589" s="29" t="s">
        <v>1489</v>
      </c>
      <c r="E2589" s="29">
        <v>0</v>
      </c>
      <c r="F2589" s="29"/>
      <c r="G2589" s="30"/>
    </row>
    <row r="2590" spans="2:15" s="3" customFormat="1" hidden="1" outlineLevel="1" x14ac:dyDescent="0.25">
      <c r="B2590" s="286" t="s">
        <v>167</v>
      </c>
      <c r="C2590" s="29" t="s">
        <v>1599</v>
      </c>
      <c r="D2590" s="29" t="s">
        <v>1489</v>
      </c>
      <c r="E2590" s="29">
        <v>0</v>
      </c>
      <c r="F2590" s="29"/>
      <c r="G2590" s="30"/>
    </row>
    <row r="2591" spans="2:15" s="3" customFormat="1" hidden="1" outlineLevel="1" x14ac:dyDescent="0.25">
      <c r="B2591" s="28" t="s">
        <v>374</v>
      </c>
      <c r="C2591" s="29" t="s">
        <v>1772</v>
      </c>
      <c r="D2591" s="29" t="s">
        <v>1489</v>
      </c>
      <c r="E2591" s="29">
        <v>0</v>
      </c>
      <c r="F2591" s="29"/>
      <c r="G2591" s="30"/>
    </row>
    <row r="2592" spans="2:15" s="3" customFormat="1" hidden="1" outlineLevel="1" x14ac:dyDescent="0.25">
      <c r="B2592" s="28" t="s">
        <v>501</v>
      </c>
      <c r="C2592" s="29" t="s">
        <v>1885</v>
      </c>
      <c r="D2592" s="29" t="s">
        <v>1489</v>
      </c>
      <c r="E2592" s="29">
        <v>0</v>
      </c>
      <c r="F2592" s="29" t="s">
        <v>1470</v>
      </c>
      <c r="G2592" s="30"/>
    </row>
    <row r="2593" spans="1:27" s="3" customFormat="1" hidden="1" outlineLevel="1" x14ac:dyDescent="0.25">
      <c r="B2593" s="116" t="s">
        <v>502</v>
      </c>
      <c r="C2593" s="29" t="s">
        <v>1886</v>
      </c>
      <c r="D2593" s="29" t="s">
        <v>1489</v>
      </c>
      <c r="E2593" s="29">
        <v>0</v>
      </c>
      <c r="F2593" s="29" t="s">
        <v>1470</v>
      </c>
      <c r="G2593" s="30"/>
    </row>
    <row r="2594" spans="1:27" s="3" customFormat="1" hidden="1" outlineLevel="1" x14ac:dyDescent="0.25">
      <c r="B2594" s="28" t="s">
        <v>503</v>
      </c>
      <c r="C2594" s="29" t="s">
        <v>1887</v>
      </c>
      <c r="D2594" s="29" t="s">
        <v>1489</v>
      </c>
      <c r="E2594" s="29">
        <v>0</v>
      </c>
      <c r="F2594" s="29"/>
      <c r="G2594" s="30"/>
    </row>
    <row r="2595" spans="1:27" s="3" customFormat="1" hidden="1" outlineLevel="1" x14ac:dyDescent="0.25">
      <c r="B2595" s="28" t="s">
        <v>504</v>
      </c>
      <c r="C2595" s="29" t="s">
        <v>1888</v>
      </c>
      <c r="D2595" s="29" t="s">
        <v>1489</v>
      </c>
      <c r="E2595" s="29">
        <v>0</v>
      </c>
      <c r="F2595" s="29"/>
      <c r="G2595" s="30"/>
    </row>
    <row r="2596" spans="1:27" s="3" customFormat="1" hidden="1" outlineLevel="1" x14ac:dyDescent="0.25">
      <c r="B2596" s="28" t="s">
        <v>505</v>
      </c>
      <c r="C2596" s="29" t="s">
        <v>1889</v>
      </c>
      <c r="D2596" s="29" t="s">
        <v>1489</v>
      </c>
      <c r="E2596" s="29">
        <v>0</v>
      </c>
      <c r="F2596" s="29" t="s">
        <v>1470</v>
      </c>
      <c r="G2596" s="30"/>
    </row>
    <row r="2597" spans="1:27" s="3" customFormat="1" hidden="1" outlineLevel="1" x14ac:dyDescent="0.25">
      <c r="B2597" s="28" t="s">
        <v>506</v>
      </c>
      <c r="C2597" s="29" t="s">
        <v>1890</v>
      </c>
      <c r="D2597" s="29" t="s">
        <v>1489</v>
      </c>
      <c r="E2597" s="29">
        <v>0</v>
      </c>
      <c r="F2597" s="29"/>
      <c r="G2597" s="30"/>
    </row>
    <row r="2598" spans="1:27" s="3" customFormat="1" hidden="1" outlineLevel="1" x14ac:dyDescent="0.25">
      <c r="B2598" s="28" t="s">
        <v>507</v>
      </c>
      <c r="C2598" s="29" t="s">
        <v>1891</v>
      </c>
      <c r="D2598" s="29" t="s">
        <v>1489</v>
      </c>
      <c r="E2598" s="29">
        <v>0</v>
      </c>
      <c r="F2598" s="29"/>
      <c r="G2598" s="30"/>
    </row>
    <row r="2599" spans="1:27" s="3" customFormat="1" hidden="1" outlineLevel="1" x14ac:dyDescent="0.25">
      <c r="B2599" s="217"/>
      <c r="C2599" s="29"/>
      <c r="D2599" s="29"/>
      <c r="E2599" s="29"/>
      <c r="F2599" s="29"/>
      <c r="G2599" s="30"/>
    </row>
    <row r="2600" spans="1:27" s="3" customFormat="1" hidden="1" outlineLevel="1" x14ac:dyDescent="0.25">
      <c r="B2600" s="217"/>
      <c r="C2600" s="29"/>
      <c r="D2600" s="29"/>
      <c r="E2600" s="29"/>
      <c r="F2600" s="29"/>
      <c r="G2600" s="30"/>
    </row>
    <row r="2601" spans="1:27" s="12" customFormat="1" hidden="1" outlineLevel="1" x14ac:dyDescent="0.25">
      <c r="A2601" s="278"/>
      <c r="B2601" s="260"/>
      <c r="C2601" s="262"/>
      <c r="D2601" s="262"/>
      <c r="E2601" s="262"/>
      <c r="F2601" s="262"/>
      <c r="G2601" s="263"/>
    </row>
    <row r="2602" spans="1:27" s="3" customFormat="1" ht="16.2" hidden="1" outlineLevel="1" thickBot="1" x14ac:dyDescent="0.3">
      <c r="B2602" s="116"/>
      <c r="C2602" s="117"/>
      <c r="D2602" s="117"/>
      <c r="E2602" s="117"/>
      <c r="F2602" s="117"/>
      <c r="G2602" s="105" t="s">
        <v>677</v>
      </c>
    </row>
    <row r="2603" spans="1:27" s="3" customFormat="1" hidden="1" outlineLevel="1" x14ac:dyDescent="0.25">
      <c r="B2603" s="395" t="s">
        <v>29</v>
      </c>
      <c r="C2603" s="396"/>
      <c r="D2603" s="396"/>
      <c r="E2603" s="396"/>
      <c r="F2603" s="396"/>
      <c r="G2603" s="397"/>
    </row>
    <row r="2604" spans="1:27" s="3" customFormat="1" hidden="1" outlineLevel="1" x14ac:dyDescent="0.25">
      <c r="B2604" s="125"/>
      <c r="C2604" s="117"/>
      <c r="D2604" s="117"/>
      <c r="E2604" s="117"/>
      <c r="F2604" s="117"/>
      <c r="G2604" s="105"/>
    </row>
    <row r="2605" spans="1:27" s="7" customFormat="1" ht="16.5" hidden="1" customHeight="1" outlineLevel="1" x14ac:dyDescent="0.25">
      <c r="A2605" s="14"/>
      <c r="B2605" s="308" t="s">
        <v>559</v>
      </c>
      <c r="C2605" s="309"/>
      <c r="D2605" s="309"/>
      <c r="E2605" s="309"/>
      <c r="F2605" s="309"/>
      <c r="G2605" s="310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  <c r="U2605" s="14"/>
      <c r="V2605" s="14"/>
      <c r="W2605" s="14"/>
      <c r="X2605" s="14"/>
      <c r="Y2605" s="14"/>
      <c r="Z2605" s="14"/>
      <c r="AA2605" s="14"/>
    </row>
    <row r="2606" spans="1:27" s="7" customFormat="1" ht="17.399999999999999" hidden="1" customHeight="1" outlineLevel="1" thickBot="1" x14ac:dyDescent="0.3">
      <c r="A2606" s="14"/>
      <c r="B2606" s="305" t="s">
        <v>560</v>
      </c>
      <c r="C2606" s="306"/>
      <c r="D2606" s="306"/>
      <c r="E2606" s="306"/>
      <c r="F2606" s="306"/>
      <c r="G2606" s="307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4"/>
      <c r="AA2606" s="14"/>
    </row>
    <row r="2607" spans="1:27" s="7" customFormat="1" ht="16.5" hidden="1" customHeight="1" outlineLevel="1" x14ac:dyDescent="0.25">
      <c r="A2607" s="14"/>
      <c r="B2607" s="308" t="s">
        <v>561</v>
      </c>
      <c r="C2607" s="309"/>
      <c r="D2607" s="309"/>
      <c r="E2607" s="309"/>
      <c r="F2607" s="309"/>
      <c r="G2607" s="310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  <c r="U2607" s="14"/>
      <c r="V2607" s="14"/>
      <c r="W2607" s="14"/>
      <c r="X2607" s="14"/>
      <c r="Y2607" s="14"/>
      <c r="Z2607" s="14"/>
      <c r="AA2607" s="14"/>
    </row>
    <row r="2608" spans="1:27" s="3" customFormat="1" hidden="1" outlineLevel="1" x14ac:dyDescent="0.25">
      <c r="B2608" s="316"/>
      <c r="C2608" s="117"/>
      <c r="D2608" s="117"/>
      <c r="E2608" s="117"/>
      <c r="F2608" s="117"/>
      <c r="G2608" s="105"/>
    </row>
    <row r="2609" spans="1:14" s="3" customFormat="1" hidden="1" outlineLevel="1" x14ac:dyDescent="0.25">
      <c r="B2609" s="116"/>
      <c r="C2609" s="117"/>
      <c r="D2609" s="117"/>
      <c r="E2609" s="117"/>
      <c r="F2609" s="117"/>
      <c r="G2609" s="105" t="s">
        <v>677</v>
      </c>
    </row>
    <row r="2610" spans="1:14" s="3" customFormat="1" hidden="1" outlineLevel="1" x14ac:dyDescent="0.25">
      <c r="B2610" s="116"/>
      <c r="C2610" s="274"/>
      <c r="D2610" s="274"/>
      <c r="E2610" s="274"/>
      <c r="F2610" s="274"/>
      <c r="G2610" s="275"/>
    </row>
    <row r="2611" spans="1:14" s="3" customFormat="1" hidden="1" outlineLevel="1" x14ac:dyDescent="0.25">
      <c r="B2611" s="83" t="s">
        <v>682</v>
      </c>
      <c r="C2611" s="274"/>
      <c r="D2611" s="274"/>
      <c r="E2611" s="274"/>
      <c r="F2611" s="274"/>
      <c r="G2611" s="376" t="s">
        <v>2457</v>
      </c>
    </row>
    <row r="2612" spans="1:14" s="3" customFormat="1" hidden="1" outlineLevel="1" x14ac:dyDescent="0.25">
      <c r="B2612" s="83"/>
      <c r="C2612" s="274"/>
      <c r="D2612" s="274"/>
      <c r="E2612" s="274"/>
      <c r="F2612" s="274"/>
      <c r="G2612" s="275"/>
    </row>
    <row r="2613" spans="1:14" s="3" customFormat="1" hidden="1" outlineLevel="1" x14ac:dyDescent="0.25"/>
    <row r="2614" spans="1:14" ht="16.2" hidden="1" outlineLevel="1" thickBot="1" x14ac:dyDescent="0.3"/>
    <row r="2615" spans="1:14" s="3" customFormat="1" ht="18" customHeight="1" collapsed="1" thickBot="1" x14ac:dyDescent="0.3">
      <c r="A2615" s="5"/>
      <c r="B2615" s="15" t="s">
        <v>1279</v>
      </c>
      <c r="C2615" s="16" t="s">
        <v>2041</v>
      </c>
      <c r="D2615" s="17" t="s">
        <v>1281</v>
      </c>
      <c r="E2615" s="252" t="s">
        <v>683</v>
      </c>
      <c r="F2615" s="17" t="s">
        <v>1282</v>
      </c>
      <c r="G2615" s="18" t="s">
        <v>2042</v>
      </c>
    </row>
    <row r="2616" spans="1:14" s="3" customFormat="1" ht="17.399999999999999" hidden="1" customHeight="1" outlineLevel="1" x14ac:dyDescent="0.25">
      <c r="A2616" s="5"/>
      <c r="B2616" s="19" t="s">
        <v>1284</v>
      </c>
      <c r="C2616" s="20" t="s">
        <v>1285</v>
      </c>
      <c r="D2616" s="21" t="s">
        <v>1286</v>
      </c>
      <c r="E2616" s="20" t="s">
        <v>2043</v>
      </c>
      <c r="F2616" s="21" t="s">
        <v>1288</v>
      </c>
      <c r="G2616" s="22" t="s">
        <v>1455</v>
      </c>
    </row>
    <row r="2617" spans="1:14" s="3" customFormat="1" ht="17.399999999999999" hidden="1" customHeight="1" outlineLevel="1" thickBot="1" x14ac:dyDescent="0.3">
      <c r="A2617" s="5"/>
      <c r="B2617" s="19" t="s">
        <v>1290</v>
      </c>
      <c r="C2617" s="23" t="s">
        <v>1291</v>
      </c>
      <c r="D2617" s="21" t="s">
        <v>1292</v>
      </c>
      <c r="E2617" s="23">
        <v>5</v>
      </c>
      <c r="F2617" s="21" t="s">
        <v>1293</v>
      </c>
      <c r="G2617" s="24" t="s">
        <v>1294</v>
      </c>
    </row>
    <row r="2618" spans="1:14" s="3" customFormat="1" ht="17.399999999999999" hidden="1" customHeight="1" outlineLevel="1" x14ac:dyDescent="0.25">
      <c r="A2618" s="5"/>
      <c r="B2618" s="401" t="s">
        <v>1</v>
      </c>
      <c r="C2618" s="402"/>
      <c r="D2618" s="402"/>
      <c r="E2618" s="402"/>
      <c r="F2618" s="402"/>
      <c r="G2618" s="403"/>
    </row>
    <row r="2619" spans="1:14" s="3" customFormat="1" ht="17.399999999999999" hidden="1" customHeight="1" outlineLevel="1" x14ac:dyDescent="0.25">
      <c r="A2619" s="5"/>
      <c r="B2619" s="25" t="s">
        <v>2</v>
      </c>
      <c r="C2619" s="26" t="s">
        <v>3</v>
      </c>
      <c r="D2619" s="26" t="s">
        <v>4</v>
      </c>
      <c r="E2619" s="26" t="s">
        <v>5</v>
      </c>
      <c r="F2619" s="26"/>
      <c r="G2619" s="27" t="s">
        <v>6</v>
      </c>
    </row>
    <row r="2620" spans="1:14" s="3" customFormat="1" hidden="1" outlineLevel="1" x14ac:dyDescent="0.25">
      <c r="A2620" s="5"/>
      <c r="B2620" s="31" t="s">
        <v>162</v>
      </c>
      <c r="C2620" s="20" t="s">
        <v>1589</v>
      </c>
      <c r="D2620" s="20" t="s">
        <v>1469</v>
      </c>
      <c r="E2620" s="20">
        <v>0</v>
      </c>
      <c r="F2620" s="20"/>
      <c r="G2620" s="22" t="s">
        <v>1590</v>
      </c>
    </row>
    <row r="2621" spans="1:14" s="3" customFormat="1" hidden="1" outlineLevel="1" x14ac:dyDescent="0.25">
      <c r="A2621" s="5"/>
      <c r="B2621" s="31" t="s">
        <v>163</v>
      </c>
      <c r="C2621" s="20" t="s">
        <v>1591</v>
      </c>
      <c r="D2621" s="20" t="s">
        <v>1469</v>
      </c>
      <c r="E2621" s="20">
        <v>0</v>
      </c>
      <c r="F2621" s="20"/>
      <c r="G2621" s="22" t="s">
        <v>1590</v>
      </c>
    </row>
    <row r="2622" spans="1:14" s="3" customFormat="1" hidden="1" outlineLevel="1" x14ac:dyDescent="0.25">
      <c r="B2622" s="28" t="s">
        <v>128</v>
      </c>
      <c r="C2622" s="29" t="s">
        <v>1566</v>
      </c>
      <c r="D2622" s="29" t="s">
        <v>1567</v>
      </c>
      <c r="E2622" s="29">
        <v>0</v>
      </c>
      <c r="F2622" s="29" t="s">
        <v>1470</v>
      </c>
      <c r="G2622" s="30"/>
      <c r="J2622" s="3" t="s">
        <v>12</v>
      </c>
      <c r="N2622" s="3">
        <v>1629</v>
      </c>
    </row>
    <row r="2623" spans="1:14" s="3" customFormat="1" hidden="1" outlineLevel="1" x14ac:dyDescent="0.25">
      <c r="B2623" s="28" t="s">
        <v>114</v>
      </c>
      <c r="C2623" s="29" t="s">
        <v>1557</v>
      </c>
      <c r="D2623" s="29" t="s">
        <v>1469</v>
      </c>
      <c r="E2623" s="29">
        <v>-1</v>
      </c>
      <c r="F2623" s="29" t="s">
        <v>1470</v>
      </c>
      <c r="G2623" s="30"/>
      <c r="J2623" s="3" t="s">
        <v>10</v>
      </c>
      <c r="N2623" s="3">
        <v>2449</v>
      </c>
    </row>
    <row r="2624" spans="1:14" s="3" customFormat="1" hidden="1" outlineLevel="1" x14ac:dyDescent="0.25">
      <c r="B2624" s="28" t="s">
        <v>7</v>
      </c>
      <c r="C2624" s="29" t="s">
        <v>1468</v>
      </c>
      <c r="D2624" s="29" t="s">
        <v>1469</v>
      </c>
      <c r="E2624" s="29">
        <v>0</v>
      </c>
      <c r="F2624" s="29" t="s">
        <v>1470</v>
      </c>
      <c r="G2624" s="30" t="s">
        <v>1471</v>
      </c>
      <c r="J2624" s="3" t="s">
        <v>10</v>
      </c>
      <c r="N2624" s="3">
        <v>1112</v>
      </c>
    </row>
    <row r="2625" spans="1:14" s="3" customFormat="1" hidden="1" outlineLevel="1" x14ac:dyDescent="0.25">
      <c r="B2625" s="28" t="s">
        <v>188</v>
      </c>
      <c r="C2625" s="29" t="s">
        <v>1607</v>
      </c>
      <c r="D2625" s="29" t="s">
        <v>1606</v>
      </c>
      <c r="E2625" s="29" t="s">
        <v>1594</v>
      </c>
      <c r="F2625" s="29"/>
      <c r="G2625" s="30"/>
      <c r="J2625" s="3" t="s">
        <v>187</v>
      </c>
      <c r="N2625" s="3">
        <v>2156</v>
      </c>
    </row>
    <row r="2626" spans="1:14" hidden="1" outlineLevel="1" x14ac:dyDescent="0.25">
      <c r="B2626" s="256" t="s">
        <v>14</v>
      </c>
      <c r="C2626" s="257" t="s">
        <v>1475</v>
      </c>
      <c r="D2626" s="257" t="s">
        <v>1469</v>
      </c>
      <c r="E2626" s="257">
        <v>0</v>
      </c>
      <c r="F2626" s="257" t="s">
        <v>1476</v>
      </c>
      <c r="G2626" s="258" t="s">
        <v>1477</v>
      </c>
    </row>
    <row r="2627" spans="1:14" s="3" customFormat="1" hidden="1" outlineLevel="1" x14ac:dyDescent="0.25">
      <c r="B2627" s="28" t="s">
        <v>87</v>
      </c>
      <c r="C2627" s="29" t="s">
        <v>1535</v>
      </c>
      <c r="D2627" s="29" t="s">
        <v>1469</v>
      </c>
      <c r="E2627" s="29">
        <v>0</v>
      </c>
      <c r="F2627" s="29" t="s">
        <v>1476</v>
      </c>
      <c r="G2627" s="30"/>
    </row>
    <row r="2628" spans="1:14" hidden="1" outlineLevel="1" x14ac:dyDescent="0.25">
      <c r="B2628" s="256" t="s">
        <v>15</v>
      </c>
      <c r="C2628" s="257" t="s">
        <v>1478</v>
      </c>
      <c r="D2628" s="257" t="s">
        <v>1469</v>
      </c>
      <c r="E2628" s="257">
        <v>0</v>
      </c>
      <c r="F2628" s="257" t="s">
        <v>1470</v>
      </c>
      <c r="G2628" s="258"/>
    </row>
    <row r="2629" spans="1:14" s="3" customFormat="1" ht="16.2" hidden="1" outlineLevel="1" thickBot="1" x14ac:dyDescent="0.3">
      <c r="B2629" s="28"/>
      <c r="C2629" s="29"/>
      <c r="D2629" s="29"/>
      <c r="E2629" s="29"/>
      <c r="F2629" s="29"/>
      <c r="G2629" s="30"/>
    </row>
    <row r="2630" spans="1:14" s="3" customFormat="1" ht="17.399999999999999" hidden="1" customHeight="1" outlineLevel="1" x14ac:dyDescent="0.25">
      <c r="A2630" s="5"/>
      <c r="B2630" s="401" t="s">
        <v>18</v>
      </c>
      <c r="C2630" s="402"/>
      <c r="D2630" s="402"/>
      <c r="E2630" s="402"/>
      <c r="F2630" s="402"/>
      <c r="G2630" s="403"/>
    </row>
    <row r="2631" spans="1:14" s="3" customFormat="1" ht="17.399999999999999" hidden="1" customHeight="1" outlineLevel="1" x14ac:dyDescent="0.25">
      <c r="A2631" s="5"/>
      <c r="B2631" s="25" t="s">
        <v>2</v>
      </c>
      <c r="C2631" s="26" t="s">
        <v>3</v>
      </c>
      <c r="D2631" s="26" t="s">
        <v>4</v>
      </c>
      <c r="E2631" s="26" t="s">
        <v>5</v>
      </c>
      <c r="F2631" s="26"/>
      <c r="G2631" s="27" t="s">
        <v>6</v>
      </c>
    </row>
    <row r="2632" spans="1:14" s="3" customFormat="1" ht="17.399999999999999" hidden="1" customHeight="1" outlineLevel="1" x14ac:dyDescent="0.25">
      <c r="A2632" s="5"/>
      <c r="B2632" s="253" t="s">
        <v>128</v>
      </c>
      <c r="C2632" s="254" t="s">
        <v>1566</v>
      </c>
      <c r="D2632" s="254" t="s">
        <v>1567</v>
      </c>
      <c r="E2632" s="254">
        <v>0</v>
      </c>
      <c r="F2632" s="254" t="s">
        <v>1470</v>
      </c>
      <c r="G2632" s="255"/>
    </row>
    <row r="2633" spans="1:14" hidden="1" outlineLevel="1" x14ac:dyDescent="0.25">
      <c r="B2633" s="256" t="s">
        <v>16</v>
      </c>
      <c r="C2633" s="257" t="s">
        <v>1479</v>
      </c>
      <c r="D2633" s="257" t="s">
        <v>1469</v>
      </c>
      <c r="E2633" s="257" t="s">
        <v>1480</v>
      </c>
      <c r="F2633" s="257" t="s">
        <v>1481</v>
      </c>
      <c r="G2633" s="258" t="s">
        <v>1482</v>
      </c>
    </row>
    <row r="2634" spans="1:14" hidden="1" outlineLevel="1" x14ac:dyDescent="0.25">
      <c r="B2634" s="256" t="s">
        <v>112</v>
      </c>
      <c r="C2634" s="257" t="s">
        <v>1555</v>
      </c>
      <c r="D2634" s="257" t="s">
        <v>1469</v>
      </c>
      <c r="E2634" s="257">
        <v>0</v>
      </c>
      <c r="F2634" s="257" t="s">
        <v>1470</v>
      </c>
      <c r="G2634" s="258" t="s">
        <v>1556</v>
      </c>
    </row>
    <row r="2635" spans="1:14" hidden="1" outlineLevel="1" x14ac:dyDescent="0.25">
      <c r="B2635" s="256" t="s">
        <v>7</v>
      </c>
      <c r="C2635" s="257" t="s">
        <v>1468</v>
      </c>
      <c r="D2635" s="257" t="s">
        <v>1469</v>
      </c>
      <c r="E2635" s="257">
        <v>0</v>
      </c>
      <c r="F2635" s="257" t="s">
        <v>1470</v>
      </c>
      <c r="G2635" s="258" t="s">
        <v>1471</v>
      </c>
    </row>
    <row r="2636" spans="1:14" hidden="1" outlineLevel="1" x14ac:dyDescent="0.25">
      <c r="B2636" s="256" t="s">
        <v>15</v>
      </c>
      <c r="C2636" s="257" t="s">
        <v>1478</v>
      </c>
      <c r="D2636" s="257" t="s">
        <v>1469</v>
      </c>
      <c r="E2636" s="257">
        <v>0</v>
      </c>
      <c r="F2636" s="257" t="s">
        <v>1470</v>
      </c>
      <c r="G2636" s="258"/>
    </row>
    <row r="2637" spans="1:14" hidden="1" outlineLevel="1" x14ac:dyDescent="0.25">
      <c r="B2637" s="256" t="s">
        <v>100</v>
      </c>
      <c r="C2637" s="257" t="s">
        <v>1543</v>
      </c>
      <c r="D2637" s="257" t="s">
        <v>1469</v>
      </c>
      <c r="E2637" s="257">
        <v>0</v>
      </c>
      <c r="F2637" s="257" t="s">
        <v>1476</v>
      </c>
      <c r="G2637" s="258" t="s">
        <v>1544</v>
      </c>
    </row>
    <row r="2638" spans="1:14" hidden="1" outlineLevel="1" x14ac:dyDescent="0.25">
      <c r="B2638" s="256" t="s">
        <v>159</v>
      </c>
      <c r="C2638" s="257" t="s">
        <v>1592</v>
      </c>
      <c r="D2638" s="257" t="s">
        <v>1593</v>
      </c>
      <c r="E2638" s="257" t="s">
        <v>1594</v>
      </c>
      <c r="F2638" s="257" t="s">
        <v>1470</v>
      </c>
      <c r="G2638" s="258" t="s">
        <v>1595</v>
      </c>
    </row>
    <row r="2639" spans="1:14" hidden="1" outlineLevel="1" x14ac:dyDescent="0.25">
      <c r="B2639" s="256" t="s">
        <v>14</v>
      </c>
      <c r="C2639" s="257" t="s">
        <v>1475</v>
      </c>
      <c r="D2639" s="257" t="s">
        <v>1469</v>
      </c>
      <c r="E2639" s="257">
        <v>0</v>
      </c>
      <c r="F2639" s="257" t="s">
        <v>1476</v>
      </c>
      <c r="G2639" s="258" t="s">
        <v>1477</v>
      </c>
    </row>
    <row r="2640" spans="1:14" hidden="1" outlineLevel="1" x14ac:dyDescent="0.25">
      <c r="B2640" s="256" t="s">
        <v>87</v>
      </c>
      <c r="C2640" s="257" t="s">
        <v>1535</v>
      </c>
      <c r="D2640" s="257" t="s">
        <v>1469</v>
      </c>
      <c r="E2640" s="257">
        <v>0</v>
      </c>
      <c r="F2640" s="257" t="s">
        <v>1476</v>
      </c>
      <c r="G2640" s="258"/>
    </row>
    <row r="2641" spans="2:7" hidden="1" outlineLevel="1" x14ac:dyDescent="0.25">
      <c r="B2641" s="256" t="s">
        <v>116</v>
      </c>
      <c r="C2641" s="257" t="s">
        <v>1559</v>
      </c>
      <c r="D2641" s="257" t="s">
        <v>1486</v>
      </c>
      <c r="E2641" s="257">
        <v>0</v>
      </c>
      <c r="F2641" s="257" t="s">
        <v>1470</v>
      </c>
      <c r="G2641" s="258" t="s">
        <v>1560</v>
      </c>
    </row>
    <row r="2642" spans="2:7" hidden="1" outlineLevel="1" x14ac:dyDescent="0.25">
      <c r="B2642" s="256" t="s">
        <v>75</v>
      </c>
      <c r="C2642" s="257" t="s">
        <v>1530</v>
      </c>
      <c r="D2642" s="257" t="s">
        <v>1486</v>
      </c>
      <c r="E2642" s="257">
        <v>0</v>
      </c>
      <c r="F2642" s="257" t="s">
        <v>1470</v>
      </c>
      <c r="G2642" s="258" t="s">
        <v>1531</v>
      </c>
    </row>
    <row r="2643" spans="2:7" hidden="1" outlineLevel="1" x14ac:dyDescent="0.25">
      <c r="B2643" s="256" t="s">
        <v>62</v>
      </c>
      <c r="C2643" s="257" t="s">
        <v>1525</v>
      </c>
      <c r="D2643" s="257" t="s">
        <v>1489</v>
      </c>
      <c r="E2643" s="257">
        <v>0</v>
      </c>
      <c r="F2643" s="257"/>
      <c r="G2643" s="258"/>
    </row>
    <row r="2644" spans="2:7" hidden="1" outlineLevel="1" x14ac:dyDescent="0.25">
      <c r="B2644" s="256" t="s">
        <v>315</v>
      </c>
      <c r="C2644" s="257" t="s">
        <v>1733</v>
      </c>
      <c r="D2644" s="257" t="s">
        <v>1486</v>
      </c>
      <c r="E2644" s="257">
        <v>0</v>
      </c>
      <c r="F2644" s="257"/>
      <c r="G2644" s="258"/>
    </row>
    <row r="2645" spans="2:7" hidden="1" outlineLevel="1" x14ac:dyDescent="0.25">
      <c r="B2645" s="256" t="s">
        <v>131</v>
      </c>
      <c r="C2645" s="257" t="s">
        <v>1568</v>
      </c>
      <c r="D2645" s="257" t="s">
        <v>1486</v>
      </c>
      <c r="E2645" s="257">
        <v>0</v>
      </c>
      <c r="F2645" s="257" t="s">
        <v>1470</v>
      </c>
      <c r="G2645" s="258" t="s">
        <v>1569</v>
      </c>
    </row>
    <row r="2646" spans="2:7" hidden="1" outlineLevel="1" x14ac:dyDescent="0.25">
      <c r="B2646" s="256" t="s">
        <v>132</v>
      </c>
      <c r="C2646" s="257" t="s">
        <v>1570</v>
      </c>
      <c r="D2646" s="257" t="s">
        <v>1486</v>
      </c>
      <c r="E2646" s="257">
        <v>0</v>
      </c>
      <c r="F2646" s="257" t="s">
        <v>1470</v>
      </c>
      <c r="G2646" s="258" t="s">
        <v>1571</v>
      </c>
    </row>
    <row r="2647" spans="2:7" hidden="1" outlineLevel="1" x14ac:dyDescent="0.25">
      <c r="B2647" s="256" t="s">
        <v>316</v>
      </c>
      <c r="C2647" s="257" t="s">
        <v>1734</v>
      </c>
      <c r="D2647" s="257" t="s">
        <v>1486</v>
      </c>
      <c r="E2647" s="257">
        <v>0</v>
      </c>
      <c r="F2647" s="257"/>
      <c r="G2647" s="258"/>
    </row>
    <row r="2648" spans="2:7" hidden="1" outlineLevel="1" x14ac:dyDescent="0.25">
      <c r="B2648" s="256" t="s">
        <v>317</v>
      </c>
      <c r="C2648" s="257" t="s">
        <v>1735</v>
      </c>
      <c r="D2648" s="257" t="s">
        <v>1486</v>
      </c>
      <c r="E2648" s="257">
        <v>0</v>
      </c>
      <c r="F2648" s="257"/>
      <c r="G2648" s="258"/>
    </row>
    <row r="2649" spans="2:7" hidden="1" outlineLevel="1" x14ac:dyDescent="0.25">
      <c r="B2649" s="256" t="s">
        <v>133</v>
      </c>
      <c r="C2649" s="257" t="s">
        <v>1572</v>
      </c>
      <c r="D2649" s="257" t="s">
        <v>1486</v>
      </c>
      <c r="E2649" s="257">
        <v>0</v>
      </c>
      <c r="F2649" s="257" t="s">
        <v>1470</v>
      </c>
      <c r="G2649" s="258"/>
    </row>
    <row r="2650" spans="2:7" hidden="1" outlineLevel="1" x14ac:dyDescent="0.25">
      <c r="B2650" s="256" t="s">
        <v>134</v>
      </c>
      <c r="C2650" s="257" t="s">
        <v>1573</v>
      </c>
      <c r="D2650" s="257" t="s">
        <v>1486</v>
      </c>
      <c r="E2650" s="257">
        <v>0</v>
      </c>
      <c r="F2650" s="257" t="s">
        <v>1470</v>
      </c>
      <c r="G2650" s="258"/>
    </row>
    <row r="2651" spans="2:7" hidden="1" outlineLevel="1" x14ac:dyDescent="0.25">
      <c r="B2651" s="256" t="s">
        <v>318</v>
      </c>
      <c r="C2651" s="257" t="s">
        <v>1736</v>
      </c>
      <c r="D2651" s="257" t="s">
        <v>1486</v>
      </c>
      <c r="E2651" s="257">
        <v>0</v>
      </c>
      <c r="F2651" s="257"/>
      <c r="G2651" s="258"/>
    </row>
    <row r="2652" spans="2:7" hidden="1" outlineLevel="1" x14ac:dyDescent="0.25">
      <c r="B2652" s="256" t="s">
        <v>319</v>
      </c>
      <c r="C2652" s="257" t="s">
        <v>1737</v>
      </c>
      <c r="D2652" s="257" t="s">
        <v>1486</v>
      </c>
      <c r="E2652" s="257">
        <v>0</v>
      </c>
      <c r="F2652" s="257"/>
      <c r="G2652" s="258"/>
    </row>
    <row r="2653" spans="2:7" hidden="1" outlineLevel="1" x14ac:dyDescent="0.25">
      <c r="B2653" s="256" t="s">
        <v>135</v>
      </c>
      <c r="C2653" s="257" t="s">
        <v>1574</v>
      </c>
      <c r="D2653" s="257" t="s">
        <v>1486</v>
      </c>
      <c r="E2653" s="257">
        <v>0</v>
      </c>
      <c r="F2653" s="257" t="s">
        <v>1470</v>
      </c>
      <c r="G2653" s="258"/>
    </row>
    <row r="2654" spans="2:7" hidden="1" outlineLevel="1" x14ac:dyDescent="0.25">
      <c r="B2654" s="256" t="s">
        <v>136</v>
      </c>
      <c r="C2654" s="257" t="s">
        <v>1575</v>
      </c>
      <c r="D2654" s="257" t="s">
        <v>1486</v>
      </c>
      <c r="E2654" s="257">
        <v>0</v>
      </c>
      <c r="F2654" s="257" t="s">
        <v>1470</v>
      </c>
      <c r="G2654" s="258"/>
    </row>
    <row r="2655" spans="2:7" hidden="1" outlineLevel="1" x14ac:dyDescent="0.25">
      <c r="B2655" s="256" t="s">
        <v>137</v>
      </c>
      <c r="C2655" s="257" t="s">
        <v>1576</v>
      </c>
      <c r="D2655" s="257" t="s">
        <v>1486</v>
      </c>
      <c r="E2655" s="257">
        <v>0</v>
      </c>
      <c r="F2655" s="257" t="s">
        <v>1470</v>
      </c>
      <c r="G2655" s="258"/>
    </row>
    <row r="2656" spans="2:7" hidden="1" outlineLevel="1" x14ac:dyDescent="0.25">
      <c r="B2656" s="256" t="s">
        <v>138</v>
      </c>
      <c r="C2656" s="257" t="s">
        <v>1577</v>
      </c>
      <c r="D2656" s="257" t="s">
        <v>1486</v>
      </c>
      <c r="E2656" s="257">
        <v>0</v>
      </c>
      <c r="F2656" s="257" t="s">
        <v>1470</v>
      </c>
      <c r="G2656" s="258"/>
    </row>
    <row r="2657" spans="2:7" hidden="1" outlineLevel="1" x14ac:dyDescent="0.25">
      <c r="B2657" s="256" t="s">
        <v>320</v>
      </c>
      <c r="C2657" s="257" t="s">
        <v>1738</v>
      </c>
      <c r="D2657" s="257" t="s">
        <v>1486</v>
      </c>
      <c r="E2657" s="257">
        <v>0</v>
      </c>
      <c r="F2657" s="257"/>
      <c r="G2657" s="258"/>
    </row>
    <row r="2658" spans="2:7" hidden="1" outlineLevel="1" x14ac:dyDescent="0.25">
      <c r="B2658" s="256" t="s">
        <v>321</v>
      </c>
      <c r="C2658" s="257" t="s">
        <v>1739</v>
      </c>
      <c r="D2658" s="257" t="s">
        <v>1486</v>
      </c>
      <c r="E2658" s="257">
        <v>0</v>
      </c>
      <c r="F2658" s="257"/>
      <c r="G2658" s="258"/>
    </row>
    <row r="2659" spans="2:7" hidden="1" outlineLevel="1" x14ac:dyDescent="0.25">
      <c r="B2659" s="256" t="s">
        <v>322</v>
      </c>
      <c r="C2659" s="257" t="s">
        <v>1740</v>
      </c>
      <c r="D2659" s="257" t="s">
        <v>1486</v>
      </c>
      <c r="E2659" s="257">
        <v>0</v>
      </c>
      <c r="F2659" s="257" t="s">
        <v>1470</v>
      </c>
      <c r="G2659" s="258"/>
    </row>
    <row r="2660" spans="2:7" hidden="1" outlineLevel="1" x14ac:dyDescent="0.25">
      <c r="B2660" s="256" t="s">
        <v>323</v>
      </c>
      <c r="C2660" s="257" t="s">
        <v>1741</v>
      </c>
      <c r="D2660" s="257" t="s">
        <v>1486</v>
      </c>
      <c r="E2660" s="257">
        <v>0</v>
      </c>
      <c r="F2660" s="257" t="s">
        <v>1470</v>
      </c>
      <c r="G2660" s="258"/>
    </row>
    <row r="2661" spans="2:7" hidden="1" outlineLevel="1" x14ac:dyDescent="0.25">
      <c r="B2661" s="256" t="s">
        <v>117</v>
      </c>
      <c r="C2661" s="257" t="s">
        <v>1561</v>
      </c>
      <c r="D2661" s="257" t="s">
        <v>1489</v>
      </c>
      <c r="E2661" s="257">
        <v>0</v>
      </c>
      <c r="F2661" s="257" t="s">
        <v>1470</v>
      </c>
      <c r="G2661" s="258"/>
    </row>
    <row r="2662" spans="2:7" hidden="1" outlineLevel="1" x14ac:dyDescent="0.25">
      <c r="B2662" s="256" t="s">
        <v>24</v>
      </c>
      <c r="C2662" s="257" t="s">
        <v>1491</v>
      </c>
      <c r="D2662" s="257" t="s">
        <v>1489</v>
      </c>
      <c r="E2662" s="257">
        <v>0</v>
      </c>
      <c r="F2662" s="257" t="s">
        <v>1470</v>
      </c>
      <c r="G2662" s="258"/>
    </row>
    <row r="2663" spans="2:7" hidden="1" outlineLevel="1" x14ac:dyDescent="0.25">
      <c r="B2663" s="256" t="s">
        <v>140</v>
      </c>
      <c r="C2663" s="257" t="s">
        <v>1578</v>
      </c>
      <c r="D2663" s="257" t="s">
        <v>1489</v>
      </c>
      <c r="E2663" s="257">
        <v>0</v>
      </c>
      <c r="F2663" s="257" t="s">
        <v>1470</v>
      </c>
      <c r="G2663" s="258"/>
    </row>
    <row r="2664" spans="2:7" hidden="1" outlineLevel="1" x14ac:dyDescent="0.25">
      <c r="B2664" s="256" t="s">
        <v>141</v>
      </c>
      <c r="C2664" s="257" t="s">
        <v>1579</v>
      </c>
      <c r="D2664" s="257" t="s">
        <v>1489</v>
      </c>
      <c r="E2664" s="257">
        <v>0</v>
      </c>
      <c r="F2664" s="257" t="s">
        <v>1470</v>
      </c>
      <c r="G2664" s="258"/>
    </row>
    <row r="2665" spans="2:7" hidden="1" outlineLevel="1" x14ac:dyDescent="0.25">
      <c r="B2665" s="256" t="s">
        <v>324</v>
      </c>
      <c r="C2665" s="257" t="s">
        <v>1742</v>
      </c>
      <c r="D2665" s="257" t="s">
        <v>1486</v>
      </c>
      <c r="E2665" s="257">
        <v>0</v>
      </c>
      <c r="F2665" s="257" t="s">
        <v>1470</v>
      </c>
      <c r="G2665" s="258"/>
    </row>
    <row r="2666" spans="2:7" hidden="1" outlineLevel="1" x14ac:dyDescent="0.25">
      <c r="B2666" s="256" t="s">
        <v>147</v>
      </c>
      <c r="C2666" s="257" t="s">
        <v>1586</v>
      </c>
      <c r="D2666" s="257" t="s">
        <v>1489</v>
      </c>
      <c r="E2666" s="257">
        <v>0</v>
      </c>
      <c r="F2666" s="257"/>
      <c r="G2666" s="258"/>
    </row>
    <row r="2667" spans="2:7" hidden="1" outlineLevel="1" x14ac:dyDescent="0.25">
      <c r="B2667" s="256" t="s">
        <v>268</v>
      </c>
      <c r="C2667" s="257" t="s">
        <v>1695</v>
      </c>
      <c r="D2667" s="257" t="s">
        <v>1489</v>
      </c>
      <c r="E2667" s="257">
        <v>0</v>
      </c>
      <c r="F2667" s="257" t="s">
        <v>1470</v>
      </c>
      <c r="G2667" s="258"/>
    </row>
    <row r="2668" spans="2:7" hidden="1" outlineLevel="1" x14ac:dyDescent="0.25">
      <c r="B2668" s="256" t="s">
        <v>148</v>
      </c>
      <c r="C2668" s="257" t="s">
        <v>1587</v>
      </c>
      <c r="D2668" s="257" t="s">
        <v>1486</v>
      </c>
      <c r="E2668" s="257">
        <v>0</v>
      </c>
      <c r="F2668" s="257" t="s">
        <v>1470</v>
      </c>
      <c r="G2668" s="258"/>
    </row>
    <row r="2669" spans="2:7" hidden="1" outlineLevel="1" x14ac:dyDescent="0.25">
      <c r="B2669" s="256" t="s">
        <v>146</v>
      </c>
      <c r="C2669" s="257" t="s">
        <v>1585</v>
      </c>
      <c r="D2669" s="257" t="s">
        <v>1489</v>
      </c>
      <c r="E2669" s="257">
        <v>0</v>
      </c>
      <c r="F2669" s="257"/>
      <c r="G2669" s="258"/>
    </row>
    <row r="2670" spans="2:7" hidden="1" outlineLevel="1" x14ac:dyDescent="0.25">
      <c r="B2670" s="256" t="s">
        <v>325</v>
      </c>
      <c r="C2670" s="257" t="s">
        <v>1743</v>
      </c>
      <c r="D2670" s="257" t="s">
        <v>1539</v>
      </c>
      <c r="E2670" s="257">
        <v>0</v>
      </c>
      <c r="F2670" s="257"/>
      <c r="G2670" s="258"/>
    </row>
    <row r="2671" spans="2:7" hidden="1" outlineLevel="1" x14ac:dyDescent="0.25">
      <c r="B2671" s="256" t="s">
        <v>326</v>
      </c>
      <c r="C2671" s="257" t="s">
        <v>1744</v>
      </c>
      <c r="D2671" s="257" t="s">
        <v>1539</v>
      </c>
      <c r="E2671" s="257">
        <v>0</v>
      </c>
      <c r="F2671" s="257"/>
      <c r="G2671" s="258"/>
    </row>
    <row r="2672" spans="2:7" hidden="1" outlineLevel="1" x14ac:dyDescent="0.25">
      <c r="B2672" s="280" t="s">
        <v>115</v>
      </c>
      <c r="C2672" s="262" t="s">
        <v>1558</v>
      </c>
      <c r="D2672" s="262" t="s">
        <v>1539</v>
      </c>
      <c r="E2672" s="262">
        <v>0</v>
      </c>
      <c r="F2672" s="262" t="s">
        <v>1470</v>
      </c>
      <c r="G2672" s="263"/>
    </row>
    <row r="2673" spans="1:27" hidden="1" outlineLevel="1" x14ac:dyDescent="0.25">
      <c r="B2673" s="280" t="s">
        <v>327</v>
      </c>
      <c r="C2673" s="262" t="s">
        <v>1745</v>
      </c>
      <c r="D2673" s="262" t="s">
        <v>1539</v>
      </c>
      <c r="E2673" s="262">
        <v>0</v>
      </c>
      <c r="F2673" s="262" t="s">
        <v>1470</v>
      </c>
      <c r="G2673" s="263"/>
    </row>
    <row r="2674" spans="1:27" hidden="1" outlineLevel="1" x14ac:dyDescent="0.25">
      <c r="B2674" s="280" t="s">
        <v>90</v>
      </c>
      <c r="C2674" s="262" t="s">
        <v>1538</v>
      </c>
      <c r="D2674" s="262" t="s">
        <v>1539</v>
      </c>
      <c r="E2674" s="262">
        <v>0</v>
      </c>
      <c r="F2674" s="262" t="s">
        <v>1470</v>
      </c>
      <c r="G2674" s="263" t="s">
        <v>1540</v>
      </c>
    </row>
    <row r="2675" spans="1:27" hidden="1" outlineLevel="1" x14ac:dyDescent="0.25">
      <c r="B2675" s="256" t="s">
        <v>95</v>
      </c>
      <c r="C2675" s="257" t="s">
        <v>1542</v>
      </c>
      <c r="D2675" s="257" t="s">
        <v>1494</v>
      </c>
      <c r="E2675" s="257">
        <v>0</v>
      </c>
      <c r="F2675" s="257"/>
      <c r="G2675" s="258"/>
    </row>
    <row r="2676" spans="1:27" hidden="1" outlineLevel="1" x14ac:dyDescent="0.25">
      <c r="B2676" s="201"/>
      <c r="C2676" s="201"/>
      <c r="D2676" s="265"/>
      <c r="E2676" s="265"/>
      <c r="F2676" s="265"/>
      <c r="G2676" s="266"/>
    </row>
    <row r="2677" spans="1:27" hidden="1" outlineLevel="1" x14ac:dyDescent="0.25">
      <c r="B2677" s="201"/>
      <c r="C2677" s="107"/>
      <c r="D2677" s="265"/>
      <c r="E2677" s="265"/>
      <c r="F2677" s="265"/>
      <c r="G2677" s="266"/>
    </row>
    <row r="2678" spans="1:27" hidden="1" outlineLevel="1" x14ac:dyDescent="0.25">
      <c r="B2678" s="201"/>
      <c r="C2678" s="201"/>
      <c r="D2678" s="265"/>
      <c r="E2678" s="265"/>
      <c r="F2678" s="265"/>
      <c r="G2678" s="266"/>
    </row>
    <row r="2679" spans="1:27" s="3" customFormat="1" ht="16.2" hidden="1" outlineLevel="1" thickBot="1" x14ac:dyDescent="0.3">
      <c r="B2679" s="267"/>
      <c r="C2679" s="268"/>
      <c r="D2679" s="268"/>
      <c r="E2679" s="268"/>
      <c r="F2679" s="268"/>
      <c r="G2679" s="269"/>
    </row>
    <row r="2680" spans="1:27" s="3" customFormat="1" ht="17.399999999999999" hidden="1" customHeight="1" outlineLevel="1" x14ac:dyDescent="0.25">
      <c r="A2680" s="5"/>
      <c r="B2680" s="401" t="s">
        <v>29</v>
      </c>
      <c r="C2680" s="402"/>
      <c r="D2680" s="402"/>
      <c r="E2680" s="402"/>
      <c r="F2680" s="402"/>
      <c r="G2680" s="403"/>
    </row>
    <row r="2681" spans="1:27" s="3" customFormat="1" hidden="1" outlineLevel="1" x14ac:dyDescent="0.25">
      <c r="B2681" s="28"/>
      <c r="C2681" s="29"/>
      <c r="D2681" s="29"/>
      <c r="E2681" s="29"/>
      <c r="F2681" s="29"/>
      <c r="G2681" s="30"/>
    </row>
    <row r="2682" spans="1:27" s="7" customFormat="1" ht="16.5" hidden="1" customHeight="1" outlineLevel="1" x14ac:dyDescent="0.25">
      <c r="A2682" s="14"/>
      <c r="B2682" s="308" t="s">
        <v>559</v>
      </c>
      <c r="C2682" s="309"/>
      <c r="D2682" s="309"/>
      <c r="E2682" s="309"/>
      <c r="F2682" s="309"/>
      <c r="G2682" s="310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T2682" s="14"/>
      <c r="U2682" s="14"/>
      <c r="V2682" s="14"/>
      <c r="W2682" s="14"/>
      <c r="X2682" s="14"/>
      <c r="Y2682" s="14"/>
      <c r="Z2682" s="14"/>
      <c r="AA2682" s="14"/>
    </row>
    <row r="2683" spans="1:27" s="7" customFormat="1" ht="17.399999999999999" hidden="1" customHeight="1" outlineLevel="1" thickBot="1" x14ac:dyDescent="0.3">
      <c r="A2683" s="14"/>
      <c r="B2683" s="305" t="s">
        <v>560</v>
      </c>
      <c r="C2683" s="306"/>
      <c r="D2683" s="306"/>
      <c r="E2683" s="306"/>
      <c r="F2683" s="306"/>
      <c r="G2683" s="307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4"/>
      <c r="AA2683" s="14"/>
    </row>
    <row r="2684" spans="1:27" s="7" customFormat="1" ht="16.5" hidden="1" customHeight="1" outlineLevel="1" x14ac:dyDescent="0.25">
      <c r="A2684" s="14"/>
      <c r="B2684" s="308" t="s">
        <v>561</v>
      </c>
      <c r="C2684" s="309"/>
      <c r="D2684" s="309"/>
      <c r="E2684" s="309"/>
      <c r="F2684" s="309"/>
      <c r="G2684" s="310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T2684" s="14"/>
      <c r="U2684" s="14"/>
      <c r="V2684" s="14"/>
      <c r="W2684" s="14"/>
      <c r="X2684" s="14"/>
      <c r="Y2684" s="14"/>
      <c r="Z2684" s="14"/>
      <c r="AA2684" s="14"/>
    </row>
    <row r="2685" spans="1:27" s="3" customFormat="1" hidden="1" outlineLevel="1" x14ac:dyDescent="0.25">
      <c r="B2685" s="28"/>
      <c r="C2685" s="29"/>
      <c r="D2685" s="29"/>
      <c r="E2685" s="29"/>
      <c r="F2685" s="29"/>
      <c r="G2685" s="30"/>
    </row>
    <row r="2686" spans="1:27" s="3" customFormat="1" hidden="1" outlineLevel="1" x14ac:dyDescent="0.25">
      <c r="B2686" s="28"/>
      <c r="C2686" s="29"/>
      <c r="D2686" s="29"/>
      <c r="E2686" s="29"/>
      <c r="F2686" s="29"/>
      <c r="G2686" s="30"/>
    </row>
    <row r="2687" spans="1:27" s="3" customFormat="1" hidden="1" outlineLevel="1" x14ac:dyDescent="0.25">
      <c r="B2687" s="28"/>
      <c r="C2687" s="29"/>
      <c r="D2687" s="29"/>
      <c r="E2687" s="29"/>
      <c r="F2687" s="29"/>
      <c r="G2687" s="30"/>
    </row>
    <row r="2688" spans="1:27" s="3" customFormat="1" hidden="1" outlineLevel="1" x14ac:dyDescent="0.25">
      <c r="B2688" s="28"/>
      <c r="C2688" s="29"/>
      <c r="D2688" s="29"/>
      <c r="E2688" s="29"/>
      <c r="F2688" s="29"/>
      <c r="G2688" s="30"/>
    </row>
    <row r="2689" spans="1:14" s="3" customFormat="1" hidden="1" outlineLevel="1" x14ac:dyDescent="0.25">
      <c r="B2689" s="28"/>
      <c r="C2689" s="29"/>
      <c r="D2689" s="29"/>
      <c r="E2689" s="29"/>
      <c r="F2689" s="29"/>
      <c r="G2689" s="30"/>
    </row>
    <row r="2690" spans="1:14" s="3" customFormat="1" hidden="1" outlineLevel="1" x14ac:dyDescent="0.25">
      <c r="B2690" s="28"/>
      <c r="C2690" s="29"/>
      <c r="D2690" s="29"/>
      <c r="E2690" s="29"/>
      <c r="F2690" s="29"/>
      <c r="G2690" s="30"/>
    </row>
    <row r="2691" spans="1:14" s="3" customFormat="1" hidden="1" outlineLevel="1" x14ac:dyDescent="0.25">
      <c r="B2691" s="28" t="s">
        <v>684</v>
      </c>
      <c r="C2691" s="29"/>
      <c r="D2691" s="29"/>
      <c r="E2691" s="29"/>
      <c r="F2691" s="29"/>
      <c r="G2691" s="375" t="s">
        <v>2458</v>
      </c>
    </row>
    <row r="2692" spans="1:14" s="3" customFormat="1" ht="16.2" hidden="1" outlineLevel="1" thickBot="1" x14ac:dyDescent="0.3">
      <c r="B2692" s="163"/>
      <c r="C2692" s="164"/>
      <c r="D2692" s="164"/>
      <c r="E2692" s="164"/>
      <c r="F2692" s="164"/>
      <c r="G2692" s="165"/>
    </row>
    <row r="2693" spans="1:14" s="3" customFormat="1" ht="17.399999999999999" hidden="1" customHeight="1" outlineLevel="1" x14ac:dyDescent="0.25"/>
    <row r="2694" spans="1:14" ht="16.2" hidden="1" outlineLevel="1" thickBot="1" x14ac:dyDescent="0.3"/>
    <row r="2695" spans="1:14" s="3" customFormat="1" ht="18" customHeight="1" collapsed="1" thickBot="1" x14ac:dyDescent="0.3">
      <c r="A2695" s="5"/>
      <c r="B2695" s="15" t="s">
        <v>1279</v>
      </c>
      <c r="C2695" s="16" t="s">
        <v>2044</v>
      </c>
      <c r="D2695" s="17" t="s">
        <v>1281</v>
      </c>
      <c r="E2695" s="29" t="s">
        <v>685</v>
      </c>
      <c r="F2695" s="17" t="s">
        <v>1282</v>
      </c>
      <c r="G2695" s="18" t="s">
        <v>2045</v>
      </c>
    </row>
    <row r="2696" spans="1:14" s="3" customFormat="1" ht="17.399999999999999" hidden="1" customHeight="1" outlineLevel="1" x14ac:dyDescent="0.25">
      <c r="A2696" s="5"/>
      <c r="B2696" s="19" t="s">
        <v>1284</v>
      </c>
      <c r="C2696" s="20" t="s">
        <v>1285</v>
      </c>
      <c r="D2696" s="21" t="s">
        <v>1286</v>
      </c>
      <c r="E2696" s="20" t="s">
        <v>2046</v>
      </c>
      <c r="F2696" s="21" t="s">
        <v>1288</v>
      </c>
      <c r="G2696" s="22" t="s">
        <v>2335</v>
      </c>
    </row>
    <row r="2697" spans="1:14" s="3" customFormat="1" ht="17.399999999999999" hidden="1" customHeight="1" outlineLevel="1" thickBot="1" x14ac:dyDescent="0.3">
      <c r="A2697" s="5"/>
      <c r="B2697" s="19" t="s">
        <v>1290</v>
      </c>
      <c r="C2697" s="23" t="s">
        <v>1291</v>
      </c>
      <c r="D2697" s="21" t="s">
        <v>1292</v>
      </c>
      <c r="E2697" s="23">
        <v>5</v>
      </c>
      <c r="F2697" s="21" t="s">
        <v>1293</v>
      </c>
      <c r="G2697" s="24" t="s">
        <v>1294</v>
      </c>
    </row>
    <row r="2698" spans="1:14" s="3" customFormat="1" ht="17.399999999999999" hidden="1" customHeight="1" outlineLevel="1" x14ac:dyDescent="0.25">
      <c r="A2698" s="5"/>
      <c r="B2698" s="401" t="s">
        <v>1</v>
      </c>
      <c r="C2698" s="402"/>
      <c r="D2698" s="402"/>
      <c r="E2698" s="402"/>
      <c r="F2698" s="402"/>
      <c r="G2698" s="403"/>
    </row>
    <row r="2699" spans="1:14" s="3" customFormat="1" ht="17.399999999999999" hidden="1" customHeight="1" outlineLevel="1" x14ac:dyDescent="0.25">
      <c r="A2699" s="5"/>
      <c r="B2699" s="25" t="s">
        <v>2</v>
      </c>
      <c r="C2699" s="26" t="s">
        <v>3</v>
      </c>
      <c r="D2699" s="26" t="s">
        <v>4</v>
      </c>
      <c r="E2699" s="26" t="s">
        <v>5</v>
      </c>
      <c r="F2699" s="26"/>
      <c r="G2699" s="27" t="s">
        <v>6</v>
      </c>
    </row>
    <row r="2700" spans="1:14" s="3" customFormat="1" hidden="1" outlineLevel="1" x14ac:dyDescent="0.25">
      <c r="A2700" s="5"/>
      <c r="B2700" s="31" t="s">
        <v>162</v>
      </c>
      <c r="C2700" s="20" t="s">
        <v>1589</v>
      </c>
      <c r="D2700" s="20" t="s">
        <v>1469</v>
      </c>
      <c r="E2700" s="20">
        <v>0</v>
      </c>
      <c r="F2700" s="20"/>
      <c r="G2700" s="22" t="s">
        <v>1590</v>
      </c>
    </row>
    <row r="2701" spans="1:14" s="3" customFormat="1" hidden="1" outlineLevel="1" x14ac:dyDescent="0.25">
      <c r="A2701" s="5"/>
      <c r="B2701" s="31" t="s">
        <v>163</v>
      </c>
      <c r="C2701" s="20" t="s">
        <v>1591</v>
      </c>
      <c r="D2701" s="20" t="s">
        <v>1469</v>
      </c>
      <c r="E2701" s="20">
        <v>0</v>
      </c>
      <c r="F2701" s="20"/>
      <c r="G2701" s="22" t="s">
        <v>1590</v>
      </c>
    </row>
    <row r="2702" spans="1:14" s="3" customFormat="1" hidden="1" outlineLevel="1" x14ac:dyDescent="0.25">
      <c r="B2702" s="28" t="s">
        <v>128</v>
      </c>
      <c r="C2702" s="29" t="s">
        <v>1566</v>
      </c>
      <c r="D2702" s="29" t="s">
        <v>1567</v>
      </c>
      <c r="E2702" s="29">
        <v>0</v>
      </c>
      <c r="F2702" s="29" t="s">
        <v>1470</v>
      </c>
      <c r="G2702" s="30"/>
      <c r="J2702" s="3" t="s">
        <v>12</v>
      </c>
      <c r="N2702" s="3">
        <v>1629</v>
      </c>
    </row>
    <row r="2703" spans="1:14" s="3" customFormat="1" hidden="1" outlineLevel="1" x14ac:dyDescent="0.25">
      <c r="B2703" s="28" t="s">
        <v>114</v>
      </c>
      <c r="C2703" s="29" t="s">
        <v>1557</v>
      </c>
      <c r="D2703" s="29" t="s">
        <v>1469</v>
      </c>
      <c r="E2703" s="29">
        <v>-1</v>
      </c>
      <c r="F2703" s="29" t="s">
        <v>1470</v>
      </c>
      <c r="G2703" s="30"/>
      <c r="J2703" s="3" t="s">
        <v>10</v>
      </c>
      <c r="N2703" s="3">
        <v>2449</v>
      </c>
    </row>
    <row r="2704" spans="1:14" s="3" customFormat="1" hidden="1" outlineLevel="1" x14ac:dyDescent="0.25">
      <c r="B2704" s="28" t="s">
        <v>7</v>
      </c>
      <c r="C2704" s="29" t="s">
        <v>1468</v>
      </c>
      <c r="D2704" s="29" t="s">
        <v>1469</v>
      </c>
      <c r="E2704" s="29">
        <v>0</v>
      </c>
      <c r="F2704" s="29" t="s">
        <v>1470</v>
      </c>
      <c r="G2704" s="30" t="s">
        <v>1471</v>
      </c>
      <c r="J2704" s="3" t="s">
        <v>10</v>
      </c>
      <c r="N2704" s="3">
        <v>1112</v>
      </c>
    </row>
    <row r="2705" spans="1:27" s="3" customFormat="1" ht="16.2" hidden="1" outlineLevel="1" thickBot="1" x14ac:dyDescent="0.3">
      <c r="B2705" s="28"/>
      <c r="C2705" s="29"/>
      <c r="D2705" s="29"/>
      <c r="E2705" s="29"/>
      <c r="F2705" s="29"/>
      <c r="G2705" s="30"/>
    </row>
    <row r="2706" spans="1:27" s="3" customFormat="1" ht="17.399999999999999" hidden="1" customHeight="1" outlineLevel="1" x14ac:dyDescent="0.25">
      <c r="A2706" s="5"/>
      <c r="B2706" s="401" t="s">
        <v>18</v>
      </c>
      <c r="C2706" s="402"/>
      <c r="D2706" s="402"/>
      <c r="E2706" s="402"/>
      <c r="F2706" s="402"/>
      <c r="G2706" s="403"/>
    </row>
    <row r="2707" spans="1:27" s="3" customFormat="1" ht="17.399999999999999" hidden="1" customHeight="1" outlineLevel="1" x14ac:dyDescent="0.25">
      <c r="A2707" s="5"/>
      <c r="B2707" s="25" t="s">
        <v>2</v>
      </c>
      <c r="C2707" s="26" t="s">
        <v>3</v>
      </c>
      <c r="D2707" s="26" t="s">
        <v>4</v>
      </c>
      <c r="E2707" s="26" t="s">
        <v>5</v>
      </c>
      <c r="F2707" s="26"/>
      <c r="G2707" s="27" t="s">
        <v>6</v>
      </c>
    </row>
    <row r="2708" spans="1:27" s="3" customFormat="1" ht="17.399999999999999" hidden="1" customHeight="1" outlineLevel="1" x14ac:dyDescent="0.25">
      <c r="A2708" s="5"/>
      <c r="B2708" s="270" t="s">
        <v>73</v>
      </c>
      <c r="C2708" s="271" t="s">
        <v>1528</v>
      </c>
      <c r="D2708" s="271" t="s">
        <v>1469</v>
      </c>
      <c r="E2708" s="271" t="s">
        <v>1480</v>
      </c>
      <c r="F2708" s="271" t="s">
        <v>1481</v>
      </c>
      <c r="G2708" s="272"/>
    </row>
    <row r="2709" spans="1:27" hidden="1" outlineLevel="1" x14ac:dyDescent="0.25">
      <c r="B2709" s="256" t="s">
        <v>74</v>
      </c>
      <c r="C2709" s="257" t="s">
        <v>1529</v>
      </c>
      <c r="D2709" s="257" t="s">
        <v>1469</v>
      </c>
      <c r="E2709" s="257" t="s">
        <v>1480</v>
      </c>
      <c r="F2709" s="257" t="s">
        <v>1481</v>
      </c>
      <c r="G2709" s="258"/>
    </row>
    <row r="2710" spans="1:27" hidden="1" outlineLevel="1" x14ac:dyDescent="0.25">
      <c r="B2710" s="256" t="s">
        <v>112</v>
      </c>
      <c r="C2710" s="259" t="s">
        <v>1555</v>
      </c>
      <c r="D2710" s="257" t="s">
        <v>1469</v>
      </c>
      <c r="E2710" s="257">
        <v>0</v>
      </c>
      <c r="F2710" s="257" t="s">
        <v>1470</v>
      </c>
      <c r="G2710" s="258" t="s">
        <v>1556</v>
      </c>
    </row>
    <row r="2711" spans="1:27" hidden="1" outlineLevel="1" x14ac:dyDescent="0.25">
      <c r="B2711" s="256" t="s">
        <v>7</v>
      </c>
      <c r="C2711" s="259" t="s">
        <v>1468</v>
      </c>
      <c r="D2711" s="257" t="s">
        <v>1469</v>
      </c>
      <c r="E2711" s="257">
        <v>0</v>
      </c>
      <c r="F2711" s="257" t="s">
        <v>1470</v>
      </c>
      <c r="G2711" s="258" t="s">
        <v>1471</v>
      </c>
    </row>
    <row r="2712" spans="1:27" hidden="1" outlineLevel="1" x14ac:dyDescent="0.25">
      <c r="B2712" s="28" t="s">
        <v>409</v>
      </c>
      <c r="C2712" s="29" t="s">
        <v>1805</v>
      </c>
      <c r="D2712" s="257" t="s">
        <v>1489</v>
      </c>
      <c r="E2712" s="257">
        <v>0</v>
      </c>
      <c r="F2712" s="257"/>
      <c r="G2712" s="258"/>
    </row>
    <row r="2713" spans="1:27" hidden="1" outlineLevel="1" x14ac:dyDescent="0.25">
      <c r="B2713" s="28" t="s">
        <v>410</v>
      </c>
      <c r="C2713" s="29" t="s">
        <v>1806</v>
      </c>
      <c r="D2713" s="257" t="s">
        <v>1489</v>
      </c>
      <c r="E2713" s="257">
        <v>0</v>
      </c>
      <c r="F2713" s="257" t="s">
        <v>1470</v>
      </c>
      <c r="G2713" s="258"/>
    </row>
    <row r="2714" spans="1:27" s="3" customFormat="1" hidden="1" outlineLevel="1" x14ac:dyDescent="0.25">
      <c r="B2714" s="28"/>
      <c r="C2714" s="29"/>
      <c r="D2714" s="29"/>
      <c r="E2714" s="29"/>
      <c r="F2714" s="29"/>
      <c r="G2714" s="30"/>
      <c r="H2714" s="273"/>
    </row>
    <row r="2715" spans="1:27" s="3" customFormat="1" ht="16.2" hidden="1" outlineLevel="1" thickBot="1" x14ac:dyDescent="0.3">
      <c r="B2715" s="267"/>
      <c r="C2715" s="268"/>
      <c r="D2715" s="268"/>
      <c r="E2715" s="268"/>
      <c r="F2715" s="268"/>
      <c r="G2715" s="269"/>
    </row>
    <row r="2716" spans="1:27" s="3" customFormat="1" ht="17.399999999999999" hidden="1" customHeight="1" outlineLevel="1" x14ac:dyDescent="0.25">
      <c r="A2716" s="5"/>
      <c r="B2716" s="401" t="s">
        <v>29</v>
      </c>
      <c r="C2716" s="402"/>
      <c r="D2716" s="402"/>
      <c r="E2716" s="402"/>
      <c r="F2716" s="402"/>
      <c r="G2716" s="403"/>
    </row>
    <row r="2717" spans="1:27" s="3" customFormat="1" hidden="1" outlineLevel="1" x14ac:dyDescent="0.25">
      <c r="B2717" s="28"/>
      <c r="C2717" s="29"/>
      <c r="D2717" s="29"/>
      <c r="E2717" s="29"/>
      <c r="F2717" s="29"/>
      <c r="G2717" s="30"/>
    </row>
    <row r="2718" spans="1:27" s="7" customFormat="1" ht="16.5" hidden="1" customHeight="1" outlineLevel="1" x14ac:dyDescent="0.25">
      <c r="A2718" s="14"/>
      <c r="B2718" s="308" t="s">
        <v>559</v>
      </c>
      <c r="C2718" s="309"/>
      <c r="D2718" s="309"/>
      <c r="E2718" s="309"/>
      <c r="F2718" s="309"/>
      <c r="G2718" s="310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14"/>
      <c r="S2718" s="14"/>
      <c r="T2718" s="14"/>
      <c r="U2718" s="14"/>
      <c r="V2718" s="14"/>
      <c r="W2718" s="14"/>
      <c r="X2718" s="14"/>
      <c r="Y2718" s="14"/>
      <c r="Z2718" s="14"/>
      <c r="AA2718" s="14"/>
    </row>
    <row r="2719" spans="1:27" s="7" customFormat="1" ht="17.399999999999999" hidden="1" customHeight="1" outlineLevel="1" thickBot="1" x14ac:dyDescent="0.3">
      <c r="A2719" s="14"/>
      <c r="B2719" s="305" t="s">
        <v>560</v>
      </c>
      <c r="C2719" s="306"/>
      <c r="D2719" s="306"/>
      <c r="E2719" s="306"/>
      <c r="F2719" s="306"/>
      <c r="G2719" s="307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T2719" s="14"/>
      <c r="U2719" s="14"/>
      <c r="V2719" s="14"/>
      <c r="W2719" s="14"/>
      <c r="X2719" s="14"/>
      <c r="Y2719" s="14"/>
      <c r="Z2719" s="14"/>
      <c r="AA2719" s="14"/>
    </row>
    <row r="2720" spans="1:27" s="7" customFormat="1" ht="16.5" hidden="1" customHeight="1" outlineLevel="1" x14ac:dyDescent="0.25">
      <c r="A2720" s="14"/>
      <c r="B2720" s="308" t="s">
        <v>561</v>
      </c>
      <c r="C2720" s="309"/>
      <c r="D2720" s="309"/>
      <c r="E2720" s="309"/>
      <c r="F2720" s="309"/>
      <c r="G2720" s="310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4"/>
      <c r="U2720" s="14"/>
      <c r="V2720" s="14"/>
      <c r="W2720" s="14"/>
      <c r="X2720" s="14"/>
      <c r="Y2720" s="14"/>
      <c r="Z2720" s="14"/>
      <c r="AA2720" s="14"/>
    </row>
    <row r="2721" spans="1:14" s="3" customFormat="1" hidden="1" outlineLevel="1" x14ac:dyDescent="0.25">
      <c r="B2721" s="28"/>
      <c r="C2721" s="29"/>
      <c r="D2721" s="29"/>
      <c r="E2721" s="29"/>
      <c r="F2721" s="29"/>
      <c r="G2721" s="30"/>
    </row>
    <row r="2722" spans="1:14" s="3" customFormat="1" hidden="1" outlineLevel="1" x14ac:dyDescent="0.25">
      <c r="B2722" s="28"/>
      <c r="C2722" s="29"/>
      <c r="D2722" s="29"/>
      <c r="E2722" s="29"/>
      <c r="F2722" s="29"/>
      <c r="G2722" s="30"/>
    </row>
    <row r="2723" spans="1:14" s="3" customFormat="1" hidden="1" outlineLevel="1" x14ac:dyDescent="0.25">
      <c r="B2723" s="28" t="s">
        <v>686</v>
      </c>
      <c r="C2723" s="29"/>
      <c r="D2723" s="29"/>
      <c r="E2723" s="29"/>
      <c r="F2723" s="29"/>
      <c r="G2723" s="375" t="s">
        <v>2459</v>
      </c>
    </row>
    <row r="2724" spans="1:14" s="3" customFormat="1" ht="16.2" hidden="1" outlineLevel="1" thickBot="1" x14ac:dyDescent="0.3">
      <c r="B2724" s="163"/>
      <c r="C2724" s="164"/>
      <c r="D2724" s="164"/>
      <c r="E2724" s="164"/>
      <c r="F2724" s="164"/>
      <c r="G2724" s="165"/>
    </row>
    <row r="2725" spans="1:14" hidden="1" outlineLevel="1" x14ac:dyDescent="0.25"/>
    <row r="2726" spans="1:14" ht="16.2" hidden="1" outlineLevel="1" thickBot="1" x14ac:dyDescent="0.3"/>
    <row r="2727" spans="1:14" s="3" customFormat="1" ht="18" customHeight="1" collapsed="1" thickBot="1" x14ac:dyDescent="0.3">
      <c r="A2727" s="5"/>
      <c r="B2727" s="15" t="s">
        <v>1279</v>
      </c>
      <c r="C2727" s="16" t="s">
        <v>2047</v>
      </c>
      <c r="D2727" s="17" t="s">
        <v>1281</v>
      </c>
      <c r="E2727" s="29" t="s">
        <v>687</v>
      </c>
      <c r="F2727" s="17" t="s">
        <v>1282</v>
      </c>
      <c r="G2727" s="18" t="s">
        <v>2048</v>
      </c>
    </row>
    <row r="2728" spans="1:14" s="3" customFormat="1" ht="17.399999999999999" hidden="1" customHeight="1" outlineLevel="1" x14ac:dyDescent="0.25">
      <c r="A2728" s="5"/>
      <c r="B2728" s="19" t="s">
        <v>1284</v>
      </c>
      <c r="C2728" s="20" t="s">
        <v>1285</v>
      </c>
      <c r="D2728" s="21" t="s">
        <v>1286</v>
      </c>
      <c r="E2728" s="20" t="s">
        <v>2049</v>
      </c>
      <c r="F2728" s="21" t="s">
        <v>1288</v>
      </c>
      <c r="G2728" s="22" t="s">
        <v>2335</v>
      </c>
    </row>
    <row r="2729" spans="1:14" s="3" customFormat="1" ht="17.399999999999999" hidden="1" customHeight="1" outlineLevel="1" thickBot="1" x14ac:dyDescent="0.3">
      <c r="A2729" s="5"/>
      <c r="B2729" s="19" t="s">
        <v>1290</v>
      </c>
      <c r="C2729" s="23" t="s">
        <v>1291</v>
      </c>
      <c r="D2729" s="21" t="s">
        <v>1292</v>
      </c>
      <c r="E2729" s="23">
        <v>5</v>
      </c>
      <c r="F2729" s="21" t="s">
        <v>1293</v>
      </c>
      <c r="G2729" s="24" t="s">
        <v>1294</v>
      </c>
    </row>
    <row r="2730" spans="1:14" s="3" customFormat="1" ht="17.399999999999999" hidden="1" customHeight="1" outlineLevel="1" x14ac:dyDescent="0.25">
      <c r="A2730" s="5"/>
      <c r="B2730" s="401" t="s">
        <v>1</v>
      </c>
      <c r="C2730" s="402"/>
      <c r="D2730" s="402"/>
      <c r="E2730" s="402"/>
      <c r="F2730" s="402"/>
      <c r="G2730" s="403"/>
    </row>
    <row r="2731" spans="1:14" s="3" customFormat="1" ht="17.399999999999999" hidden="1" customHeight="1" outlineLevel="1" x14ac:dyDescent="0.25">
      <c r="A2731" s="5"/>
      <c r="B2731" s="25" t="s">
        <v>2</v>
      </c>
      <c r="C2731" s="26" t="s">
        <v>3</v>
      </c>
      <c r="D2731" s="26" t="s">
        <v>4</v>
      </c>
      <c r="E2731" s="26" t="s">
        <v>5</v>
      </c>
      <c r="F2731" s="26"/>
      <c r="G2731" s="27" t="s">
        <v>6</v>
      </c>
    </row>
    <row r="2732" spans="1:14" s="3" customFormat="1" hidden="1" outlineLevel="1" x14ac:dyDescent="0.25">
      <c r="B2732" s="28" t="s">
        <v>7</v>
      </c>
      <c r="C2732" s="29" t="s">
        <v>1468</v>
      </c>
      <c r="D2732" s="29" t="s">
        <v>1469</v>
      </c>
      <c r="E2732" s="29">
        <v>0</v>
      </c>
      <c r="F2732" s="29" t="s">
        <v>1470</v>
      </c>
      <c r="G2732" s="30" t="s">
        <v>1471</v>
      </c>
      <c r="J2732" s="3" t="s">
        <v>10</v>
      </c>
      <c r="N2732" s="3">
        <v>1112</v>
      </c>
    </row>
    <row r="2733" spans="1:14" s="3" customFormat="1" ht="16.2" hidden="1" outlineLevel="1" thickBot="1" x14ac:dyDescent="0.3">
      <c r="B2733" s="28"/>
      <c r="C2733" s="29"/>
      <c r="D2733" s="29"/>
      <c r="E2733" s="29"/>
      <c r="F2733" s="29"/>
      <c r="G2733" s="30"/>
    </row>
    <row r="2734" spans="1:14" s="3" customFormat="1" ht="17.399999999999999" hidden="1" customHeight="1" outlineLevel="1" x14ac:dyDescent="0.25">
      <c r="A2734" s="5"/>
      <c r="B2734" s="401" t="s">
        <v>18</v>
      </c>
      <c r="C2734" s="402"/>
      <c r="D2734" s="402"/>
      <c r="E2734" s="402"/>
      <c r="F2734" s="402"/>
      <c r="G2734" s="403"/>
    </row>
    <row r="2735" spans="1:14" s="3" customFormat="1" ht="17.399999999999999" hidden="1" customHeight="1" outlineLevel="1" x14ac:dyDescent="0.25">
      <c r="A2735" s="5"/>
      <c r="B2735" s="25" t="s">
        <v>2</v>
      </c>
      <c r="C2735" s="26" t="s">
        <v>3</v>
      </c>
      <c r="D2735" s="26" t="s">
        <v>4</v>
      </c>
      <c r="E2735" s="26" t="s">
        <v>5</v>
      </c>
      <c r="F2735" s="26"/>
      <c r="G2735" s="27" t="s">
        <v>6</v>
      </c>
    </row>
    <row r="2736" spans="1:14" hidden="1" outlineLevel="1" x14ac:dyDescent="0.25">
      <c r="B2736" s="28" t="s">
        <v>213</v>
      </c>
      <c r="C2736" s="29" t="s">
        <v>1656</v>
      </c>
      <c r="D2736" s="257" t="s">
        <v>1489</v>
      </c>
      <c r="E2736" s="257">
        <v>0</v>
      </c>
      <c r="F2736" s="257" t="s">
        <v>2336</v>
      </c>
      <c r="G2736" s="258" t="s">
        <v>2353</v>
      </c>
    </row>
    <row r="2737" spans="1:14" ht="16.2" hidden="1" outlineLevel="1" thickBot="1" x14ac:dyDescent="0.3">
      <c r="B2737" s="28" t="s">
        <v>205</v>
      </c>
      <c r="C2737" s="29" t="s">
        <v>1640</v>
      </c>
      <c r="D2737" s="257" t="s">
        <v>1469</v>
      </c>
      <c r="E2737" s="257">
        <v>0</v>
      </c>
      <c r="F2737" s="257" t="s">
        <v>2341</v>
      </c>
      <c r="G2737" s="258" t="s">
        <v>2354</v>
      </c>
    </row>
    <row r="2738" spans="1:14" s="3" customFormat="1" ht="17.399999999999999" hidden="1" customHeight="1" outlineLevel="1" x14ac:dyDescent="0.25">
      <c r="A2738" s="5"/>
      <c r="B2738" s="401" t="s">
        <v>29</v>
      </c>
      <c r="C2738" s="402"/>
      <c r="D2738" s="402"/>
      <c r="E2738" s="402"/>
      <c r="F2738" s="402"/>
      <c r="G2738" s="403"/>
    </row>
    <row r="2739" spans="1:14" s="3" customFormat="1" hidden="1" outlineLevel="1" x14ac:dyDescent="0.25">
      <c r="B2739" s="28"/>
      <c r="C2739" s="29"/>
      <c r="D2739" s="29"/>
      <c r="E2739" s="29"/>
      <c r="F2739" s="29"/>
      <c r="G2739" s="30"/>
    </row>
    <row r="2740" spans="1:14" s="3" customFormat="1" hidden="1" outlineLevel="1" x14ac:dyDescent="0.25">
      <c r="B2740" s="28"/>
      <c r="C2740" s="29"/>
      <c r="D2740" s="29"/>
      <c r="E2740" s="29"/>
      <c r="F2740" s="29"/>
      <c r="G2740" s="30"/>
    </row>
    <row r="2741" spans="1:14" s="3" customFormat="1" hidden="1" outlineLevel="1" x14ac:dyDescent="0.25">
      <c r="B2741" s="28" t="s">
        <v>688</v>
      </c>
      <c r="C2741" s="29"/>
      <c r="D2741" s="29"/>
      <c r="E2741" s="29"/>
      <c r="F2741" s="29"/>
      <c r="G2741" s="375" t="s">
        <v>2460</v>
      </c>
    </row>
    <row r="2742" spans="1:14" s="3" customFormat="1" ht="16.2" hidden="1" outlineLevel="1" thickBot="1" x14ac:dyDescent="0.3">
      <c r="B2742" s="163"/>
      <c r="C2742" s="164"/>
      <c r="D2742" s="164"/>
      <c r="E2742" s="164"/>
      <c r="F2742" s="164"/>
      <c r="G2742" s="165"/>
    </row>
    <row r="2743" spans="1:14" hidden="1" outlineLevel="1" x14ac:dyDescent="0.25"/>
    <row r="2744" spans="1:14" ht="16.2" hidden="1" outlineLevel="1" thickBot="1" x14ac:dyDescent="0.3"/>
    <row r="2745" spans="1:14" s="3" customFormat="1" ht="18" customHeight="1" collapsed="1" thickBot="1" x14ac:dyDescent="0.3">
      <c r="A2745" s="5"/>
      <c r="B2745" s="15" t="s">
        <v>1279</v>
      </c>
      <c r="C2745" s="16" t="s">
        <v>2050</v>
      </c>
      <c r="D2745" s="17" t="s">
        <v>1281</v>
      </c>
      <c r="E2745" s="29" t="s">
        <v>689</v>
      </c>
      <c r="F2745" s="17" t="s">
        <v>1282</v>
      </c>
      <c r="G2745" s="18" t="s">
        <v>2051</v>
      </c>
    </row>
    <row r="2746" spans="1:14" s="3" customFormat="1" ht="17.399999999999999" hidden="1" customHeight="1" outlineLevel="1" x14ac:dyDescent="0.25">
      <c r="A2746" s="5"/>
      <c r="B2746" s="19" t="s">
        <v>1284</v>
      </c>
      <c r="C2746" s="20" t="s">
        <v>1285</v>
      </c>
      <c r="D2746" s="21" t="s">
        <v>1286</v>
      </c>
      <c r="E2746" s="20" t="s">
        <v>2052</v>
      </c>
      <c r="F2746" s="21" t="s">
        <v>1288</v>
      </c>
      <c r="G2746" s="22" t="s">
        <v>2335</v>
      </c>
    </row>
    <row r="2747" spans="1:14" s="3" customFormat="1" ht="17.399999999999999" hidden="1" customHeight="1" outlineLevel="1" thickBot="1" x14ac:dyDescent="0.3">
      <c r="A2747" s="5"/>
      <c r="B2747" s="19" t="s">
        <v>1290</v>
      </c>
      <c r="C2747" s="23"/>
      <c r="D2747" s="21" t="s">
        <v>1292</v>
      </c>
      <c r="E2747" s="23">
        <v>5</v>
      </c>
      <c r="F2747" s="21" t="s">
        <v>1293</v>
      </c>
      <c r="G2747" s="24" t="s">
        <v>1294</v>
      </c>
    </row>
    <row r="2748" spans="1:14" s="3" customFormat="1" ht="17.399999999999999" hidden="1" customHeight="1" outlineLevel="1" x14ac:dyDescent="0.25">
      <c r="A2748" s="5"/>
      <c r="B2748" s="401" t="s">
        <v>1</v>
      </c>
      <c r="C2748" s="402"/>
      <c r="D2748" s="402"/>
      <c r="E2748" s="402"/>
      <c r="F2748" s="402"/>
      <c r="G2748" s="403"/>
    </row>
    <row r="2749" spans="1:14" s="3" customFormat="1" ht="17.399999999999999" hidden="1" customHeight="1" outlineLevel="1" x14ac:dyDescent="0.25">
      <c r="A2749" s="5"/>
      <c r="B2749" s="25" t="s">
        <v>2</v>
      </c>
      <c r="C2749" s="26" t="s">
        <v>3</v>
      </c>
      <c r="D2749" s="26" t="s">
        <v>4</v>
      </c>
      <c r="E2749" s="26" t="s">
        <v>5</v>
      </c>
      <c r="F2749" s="26"/>
      <c r="G2749" s="27" t="s">
        <v>6</v>
      </c>
    </row>
    <row r="2750" spans="1:14" s="3" customFormat="1" hidden="1" outlineLevel="1" x14ac:dyDescent="0.25">
      <c r="B2750" s="28" t="s">
        <v>7</v>
      </c>
      <c r="C2750" s="29" t="s">
        <v>1468</v>
      </c>
      <c r="D2750" s="29" t="s">
        <v>1469</v>
      </c>
      <c r="E2750" s="29">
        <v>0</v>
      </c>
      <c r="F2750" s="29" t="s">
        <v>1470</v>
      </c>
      <c r="G2750" s="30" t="s">
        <v>1471</v>
      </c>
      <c r="J2750" s="3" t="s">
        <v>10</v>
      </c>
      <c r="N2750" s="3">
        <v>1112</v>
      </c>
    </row>
    <row r="2751" spans="1:14" s="3" customFormat="1" ht="16.2" hidden="1" outlineLevel="1" thickBot="1" x14ac:dyDescent="0.3">
      <c r="B2751" s="28"/>
      <c r="C2751" s="29"/>
      <c r="D2751" s="29"/>
      <c r="E2751" s="29"/>
      <c r="F2751" s="29"/>
      <c r="G2751" s="30"/>
    </row>
    <row r="2752" spans="1:14" s="3" customFormat="1" ht="17.399999999999999" hidden="1" customHeight="1" outlineLevel="1" x14ac:dyDescent="0.25">
      <c r="A2752" s="5"/>
      <c r="B2752" s="401" t="s">
        <v>18</v>
      </c>
      <c r="C2752" s="402"/>
      <c r="D2752" s="402"/>
      <c r="E2752" s="402"/>
      <c r="F2752" s="402"/>
      <c r="G2752" s="403"/>
    </row>
    <row r="2753" spans="1:8" s="3" customFormat="1" ht="17.399999999999999" hidden="1" customHeight="1" outlineLevel="1" x14ac:dyDescent="0.25">
      <c r="A2753" s="5"/>
      <c r="B2753" s="25" t="s">
        <v>2</v>
      </c>
      <c r="C2753" s="26" t="s">
        <v>3</v>
      </c>
      <c r="D2753" s="26" t="s">
        <v>4</v>
      </c>
      <c r="E2753" s="26" t="s">
        <v>5</v>
      </c>
      <c r="F2753" s="26"/>
      <c r="G2753" s="27" t="s">
        <v>6</v>
      </c>
    </row>
    <row r="2754" spans="1:8" hidden="1" outlineLevel="1" x14ac:dyDescent="0.25">
      <c r="B2754" s="28" t="s">
        <v>62</v>
      </c>
      <c r="C2754" s="29" t="s">
        <v>1525</v>
      </c>
      <c r="D2754" s="257" t="s">
        <v>1489</v>
      </c>
      <c r="E2754" s="257">
        <v>0</v>
      </c>
      <c r="F2754" s="257"/>
      <c r="G2754" s="258"/>
    </row>
    <row r="2755" spans="1:8" hidden="1" outlineLevel="1" x14ac:dyDescent="0.25">
      <c r="B2755" s="28" t="s">
        <v>117</v>
      </c>
      <c r="C2755" s="29" t="s">
        <v>1561</v>
      </c>
      <c r="D2755" s="257" t="s">
        <v>1489</v>
      </c>
      <c r="E2755" s="257">
        <v>0</v>
      </c>
      <c r="F2755" s="257" t="s">
        <v>1470</v>
      </c>
      <c r="G2755" s="258"/>
    </row>
    <row r="2756" spans="1:8" s="3" customFormat="1" ht="16.2" hidden="1" outlineLevel="1" thickBot="1" x14ac:dyDescent="0.3">
      <c r="B2756" s="28" t="s">
        <v>528</v>
      </c>
      <c r="C2756" s="29" t="s">
        <v>2344</v>
      </c>
      <c r="D2756" s="29" t="s">
        <v>2345</v>
      </c>
      <c r="E2756" s="29">
        <v>0</v>
      </c>
      <c r="F2756" s="29"/>
      <c r="G2756" s="30"/>
      <c r="H2756" s="273"/>
    </row>
    <row r="2757" spans="1:8" s="3" customFormat="1" ht="17.399999999999999" hidden="1" customHeight="1" outlineLevel="1" x14ac:dyDescent="0.25">
      <c r="A2757" s="5"/>
      <c r="B2757" s="401" t="s">
        <v>29</v>
      </c>
      <c r="C2757" s="402"/>
      <c r="D2757" s="402"/>
      <c r="E2757" s="402"/>
      <c r="F2757" s="402"/>
      <c r="G2757" s="403"/>
    </row>
    <row r="2758" spans="1:8" s="3" customFormat="1" hidden="1" outlineLevel="1" x14ac:dyDescent="0.25">
      <c r="B2758" s="28"/>
      <c r="C2758" s="29"/>
      <c r="D2758" s="29"/>
      <c r="E2758" s="29"/>
      <c r="F2758" s="29"/>
      <c r="G2758" s="30"/>
    </row>
    <row r="2759" spans="1:8" s="3" customFormat="1" hidden="1" outlineLevel="1" x14ac:dyDescent="0.25">
      <c r="B2759" s="28"/>
      <c r="C2759" s="29"/>
      <c r="D2759" s="29"/>
      <c r="E2759" s="29"/>
      <c r="F2759" s="29"/>
      <c r="G2759" s="30"/>
    </row>
    <row r="2760" spans="1:8" s="3" customFormat="1" hidden="1" outlineLevel="1" x14ac:dyDescent="0.25">
      <c r="B2760" s="28" t="s">
        <v>690</v>
      </c>
      <c r="C2760" s="29"/>
      <c r="D2760" s="29"/>
      <c r="E2760" s="29"/>
      <c r="F2760" s="29"/>
      <c r="G2760" s="375" t="s">
        <v>2461</v>
      </c>
    </row>
    <row r="2761" spans="1:8" s="3" customFormat="1" ht="16.2" hidden="1" outlineLevel="1" thickBot="1" x14ac:dyDescent="0.3">
      <c r="B2761" s="163"/>
      <c r="C2761" s="164"/>
      <c r="D2761" s="164"/>
      <c r="E2761" s="164"/>
      <c r="F2761" s="164"/>
      <c r="G2761" s="165"/>
    </row>
    <row r="2762" spans="1:8" hidden="1" outlineLevel="1" x14ac:dyDescent="0.25"/>
    <row r="2763" spans="1:8" ht="16.2" hidden="1" outlineLevel="1" thickBot="1" x14ac:dyDescent="0.3"/>
    <row r="2764" spans="1:8" s="3" customFormat="1" ht="18.75" customHeight="1" collapsed="1" thickBot="1" x14ac:dyDescent="0.3">
      <c r="A2764" s="5"/>
      <c r="B2764" s="15" t="s">
        <v>1279</v>
      </c>
      <c r="C2764" s="16" t="s">
        <v>2053</v>
      </c>
      <c r="D2764" s="17" t="s">
        <v>1281</v>
      </c>
      <c r="E2764" s="16" t="s">
        <v>691</v>
      </c>
      <c r="F2764" s="17" t="s">
        <v>1282</v>
      </c>
      <c r="G2764" s="18" t="s">
        <v>2054</v>
      </c>
    </row>
    <row r="2765" spans="1:8" s="3" customFormat="1" ht="17.399999999999999" hidden="1" customHeight="1" outlineLevel="1" x14ac:dyDescent="0.25">
      <c r="A2765" s="5"/>
      <c r="B2765" s="19" t="s">
        <v>1284</v>
      </c>
      <c r="C2765" s="20" t="s">
        <v>1285</v>
      </c>
      <c r="D2765" s="21" t="s">
        <v>1286</v>
      </c>
      <c r="E2765" s="20" t="s">
        <v>2055</v>
      </c>
      <c r="F2765" s="21" t="s">
        <v>1288</v>
      </c>
      <c r="G2765" s="22" t="s">
        <v>1401</v>
      </c>
    </row>
    <row r="2766" spans="1:8" s="3" customFormat="1" ht="17.399999999999999" hidden="1" customHeight="1" outlineLevel="1" thickBot="1" x14ac:dyDescent="0.3">
      <c r="A2766" s="5"/>
      <c r="B2766" s="19" t="s">
        <v>1290</v>
      </c>
      <c r="C2766" s="23" t="s">
        <v>1291</v>
      </c>
      <c r="D2766" s="21" t="s">
        <v>1292</v>
      </c>
      <c r="E2766" s="23">
        <v>5</v>
      </c>
      <c r="F2766" s="21" t="s">
        <v>1293</v>
      </c>
      <c r="G2766" s="24" t="s">
        <v>1294</v>
      </c>
    </row>
    <row r="2767" spans="1:8" s="3" customFormat="1" ht="17.399999999999999" hidden="1" customHeight="1" outlineLevel="1" x14ac:dyDescent="0.25">
      <c r="A2767" s="5"/>
      <c r="B2767" s="401" t="s">
        <v>1</v>
      </c>
      <c r="C2767" s="402"/>
      <c r="D2767" s="402"/>
      <c r="E2767" s="402"/>
      <c r="F2767" s="402"/>
      <c r="G2767" s="403"/>
    </row>
    <row r="2768" spans="1:8" s="3" customFormat="1" ht="17.399999999999999" hidden="1" customHeight="1" outlineLevel="1" x14ac:dyDescent="0.25">
      <c r="A2768" s="5"/>
      <c r="B2768" s="25" t="s">
        <v>2</v>
      </c>
      <c r="C2768" s="26" t="s">
        <v>3</v>
      </c>
      <c r="D2768" s="26" t="s">
        <v>4</v>
      </c>
      <c r="E2768" s="26" t="s">
        <v>5</v>
      </c>
      <c r="F2768" s="26"/>
      <c r="G2768" s="27" t="s">
        <v>6</v>
      </c>
    </row>
    <row r="2769" spans="1:27" s="3" customFormat="1" hidden="1" outlineLevel="1" x14ac:dyDescent="0.25">
      <c r="B2769" s="28" t="s">
        <v>15</v>
      </c>
      <c r="C2769" s="29" t="s">
        <v>1478</v>
      </c>
      <c r="D2769" s="29" t="s">
        <v>1469</v>
      </c>
      <c r="E2769" s="29">
        <v>0</v>
      </c>
      <c r="F2769" s="29" t="s">
        <v>1470</v>
      </c>
      <c r="G2769" s="30"/>
      <c r="J2769" s="3" t="s">
        <v>10</v>
      </c>
      <c r="K2769" s="3" t="s">
        <v>173</v>
      </c>
      <c r="L2769" s="3" t="s">
        <v>9</v>
      </c>
      <c r="M2769" s="3" t="s">
        <v>9</v>
      </c>
      <c r="N2769" s="3">
        <v>2430</v>
      </c>
    </row>
    <row r="2770" spans="1:27" s="3" customFormat="1" hidden="1" outlineLevel="1" x14ac:dyDescent="0.25">
      <c r="B2770" s="28"/>
      <c r="C2770" s="29"/>
      <c r="D2770" s="29"/>
      <c r="E2770" s="29"/>
      <c r="F2770" s="29"/>
      <c r="G2770" s="30"/>
    </row>
    <row r="2771" spans="1:27" s="3" customFormat="1" ht="17.399999999999999" hidden="1" customHeight="1" outlineLevel="1" thickBot="1" x14ac:dyDescent="0.3">
      <c r="A2771" s="14"/>
      <c r="B2771" s="52"/>
      <c r="C2771" s="53"/>
      <c r="D2771" s="53"/>
      <c r="E2771" s="53"/>
      <c r="F2771" s="53"/>
      <c r="G2771" s="54"/>
      <c r="H2771" s="14"/>
      <c r="I2771" s="14"/>
      <c r="J2771" s="14"/>
      <c r="K2771" s="14"/>
      <c r="L2771" s="14"/>
      <c r="M2771" s="14"/>
      <c r="N2771" s="14"/>
      <c r="O2771" s="14"/>
      <c r="P2771" s="14"/>
      <c r="Q2771" s="14"/>
      <c r="R2771" s="14"/>
      <c r="S2771" s="14"/>
      <c r="T2771" s="14"/>
      <c r="U2771" s="14"/>
      <c r="V2771" s="14"/>
      <c r="W2771" s="14"/>
      <c r="X2771" s="14"/>
      <c r="Y2771" s="14"/>
      <c r="Z2771" s="14"/>
      <c r="AA2771" s="14"/>
    </row>
    <row r="2772" spans="1:27" s="3" customFormat="1" ht="17.399999999999999" hidden="1" customHeight="1" outlineLevel="1" x14ac:dyDescent="0.25">
      <c r="A2772" s="14"/>
      <c r="B2772" s="401" t="s">
        <v>18</v>
      </c>
      <c r="C2772" s="402"/>
      <c r="D2772" s="402"/>
      <c r="E2772" s="402"/>
      <c r="F2772" s="402"/>
      <c r="G2772" s="403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4"/>
      <c r="X2772" s="14"/>
      <c r="Y2772" s="14"/>
      <c r="Z2772" s="14"/>
      <c r="AA2772" s="14"/>
    </row>
    <row r="2773" spans="1:27" s="3" customFormat="1" ht="17.399999999999999" hidden="1" customHeight="1" outlineLevel="1" x14ac:dyDescent="0.25">
      <c r="A2773" s="14"/>
      <c r="B2773" s="25" t="s">
        <v>2</v>
      </c>
      <c r="C2773" s="26" t="s">
        <v>3</v>
      </c>
      <c r="D2773" s="26" t="s">
        <v>4</v>
      </c>
      <c r="E2773" s="26" t="s">
        <v>5</v>
      </c>
      <c r="F2773" s="26"/>
      <c r="G2773" s="27" t="s">
        <v>6</v>
      </c>
      <c r="H2773" s="14"/>
      <c r="I2773" s="14"/>
      <c r="J2773" s="14"/>
      <c r="K2773" s="14"/>
      <c r="L2773" s="14"/>
      <c r="M2773" s="14"/>
      <c r="N2773" s="14"/>
      <c r="O2773" s="14"/>
      <c r="P2773" s="14"/>
      <c r="Q2773" s="14"/>
      <c r="R2773" s="14"/>
      <c r="S2773" s="14"/>
      <c r="T2773" s="14"/>
      <c r="U2773" s="14"/>
      <c r="V2773" s="14"/>
      <c r="W2773" s="14"/>
      <c r="X2773" s="14"/>
      <c r="Y2773" s="14"/>
      <c r="Z2773" s="14"/>
      <c r="AA2773" s="14"/>
    </row>
    <row r="2774" spans="1:27" s="3" customFormat="1" hidden="1" outlineLevel="1" x14ac:dyDescent="0.25">
      <c r="B2774" s="28" t="s">
        <v>159</v>
      </c>
      <c r="C2774" s="29" t="s">
        <v>1592</v>
      </c>
      <c r="D2774" s="29" t="s">
        <v>1593</v>
      </c>
      <c r="E2774" s="29" t="s">
        <v>2339</v>
      </c>
      <c r="F2774" s="29" t="s">
        <v>1470</v>
      </c>
      <c r="G2774" s="30" t="s">
        <v>2347</v>
      </c>
      <c r="H2774" s="3" t="str">
        <f>"{"&amp;B2774&amp;"},"</f>
        <v>{证券代码},</v>
      </c>
      <c r="J2774" s="3" t="s">
        <v>12</v>
      </c>
      <c r="K2774" s="3" t="s">
        <v>174</v>
      </c>
      <c r="L2774" s="3" t="s">
        <v>175</v>
      </c>
      <c r="M2774" s="3" t="s">
        <v>176</v>
      </c>
      <c r="N2774" s="3">
        <v>1629</v>
      </c>
    </row>
    <row r="2775" spans="1:27" hidden="1" outlineLevel="1" x14ac:dyDescent="0.25">
      <c r="B2775" s="28" t="s">
        <v>161</v>
      </c>
      <c r="C2775" s="29" t="s">
        <v>1846</v>
      </c>
      <c r="D2775" s="29" t="s">
        <v>1652</v>
      </c>
      <c r="E2775" s="29" t="s">
        <v>2339</v>
      </c>
      <c r="F2775" s="29" t="s">
        <v>1470</v>
      </c>
      <c r="G2775" s="30"/>
    </row>
    <row r="2776" spans="1:27" s="3" customFormat="1" hidden="1" outlineLevel="1" x14ac:dyDescent="0.25">
      <c r="B2776" s="28" t="s">
        <v>15</v>
      </c>
      <c r="C2776" s="29" t="s">
        <v>1478</v>
      </c>
      <c r="D2776" s="29" t="s">
        <v>1469</v>
      </c>
      <c r="E2776" s="29">
        <v>0</v>
      </c>
      <c r="F2776" s="29" t="s">
        <v>1470</v>
      </c>
      <c r="G2776" s="30"/>
      <c r="J2776" s="3" t="s">
        <v>10</v>
      </c>
      <c r="K2776" s="3" t="s">
        <v>173</v>
      </c>
      <c r="L2776" s="3" t="s">
        <v>9</v>
      </c>
      <c r="M2776" s="3" t="s">
        <v>9</v>
      </c>
      <c r="N2776" s="3">
        <v>2430</v>
      </c>
    </row>
    <row r="2777" spans="1:27" s="3" customFormat="1" ht="17.399999999999999" hidden="1" customHeight="1" outlineLevel="1" x14ac:dyDescent="0.25">
      <c r="A2777" s="14"/>
      <c r="B2777" s="398" t="s">
        <v>28</v>
      </c>
      <c r="C2777" s="399"/>
      <c r="D2777" s="399"/>
      <c r="E2777" s="399"/>
      <c r="F2777" s="399"/>
      <c r="G2777" s="400"/>
      <c r="H2777" s="14"/>
      <c r="I2777" s="14"/>
      <c r="J2777" s="14"/>
      <c r="K2777" s="14"/>
      <c r="L2777" s="14"/>
      <c r="M2777" s="14"/>
      <c r="N2777" s="14"/>
      <c r="O2777" s="14"/>
      <c r="P2777" s="14"/>
      <c r="Q2777" s="14"/>
      <c r="R2777" s="14"/>
      <c r="S2777" s="14"/>
      <c r="T2777" s="14"/>
      <c r="U2777" s="14"/>
      <c r="V2777" s="14"/>
      <c r="W2777" s="14"/>
      <c r="X2777" s="14"/>
      <c r="Y2777" s="14"/>
      <c r="Z2777" s="14"/>
      <c r="AA2777" s="14"/>
    </row>
    <row r="2778" spans="1:27" s="3" customFormat="1" ht="17.399999999999999" hidden="1" customHeight="1" outlineLevel="1" x14ac:dyDescent="0.25">
      <c r="A2778" s="14"/>
      <c r="B2778" s="25" t="s">
        <v>2</v>
      </c>
      <c r="C2778" s="26" t="s">
        <v>3</v>
      </c>
      <c r="D2778" s="26" t="s">
        <v>4</v>
      </c>
      <c r="E2778" s="26" t="s">
        <v>5</v>
      </c>
      <c r="F2778" s="26"/>
      <c r="G2778" s="27" t="s">
        <v>6</v>
      </c>
      <c r="H2778" s="14"/>
      <c r="I2778" s="14"/>
      <c r="J2778" s="14"/>
      <c r="K2778" s="14"/>
      <c r="L2778" s="14"/>
      <c r="M2778" s="14"/>
      <c r="N2778" s="14"/>
      <c r="O2778" s="14"/>
      <c r="P2778" s="14"/>
      <c r="Q2778" s="14"/>
      <c r="R2778" s="14"/>
      <c r="S2778" s="14"/>
      <c r="T2778" s="14"/>
      <c r="U2778" s="14"/>
      <c r="V2778" s="14"/>
      <c r="W2778" s="14"/>
      <c r="X2778" s="14"/>
      <c r="Y2778" s="14"/>
      <c r="Z2778" s="14"/>
      <c r="AA2778" s="14"/>
    </row>
    <row r="2779" spans="1:27" s="3" customFormat="1" ht="17.399999999999999" hidden="1" customHeight="1" outlineLevel="1" thickBot="1" x14ac:dyDescent="0.3">
      <c r="A2779" s="14"/>
      <c r="B2779" s="116"/>
      <c r="C2779" s="117"/>
      <c r="D2779" s="117"/>
      <c r="E2779" s="117"/>
      <c r="F2779" s="117"/>
      <c r="G2779" s="118"/>
      <c r="H2779" s="14"/>
      <c r="I2779" s="14"/>
      <c r="J2779" s="14"/>
      <c r="K2779" s="14"/>
      <c r="L2779" s="14"/>
      <c r="M2779" s="14"/>
      <c r="N2779" s="14"/>
      <c r="O2779" s="14"/>
      <c r="P2779" s="14"/>
      <c r="Q2779" s="14"/>
      <c r="R2779" s="14"/>
      <c r="S2779" s="14"/>
      <c r="T2779" s="14"/>
      <c r="U2779" s="14"/>
      <c r="V2779" s="14"/>
      <c r="W2779" s="14"/>
      <c r="X2779" s="14"/>
      <c r="Y2779" s="14"/>
      <c r="Z2779" s="14"/>
      <c r="AA2779" s="14"/>
    </row>
    <row r="2780" spans="1:27" s="3" customFormat="1" ht="17.399999999999999" hidden="1" customHeight="1" outlineLevel="1" x14ac:dyDescent="0.25">
      <c r="A2780" s="14"/>
      <c r="B2780" s="401" t="s">
        <v>29</v>
      </c>
      <c r="C2780" s="402"/>
      <c r="D2780" s="402"/>
      <c r="E2780" s="402"/>
      <c r="F2780" s="402"/>
      <c r="G2780" s="403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14"/>
      <c r="S2780" s="14"/>
      <c r="T2780" s="14"/>
      <c r="U2780" s="14"/>
      <c r="V2780" s="14"/>
      <c r="W2780" s="14"/>
      <c r="X2780" s="14"/>
      <c r="Y2780" s="14"/>
      <c r="Z2780" s="14"/>
      <c r="AA2780" s="14"/>
    </row>
    <row r="2781" spans="1:27" s="3" customFormat="1" hidden="1" outlineLevel="1" x14ac:dyDescent="0.25">
      <c r="B2781" s="28"/>
      <c r="C2781" s="29"/>
      <c r="D2781" s="29"/>
      <c r="E2781" s="29"/>
      <c r="F2781" s="29"/>
      <c r="G2781" s="30"/>
    </row>
    <row r="2782" spans="1:27" s="3" customFormat="1" hidden="1" outlineLevel="1" x14ac:dyDescent="0.25">
      <c r="B2782" s="28" t="s">
        <v>692</v>
      </c>
      <c r="C2782" s="29"/>
      <c r="D2782" s="29"/>
      <c r="E2782" s="29"/>
      <c r="F2782" s="29"/>
      <c r="G2782" s="375" t="s">
        <v>2462</v>
      </c>
    </row>
    <row r="2783" spans="1:27" s="3" customFormat="1" ht="16.2" hidden="1" outlineLevel="1" thickBot="1" x14ac:dyDescent="0.3">
      <c r="B2783" s="163"/>
      <c r="C2783" s="164"/>
      <c r="D2783" s="164"/>
      <c r="E2783" s="164"/>
      <c r="F2783" s="164"/>
      <c r="G2783" s="165"/>
    </row>
    <row r="2784" spans="1:27" hidden="1" outlineLevel="1" x14ac:dyDescent="0.25"/>
    <row r="2785" spans="1:27" ht="16.2" hidden="1" outlineLevel="1" thickBot="1" x14ac:dyDescent="0.3"/>
    <row r="2786" spans="1:27" s="3" customFormat="1" ht="18.75" customHeight="1" collapsed="1" thickBot="1" x14ac:dyDescent="0.3">
      <c r="A2786" s="5"/>
      <c r="B2786" s="15" t="s">
        <v>1279</v>
      </c>
      <c r="C2786" s="16" t="s">
        <v>2056</v>
      </c>
      <c r="D2786" s="17" t="s">
        <v>1281</v>
      </c>
      <c r="E2786" s="16" t="s">
        <v>693</v>
      </c>
      <c r="F2786" s="17" t="s">
        <v>1282</v>
      </c>
      <c r="G2786" s="18" t="s">
        <v>2057</v>
      </c>
    </row>
    <row r="2787" spans="1:27" s="3" customFormat="1" ht="17.399999999999999" hidden="1" customHeight="1" outlineLevel="1" x14ac:dyDescent="0.25">
      <c r="A2787" s="5"/>
      <c r="B2787" s="19" t="s">
        <v>1284</v>
      </c>
      <c r="C2787" s="20" t="s">
        <v>1285</v>
      </c>
      <c r="D2787" s="21" t="s">
        <v>1286</v>
      </c>
      <c r="E2787" s="20" t="s">
        <v>2058</v>
      </c>
      <c r="F2787" s="21" t="s">
        <v>1288</v>
      </c>
      <c r="G2787" s="22" t="s">
        <v>1401</v>
      </c>
    </row>
    <row r="2788" spans="1:27" s="3" customFormat="1" ht="17.399999999999999" hidden="1" customHeight="1" outlineLevel="1" thickBot="1" x14ac:dyDescent="0.3">
      <c r="A2788" s="5"/>
      <c r="B2788" s="19" t="s">
        <v>1290</v>
      </c>
      <c r="C2788" s="23" t="s">
        <v>1291</v>
      </c>
      <c r="D2788" s="21" t="s">
        <v>1292</v>
      </c>
      <c r="E2788" s="23">
        <v>5</v>
      </c>
      <c r="F2788" s="21" t="s">
        <v>1293</v>
      </c>
      <c r="G2788" s="24" t="s">
        <v>1294</v>
      </c>
    </row>
    <row r="2789" spans="1:27" s="3" customFormat="1" ht="17.399999999999999" hidden="1" customHeight="1" outlineLevel="1" x14ac:dyDescent="0.25">
      <c r="A2789" s="5"/>
      <c r="B2789" s="401" t="s">
        <v>1</v>
      </c>
      <c r="C2789" s="402"/>
      <c r="D2789" s="402"/>
      <c r="E2789" s="402"/>
      <c r="F2789" s="402"/>
      <c r="G2789" s="403"/>
    </row>
    <row r="2790" spans="1:27" s="3" customFormat="1" ht="17.399999999999999" hidden="1" customHeight="1" outlineLevel="1" x14ac:dyDescent="0.25">
      <c r="A2790" s="5"/>
      <c r="B2790" s="25" t="s">
        <v>2</v>
      </c>
      <c r="C2790" s="26" t="s">
        <v>3</v>
      </c>
      <c r="D2790" s="26" t="s">
        <v>4</v>
      </c>
      <c r="E2790" s="26" t="s">
        <v>5</v>
      </c>
      <c r="F2790" s="26"/>
      <c r="G2790" s="27" t="s">
        <v>6</v>
      </c>
    </row>
    <row r="2791" spans="1:27" s="3" customFormat="1" hidden="1" outlineLevel="1" x14ac:dyDescent="0.25">
      <c r="B2791" s="28" t="s">
        <v>7</v>
      </c>
      <c r="C2791" s="29" t="s">
        <v>1468</v>
      </c>
      <c r="D2791" s="29" t="s">
        <v>1469</v>
      </c>
      <c r="E2791" s="29">
        <v>0</v>
      </c>
      <c r="F2791" s="29" t="s">
        <v>1470</v>
      </c>
      <c r="G2791" s="30" t="s">
        <v>1471</v>
      </c>
      <c r="J2791" s="3" t="s">
        <v>10</v>
      </c>
      <c r="K2791" s="3" t="s">
        <v>173</v>
      </c>
      <c r="L2791" s="3" t="s">
        <v>9</v>
      </c>
      <c r="M2791" s="3" t="s">
        <v>9</v>
      </c>
      <c r="N2791" s="3">
        <v>1112</v>
      </c>
    </row>
    <row r="2792" spans="1:27" s="3" customFormat="1" hidden="1" outlineLevel="1" x14ac:dyDescent="0.25">
      <c r="B2792" s="28" t="s">
        <v>188</v>
      </c>
      <c r="C2792" s="29" t="s">
        <v>1607</v>
      </c>
      <c r="D2792" s="29" t="s">
        <v>1606</v>
      </c>
      <c r="E2792" s="29" t="s">
        <v>1594</v>
      </c>
      <c r="F2792" s="29"/>
      <c r="G2792" s="30"/>
      <c r="J2792" s="3" t="s">
        <v>187</v>
      </c>
      <c r="K2792" s="3" t="s">
        <v>438</v>
      </c>
      <c r="L2792" s="3" t="s">
        <v>537</v>
      </c>
      <c r="M2792" s="3" t="s">
        <v>187</v>
      </c>
      <c r="N2792" s="3">
        <v>2156</v>
      </c>
    </row>
    <row r="2793" spans="1:27" s="3" customFormat="1" hidden="1" outlineLevel="1" x14ac:dyDescent="0.25">
      <c r="B2793" s="28" t="s">
        <v>15</v>
      </c>
      <c r="C2793" s="29" t="s">
        <v>1478</v>
      </c>
      <c r="D2793" s="29" t="s">
        <v>1469</v>
      </c>
      <c r="E2793" s="29">
        <v>0</v>
      </c>
      <c r="F2793" s="29" t="s">
        <v>1470</v>
      </c>
      <c r="G2793" s="30"/>
      <c r="J2793" s="3" t="s">
        <v>10</v>
      </c>
      <c r="K2793" s="3" t="s">
        <v>173</v>
      </c>
      <c r="L2793" s="3" t="s">
        <v>9</v>
      </c>
      <c r="M2793" s="3" t="s">
        <v>9</v>
      </c>
      <c r="N2793" s="3">
        <v>2430</v>
      </c>
    </row>
    <row r="2794" spans="1:27" s="3" customFormat="1" hidden="1" outlineLevel="1" x14ac:dyDescent="0.25">
      <c r="B2794" s="28" t="s">
        <v>87</v>
      </c>
      <c r="C2794" s="29" t="s">
        <v>1535</v>
      </c>
      <c r="D2794" s="29" t="s">
        <v>1469</v>
      </c>
      <c r="E2794" s="29">
        <v>0</v>
      </c>
      <c r="F2794" s="29" t="s">
        <v>1476</v>
      </c>
      <c r="G2794" s="30"/>
      <c r="J2794" s="3" t="s">
        <v>10</v>
      </c>
      <c r="K2794" s="3" t="s">
        <v>173</v>
      </c>
      <c r="L2794" s="3" t="s">
        <v>9</v>
      </c>
      <c r="M2794" s="3" t="s">
        <v>9</v>
      </c>
      <c r="N2794" s="3">
        <v>2433</v>
      </c>
    </row>
    <row r="2795" spans="1:27" s="3" customFormat="1" hidden="1" outlineLevel="1" x14ac:dyDescent="0.25">
      <c r="B2795" s="28" t="s">
        <v>11</v>
      </c>
      <c r="C2795" s="29" t="s">
        <v>1472</v>
      </c>
      <c r="D2795" s="29" t="s">
        <v>1469</v>
      </c>
      <c r="E2795" s="29">
        <v>0</v>
      </c>
      <c r="F2795" s="29" t="s">
        <v>1470</v>
      </c>
      <c r="G2795" s="30" t="s">
        <v>1473</v>
      </c>
      <c r="J2795" s="3" t="s">
        <v>12</v>
      </c>
      <c r="K2795" s="3" t="s">
        <v>174</v>
      </c>
      <c r="L2795" s="3" t="s">
        <v>175</v>
      </c>
      <c r="M2795" s="3" t="s">
        <v>176</v>
      </c>
      <c r="N2795" s="3">
        <v>1700</v>
      </c>
    </row>
    <row r="2796" spans="1:27" s="3" customFormat="1" hidden="1" outlineLevel="1" x14ac:dyDescent="0.25">
      <c r="B2796" s="28" t="s">
        <v>128</v>
      </c>
      <c r="C2796" s="29" t="s">
        <v>1566</v>
      </c>
      <c r="D2796" s="29" t="s">
        <v>1567</v>
      </c>
      <c r="E2796" s="29">
        <v>0</v>
      </c>
      <c r="F2796" s="29" t="s">
        <v>1470</v>
      </c>
      <c r="G2796" s="30"/>
      <c r="J2796" s="3" t="s">
        <v>12</v>
      </c>
      <c r="K2796" s="3" t="s">
        <v>174</v>
      </c>
      <c r="L2796" s="3" t="s">
        <v>175</v>
      </c>
      <c r="M2796" s="3" t="s">
        <v>176</v>
      </c>
      <c r="N2796" s="3">
        <v>1629</v>
      </c>
    </row>
    <row r="2797" spans="1:27" s="3" customFormat="1" hidden="1" outlineLevel="1" x14ac:dyDescent="0.25">
      <c r="B2797" s="28" t="s">
        <v>114</v>
      </c>
      <c r="C2797" s="29" t="s">
        <v>1557</v>
      </c>
      <c r="D2797" s="29" t="s">
        <v>1469</v>
      </c>
      <c r="E2797" s="29">
        <v>-1</v>
      </c>
      <c r="F2797" s="29" t="s">
        <v>1470</v>
      </c>
      <c r="G2797" s="30"/>
      <c r="J2797" s="3" t="s">
        <v>10</v>
      </c>
      <c r="K2797" s="3" t="s">
        <v>173</v>
      </c>
      <c r="L2797" s="3" t="s">
        <v>9</v>
      </c>
      <c r="M2797" s="3" t="s">
        <v>9</v>
      </c>
      <c r="N2797" s="3">
        <v>2449</v>
      </c>
    </row>
    <row r="2798" spans="1:27" s="3" customFormat="1" ht="17.399999999999999" hidden="1" customHeight="1" outlineLevel="1" thickBot="1" x14ac:dyDescent="0.3">
      <c r="A2798" s="14"/>
      <c r="B2798" s="52"/>
      <c r="C2798" s="53"/>
      <c r="D2798" s="53"/>
      <c r="E2798" s="53"/>
      <c r="F2798" s="53"/>
      <c r="G2798" s="54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  <c r="R2798" s="14"/>
      <c r="S2798" s="14"/>
      <c r="T2798" s="14"/>
      <c r="U2798" s="14"/>
      <c r="V2798" s="14"/>
      <c r="W2798" s="14"/>
      <c r="X2798" s="14"/>
      <c r="Y2798" s="14"/>
      <c r="Z2798" s="14"/>
      <c r="AA2798" s="14"/>
    </row>
    <row r="2799" spans="1:27" s="3" customFormat="1" ht="17.399999999999999" hidden="1" customHeight="1" outlineLevel="1" x14ac:dyDescent="0.25">
      <c r="A2799" s="14"/>
      <c r="B2799" s="401" t="s">
        <v>18</v>
      </c>
      <c r="C2799" s="402"/>
      <c r="D2799" s="402"/>
      <c r="E2799" s="402"/>
      <c r="F2799" s="402"/>
      <c r="G2799" s="403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14"/>
      <c r="S2799" s="14"/>
      <c r="T2799" s="14"/>
      <c r="U2799" s="14"/>
      <c r="V2799" s="14"/>
      <c r="W2799" s="14"/>
      <c r="X2799" s="14"/>
      <c r="Y2799" s="14"/>
      <c r="Z2799" s="14"/>
      <c r="AA2799" s="14"/>
    </row>
    <row r="2800" spans="1:27" s="3" customFormat="1" ht="17.399999999999999" hidden="1" customHeight="1" outlineLevel="1" x14ac:dyDescent="0.25">
      <c r="A2800" s="14"/>
      <c r="B2800" s="25" t="s">
        <v>2</v>
      </c>
      <c r="C2800" s="26" t="s">
        <v>3</v>
      </c>
      <c r="D2800" s="26" t="s">
        <v>4</v>
      </c>
      <c r="E2800" s="26" t="s">
        <v>5</v>
      </c>
      <c r="F2800" s="26"/>
      <c r="G2800" s="27" t="s">
        <v>6</v>
      </c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14"/>
      <c r="S2800" s="14"/>
      <c r="T2800" s="14"/>
      <c r="U2800" s="14"/>
      <c r="V2800" s="14"/>
      <c r="W2800" s="14"/>
      <c r="X2800" s="14"/>
      <c r="Y2800" s="14"/>
      <c r="Z2800" s="14"/>
      <c r="AA2800" s="14"/>
    </row>
    <row r="2801" spans="2:14" s="3" customFormat="1" hidden="1" outlineLevel="1" x14ac:dyDescent="0.25">
      <c r="B2801" s="28" t="s">
        <v>128</v>
      </c>
      <c r="C2801" s="29" t="s">
        <v>1566</v>
      </c>
      <c r="D2801" s="29" t="s">
        <v>1567</v>
      </c>
      <c r="E2801" s="29">
        <v>0</v>
      </c>
      <c r="F2801" s="29" t="s">
        <v>1470</v>
      </c>
      <c r="G2801" s="30"/>
      <c r="H2801" s="3" t="str">
        <f>"{"&amp;B2801&amp;"},"</f>
        <v>{记录序号},</v>
      </c>
      <c r="J2801" s="3" t="s">
        <v>12</v>
      </c>
      <c r="K2801" s="3" t="s">
        <v>174</v>
      </c>
      <c r="L2801" s="3" t="s">
        <v>175</v>
      </c>
      <c r="M2801" s="3" t="s">
        <v>176</v>
      </c>
      <c r="N2801" s="3">
        <v>1629</v>
      </c>
    </row>
    <row r="2802" spans="2:14" hidden="1" outlineLevel="1" x14ac:dyDescent="0.25">
      <c r="B2802" s="280" t="s">
        <v>16</v>
      </c>
      <c r="C2802" s="262" t="s">
        <v>1479</v>
      </c>
      <c r="D2802" s="262" t="s">
        <v>1469</v>
      </c>
      <c r="E2802" s="262" t="s">
        <v>1480</v>
      </c>
      <c r="F2802" s="262" t="s">
        <v>1481</v>
      </c>
      <c r="G2802" s="263" t="s">
        <v>1482</v>
      </c>
    </row>
    <row r="2803" spans="2:14" hidden="1" outlineLevel="1" x14ac:dyDescent="0.25">
      <c r="B2803" s="280" t="s">
        <v>112</v>
      </c>
      <c r="C2803" s="262" t="s">
        <v>1555</v>
      </c>
      <c r="D2803" s="262" t="s">
        <v>1469</v>
      </c>
      <c r="E2803" s="262">
        <v>0</v>
      </c>
      <c r="F2803" s="262" t="s">
        <v>1470</v>
      </c>
      <c r="G2803" s="263" t="s">
        <v>1556</v>
      </c>
    </row>
    <row r="2804" spans="2:14" hidden="1" outlineLevel="1" x14ac:dyDescent="0.25">
      <c r="B2804" s="280" t="s">
        <v>7</v>
      </c>
      <c r="C2804" s="262" t="s">
        <v>1468</v>
      </c>
      <c r="D2804" s="262" t="s">
        <v>1469</v>
      </c>
      <c r="E2804" s="262">
        <v>0</v>
      </c>
      <c r="F2804" s="262" t="s">
        <v>1470</v>
      </c>
      <c r="G2804" s="263" t="s">
        <v>1471</v>
      </c>
    </row>
    <row r="2805" spans="2:14" hidden="1" outlineLevel="1" x14ac:dyDescent="0.25">
      <c r="B2805" s="280" t="s">
        <v>11</v>
      </c>
      <c r="C2805" s="262" t="s">
        <v>1472</v>
      </c>
      <c r="D2805" s="262" t="s">
        <v>1469</v>
      </c>
      <c r="E2805" s="262">
        <v>0</v>
      </c>
      <c r="F2805" s="262" t="s">
        <v>1470</v>
      </c>
      <c r="G2805" s="263" t="s">
        <v>1473</v>
      </c>
    </row>
    <row r="2806" spans="2:14" hidden="1" outlineLevel="1" x14ac:dyDescent="0.25">
      <c r="B2806" s="280" t="s">
        <v>13</v>
      </c>
      <c r="C2806" s="262" t="s">
        <v>1474</v>
      </c>
      <c r="D2806" s="262" t="s">
        <v>1469</v>
      </c>
      <c r="E2806" s="262">
        <v>0</v>
      </c>
      <c r="F2806" s="262" t="s">
        <v>1470</v>
      </c>
      <c r="G2806" s="263"/>
    </row>
    <row r="2807" spans="2:14" hidden="1" outlineLevel="1" x14ac:dyDescent="0.25">
      <c r="B2807" s="280" t="s">
        <v>202</v>
      </c>
      <c r="C2807" s="262" t="s">
        <v>1634</v>
      </c>
      <c r="D2807" s="262" t="s">
        <v>1469</v>
      </c>
      <c r="E2807" s="262">
        <v>0</v>
      </c>
      <c r="F2807" s="262" t="s">
        <v>1470</v>
      </c>
      <c r="G2807" s="263"/>
    </row>
    <row r="2808" spans="2:14" hidden="1" outlineLevel="1" x14ac:dyDescent="0.25">
      <c r="B2808" s="280" t="s">
        <v>15</v>
      </c>
      <c r="C2808" s="262" t="s">
        <v>1478</v>
      </c>
      <c r="D2808" s="262" t="s">
        <v>1469</v>
      </c>
      <c r="E2808" s="262">
        <v>0</v>
      </c>
      <c r="F2808" s="262" t="s">
        <v>1470</v>
      </c>
      <c r="G2808" s="263"/>
    </row>
    <row r="2809" spans="2:14" hidden="1" outlineLevel="1" x14ac:dyDescent="0.25">
      <c r="B2809" s="280" t="s">
        <v>159</v>
      </c>
      <c r="C2809" s="262" t="s">
        <v>1592</v>
      </c>
      <c r="D2809" s="262" t="s">
        <v>2346</v>
      </c>
      <c r="E2809" s="262" t="s">
        <v>2339</v>
      </c>
      <c r="F2809" s="262" t="s">
        <v>2336</v>
      </c>
      <c r="G2809" s="263" t="s">
        <v>2347</v>
      </c>
    </row>
    <row r="2810" spans="2:14" hidden="1" outlineLevel="1" x14ac:dyDescent="0.25">
      <c r="B2810" s="280" t="s">
        <v>161</v>
      </c>
      <c r="C2810" s="262" t="s">
        <v>1846</v>
      </c>
      <c r="D2810" s="262" t="s">
        <v>2348</v>
      </c>
      <c r="E2810" s="262" t="s">
        <v>2339</v>
      </c>
      <c r="F2810" s="262" t="s">
        <v>2336</v>
      </c>
      <c r="G2810" s="263"/>
    </row>
    <row r="2811" spans="2:14" hidden="1" outlineLevel="1" x14ac:dyDescent="0.25">
      <c r="B2811" s="280" t="s">
        <v>87</v>
      </c>
      <c r="C2811" s="262" t="s">
        <v>1535</v>
      </c>
      <c r="D2811" s="262" t="s">
        <v>1469</v>
      </c>
      <c r="E2811" s="262">
        <v>0</v>
      </c>
      <c r="F2811" s="262" t="s">
        <v>1476</v>
      </c>
      <c r="G2811" s="263"/>
    </row>
    <row r="2812" spans="2:14" hidden="1" outlineLevel="1" x14ac:dyDescent="0.25">
      <c r="B2812" s="280" t="s">
        <v>14</v>
      </c>
      <c r="C2812" s="262" t="s">
        <v>1475</v>
      </c>
      <c r="D2812" s="262" t="s">
        <v>1469</v>
      </c>
      <c r="E2812" s="262">
        <v>0</v>
      </c>
      <c r="F2812" s="262" t="s">
        <v>1476</v>
      </c>
      <c r="G2812" s="263" t="s">
        <v>1477</v>
      </c>
    </row>
    <row r="2813" spans="2:14" hidden="1" outlineLevel="1" x14ac:dyDescent="0.25">
      <c r="B2813" s="280" t="s">
        <v>62</v>
      </c>
      <c r="C2813" s="262" t="s">
        <v>1525</v>
      </c>
      <c r="D2813" s="262" t="s">
        <v>1489</v>
      </c>
      <c r="E2813" s="262">
        <v>0</v>
      </c>
      <c r="F2813" s="262"/>
      <c r="G2813" s="263"/>
    </row>
    <row r="2814" spans="2:14" hidden="1" outlineLevel="1" x14ac:dyDescent="0.25">
      <c r="B2814" s="280" t="s">
        <v>100</v>
      </c>
      <c r="C2814" s="262" t="s">
        <v>1543</v>
      </c>
      <c r="D2814" s="262" t="s">
        <v>1469</v>
      </c>
      <c r="E2814" s="262">
        <v>0</v>
      </c>
      <c r="F2814" s="262" t="s">
        <v>1476</v>
      </c>
      <c r="G2814" s="263" t="s">
        <v>1544</v>
      </c>
    </row>
    <row r="2815" spans="2:14" hidden="1" outlineLevel="1" x14ac:dyDescent="0.25">
      <c r="B2815" s="280" t="s">
        <v>116</v>
      </c>
      <c r="C2815" s="262" t="s">
        <v>1559</v>
      </c>
      <c r="D2815" s="262" t="s">
        <v>1486</v>
      </c>
      <c r="E2815" s="262">
        <v>0</v>
      </c>
      <c r="F2815" s="262" t="s">
        <v>1470</v>
      </c>
      <c r="G2815" s="263" t="s">
        <v>1560</v>
      </c>
    </row>
    <row r="2816" spans="2:14" hidden="1" outlineLevel="1" x14ac:dyDescent="0.25">
      <c r="B2816" s="280" t="s">
        <v>75</v>
      </c>
      <c r="C2816" s="262" t="s">
        <v>1530</v>
      </c>
      <c r="D2816" s="262" t="s">
        <v>1486</v>
      </c>
      <c r="E2816" s="262">
        <v>0</v>
      </c>
      <c r="F2816" s="262" t="s">
        <v>1470</v>
      </c>
      <c r="G2816" s="263" t="s">
        <v>1531</v>
      </c>
    </row>
    <row r="2817" spans="2:7" hidden="1" outlineLevel="1" x14ac:dyDescent="0.25">
      <c r="B2817" s="280" t="s">
        <v>315</v>
      </c>
      <c r="C2817" s="262" t="s">
        <v>1733</v>
      </c>
      <c r="D2817" s="262" t="s">
        <v>1486</v>
      </c>
      <c r="E2817" s="262">
        <v>0</v>
      </c>
      <c r="F2817" s="262"/>
      <c r="G2817" s="263"/>
    </row>
    <row r="2818" spans="2:7" hidden="1" outlineLevel="1" x14ac:dyDescent="0.25">
      <c r="B2818" s="280" t="s">
        <v>131</v>
      </c>
      <c r="C2818" s="262" t="s">
        <v>1568</v>
      </c>
      <c r="D2818" s="262" t="s">
        <v>1486</v>
      </c>
      <c r="E2818" s="262">
        <v>0</v>
      </c>
      <c r="F2818" s="262" t="s">
        <v>1470</v>
      </c>
      <c r="G2818" s="263" t="s">
        <v>1569</v>
      </c>
    </row>
    <row r="2819" spans="2:7" hidden="1" outlineLevel="1" x14ac:dyDescent="0.25">
      <c r="B2819" s="280" t="s">
        <v>132</v>
      </c>
      <c r="C2819" s="262" t="s">
        <v>1570</v>
      </c>
      <c r="D2819" s="262" t="s">
        <v>1486</v>
      </c>
      <c r="E2819" s="262">
        <v>0</v>
      </c>
      <c r="F2819" s="262" t="s">
        <v>1470</v>
      </c>
      <c r="G2819" s="263" t="s">
        <v>1571</v>
      </c>
    </row>
    <row r="2820" spans="2:7" hidden="1" outlineLevel="1" x14ac:dyDescent="0.25">
      <c r="B2820" s="280" t="s">
        <v>316</v>
      </c>
      <c r="C2820" s="262" t="s">
        <v>1734</v>
      </c>
      <c r="D2820" s="262" t="s">
        <v>1486</v>
      </c>
      <c r="E2820" s="262">
        <v>0</v>
      </c>
      <c r="F2820" s="262"/>
      <c r="G2820" s="263"/>
    </row>
    <row r="2821" spans="2:7" hidden="1" outlineLevel="1" x14ac:dyDescent="0.25">
      <c r="B2821" s="280" t="s">
        <v>317</v>
      </c>
      <c r="C2821" s="262" t="s">
        <v>1735</v>
      </c>
      <c r="D2821" s="262" t="s">
        <v>1486</v>
      </c>
      <c r="E2821" s="262">
        <v>0</v>
      </c>
      <c r="F2821" s="262"/>
      <c r="G2821" s="263"/>
    </row>
    <row r="2822" spans="2:7" hidden="1" outlineLevel="1" x14ac:dyDescent="0.25">
      <c r="B2822" s="280" t="s">
        <v>133</v>
      </c>
      <c r="C2822" s="262" t="s">
        <v>1572</v>
      </c>
      <c r="D2822" s="262" t="s">
        <v>1486</v>
      </c>
      <c r="E2822" s="262">
        <v>0</v>
      </c>
      <c r="F2822" s="262" t="s">
        <v>1470</v>
      </c>
      <c r="G2822" s="263"/>
    </row>
    <row r="2823" spans="2:7" hidden="1" outlineLevel="1" x14ac:dyDescent="0.25">
      <c r="B2823" s="280" t="s">
        <v>134</v>
      </c>
      <c r="C2823" s="262" t="s">
        <v>1573</v>
      </c>
      <c r="D2823" s="262" t="s">
        <v>1486</v>
      </c>
      <c r="E2823" s="262">
        <v>0</v>
      </c>
      <c r="F2823" s="262" t="s">
        <v>1470</v>
      </c>
      <c r="G2823" s="263"/>
    </row>
    <row r="2824" spans="2:7" hidden="1" outlineLevel="1" x14ac:dyDescent="0.25">
      <c r="B2824" s="280" t="s">
        <v>318</v>
      </c>
      <c r="C2824" s="262" t="s">
        <v>1736</v>
      </c>
      <c r="D2824" s="262" t="s">
        <v>1486</v>
      </c>
      <c r="E2824" s="262">
        <v>0</v>
      </c>
      <c r="F2824" s="262"/>
      <c r="G2824" s="263"/>
    </row>
    <row r="2825" spans="2:7" hidden="1" outlineLevel="1" x14ac:dyDescent="0.25">
      <c r="B2825" s="280" t="s">
        <v>319</v>
      </c>
      <c r="C2825" s="262" t="s">
        <v>1737</v>
      </c>
      <c r="D2825" s="262" t="s">
        <v>1486</v>
      </c>
      <c r="E2825" s="262">
        <v>0</v>
      </c>
      <c r="F2825" s="262"/>
      <c r="G2825" s="263"/>
    </row>
    <row r="2826" spans="2:7" hidden="1" outlineLevel="1" x14ac:dyDescent="0.25">
      <c r="B2826" s="280" t="s">
        <v>135</v>
      </c>
      <c r="C2826" s="262" t="s">
        <v>1574</v>
      </c>
      <c r="D2826" s="262" t="s">
        <v>1486</v>
      </c>
      <c r="E2826" s="262">
        <v>0</v>
      </c>
      <c r="F2826" s="262" t="s">
        <v>1470</v>
      </c>
      <c r="G2826" s="263"/>
    </row>
    <row r="2827" spans="2:7" hidden="1" outlineLevel="1" x14ac:dyDescent="0.25">
      <c r="B2827" s="280" t="s">
        <v>136</v>
      </c>
      <c r="C2827" s="262" t="s">
        <v>1575</v>
      </c>
      <c r="D2827" s="262" t="s">
        <v>1486</v>
      </c>
      <c r="E2827" s="262">
        <v>0</v>
      </c>
      <c r="F2827" s="262" t="s">
        <v>1470</v>
      </c>
      <c r="G2827" s="263"/>
    </row>
    <row r="2828" spans="2:7" hidden="1" outlineLevel="1" x14ac:dyDescent="0.25">
      <c r="B2828" s="280" t="s">
        <v>137</v>
      </c>
      <c r="C2828" s="262" t="s">
        <v>1576</v>
      </c>
      <c r="D2828" s="262" t="s">
        <v>1486</v>
      </c>
      <c r="E2828" s="262">
        <v>0</v>
      </c>
      <c r="F2828" s="262" t="s">
        <v>1470</v>
      </c>
      <c r="G2828" s="263"/>
    </row>
    <row r="2829" spans="2:7" hidden="1" outlineLevel="1" x14ac:dyDescent="0.25">
      <c r="B2829" s="280" t="s">
        <v>138</v>
      </c>
      <c r="C2829" s="262" t="s">
        <v>1577</v>
      </c>
      <c r="D2829" s="262" t="s">
        <v>1486</v>
      </c>
      <c r="E2829" s="262">
        <v>0</v>
      </c>
      <c r="F2829" s="262" t="s">
        <v>1470</v>
      </c>
      <c r="G2829" s="263"/>
    </row>
    <row r="2830" spans="2:7" hidden="1" outlineLevel="1" x14ac:dyDescent="0.25">
      <c r="B2830" s="280" t="s">
        <v>320</v>
      </c>
      <c r="C2830" s="262" t="s">
        <v>1738</v>
      </c>
      <c r="D2830" s="262" t="s">
        <v>1486</v>
      </c>
      <c r="E2830" s="262">
        <v>0</v>
      </c>
      <c r="F2830" s="262"/>
      <c r="G2830" s="263"/>
    </row>
    <row r="2831" spans="2:7" hidden="1" outlineLevel="1" x14ac:dyDescent="0.25">
      <c r="B2831" s="280" t="s">
        <v>321</v>
      </c>
      <c r="C2831" s="262" t="s">
        <v>1739</v>
      </c>
      <c r="D2831" s="262" t="s">
        <v>1486</v>
      </c>
      <c r="E2831" s="262">
        <v>0</v>
      </c>
      <c r="F2831" s="262"/>
      <c r="G2831" s="263"/>
    </row>
    <row r="2832" spans="2:7" hidden="1" outlineLevel="1" x14ac:dyDescent="0.25">
      <c r="B2832" s="280" t="s">
        <v>322</v>
      </c>
      <c r="C2832" s="262" t="s">
        <v>1740</v>
      </c>
      <c r="D2832" s="262" t="s">
        <v>1486</v>
      </c>
      <c r="E2832" s="262">
        <v>0</v>
      </c>
      <c r="F2832" s="262" t="s">
        <v>1470</v>
      </c>
      <c r="G2832" s="263"/>
    </row>
    <row r="2833" spans="2:7" hidden="1" outlineLevel="1" x14ac:dyDescent="0.25">
      <c r="B2833" s="280" t="s">
        <v>323</v>
      </c>
      <c r="C2833" s="262" t="s">
        <v>1741</v>
      </c>
      <c r="D2833" s="262" t="s">
        <v>1486</v>
      </c>
      <c r="E2833" s="262">
        <v>0</v>
      </c>
      <c r="F2833" s="262" t="s">
        <v>1470</v>
      </c>
      <c r="G2833" s="263"/>
    </row>
    <row r="2834" spans="2:7" hidden="1" outlineLevel="1" x14ac:dyDescent="0.25">
      <c r="B2834" s="280" t="s">
        <v>117</v>
      </c>
      <c r="C2834" s="262" t="s">
        <v>1561</v>
      </c>
      <c r="D2834" s="262" t="s">
        <v>1489</v>
      </c>
      <c r="E2834" s="262">
        <v>0</v>
      </c>
      <c r="F2834" s="262" t="s">
        <v>1470</v>
      </c>
      <c r="G2834" s="263"/>
    </row>
    <row r="2835" spans="2:7" hidden="1" outlineLevel="1" x14ac:dyDescent="0.25">
      <c r="B2835" s="280" t="s">
        <v>24</v>
      </c>
      <c r="C2835" s="262" t="s">
        <v>1491</v>
      </c>
      <c r="D2835" s="262" t="s">
        <v>1489</v>
      </c>
      <c r="E2835" s="262">
        <v>0</v>
      </c>
      <c r="F2835" s="262" t="s">
        <v>1470</v>
      </c>
      <c r="G2835" s="263"/>
    </row>
    <row r="2836" spans="2:7" hidden="1" outlineLevel="1" x14ac:dyDescent="0.25">
      <c r="B2836" s="280" t="s">
        <v>140</v>
      </c>
      <c r="C2836" s="262" t="s">
        <v>1578</v>
      </c>
      <c r="D2836" s="262" t="s">
        <v>1489</v>
      </c>
      <c r="E2836" s="262">
        <v>0</v>
      </c>
      <c r="F2836" s="262" t="s">
        <v>1470</v>
      </c>
      <c r="G2836" s="263"/>
    </row>
    <row r="2837" spans="2:7" hidden="1" outlineLevel="1" x14ac:dyDescent="0.25">
      <c r="B2837" s="280" t="s">
        <v>141</v>
      </c>
      <c r="C2837" s="262" t="s">
        <v>1579</v>
      </c>
      <c r="D2837" s="262" t="s">
        <v>1489</v>
      </c>
      <c r="E2837" s="262">
        <v>0</v>
      </c>
      <c r="F2837" s="262" t="s">
        <v>1470</v>
      </c>
      <c r="G2837" s="263"/>
    </row>
    <row r="2838" spans="2:7" hidden="1" outlineLevel="1" x14ac:dyDescent="0.25">
      <c r="B2838" s="280" t="s">
        <v>147</v>
      </c>
      <c r="C2838" s="262" t="s">
        <v>1586</v>
      </c>
      <c r="D2838" s="262" t="s">
        <v>1489</v>
      </c>
      <c r="E2838" s="262">
        <v>0</v>
      </c>
      <c r="F2838" s="262"/>
      <c r="G2838" s="263"/>
    </row>
    <row r="2839" spans="2:7" hidden="1" outlineLevel="1" x14ac:dyDescent="0.25">
      <c r="B2839" s="280" t="s">
        <v>148</v>
      </c>
      <c r="C2839" s="262" t="s">
        <v>1587</v>
      </c>
      <c r="D2839" s="262" t="s">
        <v>1486</v>
      </c>
      <c r="E2839" s="262">
        <v>0</v>
      </c>
      <c r="F2839" s="262" t="s">
        <v>1470</v>
      </c>
      <c r="G2839" s="263"/>
    </row>
    <row r="2840" spans="2:7" hidden="1" outlineLevel="1" x14ac:dyDescent="0.25">
      <c r="B2840" s="280" t="s">
        <v>146</v>
      </c>
      <c r="C2840" s="262" t="s">
        <v>1585</v>
      </c>
      <c r="D2840" s="262" t="s">
        <v>1489</v>
      </c>
      <c r="E2840" s="262">
        <v>0</v>
      </c>
      <c r="F2840" s="262"/>
      <c r="G2840" s="263"/>
    </row>
    <row r="2841" spans="2:7" s="293" customFormat="1" hidden="1" outlineLevel="1" x14ac:dyDescent="0.25">
      <c r="B2841" s="217" t="s">
        <v>325</v>
      </c>
      <c r="C2841" s="330" t="s">
        <v>1743</v>
      </c>
      <c r="D2841" s="330" t="s">
        <v>1539</v>
      </c>
      <c r="E2841" s="330">
        <v>0</v>
      </c>
      <c r="F2841" s="330"/>
      <c r="G2841" s="331"/>
    </row>
    <row r="2842" spans="2:7" hidden="1" outlineLevel="1" x14ac:dyDescent="0.25">
      <c r="B2842" s="217" t="s">
        <v>326</v>
      </c>
      <c r="C2842" s="330" t="s">
        <v>1744</v>
      </c>
      <c r="D2842" s="330" t="s">
        <v>1539</v>
      </c>
      <c r="E2842" s="330">
        <v>0</v>
      </c>
      <c r="F2842" s="330"/>
      <c r="G2842" s="331"/>
    </row>
    <row r="2843" spans="2:7" hidden="1" outlineLevel="1" x14ac:dyDescent="0.25">
      <c r="B2843" s="217" t="s">
        <v>115</v>
      </c>
      <c r="C2843" s="330" t="s">
        <v>1558</v>
      </c>
      <c r="D2843" s="330" t="s">
        <v>1539</v>
      </c>
      <c r="E2843" s="330">
        <v>0</v>
      </c>
      <c r="F2843" s="330" t="s">
        <v>1470</v>
      </c>
      <c r="G2843" s="331"/>
    </row>
    <row r="2844" spans="2:7" hidden="1" outlineLevel="1" x14ac:dyDescent="0.25">
      <c r="B2844" s="217" t="s">
        <v>327</v>
      </c>
      <c r="C2844" s="330" t="s">
        <v>1745</v>
      </c>
      <c r="D2844" s="330" t="s">
        <v>1539</v>
      </c>
      <c r="E2844" s="330">
        <v>0</v>
      </c>
      <c r="F2844" s="330" t="s">
        <v>1470</v>
      </c>
      <c r="G2844" s="331"/>
    </row>
    <row r="2845" spans="2:7" hidden="1" outlineLevel="1" x14ac:dyDescent="0.25">
      <c r="B2845" s="280" t="s">
        <v>143</v>
      </c>
      <c r="C2845" s="262" t="s">
        <v>1581</v>
      </c>
      <c r="D2845" s="262" t="s">
        <v>1486</v>
      </c>
      <c r="E2845" s="262">
        <v>0</v>
      </c>
      <c r="F2845" s="262"/>
      <c r="G2845" s="263" t="s">
        <v>1582</v>
      </c>
    </row>
    <row r="2846" spans="2:7" hidden="1" outlineLevel="1" x14ac:dyDescent="0.25">
      <c r="B2846" s="280" t="s">
        <v>144</v>
      </c>
      <c r="C2846" s="262" t="s">
        <v>1583</v>
      </c>
      <c r="D2846" s="262" t="s">
        <v>1486</v>
      </c>
      <c r="E2846" s="262">
        <v>0</v>
      </c>
      <c r="F2846" s="262"/>
      <c r="G2846" s="263" t="s">
        <v>1582</v>
      </c>
    </row>
    <row r="2847" spans="2:7" hidden="1" outlineLevel="1" x14ac:dyDescent="0.25">
      <c r="B2847" s="280" t="s">
        <v>145</v>
      </c>
      <c r="C2847" s="262" t="s">
        <v>1584</v>
      </c>
      <c r="D2847" s="262" t="s">
        <v>1486</v>
      </c>
      <c r="E2847" s="262">
        <v>0</v>
      </c>
      <c r="F2847" s="262"/>
      <c r="G2847" s="263"/>
    </row>
    <row r="2848" spans="2:7" hidden="1" outlineLevel="1" x14ac:dyDescent="0.25">
      <c r="B2848" s="280" t="s">
        <v>328</v>
      </c>
      <c r="C2848" s="262" t="s">
        <v>1746</v>
      </c>
      <c r="D2848" s="262" t="s">
        <v>1489</v>
      </c>
      <c r="E2848" s="262">
        <v>0</v>
      </c>
      <c r="F2848" s="262"/>
      <c r="G2848" s="263"/>
    </row>
    <row r="2849" spans="1:27" hidden="1" outlineLevel="1" x14ac:dyDescent="0.25">
      <c r="B2849" s="201" t="s">
        <v>329</v>
      </c>
      <c r="C2849" s="107" t="s">
        <v>1747</v>
      </c>
      <c r="D2849" s="107" t="s">
        <v>1469</v>
      </c>
      <c r="E2849" s="107">
        <v>0</v>
      </c>
      <c r="F2849" s="107" t="s">
        <v>1476</v>
      </c>
      <c r="G2849" s="108" t="s">
        <v>1748</v>
      </c>
    </row>
    <row r="2850" spans="1:27" hidden="1" outlineLevel="1" x14ac:dyDescent="0.25">
      <c r="B2850" s="201" t="s">
        <v>330</v>
      </c>
      <c r="C2850" s="107" t="s">
        <v>1749</v>
      </c>
      <c r="D2850" s="107" t="s">
        <v>1539</v>
      </c>
      <c r="E2850" s="107">
        <v>0</v>
      </c>
      <c r="F2850" s="107" t="s">
        <v>1470</v>
      </c>
      <c r="G2850" s="108"/>
    </row>
    <row r="2851" spans="1:27" s="12" customFormat="1" hidden="1" outlineLevel="1" x14ac:dyDescent="0.25">
      <c r="A2851" s="278"/>
      <c r="B2851" s="201" t="s">
        <v>223</v>
      </c>
      <c r="C2851" s="107" t="s">
        <v>1674</v>
      </c>
      <c r="D2851" s="107" t="s">
        <v>1494</v>
      </c>
      <c r="E2851" s="107">
        <v>0</v>
      </c>
      <c r="F2851" s="107" t="s">
        <v>1470</v>
      </c>
      <c r="G2851" s="108"/>
    </row>
    <row r="2852" spans="1:27" s="12" customFormat="1" hidden="1" outlineLevel="1" x14ac:dyDescent="0.25">
      <c r="A2852" s="278"/>
      <c r="B2852" s="201" t="s">
        <v>331</v>
      </c>
      <c r="C2852" s="107" t="s">
        <v>1750</v>
      </c>
      <c r="D2852" s="107" t="s">
        <v>1469</v>
      </c>
      <c r="E2852" s="107">
        <v>0</v>
      </c>
      <c r="F2852" s="107" t="s">
        <v>1476</v>
      </c>
      <c r="G2852" s="108"/>
    </row>
    <row r="2853" spans="1:27" s="12" customFormat="1" hidden="1" outlineLevel="1" x14ac:dyDescent="0.25">
      <c r="A2853" s="278"/>
      <c r="B2853" s="201" t="s">
        <v>224</v>
      </c>
      <c r="C2853" s="107" t="s">
        <v>1675</v>
      </c>
      <c r="D2853" s="107" t="s">
        <v>1469</v>
      </c>
      <c r="E2853" s="107">
        <v>0</v>
      </c>
      <c r="F2853" s="107" t="s">
        <v>1476</v>
      </c>
      <c r="G2853" s="108"/>
    </row>
    <row r="2854" spans="1:27" s="3" customFormat="1" hidden="1" outlineLevel="1" x14ac:dyDescent="0.25">
      <c r="A2854" s="278"/>
      <c r="B2854" s="201" t="s">
        <v>332</v>
      </c>
      <c r="C2854" s="107" t="s">
        <v>1751</v>
      </c>
      <c r="D2854" s="107" t="s">
        <v>1494</v>
      </c>
      <c r="E2854" s="107">
        <v>0</v>
      </c>
      <c r="F2854" s="107" t="s">
        <v>1470</v>
      </c>
      <c r="G2854" s="108"/>
      <c r="H2854" s="3" t="s">
        <v>10</v>
      </c>
      <c r="I2854" s="3" t="s">
        <v>173</v>
      </c>
      <c r="J2854" s="3" t="s">
        <v>9</v>
      </c>
      <c r="K2854" s="3" t="s">
        <v>9</v>
      </c>
    </row>
    <row r="2855" spans="1:27" s="3" customFormat="1" hidden="1" outlineLevel="1" x14ac:dyDescent="0.25">
      <c r="B2855" s="28"/>
      <c r="C2855" s="29"/>
      <c r="D2855" s="29"/>
      <c r="E2855" s="29"/>
      <c r="F2855" s="29"/>
      <c r="G2855" s="30"/>
    </row>
    <row r="2856" spans="1:27" s="3" customFormat="1" ht="17.399999999999999" hidden="1" customHeight="1" outlineLevel="1" x14ac:dyDescent="0.25">
      <c r="A2856" s="14"/>
      <c r="B2856" s="398" t="s">
        <v>28</v>
      </c>
      <c r="C2856" s="399"/>
      <c r="D2856" s="399"/>
      <c r="E2856" s="399"/>
      <c r="F2856" s="399"/>
      <c r="G2856" s="400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4"/>
      <c r="X2856" s="14"/>
      <c r="Y2856" s="14"/>
      <c r="Z2856" s="14"/>
      <c r="AA2856" s="14"/>
    </row>
    <row r="2857" spans="1:27" s="3" customFormat="1" ht="17.399999999999999" hidden="1" customHeight="1" outlineLevel="1" x14ac:dyDescent="0.25">
      <c r="A2857" s="14"/>
      <c r="B2857" s="25" t="s">
        <v>2</v>
      </c>
      <c r="C2857" s="26" t="s">
        <v>3</v>
      </c>
      <c r="D2857" s="26" t="s">
        <v>4</v>
      </c>
      <c r="E2857" s="26" t="s">
        <v>5</v>
      </c>
      <c r="F2857" s="26"/>
      <c r="G2857" s="27" t="s">
        <v>6</v>
      </c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  <c r="AA2857" s="14"/>
    </row>
    <row r="2858" spans="1:27" s="3" customFormat="1" ht="17.399999999999999" hidden="1" customHeight="1" outlineLevel="1" thickBot="1" x14ac:dyDescent="0.3">
      <c r="A2858" s="14"/>
      <c r="B2858" s="116"/>
      <c r="C2858" s="117"/>
      <c r="D2858" s="117"/>
      <c r="E2858" s="117"/>
      <c r="F2858" s="117"/>
      <c r="G2858" s="118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4"/>
      <c r="X2858" s="14"/>
      <c r="Y2858" s="14"/>
      <c r="Z2858" s="14"/>
      <c r="AA2858" s="14"/>
    </row>
    <row r="2859" spans="1:27" s="3" customFormat="1" ht="17.399999999999999" hidden="1" customHeight="1" outlineLevel="1" x14ac:dyDescent="0.25">
      <c r="A2859" s="14"/>
      <c r="B2859" s="401" t="s">
        <v>29</v>
      </c>
      <c r="C2859" s="402"/>
      <c r="D2859" s="402"/>
      <c r="E2859" s="402"/>
      <c r="F2859" s="402"/>
      <c r="G2859" s="403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T2859" s="14"/>
      <c r="U2859" s="14"/>
      <c r="V2859" s="14"/>
      <c r="W2859" s="14"/>
      <c r="X2859" s="14"/>
      <c r="Y2859" s="14"/>
      <c r="Z2859" s="14"/>
      <c r="AA2859" s="14"/>
    </row>
    <row r="2860" spans="1:27" s="3" customFormat="1" hidden="1" outlineLevel="1" x14ac:dyDescent="0.25">
      <c r="B2860" s="28"/>
      <c r="C2860" s="29"/>
      <c r="D2860" s="29"/>
      <c r="E2860" s="29"/>
      <c r="F2860" s="29"/>
      <c r="G2860" s="30"/>
    </row>
    <row r="2861" spans="1:27" s="7" customFormat="1" ht="16.5" hidden="1" customHeight="1" outlineLevel="1" x14ac:dyDescent="0.25">
      <c r="A2861" s="14"/>
      <c r="B2861" s="308" t="s">
        <v>559</v>
      </c>
      <c r="C2861" s="309"/>
      <c r="D2861" s="309"/>
      <c r="E2861" s="309"/>
      <c r="F2861" s="309"/>
      <c r="G2861" s="310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  <c r="R2861" s="14"/>
      <c r="S2861" s="14"/>
      <c r="T2861" s="14"/>
      <c r="U2861" s="14"/>
      <c r="V2861" s="14"/>
      <c r="W2861" s="14"/>
      <c r="X2861" s="14"/>
      <c r="Y2861" s="14"/>
      <c r="Z2861" s="14"/>
      <c r="AA2861" s="14"/>
    </row>
    <row r="2862" spans="1:27" s="7" customFormat="1" ht="17.399999999999999" hidden="1" customHeight="1" outlineLevel="1" thickBot="1" x14ac:dyDescent="0.3">
      <c r="A2862" s="14"/>
      <c r="B2862" s="305" t="s">
        <v>560</v>
      </c>
      <c r="C2862" s="306"/>
      <c r="D2862" s="306"/>
      <c r="E2862" s="306"/>
      <c r="F2862" s="306"/>
      <c r="G2862" s="307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  <c r="T2862" s="14"/>
      <c r="U2862" s="14"/>
      <c r="V2862" s="14"/>
      <c r="W2862" s="14"/>
      <c r="X2862" s="14"/>
      <c r="Y2862" s="14"/>
      <c r="Z2862" s="14"/>
      <c r="AA2862" s="14"/>
    </row>
    <row r="2863" spans="1:27" s="7" customFormat="1" ht="16.5" hidden="1" customHeight="1" outlineLevel="1" x14ac:dyDescent="0.25">
      <c r="A2863" s="14"/>
      <c r="B2863" s="308" t="s">
        <v>561</v>
      </c>
      <c r="C2863" s="309"/>
      <c r="D2863" s="309"/>
      <c r="E2863" s="309"/>
      <c r="F2863" s="309"/>
      <c r="G2863" s="310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4"/>
      <c r="AA2863" s="14"/>
    </row>
    <row r="2864" spans="1:27" s="3" customFormat="1" hidden="1" outlineLevel="1" x14ac:dyDescent="0.25">
      <c r="B2864" s="28"/>
      <c r="C2864" s="29"/>
      <c r="D2864" s="29"/>
      <c r="E2864" s="29"/>
      <c r="F2864" s="29"/>
      <c r="G2864" s="30"/>
    </row>
    <row r="2865" spans="2:13" s="3" customFormat="1" hidden="1" outlineLevel="1" x14ac:dyDescent="0.25">
      <c r="B2865" s="28" t="s">
        <v>694</v>
      </c>
      <c r="C2865" s="29"/>
      <c r="D2865" s="29"/>
      <c r="E2865" s="29"/>
      <c r="F2865" s="29"/>
      <c r="G2865" s="375" t="s">
        <v>2463</v>
      </c>
    </row>
    <row r="2866" spans="2:13" s="3" customFormat="1" ht="16.2" hidden="1" outlineLevel="1" thickBot="1" x14ac:dyDescent="0.3">
      <c r="B2866" s="163"/>
      <c r="C2866" s="164"/>
      <c r="D2866" s="164"/>
      <c r="E2866" s="164"/>
      <c r="F2866" s="164"/>
      <c r="G2866" s="165"/>
    </row>
    <row r="2867" spans="2:13" hidden="1" outlineLevel="1" x14ac:dyDescent="0.25"/>
    <row r="2868" spans="2:13" ht="16.2" hidden="1" outlineLevel="1" thickBot="1" x14ac:dyDescent="0.3"/>
    <row r="2869" spans="2:13" s="3" customFormat="1" ht="16.2" collapsed="1" thickBot="1" x14ac:dyDescent="0.3">
      <c r="B2869" s="15" t="s">
        <v>1279</v>
      </c>
      <c r="C2869" s="16" t="s">
        <v>2059</v>
      </c>
      <c r="D2869" s="17" t="s">
        <v>1281</v>
      </c>
      <c r="E2869" s="16" t="s">
        <v>695</v>
      </c>
      <c r="F2869" s="17" t="s">
        <v>1282</v>
      </c>
      <c r="G2869" s="192" t="s">
        <v>2060</v>
      </c>
    </row>
    <row r="2870" spans="2:13" s="3" customFormat="1" hidden="1" outlineLevel="1" x14ac:dyDescent="0.25">
      <c r="B2870" s="179" t="s">
        <v>1284</v>
      </c>
      <c r="C2870" s="20" t="s">
        <v>1285</v>
      </c>
      <c r="D2870" s="180" t="s">
        <v>1286</v>
      </c>
      <c r="E2870" s="29" t="s">
        <v>2061</v>
      </c>
      <c r="F2870" s="180" t="s">
        <v>1288</v>
      </c>
      <c r="G2870" s="30"/>
    </row>
    <row r="2871" spans="2:13" s="3" customFormat="1" ht="16.2" hidden="1" outlineLevel="1" thickBot="1" x14ac:dyDescent="0.3">
      <c r="B2871" s="193" t="s">
        <v>1290</v>
      </c>
      <c r="C2871" s="164"/>
      <c r="D2871" s="194" t="s">
        <v>1292</v>
      </c>
      <c r="E2871" s="164">
        <v>5</v>
      </c>
      <c r="F2871" s="194" t="s">
        <v>1293</v>
      </c>
      <c r="G2871" s="24" t="s">
        <v>1294</v>
      </c>
    </row>
    <row r="2872" spans="2:13" s="3" customFormat="1" hidden="1" outlineLevel="1" x14ac:dyDescent="0.25">
      <c r="B2872" s="401" t="s">
        <v>1</v>
      </c>
      <c r="C2872" s="402"/>
      <c r="D2872" s="402"/>
      <c r="E2872" s="402"/>
      <c r="F2872" s="402"/>
      <c r="G2872" s="403"/>
    </row>
    <row r="2873" spans="2:13" s="3" customFormat="1" hidden="1" outlineLevel="1" x14ac:dyDescent="0.25">
      <c r="B2873" s="179" t="s">
        <v>2</v>
      </c>
      <c r="C2873" s="180" t="s">
        <v>3</v>
      </c>
      <c r="D2873" s="180" t="s">
        <v>4</v>
      </c>
      <c r="E2873" s="180" t="s">
        <v>5</v>
      </c>
      <c r="F2873" s="180"/>
      <c r="G2873" s="181" t="s">
        <v>6</v>
      </c>
    </row>
    <row r="2874" spans="2:13" s="3" customFormat="1" hidden="1" outlineLevel="1" x14ac:dyDescent="0.25">
      <c r="B2874" s="185" t="s">
        <v>14</v>
      </c>
      <c r="C2874" s="23" t="s">
        <v>1475</v>
      </c>
      <c r="D2874" s="23" t="s">
        <v>1469</v>
      </c>
      <c r="E2874" s="23">
        <v>0</v>
      </c>
      <c r="F2874" s="23" t="s">
        <v>1476</v>
      </c>
      <c r="G2874" s="24" t="s">
        <v>1477</v>
      </c>
      <c r="J2874" s="3" t="s">
        <v>10</v>
      </c>
      <c r="K2874" s="3" t="s">
        <v>173</v>
      </c>
      <c r="L2874" s="3" t="s">
        <v>9</v>
      </c>
      <c r="M2874" s="3" t="s">
        <v>9</v>
      </c>
    </row>
    <row r="2875" spans="2:13" s="3" customFormat="1" hidden="1" outlineLevel="1" x14ac:dyDescent="0.25">
      <c r="B2875" s="185" t="s">
        <v>696</v>
      </c>
      <c r="C2875" s="29" t="s">
        <v>2074</v>
      </c>
      <c r="D2875" s="29" t="s">
        <v>1593</v>
      </c>
      <c r="E2875" s="29" t="s">
        <v>1594</v>
      </c>
      <c r="F2875" s="29" t="s">
        <v>1470</v>
      </c>
      <c r="G2875" s="30"/>
      <c r="J2875" s="3" t="s">
        <v>187</v>
      </c>
      <c r="K2875" s="3" t="s">
        <v>438</v>
      </c>
      <c r="L2875" s="3" t="s">
        <v>537</v>
      </c>
      <c r="M2875" s="3" t="s">
        <v>187</v>
      </c>
    </row>
    <row r="2876" spans="2:13" s="3" customFormat="1" hidden="1" outlineLevel="1" x14ac:dyDescent="0.25">
      <c r="B2876" s="185" t="s">
        <v>115</v>
      </c>
      <c r="C2876" s="23" t="s">
        <v>1558</v>
      </c>
      <c r="D2876" s="23" t="s">
        <v>1539</v>
      </c>
      <c r="E2876" s="23">
        <v>0</v>
      </c>
      <c r="F2876" s="23" t="s">
        <v>1470</v>
      </c>
      <c r="G2876" s="24"/>
      <c r="J2876" s="3" t="s">
        <v>20</v>
      </c>
      <c r="K2876" s="3" t="s">
        <v>445</v>
      </c>
      <c r="L2876" s="3" t="s">
        <v>446</v>
      </c>
      <c r="M2876" s="3" t="s">
        <v>446</v>
      </c>
    </row>
    <row r="2877" spans="2:13" s="3" customFormat="1" hidden="1" outlineLevel="1" x14ac:dyDescent="0.25">
      <c r="B2877" s="185" t="s">
        <v>460</v>
      </c>
      <c r="C2877" s="23" t="s">
        <v>1847</v>
      </c>
      <c r="D2877" s="23" t="s">
        <v>1539</v>
      </c>
      <c r="E2877" s="23">
        <v>0</v>
      </c>
      <c r="F2877" s="23" t="s">
        <v>1470</v>
      </c>
      <c r="G2877" s="24"/>
      <c r="J2877" s="3" t="s">
        <v>20</v>
      </c>
      <c r="K2877" s="3" t="s">
        <v>445</v>
      </c>
      <c r="L2877" s="3" t="s">
        <v>446</v>
      </c>
      <c r="M2877" s="3" t="s">
        <v>446</v>
      </c>
    </row>
    <row r="2878" spans="2:13" s="3" customFormat="1" hidden="1" outlineLevel="1" x14ac:dyDescent="0.25">
      <c r="B2878" s="185" t="s">
        <v>461</v>
      </c>
      <c r="C2878" s="23" t="s">
        <v>1848</v>
      </c>
      <c r="D2878" s="23" t="s">
        <v>1539</v>
      </c>
      <c r="E2878" s="23">
        <v>0</v>
      </c>
      <c r="F2878" s="23" t="s">
        <v>1470</v>
      </c>
      <c r="G2878" s="24"/>
      <c r="J2878" s="3" t="s">
        <v>20</v>
      </c>
      <c r="K2878" s="3" t="s">
        <v>445</v>
      </c>
      <c r="L2878" s="3" t="s">
        <v>446</v>
      </c>
      <c r="M2878" s="3" t="s">
        <v>446</v>
      </c>
    </row>
    <row r="2879" spans="2:13" s="3" customFormat="1" hidden="1" outlineLevel="1" x14ac:dyDescent="0.25">
      <c r="B2879" s="185" t="s">
        <v>697</v>
      </c>
      <c r="C2879" s="23" t="s">
        <v>2075</v>
      </c>
      <c r="D2879" s="23" t="s">
        <v>1539</v>
      </c>
      <c r="E2879" s="23">
        <v>0</v>
      </c>
      <c r="F2879" s="23" t="s">
        <v>1470</v>
      </c>
      <c r="G2879" s="24"/>
      <c r="J2879" s="3" t="s">
        <v>20</v>
      </c>
      <c r="K2879" s="3" t="s">
        <v>445</v>
      </c>
      <c r="L2879" s="3" t="s">
        <v>446</v>
      </c>
      <c r="M2879" s="3" t="s">
        <v>446</v>
      </c>
    </row>
    <row r="2880" spans="2:13" s="3" customFormat="1" hidden="1" outlineLevel="1" x14ac:dyDescent="0.25">
      <c r="B2880" s="185" t="s">
        <v>698</v>
      </c>
      <c r="C2880" s="23" t="s">
        <v>2076</v>
      </c>
      <c r="D2880" s="23" t="s">
        <v>1539</v>
      </c>
      <c r="E2880" s="23">
        <v>0</v>
      </c>
      <c r="F2880" s="23" t="s">
        <v>1470</v>
      </c>
      <c r="G2880" s="24"/>
      <c r="J2880" s="3" t="s">
        <v>20</v>
      </c>
      <c r="K2880" s="3" t="s">
        <v>445</v>
      </c>
      <c r="L2880" s="3" t="s">
        <v>446</v>
      </c>
      <c r="M2880" s="3" t="s">
        <v>446</v>
      </c>
    </row>
    <row r="2881" spans="2:13" s="3" customFormat="1" hidden="1" outlineLevel="1" x14ac:dyDescent="0.25">
      <c r="B2881" s="185" t="s">
        <v>91</v>
      </c>
      <c r="C2881" s="23" t="s">
        <v>1541</v>
      </c>
      <c r="D2881" s="23" t="s">
        <v>1539</v>
      </c>
      <c r="E2881" s="23">
        <v>0</v>
      </c>
      <c r="F2881" s="23" t="s">
        <v>1470</v>
      </c>
      <c r="G2881" s="24"/>
      <c r="J2881" s="3" t="s">
        <v>20</v>
      </c>
      <c r="K2881" s="3" t="s">
        <v>445</v>
      </c>
      <c r="L2881" s="3" t="s">
        <v>446</v>
      </c>
      <c r="M2881" s="3" t="s">
        <v>446</v>
      </c>
    </row>
    <row r="2882" spans="2:13" s="3" customFormat="1" hidden="1" outlineLevel="1" x14ac:dyDescent="0.25">
      <c r="B2882" s="185" t="s">
        <v>327</v>
      </c>
      <c r="C2882" s="23" t="s">
        <v>1745</v>
      </c>
      <c r="D2882" s="23" t="s">
        <v>1539</v>
      </c>
      <c r="E2882" s="23">
        <v>0</v>
      </c>
      <c r="F2882" s="23" t="s">
        <v>1470</v>
      </c>
      <c r="G2882" s="24"/>
      <c r="J2882" s="3" t="s">
        <v>20</v>
      </c>
      <c r="K2882" s="3" t="s">
        <v>445</v>
      </c>
      <c r="L2882" s="3" t="s">
        <v>446</v>
      </c>
      <c r="M2882" s="3" t="s">
        <v>446</v>
      </c>
    </row>
    <row r="2883" spans="2:13" s="3" customFormat="1" hidden="1" outlineLevel="1" x14ac:dyDescent="0.25">
      <c r="B2883" s="185" t="s">
        <v>699</v>
      </c>
      <c r="C2883" s="23" t="s">
        <v>2077</v>
      </c>
      <c r="D2883" s="23" t="s">
        <v>1486</v>
      </c>
      <c r="E2883" s="23">
        <v>0</v>
      </c>
      <c r="F2883" s="23" t="s">
        <v>1470</v>
      </c>
      <c r="G2883" s="24"/>
      <c r="J2883" s="3" t="s">
        <v>20</v>
      </c>
      <c r="K2883" s="3" t="s">
        <v>445</v>
      </c>
      <c r="L2883" s="3" t="s">
        <v>446</v>
      </c>
      <c r="M2883" s="3" t="s">
        <v>446</v>
      </c>
    </row>
    <row r="2884" spans="2:13" s="3" customFormat="1" hidden="1" outlineLevel="1" x14ac:dyDescent="0.25">
      <c r="B2884" s="185" t="s">
        <v>465</v>
      </c>
      <c r="C2884" s="23" t="s">
        <v>1852</v>
      </c>
      <c r="D2884" s="23" t="s">
        <v>1539</v>
      </c>
      <c r="E2884" s="23">
        <v>0</v>
      </c>
      <c r="F2884" s="23" t="s">
        <v>1470</v>
      </c>
      <c r="G2884" s="24"/>
      <c r="J2884" s="3" t="s">
        <v>20</v>
      </c>
      <c r="K2884" s="3" t="s">
        <v>445</v>
      </c>
      <c r="L2884" s="3" t="s">
        <v>446</v>
      </c>
      <c r="M2884" s="3" t="s">
        <v>446</v>
      </c>
    </row>
    <row r="2885" spans="2:13" s="3" customFormat="1" hidden="1" outlineLevel="1" x14ac:dyDescent="0.25">
      <c r="B2885" s="185" t="s">
        <v>475</v>
      </c>
      <c r="C2885" s="23" t="s">
        <v>1862</v>
      </c>
      <c r="D2885" s="23" t="s">
        <v>1539</v>
      </c>
      <c r="E2885" s="23">
        <v>0</v>
      </c>
      <c r="F2885" s="23" t="s">
        <v>1470</v>
      </c>
      <c r="G2885" s="24"/>
      <c r="J2885" s="3" t="s">
        <v>20</v>
      </c>
      <c r="K2885" s="3" t="s">
        <v>445</v>
      </c>
      <c r="L2885" s="3" t="s">
        <v>446</v>
      </c>
      <c r="M2885" s="3" t="s">
        <v>446</v>
      </c>
    </row>
    <row r="2886" spans="2:13" s="3" customFormat="1" ht="16.2" hidden="1" outlineLevel="1" thickBot="1" x14ac:dyDescent="0.3">
      <c r="B2886" s="185"/>
      <c r="C2886" s="23"/>
      <c r="D2886" s="23"/>
      <c r="E2886" s="23"/>
      <c r="F2886" s="23"/>
      <c r="G2886" s="24"/>
    </row>
    <row r="2887" spans="2:13" s="3" customFormat="1" hidden="1" outlineLevel="1" x14ac:dyDescent="0.25">
      <c r="B2887" s="401" t="s">
        <v>18</v>
      </c>
      <c r="C2887" s="402"/>
      <c r="D2887" s="402"/>
      <c r="E2887" s="402"/>
      <c r="F2887" s="402"/>
      <c r="G2887" s="403"/>
    </row>
    <row r="2888" spans="2:13" s="3" customFormat="1" hidden="1" outlineLevel="1" x14ac:dyDescent="0.25">
      <c r="B2888" s="179" t="s">
        <v>2</v>
      </c>
      <c r="C2888" s="180" t="s">
        <v>3</v>
      </c>
      <c r="D2888" s="180" t="s">
        <v>4</v>
      </c>
      <c r="E2888" s="180" t="s">
        <v>5</v>
      </c>
      <c r="F2888" s="180"/>
      <c r="G2888" s="181" t="s">
        <v>6</v>
      </c>
    </row>
    <row r="2889" spans="2:13" s="3" customFormat="1" hidden="1" outlineLevel="1" x14ac:dyDescent="0.25">
      <c r="B2889" s="28"/>
      <c r="C2889" s="29"/>
      <c r="D2889" s="29"/>
      <c r="E2889" s="29"/>
      <c r="F2889" s="29"/>
      <c r="G2889" s="30"/>
    </row>
    <row r="2890" spans="2:13" s="3" customFormat="1" ht="16.2" hidden="1" outlineLevel="1" thickBot="1" x14ac:dyDescent="0.3">
      <c r="B2890" s="185"/>
      <c r="C2890" s="23"/>
      <c r="D2890" s="23"/>
      <c r="E2890" s="23"/>
      <c r="F2890" s="23"/>
      <c r="G2890" s="24"/>
    </row>
    <row r="2891" spans="2:13" s="3" customFormat="1" hidden="1" outlineLevel="1" x14ac:dyDescent="0.25">
      <c r="B2891" s="401" t="s">
        <v>29</v>
      </c>
      <c r="C2891" s="402"/>
      <c r="D2891" s="402"/>
      <c r="E2891" s="402"/>
      <c r="F2891" s="402"/>
      <c r="G2891" s="403"/>
    </row>
    <row r="2892" spans="2:13" s="3" customFormat="1" hidden="1" outlineLevel="1" x14ac:dyDescent="0.25">
      <c r="B2892" s="28"/>
      <c r="C2892" s="29"/>
      <c r="D2892" s="29"/>
      <c r="E2892" s="29"/>
      <c r="F2892" s="29"/>
      <c r="G2892" s="30"/>
    </row>
    <row r="2893" spans="2:13" s="3" customFormat="1" hidden="1" outlineLevel="1" x14ac:dyDescent="0.25">
      <c r="B2893" s="28" t="s">
        <v>664</v>
      </c>
      <c r="C2893" s="29"/>
      <c r="D2893" s="29"/>
      <c r="E2893" s="29"/>
      <c r="F2893" s="29"/>
      <c r="G2893" s="30"/>
    </row>
    <row r="2894" spans="2:13" s="3" customFormat="1" hidden="1" outlineLevel="1" x14ac:dyDescent="0.25">
      <c r="B2894" s="28" t="s">
        <v>700</v>
      </c>
      <c r="C2894" s="29"/>
      <c r="D2894" s="29"/>
      <c r="E2894" s="29"/>
      <c r="F2894" s="29"/>
      <c r="G2894" s="375" t="s">
        <v>2464</v>
      </c>
    </row>
    <row r="2895" spans="2:13" s="3" customFormat="1" hidden="1" outlineLevel="1" x14ac:dyDescent="0.25">
      <c r="B2895" s="28"/>
      <c r="C2895" s="29"/>
      <c r="D2895" s="29"/>
      <c r="E2895" s="29"/>
      <c r="F2895" s="29"/>
      <c r="G2895" s="30"/>
    </row>
    <row r="2896" spans="2:13" s="3" customFormat="1" hidden="1" outlineLevel="1" x14ac:dyDescent="0.25">
      <c r="B2896" s="28" t="s">
        <v>666</v>
      </c>
      <c r="C2896" s="29"/>
      <c r="D2896" s="29"/>
      <c r="E2896" s="29"/>
      <c r="F2896" s="29"/>
      <c r="G2896" s="30"/>
    </row>
    <row r="2897" spans="2:7" s="3" customFormat="1" hidden="1" outlineLevel="1" x14ac:dyDescent="0.25">
      <c r="B2897" s="28"/>
      <c r="C2897" s="29"/>
      <c r="D2897" s="29"/>
      <c r="E2897" s="29"/>
      <c r="F2897" s="29"/>
      <c r="G2897" s="30"/>
    </row>
    <row r="2898" spans="2:7" ht="16.2" hidden="1" outlineLevel="1" thickBot="1" x14ac:dyDescent="0.3"/>
    <row r="2899" spans="2:7" collapsed="1" x14ac:dyDescent="0.25">
      <c r="B2899" s="15" t="s">
        <v>1279</v>
      </c>
      <c r="C2899" s="16" t="s">
        <v>1269</v>
      </c>
      <c r="D2899" s="17" t="s">
        <v>1281</v>
      </c>
      <c r="E2899" s="29" t="s">
        <v>1270</v>
      </c>
      <c r="F2899" s="17" t="s">
        <v>1282</v>
      </c>
      <c r="G2899" s="18" t="s">
        <v>1271</v>
      </c>
    </row>
    <row r="2900" spans="2:7" hidden="1" outlineLevel="1" x14ac:dyDescent="0.25">
      <c r="B2900" s="19" t="s">
        <v>1284</v>
      </c>
      <c r="C2900" s="20" t="s">
        <v>1285</v>
      </c>
      <c r="D2900" s="21" t="s">
        <v>1286</v>
      </c>
      <c r="E2900" s="20" t="s">
        <v>1272</v>
      </c>
      <c r="F2900" s="21" t="s">
        <v>1288</v>
      </c>
      <c r="G2900" s="22"/>
    </row>
    <row r="2901" spans="2:7" ht="16.2" hidden="1" outlineLevel="1" thickBot="1" x14ac:dyDescent="0.3">
      <c r="B2901" s="19" t="s">
        <v>1290</v>
      </c>
      <c r="C2901" s="23"/>
      <c r="D2901" s="21" t="s">
        <v>1292</v>
      </c>
      <c r="E2901" s="23">
        <v>5</v>
      </c>
      <c r="F2901" s="21" t="s">
        <v>1293</v>
      </c>
      <c r="G2901" s="24" t="s">
        <v>1294</v>
      </c>
    </row>
    <row r="2902" spans="2:7" hidden="1" outlineLevel="1" x14ac:dyDescent="0.25">
      <c r="B2902" s="401" t="s">
        <v>1</v>
      </c>
      <c r="C2902" s="402"/>
      <c r="D2902" s="402"/>
      <c r="E2902" s="402"/>
      <c r="F2902" s="402"/>
      <c r="G2902" s="403"/>
    </row>
    <row r="2903" spans="2:7" hidden="1" outlineLevel="1" x14ac:dyDescent="0.25">
      <c r="B2903" s="25" t="s">
        <v>2</v>
      </c>
      <c r="C2903" s="26" t="s">
        <v>3</v>
      </c>
      <c r="D2903" s="26" t="s">
        <v>4</v>
      </c>
      <c r="E2903" s="26" t="s">
        <v>5</v>
      </c>
      <c r="F2903" s="26"/>
      <c r="G2903" s="27" t="s">
        <v>6</v>
      </c>
    </row>
    <row r="2904" spans="2:7" hidden="1" outlineLevel="1" x14ac:dyDescent="0.25">
      <c r="B2904" s="28" t="s">
        <v>7</v>
      </c>
      <c r="C2904" s="29" t="s">
        <v>1468</v>
      </c>
      <c r="D2904" s="29" t="s">
        <v>1469</v>
      </c>
      <c r="E2904" s="29">
        <v>0</v>
      </c>
      <c r="F2904" s="29" t="s">
        <v>1470</v>
      </c>
      <c r="G2904" s="30" t="s">
        <v>1471</v>
      </c>
    </row>
    <row r="2905" spans="2:7" hidden="1" outlineLevel="1" x14ac:dyDescent="0.25">
      <c r="B2905" s="28" t="s">
        <v>1267</v>
      </c>
      <c r="C2905" s="29" t="s">
        <v>2349</v>
      </c>
      <c r="D2905" s="29" t="s">
        <v>2350</v>
      </c>
      <c r="E2905" s="29">
        <v>0</v>
      </c>
      <c r="F2905" s="29" t="s">
        <v>2336</v>
      </c>
      <c r="G2905" s="30" t="s">
        <v>2351</v>
      </c>
    </row>
    <row r="2906" spans="2:7" ht="16.2" hidden="1" outlineLevel="1" thickBot="1" x14ac:dyDescent="0.3">
      <c r="B2906" s="28"/>
      <c r="C2906" s="29"/>
      <c r="D2906" s="29"/>
      <c r="E2906" s="29"/>
      <c r="F2906" s="29"/>
      <c r="G2906" s="30"/>
    </row>
    <row r="2907" spans="2:7" hidden="1" outlineLevel="1" x14ac:dyDescent="0.25">
      <c r="B2907" s="401" t="s">
        <v>18</v>
      </c>
      <c r="C2907" s="402"/>
      <c r="D2907" s="402"/>
      <c r="E2907" s="402"/>
      <c r="F2907" s="402"/>
      <c r="G2907" s="403"/>
    </row>
    <row r="2908" spans="2:7" hidden="1" outlineLevel="1" x14ac:dyDescent="0.25">
      <c r="B2908" s="25" t="s">
        <v>2</v>
      </c>
      <c r="C2908" s="26" t="s">
        <v>3</v>
      </c>
      <c r="D2908" s="26" t="s">
        <v>4</v>
      </c>
      <c r="E2908" s="26" t="s">
        <v>5</v>
      </c>
      <c r="F2908" s="26"/>
      <c r="G2908" s="27" t="s">
        <v>6</v>
      </c>
    </row>
    <row r="2909" spans="2:7" hidden="1" outlineLevel="1" x14ac:dyDescent="0.25">
      <c r="B2909" s="28" t="s">
        <v>514</v>
      </c>
      <c r="C2909" s="29" t="s">
        <v>2352</v>
      </c>
      <c r="D2909" s="257" t="s">
        <v>2345</v>
      </c>
      <c r="E2909" s="257">
        <v>0</v>
      </c>
      <c r="F2909" s="257" t="s">
        <v>2336</v>
      </c>
      <c r="G2909" s="258"/>
    </row>
    <row r="2910" spans="2:7" ht="16.2" hidden="1" outlineLevel="1" thickBot="1" x14ac:dyDescent="0.3">
      <c r="B2910" s="28" t="s">
        <v>515</v>
      </c>
      <c r="C2910" s="29" t="s">
        <v>1893</v>
      </c>
      <c r="D2910" s="257" t="s">
        <v>1489</v>
      </c>
      <c r="E2910" s="257">
        <v>0</v>
      </c>
      <c r="F2910" s="257" t="s">
        <v>1470</v>
      </c>
      <c r="G2910" s="258"/>
    </row>
    <row r="2911" spans="2:7" hidden="1" outlineLevel="1" x14ac:dyDescent="0.25">
      <c r="B2911" s="401" t="s">
        <v>29</v>
      </c>
      <c r="C2911" s="402"/>
      <c r="D2911" s="402"/>
      <c r="E2911" s="402"/>
      <c r="F2911" s="402"/>
      <c r="G2911" s="403"/>
    </row>
    <row r="2912" spans="2:7" hidden="1" outlineLevel="1" x14ac:dyDescent="0.25">
      <c r="B2912" s="28"/>
      <c r="C2912" s="29"/>
      <c r="D2912" s="29"/>
      <c r="E2912" s="29"/>
      <c r="F2912" s="29"/>
      <c r="G2912" s="30"/>
    </row>
    <row r="2913" spans="2:7" hidden="1" outlineLevel="1" x14ac:dyDescent="0.25">
      <c r="B2913" s="28"/>
      <c r="C2913" s="29"/>
      <c r="D2913" s="29"/>
      <c r="E2913" s="29"/>
      <c r="F2913" s="29"/>
      <c r="G2913" s="30"/>
    </row>
    <row r="2914" spans="2:7" hidden="1" outlineLevel="1" x14ac:dyDescent="0.25">
      <c r="B2914" s="28" t="s">
        <v>1273</v>
      </c>
      <c r="C2914" s="29"/>
      <c r="D2914" s="29"/>
      <c r="E2914" s="29"/>
      <c r="F2914" s="29"/>
      <c r="G2914" s="375" t="s">
        <v>2465</v>
      </c>
    </row>
    <row r="2915" spans="2:7" ht="16.2" hidden="1" outlineLevel="1" thickBot="1" x14ac:dyDescent="0.3">
      <c r="B2915" s="163"/>
      <c r="C2915" s="164"/>
      <c r="D2915" s="164"/>
      <c r="E2915" s="164"/>
      <c r="F2915" s="164"/>
      <c r="G2915" s="165"/>
    </row>
    <row r="2916" spans="2:7" collapsed="1" x14ac:dyDescent="0.25"/>
  </sheetData>
  <mergeCells count="200">
    <mergeCell ref="B2907:G2907"/>
    <mergeCell ref="B2911:G2911"/>
    <mergeCell ref="B2780:G2780"/>
    <mergeCell ref="B2789:G2789"/>
    <mergeCell ref="B2799:G2799"/>
    <mergeCell ref="B2856:G2856"/>
    <mergeCell ref="B2859:G2859"/>
    <mergeCell ref="B2872:G2872"/>
    <mergeCell ref="B2887:G2887"/>
    <mergeCell ref="B2891:G2891"/>
    <mergeCell ref="B2902:G2902"/>
    <mergeCell ref="B2730:G2730"/>
    <mergeCell ref="B2734:G2734"/>
    <mergeCell ref="B2738:G2738"/>
    <mergeCell ref="B2748:G2748"/>
    <mergeCell ref="B2752:G2752"/>
    <mergeCell ref="B2757:G2757"/>
    <mergeCell ref="B2767:G2767"/>
    <mergeCell ref="B2772:G2772"/>
    <mergeCell ref="B2777:G2777"/>
    <mergeCell ref="B2570:G2570"/>
    <mergeCell ref="B2579:G2579"/>
    <mergeCell ref="B2603:G2603"/>
    <mergeCell ref="B2618:G2618"/>
    <mergeCell ref="B2630:G2630"/>
    <mergeCell ref="B2680:G2680"/>
    <mergeCell ref="B2698:G2698"/>
    <mergeCell ref="B2706:G2706"/>
    <mergeCell ref="B2716:G2716"/>
    <mergeCell ref="B2350:G2350"/>
    <mergeCell ref="B2373:G2373"/>
    <mergeCell ref="B2429:G2429"/>
    <mergeCell ref="B2445:G2445"/>
    <mergeCell ref="B2457:G2457"/>
    <mergeCell ref="B2499:G2499"/>
    <mergeCell ref="B2515:G2515"/>
    <mergeCell ref="B2529:G2529"/>
    <mergeCell ref="B2555:G2555"/>
    <mergeCell ref="B2144:G2144"/>
    <mergeCell ref="B2175:G2175"/>
    <mergeCell ref="B2179:G2179"/>
    <mergeCell ref="B2191:G2191"/>
    <mergeCell ref="B2199:G2199"/>
    <mergeCell ref="B2269:G2269"/>
    <mergeCell ref="B2287:G2287"/>
    <mergeCell ref="B2296:G2296"/>
    <mergeCell ref="B2331:G2331"/>
    <mergeCell ref="B2069:G2069"/>
    <mergeCell ref="B2077:G2077"/>
    <mergeCell ref="B2089:G2089"/>
    <mergeCell ref="B2094:G2094"/>
    <mergeCell ref="B2103:G2103"/>
    <mergeCell ref="B2112:G2112"/>
    <mergeCell ref="B2121:G2121"/>
    <mergeCell ref="B2125:G2125"/>
    <mergeCell ref="B2133:G2133"/>
    <mergeCell ref="B1966:G1966"/>
    <mergeCell ref="B1987:G1987"/>
    <mergeCell ref="B1990:G1990"/>
    <mergeCell ref="B2004:G2004"/>
    <mergeCell ref="B2014:G2014"/>
    <mergeCell ref="B2029:G2029"/>
    <mergeCell ref="B2038:G2038"/>
    <mergeCell ref="B2047:G2047"/>
    <mergeCell ref="B2060:G2060"/>
    <mergeCell ref="B1864:G1864"/>
    <mergeCell ref="B1871:G1871"/>
    <mergeCell ref="B1894:G1894"/>
    <mergeCell ref="B1897:G1897"/>
    <mergeCell ref="B1910:G1910"/>
    <mergeCell ref="B1919:G1919"/>
    <mergeCell ref="B1942:G1942"/>
    <mergeCell ref="B1945:G1945"/>
    <mergeCell ref="B1959:G1959"/>
    <mergeCell ref="B1762:G1762"/>
    <mergeCell ref="B1773:G1773"/>
    <mergeCell ref="B1780:G1780"/>
    <mergeCell ref="B1802:G1802"/>
    <mergeCell ref="B1805:G1805"/>
    <mergeCell ref="B1817:G1817"/>
    <mergeCell ref="B1826:G1826"/>
    <mergeCell ref="B1848:G1848"/>
    <mergeCell ref="B1851:G1851"/>
    <mergeCell ref="B1581:G1581"/>
    <mergeCell ref="B1638:G1638"/>
    <mergeCell ref="B1641:G1641"/>
    <mergeCell ref="B1653:G1653"/>
    <mergeCell ref="B1664:G1664"/>
    <mergeCell ref="B1700:G1700"/>
    <mergeCell ref="B1713:G1713"/>
    <mergeCell ref="B1725:G1725"/>
    <mergeCell ref="B1759:G1759"/>
    <mergeCell ref="B1412:G1412"/>
    <mergeCell ref="B1425:G1425"/>
    <mergeCell ref="B1437:G1437"/>
    <mergeCell ref="B1478:G1478"/>
    <mergeCell ref="B1492:G1492"/>
    <mergeCell ref="B1501:G1501"/>
    <mergeCell ref="B1555:G1555"/>
    <mergeCell ref="B1558:G1558"/>
    <mergeCell ref="B1571:G1571"/>
    <mergeCell ref="B1240:G1240"/>
    <mergeCell ref="B1247:G1247"/>
    <mergeCell ref="B1288:G1288"/>
    <mergeCell ref="B1291:G1291"/>
    <mergeCell ref="B1301:G1301"/>
    <mergeCell ref="B1309:G1309"/>
    <mergeCell ref="B1348:G1348"/>
    <mergeCell ref="B1359:G1359"/>
    <mergeCell ref="B1370:G1370"/>
    <mergeCell ref="B1136:G1136"/>
    <mergeCell ref="B1148:G1148"/>
    <mergeCell ref="B1170:G1170"/>
    <mergeCell ref="B1179:G1179"/>
    <mergeCell ref="B1186:G1186"/>
    <mergeCell ref="B1196:G1196"/>
    <mergeCell ref="B1205:G1205"/>
    <mergeCell ref="B1214:G1214"/>
    <mergeCell ref="B1223:G1223"/>
    <mergeCell ref="B1025:G1025"/>
    <mergeCell ref="B1036:G1036"/>
    <mergeCell ref="B1049:G1049"/>
    <mergeCell ref="B1059:G1059"/>
    <mergeCell ref="B1071:G1071"/>
    <mergeCell ref="B1085:G1085"/>
    <mergeCell ref="B1095:G1095"/>
    <mergeCell ref="B1106:G1106"/>
    <mergeCell ref="B1128:G1128"/>
    <mergeCell ref="B763:G763"/>
    <mergeCell ref="B773:G773"/>
    <mergeCell ref="B793:G793"/>
    <mergeCell ref="B840:G840"/>
    <mergeCell ref="B843:G843"/>
    <mergeCell ref="B897:G897"/>
    <mergeCell ref="B918:G918"/>
    <mergeCell ref="B966:G966"/>
    <mergeCell ref="B969:G969"/>
    <mergeCell ref="B639:G639"/>
    <mergeCell ref="B652:G652"/>
    <mergeCell ref="B672:G672"/>
    <mergeCell ref="B681:G681"/>
    <mergeCell ref="B694:G694"/>
    <mergeCell ref="B714:G714"/>
    <mergeCell ref="B724:G724"/>
    <mergeCell ref="B735:G735"/>
    <mergeCell ref="B759:G759"/>
    <mergeCell ref="B507:G507"/>
    <mergeCell ref="B512:G512"/>
    <mergeCell ref="B523:G523"/>
    <mergeCell ref="B535:G535"/>
    <mergeCell ref="B573:G573"/>
    <mergeCell ref="B578:G578"/>
    <mergeCell ref="B589:G589"/>
    <mergeCell ref="B602:G602"/>
    <mergeCell ref="B629:G629"/>
    <mergeCell ref="B392:G392"/>
    <mergeCell ref="B410:G410"/>
    <mergeCell ref="B414:G414"/>
    <mergeCell ref="B423:G423"/>
    <mergeCell ref="B431:G431"/>
    <mergeCell ref="B449:G449"/>
    <mergeCell ref="B453:G453"/>
    <mergeCell ref="B460:G460"/>
    <mergeCell ref="B469:G469"/>
    <mergeCell ref="B311:G311"/>
    <mergeCell ref="B317:G317"/>
    <mergeCell ref="B330:G330"/>
    <mergeCell ref="B335:G335"/>
    <mergeCell ref="B343:G343"/>
    <mergeCell ref="B350:G350"/>
    <mergeCell ref="B373:G373"/>
    <mergeCell ref="B377:G377"/>
    <mergeCell ref="B385:G385"/>
    <mergeCell ref="B233:G233"/>
    <mergeCell ref="B242:G242"/>
    <mergeCell ref="B252:G252"/>
    <mergeCell ref="B265:G265"/>
    <mergeCell ref="B269:G269"/>
    <mergeCell ref="B277:G277"/>
    <mergeCell ref="B283:G283"/>
    <mergeCell ref="B298:G298"/>
    <mergeCell ref="B303:G303"/>
    <mergeCell ref="B122:G122"/>
    <mergeCell ref="B126:G126"/>
    <mergeCell ref="B135:G135"/>
    <mergeCell ref="B146:G146"/>
    <mergeCell ref="B167:G167"/>
    <mergeCell ref="B170:G170"/>
    <mergeCell ref="B179:G179"/>
    <mergeCell ref="B190:G190"/>
    <mergeCell ref="B230:G230"/>
    <mergeCell ref="B5:G5"/>
    <mergeCell ref="B16:G16"/>
    <mergeCell ref="B31:G31"/>
    <mergeCell ref="B35:G35"/>
    <mergeCell ref="B45:G45"/>
    <mergeCell ref="B54:G54"/>
    <mergeCell ref="B94:G94"/>
    <mergeCell ref="B103:G103"/>
    <mergeCell ref="B110:G110"/>
  </mergeCells>
  <phoneticPr fontId="35" type="noConversion"/>
  <conditionalFormatting sqref="B1280">
    <cfRule type="duplicateValues" dxfId="636" priority="311"/>
  </conditionalFormatting>
  <conditionalFormatting sqref="B1280:C1280">
    <cfRule type="duplicateValues" dxfId="635" priority="308"/>
    <cfRule type="duplicateValues" dxfId="634" priority="309"/>
    <cfRule type="duplicateValues" dxfId="633" priority="310"/>
  </conditionalFormatting>
  <conditionalFormatting sqref="C1280">
    <cfRule type="duplicateValues" dxfId="632" priority="312"/>
    <cfRule type="duplicateValues" dxfId="631" priority="313"/>
  </conditionalFormatting>
  <conditionalFormatting sqref="B1282">
    <cfRule type="duplicateValues" dxfId="630" priority="240"/>
    <cfRule type="duplicateValues" dxfId="629" priority="242"/>
  </conditionalFormatting>
  <conditionalFormatting sqref="B1282:C1282">
    <cfRule type="duplicateValues" dxfId="628" priority="241"/>
  </conditionalFormatting>
  <conditionalFormatting sqref="C1282">
    <cfRule type="duplicateValues" dxfId="627" priority="236"/>
    <cfRule type="duplicateValues" dxfId="626" priority="237"/>
    <cfRule type="duplicateValues" dxfId="625" priority="238"/>
    <cfRule type="duplicateValues" dxfId="624" priority="239"/>
  </conditionalFormatting>
  <conditionalFormatting sqref="B1283">
    <cfRule type="duplicateValues" dxfId="623" priority="233"/>
    <cfRule type="duplicateValues" dxfId="622" priority="235"/>
  </conditionalFormatting>
  <conditionalFormatting sqref="B1283:C1283">
    <cfRule type="duplicateValues" dxfId="621" priority="234"/>
  </conditionalFormatting>
  <conditionalFormatting sqref="C1283">
    <cfRule type="duplicateValues" dxfId="620" priority="229"/>
    <cfRule type="duplicateValues" dxfId="619" priority="230"/>
    <cfRule type="duplicateValues" dxfId="618" priority="231"/>
    <cfRule type="duplicateValues" dxfId="617" priority="232"/>
  </conditionalFormatting>
  <conditionalFormatting sqref="B1284">
    <cfRule type="duplicateValues" dxfId="616" priority="184"/>
    <cfRule type="duplicateValues" dxfId="615" priority="186"/>
  </conditionalFormatting>
  <conditionalFormatting sqref="B1284:C1284">
    <cfRule type="duplicateValues" dxfId="614" priority="185"/>
  </conditionalFormatting>
  <conditionalFormatting sqref="C1284">
    <cfRule type="duplicateValues" dxfId="613" priority="180"/>
    <cfRule type="duplicateValues" dxfId="612" priority="181"/>
    <cfRule type="duplicateValues" dxfId="611" priority="182"/>
    <cfRule type="duplicateValues" dxfId="610" priority="183"/>
  </conditionalFormatting>
  <conditionalFormatting sqref="C1285">
    <cfRule type="duplicateValues" dxfId="609" priority="44"/>
    <cfRule type="duplicateValues" dxfId="608" priority="45"/>
    <cfRule type="duplicateValues" dxfId="607" priority="46"/>
    <cfRule type="duplicateValues" dxfId="606" priority="47"/>
    <cfRule type="duplicateValues" dxfId="605" priority="48"/>
  </conditionalFormatting>
  <conditionalFormatting sqref="B1287">
    <cfRule type="duplicateValues" dxfId="604" priority="575"/>
  </conditionalFormatting>
  <conditionalFormatting sqref="B1287:C1287">
    <cfRule type="duplicateValues" dxfId="603" priority="566"/>
    <cfRule type="duplicateValues" dxfId="602" priority="567"/>
    <cfRule type="duplicateValues" dxfId="601" priority="568"/>
  </conditionalFormatting>
  <conditionalFormatting sqref="C1287">
    <cfRule type="duplicateValues" dxfId="600" priority="576"/>
    <cfRule type="duplicateValues" dxfId="599" priority="577"/>
  </conditionalFormatting>
  <conditionalFormatting sqref="B1341">
    <cfRule type="duplicateValues" dxfId="598" priority="305"/>
  </conditionalFormatting>
  <conditionalFormatting sqref="B1341:C1341">
    <cfRule type="duplicateValues" dxfId="597" priority="302"/>
    <cfRule type="duplicateValues" dxfId="596" priority="303"/>
    <cfRule type="duplicateValues" dxfId="595" priority="304"/>
  </conditionalFormatting>
  <conditionalFormatting sqref="C1341">
    <cfRule type="duplicateValues" dxfId="594" priority="306"/>
    <cfRule type="duplicateValues" dxfId="593" priority="307"/>
  </conditionalFormatting>
  <conditionalFormatting sqref="B1343">
    <cfRule type="duplicateValues" dxfId="592" priority="226"/>
    <cfRule type="duplicateValues" dxfId="591" priority="228"/>
  </conditionalFormatting>
  <conditionalFormatting sqref="B1343:C1343">
    <cfRule type="duplicateValues" dxfId="590" priority="227"/>
  </conditionalFormatting>
  <conditionalFormatting sqref="C1343">
    <cfRule type="duplicateValues" dxfId="589" priority="222"/>
    <cfRule type="duplicateValues" dxfId="588" priority="223"/>
    <cfRule type="duplicateValues" dxfId="587" priority="224"/>
    <cfRule type="duplicateValues" dxfId="586" priority="225"/>
  </conditionalFormatting>
  <conditionalFormatting sqref="B1344">
    <cfRule type="duplicateValues" dxfId="585" priority="219"/>
    <cfRule type="duplicateValues" dxfId="584" priority="221"/>
  </conditionalFormatting>
  <conditionalFormatting sqref="B1344:C1344">
    <cfRule type="duplicateValues" dxfId="583" priority="220"/>
  </conditionalFormatting>
  <conditionalFormatting sqref="C1344">
    <cfRule type="duplicateValues" dxfId="582" priority="215"/>
    <cfRule type="duplicateValues" dxfId="581" priority="216"/>
    <cfRule type="duplicateValues" dxfId="580" priority="217"/>
    <cfRule type="duplicateValues" dxfId="579" priority="218"/>
  </conditionalFormatting>
  <conditionalFormatting sqref="C1346">
    <cfRule type="duplicateValues" dxfId="578" priority="36"/>
    <cfRule type="duplicateValues" dxfId="577" priority="37"/>
    <cfRule type="duplicateValues" dxfId="576" priority="38"/>
    <cfRule type="duplicateValues" dxfId="575" priority="39"/>
    <cfRule type="duplicateValues" dxfId="574" priority="40"/>
  </conditionalFormatting>
  <conditionalFormatting sqref="B1404">
    <cfRule type="duplicateValues" dxfId="573" priority="299"/>
  </conditionalFormatting>
  <conditionalFormatting sqref="B1404:C1404">
    <cfRule type="duplicateValues" dxfId="572" priority="296"/>
    <cfRule type="duplicateValues" dxfId="571" priority="297"/>
    <cfRule type="duplicateValues" dxfId="570" priority="298"/>
  </conditionalFormatting>
  <conditionalFormatting sqref="C1404">
    <cfRule type="duplicateValues" dxfId="569" priority="300"/>
    <cfRule type="duplicateValues" dxfId="568" priority="301"/>
  </conditionalFormatting>
  <conditionalFormatting sqref="B1406">
    <cfRule type="duplicateValues" dxfId="567" priority="212"/>
    <cfRule type="duplicateValues" dxfId="566" priority="214"/>
  </conditionalFormatting>
  <conditionalFormatting sqref="B1406:C1406">
    <cfRule type="duplicateValues" dxfId="565" priority="213"/>
  </conditionalFormatting>
  <conditionalFormatting sqref="C1406">
    <cfRule type="duplicateValues" dxfId="564" priority="208"/>
    <cfRule type="duplicateValues" dxfId="563" priority="209"/>
    <cfRule type="duplicateValues" dxfId="562" priority="210"/>
    <cfRule type="duplicateValues" dxfId="561" priority="211"/>
  </conditionalFormatting>
  <conditionalFormatting sqref="B1407">
    <cfRule type="duplicateValues" dxfId="560" priority="205"/>
    <cfRule type="duplicateValues" dxfId="559" priority="207"/>
  </conditionalFormatting>
  <conditionalFormatting sqref="B1407:C1407">
    <cfRule type="duplicateValues" dxfId="558" priority="206"/>
  </conditionalFormatting>
  <conditionalFormatting sqref="C1407">
    <cfRule type="duplicateValues" dxfId="557" priority="201"/>
    <cfRule type="duplicateValues" dxfId="556" priority="202"/>
    <cfRule type="duplicateValues" dxfId="555" priority="203"/>
    <cfRule type="duplicateValues" dxfId="554" priority="204"/>
  </conditionalFormatting>
  <conditionalFormatting sqref="B1408">
    <cfRule type="duplicateValues" dxfId="553" priority="177"/>
    <cfRule type="duplicateValues" dxfId="552" priority="179"/>
  </conditionalFormatting>
  <conditionalFormatting sqref="B1408:C1408">
    <cfRule type="duplicateValues" dxfId="551" priority="178"/>
  </conditionalFormatting>
  <conditionalFormatting sqref="C1408">
    <cfRule type="duplicateValues" dxfId="550" priority="173"/>
    <cfRule type="duplicateValues" dxfId="549" priority="174"/>
    <cfRule type="duplicateValues" dxfId="548" priority="175"/>
    <cfRule type="duplicateValues" dxfId="547" priority="176"/>
  </conditionalFormatting>
  <conditionalFormatting sqref="C1409">
    <cfRule type="duplicateValues" dxfId="546" priority="28"/>
    <cfRule type="duplicateValues" dxfId="545" priority="29"/>
    <cfRule type="duplicateValues" dxfId="544" priority="30"/>
    <cfRule type="duplicateValues" dxfId="543" priority="31"/>
    <cfRule type="duplicateValues" dxfId="542" priority="32"/>
  </conditionalFormatting>
  <conditionalFormatting sqref="B1411">
    <cfRule type="duplicateValues" dxfId="541" priority="551"/>
  </conditionalFormatting>
  <conditionalFormatting sqref="B1411:C1411">
    <cfRule type="duplicateValues" dxfId="540" priority="542"/>
    <cfRule type="duplicateValues" dxfId="539" priority="543"/>
    <cfRule type="duplicateValues" dxfId="538" priority="544"/>
  </conditionalFormatting>
  <conditionalFormatting sqref="C1411">
    <cfRule type="duplicateValues" dxfId="537" priority="552"/>
    <cfRule type="duplicateValues" dxfId="536" priority="553"/>
  </conditionalFormatting>
  <conditionalFormatting sqref="B1470">
    <cfRule type="duplicateValues" dxfId="535" priority="293"/>
  </conditionalFormatting>
  <conditionalFormatting sqref="B1470:C1470">
    <cfRule type="duplicateValues" dxfId="534" priority="290"/>
    <cfRule type="duplicateValues" dxfId="533" priority="291"/>
    <cfRule type="duplicateValues" dxfId="532" priority="292"/>
  </conditionalFormatting>
  <conditionalFormatting sqref="C1470">
    <cfRule type="duplicateValues" dxfId="531" priority="294"/>
    <cfRule type="duplicateValues" dxfId="530" priority="295"/>
  </conditionalFormatting>
  <conditionalFormatting sqref="B1472">
    <cfRule type="duplicateValues" dxfId="529" priority="198"/>
    <cfRule type="duplicateValues" dxfId="528" priority="200"/>
  </conditionalFormatting>
  <conditionalFormatting sqref="B1472:C1472">
    <cfRule type="duplicateValues" dxfId="527" priority="199"/>
  </conditionalFormatting>
  <conditionalFormatting sqref="C1472">
    <cfRule type="duplicateValues" dxfId="526" priority="194"/>
    <cfRule type="duplicateValues" dxfId="525" priority="195"/>
    <cfRule type="duplicateValues" dxfId="524" priority="196"/>
    <cfRule type="duplicateValues" dxfId="523" priority="197"/>
  </conditionalFormatting>
  <conditionalFormatting sqref="B1473">
    <cfRule type="duplicateValues" dxfId="522" priority="191"/>
    <cfRule type="duplicateValues" dxfId="521" priority="193"/>
  </conditionalFormatting>
  <conditionalFormatting sqref="B1473:C1473">
    <cfRule type="duplicateValues" dxfId="520" priority="192"/>
  </conditionalFormatting>
  <conditionalFormatting sqref="C1473">
    <cfRule type="duplicateValues" dxfId="519" priority="187"/>
    <cfRule type="duplicateValues" dxfId="518" priority="188"/>
    <cfRule type="duplicateValues" dxfId="517" priority="189"/>
    <cfRule type="duplicateValues" dxfId="516" priority="190"/>
  </conditionalFormatting>
  <conditionalFormatting sqref="C1475">
    <cfRule type="duplicateValues" dxfId="515" priority="20"/>
    <cfRule type="duplicateValues" dxfId="514" priority="21"/>
    <cfRule type="duplicateValues" dxfId="513" priority="22"/>
    <cfRule type="duplicateValues" dxfId="512" priority="23"/>
    <cfRule type="duplicateValues" dxfId="511" priority="24"/>
  </conditionalFormatting>
  <conditionalFormatting sqref="B1477">
    <cfRule type="duplicateValues" dxfId="510" priority="539"/>
  </conditionalFormatting>
  <conditionalFormatting sqref="B1477:C1477">
    <cfRule type="duplicateValues" dxfId="509" priority="530"/>
    <cfRule type="duplicateValues" dxfId="508" priority="531"/>
    <cfRule type="duplicateValues" dxfId="507" priority="532"/>
  </conditionalFormatting>
  <conditionalFormatting sqref="C1477">
    <cfRule type="duplicateValues" dxfId="506" priority="540"/>
    <cfRule type="duplicateValues" dxfId="505" priority="541"/>
  </conditionalFormatting>
  <conditionalFormatting sqref="B1545">
    <cfRule type="duplicateValues" dxfId="504" priority="265"/>
  </conditionalFormatting>
  <conditionalFormatting sqref="B1630">
    <cfRule type="duplicateValues" dxfId="503" priority="266"/>
  </conditionalFormatting>
  <conditionalFormatting sqref="E2130">
    <cfRule type="duplicateValues" dxfId="502" priority="522"/>
  </conditionalFormatting>
  <conditionalFormatting sqref="B2243">
    <cfRule type="duplicateValues" dxfId="501" priority="479"/>
  </conditionalFormatting>
  <conditionalFormatting sqref="C2243">
    <cfRule type="duplicateValues" dxfId="500" priority="478"/>
  </conditionalFormatting>
  <conditionalFormatting sqref="B2244">
    <cfRule type="duplicateValues" dxfId="499" priority="475"/>
  </conditionalFormatting>
  <conditionalFormatting sqref="B2245">
    <cfRule type="duplicateValues" dxfId="498" priority="449"/>
  </conditionalFormatting>
  <conditionalFormatting sqref="B2267">
    <cfRule type="duplicateValues" dxfId="497" priority="482"/>
  </conditionalFormatting>
  <conditionalFormatting sqref="C2267">
    <cfRule type="duplicateValues" dxfId="496" priority="481"/>
  </conditionalFormatting>
  <conditionalFormatting sqref="B2268">
    <cfRule type="duplicateValues" dxfId="495" priority="493"/>
  </conditionalFormatting>
  <conditionalFormatting sqref="B2268:C2268">
    <cfRule type="duplicateValues" dxfId="494" priority="484"/>
    <cfRule type="duplicateValues" dxfId="493" priority="485"/>
    <cfRule type="duplicateValues" dxfId="492" priority="486"/>
  </conditionalFormatting>
  <conditionalFormatting sqref="C2268">
    <cfRule type="duplicateValues" dxfId="491" priority="494"/>
    <cfRule type="duplicateValues" dxfId="490" priority="495"/>
  </conditionalFormatting>
  <conditionalFormatting sqref="B2294">
    <cfRule type="duplicateValues" dxfId="489" priority="451"/>
  </conditionalFormatting>
  <conditionalFormatting sqref="C2294">
    <cfRule type="duplicateValues" dxfId="488" priority="450"/>
  </conditionalFormatting>
  <conditionalFormatting sqref="B2302">
    <cfRule type="duplicateValues" dxfId="487" priority="447"/>
  </conditionalFormatting>
  <conditionalFormatting sqref="C2302">
    <cfRule type="duplicateValues" dxfId="486" priority="446"/>
  </conditionalFormatting>
  <conditionalFormatting sqref="B2303">
    <cfRule type="duplicateValues" dxfId="485" priority="443"/>
  </conditionalFormatting>
  <conditionalFormatting sqref="C2303">
    <cfRule type="duplicateValues" dxfId="484" priority="442"/>
  </conditionalFormatting>
  <conditionalFormatting sqref="B2304">
    <cfRule type="duplicateValues" dxfId="483" priority="439"/>
  </conditionalFormatting>
  <conditionalFormatting sqref="C2304">
    <cfRule type="duplicateValues" dxfId="482" priority="438"/>
  </conditionalFormatting>
  <conditionalFormatting sqref="B2305">
    <cfRule type="duplicateValues" dxfId="481" priority="435"/>
  </conditionalFormatting>
  <conditionalFormatting sqref="C2305">
    <cfRule type="duplicateValues" dxfId="480" priority="434"/>
  </conditionalFormatting>
  <conditionalFormatting sqref="B2306">
    <cfRule type="duplicateValues" dxfId="479" priority="383"/>
  </conditionalFormatting>
  <conditionalFormatting sqref="C2306">
    <cfRule type="duplicateValues" dxfId="478" priority="382"/>
  </conditionalFormatting>
  <conditionalFormatting sqref="B2307">
    <cfRule type="duplicateValues" dxfId="477" priority="379"/>
  </conditionalFormatting>
  <conditionalFormatting sqref="C2307">
    <cfRule type="duplicateValues" dxfId="476" priority="378"/>
  </conditionalFormatting>
  <conditionalFormatting sqref="B2308">
    <cfRule type="duplicateValues" dxfId="475" priority="431"/>
  </conditionalFormatting>
  <conditionalFormatting sqref="C2308">
    <cfRule type="duplicateValues" dxfId="474" priority="430"/>
  </conditionalFormatting>
  <conditionalFormatting sqref="B2309">
    <cfRule type="duplicateValues" dxfId="473" priority="427"/>
  </conditionalFormatting>
  <conditionalFormatting sqref="C2309">
    <cfRule type="duplicateValues" dxfId="472" priority="426"/>
  </conditionalFormatting>
  <conditionalFormatting sqref="B2310">
    <cfRule type="duplicateValues" dxfId="471" priority="391"/>
  </conditionalFormatting>
  <conditionalFormatting sqref="C2310">
    <cfRule type="duplicateValues" dxfId="470" priority="390"/>
  </conditionalFormatting>
  <conditionalFormatting sqref="B2311">
    <cfRule type="duplicateValues" dxfId="469" priority="339"/>
  </conditionalFormatting>
  <conditionalFormatting sqref="C2311">
    <cfRule type="duplicateValues" dxfId="468" priority="338"/>
  </conditionalFormatting>
  <conditionalFormatting sqref="B2312">
    <cfRule type="duplicateValues" dxfId="467" priority="423"/>
  </conditionalFormatting>
  <conditionalFormatting sqref="C2312">
    <cfRule type="duplicateValues" dxfId="466" priority="422"/>
  </conditionalFormatting>
  <conditionalFormatting sqref="B2313">
    <cfRule type="duplicateValues" dxfId="465" priority="419"/>
  </conditionalFormatting>
  <conditionalFormatting sqref="C2313">
    <cfRule type="duplicateValues" dxfId="464" priority="418"/>
  </conditionalFormatting>
  <conditionalFormatting sqref="B2314">
    <cfRule type="duplicateValues" dxfId="463" priority="415"/>
  </conditionalFormatting>
  <conditionalFormatting sqref="C2314">
    <cfRule type="duplicateValues" dxfId="462" priority="414"/>
  </conditionalFormatting>
  <conditionalFormatting sqref="B2315">
    <cfRule type="duplicateValues" dxfId="461" priority="411"/>
  </conditionalFormatting>
  <conditionalFormatting sqref="C2315">
    <cfRule type="duplicateValues" dxfId="460" priority="410"/>
  </conditionalFormatting>
  <conditionalFormatting sqref="B2316">
    <cfRule type="duplicateValues" dxfId="459" priority="407"/>
  </conditionalFormatting>
  <conditionalFormatting sqref="C2316">
    <cfRule type="duplicateValues" dxfId="458" priority="406"/>
  </conditionalFormatting>
  <conditionalFormatting sqref="B2317">
    <cfRule type="duplicateValues" dxfId="457" priority="403"/>
  </conditionalFormatting>
  <conditionalFormatting sqref="C2317">
    <cfRule type="duplicateValues" dxfId="456" priority="402"/>
  </conditionalFormatting>
  <conditionalFormatting sqref="B2318">
    <cfRule type="duplicateValues" dxfId="455" priority="399"/>
  </conditionalFormatting>
  <conditionalFormatting sqref="C2318">
    <cfRule type="duplicateValues" dxfId="454" priority="398"/>
  </conditionalFormatting>
  <conditionalFormatting sqref="B2319">
    <cfRule type="duplicateValues" dxfId="453" priority="395"/>
  </conditionalFormatting>
  <conditionalFormatting sqref="C2319">
    <cfRule type="duplicateValues" dxfId="452" priority="394"/>
  </conditionalFormatting>
  <conditionalFormatting sqref="B2320">
    <cfRule type="duplicateValues" dxfId="451" priority="375"/>
  </conditionalFormatting>
  <conditionalFormatting sqref="C2320">
    <cfRule type="duplicateValues" dxfId="450" priority="374"/>
  </conditionalFormatting>
  <conditionalFormatting sqref="B2321">
    <cfRule type="duplicateValues" dxfId="449" priority="371"/>
  </conditionalFormatting>
  <conditionalFormatting sqref="C2321">
    <cfRule type="duplicateValues" dxfId="448" priority="370"/>
  </conditionalFormatting>
  <conditionalFormatting sqref="B2322">
    <cfRule type="duplicateValues" dxfId="447" priority="367"/>
  </conditionalFormatting>
  <conditionalFormatting sqref="C2322">
    <cfRule type="duplicateValues" dxfId="446" priority="366"/>
  </conditionalFormatting>
  <conditionalFormatting sqref="B2323">
    <cfRule type="duplicateValues" dxfId="445" priority="363"/>
  </conditionalFormatting>
  <conditionalFormatting sqref="C2323">
    <cfRule type="duplicateValues" dxfId="444" priority="362"/>
  </conditionalFormatting>
  <conditionalFormatting sqref="B2324">
    <cfRule type="duplicateValues" dxfId="443" priority="359"/>
  </conditionalFormatting>
  <conditionalFormatting sqref="C2324">
    <cfRule type="duplicateValues" dxfId="442" priority="358"/>
  </conditionalFormatting>
  <conditionalFormatting sqref="B2325">
    <cfRule type="duplicateValues" dxfId="441" priority="355"/>
  </conditionalFormatting>
  <conditionalFormatting sqref="C2325">
    <cfRule type="duplicateValues" dxfId="440" priority="354"/>
  </conditionalFormatting>
  <conditionalFormatting sqref="B2326">
    <cfRule type="duplicateValues" dxfId="439" priority="351"/>
  </conditionalFormatting>
  <conditionalFormatting sqref="C2326">
    <cfRule type="duplicateValues" dxfId="438" priority="350"/>
  </conditionalFormatting>
  <conditionalFormatting sqref="B2327">
    <cfRule type="duplicateValues" dxfId="437" priority="347"/>
  </conditionalFormatting>
  <conditionalFormatting sqref="C2327">
    <cfRule type="duplicateValues" dxfId="436" priority="346"/>
  </conditionalFormatting>
  <conditionalFormatting sqref="B2328">
    <cfRule type="duplicateValues" dxfId="435" priority="343"/>
  </conditionalFormatting>
  <conditionalFormatting sqref="C2328">
    <cfRule type="duplicateValues" dxfId="434" priority="342"/>
  </conditionalFormatting>
  <conditionalFormatting sqref="B2330">
    <cfRule type="duplicateValues" dxfId="433" priority="471"/>
  </conditionalFormatting>
  <conditionalFormatting sqref="B2330:C2330">
    <cfRule type="duplicateValues" dxfId="432" priority="462"/>
    <cfRule type="duplicateValues" dxfId="431" priority="463"/>
    <cfRule type="duplicateValues" dxfId="430" priority="464"/>
  </conditionalFormatting>
  <conditionalFormatting sqref="C2330">
    <cfRule type="duplicateValues" dxfId="429" priority="472"/>
    <cfRule type="duplicateValues" dxfId="428" priority="473"/>
  </conditionalFormatting>
  <conditionalFormatting sqref="B2591">
    <cfRule type="duplicateValues" dxfId="427" priority="332"/>
  </conditionalFormatting>
  <conditionalFormatting sqref="B2592">
    <cfRule type="duplicateValues" dxfId="426" priority="318"/>
  </conditionalFormatting>
  <conditionalFormatting sqref="B2593">
    <cfRule type="duplicateValues" dxfId="425" priority="316"/>
  </conditionalFormatting>
  <conditionalFormatting sqref="B2594">
    <cfRule type="duplicateValues" dxfId="424" priority="331"/>
  </conditionalFormatting>
  <conditionalFormatting sqref="B2595">
    <cfRule type="duplicateValues" dxfId="423" priority="328"/>
  </conditionalFormatting>
  <conditionalFormatting sqref="B2596">
    <cfRule type="duplicateValues" dxfId="422" priority="326"/>
  </conditionalFormatting>
  <conditionalFormatting sqref="B2597">
    <cfRule type="duplicateValues" dxfId="421" priority="322"/>
  </conditionalFormatting>
  <conditionalFormatting sqref="B2598">
    <cfRule type="duplicateValues" dxfId="420" priority="324"/>
  </conditionalFormatting>
  <conditionalFormatting sqref="B2678">
    <cfRule type="duplicateValues" dxfId="419" priority="276"/>
  </conditionalFormatting>
  <conditionalFormatting sqref="C2678">
    <cfRule type="duplicateValues" dxfId="418" priority="275"/>
  </conditionalFormatting>
  <conditionalFormatting sqref="B2679">
    <cfRule type="duplicateValues" dxfId="417" priority="287"/>
  </conditionalFormatting>
  <conditionalFormatting sqref="B2679:C2679">
    <cfRule type="duplicateValues" dxfId="416" priority="278"/>
    <cfRule type="duplicateValues" dxfId="415" priority="279"/>
    <cfRule type="duplicateValues" dxfId="414" priority="280"/>
  </conditionalFormatting>
  <conditionalFormatting sqref="C2679">
    <cfRule type="duplicateValues" dxfId="413" priority="288"/>
    <cfRule type="duplicateValues" dxfId="412" priority="289"/>
  </conditionalFormatting>
  <conditionalFormatting sqref="B2712">
    <cfRule type="duplicateValues" dxfId="411" priority="107"/>
    <cfRule type="duplicateValues" dxfId="410" priority="109"/>
  </conditionalFormatting>
  <conditionalFormatting sqref="C2712">
    <cfRule type="duplicateValues" dxfId="409" priority="106"/>
    <cfRule type="duplicateValues" dxfId="408" priority="108"/>
  </conditionalFormatting>
  <conditionalFormatting sqref="B2713">
    <cfRule type="duplicateValues" dxfId="407" priority="103"/>
    <cfRule type="duplicateValues" dxfId="406" priority="105"/>
  </conditionalFormatting>
  <conditionalFormatting sqref="C2713">
    <cfRule type="duplicateValues" dxfId="405" priority="102"/>
    <cfRule type="duplicateValues" dxfId="404" priority="104"/>
  </conditionalFormatting>
  <conditionalFormatting sqref="B2715">
    <cfRule type="duplicateValues" dxfId="403" priority="170"/>
  </conditionalFormatting>
  <conditionalFormatting sqref="B2715:C2715">
    <cfRule type="duplicateValues" dxfId="402" priority="167"/>
    <cfRule type="duplicateValues" dxfId="401" priority="168"/>
    <cfRule type="duplicateValues" dxfId="400" priority="169"/>
  </conditionalFormatting>
  <conditionalFormatting sqref="C2715">
    <cfRule type="duplicateValues" dxfId="399" priority="171"/>
    <cfRule type="duplicateValues" dxfId="398" priority="172"/>
  </conditionalFormatting>
  <conditionalFormatting sqref="B2736">
    <cfRule type="duplicateValues" dxfId="397" priority="60"/>
    <cfRule type="duplicateValues" dxfId="396" priority="62"/>
  </conditionalFormatting>
  <conditionalFormatting sqref="C2736">
    <cfRule type="duplicateValues" dxfId="395" priority="59"/>
    <cfRule type="duplicateValues" dxfId="394" priority="61"/>
  </conditionalFormatting>
  <conditionalFormatting sqref="B2737">
    <cfRule type="duplicateValues" dxfId="393" priority="56"/>
    <cfRule type="duplicateValues" dxfId="392" priority="58"/>
  </conditionalFormatting>
  <conditionalFormatting sqref="C2737">
    <cfRule type="duplicateValues" dxfId="391" priority="55"/>
    <cfRule type="duplicateValues" dxfId="390" priority="57"/>
  </conditionalFormatting>
  <conditionalFormatting sqref="B2754">
    <cfRule type="duplicateValues" dxfId="389" priority="68"/>
    <cfRule type="duplicateValues" dxfId="388" priority="70"/>
  </conditionalFormatting>
  <conditionalFormatting sqref="C2754">
    <cfRule type="duplicateValues" dxfId="387" priority="67"/>
    <cfRule type="duplicateValues" dxfId="386" priority="69"/>
  </conditionalFormatting>
  <conditionalFormatting sqref="B2755">
    <cfRule type="duplicateValues" dxfId="385" priority="64"/>
    <cfRule type="duplicateValues" dxfId="384" priority="66"/>
  </conditionalFormatting>
  <conditionalFormatting sqref="C2755">
    <cfRule type="duplicateValues" dxfId="383" priority="63"/>
    <cfRule type="duplicateValues" dxfId="382" priority="65"/>
  </conditionalFormatting>
  <conditionalFormatting sqref="B2848">
    <cfRule type="duplicateValues" dxfId="381" priority="51"/>
  </conditionalFormatting>
  <conditionalFormatting sqref="B79:B80">
    <cfRule type="duplicateValues" dxfId="380" priority="622"/>
    <cfRule type="duplicateValues" dxfId="379" priority="623"/>
  </conditionalFormatting>
  <conditionalFormatting sqref="B81:B85">
    <cfRule type="duplicateValues" dxfId="378" priority="617"/>
    <cfRule type="duplicateValues" dxfId="377" priority="618"/>
  </conditionalFormatting>
  <conditionalFormatting sqref="B86:B90">
    <cfRule type="duplicateValues" dxfId="376" priority="612"/>
    <cfRule type="duplicateValues" dxfId="375" priority="613"/>
  </conditionalFormatting>
  <conditionalFormatting sqref="B149:B166">
    <cfRule type="duplicateValues" dxfId="374" priority="593"/>
  </conditionalFormatting>
  <conditionalFormatting sqref="B215:B216">
    <cfRule type="duplicateValues" dxfId="373" priority="591"/>
    <cfRule type="duplicateValues" dxfId="372" priority="592"/>
  </conditionalFormatting>
  <conditionalFormatting sqref="B217:B221">
    <cfRule type="duplicateValues" dxfId="371" priority="586"/>
    <cfRule type="duplicateValues" dxfId="370" priority="587"/>
  </conditionalFormatting>
  <conditionalFormatting sqref="B222:B226">
    <cfRule type="duplicateValues" dxfId="369" priority="581"/>
    <cfRule type="duplicateValues" dxfId="368" priority="582"/>
  </conditionalFormatting>
  <conditionalFormatting sqref="B621:B627">
    <cfRule type="duplicateValues" dxfId="367" priority="523"/>
  </conditionalFormatting>
  <conditionalFormatting sqref="B697:B699">
    <cfRule type="duplicateValues" dxfId="366" priority="525"/>
  </conditionalFormatting>
  <conditionalFormatting sqref="B709:B710">
    <cfRule type="duplicateValues" dxfId="365" priority="524"/>
  </conditionalFormatting>
  <conditionalFormatting sqref="B738:B755">
    <cfRule type="duplicateValues" dxfId="364" priority="527"/>
  </conditionalFormatting>
  <conditionalFormatting sqref="B1109:B1126">
    <cfRule type="duplicateValues" dxfId="363" priority="529"/>
  </conditionalFormatting>
  <conditionalFormatting sqref="B1151:B1168">
    <cfRule type="duplicateValues" dxfId="362" priority="528"/>
  </conditionalFormatting>
  <conditionalFormatting sqref="B1275:B1276">
    <cfRule type="duplicateValues" dxfId="361" priority="519"/>
  </conditionalFormatting>
  <conditionalFormatting sqref="B1285:B1286">
    <cfRule type="duplicateValues" dxfId="360" priority="41"/>
    <cfRule type="duplicateValues" dxfId="359" priority="42"/>
    <cfRule type="duplicateValues" dxfId="358" priority="43"/>
  </conditionalFormatting>
  <conditionalFormatting sqref="B1336:B1337">
    <cfRule type="duplicateValues" dxfId="357" priority="657"/>
  </conditionalFormatting>
  <conditionalFormatting sqref="B1346:B1347">
    <cfRule type="duplicateValues" dxfId="356" priority="33"/>
    <cfRule type="duplicateValues" dxfId="355" priority="34"/>
    <cfRule type="duplicateValues" dxfId="354" priority="35"/>
  </conditionalFormatting>
  <conditionalFormatting sqref="B1399:B1400">
    <cfRule type="duplicateValues" dxfId="353" priority="645"/>
  </conditionalFormatting>
  <conditionalFormatting sqref="B1409:B1410">
    <cfRule type="duplicateValues" dxfId="352" priority="25"/>
    <cfRule type="duplicateValues" dxfId="351" priority="26"/>
    <cfRule type="duplicateValues" dxfId="350" priority="27"/>
  </conditionalFormatting>
  <conditionalFormatting sqref="B1465:B1466">
    <cfRule type="duplicateValues" dxfId="349" priority="633"/>
  </conditionalFormatting>
  <conditionalFormatting sqref="B1475:B1476">
    <cfRule type="duplicateValues" dxfId="348" priority="17"/>
    <cfRule type="duplicateValues" dxfId="347" priority="18"/>
    <cfRule type="duplicateValues" dxfId="346" priority="19"/>
  </conditionalFormatting>
  <conditionalFormatting sqref="B1591:B1592">
    <cfRule type="duplicateValues" dxfId="345" priority="50"/>
  </conditionalFormatting>
  <conditionalFormatting sqref="B2202:B2230">
    <cfRule type="duplicateValues" dxfId="344" priority="483"/>
  </conditionalFormatting>
  <conditionalFormatting sqref="B2232:B2238">
    <cfRule type="duplicateValues" dxfId="343" priority="480"/>
  </conditionalFormatting>
  <conditionalFormatting sqref="B2248:B2255">
    <cfRule type="duplicateValues" dxfId="342" priority="477"/>
  </conditionalFormatting>
  <conditionalFormatting sqref="B2257:B2263">
    <cfRule type="duplicateValues" dxfId="341" priority="476"/>
  </conditionalFormatting>
  <conditionalFormatting sqref="B2299:B2301">
    <cfRule type="duplicateValues" dxfId="340" priority="448"/>
  </conditionalFormatting>
  <conditionalFormatting sqref="B2426:B2427">
    <cfRule type="duplicateValues" dxfId="339" priority="314"/>
  </conditionalFormatting>
  <conditionalFormatting sqref="B2464:B2465">
    <cfRule type="duplicateValues" dxfId="338" priority="335"/>
  </conditionalFormatting>
  <conditionalFormatting sqref="B2551:B2552">
    <cfRule type="duplicateValues" dxfId="337" priority="334"/>
  </conditionalFormatting>
  <conditionalFormatting sqref="B2599:B2600">
    <cfRule type="duplicateValues" dxfId="336" priority="333"/>
  </conditionalFormatting>
  <conditionalFormatting sqref="B2709:B2711">
    <cfRule type="duplicateValues" dxfId="335" priority="164"/>
  </conditionalFormatting>
  <conditionalFormatting sqref="B2809:B2810">
    <cfRule type="duplicateValues" dxfId="334" priority="49"/>
  </conditionalFormatting>
  <conditionalFormatting sqref="C1275:C1276">
    <cfRule type="duplicateValues" dxfId="333" priority="520"/>
    <cfRule type="duplicateValues" dxfId="332" priority="521"/>
  </conditionalFormatting>
  <conditionalFormatting sqref="C1336:C1337">
    <cfRule type="duplicateValues" dxfId="331" priority="658"/>
    <cfRule type="duplicateValues" dxfId="330" priority="659"/>
  </conditionalFormatting>
  <conditionalFormatting sqref="C1399:C1400">
    <cfRule type="duplicateValues" dxfId="329" priority="646"/>
    <cfRule type="duplicateValues" dxfId="328" priority="647"/>
  </conditionalFormatting>
  <conditionalFormatting sqref="C1465:C1466">
    <cfRule type="duplicateValues" dxfId="327" priority="634"/>
    <cfRule type="duplicateValues" dxfId="326" priority="635"/>
  </conditionalFormatting>
  <conditionalFormatting sqref="B1275:C1276">
    <cfRule type="duplicateValues" dxfId="325" priority="516"/>
    <cfRule type="duplicateValues" dxfId="324" priority="517"/>
    <cfRule type="duplicateValues" dxfId="323" priority="518"/>
  </conditionalFormatting>
  <conditionalFormatting sqref="B1336:C1337">
    <cfRule type="duplicateValues" dxfId="322" priority="648"/>
    <cfRule type="duplicateValues" dxfId="321" priority="649"/>
    <cfRule type="duplicateValues" dxfId="320" priority="650"/>
  </conditionalFormatting>
  <conditionalFormatting sqref="B1399:C1400">
    <cfRule type="duplicateValues" dxfId="319" priority="636"/>
    <cfRule type="duplicateValues" dxfId="318" priority="637"/>
    <cfRule type="duplicateValues" dxfId="317" priority="638"/>
  </conditionalFormatting>
  <conditionalFormatting sqref="B1465:C1466">
    <cfRule type="duplicateValues" dxfId="316" priority="624"/>
    <cfRule type="duplicateValues" dxfId="315" priority="625"/>
    <cfRule type="duplicateValues" dxfId="314" priority="626"/>
  </conditionalFormatting>
  <conditionalFormatting sqref="B1584:B1590 B1631:B1636 B1593:B1629">
    <cfRule type="duplicateValues" dxfId="313" priority="663"/>
  </conditionalFormatting>
  <conditionalFormatting sqref="B2802:B2808 B2849:B2854 B2811:B2847">
    <cfRule type="duplicateValues" dxfId="312" priority="52"/>
  </conditionalFormatting>
  <conditionalFormatting sqref="B2910">
    <cfRule type="duplicateValues" dxfId="311" priority="2"/>
    <cfRule type="duplicateValues" dxfId="310" priority="4"/>
  </conditionalFormatting>
  <conditionalFormatting sqref="C2910">
    <cfRule type="duplicateValues" dxfId="309" priority="1"/>
    <cfRule type="duplicateValues" dxfId="308" priority="3"/>
  </conditionalFormatting>
  <conditionalFormatting sqref="B2909">
    <cfRule type="duplicateValues" dxfId="307" priority="5"/>
    <cfRule type="duplicateValues" dxfId="306" priority="6"/>
  </conditionalFormatting>
  <conditionalFormatting sqref="C2909">
    <cfRule type="duplicateValues" dxfId="305" priority="7"/>
    <cfRule type="duplicateValues" dxfId="304" priority="8"/>
  </conditionalFormatting>
  <hyperlinks>
    <hyperlink ref="G891" r:id="rId1" location="'报表-资管报表-原子服务'!E1030" display="../../../../../gambl/Desktop/osm备份3/D2.Designs/资管报表/设计模板(报表-资管报表).xlsx - '报表-资管报表-原子服务'!E1030" xr:uid="{00000000-0004-0000-0100-000000000000}"/>
    <hyperlink ref="G1019" r:id="rId2" location="'报表-资管报表-原子服务'!E1070" display="../../../../../gambl/Desktop/osm备份3/D2.Designs/资管报表/设计模板(报表-资管报表).xlsx - '报表-资管报表-原子服务'!E1070" xr:uid="{00000000-0004-0000-0100-000001000000}"/>
    <hyperlink ref="G2031" r:id="rId3" location="'报表-资管报表-原子服务'!E1900" display="../../../../../gambl/Desktop/osm备份3/D2.Designs/资管报表/设计模板(报表-资管报表).xlsx - '报表-资管报表-原子服务'!E1900" xr:uid="{00000000-0004-0000-0100-000002000000}"/>
    <hyperlink ref="G2062" r:id="rId4" location="'报表-资管报表-原子服务'!E1949" display="../../../../../gambl/Desktop/osm备份3/D2.Designs/资管报表/设计模板(报表-资管报表).xlsx - '报表-资管报表-原子服务'!E1949" xr:uid="{00000000-0004-0000-0100-000003000000}"/>
    <hyperlink ref="G2096" r:id="rId5" location="'报表-资管报表-原子服务'!E1992" display="../../../../../gambl/Desktop/osm备份3/D2.Designs/资管报表/设计模板(报表-资管报表).xlsx - '报表-资管报表-原子服务'!E1992" xr:uid="{00000000-0004-0000-0100-000004000000}"/>
    <hyperlink ref="G2127" r:id="rId6" location="'报表-资管报表-原子服务'!E2034" display="../../../../../gambl/Desktop/osm备份3/D2.Designs/资管报表/设计模板(报表-资管报表).xlsx - '报表-资管报表-原子服务'!E2034" xr:uid="{00000000-0004-0000-0100-000005000000}"/>
    <hyperlink ref="G96" r:id="rId7" location="'报表-资管报表-原子服务'!E65" display="../../../../../gambl/Desktop/osm备份3/D2.Designs/资管报表/设计模板(报表-资管报表).xlsx - '报表-资管报表-原子服务'!E65" xr:uid="{00000000-0004-0000-0100-000006000000}"/>
    <hyperlink ref="G128" r:id="rId8" location="'报表-资管报表-原子服务'!E176" display="../../../../../gambl/Desktop/osm备份3/D2.Designs/资管报表/设计模板(报表-资管报表).xlsx - '报表-资管报表-原子服务'!E176" xr:uid="{00000000-0004-0000-0100-000007000000}"/>
    <hyperlink ref="G172" r:id="rId9" location="'报表-资管报表-原子服务'!E206" display="../../../../../gambl/Desktop/osm备份3/D2.Designs/资管报表/设计模板(报表-资管报表).xlsx - '报表-资管报表-原子服务'!E206" xr:uid="{00000000-0004-0000-0100-000008000000}"/>
    <hyperlink ref="G235" r:id="rId10" location="'报表-资管报表-原子服务'!E274" display="../../../../../gambl/Desktop/osm备份3/D2.Designs/资管报表/设计模板(报表-资管报表).xlsx - '报表-资管报表-原子服务'!E274" xr:uid="{00000000-0004-0000-0100-000009000000}"/>
    <hyperlink ref="G271" r:id="rId11" location="'报表-资管报表-原子服务'!E390" display="../../../../../gambl/Desktop/osm备份3/D2.Designs/资管报表/设计模板(报表-资管报表).xlsx - '报表-资管报表-原子服务'!E390" xr:uid="{00000000-0004-0000-0100-00000A000000}"/>
    <hyperlink ref="G304" r:id="rId12" location="'报表-资管报表-原子服务'!E428" display="../../../../../gambl/Desktop/osm备份3/D2.Designs/资管报表/设计模板(报表-资管报表).xlsx - '报表-资管报表-原子服务'!E428" xr:uid="{00000000-0004-0000-0100-00000B000000}"/>
    <hyperlink ref="G336" r:id="rId13" location="'报表-资管报表-原子服务'!E447" display="../../../../../gambl/Desktop/osm备份3/D2.Designs/资管报表/设计模板(报表-资管报表).xlsx - '报表-资管报表-原子服务'!E447" xr:uid="{00000000-0004-0000-0100-00000C000000}"/>
    <hyperlink ref="G378" r:id="rId14" location="'报表-资管报表-原子服务'!E478" display="../../../../../gambl/Desktop/osm备份3/D2.Designs/资管报表/设计模板(报表-资管报表).xlsx - '报表-资管报表-原子服务'!E478" xr:uid="{00000000-0004-0000-0100-00000D000000}"/>
    <hyperlink ref="G415" r:id="rId15" location="'报表-资管报表-原子服务'!E536" display="../../../../../gambl/Desktop/osm备份3/D2.Designs/资管报表/设计模板(报表-资管报表).xlsx - '报表-资管报表-原子服务'!E536" xr:uid="{00000000-0004-0000-0100-00000E000000}"/>
    <hyperlink ref="G454" r:id="rId16" location="'报表-资管报表-原子服务'!E561" display="../../../../../gambl/Desktop/osm备份3/D2.Designs/资管报表/设计模板(报表-资管报表).xlsx - '报表-资管报表-原子服务'!E561" xr:uid="{00000000-0004-0000-0100-00000F000000}"/>
    <hyperlink ref="G516" r:id="rId17" location="'报表-资管报表-原子服务'!E599" display="../../../../../gambl/Desktop/osm备份3/D2.Designs/资管报表/设计模板(报表-资管报表).xlsx - '报表-资管报表-原子服务'!E599" xr:uid="{00000000-0004-0000-0100-000010000000}"/>
    <hyperlink ref="G582" r:id="rId18" location="'报表-资管报表-原子服务'!E664" display="../../../../../gambl/Desktop/osm备份3/D2.Designs/资管报表/设计模板(报表-资管报表).xlsx - '报表-资管报表-原子服务'!E664" xr:uid="{00000000-0004-0000-0100-000011000000}"/>
    <hyperlink ref="G675" r:id="rId19" location="'报表-资管报表-原子服务'!E803" display="../../../../../gambl/Desktop/osm备份3/D2.Designs/资管报表/设计模板(报表-资管报表).xlsx - '报表-资管报表-原子服务'!E803" xr:uid="{00000000-0004-0000-0100-000012000000}"/>
    <hyperlink ref="G718" r:id="rId20" location="'报表-资管报表-原子服务'!E874" display="../../../../../gambl/Desktop/osm备份3/D2.Designs/资管报表/设计模板(报表-资管报表).xlsx - '报表-资管报表-原子服务'!E874" xr:uid="{00000000-0004-0000-0100-000013000000}"/>
    <hyperlink ref="G767" r:id="rId21" location="'报表-资管报表-原子服务'!E956" display="../../../../../gambl/Desktop/osm备份3/D2.Designs/资管报表/设计模板(报表-资管报表).xlsx - '报表-资管报表-原子服务'!E956" xr:uid="{00000000-0004-0000-0100-000014000000}"/>
    <hyperlink ref="G39" r:id="rId22" location="'报表-资管报表-原子服务'!E2" display="../../../../../gambl/Desktop/osm备份3/D2.Designs/资管报表/设计模板(报表-资管报表).xlsx - '报表-资管报表-原子服务'!E2" xr:uid="{00000000-0004-0000-0100-000015000000}"/>
    <hyperlink ref="G1053" r:id="rId23" location="'报表-资管报表-原子服务'!E1109" display="../../../../../gambl/Desktop/osm备份3/D2.Designs/资管报表/设计模板(报表-资管报表).xlsx - '报表-资管报表-原子服务'!E1109" xr:uid="{00000000-0004-0000-0100-000016000000}"/>
    <hyperlink ref="G1089" r:id="rId24" location="'报表-资管报表-原子服务'!E1134" display="../../../../../gambl/Desktop/osm备份3/D2.Designs/资管报表/设计模板(报表-资管报表).xlsx - '报表-资管报表-原子服务'!E1134" xr:uid="{00000000-0004-0000-0100-000017000000}"/>
    <hyperlink ref="G1199" r:id="rId25" location="'报表-资管报表-原子服务'!E1321" display="../../../../../gambl/Desktop/osm备份3/D2.Designs/资管报表/设计模板(报表-资管报表).xlsx - '报表-资管报表-原子服务'!E1321" xr:uid="{00000000-0004-0000-0100-000018000000}"/>
    <hyperlink ref="G1233" r:id="rId26" location="'报表-资管报表-原子服务'!E1341" display="../../../../../gambl/Desktop/osm备份3/D2.Designs/资管报表/设计模板(报表-资管报表).xlsx - '报表-资管报表-原子服务'!E1341" xr:uid="{00000000-0004-0000-0100-000019000000}"/>
    <hyperlink ref="G1293" r:id="rId27" location="'报表-资管报表-原子服务'!E1362" display="../../../../../gambl/Desktop/osm备份3/D2.Designs/资管报表/设计模板(报表-资管报表).xlsx - '报表-资管报表-原子服务'!E1362" xr:uid="{00000000-0004-0000-0100-00001A000000}"/>
    <hyperlink ref="G1350" r:id="rId28" location="'报表-资管报表-原子服务'!E1392" display="../../../../../gambl/Desktop/osm备份3/D2.Designs/资管报表/设计模板(报表-资管报表).xlsx - '报表-资管报表-原子服务'!E1392" xr:uid="{00000000-0004-0000-0100-00001B000000}"/>
    <hyperlink ref="G1417" r:id="rId29" location="'报表-资管报表-原子服务'!E1448" display="../../../../../gambl/Desktop/osm备份3/D2.Designs/资管报表/设计模板(报表-资管报表).xlsx - '报表-资管报表-原子服务'!E1448" xr:uid="{00000000-0004-0000-0100-00001C000000}"/>
    <hyperlink ref="G1483" r:id="rId30" location="'报表-资管报表-原子服务'!E1477" display="../../../../../gambl/Desktop/osm备份3/D2.Designs/资管报表/设计模板(报表-资管报表).xlsx - '报表-资管报表-原子服务'!E1477" xr:uid="{00000000-0004-0000-0100-00001D000000}"/>
    <hyperlink ref="G1563" r:id="rId31" location="'报表-资管报表-原子服务'!E1507" display="../../../../../gambl/Desktop/osm备份3/D2.Designs/资管报表/设计模板(报表-资管报表).xlsx - '报表-资管报表-原子服务'!E1507" xr:uid="{00000000-0004-0000-0100-00001E000000}"/>
    <hyperlink ref="G1646" r:id="rId32" location="'报表-资管报表-原子服务'!E1555" display="../../../../../gambl/Desktop/osm备份3/D2.Designs/资管报表/设计模板(报表-资管报表).xlsx - '报表-资管报表-原子服务'!E1555" xr:uid="{00000000-0004-0000-0100-00001F000000}"/>
    <hyperlink ref="G1705" r:id="rId33" location="'报表-资管报表-原子服务'!E1606" display="../../../../../gambl/Desktop/osm备份3/D2.Designs/资管报表/设计模板(报表-资管报表).xlsx - '报表-资管报表-原子服务'!E1606" xr:uid="{00000000-0004-0000-0100-000020000000}"/>
    <hyperlink ref="G1767" r:id="rId34" location="'报表-资管报表-原子服务'!E1645" display="../../../../../gambl/Desktop/osm备份3/D2.Designs/资管报表/设计模板(报表-资管报表).xlsx - '报表-资管报表-原子服务'!E1645" xr:uid="{00000000-0004-0000-0100-000021000000}"/>
    <hyperlink ref="G1130" r:id="rId35" location="'报表-资管报表-原子服务'!E1184" display="../../../../../gambl/Desktop/osm备份3/D2.Designs/资管报表/设计模板(报表-资管报表).xlsx - '报表-资管报表-原子服务'!E1184" xr:uid="{00000000-0004-0000-0100-000022000000}"/>
    <hyperlink ref="G1172" r:id="rId36" location="'报表-资管报表-原子服务'!E1252" display="../../../../../gambl/Desktop/osm备份3/D2.Designs/资管报表/设计模板(报表-资管报表).xlsx - '报表-资管报表-原子服务'!E1252" xr:uid="{00000000-0004-0000-0100-000023000000}"/>
    <hyperlink ref="G1810" r:id="rId37" location="'报表-资管报表-原子服务'!E1684" display="../../../../../gambl/Desktop/osm备份3/D2.Designs/资管报表/设计模板(报表-资管报表).xlsx - '报表-资管报表-原子服务'!E1684" xr:uid="{00000000-0004-0000-0100-000024000000}"/>
    <hyperlink ref="G1856" r:id="rId38" location="'报表-资管报表-原子服务'!E1725" display="../../../../../gambl/Desktop/osm备份3/D2.Designs/资管报表/设计模板(报表-资管报表).xlsx - '报表-资管报表-原子服务'!E1725" xr:uid="{00000000-0004-0000-0100-000025000000}"/>
    <hyperlink ref="G1902" r:id="rId39" location="'报表-资管报表-原子服务'!E1768" display="../../../../../gambl/Desktop/osm备份3/D2.Designs/资管报表/设计模板(报表-资管报表).xlsx - '报表-资管报表-原子服务'!E1768" xr:uid="{00000000-0004-0000-0100-000026000000}"/>
    <hyperlink ref="G1996" r:id="rId40" location="'报表-资管报表-原子服务'!E1859" display="../../../../../gambl/Desktop/osm备份3/D2.Designs/资管报表/设计模板(报表-资管报表).xlsx - '报表-资管报表-原子服务'!E1859" xr:uid="{00000000-0004-0000-0100-000027000000}"/>
    <hyperlink ref="G630" r:id="rId41" xr:uid="{00000000-0004-0000-0100-000028000000}"/>
    <hyperlink ref="G633" r:id="rId42" location="'报表-资管报表-原子服务'!E709" display="../../../../../gambl/Desktop/osm备份3/D2.Designs/资管报表/设计模板(报表-资管报表).xlsx - '报表-资管报表-原子服务'!E709" xr:uid="{00000000-0004-0000-0100-000029000000}"/>
    <hyperlink ref="G2184" r:id="rId43" location="'报表-资管报表-原子服务'!E2158" display="../../../../../gambl/Desktop/osm备份3/D2.Designs/资管报表/设计模板(报表-资管报表).xlsx - '报表-资管报表-原子服务'!E2158" xr:uid="{00000000-0004-0000-0100-00002A000000}"/>
    <hyperlink ref="G2180" r:id="rId44" xr:uid="{00000000-0004-0000-0100-00002B000000}"/>
    <hyperlink ref="G2181" r:id="rId45" xr:uid="{00000000-0004-0000-0100-00002C000000}"/>
    <hyperlink ref="G2281" r:id="rId46" location="'报表-资管报表-原子服务'!E2250" display="../../../../../gambl/Desktop/osm备份3/D2.Designs/资管报表/设计模板(报表-资管报表).xlsx - '报表-资管报表-原子服务'!E2250" xr:uid="{00000000-0004-0000-0100-00002D000000}"/>
    <hyperlink ref="G2343" r:id="rId47" location="'报表-资管报表-原子服务'!E2368" display="../../../../../gambl/Desktop/osm备份3/D2.Designs/资管报表/设计模板(报表-资管报表).xlsx - '报表-资管报表-原子服务'!E2368" xr:uid="{00000000-0004-0000-0100-00002E000000}"/>
    <hyperlink ref="G2438" r:id="rId48" location="'报表-资管报表-原子服务'!E2477" display="../../../../../gambl/Desktop/osm备份3/D2.Designs/资管报表/设计模板(报表-资管报表).xlsx - '报表-资管报表-原子服务'!E2477" xr:uid="{00000000-0004-0000-0100-00002F000000}"/>
    <hyperlink ref="G2436" r:id="rId49" xr:uid="{00000000-0004-0000-0100-000030000000}"/>
    <hyperlink ref="G2428" r:id="rId50" xr:uid="{00000000-0004-0000-0100-000031000000}"/>
    <hyperlink ref="G2508" r:id="rId51" location="'报表-资管报表-原子服务'!E2592" display="../../../../../gambl/Desktop/osm备份3/D2.Designs/资管报表/设计模板(报表-资管报表).xlsx - '报表-资管报表-原子服务'!E2592" xr:uid="{00000000-0004-0000-0100-000032000000}"/>
    <hyperlink ref="G2506" r:id="rId52" xr:uid="{00000000-0004-0000-0100-000033000000}"/>
    <hyperlink ref="G2498" r:id="rId53" xr:uid="{00000000-0004-0000-0100-000034000000}"/>
    <hyperlink ref="G2563" r:id="rId54" location="'报表-资管报表-原子服务'!E2683" display="../../../../../gambl/Desktop/osm备份3/D2.Designs/资管报表/设计模板(报表-资管报表).xlsx - '报表-资管报表-原子服务'!E2683" xr:uid="{00000000-0004-0000-0100-000035000000}"/>
    <hyperlink ref="G2561" r:id="rId55" xr:uid="{00000000-0004-0000-0100-000036000000}"/>
    <hyperlink ref="G2554" r:id="rId56" xr:uid="{00000000-0004-0000-0100-000037000000}"/>
    <hyperlink ref="G2611" r:id="rId57" location="'报表-资管报表-原子服务'!E2752" display="../../../../../gambl/Desktop/osm备份3/D2.Designs/资管报表/设计模板(报表-资管报表).xlsx - '报表-资管报表-原子服务'!E2752" xr:uid="{00000000-0004-0000-0100-000038000000}"/>
    <hyperlink ref="G2609" r:id="rId58" xr:uid="{00000000-0004-0000-0100-000039000000}"/>
    <hyperlink ref="G2602" r:id="rId59" xr:uid="{00000000-0004-0000-0100-00003A000000}"/>
    <hyperlink ref="G2691" r:id="rId60" location="'报表-资管报表-原子服务'!E2803" display="../../../../../gambl/Desktop/osm备份3/D2.Designs/资管报表/设计模板(报表-资管报表).xlsx - '报表-资管报表-原子服务'!E2803" xr:uid="{00000000-0004-0000-0100-00003B000000}"/>
    <hyperlink ref="G2741" r:id="rId61" location="'报表-资管报表-原子服务'!E2907" display="../../../../../gambl/Desktop/osm备份3/D2.Designs/资管报表/设计模板(报表-资管报表).xlsx - '报表-资管报表-原子服务'!E2907" xr:uid="{00000000-0004-0000-0100-00003C000000}"/>
    <hyperlink ref="G2760" r:id="rId62" location="'报表-资管报表-原子服务'!E2938" display="../../../../../gambl/Desktop/osm备份3/D2.Designs/资管报表/设计模板(报表-资管报表).xlsx - '报表-资管报表-原子服务'!E2938" xr:uid="{00000000-0004-0000-0100-00003D000000}"/>
    <hyperlink ref="G2782" r:id="rId63" location="'报表-资管报表-原子服务'!E2961" display="../../../../../gambl/Desktop/osm备份3/D2.Designs/资管报表/设计模板(报表-资管报表).xlsx - '报表-资管报表-原子服务'!E2961" xr:uid="{00000000-0004-0000-0100-00003E000000}"/>
    <hyperlink ref="G2865" r:id="rId64" location="'报表-资管报表-原子服务'!E2984" display="../../../../../gambl/Desktop/osm备份3/D2.Designs/资管报表/设计模板(报表-资管报表).xlsx - '报表-资管报表-原子服务'!E2984" xr:uid="{00000000-0004-0000-0100-00003F000000}"/>
    <hyperlink ref="G1951" r:id="rId65" location="'报表-资管报表-原子服务'!E1810" display="../../../../../gambl/Desktop/osm备份3/D2.Designs/资管报表/设计模板(报表-资管报表).xlsx - '报表-资管报表-原子服务'!E1810" xr:uid="{00000000-0004-0000-0100-000040000000}"/>
    <hyperlink ref="G2723" r:id="rId66" location="'报表-资管报表-原子服务'!E2852" display="../../../../../gambl/Desktop/osm备份3/D2.Designs/资管报表/设计模板(报表-资管报表).xlsx - '报表-资管报表-原子服务'!E2852" xr:uid="{00000000-0004-0000-0100-000041000000}"/>
    <hyperlink ref="G2894" r:id="rId67" location="'报表-资管报表-原子服务'!E3035" display="../../../../../gambl/Desktop/osm备份3/D2.Designs/资管报表/设计模板(报表-资管报表).xlsx - '报表-资管报表-原子服务'!E3035" xr:uid="{00000000-0004-0000-0100-000042000000}"/>
    <hyperlink ref="G2914" r:id="rId68" location="'报表-资管报表-原子服务'!E3063" display="../../../../../gambl/Desktop/osm备份3/D2.Designs/资管报表/设计模板(报表-资管报表).xlsx - '报表-资管报表-原子服务'!E3063" xr:uid="{00000000-0004-0000-0100-000043000000}"/>
  </hyperlinks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104"/>
  <sheetViews>
    <sheetView tabSelected="1" topLeftCell="A2653" zoomScale="95" zoomScaleNormal="95" workbookViewId="0">
      <selection activeCell="E2663" sqref="E2663"/>
    </sheetView>
  </sheetViews>
  <sheetFormatPr defaultColWidth="9" defaultRowHeight="15.6" outlineLevelRow="1" x14ac:dyDescent="0.25"/>
  <cols>
    <col min="1" max="1" width="5.77734375" style="14" customWidth="1"/>
    <col min="2" max="2" width="12.44140625" style="14" customWidth="1"/>
    <col min="3" max="3" width="22.21875" style="14" customWidth="1"/>
    <col min="4" max="4" width="22.109375" style="14" customWidth="1"/>
    <col min="5" max="5" width="47.44140625" style="14" customWidth="1"/>
    <col min="6" max="6" width="10.44140625" style="14" customWidth="1"/>
    <col min="7" max="7" width="49.33203125" style="14" customWidth="1"/>
    <col min="8" max="8" width="9" style="14"/>
    <col min="9" max="9" width="12.21875" style="14" customWidth="1"/>
    <col min="10" max="16384" width="9" style="14"/>
  </cols>
  <sheetData>
    <row r="1" spans="1:14" ht="16.2" thickBot="1" x14ac:dyDescent="0.3"/>
    <row r="2" spans="1:14" s="3" customFormat="1" ht="17.399999999999999" customHeight="1" thickBot="1" x14ac:dyDescent="0.3">
      <c r="A2" s="5"/>
      <c r="B2" s="15" t="s">
        <v>1279</v>
      </c>
      <c r="C2" s="16" t="s">
        <v>2099</v>
      </c>
      <c r="D2" s="17" t="s">
        <v>1281</v>
      </c>
      <c r="E2" s="16" t="s">
        <v>701</v>
      </c>
      <c r="F2" s="17" t="s">
        <v>1282</v>
      </c>
      <c r="G2" s="18" t="s">
        <v>2100</v>
      </c>
    </row>
    <row r="3" spans="1:14" s="3" customFormat="1" ht="17.399999999999999" hidden="1" customHeight="1" outlineLevel="1" x14ac:dyDescent="0.25">
      <c r="A3" s="5"/>
      <c r="B3" s="19" t="s">
        <v>1284</v>
      </c>
      <c r="C3" s="20" t="s">
        <v>1285</v>
      </c>
      <c r="D3" s="21" t="s">
        <v>1286</v>
      </c>
      <c r="E3" s="20" t="s">
        <v>2101</v>
      </c>
      <c r="F3" s="21" t="s">
        <v>1288</v>
      </c>
      <c r="G3" s="22" t="s">
        <v>1289</v>
      </c>
    </row>
    <row r="4" spans="1:14" s="3" customFormat="1" ht="17.399999999999999" hidden="1" customHeight="1" outlineLevel="1" thickBot="1" x14ac:dyDescent="0.3">
      <c r="A4" s="5"/>
      <c r="B4" s="19" t="s">
        <v>1290</v>
      </c>
      <c r="C4" s="23" t="s">
        <v>1291</v>
      </c>
      <c r="D4" s="21" t="s">
        <v>1292</v>
      </c>
      <c r="E4" s="23">
        <v>5</v>
      </c>
      <c r="F4" s="21" t="s">
        <v>1293</v>
      </c>
      <c r="G4" s="24" t="s">
        <v>1294</v>
      </c>
    </row>
    <row r="5" spans="1:14" s="3" customFormat="1" ht="17.399999999999999" hidden="1" customHeight="1" outlineLevel="1" x14ac:dyDescent="0.25">
      <c r="A5" s="5"/>
      <c r="B5" s="401" t="s">
        <v>1</v>
      </c>
      <c r="C5" s="402"/>
      <c r="D5" s="402"/>
      <c r="E5" s="402"/>
      <c r="F5" s="402"/>
      <c r="G5" s="403"/>
    </row>
    <row r="6" spans="1:14" s="3" customFormat="1" ht="17.399999999999999" hidden="1" customHeight="1" outlineLevel="1" x14ac:dyDescent="0.25">
      <c r="A6" s="5"/>
      <c r="B6" s="25" t="s">
        <v>2</v>
      </c>
      <c r="C6" s="26" t="s">
        <v>3</v>
      </c>
      <c r="D6" s="26" t="s">
        <v>4</v>
      </c>
      <c r="E6" s="26" t="s">
        <v>5</v>
      </c>
      <c r="F6" s="26"/>
      <c r="G6" s="27" t="s">
        <v>6</v>
      </c>
    </row>
    <row r="7" spans="1:14" s="3" customFormat="1" hidden="1" outlineLevel="1" x14ac:dyDescent="0.25">
      <c r="B7" s="28" t="s">
        <v>7</v>
      </c>
      <c r="C7" s="29" t="s">
        <v>1468</v>
      </c>
      <c r="D7" s="29" t="s">
        <v>1469</v>
      </c>
      <c r="E7" s="29">
        <v>0</v>
      </c>
      <c r="F7" s="29" t="s">
        <v>1470</v>
      </c>
      <c r="G7" s="30" t="s">
        <v>1471</v>
      </c>
      <c r="H7" s="3" t="str">
        <f t="shared" ref="H7:H13" si="0">"and (@"&amp;B7&amp;"# = 0 or t.{"&amp;B7&amp;"} = @"&amp;B7&amp;"#)"</f>
        <v>and (@产品编号# = 0 or t.{产品编号} = @产品编号#)</v>
      </c>
      <c r="J7" s="3" t="s">
        <v>10</v>
      </c>
      <c r="K7" s="3" t="s">
        <v>173</v>
      </c>
      <c r="L7" s="3" t="s">
        <v>9</v>
      </c>
      <c r="M7" s="3" t="s">
        <v>9</v>
      </c>
      <c r="N7" s="3">
        <v>1112</v>
      </c>
    </row>
    <row r="8" spans="1:14" s="3" customFormat="1" hidden="1" outlineLevel="1" x14ac:dyDescent="0.25">
      <c r="B8" s="28" t="s">
        <v>11</v>
      </c>
      <c r="C8" s="29" t="s">
        <v>1472</v>
      </c>
      <c r="D8" s="29" t="s">
        <v>1469</v>
      </c>
      <c r="E8" s="29">
        <v>0</v>
      </c>
      <c r="F8" s="29" t="s">
        <v>1470</v>
      </c>
      <c r="G8" s="30" t="s">
        <v>1473</v>
      </c>
      <c r="H8" s="3" t="str">
        <f t="shared" si="0"/>
        <v>and (@交易组编号# = 0 or t.{交易组编号} = @交易组编号#)</v>
      </c>
      <c r="J8" s="3" t="s">
        <v>12</v>
      </c>
      <c r="K8" s="3" t="s">
        <v>174</v>
      </c>
      <c r="L8" s="3" t="s">
        <v>175</v>
      </c>
      <c r="M8" s="3" t="s">
        <v>176</v>
      </c>
      <c r="N8" s="3">
        <v>1700</v>
      </c>
    </row>
    <row r="9" spans="1:14" s="3" customFormat="1" hidden="1" outlineLevel="1" x14ac:dyDescent="0.25">
      <c r="A9" s="5"/>
      <c r="B9" s="31" t="s">
        <v>13</v>
      </c>
      <c r="C9" s="20" t="s">
        <v>1474</v>
      </c>
      <c r="D9" s="20" t="s">
        <v>1469</v>
      </c>
      <c r="E9" s="20">
        <v>0</v>
      </c>
      <c r="F9" s="20" t="s">
        <v>1470</v>
      </c>
      <c r="G9" s="22"/>
      <c r="H9" s="3" t="str">
        <f t="shared" si="0"/>
        <v>and (@资产账户编号# = 0 or t.{资产账户编号} = @资产账户编号#)</v>
      </c>
      <c r="J9" s="3" t="s">
        <v>10</v>
      </c>
      <c r="K9" s="3" t="s">
        <v>173</v>
      </c>
      <c r="L9" s="3" t="s">
        <v>9</v>
      </c>
      <c r="M9" s="3" t="s">
        <v>9</v>
      </c>
      <c r="N9" s="3">
        <v>2534</v>
      </c>
    </row>
    <row r="10" spans="1:14" s="3" customFormat="1" hidden="1" outlineLevel="1" x14ac:dyDescent="0.25">
      <c r="A10" s="5"/>
      <c r="B10" s="31" t="s">
        <v>14</v>
      </c>
      <c r="C10" s="20" t="s">
        <v>1475</v>
      </c>
      <c r="D10" s="20" t="s">
        <v>1469</v>
      </c>
      <c r="E10" s="20">
        <v>0</v>
      </c>
      <c r="F10" s="20" t="s">
        <v>1476</v>
      </c>
      <c r="G10" s="22" t="s">
        <v>1477</v>
      </c>
      <c r="H10" s="3" t="str">
        <f t="shared" si="0"/>
        <v>and (@市场编号# = 0 or t.{市场编号} = @市场编号#)</v>
      </c>
      <c r="J10" s="3" t="s">
        <v>10</v>
      </c>
      <c r="K10" s="3" t="s">
        <v>173</v>
      </c>
      <c r="L10" s="3" t="s">
        <v>9</v>
      </c>
      <c r="M10" s="3" t="s">
        <v>9</v>
      </c>
      <c r="N10" s="3">
        <v>2155</v>
      </c>
    </row>
    <row r="11" spans="1:14" s="3" customFormat="1" hidden="1" outlineLevel="1" x14ac:dyDescent="0.25">
      <c r="A11" s="5"/>
      <c r="B11" s="31" t="s">
        <v>15</v>
      </c>
      <c r="C11" s="20" t="s">
        <v>1478</v>
      </c>
      <c r="D11" s="20" t="s">
        <v>1469</v>
      </c>
      <c r="E11" s="20">
        <v>0</v>
      </c>
      <c r="F11" s="20" t="s">
        <v>1470</v>
      </c>
      <c r="G11" s="22"/>
      <c r="H11" s="3" t="str">
        <f t="shared" si="0"/>
        <v>and (@证券代码编号# = 0 or t.{证券代码编号} = @证券代码编号#)</v>
      </c>
      <c r="J11" s="3" t="s">
        <v>10</v>
      </c>
      <c r="K11" s="3" t="s">
        <v>173</v>
      </c>
      <c r="L11" s="3" t="s">
        <v>9</v>
      </c>
      <c r="M11" s="3" t="s">
        <v>9</v>
      </c>
      <c r="N11" s="3">
        <v>2430</v>
      </c>
    </row>
    <row r="12" spans="1:14" s="3" customFormat="1" hidden="1" outlineLevel="1" x14ac:dyDescent="0.25">
      <c r="A12" s="5"/>
      <c r="B12" s="31" t="s">
        <v>16</v>
      </c>
      <c r="C12" s="20" t="s">
        <v>1479</v>
      </c>
      <c r="D12" s="20" t="s">
        <v>1469</v>
      </c>
      <c r="E12" s="20" t="s">
        <v>1480</v>
      </c>
      <c r="F12" s="20" t="s">
        <v>1481</v>
      </c>
      <c r="G12" s="22" t="s">
        <v>1482</v>
      </c>
      <c r="H12" s="3" t="str">
        <f t="shared" si="0"/>
        <v>and (@初始化日期# = 0 or t.{初始化日期} = @初始化日期#)</v>
      </c>
      <c r="J12" s="3" t="s">
        <v>10</v>
      </c>
      <c r="K12" s="3" t="s">
        <v>173</v>
      </c>
      <c r="L12" s="3" t="s">
        <v>9</v>
      </c>
      <c r="M12" s="3" t="s">
        <v>9</v>
      </c>
      <c r="N12" s="3">
        <v>1211</v>
      </c>
    </row>
    <row r="13" spans="1:14" s="3" customFormat="1" hidden="1" outlineLevel="1" x14ac:dyDescent="0.25">
      <c r="A13" s="5"/>
      <c r="B13" s="31" t="s">
        <v>17</v>
      </c>
      <c r="C13" s="20" t="s">
        <v>1483</v>
      </c>
      <c r="D13" s="20" t="s">
        <v>1469</v>
      </c>
      <c r="E13" s="20">
        <v>0</v>
      </c>
      <c r="F13" s="20" t="s">
        <v>1470</v>
      </c>
      <c r="G13" s="22" t="s">
        <v>1484</v>
      </c>
      <c r="H13" s="3" t="str">
        <f t="shared" si="0"/>
        <v>and (@查询操作员编号# = 0 or t.{查询操作员编号} = @查询操作员编号#)</v>
      </c>
      <c r="J13" s="3" t="s">
        <v>10</v>
      </c>
      <c r="K13" s="3" t="s">
        <v>173</v>
      </c>
      <c r="L13" s="3" t="s">
        <v>9</v>
      </c>
      <c r="M13" s="3" t="s">
        <v>9</v>
      </c>
      <c r="N13" s="3">
        <v>1097</v>
      </c>
    </row>
    <row r="14" spans="1:14" s="3" customFormat="1" hidden="1" outlineLevel="1" x14ac:dyDescent="0.25">
      <c r="A14" s="5"/>
      <c r="B14" s="31"/>
      <c r="C14" s="20"/>
      <c r="D14" s="20"/>
      <c r="E14" s="20"/>
      <c r="F14" s="20"/>
      <c r="G14" s="22"/>
    </row>
    <row r="15" spans="1:14" s="3" customFormat="1" ht="16.2" hidden="1" outlineLevel="1" thickBot="1" x14ac:dyDescent="0.3">
      <c r="A15" s="5"/>
      <c r="B15" s="31"/>
      <c r="C15" s="20"/>
      <c r="D15" s="20"/>
      <c r="E15" s="20"/>
      <c r="F15" s="20"/>
      <c r="G15" s="22"/>
    </row>
    <row r="16" spans="1:14" s="4" customFormat="1" hidden="1" outlineLevel="1" x14ac:dyDescent="0.35">
      <c r="A16" s="3"/>
      <c r="B16" s="386" t="s">
        <v>18</v>
      </c>
      <c r="C16" s="387"/>
      <c r="D16" s="387"/>
      <c r="E16" s="387"/>
      <c r="F16" s="387"/>
      <c r="G16" s="388"/>
      <c r="H16" s="5"/>
      <c r="I16" s="5"/>
      <c r="J16" s="5"/>
      <c r="K16" s="5"/>
      <c r="L16" s="5"/>
      <c r="M16" s="5"/>
    </row>
    <row r="17" spans="1:14" s="4" customFormat="1" hidden="1" outlineLevel="1" x14ac:dyDescent="0.35">
      <c r="A17" s="3"/>
      <c r="B17" s="32" t="s">
        <v>2</v>
      </c>
      <c r="C17" s="33" t="s">
        <v>3</v>
      </c>
      <c r="D17" s="33" t="s">
        <v>4</v>
      </c>
      <c r="E17" s="33" t="s">
        <v>5</v>
      </c>
      <c r="F17" s="33"/>
      <c r="G17" s="34" t="s">
        <v>6</v>
      </c>
      <c r="H17" s="5"/>
      <c r="I17" s="5"/>
      <c r="J17" s="5"/>
      <c r="K17" s="5"/>
      <c r="L17" s="5"/>
      <c r="M17" s="5"/>
    </row>
    <row r="18" spans="1:14" s="3" customFormat="1" hidden="1" outlineLevel="1" x14ac:dyDescent="0.25">
      <c r="B18" s="28" t="s">
        <v>7</v>
      </c>
      <c r="C18" s="29" t="s">
        <v>1468</v>
      </c>
      <c r="D18" s="29" t="s">
        <v>1469</v>
      </c>
      <c r="E18" s="29">
        <v>0</v>
      </c>
      <c r="F18" s="29" t="s">
        <v>1470</v>
      </c>
      <c r="G18" s="30" t="s">
        <v>1471</v>
      </c>
      <c r="J18" s="3" t="s">
        <v>10</v>
      </c>
      <c r="K18" s="3" t="s">
        <v>173</v>
      </c>
      <c r="L18" s="3" t="s">
        <v>9</v>
      </c>
      <c r="M18" s="3" t="s">
        <v>9</v>
      </c>
      <c r="N18" s="3">
        <v>1112</v>
      </c>
    </row>
    <row r="19" spans="1:14" s="3" customFormat="1" hidden="1" outlineLevel="1" x14ac:dyDescent="0.25">
      <c r="B19" s="28" t="s">
        <v>11</v>
      </c>
      <c r="C19" s="29" t="s">
        <v>1472</v>
      </c>
      <c r="D19" s="29" t="s">
        <v>1469</v>
      </c>
      <c r="E19" s="29">
        <v>0</v>
      </c>
      <c r="F19" s="29" t="s">
        <v>1470</v>
      </c>
      <c r="G19" s="30" t="s">
        <v>1473</v>
      </c>
      <c r="J19" s="3" t="s">
        <v>12</v>
      </c>
      <c r="K19" s="3" t="s">
        <v>174</v>
      </c>
      <c r="L19" s="3" t="s">
        <v>175</v>
      </c>
      <c r="M19" s="3" t="s">
        <v>176</v>
      </c>
      <c r="N19" s="3">
        <v>1700</v>
      </c>
    </row>
    <row r="20" spans="1:14" s="3" customFormat="1" hidden="1" outlineLevel="1" x14ac:dyDescent="0.25">
      <c r="B20" s="28" t="s">
        <v>13</v>
      </c>
      <c r="C20" s="29" t="s">
        <v>1474</v>
      </c>
      <c r="D20" s="29" t="s">
        <v>1469</v>
      </c>
      <c r="E20" s="29">
        <v>0</v>
      </c>
      <c r="F20" s="29" t="s">
        <v>1470</v>
      </c>
      <c r="G20" s="30"/>
      <c r="J20" s="3" t="s">
        <v>10</v>
      </c>
      <c r="K20" s="3" t="s">
        <v>173</v>
      </c>
      <c r="L20" s="3" t="s">
        <v>9</v>
      </c>
      <c r="M20" s="3" t="s">
        <v>9</v>
      </c>
      <c r="N20" s="3">
        <v>2534</v>
      </c>
    </row>
    <row r="21" spans="1:14" s="3" customFormat="1" hidden="1" outlineLevel="1" x14ac:dyDescent="0.25">
      <c r="B21" s="35" t="s">
        <v>25</v>
      </c>
      <c r="C21" s="36" t="s">
        <v>1492</v>
      </c>
      <c r="D21" s="36" t="s">
        <v>1469</v>
      </c>
      <c r="E21" s="36">
        <v>0</v>
      </c>
      <c r="F21" s="36" t="s">
        <v>1470</v>
      </c>
      <c r="G21" s="37" t="s">
        <v>1484</v>
      </c>
      <c r="J21" s="3" t="s">
        <v>10</v>
      </c>
      <c r="K21" s="3" t="s">
        <v>173</v>
      </c>
      <c r="L21" s="3" t="s">
        <v>9</v>
      </c>
      <c r="M21" s="3" t="s">
        <v>9</v>
      </c>
      <c r="N21" s="3">
        <v>2155</v>
      </c>
    </row>
    <row r="22" spans="1:14" s="3" customFormat="1" hidden="1" outlineLevel="1" x14ac:dyDescent="0.25">
      <c r="B22" s="28" t="s">
        <v>14</v>
      </c>
      <c r="C22" s="29" t="s">
        <v>1475</v>
      </c>
      <c r="D22" s="29" t="s">
        <v>1469</v>
      </c>
      <c r="E22" s="29">
        <v>0</v>
      </c>
      <c r="F22" s="29" t="s">
        <v>1476</v>
      </c>
      <c r="G22" s="30" t="s">
        <v>1477</v>
      </c>
      <c r="J22" s="3" t="s">
        <v>10</v>
      </c>
      <c r="K22" s="3" t="s">
        <v>173</v>
      </c>
      <c r="L22" s="3" t="s">
        <v>9</v>
      </c>
      <c r="M22" s="3" t="s">
        <v>9</v>
      </c>
      <c r="N22" s="3">
        <v>2430</v>
      </c>
    </row>
    <row r="23" spans="1:14" s="3" customFormat="1" hidden="1" outlineLevel="1" x14ac:dyDescent="0.25">
      <c r="B23" s="28" t="s">
        <v>15</v>
      </c>
      <c r="C23" s="29" t="s">
        <v>1478</v>
      </c>
      <c r="D23" s="29" t="s">
        <v>1469</v>
      </c>
      <c r="E23" s="29">
        <v>0</v>
      </c>
      <c r="F23" s="29" t="s">
        <v>1470</v>
      </c>
      <c r="G23" s="30"/>
      <c r="J23" s="3" t="s">
        <v>20</v>
      </c>
      <c r="K23" s="3" t="s">
        <v>445</v>
      </c>
      <c r="L23" s="3" t="s">
        <v>446</v>
      </c>
      <c r="M23" s="3" t="s">
        <v>446</v>
      </c>
      <c r="N23" s="3">
        <v>1203</v>
      </c>
    </row>
    <row r="24" spans="1:14" s="3" customFormat="1" hidden="1" outlineLevel="1" x14ac:dyDescent="0.25">
      <c r="B24" s="38" t="s">
        <v>19</v>
      </c>
      <c r="C24" s="39" t="s">
        <v>1485</v>
      </c>
      <c r="D24" s="39" t="s">
        <v>1486</v>
      </c>
      <c r="E24" s="39">
        <v>0</v>
      </c>
      <c r="F24" s="39"/>
      <c r="G24" s="40"/>
      <c r="J24" s="3" t="s">
        <v>20</v>
      </c>
      <c r="K24" s="3" t="s">
        <v>445</v>
      </c>
      <c r="L24" s="3" t="s">
        <v>446</v>
      </c>
      <c r="M24" s="3" t="s">
        <v>446</v>
      </c>
      <c r="N24" s="3">
        <v>1689</v>
      </c>
    </row>
    <row r="25" spans="1:14" s="3" customFormat="1" hidden="1" outlineLevel="1" x14ac:dyDescent="0.25">
      <c r="B25" s="28" t="s">
        <v>21</v>
      </c>
      <c r="C25" s="29" t="s">
        <v>1487</v>
      </c>
      <c r="D25" s="29" t="s">
        <v>1486</v>
      </c>
      <c r="E25" s="29">
        <v>0</v>
      </c>
      <c r="F25" s="29"/>
      <c r="G25" s="30"/>
      <c r="J25" s="3" t="s">
        <v>20</v>
      </c>
      <c r="K25" s="3" t="s">
        <v>445</v>
      </c>
      <c r="L25" s="3" t="s">
        <v>446</v>
      </c>
      <c r="M25" s="3" t="s">
        <v>446</v>
      </c>
      <c r="N25" s="3">
        <v>2052</v>
      </c>
    </row>
    <row r="26" spans="1:14" s="3" customFormat="1" hidden="1" outlineLevel="1" x14ac:dyDescent="0.25">
      <c r="B26" s="28" t="s">
        <v>22</v>
      </c>
      <c r="C26" s="29" t="s">
        <v>1488</v>
      </c>
      <c r="D26" s="29" t="s">
        <v>1489</v>
      </c>
      <c r="E26" s="29">
        <v>0</v>
      </c>
      <c r="F26" s="29" t="s">
        <v>1470</v>
      </c>
      <c r="G26" s="30" t="s">
        <v>1490</v>
      </c>
      <c r="J26" s="3" t="s">
        <v>20</v>
      </c>
      <c r="K26" s="3" t="s">
        <v>445</v>
      </c>
      <c r="L26" s="3" t="s">
        <v>446</v>
      </c>
      <c r="M26" s="3" t="s">
        <v>446</v>
      </c>
      <c r="N26" s="3">
        <v>2153</v>
      </c>
    </row>
    <row r="27" spans="1:14" s="3" customFormat="1" hidden="1" outlineLevel="1" x14ac:dyDescent="0.25">
      <c r="B27" s="28" t="s">
        <v>26</v>
      </c>
      <c r="C27" s="29" t="s">
        <v>1493</v>
      </c>
      <c r="D27" s="29" t="s">
        <v>1494</v>
      </c>
      <c r="E27" s="29">
        <v>0</v>
      </c>
      <c r="F27" s="29" t="s">
        <v>1470</v>
      </c>
      <c r="G27" s="30"/>
      <c r="J27" s="3" t="s">
        <v>20</v>
      </c>
      <c r="K27" s="3" t="s">
        <v>445</v>
      </c>
      <c r="L27" s="3" t="s">
        <v>446</v>
      </c>
      <c r="M27" s="3" t="s">
        <v>446</v>
      </c>
      <c r="N27" s="3">
        <v>2183</v>
      </c>
    </row>
    <row r="28" spans="1:14" s="4" customFormat="1" ht="17.399999999999999" hidden="1" customHeight="1" outlineLevel="1" x14ac:dyDescent="0.35">
      <c r="A28" s="5"/>
      <c r="B28" s="41" t="s">
        <v>27</v>
      </c>
      <c r="C28" s="42" t="s">
        <v>1495</v>
      </c>
      <c r="D28" s="42" t="s">
        <v>1489</v>
      </c>
      <c r="E28" s="42">
        <v>0</v>
      </c>
      <c r="F28" s="42" t="s">
        <v>1470</v>
      </c>
      <c r="G28" s="43"/>
      <c r="J28" s="5" t="s">
        <v>20</v>
      </c>
      <c r="K28" s="5" t="s">
        <v>445</v>
      </c>
      <c r="L28" s="5" t="s">
        <v>446</v>
      </c>
      <c r="M28" s="5" t="s">
        <v>446</v>
      </c>
    </row>
    <row r="29" spans="1:14" s="3" customFormat="1" hidden="1" outlineLevel="1" x14ac:dyDescent="0.25">
      <c r="B29" s="44" t="s">
        <v>75</v>
      </c>
      <c r="C29" s="39" t="s">
        <v>1530</v>
      </c>
      <c r="D29" s="39" t="s">
        <v>1486</v>
      </c>
      <c r="E29" s="39">
        <v>0</v>
      </c>
      <c r="F29" s="39" t="s">
        <v>1470</v>
      </c>
      <c r="G29" s="40" t="s">
        <v>1531</v>
      </c>
    </row>
    <row r="30" spans="1:14" s="3" customFormat="1" hidden="1" outlineLevel="1" x14ac:dyDescent="0.25">
      <c r="B30" s="44" t="s">
        <v>76</v>
      </c>
      <c r="C30" s="29" t="s">
        <v>1532</v>
      </c>
      <c r="D30" s="29" t="s">
        <v>1489</v>
      </c>
      <c r="E30" s="29">
        <v>0</v>
      </c>
      <c r="F30" s="29"/>
      <c r="G30" s="30"/>
    </row>
    <row r="31" spans="1:14" s="3" customFormat="1" hidden="1" outlineLevel="1" x14ac:dyDescent="0.25">
      <c r="B31" s="44" t="s">
        <v>77</v>
      </c>
      <c r="C31" s="29" t="s">
        <v>1533</v>
      </c>
      <c r="D31" s="29" t="s">
        <v>1486</v>
      </c>
      <c r="E31" s="29">
        <v>0</v>
      </c>
      <c r="F31" s="29" t="s">
        <v>1470</v>
      </c>
      <c r="G31" s="30"/>
    </row>
    <row r="32" spans="1:14" s="3" customFormat="1" hidden="1" outlineLevel="1" x14ac:dyDescent="0.25">
      <c r="B32" s="44" t="s">
        <v>78</v>
      </c>
      <c r="C32" s="29" t="s">
        <v>1534</v>
      </c>
      <c r="D32" s="29" t="s">
        <v>1489</v>
      </c>
      <c r="E32" s="29">
        <v>0</v>
      </c>
      <c r="F32" s="29"/>
      <c r="G32" s="30"/>
    </row>
    <row r="33" spans="1:13" s="3" customFormat="1" hidden="1" outlineLevel="1" x14ac:dyDescent="0.25">
      <c r="B33" s="44" t="s">
        <v>24</v>
      </c>
      <c r="C33" s="29" t="s">
        <v>1491</v>
      </c>
      <c r="D33" s="29" t="s">
        <v>1489</v>
      </c>
      <c r="E33" s="29">
        <v>0</v>
      </c>
      <c r="F33" s="29" t="s">
        <v>1470</v>
      </c>
      <c r="G33" s="30"/>
    </row>
    <row r="34" spans="1:13" s="4" customFormat="1" ht="17.399999999999999" hidden="1" customHeight="1" outlineLevel="1" x14ac:dyDescent="0.35">
      <c r="A34" s="5"/>
      <c r="B34" s="44" t="s">
        <v>58</v>
      </c>
      <c r="C34" s="42" t="s">
        <v>1522</v>
      </c>
      <c r="D34" s="42" t="s">
        <v>1489</v>
      </c>
      <c r="E34" s="42">
        <v>0</v>
      </c>
      <c r="F34" s="42" t="s">
        <v>1470</v>
      </c>
      <c r="G34" s="43"/>
      <c r="K34" s="5"/>
      <c r="L34" s="5"/>
      <c r="M34" s="5"/>
    </row>
    <row r="35" spans="1:13" s="3" customFormat="1" ht="16.2" hidden="1" outlineLevel="1" thickBot="1" x14ac:dyDescent="0.3">
      <c r="A35" s="5"/>
      <c r="B35" s="45" t="s">
        <v>63</v>
      </c>
      <c r="C35" s="20" t="s">
        <v>1526</v>
      </c>
      <c r="D35" s="20" t="s">
        <v>1489</v>
      </c>
      <c r="E35" s="20">
        <v>0</v>
      </c>
      <c r="F35" s="20"/>
      <c r="G35" s="22"/>
    </row>
    <row r="36" spans="1:13" s="4" customFormat="1" hidden="1" outlineLevel="1" x14ac:dyDescent="0.35">
      <c r="A36" s="3"/>
      <c r="B36" s="386" t="s">
        <v>29</v>
      </c>
      <c r="C36" s="387"/>
      <c r="D36" s="387"/>
      <c r="E36" s="387"/>
      <c r="F36" s="387"/>
      <c r="G36" s="388"/>
      <c r="I36" s="45" t="s">
        <v>64</v>
      </c>
      <c r="L36" s="5"/>
      <c r="M36" s="5"/>
    </row>
    <row r="37" spans="1:13" s="3" customFormat="1" hidden="1" outlineLevel="1" x14ac:dyDescent="0.25">
      <c r="A37" s="5"/>
      <c r="B37" s="31"/>
      <c r="C37" s="20"/>
      <c r="D37" s="20"/>
      <c r="E37" s="20"/>
      <c r="F37" s="20"/>
      <c r="G37" s="22"/>
      <c r="I37" s="45" t="s">
        <v>22</v>
      </c>
    </row>
    <row r="38" spans="1:13" s="3" customFormat="1" hidden="1" outlineLevel="1" x14ac:dyDescent="0.25">
      <c r="A38" s="5"/>
      <c r="B38" s="31" t="s">
        <v>702</v>
      </c>
      <c r="C38" s="20"/>
      <c r="D38" s="20"/>
      <c r="E38" s="20"/>
      <c r="F38" s="20"/>
      <c r="G38" s="22"/>
      <c r="I38" s="45" t="s">
        <v>63</v>
      </c>
    </row>
    <row r="39" spans="1:13" s="3" customFormat="1" hidden="1" outlineLevel="1" x14ac:dyDescent="0.25">
      <c r="A39" s="5"/>
      <c r="B39" s="46" t="s">
        <v>703</v>
      </c>
      <c r="C39" s="20"/>
      <c r="D39" s="20"/>
      <c r="E39" s="20"/>
      <c r="F39" s="20"/>
      <c r="G39" s="22"/>
      <c r="I39" s="55" t="s">
        <v>78</v>
      </c>
    </row>
    <row r="40" spans="1:13" s="3" customFormat="1" hidden="1" outlineLevel="1" x14ac:dyDescent="0.25">
      <c r="A40" s="5"/>
      <c r="B40" s="47" t="s">
        <v>704</v>
      </c>
      <c r="C40" s="20"/>
      <c r="D40" s="20"/>
      <c r="E40" s="20"/>
      <c r="F40" s="20"/>
      <c r="G40" s="22"/>
      <c r="I40" s="55" t="s">
        <v>130</v>
      </c>
    </row>
    <row r="41" spans="1:13" s="3" customFormat="1" hidden="1" outlineLevel="1" x14ac:dyDescent="0.25">
      <c r="A41" s="5"/>
      <c r="B41" s="47" t="s">
        <v>705</v>
      </c>
      <c r="C41" s="20"/>
      <c r="D41" s="20"/>
      <c r="E41" s="20"/>
      <c r="F41" s="20"/>
      <c r="G41" s="22"/>
      <c r="I41" s="55" t="s">
        <v>165</v>
      </c>
    </row>
    <row r="42" spans="1:13" s="3" customFormat="1" hidden="1" outlineLevel="1" x14ac:dyDescent="0.25">
      <c r="A42" s="5"/>
      <c r="B42" s="47" t="s">
        <v>706</v>
      </c>
      <c r="C42" s="20"/>
      <c r="D42" s="20"/>
      <c r="E42" s="20"/>
      <c r="F42" s="20"/>
      <c r="G42" s="22"/>
      <c r="I42" s="55" t="s">
        <v>166</v>
      </c>
    </row>
    <row r="43" spans="1:13" s="3" customFormat="1" hidden="1" outlineLevel="1" x14ac:dyDescent="0.25">
      <c r="A43" s="5"/>
      <c r="B43" s="47" t="s">
        <v>707</v>
      </c>
      <c r="C43" s="20"/>
      <c r="D43" s="20"/>
      <c r="E43" s="20"/>
      <c r="F43" s="20"/>
      <c r="G43" s="22"/>
      <c r="I43" s="55" t="s">
        <v>241</v>
      </c>
    </row>
    <row r="44" spans="1:13" s="3" customFormat="1" hidden="1" outlineLevel="1" x14ac:dyDescent="0.25">
      <c r="A44" s="5"/>
      <c r="B44" s="47" t="s">
        <v>708</v>
      </c>
      <c r="C44" s="20"/>
      <c r="D44" s="20"/>
      <c r="E44" s="20"/>
      <c r="F44" s="20"/>
      <c r="G44" s="22"/>
      <c r="I44" s="45" t="s">
        <v>26</v>
      </c>
    </row>
    <row r="45" spans="1:13" s="3" customFormat="1" hidden="1" outlineLevel="1" x14ac:dyDescent="0.25">
      <c r="A45" s="5"/>
      <c r="B45" s="47" t="s">
        <v>709</v>
      </c>
      <c r="C45" s="20"/>
      <c r="D45" s="20"/>
      <c r="E45" s="20"/>
      <c r="F45" s="20"/>
      <c r="G45" s="22"/>
      <c r="I45" s="56" t="s">
        <v>27</v>
      </c>
    </row>
    <row r="46" spans="1:13" s="3" customFormat="1" hidden="1" outlineLevel="1" x14ac:dyDescent="0.25">
      <c r="A46" s="5"/>
      <c r="B46" s="48" t="s">
        <v>710</v>
      </c>
      <c r="C46" s="20"/>
      <c r="D46" s="20"/>
      <c r="E46" s="20"/>
      <c r="F46" s="20"/>
      <c r="G46" s="22"/>
      <c r="I46" s="31" t="s">
        <v>711</v>
      </c>
    </row>
    <row r="47" spans="1:13" s="3" customFormat="1" hidden="1" outlineLevel="1" x14ac:dyDescent="0.25">
      <c r="A47" s="5"/>
      <c r="B47" s="49" t="s">
        <v>712</v>
      </c>
      <c r="C47" s="20"/>
      <c r="D47" s="20"/>
      <c r="E47" s="20"/>
      <c r="F47" s="20"/>
      <c r="G47" s="22"/>
      <c r="I47" s="56" t="s">
        <v>27</v>
      </c>
    </row>
    <row r="48" spans="1:13" s="3" customFormat="1" hidden="1" outlineLevel="1" x14ac:dyDescent="0.25">
      <c r="A48" s="5"/>
      <c r="B48" s="3" t="s">
        <v>713</v>
      </c>
      <c r="C48" s="20"/>
      <c r="D48" s="20"/>
      <c r="E48" s="20"/>
      <c r="F48" s="20"/>
      <c r="G48" s="22"/>
      <c r="I48" s="56"/>
    </row>
    <row r="49" spans="1:9" s="3" customFormat="1" hidden="1" outlineLevel="1" x14ac:dyDescent="0.25">
      <c r="A49" s="5"/>
      <c r="B49" s="49" t="s">
        <v>714</v>
      </c>
      <c r="C49" s="20"/>
      <c r="D49" s="20"/>
      <c r="E49" s="20"/>
      <c r="F49" s="20"/>
      <c r="G49" s="22"/>
      <c r="I49" s="31" t="s">
        <v>711</v>
      </c>
    </row>
    <row r="50" spans="1:9" s="3" customFormat="1" hidden="1" outlineLevel="1" x14ac:dyDescent="0.25">
      <c r="A50" s="5"/>
      <c r="B50" s="49" t="s">
        <v>715</v>
      </c>
      <c r="C50" s="20"/>
      <c r="D50" s="20"/>
      <c r="E50" s="20"/>
      <c r="F50" s="20"/>
      <c r="G50" s="22"/>
    </row>
    <row r="51" spans="1:9" s="3" customFormat="1" hidden="1" outlineLevel="1" x14ac:dyDescent="0.25">
      <c r="A51" s="5"/>
      <c r="B51" s="49" t="s">
        <v>716</v>
      </c>
      <c r="C51" s="20"/>
      <c r="D51" s="20"/>
      <c r="E51" s="20"/>
      <c r="F51" s="20"/>
      <c r="G51" s="22"/>
    </row>
    <row r="52" spans="1:9" s="3" customFormat="1" hidden="1" outlineLevel="1" x14ac:dyDescent="0.25">
      <c r="A52" s="5"/>
      <c r="B52" s="49" t="s">
        <v>717</v>
      </c>
      <c r="C52" s="20"/>
      <c r="D52" s="20"/>
      <c r="E52" s="20"/>
      <c r="F52" s="20"/>
      <c r="G52" s="22"/>
    </row>
    <row r="53" spans="1:9" s="3" customFormat="1" hidden="1" outlineLevel="1" x14ac:dyDescent="0.25">
      <c r="A53" s="5"/>
      <c r="B53" s="46" t="s">
        <v>2277</v>
      </c>
      <c r="C53" s="20"/>
      <c r="D53" s="20"/>
      <c r="E53" s="20"/>
      <c r="F53" s="20"/>
      <c r="G53" s="22"/>
    </row>
    <row r="54" spans="1:9" s="3" customFormat="1" hidden="1" outlineLevel="1" x14ac:dyDescent="0.25">
      <c r="A54" s="5"/>
      <c r="B54" s="50" t="s">
        <v>718</v>
      </c>
      <c r="C54" s="20"/>
      <c r="D54" s="20"/>
      <c r="E54" s="20"/>
      <c r="F54" s="20"/>
      <c r="G54" s="22"/>
    </row>
    <row r="55" spans="1:9" s="3" customFormat="1" hidden="1" outlineLevel="1" x14ac:dyDescent="0.25">
      <c r="A55" s="5"/>
      <c r="B55" s="50" t="s">
        <v>719</v>
      </c>
      <c r="C55" s="20"/>
      <c r="D55" s="20"/>
      <c r="E55" s="20"/>
      <c r="F55" s="20"/>
      <c r="G55" s="22"/>
    </row>
    <row r="56" spans="1:9" s="3" customFormat="1" hidden="1" outlineLevel="1" x14ac:dyDescent="0.25">
      <c r="A56" s="5"/>
      <c r="B56" s="50" t="s">
        <v>720</v>
      </c>
      <c r="C56" s="20"/>
      <c r="D56" s="20"/>
      <c r="E56" s="20"/>
      <c r="F56" s="20"/>
      <c r="G56" s="22"/>
    </row>
    <row r="57" spans="1:9" s="3" customFormat="1" hidden="1" outlineLevel="1" x14ac:dyDescent="0.25">
      <c r="A57" s="5"/>
      <c r="B57" s="50" t="s">
        <v>721</v>
      </c>
      <c r="C57" s="20"/>
      <c r="D57" s="20"/>
      <c r="E57" s="20"/>
      <c r="F57" s="20"/>
      <c r="G57" s="22"/>
    </row>
    <row r="58" spans="1:9" s="3" customFormat="1" hidden="1" outlineLevel="1" x14ac:dyDescent="0.25">
      <c r="A58" s="5"/>
      <c r="B58" s="50" t="s">
        <v>722</v>
      </c>
      <c r="C58" s="20"/>
      <c r="D58" s="20"/>
      <c r="E58" s="20"/>
      <c r="F58" s="20"/>
      <c r="G58" s="22"/>
    </row>
    <row r="59" spans="1:9" s="3" customFormat="1" hidden="1" outlineLevel="1" x14ac:dyDescent="0.25">
      <c r="A59" s="5"/>
      <c r="B59" s="50" t="s">
        <v>723</v>
      </c>
      <c r="C59" s="20"/>
      <c r="D59" s="20"/>
      <c r="E59" s="20"/>
      <c r="F59" s="20"/>
      <c r="G59" s="22"/>
    </row>
    <row r="60" spans="1:9" s="3" customFormat="1" hidden="1" outlineLevel="1" x14ac:dyDescent="0.25">
      <c r="A60" s="5"/>
      <c r="B60" s="51" t="s">
        <v>724</v>
      </c>
      <c r="C60" s="20"/>
      <c r="D60" s="20"/>
      <c r="E60" s="20"/>
      <c r="F60" s="20"/>
      <c r="G60" s="22"/>
    </row>
    <row r="61" spans="1:9" s="3" customFormat="1" hidden="1" outlineLevel="1" x14ac:dyDescent="0.25">
      <c r="A61" s="5"/>
      <c r="B61" s="31"/>
      <c r="C61" s="20"/>
      <c r="D61" s="20"/>
      <c r="E61" s="20"/>
      <c r="F61" s="20"/>
      <c r="G61" s="22"/>
    </row>
    <row r="62" spans="1:9" s="3" customFormat="1" hidden="1" outlineLevel="1" x14ac:dyDescent="0.25">
      <c r="A62" s="5"/>
      <c r="B62" s="46" t="s">
        <v>725</v>
      </c>
      <c r="C62" s="20"/>
      <c r="D62" s="20"/>
      <c r="E62" s="20"/>
      <c r="F62" s="20"/>
      <c r="G62" s="22"/>
    </row>
    <row r="63" spans="1:9" s="3" customFormat="1" ht="16.2" hidden="1" outlineLevel="1" thickBot="1" x14ac:dyDescent="0.3">
      <c r="A63" s="5"/>
      <c r="B63" s="52" t="s">
        <v>726</v>
      </c>
      <c r="C63" s="53"/>
      <c r="D63" s="53"/>
      <c r="E63" s="53"/>
      <c r="F63" s="53"/>
      <c r="G63" s="54"/>
    </row>
    <row r="64" spans="1:9" s="5" customFormat="1" ht="16.2" hidden="1" outlineLevel="1" thickBot="1" x14ac:dyDescent="0.3"/>
    <row r="65" spans="1:14" s="3" customFormat="1" ht="17.399999999999999" customHeight="1" collapsed="1" thickBot="1" x14ac:dyDescent="0.3">
      <c r="A65" s="5"/>
      <c r="B65" s="15" t="s">
        <v>1279</v>
      </c>
      <c r="C65" s="16" t="s">
        <v>2102</v>
      </c>
      <c r="D65" s="17" t="s">
        <v>1281</v>
      </c>
      <c r="E65" s="16" t="s">
        <v>727</v>
      </c>
      <c r="F65" s="17" t="s">
        <v>1282</v>
      </c>
      <c r="G65" s="18" t="s">
        <v>2103</v>
      </c>
    </row>
    <row r="66" spans="1:14" s="3" customFormat="1" ht="17.399999999999999" hidden="1" customHeight="1" outlineLevel="1" x14ac:dyDescent="0.25">
      <c r="A66" s="5"/>
      <c r="B66" s="19" t="s">
        <v>1284</v>
      </c>
      <c r="C66" s="20" t="s">
        <v>1285</v>
      </c>
      <c r="D66" s="21" t="s">
        <v>1286</v>
      </c>
      <c r="E66" s="20" t="s">
        <v>2104</v>
      </c>
      <c r="F66" s="21" t="s">
        <v>1288</v>
      </c>
      <c r="G66" s="22" t="s">
        <v>1298</v>
      </c>
    </row>
    <row r="67" spans="1:14" s="3" customFormat="1" ht="17.399999999999999" hidden="1" customHeight="1" outlineLevel="1" thickBot="1" x14ac:dyDescent="0.3">
      <c r="A67" s="5"/>
      <c r="B67" s="19" t="s">
        <v>1290</v>
      </c>
      <c r="C67" s="23" t="s">
        <v>1291</v>
      </c>
      <c r="D67" s="21" t="s">
        <v>1292</v>
      </c>
      <c r="E67" s="23">
        <v>5</v>
      </c>
      <c r="F67" s="21" t="s">
        <v>1293</v>
      </c>
      <c r="G67" s="24" t="s">
        <v>1294</v>
      </c>
    </row>
    <row r="68" spans="1:14" s="3" customFormat="1" ht="17.399999999999999" hidden="1" customHeight="1" outlineLevel="1" x14ac:dyDescent="0.25">
      <c r="A68" s="5"/>
      <c r="B68" s="401" t="s">
        <v>1</v>
      </c>
      <c r="C68" s="402"/>
      <c r="D68" s="402"/>
      <c r="E68" s="402"/>
      <c r="F68" s="402"/>
      <c r="G68" s="403"/>
    </row>
    <row r="69" spans="1:14" s="3" customFormat="1" ht="17.399999999999999" hidden="1" customHeight="1" outlineLevel="1" x14ac:dyDescent="0.25">
      <c r="A69" s="5"/>
      <c r="B69" s="25" t="s">
        <v>2</v>
      </c>
      <c r="C69" s="26" t="s">
        <v>3</v>
      </c>
      <c r="D69" s="26" t="s">
        <v>4</v>
      </c>
      <c r="E69" s="26" t="s">
        <v>5</v>
      </c>
      <c r="F69" s="26"/>
      <c r="G69" s="27" t="s">
        <v>6</v>
      </c>
    </row>
    <row r="70" spans="1:14" s="4" customFormat="1" ht="17.399999999999999" hidden="1" customHeight="1" outlineLevel="1" x14ac:dyDescent="0.35">
      <c r="A70" s="5"/>
      <c r="B70" s="57" t="s">
        <v>7</v>
      </c>
      <c r="C70" s="58" t="s">
        <v>1468</v>
      </c>
      <c r="D70" s="58" t="s">
        <v>1469</v>
      </c>
      <c r="E70" s="58">
        <v>0</v>
      </c>
      <c r="F70" s="58" t="s">
        <v>1470</v>
      </c>
      <c r="G70" s="59" t="s">
        <v>1471</v>
      </c>
      <c r="J70" s="4" t="s">
        <v>10</v>
      </c>
      <c r="K70" s="4" t="s">
        <v>173</v>
      </c>
      <c r="L70" s="4" t="s">
        <v>9</v>
      </c>
      <c r="M70" s="4" t="s">
        <v>9</v>
      </c>
      <c r="N70" s="4">
        <v>1112</v>
      </c>
    </row>
    <row r="71" spans="1:14" s="4" customFormat="1" ht="17.399999999999999" hidden="1" customHeight="1" outlineLevel="1" x14ac:dyDescent="0.35">
      <c r="A71" s="5"/>
      <c r="B71" s="57" t="s">
        <v>11</v>
      </c>
      <c r="C71" s="58" t="s">
        <v>1472</v>
      </c>
      <c r="D71" s="58" t="s">
        <v>1469</v>
      </c>
      <c r="E71" s="58">
        <v>0</v>
      </c>
      <c r="F71" s="58" t="s">
        <v>1470</v>
      </c>
      <c r="G71" s="59" t="s">
        <v>1473</v>
      </c>
      <c r="J71" s="4" t="s">
        <v>12</v>
      </c>
      <c r="K71" s="4" t="s">
        <v>174</v>
      </c>
      <c r="L71" s="4" t="s">
        <v>175</v>
      </c>
      <c r="M71" s="4" t="s">
        <v>176</v>
      </c>
      <c r="N71" s="4">
        <v>1700</v>
      </c>
    </row>
    <row r="72" spans="1:14" s="4" customFormat="1" ht="17.399999999999999" hidden="1" customHeight="1" outlineLevel="1" x14ac:dyDescent="0.35">
      <c r="A72" s="5"/>
      <c r="B72" s="60" t="s">
        <v>13</v>
      </c>
      <c r="C72" s="61" t="s">
        <v>1474</v>
      </c>
      <c r="D72" s="61" t="s">
        <v>1469</v>
      </c>
      <c r="E72" s="61">
        <v>0</v>
      </c>
      <c r="F72" s="61" t="s">
        <v>1470</v>
      </c>
      <c r="G72" s="62"/>
      <c r="H72" s="63"/>
      <c r="J72" s="4" t="s">
        <v>10</v>
      </c>
      <c r="K72" s="4" t="s">
        <v>173</v>
      </c>
      <c r="L72" s="4" t="s">
        <v>9</v>
      </c>
      <c r="M72" s="4" t="s">
        <v>9</v>
      </c>
      <c r="N72" s="4">
        <v>2534</v>
      </c>
    </row>
    <row r="73" spans="1:14" s="4" customFormat="1" ht="17.399999999999999" hidden="1" customHeight="1" outlineLevel="1" x14ac:dyDescent="0.35">
      <c r="A73" s="5"/>
      <c r="B73" s="60" t="s">
        <v>14</v>
      </c>
      <c r="C73" s="61" t="s">
        <v>1475</v>
      </c>
      <c r="D73" s="61" t="s">
        <v>1469</v>
      </c>
      <c r="E73" s="61">
        <v>0</v>
      </c>
      <c r="F73" s="61" t="s">
        <v>1476</v>
      </c>
      <c r="G73" s="62" t="s">
        <v>1477</v>
      </c>
      <c r="H73" s="63"/>
      <c r="J73" s="4" t="s">
        <v>10</v>
      </c>
      <c r="K73" s="4" t="s">
        <v>173</v>
      </c>
      <c r="L73" s="4" t="s">
        <v>9</v>
      </c>
      <c r="M73" s="4" t="s">
        <v>9</v>
      </c>
      <c r="N73" s="4">
        <v>2155</v>
      </c>
    </row>
    <row r="74" spans="1:14" s="4" customFormat="1" ht="17.399999999999999" hidden="1" customHeight="1" outlineLevel="1" x14ac:dyDescent="0.35">
      <c r="A74" s="5"/>
      <c r="B74" s="60" t="s">
        <v>15</v>
      </c>
      <c r="C74" s="61" t="s">
        <v>1478</v>
      </c>
      <c r="D74" s="61" t="s">
        <v>1469</v>
      </c>
      <c r="E74" s="61">
        <v>0</v>
      </c>
      <c r="F74" s="61" t="s">
        <v>1470</v>
      </c>
      <c r="G74" s="62"/>
      <c r="H74" s="63"/>
      <c r="J74" s="4" t="s">
        <v>10</v>
      </c>
      <c r="K74" s="4" t="s">
        <v>173</v>
      </c>
      <c r="L74" s="4" t="s">
        <v>9</v>
      </c>
      <c r="M74" s="4" t="s">
        <v>9</v>
      </c>
      <c r="N74" s="4">
        <v>2430</v>
      </c>
    </row>
    <row r="75" spans="1:14" s="4" customFormat="1" ht="17.399999999999999" hidden="1" customHeight="1" outlineLevel="1" x14ac:dyDescent="0.35">
      <c r="A75" s="5"/>
      <c r="B75" s="64" t="s">
        <v>16</v>
      </c>
      <c r="C75" s="65" t="s">
        <v>1479</v>
      </c>
      <c r="D75" s="65" t="s">
        <v>1469</v>
      </c>
      <c r="E75" s="65" t="s">
        <v>1480</v>
      </c>
      <c r="F75" s="65" t="s">
        <v>1481</v>
      </c>
      <c r="G75" s="66" t="s">
        <v>1482</v>
      </c>
      <c r="H75" s="5"/>
      <c r="I75" s="5"/>
      <c r="J75" s="5" t="s">
        <v>10</v>
      </c>
      <c r="K75" s="5" t="s">
        <v>173</v>
      </c>
      <c r="L75" s="5" t="s">
        <v>9</v>
      </c>
      <c r="M75" s="5" t="s">
        <v>9</v>
      </c>
      <c r="N75" s="4">
        <v>1211</v>
      </c>
    </row>
    <row r="76" spans="1:14" s="4" customFormat="1" ht="17.399999999999999" hidden="1" customHeight="1" outlineLevel="1" x14ac:dyDescent="0.35">
      <c r="A76" s="5"/>
      <c r="B76" s="64" t="s">
        <v>17</v>
      </c>
      <c r="C76" s="65" t="s">
        <v>1483</v>
      </c>
      <c r="D76" s="65" t="s">
        <v>1469</v>
      </c>
      <c r="E76" s="65">
        <v>0</v>
      </c>
      <c r="F76" s="65" t="s">
        <v>1470</v>
      </c>
      <c r="G76" s="66" t="s">
        <v>1484</v>
      </c>
      <c r="H76" s="5"/>
      <c r="I76" s="5"/>
      <c r="J76" s="5" t="s">
        <v>10</v>
      </c>
      <c r="K76" s="5" t="s">
        <v>173</v>
      </c>
      <c r="L76" s="5" t="s">
        <v>9</v>
      </c>
      <c r="M76" s="5" t="s">
        <v>9</v>
      </c>
      <c r="N76" s="4">
        <v>1097</v>
      </c>
    </row>
    <row r="77" spans="1:14" s="3" customFormat="1" ht="16.2" hidden="1" outlineLevel="1" thickBot="1" x14ac:dyDescent="0.3">
      <c r="A77" s="5"/>
      <c r="B77" s="31"/>
      <c r="C77" s="20"/>
      <c r="D77" s="20"/>
      <c r="E77" s="20"/>
      <c r="F77" s="20"/>
      <c r="G77" s="22"/>
    </row>
    <row r="78" spans="1:14" s="4" customFormat="1" hidden="1" outlineLevel="1" x14ac:dyDescent="0.35">
      <c r="A78" s="3"/>
      <c r="B78" s="386" t="s">
        <v>18</v>
      </c>
      <c r="C78" s="387"/>
      <c r="D78" s="387"/>
      <c r="E78" s="387"/>
      <c r="F78" s="387"/>
      <c r="G78" s="388"/>
      <c r="H78" s="5"/>
      <c r="I78" s="5"/>
      <c r="J78" s="5"/>
      <c r="K78" s="5"/>
      <c r="L78" s="5"/>
      <c r="M78" s="5"/>
    </row>
    <row r="79" spans="1:14" s="4" customFormat="1" hidden="1" outlineLevel="1" x14ac:dyDescent="0.35">
      <c r="A79" s="3"/>
      <c r="B79" s="32" t="s">
        <v>2</v>
      </c>
      <c r="C79" s="33" t="s">
        <v>3</v>
      </c>
      <c r="D79" s="33" t="s">
        <v>4</v>
      </c>
      <c r="E79" s="33" t="s">
        <v>5</v>
      </c>
      <c r="F79" s="33"/>
      <c r="G79" s="34" t="s">
        <v>6</v>
      </c>
      <c r="H79" s="5"/>
      <c r="I79" s="5"/>
      <c r="J79" s="5"/>
      <c r="K79" s="5"/>
      <c r="L79" s="5"/>
      <c r="M79" s="5"/>
    </row>
    <row r="80" spans="1:14" s="4" customFormat="1" ht="17.399999999999999" hidden="1" customHeight="1" outlineLevel="1" x14ac:dyDescent="0.35">
      <c r="A80" s="5"/>
      <c r="B80" s="67" t="s">
        <v>16</v>
      </c>
      <c r="C80" s="65" t="s">
        <v>1479</v>
      </c>
      <c r="D80" s="65" t="s">
        <v>1469</v>
      </c>
      <c r="E80" s="65" t="s">
        <v>1480</v>
      </c>
      <c r="F80" s="65" t="s">
        <v>1481</v>
      </c>
      <c r="G80" s="66" t="s">
        <v>1482</v>
      </c>
      <c r="H80" s="5"/>
      <c r="I80" s="5"/>
      <c r="J80" s="5"/>
      <c r="K80" s="5"/>
      <c r="L80" s="5"/>
      <c r="M80" s="5"/>
    </row>
    <row r="81" spans="1:14" s="3" customFormat="1" hidden="1" outlineLevel="1" x14ac:dyDescent="0.25">
      <c r="B81" s="68" t="s">
        <v>7</v>
      </c>
      <c r="C81" s="69" t="s">
        <v>1468</v>
      </c>
      <c r="D81" s="69" t="s">
        <v>1469</v>
      </c>
      <c r="E81" s="69">
        <v>0</v>
      </c>
      <c r="F81" s="69" t="s">
        <v>1470</v>
      </c>
      <c r="G81" s="70" t="s">
        <v>1471</v>
      </c>
      <c r="J81" s="3" t="s">
        <v>10</v>
      </c>
      <c r="K81" s="3" t="s">
        <v>173</v>
      </c>
      <c r="L81" s="3" t="s">
        <v>9</v>
      </c>
      <c r="M81" s="3" t="s">
        <v>9</v>
      </c>
      <c r="N81" s="3">
        <v>1112</v>
      </c>
    </row>
    <row r="82" spans="1:14" s="3" customFormat="1" hidden="1" outlineLevel="1" x14ac:dyDescent="0.25">
      <c r="B82" s="68" t="s">
        <v>11</v>
      </c>
      <c r="C82" s="69" t="s">
        <v>1472</v>
      </c>
      <c r="D82" s="69" t="s">
        <v>1469</v>
      </c>
      <c r="E82" s="69">
        <v>0</v>
      </c>
      <c r="F82" s="69" t="s">
        <v>1470</v>
      </c>
      <c r="G82" s="70" t="s">
        <v>1473</v>
      </c>
      <c r="J82" s="3" t="s">
        <v>12</v>
      </c>
      <c r="K82" s="3" t="s">
        <v>174</v>
      </c>
      <c r="L82" s="3" t="s">
        <v>175</v>
      </c>
      <c r="M82" s="3" t="s">
        <v>176</v>
      </c>
      <c r="N82" s="3">
        <v>1700</v>
      </c>
    </row>
    <row r="83" spans="1:14" s="3" customFormat="1" hidden="1" outlineLevel="1" x14ac:dyDescent="0.25">
      <c r="B83" s="68" t="s">
        <v>13</v>
      </c>
      <c r="C83" s="69" t="s">
        <v>1474</v>
      </c>
      <c r="D83" s="69" t="s">
        <v>1469</v>
      </c>
      <c r="E83" s="69">
        <v>0</v>
      </c>
      <c r="F83" s="69" t="s">
        <v>1470</v>
      </c>
      <c r="G83" s="70"/>
      <c r="J83" s="3" t="s">
        <v>10</v>
      </c>
      <c r="K83" s="3" t="s">
        <v>173</v>
      </c>
      <c r="L83" s="3" t="s">
        <v>9</v>
      </c>
      <c r="M83" s="3" t="s">
        <v>9</v>
      </c>
      <c r="N83" s="3">
        <v>2534</v>
      </c>
    </row>
    <row r="84" spans="1:14" s="3" customFormat="1" hidden="1" outlineLevel="1" x14ac:dyDescent="0.25">
      <c r="B84" s="68" t="s">
        <v>14</v>
      </c>
      <c r="C84" s="69" t="s">
        <v>1475</v>
      </c>
      <c r="D84" s="69" t="s">
        <v>1469</v>
      </c>
      <c r="E84" s="69">
        <v>0</v>
      </c>
      <c r="F84" s="69" t="s">
        <v>1476</v>
      </c>
      <c r="G84" s="70" t="s">
        <v>1477</v>
      </c>
      <c r="J84" s="3" t="s">
        <v>10</v>
      </c>
      <c r="K84" s="3" t="s">
        <v>173</v>
      </c>
      <c r="L84" s="3" t="s">
        <v>9</v>
      </c>
      <c r="M84" s="3" t="s">
        <v>9</v>
      </c>
      <c r="N84" s="3">
        <v>2155</v>
      </c>
    </row>
    <row r="85" spans="1:14" s="3" customFormat="1" hidden="1" outlineLevel="1" x14ac:dyDescent="0.25">
      <c r="B85" s="68" t="s">
        <v>15</v>
      </c>
      <c r="C85" s="69" t="s">
        <v>1478</v>
      </c>
      <c r="D85" s="69" t="s">
        <v>1469</v>
      </c>
      <c r="E85" s="69">
        <v>0</v>
      </c>
      <c r="F85" s="69" t="s">
        <v>1470</v>
      </c>
      <c r="G85" s="70"/>
      <c r="J85" s="3" t="s">
        <v>10</v>
      </c>
      <c r="K85" s="3" t="s">
        <v>173</v>
      </c>
      <c r="L85" s="3" t="s">
        <v>9</v>
      </c>
      <c r="M85" s="3" t="s">
        <v>9</v>
      </c>
      <c r="N85" s="3">
        <v>2430</v>
      </c>
    </row>
    <row r="86" spans="1:14" s="3" customFormat="1" hidden="1" outlineLevel="1" x14ac:dyDescent="0.25">
      <c r="B86" s="71" t="s">
        <v>32</v>
      </c>
      <c r="C86" s="72" t="s">
        <v>1496</v>
      </c>
      <c r="D86" s="72" t="s">
        <v>1486</v>
      </c>
      <c r="E86" s="72">
        <v>0</v>
      </c>
      <c r="F86" s="72"/>
      <c r="G86" s="73"/>
      <c r="J86" s="3" t="s">
        <v>20</v>
      </c>
      <c r="K86" s="3" t="s">
        <v>445</v>
      </c>
      <c r="L86" s="3" t="s">
        <v>446</v>
      </c>
      <c r="M86" s="3" t="s">
        <v>446</v>
      </c>
      <c r="N86" s="3">
        <v>2055</v>
      </c>
    </row>
    <row r="87" spans="1:14" s="3" customFormat="1" hidden="1" outlineLevel="1" x14ac:dyDescent="0.25">
      <c r="B87" s="71" t="s">
        <v>22</v>
      </c>
      <c r="C87" s="72" t="s">
        <v>1488</v>
      </c>
      <c r="D87" s="72" t="s">
        <v>1489</v>
      </c>
      <c r="E87" s="72">
        <v>0</v>
      </c>
      <c r="F87" s="72" t="s">
        <v>1470</v>
      </c>
      <c r="G87" s="73" t="s">
        <v>1490</v>
      </c>
      <c r="J87" s="3" t="s">
        <v>20</v>
      </c>
      <c r="K87" s="3" t="s">
        <v>445</v>
      </c>
      <c r="L87" s="3" t="s">
        <v>446</v>
      </c>
      <c r="M87" s="3" t="s">
        <v>446</v>
      </c>
      <c r="N87" s="3">
        <v>2052</v>
      </c>
    </row>
    <row r="88" spans="1:14" s="3" customFormat="1" hidden="1" outlineLevel="1" x14ac:dyDescent="0.25">
      <c r="B88" s="28" t="s">
        <v>26</v>
      </c>
      <c r="C88" s="29" t="s">
        <v>1493</v>
      </c>
      <c r="D88" s="29" t="s">
        <v>1494</v>
      </c>
      <c r="E88" s="29">
        <v>0</v>
      </c>
      <c r="F88" s="29" t="s">
        <v>1470</v>
      </c>
      <c r="G88" s="30"/>
      <c r="J88" s="3" t="s">
        <v>20</v>
      </c>
      <c r="K88" s="3" t="s">
        <v>445</v>
      </c>
      <c r="L88" s="3" t="s">
        <v>446</v>
      </c>
      <c r="M88" s="3" t="s">
        <v>446</v>
      </c>
      <c r="N88" s="3">
        <v>2183</v>
      </c>
    </row>
    <row r="89" spans="1:14" s="4" customFormat="1" ht="17.399999999999999" hidden="1" customHeight="1" outlineLevel="1" x14ac:dyDescent="0.35">
      <c r="A89" s="5"/>
      <c r="B89" s="74" t="s">
        <v>27</v>
      </c>
      <c r="C89" s="75" t="s">
        <v>1495</v>
      </c>
      <c r="D89" s="75" t="s">
        <v>1489</v>
      </c>
      <c r="E89" s="75">
        <v>0</v>
      </c>
      <c r="F89" s="75" t="s">
        <v>1470</v>
      </c>
      <c r="G89" s="76"/>
      <c r="H89" s="5"/>
      <c r="I89" s="5"/>
      <c r="J89" s="5" t="s">
        <v>20</v>
      </c>
      <c r="K89" s="5" t="s">
        <v>445</v>
      </c>
      <c r="L89" s="5" t="s">
        <v>446</v>
      </c>
      <c r="M89" s="5" t="s">
        <v>446</v>
      </c>
    </row>
    <row r="90" spans="1:14" s="3" customFormat="1" hidden="1" outlineLevel="1" x14ac:dyDescent="0.25">
      <c r="A90" s="77"/>
      <c r="B90" s="78" t="s">
        <v>33</v>
      </c>
      <c r="C90" s="79" t="s">
        <v>1497</v>
      </c>
      <c r="D90" s="79" t="s">
        <v>1486</v>
      </c>
      <c r="E90" s="79">
        <v>0</v>
      </c>
      <c r="F90" s="79"/>
      <c r="G90" s="80"/>
      <c r="H90" s="3" t="str">
        <f t="shared" ref="H90:H116" si="1">"TRUNCATE TABLE "&amp;C90&amp;";#"&amp;E90</f>
        <v>TRUNCATE TABLE total_long_curr_qty;#0</v>
      </c>
    </row>
    <row r="91" spans="1:14" s="3" customFormat="1" ht="16.5" hidden="1" customHeight="1" outlineLevel="1" x14ac:dyDescent="0.25">
      <c r="A91" s="77"/>
      <c r="B91" s="78" t="s">
        <v>34</v>
      </c>
      <c r="C91" s="79" t="s">
        <v>1498</v>
      </c>
      <c r="D91" s="79" t="s">
        <v>1486</v>
      </c>
      <c r="E91" s="79">
        <v>0</v>
      </c>
      <c r="F91" s="79"/>
      <c r="G91" s="80"/>
      <c r="H91" s="3" t="str">
        <f t="shared" si="1"/>
        <v>TRUNCATE TABLE total_short_curr_qty;#0</v>
      </c>
    </row>
    <row r="92" spans="1:14" s="3" customFormat="1" hidden="1" outlineLevel="1" x14ac:dyDescent="0.25">
      <c r="A92" s="77"/>
      <c r="B92" s="78" t="s">
        <v>35</v>
      </c>
      <c r="C92" s="79" t="s">
        <v>1499</v>
      </c>
      <c r="D92" s="79" t="s">
        <v>1489</v>
      </c>
      <c r="E92" s="79">
        <v>0</v>
      </c>
      <c r="F92" s="79"/>
      <c r="G92" s="80"/>
      <c r="H92" s="3" t="str">
        <f t="shared" si="1"/>
        <v>TRUNCATE TABLE total_long_open_posi_value;#0</v>
      </c>
    </row>
    <row r="93" spans="1:14" s="3" customFormat="1" hidden="1" outlineLevel="1" x14ac:dyDescent="0.25">
      <c r="A93" s="77"/>
      <c r="B93" s="78" t="s">
        <v>36</v>
      </c>
      <c r="C93" s="79" t="s">
        <v>1500</v>
      </c>
      <c r="D93" s="79" t="s">
        <v>1489</v>
      </c>
      <c r="E93" s="79">
        <v>0</v>
      </c>
      <c r="F93" s="79"/>
      <c r="G93" s="80"/>
      <c r="H93" s="3" t="str">
        <f t="shared" si="1"/>
        <v>TRUNCATE TABLE total_short_open_posi_value;#0</v>
      </c>
    </row>
    <row r="94" spans="1:14" s="3" customFormat="1" hidden="1" outlineLevel="1" x14ac:dyDescent="0.25">
      <c r="A94" s="77"/>
      <c r="B94" s="78" t="s">
        <v>37</v>
      </c>
      <c r="C94" s="79" t="s">
        <v>1501</v>
      </c>
      <c r="D94" s="79" t="s">
        <v>1489</v>
      </c>
      <c r="E94" s="79">
        <v>0</v>
      </c>
      <c r="F94" s="79"/>
      <c r="G94" s="80"/>
      <c r="H94" s="3" t="str">
        <f t="shared" si="1"/>
        <v>TRUNCATE TABLE total_long_open_posi_fee;#0</v>
      </c>
    </row>
    <row r="95" spans="1:14" s="3" customFormat="1" hidden="1" outlineLevel="1" x14ac:dyDescent="0.25">
      <c r="A95" s="77"/>
      <c r="B95" s="78" t="s">
        <v>38</v>
      </c>
      <c r="C95" s="79" t="s">
        <v>1502</v>
      </c>
      <c r="D95" s="79" t="s">
        <v>1489</v>
      </c>
      <c r="E95" s="79">
        <v>0</v>
      </c>
      <c r="F95" s="79"/>
      <c r="G95" s="80"/>
      <c r="H95" s="3" t="str">
        <f t="shared" si="1"/>
        <v>TRUNCATE TABLE total_short_open_posi_fee;#0</v>
      </c>
    </row>
    <row r="96" spans="1:14" s="3" customFormat="1" hidden="1" outlineLevel="1" x14ac:dyDescent="0.25">
      <c r="A96" s="77"/>
      <c r="B96" s="78" t="s">
        <v>39</v>
      </c>
      <c r="C96" s="79" t="s">
        <v>1503</v>
      </c>
      <c r="D96" s="79" t="s">
        <v>1489</v>
      </c>
      <c r="E96" s="79">
        <v>0</v>
      </c>
      <c r="F96" s="79"/>
      <c r="G96" s="80"/>
      <c r="H96" s="3" t="str">
        <f t="shared" si="1"/>
        <v>TRUNCATE TABLE total_long_close_posi_value;#0</v>
      </c>
    </row>
    <row r="97" spans="1:8" s="3" customFormat="1" hidden="1" outlineLevel="1" x14ac:dyDescent="0.25">
      <c r="A97" s="77"/>
      <c r="B97" s="78" t="s">
        <v>40</v>
      </c>
      <c r="C97" s="79" t="s">
        <v>1504</v>
      </c>
      <c r="D97" s="79" t="s">
        <v>1489</v>
      </c>
      <c r="E97" s="79">
        <v>0</v>
      </c>
      <c r="F97" s="79"/>
      <c r="G97" s="80"/>
      <c r="H97" s="3" t="str">
        <f t="shared" si="1"/>
        <v>TRUNCATE TABLE total_short_close_posi_value;#0</v>
      </c>
    </row>
    <row r="98" spans="1:8" s="3" customFormat="1" hidden="1" outlineLevel="1" x14ac:dyDescent="0.25">
      <c r="A98" s="77"/>
      <c r="B98" s="78" t="s">
        <v>41</v>
      </c>
      <c r="C98" s="79" t="s">
        <v>1505</v>
      </c>
      <c r="D98" s="79" t="s">
        <v>1486</v>
      </c>
      <c r="E98" s="79">
        <v>0</v>
      </c>
      <c r="F98" s="79"/>
      <c r="G98" s="80"/>
      <c r="H98" s="3" t="str">
        <f t="shared" si="1"/>
        <v>TRUNCATE TABLE total_long_close_posi_qty;#0</v>
      </c>
    </row>
    <row r="99" spans="1:8" s="3" customFormat="1" hidden="1" outlineLevel="1" x14ac:dyDescent="0.25">
      <c r="A99" s="77"/>
      <c r="B99" s="78" t="s">
        <v>42</v>
      </c>
      <c r="C99" s="79" t="s">
        <v>1506</v>
      </c>
      <c r="D99" s="79" t="s">
        <v>1486</v>
      </c>
      <c r="E99" s="79">
        <v>0</v>
      </c>
      <c r="F99" s="79"/>
      <c r="G99" s="80"/>
      <c r="H99" s="3" t="str">
        <f t="shared" si="1"/>
        <v>TRUNCATE TABLE total_short_close_posi_qty;#0</v>
      </c>
    </row>
    <row r="100" spans="1:8" s="3" customFormat="1" hidden="1" outlineLevel="1" x14ac:dyDescent="0.25">
      <c r="A100" s="77"/>
      <c r="B100" s="78" t="s">
        <v>43</v>
      </c>
      <c r="C100" s="79" t="s">
        <v>1507</v>
      </c>
      <c r="D100" s="79" t="s">
        <v>1489</v>
      </c>
      <c r="E100" s="79">
        <v>0</v>
      </c>
      <c r="F100" s="79"/>
      <c r="G100" s="80"/>
      <c r="H100" s="3" t="str">
        <f t="shared" si="1"/>
        <v>TRUNCATE TABLE total_long_close_posi_fee;#0</v>
      </c>
    </row>
    <row r="101" spans="1:8" s="3" customFormat="1" hidden="1" outlineLevel="1" x14ac:dyDescent="0.25">
      <c r="A101" s="77"/>
      <c r="B101" s="78" t="s">
        <v>44</v>
      </c>
      <c r="C101" s="79" t="s">
        <v>1508</v>
      </c>
      <c r="D101" s="79" t="s">
        <v>1489</v>
      </c>
      <c r="E101" s="79">
        <v>0</v>
      </c>
      <c r="F101" s="79"/>
      <c r="G101" s="80"/>
      <c r="H101" s="3" t="str">
        <f t="shared" si="1"/>
        <v>TRUNCATE TABLE total_short_close_posi_fee;#0</v>
      </c>
    </row>
    <row r="102" spans="1:8" s="3" customFormat="1" hidden="1" outlineLevel="1" x14ac:dyDescent="0.25">
      <c r="A102" s="77"/>
      <c r="B102" s="78" t="s">
        <v>45</v>
      </c>
      <c r="C102" s="79" t="s">
        <v>1509</v>
      </c>
      <c r="D102" s="79" t="s">
        <v>1489</v>
      </c>
      <c r="E102" s="79">
        <v>0</v>
      </c>
      <c r="F102" s="79"/>
      <c r="G102" s="80"/>
      <c r="H102" s="3" t="str">
        <f t="shared" si="1"/>
        <v>TRUNCATE TABLE total_realize_pandl;#0</v>
      </c>
    </row>
    <row r="103" spans="1:8" s="3" customFormat="1" hidden="1" outlineLevel="1" x14ac:dyDescent="0.25">
      <c r="A103" s="77"/>
      <c r="B103" s="28" t="s">
        <v>46</v>
      </c>
      <c r="C103" s="79" t="s">
        <v>1510</v>
      </c>
      <c r="D103" s="79" t="s">
        <v>1486</v>
      </c>
      <c r="E103" s="79">
        <v>0</v>
      </c>
      <c r="F103" s="79" t="s">
        <v>1470</v>
      </c>
      <c r="G103" s="80"/>
      <c r="H103" s="3" t="str">
        <f t="shared" si="1"/>
        <v>TRUNCATE TABLE long_curr_qty;#0</v>
      </c>
    </row>
    <row r="104" spans="1:8" s="3" customFormat="1" hidden="1" outlineLevel="1" x14ac:dyDescent="0.25">
      <c r="A104" s="77"/>
      <c r="B104" s="28" t="s">
        <v>47</v>
      </c>
      <c r="C104" s="79" t="s">
        <v>1511</v>
      </c>
      <c r="D104" s="79" t="s">
        <v>1486</v>
      </c>
      <c r="E104" s="79">
        <v>0</v>
      </c>
      <c r="F104" s="79" t="s">
        <v>1470</v>
      </c>
      <c r="G104" s="80"/>
      <c r="H104" s="3" t="str">
        <f t="shared" si="1"/>
        <v>TRUNCATE TABLE short_curr_qty;#0</v>
      </c>
    </row>
    <row r="105" spans="1:8" s="3" customFormat="1" hidden="1" outlineLevel="1" x14ac:dyDescent="0.25">
      <c r="A105" s="77"/>
      <c r="B105" s="28" t="s">
        <v>48</v>
      </c>
      <c r="C105" s="79" t="s">
        <v>1512</v>
      </c>
      <c r="D105" s="79" t="s">
        <v>1489</v>
      </c>
      <c r="E105" s="79">
        <v>0</v>
      </c>
      <c r="F105" s="79"/>
      <c r="G105" s="80"/>
      <c r="H105" s="3" t="str">
        <f t="shared" si="1"/>
        <v>TRUNCATE TABLE long_open_posi_value;#0</v>
      </c>
    </row>
    <row r="106" spans="1:8" s="3" customFormat="1" hidden="1" outlineLevel="1" x14ac:dyDescent="0.25">
      <c r="A106" s="77"/>
      <c r="B106" s="28" t="s">
        <v>49</v>
      </c>
      <c r="C106" s="79" t="s">
        <v>1513</v>
      </c>
      <c r="D106" s="79" t="s">
        <v>1489</v>
      </c>
      <c r="E106" s="79">
        <v>0</v>
      </c>
      <c r="F106" s="79"/>
      <c r="G106" s="80"/>
      <c r="H106" s="3" t="str">
        <f t="shared" si="1"/>
        <v>TRUNCATE TABLE short_open_posi_value;#0</v>
      </c>
    </row>
    <row r="107" spans="1:8" s="3" customFormat="1" hidden="1" outlineLevel="1" x14ac:dyDescent="0.25">
      <c r="A107" s="77"/>
      <c r="B107" s="28" t="s">
        <v>50</v>
      </c>
      <c r="C107" s="79" t="s">
        <v>1514</v>
      </c>
      <c r="D107" s="79" t="s">
        <v>1489</v>
      </c>
      <c r="E107" s="79">
        <v>0</v>
      </c>
      <c r="F107" s="79" t="s">
        <v>1470</v>
      </c>
      <c r="G107" s="80"/>
      <c r="H107" s="3" t="str">
        <f t="shared" si="1"/>
        <v>TRUNCATE TABLE long_open_posi_fee;#0</v>
      </c>
    </row>
    <row r="108" spans="1:8" s="3" customFormat="1" hidden="1" outlineLevel="1" x14ac:dyDescent="0.25">
      <c r="A108" s="77"/>
      <c r="B108" s="28" t="s">
        <v>51</v>
      </c>
      <c r="C108" s="79" t="s">
        <v>1515</v>
      </c>
      <c r="D108" s="79" t="s">
        <v>1489</v>
      </c>
      <c r="E108" s="79">
        <v>0</v>
      </c>
      <c r="F108" s="79" t="s">
        <v>1470</v>
      </c>
      <c r="G108" s="80"/>
      <c r="H108" s="3" t="str">
        <f t="shared" si="1"/>
        <v>TRUNCATE TABLE short_open_posi_fee;#0</v>
      </c>
    </row>
    <row r="109" spans="1:8" s="3" customFormat="1" hidden="1" outlineLevel="1" x14ac:dyDescent="0.25">
      <c r="A109" s="77"/>
      <c r="B109" s="28" t="s">
        <v>52</v>
      </c>
      <c r="C109" s="79" t="s">
        <v>1516</v>
      </c>
      <c r="D109" s="79" t="s">
        <v>1486</v>
      </c>
      <c r="E109" s="79">
        <v>0</v>
      </c>
      <c r="F109" s="79" t="s">
        <v>1470</v>
      </c>
      <c r="G109" s="80"/>
      <c r="H109" s="3" t="str">
        <f t="shared" si="1"/>
        <v>TRUNCATE TABLE long_close_posi_qty;#0</v>
      </c>
    </row>
    <row r="110" spans="1:8" s="3" customFormat="1" hidden="1" outlineLevel="1" x14ac:dyDescent="0.25">
      <c r="A110" s="77"/>
      <c r="B110" s="28" t="s">
        <v>53</v>
      </c>
      <c r="C110" s="79" t="s">
        <v>1517</v>
      </c>
      <c r="D110" s="79" t="s">
        <v>1486</v>
      </c>
      <c r="E110" s="79">
        <v>0</v>
      </c>
      <c r="F110" s="79" t="s">
        <v>1470</v>
      </c>
      <c r="G110" s="80"/>
      <c r="H110" s="3" t="str">
        <f t="shared" si="1"/>
        <v>TRUNCATE TABLE short_close_posi_qty;#0</v>
      </c>
    </row>
    <row r="111" spans="1:8" s="3" customFormat="1" hidden="1" outlineLevel="1" x14ac:dyDescent="0.25">
      <c r="A111" s="77"/>
      <c r="B111" s="28" t="s">
        <v>54</v>
      </c>
      <c r="C111" s="79" t="s">
        <v>1518</v>
      </c>
      <c r="D111" s="79" t="s">
        <v>1489</v>
      </c>
      <c r="E111" s="79">
        <v>0</v>
      </c>
      <c r="F111" s="79"/>
      <c r="G111" s="80"/>
      <c r="H111" s="3" t="str">
        <f t="shared" si="1"/>
        <v>TRUNCATE TABLE long_close_posi_value;#0</v>
      </c>
    </row>
    <row r="112" spans="1:8" s="3" customFormat="1" hidden="1" outlineLevel="1" x14ac:dyDescent="0.25">
      <c r="A112" s="77"/>
      <c r="B112" s="28" t="s">
        <v>55</v>
      </c>
      <c r="C112" s="79" t="s">
        <v>1519</v>
      </c>
      <c r="D112" s="79" t="s">
        <v>1489</v>
      </c>
      <c r="E112" s="79">
        <v>0</v>
      </c>
      <c r="F112" s="79"/>
      <c r="G112" s="80"/>
      <c r="H112" s="3" t="str">
        <f t="shared" si="1"/>
        <v>TRUNCATE TABLE short_close_posi_value;#0</v>
      </c>
    </row>
    <row r="113" spans="1:13" s="3" customFormat="1" hidden="1" outlineLevel="1" x14ac:dyDescent="0.25">
      <c r="A113" s="77"/>
      <c r="B113" s="28" t="s">
        <v>56</v>
      </c>
      <c r="C113" s="79" t="s">
        <v>1520</v>
      </c>
      <c r="D113" s="79" t="s">
        <v>1489</v>
      </c>
      <c r="E113" s="79">
        <v>0</v>
      </c>
      <c r="F113" s="79"/>
      <c r="G113" s="80"/>
      <c r="H113" s="3" t="str">
        <f t="shared" si="1"/>
        <v>TRUNCATE TABLE long_close_posi_fee;#0</v>
      </c>
    </row>
    <row r="114" spans="1:13" s="3" customFormat="1" hidden="1" outlineLevel="1" x14ac:dyDescent="0.25">
      <c r="A114" s="77"/>
      <c r="B114" s="28" t="s">
        <v>57</v>
      </c>
      <c r="C114" s="79" t="s">
        <v>1521</v>
      </c>
      <c r="D114" s="79" t="s">
        <v>1489</v>
      </c>
      <c r="E114" s="79">
        <v>0</v>
      </c>
      <c r="F114" s="79"/>
      <c r="G114" s="80"/>
      <c r="H114" s="3" t="str">
        <f t="shared" si="1"/>
        <v>TRUNCATE TABLE short_close_posi_fee;#0</v>
      </c>
    </row>
    <row r="115" spans="1:13" s="3" customFormat="1" hidden="1" outlineLevel="1" x14ac:dyDescent="0.25">
      <c r="A115" s="77"/>
      <c r="B115" s="81" t="s">
        <v>24</v>
      </c>
      <c r="C115" s="79" t="s">
        <v>1491</v>
      </c>
      <c r="D115" s="79" t="s">
        <v>1489</v>
      </c>
      <c r="E115" s="79">
        <v>0</v>
      </c>
      <c r="F115" s="79" t="s">
        <v>1470</v>
      </c>
      <c r="G115" s="80"/>
      <c r="H115" s="3" t="str">
        <f t="shared" si="1"/>
        <v>TRUNCATE TABLE realize_pandl;#0</v>
      </c>
    </row>
    <row r="116" spans="1:13" s="3" customFormat="1" hidden="1" outlineLevel="1" x14ac:dyDescent="0.25">
      <c r="A116" s="77"/>
      <c r="B116" s="81" t="s">
        <v>58</v>
      </c>
      <c r="C116" s="79" t="s">
        <v>1522</v>
      </c>
      <c r="D116" s="79" t="s">
        <v>1489</v>
      </c>
      <c r="E116" s="79">
        <v>0</v>
      </c>
      <c r="F116" s="79" t="s">
        <v>1470</v>
      </c>
      <c r="G116" s="80"/>
      <c r="H116" s="3" t="str">
        <f t="shared" si="1"/>
        <v>TRUNCATE TABLE over_night_pandl;#0</v>
      </c>
    </row>
    <row r="117" spans="1:13" s="3" customFormat="1" ht="16.2" hidden="1" outlineLevel="1" thickBot="1" x14ac:dyDescent="0.3">
      <c r="A117" s="5"/>
      <c r="B117" s="31"/>
      <c r="C117" s="20"/>
      <c r="D117" s="20"/>
      <c r="E117" s="20"/>
      <c r="F117" s="20"/>
      <c r="G117" s="22"/>
    </row>
    <row r="118" spans="1:13" s="4" customFormat="1" hidden="1" outlineLevel="1" x14ac:dyDescent="0.35">
      <c r="A118" s="3"/>
      <c r="B118" s="386" t="s">
        <v>29</v>
      </c>
      <c r="C118" s="387"/>
      <c r="D118" s="387"/>
      <c r="E118" s="387"/>
      <c r="F118" s="387"/>
      <c r="G118" s="388"/>
      <c r="H118" s="5"/>
      <c r="I118" s="5"/>
      <c r="J118" s="5"/>
      <c r="K118" s="5"/>
      <c r="L118" s="5"/>
      <c r="M118" s="5"/>
    </row>
    <row r="119" spans="1:13" s="3" customFormat="1" hidden="1" outlineLevel="1" x14ac:dyDescent="0.25">
      <c r="A119" s="5"/>
      <c r="B119" s="31"/>
      <c r="C119" s="20"/>
      <c r="D119" s="20"/>
      <c r="E119" s="20"/>
      <c r="F119" s="20"/>
      <c r="G119" s="22"/>
    </row>
    <row r="120" spans="1:13" s="3" customFormat="1" hidden="1" outlineLevel="1" x14ac:dyDescent="0.25">
      <c r="A120" s="5"/>
      <c r="B120" s="82" t="s">
        <v>728</v>
      </c>
      <c r="C120" s="20"/>
      <c r="D120" s="20"/>
      <c r="E120" s="20"/>
      <c r="F120" s="20"/>
      <c r="G120" s="22"/>
    </row>
    <row r="121" spans="1:13" s="4" customFormat="1" hidden="1" outlineLevel="1" x14ac:dyDescent="0.35">
      <c r="A121" s="3"/>
      <c r="B121" s="83" t="s">
        <v>729</v>
      </c>
      <c r="C121" s="65"/>
      <c r="D121" s="65"/>
      <c r="E121" s="65"/>
      <c r="F121" s="65"/>
      <c r="G121" s="66"/>
      <c r="H121" s="5"/>
      <c r="I121" s="5"/>
      <c r="J121" s="5"/>
      <c r="K121" s="5"/>
      <c r="L121" s="5"/>
      <c r="M121" s="5"/>
    </row>
    <row r="122" spans="1:13" s="4" customFormat="1" hidden="1" outlineLevel="1" x14ac:dyDescent="0.35">
      <c r="A122" s="3"/>
      <c r="B122" s="82"/>
      <c r="C122" s="84"/>
      <c r="D122" s="84"/>
      <c r="E122" s="84"/>
      <c r="F122" s="84"/>
      <c r="G122" s="85"/>
      <c r="H122" s="5"/>
      <c r="I122" s="5"/>
      <c r="J122" s="5"/>
      <c r="K122" s="5"/>
      <c r="L122" s="5"/>
      <c r="M122" s="5"/>
    </row>
    <row r="123" spans="1:13" s="3" customFormat="1" hidden="1" outlineLevel="1" x14ac:dyDescent="0.25">
      <c r="A123" s="5"/>
      <c r="B123" s="31" t="s">
        <v>730</v>
      </c>
      <c r="C123" s="20"/>
      <c r="D123" s="20"/>
      <c r="E123" s="20"/>
      <c r="F123" s="20"/>
      <c r="G123" s="22"/>
    </row>
    <row r="124" spans="1:13" s="3" customFormat="1" hidden="1" outlineLevel="1" x14ac:dyDescent="0.25">
      <c r="A124" s="5"/>
      <c r="B124" s="46" t="s">
        <v>731</v>
      </c>
      <c r="C124" s="20"/>
      <c r="D124" s="20"/>
      <c r="E124" s="20"/>
      <c r="F124" s="20"/>
      <c r="G124" s="22"/>
    </row>
    <row r="125" spans="1:13" s="3" customFormat="1" hidden="1" outlineLevel="1" x14ac:dyDescent="0.25">
      <c r="A125" s="5"/>
      <c r="B125" s="49" t="s">
        <v>732</v>
      </c>
      <c r="C125" s="20"/>
      <c r="D125" s="20"/>
      <c r="E125" s="20"/>
      <c r="F125" s="20"/>
      <c r="G125" s="22"/>
    </row>
    <row r="126" spans="1:13" s="3" customFormat="1" hidden="1" outlineLevel="1" x14ac:dyDescent="0.25">
      <c r="A126" s="5"/>
      <c r="B126" s="86" t="s">
        <v>733</v>
      </c>
      <c r="C126" s="20"/>
      <c r="D126" s="20"/>
      <c r="E126" s="20"/>
      <c r="F126" s="20"/>
      <c r="G126" s="22"/>
    </row>
    <row r="127" spans="1:13" s="3" customFormat="1" hidden="1" outlineLevel="1" x14ac:dyDescent="0.25">
      <c r="A127" s="5"/>
      <c r="B127" s="86" t="s">
        <v>734</v>
      </c>
      <c r="C127" s="20"/>
      <c r="D127" s="20"/>
      <c r="E127" s="20"/>
      <c r="F127" s="20"/>
      <c r="G127" s="22"/>
    </row>
    <row r="128" spans="1:13" s="3" customFormat="1" hidden="1" outlineLevel="1" x14ac:dyDescent="0.25">
      <c r="A128" s="5"/>
      <c r="B128" s="86" t="s">
        <v>735</v>
      </c>
      <c r="C128" s="20"/>
      <c r="D128" s="20"/>
      <c r="E128" s="20"/>
      <c r="F128" s="20"/>
      <c r="G128" s="22"/>
    </row>
    <row r="129" spans="1:7" s="3" customFormat="1" hidden="1" outlineLevel="1" x14ac:dyDescent="0.25">
      <c r="A129" s="5"/>
      <c r="B129" s="86" t="s">
        <v>736</v>
      </c>
      <c r="C129" s="20"/>
      <c r="D129" s="20"/>
      <c r="E129" s="20"/>
      <c r="F129" s="20"/>
      <c r="G129" s="22"/>
    </row>
    <row r="130" spans="1:7" s="3" customFormat="1" hidden="1" outlineLevel="1" x14ac:dyDescent="0.25">
      <c r="A130" s="5"/>
      <c r="B130" s="86" t="s">
        <v>737</v>
      </c>
      <c r="C130" s="20"/>
      <c r="D130" s="20"/>
      <c r="E130" s="20"/>
      <c r="F130" s="20"/>
      <c r="G130" s="22"/>
    </row>
    <row r="131" spans="1:7" s="3" customFormat="1" hidden="1" outlineLevel="1" x14ac:dyDescent="0.25">
      <c r="A131" s="5"/>
      <c r="B131" s="86" t="s">
        <v>738</v>
      </c>
      <c r="C131" s="20"/>
      <c r="D131" s="20"/>
      <c r="E131" s="20"/>
      <c r="F131" s="20"/>
      <c r="G131" s="22"/>
    </row>
    <row r="132" spans="1:7" s="3" customFormat="1" hidden="1" outlineLevel="1" x14ac:dyDescent="0.25">
      <c r="A132" s="5"/>
      <c r="B132" s="86" t="s">
        <v>739</v>
      </c>
      <c r="C132" s="20"/>
      <c r="D132" s="20"/>
      <c r="E132" s="20"/>
      <c r="F132" s="20"/>
      <c r="G132" s="22"/>
    </row>
    <row r="133" spans="1:7" s="3" customFormat="1" hidden="1" outlineLevel="1" x14ac:dyDescent="0.25">
      <c r="A133" s="5"/>
      <c r="B133" s="86" t="s">
        <v>740</v>
      </c>
      <c r="C133" s="20"/>
      <c r="D133" s="20"/>
      <c r="E133" s="20"/>
      <c r="F133" s="20"/>
      <c r="G133" s="22"/>
    </row>
    <row r="134" spans="1:7" s="3" customFormat="1" hidden="1" outlineLevel="1" x14ac:dyDescent="0.25">
      <c r="A134" s="5"/>
      <c r="B134" s="86" t="s">
        <v>741</v>
      </c>
      <c r="C134" s="20"/>
      <c r="D134" s="20"/>
      <c r="E134" s="20"/>
      <c r="F134" s="20"/>
      <c r="G134" s="22"/>
    </row>
    <row r="135" spans="1:7" s="3" customFormat="1" hidden="1" outlineLevel="1" x14ac:dyDescent="0.25">
      <c r="A135" s="5"/>
      <c r="B135" s="86" t="s">
        <v>742</v>
      </c>
      <c r="C135" s="20"/>
      <c r="D135" s="20"/>
      <c r="E135" s="20"/>
      <c r="F135" s="20"/>
      <c r="G135" s="22"/>
    </row>
    <row r="136" spans="1:7" s="3" customFormat="1" hidden="1" outlineLevel="1" x14ac:dyDescent="0.25">
      <c r="A136" s="5"/>
      <c r="B136" s="86" t="s">
        <v>743</v>
      </c>
      <c r="C136" s="20"/>
      <c r="D136" s="20"/>
      <c r="E136" s="20"/>
      <c r="F136" s="20"/>
      <c r="G136" s="22"/>
    </row>
    <row r="137" spans="1:7" s="3" customFormat="1" hidden="1" outlineLevel="1" x14ac:dyDescent="0.25">
      <c r="A137" s="5"/>
      <c r="B137" s="86" t="s">
        <v>744</v>
      </c>
      <c r="C137" s="20"/>
      <c r="D137" s="20"/>
      <c r="E137" s="20"/>
      <c r="F137" s="20"/>
      <c r="G137" s="22"/>
    </row>
    <row r="138" spans="1:7" s="3" customFormat="1" hidden="1" outlineLevel="1" x14ac:dyDescent="0.25">
      <c r="A138" s="5"/>
      <c r="B138" s="86" t="s">
        <v>745</v>
      </c>
      <c r="C138" s="20"/>
      <c r="D138" s="20"/>
      <c r="E138" s="20"/>
      <c r="F138" s="20"/>
      <c r="G138" s="22"/>
    </row>
    <row r="139" spans="1:7" s="3" customFormat="1" hidden="1" outlineLevel="1" x14ac:dyDescent="0.25">
      <c r="A139" s="5"/>
      <c r="B139" s="49"/>
      <c r="C139" s="20"/>
      <c r="D139" s="20"/>
      <c r="E139" s="20"/>
      <c r="F139" s="20"/>
      <c r="G139" s="22"/>
    </row>
    <row r="140" spans="1:7" s="3" customFormat="1" hidden="1" outlineLevel="1" x14ac:dyDescent="0.25">
      <c r="A140" s="5"/>
      <c r="B140" s="86" t="s">
        <v>746</v>
      </c>
      <c r="C140" s="20"/>
      <c r="D140" s="20"/>
      <c r="E140" s="20"/>
      <c r="F140" s="20"/>
      <c r="G140" s="22"/>
    </row>
    <row r="141" spans="1:7" s="3" customFormat="1" hidden="1" outlineLevel="1" x14ac:dyDescent="0.25">
      <c r="A141" s="5"/>
      <c r="B141" s="86" t="s">
        <v>747</v>
      </c>
      <c r="C141" s="20"/>
      <c r="D141" s="20"/>
      <c r="E141" s="20"/>
      <c r="F141" s="20"/>
      <c r="G141" s="22"/>
    </row>
    <row r="142" spans="1:7" s="3" customFormat="1" hidden="1" outlineLevel="1" x14ac:dyDescent="0.25">
      <c r="A142" s="5"/>
      <c r="B142" s="86" t="s">
        <v>748</v>
      </c>
      <c r="C142" s="20"/>
      <c r="D142" s="20"/>
      <c r="E142" s="20"/>
      <c r="F142" s="20"/>
      <c r="G142" s="22"/>
    </row>
    <row r="143" spans="1:7" s="3" customFormat="1" hidden="1" outlineLevel="1" x14ac:dyDescent="0.25">
      <c r="A143" s="5"/>
      <c r="B143" s="86" t="s">
        <v>749</v>
      </c>
      <c r="C143" s="20"/>
      <c r="D143" s="20"/>
      <c r="E143" s="20"/>
      <c r="F143" s="20"/>
      <c r="G143" s="22"/>
    </row>
    <row r="144" spans="1:7" s="3" customFormat="1" hidden="1" outlineLevel="1" x14ac:dyDescent="0.25">
      <c r="A144" s="5"/>
      <c r="B144" s="86" t="s">
        <v>750</v>
      </c>
      <c r="C144" s="20"/>
      <c r="D144" s="20"/>
      <c r="E144" s="20"/>
      <c r="F144" s="20"/>
      <c r="G144" s="22"/>
    </row>
    <row r="145" spans="1:7" s="3" customFormat="1" hidden="1" outlineLevel="1" x14ac:dyDescent="0.25">
      <c r="A145" s="5"/>
      <c r="B145" s="86" t="s">
        <v>751</v>
      </c>
      <c r="C145" s="20"/>
      <c r="D145" s="20"/>
      <c r="E145" s="20"/>
      <c r="F145" s="20"/>
      <c r="G145" s="22"/>
    </row>
    <row r="146" spans="1:7" s="3" customFormat="1" hidden="1" outlineLevel="1" x14ac:dyDescent="0.25">
      <c r="A146" s="5"/>
      <c r="B146" s="86" t="s">
        <v>752</v>
      </c>
      <c r="C146" s="20"/>
      <c r="D146" s="20"/>
      <c r="E146" s="20"/>
      <c r="F146" s="20"/>
      <c r="G146" s="22"/>
    </row>
    <row r="147" spans="1:7" s="3" customFormat="1" hidden="1" outlineLevel="1" x14ac:dyDescent="0.25">
      <c r="A147" s="5"/>
      <c r="B147" s="86" t="s">
        <v>753</v>
      </c>
      <c r="C147" s="20"/>
      <c r="D147" s="20"/>
      <c r="E147" s="20"/>
      <c r="F147" s="20"/>
      <c r="G147" s="22"/>
    </row>
    <row r="148" spans="1:7" s="3" customFormat="1" hidden="1" outlineLevel="1" x14ac:dyDescent="0.25">
      <c r="A148" s="5"/>
      <c r="B148" s="86" t="s">
        <v>754</v>
      </c>
      <c r="C148" s="20"/>
      <c r="D148" s="20"/>
      <c r="E148" s="20"/>
      <c r="F148" s="20"/>
      <c r="G148" s="22"/>
    </row>
    <row r="149" spans="1:7" s="3" customFormat="1" hidden="1" outlineLevel="1" x14ac:dyDescent="0.25">
      <c r="A149" s="5"/>
      <c r="B149" s="86" t="s">
        <v>755</v>
      </c>
      <c r="C149" s="20"/>
      <c r="D149" s="20"/>
      <c r="E149" s="20"/>
      <c r="F149" s="20"/>
      <c r="G149" s="22"/>
    </row>
    <row r="150" spans="1:7" s="3" customFormat="1" hidden="1" outlineLevel="1" x14ac:dyDescent="0.25">
      <c r="A150" s="5"/>
      <c r="B150" s="86" t="s">
        <v>756</v>
      </c>
      <c r="C150" s="20"/>
      <c r="D150" s="20"/>
      <c r="E150" s="20"/>
      <c r="F150" s="20"/>
      <c r="G150" s="22"/>
    </row>
    <row r="151" spans="1:7" s="3" customFormat="1" hidden="1" outlineLevel="1" x14ac:dyDescent="0.25">
      <c r="A151" s="5"/>
      <c r="B151" s="86" t="s">
        <v>757</v>
      </c>
      <c r="C151" s="20"/>
      <c r="D151" s="20"/>
      <c r="E151" s="20"/>
      <c r="F151" s="20"/>
      <c r="G151" s="22"/>
    </row>
    <row r="152" spans="1:7" s="3" customFormat="1" hidden="1" outlineLevel="1" x14ac:dyDescent="0.25">
      <c r="A152" s="5"/>
      <c r="B152" s="86" t="s">
        <v>758</v>
      </c>
      <c r="C152" s="20"/>
      <c r="D152" s="20"/>
      <c r="E152" s="20"/>
      <c r="F152" s="20"/>
      <c r="G152" s="22"/>
    </row>
    <row r="153" spans="1:7" s="3" customFormat="1" hidden="1" outlineLevel="1" x14ac:dyDescent="0.25">
      <c r="A153" s="5"/>
      <c r="B153" s="86" t="s">
        <v>759</v>
      </c>
      <c r="C153" s="20"/>
      <c r="D153" s="20"/>
      <c r="E153" s="20"/>
      <c r="F153" s="20"/>
      <c r="G153" s="22"/>
    </row>
    <row r="154" spans="1:7" s="3" customFormat="1" hidden="1" outlineLevel="1" x14ac:dyDescent="0.25">
      <c r="A154" s="5"/>
      <c r="B154" s="49"/>
      <c r="C154" s="20"/>
      <c r="D154" s="20"/>
      <c r="E154" s="20"/>
      <c r="F154" s="20"/>
      <c r="G154" s="22"/>
    </row>
    <row r="155" spans="1:7" s="3" customFormat="1" hidden="1" outlineLevel="1" x14ac:dyDescent="0.25">
      <c r="A155" s="5"/>
      <c r="B155" s="49" t="s">
        <v>760</v>
      </c>
      <c r="C155" s="20"/>
      <c r="D155" s="20"/>
      <c r="E155" s="20"/>
      <c r="F155" s="20"/>
      <c r="G155" s="22"/>
    </row>
    <row r="156" spans="1:7" s="3" customFormat="1" hidden="1" outlineLevel="1" x14ac:dyDescent="0.25">
      <c r="A156" s="5"/>
      <c r="B156" s="49" t="s">
        <v>761</v>
      </c>
      <c r="C156" s="20"/>
      <c r="D156" s="20"/>
      <c r="E156" s="20"/>
      <c r="F156" s="20"/>
      <c r="G156" s="22"/>
    </row>
    <row r="157" spans="1:7" s="3" customFormat="1" hidden="1" outlineLevel="1" x14ac:dyDescent="0.25">
      <c r="A157" s="5"/>
      <c r="B157" s="49" t="s">
        <v>762</v>
      </c>
      <c r="C157" s="20"/>
      <c r="D157" s="20"/>
      <c r="E157" s="20"/>
      <c r="F157" s="20"/>
      <c r="G157" s="22"/>
    </row>
    <row r="158" spans="1:7" s="3" customFormat="1" hidden="1" outlineLevel="1" x14ac:dyDescent="0.25">
      <c r="A158" s="5"/>
      <c r="B158" s="49"/>
      <c r="C158" s="20"/>
      <c r="D158" s="20"/>
      <c r="E158" s="20"/>
      <c r="F158" s="20"/>
      <c r="G158" s="22"/>
    </row>
    <row r="159" spans="1:7" s="3" customFormat="1" hidden="1" outlineLevel="1" x14ac:dyDescent="0.25">
      <c r="A159" s="5"/>
      <c r="B159" s="87"/>
      <c r="C159" s="20"/>
      <c r="D159" s="20"/>
      <c r="E159" s="20"/>
      <c r="F159" s="20"/>
      <c r="G159" s="22"/>
    </row>
    <row r="160" spans="1:7" s="3" customFormat="1" hidden="1" outlineLevel="1" x14ac:dyDescent="0.25">
      <c r="A160" s="5"/>
      <c r="B160" s="46" t="s">
        <v>2278</v>
      </c>
      <c r="C160" s="20"/>
      <c r="D160" s="20"/>
      <c r="E160" s="20"/>
      <c r="F160" s="20"/>
      <c r="G160" s="22"/>
    </row>
    <row r="161" spans="1:7" s="3" customFormat="1" hidden="1" outlineLevel="1" x14ac:dyDescent="0.25">
      <c r="A161" s="5"/>
      <c r="B161" s="88" t="s">
        <v>2279</v>
      </c>
      <c r="C161" s="20"/>
      <c r="D161" s="20"/>
      <c r="E161" s="20"/>
      <c r="F161" s="20"/>
      <c r="G161" s="22"/>
    </row>
    <row r="162" spans="1:7" s="3" customFormat="1" hidden="1" outlineLevel="1" x14ac:dyDescent="0.25">
      <c r="A162" s="5"/>
      <c r="B162" s="20" t="s">
        <v>763</v>
      </c>
      <c r="C162" s="20"/>
      <c r="D162" s="20"/>
      <c r="E162" s="20"/>
      <c r="F162" s="20"/>
      <c r="G162" s="22"/>
    </row>
    <row r="163" spans="1:7" s="3" customFormat="1" hidden="1" outlineLevel="1" x14ac:dyDescent="0.25">
      <c r="A163" s="5"/>
      <c r="B163" s="50" t="s">
        <v>718</v>
      </c>
      <c r="C163" s="20"/>
      <c r="D163" s="20"/>
      <c r="E163" s="20"/>
      <c r="F163" s="20"/>
      <c r="G163" s="22"/>
    </row>
    <row r="164" spans="1:7" s="3" customFormat="1" hidden="1" outlineLevel="1" x14ac:dyDescent="0.25">
      <c r="A164" s="5"/>
      <c r="B164" s="50" t="s">
        <v>719</v>
      </c>
      <c r="C164" s="20"/>
      <c r="D164" s="20"/>
      <c r="E164" s="20"/>
      <c r="F164" s="20"/>
      <c r="G164" s="22"/>
    </row>
    <row r="165" spans="1:7" s="3" customFormat="1" hidden="1" outlineLevel="1" x14ac:dyDescent="0.25">
      <c r="A165" s="5"/>
      <c r="B165" s="50" t="s">
        <v>720</v>
      </c>
      <c r="C165" s="20"/>
      <c r="D165" s="20"/>
      <c r="E165" s="20"/>
      <c r="F165" s="20"/>
      <c r="G165" s="22"/>
    </row>
    <row r="166" spans="1:7" s="3" customFormat="1" hidden="1" outlineLevel="1" x14ac:dyDescent="0.25">
      <c r="A166" s="5"/>
      <c r="B166" s="50" t="s">
        <v>722</v>
      </c>
      <c r="C166" s="20"/>
      <c r="D166" s="20"/>
      <c r="E166" s="20"/>
      <c r="F166" s="20"/>
      <c r="G166" s="22"/>
    </row>
    <row r="167" spans="1:7" s="3" customFormat="1" hidden="1" outlineLevel="1" x14ac:dyDescent="0.25">
      <c r="A167" s="5"/>
      <c r="B167" s="50" t="s">
        <v>723</v>
      </c>
      <c r="C167" s="20"/>
      <c r="D167" s="20"/>
      <c r="E167" s="20"/>
      <c r="F167" s="20"/>
      <c r="G167" s="22"/>
    </row>
    <row r="168" spans="1:7" s="3" customFormat="1" hidden="1" outlineLevel="1" x14ac:dyDescent="0.25">
      <c r="A168" s="5"/>
      <c r="B168" s="51" t="s">
        <v>724</v>
      </c>
      <c r="C168" s="20"/>
      <c r="D168" s="20"/>
      <c r="E168" s="20"/>
      <c r="F168" s="20"/>
      <c r="G168" s="22"/>
    </row>
    <row r="169" spans="1:7" s="3" customFormat="1" hidden="1" outlineLevel="1" x14ac:dyDescent="0.25">
      <c r="A169" s="5"/>
      <c r="B169" s="89" t="s">
        <v>764</v>
      </c>
      <c r="C169" s="20"/>
      <c r="D169" s="20"/>
      <c r="E169" s="20"/>
      <c r="F169" s="20"/>
      <c r="G169" s="22"/>
    </row>
    <row r="170" spans="1:7" s="3" customFormat="1" hidden="1" outlineLevel="1" x14ac:dyDescent="0.25">
      <c r="A170" s="5"/>
      <c r="B170" s="89"/>
      <c r="C170" s="20"/>
      <c r="D170" s="20"/>
      <c r="E170" s="20"/>
      <c r="F170" s="20"/>
      <c r="G170" s="22"/>
    </row>
    <row r="171" spans="1:7" s="3" customFormat="1" hidden="1" outlineLevel="1" x14ac:dyDescent="0.25">
      <c r="A171" s="5"/>
      <c r="B171" s="46" t="s">
        <v>765</v>
      </c>
      <c r="C171" s="20"/>
      <c r="D171" s="20"/>
      <c r="E171" s="20"/>
      <c r="F171" s="20"/>
      <c r="G171" s="22"/>
    </row>
    <row r="172" spans="1:7" s="3" customFormat="1" ht="16.2" hidden="1" outlineLevel="1" thickBot="1" x14ac:dyDescent="0.3">
      <c r="A172" s="5"/>
      <c r="B172" s="52" t="s">
        <v>726</v>
      </c>
      <c r="C172" s="20"/>
      <c r="D172" s="20"/>
      <c r="E172" s="20"/>
      <c r="F172" s="20"/>
      <c r="G172" s="22"/>
    </row>
    <row r="173" spans="1:7" s="3" customFormat="1" ht="16.2" hidden="1" outlineLevel="1" thickBot="1" x14ac:dyDescent="0.3">
      <c r="A173" s="5"/>
      <c r="B173" s="52"/>
      <c r="C173" s="53"/>
      <c r="D173" s="53"/>
      <c r="E173" s="53"/>
      <c r="F173" s="53"/>
      <c r="G173" s="54"/>
    </row>
    <row r="174" spans="1:7" s="5" customFormat="1" hidden="1" outlineLevel="1" x14ac:dyDescent="0.25"/>
    <row r="175" spans="1:7" s="5" customFormat="1" ht="16.2" hidden="1" outlineLevel="1" thickBot="1" x14ac:dyDescent="0.3"/>
    <row r="176" spans="1:7" s="3" customFormat="1" ht="17.399999999999999" customHeight="1" collapsed="1" thickBot="1" x14ac:dyDescent="0.3">
      <c r="A176" s="5"/>
      <c r="B176" s="15" t="s">
        <v>1279</v>
      </c>
      <c r="C176" s="16" t="s">
        <v>2105</v>
      </c>
      <c r="D176" s="17" t="s">
        <v>1281</v>
      </c>
      <c r="E176" s="16" t="s">
        <v>766</v>
      </c>
      <c r="F176" s="17" t="s">
        <v>1282</v>
      </c>
      <c r="G176" s="18" t="s">
        <v>2106</v>
      </c>
    </row>
    <row r="177" spans="1:14" s="3" customFormat="1" ht="17.399999999999999" hidden="1" customHeight="1" outlineLevel="1" x14ac:dyDescent="0.25">
      <c r="A177" s="5"/>
      <c r="B177" s="19" t="s">
        <v>1284</v>
      </c>
      <c r="C177" s="20" t="s">
        <v>1285</v>
      </c>
      <c r="D177" s="21" t="s">
        <v>1286</v>
      </c>
      <c r="E177" s="20" t="s">
        <v>2107</v>
      </c>
      <c r="F177" s="21" t="s">
        <v>1288</v>
      </c>
      <c r="G177" s="22" t="s">
        <v>1302</v>
      </c>
    </row>
    <row r="178" spans="1:14" s="3" customFormat="1" ht="17.399999999999999" hidden="1" customHeight="1" outlineLevel="1" thickBot="1" x14ac:dyDescent="0.3">
      <c r="A178" s="5"/>
      <c r="B178" s="19" t="s">
        <v>1290</v>
      </c>
      <c r="C178" s="23" t="s">
        <v>1291</v>
      </c>
      <c r="D178" s="21" t="s">
        <v>1292</v>
      </c>
      <c r="E178" s="23">
        <v>5</v>
      </c>
      <c r="F178" s="21" t="s">
        <v>1293</v>
      </c>
      <c r="G178" s="24" t="s">
        <v>1294</v>
      </c>
    </row>
    <row r="179" spans="1:14" s="3" customFormat="1" ht="17.399999999999999" hidden="1" customHeight="1" outlineLevel="1" x14ac:dyDescent="0.25">
      <c r="A179" s="5"/>
      <c r="B179" s="401" t="s">
        <v>1</v>
      </c>
      <c r="C179" s="402"/>
      <c r="D179" s="402"/>
      <c r="E179" s="402"/>
      <c r="F179" s="402"/>
      <c r="G179" s="403"/>
    </row>
    <row r="180" spans="1:14" s="3" customFormat="1" ht="17.399999999999999" hidden="1" customHeight="1" outlineLevel="1" x14ac:dyDescent="0.25">
      <c r="A180" s="5"/>
      <c r="B180" s="25" t="s">
        <v>2</v>
      </c>
      <c r="C180" s="26" t="s">
        <v>3</v>
      </c>
      <c r="D180" s="26" t="s">
        <v>4</v>
      </c>
      <c r="E180" s="26" t="s">
        <v>5</v>
      </c>
      <c r="F180" s="26"/>
      <c r="G180" s="27" t="s">
        <v>6</v>
      </c>
    </row>
    <row r="181" spans="1:14" s="3" customFormat="1" hidden="1" outlineLevel="1" x14ac:dyDescent="0.25">
      <c r="B181" s="28" t="s">
        <v>13</v>
      </c>
      <c r="C181" s="29" t="s">
        <v>1474</v>
      </c>
      <c r="D181" s="29" t="s">
        <v>1469</v>
      </c>
      <c r="E181" s="29">
        <v>0</v>
      </c>
      <c r="F181" s="29" t="s">
        <v>1470</v>
      </c>
      <c r="G181" s="30"/>
      <c r="J181" s="3" t="s">
        <v>10</v>
      </c>
      <c r="K181" s="3" t="s">
        <v>173</v>
      </c>
      <c r="L181" s="3" t="s">
        <v>9</v>
      </c>
      <c r="M181" s="3" t="s">
        <v>9</v>
      </c>
      <c r="N181" s="3">
        <v>2534</v>
      </c>
    </row>
    <row r="182" spans="1:14" s="3" customFormat="1" hidden="1" outlineLevel="1" x14ac:dyDescent="0.25">
      <c r="B182" s="28" t="s">
        <v>302</v>
      </c>
      <c r="C182" s="29" t="s">
        <v>1727</v>
      </c>
      <c r="D182" s="29" t="s">
        <v>1606</v>
      </c>
      <c r="E182" s="29" t="s">
        <v>1594</v>
      </c>
      <c r="F182" s="29" t="s">
        <v>1470</v>
      </c>
      <c r="G182" s="30"/>
      <c r="J182" s="3" t="s">
        <v>187</v>
      </c>
      <c r="K182" s="3" t="s">
        <v>438</v>
      </c>
      <c r="L182" s="3" t="s">
        <v>537</v>
      </c>
      <c r="M182" s="3" t="s">
        <v>187</v>
      </c>
      <c r="N182" s="3">
        <v>1700</v>
      </c>
    </row>
    <row r="183" spans="1:14" s="3" customFormat="1" hidden="1" outlineLevel="1" x14ac:dyDescent="0.25">
      <c r="A183" s="5"/>
      <c r="B183" s="31" t="s">
        <v>265</v>
      </c>
      <c r="C183" s="20" t="s">
        <v>1692</v>
      </c>
      <c r="D183" s="20" t="s">
        <v>1606</v>
      </c>
      <c r="E183" s="20" t="s">
        <v>1594</v>
      </c>
      <c r="F183" s="20" t="s">
        <v>1470</v>
      </c>
      <c r="G183" s="22"/>
      <c r="J183" s="3" t="s">
        <v>187</v>
      </c>
      <c r="K183" s="3" t="s">
        <v>438</v>
      </c>
      <c r="L183" s="3" t="s">
        <v>537</v>
      </c>
      <c r="M183" s="3" t="s">
        <v>187</v>
      </c>
      <c r="N183" s="3">
        <v>1114</v>
      </c>
    </row>
    <row r="184" spans="1:14" s="3" customFormat="1" ht="16.2" hidden="1" outlineLevel="1" thickBot="1" x14ac:dyDescent="0.3">
      <c r="A184" s="5"/>
      <c r="B184" s="31" t="s">
        <v>538</v>
      </c>
      <c r="C184" s="20" t="s">
        <v>2062</v>
      </c>
      <c r="D184" s="20" t="s">
        <v>1606</v>
      </c>
      <c r="E184" s="20" t="s">
        <v>1594</v>
      </c>
      <c r="F184" s="20"/>
      <c r="G184" s="22"/>
      <c r="J184" s="3" t="s">
        <v>187</v>
      </c>
      <c r="K184" s="3" t="s">
        <v>438</v>
      </c>
      <c r="L184" s="3" t="s">
        <v>537</v>
      </c>
      <c r="M184" s="3" t="s">
        <v>187</v>
      </c>
      <c r="N184" s="3">
        <v>1607</v>
      </c>
    </row>
    <row r="185" spans="1:14" s="4" customFormat="1" ht="17.399999999999999" hidden="1" customHeight="1" outlineLevel="1" x14ac:dyDescent="0.35">
      <c r="A185" s="3"/>
      <c r="B185" s="389" t="s">
        <v>18</v>
      </c>
      <c r="C185" s="390"/>
      <c r="D185" s="390"/>
      <c r="E185" s="390"/>
      <c r="F185" s="390"/>
      <c r="G185" s="391"/>
      <c r="H185" s="5"/>
      <c r="I185" s="5"/>
      <c r="J185" s="5"/>
      <c r="K185" s="5"/>
      <c r="L185" s="5"/>
      <c r="M185" s="5"/>
    </row>
    <row r="186" spans="1:14" s="4" customFormat="1" hidden="1" outlineLevel="1" x14ac:dyDescent="0.35">
      <c r="A186" s="3"/>
      <c r="B186" s="32" t="s">
        <v>2</v>
      </c>
      <c r="C186" s="33" t="s">
        <v>3</v>
      </c>
      <c r="D186" s="33" t="s">
        <v>4</v>
      </c>
      <c r="E186" s="33" t="s">
        <v>5</v>
      </c>
      <c r="F186" s="33"/>
      <c r="G186" s="34" t="s">
        <v>6</v>
      </c>
      <c r="H186" s="5"/>
      <c r="I186" s="5"/>
      <c r="J186" s="5"/>
      <c r="K186" s="5"/>
      <c r="L186" s="5"/>
      <c r="M186" s="5"/>
    </row>
    <row r="187" spans="1:14" s="3" customFormat="1" ht="16.2" hidden="1" outlineLevel="1" thickBot="1" x14ac:dyDescent="0.3">
      <c r="A187" s="5"/>
      <c r="B187" s="31"/>
      <c r="C187" s="20"/>
      <c r="D187" s="20"/>
      <c r="E187" s="20"/>
      <c r="F187" s="20"/>
      <c r="G187" s="22"/>
    </row>
    <row r="188" spans="1:14" s="4" customFormat="1" ht="17.399999999999999" hidden="1" customHeight="1" outlineLevel="1" x14ac:dyDescent="0.35">
      <c r="A188" s="3"/>
      <c r="B188" s="389" t="s">
        <v>29</v>
      </c>
      <c r="C188" s="390"/>
      <c r="D188" s="390"/>
      <c r="E188" s="390"/>
      <c r="F188" s="390"/>
      <c r="G188" s="391"/>
      <c r="H188" s="5"/>
      <c r="I188" s="5"/>
      <c r="J188" s="5"/>
      <c r="K188" s="5"/>
      <c r="L188" s="5"/>
      <c r="M188" s="5"/>
    </row>
    <row r="189" spans="1:14" s="3" customFormat="1" hidden="1" outlineLevel="1" x14ac:dyDescent="0.25">
      <c r="A189" s="5"/>
      <c r="B189" s="31" t="s">
        <v>583</v>
      </c>
      <c r="C189" s="20"/>
      <c r="D189" s="20"/>
      <c r="E189" s="20"/>
      <c r="F189" s="20"/>
      <c r="G189" s="22"/>
    </row>
    <row r="190" spans="1:14" s="3" customFormat="1" hidden="1" outlineLevel="1" x14ac:dyDescent="0.25">
      <c r="A190" s="5"/>
      <c r="B190" s="31" t="s">
        <v>767</v>
      </c>
      <c r="C190" s="20"/>
      <c r="D190" s="20"/>
      <c r="E190" s="20"/>
      <c r="F190" s="20"/>
      <c r="G190" s="22"/>
    </row>
    <row r="191" spans="1:14" s="3" customFormat="1" hidden="1" outlineLevel="1" x14ac:dyDescent="0.25">
      <c r="A191" s="5"/>
      <c r="B191" s="31" t="s">
        <v>768</v>
      </c>
      <c r="C191" s="20"/>
      <c r="D191" s="20"/>
      <c r="E191" s="20"/>
      <c r="F191" s="20"/>
      <c r="G191" s="22"/>
    </row>
    <row r="192" spans="1:14" s="3" customFormat="1" hidden="1" outlineLevel="1" x14ac:dyDescent="0.25">
      <c r="A192" s="5"/>
      <c r="B192" s="31" t="s">
        <v>769</v>
      </c>
      <c r="C192" s="20"/>
      <c r="D192" s="20"/>
      <c r="E192" s="20"/>
      <c r="F192" s="20"/>
      <c r="G192" s="22"/>
    </row>
    <row r="193" spans="1:7" s="3" customFormat="1" hidden="1" outlineLevel="1" x14ac:dyDescent="0.25">
      <c r="A193" s="5"/>
      <c r="B193" s="31" t="s">
        <v>770</v>
      </c>
      <c r="C193" s="20"/>
      <c r="D193" s="20"/>
      <c r="E193" s="20"/>
      <c r="F193" s="20"/>
      <c r="G193" s="22"/>
    </row>
    <row r="194" spans="1:7" s="3" customFormat="1" hidden="1" outlineLevel="1" x14ac:dyDescent="0.25">
      <c r="A194" s="5"/>
      <c r="B194" s="31" t="s">
        <v>771</v>
      </c>
      <c r="C194" s="20"/>
      <c r="D194" s="20"/>
      <c r="E194" s="20"/>
      <c r="F194" s="20"/>
      <c r="G194" s="22"/>
    </row>
    <row r="195" spans="1:7" s="3" customFormat="1" hidden="1" outlineLevel="1" x14ac:dyDescent="0.25">
      <c r="A195" s="5"/>
      <c r="B195" s="31" t="s">
        <v>587</v>
      </c>
      <c r="C195" s="20"/>
      <c r="D195" s="20"/>
      <c r="E195" s="20"/>
      <c r="F195" s="20"/>
      <c r="G195" s="22"/>
    </row>
    <row r="196" spans="1:7" s="3" customFormat="1" hidden="1" outlineLevel="1" x14ac:dyDescent="0.25">
      <c r="A196" s="5"/>
      <c r="B196" s="31" t="s">
        <v>772</v>
      </c>
      <c r="C196" s="20"/>
      <c r="D196" s="20"/>
      <c r="E196" s="20"/>
      <c r="F196" s="20"/>
      <c r="G196" s="22"/>
    </row>
    <row r="197" spans="1:7" s="3" customFormat="1" hidden="1" outlineLevel="1" x14ac:dyDescent="0.25">
      <c r="A197" s="5"/>
      <c r="B197" s="31" t="s">
        <v>561</v>
      </c>
      <c r="C197" s="20"/>
      <c r="D197" s="20"/>
      <c r="E197" s="20"/>
      <c r="F197" s="20"/>
      <c r="G197" s="22"/>
    </row>
    <row r="198" spans="1:7" s="3" customFormat="1" hidden="1" outlineLevel="1" x14ac:dyDescent="0.25">
      <c r="A198" s="5"/>
      <c r="B198" s="31" t="s">
        <v>773</v>
      </c>
      <c r="C198" s="20"/>
      <c r="D198" s="20"/>
      <c r="E198" s="20"/>
      <c r="F198" s="20"/>
      <c r="G198" s="22"/>
    </row>
    <row r="199" spans="1:7" s="3" customFormat="1" hidden="1" outlineLevel="1" x14ac:dyDescent="0.25">
      <c r="A199" s="5"/>
      <c r="B199" s="31" t="s">
        <v>774</v>
      </c>
      <c r="C199" s="20"/>
      <c r="D199" s="20"/>
      <c r="E199" s="20"/>
      <c r="F199" s="20"/>
      <c r="G199" s="22"/>
    </row>
    <row r="200" spans="1:7" s="3" customFormat="1" hidden="1" outlineLevel="1" x14ac:dyDescent="0.25">
      <c r="A200" s="5"/>
      <c r="B200" s="31" t="s">
        <v>775</v>
      </c>
      <c r="C200" s="20"/>
      <c r="D200" s="20"/>
      <c r="E200" s="20"/>
      <c r="F200" s="20"/>
      <c r="G200" s="22"/>
    </row>
    <row r="201" spans="1:7" s="3" customFormat="1" hidden="1" outlineLevel="1" x14ac:dyDescent="0.25">
      <c r="A201" s="5"/>
      <c r="B201" s="31" t="s">
        <v>776</v>
      </c>
      <c r="C201" s="20"/>
      <c r="D201" s="20"/>
      <c r="E201" s="20"/>
      <c r="F201" s="20"/>
      <c r="G201" s="22"/>
    </row>
    <row r="202" spans="1:7" s="3" customFormat="1" hidden="1" outlineLevel="1" x14ac:dyDescent="0.25">
      <c r="A202" s="5"/>
      <c r="B202" s="31" t="s">
        <v>777</v>
      </c>
      <c r="C202" s="20"/>
      <c r="D202" s="20"/>
      <c r="E202" s="20"/>
      <c r="F202" s="20"/>
      <c r="G202" s="22"/>
    </row>
    <row r="203" spans="1:7" s="3" customFormat="1" ht="16.2" hidden="1" outlineLevel="1" thickBot="1" x14ac:dyDescent="0.3">
      <c r="A203" s="5"/>
      <c r="B203" s="52"/>
      <c r="C203" s="53"/>
      <c r="D203" s="53"/>
      <c r="E203" s="53"/>
      <c r="F203" s="53"/>
      <c r="G203" s="54"/>
    </row>
    <row r="204" spans="1:7" s="5" customFormat="1" hidden="1" outlineLevel="1" x14ac:dyDescent="0.25"/>
    <row r="205" spans="1:7" s="5" customFormat="1" ht="16.2" hidden="1" outlineLevel="1" thickBot="1" x14ac:dyDescent="0.3"/>
    <row r="206" spans="1:7" s="3" customFormat="1" ht="17.399999999999999" customHeight="1" collapsed="1" thickBot="1" x14ac:dyDescent="0.3">
      <c r="A206" s="5"/>
      <c r="B206" s="15" t="s">
        <v>1279</v>
      </c>
      <c r="C206" s="16" t="s">
        <v>2108</v>
      </c>
      <c r="D206" s="17" t="s">
        <v>1281</v>
      </c>
      <c r="E206" s="16" t="s">
        <v>778</v>
      </c>
      <c r="F206" s="17" t="s">
        <v>1282</v>
      </c>
      <c r="G206" s="18" t="s">
        <v>2109</v>
      </c>
    </row>
    <row r="207" spans="1:7" s="3" customFormat="1" ht="17.399999999999999" hidden="1" customHeight="1" outlineLevel="1" x14ac:dyDescent="0.25">
      <c r="A207" s="5"/>
      <c r="B207" s="19" t="s">
        <v>1284</v>
      </c>
      <c r="C207" s="20" t="s">
        <v>1285</v>
      </c>
      <c r="D207" s="21" t="s">
        <v>1286</v>
      </c>
      <c r="E207" s="20" t="s">
        <v>2110</v>
      </c>
      <c r="F207" s="21" t="s">
        <v>1288</v>
      </c>
      <c r="G207" s="22" t="s">
        <v>1306</v>
      </c>
    </row>
    <row r="208" spans="1:7" s="3" customFormat="1" ht="17.399999999999999" hidden="1" customHeight="1" outlineLevel="1" thickBot="1" x14ac:dyDescent="0.3">
      <c r="A208" s="5"/>
      <c r="B208" s="19" t="s">
        <v>1290</v>
      </c>
      <c r="C208" s="23" t="s">
        <v>1291</v>
      </c>
      <c r="D208" s="21" t="s">
        <v>1292</v>
      </c>
      <c r="E208" s="23">
        <v>5</v>
      </c>
      <c r="F208" s="21" t="s">
        <v>1293</v>
      </c>
      <c r="G208" s="24" t="s">
        <v>1294</v>
      </c>
    </row>
    <row r="209" spans="1:14" s="3" customFormat="1" ht="17.399999999999999" hidden="1" customHeight="1" outlineLevel="1" x14ac:dyDescent="0.25">
      <c r="A209" s="5"/>
      <c r="B209" s="401" t="s">
        <v>1</v>
      </c>
      <c r="C209" s="402"/>
      <c r="D209" s="402"/>
      <c r="E209" s="402"/>
      <c r="F209" s="402"/>
      <c r="G209" s="403"/>
    </row>
    <row r="210" spans="1:14" s="3" customFormat="1" ht="17.399999999999999" hidden="1" customHeight="1" outlineLevel="1" x14ac:dyDescent="0.25">
      <c r="A210" s="5"/>
      <c r="B210" s="25" t="s">
        <v>2</v>
      </c>
      <c r="C210" s="26" t="s">
        <v>3</v>
      </c>
      <c r="D210" s="26" t="s">
        <v>4</v>
      </c>
      <c r="E210" s="26" t="s">
        <v>5</v>
      </c>
      <c r="F210" s="26"/>
      <c r="G210" s="27" t="s">
        <v>6</v>
      </c>
    </row>
    <row r="211" spans="1:14" s="4" customFormat="1" ht="17.399999999999999" hidden="1" customHeight="1" outlineLevel="1" x14ac:dyDescent="0.35">
      <c r="A211" s="5"/>
      <c r="B211" s="57" t="s">
        <v>7</v>
      </c>
      <c r="C211" s="58" t="s">
        <v>1468</v>
      </c>
      <c r="D211" s="58" t="s">
        <v>1469</v>
      </c>
      <c r="E211" s="58">
        <v>0</v>
      </c>
      <c r="F211" s="58" t="s">
        <v>1470</v>
      </c>
      <c r="G211" s="59" t="s">
        <v>1471</v>
      </c>
      <c r="J211" s="4" t="s">
        <v>10</v>
      </c>
      <c r="K211" s="4" t="s">
        <v>173</v>
      </c>
      <c r="L211" s="4" t="s">
        <v>9</v>
      </c>
      <c r="M211" s="4" t="s">
        <v>9</v>
      </c>
      <c r="N211" s="4">
        <v>1112</v>
      </c>
    </row>
    <row r="212" spans="1:14" s="4" customFormat="1" ht="17.399999999999999" hidden="1" customHeight="1" outlineLevel="1" x14ac:dyDescent="0.35">
      <c r="A212" s="5"/>
      <c r="B212" s="57" t="s">
        <v>11</v>
      </c>
      <c r="C212" s="58" t="s">
        <v>1472</v>
      </c>
      <c r="D212" s="58" t="s">
        <v>1469</v>
      </c>
      <c r="E212" s="58">
        <v>0</v>
      </c>
      <c r="F212" s="58" t="s">
        <v>1470</v>
      </c>
      <c r="G212" s="59" t="s">
        <v>1473</v>
      </c>
      <c r="J212" s="4" t="s">
        <v>12</v>
      </c>
      <c r="K212" s="4" t="s">
        <v>174</v>
      </c>
      <c r="L212" s="4" t="s">
        <v>175</v>
      </c>
      <c r="M212" s="4" t="s">
        <v>176</v>
      </c>
      <c r="N212" s="4">
        <v>1700</v>
      </c>
    </row>
    <row r="213" spans="1:14" s="4" customFormat="1" ht="17.399999999999999" hidden="1" customHeight="1" outlineLevel="1" x14ac:dyDescent="0.35">
      <c r="A213" s="5"/>
      <c r="B213" s="60" t="s">
        <v>13</v>
      </c>
      <c r="C213" s="61" t="s">
        <v>1474</v>
      </c>
      <c r="D213" s="61" t="s">
        <v>1469</v>
      </c>
      <c r="E213" s="61">
        <v>0</v>
      </c>
      <c r="F213" s="61" t="s">
        <v>1470</v>
      </c>
      <c r="G213" s="62"/>
      <c r="H213" s="63"/>
      <c r="J213" s="4" t="s">
        <v>10</v>
      </c>
      <c r="K213" s="4" t="s">
        <v>173</v>
      </c>
      <c r="L213" s="4" t="s">
        <v>9</v>
      </c>
      <c r="M213" s="4" t="s">
        <v>9</v>
      </c>
      <c r="N213" s="4">
        <v>2534</v>
      </c>
    </row>
    <row r="214" spans="1:14" s="4" customFormat="1" ht="17.399999999999999" hidden="1" customHeight="1" outlineLevel="1" x14ac:dyDescent="0.35">
      <c r="A214" s="5"/>
      <c r="B214" s="60" t="s">
        <v>14</v>
      </c>
      <c r="C214" s="61" t="s">
        <v>1475</v>
      </c>
      <c r="D214" s="61" t="s">
        <v>1469</v>
      </c>
      <c r="E214" s="61">
        <v>0</v>
      </c>
      <c r="F214" s="61" t="s">
        <v>1476</v>
      </c>
      <c r="G214" s="62" t="s">
        <v>1477</v>
      </c>
      <c r="H214" s="63"/>
      <c r="J214" s="4" t="s">
        <v>10</v>
      </c>
      <c r="K214" s="4" t="s">
        <v>173</v>
      </c>
      <c r="L214" s="4" t="s">
        <v>9</v>
      </c>
      <c r="M214" s="4" t="s">
        <v>9</v>
      </c>
      <c r="N214" s="4">
        <v>2155</v>
      </c>
    </row>
    <row r="215" spans="1:14" s="4" customFormat="1" ht="17.399999999999999" hidden="1" customHeight="1" outlineLevel="1" x14ac:dyDescent="0.35">
      <c r="A215" s="5"/>
      <c r="B215" s="60" t="s">
        <v>15</v>
      </c>
      <c r="C215" s="61" t="s">
        <v>1478</v>
      </c>
      <c r="D215" s="61" t="s">
        <v>1469</v>
      </c>
      <c r="E215" s="61">
        <v>0</v>
      </c>
      <c r="F215" s="61" t="s">
        <v>1470</v>
      </c>
      <c r="G215" s="62"/>
      <c r="H215" s="63"/>
      <c r="J215" s="4" t="s">
        <v>10</v>
      </c>
      <c r="K215" s="4" t="s">
        <v>173</v>
      </c>
      <c r="L215" s="4" t="s">
        <v>9</v>
      </c>
      <c r="M215" s="4" t="s">
        <v>9</v>
      </c>
      <c r="N215" s="4">
        <v>2430</v>
      </c>
    </row>
    <row r="216" spans="1:14" s="4" customFormat="1" ht="17.399999999999999" hidden="1" customHeight="1" outlineLevel="1" x14ac:dyDescent="0.35">
      <c r="A216" s="5"/>
      <c r="B216" s="64" t="s">
        <v>73</v>
      </c>
      <c r="C216" s="65" t="s">
        <v>1528</v>
      </c>
      <c r="D216" s="65" t="s">
        <v>1469</v>
      </c>
      <c r="E216" s="65" t="s">
        <v>1480</v>
      </c>
      <c r="F216" s="65" t="s">
        <v>1481</v>
      </c>
      <c r="G216" s="66"/>
      <c r="H216" s="5"/>
      <c r="I216" s="5"/>
      <c r="J216" s="5" t="s">
        <v>10</v>
      </c>
      <c r="K216" s="5" t="s">
        <v>173</v>
      </c>
      <c r="L216" s="5" t="s">
        <v>9</v>
      </c>
      <c r="M216" s="5" t="s">
        <v>9</v>
      </c>
      <c r="N216" s="4">
        <v>1767</v>
      </c>
    </row>
    <row r="217" spans="1:14" s="4" customFormat="1" ht="17.399999999999999" hidden="1" customHeight="1" outlineLevel="1" x14ac:dyDescent="0.35">
      <c r="A217" s="5"/>
      <c r="B217" s="64" t="s">
        <v>74</v>
      </c>
      <c r="C217" s="65" t="s">
        <v>1529</v>
      </c>
      <c r="D217" s="65" t="s">
        <v>1469</v>
      </c>
      <c r="E217" s="65" t="s">
        <v>1480</v>
      </c>
      <c r="F217" s="65" t="s">
        <v>1481</v>
      </c>
      <c r="G217" s="66"/>
      <c r="H217" s="5"/>
      <c r="I217" s="5"/>
      <c r="J217" s="5" t="s">
        <v>10</v>
      </c>
      <c r="K217" s="5" t="s">
        <v>173</v>
      </c>
      <c r="L217" s="5" t="s">
        <v>9</v>
      </c>
      <c r="M217" s="5" t="s">
        <v>9</v>
      </c>
      <c r="N217" s="4">
        <v>1713</v>
      </c>
    </row>
    <row r="218" spans="1:14" s="4" customFormat="1" ht="17.399999999999999" hidden="1" customHeight="1" outlineLevel="1" x14ac:dyDescent="0.35">
      <c r="A218" s="5"/>
      <c r="B218" s="67" t="s">
        <v>17</v>
      </c>
      <c r="C218" s="84" t="s">
        <v>1483</v>
      </c>
      <c r="D218" s="84" t="s">
        <v>1469</v>
      </c>
      <c r="E218" s="84">
        <v>0</v>
      </c>
      <c r="F218" s="84" t="s">
        <v>1470</v>
      </c>
      <c r="G218" s="85" t="s">
        <v>1484</v>
      </c>
      <c r="H218" s="5"/>
      <c r="I218" s="5"/>
      <c r="J218" s="5" t="s">
        <v>10</v>
      </c>
      <c r="K218" s="5" t="s">
        <v>173</v>
      </c>
      <c r="L218" s="5" t="s">
        <v>9</v>
      </c>
      <c r="M218" s="5" t="s">
        <v>9</v>
      </c>
      <c r="N218" s="4">
        <v>1097</v>
      </c>
    </row>
    <row r="219" spans="1:14" s="3" customFormat="1" ht="16.2" hidden="1" outlineLevel="1" thickBot="1" x14ac:dyDescent="0.3">
      <c r="A219" s="5"/>
      <c r="B219" s="31"/>
      <c r="C219" s="20"/>
      <c r="D219" s="20"/>
      <c r="E219" s="20"/>
      <c r="F219" s="20"/>
      <c r="G219" s="22"/>
    </row>
    <row r="220" spans="1:14" s="4" customFormat="1" ht="17.399999999999999" hidden="1" customHeight="1" outlineLevel="1" x14ac:dyDescent="0.35">
      <c r="A220" s="3"/>
      <c r="B220" s="389" t="s">
        <v>18</v>
      </c>
      <c r="C220" s="390"/>
      <c r="D220" s="390"/>
      <c r="E220" s="390"/>
      <c r="F220" s="390"/>
      <c r="G220" s="391"/>
      <c r="H220" s="5"/>
      <c r="I220" s="5"/>
      <c r="J220" s="5"/>
      <c r="K220" s="5"/>
      <c r="L220" s="5"/>
      <c r="M220" s="5"/>
    </row>
    <row r="221" spans="1:14" s="4" customFormat="1" hidden="1" outlineLevel="1" x14ac:dyDescent="0.35">
      <c r="A221" s="3"/>
      <c r="B221" s="32" t="s">
        <v>2</v>
      </c>
      <c r="C221" s="33" t="s">
        <v>3</v>
      </c>
      <c r="D221" s="33" t="s">
        <v>4</v>
      </c>
      <c r="E221" s="33" t="s">
        <v>5</v>
      </c>
      <c r="F221" s="33"/>
      <c r="G221" s="34" t="s">
        <v>6</v>
      </c>
      <c r="H221" s="5"/>
      <c r="I221" s="5"/>
      <c r="J221" s="5"/>
      <c r="K221" s="5"/>
      <c r="L221" s="5"/>
      <c r="M221" s="5"/>
    </row>
    <row r="222" spans="1:14" s="4" customFormat="1" ht="17.399999999999999" hidden="1" customHeight="1" outlineLevel="1" x14ac:dyDescent="0.35">
      <c r="A222" s="5"/>
      <c r="B222" s="67" t="s">
        <v>16</v>
      </c>
      <c r="C222" s="65" t="s">
        <v>1479</v>
      </c>
      <c r="D222" s="65" t="s">
        <v>1469</v>
      </c>
      <c r="E222" s="65" t="s">
        <v>1480</v>
      </c>
      <c r="F222" s="65" t="s">
        <v>1481</v>
      </c>
      <c r="G222" s="66" t="s">
        <v>1482</v>
      </c>
      <c r="H222" s="5"/>
      <c r="I222" s="5"/>
      <c r="J222" s="5"/>
      <c r="K222" s="5"/>
      <c r="L222" s="5"/>
      <c r="M222" s="5"/>
    </row>
    <row r="223" spans="1:14" s="3" customFormat="1" hidden="1" outlineLevel="1" x14ac:dyDescent="0.25">
      <c r="B223" s="28" t="s">
        <v>7</v>
      </c>
      <c r="C223" s="29" t="s">
        <v>1468</v>
      </c>
      <c r="D223" s="29" t="s">
        <v>1469</v>
      </c>
      <c r="E223" s="29">
        <v>0</v>
      </c>
      <c r="F223" s="29" t="s">
        <v>1470</v>
      </c>
      <c r="G223" s="30" t="s">
        <v>1471</v>
      </c>
      <c r="J223" s="3" t="s">
        <v>10</v>
      </c>
      <c r="K223" s="3" t="s">
        <v>173</v>
      </c>
      <c r="L223" s="3" t="s">
        <v>9</v>
      </c>
      <c r="M223" s="3" t="s">
        <v>9</v>
      </c>
      <c r="N223" s="3">
        <v>1112</v>
      </c>
    </row>
    <row r="224" spans="1:14" s="3" customFormat="1" hidden="1" outlineLevel="1" x14ac:dyDescent="0.25">
      <c r="B224" s="28" t="s">
        <v>11</v>
      </c>
      <c r="C224" s="29" t="s">
        <v>1472</v>
      </c>
      <c r="D224" s="29" t="s">
        <v>1469</v>
      </c>
      <c r="E224" s="29">
        <v>0</v>
      </c>
      <c r="F224" s="29" t="s">
        <v>1470</v>
      </c>
      <c r="G224" s="30" t="s">
        <v>1473</v>
      </c>
      <c r="J224" s="3" t="s">
        <v>12</v>
      </c>
      <c r="K224" s="3" t="s">
        <v>174</v>
      </c>
      <c r="L224" s="3" t="s">
        <v>175</v>
      </c>
      <c r="M224" s="3" t="s">
        <v>176</v>
      </c>
      <c r="N224" s="3">
        <v>1700</v>
      </c>
    </row>
    <row r="225" spans="1:14" s="3" customFormat="1" hidden="1" outlineLevel="1" x14ac:dyDescent="0.25">
      <c r="B225" s="28" t="s">
        <v>13</v>
      </c>
      <c r="C225" s="29" t="s">
        <v>1474</v>
      </c>
      <c r="D225" s="29" t="s">
        <v>1469</v>
      </c>
      <c r="E225" s="29">
        <v>0</v>
      </c>
      <c r="F225" s="29" t="s">
        <v>1470</v>
      </c>
      <c r="G225" s="30"/>
      <c r="J225" s="3" t="s">
        <v>10</v>
      </c>
      <c r="K225" s="3" t="s">
        <v>173</v>
      </c>
      <c r="L225" s="3" t="s">
        <v>9</v>
      </c>
      <c r="M225" s="3" t="s">
        <v>9</v>
      </c>
      <c r="N225" s="3">
        <v>2534</v>
      </c>
    </row>
    <row r="226" spans="1:14" s="3" customFormat="1" hidden="1" outlineLevel="1" x14ac:dyDescent="0.25">
      <c r="B226" s="35" t="s">
        <v>25</v>
      </c>
      <c r="C226" s="36" t="s">
        <v>1492</v>
      </c>
      <c r="D226" s="36" t="s">
        <v>1469</v>
      </c>
      <c r="E226" s="36">
        <v>0</v>
      </c>
      <c r="F226" s="36" t="s">
        <v>1470</v>
      </c>
      <c r="G226" s="37" t="s">
        <v>1484</v>
      </c>
      <c r="J226" s="3" t="s">
        <v>10</v>
      </c>
      <c r="K226" s="3" t="s">
        <v>173</v>
      </c>
      <c r="L226" s="3" t="s">
        <v>9</v>
      </c>
      <c r="M226" s="3" t="s">
        <v>9</v>
      </c>
      <c r="N226" s="3">
        <v>2155</v>
      </c>
    </row>
    <row r="227" spans="1:14" s="3" customFormat="1" hidden="1" outlineLevel="1" x14ac:dyDescent="0.25">
      <c r="B227" s="28" t="s">
        <v>14</v>
      </c>
      <c r="C227" s="29" t="s">
        <v>1475</v>
      </c>
      <c r="D227" s="29" t="s">
        <v>1469</v>
      </c>
      <c r="E227" s="29">
        <v>0</v>
      </c>
      <c r="F227" s="29" t="s">
        <v>1476</v>
      </c>
      <c r="G227" s="30" t="s">
        <v>1477</v>
      </c>
      <c r="J227" s="3" t="s">
        <v>10</v>
      </c>
      <c r="K227" s="3" t="s">
        <v>173</v>
      </c>
      <c r="L227" s="3" t="s">
        <v>9</v>
      </c>
      <c r="M227" s="3" t="s">
        <v>9</v>
      </c>
      <c r="N227" s="3">
        <v>2430</v>
      </c>
    </row>
    <row r="228" spans="1:14" s="3" customFormat="1" hidden="1" outlineLevel="1" x14ac:dyDescent="0.25">
      <c r="B228" s="28" t="s">
        <v>15</v>
      </c>
      <c r="C228" s="29" t="s">
        <v>1478</v>
      </c>
      <c r="D228" s="29" t="s">
        <v>1469</v>
      </c>
      <c r="E228" s="29">
        <v>0</v>
      </c>
      <c r="F228" s="29" t="s">
        <v>1470</v>
      </c>
      <c r="G228" s="30"/>
      <c r="J228" s="3" t="s">
        <v>20</v>
      </c>
      <c r="K228" s="3" t="s">
        <v>445</v>
      </c>
      <c r="L228" s="3" t="s">
        <v>446</v>
      </c>
      <c r="M228" s="3" t="s">
        <v>446</v>
      </c>
      <c r="N228" s="3">
        <v>1203</v>
      </c>
    </row>
    <row r="229" spans="1:14" s="3" customFormat="1" hidden="1" outlineLevel="1" x14ac:dyDescent="0.25">
      <c r="B229" s="38" t="s">
        <v>19</v>
      </c>
      <c r="C229" s="39" t="s">
        <v>1485</v>
      </c>
      <c r="D229" s="39" t="s">
        <v>1486</v>
      </c>
      <c r="E229" s="39">
        <v>0</v>
      </c>
      <c r="F229" s="39"/>
      <c r="G229" s="40"/>
      <c r="J229" s="3" t="s">
        <v>20</v>
      </c>
      <c r="K229" s="3" t="s">
        <v>445</v>
      </c>
      <c r="L229" s="3" t="s">
        <v>446</v>
      </c>
      <c r="M229" s="3" t="s">
        <v>446</v>
      </c>
      <c r="N229" s="3">
        <v>1689</v>
      </c>
    </row>
    <row r="230" spans="1:14" s="3" customFormat="1" hidden="1" outlineLevel="1" x14ac:dyDescent="0.25">
      <c r="B230" s="28" t="s">
        <v>21</v>
      </c>
      <c r="C230" s="29" t="s">
        <v>1487</v>
      </c>
      <c r="D230" s="29" t="s">
        <v>1486</v>
      </c>
      <c r="E230" s="29">
        <v>0</v>
      </c>
      <c r="F230" s="29"/>
      <c r="G230" s="30"/>
      <c r="J230" s="3" t="s">
        <v>20</v>
      </c>
      <c r="K230" s="3" t="s">
        <v>445</v>
      </c>
      <c r="L230" s="3" t="s">
        <v>446</v>
      </c>
      <c r="M230" s="3" t="s">
        <v>446</v>
      </c>
      <c r="N230" s="3">
        <v>2052</v>
      </c>
    </row>
    <row r="231" spans="1:14" s="3" customFormat="1" hidden="1" outlineLevel="1" x14ac:dyDescent="0.25">
      <c r="B231" s="28" t="s">
        <v>22</v>
      </c>
      <c r="C231" s="29" t="s">
        <v>1488</v>
      </c>
      <c r="D231" s="29" t="s">
        <v>1489</v>
      </c>
      <c r="E231" s="29">
        <v>0</v>
      </c>
      <c r="F231" s="29" t="s">
        <v>1470</v>
      </c>
      <c r="G231" s="30" t="s">
        <v>1490</v>
      </c>
      <c r="J231" s="3" t="s">
        <v>20</v>
      </c>
      <c r="K231" s="3" t="s">
        <v>445</v>
      </c>
      <c r="L231" s="3" t="s">
        <v>446</v>
      </c>
      <c r="M231" s="3" t="s">
        <v>446</v>
      </c>
      <c r="N231" s="3">
        <v>2153</v>
      </c>
    </row>
    <row r="232" spans="1:14" s="3" customFormat="1" hidden="1" outlineLevel="1" x14ac:dyDescent="0.25">
      <c r="B232" s="28" t="s">
        <v>26</v>
      </c>
      <c r="C232" s="29" t="s">
        <v>1493</v>
      </c>
      <c r="D232" s="29" t="s">
        <v>1494</v>
      </c>
      <c r="E232" s="29">
        <v>0</v>
      </c>
      <c r="F232" s="29" t="s">
        <v>1470</v>
      </c>
      <c r="G232" s="30"/>
      <c r="J232" s="3" t="s">
        <v>20</v>
      </c>
      <c r="K232" s="3" t="s">
        <v>445</v>
      </c>
      <c r="L232" s="3" t="s">
        <v>446</v>
      </c>
      <c r="M232" s="3" t="s">
        <v>446</v>
      </c>
      <c r="N232" s="3">
        <v>2183</v>
      </c>
    </row>
    <row r="233" spans="1:14" s="4" customFormat="1" ht="17.399999999999999" hidden="1" customHeight="1" outlineLevel="1" x14ac:dyDescent="0.35">
      <c r="A233" s="5"/>
      <c r="B233" s="41" t="s">
        <v>27</v>
      </c>
      <c r="C233" s="42" t="s">
        <v>1495</v>
      </c>
      <c r="D233" s="42" t="s">
        <v>1489</v>
      </c>
      <c r="E233" s="42">
        <v>0</v>
      </c>
      <c r="F233" s="42" t="s">
        <v>1470</v>
      </c>
      <c r="G233" s="43"/>
      <c r="J233" s="5" t="s">
        <v>20</v>
      </c>
      <c r="K233" s="5" t="s">
        <v>445</v>
      </c>
      <c r="L233" s="5" t="s">
        <v>446</v>
      </c>
      <c r="M233" s="5" t="s">
        <v>446</v>
      </c>
    </row>
    <row r="234" spans="1:14" s="3" customFormat="1" hidden="1" outlineLevel="1" x14ac:dyDescent="0.25">
      <c r="B234" s="44" t="s">
        <v>75</v>
      </c>
      <c r="C234" s="39" t="s">
        <v>1530</v>
      </c>
      <c r="D234" s="39" t="s">
        <v>1486</v>
      </c>
      <c r="E234" s="39">
        <v>0</v>
      </c>
      <c r="F234" s="39" t="s">
        <v>1470</v>
      </c>
      <c r="G234" s="40" t="s">
        <v>1531</v>
      </c>
    </row>
    <row r="235" spans="1:14" s="3" customFormat="1" hidden="1" outlineLevel="1" x14ac:dyDescent="0.25">
      <c r="B235" s="44" t="s">
        <v>76</v>
      </c>
      <c r="C235" s="29" t="s">
        <v>1532</v>
      </c>
      <c r="D235" s="29" t="s">
        <v>1489</v>
      </c>
      <c r="E235" s="29">
        <v>0</v>
      </c>
      <c r="F235" s="29"/>
      <c r="G235" s="30"/>
    </row>
    <row r="236" spans="1:14" s="3" customFormat="1" hidden="1" outlineLevel="1" x14ac:dyDescent="0.25">
      <c r="B236" s="44" t="s">
        <v>77</v>
      </c>
      <c r="C236" s="29" t="s">
        <v>1533</v>
      </c>
      <c r="D236" s="29" t="s">
        <v>1486</v>
      </c>
      <c r="E236" s="29">
        <v>0</v>
      </c>
      <c r="F236" s="29" t="s">
        <v>1470</v>
      </c>
      <c r="G236" s="30"/>
    </row>
    <row r="237" spans="1:14" s="3" customFormat="1" hidden="1" outlineLevel="1" x14ac:dyDescent="0.25">
      <c r="B237" s="44" t="s">
        <v>78</v>
      </c>
      <c r="C237" s="29" t="s">
        <v>1534</v>
      </c>
      <c r="D237" s="29" t="s">
        <v>1489</v>
      </c>
      <c r="E237" s="29">
        <v>0</v>
      </c>
      <c r="F237" s="29"/>
      <c r="G237" s="30"/>
    </row>
    <row r="238" spans="1:14" s="3" customFormat="1" hidden="1" outlineLevel="1" x14ac:dyDescent="0.25">
      <c r="B238" s="44" t="s">
        <v>24</v>
      </c>
      <c r="C238" s="29" t="s">
        <v>1491</v>
      </c>
      <c r="D238" s="29" t="s">
        <v>1489</v>
      </c>
      <c r="E238" s="29">
        <v>0</v>
      </c>
      <c r="F238" s="29" t="s">
        <v>1470</v>
      </c>
      <c r="G238" s="30"/>
    </row>
    <row r="239" spans="1:14" s="4" customFormat="1" ht="17.399999999999999" hidden="1" customHeight="1" outlineLevel="1" x14ac:dyDescent="0.35">
      <c r="A239" s="5"/>
      <c r="B239" s="44" t="s">
        <v>58</v>
      </c>
      <c r="C239" s="42" t="s">
        <v>1522</v>
      </c>
      <c r="D239" s="42" t="s">
        <v>1489</v>
      </c>
      <c r="E239" s="42">
        <v>0</v>
      </c>
      <c r="F239" s="42" t="s">
        <v>1470</v>
      </c>
      <c r="G239" s="43"/>
      <c r="K239" s="5"/>
      <c r="L239" s="5"/>
      <c r="M239" s="5"/>
    </row>
    <row r="240" spans="1:14" s="3" customFormat="1" hidden="1" outlineLevel="1" x14ac:dyDescent="0.25">
      <c r="A240" s="5"/>
      <c r="B240" s="45" t="s">
        <v>63</v>
      </c>
      <c r="C240" s="20" t="s">
        <v>1526</v>
      </c>
      <c r="D240" s="20" t="s">
        <v>1489</v>
      </c>
      <c r="E240" s="20">
        <v>0</v>
      </c>
      <c r="F240" s="20"/>
      <c r="G240" s="22"/>
    </row>
    <row r="241" spans="1:13" s="3" customFormat="1" hidden="1" outlineLevel="1" x14ac:dyDescent="0.25">
      <c r="A241" s="5"/>
      <c r="B241" s="31"/>
      <c r="C241" s="20"/>
      <c r="D241" s="20"/>
      <c r="E241" s="20"/>
      <c r="F241" s="20"/>
      <c r="G241" s="22"/>
    </row>
    <row r="242" spans="1:13" s="3" customFormat="1" ht="16.2" hidden="1" outlineLevel="1" thickBot="1" x14ac:dyDescent="0.3">
      <c r="A242" s="5"/>
      <c r="B242" s="31"/>
      <c r="C242" s="20"/>
      <c r="D242" s="20"/>
      <c r="E242" s="20"/>
      <c r="F242" s="20"/>
      <c r="G242" s="22"/>
    </row>
    <row r="243" spans="1:13" s="4" customFormat="1" ht="17.399999999999999" hidden="1" customHeight="1" outlineLevel="1" x14ac:dyDescent="0.35">
      <c r="A243" s="3"/>
      <c r="B243" s="389" t="s">
        <v>29</v>
      </c>
      <c r="C243" s="390"/>
      <c r="D243" s="390"/>
      <c r="E243" s="390"/>
      <c r="F243" s="390"/>
      <c r="G243" s="391"/>
      <c r="H243" s="5"/>
      <c r="I243" s="5"/>
      <c r="J243" s="5"/>
      <c r="K243" s="5"/>
      <c r="L243" s="5"/>
      <c r="M243" s="5"/>
    </row>
    <row r="244" spans="1:13" s="3" customFormat="1" hidden="1" outlineLevel="1" x14ac:dyDescent="0.25">
      <c r="A244" s="5"/>
      <c r="B244" s="31" t="s">
        <v>702</v>
      </c>
      <c r="C244" s="20"/>
      <c r="D244" s="20"/>
      <c r="E244" s="20"/>
      <c r="F244" s="20"/>
      <c r="G244" s="22"/>
    </row>
    <row r="245" spans="1:13" s="3" customFormat="1" hidden="1" outlineLevel="1" x14ac:dyDescent="0.25">
      <c r="A245" s="5"/>
      <c r="B245" s="31" t="s">
        <v>779</v>
      </c>
      <c r="C245" s="20"/>
      <c r="D245" s="20"/>
      <c r="E245" s="20"/>
      <c r="F245" s="20"/>
      <c r="G245" s="22"/>
    </row>
    <row r="246" spans="1:13" s="3" customFormat="1" hidden="1" outlineLevel="1" x14ac:dyDescent="0.25">
      <c r="A246" s="5"/>
      <c r="B246" s="46" t="s">
        <v>703</v>
      </c>
      <c r="C246" s="20"/>
      <c r="D246" s="20"/>
      <c r="E246" s="20"/>
      <c r="F246" s="20"/>
      <c r="G246" s="22"/>
      <c r="I246" s="55" t="s">
        <v>78</v>
      </c>
    </row>
    <row r="247" spans="1:13" s="3" customFormat="1" hidden="1" outlineLevel="1" x14ac:dyDescent="0.25">
      <c r="A247" s="5"/>
      <c r="B247" s="47" t="s">
        <v>704</v>
      </c>
      <c r="C247" s="20"/>
      <c r="D247" s="20"/>
      <c r="E247" s="20"/>
      <c r="F247" s="20"/>
      <c r="G247" s="22"/>
      <c r="I247" s="55" t="s">
        <v>130</v>
      </c>
    </row>
    <row r="248" spans="1:13" s="3" customFormat="1" hidden="1" outlineLevel="1" x14ac:dyDescent="0.25">
      <c r="A248" s="5"/>
      <c r="B248" s="47" t="s">
        <v>705</v>
      </c>
      <c r="C248" s="20"/>
      <c r="D248" s="20"/>
      <c r="E248" s="20"/>
      <c r="F248" s="20"/>
      <c r="G248" s="22"/>
      <c r="I248" s="55" t="s">
        <v>165</v>
      </c>
    </row>
    <row r="249" spans="1:13" s="3" customFormat="1" hidden="1" outlineLevel="1" x14ac:dyDescent="0.25">
      <c r="A249" s="5"/>
      <c r="B249" s="47" t="s">
        <v>706</v>
      </c>
      <c r="C249" s="20"/>
      <c r="D249" s="20"/>
      <c r="E249" s="20"/>
      <c r="F249" s="20"/>
      <c r="G249" s="22"/>
      <c r="I249" s="55" t="s">
        <v>166</v>
      </c>
    </row>
    <row r="250" spans="1:13" s="3" customFormat="1" hidden="1" outlineLevel="1" x14ac:dyDescent="0.25">
      <c r="A250" s="5"/>
      <c r="B250" s="47" t="s">
        <v>707</v>
      </c>
      <c r="C250" s="20"/>
      <c r="D250" s="20"/>
      <c r="E250" s="20"/>
      <c r="F250" s="20"/>
      <c r="G250" s="22"/>
      <c r="I250" s="55" t="s">
        <v>241</v>
      </c>
    </row>
    <row r="251" spans="1:13" s="3" customFormat="1" hidden="1" outlineLevel="1" x14ac:dyDescent="0.25">
      <c r="A251" s="5"/>
      <c r="B251" s="47" t="s">
        <v>708</v>
      </c>
      <c r="C251" s="20"/>
      <c r="D251" s="20"/>
      <c r="E251" s="20"/>
      <c r="F251" s="20"/>
      <c r="G251" s="22"/>
      <c r="I251" s="45" t="s">
        <v>26</v>
      </c>
    </row>
    <row r="252" spans="1:13" s="3" customFormat="1" hidden="1" outlineLevel="1" x14ac:dyDescent="0.25">
      <c r="A252" s="5"/>
      <c r="B252" s="47" t="s">
        <v>709</v>
      </c>
      <c r="C252" s="20"/>
      <c r="D252" s="20"/>
      <c r="E252" s="20"/>
      <c r="F252" s="20"/>
      <c r="G252" s="22"/>
      <c r="I252" s="56" t="s">
        <v>27</v>
      </c>
    </row>
    <row r="253" spans="1:13" s="3" customFormat="1" hidden="1" outlineLevel="1" x14ac:dyDescent="0.25">
      <c r="A253" s="5"/>
      <c r="B253" s="48" t="s">
        <v>710</v>
      </c>
      <c r="C253" s="20"/>
      <c r="D253" s="20"/>
      <c r="E253" s="20"/>
      <c r="F253" s="20"/>
      <c r="G253" s="22"/>
      <c r="I253" s="31" t="s">
        <v>711</v>
      </c>
    </row>
    <row r="254" spans="1:13" s="3" customFormat="1" hidden="1" outlineLevel="1" x14ac:dyDescent="0.25">
      <c r="A254" s="5"/>
      <c r="B254" s="49" t="s">
        <v>712</v>
      </c>
      <c r="C254" s="20"/>
      <c r="D254" s="20"/>
      <c r="E254" s="20"/>
      <c r="F254" s="20"/>
      <c r="G254" s="22"/>
      <c r="I254" s="56" t="s">
        <v>27</v>
      </c>
    </row>
    <row r="255" spans="1:13" s="3" customFormat="1" hidden="1" outlineLevel="1" x14ac:dyDescent="0.25">
      <c r="A255" s="5"/>
      <c r="B255" s="49" t="s">
        <v>714</v>
      </c>
      <c r="C255" s="20"/>
      <c r="D255" s="20"/>
      <c r="E255" s="20"/>
      <c r="F255" s="20"/>
      <c r="G255" s="22"/>
      <c r="I255" s="31" t="s">
        <v>711</v>
      </c>
    </row>
    <row r="256" spans="1:13" s="3" customFormat="1" hidden="1" outlineLevel="1" x14ac:dyDescent="0.25">
      <c r="A256" s="5"/>
      <c r="B256" s="49" t="s">
        <v>715</v>
      </c>
      <c r="C256" s="20"/>
      <c r="D256" s="20"/>
      <c r="E256" s="20"/>
      <c r="F256" s="20"/>
      <c r="G256" s="22"/>
    </row>
    <row r="257" spans="1:7" s="3" customFormat="1" hidden="1" outlineLevel="1" x14ac:dyDescent="0.25">
      <c r="A257" s="5"/>
      <c r="B257" s="49" t="s">
        <v>716</v>
      </c>
      <c r="C257" s="20"/>
      <c r="D257" s="20"/>
      <c r="E257" s="20"/>
      <c r="F257" s="20"/>
      <c r="G257" s="22"/>
    </row>
    <row r="258" spans="1:7" s="3" customFormat="1" hidden="1" outlineLevel="1" x14ac:dyDescent="0.25">
      <c r="A258" s="5"/>
      <c r="B258" s="49" t="s">
        <v>717</v>
      </c>
      <c r="C258" s="20"/>
      <c r="D258" s="20"/>
      <c r="E258" s="20"/>
      <c r="F258" s="20"/>
      <c r="G258" s="22"/>
    </row>
    <row r="259" spans="1:7" s="3" customFormat="1" hidden="1" outlineLevel="1" x14ac:dyDescent="0.25">
      <c r="A259" s="5"/>
      <c r="B259" s="46" t="s">
        <v>2280</v>
      </c>
      <c r="C259" s="20"/>
      <c r="D259" s="20"/>
      <c r="E259" s="20"/>
      <c r="F259" s="20"/>
      <c r="G259" s="22"/>
    </row>
    <row r="260" spans="1:7" s="3" customFormat="1" hidden="1" outlineLevel="1" x14ac:dyDescent="0.25">
      <c r="A260" s="5"/>
      <c r="B260" s="50" t="s">
        <v>718</v>
      </c>
      <c r="C260" s="20"/>
      <c r="D260" s="20"/>
      <c r="E260" s="20"/>
      <c r="F260" s="20"/>
      <c r="G260" s="22"/>
    </row>
    <row r="261" spans="1:7" s="3" customFormat="1" hidden="1" outlineLevel="1" x14ac:dyDescent="0.25">
      <c r="A261" s="5"/>
      <c r="B261" s="50" t="s">
        <v>719</v>
      </c>
      <c r="C261" s="20"/>
      <c r="D261" s="20"/>
      <c r="E261" s="20"/>
      <c r="F261" s="20"/>
      <c r="G261" s="22"/>
    </row>
    <row r="262" spans="1:7" s="3" customFormat="1" hidden="1" outlineLevel="1" x14ac:dyDescent="0.25">
      <c r="A262" s="5"/>
      <c r="B262" s="50" t="s">
        <v>720</v>
      </c>
      <c r="C262" s="20"/>
      <c r="D262" s="20"/>
      <c r="E262" s="20"/>
      <c r="F262" s="20"/>
      <c r="G262" s="22"/>
    </row>
    <row r="263" spans="1:7" s="3" customFormat="1" hidden="1" outlineLevel="1" x14ac:dyDescent="0.25">
      <c r="A263" s="5"/>
      <c r="B263" s="50" t="s">
        <v>722</v>
      </c>
      <c r="C263" s="20"/>
      <c r="D263" s="20"/>
      <c r="E263" s="20"/>
      <c r="F263" s="20"/>
      <c r="G263" s="22"/>
    </row>
    <row r="264" spans="1:7" s="3" customFormat="1" hidden="1" outlineLevel="1" x14ac:dyDescent="0.25">
      <c r="A264" s="5"/>
      <c r="B264" s="50" t="s">
        <v>721</v>
      </c>
      <c r="C264" s="20"/>
      <c r="D264" s="20"/>
      <c r="E264" s="20"/>
      <c r="F264" s="20"/>
      <c r="G264" s="22"/>
    </row>
    <row r="265" spans="1:7" s="3" customFormat="1" hidden="1" outlineLevel="1" x14ac:dyDescent="0.25">
      <c r="A265" s="5"/>
      <c r="B265" s="50" t="s">
        <v>723</v>
      </c>
      <c r="C265" s="20"/>
      <c r="D265" s="20"/>
      <c r="E265" s="20"/>
      <c r="F265" s="20"/>
      <c r="G265" s="22"/>
    </row>
    <row r="266" spans="1:7" s="3" customFormat="1" hidden="1" outlineLevel="1" x14ac:dyDescent="0.25">
      <c r="A266" s="5"/>
      <c r="B266" s="51" t="s">
        <v>724</v>
      </c>
      <c r="C266" s="20"/>
      <c r="D266" s="20"/>
      <c r="E266" s="20"/>
      <c r="F266" s="20"/>
      <c r="G266" s="22"/>
    </row>
    <row r="267" spans="1:7" s="3" customFormat="1" hidden="1" outlineLevel="1" x14ac:dyDescent="0.25">
      <c r="A267" s="5"/>
      <c r="B267" s="90" t="s">
        <v>780</v>
      </c>
      <c r="C267" s="20"/>
      <c r="D267" s="20"/>
      <c r="E267" s="20"/>
      <c r="F267" s="20"/>
      <c r="G267" s="22"/>
    </row>
    <row r="268" spans="1:7" s="3" customFormat="1" hidden="1" outlineLevel="1" x14ac:dyDescent="0.25">
      <c r="A268" s="5"/>
      <c r="B268" s="31"/>
      <c r="C268" s="20"/>
      <c r="D268" s="20"/>
      <c r="E268" s="20"/>
      <c r="F268" s="20"/>
      <c r="G268" s="22"/>
    </row>
    <row r="269" spans="1:7" s="3" customFormat="1" hidden="1" outlineLevel="1" x14ac:dyDescent="0.25">
      <c r="A269" s="5"/>
      <c r="B269" s="46" t="s">
        <v>781</v>
      </c>
      <c r="C269" s="20"/>
      <c r="D269" s="20"/>
      <c r="E269" s="20"/>
      <c r="F269" s="20"/>
      <c r="G269" s="22"/>
    </row>
    <row r="270" spans="1:7" s="3" customFormat="1" ht="16.2" hidden="1" outlineLevel="1" thickBot="1" x14ac:dyDescent="0.3">
      <c r="A270" s="5"/>
      <c r="B270" s="52" t="s">
        <v>726</v>
      </c>
      <c r="C270" s="53"/>
      <c r="D270" s="53"/>
      <c r="E270" s="53"/>
      <c r="F270" s="53"/>
      <c r="G270" s="54"/>
    </row>
    <row r="271" spans="1:7" s="3" customFormat="1" ht="16.2" hidden="1" outlineLevel="1" thickBot="1" x14ac:dyDescent="0.3">
      <c r="A271" s="5"/>
      <c r="B271" s="52"/>
      <c r="C271" s="53"/>
      <c r="D271" s="53"/>
      <c r="E271" s="53"/>
      <c r="F271" s="53"/>
      <c r="G271" s="54"/>
    </row>
    <row r="272" spans="1:7" s="5" customFormat="1" hidden="1" outlineLevel="1" x14ac:dyDescent="0.25"/>
    <row r="273" spans="1:14" s="5" customFormat="1" ht="16.2" hidden="1" outlineLevel="1" thickBot="1" x14ac:dyDescent="0.3"/>
    <row r="274" spans="1:14" s="3" customFormat="1" ht="17.399999999999999" customHeight="1" collapsed="1" thickBot="1" x14ac:dyDescent="0.3">
      <c r="A274" s="5"/>
      <c r="B274" s="15" t="s">
        <v>1279</v>
      </c>
      <c r="C274" s="16" t="s">
        <v>2111</v>
      </c>
      <c r="D274" s="17" t="s">
        <v>1281</v>
      </c>
      <c r="E274" s="16" t="s">
        <v>782</v>
      </c>
      <c r="F274" s="17" t="s">
        <v>1282</v>
      </c>
      <c r="G274" s="18" t="s">
        <v>2112</v>
      </c>
    </row>
    <row r="275" spans="1:14" s="3" customFormat="1" ht="17.399999999999999" hidden="1" customHeight="1" outlineLevel="1" x14ac:dyDescent="0.25">
      <c r="A275" s="5"/>
      <c r="B275" s="19" t="s">
        <v>1284</v>
      </c>
      <c r="C275" s="20" t="s">
        <v>1285</v>
      </c>
      <c r="D275" s="21" t="s">
        <v>1286</v>
      </c>
      <c r="E275" s="20" t="s">
        <v>2113</v>
      </c>
      <c r="F275" s="21" t="s">
        <v>1288</v>
      </c>
      <c r="G275" s="22" t="s">
        <v>1310</v>
      </c>
    </row>
    <row r="276" spans="1:14" s="3" customFormat="1" ht="17.399999999999999" hidden="1" customHeight="1" outlineLevel="1" thickBot="1" x14ac:dyDescent="0.3">
      <c r="A276" s="5"/>
      <c r="B276" s="19" t="s">
        <v>1290</v>
      </c>
      <c r="C276" s="23" t="s">
        <v>1291</v>
      </c>
      <c r="D276" s="21" t="s">
        <v>1292</v>
      </c>
      <c r="E276" s="23">
        <v>5</v>
      </c>
      <c r="F276" s="21" t="s">
        <v>1293</v>
      </c>
      <c r="G276" s="24" t="s">
        <v>1294</v>
      </c>
    </row>
    <row r="277" spans="1:14" s="3" customFormat="1" ht="17.399999999999999" hidden="1" customHeight="1" outlineLevel="1" x14ac:dyDescent="0.25">
      <c r="A277" s="5"/>
      <c r="B277" s="401" t="s">
        <v>1</v>
      </c>
      <c r="C277" s="402"/>
      <c r="D277" s="402"/>
      <c r="E277" s="402"/>
      <c r="F277" s="402"/>
      <c r="G277" s="403"/>
    </row>
    <row r="278" spans="1:14" s="3" customFormat="1" ht="17.399999999999999" hidden="1" customHeight="1" outlineLevel="1" x14ac:dyDescent="0.25">
      <c r="A278" s="5"/>
      <c r="B278" s="25" t="s">
        <v>2</v>
      </c>
      <c r="C278" s="26" t="s">
        <v>3</v>
      </c>
      <c r="D278" s="26" t="s">
        <v>4</v>
      </c>
      <c r="E278" s="26" t="s">
        <v>5</v>
      </c>
      <c r="F278" s="26"/>
      <c r="G278" s="27" t="s">
        <v>6</v>
      </c>
    </row>
    <row r="279" spans="1:14" s="4" customFormat="1" ht="17.399999999999999" hidden="1" customHeight="1" outlineLevel="1" x14ac:dyDescent="0.35">
      <c r="A279" s="5"/>
      <c r="B279" s="57" t="s">
        <v>7</v>
      </c>
      <c r="C279" s="58" t="s">
        <v>1468</v>
      </c>
      <c r="D279" s="58" t="s">
        <v>1469</v>
      </c>
      <c r="E279" s="58">
        <v>0</v>
      </c>
      <c r="F279" s="58" t="s">
        <v>1470</v>
      </c>
      <c r="G279" s="59" t="s">
        <v>1471</v>
      </c>
      <c r="J279" s="4" t="s">
        <v>10</v>
      </c>
      <c r="K279" s="4" t="s">
        <v>173</v>
      </c>
      <c r="L279" s="4" t="s">
        <v>9</v>
      </c>
      <c r="M279" s="4" t="s">
        <v>9</v>
      </c>
      <c r="N279" s="4">
        <v>1112</v>
      </c>
    </row>
    <row r="280" spans="1:14" s="4" customFormat="1" ht="17.399999999999999" hidden="1" customHeight="1" outlineLevel="1" x14ac:dyDescent="0.35">
      <c r="A280" s="5"/>
      <c r="B280" s="57" t="s">
        <v>11</v>
      </c>
      <c r="C280" s="58" t="s">
        <v>1472</v>
      </c>
      <c r="D280" s="58" t="s">
        <v>1469</v>
      </c>
      <c r="E280" s="58">
        <v>0</v>
      </c>
      <c r="F280" s="58" t="s">
        <v>1470</v>
      </c>
      <c r="G280" s="59" t="s">
        <v>1473</v>
      </c>
      <c r="J280" s="4" t="s">
        <v>12</v>
      </c>
      <c r="K280" s="4" t="s">
        <v>174</v>
      </c>
      <c r="L280" s="4" t="s">
        <v>175</v>
      </c>
      <c r="M280" s="4" t="s">
        <v>176</v>
      </c>
      <c r="N280" s="4">
        <v>1700</v>
      </c>
    </row>
    <row r="281" spans="1:14" s="4" customFormat="1" ht="17.399999999999999" hidden="1" customHeight="1" outlineLevel="1" x14ac:dyDescent="0.35">
      <c r="A281" s="5"/>
      <c r="B281" s="60" t="s">
        <v>13</v>
      </c>
      <c r="C281" s="61" t="s">
        <v>1474</v>
      </c>
      <c r="D281" s="61" t="s">
        <v>1469</v>
      </c>
      <c r="E281" s="61">
        <v>0</v>
      </c>
      <c r="F281" s="61" t="s">
        <v>1470</v>
      </c>
      <c r="G281" s="62"/>
      <c r="H281" s="63"/>
      <c r="J281" s="4" t="s">
        <v>10</v>
      </c>
      <c r="K281" s="4" t="s">
        <v>173</v>
      </c>
      <c r="L281" s="4" t="s">
        <v>9</v>
      </c>
      <c r="M281" s="4" t="s">
        <v>9</v>
      </c>
      <c r="N281" s="4">
        <v>2534</v>
      </c>
    </row>
    <row r="282" spans="1:14" s="4" customFormat="1" ht="17.399999999999999" hidden="1" customHeight="1" outlineLevel="1" x14ac:dyDescent="0.35">
      <c r="A282" s="5"/>
      <c r="B282" s="60" t="s">
        <v>14</v>
      </c>
      <c r="C282" s="61" t="s">
        <v>1475</v>
      </c>
      <c r="D282" s="61" t="s">
        <v>1469</v>
      </c>
      <c r="E282" s="61">
        <v>0</v>
      </c>
      <c r="F282" s="61" t="s">
        <v>1476</v>
      </c>
      <c r="G282" s="62" t="s">
        <v>1477</v>
      </c>
      <c r="H282" s="63"/>
      <c r="J282" s="4" t="s">
        <v>10</v>
      </c>
      <c r="K282" s="4" t="s">
        <v>173</v>
      </c>
      <c r="L282" s="4" t="s">
        <v>9</v>
      </c>
      <c r="M282" s="4" t="s">
        <v>9</v>
      </c>
      <c r="N282" s="4">
        <v>2155</v>
      </c>
    </row>
    <row r="283" spans="1:14" s="4" customFormat="1" ht="17.399999999999999" hidden="1" customHeight="1" outlineLevel="1" x14ac:dyDescent="0.35">
      <c r="A283" s="5"/>
      <c r="B283" s="60" t="s">
        <v>15</v>
      </c>
      <c r="C283" s="61" t="s">
        <v>1478</v>
      </c>
      <c r="D283" s="61" t="s">
        <v>1469</v>
      </c>
      <c r="E283" s="61">
        <v>0</v>
      </c>
      <c r="F283" s="61" t="s">
        <v>1470</v>
      </c>
      <c r="G283" s="62"/>
      <c r="H283" s="63"/>
      <c r="J283" s="4" t="s">
        <v>10</v>
      </c>
      <c r="K283" s="4" t="s">
        <v>173</v>
      </c>
      <c r="L283" s="4" t="s">
        <v>9</v>
      </c>
      <c r="M283" s="4" t="s">
        <v>9</v>
      </c>
      <c r="N283" s="4">
        <v>2430</v>
      </c>
    </row>
    <row r="284" spans="1:14" s="4" customFormat="1" ht="17.399999999999999" hidden="1" customHeight="1" outlineLevel="1" x14ac:dyDescent="0.35">
      <c r="A284" s="5"/>
      <c r="B284" s="64" t="s">
        <v>73</v>
      </c>
      <c r="C284" s="65" t="s">
        <v>1528</v>
      </c>
      <c r="D284" s="65" t="s">
        <v>1469</v>
      </c>
      <c r="E284" s="65" t="s">
        <v>1480</v>
      </c>
      <c r="F284" s="65" t="s">
        <v>1481</v>
      </c>
      <c r="G284" s="66"/>
      <c r="H284" s="5"/>
      <c r="I284" s="5"/>
      <c r="J284" s="5" t="s">
        <v>10</v>
      </c>
      <c r="K284" s="5" t="s">
        <v>173</v>
      </c>
      <c r="L284" s="5" t="s">
        <v>9</v>
      </c>
      <c r="M284" s="5" t="s">
        <v>9</v>
      </c>
      <c r="N284" s="4">
        <v>1767</v>
      </c>
    </row>
    <row r="285" spans="1:14" s="4" customFormat="1" ht="17.399999999999999" hidden="1" customHeight="1" outlineLevel="1" x14ac:dyDescent="0.35">
      <c r="A285" s="5"/>
      <c r="B285" s="64" t="s">
        <v>74</v>
      </c>
      <c r="C285" s="65" t="s">
        <v>1529</v>
      </c>
      <c r="D285" s="65" t="s">
        <v>1469</v>
      </c>
      <c r="E285" s="65" t="s">
        <v>1480</v>
      </c>
      <c r="F285" s="65" t="s">
        <v>1481</v>
      </c>
      <c r="G285" s="66"/>
      <c r="H285" s="5"/>
      <c r="I285" s="5"/>
      <c r="J285" s="5" t="s">
        <v>10</v>
      </c>
      <c r="K285" s="5" t="s">
        <v>173</v>
      </c>
      <c r="L285" s="5" t="s">
        <v>9</v>
      </c>
      <c r="M285" s="5" t="s">
        <v>9</v>
      </c>
      <c r="N285" s="4">
        <v>1713</v>
      </c>
    </row>
    <row r="286" spans="1:14" s="4" customFormat="1" ht="17.399999999999999" hidden="1" customHeight="1" outlineLevel="1" x14ac:dyDescent="0.35">
      <c r="A286" s="5"/>
      <c r="B286" s="67" t="s">
        <v>17</v>
      </c>
      <c r="C286" s="84" t="s">
        <v>1483</v>
      </c>
      <c r="D286" s="84" t="s">
        <v>1469</v>
      </c>
      <c r="E286" s="84">
        <v>0</v>
      </c>
      <c r="F286" s="84" t="s">
        <v>1470</v>
      </c>
      <c r="G286" s="85" t="s">
        <v>1484</v>
      </c>
      <c r="H286" s="5"/>
      <c r="I286" s="5"/>
      <c r="J286" s="5" t="s">
        <v>10</v>
      </c>
      <c r="K286" s="5" t="s">
        <v>173</v>
      </c>
      <c r="L286" s="5" t="s">
        <v>9</v>
      </c>
      <c r="M286" s="5" t="s">
        <v>9</v>
      </c>
      <c r="N286" s="4">
        <v>1097</v>
      </c>
    </row>
    <row r="287" spans="1:14" s="4" customFormat="1" ht="17.399999999999999" hidden="1" customHeight="1" outlineLevel="1" thickBot="1" x14ac:dyDescent="0.4">
      <c r="A287" s="5"/>
      <c r="B287" s="91"/>
      <c r="C287" s="92"/>
      <c r="D287" s="92"/>
      <c r="E287" s="92"/>
      <c r="F287" s="92"/>
      <c r="G287" s="93"/>
      <c r="H287" s="5"/>
      <c r="I287" s="5"/>
      <c r="J287" s="5"/>
      <c r="K287" s="5"/>
      <c r="L287" s="5"/>
      <c r="M287" s="5"/>
    </row>
    <row r="288" spans="1:14" s="4" customFormat="1" ht="17.399999999999999" hidden="1" customHeight="1" outlineLevel="1" x14ac:dyDescent="0.35">
      <c r="A288" s="5"/>
      <c r="B288" s="383" t="s">
        <v>18</v>
      </c>
      <c r="C288" s="384"/>
      <c r="D288" s="384"/>
      <c r="E288" s="384"/>
      <c r="F288" s="384"/>
      <c r="G288" s="385"/>
      <c r="H288" s="5"/>
      <c r="I288" s="5"/>
      <c r="J288" s="5"/>
      <c r="K288" s="5"/>
      <c r="L288" s="5"/>
      <c r="M288" s="5"/>
    </row>
    <row r="289" spans="1:14" s="4" customFormat="1" ht="17.399999999999999" hidden="1" customHeight="1" outlineLevel="1" x14ac:dyDescent="0.35">
      <c r="A289" s="5"/>
      <c r="B289" s="94" t="s">
        <v>2</v>
      </c>
      <c r="C289" s="95" t="s">
        <v>3</v>
      </c>
      <c r="D289" s="95" t="s">
        <v>4</v>
      </c>
      <c r="E289" s="95" t="s">
        <v>5</v>
      </c>
      <c r="F289" s="95"/>
      <c r="G289" s="96" t="s">
        <v>6</v>
      </c>
      <c r="H289" s="5"/>
      <c r="I289" s="5"/>
      <c r="J289" s="5"/>
      <c r="K289" s="5"/>
      <c r="L289" s="5"/>
      <c r="M289" s="5"/>
    </row>
    <row r="290" spans="1:14" s="4" customFormat="1" ht="17.399999999999999" hidden="1" customHeight="1" outlineLevel="1" x14ac:dyDescent="0.35">
      <c r="A290" s="5"/>
      <c r="B290" s="67" t="s">
        <v>16</v>
      </c>
      <c r="C290" s="65" t="s">
        <v>1479</v>
      </c>
      <c r="D290" s="65" t="s">
        <v>1469</v>
      </c>
      <c r="E290" s="65" t="s">
        <v>1480</v>
      </c>
      <c r="F290" s="65" t="s">
        <v>1481</v>
      </c>
      <c r="G290" s="66" t="s">
        <v>1482</v>
      </c>
      <c r="H290" s="5"/>
      <c r="I290" s="5"/>
      <c r="J290" s="5"/>
      <c r="K290" s="5"/>
      <c r="L290" s="5"/>
      <c r="M290" s="5"/>
    </row>
    <row r="291" spans="1:14" s="3" customFormat="1" hidden="1" outlineLevel="1" x14ac:dyDescent="0.25">
      <c r="B291" s="68" t="s">
        <v>7</v>
      </c>
      <c r="C291" s="69" t="s">
        <v>1468</v>
      </c>
      <c r="D291" s="69" t="s">
        <v>1469</v>
      </c>
      <c r="E291" s="69">
        <v>0</v>
      </c>
      <c r="F291" s="69" t="s">
        <v>1470</v>
      </c>
      <c r="G291" s="70" t="s">
        <v>1471</v>
      </c>
      <c r="J291" s="3" t="s">
        <v>10</v>
      </c>
      <c r="K291" s="3" t="s">
        <v>173</v>
      </c>
      <c r="L291" s="3" t="s">
        <v>9</v>
      </c>
      <c r="M291" s="3" t="s">
        <v>9</v>
      </c>
      <c r="N291" s="3">
        <v>1112</v>
      </c>
    </row>
    <row r="292" spans="1:14" s="3" customFormat="1" hidden="1" outlineLevel="1" x14ac:dyDescent="0.25">
      <c r="B292" s="68" t="s">
        <v>11</v>
      </c>
      <c r="C292" s="69" t="s">
        <v>1472</v>
      </c>
      <c r="D292" s="69" t="s">
        <v>1469</v>
      </c>
      <c r="E292" s="69">
        <v>0</v>
      </c>
      <c r="F292" s="69" t="s">
        <v>1470</v>
      </c>
      <c r="G292" s="70" t="s">
        <v>1473</v>
      </c>
      <c r="J292" s="3" t="s">
        <v>12</v>
      </c>
      <c r="K292" s="3" t="s">
        <v>174</v>
      </c>
      <c r="L292" s="3" t="s">
        <v>175</v>
      </c>
      <c r="M292" s="3" t="s">
        <v>176</v>
      </c>
      <c r="N292" s="3">
        <v>1700</v>
      </c>
    </row>
    <row r="293" spans="1:14" s="3" customFormat="1" hidden="1" outlineLevel="1" x14ac:dyDescent="0.25">
      <c r="B293" s="68" t="s">
        <v>13</v>
      </c>
      <c r="C293" s="69" t="s">
        <v>1474</v>
      </c>
      <c r="D293" s="69" t="s">
        <v>1469</v>
      </c>
      <c r="E293" s="69">
        <v>0</v>
      </c>
      <c r="F293" s="69" t="s">
        <v>1470</v>
      </c>
      <c r="G293" s="70"/>
      <c r="J293" s="3" t="s">
        <v>10</v>
      </c>
      <c r="K293" s="3" t="s">
        <v>173</v>
      </c>
      <c r="L293" s="3" t="s">
        <v>9</v>
      </c>
      <c r="M293" s="3" t="s">
        <v>9</v>
      </c>
      <c r="N293" s="3">
        <v>2534</v>
      </c>
    </row>
    <row r="294" spans="1:14" s="3" customFormat="1" hidden="1" outlineLevel="1" x14ac:dyDescent="0.25">
      <c r="B294" s="68" t="s">
        <v>14</v>
      </c>
      <c r="C294" s="69" t="s">
        <v>1475</v>
      </c>
      <c r="D294" s="69" t="s">
        <v>1469</v>
      </c>
      <c r="E294" s="69">
        <v>0</v>
      </c>
      <c r="F294" s="69" t="s">
        <v>1476</v>
      </c>
      <c r="G294" s="70" t="s">
        <v>1477</v>
      </c>
      <c r="J294" s="3" t="s">
        <v>10</v>
      </c>
      <c r="K294" s="3" t="s">
        <v>173</v>
      </c>
      <c r="L294" s="3" t="s">
        <v>9</v>
      </c>
      <c r="M294" s="3" t="s">
        <v>9</v>
      </c>
      <c r="N294" s="3">
        <v>2155</v>
      </c>
    </row>
    <row r="295" spans="1:14" s="3" customFormat="1" hidden="1" outlineLevel="1" x14ac:dyDescent="0.25">
      <c r="B295" s="68" t="s">
        <v>15</v>
      </c>
      <c r="C295" s="69" t="s">
        <v>1478</v>
      </c>
      <c r="D295" s="69" t="s">
        <v>1469</v>
      </c>
      <c r="E295" s="69">
        <v>0</v>
      </c>
      <c r="F295" s="69" t="s">
        <v>1470</v>
      </c>
      <c r="G295" s="70"/>
      <c r="J295" s="3" t="s">
        <v>10</v>
      </c>
      <c r="K295" s="3" t="s">
        <v>173</v>
      </c>
      <c r="L295" s="3" t="s">
        <v>9</v>
      </c>
      <c r="M295" s="3" t="s">
        <v>9</v>
      </c>
      <c r="N295" s="3">
        <v>2430</v>
      </c>
    </row>
    <row r="296" spans="1:14" s="3" customFormat="1" hidden="1" outlineLevel="1" x14ac:dyDescent="0.25">
      <c r="B296" s="71" t="s">
        <v>32</v>
      </c>
      <c r="C296" s="72" t="s">
        <v>1496</v>
      </c>
      <c r="D296" s="72" t="s">
        <v>1486</v>
      </c>
      <c r="E296" s="72">
        <v>0</v>
      </c>
      <c r="F296" s="72"/>
      <c r="G296" s="73"/>
      <c r="J296" s="3" t="s">
        <v>20</v>
      </c>
      <c r="K296" s="3" t="s">
        <v>445</v>
      </c>
      <c r="L296" s="3" t="s">
        <v>446</v>
      </c>
      <c r="M296" s="3" t="s">
        <v>446</v>
      </c>
      <c r="N296" s="3">
        <v>2055</v>
      </c>
    </row>
    <row r="297" spans="1:14" s="3" customFormat="1" hidden="1" outlineLevel="1" x14ac:dyDescent="0.25">
      <c r="B297" s="71" t="s">
        <v>22</v>
      </c>
      <c r="C297" s="72" t="s">
        <v>1488</v>
      </c>
      <c r="D297" s="72" t="s">
        <v>1489</v>
      </c>
      <c r="E297" s="72">
        <v>0</v>
      </c>
      <c r="F297" s="72" t="s">
        <v>1470</v>
      </c>
      <c r="G297" s="73" t="s">
        <v>1490</v>
      </c>
      <c r="J297" s="3" t="s">
        <v>20</v>
      </c>
      <c r="K297" s="3" t="s">
        <v>445</v>
      </c>
      <c r="L297" s="3" t="s">
        <v>446</v>
      </c>
      <c r="M297" s="3" t="s">
        <v>446</v>
      </c>
      <c r="N297" s="3">
        <v>2052</v>
      </c>
    </row>
    <row r="298" spans="1:14" s="3" customFormat="1" hidden="1" outlineLevel="1" x14ac:dyDescent="0.25">
      <c r="B298" s="28" t="s">
        <v>26</v>
      </c>
      <c r="C298" s="29" t="s">
        <v>1493</v>
      </c>
      <c r="D298" s="29" t="s">
        <v>1494</v>
      </c>
      <c r="E298" s="29">
        <v>0</v>
      </c>
      <c r="F298" s="29" t="s">
        <v>1470</v>
      </c>
      <c r="G298" s="30"/>
      <c r="J298" s="3" t="s">
        <v>20</v>
      </c>
      <c r="K298" s="3" t="s">
        <v>445</v>
      </c>
      <c r="L298" s="3" t="s">
        <v>446</v>
      </c>
      <c r="M298" s="3" t="s">
        <v>446</v>
      </c>
      <c r="N298" s="3">
        <v>2183</v>
      </c>
    </row>
    <row r="299" spans="1:14" s="4" customFormat="1" ht="17.399999999999999" hidden="1" customHeight="1" outlineLevel="1" x14ac:dyDescent="0.35">
      <c r="A299" s="5"/>
      <c r="B299" s="74" t="s">
        <v>27</v>
      </c>
      <c r="C299" s="75" t="s">
        <v>1495</v>
      </c>
      <c r="D299" s="75" t="s">
        <v>1489</v>
      </c>
      <c r="E299" s="75">
        <v>0</v>
      </c>
      <c r="F299" s="75" t="s">
        <v>1470</v>
      </c>
      <c r="G299" s="76"/>
      <c r="H299" s="5"/>
      <c r="I299" s="5"/>
      <c r="J299" s="5" t="s">
        <v>20</v>
      </c>
      <c r="K299" s="5" t="s">
        <v>445</v>
      </c>
      <c r="L299" s="5" t="s">
        <v>446</v>
      </c>
      <c r="M299" s="5" t="s">
        <v>446</v>
      </c>
    </row>
    <row r="300" spans="1:14" s="3" customFormat="1" hidden="1" outlineLevel="1" x14ac:dyDescent="0.25">
      <c r="A300" s="77"/>
      <c r="B300" s="78" t="s">
        <v>33</v>
      </c>
      <c r="C300" s="79" t="s">
        <v>1497</v>
      </c>
      <c r="D300" s="79" t="s">
        <v>1486</v>
      </c>
      <c r="E300" s="79">
        <v>0</v>
      </c>
      <c r="F300" s="79"/>
      <c r="G300" s="80"/>
      <c r="H300" s="3" t="str">
        <f t="shared" ref="H300:H326" si="2">"TRUNCATE TABLE "&amp;C300&amp;";#"&amp;E300</f>
        <v>TRUNCATE TABLE total_long_curr_qty;#0</v>
      </c>
    </row>
    <row r="301" spans="1:14" s="3" customFormat="1" ht="16.5" hidden="1" customHeight="1" outlineLevel="1" x14ac:dyDescent="0.25">
      <c r="A301" s="77"/>
      <c r="B301" s="78" t="s">
        <v>34</v>
      </c>
      <c r="C301" s="79" t="s">
        <v>1498</v>
      </c>
      <c r="D301" s="79" t="s">
        <v>1486</v>
      </c>
      <c r="E301" s="79">
        <v>0</v>
      </c>
      <c r="F301" s="79"/>
      <c r="G301" s="80"/>
      <c r="H301" s="3" t="str">
        <f t="shared" si="2"/>
        <v>TRUNCATE TABLE total_short_curr_qty;#0</v>
      </c>
    </row>
    <row r="302" spans="1:14" s="3" customFormat="1" hidden="1" outlineLevel="1" x14ac:dyDescent="0.25">
      <c r="A302" s="77"/>
      <c r="B302" s="78" t="s">
        <v>35</v>
      </c>
      <c r="C302" s="79" t="s">
        <v>1499</v>
      </c>
      <c r="D302" s="79" t="s">
        <v>1489</v>
      </c>
      <c r="E302" s="79">
        <v>0</v>
      </c>
      <c r="F302" s="79"/>
      <c r="G302" s="80"/>
      <c r="H302" s="3" t="str">
        <f t="shared" si="2"/>
        <v>TRUNCATE TABLE total_long_open_posi_value;#0</v>
      </c>
    </row>
    <row r="303" spans="1:14" s="3" customFormat="1" hidden="1" outlineLevel="1" x14ac:dyDescent="0.25">
      <c r="A303" s="77"/>
      <c r="B303" s="78" t="s">
        <v>36</v>
      </c>
      <c r="C303" s="79" t="s">
        <v>1500</v>
      </c>
      <c r="D303" s="79" t="s">
        <v>1489</v>
      </c>
      <c r="E303" s="79">
        <v>0</v>
      </c>
      <c r="F303" s="79"/>
      <c r="G303" s="80"/>
      <c r="H303" s="3" t="str">
        <f t="shared" si="2"/>
        <v>TRUNCATE TABLE total_short_open_posi_value;#0</v>
      </c>
    </row>
    <row r="304" spans="1:14" s="3" customFormat="1" hidden="1" outlineLevel="1" x14ac:dyDescent="0.25">
      <c r="A304" s="77"/>
      <c r="B304" s="78" t="s">
        <v>37</v>
      </c>
      <c r="C304" s="79" t="s">
        <v>1501</v>
      </c>
      <c r="D304" s="79" t="s">
        <v>1489</v>
      </c>
      <c r="E304" s="79">
        <v>0</v>
      </c>
      <c r="F304" s="79"/>
      <c r="G304" s="80"/>
      <c r="H304" s="3" t="str">
        <f t="shared" si="2"/>
        <v>TRUNCATE TABLE total_long_open_posi_fee;#0</v>
      </c>
    </row>
    <row r="305" spans="1:8" s="3" customFormat="1" hidden="1" outlineLevel="1" x14ac:dyDescent="0.25">
      <c r="A305" s="77"/>
      <c r="B305" s="78" t="s">
        <v>38</v>
      </c>
      <c r="C305" s="79" t="s">
        <v>1502</v>
      </c>
      <c r="D305" s="79" t="s">
        <v>1489</v>
      </c>
      <c r="E305" s="79">
        <v>0</v>
      </c>
      <c r="F305" s="79"/>
      <c r="G305" s="80"/>
      <c r="H305" s="3" t="str">
        <f t="shared" si="2"/>
        <v>TRUNCATE TABLE total_short_open_posi_fee;#0</v>
      </c>
    </row>
    <row r="306" spans="1:8" s="3" customFormat="1" hidden="1" outlineLevel="1" x14ac:dyDescent="0.25">
      <c r="A306" s="77"/>
      <c r="B306" s="78" t="s">
        <v>39</v>
      </c>
      <c r="C306" s="79" t="s">
        <v>1503</v>
      </c>
      <c r="D306" s="79" t="s">
        <v>1489</v>
      </c>
      <c r="E306" s="79">
        <v>0</v>
      </c>
      <c r="F306" s="79"/>
      <c r="G306" s="80"/>
      <c r="H306" s="3" t="str">
        <f t="shared" si="2"/>
        <v>TRUNCATE TABLE total_long_close_posi_value;#0</v>
      </c>
    </row>
    <row r="307" spans="1:8" s="3" customFormat="1" hidden="1" outlineLevel="1" x14ac:dyDescent="0.25">
      <c r="A307" s="77"/>
      <c r="B307" s="78" t="s">
        <v>40</v>
      </c>
      <c r="C307" s="79" t="s">
        <v>1504</v>
      </c>
      <c r="D307" s="79" t="s">
        <v>1489</v>
      </c>
      <c r="E307" s="79">
        <v>0</v>
      </c>
      <c r="F307" s="79"/>
      <c r="G307" s="80"/>
      <c r="H307" s="3" t="str">
        <f t="shared" si="2"/>
        <v>TRUNCATE TABLE total_short_close_posi_value;#0</v>
      </c>
    </row>
    <row r="308" spans="1:8" s="3" customFormat="1" hidden="1" outlineLevel="1" x14ac:dyDescent="0.25">
      <c r="A308" s="77"/>
      <c r="B308" s="78" t="s">
        <v>41</v>
      </c>
      <c r="C308" s="79" t="s">
        <v>1505</v>
      </c>
      <c r="D308" s="79" t="s">
        <v>1486</v>
      </c>
      <c r="E308" s="79">
        <v>0</v>
      </c>
      <c r="F308" s="79"/>
      <c r="G308" s="80"/>
      <c r="H308" s="3" t="str">
        <f t="shared" si="2"/>
        <v>TRUNCATE TABLE total_long_close_posi_qty;#0</v>
      </c>
    </row>
    <row r="309" spans="1:8" s="3" customFormat="1" hidden="1" outlineLevel="1" x14ac:dyDescent="0.25">
      <c r="A309" s="77"/>
      <c r="B309" s="78" t="s">
        <v>42</v>
      </c>
      <c r="C309" s="79" t="s">
        <v>1506</v>
      </c>
      <c r="D309" s="79" t="s">
        <v>1486</v>
      </c>
      <c r="E309" s="79">
        <v>0</v>
      </c>
      <c r="F309" s="79"/>
      <c r="G309" s="80"/>
      <c r="H309" s="3" t="str">
        <f t="shared" si="2"/>
        <v>TRUNCATE TABLE total_short_close_posi_qty;#0</v>
      </c>
    </row>
    <row r="310" spans="1:8" s="3" customFormat="1" hidden="1" outlineLevel="1" x14ac:dyDescent="0.25">
      <c r="A310" s="77"/>
      <c r="B310" s="78" t="s">
        <v>43</v>
      </c>
      <c r="C310" s="79" t="s">
        <v>1507</v>
      </c>
      <c r="D310" s="79" t="s">
        <v>1489</v>
      </c>
      <c r="E310" s="79">
        <v>0</v>
      </c>
      <c r="F310" s="79"/>
      <c r="G310" s="80"/>
      <c r="H310" s="3" t="str">
        <f t="shared" si="2"/>
        <v>TRUNCATE TABLE total_long_close_posi_fee;#0</v>
      </c>
    </row>
    <row r="311" spans="1:8" s="3" customFormat="1" hidden="1" outlineLevel="1" x14ac:dyDescent="0.25">
      <c r="A311" s="77"/>
      <c r="B311" s="78" t="s">
        <v>44</v>
      </c>
      <c r="C311" s="79" t="s">
        <v>1508</v>
      </c>
      <c r="D311" s="79" t="s">
        <v>1489</v>
      </c>
      <c r="E311" s="79">
        <v>0</v>
      </c>
      <c r="F311" s="79"/>
      <c r="G311" s="80"/>
      <c r="H311" s="3" t="str">
        <f t="shared" si="2"/>
        <v>TRUNCATE TABLE total_short_close_posi_fee;#0</v>
      </c>
    </row>
    <row r="312" spans="1:8" s="3" customFormat="1" hidden="1" outlineLevel="1" x14ac:dyDescent="0.25">
      <c r="A312" s="77"/>
      <c r="B312" s="78" t="s">
        <v>45</v>
      </c>
      <c r="C312" s="79" t="s">
        <v>1509</v>
      </c>
      <c r="D312" s="79" t="s">
        <v>1489</v>
      </c>
      <c r="E312" s="79">
        <v>0</v>
      </c>
      <c r="F312" s="79"/>
      <c r="G312" s="80"/>
      <c r="H312" s="3" t="str">
        <f t="shared" si="2"/>
        <v>TRUNCATE TABLE total_realize_pandl;#0</v>
      </c>
    </row>
    <row r="313" spans="1:8" s="3" customFormat="1" hidden="1" outlineLevel="1" x14ac:dyDescent="0.25">
      <c r="A313" s="77"/>
      <c r="B313" s="28" t="s">
        <v>46</v>
      </c>
      <c r="C313" s="79" t="s">
        <v>1510</v>
      </c>
      <c r="D313" s="79" t="s">
        <v>1486</v>
      </c>
      <c r="E313" s="79">
        <v>0</v>
      </c>
      <c r="F313" s="79" t="s">
        <v>1470</v>
      </c>
      <c r="G313" s="80"/>
      <c r="H313" s="3" t="str">
        <f t="shared" si="2"/>
        <v>TRUNCATE TABLE long_curr_qty;#0</v>
      </c>
    </row>
    <row r="314" spans="1:8" s="3" customFormat="1" hidden="1" outlineLevel="1" x14ac:dyDescent="0.25">
      <c r="A314" s="77"/>
      <c r="B314" s="28" t="s">
        <v>47</v>
      </c>
      <c r="C314" s="79" t="s">
        <v>1511</v>
      </c>
      <c r="D314" s="79" t="s">
        <v>1486</v>
      </c>
      <c r="E314" s="79">
        <v>0</v>
      </c>
      <c r="F314" s="79" t="s">
        <v>1470</v>
      </c>
      <c r="G314" s="80"/>
      <c r="H314" s="3" t="str">
        <f t="shared" si="2"/>
        <v>TRUNCATE TABLE short_curr_qty;#0</v>
      </c>
    </row>
    <row r="315" spans="1:8" s="3" customFormat="1" hidden="1" outlineLevel="1" x14ac:dyDescent="0.25">
      <c r="A315" s="77"/>
      <c r="B315" s="28" t="s">
        <v>48</v>
      </c>
      <c r="C315" s="79" t="s">
        <v>1512</v>
      </c>
      <c r="D315" s="79" t="s">
        <v>1489</v>
      </c>
      <c r="E315" s="79">
        <v>0</v>
      </c>
      <c r="F315" s="79"/>
      <c r="G315" s="80"/>
      <c r="H315" s="3" t="str">
        <f t="shared" si="2"/>
        <v>TRUNCATE TABLE long_open_posi_value;#0</v>
      </c>
    </row>
    <row r="316" spans="1:8" s="3" customFormat="1" hidden="1" outlineLevel="1" x14ac:dyDescent="0.25">
      <c r="A316" s="77"/>
      <c r="B316" s="28" t="s">
        <v>49</v>
      </c>
      <c r="C316" s="79" t="s">
        <v>1513</v>
      </c>
      <c r="D316" s="79" t="s">
        <v>1489</v>
      </c>
      <c r="E316" s="79">
        <v>0</v>
      </c>
      <c r="F316" s="79"/>
      <c r="G316" s="80"/>
      <c r="H316" s="3" t="str">
        <f t="shared" si="2"/>
        <v>TRUNCATE TABLE short_open_posi_value;#0</v>
      </c>
    </row>
    <row r="317" spans="1:8" s="3" customFormat="1" hidden="1" outlineLevel="1" x14ac:dyDescent="0.25">
      <c r="A317" s="77"/>
      <c r="B317" s="28" t="s">
        <v>50</v>
      </c>
      <c r="C317" s="79" t="s">
        <v>1514</v>
      </c>
      <c r="D317" s="79" t="s">
        <v>1489</v>
      </c>
      <c r="E317" s="79">
        <v>0</v>
      </c>
      <c r="F317" s="79" t="s">
        <v>1470</v>
      </c>
      <c r="G317" s="80"/>
      <c r="H317" s="3" t="str">
        <f t="shared" si="2"/>
        <v>TRUNCATE TABLE long_open_posi_fee;#0</v>
      </c>
    </row>
    <row r="318" spans="1:8" s="3" customFormat="1" hidden="1" outlineLevel="1" x14ac:dyDescent="0.25">
      <c r="A318" s="77"/>
      <c r="B318" s="28" t="s">
        <v>51</v>
      </c>
      <c r="C318" s="79" t="s">
        <v>1515</v>
      </c>
      <c r="D318" s="79" t="s">
        <v>1489</v>
      </c>
      <c r="E318" s="79">
        <v>0</v>
      </c>
      <c r="F318" s="79" t="s">
        <v>1470</v>
      </c>
      <c r="G318" s="80"/>
      <c r="H318" s="3" t="str">
        <f t="shared" si="2"/>
        <v>TRUNCATE TABLE short_open_posi_fee;#0</v>
      </c>
    </row>
    <row r="319" spans="1:8" s="3" customFormat="1" hidden="1" outlineLevel="1" x14ac:dyDescent="0.25">
      <c r="A319" s="77"/>
      <c r="B319" s="28" t="s">
        <v>52</v>
      </c>
      <c r="C319" s="79" t="s">
        <v>1516</v>
      </c>
      <c r="D319" s="79" t="s">
        <v>1486</v>
      </c>
      <c r="E319" s="79">
        <v>0</v>
      </c>
      <c r="F319" s="79" t="s">
        <v>1470</v>
      </c>
      <c r="G319" s="80"/>
      <c r="H319" s="3" t="str">
        <f t="shared" si="2"/>
        <v>TRUNCATE TABLE long_close_posi_qty;#0</v>
      </c>
    </row>
    <row r="320" spans="1:8" s="3" customFormat="1" hidden="1" outlineLevel="1" x14ac:dyDescent="0.25">
      <c r="A320" s="77"/>
      <c r="B320" s="28" t="s">
        <v>53</v>
      </c>
      <c r="C320" s="79" t="s">
        <v>1517</v>
      </c>
      <c r="D320" s="79" t="s">
        <v>1486</v>
      </c>
      <c r="E320" s="79">
        <v>0</v>
      </c>
      <c r="F320" s="79" t="s">
        <v>1470</v>
      </c>
      <c r="G320" s="80"/>
      <c r="H320" s="3" t="str">
        <f t="shared" si="2"/>
        <v>TRUNCATE TABLE short_close_posi_qty;#0</v>
      </c>
    </row>
    <row r="321" spans="1:13" s="3" customFormat="1" hidden="1" outlineLevel="1" x14ac:dyDescent="0.25">
      <c r="A321" s="77"/>
      <c r="B321" s="28" t="s">
        <v>54</v>
      </c>
      <c r="C321" s="79" t="s">
        <v>1518</v>
      </c>
      <c r="D321" s="79" t="s">
        <v>1489</v>
      </c>
      <c r="E321" s="79">
        <v>0</v>
      </c>
      <c r="F321" s="79"/>
      <c r="G321" s="80"/>
      <c r="H321" s="3" t="str">
        <f t="shared" si="2"/>
        <v>TRUNCATE TABLE long_close_posi_value;#0</v>
      </c>
    </row>
    <row r="322" spans="1:13" s="3" customFormat="1" hidden="1" outlineLevel="1" x14ac:dyDescent="0.25">
      <c r="A322" s="77"/>
      <c r="B322" s="28" t="s">
        <v>55</v>
      </c>
      <c r="C322" s="79" t="s">
        <v>1519</v>
      </c>
      <c r="D322" s="79" t="s">
        <v>1489</v>
      </c>
      <c r="E322" s="79">
        <v>0</v>
      </c>
      <c r="F322" s="79"/>
      <c r="G322" s="80"/>
      <c r="H322" s="3" t="str">
        <f t="shared" si="2"/>
        <v>TRUNCATE TABLE short_close_posi_value;#0</v>
      </c>
    </row>
    <row r="323" spans="1:13" s="3" customFormat="1" hidden="1" outlineLevel="1" x14ac:dyDescent="0.25">
      <c r="A323" s="77"/>
      <c r="B323" s="28" t="s">
        <v>56</v>
      </c>
      <c r="C323" s="79" t="s">
        <v>1520</v>
      </c>
      <c r="D323" s="79" t="s">
        <v>1489</v>
      </c>
      <c r="E323" s="79">
        <v>0</v>
      </c>
      <c r="F323" s="79"/>
      <c r="G323" s="80"/>
      <c r="H323" s="3" t="str">
        <f t="shared" si="2"/>
        <v>TRUNCATE TABLE long_close_posi_fee;#0</v>
      </c>
    </row>
    <row r="324" spans="1:13" s="3" customFormat="1" hidden="1" outlineLevel="1" x14ac:dyDescent="0.25">
      <c r="A324" s="77"/>
      <c r="B324" s="28" t="s">
        <v>57</v>
      </c>
      <c r="C324" s="79" t="s">
        <v>1521</v>
      </c>
      <c r="D324" s="79" t="s">
        <v>1489</v>
      </c>
      <c r="E324" s="79">
        <v>0</v>
      </c>
      <c r="F324" s="79"/>
      <c r="G324" s="80"/>
      <c r="H324" s="3" t="str">
        <f t="shared" si="2"/>
        <v>TRUNCATE TABLE short_close_posi_fee;#0</v>
      </c>
    </row>
    <row r="325" spans="1:13" s="3" customFormat="1" hidden="1" outlineLevel="1" x14ac:dyDescent="0.25">
      <c r="A325" s="77"/>
      <c r="B325" s="81" t="s">
        <v>24</v>
      </c>
      <c r="C325" s="79" t="s">
        <v>1491</v>
      </c>
      <c r="D325" s="79" t="s">
        <v>1489</v>
      </c>
      <c r="E325" s="79">
        <v>0</v>
      </c>
      <c r="F325" s="79" t="s">
        <v>1470</v>
      </c>
      <c r="G325" s="80"/>
      <c r="H325" s="3" t="str">
        <f t="shared" si="2"/>
        <v>TRUNCATE TABLE realize_pandl;#0</v>
      </c>
    </row>
    <row r="326" spans="1:13" s="3" customFormat="1" hidden="1" outlineLevel="1" x14ac:dyDescent="0.25">
      <c r="A326" s="77"/>
      <c r="B326" s="81" t="s">
        <v>58</v>
      </c>
      <c r="C326" s="79" t="s">
        <v>1522</v>
      </c>
      <c r="D326" s="79" t="s">
        <v>1489</v>
      </c>
      <c r="E326" s="79">
        <v>0</v>
      </c>
      <c r="F326" s="79" t="s">
        <v>1470</v>
      </c>
      <c r="G326" s="80"/>
      <c r="H326" s="3" t="str">
        <f t="shared" si="2"/>
        <v>TRUNCATE TABLE over_night_pandl;#0</v>
      </c>
    </row>
    <row r="327" spans="1:13" s="4" customFormat="1" ht="17.399999999999999" hidden="1" customHeight="1" outlineLevel="1" thickBot="1" x14ac:dyDescent="0.4">
      <c r="A327" s="5"/>
      <c r="B327" s="67"/>
      <c r="C327" s="84"/>
      <c r="D327" s="84"/>
      <c r="E327" s="84"/>
      <c r="F327" s="84"/>
      <c r="G327" s="85"/>
      <c r="H327" s="5"/>
      <c r="I327" s="5"/>
      <c r="J327" s="5"/>
      <c r="K327" s="5"/>
      <c r="L327" s="5"/>
      <c r="M327" s="5"/>
    </row>
    <row r="328" spans="1:13" s="4" customFormat="1" ht="17.399999999999999" hidden="1" customHeight="1" outlineLevel="1" x14ac:dyDescent="0.35">
      <c r="A328" s="5"/>
      <c r="B328" s="386" t="s">
        <v>28</v>
      </c>
      <c r="C328" s="387"/>
      <c r="D328" s="387"/>
      <c r="E328" s="387"/>
      <c r="F328" s="387"/>
      <c r="G328" s="388"/>
      <c r="H328" s="5"/>
      <c r="I328" s="5"/>
      <c r="J328" s="5"/>
      <c r="K328" s="5"/>
      <c r="L328" s="5"/>
      <c r="M328" s="5"/>
    </row>
    <row r="329" spans="1:13" s="4" customFormat="1" ht="17.399999999999999" hidden="1" customHeight="1" outlineLevel="1" x14ac:dyDescent="0.35">
      <c r="A329" s="5"/>
      <c r="B329" s="32" t="s">
        <v>2</v>
      </c>
      <c r="C329" s="33" t="s">
        <v>3</v>
      </c>
      <c r="D329" s="33" t="s">
        <v>4</v>
      </c>
      <c r="E329" s="33"/>
      <c r="F329" s="33"/>
      <c r="G329" s="34" t="s">
        <v>6</v>
      </c>
      <c r="H329" s="5"/>
      <c r="I329" s="5"/>
      <c r="J329" s="5"/>
      <c r="K329" s="5"/>
      <c r="L329" s="5"/>
      <c r="M329" s="5"/>
    </row>
    <row r="330" spans="1:13" s="4" customFormat="1" ht="17.399999999999999" hidden="1" customHeight="1" outlineLevel="1" thickBot="1" x14ac:dyDescent="0.4">
      <c r="A330" s="5"/>
      <c r="B330" s="97"/>
      <c r="C330" s="98"/>
      <c r="D330" s="98"/>
      <c r="E330" s="98"/>
      <c r="F330" s="98"/>
      <c r="G330" s="99"/>
      <c r="H330" s="5"/>
      <c r="I330" s="5"/>
      <c r="J330" s="5"/>
      <c r="K330" s="5"/>
      <c r="L330" s="5"/>
      <c r="M330" s="5"/>
    </row>
    <row r="331" spans="1:13" s="4" customFormat="1" ht="17.399999999999999" hidden="1" customHeight="1" outlineLevel="1" x14ac:dyDescent="0.35">
      <c r="A331" s="5"/>
      <c r="B331" s="380" t="s">
        <v>29</v>
      </c>
      <c r="C331" s="381"/>
      <c r="D331" s="381"/>
      <c r="E331" s="381"/>
      <c r="F331" s="381"/>
      <c r="G331" s="382"/>
      <c r="H331" s="5"/>
      <c r="I331" s="5"/>
      <c r="J331" s="5"/>
      <c r="K331" s="5"/>
      <c r="L331" s="5"/>
      <c r="M331" s="5"/>
    </row>
    <row r="332" spans="1:13" s="3" customFormat="1" hidden="1" outlineLevel="1" x14ac:dyDescent="0.25">
      <c r="A332" s="5"/>
      <c r="B332" s="31"/>
      <c r="C332" s="20"/>
      <c r="D332" s="20"/>
      <c r="E332" s="20"/>
      <c r="F332" s="20"/>
      <c r="G332" s="22"/>
    </row>
    <row r="333" spans="1:13" s="3" customFormat="1" hidden="1" outlineLevel="1" x14ac:dyDescent="0.25">
      <c r="A333" s="5"/>
      <c r="B333" s="82" t="s">
        <v>728</v>
      </c>
      <c r="C333" s="20"/>
      <c r="D333" s="20"/>
      <c r="E333" s="20"/>
      <c r="F333" s="20"/>
      <c r="G333" s="22"/>
    </row>
    <row r="334" spans="1:13" s="4" customFormat="1" hidden="1" outlineLevel="1" x14ac:dyDescent="0.35">
      <c r="A334" s="3"/>
      <c r="B334" s="83" t="s">
        <v>729</v>
      </c>
      <c r="C334" s="65"/>
      <c r="D334" s="65"/>
      <c r="E334" s="65"/>
      <c r="F334" s="65"/>
      <c r="G334" s="66"/>
      <c r="H334" s="5"/>
      <c r="I334" s="5"/>
      <c r="J334" s="5"/>
      <c r="K334" s="5"/>
    </row>
    <row r="335" spans="1:13" s="4" customFormat="1" hidden="1" outlineLevel="1" x14ac:dyDescent="0.35">
      <c r="A335" s="3"/>
      <c r="B335" s="82"/>
      <c r="C335" s="84"/>
      <c r="D335" s="84"/>
      <c r="E335" s="84"/>
      <c r="F335" s="84"/>
      <c r="G335" s="85"/>
      <c r="H335" s="5"/>
      <c r="I335" s="5"/>
      <c r="J335" s="5"/>
      <c r="K335" s="5"/>
    </row>
    <row r="336" spans="1:13" s="3" customFormat="1" hidden="1" outlineLevel="1" x14ac:dyDescent="0.25">
      <c r="A336" s="5"/>
      <c r="B336" s="31" t="s">
        <v>702</v>
      </c>
      <c r="C336" s="20"/>
      <c r="D336" s="20"/>
      <c r="E336" s="20"/>
      <c r="F336" s="20"/>
      <c r="G336" s="22"/>
    </row>
    <row r="337" spans="1:7" s="3" customFormat="1" hidden="1" outlineLevel="1" x14ac:dyDescent="0.25">
      <c r="A337" s="5"/>
      <c r="B337" s="31" t="s">
        <v>779</v>
      </c>
      <c r="C337" s="20"/>
      <c r="D337" s="20"/>
      <c r="E337" s="20"/>
      <c r="F337" s="20"/>
      <c r="G337" s="22"/>
    </row>
    <row r="338" spans="1:7" s="3" customFormat="1" hidden="1" outlineLevel="1" x14ac:dyDescent="0.25">
      <c r="A338" s="5"/>
      <c r="B338" s="46" t="s">
        <v>731</v>
      </c>
      <c r="C338" s="20"/>
      <c r="D338" s="20"/>
      <c r="E338" s="20"/>
      <c r="F338" s="20"/>
      <c r="G338" s="22"/>
    </row>
    <row r="339" spans="1:7" s="3" customFormat="1" hidden="1" outlineLevel="1" x14ac:dyDescent="0.25">
      <c r="A339" s="5"/>
      <c r="B339" s="49" t="s">
        <v>732</v>
      </c>
      <c r="C339" s="20"/>
      <c r="D339" s="20"/>
      <c r="E339" s="20"/>
      <c r="F339" s="20"/>
      <c r="G339" s="22"/>
    </row>
    <row r="340" spans="1:7" s="3" customFormat="1" hidden="1" outlineLevel="1" x14ac:dyDescent="0.25">
      <c r="A340" s="5"/>
      <c r="B340" s="49"/>
      <c r="C340" s="20"/>
      <c r="D340" s="20"/>
      <c r="E340" s="20"/>
      <c r="F340" s="20"/>
      <c r="G340" s="22"/>
    </row>
    <row r="341" spans="1:7" s="3" customFormat="1" hidden="1" outlineLevel="1" x14ac:dyDescent="0.25">
      <c r="A341" s="5"/>
      <c r="B341" s="86" t="s">
        <v>733</v>
      </c>
      <c r="C341" s="20"/>
      <c r="D341" s="20"/>
      <c r="E341" s="20"/>
      <c r="F341" s="20"/>
      <c r="G341" s="22"/>
    </row>
    <row r="342" spans="1:7" s="3" customFormat="1" hidden="1" outlineLevel="1" x14ac:dyDescent="0.25">
      <c r="A342" s="5"/>
      <c r="B342" s="86" t="s">
        <v>734</v>
      </c>
      <c r="C342" s="20"/>
      <c r="D342" s="20"/>
      <c r="E342" s="20"/>
      <c r="F342" s="20"/>
      <c r="G342" s="22"/>
    </row>
    <row r="343" spans="1:7" s="3" customFormat="1" hidden="1" outlineLevel="1" x14ac:dyDescent="0.25">
      <c r="A343" s="5"/>
      <c r="B343" s="86" t="s">
        <v>735</v>
      </c>
      <c r="C343" s="20"/>
      <c r="D343" s="20"/>
      <c r="E343" s="20"/>
      <c r="F343" s="20"/>
      <c r="G343" s="22"/>
    </row>
    <row r="344" spans="1:7" s="3" customFormat="1" hidden="1" outlineLevel="1" x14ac:dyDescent="0.25">
      <c r="A344" s="5"/>
      <c r="B344" s="86" t="s">
        <v>736</v>
      </c>
      <c r="C344" s="20"/>
      <c r="D344" s="20"/>
      <c r="E344" s="20"/>
      <c r="F344" s="20"/>
      <c r="G344" s="22"/>
    </row>
    <row r="345" spans="1:7" s="3" customFormat="1" hidden="1" outlineLevel="1" x14ac:dyDescent="0.25">
      <c r="A345" s="5"/>
      <c r="B345" s="86" t="s">
        <v>737</v>
      </c>
      <c r="C345" s="20"/>
      <c r="D345" s="20"/>
      <c r="E345" s="20"/>
      <c r="F345" s="20"/>
      <c r="G345" s="22"/>
    </row>
    <row r="346" spans="1:7" s="3" customFormat="1" hidden="1" outlineLevel="1" x14ac:dyDescent="0.25">
      <c r="A346" s="5"/>
      <c r="B346" s="86" t="s">
        <v>738</v>
      </c>
      <c r="C346" s="20"/>
      <c r="D346" s="20"/>
      <c r="E346" s="20"/>
      <c r="F346" s="20"/>
      <c r="G346" s="22"/>
    </row>
    <row r="347" spans="1:7" s="3" customFormat="1" hidden="1" outlineLevel="1" x14ac:dyDescent="0.25">
      <c r="A347" s="5"/>
      <c r="B347" s="86" t="s">
        <v>739</v>
      </c>
      <c r="C347" s="20"/>
      <c r="D347" s="20"/>
      <c r="E347" s="20"/>
      <c r="F347" s="20"/>
      <c r="G347" s="22"/>
    </row>
    <row r="348" spans="1:7" s="3" customFormat="1" hidden="1" outlineLevel="1" x14ac:dyDescent="0.25">
      <c r="A348" s="5"/>
      <c r="B348" s="86" t="s">
        <v>740</v>
      </c>
      <c r="C348" s="20"/>
      <c r="D348" s="20"/>
      <c r="E348" s="20"/>
      <c r="F348" s="20"/>
      <c r="G348" s="22"/>
    </row>
    <row r="349" spans="1:7" s="3" customFormat="1" hidden="1" outlineLevel="1" x14ac:dyDescent="0.25">
      <c r="A349" s="5"/>
      <c r="B349" s="86" t="s">
        <v>741</v>
      </c>
      <c r="C349" s="20"/>
      <c r="D349" s="20"/>
      <c r="E349" s="20"/>
      <c r="F349" s="20"/>
      <c r="G349" s="22"/>
    </row>
    <row r="350" spans="1:7" s="3" customFormat="1" hidden="1" outlineLevel="1" x14ac:dyDescent="0.25">
      <c r="A350" s="5"/>
      <c r="B350" s="86" t="s">
        <v>742</v>
      </c>
      <c r="C350" s="20"/>
      <c r="D350" s="20"/>
      <c r="E350" s="20"/>
      <c r="F350" s="20"/>
      <c r="G350" s="22"/>
    </row>
    <row r="351" spans="1:7" s="3" customFormat="1" hidden="1" outlineLevel="1" x14ac:dyDescent="0.25">
      <c r="A351" s="5"/>
      <c r="B351" s="86" t="s">
        <v>743</v>
      </c>
      <c r="C351" s="20"/>
      <c r="D351" s="20"/>
      <c r="E351" s="20"/>
      <c r="F351" s="20"/>
      <c r="G351" s="22"/>
    </row>
    <row r="352" spans="1:7" s="3" customFormat="1" hidden="1" outlineLevel="1" x14ac:dyDescent="0.25">
      <c r="A352" s="5"/>
      <c r="B352" s="86" t="s">
        <v>744</v>
      </c>
      <c r="C352" s="20"/>
      <c r="D352" s="20"/>
      <c r="E352" s="20"/>
      <c r="F352" s="20"/>
      <c r="G352" s="22"/>
    </row>
    <row r="353" spans="1:7" s="3" customFormat="1" hidden="1" outlineLevel="1" x14ac:dyDescent="0.25">
      <c r="A353" s="5"/>
      <c r="B353" s="86" t="s">
        <v>745</v>
      </c>
      <c r="C353" s="20"/>
      <c r="D353" s="20"/>
      <c r="E353" s="20"/>
      <c r="F353" s="20"/>
      <c r="G353" s="22"/>
    </row>
    <row r="354" spans="1:7" s="3" customFormat="1" hidden="1" outlineLevel="1" x14ac:dyDescent="0.25">
      <c r="A354" s="5"/>
      <c r="B354" s="49"/>
      <c r="C354" s="20"/>
      <c r="D354" s="20"/>
      <c r="E354" s="20"/>
      <c r="F354" s="20"/>
      <c r="G354" s="22"/>
    </row>
    <row r="355" spans="1:7" s="3" customFormat="1" hidden="1" outlineLevel="1" x14ac:dyDescent="0.25">
      <c r="A355" s="5"/>
      <c r="B355" s="86" t="s">
        <v>746</v>
      </c>
      <c r="C355" s="20"/>
      <c r="D355" s="20"/>
      <c r="E355" s="20"/>
      <c r="F355" s="20"/>
      <c r="G355" s="22"/>
    </row>
    <row r="356" spans="1:7" s="3" customFormat="1" hidden="1" outlineLevel="1" x14ac:dyDescent="0.25">
      <c r="A356" s="5"/>
      <c r="B356" s="86" t="s">
        <v>747</v>
      </c>
      <c r="C356" s="20"/>
      <c r="D356" s="20"/>
      <c r="E356" s="20"/>
      <c r="F356" s="20"/>
      <c r="G356" s="22"/>
    </row>
    <row r="357" spans="1:7" s="3" customFormat="1" hidden="1" outlineLevel="1" x14ac:dyDescent="0.25">
      <c r="A357" s="5"/>
      <c r="B357" s="86" t="s">
        <v>748</v>
      </c>
      <c r="C357" s="20"/>
      <c r="D357" s="20"/>
      <c r="E357" s="20"/>
      <c r="F357" s="20"/>
      <c r="G357" s="22"/>
    </row>
    <row r="358" spans="1:7" s="3" customFormat="1" hidden="1" outlineLevel="1" x14ac:dyDescent="0.25">
      <c r="A358" s="5"/>
      <c r="B358" s="86" t="s">
        <v>749</v>
      </c>
      <c r="C358" s="20"/>
      <c r="D358" s="20"/>
      <c r="E358" s="20"/>
      <c r="F358" s="20"/>
      <c r="G358" s="22"/>
    </row>
    <row r="359" spans="1:7" s="3" customFormat="1" hidden="1" outlineLevel="1" x14ac:dyDescent="0.25">
      <c r="A359" s="5"/>
      <c r="B359" s="86" t="s">
        <v>750</v>
      </c>
      <c r="C359" s="20"/>
      <c r="D359" s="20"/>
      <c r="E359" s="20"/>
      <c r="F359" s="20"/>
      <c r="G359" s="22"/>
    </row>
    <row r="360" spans="1:7" s="3" customFormat="1" hidden="1" outlineLevel="1" x14ac:dyDescent="0.25">
      <c r="A360" s="5"/>
      <c r="B360" s="86" t="s">
        <v>751</v>
      </c>
      <c r="C360" s="20"/>
      <c r="D360" s="20"/>
      <c r="E360" s="20"/>
      <c r="F360" s="20"/>
      <c r="G360" s="22"/>
    </row>
    <row r="361" spans="1:7" s="3" customFormat="1" hidden="1" outlineLevel="1" x14ac:dyDescent="0.25">
      <c r="A361" s="5"/>
      <c r="B361" s="86" t="s">
        <v>752</v>
      </c>
      <c r="C361" s="20"/>
      <c r="D361" s="20"/>
      <c r="E361" s="20"/>
      <c r="F361" s="20"/>
      <c r="G361" s="22"/>
    </row>
    <row r="362" spans="1:7" s="3" customFormat="1" hidden="1" outlineLevel="1" x14ac:dyDescent="0.25">
      <c r="A362" s="5"/>
      <c r="B362" s="86" t="s">
        <v>753</v>
      </c>
      <c r="C362" s="20"/>
      <c r="D362" s="20"/>
      <c r="E362" s="20"/>
      <c r="F362" s="20"/>
      <c r="G362" s="22"/>
    </row>
    <row r="363" spans="1:7" s="3" customFormat="1" hidden="1" outlineLevel="1" x14ac:dyDescent="0.25">
      <c r="A363" s="5"/>
      <c r="B363" s="86" t="s">
        <v>754</v>
      </c>
      <c r="C363" s="20"/>
      <c r="D363" s="20"/>
      <c r="E363" s="20"/>
      <c r="F363" s="20"/>
      <c r="G363" s="22"/>
    </row>
    <row r="364" spans="1:7" s="3" customFormat="1" hidden="1" outlineLevel="1" x14ac:dyDescent="0.25">
      <c r="A364" s="5"/>
      <c r="B364" s="86" t="s">
        <v>755</v>
      </c>
      <c r="C364" s="20"/>
      <c r="D364" s="20"/>
      <c r="E364" s="20"/>
      <c r="F364" s="20"/>
      <c r="G364" s="22"/>
    </row>
    <row r="365" spans="1:7" s="3" customFormat="1" hidden="1" outlineLevel="1" x14ac:dyDescent="0.25">
      <c r="A365" s="5"/>
      <c r="B365" s="86" t="s">
        <v>756</v>
      </c>
      <c r="C365" s="20"/>
      <c r="D365" s="20"/>
      <c r="E365" s="20"/>
      <c r="F365" s="20"/>
      <c r="G365" s="22"/>
    </row>
    <row r="366" spans="1:7" s="3" customFormat="1" hidden="1" outlineLevel="1" x14ac:dyDescent="0.25">
      <c r="A366" s="5"/>
      <c r="B366" s="86" t="s">
        <v>757</v>
      </c>
      <c r="C366" s="20"/>
      <c r="D366" s="20"/>
      <c r="E366" s="20"/>
      <c r="F366" s="20"/>
      <c r="G366" s="22"/>
    </row>
    <row r="367" spans="1:7" s="3" customFormat="1" hidden="1" outlineLevel="1" x14ac:dyDescent="0.25">
      <c r="A367" s="5"/>
      <c r="B367" s="86" t="s">
        <v>758</v>
      </c>
      <c r="C367" s="20"/>
      <c r="D367" s="20"/>
      <c r="E367" s="20"/>
      <c r="F367" s="20"/>
      <c r="G367" s="22"/>
    </row>
    <row r="368" spans="1:7" s="3" customFormat="1" hidden="1" outlineLevel="1" x14ac:dyDescent="0.25">
      <c r="A368" s="5"/>
      <c r="B368" s="86" t="s">
        <v>759</v>
      </c>
      <c r="C368" s="20"/>
      <c r="D368" s="20"/>
      <c r="E368" s="20"/>
      <c r="F368" s="20"/>
      <c r="G368" s="22"/>
    </row>
    <row r="369" spans="1:7" s="3" customFormat="1" hidden="1" outlineLevel="1" x14ac:dyDescent="0.25">
      <c r="A369" s="5"/>
      <c r="B369" s="49"/>
      <c r="C369" s="20"/>
      <c r="D369" s="20"/>
      <c r="E369" s="20"/>
      <c r="F369" s="20"/>
      <c r="G369" s="22"/>
    </row>
    <row r="370" spans="1:7" s="3" customFormat="1" hidden="1" outlineLevel="1" x14ac:dyDescent="0.25">
      <c r="A370" s="5"/>
      <c r="B370" s="49" t="s">
        <v>760</v>
      </c>
      <c r="C370" s="20"/>
      <c r="D370" s="20"/>
      <c r="E370" s="20"/>
      <c r="F370" s="20"/>
      <c r="G370" s="22"/>
    </row>
    <row r="371" spans="1:7" s="3" customFormat="1" hidden="1" outlineLevel="1" x14ac:dyDescent="0.25">
      <c r="A371" s="5"/>
      <c r="B371" s="49" t="s">
        <v>761</v>
      </c>
      <c r="C371" s="20"/>
      <c r="D371" s="20"/>
      <c r="E371" s="20"/>
      <c r="F371" s="20"/>
      <c r="G371" s="22"/>
    </row>
    <row r="372" spans="1:7" s="3" customFormat="1" hidden="1" outlineLevel="1" x14ac:dyDescent="0.25">
      <c r="A372" s="5"/>
      <c r="B372" s="49" t="s">
        <v>762</v>
      </c>
      <c r="C372" s="20"/>
      <c r="D372" s="20"/>
      <c r="E372" s="20"/>
      <c r="F372" s="20"/>
      <c r="G372" s="22"/>
    </row>
    <row r="373" spans="1:7" s="3" customFormat="1" hidden="1" outlineLevel="1" x14ac:dyDescent="0.25">
      <c r="A373" s="5"/>
      <c r="B373" s="49"/>
      <c r="C373" s="20"/>
      <c r="D373" s="20"/>
      <c r="E373" s="20"/>
      <c r="F373" s="20"/>
      <c r="G373" s="22"/>
    </row>
    <row r="374" spans="1:7" s="3" customFormat="1" hidden="1" outlineLevel="1" x14ac:dyDescent="0.25">
      <c r="A374" s="5"/>
      <c r="B374" s="46" t="s">
        <v>2281</v>
      </c>
      <c r="C374" s="20"/>
      <c r="D374" s="20"/>
      <c r="E374" s="20"/>
      <c r="F374" s="20"/>
      <c r="G374" s="22"/>
    </row>
    <row r="375" spans="1:7" s="3" customFormat="1" hidden="1" outlineLevel="1" x14ac:dyDescent="0.25">
      <c r="A375" s="5"/>
      <c r="B375" s="88" t="s">
        <v>2282</v>
      </c>
      <c r="C375" s="20"/>
      <c r="D375" s="20"/>
      <c r="E375" s="20"/>
      <c r="F375" s="20"/>
      <c r="G375" s="22"/>
    </row>
    <row r="376" spans="1:7" s="3" customFormat="1" hidden="1" outlineLevel="1" x14ac:dyDescent="0.25">
      <c r="A376" s="5"/>
      <c r="B376" s="20" t="s">
        <v>763</v>
      </c>
      <c r="C376" s="20"/>
      <c r="D376" s="20"/>
      <c r="E376" s="20"/>
      <c r="F376" s="20"/>
      <c r="G376" s="22"/>
    </row>
    <row r="377" spans="1:7" s="3" customFormat="1" hidden="1" outlineLevel="1" x14ac:dyDescent="0.25">
      <c r="A377" s="5"/>
      <c r="B377" s="50" t="s">
        <v>718</v>
      </c>
      <c r="C377" s="20"/>
      <c r="D377" s="20"/>
      <c r="E377" s="20"/>
      <c r="F377" s="20"/>
      <c r="G377" s="22"/>
    </row>
    <row r="378" spans="1:7" s="3" customFormat="1" hidden="1" outlineLevel="1" x14ac:dyDescent="0.25">
      <c r="A378" s="5"/>
      <c r="B378" s="50" t="s">
        <v>719</v>
      </c>
      <c r="C378" s="20"/>
      <c r="D378" s="20"/>
      <c r="E378" s="20"/>
      <c r="F378" s="20"/>
      <c r="G378" s="22"/>
    </row>
    <row r="379" spans="1:7" s="3" customFormat="1" hidden="1" outlineLevel="1" x14ac:dyDescent="0.25">
      <c r="A379" s="5"/>
      <c r="B379" s="50" t="s">
        <v>720</v>
      </c>
      <c r="C379" s="20"/>
      <c r="D379" s="20"/>
      <c r="E379" s="20"/>
      <c r="F379" s="20"/>
      <c r="G379" s="22"/>
    </row>
    <row r="380" spans="1:7" s="3" customFormat="1" hidden="1" outlineLevel="1" x14ac:dyDescent="0.25">
      <c r="A380" s="5"/>
      <c r="B380" s="50" t="s">
        <v>722</v>
      </c>
      <c r="C380" s="20"/>
      <c r="D380" s="20"/>
      <c r="E380" s="20"/>
      <c r="F380" s="20"/>
      <c r="G380" s="22"/>
    </row>
    <row r="381" spans="1:7" s="3" customFormat="1" hidden="1" outlineLevel="1" x14ac:dyDescent="0.25">
      <c r="A381" s="5"/>
      <c r="B381" s="50" t="s">
        <v>723</v>
      </c>
      <c r="C381" s="20"/>
      <c r="D381" s="20"/>
      <c r="E381" s="20"/>
      <c r="F381" s="20"/>
      <c r="G381" s="22"/>
    </row>
    <row r="382" spans="1:7" s="3" customFormat="1" hidden="1" outlineLevel="1" x14ac:dyDescent="0.25">
      <c r="A382" s="5"/>
      <c r="B382" s="51" t="s">
        <v>724</v>
      </c>
      <c r="C382" s="20"/>
      <c r="D382" s="20"/>
      <c r="E382" s="20"/>
      <c r="F382" s="20"/>
      <c r="G382" s="22"/>
    </row>
    <row r="383" spans="1:7" s="3" customFormat="1" hidden="1" outlineLevel="1" x14ac:dyDescent="0.25">
      <c r="A383" s="5"/>
      <c r="B383" s="90" t="s">
        <v>780</v>
      </c>
      <c r="C383" s="20"/>
      <c r="D383" s="20"/>
      <c r="E383" s="20"/>
      <c r="F383" s="20"/>
      <c r="G383" s="22"/>
    </row>
    <row r="384" spans="1:7" s="3" customFormat="1" hidden="1" outlineLevel="1" x14ac:dyDescent="0.25">
      <c r="A384" s="5"/>
      <c r="B384" s="89" t="s">
        <v>764</v>
      </c>
      <c r="C384" s="20"/>
      <c r="D384" s="20"/>
      <c r="E384" s="20"/>
      <c r="F384" s="20"/>
      <c r="G384" s="22"/>
    </row>
    <row r="385" spans="1:14" s="3" customFormat="1" hidden="1" outlineLevel="1" x14ac:dyDescent="0.25">
      <c r="A385" s="5"/>
      <c r="B385" s="89"/>
      <c r="C385" s="20"/>
      <c r="D385" s="20"/>
      <c r="E385" s="20"/>
      <c r="F385" s="20"/>
      <c r="G385" s="22"/>
    </row>
    <row r="386" spans="1:14" s="3" customFormat="1" hidden="1" outlineLevel="1" x14ac:dyDescent="0.25">
      <c r="A386" s="5"/>
      <c r="B386" s="46" t="s">
        <v>765</v>
      </c>
      <c r="C386" s="20"/>
      <c r="D386" s="20"/>
      <c r="E386" s="20"/>
      <c r="F386" s="20"/>
      <c r="G386" s="22"/>
    </row>
    <row r="387" spans="1:14" s="3" customFormat="1" ht="16.2" hidden="1" outlineLevel="1" thickBot="1" x14ac:dyDescent="0.3">
      <c r="A387" s="5"/>
      <c r="B387" s="52" t="s">
        <v>726</v>
      </c>
      <c r="C387" s="20"/>
      <c r="D387" s="20"/>
      <c r="E387" s="20"/>
      <c r="F387" s="20"/>
      <c r="G387" s="22"/>
    </row>
    <row r="388" spans="1:14" s="5" customFormat="1" hidden="1" outlineLevel="1" x14ac:dyDescent="0.25"/>
    <row r="389" spans="1:14" s="5" customFormat="1" ht="16.2" hidden="1" outlineLevel="1" thickBot="1" x14ac:dyDescent="0.3"/>
    <row r="390" spans="1:14" s="3" customFormat="1" ht="17.399999999999999" customHeight="1" collapsed="1" thickBot="1" x14ac:dyDescent="0.3">
      <c r="A390" s="5"/>
      <c r="B390" s="15" t="s">
        <v>1279</v>
      </c>
      <c r="C390" s="16" t="s">
        <v>2114</v>
      </c>
      <c r="D390" s="17" t="s">
        <v>1281</v>
      </c>
      <c r="E390" s="16" t="s">
        <v>783</v>
      </c>
      <c r="F390" s="17" t="s">
        <v>1282</v>
      </c>
      <c r="G390" s="18" t="s">
        <v>2115</v>
      </c>
    </row>
    <row r="391" spans="1:14" s="3" customFormat="1" ht="17.399999999999999" hidden="1" customHeight="1" outlineLevel="1" x14ac:dyDescent="0.25">
      <c r="A391" s="5"/>
      <c r="B391" s="19" t="s">
        <v>1284</v>
      </c>
      <c r="C391" s="20" t="s">
        <v>1285</v>
      </c>
      <c r="D391" s="21" t="s">
        <v>1286</v>
      </c>
      <c r="E391" s="20" t="s">
        <v>2116</v>
      </c>
      <c r="F391" s="21" t="s">
        <v>1288</v>
      </c>
      <c r="G391" s="22" t="s">
        <v>1314</v>
      </c>
    </row>
    <row r="392" spans="1:14" s="3" customFormat="1" ht="17.399999999999999" hidden="1" customHeight="1" outlineLevel="1" thickBot="1" x14ac:dyDescent="0.3">
      <c r="A392" s="5"/>
      <c r="B392" s="19" t="s">
        <v>1290</v>
      </c>
      <c r="C392" s="23" t="s">
        <v>1291</v>
      </c>
      <c r="D392" s="21" t="s">
        <v>1292</v>
      </c>
      <c r="E392" s="23">
        <v>5</v>
      </c>
      <c r="F392" s="21" t="s">
        <v>1293</v>
      </c>
      <c r="G392" s="24" t="s">
        <v>1294</v>
      </c>
    </row>
    <row r="393" spans="1:14" s="3" customFormat="1" ht="17.399999999999999" hidden="1" customHeight="1" outlineLevel="1" x14ac:dyDescent="0.25">
      <c r="A393" s="5"/>
      <c r="B393" s="401" t="s">
        <v>1</v>
      </c>
      <c r="C393" s="402"/>
      <c r="D393" s="402"/>
      <c r="E393" s="402"/>
      <c r="F393" s="402"/>
      <c r="G393" s="403"/>
    </row>
    <row r="394" spans="1:14" s="3" customFormat="1" ht="17.399999999999999" hidden="1" customHeight="1" outlineLevel="1" x14ac:dyDescent="0.25">
      <c r="A394" s="5"/>
      <c r="B394" s="25" t="s">
        <v>2</v>
      </c>
      <c r="C394" s="26" t="s">
        <v>3</v>
      </c>
      <c r="D394" s="26" t="s">
        <v>4</v>
      </c>
      <c r="E394" s="26" t="s">
        <v>5</v>
      </c>
      <c r="F394" s="26"/>
      <c r="G394" s="27" t="s">
        <v>6</v>
      </c>
    </row>
    <row r="395" spans="1:14" s="3" customFormat="1" hidden="1" outlineLevel="1" x14ac:dyDescent="0.25">
      <c r="B395" s="28" t="s">
        <v>13</v>
      </c>
      <c r="C395" s="29" t="s">
        <v>1474</v>
      </c>
      <c r="D395" s="29" t="s">
        <v>1469</v>
      </c>
      <c r="E395" s="29">
        <v>0</v>
      </c>
      <c r="F395" s="29" t="s">
        <v>1470</v>
      </c>
      <c r="G395" s="30"/>
      <c r="J395" s="3" t="s">
        <v>10</v>
      </c>
      <c r="K395" s="3" t="s">
        <v>173</v>
      </c>
      <c r="L395" s="3" t="s">
        <v>9</v>
      </c>
      <c r="M395" s="3" t="s">
        <v>9</v>
      </c>
      <c r="N395" s="3">
        <v>2534</v>
      </c>
    </row>
    <row r="396" spans="1:14" s="3" customFormat="1" hidden="1" outlineLevel="1" x14ac:dyDescent="0.25">
      <c r="B396" s="28" t="s">
        <v>73</v>
      </c>
      <c r="C396" s="29" t="s">
        <v>1528</v>
      </c>
      <c r="D396" s="29" t="s">
        <v>1469</v>
      </c>
      <c r="E396" s="29" t="s">
        <v>1480</v>
      </c>
      <c r="F396" s="29" t="s">
        <v>1481</v>
      </c>
      <c r="G396" s="30"/>
      <c r="J396" s="3" t="s">
        <v>10</v>
      </c>
      <c r="K396" s="3" t="s">
        <v>173</v>
      </c>
      <c r="L396" s="3" t="s">
        <v>9</v>
      </c>
      <c r="M396" s="3" t="s">
        <v>9</v>
      </c>
      <c r="N396" s="3">
        <v>1767</v>
      </c>
    </row>
    <row r="397" spans="1:14" s="3" customFormat="1" hidden="1" outlineLevel="1" x14ac:dyDescent="0.25">
      <c r="A397" s="5"/>
      <c r="B397" s="31" t="s">
        <v>74</v>
      </c>
      <c r="C397" s="20" t="s">
        <v>1529</v>
      </c>
      <c r="D397" s="20" t="s">
        <v>1469</v>
      </c>
      <c r="E397" s="20" t="s">
        <v>1480</v>
      </c>
      <c r="F397" s="20" t="s">
        <v>1481</v>
      </c>
      <c r="G397" s="22"/>
      <c r="J397" s="3" t="s">
        <v>10</v>
      </c>
      <c r="K397" s="3" t="s">
        <v>173</v>
      </c>
      <c r="L397" s="3" t="s">
        <v>9</v>
      </c>
      <c r="M397" s="3" t="s">
        <v>9</v>
      </c>
      <c r="N397" s="3">
        <v>1713</v>
      </c>
    </row>
    <row r="398" spans="1:14" s="4" customFormat="1" hidden="1" outlineLevel="1" x14ac:dyDescent="0.35">
      <c r="B398" s="67" t="s">
        <v>17</v>
      </c>
      <c r="C398" s="84" t="s">
        <v>1483</v>
      </c>
      <c r="D398" s="84" t="s">
        <v>1469</v>
      </c>
      <c r="E398" s="84">
        <v>0</v>
      </c>
      <c r="F398" s="84" t="s">
        <v>1470</v>
      </c>
      <c r="G398" s="85" t="s">
        <v>1484</v>
      </c>
      <c r="H398" s="5"/>
      <c r="I398" s="5"/>
      <c r="J398" s="5" t="s">
        <v>10</v>
      </c>
      <c r="K398" s="5" t="s">
        <v>173</v>
      </c>
      <c r="L398" s="5" t="s">
        <v>9</v>
      </c>
      <c r="M398" s="5" t="s">
        <v>9</v>
      </c>
      <c r="N398" s="4">
        <v>1097</v>
      </c>
    </row>
    <row r="399" spans="1:14" s="4" customFormat="1" hidden="1" outlineLevel="1" x14ac:dyDescent="0.35">
      <c r="B399" s="31" t="s">
        <v>302</v>
      </c>
      <c r="C399" s="84" t="s">
        <v>1727</v>
      </c>
      <c r="D399" s="84" t="s">
        <v>1606</v>
      </c>
      <c r="E399" s="84" t="s">
        <v>1594</v>
      </c>
      <c r="F399" s="84" t="s">
        <v>1470</v>
      </c>
      <c r="G399" s="85"/>
      <c r="H399" s="5"/>
      <c r="I399" s="5"/>
      <c r="J399" s="5" t="s">
        <v>187</v>
      </c>
      <c r="K399" s="5" t="s">
        <v>438</v>
      </c>
      <c r="L399" s="5" t="s">
        <v>537</v>
      </c>
      <c r="M399" s="5" t="s">
        <v>187</v>
      </c>
      <c r="N399" s="4">
        <v>1700</v>
      </c>
    </row>
    <row r="400" spans="1:14" s="4" customFormat="1" hidden="1" outlineLevel="1" x14ac:dyDescent="0.35">
      <c r="B400" s="31" t="s">
        <v>265</v>
      </c>
      <c r="C400" s="84" t="s">
        <v>1692</v>
      </c>
      <c r="D400" s="84" t="s">
        <v>1606</v>
      </c>
      <c r="E400" s="84" t="s">
        <v>1594</v>
      </c>
      <c r="F400" s="84" t="s">
        <v>1470</v>
      </c>
      <c r="G400" s="85"/>
      <c r="H400" s="5"/>
      <c r="I400" s="5"/>
      <c r="J400" s="5" t="s">
        <v>187</v>
      </c>
      <c r="K400" s="5" t="s">
        <v>438</v>
      </c>
      <c r="L400" s="5" t="s">
        <v>537</v>
      </c>
      <c r="M400" s="5" t="s">
        <v>187</v>
      </c>
      <c r="N400" s="4">
        <v>1114</v>
      </c>
    </row>
    <row r="401" spans="2:14" s="4" customFormat="1" hidden="1" outlineLevel="1" x14ac:dyDescent="0.35">
      <c r="B401" s="64" t="s">
        <v>538</v>
      </c>
      <c r="C401" s="84" t="s">
        <v>2062</v>
      </c>
      <c r="D401" s="84" t="s">
        <v>1606</v>
      </c>
      <c r="E401" s="84" t="s">
        <v>1594</v>
      </c>
      <c r="F401" s="84"/>
      <c r="G401" s="85"/>
      <c r="H401" s="5"/>
      <c r="I401" s="5"/>
      <c r="J401" s="5" t="s">
        <v>187</v>
      </c>
      <c r="K401" s="5" t="s">
        <v>438</v>
      </c>
      <c r="L401" s="5" t="s">
        <v>537</v>
      </c>
      <c r="M401" s="5" t="s">
        <v>187</v>
      </c>
      <c r="N401" s="4">
        <v>1607</v>
      </c>
    </row>
    <row r="402" spans="2:14" s="4" customFormat="1" ht="16.2" hidden="1" outlineLevel="1" thickBot="1" x14ac:dyDescent="0.4">
      <c r="B402" s="91"/>
      <c r="C402" s="92"/>
      <c r="D402" s="92"/>
      <c r="E402" s="92"/>
      <c r="F402" s="92"/>
      <c r="G402" s="93"/>
      <c r="H402" s="5"/>
      <c r="I402" s="5"/>
      <c r="J402" s="5"/>
      <c r="K402" s="5"/>
      <c r="L402" s="5"/>
      <c r="M402" s="5"/>
    </row>
    <row r="403" spans="2:14" s="4" customFormat="1" ht="17.399999999999999" hidden="1" customHeight="1" outlineLevel="1" x14ac:dyDescent="0.35">
      <c r="B403" s="392" t="s">
        <v>18</v>
      </c>
      <c r="C403" s="393"/>
      <c r="D403" s="393"/>
      <c r="E403" s="393"/>
      <c r="F403" s="393"/>
      <c r="G403" s="394"/>
      <c r="H403" s="5"/>
      <c r="I403" s="5"/>
      <c r="J403" s="5"/>
      <c r="K403" s="5"/>
      <c r="L403" s="5"/>
      <c r="M403" s="5"/>
    </row>
    <row r="404" spans="2:14" s="4" customFormat="1" hidden="1" outlineLevel="1" x14ac:dyDescent="0.35">
      <c r="B404" s="94" t="s">
        <v>2</v>
      </c>
      <c r="C404" s="95" t="s">
        <v>3</v>
      </c>
      <c r="D404" s="95" t="s">
        <v>4</v>
      </c>
      <c r="E404" s="95" t="s">
        <v>5</v>
      </c>
      <c r="F404" s="95"/>
      <c r="G404" s="96" t="s">
        <v>6</v>
      </c>
      <c r="H404" s="5"/>
      <c r="I404" s="5"/>
      <c r="J404" s="5"/>
      <c r="K404" s="5"/>
      <c r="L404" s="5"/>
      <c r="M404" s="5"/>
    </row>
    <row r="405" spans="2:14" s="4" customFormat="1" ht="16.2" hidden="1" outlineLevel="1" thickBot="1" x14ac:dyDescent="0.4">
      <c r="B405" s="67"/>
      <c r="C405" s="84"/>
      <c r="D405" s="84"/>
      <c r="E405" s="84"/>
      <c r="F405" s="84"/>
      <c r="G405" s="85"/>
      <c r="H405" s="5"/>
      <c r="I405" s="5"/>
      <c r="J405" s="5"/>
      <c r="K405" s="5"/>
      <c r="L405" s="5"/>
      <c r="M405" s="5"/>
    </row>
    <row r="406" spans="2:14" s="4" customFormat="1" ht="17.399999999999999" hidden="1" customHeight="1" outlineLevel="1" x14ac:dyDescent="0.35">
      <c r="B406" s="389" t="s">
        <v>28</v>
      </c>
      <c r="C406" s="390"/>
      <c r="D406" s="390"/>
      <c r="E406" s="390"/>
      <c r="F406" s="390"/>
      <c r="G406" s="391"/>
      <c r="H406" s="5"/>
      <c r="I406" s="5"/>
      <c r="J406" s="5"/>
      <c r="K406" s="5"/>
      <c r="L406" s="5"/>
      <c r="M406" s="5"/>
    </row>
    <row r="407" spans="2:14" s="4" customFormat="1" hidden="1" outlineLevel="1" x14ac:dyDescent="0.35">
      <c r="B407" s="32" t="s">
        <v>2</v>
      </c>
      <c r="C407" s="33" t="s">
        <v>3</v>
      </c>
      <c r="D407" s="33" t="s">
        <v>4</v>
      </c>
      <c r="E407" s="33"/>
      <c r="F407" s="33"/>
      <c r="G407" s="34" t="s">
        <v>6</v>
      </c>
      <c r="H407" s="5"/>
      <c r="I407" s="5"/>
      <c r="J407" s="5"/>
      <c r="K407" s="5"/>
      <c r="L407" s="5"/>
      <c r="M407" s="5"/>
    </row>
    <row r="408" spans="2:14" s="3" customFormat="1" hidden="1" outlineLevel="1" x14ac:dyDescent="0.25">
      <c r="B408" s="31"/>
      <c r="C408" s="20"/>
      <c r="D408" s="20"/>
      <c r="E408" s="20"/>
      <c r="F408" s="20"/>
      <c r="G408" s="22"/>
      <c r="H408" s="5"/>
      <c r="I408" s="5"/>
      <c r="J408" s="5" t="s">
        <v>10</v>
      </c>
      <c r="K408" s="5" t="s">
        <v>173</v>
      </c>
      <c r="L408" s="3" t="s">
        <v>9</v>
      </c>
      <c r="M408" s="3" t="s">
        <v>9</v>
      </c>
    </row>
    <row r="409" spans="2:14" s="4" customFormat="1" ht="16.2" hidden="1" outlineLevel="1" thickBot="1" x14ac:dyDescent="0.4">
      <c r="B409" s="100" t="s">
        <v>784</v>
      </c>
      <c r="C409" s="101" t="s">
        <v>2270</v>
      </c>
      <c r="D409" s="101" t="s">
        <v>1606</v>
      </c>
      <c r="E409" s="101" t="s">
        <v>2271</v>
      </c>
      <c r="F409" s="101" t="s">
        <v>1470</v>
      </c>
      <c r="G409" s="102"/>
      <c r="H409" s="5"/>
      <c r="I409" s="5"/>
      <c r="J409" s="5" t="s">
        <v>187</v>
      </c>
      <c r="K409" s="5" t="s">
        <v>438</v>
      </c>
      <c r="L409" s="5" t="s">
        <v>537</v>
      </c>
      <c r="M409" s="5" t="s">
        <v>187</v>
      </c>
      <c r="N409" s="4">
        <v>1107</v>
      </c>
    </row>
    <row r="410" spans="2:14" s="4" customFormat="1" ht="17.399999999999999" hidden="1" customHeight="1" outlineLevel="1" x14ac:dyDescent="0.35">
      <c r="B410" s="392" t="s">
        <v>29</v>
      </c>
      <c r="C410" s="393"/>
      <c r="D410" s="393"/>
      <c r="E410" s="393"/>
      <c r="F410" s="393"/>
      <c r="G410" s="394"/>
      <c r="H410" s="5"/>
      <c r="I410" s="5"/>
      <c r="J410" s="5"/>
      <c r="K410" s="5"/>
      <c r="L410" s="5"/>
      <c r="M410" s="5"/>
    </row>
    <row r="411" spans="2:14" s="4" customFormat="1" hidden="1" outlineLevel="1" x14ac:dyDescent="0.35">
      <c r="B411" s="31" t="s">
        <v>583</v>
      </c>
      <c r="C411" s="65"/>
      <c r="D411" s="65"/>
      <c r="E411" s="65"/>
      <c r="F411" s="65"/>
      <c r="G411" s="66"/>
      <c r="H411" s="5"/>
      <c r="I411" s="5"/>
      <c r="J411" s="5"/>
      <c r="K411" s="5"/>
      <c r="L411" s="5"/>
      <c r="M411" s="5"/>
    </row>
    <row r="412" spans="2:14" s="4" customFormat="1" hidden="1" outlineLevel="1" x14ac:dyDescent="0.35">
      <c r="B412" s="31" t="s">
        <v>767</v>
      </c>
      <c r="C412" s="65"/>
      <c r="D412" s="65"/>
      <c r="E412" s="65"/>
      <c r="F412" s="65"/>
      <c r="G412" s="66"/>
      <c r="H412" s="5"/>
      <c r="I412" s="5"/>
      <c r="J412" s="5"/>
      <c r="K412" s="5"/>
      <c r="L412" s="5"/>
      <c r="M412" s="5"/>
    </row>
    <row r="413" spans="2:14" s="4" customFormat="1" hidden="1" outlineLevel="1" x14ac:dyDescent="0.35">
      <c r="B413" s="31" t="s">
        <v>785</v>
      </c>
      <c r="C413" s="65"/>
      <c r="D413" s="65"/>
      <c r="E413" s="65"/>
      <c r="F413" s="65"/>
      <c r="G413" s="66"/>
      <c r="H413" s="5"/>
      <c r="I413" s="5"/>
      <c r="J413" s="5"/>
      <c r="K413" s="5"/>
      <c r="L413" s="5"/>
      <c r="M413" s="5"/>
    </row>
    <row r="414" spans="2:14" s="4" customFormat="1" hidden="1" outlineLevel="1" x14ac:dyDescent="0.35">
      <c r="B414" s="31" t="s">
        <v>786</v>
      </c>
      <c r="C414" s="65"/>
      <c r="D414" s="65"/>
      <c r="E414" s="65"/>
      <c r="F414" s="65"/>
      <c r="G414" s="66"/>
      <c r="H414" s="5"/>
      <c r="I414" s="5"/>
      <c r="J414" s="5"/>
      <c r="K414" s="5"/>
      <c r="L414" s="5"/>
      <c r="M414" s="5"/>
    </row>
    <row r="415" spans="2:14" s="4" customFormat="1" hidden="1" outlineLevel="1" x14ac:dyDescent="0.35">
      <c r="B415" s="31" t="s">
        <v>787</v>
      </c>
      <c r="C415" s="65"/>
      <c r="D415" s="65"/>
      <c r="E415" s="65"/>
      <c r="F415" s="65"/>
      <c r="G415" s="66"/>
      <c r="H415" s="5"/>
      <c r="I415" s="5"/>
      <c r="J415" s="5"/>
      <c r="K415" s="5"/>
      <c r="L415" s="5"/>
      <c r="M415" s="5"/>
    </row>
    <row r="416" spans="2:14" s="4" customFormat="1" hidden="1" outlineLevel="1" x14ac:dyDescent="0.35">
      <c r="B416" s="31" t="s">
        <v>788</v>
      </c>
      <c r="C416" s="65"/>
      <c r="D416" s="65"/>
      <c r="E416" s="65"/>
      <c r="F416" s="65"/>
      <c r="G416" s="66"/>
      <c r="H416" s="5"/>
      <c r="I416" s="5"/>
      <c r="J416" s="5"/>
      <c r="K416" s="5"/>
      <c r="L416" s="5"/>
      <c r="M416" s="5"/>
    </row>
    <row r="417" spans="1:13" s="4" customFormat="1" hidden="1" outlineLevel="1" x14ac:dyDescent="0.35">
      <c r="B417" s="31" t="s">
        <v>587</v>
      </c>
      <c r="C417" s="65"/>
      <c r="D417" s="65"/>
      <c r="E417" s="65"/>
      <c r="F417" s="65"/>
      <c r="G417" s="66"/>
      <c r="H417" s="5"/>
      <c r="I417" s="5"/>
      <c r="J417" s="5"/>
      <c r="K417" s="5"/>
      <c r="L417" s="5"/>
      <c r="M417" s="5"/>
    </row>
    <row r="418" spans="1:13" s="4" customFormat="1" hidden="1" outlineLevel="1" x14ac:dyDescent="0.35">
      <c r="B418" s="31" t="s">
        <v>772</v>
      </c>
      <c r="C418" s="65"/>
      <c r="D418" s="65"/>
      <c r="E418" s="65"/>
      <c r="F418" s="65"/>
      <c r="G418" s="66"/>
      <c r="H418" s="5"/>
      <c r="I418" s="5"/>
      <c r="J418" s="5"/>
      <c r="K418" s="5"/>
      <c r="L418" s="5"/>
      <c r="M418" s="5"/>
    </row>
    <row r="419" spans="1:13" s="4" customFormat="1" hidden="1" outlineLevel="1" x14ac:dyDescent="0.35">
      <c r="B419" s="31" t="s">
        <v>561</v>
      </c>
      <c r="C419" s="65"/>
      <c r="D419" s="65"/>
      <c r="E419" s="65"/>
      <c r="F419" s="65"/>
      <c r="G419" s="66"/>
      <c r="H419" s="5"/>
      <c r="I419" s="5"/>
      <c r="J419" s="5"/>
      <c r="K419" s="5"/>
      <c r="L419" s="5"/>
      <c r="M419" s="5"/>
    </row>
    <row r="420" spans="1:13" s="4" customFormat="1" hidden="1" outlineLevel="1" x14ac:dyDescent="0.35">
      <c r="B420" s="31" t="s">
        <v>789</v>
      </c>
      <c r="C420" s="65"/>
      <c r="D420" s="65"/>
      <c r="E420" s="65"/>
      <c r="F420" s="65"/>
      <c r="G420" s="66"/>
      <c r="H420" s="5"/>
      <c r="I420" s="5"/>
      <c r="J420" s="5"/>
      <c r="K420" s="5"/>
      <c r="L420" s="5"/>
      <c r="M420" s="5"/>
    </row>
    <row r="421" spans="1:13" s="4" customFormat="1" hidden="1" outlineLevel="1" x14ac:dyDescent="0.35">
      <c r="B421" s="31" t="s">
        <v>790</v>
      </c>
      <c r="C421" s="65"/>
      <c r="D421" s="65"/>
      <c r="E421" s="65"/>
      <c r="F421" s="65"/>
      <c r="G421" s="66"/>
      <c r="H421" s="5"/>
      <c r="I421" s="5"/>
      <c r="J421" s="5"/>
      <c r="K421" s="5"/>
      <c r="L421" s="5"/>
      <c r="M421" s="5"/>
    </row>
    <row r="422" spans="1:13" s="4" customFormat="1" hidden="1" outlineLevel="1" x14ac:dyDescent="0.35">
      <c r="B422" s="31" t="s">
        <v>791</v>
      </c>
      <c r="C422" s="65"/>
      <c r="D422" s="65"/>
      <c r="E422" s="65"/>
      <c r="F422" s="65"/>
      <c r="G422" s="66"/>
      <c r="H422" s="5"/>
      <c r="I422" s="5"/>
      <c r="J422" s="5"/>
      <c r="K422" s="5"/>
      <c r="L422" s="5"/>
      <c r="M422" s="5"/>
    </row>
    <row r="423" spans="1:13" s="4" customFormat="1" hidden="1" outlineLevel="1" x14ac:dyDescent="0.35">
      <c r="B423" s="60" t="s">
        <v>792</v>
      </c>
      <c r="C423" s="65"/>
      <c r="D423" s="65"/>
      <c r="E423" s="65"/>
      <c r="F423" s="65"/>
      <c r="G423" s="66"/>
      <c r="H423" s="5"/>
      <c r="I423" s="5"/>
      <c r="J423" s="5"/>
      <c r="K423" s="5"/>
      <c r="L423" s="5"/>
      <c r="M423" s="5"/>
    </row>
    <row r="424" spans="1:13" s="4" customFormat="1" hidden="1" outlineLevel="1" x14ac:dyDescent="0.35">
      <c r="B424" s="60" t="s">
        <v>793</v>
      </c>
      <c r="C424" s="65"/>
      <c r="D424" s="65"/>
      <c r="E424" s="65"/>
      <c r="F424" s="65"/>
      <c r="G424" s="66"/>
      <c r="H424" s="5"/>
      <c r="I424" s="5"/>
      <c r="J424" s="5"/>
      <c r="K424" s="5"/>
      <c r="L424" s="5"/>
      <c r="M424" s="5"/>
    </row>
    <row r="425" spans="1:13" s="4" customFormat="1" hidden="1" outlineLevel="1" x14ac:dyDescent="0.35">
      <c r="B425" s="60" t="s">
        <v>794</v>
      </c>
      <c r="C425" s="65"/>
      <c r="D425" s="65"/>
      <c r="E425" s="65"/>
      <c r="F425" s="65"/>
      <c r="G425" s="66"/>
      <c r="H425" s="5"/>
      <c r="I425" s="5"/>
      <c r="J425" s="5"/>
      <c r="K425" s="5"/>
      <c r="L425" s="5"/>
      <c r="M425" s="5"/>
    </row>
    <row r="426" spans="1:13" s="4" customFormat="1" ht="16.2" hidden="1" outlineLevel="1" thickBot="1" x14ac:dyDescent="0.4">
      <c r="B426" s="103"/>
      <c r="C426" s="92"/>
      <c r="D426" s="92"/>
      <c r="E426" s="92"/>
      <c r="F426" s="92"/>
      <c r="G426" s="93"/>
    </row>
    <row r="427" spans="1:13" s="5" customFormat="1" ht="16.2" hidden="1" outlineLevel="1" thickBot="1" x14ac:dyDescent="0.3"/>
    <row r="428" spans="1:13" s="3" customFormat="1" ht="17.399999999999999" customHeight="1" collapsed="1" thickBot="1" x14ac:dyDescent="0.3">
      <c r="A428" s="5"/>
      <c r="B428" s="15" t="s">
        <v>1279</v>
      </c>
      <c r="C428" s="16" t="s">
        <v>2117</v>
      </c>
      <c r="D428" s="17" t="s">
        <v>1281</v>
      </c>
      <c r="E428" s="16" t="s">
        <v>795</v>
      </c>
      <c r="F428" s="17" t="s">
        <v>1282</v>
      </c>
      <c r="G428" s="18" t="s">
        <v>2118</v>
      </c>
    </row>
    <row r="429" spans="1:13" s="3" customFormat="1" ht="17.399999999999999" hidden="1" customHeight="1" outlineLevel="1" x14ac:dyDescent="0.25">
      <c r="A429" s="5"/>
      <c r="B429" s="19" t="s">
        <v>1284</v>
      </c>
      <c r="C429" s="20" t="s">
        <v>1285</v>
      </c>
      <c r="D429" s="21" t="s">
        <v>1286</v>
      </c>
      <c r="E429" s="20" t="s">
        <v>2119</v>
      </c>
      <c r="F429" s="21" t="s">
        <v>1288</v>
      </c>
      <c r="G429" s="22" t="s">
        <v>1318</v>
      </c>
    </row>
    <row r="430" spans="1:13" s="3" customFormat="1" ht="17.399999999999999" hidden="1" customHeight="1" outlineLevel="1" thickBot="1" x14ac:dyDescent="0.3">
      <c r="A430" s="5"/>
      <c r="B430" s="19" t="s">
        <v>1290</v>
      </c>
      <c r="C430" s="23" t="s">
        <v>1291</v>
      </c>
      <c r="D430" s="21" t="s">
        <v>1292</v>
      </c>
      <c r="E430" s="23">
        <v>5</v>
      </c>
      <c r="F430" s="21" t="s">
        <v>1293</v>
      </c>
      <c r="G430" s="24" t="s">
        <v>1294</v>
      </c>
    </row>
    <row r="431" spans="1:13" s="3" customFormat="1" ht="17.399999999999999" hidden="1" customHeight="1" outlineLevel="1" x14ac:dyDescent="0.25">
      <c r="A431" s="5"/>
      <c r="B431" s="401" t="s">
        <v>1</v>
      </c>
      <c r="C431" s="402"/>
      <c r="D431" s="402"/>
      <c r="E431" s="402"/>
      <c r="F431" s="402"/>
      <c r="G431" s="403"/>
    </row>
    <row r="432" spans="1:13" s="3" customFormat="1" ht="17.399999999999999" hidden="1" customHeight="1" outlineLevel="1" x14ac:dyDescent="0.25">
      <c r="A432" s="5"/>
      <c r="B432" s="25" t="s">
        <v>2</v>
      </c>
      <c r="C432" s="26" t="s">
        <v>3</v>
      </c>
      <c r="D432" s="26" t="s">
        <v>4</v>
      </c>
      <c r="E432" s="26" t="s">
        <v>5</v>
      </c>
      <c r="F432" s="26"/>
      <c r="G432" s="27" t="s">
        <v>6</v>
      </c>
    </row>
    <row r="433" spans="1:14" s="3" customFormat="1" hidden="1" outlineLevel="1" x14ac:dyDescent="0.25">
      <c r="B433" s="28" t="s">
        <v>7</v>
      </c>
      <c r="C433" s="29" t="s">
        <v>1468</v>
      </c>
      <c r="D433" s="29" t="s">
        <v>1469</v>
      </c>
      <c r="E433" s="29">
        <v>0</v>
      </c>
      <c r="F433" s="29" t="s">
        <v>1470</v>
      </c>
      <c r="G433" s="30" t="s">
        <v>1471</v>
      </c>
      <c r="J433" s="3" t="s">
        <v>10</v>
      </c>
      <c r="K433" s="3" t="s">
        <v>173</v>
      </c>
      <c r="L433" s="3" t="s">
        <v>9</v>
      </c>
      <c r="M433" s="3" t="s">
        <v>9</v>
      </c>
      <c r="N433" s="3">
        <v>1112</v>
      </c>
    </row>
    <row r="434" spans="1:14" s="3" customFormat="1" hidden="1" outlineLevel="1" x14ac:dyDescent="0.25">
      <c r="B434" s="28" t="s">
        <v>14</v>
      </c>
      <c r="C434" s="29" t="s">
        <v>1475</v>
      </c>
      <c r="D434" s="29" t="s">
        <v>1469</v>
      </c>
      <c r="E434" s="29">
        <v>0</v>
      </c>
      <c r="F434" s="29" t="s">
        <v>1476</v>
      </c>
      <c r="G434" s="30" t="s">
        <v>1477</v>
      </c>
      <c r="J434" s="3" t="s">
        <v>10</v>
      </c>
      <c r="K434" s="3" t="s">
        <v>173</v>
      </c>
      <c r="L434" s="3" t="s">
        <v>9</v>
      </c>
      <c r="M434" s="3" t="s">
        <v>9</v>
      </c>
      <c r="N434" s="3">
        <v>2155</v>
      </c>
    </row>
    <row r="435" spans="1:14" s="3" customFormat="1" hidden="1" outlineLevel="1" x14ac:dyDescent="0.25">
      <c r="A435" s="5"/>
      <c r="B435" s="31" t="s">
        <v>15</v>
      </c>
      <c r="C435" s="20" t="s">
        <v>1478</v>
      </c>
      <c r="D435" s="20" t="s">
        <v>1469</v>
      </c>
      <c r="E435" s="20">
        <v>0</v>
      </c>
      <c r="F435" s="20" t="s">
        <v>1470</v>
      </c>
      <c r="G435" s="22"/>
      <c r="J435" s="3" t="s">
        <v>10</v>
      </c>
      <c r="K435" s="3" t="s">
        <v>173</v>
      </c>
      <c r="L435" s="3" t="s">
        <v>9</v>
      </c>
      <c r="M435" s="3" t="s">
        <v>9</v>
      </c>
      <c r="N435" s="3">
        <v>2430</v>
      </c>
    </row>
    <row r="436" spans="1:14" s="3" customFormat="1" ht="16.2" hidden="1" outlineLevel="1" thickBot="1" x14ac:dyDescent="0.3">
      <c r="A436" s="5"/>
      <c r="B436" s="31" t="s">
        <v>87</v>
      </c>
      <c r="C436" s="20" t="s">
        <v>1535</v>
      </c>
      <c r="D436" s="20" t="s">
        <v>1469</v>
      </c>
      <c r="E436" s="20">
        <v>0</v>
      </c>
      <c r="F436" s="20" t="s">
        <v>1476</v>
      </c>
      <c r="G436" s="22"/>
      <c r="J436" s="3" t="s">
        <v>10</v>
      </c>
      <c r="K436" s="3" t="s">
        <v>173</v>
      </c>
      <c r="L436" s="3" t="s">
        <v>9</v>
      </c>
      <c r="M436" s="3" t="s">
        <v>9</v>
      </c>
      <c r="N436" s="3">
        <v>2433</v>
      </c>
    </row>
    <row r="437" spans="1:14" s="4" customFormat="1" ht="17.399999999999999" hidden="1" customHeight="1" outlineLevel="1" x14ac:dyDescent="0.35">
      <c r="A437" s="3"/>
      <c r="B437" s="389" t="s">
        <v>18</v>
      </c>
      <c r="C437" s="390"/>
      <c r="D437" s="390"/>
      <c r="E437" s="390"/>
      <c r="F437" s="390"/>
      <c r="G437" s="391"/>
      <c r="H437" s="5"/>
      <c r="I437" s="5"/>
      <c r="J437" s="5"/>
      <c r="K437" s="5"/>
      <c r="L437" s="5"/>
      <c r="M437" s="5"/>
    </row>
    <row r="438" spans="1:14" s="4" customFormat="1" hidden="1" outlineLevel="1" x14ac:dyDescent="0.35">
      <c r="A438" s="3"/>
      <c r="B438" s="32" t="s">
        <v>2</v>
      </c>
      <c r="C438" s="33" t="s">
        <v>3</v>
      </c>
      <c r="D438" s="33" t="s">
        <v>4</v>
      </c>
      <c r="E438" s="33" t="s">
        <v>5</v>
      </c>
      <c r="F438" s="33"/>
      <c r="G438" s="34" t="s">
        <v>6</v>
      </c>
      <c r="H438" s="5"/>
      <c r="I438" s="5"/>
      <c r="J438" s="5"/>
      <c r="K438" s="5"/>
      <c r="L438" s="5"/>
      <c r="M438" s="5"/>
    </row>
    <row r="439" spans="1:14" s="3" customFormat="1" hidden="1" outlineLevel="1" x14ac:dyDescent="0.25">
      <c r="A439" s="5"/>
      <c r="B439" s="31"/>
      <c r="C439" s="20"/>
      <c r="D439" s="20"/>
      <c r="E439" s="20"/>
      <c r="F439" s="20"/>
      <c r="G439" s="22"/>
    </row>
    <row r="440" spans="1:14" s="3" customFormat="1" hidden="1" outlineLevel="1" x14ac:dyDescent="0.25">
      <c r="A440" s="5"/>
      <c r="B440" s="31"/>
      <c r="C440" s="20"/>
      <c r="D440" s="20"/>
      <c r="E440" s="20"/>
      <c r="F440" s="20"/>
      <c r="G440" s="22"/>
    </row>
    <row r="441" spans="1:14" s="3" customFormat="1" ht="16.2" hidden="1" outlineLevel="1" thickBot="1" x14ac:dyDescent="0.3">
      <c r="A441" s="5"/>
      <c r="B441" s="31"/>
      <c r="C441" s="20"/>
      <c r="D441" s="20"/>
      <c r="E441" s="20"/>
      <c r="F441" s="20"/>
      <c r="G441" s="22"/>
    </row>
    <row r="442" spans="1:14" s="4" customFormat="1" ht="17.399999999999999" hidden="1" customHeight="1" outlineLevel="1" x14ac:dyDescent="0.35">
      <c r="A442" s="3"/>
      <c r="B442" s="389" t="s">
        <v>29</v>
      </c>
      <c r="C442" s="390"/>
      <c r="D442" s="390"/>
      <c r="E442" s="390"/>
      <c r="F442" s="390"/>
      <c r="G442" s="391"/>
      <c r="H442" s="5"/>
      <c r="I442" s="5"/>
      <c r="J442" s="5"/>
      <c r="K442" s="5"/>
      <c r="L442" s="5"/>
      <c r="M442" s="5"/>
    </row>
    <row r="443" spans="1:14" s="3" customFormat="1" hidden="1" outlineLevel="1" x14ac:dyDescent="0.25">
      <c r="A443" s="5"/>
      <c r="B443" s="31" t="s">
        <v>2330</v>
      </c>
      <c r="C443" s="20"/>
      <c r="D443" s="20"/>
      <c r="E443" s="20"/>
      <c r="F443" s="20"/>
      <c r="G443" s="22"/>
    </row>
    <row r="444" spans="1:14" s="3" customFormat="1" hidden="1" outlineLevel="1" x14ac:dyDescent="0.25">
      <c r="A444" s="5"/>
      <c r="B444" s="31"/>
      <c r="C444" s="20"/>
      <c r="D444" s="20"/>
      <c r="E444" s="20"/>
      <c r="F444" s="20"/>
      <c r="G444" s="22"/>
    </row>
    <row r="445" spans="1:14" s="3" customFormat="1" ht="16.2" hidden="1" outlineLevel="1" thickBot="1" x14ac:dyDescent="0.3">
      <c r="A445" s="5"/>
      <c r="B445" s="52"/>
      <c r="C445" s="53"/>
      <c r="D445" s="53"/>
      <c r="E445" s="53"/>
      <c r="F445" s="53"/>
      <c r="G445" s="54"/>
    </row>
    <row r="446" spans="1:14" s="5" customFormat="1" ht="16.2" hidden="1" outlineLevel="1" thickBot="1" x14ac:dyDescent="0.3"/>
    <row r="447" spans="1:14" s="3" customFormat="1" ht="17.399999999999999" customHeight="1" collapsed="1" thickBot="1" x14ac:dyDescent="0.3">
      <c r="A447" s="5"/>
      <c r="B447" s="15" t="s">
        <v>1279</v>
      </c>
      <c r="C447" s="16" t="s">
        <v>2120</v>
      </c>
      <c r="D447" s="17" t="s">
        <v>1281</v>
      </c>
      <c r="E447" s="16" t="s">
        <v>796</v>
      </c>
      <c r="F447" s="17" t="s">
        <v>1282</v>
      </c>
      <c r="G447" s="18" t="s">
        <v>2121</v>
      </c>
    </row>
    <row r="448" spans="1:14" s="3" customFormat="1" ht="17.399999999999999" hidden="1" customHeight="1" outlineLevel="1" x14ac:dyDescent="0.25">
      <c r="A448" s="5"/>
      <c r="B448" s="19" t="s">
        <v>1284</v>
      </c>
      <c r="C448" s="20" t="s">
        <v>1285</v>
      </c>
      <c r="D448" s="21" t="s">
        <v>1286</v>
      </c>
      <c r="E448" s="20" t="s">
        <v>2122</v>
      </c>
      <c r="F448" s="21" t="s">
        <v>1288</v>
      </c>
      <c r="G448" s="22" t="s">
        <v>1322</v>
      </c>
    </row>
    <row r="449" spans="1:14" s="3" customFormat="1" ht="17.399999999999999" hidden="1" customHeight="1" outlineLevel="1" thickBot="1" x14ac:dyDescent="0.3">
      <c r="A449" s="5"/>
      <c r="B449" s="19" t="s">
        <v>1290</v>
      </c>
      <c r="C449" s="23" t="s">
        <v>1291</v>
      </c>
      <c r="D449" s="21" t="s">
        <v>1292</v>
      </c>
      <c r="E449" s="23">
        <v>5</v>
      </c>
      <c r="F449" s="21" t="s">
        <v>1293</v>
      </c>
      <c r="G449" s="24" t="s">
        <v>1294</v>
      </c>
    </row>
    <row r="450" spans="1:14" s="3" customFormat="1" ht="17.399999999999999" hidden="1" customHeight="1" outlineLevel="1" x14ac:dyDescent="0.25">
      <c r="A450" s="5"/>
      <c r="B450" s="401" t="s">
        <v>1</v>
      </c>
      <c r="C450" s="402"/>
      <c r="D450" s="402"/>
      <c r="E450" s="402"/>
      <c r="F450" s="402"/>
      <c r="G450" s="403"/>
    </row>
    <row r="451" spans="1:14" s="3" customFormat="1" ht="17.399999999999999" hidden="1" customHeight="1" outlineLevel="1" x14ac:dyDescent="0.25">
      <c r="A451" s="5"/>
      <c r="B451" s="25" t="s">
        <v>2</v>
      </c>
      <c r="C451" s="26" t="s">
        <v>3</v>
      </c>
      <c r="D451" s="26" t="s">
        <v>4</v>
      </c>
      <c r="E451" s="26" t="s">
        <v>5</v>
      </c>
      <c r="F451" s="26"/>
      <c r="G451" s="27" t="s">
        <v>6</v>
      </c>
    </row>
    <row r="452" spans="1:14" s="3" customFormat="1" hidden="1" outlineLevel="1" x14ac:dyDescent="0.25">
      <c r="B452" s="28" t="s">
        <v>14</v>
      </c>
      <c r="C452" s="29" t="s">
        <v>1475</v>
      </c>
      <c r="D452" s="29" t="s">
        <v>1469</v>
      </c>
      <c r="E452" s="29">
        <v>0</v>
      </c>
      <c r="F452" s="29" t="s">
        <v>1476</v>
      </c>
      <c r="G452" s="30" t="s">
        <v>1477</v>
      </c>
      <c r="J452" s="3" t="s">
        <v>10</v>
      </c>
      <c r="K452" s="3" t="s">
        <v>173</v>
      </c>
      <c r="L452" s="3" t="s">
        <v>9</v>
      </c>
      <c r="M452" s="3" t="s">
        <v>9</v>
      </c>
      <c r="N452" s="3">
        <v>2155</v>
      </c>
    </row>
    <row r="453" spans="1:14" s="3" customFormat="1" hidden="1" outlineLevel="1" x14ac:dyDescent="0.25">
      <c r="B453" s="28" t="s">
        <v>15</v>
      </c>
      <c r="C453" s="29" t="s">
        <v>1478</v>
      </c>
      <c r="D453" s="29" t="s">
        <v>1469</v>
      </c>
      <c r="E453" s="29">
        <v>0</v>
      </c>
      <c r="F453" s="29" t="s">
        <v>1470</v>
      </c>
      <c r="G453" s="30"/>
      <c r="J453" s="3" t="s">
        <v>10</v>
      </c>
      <c r="K453" s="3" t="s">
        <v>173</v>
      </c>
      <c r="L453" s="3" t="s">
        <v>9</v>
      </c>
      <c r="M453" s="3" t="s">
        <v>9</v>
      </c>
      <c r="N453" s="3">
        <v>2430</v>
      </c>
    </row>
    <row r="454" spans="1:14" s="3" customFormat="1" hidden="1" outlineLevel="1" x14ac:dyDescent="0.25">
      <c r="A454" s="5"/>
      <c r="B454" s="31" t="s">
        <v>87</v>
      </c>
      <c r="C454" s="20" t="s">
        <v>1535</v>
      </c>
      <c r="D454" s="20" t="s">
        <v>1469</v>
      </c>
      <c r="E454" s="20">
        <v>0</v>
      </c>
      <c r="F454" s="20" t="s">
        <v>1476</v>
      </c>
      <c r="G454" s="22"/>
      <c r="J454" s="3" t="s">
        <v>10</v>
      </c>
      <c r="K454" s="3" t="s">
        <v>173</v>
      </c>
      <c r="L454" s="3" t="s">
        <v>9</v>
      </c>
      <c r="M454" s="3" t="s">
        <v>9</v>
      </c>
      <c r="N454" s="3">
        <v>2433</v>
      </c>
    </row>
    <row r="455" spans="1:14" s="3" customFormat="1" ht="16.2" hidden="1" outlineLevel="1" thickBot="1" x14ac:dyDescent="0.3">
      <c r="A455" s="5"/>
      <c r="B455" s="31"/>
      <c r="C455" s="20"/>
      <c r="D455" s="20"/>
      <c r="E455" s="20"/>
      <c r="F455" s="20"/>
      <c r="G455" s="22"/>
    </row>
    <row r="456" spans="1:14" s="4" customFormat="1" ht="17.399999999999999" hidden="1" customHeight="1" outlineLevel="1" x14ac:dyDescent="0.35">
      <c r="A456" s="3"/>
      <c r="B456" s="389" t="s">
        <v>18</v>
      </c>
      <c r="C456" s="390"/>
      <c r="D456" s="390"/>
      <c r="E456" s="390"/>
      <c r="F456" s="390"/>
      <c r="G456" s="391"/>
      <c r="H456" s="5"/>
      <c r="I456" s="5"/>
      <c r="J456" s="5"/>
      <c r="K456" s="5"/>
      <c r="L456" s="5"/>
      <c r="M456" s="5"/>
    </row>
    <row r="457" spans="1:14" s="4" customFormat="1" hidden="1" outlineLevel="1" x14ac:dyDescent="0.35">
      <c r="A457" s="3"/>
      <c r="B457" s="32" t="s">
        <v>2</v>
      </c>
      <c r="C457" s="33" t="s">
        <v>3</v>
      </c>
      <c r="D457" s="33" t="s">
        <v>4</v>
      </c>
      <c r="E457" s="33" t="s">
        <v>5</v>
      </c>
      <c r="F457" s="33"/>
      <c r="G457" s="34" t="s">
        <v>6</v>
      </c>
      <c r="H457" s="5"/>
      <c r="I457" s="5"/>
      <c r="J457" s="5"/>
      <c r="K457" s="5"/>
      <c r="L457" s="5"/>
      <c r="M457" s="5"/>
    </row>
    <row r="458" spans="1:14" s="3" customFormat="1" hidden="1" outlineLevel="1" x14ac:dyDescent="0.25">
      <c r="A458" s="5"/>
      <c r="B458" s="31"/>
      <c r="C458" s="20"/>
      <c r="D458" s="20"/>
      <c r="E458" s="20"/>
      <c r="F458" s="20"/>
      <c r="G458" s="22"/>
    </row>
    <row r="459" spans="1:14" s="3" customFormat="1" hidden="1" outlineLevel="1" x14ac:dyDescent="0.25">
      <c r="A459" s="5"/>
      <c r="B459" s="31"/>
      <c r="C459" s="20"/>
      <c r="D459" s="20"/>
      <c r="E459" s="20"/>
      <c r="F459" s="20"/>
      <c r="G459" s="22"/>
    </row>
    <row r="460" spans="1:14" s="3" customFormat="1" ht="16.2" hidden="1" outlineLevel="1" thickBot="1" x14ac:dyDescent="0.3">
      <c r="A460" s="5"/>
      <c r="B460" s="31"/>
      <c r="C460" s="20"/>
      <c r="D460" s="20"/>
      <c r="E460" s="20"/>
      <c r="F460" s="20"/>
      <c r="G460" s="22"/>
    </row>
    <row r="461" spans="1:14" s="4" customFormat="1" ht="17.399999999999999" hidden="1" customHeight="1" outlineLevel="1" x14ac:dyDescent="0.35">
      <c r="A461" s="3"/>
      <c r="B461" s="389" t="s">
        <v>28</v>
      </c>
      <c r="C461" s="390"/>
      <c r="D461" s="390"/>
      <c r="E461" s="390"/>
      <c r="F461" s="390"/>
      <c r="G461" s="391"/>
      <c r="H461" s="5"/>
      <c r="I461" s="5"/>
      <c r="J461" s="5"/>
      <c r="K461" s="5"/>
      <c r="L461" s="5"/>
      <c r="M461" s="5"/>
    </row>
    <row r="462" spans="1:14" s="4" customFormat="1" hidden="1" outlineLevel="1" x14ac:dyDescent="0.35">
      <c r="A462" s="3"/>
      <c r="B462" s="32" t="s">
        <v>2</v>
      </c>
      <c r="C462" s="33" t="s">
        <v>3</v>
      </c>
      <c r="D462" s="33" t="s">
        <v>4</v>
      </c>
      <c r="E462" s="33"/>
      <c r="F462" s="33"/>
      <c r="G462" s="34" t="s">
        <v>6</v>
      </c>
      <c r="H462" s="5"/>
      <c r="I462" s="5"/>
      <c r="J462" s="5"/>
      <c r="K462" s="5"/>
      <c r="L462" s="5"/>
      <c r="M462" s="5"/>
    </row>
    <row r="463" spans="1:14" s="3" customFormat="1" hidden="1" outlineLevel="1" x14ac:dyDescent="0.25">
      <c r="A463" s="5"/>
      <c r="B463" s="31" t="s">
        <v>797</v>
      </c>
      <c r="C463" s="20" t="s">
        <v>2272</v>
      </c>
      <c r="D463" s="20" t="s">
        <v>1606</v>
      </c>
      <c r="E463" s="20" t="s">
        <v>1594</v>
      </c>
      <c r="F463" s="20"/>
      <c r="G463" s="22"/>
      <c r="J463" s="3" t="s">
        <v>187</v>
      </c>
      <c r="K463" s="3" t="s">
        <v>438</v>
      </c>
      <c r="L463" s="3" t="s">
        <v>537</v>
      </c>
      <c r="M463" s="3" t="s">
        <v>187</v>
      </c>
      <c r="N463" s="3">
        <v>1116</v>
      </c>
    </row>
    <row r="464" spans="1:14" s="3" customFormat="1" hidden="1" outlineLevel="1" x14ac:dyDescent="0.25">
      <c r="A464" s="5"/>
      <c r="B464" s="31" t="s">
        <v>268</v>
      </c>
      <c r="C464" s="20" t="s">
        <v>1695</v>
      </c>
      <c r="D464" s="20" t="s">
        <v>1489</v>
      </c>
      <c r="E464" s="20">
        <v>0</v>
      </c>
      <c r="F464" s="20" t="s">
        <v>1470</v>
      </c>
      <c r="G464" s="22"/>
      <c r="J464" s="3" t="s">
        <v>20</v>
      </c>
      <c r="K464" s="3" t="s">
        <v>445</v>
      </c>
      <c r="L464" s="3" t="s">
        <v>446</v>
      </c>
      <c r="M464" s="3" t="s">
        <v>446</v>
      </c>
      <c r="N464" s="3">
        <v>1741</v>
      </c>
    </row>
    <row r="465" spans="1:14" s="3" customFormat="1" hidden="1" outlineLevel="1" x14ac:dyDescent="0.25">
      <c r="A465" s="5"/>
      <c r="B465" s="31" t="s">
        <v>203</v>
      </c>
      <c r="C465" s="20" t="s">
        <v>1635</v>
      </c>
      <c r="D465" s="20" t="s">
        <v>1636</v>
      </c>
      <c r="E465" s="20" t="s">
        <v>1637</v>
      </c>
      <c r="F465" s="20" t="s">
        <v>1476</v>
      </c>
      <c r="G465" s="22"/>
      <c r="J465" s="3" t="s">
        <v>187</v>
      </c>
      <c r="K465" s="3" t="s">
        <v>438</v>
      </c>
      <c r="L465" s="3" t="s">
        <v>537</v>
      </c>
      <c r="M465" s="3" t="s">
        <v>187</v>
      </c>
      <c r="N465" s="3">
        <v>1041</v>
      </c>
    </row>
    <row r="466" spans="1:14" s="3" customFormat="1" hidden="1" outlineLevel="1" x14ac:dyDescent="0.25">
      <c r="A466" s="5"/>
      <c r="B466" s="31" t="s">
        <v>798</v>
      </c>
      <c r="C466" s="20" t="s">
        <v>2273</v>
      </c>
      <c r="D466" s="20" t="s">
        <v>1469</v>
      </c>
      <c r="E466" s="20">
        <v>0</v>
      </c>
      <c r="F466" s="20" t="s">
        <v>1476</v>
      </c>
      <c r="G466" s="22"/>
      <c r="J466" s="3" t="s">
        <v>10</v>
      </c>
      <c r="K466" s="3" t="s">
        <v>173</v>
      </c>
      <c r="L466" s="3" t="s">
        <v>9</v>
      </c>
      <c r="M466" s="3" t="s">
        <v>9</v>
      </c>
      <c r="N466" s="3">
        <v>1480</v>
      </c>
    </row>
    <row r="467" spans="1:14" s="3" customFormat="1" ht="16.2" hidden="1" outlineLevel="1" thickBot="1" x14ac:dyDescent="0.3">
      <c r="A467" s="5"/>
      <c r="B467" s="31"/>
      <c r="C467" s="20"/>
      <c r="D467" s="20"/>
      <c r="E467" s="20"/>
      <c r="F467" s="20"/>
      <c r="G467" s="22"/>
    </row>
    <row r="468" spans="1:14" s="4" customFormat="1" ht="17.399999999999999" hidden="1" customHeight="1" outlineLevel="1" x14ac:dyDescent="0.35">
      <c r="A468" s="3"/>
      <c r="B468" s="389" t="s">
        <v>29</v>
      </c>
      <c r="C468" s="390"/>
      <c r="D468" s="390"/>
      <c r="E468" s="390"/>
      <c r="F468" s="390"/>
      <c r="G468" s="391"/>
      <c r="H468" s="5"/>
      <c r="I468" s="5"/>
      <c r="J468" s="5"/>
      <c r="K468" s="5"/>
      <c r="L468" s="5"/>
      <c r="M468" s="5"/>
    </row>
    <row r="469" spans="1:14" s="3" customFormat="1" hidden="1" outlineLevel="1" x14ac:dyDescent="0.25">
      <c r="A469" s="5"/>
      <c r="B469" s="31" t="s">
        <v>799</v>
      </c>
      <c r="C469" s="20"/>
      <c r="D469" s="20"/>
      <c r="E469" s="20"/>
      <c r="F469" s="20"/>
      <c r="G469" s="22"/>
    </row>
    <row r="470" spans="1:14" s="3" customFormat="1" hidden="1" outlineLevel="1" x14ac:dyDescent="0.25">
      <c r="A470" s="5"/>
      <c r="B470" s="31" t="s">
        <v>800</v>
      </c>
      <c r="C470" s="20"/>
      <c r="D470" s="20"/>
      <c r="E470" s="20"/>
      <c r="F470" s="20"/>
      <c r="G470" s="22"/>
    </row>
    <row r="471" spans="1:14" s="3" customFormat="1" hidden="1" outlineLevel="1" x14ac:dyDescent="0.25">
      <c r="A471" s="5"/>
      <c r="B471" s="31" t="s">
        <v>801</v>
      </c>
      <c r="C471" s="20"/>
      <c r="D471" s="20"/>
      <c r="E471" s="20"/>
      <c r="F471" s="20"/>
      <c r="G471" s="22"/>
    </row>
    <row r="472" spans="1:14" s="3" customFormat="1" hidden="1" outlineLevel="1" x14ac:dyDescent="0.25">
      <c r="A472" s="5"/>
      <c r="B472" s="31" t="s">
        <v>802</v>
      </c>
      <c r="C472" s="20"/>
      <c r="D472" s="20"/>
      <c r="E472" s="20"/>
      <c r="F472" s="20"/>
      <c r="G472" s="22"/>
    </row>
    <row r="473" spans="1:14" s="3" customFormat="1" hidden="1" outlineLevel="1" x14ac:dyDescent="0.25">
      <c r="A473" s="5"/>
      <c r="B473" s="31" t="s">
        <v>561</v>
      </c>
      <c r="C473" s="20"/>
      <c r="D473" s="20"/>
      <c r="E473" s="20"/>
      <c r="F473" s="20"/>
      <c r="G473" s="22"/>
    </row>
    <row r="474" spans="1:14" s="3" customFormat="1" hidden="1" outlineLevel="1" x14ac:dyDescent="0.25">
      <c r="A474" s="5"/>
      <c r="B474" s="31" t="s">
        <v>2329</v>
      </c>
      <c r="C474" s="20"/>
      <c r="D474" s="20"/>
      <c r="E474" s="20"/>
      <c r="F474" s="20"/>
      <c r="G474" s="22"/>
    </row>
    <row r="475" spans="1:14" s="3" customFormat="1" hidden="1" outlineLevel="1" x14ac:dyDescent="0.25">
      <c r="A475" s="5"/>
      <c r="B475" s="31"/>
      <c r="C475" s="20"/>
      <c r="D475" s="20"/>
      <c r="E475" s="20"/>
      <c r="F475" s="20"/>
      <c r="G475" s="22"/>
    </row>
    <row r="476" spans="1:14" s="3" customFormat="1" ht="16.2" hidden="1" outlineLevel="1" thickBot="1" x14ac:dyDescent="0.3">
      <c r="A476" s="5"/>
      <c r="B476" s="52"/>
      <c r="C476" s="53"/>
      <c r="D476" s="53"/>
      <c r="E476" s="53"/>
      <c r="F476" s="53"/>
      <c r="G476" s="54"/>
    </row>
    <row r="477" spans="1:14" s="5" customFormat="1" ht="16.2" hidden="1" outlineLevel="1" thickBot="1" x14ac:dyDescent="0.3"/>
    <row r="478" spans="1:14" s="3" customFormat="1" ht="17.399999999999999" customHeight="1" collapsed="1" thickBot="1" x14ac:dyDescent="0.3">
      <c r="A478" s="5"/>
      <c r="B478" s="15" t="s">
        <v>1279</v>
      </c>
      <c r="C478" s="16" t="s">
        <v>2123</v>
      </c>
      <c r="D478" s="17" t="s">
        <v>1281</v>
      </c>
      <c r="E478" s="16" t="s">
        <v>803</v>
      </c>
      <c r="F478" s="17" t="s">
        <v>1282</v>
      </c>
      <c r="G478" s="18" t="s">
        <v>2124</v>
      </c>
    </row>
    <row r="479" spans="1:14" s="3" customFormat="1" ht="17.399999999999999" hidden="1" customHeight="1" outlineLevel="1" x14ac:dyDescent="0.25">
      <c r="A479" s="5"/>
      <c r="B479" s="19" t="s">
        <v>1284</v>
      </c>
      <c r="C479" s="20" t="s">
        <v>1285</v>
      </c>
      <c r="D479" s="21" t="s">
        <v>1286</v>
      </c>
      <c r="E479" s="20" t="s">
        <v>2125</v>
      </c>
      <c r="F479" s="21" t="s">
        <v>1288</v>
      </c>
      <c r="G479" s="22" t="s">
        <v>1326</v>
      </c>
    </row>
    <row r="480" spans="1:14" s="3" customFormat="1" ht="17.399999999999999" hidden="1" customHeight="1" outlineLevel="1" thickBot="1" x14ac:dyDescent="0.3">
      <c r="A480" s="5"/>
      <c r="B480" s="19" t="s">
        <v>1290</v>
      </c>
      <c r="C480" s="23" t="s">
        <v>1291</v>
      </c>
      <c r="D480" s="21" t="s">
        <v>1292</v>
      </c>
      <c r="E480" s="23">
        <v>5</v>
      </c>
      <c r="F480" s="21" t="s">
        <v>1293</v>
      </c>
      <c r="G480" s="24" t="s">
        <v>1294</v>
      </c>
    </row>
    <row r="481" spans="1:14" s="3" customFormat="1" ht="17.399999999999999" hidden="1" customHeight="1" outlineLevel="1" x14ac:dyDescent="0.25">
      <c r="A481" s="5"/>
      <c r="B481" s="401" t="s">
        <v>1</v>
      </c>
      <c r="C481" s="402"/>
      <c r="D481" s="402"/>
      <c r="E481" s="402"/>
      <c r="F481" s="402"/>
      <c r="G481" s="403"/>
    </row>
    <row r="482" spans="1:14" s="3" customFormat="1" ht="17.399999999999999" hidden="1" customHeight="1" outlineLevel="1" x14ac:dyDescent="0.25">
      <c r="A482" s="5"/>
      <c r="B482" s="25" t="s">
        <v>2</v>
      </c>
      <c r="C482" s="26" t="s">
        <v>3</v>
      </c>
      <c r="D482" s="26" t="s">
        <v>4</v>
      </c>
      <c r="E482" s="26" t="s">
        <v>5</v>
      </c>
      <c r="F482" s="26"/>
      <c r="G482" s="27" t="s">
        <v>6</v>
      </c>
    </row>
    <row r="483" spans="1:14" s="3" customFormat="1" hidden="1" outlineLevel="1" x14ac:dyDescent="0.25">
      <c r="B483" s="28" t="s">
        <v>7</v>
      </c>
      <c r="C483" s="29" t="s">
        <v>1468</v>
      </c>
      <c r="D483" s="29" t="s">
        <v>1469</v>
      </c>
      <c r="E483" s="29">
        <v>0</v>
      </c>
      <c r="F483" s="29" t="s">
        <v>1470</v>
      </c>
      <c r="G483" s="30" t="s">
        <v>1471</v>
      </c>
      <c r="J483" s="3" t="s">
        <v>10</v>
      </c>
      <c r="K483" s="3" t="s">
        <v>173</v>
      </c>
      <c r="L483" s="3" t="s">
        <v>9</v>
      </c>
      <c r="M483" s="3" t="s">
        <v>9</v>
      </c>
      <c r="N483" s="3">
        <v>1112</v>
      </c>
    </row>
    <row r="484" spans="1:14" s="3" customFormat="1" hidden="1" outlineLevel="1" x14ac:dyDescent="0.25">
      <c r="B484" s="28" t="s">
        <v>15</v>
      </c>
      <c r="C484" s="29" t="s">
        <v>1478</v>
      </c>
      <c r="D484" s="29" t="s">
        <v>1469</v>
      </c>
      <c r="E484" s="29">
        <v>0</v>
      </c>
      <c r="F484" s="29" t="s">
        <v>1470</v>
      </c>
      <c r="G484" s="30"/>
      <c r="J484" s="3" t="s">
        <v>10</v>
      </c>
      <c r="K484" s="3" t="s">
        <v>173</v>
      </c>
      <c r="L484" s="3" t="s">
        <v>9</v>
      </c>
      <c r="M484" s="3" t="s">
        <v>9</v>
      </c>
      <c r="N484" s="3">
        <v>2430</v>
      </c>
    </row>
    <row r="485" spans="1:14" s="3" customFormat="1" hidden="1" outlineLevel="1" x14ac:dyDescent="0.25">
      <c r="A485" s="5"/>
      <c r="B485" s="31" t="s">
        <v>14</v>
      </c>
      <c r="C485" s="20" t="s">
        <v>1475</v>
      </c>
      <c r="D485" s="20" t="s">
        <v>1469</v>
      </c>
      <c r="E485" s="20">
        <v>0</v>
      </c>
      <c r="F485" s="20" t="s">
        <v>1476</v>
      </c>
      <c r="G485" s="22" t="s">
        <v>1477</v>
      </c>
      <c r="H485" s="3" t="s">
        <v>98</v>
      </c>
      <c r="J485" s="3" t="s">
        <v>10</v>
      </c>
      <c r="K485" s="3" t="s">
        <v>173</v>
      </c>
      <c r="L485" s="3" t="s">
        <v>9</v>
      </c>
      <c r="M485" s="3" t="s">
        <v>9</v>
      </c>
      <c r="N485" s="3">
        <v>2155</v>
      </c>
    </row>
    <row r="486" spans="1:14" s="3" customFormat="1" hidden="1" outlineLevel="1" x14ac:dyDescent="0.25">
      <c r="A486" s="5"/>
      <c r="B486" s="31" t="s">
        <v>87</v>
      </c>
      <c r="C486" s="20" t="s">
        <v>1535</v>
      </c>
      <c r="D486" s="20" t="s">
        <v>1469</v>
      </c>
      <c r="E486" s="20">
        <v>0</v>
      </c>
      <c r="F486" s="20" t="s">
        <v>1476</v>
      </c>
      <c r="G486" s="22"/>
      <c r="H486" s="3" t="s">
        <v>99</v>
      </c>
      <c r="J486" s="3" t="s">
        <v>10</v>
      </c>
      <c r="K486" s="3" t="s">
        <v>173</v>
      </c>
      <c r="L486" s="3" t="s">
        <v>9</v>
      </c>
      <c r="M486" s="3" t="s">
        <v>9</v>
      </c>
      <c r="N486" s="3">
        <v>2433</v>
      </c>
    </row>
    <row r="487" spans="1:14" s="3" customFormat="1" ht="16.2" hidden="1" outlineLevel="1" thickBot="1" x14ac:dyDescent="0.3">
      <c r="A487" s="5"/>
      <c r="B487" s="31"/>
      <c r="C487" s="20"/>
      <c r="D487" s="20"/>
      <c r="E487" s="20"/>
      <c r="F487" s="20"/>
      <c r="G487" s="22"/>
    </row>
    <row r="488" spans="1:14" s="4" customFormat="1" ht="17.399999999999999" hidden="1" customHeight="1" outlineLevel="1" x14ac:dyDescent="0.35">
      <c r="A488" s="3"/>
      <c r="B488" s="389" t="s">
        <v>18</v>
      </c>
      <c r="C488" s="390"/>
      <c r="D488" s="390"/>
      <c r="E488" s="390"/>
      <c r="F488" s="390"/>
      <c r="G488" s="391"/>
      <c r="H488" s="5"/>
      <c r="I488" s="5"/>
      <c r="J488" s="5"/>
      <c r="K488" s="5"/>
      <c r="L488" s="5"/>
      <c r="M488" s="5"/>
    </row>
    <row r="489" spans="1:14" s="4" customFormat="1" hidden="1" outlineLevel="1" x14ac:dyDescent="0.35">
      <c r="A489" s="3"/>
      <c r="B489" s="32" t="s">
        <v>2</v>
      </c>
      <c r="C489" s="33" t="s">
        <v>3</v>
      </c>
      <c r="D489" s="33" t="s">
        <v>4</v>
      </c>
      <c r="E489" s="33" t="s">
        <v>5</v>
      </c>
      <c r="F489" s="33"/>
      <c r="G489" s="34" t="s">
        <v>6</v>
      </c>
      <c r="H489" s="5"/>
      <c r="I489" s="5"/>
      <c r="J489" s="5"/>
      <c r="K489" s="5"/>
      <c r="L489" s="5"/>
      <c r="M489" s="5"/>
    </row>
    <row r="490" spans="1:14" s="3" customFormat="1" hidden="1" outlineLevel="1" x14ac:dyDescent="0.25">
      <c r="A490" s="5"/>
      <c r="B490" s="31"/>
      <c r="C490" s="20"/>
      <c r="D490" s="20"/>
      <c r="E490" s="20"/>
      <c r="F490" s="20"/>
      <c r="G490" s="22"/>
    </row>
    <row r="491" spans="1:14" s="3" customFormat="1" ht="16.2" hidden="1" outlineLevel="1" thickBot="1" x14ac:dyDescent="0.3">
      <c r="A491" s="5"/>
      <c r="B491" s="31"/>
      <c r="C491" s="20"/>
      <c r="D491" s="20"/>
      <c r="E491" s="20"/>
      <c r="F491" s="20"/>
      <c r="G491" s="22"/>
    </row>
    <row r="492" spans="1:14" s="4" customFormat="1" ht="17.399999999999999" hidden="1" customHeight="1" outlineLevel="1" x14ac:dyDescent="0.35">
      <c r="A492" s="3"/>
      <c r="B492" s="389" t="s">
        <v>29</v>
      </c>
      <c r="C492" s="390"/>
      <c r="D492" s="390"/>
      <c r="E492" s="390"/>
      <c r="F492" s="390"/>
      <c r="G492" s="391"/>
      <c r="H492" s="5"/>
      <c r="I492" s="5"/>
      <c r="J492" s="5"/>
      <c r="K492" s="5"/>
      <c r="L492" s="5"/>
      <c r="M492" s="5"/>
    </row>
    <row r="493" spans="1:14" s="3" customFormat="1" hidden="1" outlineLevel="1" x14ac:dyDescent="0.25">
      <c r="A493" s="5"/>
      <c r="B493" s="31"/>
      <c r="C493" s="20"/>
      <c r="D493" s="20"/>
      <c r="E493" s="20"/>
      <c r="F493" s="20"/>
      <c r="G493" s="22"/>
    </row>
    <row r="494" spans="1:14" s="4" customFormat="1" hidden="1" outlineLevel="1" x14ac:dyDescent="0.35">
      <c r="A494" s="5"/>
      <c r="B494" s="104"/>
      <c r="C494" s="65"/>
      <c r="D494" s="65"/>
      <c r="E494" s="65"/>
      <c r="F494" s="65"/>
      <c r="G494" s="105"/>
      <c r="H494" s="5"/>
      <c r="I494" s="5"/>
      <c r="J494" s="5"/>
      <c r="K494" s="5"/>
      <c r="L494" s="5"/>
      <c r="M494" s="5"/>
    </row>
    <row r="495" spans="1:14" s="3" customFormat="1" ht="17.399999999999999" hidden="1" customHeight="1" outlineLevel="1" x14ac:dyDescent="0.25">
      <c r="A495" s="5"/>
      <c r="B495" s="106" t="s">
        <v>804</v>
      </c>
      <c r="C495" s="107"/>
      <c r="D495" s="107"/>
      <c r="E495" s="107"/>
      <c r="F495" s="107"/>
      <c r="G495" s="108"/>
      <c r="H495" s="5"/>
    </row>
    <row r="496" spans="1:14" s="3" customFormat="1" ht="17.399999999999999" hidden="1" customHeight="1" outlineLevel="1" x14ac:dyDescent="0.25">
      <c r="A496" s="5"/>
      <c r="B496" s="106" t="s">
        <v>805</v>
      </c>
      <c r="C496" s="107"/>
      <c r="D496" s="107"/>
      <c r="E496" s="107"/>
      <c r="F496" s="107"/>
      <c r="G496" s="108"/>
      <c r="H496" s="5"/>
    </row>
    <row r="497" spans="1:13" s="4" customFormat="1" hidden="1" outlineLevel="1" x14ac:dyDescent="0.35">
      <c r="A497" s="5"/>
      <c r="B497" s="104"/>
      <c r="C497" s="84"/>
      <c r="D497" s="84"/>
      <c r="E497" s="84"/>
      <c r="F497" s="84"/>
      <c r="G497" s="109"/>
      <c r="H497" s="5"/>
      <c r="I497" s="5"/>
      <c r="J497" s="5"/>
      <c r="K497" s="5"/>
      <c r="L497" s="5"/>
      <c r="M497" s="5"/>
    </row>
    <row r="498" spans="1:13" s="4" customFormat="1" hidden="1" outlineLevel="1" x14ac:dyDescent="0.35">
      <c r="A498" s="5"/>
      <c r="B498" s="110" t="s">
        <v>702</v>
      </c>
      <c r="C498" s="84"/>
      <c r="D498" s="84"/>
      <c r="E498" s="84"/>
      <c r="F498" s="84"/>
      <c r="G498" s="109"/>
      <c r="H498" s="5"/>
      <c r="I498" s="5"/>
      <c r="J498" s="5"/>
      <c r="K498" s="5"/>
      <c r="L498" s="5"/>
      <c r="M498" s="5"/>
    </row>
    <row r="499" spans="1:13" s="4" customFormat="1" hidden="1" outlineLevel="1" x14ac:dyDescent="0.35">
      <c r="A499" s="5"/>
      <c r="B499" s="110" t="s">
        <v>806</v>
      </c>
      <c r="C499" s="84"/>
      <c r="D499" s="84"/>
      <c r="E499" s="84"/>
      <c r="F499" s="84"/>
      <c r="G499" s="109"/>
      <c r="H499" s="5"/>
      <c r="I499" s="5"/>
      <c r="J499" s="5"/>
      <c r="K499" s="5"/>
      <c r="L499" s="5"/>
      <c r="M499" s="5"/>
    </row>
    <row r="500" spans="1:13" s="4" customFormat="1" hidden="1" outlineLevel="1" x14ac:dyDescent="0.35">
      <c r="A500" s="5"/>
      <c r="B500" s="111" t="s">
        <v>807</v>
      </c>
      <c r="C500" s="84"/>
      <c r="D500" s="84"/>
      <c r="E500" s="84"/>
      <c r="F500" s="84"/>
      <c r="G500" s="109"/>
      <c r="H500" s="5"/>
      <c r="I500" s="5"/>
      <c r="J500" s="5"/>
      <c r="K500" s="5"/>
      <c r="L500" s="5"/>
      <c r="M500" s="5"/>
    </row>
    <row r="501" spans="1:13" s="4" customFormat="1" hidden="1" outlineLevel="1" x14ac:dyDescent="0.35">
      <c r="A501" s="5"/>
      <c r="B501" s="111" t="s">
        <v>808</v>
      </c>
      <c r="C501" s="84"/>
      <c r="D501" s="84"/>
      <c r="E501" s="84"/>
      <c r="F501" s="84"/>
      <c r="G501" s="109"/>
      <c r="H501" s="5"/>
      <c r="I501" s="5"/>
      <c r="J501" s="5"/>
      <c r="K501" s="5"/>
      <c r="L501" s="5"/>
      <c r="M501" s="5"/>
    </row>
    <row r="502" spans="1:13" s="4" customFormat="1" hidden="1" outlineLevel="1" x14ac:dyDescent="0.35">
      <c r="A502" s="5"/>
      <c r="B502" s="111" t="s">
        <v>809</v>
      </c>
      <c r="C502" s="84"/>
      <c r="D502" s="84"/>
      <c r="E502" s="84"/>
      <c r="F502" s="84"/>
      <c r="G502" s="109"/>
      <c r="H502" s="5"/>
      <c r="I502" s="5"/>
      <c r="J502" s="5"/>
      <c r="K502" s="5"/>
      <c r="L502" s="5"/>
      <c r="M502" s="5"/>
    </row>
    <row r="503" spans="1:13" s="4" customFormat="1" hidden="1" outlineLevel="1" x14ac:dyDescent="0.35">
      <c r="A503" s="5"/>
      <c r="B503" s="111" t="s">
        <v>810</v>
      </c>
      <c r="C503" s="84"/>
      <c r="D503" s="84"/>
      <c r="E503" s="84"/>
      <c r="F503" s="84"/>
      <c r="G503" s="109"/>
      <c r="H503" s="5"/>
      <c r="I503" s="5"/>
      <c r="J503" s="5"/>
      <c r="K503" s="5"/>
      <c r="L503" s="5"/>
      <c r="M503" s="5"/>
    </row>
    <row r="504" spans="1:13" s="4" customFormat="1" hidden="1" outlineLevel="1" x14ac:dyDescent="0.35">
      <c r="A504" s="5"/>
      <c r="B504" s="111" t="s">
        <v>811</v>
      </c>
      <c r="C504" s="84"/>
      <c r="D504" s="84"/>
      <c r="E504" s="84"/>
      <c r="F504" s="84"/>
      <c r="G504" s="109"/>
      <c r="H504" s="5"/>
      <c r="I504" s="5"/>
      <c r="J504" s="5"/>
      <c r="K504" s="5"/>
      <c r="L504" s="5"/>
      <c r="M504" s="5"/>
    </row>
    <row r="505" spans="1:13" s="4" customFormat="1" hidden="1" outlineLevel="1" x14ac:dyDescent="0.35">
      <c r="A505" s="5"/>
      <c r="B505" s="111" t="s">
        <v>812</v>
      </c>
      <c r="C505" s="84"/>
      <c r="D505" s="84"/>
      <c r="E505" s="84"/>
      <c r="F505" s="84"/>
      <c r="G505" s="109"/>
      <c r="H505" s="5"/>
      <c r="I505" s="5"/>
      <c r="J505" s="5"/>
      <c r="K505" s="5"/>
      <c r="L505" s="5"/>
      <c r="M505" s="5"/>
    </row>
    <row r="506" spans="1:13" s="4" customFormat="1" hidden="1" outlineLevel="1" x14ac:dyDescent="0.35">
      <c r="A506" s="5"/>
      <c r="B506" s="111" t="s">
        <v>813</v>
      </c>
      <c r="C506" s="84"/>
      <c r="D506" s="84"/>
      <c r="E506" s="84"/>
      <c r="F506" s="84"/>
      <c r="G506" s="109"/>
      <c r="H506" s="5"/>
      <c r="I506" s="5"/>
      <c r="J506" s="5"/>
      <c r="K506" s="5"/>
      <c r="L506" s="5"/>
      <c r="M506" s="5"/>
    </row>
    <row r="507" spans="1:13" s="4" customFormat="1" hidden="1" outlineLevel="1" x14ac:dyDescent="0.35">
      <c r="A507" s="5"/>
      <c r="B507" s="111" t="s">
        <v>814</v>
      </c>
      <c r="C507" s="84"/>
      <c r="D507" s="84"/>
      <c r="E507" s="84"/>
      <c r="F507" s="84"/>
      <c r="G507" s="109"/>
      <c r="H507" s="5"/>
      <c r="I507" s="5"/>
      <c r="J507" s="5"/>
      <c r="K507" s="5"/>
      <c r="L507" s="5"/>
      <c r="M507" s="5"/>
    </row>
    <row r="508" spans="1:13" s="4" customFormat="1" hidden="1" outlineLevel="1" x14ac:dyDescent="0.35">
      <c r="A508" s="5"/>
      <c r="B508" s="111" t="s">
        <v>815</v>
      </c>
      <c r="C508" s="84"/>
      <c r="D508" s="84"/>
      <c r="E508" s="84"/>
      <c r="F508" s="84"/>
      <c r="G508" s="109"/>
      <c r="H508" s="5"/>
      <c r="I508" s="5"/>
      <c r="J508" s="5"/>
      <c r="K508" s="5"/>
      <c r="L508" s="5"/>
      <c r="M508" s="5"/>
    </row>
    <row r="509" spans="1:13" s="4" customFormat="1" hidden="1" outlineLevel="1" x14ac:dyDescent="0.35">
      <c r="A509" s="5"/>
      <c r="B509" s="111" t="s">
        <v>816</v>
      </c>
      <c r="C509" s="84"/>
      <c r="D509" s="84"/>
      <c r="E509" s="84"/>
      <c r="F509" s="84"/>
      <c r="G509" s="109"/>
      <c r="H509" s="5"/>
      <c r="I509" s="5"/>
      <c r="J509" s="5"/>
      <c r="K509" s="5"/>
      <c r="L509" s="5"/>
      <c r="M509" s="5"/>
    </row>
    <row r="510" spans="1:13" s="4" customFormat="1" hidden="1" outlineLevel="1" x14ac:dyDescent="0.35">
      <c r="A510" s="5"/>
      <c r="B510" s="110" t="s">
        <v>817</v>
      </c>
      <c r="C510" s="84"/>
      <c r="D510" s="84"/>
      <c r="E510" s="84"/>
      <c r="F510" s="84"/>
      <c r="G510" s="109"/>
      <c r="H510" s="5"/>
      <c r="I510" s="5"/>
      <c r="J510" s="5"/>
      <c r="K510" s="5"/>
      <c r="L510" s="5"/>
      <c r="M510" s="5"/>
    </row>
    <row r="511" spans="1:13" s="4" customFormat="1" hidden="1" outlineLevel="1" x14ac:dyDescent="0.35">
      <c r="A511" s="5"/>
      <c r="B511" s="111" t="s">
        <v>818</v>
      </c>
      <c r="C511" s="84"/>
      <c r="D511" s="84"/>
      <c r="E511" s="84"/>
      <c r="F511" s="84"/>
      <c r="G511" s="109"/>
      <c r="H511" s="5"/>
      <c r="I511" s="5"/>
      <c r="J511" s="5"/>
      <c r="K511" s="5"/>
      <c r="L511" s="5"/>
      <c r="M511" s="5"/>
    </row>
    <row r="512" spans="1:13" s="4" customFormat="1" hidden="1" outlineLevel="1" x14ac:dyDescent="0.35">
      <c r="A512" s="5"/>
      <c r="B512" s="112" t="s">
        <v>819</v>
      </c>
      <c r="C512" s="84"/>
      <c r="D512" s="84"/>
      <c r="E512" s="84"/>
      <c r="F512" s="84"/>
      <c r="G512" s="109"/>
      <c r="H512" s="5"/>
      <c r="I512" s="5"/>
      <c r="J512" s="5"/>
      <c r="K512" s="5"/>
      <c r="L512" s="5"/>
      <c r="M512" s="5"/>
    </row>
    <row r="513" spans="1:13" s="4" customFormat="1" hidden="1" outlineLevel="1" x14ac:dyDescent="0.35">
      <c r="A513" s="5"/>
      <c r="B513" s="112" t="s">
        <v>820</v>
      </c>
      <c r="C513" s="84"/>
      <c r="D513" s="84"/>
      <c r="E513" s="84"/>
      <c r="F513" s="84"/>
      <c r="G513" s="109"/>
      <c r="H513" s="5"/>
      <c r="I513" s="5"/>
      <c r="J513" s="5"/>
      <c r="K513" s="5"/>
      <c r="L513" s="5"/>
      <c r="M513" s="5"/>
    </row>
    <row r="514" spans="1:13" s="4" customFormat="1" hidden="1" outlineLevel="1" x14ac:dyDescent="0.35">
      <c r="A514" s="5"/>
      <c r="B514" s="111" t="s">
        <v>821</v>
      </c>
      <c r="C514" s="84"/>
      <c r="D514" s="84"/>
      <c r="E514" s="84"/>
      <c r="F514" s="84"/>
      <c r="G514" s="109"/>
      <c r="H514" s="5"/>
      <c r="I514" s="5"/>
      <c r="J514" s="5"/>
      <c r="K514" s="5"/>
      <c r="L514" s="5"/>
      <c r="M514" s="5"/>
    </row>
    <row r="515" spans="1:13" s="4" customFormat="1" hidden="1" outlineLevel="1" x14ac:dyDescent="0.35">
      <c r="A515" s="5"/>
      <c r="B515" s="111" t="s">
        <v>822</v>
      </c>
      <c r="C515" s="84"/>
      <c r="D515" s="84"/>
      <c r="E515" s="84"/>
      <c r="F515" s="84"/>
      <c r="G515" s="109"/>
      <c r="H515" s="5"/>
      <c r="I515" s="5"/>
      <c r="J515" s="5"/>
      <c r="K515" s="5"/>
      <c r="L515" s="5"/>
      <c r="M515" s="5"/>
    </row>
    <row r="516" spans="1:13" s="4" customFormat="1" hidden="1" outlineLevel="1" x14ac:dyDescent="0.35">
      <c r="A516" s="5"/>
      <c r="B516" s="111" t="s">
        <v>2326</v>
      </c>
      <c r="C516" s="84"/>
      <c r="D516" s="84"/>
      <c r="E516" s="84"/>
      <c r="F516" s="84"/>
      <c r="G516" s="109"/>
      <c r="H516" s="5"/>
      <c r="I516" s="5"/>
      <c r="J516" s="5"/>
      <c r="K516" s="5"/>
      <c r="L516" s="5"/>
      <c r="M516" s="5"/>
    </row>
    <row r="517" spans="1:13" s="4" customFormat="1" hidden="1" outlineLevel="1" x14ac:dyDescent="0.35">
      <c r="A517" s="5"/>
      <c r="B517" s="111" t="s">
        <v>2327</v>
      </c>
      <c r="C517" s="84"/>
      <c r="D517" s="84"/>
      <c r="E517" s="84"/>
      <c r="F517" s="84"/>
      <c r="G517" s="109"/>
      <c r="H517" s="5"/>
      <c r="I517" s="5"/>
      <c r="J517" s="5"/>
      <c r="K517" s="5"/>
      <c r="L517" s="5"/>
      <c r="M517" s="5"/>
    </row>
    <row r="518" spans="1:13" s="4" customFormat="1" hidden="1" outlineLevel="1" x14ac:dyDescent="0.35">
      <c r="A518" s="5"/>
      <c r="B518" s="111" t="s">
        <v>823</v>
      </c>
      <c r="C518" s="84"/>
      <c r="D518" s="84"/>
      <c r="E518" s="84"/>
      <c r="F518" s="84"/>
      <c r="G518" s="109"/>
      <c r="H518" s="5"/>
      <c r="I518" s="5"/>
      <c r="J518" s="5"/>
      <c r="K518" s="5"/>
      <c r="L518" s="5"/>
      <c r="M518" s="5"/>
    </row>
    <row r="519" spans="1:13" s="4" customFormat="1" hidden="1" outlineLevel="1" x14ac:dyDescent="0.35">
      <c r="A519" s="5"/>
      <c r="B519" s="111" t="s">
        <v>824</v>
      </c>
      <c r="C519" s="84"/>
      <c r="D519" s="84"/>
      <c r="E519" s="84"/>
      <c r="F519" s="84"/>
      <c r="G519" s="109"/>
      <c r="H519" s="5"/>
      <c r="I519" s="5"/>
      <c r="J519" s="5"/>
      <c r="K519" s="5"/>
      <c r="L519" s="5"/>
      <c r="M519" s="5"/>
    </row>
    <row r="520" spans="1:13" s="4" customFormat="1" hidden="1" outlineLevel="1" x14ac:dyDescent="0.35">
      <c r="A520" s="5"/>
      <c r="B520" s="113" t="s">
        <v>2283</v>
      </c>
      <c r="C520" s="84"/>
      <c r="D520" s="84"/>
      <c r="E520" s="84"/>
      <c r="F520" s="84"/>
      <c r="G520" s="109"/>
      <c r="H520" s="5"/>
      <c r="I520" s="5"/>
      <c r="J520" s="5"/>
      <c r="K520" s="5"/>
      <c r="L520" s="5"/>
      <c r="M520" s="5"/>
    </row>
    <row r="521" spans="1:13" s="3" customFormat="1" hidden="1" outlineLevel="1" x14ac:dyDescent="0.25">
      <c r="A521" s="5"/>
      <c r="B521" s="114" t="s">
        <v>2284</v>
      </c>
      <c r="C521" s="20"/>
      <c r="D521" s="20"/>
      <c r="E521" s="20"/>
      <c r="F521" s="20"/>
      <c r="G521" s="22"/>
    </row>
    <row r="522" spans="1:13" s="3" customFormat="1" hidden="1" outlineLevel="1" x14ac:dyDescent="0.25">
      <c r="A522" s="5"/>
      <c r="B522" s="114" t="s">
        <v>2285</v>
      </c>
      <c r="C522" s="20"/>
      <c r="D522" s="20"/>
      <c r="E522" s="20"/>
      <c r="F522" s="20"/>
      <c r="G522" s="22"/>
    </row>
    <row r="523" spans="1:13" s="4" customFormat="1" hidden="1" outlineLevel="1" x14ac:dyDescent="0.35">
      <c r="A523" s="5"/>
      <c r="B523" s="111" t="s">
        <v>825</v>
      </c>
      <c r="C523" s="84"/>
      <c r="D523" s="84"/>
      <c r="E523" s="84"/>
      <c r="F523" s="84"/>
      <c r="G523" s="109"/>
      <c r="H523" s="5"/>
      <c r="I523" s="5"/>
      <c r="J523" s="5"/>
      <c r="K523" s="5"/>
      <c r="L523" s="5"/>
      <c r="M523" s="5"/>
    </row>
    <row r="524" spans="1:13" s="4" customFormat="1" hidden="1" outlineLevel="1" x14ac:dyDescent="0.35">
      <c r="A524" s="5"/>
      <c r="B524" s="111" t="s">
        <v>826</v>
      </c>
      <c r="C524" s="84"/>
      <c r="D524" s="84"/>
      <c r="E524" s="84"/>
      <c r="F524" s="84"/>
      <c r="G524" s="109"/>
      <c r="H524" s="5"/>
      <c r="I524" s="5"/>
      <c r="J524" s="5"/>
      <c r="K524" s="5"/>
      <c r="L524" s="5"/>
      <c r="M524" s="5"/>
    </row>
    <row r="525" spans="1:13" s="4" customFormat="1" hidden="1" outlineLevel="1" x14ac:dyDescent="0.35">
      <c r="A525" s="5"/>
      <c r="B525" s="111" t="s">
        <v>827</v>
      </c>
      <c r="C525" s="84"/>
      <c r="D525" s="84"/>
      <c r="E525" s="84"/>
      <c r="F525" s="84"/>
      <c r="G525" s="109"/>
      <c r="H525" s="5"/>
      <c r="I525" s="5"/>
      <c r="J525" s="5"/>
      <c r="K525" s="5"/>
      <c r="L525" s="5"/>
      <c r="M525" s="5"/>
    </row>
    <row r="526" spans="1:13" s="4" customFormat="1" hidden="1" outlineLevel="1" x14ac:dyDescent="0.35">
      <c r="A526" s="5"/>
      <c r="B526" s="111" t="s">
        <v>828</v>
      </c>
      <c r="C526" s="84"/>
      <c r="D526" s="84"/>
      <c r="E526" s="84"/>
      <c r="F526" s="84"/>
      <c r="G526" s="109"/>
      <c r="H526" s="5"/>
      <c r="I526" s="5"/>
      <c r="J526" s="5"/>
      <c r="K526" s="5"/>
      <c r="L526" s="5"/>
      <c r="M526" s="5"/>
    </row>
    <row r="527" spans="1:13" s="4" customFormat="1" hidden="1" outlineLevel="1" x14ac:dyDescent="0.35">
      <c r="A527" s="5"/>
      <c r="B527" s="111" t="s">
        <v>829</v>
      </c>
      <c r="C527" s="84"/>
      <c r="D527" s="84"/>
      <c r="E527" s="84"/>
      <c r="F527" s="84"/>
      <c r="G527" s="109"/>
      <c r="H527" s="5"/>
      <c r="I527" s="5"/>
      <c r="J527" s="5"/>
      <c r="K527" s="5"/>
      <c r="L527" s="5"/>
      <c r="M527" s="5"/>
    </row>
    <row r="528" spans="1:13" s="4" customFormat="1" hidden="1" outlineLevel="1" x14ac:dyDescent="0.35">
      <c r="A528" s="5"/>
      <c r="B528" s="111" t="s">
        <v>830</v>
      </c>
      <c r="C528" s="84"/>
      <c r="D528" s="84"/>
      <c r="E528" s="84"/>
      <c r="F528" s="84"/>
      <c r="G528" s="109"/>
      <c r="H528" s="5"/>
      <c r="I528" s="5"/>
      <c r="J528" s="5"/>
      <c r="K528" s="5"/>
      <c r="L528" s="5"/>
      <c r="M528" s="5"/>
    </row>
    <row r="529" spans="1:14" s="4" customFormat="1" hidden="1" outlineLevel="1" x14ac:dyDescent="0.35">
      <c r="A529" s="5"/>
      <c r="B529" s="111" t="s">
        <v>831</v>
      </c>
      <c r="C529" s="84"/>
      <c r="D529" s="84"/>
      <c r="E529" s="84"/>
      <c r="F529" s="84"/>
      <c r="G529" s="109"/>
      <c r="H529" s="5"/>
      <c r="I529" s="5"/>
      <c r="J529" s="5"/>
      <c r="K529" s="5"/>
      <c r="L529" s="5"/>
      <c r="M529" s="5"/>
    </row>
    <row r="530" spans="1:14" s="4" customFormat="1" hidden="1" outlineLevel="1" x14ac:dyDescent="0.35">
      <c r="A530" s="5"/>
      <c r="B530" s="111" t="s">
        <v>832</v>
      </c>
      <c r="C530" s="84"/>
      <c r="D530" s="84"/>
      <c r="E530" s="84"/>
      <c r="F530" s="84"/>
      <c r="G530" s="109"/>
      <c r="H530" s="5"/>
      <c r="I530" s="5"/>
      <c r="J530" s="5"/>
      <c r="K530" s="5"/>
      <c r="L530" s="5"/>
      <c r="M530" s="5"/>
    </row>
    <row r="531" spans="1:14" s="4" customFormat="1" hidden="1" outlineLevel="1" x14ac:dyDescent="0.35">
      <c r="A531" s="5"/>
      <c r="B531" s="115" t="s">
        <v>2286</v>
      </c>
      <c r="C531" s="84"/>
      <c r="D531" s="84"/>
      <c r="E531" s="84"/>
      <c r="F531" s="84"/>
      <c r="G531" s="109"/>
      <c r="H531" s="5"/>
      <c r="I531" s="5"/>
      <c r="J531" s="5"/>
      <c r="K531" s="5"/>
      <c r="L531" s="5"/>
      <c r="M531" s="5"/>
    </row>
    <row r="532" spans="1:14" s="4" customFormat="1" hidden="1" outlineLevel="1" x14ac:dyDescent="0.35">
      <c r="A532" s="5"/>
      <c r="B532" s="111" t="s">
        <v>833</v>
      </c>
      <c r="C532" s="84"/>
      <c r="D532" s="84"/>
      <c r="E532" s="84"/>
      <c r="F532" s="84"/>
      <c r="G532" s="109"/>
      <c r="H532" s="5"/>
      <c r="I532" s="5"/>
      <c r="J532" s="5"/>
      <c r="K532" s="5"/>
      <c r="L532" s="5"/>
      <c r="M532" s="5"/>
    </row>
    <row r="533" spans="1:14" s="4" customFormat="1" hidden="1" outlineLevel="1" x14ac:dyDescent="0.35">
      <c r="A533" s="5"/>
      <c r="B533" s="110" t="s">
        <v>834</v>
      </c>
      <c r="C533" s="84"/>
      <c r="D533" s="84"/>
      <c r="E533" s="84"/>
      <c r="F533" s="84"/>
      <c r="G533" s="109"/>
      <c r="H533" s="5"/>
      <c r="I533" s="5"/>
      <c r="J533" s="5"/>
      <c r="K533" s="5"/>
      <c r="L533" s="5"/>
      <c r="M533" s="5"/>
    </row>
    <row r="534" spans="1:14" s="3" customFormat="1" ht="16.2" hidden="1" outlineLevel="1" thickBot="1" x14ac:dyDescent="0.3">
      <c r="A534" s="5"/>
      <c r="B534" s="52" t="s">
        <v>726</v>
      </c>
      <c r="C534" s="53"/>
      <c r="D534" s="53"/>
      <c r="E534" s="53"/>
      <c r="F534" s="53"/>
      <c r="G534" s="54"/>
    </row>
    <row r="535" spans="1:14" s="5" customFormat="1" ht="16.2" hidden="1" outlineLevel="1" thickBot="1" x14ac:dyDescent="0.3"/>
    <row r="536" spans="1:14" s="3" customFormat="1" ht="17.399999999999999" customHeight="1" collapsed="1" thickBot="1" x14ac:dyDescent="0.3">
      <c r="A536" s="5"/>
      <c r="B536" s="15" t="s">
        <v>1279</v>
      </c>
      <c r="C536" s="16" t="s">
        <v>2126</v>
      </c>
      <c r="D536" s="17" t="s">
        <v>1281</v>
      </c>
      <c r="E536" s="16" t="s">
        <v>835</v>
      </c>
      <c r="F536" s="17" t="s">
        <v>1282</v>
      </c>
      <c r="G536" s="18" t="s">
        <v>2127</v>
      </c>
    </row>
    <row r="537" spans="1:14" s="3" customFormat="1" ht="17.399999999999999" hidden="1" customHeight="1" outlineLevel="1" x14ac:dyDescent="0.25">
      <c r="A537" s="5"/>
      <c r="B537" s="19" t="s">
        <v>1284</v>
      </c>
      <c r="C537" s="20" t="s">
        <v>1285</v>
      </c>
      <c r="D537" s="21" t="s">
        <v>1286</v>
      </c>
      <c r="E537" s="20" t="s">
        <v>2128</v>
      </c>
      <c r="F537" s="21" t="s">
        <v>1288</v>
      </c>
      <c r="G537" s="22" t="s">
        <v>1330</v>
      </c>
    </row>
    <row r="538" spans="1:14" s="3" customFormat="1" ht="17.399999999999999" hidden="1" customHeight="1" outlineLevel="1" thickBot="1" x14ac:dyDescent="0.3">
      <c r="A538" s="5"/>
      <c r="B538" s="19" t="s">
        <v>1290</v>
      </c>
      <c r="C538" s="23" t="s">
        <v>1291</v>
      </c>
      <c r="D538" s="21" t="s">
        <v>1292</v>
      </c>
      <c r="E538" s="23">
        <v>5</v>
      </c>
      <c r="F538" s="21" t="s">
        <v>1293</v>
      </c>
      <c r="G538" s="24" t="s">
        <v>1294</v>
      </c>
    </row>
    <row r="539" spans="1:14" s="3" customFormat="1" ht="17.399999999999999" hidden="1" customHeight="1" outlineLevel="1" x14ac:dyDescent="0.25">
      <c r="A539" s="5"/>
      <c r="B539" s="401" t="s">
        <v>1</v>
      </c>
      <c r="C539" s="402"/>
      <c r="D539" s="402"/>
      <c r="E539" s="402"/>
      <c r="F539" s="402"/>
      <c r="G539" s="403"/>
    </row>
    <row r="540" spans="1:14" s="3" customFormat="1" ht="17.399999999999999" hidden="1" customHeight="1" outlineLevel="1" x14ac:dyDescent="0.25">
      <c r="A540" s="5"/>
      <c r="B540" s="25" t="s">
        <v>2</v>
      </c>
      <c r="C540" s="26" t="s">
        <v>3</v>
      </c>
      <c r="D540" s="26" t="s">
        <v>4</v>
      </c>
      <c r="E540" s="26" t="s">
        <v>5</v>
      </c>
      <c r="F540" s="26"/>
      <c r="G540" s="27" t="s">
        <v>6</v>
      </c>
    </row>
    <row r="541" spans="1:14" s="3" customFormat="1" hidden="1" outlineLevel="1" x14ac:dyDescent="0.25">
      <c r="B541" s="28" t="s">
        <v>112</v>
      </c>
      <c r="C541" s="29" t="s">
        <v>1555</v>
      </c>
      <c r="D541" s="29" t="s">
        <v>1469</v>
      </c>
      <c r="E541" s="29">
        <v>0</v>
      </c>
      <c r="F541" s="29" t="s">
        <v>1470</v>
      </c>
      <c r="G541" s="30" t="s">
        <v>1556</v>
      </c>
      <c r="J541" s="3" t="s">
        <v>10</v>
      </c>
      <c r="K541" s="3" t="s">
        <v>173</v>
      </c>
      <c r="L541" s="3" t="s">
        <v>9</v>
      </c>
      <c r="M541" s="3" t="s">
        <v>9</v>
      </c>
      <c r="N541" s="3">
        <v>1606</v>
      </c>
    </row>
    <row r="542" spans="1:14" s="3" customFormat="1" hidden="1" outlineLevel="1" x14ac:dyDescent="0.25">
      <c r="B542" s="28" t="s">
        <v>7</v>
      </c>
      <c r="C542" s="29" t="s">
        <v>1468</v>
      </c>
      <c r="D542" s="29" t="s">
        <v>1469</v>
      </c>
      <c r="E542" s="29">
        <v>0</v>
      </c>
      <c r="F542" s="29" t="s">
        <v>1470</v>
      </c>
      <c r="G542" s="30" t="s">
        <v>1471</v>
      </c>
      <c r="J542" s="3" t="s">
        <v>10</v>
      </c>
      <c r="K542" s="3" t="s">
        <v>173</v>
      </c>
      <c r="L542" s="3" t="s">
        <v>9</v>
      </c>
      <c r="M542" s="3" t="s">
        <v>9</v>
      </c>
      <c r="N542" s="3">
        <v>1112</v>
      </c>
    </row>
    <row r="543" spans="1:14" s="3" customFormat="1" hidden="1" outlineLevel="1" x14ac:dyDescent="0.25">
      <c r="A543" s="5"/>
      <c r="B543" s="31" t="s">
        <v>114</v>
      </c>
      <c r="C543" s="20" t="s">
        <v>1557</v>
      </c>
      <c r="D543" s="20" t="s">
        <v>1469</v>
      </c>
      <c r="E543" s="20">
        <v>-1</v>
      </c>
      <c r="F543" s="20" t="s">
        <v>1470</v>
      </c>
      <c r="G543" s="22"/>
      <c r="J543" s="3" t="s">
        <v>10</v>
      </c>
      <c r="K543" s="3" t="s">
        <v>173</v>
      </c>
      <c r="L543" s="3" t="s">
        <v>9</v>
      </c>
      <c r="M543" s="3" t="s">
        <v>9</v>
      </c>
      <c r="N543" s="3">
        <v>2449</v>
      </c>
    </row>
    <row r="544" spans="1:14" s="3" customFormat="1" hidden="1" outlineLevel="1" x14ac:dyDescent="0.25">
      <c r="A544" s="5"/>
      <c r="B544" s="31" t="s">
        <v>553</v>
      </c>
      <c r="C544" s="20" t="s">
        <v>2063</v>
      </c>
      <c r="D544" s="20" t="s">
        <v>1606</v>
      </c>
      <c r="E544" s="20" t="s">
        <v>1594</v>
      </c>
      <c r="F544" s="20" t="s">
        <v>1470</v>
      </c>
      <c r="G544" s="22"/>
      <c r="J544" s="3" t="s">
        <v>187</v>
      </c>
      <c r="K544" s="3" t="s">
        <v>438</v>
      </c>
      <c r="L544" s="3" t="s">
        <v>537</v>
      </c>
      <c r="M544" s="3" t="s">
        <v>187</v>
      </c>
      <c r="N544" s="3">
        <v>1967</v>
      </c>
    </row>
    <row r="545" spans="1:13" s="3" customFormat="1" hidden="1" outlineLevel="1" x14ac:dyDescent="0.25">
      <c r="A545" s="5"/>
      <c r="B545" s="31"/>
      <c r="C545" s="20"/>
      <c r="D545" s="20"/>
      <c r="E545" s="20"/>
      <c r="F545" s="20"/>
      <c r="G545" s="22"/>
    </row>
    <row r="546" spans="1:13" s="3" customFormat="1" ht="16.2" hidden="1" outlineLevel="1" thickBot="1" x14ac:dyDescent="0.3">
      <c r="A546" s="5"/>
      <c r="B546" s="31"/>
      <c r="C546" s="20"/>
      <c r="D546" s="20"/>
      <c r="E546" s="20"/>
      <c r="F546" s="20"/>
      <c r="G546" s="22"/>
    </row>
    <row r="547" spans="1:13" s="4" customFormat="1" ht="17.399999999999999" hidden="1" customHeight="1" outlineLevel="1" x14ac:dyDescent="0.35">
      <c r="A547" s="3"/>
      <c r="B547" s="389" t="s">
        <v>18</v>
      </c>
      <c r="C547" s="390"/>
      <c r="D547" s="390"/>
      <c r="E547" s="390"/>
      <c r="F547" s="390"/>
      <c r="G547" s="391"/>
      <c r="H547" s="5"/>
      <c r="I547" s="5"/>
      <c r="J547" s="5"/>
      <c r="K547" s="5"/>
      <c r="L547" s="5"/>
      <c r="M547" s="5"/>
    </row>
    <row r="548" spans="1:13" s="4" customFormat="1" hidden="1" outlineLevel="1" x14ac:dyDescent="0.35">
      <c r="A548" s="3"/>
      <c r="B548" s="32" t="s">
        <v>2</v>
      </c>
      <c r="C548" s="33" t="s">
        <v>3</v>
      </c>
      <c r="D548" s="33" t="s">
        <v>4</v>
      </c>
      <c r="E548" s="33" t="s">
        <v>5</v>
      </c>
      <c r="F548" s="33"/>
      <c r="G548" s="34" t="s">
        <v>6</v>
      </c>
      <c r="H548" s="5"/>
      <c r="I548" s="5"/>
      <c r="J548" s="5"/>
      <c r="K548" s="5"/>
      <c r="L548" s="5"/>
      <c r="M548" s="5"/>
    </row>
    <row r="549" spans="1:13" s="3" customFormat="1" hidden="1" outlineLevel="1" x14ac:dyDescent="0.25">
      <c r="A549" s="5"/>
      <c r="B549" s="31"/>
      <c r="C549" s="20"/>
      <c r="D549" s="20"/>
      <c r="E549" s="20"/>
      <c r="F549" s="20"/>
      <c r="G549" s="22"/>
    </row>
    <row r="550" spans="1:13" s="3" customFormat="1" ht="16.2" hidden="1" outlineLevel="1" thickBot="1" x14ac:dyDescent="0.3">
      <c r="A550" s="5"/>
      <c r="B550" s="31"/>
      <c r="C550" s="20"/>
      <c r="D550" s="20"/>
      <c r="E550" s="20"/>
      <c r="F550" s="20"/>
      <c r="G550" s="22"/>
    </row>
    <row r="551" spans="1:13" s="4" customFormat="1" ht="17.399999999999999" hidden="1" customHeight="1" outlineLevel="1" x14ac:dyDescent="0.35">
      <c r="A551" s="3"/>
      <c r="B551" s="389" t="s">
        <v>29</v>
      </c>
      <c r="C551" s="390"/>
      <c r="D551" s="390"/>
      <c r="E551" s="390"/>
      <c r="F551" s="390"/>
      <c r="G551" s="391"/>
      <c r="H551" s="5"/>
      <c r="I551" s="5"/>
      <c r="J551" s="5"/>
      <c r="K551" s="5"/>
      <c r="L551" s="5"/>
      <c r="M551" s="5"/>
    </row>
    <row r="552" spans="1:13" s="3" customFormat="1" hidden="1" outlineLevel="1" x14ac:dyDescent="0.25">
      <c r="A552" s="5"/>
      <c r="B552" s="31" t="s">
        <v>836</v>
      </c>
      <c r="C552" s="20"/>
      <c r="D552" s="20"/>
      <c r="E552" s="20"/>
      <c r="F552" s="20"/>
      <c r="G552" s="22" t="s">
        <v>837</v>
      </c>
    </row>
    <row r="553" spans="1:13" s="3" customFormat="1" hidden="1" outlineLevel="1" x14ac:dyDescent="0.25">
      <c r="A553" s="5"/>
      <c r="B553" s="31" t="s">
        <v>838</v>
      </c>
      <c r="C553" s="20"/>
      <c r="D553" s="20"/>
      <c r="E553" s="20"/>
      <c r="F553" s="20"/>
      <c r="G553" s="22"/>
    </row>
    <row r="554" spans="1:13" s="3" customFormat="1" hidden="1" outlineLevel="1" x14ac:dyDescent="0.25">
      <c r="A554" s="5"/>
      <c r="B554" s="31" t="s">
        <v>839</v>
      </c>
      <c r="C554" s="20"/>
      <c r="D554" s="20"/>
      <c r="E554" s="20"/>
      <c r="F554" s="20"/>
      <c r="G554" s="22"/>
    </row>
    <row r="555" spans="1:13" s="3" customFormat="1" hidden="1" outlineLevel="1" x14ac:dyDescent="0.25">
      <c r="A555" s="5"/>
      <c r="B555" s="31" t="s">
        <v>840</v>
      </c>
      <c r="C555" s="20"/>
      <c r="D555" s="20"/>
      <c r="E555" s="20"/>
      <c r="F555" s="20"/>
      <c r="G555" s="22" t="s">
        <v>841</v>
      </c>
    </row>
    <row r="556" spans="1:13" s="3" customFormat="1" hidden="1" outlineLevel="1" x14ac:dyDescent="0.25">
      <c r="A556" s="5"/>
      <c r="B556" s="31" t="s">
        <v>842</v>
      </c>
      <c r="C556" s="20"/>
      <c r="D556" s="20"/>
      <c r="E556" s="20"/>
      <c r="F556" s="20"/>
      <c r="G556" s="22"/>
    </row>
    <row r="557" spans="1:13" s="3" customFormat="1" hidden="1" outlineLevel="1" x14ac:dyDescent="0.25">
      <c r="A557" s="5"/>
      <c r="B557" s="31" t="s">
        <v>843</v>
      </c>
      <c r="C557" s="20"/>
      <c r="D557" s="20"/>
      <c r="E557" s="20"/>
      <c r="F557" s="20"/>
      <c r="G557" s="22"/>
    </row>
    <row r="558" spans="1:13" s="3" customFormat="1" hidden="1" outlineLevel="1" x14ac:dyDescent="0.25">
      <c r="A558" s="5"/>
      <c r="B558" s="31"/>
      <c r="C558" s="20"/>
      <c r="D558" s="20"/>
      <c r="E558" s="20"/>
      <c r="F558" s="20"/>
      <c r="G558" s="22"/>
    </row>
    <row r="559" spans="1:13" s="3" customFormat="1" ht="16.2" hidden="1" outlineLevel="1" thickBot="1" x14ac:dyDescent="0.3">
      <c r="A559" s="5"/>
      <c r="B559" s="52"/>
      <c r="C559" s="53"/>
      <c r="D559" s="53"/>
      <c r="E559" s="53"/>
      <c r="F559" s="53"/>
      <c r="G559" s="54"/>
    </row>
    <row r="560" spans="1:13" s="5" customFormat="1" ht="16.2" hidden="1" outlineLevel="1" thickBot="1" x14ac:dyDescent="0.3"/>
    <row r="561" spans="1:14" s="3" customFormat="1" ht="17.399999999999999" customHeight="1" collapsed="1" thickBot="1" x14ac:dyDescent="0.3">
      <c r="A561" s="5"/>
      <c r="B561" s="15" t="s">
        <v>1279</v>
      </c>
      <c r="C561" s="16" t="s">
        <v>2129</v>
      </c>
      <c r="D561" s="17" t="s">
        <v>1281</v>
      </c>
      <c r="E561" s="16" t="s">
        <v>844</v>
      </c>
      <c r="F561" s="17" t="s">
        <v>1282</v>
      </c>
      <c r="G561" s="18" t="s">
        <v>2130</v>
      </c>
    </row>
    <row r="562" spans="1:14" s="3" customFormat="1" ht="17.399999999999999" hidden="1" customHeight="1" outlineLevel="1" x14ac:dyDescent="0.25">
      <c r="A562" s="5"/>
      <c r="B562" s="19" t="s">
        <v>1284</v>
      </c>
      <c r="C562" s="20" t="s">
        <v>1285</v>
      </c>
      <c r="D562" s="21" t="s">
        <v>1286</v>
      </c>
      <c r="E562" s="20" t="s">
        <v>2131</v>
      </c>
      <c r="F562" s="21" t="s">
        <v>1288</v>
      </c>
      <c r="G562" s="22" t="s">
        <v>1334</v>
      </c>
    </row>
    <row r="563" spans="1:14" s="3" customFormat="1" ht="17.399999999999999" hidden="1" customHeight="1" outlineLevel="1" thickBot="1" x14ac:dyDescent="0.3">
      <c r="A563" s="5"/>
      <c r="B563" s="19" t="s">
        <v>1290</v>
      </c>
      <c r="C563" s="23" t="s">
        <v>1291</v>
      </c>
      <c r="D563" s="21" t="s">
        <v>1292</v>
      </c>
      <c r="E563" s="23">
        <v>5</v>
      </c>
      <c r="F563" s="21" t="s">
        <v>1293</v>
      </c>
      <c r="G563" s="24" t="s">
        <v>1294</v>
      </c>
    </row>
    <row r="564" spans="1:14" s="3" customFormat="1" ht="17.399999999999999" hidden="1" customHeight="1" outlineLevel="1" x14ac:dyDescent="0.25">
      <c r="A564" s="5"/>
      <c r="B564" s="401" t="s">
        <v>1</v>
      </c>
      <c r="C564" s="402"/>
      <c r="D564" s="402"/>
      <c r="E564" s="402"/>
      <c r="F564" s="402"/>
      <c r="G564" s="403"/>
    </row>
    <row r="565" spans="1:14" s="3" customFormat="1" ht="17.399999999999999" hidden="1" customHeight="1" outlineLevel="1" x14ac:dyDescent="0.25">
      <c r="A565" s="5"/>
      <c r="B565" s="25" t="s">
        <v>2</v>
      </c>
      <c r="C565" s="26" t="s">
        <v>3</v>
      </c>
      <c r="D565" s="26" t="s">
        <v>4</v>
      </c>
      <c r="E565" s="26" t="s">
        <v>5</v>
      </c>
      <c r="F565" s="26"/>
      <c r="G565" s="27" t="s">
        <v>6</v>
      </c>
    </row>
    <row r="566" spans="1:14" s="3" customFormat="1" hidden="1" outlineLevel="1" x14ac:dyDescent="0.25">
      <c r="B566" s="28" t="s">
        <v>112</v>
      </c>
      <c r="C566" s="29" t="s">
        <v>1555</v>
      </c>
      <c r="D566" s="29" t="s">
        <v>1469</v>
      </c>
      <c r="E566" s="29">
        <v>0</v>
      </c>
      <c r="F566" s="29" t="s">
        <v>1470</v>
      </c>
      <c r="G566" s="30" t="s">
        <v>1556</v>
      </c>
      <c r="J566" s="3" t="s">
        <v>10</v>
      </c>
      <c r="K566" s="3" t="s">
        <v>173</v>
      </c>
      <c r="L566" s="3" t="s">
        <v>9</v>
      </c>
      <c r="M566" s="3" t="s">
        <v>9</v>
      </c>
      <c r="N566" s="3">
        <v>1606</v>
      </c>
    </row>
    <row r="567" spans="1:14" s="3" customFormat="1" hidden="1" outlineLevel="1" x14ac:dyDescent="0.25">
      <c r="B567" s="28" t="s">
        <v>7</v>
      </c>
      <c r="C567" s="29" t="s">
        <v>1468</v>
      </c>
      <c r="D567" s="29" t="s">
        <v>1469</v>
      </c>
      <c r="E567" s="29">
        <v>0</v>
      </c>
      <c r="F567" s="29" t="s">
        <v>1470</v>
      </c>
      <c r="G567" s="30" t="s">
        <v>1471</v>
      </c>
      <c r="J567" s="3" t="s">
        <v>10</v>
      </c>
      <c r="K567" s="3" t="s">
        <v>173</v>
      </c>
      <c r="L567" s="3" t="s">
        <v>9</v>
      </c>
      <c r="M567" s="3" t="s">
        <v>9</v>
      </c>
      <c r="N567" s="3">
        <v>1112</v>
      </c>
    </row>
    <row r="568" spans="1:14" s="3" customFormat="1" hidden="1" outlineLevel="1" x14ac:dyDescent="0.25">
      <c r="A568" s="5"/>
      <c r="B568" s="31" t="s">
        <v>11</v>
      </c>
      <c r="C568" s="20" t="s">
        <v>1472</v>
      </c>
      <c r="D568" s="20" t="s">
        <v>1469</v>
      </c>
      <c r="E568" s="20">
        <v>0</v>
      </c>
      <c r="F568" s="20" t="s">
        <v>1470</v>
      </c>
      <c r="G568" s="22" t="s">
        <v>1473</v>
      </c>
      <c r="J568" s="3" t="s">
        <v>12</v>
      </c>
      <c r="K568" s="3" t="s">
        <v>174</v>
      </c>
      <c r="L568" s="3" t="s">
        <v>175</v>
      </c>
      <c r="M568" s="3" t="s">
        <v>176</v>
      </c>
      <c r="N568" s="3">
        <v>1700</v>
      </c>
    </row>
    <row r="569" spans="1:14" s="3" customFormat="1" hidden="1" outlineLevel="1" x14ac:dyDescent="0.25">
      <c r="A569" s="5"/>
      <c r="B569" s="31" t="s">
        <v>114</v>
      </c>
      <c r="C569" s="20" t="s">
        <v>1557</v>
      </c>
      <c r="D569" s="20" t="s">
        <v>1469</v>
      </c>
      <c r="E569" s="20">
        <v>-1</v>
      </c>
      <c r="F569" s="20" t="s">
        <v>1470</v>
      </c>
      <c r="G569" s="22"/>
      <c r="J569" s="3" t="s">
        <v>10</v>
      </c>
      <c r="K569" s="3" t="s">
        <v>173</v>
      </c>
      <c r="L569" s="3" t="s">
        <v>9</v>
      </c>
      <c r="M569" s="3" t="s">
        <v>9</v>
      </c>
      <c r="N569" s="3">
        <v>2449</v>
      </c>
    </row>
    <row r="570" spans="1:14" s="3" customFormat="1" ht="17.399999999999999" hidden="1" customHeight="1" outlineLevel="1" x14ac:dyDescent="0.25">
      <c r="A570" s="5"/>
      <c r="B570" s="116" t="s">
        <v>553</v>
      </c>
      <c r="C570" s="117" t="s">
        <v>2063</v>
      </c>
      <c r="D570" s="117" t="s">
        <v>1606</v>
      </c>
      <c r="E570" s="117" t="s">
        <v>1594</v>
      </c>
      <c r="F570" s="117" t="s">
        <v>1470</v>
      </c>
      <c r="G570" s="118"/>
      <c r="J570" s="3" t="s">
        <v>187</v>
      </c>
      <c r="K570" s="3" t="s">
        <v>438</v>
      </c>
      <c r="L570" s="3" t="s">
        <v>537</v>
      </c>
      <c r="M570" s="3" t="s">
        <v>187</v>
      </c>
      <c r="N570" s="3">
        <v>1967</v>
      </c>
    </row>
    <row r="571" spans="1:14" s="3" customFormat="1" ht="16.2" hidden="1" outlineLevel="1" thickBot="1" x14ac:dyDescent="0.3">
      <c r="A571" s="5"/>
      <c r="B571" s="52"/>
      <c r="C571" s="53"/>
      <c r="D571" s="53"/>
      <c r="E571" s="53"/>
      <c r="F571" s="53"/>
      <c r="G571" s="54"/>
    </row>
    <row r="572" spans="1:14" s="3" customFormat="1" ht="17.399999999999999" hidden="1" customHeight="1" outlineLevel="1" x14ac:dyDescent="0.25">
      <c r="A572" s="5"/>
      <c r="B572" s="401" t="s">
        <v>18</v>
      </c>
      <c r="C572" s="402"/>
      <c r="D572" s="402"/>
      <c r="E572" s="402"/>
      <c r="F572" s="402"/>
      <c r="G572" s="403"/>
    </row>
    <row r="573" spans="1:14" s="3" customFormat="1" hidden="1" outlineLevel="1" x14ac:dyDescent="0.25">
      <c r="A573" s="5"/>
      <c r="B573" s="25" t="s">
        <v>2</v>
      </c>
      <c r="C573" s="26" t="s">
        <v>3</v>
      </c>
      <c r="D573" s="26" t="s">
        <v>4</v>
      </c>
      <c r="E573" s="26" t="s">
        <v>5</v>
      </c>
      <c r="F573" s="26"/>
      <c r="G573" s="27" t="s">
        <v>6</v>
      </c>
    </row>
    <row r="574" spans="1:14" s="3" customFormat="1" ht="17.399999999999999" hidden="1" customHeight="1" outlineLevel="1" x14ac:dyDescent="0.25">
      <c r="A574" s="5"/>
      <c r="B574" s="31"/>
      <c r="C574" s="20"/>
      <c r="D574" s="20"/>
      <c r="E574" s="20"/>
      <c r="F574" s="20"/>
      <c r="G574" s="22"/>
    </row>
    <row r="575" spans="1:14" s="3" customFormat="1" hidden="1" outlineLevel="1" x14ac:dyDescent="0.25">
      <c r="A575" s="5"/>
      <c r="B575" s="31"/>
      <c r="C575" s="20"/>
      <c r="D575" s="20"/>
      <c r="E575" s="20"/>
      <c r="F575" s="20"/>
      <c r="G575" s="22"/>
    </row>
    <row r="576" spans="1:14" s="3" customFormat="1" hidden="1" outlineLevel="1" x14ac:dyDescent="0.25">
      <c r="A576" s="5"/>
      <c r="B576" s="31"/>
      <c r="C576" s="20"/>
      <c r="D576" s="20"/>
      <c r="E576" s="20"/>
      <c r="F576" s="20"/>
      <c r="G576" s="22"/>
    </row>
    <row r="577" spans="1:14" s="3" customFormat="1" ht="17.399999999999999" hidden="1" customHeight="1" outlineLevel="1" x14ac:dyDescent="0.25">
      <c r="A577" s="5"/>
      <c r="B577" s="398" t="s">
        <v>28</v>
      </c>
      <c r="C577" s="399"/>
      <c r="D577" s="399"/>
      <c r="E577" s="399"/>
      <c r="F577" s="399"/>
      <c r="G577" s="400"/>
    </row>
    <row r="578" spans="1:14" s="3" customFormat="1" hidden="1" outlineLevel="1" x14ac:dyDescent="0.25">
      <c r="A578" s="5"/>
      <c r="B578" s="25" t="s">
        <v>2</v>
      </c>
      <c r="C578" s="26" t="s">
        <v>3</v>
      </c>
      <c r="D578" s="26" t="s">
        <v>4</v>
      </c>
      <c r="E578" s="26" t="s">
        <v>5</v>
      </c>
      <c r="F578" s="26"/>
      <c r="G578" s="27" t="s">
        <v>6</v>
      </c>
    </row>
    <row r="579" spans="1:14" s="3" customFormat="1" hidden="1" outlineLevel="1" x14ac:dyDescent="0.25">
      <c r="B579" s="119" t="s">
        <v>203</v>
      </c>
      <c r="C579" s="120" t="s">
        <v>1635</v>
      </c>
      <c r="D579" s="120" t="s">
        <v>1636</v>
      </c>
      <c r="E579" s="120" t="s">
        <v>1637</v>
      </c>
      <c r="F579" s="120" t="s">
        <v>1476</v>
      </c>
      <c r="G579" s="121"/>
      <c r="H579" s="5"/>
      <c r="I579" s="5"/>
      <c r="J579" s="5" t="s">
        <v>187</v>
      </c>
      <c r="K579" s="5" t="s">
        <v>438</v>
      </c>
      <c r="L579" s="3" t="s">
        <v>537</v>
      </c>
      <c r="M579" s="3" t="s">
        <v>187</v>
      </c>
      <c r="N579" s="3">
        <v>1041</v>
      </c>
    </row>
    <row r="580" spans="1:14" s="3" customFormat="1" hidden="1" outlineLevel="1" x14ac:dyDescent="0.25">
      <c r="B580" s="119" t="s">
        <v>798</v>
      </c>
      <c r="C580" s="120" t="s">
        <v>2273</v>
      </c>
      <c r="D580" s="120" t="s">
        <v>1469</v>
      </c>
      <c r="E580" s="120">
        <v>0</v>
      </c>
      <c r="F580" s="120" t="s">
        <v>1476</v>
      </c>
      <c r="G580" s="121"/>
      <c r="H580" s="5"/>
      <c r="I580" s="5"/>
      <c r="J580" s="5" t="s">
        <v>10</v>
      </c>
      <c r="K580" s="5" t="s">
        <v>173</v>
      </c>
      <c r="L580" s="3" t="s">
        <v>9</v>
      </c>
      <c r="M580" s="3" t="s">
        <v>9</v>
      </c>
      <c r="N580" s="3">
        <v>1480</v>
      </c>
    </row>
    <row r="581" spans="1:14" s="3" customFormat="1" hidden="1" outlineLevel="1" x14ac:dyDescent="0.25">
      <c r="B581" s="28" t="s">
        <v>268</v>
      </c>
      <c r="C581" s="20" t="s">
        <v>1695</v>
      </c>
      <c r="D581" s="20" t="s">
        <v>1489</v>
      </c>
      <c r="E581" s="20">
        <v>0</v>
      </c>
      <c r="F581" s="20" t="s">
        <v>1470</v>
      </c>
      <c r="G581" s="22"/>
      <c r="J581" s="3" t="s">
        <v>20</v>
      </c>
      <c r="K581" s="3" t="s">
        <v>445</v>
      </c>
      <c r="L581" s="3" t="s">
        <v>446</v>
      </c>
      <c r="M581" s="3" t="s">
        <v>446</v>
      </c>
      <c r="N581" s="3">
        <v>1741</v>
      </c>
    </row>
    <row r="582" spans="1:14" s="3" customFormat="1" hidden="1" outlineLevel="1" x14ac:dyDescent="0.25">
      <c r="B582" s="28" t="s">
        <v>272</v>
      </c>
      <c r="C582" s="20" t="s">
        <v>1699</v>
      </c>
      <c r="D582" s="20" t="s">
        <v>1489</v>
      </c>
      <c r="E582" s="20">
        <v>0</v>
      </c>
      <c r="F582" s="20"/>
      <c r="G582" s="22"/>
      <c r="J582" s="3" t="s">
        <v>20</v>
      </c>
      <c r="K582" s="3" t="s">
        <v>445</v>
      </c>
      <c r="L582" s="3" t="s">
        <v>446</v>
      </c>
      <c r="M582" s="3" t="s">
        <v>446</v>
      </c>
      <c r="N582" s="3">
        <v>2309</v>
      </c>
    </row>
    <row r="583" spans="1:14" s="3" customFormat="1" hidden="1" outlineLevel="1" x14ac:dyDescent="0.25">
      <c r="B583" s="28" t="s">
        <v>275</v>
      </c>
      <c r="C583" s="20" t="s">
        <v>1702</v>
      </c>
      <c r="D583" s="20" t="s">
        <v>1489</v>
      </c>
      <c r="E583" s="20">
        <v>0</v>
      </c>
      <c r="F583" s="20" t="s">
        <v>1470</v>
      </c>
      <c r="G583" s="22"/>
      <c r="J583" s="3" t="s">
        <v>20</v>
      </c>
      <c r="K583" s="3" t="s">
        <v>445</v>
      </c>
      <c r="L583" s="3" t="s">
        <v>446</v>
      </c>
      <c r="M583" s="3" t="s">
        <v>446</v>
      </c>
      <c r="N583" s="3">
        <v>1618</v>
      </c>
    </row>
    <row r="584" spans="1:14" s="3" customFormat="1" hidden="1" outlineLevel="1" x14ac:dyDescent="0.25">
      <c r="B584" s="28" t="s">
        <v>274</v>
      </c>
      <c r="C584" s="20" t="s">
        <v>1701</v>
      </c>
      <c r="D584" s="20" t="s">
        <v>1489</v>
      </c>
      <c r="E584" s="20">
        <v>0</v>
      </c>
      <c r="F584" s="20" t="s">
        <v>1470</v>
      </c>
      <c r="G584" s="22"/>
      <c r="J584" s="3" t="s">
        <v>20</v>
      </c>
      <c r="K584" s="3" t="s">
        <v>445</v>
      </c>
      <c r="L584" s="3" t="s">
        <v>446</v>
      </c>
      <c r="M584" s="3" t="s">
        <v>446</v>
      </c>
      <c r="N584" s="3">
        <v>2402</v>
      </c>
    </row>
    <row r="585" spans="1:14" s="3" customFormat="1" hidden="1" outlineLevel="1" x14ac:dyDescent="0.25">
      <c r="B585" s="28" t="s">
        <v>278</v>
      </c>
      <c r="C585" s="20" t="s">
        <v>1705</v>
      </c>
      <c r="D585" s="20" t="s">
        <v>1489</v>
      </c>
      <c r="E585" s="20">
        <v>0</v>
      </c>
      <c r="F585" s="20"/>
      <c r="G585" s="22"/>
      <c r="J585" s="3" t="s">
        <v>20</v>
      </c>
      <c r="K585" s="3" t="s">
        <v>445</v>
      </c>
      <c r="L585" s="3" t="s">
        <v>446</v>
      </c>
      <c r="M585" s="3" t="s">
        <v>446</v>
      </c>
      <c r="N585" s="3">
        <v>1599</v>
      </c>
    </row>
    <row r="586" spans="1:14" s="3" customFormat="1" hidden="1" outlineLevel="1" x14ac:dyDescent="0.25">
      <c r="B586" s="28" t="s">
        <v>273</v>
      </c>
      <c r="C586" s="20" t="s">
        <v>1700</v>
      </c>
      <c r="D586" s="20" t="s">
        <v>1489</v>
      </c>
      <c r="E586" s="20">
        <v>0</v>
      </c>
      <c r="F586" s="20" t="s">
        <v>1470</v>
      </c>
      <c r="G586" s="22"/>
      <c r="J586" s="3" t="s">
        <v>20</v>
      </c>
      <c r="K586" s="3" t="s">
        <v>445</v>
      </c>
      <c r="L586" s="3" t="s">
        <v>446</v>
      </c>
      <c r="M586" s="3" t="s">
        <v>446</v>
      </c>
      <c r="N586" s="3">
        <v>1511</v>
      </c>
    </row>
    <row r="587" spans="1:14" s="3" customFormat="1" ht="16.5" hidden="1" customHeight="1" outlineLevel="1" thickBot="1" x14ac:dyDescent="0.3">
      <c r="A587" s="5"/>
      <c r="B587" s="116"/>
      <c r="C587" s="117"/>
      <c r="D587" s="117"/>
      <c r="E587" s="117"/>
      <c r="F587" s="117"/>
      <c r="G587" s="118"/>
    </row>
    <row r="588" spans="1:14" s="3" customFormat="1" ht="17.399999999999999" hidden="1" customHeight="1" outlineLevel="1" x14ac:dyDescent="0.25">
      <c r="A588" s="5"/>
      <c r="B588" s="401" t="s">
        <v>29</v>
      </c>
      <c r="C588" s="402"/>
      <c r="D588" s="402"/>
      <c r="E588" s="402"/>
      <c r="F588" s="402"/>
      <c r="G588" s="403"/>
    </row>
    <row r="589" spans="1:14" s="3" customFormat="1" hidden="1" outlineLevel="1" x14ac:dyDescent="0.25">
      <c r="A589" s="5"/>
      <c r="B589" s="28" t="s">
        <v>836</v>
      </c>
      <c r="C589" s="117"/>
      <c r="D589" s="122"/>
      <c r="E589" s="117"/>
      <c r="F589" s="117"/>
      <c r="G589" s="105" t="s">
        <v>837</v>
      </c>
    </row>
    <row r="590" spans="1:14" s="3" customFormat="1" hidden="1" outlineLevel="1" x14ac:dyDescent="0.25">
      <c r="A590" s="5"/>
      <c r="B590" s="28" t="s">
        <v>845</v>
      </c>
      <c r="C590" s="117"/>
      <c r="D590" s="122"/>
      <c r="E590" s="117"/>
      <c r="F590" s="117"/>
      <c r="G590" s="105" t="s">
        <v>846</v>
      </c>
    </row>
    <row r="591" spans="1:14" s="3" customFormat="1" hidden="1" outlineLevel="1" x14ac:dyDescent="0.25">
      <c r="B591" s="28" t="s">
        <v>838</v>
      </c>
      <c r="C591" s="23"/>
      <c r="D591" s="23"/>
      <c r="E591" s="23"/>
      <c r="F591" s="23"/>
      <c r="G591" s="24"/>
      <c r="H591" s="5"/>
      <c r="I591" s="5"/>
      <c r="J591" s="5"/>
      <c r="K591" s="5"/>
    </row>
    <row r="592" spans="1:14" s="3" customFormat="1" hidden="1" outlineLevel="1" x14ac:dyDescent="0.25">
      <c r="B592" s="28" t="s">
        <v>839</v>
      </c>
      <c r="C592" s="23"/>
      <c r="D592" s="23"/>
      <c r="E592" s="23"/>
      <c r="F592" s="23"/>
      <c r="G592" s="24"/>
      <c r="H592" s="5"/>
      <c r="I592" s="5"/>
      <c r="J592" s="5"/>
      <c r="K592" s="5"/>
    </row>
    <row r="593" spans="1:14" s="3" customFormat="1" hidden="1" outlineLevel="1" x14ac:dyDescent="0.25">
      <c r="B593" s="28" t="s">
        <v>847</v>
      </c>
      <c r="C593" s="23"/>
      <c r="D593" s="23"/>
      <c r="E593" s="23"/>
      <c r="F593" s="23"/>
      <c r="G593" s="123" t="s">
        <v>848</v>
      </c>
      <c r="H593" s="5"/>
      <c r="I593" s="5"/>
      <c r="J593" s="5"/>
      <c r="K593" s="5"/>
    </row>
    <row r="594" spans="1:14" s="3" customFormat="1" hidden="1" outlineLevel="1" x14ac:dyDescent="0.25">
      <c r="B594" s="28" t="s">
        <v>842</v>
      </c>
      <c r="C594" s="23"/>
      <c r="D594" s="23"/>
      <c r="E594" s="23"/>
      <c r="F594" s="23"/>
      <c r="G594" s="123"/>
      <c r="H594" s="5"/>
      <c r="I594" s="5"/>
      <c r="J594" s="5"/>
      <c r="K594" s="5"/>
    </row>
    <row r="595" spans="1:14" s="3" customFormat="1" hidden="1" outlineLevel="1" x14ac:dyDescent="0.35">
      <c r="A595" s="5"/>
      <c r="B595" s="124" t="s">
        <v>849</v>
      </c>
      <c r="C595" s="117"/>
      <c r="D595" s="122"/>
      <c r="E595" s="117"/>
      <c r="F595" s="117"/>
      <c r="G595" s="105"/>
    </row>
    <row r="596" spans="1:14" s="3" customFormat="1" hidden="1" outlineLevel="1" x14ac:dyDescent="0.35">
      <c r="A596" s="5"/>
      <c r="B596" s="124"/>
      <c r="C596" s="117"/>
      <c r="D596" s="122"/>
      <c r="E596" s="117"/>
      <c r="F596" s="117"/>
      <c r="G596" s="105"/>
    </row>
    <row r="597" spans="1:14" s="3" customFormat="1" hidden="1" outlineLevel="1" x14ac:dyDescent="0.25">
      <c r="A597" s="5"/>
      <c r="B597" s="125"/>
      <c r="C597" s="117"/>
      <c r="D597" s="117"/>
      <c r="E597" s="117"/>
      <c r="F597" s="117"/>
      <c r="G597" s="118"/>
    </row>
    <row r="598" spans="1:14" ht="16.2" hidden="1" outlineLevel="1" thickBot="1" x14ac:dyDescent="0.3"/>
    <row r="599" spans="1:14" s="3" customFormat="1" ht="17.399999999999999" customHeight="1" collapsed="1" thickBot="1" x14ac:dyDescent="0.3">
      <c r="A599" s="5"/>
      <c r="B599" s="15" t="s">
        <v>1279</v>
      </c>
      <c r="C599" s="16" t="s">
        <v>2132</v>
      </c>
      <c r="D599" s="17" t="s">
        <v>1281</v>
      </c>
      <c r="E599" s="126" t="s">
        <v>850</v>
      </c>
      <c r="F599" s="17" t="s">
        <v>1282</v>
      </c>
      <c r="G599" s="18" t="s">
        <v>2133</v>
      </c>
    </row>
    <row r="600" spans="1:14" s="3" customFormat="1" ht="17.399999999999999" hidden="1" customHeight="1" outlineLevel="1" x14ac:dyDescent="0.25">
      <c r="A600" s="5"/>
      <c r="B600" s="19" t="s">
        <v>1284</v>
      </c>
      <c r="C600" s="20" t="s">
        <v>1285</v>
      </c>
      <c r="D600" s="21" t="s">
        <v>1286</v>
      </c>
      <c r="E600" s="20" t="s">
        <v>2134</v>
      </c>
      <c r="F600" s="21" t="s">
        <v>1288</v>
      </c>
      <c r="G600" s="22" t="s">
        <v>1338</v>
      </c>
    </row>
    <row r="601" spans="1:14" s="3" customFormat="1" ht="17.399999999999999" hidden="1" customHeight="1" outlineLevel="1" thickBot="1" x14ac:dyDescent="0.3">
      <c r="A601" s="5"/>
      <c r="B601" s="19" t="s">
        <v>1290</v>
      </c>
      <c r="C601" s="23" t="s">
        <v>1291</v>
      </c>
      <c r="D601" s="21" t="s">
        <v>1292</v>
      </c>
      <c r="E601" s="23">
        <v>5</v>
      </c>
      <c r="F601" s="21" t="s">
        <v>1293</v>
      </c>
      <c r="G601" s="24" t="s">
        <v>1294</v>
      </c>
    </row>
    <row r="602" spans="1:14" s="3" customFormat="1" ht="17.399999999999999" hidden="1" customHeight="1" outlineLevel="1" x14ac:dyDescent="0.25">
      <c r="A602" s="5"/>
      <c r="B602" s="401" t="s">
        <v>1</v>
      </c>
      <c r="C602" s="402"/>
      <c r="D602" s="402"/>
      <c r="E602" s="402"/>
      <c r="F602" s="402"/>
      <c r="G602" s="403"/>
    </row>
    <row r="603" spans="1:14" s="3" customFormat="1" ht="17.399999999999999" hidden="1" customHeight="1" outlineLevel="1" x14ac:dyDescent="0.25">
      <c r="A603" s="5"/>
      <c r="B603" s="25" t="s">
        <v>2</v>
      </c>
      <c r="C603" s="26" t="s">
        <v>3</v>
      </c>
      <c r="D603" s="26" t="s">
        <v>4</v>
      </c>
      <c r="E603" s="26" t="s">
        <v>5</v>
      </c>
      <c r="F603" s="26"/>
      <c r="G603" s="27" t="s">
        <v>6</v>
      </c>
    </row>
    <row r="604" spans="1:14" s="3" customFormat="1" hidden="1" outlineLevel="1" x14ac:dyDescent="0.25">
      <c r="B604" s="28" t="s">
        <v>112</v>
      </c>
      <c r="C604" s="29" t="s">
        <v>1555</v>
      </c>
      <c r="D604" s="29" t="s">
        <v>1469</v>
      </c>
      <c r="E604" s="29">
        <v>0</v>
      </c>
      <c r="F604" s="29" t="s">
        <v>1470</v>
      </c>
      <c r="G604" s="30" t="s">
        <v>1556</v>
      </c>
      <c r="J604" s="3" t="s">
        <v>10</v>
      </c>
      <c r="K604" s="3" t="s">
        <v>173</v>
      </c>
      <c r="L604" s="3" t="s">
        <v>9</v>
      </c>
      <c r="M604" s="3" t="s">
        <v>9</v>
      </c>
      <c r="N604" s="3">
        <v>1606</v>
      </c>
    </row>
    <row r="605" spans="1:14" s="3" customFormat="1" hidden="1" outlineLevel="1" x14ac:dyDescent="0.25">
      <c r="B605" s="28" t="s">
        <v>15</v>
      </c>
      <c r="C605" s="29" t="s">
        <v>1478</v>
      </c>
      <c r="D605" s="29" t="s">
        <v>1469</v>
      </c>
      <c r="E605" s="29">
        <v>0</v>
      </c>
      <c r="F605" s="29" t="s">
        <v>1470</v>
      </c>
      <c r="G605" s="30"/>
      <c r="J605" s="3" t="s">
        <v>10</v>
      </c>
      <c r="K605" s="3" t="s">
        <v>173</v>
      </c>
      <c r="L605" s="3" t="s">
        <v>9</v>
      </c>
      <c r="M605" s="3" t="s">
        <v>9</v>
      </c>
      <c r="N605" s="3">
        <v>2430</v>
      </c>
    </row>
    <row r="606" spans="1:14" s="3" customFormat="1" ht="17.399999999999999" hidden="1" customHeight="1" outlineLevel="1" x14ac:dyDescent="0.25">
      <c r="A606" s="5"/>
      <c r="B606" s="116" t="s">
        <v>14</v>
      </c>
      <c r="C606" s="117" t="s">
        <v>1475</v>
      </c>
      <c r="D606" s="117" t="s">
        <v>1469</v>
      </c>
      <c r="E606" s="117">
        <v>0</v>
      </c>
      <c r="F606" s="117" t="s">
        <v>1476</v>
      </c>
      <c r="G606" s="118" t="s">
        <v>1477</v>
      </c>
      <c r="J606" s="3" t="s">
        <v>10</v>
      </c>
      <c r="K606" s="3" t="s">
        <v>173</v>
      </c>
      <c r="L606" s="3" t="s">
        <v>9</v>
      </c>
      <c r="M606" s="3" t="s">
        <v>9</v>
      </c>
      <c r="N606" s="3">
        <v>2155</v>
      </c>
    </row>
    <row r="607" spans="1:14" s="3" customFormat="1" ht="17.399999999999999" hidden="1" customHeight="1" outlineLevel="1" x14ac:dyDescent="0.25">
      <c r="A607" s="5"/>
      <c r="B607" s="116" t="s">
        <v>87</v>
      </c>
      <c r="C607" s="117" t="s">
        <v>1535</v>
      </c>
      <c r="D607" s="117" t="s">
        <v>1469</v>
      </c>
      <c r="E607" s="117">
        <v>0</v>
      </c>
      <c r="F607" s="117" t="s">
        <v>1476</v>
      </c>
      <c r="G607" s="118"/>
      <c r="J607" s="3" t="s">
        <v>10</v>
      </c>
      <c r="K607" s="3" t="s">
        <v>173</v>
      </c>
      <c r="L607" s="3" t="s">
        <v>9</v>
      </c>
      <c r="M607" s="3" t="s">
        <v>9</v>
      </c>
      <c r="N607" s="3">
        <v>2433</v>
      </c>
    </row>
    <row r="608" spans="1:14" s="3" customFormat="1" ht="17.399999999999999" hidden="1" customHeight="1" outlineLevel="1" x14ac:dyDescent="0.25">
      <c r="A608" s="5"/>
      <c r="B608" s="116" t="s">
        <v>128</v>
      </c>
      <c r="C608" s="117" t="s">
        <v>1566</v>
      </c>
      <c r="D608" s="117" t="s">
        <v>1567</v>
      </c>
      <c r="E608" s="117">
        <v>0</v>
      </c>
      <c r="F608" s="117" t="s">
        <v>1470</v>
      </c>
      <c r="G608" s="118"/>
      <c r="J608" s="3" t="s">
        <v>12</v>
      </c>
      <c r="K608" s="3" t="s">
        <v>174</v>
      </c>
      <c r="L608" s="3" t="s">
        <v>175</v>
      </c>
      <c r="M608" s="3" t="s">
        <v>176</v>
      </c>
      <c r="N608" s="3">
        <v>1629</v>
      </c>
    </row>
    <row r="609" spans="1:14" s="3" customFormat="1" ht="17.399999999999999" hidden="1" customHeight="1" outlineLevel="1" x14ac:dyDescent="0.25">
      <c r="A609" s="5"/>
      <c r="B609" s="116" t="s">
        <v>114</v>
      </c>
      <c r="C609" s="117" t="s">
        <v>1557</v>
      </c>
      <c r="D609" s="117" t="s">
        <v>1469</v>
      </c>
      <c r="E609" s="117">
        <v>-1</v>
      </c>
      <c r="F609" s="117" t="s">
        <v>1470</v>
      </c>
      <c r="G609" s="118"/>
      <c r="J609" s="3" t="s">
        <v>10</v>
      </c>
      <c r="K609" s="3" t="s">
        <v>173</v>
      </c>
      <c r="L609" s="3" t="s">
        <v>9</v>
      </c>
      <c r="M609" s="3" t="s">
        <v>9</v>
      </c>
      <c r="N609" s="3">
        <v>2449</v>
      </c>
    </row>
    <row r="610" spans="1:14" s="3" customFormat="1" ht="17.399999999999999" hidden="1" customHeight="1" outlineLevel="1" thickBot="1" x14ac:dyDescent="0.3">
      <c r="A610" s="5"/>
      <c r="B610" s="116"/>
      <c r="C610" s="117"/>
      <c r="D610" s="117"/>
      <c r="E610" s="117"/>
      <c r="F610" s="117"/>
      <c r="G610" s="118"/>
    </row>
    <row r="611" spans="1:14" s="3" customFormat="1" ht="17.399999999999999" hidden="1" customHeight="1" outlineLevel="1" x14ac:dyDescent="0.25">
      <c r="A611" s="5"/>
      <c r="B611" s="401" t="s">
        <v>18</v>
      </c>
      <c r="C611" s="402"/>
      <c r="D611" s="402"/>
      <c r="E611" s="402"/>
      <c r="F611" s="402"/>
      <c r="G611" s="403"/>
    </row>
    <row r="612" spans="1:14" s="3" customFormat="1" hidden="1" outlineLevel="1" x14ac:dyDescent="0.25">
      <c r="A612" s="5"/>
      <c r="B612" s="25" t="s">
        <v>2</v>
      </c>
      <c r="C612" s="26" t="s">
        <v>3</v>
      </c>
      <c r="D612" s="26" t="s">
        <v>4</v>
      </c>
      <c r="E612" s="26" t="s">
        <v>5</v>
      </c>
      <c r="F612" s="26"/>
      <c r="G612" s="27" t="s">
        <v>6</v>
      </c>
    </row>
    <row r="613" spans="1:14" s="3" customFormat="1" ht="17.399999999999999" hidden="1" customHeight="1" outlineLevel="1" x14ac:dyDescent="0.25">
      <c r="A613" s="5"/>
      <c r="B613" s="116"/>
      <c r="C613" s="117"/>
      <c r="D613" s="117"/>
      <c r="E613" s="117"/>
      <c r="F613" s="117"/>
      <c r="G613" s="118"/>
    </row>
    <row r="614" spans="1:14" s="3" customFormat="1" ht="17.399999999999999" hidden="1" customHeight="1" outlineLevel="1" x14ac:dyDescent="0.25">
      <c r="A614" s="5"/>
      <c r="B614" s="116"/>
      <c r="C614" s="117"/>
      <c r="D614" s="117"/>
      <c r="E614" s="117"/>
      <c r="F614" s="117"/>
      <c r="G614" s="118"/>
    </row>
    <row r="615" spans="1:14" s="3" customFormat="1" ht="17.399999999999999" hidden="1" customHeight="1" outlineLevel="1" thickBot="1" x14ac:dyDescent="0.3">
      <c r="A615" s="5"/>
      <c r="B615" s="116"/>
      <c r="C615" s="117"/>
      <c r="D615" s="117"/>
      <c r="E615" s="117"/>
      <c r="F615" s="117"/>
      <c r="G615" s="118"/>
    </row>
    <row r="616" spans="1:14" s="3" customFormat="1" ht="17.399999999999999" hidden="1" customHeight="1" outlineLevel="1" x14ac:dyDescent="0.25">
      <c r="A616" s="5"/>
      <c r="B616" s="401" t="s">
        <v>29</v>
      </c>
      <c r="C616" s="402"/>
      <c r="D616" s="402"/>
      <c r="E616" s="402"/>
      <c r="F616" s="402"/>
      <c r="G616" s="403"/>
    </row>
    <row r="617" spans="1:14" s="3" customFormat="1" ht="17.399999999999999" hidden="1" customHeight="1" outlineLevel="1" x14ac:dyDescent="0.25">
      <c r="A617" s="5"/>
      <c r="B617" s="116"/>
      <c r="C617" s="117"/>
      <c r="D617" s="117"/>
      <c r="E617" s="117"/>
      <c r="F617" s="117"/>
      <c r="G617" s="118"/>
    </row>
    <row r="618" spans="1:14" s="3" customFormat="1" ht="17.399999999999999" hidden="1" customHeight="1" outlineLevel="1" x14ac:dyDescent="0.25">
      <c r="A618" s="5"/>
      <c r="B618" s="106" t="s">
        <v>851</v>
      </c>
      <c r="C618" s="107"/>
      <c r="D618" s="107"/>
      <c r="E618" s="107"/>
      <c r="F618" s="107"/>
      <c r="G618" s="108"/>
      <c r="H618" s="5"/>
    </row>
    <row r="619" spans="1:14" s="3" customFormat="1" ht="17.399999999999999" hidden="1" customHeight="1" outlineLevel="1" x14ac:dyDescent="0.25">
      <c r="A619" s="5"/>
      <c r="B619" s="106" t="s">
        <v>805</v>
      </c>
      <c r="C619" s="107"/>
      <c r="D619" s="107"/>
      <c r="E619" s="107"/>
      <c r="F619" s="107"/>
      <c r="G619" s="108"/>
      <c r="H619" s="5"/>
    </row>
    <row r="620" spans="1:14" s="3" customFormat="1" ht="17.399999999999999" hidden="1" customHeight="1" outlineLevel="1" x14ac:dyDescent="0.25">
      <c r="A620" s="5"/>
      <c r="B620" s="106"/>
      <c r="C620" s="107"/>
      <c r="D620" s="107"/>
      <c r="E620" s="107"/>
      <c r="F620" s="107"/>
      <c r="G620" s="108"/>
      <c r="H620" s="5"/>
    </row>
    <row r="621" spans="1:14" s="3" customFormat="1" ht="17.399999999999999" hidden="1" customHeight="1" outlineLevel="1" x14ac:dyDescent="0.25">
      <c r="A621" s="5"/>
      <c r="B621" s="116" t="s">
        <v>852</v>
      </c>
      <c r="C621" s="117"/>
      <c r="D621" s="117"/>
      <c r="E621" s="117"/>
      <c r="F621" s="117"/>
      <c r="G621" s="118"/>
    </row>
    <row r="622" spans="1:14" s="3" customFormat="1" ht="17.399999999999999" hidden="1" customHeight="1" outlineLevel="1" x14ac:dyDescent="0.25">
      <c r="A622" s="5"/>
      <c r="B622" s="116" t="s">
        <v>853</v>
      </c>
      <c r="C622" s="117"/>
      <c r="D622" s="117"/>
      <c r="E622" s="117"/>
      <c r="F622" s="117"/>
      <c r="G622" s="118"/>
    </row>
    <row r="623" spans="1:14" s="3" customFormat="1" ht="17.399999999999999" hidden="1" customHeight="1" outlineLevel="1" x14ac:dyDescent="0.25">
      <c r="A623" s="5"/>
      <c r="B623" s="116" t="s">
        <v>854</v>
      </c>
      <c r="C623" s="117"/>
      <c r="D623" s="117"/>
      <c r="E623" s="117"/>
      <c r="F623" s="117"/>
      <c r="G623" s="118"/>
    </row>
    <row r="624" spans="1:14" s="3" customFormat="1" ht="17.399999999999999" hidden="1" customHeight="1" outlineLevel="1" x14ac:dyDescent="0.25">
      <c r="A624" s="5"/>
      <c r="B624" s="116" t="s">
        <v>855</v>
      </c>
      <c r="C624" s="117"/>
      <c r="D624" s="117"/>
      <c r="E624" s="117"/>
      <c r="F624" s="117"/>
      <c r="G624" s="118"/>
    </row>
    <row r="625" spans="1:7" s="3" customFormat="1" ht="17.399999999999999" hidden="1" customHeight="1" outlineLevel="1" x14ac:dyDescent="0.25">
      <c r="A625" s="5"/>
      <c r="B625" s="116" t="s">
        <v>856</v>
      </c>
      <c r="C625" s="117"/>
      <c r="D625" s="117"/>
      <c r="E625" s="117"/>
      <c r="F625" s="117"/>
      <c r="G625" s="118"/>
    </row>
    <row r="626" spans="1:7" s="3" customFormat="1" ht="17.399999999999999" hidden="1" customHeight="1" outlineLevel="1" x14ac:dyDescent="0.25">
      <c r="A626" s="5"/>
      <c r="B626" s="116" t="s">
        <v>857</v>
      </c>
      <c r="C626" s="117"/>
      <c r="D626" s="117"/>
      <c r="E626" s="117"/>
      <c r="F626" s="117"/>
      <c r="G626" s="118"/>
    </row>
    <row r="627" spans="1:7" s="3" customFormat="1" ht="17.399999999999999" hidden="1" customHeight="1" outlineLevel="1" x14ac:dyDescent="0.25">
      <c r="A627" s="5"/>
      <c r="B627" s="116" t="s">
        <v>858</v>
      </c>
      <c r="C627" s="117"/>
      <c r="D627" s="117"/>
      <c r="E627" s="117"/>
      <c r="F627" s="117"/>
      <c r="G627" s="118"/>
    </row>
    <row r="628" spans="1:7" s="3" customFormat="1" ht="17.399999999999999" hidden="1" customHeight="1" outlineLevel="1" x14ac:dyDescent="0.25">
      <c r="A628" s="5"/>
      <c r="B628" s="116" t="s">
        <v>859</v>
      </c>
      <c r="C628" s="117"/>
      <c r="D628" s="117"/>
      <c r="E628" s="117"/>
      <c r="F628" s="117"/>
      <c r="G628" s="118"/>
    </row>
    <row r="629" spans="1:7" s="3" customFormat="1" ht="17.399999999999999" hidden="1" customHeight="1" outlineLevel="1" x14ac:dyDescent="0.25">
      <c r="A629" s="5"/>
      <c r="B629" s="116" t="s">
        <v>860</v>
      </c>
      <c r="C629" s="117"/>
      <c r="D629" s="117"/>
      <c r="E629" s="117"/>
      <c r="F629" s="117"/>
      <c r="G629" s="118"/>
    </row>
    <row r="630" spans="1:7" s="3" customFormat="1" ht="17.399999999999999" hidden="1" customHeight="1" outlineLevel="1" x14ac:dyDescent="0.25">
      <c r="A630" s="5"/>
      <c r="B630" s="116" t="s">
        <v>861</v>
      </c>
      <c r="C630" s="117"/>
      <c r="D630" s="117"/>
      <c r="E630" s="117"/>
      <c r="F630" s="117"/>
      <c r="G630" s="118"/>
    </row>
    <row r="631" spans="1:7" s="3" customFormat="1" ht="17.399999999999999" hidden="1" customHeight="1" outlineLevel="1" x14ac:dyDescent="0.25">
      <c r="A631" s="5"/>
      <c r="B631" s="116" t="s">
        <v>862</v>
      </c>
      <c r="C631" s="117"/>
      <c r="D631" s="117"/>
      <c r="E631" s="117"/>
      <c r="F631" s="117"/>
      <c r="G631" s="118"/>
    </row>
    <row r="632" spans="1:7" s="3" customFormat="1" ht="17.399999999999999" hidden="1" customHeight="1" outlineLevel="1" x14ac:dyDescent="0.25">
      <c r="A632" s="5"/>
      <c r="B632" s="116" t="s">
        <v>863</v>
      </c>
      <c r="C632" s="117"/>
      <c r="D632" s="117"/>
      <c r="E632" s="117"/>
      <c r="F632" s="117"/>
      <c r="G632" s="118"/>
    </row>
    <row r="633" spans="1:7" s="3" customFormat="1" ht="17.399999999999999" hidden="1" customHeight="1" outlineLevel="1" x14ac:dyDescent="0.25">
      <c r="A633" s="5"/>
      <c r="B633" s="116" t="s">
        <v>864</v>
      </c>
      <c r="C633" s="117"/>
      <c r="D633" s="117"/>
      <c r="E633" s="117"/>
      <c r="F633" s="117"/>
      <c r="G633" s="118"/>
    </row>
    <row r="634" spans="1:7" s="3" customFormat="1" ht="17.399999999999999" hidden="1" customHeight="1" outlineLevel="1" x14ac:dyDescent="0.25">
      <c r="A634" s="5"/>
      <c r="B634" s="116" t="s">
        <v>865</v>
      </c>
      <c r="C634" s="117"/>
      <c r="D634" s="117"/>
      <c r="E634" s="117"/>
      <c r="F634" s="117"/>
      <c r="G634" s="118"/>
    </row>
    <row r="635" spans="1:7" s="3" customFormat="1" ht="17.399999999999999" hidden="1" customHeight="1" outlineLevel="1" x14ac:dyDescent="0.25">
      <c r="A635" s="5"/>
      <c r="B635" s="116" t="s">
        <v>866</v>
      </c>
      <c r="C635" s="117"/>
      <c r="D635" s="117"/>
      <c r="E635" s="117"/>
      <c r="F635" s="117"/>
      <c r="G635" s="118"/>
    </row>
    <row r="636" spans="1:7" s="3" customFormat="1" ht="17.399999999999999" hidden="1" customHeight="1" outlineLevel="1" x14ac:dyDescent="0.25">
      <c r="A636" s="5"/>
      <c r="B636" s="116" t="s">
        <v>2324</v>
      </c>
      <c r="C636" s="117"/>
      <c r="D636" s="117"/>
      <c r="E636" s="117"/>
      <c r="F636" s="117"/>
      <c r="G636" s="118"/>
    </row>
    <row r="637" spans="1:7" s="3" customFormat="1" ht="17.399999999999999" hidden="1" customHeight="1" outlineLevel="1" x14ac:dyDescent="0.25">
      <c r="A637" s="5"/>
      <c r="B637" s="116" t="s">
        <v>2325</v>
      </c>
      <c r="C637" s="117"/>
      <c r="D637" s="117"/>
      <c r="E637" s="117"/>
      <c r="F637" s="117"/>
      <c r="G637" s="118"/>
    </row>
    <row r="638" spans="1:7" s="3" customFormat="1" ht="17.399999999999999" hidden="1" customHeight="1" outlineLevel="1" x14ac:dyDescent="0.25">
      <c r="A638" s="5"/>
      <c r="B638" s="116"/>
      <c r="C638" s="117"/>
      <c r="D638" s="117"/>
      <c r="E638" s="117"/>
      <c r="F638" s="117"/>
      <c r="G638" s="118"/>
    </row>
    <row r="639" spans="1:7" s="3" customFormat="1" ht="17.399999999999999" hidden="1" customHeight="1" outlineLevel="1" x14ac:dyDescent="0.25">
      <c r="A639" s="5"/>
      <c r="B639" s="116" t="s">
        <v>2287</v>
      </c>
      <c r="C639" s="117"/>
      <c r="D639" s="117"/>
      <c r="E639" s="117"/>
      <c r="F639" s="117"/>
      <c r="G639" s="118"/>
    </row>
    <row r="640" spans="1:7" s="3" customFormat="1" hidden="1" outlineLevel="1" x14ac:dyDescent="0.25">
      <c r="A640" s="5"/>
      <c r="B640" s="46" t="s">
        <v>2285</v>
      </c>
      <c r="C640" s="20"/>
      <c r="D640" s="20"/>
      <c r="E640" s="20"/>
      <c r="F640" s="20"/>
      <c r="G640" s="22"/>
    </row>
    <row r="641" spans="1:11" s="3" customFormat="1" ht="17.399999999999999" hidden="1" customHeight="1" outlineLevel="1" x14ac:dyDescent="0.25">
      <c r="A641" s="5"/>
      <c r="B641" s="127" t="s">
        <v>867</v>
      </c>
      <c r="C641" s="117"/>
      <c r="D641" s="117"/>
      <c r="E641" s="117"/>
      <c r="F641" s="117"/>
      <c r="G641" s="118"/>
    </row>
    <row r="642" spans="1:11" s="3" customFormat="1" ht="17.399999999999999" hidden="1" customHeight="1" outlineLevel="1" x14ac:dyDescent="0.25">
      <c r="A642" s="5"/>
      <c r="B642" s="127" t="s">
        <v>868</v>
      </c>
      <c r="C642" s="117"/>
      <c r="D642" s="117"/>
      <c r="E642" s="117"/>
      <c r="F642" s="117"/>
      <c r="G642" s="118"/>
    </row>
    <row r="643" spans="1:11" s="3" customFormat="1" ht="17.399999999999999" hidden="1" customHeight="1" outlineLevel="1" x14ac:dyDescent="0.25">
      <c r="A643" s="5"/>
      <c r="B643" s="127" t="s">
        <v>869</v>
      </c>
      <c r="C643" s="117"/>
      <c r="D643" s="117"/>
      <c r="E643" s="117"/>
      <c r="F643" s="117"/>
      <c r="G643" s="118"/>
    </row>
    <row r="644" spans="1:11" s="3" customFormat="1" ht="17.399999999999999" hidden="1" customHeight="1" outlineLevel="1" x14ac:dyDescent="0.25">
      <c r="A644" s="5"/>
      <c r="B644" s="116" t="s">
        <v>870</v>
      </c>
      <c r="C644" s="117"/>
      <c r="D644" s="117"/>
      <c r="E644" s="117"/>
      <c r="F644" s="117"/>
      <c r="G644" s="118"/>
    </row>
    <row r="645" spans="1:11" s="3" customFormat="1" ht="17.399999999999999" hidden="1" customHeight="1" outlineLevel="1" x14ac:dyDescent="0.25">
      <c r="A645" s="5"/>
      <c r="B645" s="116" t="s">
        <v>871</v>
      </c>
      <c r="C645" s="117"/>
      <c r="D645" s="117"/>
      <c r="E645" s="117"/>
      <c r="F645" s="117"/>
      <c r="G645" s="118"/>
    </row>
    <row r="646" spans="1:11" s="3" customFormat="1" ht="17.399999999999999" hidden="1" customHeight="1" outlineLevel="1" x14ac:dyDescent="0.25">
      <c r="A646" s="5"/>
      <c r="B646" s="116" t="s">
        <v>2288</v>
      </c>
      <c r="C646" s="117"/>
      <c r="D646" s="117"/>
      <c r="E646" s="117"/>
      <c r="F646" s="117"/>
      <c r="G646" s="118"/>
    </row>
    <row r="647" spans="1:11" s="3" customFormat="1" ht="17.399999999999999" hidden="1" customHeight="1" outlineLevel="1" x14ac:dyDescent="0.25">
      <c r="A647" s="5"/>
      <c r="B647" s="127" t="s">
        <v>872</v>
      </c>
      <c r="C647" s="117"/>
      <c r="D647" s="117"/>
      <c r="E647" s="117"/>
      <c r="F647" s="117"/>
      <c r="G647" s="118"/>
    </row>
    <row r="648" spans="1:11" s="3" customFormat="1" ht="17.399999999999999" hidden="1" customHeight="1" outlineLevel="1" x14ac:dyDescent="0.25">
      <c r="A648" s="5"/>
      <c r="B648" s="127" t="s">
        <v>873</v>
      </c>
      <c r="C648" s="117"/>
      <c r="D648" s="117"/>
      <c r="E648" s="117"/>
      <c r="F648" s="117"/>
      <c r="G648" s="118"/>
    </row>
    <row r="649" spans="1:11" s="3" customFormat="1" ht="17.399999999999999" hidden="1" customHeight="1" outlineLevel="1" x14ac:dyDescent="0.25">
      <c r="A649" s="5"/>
      <c r="B649" s="127" t="s">
        <v>874</v>
      </c>
      <c r="C649" s="117"/>
      <c r="D649" s="117"/>
      <c r="E649" s="117"/>
      <c r="F649" s="117"/>
      <c r="G649" s="118"/>
    </row>
    <row r="650" spans="1:11" s="3" customFormat="1" ht="17.399999999999999" hidden="1" customHeight="1" outlineLevel="1" x14ac:dyDescent="0.25">
      <c r="A650" s="5"/>
      <c r="B650" s="116" t="s">
        <v>875</v>
      </c>
      <c r="C650" s="117"/>
      <c r="D650" s="117"/>
      <c r="E650" s="117"/>
      <c r="F650" s="117"/>
      <c r="G650" s="118"/>
    </row>
    <row r="651" spans="1:11" s="3" customFormat="1" ht="17.399999999999999" hidden="1" customHeight="1" outlineLevel="1" x14ac:dyDescent="0.25">
      <c r="A651" s="5"/>
      <c r="B651" s="116" t="s">
        <v>876</v>
      </c>
      <c r="C651" s="117"/>
      <c r="D651" s="117"/>
      <c r="E651" s="117"/>
      <c r="F651" s="117"/>
      <c r="G651" s="118"/>
    </row>
    <row r="652" spans="1:11" s="3" customFormat="1" ht="17.399999999999999" hidden="1" customHeight="1" outlineLevel="1" x14ac:dyDescent="0.25">
      <c r="A652" s="5"/>
      <c r="B652" s="128" t="s">
        <v>877</v>
      </c>
      <c r="C652" s="107"/>
      <c r="D652" s="107"/>
      <c r="E652" s="107"/>
      <c r="F652" s="107"/>
      <c r="G652" s="129"/>
    </row>
    <row r="653" spans="1:11" s="3" customFormat="1" ht="17.399999999999999" hidden="1" customHeight="1" outlineLevel="1" x14ac:dyDescent="0.25">
      <c r="A653" s="5"/>
      <c r="B653" s="130" t="s">
        <v>726</v>
      </c>
      <c r="C653" s="29"/>
      <c r="D653" s="29"/>
      <c r="E653" s="29"/>
      <c r="F653" s="29"/>
      <c r="G653" s="131"/>
      <c r="H653" s="5"/>
      <c r="I653" s="5"/>
      <c r="J653" s="5"/>
      <c r="K653" s="5"/>
    </row>
    <row r="654" spans="1:11" s="3" customFormat="1" ht="17.399999999999999" hidden="1" customHeight="1" outlineLevel="1" x14ac:dyDescent="0.25">
      <c r="A654" s="5"/>
      <c r="B654" s="116"/>
      <c r="C654" s="117"/>
      <c r="D654" s="117"/>
      <c r="E654" s="117"/>
      <c r="F654" s="117"/>
      <c r="G654" s="118"/>
    </row>
    <row r="655" spans="1:11" s="3" customFormat="1" ht="17.399999999999999" hidden="1" customHeight="1" outlineLevel="1" x14ac:dyDescent="0.25">
      <c r="A655" s="5"/>
      <c r="B655" s="116"/>
      <c r="C655" s="117"/>
      <c r="D655" s="117"/>
      <c r="E655" s="117"/>
      <c r="F655" s="117"/>
      <c r="G655" s="118"/>
    </row>
    <row r="656" spans="1:11" s="3" customFormat="1" ht="17.399999999999999" hidden="1" customHeight="1" outlineLevel="1" x14ac:dyDescent="0.25">
      <c r="A656" s="5"/>
      <c r="B656" s="116"/>
      <c r="C656" s="117"/>
      <c r="D656" s="117"/>
      <c r="E656" s="117"/>
      <c r="F656" s="117"/>
      <c r="G656" s="118"/>
    </row>
    <row r="657" spans="1:14" s="3" customFormat="1" ht="17.399999999999999" hidden="1" customHeight="1" outlineLevel="1" x14ac:dyDescent="0.25">
      <c r="A657" s="5"/>
      <c r="B657" s="116"/>
      <c r="C657" s="117"/>
      <c r="D657" s="117"/>
      <c r="E657" s="117"/>
      <c r="F657" s="117"/>
      <c r="G657" s="118"/>
    </row>
    <row r="658" spans="1:14" s="3" customFormat="1" ht="17.399999999999999" hidden="1" customHeight="1" outlineLevel="1" x14ac:dyDescent="0.25">
      <c r="A658" s="5"/>
      <c r="B658" s="116"/>
      <c r="C658" s="117"/>
      <c r="D658" s="117"/>
      <c r="E658" s="117"/>
      <c r="F658" s="117"/>
      <c r="G658" s="118"/>
    </row>
    <row r="659" spans="1:14" s="3" customFormat="1" ht="17.399999999999999" hidden="1" customHeight="1" outlineLevel="1" x14ac:dyDescent="0.25">
      <c r="A659" s="5"/>
      <c r="B659" s="116"/>
      <c r="C659" s="117"/>
      <c r="D659" s="117"/>
      <c r="E659" s="117"/>
      <c r="F659" s="117"/>
      <c r="G659" s="118"/>
    </row>
    <row r="660" spans="1:14" s="3" customFormat="1" ht="17.399999999999999" hidden="1" customHeight="1" outlineLevel="1" x14ac:dyDescent="0.25">
      <c r="A660" s="5"/>
      <c r="B660" s="116"/>
      <c r="C660" s="117"/>
      <c r="D660" s="117"/>
      <c r="E660" s="117"/>
      <c r="F660" s="117"/>
      <c r="G660" s="118"/>
    </row>
    <row r="661" spans="1:14" s="3" customFormat="1" ht="17.399999999999999" hidden="1" customHeight="1" outlineLevel="1" x14ac:dyDescent="0.25">
      <c r="A661" s="5"/>
      <c r="B661" s="116"/>
      <c r="C661" s="117"/>
      <c r="D661" s="117"/>
      <c r="E661" s="117"/>
      <c r="F661" s="117"/>
      <c r="G661" s="118"/>
    </row>
    <row r="662" spans="1:14" s="3" customFormat="1" ht="17.399999999999999" hidden="1" customHeight="1" outlineLevel="1" x14ac:dyDescent="0.25">
      <c r="A662" s="5"/>
      <c r="B662" s="116"/>
      <c r="C662" s="117"/>
      <c r="D662" s="117"/>
      <c r="E662" s="117"/>
      <c r="F662" s="117"/>
      <c r="G662" s="118"/>
    </row>
    <row r="663" spans="1:14" s="5" customFormat="1" ht="16.2" hidden="1" outlineLevel="1" thickBot="1" x14ac:dyDescent="0.3"/>
    <row r="664" spans="1:14" s="3" customFormat="1" ht="17.399999999999999" customHeight="1" collapsed="1" thickBot="1" x14ac:dyDescent="0.3">
      <c r="A664" s="5"/>
      <c r="B664" s="15" t="s">
        <v>1279</v>
      </c>
      <c r="C664" s="16" t="s">
        <v>2135</v>
      </c>
      <c r="D664" s="17" t="s">
        <v>1281</v>
      </c>
      <c r="E664" s="16" t="s">
        <v>878</v>
      </c>
      <c r="F664" s="17" t="s">
        <v>1282</v>
      </c>
      <c r="G664" s="18" t="s">
        <v>2136</v>
      </c>
    </row>
    <row r="665" spans="1:14" s="3" customFormat="1" ht="17.399999999999999" hidden="1" customHeight="1" outlineLevel="1" x14ac:dyDescent="0.25">
      <c r="A665" s="5"/>
      <c r="B665" s="19" t="s">
        <v>1284</v>
      </c>
      <c r="C665" s="20" t="s">
        <v>1285</v>
      </c>
      <c r="D665" s="21" t="s">
        <v>1286</v>
      </c>
      <c r="E665" s="20" t="s">
        <v>2137</v>
      </c>
      <c r="F665" s="21" t="s">
        <v>1288</v>
      </c>
      <c r="G665" s="22" t="s">
        <v>1342</v>
      </c>
    </row>
    <row r="666" spans="1:14" s="3" customFormat="1" ht="17.399999999999999" hidden="1" customHeight="1" outlineLevel="1" thickBot="1" x14ac:dyDescent="0.3">
      <c r="A666" s="5"/>
      <c r="B666" s="19" t="s">
        <v>1290</v>
      </c>
      <c r="C666" s="23" t="s">
        <v>1291</v>
      </c>
      <c r="D666" s="21" t="s">
        <v>1292</v>
      </c>
      <c r="E666" s="23">
        <v>5</v>
      </c>
      <c r="F666" s="21" t="s">
        <v>1293</v>
      </c>
      <c r="G666" s="24" t="s">
        <v>1294</v>
      </c>
    </row>
    <row r="667" spans="1:14" s="3" customFormat="1" ht="17.399999999999999" hidden="1" customHeight="1" outlineLevel="1" x14ac:dyDescent="0.25">
      <c r="A667" s="5"/>
      <c r="B667" s="401" t="s">
        <v>1</v>
      </c>
      <c r="C667" s="402"/>
      <c r="D667" s="402"/>
      <c r="E667" s="402"/>
      <c r="F667" s="402"/>
      <c r="G667" s="403"/>
    </row>
    <row r="668" spans="1:14" s="3" customFormat="1" ht="17.399999999999999" hidden="1" customHeight="1" outlineLevel="1" x14ac:dyDescent="0.25">
      <c r="A668" s="5"/>
      <c r="B668" s="25" t="s">
        <v>2</v>
      </c>
      <c r="C668" s="26" t="s">
        <v>3</v>
      </c>
      <c r="D668" s="26" t="s">
        <v>4</v>
      </c>
      <c r="E668" s="26" t="s">
        <v>5</v>
      </c>
      <c r="F668" s="26"/>
      <c r="G668" s="27" t="s">
        <v>6</v>
      </c>
    </row>
    <row r="669" spans="1:14" s="3" customFormat="1" hidden="1" outlineLevel="1" x14ac:dyDescent="0.25">
      <c r="B669" s="28" t="s">
        <v>73</v>
      </c>
      <c r="C669" s="29" t="s">
        <v>1528</v>
      </c>
      <c r="D669" s="29" t="s">
        <v>1469</v>
      </c>
      <c r="E669" s="29" t="s">
        <v>1480</v>
      </c>
      <c r="F669" s="29" t="s">
        <v>1481</v>
      </c>
      <c r="G669" s="30"/>
      <c r="J669" s="3" t="s">
        <v>10</v>
      </c>
      <c r="K669" s="3" t="s">
        <v>173</v>
      </c>
      <c r="L669" s="3" t="s">
        <v>9</v>
      </c>
      <c r="M669" s="3" t="s">
        <v>9</v>
      </c>
      <c r="N669" s="3">
        <v>1767</v>
      </c>
    </row>
    <row r="670" spans="1:14" s="3" customFormat="1" hidden="1" outlineLevel="1" x14ac:dyDescent="0.25">
      <c r="B670" s="28" t="s">
        <v>74</v>
      </c>
      <c r="C670" s="29" t="s">
        <v>1529</v>
      </c>
      <c r="D670" s="29" t="s">
        <v>1469</v>
      </c>
      <c r="E670" s="29" t="s">
        <v>1480</v>
      </c>
      <c r="F670" s="29" t="s">
        <v>1481</v>
      </c>
      <c r="G670" s="30"/>
      <c r="J670" s="3" t="s">
        <v>10</v>
      </c>
      <c r="K670" s="3" t="s">
        <v>173</v>
      </c>
      <c r="L670" s="3" t="s">
        <v>9</v>
      </c>
      <c r="M670" s="3" t="s">
        <v>9</v>
      </c>
      <c r="N670" s="3">
        <v>1713</v>
      </c>
    </row>
    <row r="671" spans="1:14" s="3" customFormat="1" hidden="1" outlineLevel="1" x14ac:dyDescent="0.25">
      <c r="A671" s="5"/>
      <c r="B671" s="31" t="s">
        <v>112</v>
      </c>
      <c r="C671" s="20" t="s">
        <v>1555</v>
      </c>
      <c r="D671" s="20" t="s">
        <v>1469</v>
      </c>
      <c r="E671" s="20">
        <v>0</v>
      </c>
      <c r="F671" s="20" t="s">
        <v>1470</v>
      </c>
      <c r="G671" s="22" t="s">
        <v>1556</v>
      </c>
      <c r="J671" s="3" t="s">
        <v>10</v>
      </c>
      <c r="K671" s="3" t="s">
        <v>173</v>
      </c>
      <c r="L671" s="3" t="s">
        <v>9</v>
      </c>
      <c r="M671" s="3" t="s">
        <v>9</v>
      </c>
      <c r="N671" s="3">
        <v>1606</v>
      </c>
    </row>
    <row r="672" spans="1:14" s="3" customFormat="1" ht="17.399999999999999" hidden="1" customHeight="1" outlineLevel="1" x14ac:dyDescent="0.25">
      <c r="A672" s="5"/>
      <c r="B672" s="116" t="s">
        <v>15</v>
      </c>
      <c r="C672" s="117" t="s">
        <v>1478</v>
      </c>
      <c r="D672" s="122" t="s">
        <v>1469</v>
      </c>
      <c r="E672" s="117">
        <v>0</v>
      </c>
      <c r="F672" s="117" t="s">
        <v>1470</v>
      </c>
      <c r="G672" s="105"/>
      <c r="J672" s="3" t="s">
        <v>10</v>
      </c>
      <c r="K672" s="3" t="s">
        <v>173</v>
      </c>
      <c r="L672" s="3" t="s">
        <v>9</v>
      </c>
      <c r="M672" s="3" t="s">
        <v>9</v>
      </c>
      <c r="N672" s="3">
        <v>2430</v>
      </c>
    </row>
    <row r="673" spans="1:14" s="3" customFormat="1" ht="17.399999999999999" hidden="1" customHeight="1" outlineLevel="1" x14ac:dyDescent="0.25">
      <c r="A673" s="5"/>
      <c r="B673" s="116" t="s">
        <v>14</v>
      </c>
      <c r="C673" s="117" t="s">
        <v>1475</v>
      </c>
      <c r="D673" s="122" t="s">
        <v>1469</v>
      </c>
      <c r="E673" s="117">
        <v>0</v>
      </c>
      <c r="F673" s="117" t="s">
        <v>1476</v>
      </c>
      <c r="G673" s="105" t="s">
        <v>1477</v>
      </c>
      <c r="J673" s="3" t="s">
        <v>10</v>
      </c>
      <c r="K673" s="3" t="s">
        <v>173</v>
      </c>
      <c r="L673" s="3" t="s">
        <v>9</v>
      </c>
      <c r="M673" s="3" t="s">
        <v>9</v>
      </c>
      <c r="N673" s="3">
        <v>2155</v>
      </c>
    </row>
    <row r="674" spans="1:14" s="3" customFormat="1" ht="17.399999999999999" hidden="1" customHeight="1" outlineLevel="1" x14ac:dyDescent="0.25">
      <c r="A674" s="5"/>
      <c r="B674" s="31" t="s">
        <v>87</v>
      </c>
      <c r="C674" s="20" t="s">
        <v>1535</v>
      </c>
      <c r="D674" s="20" t="s">
        <v>1469</v>
      </c>
      <c r="E674" s="20">
        <v>0</v>
      </c>
      <c r="F674" s="20" t="s">
        <v>1476</v>
      </c>
      <c r="G674" s="22"/>
      <c r="J674" s="3" t="s">
        <v>10</v>
      </c>
      <c r="K674" s="3" t="s">
        <v>173</v>
      </c>
      <c r="L674" s="3" t="s">
        <v>9</v>
      </c>
      <c r="M674" s="3" t="s">
        <v>9</v>
      </c>
      <c r="N674" s="3">
        <v>2433</v>
      </c>
    </row>
    <row r="675" spans="1:14" s="3" customFormat="1" ht="17.399999999999999" hidden="1" customHeight="1" outlineLevel="1" x14ac:dyDescent="0.25">
      <c r="A675" s="5"/>
      <c r="B675" s="31" t="s">
        <v>128</v>
      </c>
      <c r="C675" s="20" t="s">
        <v>1566</v>
      </c>
      <c r="D675" s="20" t="s">
        <v>1567</v>
      </c>
      <c r="E675" s="20">
        <v>0</v>
      </c>
      <c r="F675" s="20" t="s">
        <v>1470</v>
      </c>
      <c r="G675" s="22"/>
      <c r="J675" s="3" t="s">
        <v>12</v>
      </c>
      <c r="K675" s="3" t="s">
        <v>174</v>
      </c>
      <c r="L675" s="3" t="s">
        <v>175</v>
      </c>
      <c r="M675" s="3" t="s">
        <v>176</v>
      </c>
      <c r="N675" s="3">
        <v>1629</v>
      </c>
    </row>
    <row r="676" spans="1:14" s="3" customFormat="1" ht="17.399999999999999" hidden="1" customHeight="1" outlineLevel="1" x14ac:dyDescent="0.25">
      <c r="A676" s="5"/>
      <c r="B676" s="31" t="s">
        <v>114</v>
      </c>
      <c r="C676" s="20" t="s">
        <v>1557</v>
      </c>
      <c r="D676" s="20" t="s">
        <v>1469</v>
      </c>
      <c r="E676" s="20">
        <v>-1</v>
      </c>
      <c r="F676" s="20" t="s">
        <v>1470</v>
      </c>
      <c r="G676" s="22"/>
      <c r="J676" s="3" t="s">
        <v>10</v>
      </c>
      <c r="K676" s="3" t="s">
        <v>173</v>
      </c>
      <c r="L676" s="3" t="s">
        <v>9</v>
      </c>
      <c r="M676" s="3" t="s">
        <v>9</v>
      </c>
      <c r="N676" s="3">
        <v>2449</v>
      </c>
    </row>
    <row r="677" spans="1:14" s="3" customFormat="1" ht="17.399999999999999" hidden="1" customHeight="1" outlineLevel="1" thickBot="1" x14ac:dyDescent="0.3">
      <c r="A677" s="5"/>
      <c r="B677" s="52"/>
      <c r="C677" s="53"/>
      <c r="D677" s="53"/>
      <c r="E677" s="53"/>
      <c r="F677" s="53"/>
      <c r="G677" s="54"/>
    </row>
    <row r="678" spans="1:14" s="3" customFormat="1" ht="17.399999999999999" hidden="1" customHeight="1" outlineLevel="1" x14ac:dyDescent="0.25">
      <c r="A678" s="5"/>
      <c r="B678" s="401" t="s">
        <v>18</v>
      </c>
      <c r="C678" s="402"/>
      <c r="D678" s="402"/>
      <c r="E678" s="402"/>
      <c r="F678" s="402"/>
      <c r="G678" s="403"/>
    </row>
    <row r="679" spans="1:14" s="3" customFormat="1" ht="17.399999999999999" hidden="1" customHeight="1" outlineLevel="1" x14ac:dyDescent="0.25">
      <c r="A679" s="5"/>
      <c r="B679" s="25" t="s">
        <v>2</v>
      </c>
      <c r="C679" s="26" t="s">
        <v>3</v>
      </c>
      <c r="D679" s="26" t="s">
        <v>4</v>
      </c>
      <c r="E679" s="26" t="s">
        <v>5</v>
      </c>
      <c r="F679" s="26"/>
      <c r="G679" s="27" t="s">
        <v>6</v>
      </c>
    </row>
    <row r="680" spans="1:14" s="3" customFormat="1" ht="17.399999999999999" hidden="1" customHeight="1" outlineLevel="1" x14ac:dyDescent="0.25">
      <c r="A680" s="5"/>
      <c r="B680" s="31"/>
      <c r="C680" s="20"/>
      <c r="D680" s="20"/>
      <c r="E680" s="20"/>
      <c r="F680" s="20"/>
      <c r="G680" s="22"/>
    </row>
    <row r="681" spans="1:14" s="3" customFormat="1" ht="17.399999999999999" hidden="1" customHeight="1" outlineLevel="1" x14ac:dyDescent="0.25">
      <c r="A681" s="5"/>
      <c r="B681" s="31"/>
      <c r="C681" s="20"/>
      <c r="D681" s="20"/>
      <c r="E681" s="20"/>
      <c r="F681" s="20"/>
      <c r="G681" s="22"/>
    </row>
    <row r="682" spans="1:14" s="3" customFormat="1" ht="17.399999999999999" hidden="1" customHeight="1" outlineLevel="1" thickBot="1" x14ac:dyDescent="0.3">
      <c r="A682" s="5"/>
      <c r="B682" s="31"/>
      <c r="C682" s="20"/>
      <c r="D682" s="20"/>
      <c r="E682" s="20"/>
      <c r="F682" s="20"/>
      <c r="G682" s="22"/>
    </row>
    <row r="683" spans="1:14" s="3" customFormat="1" ht="17.399999999999999" hidden="1" customHeight="1" outlineLevel="1" x14ac:dyDescent="0.25">
      <c r="A683" s="5"/>
      <c r="B683" s="401" t="s">
        <v>29</v>
      </c>
      <c r="C683" s="402"/>
      <c r="D683" s="402"/>
      <c r="E683" s="402"/>
      <c r="F683" s="402"/>
      <c r="G683" s="403"/>
    </row>
    <row r="684" spans="1:14" s="3" customFormat="1" ht="17.399999999999999" hidden="1" customHeight="1" outlineLevel="1" x14ac:dyDescent="0.25">
      <c r="A684" s="5"/>
      <c r="B684" s="130"/>
      <c r="C684" s="29"/>
      <c r="D684" s="29"/>
      <c r="E684" s="29"/>
      <c r="F684" s="29"/>
      <c r="G684" s="131"/>
      <c r="H684" s="5"/>
      <c r="I684" s="5"/>
      <c r="J684" s="5"/>
      <c r="K684" s="5"/>
    </row>
    <row r="685" spans="1:14" s="3" customFormat="1" ht="17.399999999999999" hidden="1" customHeight="1" outlineLevel="1" x14ac:dyDescent="0.25">
      <c r="A685" s="5"/>
      <c r="B685" s="106" t="s">
        <v>851</v>
      </c>
      <c r="C685" s="107"/>
      <c r="D685" s="107"/>
      <c r="E685" s="107"/>
      <c r="F685" s="107"/>
      <c r="G685" s="108"/>
      <c r="H685" s="5"/>
    </row>
    <row r="686" spans="1:14" s="3" customFormat="1" ht="17.399999999999999" hidden="1" customHeight="1" outlineLevel="1" x14ac:dyDescent="0.25">
      <c r="A686" s="5"/>
      <c r="B686" s="130" t="s">
        <v>852</v>
      </c>
      <c r="C686" s="29"/>
      <c r="D686" s="29"/>
      <c r="E686" s="29"/>
      <c r="F686" s="29"/>
      <c r="G686" s="131"/>
      <c r="H686" s="5"/>
      <c r="I686" s="5"/>
      <c r="J686" s="5"/>
      <c r="K686" s="5"/>
    </row>
    <row r="687" spans="1:14" s="3" customFormat="1" ht="17.399999999999999" hidden="1" customHeight="1" outlineLevel="1" x14ac:dyDescent="0.25">
      <c r="A687" s="5"/>
      <c r="B687" s="130" t="s">
        <v>879</v>
      </c>
      <c r="C687" s="29"/>
      <c r="D687" s="29"/>
      <c r="E687" s="29"/>
      <c r="F687" s="29"/>
      <c r="G687" s="131"/>
      <c r="H687" s="5"/>
      <c r="I687" s="5"/>
      <c r="J687" s="5"/>
      <c r="K687" s="5"/>
    </row>
    <row r="688" spans="1:14" s="3" customFormat="1" ht="17.399999999999999" hidden="1" customHeight="1" outlineLevel="1" x14ac:dyDescent="0.25">
      <c r="A688" s="5"/>
      <c r="B688" s="130" t="s">
        <v>861</v>
      </c>
      <c r="C688" s="29"/>
      <c r="D688" s="29"/>
      <c r="E688" s="29"/>
      <c r="F688" s="29"/>
      <c r="G688" s="131"/>
      <c r="H688" s="5"/>
      <c r="I688" s="5"/>
      <c r="J688" s="5"/>
      <c r="K688" s="5"/>
    </row>
    <row r="689" spans="1:11" s="3" customFormat="1" ht="17.399999999999999" hidden="1" customHeight="1" outlineLevel="1" x14ac:dyDescent="0.25">
      <c r="A689" s="5"/>
      <c r="B689" s="130" t="s">
        <v>880</v>
      </c>
      <c r="C689" s="29"/>
      <c r="D689" s="29"/>
      <c r="E689" s="29"/>
      <c r="F689" s="29"/>
      <c r="G689" s="131"/>
      <c r="H689" s="5"/>
      <c r="I689" s="5"/>
      <c r="J689" s="5"/>
      <c r="K689" s="5"/>
    </row>
    <row r="690" spans="1:11" s="3" customFormat="1" ht="17.399999999999999" hidden="1" customHeight="1" outlineLevel="1" x14ac:dyDescent="0.25">
      <c r="A690" s="5"/>
      <c r="B690" s="130" t="s">
        <v>2289</v>
      </c>
      <c r="C690" s="29"/>
      <c r="D690" s="29"/>
      <c r="E690" s="29"/>
      <c r="F690" s="29"/>
      <c r="G690" s="131"/>
      <c r="H690" s="5"/>
      <c r="I690" s="5"/>
      <c r="J690" s="5"/>
      <c r="K690" s="5"/>
    </row>
    <row r="691" spans="1:11" s="3" customFormat="1" ht="17.399999999999999" hidden="1" customHeight="1" outlineLevel="1" x14ac:dyDescent="0.25">
      <c r="A691" s="5"/>
      <c r="B691" s="130" t="s">
        <v>881</v>
      </c>
      <c r="C691" s="29"/>
      <c r="D691" s="29"/>
      <c r="E691" s="29"/>
      <c r="F691" s="29"/>
      <c r="G691" s="131"/>
      <c r="H691" s="5"/>
      <c r="I691" s="5"/>
      <c r="J691" s="5"/>
      <c r="K691" s="5"/>
    </row>
    <row r="692" spans="1:11" s="3" customFormat="1" ht="17.399999999999999" hidden="1" customHeight="1" outlineLevel="1" x14ac:dyDescent="0.25">
      <c r="A692" s="5"/>
      <c r="B692" s="130" t="s">
        <v>882</v>
      </c>
      <c r="C692" s="29"/>
      <c r="D692" s="29"/>
      <c r="E692" s="29"/>
      <c r="F692" s="29"/>
      <c r="G692" s="131"/>
      <c r="H692" s="5"/>
      <c r="I692" s="5"/>
      <c r="J692" s="5"/>
      <c r="K692" s="5"/>
    </row>
    <row r="693" spans="1:11" s="3" customFormat="1" ht="17.399999999999999" hidden="1" customHeight="1" outlineLevel="1" x14ac:dyDescent="0.25">
      <c r="A693" s="5"/>
      <c r="B693" s="127" t="s">
        <v>883</v>
      </c>
      <c r="C693" s="117"/>
      <c r="D693" s="117"/>
      <c r="E693" s="117"/>
      <c r="F693" s="117"/>
      <c r="G693" s="118"/>
    </row>
    <row r="694" spans="1:11" s="3" customFormat="1" ht="17.399999999999999" hidden="1" customHeight="1" outlineLevel="1" x14ac:dyDescent="0.25">
      <c r="A694" s="5"/>
      <c r="B694" s="130" t="s">
        <v>884</v>
      </c>
      <c r="C694" s="29"/>
      <c r="D694" s="29"/>
      <c r="E694" s="29"/>
      <c r="F694" s="29"/>
      <c r="G694" s="131"/>
      <c r="H694" s="5"/>
      <c r="I694" s="5"/>
      <c r="J694" s="5"/>
      <c r="K694" s="5"/>
    </row>
    <row r="695" spans="1:11" s="3" customFormat="1" ht="17.399999999999999" hidden="1" customHeight="1" outlineLevel="1" x14ac:dyDescent="0.25">
      <c r="A695" s="5"/>
      <c r="B695" s="130" t="s">
        <v>885</v>
      </c>
      <c r="C695" s="29"/>
      <c r="D695" s="29"/>
      <c r="E695" s="29"/>
      <c r="F695" s="29"/>
      <c r="G695" s="131"/>
      <c r="H695" s="5"/>
      <c r="I695" s="5"/>
      <c r="J695" s="5"/>
      <c r="K695" s="5"/>
    </row>
    <row r="696" spans="1:11" s="3" customFormat="1" ht="17.399999999999999" hidden="1" customHeight="1" outlineLevel="1" x14ac:dyDescent="0.25">
      <c r="A696" s="5"/>
      <c r="B696" s="130" t="s">
        <v>871</v>
      </c>
      <c r="C696" s="29"/>
      <c r="D696" s="29"/>
      <c r="E696" s="29"/>
      <c r="F696" s="29"/>
      <c r="G696" s="131"/>
      <c r="H696" s="5"/>
      <c r="I696" s="5"/>
      <c r="J696" s="5"/>
      <c r="K696" s="5"/>
    </row>
    <row r="697" spans="1:11" s="3" customFormat="1" ht="17.399999999999999" hidden="1" customHeight="1" outlineLevel="1" x14ac:dyDescent="0.25">
      <c r="A697" s="5"/>
      <c r="B697" s="116" t="s">
        <v>2290</v>
      </c>
      <c r="C697" s="117"/>
      <c r="D697" s="117"/>
      <c r="E697" s="117"/>
      <c r="F697" s="117"/>
      <c r="G697" s="118"/>
    </row>
    <row r="698" spans="1:11" s="3" customFormat="1" ht="17.399999999999999" hidden="1" customHeight="1" outlineLevel="1" x14ac:dyDescent="0.25">
      <c r="A698" s="5"/>
      <c r="B698" s="127" t="s">
        <v>872</v>
      </c>
      <c r="C698" s="117"/>
      <c r="D698" s="117"/>
      <c r="E698" s="117"/>
      <c r="F698" s="117"/>
      <c r="G698" s="118"/>
    </row>
    <row r="699" spans="1:11" s="3" customFormat="1" ht="17.399999999999999" hidden="1" customHeight="1" outlineLevel="1" x14ac:dyDescent="0.25">
      <c r="A699" s="5"/>
      <c r="B699" s="130" t="s">
        <v>886</v>
      </c>
      <c r="C699" s="29"/>
      <c r="D699" s="29"/>
      <c r="E699" s="29"/>
      <c r="F699" s="29"/>
      <c r="G699" s="131"/>
      <c r="H699" s="5"/>
      <c r="I699" s="5"/>
      <c r="J699" s="5"/>
      <c r="K699" s="5"/>
    </row>
    <row r="700" spans="1:11" s="3" customFormat="1" ht="17.399999999999999" hidden="1" customHeight="1" outlineLevel="1" x14ac:dyDescent="0.25">
      <c r="A700" s="5"/>
      <c r="B700" s="127" t="s">
        <v>873</v>
      </c>
      <c r="C700" s="117"/>
      <c r="D700" s="117"/>
      <c r="E700" s="117"/>
      <c r="F700" s="117"/>
      <c r="G700" s="118"/>
    </row>
    <row r="701" spans="1:11" s="3" customFormat="1" ht="17.399999999999999" hidden="1" customHeight="1" outlineLevel="1" x14ac:dyDescent="0.25">
      <c r="A701" s="5"/>
      <c r="B701" s="127" t="s">
        <v>887</v>
      </c>
      <c r="C701" s="117"/>
      <c r="D701" s="117"/>
      <c r="E701" s="117"/>
      <c r="F701" s="117"/>
      <c r="G701" s="118"/>
    </row>
    <row r="702" spans="1:11" s="3" customFormat="1" ht="17.399999999999999" hidden="1" customHeight="1" outlineLevel="1" x14ac:dyDescent="0.25">
      <c r="A702" s="5"/>
      <c r="B702" s="116" t="s">
        <v>888</v>
      </c>
      <c r="C702" s="117"/>
      <c r="D702" s="117"/>
      <c r="E702" s="117"/>
      <c r="F702" s="117"/>
      <c r="G702" s="118"/>
    </row>
    <row r="703" spans="1:11" s="3" customFormat="1" ht="17.399999999999999" hidden="1" customHeight="1" outlineLevel="1" x14ac:dyDescent="0.25">
      <c r="A703" s="5"/>
      <c r="B703" s="130" t="s">
        <v>876</v>
      </c>
      <c r="C703" s="29"/>
      <c r="D703" s="29"/>
      <c r="E703" s="29"/>
      <c r="F703" s="29"/>
      <c r="G703" s="131"/>
      <c r="H703" s="5"/>
      <c r="I703" s="5"/>
      <c r="J703" s="5"/>
      <c r="K703" s="5"/>
    </row>
    <row r="704" spans="1:11" s="3" customFormat="1" ht="17.399999999999999" hidden="1" customHeight="1" outlineLevel="1" x14ac:dyDescent="0.25">
      <c r="A704" s="5"/>
      <c r="B704" s="128" t="s">
        <v>877</v>
      </c>
      <c r="C704" s="107"/>
      <c r="D704" s="107"/>
      <c r="E704" s="107"/>
      <c r="F704" s="107"/>
      <c r="G704" s="129"/>
    </row>
    <row r="705" spans="1:14" s="3" customFormat="1" ht="17.399999999999999" hidden="1" customHeight="1" outlineLevel="1" x14ac:dyDescent="0.25">
      <c r="A705" s="5"/>
      <c r="B705" s="130" t="s">
        <v>726</v>
      </c>
      <c r="C705" s="29"/>
      <c r="D705" s="29"/>
      <c r="E705" s="29"/>
      <c r="F705" s="29"/>
      <c r="G705" s="131"/>
      <c r="H705" s="5"/>
      <c r="I705" s="5"/>
      <c r="J705" s="5"/>
      <c r="K705" s="5"/>
    </row>
    <row r="706" spans="1:14" s="3" customFormat="1" ht="16.5" hidden="1" customHeight="1" outlineLevel="1" x14ac:dyDescent="0.25">
      <c r="A706" s="5"/>
      <c r="B706" s="116"/>
      <c r="C706" s="117"/>
      <c r="D706" s="117"/>
      <c r="E706" s="117"/>
      <c r="F706" s="117"/>
      <c r="G706" s="118"/>
    </row>
    <row r="707" spans="1:14" s="3" customFormat="1" ht="17.399999999999999" hidden="1" customHeight="1" outlineLevel="1" thickBot="1" x14ac:dyDescent="0.3">
      <c r="A707" s="5"/>
      <c r="B707" s="132"/>
      <c r="C707" s="53"/>
      <c r="D707" s="53"/>
      <c r="E707" s="53"/>
      <c r="F707" s="53"/>
      <c r="G707" s="54"/>
    </row>
    <row r="708" spans="1:14" ht="16.2" hidden="1" outlineLevel="1" thickBot="1" x14ac:dyDescent="0.3"/>
    <row r="709" spans="1:14" s="3" customFormat="1" ht="17.399999999999999" customHeight="1" collapsed="1" thickBot="1" x14ac:dyDescent="0.3">
      <c r="A709" s="5"/>
      <c r="B709" s="15" t="s">
        <v>1279</v>
      </c>
      <c r="C709" s="16" t="s">
        <v>2138</v>
      </c>
      <c r="D709" s="17" t="s">
        <v>1281</v>
      </c>
      <c r="E709" s="133" t="s">
        <v>889</v>
      </c>
      <c r="F709" s="17" t="s">
        <v>1282</v>
      </c>
      <c r="G709" s="18" t="s">
        <v>2139</v>
      </c>
    </row>
    <row r="710" spans="1:14" s="3" customFormat="1" ht="17.399999999999999" hidden="1" customHeight="1" outlineLevel="1" x14ac:dyDescent="0.25">
      <c r="A710" s="5"/>
      <c r="B710" s="19" t="s">
        <v>1284</v>
      </c>
      <c r="C710" s="20" t="s">
        <v>1285</v>
      </c>
      <c r="D710" s="21" t="s">
        <v>1286</v>
      </c>
      <c r="E710" s="20" t="s">
        <v>2140</v>
      </c>
      <c r="F710" s="21" t="s">
        <v>1288</v>
      </c>
      <c r="G710" s="22" t="s">
        <v>1346</v>
      </c>
    </row>
    <row r="711" spans="1:14" s="3" customFormat="1" ht="17.399999999999999" hidden="1" customHeight="1" outlineLevel="1" thickBot="1" x14ac:dyDescent="0.3">
      <c r="A711" s="5"/>
      <c r="B711" s="19" t="s">
        <v>1290</v>
      </c>
      <c r="C711" s="23" t="s">
        <v>1291</v>
      </c>
      <c r="D711" s="21" t="s">
        <v>1292</v>
      </c>
      <c r="E711" s="23">
        <v>5</v>
      </c>
      <c r="F711" s="21" t="s">
        <v>1293</v>
      </c>
      <c r="G711" s="24" t="s">
        <v>1294</v>
      </c>
    </row>
    <row r="712" spans="1:14" s="3" customFormat="1" ht="17.399999999999999" hidden="1" customHeight="1" outlineLevel="1" x14ac:dyDescent="0.25">
      <c r="A712" s="5"/>
      <c r="B712" s="401" t="s">
        <v>1</v>
      </c>
      <c r="C712" s="402"/>
      <c r="D712" s="402"/>
      <c r="E712" s="402"/>
      <c r="F712" s="402"/>
      <c r="G712" s="403"/>
    </row>
    <row r="713" spans="1:14" s="3" customFormat="1" ht="17.399999999999999" hidden="1" customHeight="1" outlineLevel="1" x14ac:dyDescent="0.25">
      <c r="A713" s="5"/>
      <c r="B713" s="25" t="s">
        <v>2</v>
      </c>
      <c r="C713" s="26" t="s">
        <v>3</v>
      </c>
      <c r="D713" s="26" t="s">
        <v>4</v>
      </c>
      <c r="E713" s="26" t="s">
        <v>5</v>
      </c>
      <c r="F713" s="26"/>
      <c r="G713" s="27" t="s">
        <v>6</v>
      </c>
    </row>
    <row r="714" spans="1:14" s="4" customFormat="1" ht="17.399999999999999" hidden="1" customHeight="1" outlineLevel="1" x14ac:dyDescent="0.35">
      <c r="A714" s="5"/>
      <c r="B714" s="57" t="s">
        <v>7</v>
      </c>
      <c r="C714" s="58" t="s">
        <v>1468</v>
      </c>
      <c r="D714" s="58" t="s">
        <v>1469</v>
      </c>
      <c r="E714" s="58">
        <v>0</v>
      </c>
      <c r="F714" s="58" t="s">
        <v>1470</v>
      </c>
      <c r="G714" s="59" t="s">
        <v>1471</v>
      </c>
      <c r="J714" s="3" t="s">
        <v>154</v>
      </c>
      <c r="K714" s="81"/>
      <c r="N714" s="4">
        <v>1112</v>
      </c>
    </row>
    <row r="715" spans="1:14" s="4" customFormat="1" ht="17.399999999999999" hidden="1" customHeight="1" outlineLevel="1" x14ac:dyDescent="0.35">
      <c r="A715" s="5"/>
      <c r="B715" s="57" t="s">
        <v>11</v>
      </c>
      <c r="C715" s="58" t="s">
        <v>1472</v>
      </c>
      <c r="D715" s="58" t="s">
        <v>1469</v>
      </c>
      <c r="E715" s="58">
        <v>0</v>
      </c>
      <c r="F715" s="58" t="s">
        <v>1470</v>
      </c>
      <c r="G715" s="59" t="s">
        <v>1473</v>
      </c>
      <c r="J715" s="3" t="s">
        <v>155</v>
      </c>
      <c r="K715" s="81"/>
      <c r="N715" s="4">
        <v>1700</v>
      </c>
    </row>
    <row r="716" spans="1:14" s="4" customFormat="1" ht="17.399999999999999" hidden="1" customHeight="1" outlineLevel="1" x14ac:dyDescent="0.35">
      <c r="A716" s="5"/>
      <c r="B716" s="60" t="s">
        <v>13</v>
      </c>
      <c r="C716" s="61" t="s">
        <v>1474</v>
      </c>
      <c r="D716" s="61" t="s">
        <v>1469</v>
      </c>
      <c r="E716" s="61">
        <v>0</v>
      </c>
      <c r="F716" s="61" t="s">
        <v>1470</v>
      </c>
      <c r="G716" s="62"/>
      <c r="H716" s="63"/>
      <c r="J716" s="3" t="s">
        <v>156</v>
      </c>
      <c r="K716" s="81"/>
      <c r="N716" s="4">
        <v>2534</v>
      </c>
    </row>
    <row r="717" spans="1:14" s="4" customFormat="1" ht="17.399999999999999" hidden="1" customHeight="1" outlineLevel="1" x14ac:dyDescent="0.35">
      <c r="A717" s="5"/>
      <c r="B717" s="60" t="s">
        <v>14</v>
      </c>
      <c r="C717" s="61" t="s">
        <v>1475</v>
      </c>
      <c r="D717" s="61" t="s">
        <v>1469</v>
      </c>
      <c r="E717" s="61">
        <v>0</v>
      </c>
      <c r="F717" s="61" t="s">
        <v>1476</v>
      </c>
      <c r="G717" s="62" t="s">
        <v>1477</v>
      </c>
      <c r="H717" s="63"/>
      <c r="J717" s="3" t="s">
        <v>157</v>
      </c>
      <c r="K717" s="78"/>
      <c r="N717" s="4">
        <v>2155</v>
      </c>
    </row>
    <row r="718" spans="1:14" s="4" customFormat="1" ht="17.399999999999999" hidden="1" customHeight="1" outlineLevel="1" x14ac:dyDescent="0.35">
      <c r="A718" s="5"/>
      <c r="B718" s="60" t="s">
        <v>15</v>
      </c>
      <c r="C718" s="61" t="s">
        <v>1478</v>
      </c>
      <c r="D718" s="61" t="s">
        <v>1469</v>
      </c>
      <c r="E718" s="61">
        <v>0</v>
      </c>
      <c r="F718" s="61" t="s">
        <v>1470</v>
      </c>
      <c r="G718" s="62"/>
      <c r="H718" s="63"/>
      <c r="J718" s="3" t="s">
        <v>158</v>
      </c>
      <c r="K718" s="81"/>
      <c r="N718" s="4">
        <v>2430</v>
      </c>
    </row>
    <row r="719" spans="1:14" s="4" customFormat="1" ht="17.399999999999999" hidden="1" customHeight="1" outlineLevel="1" x14ac:dyDescent="0.35">
      <c r="A719" s="5"/>
      <c r="B719" s="134" t="s">
        <v>17</v>
      </c>
      <c r="C719" s="135" t="s">
        <v>1483</v>
      </c>
      <c r="D719" s="135" t="s">
        <v>1469</v>
      </c>
      <c r="E719" s="65">
        <v>0</v>
      </c>
      <c r="F719" s="65" t="s">
        <v>1470</v>
      </c>
      <c r="G719" s="66" t="s">
        <v>1484</v>
      </c>
      <c r="H719" s="5"/>
      <c r="I719" s="5"/>
      <c r="J719" s="3" t="s">
        <v>159</v>
      </c>
      <c r="K719" s="78"/>
      <c r="L719" s="5"/>
      <c r="M719" s="5"/>
      <c r="N719" s="4">
        <v>1097</v>
      </c>
    </row>
    <row r="720" spans="1:14" s="3" customFormat="1" hidden="1" outlineLevel="1" x14ac:dyDescent="0.25">
      <c r="A720" s="5"/>
      <c r="B720" s="31" t="s">
        <v>160</v>
      </c>
      <c r="C720" s="20" t="s">
        <v>1588</v>
      </c>
      <c r="D720" s="20" t="s">
        <v>1469</v>
      </c>
      <c r="E720" s="20">
        <v>0</v>
      </c>
      <c r="F720" s="20"/>
      <c r="G720" s="22"/>
      <c r="J720" s="3" t="s">
        <v>161</v>
      </c>
      <c r="N720" s="3">
        <v>1604</v>
      </c>
    </row>
    <row r="721" spans="1:14" s="3" customFormat="1" hidden="1" outlineLevel="1" x14ac:dyDescent="0.25">
      <c r="A721" s="5"/>
      <c r="B721" s="31" t="s">
        <v>162</v>
      </c>
      <c r="C721" s="20" t="s">
        <v>1589</v>
      </c>
      <c r="D721" s="20" t="s">
        <v>1469</v>
      </c>
      <c r="E721" s="20">
        <v>0</v>
      </c>
      <c r="F721" s="20"/>
      <c r="G721" s="22" t="s">
        <v>1590</v>
      </c>
    </row>
    <row r="722" spans="1:14" s="3" customFormat="1" hidden="1" outlineLevel="1" x14ac:dyDescent="0.25">
      <c r="A722" s="5"/>
      <c r="B722" s="31" t="s">
        <v>163</v>
      </c>
      <c r="C722" s="20" t="s">
        <v>1591</v>
      </c>
      <c r="D722" s="20" t="s">
        <v>1469</v>
      </c>
      <c r="E722" s="20">
        <v>0</v>
      </c>
      <c r="F722" s="20"/>
      <c r="G722" s="22" t="s">
        <v>1590</v>
      </c>
    </row>
    <row r="723" spans="1:14" s="3" customFormat="1" hidden="1" outlineLevel="1" x14ac:dyDescent="0.25">
      <c r="A723" s="5"/>
      <c r="B723" s="31"/>
      <c r="C723" s="20"/>
      <c r="D723" s="20"/>
      <c r="E723" s="20"/>
      <c r="F723" s="20"/>
      <c r="G723" s="22"/>
      <c r="J723" s="31" t="s">
        <v>16</v>
      </c>
      <c r="K723" s="81" t="s">
        <v>16</v>
      </c>
      <c r="M723" s="81" t="s">
        <v>16</v>
      </c>
    </row>
    <row r="724" spans="1:14" s="6" customFormat="1" ht="16.2" hidden="1" outlineLevel="1" thickBot="1" x14ac:dyDescent="0.3">
      <c r="A724" s="5"/>
      <c r="B724" s="91"/>
      <c r="C724" s="92"/>
      <c r="D724" s="92"/>
      <c r="E724" s="92"/>
      <c r="F724" s="92"/>
      <c r="G724" s="93"/>
      <c r="J724" s="28" t="s">
        <v>7</v>
      </c>
      <c r="K724" s="81" t="s">
        <v>7</v>
      </c>
      <c r="M724" s="81" t="s">
        <v>7</v>
      </c>
    </row>
    <row r="725" spans="1:14" s="6" customFormat="1" hidden="1" outlineLevel="1" x14ac:dyDescent="0.25">
      <c r="A725" s="5"/>
      <c r="B725" s="383" t="s">
        <v>18</v>
      </c>
      <c r="C725" s="384"/>
      <c r="D725" s="384"/>
      <c r="E725" s="384"/>
      <c r="F725" s="384"/>
      <c r="G725" s="385"/>
      <c r="J725" s="28" t="s">
        <v>13</v>
      </c>
      <c r="K725" s="81" t="s">
        <v>11</v>
      </c>
      <c r="M725" s="81" t="s">
        <v>11</v>
      </c>
    </row>
    <row r="726" spans="1:14" s="6" customFormat="1" hidden="1" outlineLevel="1" x14ac:dyDescent="0.25">
      <c r="A726" s="5"/>
      <c r="B726" s="136" t="s">
        <v>2</v>
      </c>
      <c r="C726" s="137" t="s">
        <v>3</v>
      </c>
      <c r="D726" s="137" t="s">
        <v>4</v>
      </c>
      <c r="E726" s="137" t="s">
        <v>5</v>
      </c>
      <c r="F726" s="137"/>
      <c r="G726" s="138" t="s">
        <v>6</v>
      </c>
      <c r="J726" s="28" t="s">
        <v>11</v>
      </c>
      <c r="K726" s="81" t="s">
        <v>13</v>
      </c>
      <c r="M726" s="81" t="s">
        <v>13</v>
      </c>
    </row>
    <row r="727" spans="1:14" s="6" customFormat="1" hidden="1" outlineLevel="1" x14ac:dyDescent="0.25">
      <c r="A727" s="5"/>
      <c r="B727" s="81" t="s">
        <v>16</v>
      </c>
      <c r="C727" s="20" t="s">
        <v>1479</v>
      </c>
      <c r="D727" s="20" t="s">
        <v>1469</v>
      </c>
      <c r="E727" s="20" t="s">
        <v>1480</v>
      </c>
      <c r="F727" s="20" t="s">
        <v>1481</v>
      </c>
      <c r="G727" s="22" t="s">
        <v>1482</v>
      </c>
      <c r="J727" s="38" t="s">
        <v>19</v>
      </c>
      <c r="K727" s="57" t="s">
        <v>25</v>
      </c>
      <c r="M727" s="57" t="s">
        <v>25</v>
      </c>
    </row>
    <row r="728" spans="1:14" s="3" customFormat="1" hidden="1" outlineLevel="1" x14ac:dyDescent="0.25">
      <c r="B728" s="81" t="s">
        <v>7</v>
      </c>
      <c r="C728" s="29" t="s">
        <v>1468</v>
      </c>
      <c r="D728" s="29" t="s">
        <v>1469</v>
      </c>
      <c r="E728" s="29">
        <v>0</v>
      </c>
      <c r="F728" s="29" t="s">
        <v>1470</v>
      </c>
      <c r="G728" s="30" t="s">
        <v>1471</v>
      </c>
      <c r="J728" s="28" t="s">
        <v>21</v>
      </c>
      <c r="K728" s="81" t="s">
        <v>14</v>
      </c>
      <c r="M728" s="81" t="s">
        <v>14</v>
      </c>
      <c r="N728" s="3">
        <v>2534</v>
      </c>
    </row>
    <row r="729" spans="1:14" s="3" customFormat="1" hidden="1" outlineLevel="1" x14ac:dyDescent="0.25">
      <c r="B729" s="81" t="s">
        <v>11</v>
      </c>
      <c r="C729" s="29" t="s">
        <v>1472</v>
      </c>
      <c r="D729" s="29" t="s">
        <v>1469</v>
      </c>
      <c r="E729" s="29">
        <v>0</v>
      </c>
      <c r="F729" s="29" t="s">
        <v>1470</v>
      </c>
      <c r="G729" s="30" t="s">
        <v>1473</v>
      </c>
      <c r="J729" s="28" t="s">
        <v>22</v>
      </c>
      <c r="K729" s="81" t="s">
        <v>159</v>
      </c>
      <c r="M729" s="81" t="s">
        <v>159</v>
      </c>
      <c r="N729" s="3">
        <v>1700</v>
      </c>
    </row>
    <row r="730" spans="1:14" s="3" customFormat="1" hidden="1" outlineLevel="1" x14ac:dyDescent="0.25">
      <c r="B730" s="81" t="s">
        <v>13</v>
      </c>
      <c r="C730" s="39" t="s">
        <v>1474</v>
      </c>
      <c r="D730" s="39" t="s">
        <v>1469</v>
      </c>
      <c r="E730" s="39">
        <v>0</v>
      </c>
      <c r="F730" s="39" t="s">
        <v>1470</v>
      </c>
      <c r="G730" s="40"/>
      <c r="J730" s="28" t="s">
        <v>26</v>
      </c>
      <c r="K730" s="81" t="s">
        <v>15</v>
      </c>
      <c r="M730" s="81" t="s">
        <v>15</v>
      </c>
      <c r="N730" s="3">
        <v>1689</v>
      </c>
    </row>
    <row r="731" spans="1:14" s="4" customFormat="1" hidden="1" outlineLevel="1" x14ac:dyDescent="0.35">
      <c r="A731" s="5"/>
      <c r="B731" s="81" t="s">
        <v>25</v>
      </c>
      <c r="C731" s="58" t="s">
        <v>1492</v>
      </c>
      <c r="D731" s="58" t="s">
        <v>1469</v>
      </c>
      <c r="E731" s="58">
        <v>0</v>
      </c>
      <c r="F731" s="58" t="s">
        <v>1470</v>
      </c>
      <c r="G731" s="59" t="s">
        <v>1484</v>
      </c>
      <c r="J731" s="41" t="s">
        <v>27</v>
      </c>
      <c r="K731" s="81" t="s">
        <v>24</v>
      </c>
      <c r="M731" s="81" t="s">
        <v>24</v>
      </c>
      <c r="N731" s="4">
        <v>1080</v>
      </c>
    </row>
    <row r="732" spans="1:14" s="3" customFormat="1" hidden="1" outlineLevel="1" x14ac:dyDescent="0.25">
      <c r="B732" s="81" t="s">
        <v>14</v>
      </c>
      <c r="C732" s="29" t="s">
        <v>1475</v>
      </c>
      <c r="D732" s="29" t="s">
        <v>1469</v>
      </c>
      <c r="E732" s="29">
        <v>0</v>
      </c>
      <c r="F732" s="29" t="s">
        <v>1476</v>
      </c>
      <c r="G732" s="30" t="s">
        <v>1477</v>
      </c>
      <c r="J732" s="44" t="s">
        <v>75</v>
      </c>
      <c r="K732" s="81" t="s">
        <v>58</v>
      </c>
      <c r="M732" s="81" t="s">
        <v>58</v>
      </c>
      <c r="N732" s="3">
        <v>2052</v>
      </c>
    </row>
    <row r="733" spans="1:14" s="3" customFormat="1" hidden="1" outlineLevel="1" x14ac:dyDescent="0.25">
      <c r="B733" s="81" t="s">
        <v>159</v>
      </c>
      <c r="C733" s="29" t="s">
        <v>1592</v>
      </c>
      <c r="D733" s="29" t="s">
        <v>1593</v>
      </c>
      <c r="E733" s="29" t="s">
        <v>1594</v>
      </c>
      <c r="F733" s="29" t="s">
        <v>1470</v>
      </c>
      <c r="G733" s="30" t="s">
        <v>1595</v>
      </c>
      <c r="J733" s="44" t="s">
        <v>76</v>
      </c>
      <c r="K733" s="145" t="s">
        <v>22</v>
      </c>
      <c r="M733" s="145" t="s">
        <v>22</v>
      </c>
      <c r="N733" s="3">
        <v>2153</v>
      </c>
    </row>
    <row r="734" spans="1:14" s="3" customFormat="1" hidden="1" outlineLevel="1" x14ac:dyDescent="0.25">
      <c r="B734" s="81" t="s">
        <v>15</v>
      </c>
      <c r="C734" s="29" t="s">
        <v>1478</v>
      </c>
      <c r="D734" s="29" t="s">
        <v>1469</v>
      </c>
      <c r="E734" s="29">
        <v>0</v>
      </c>
      <c r="F734" s="29" t="s">
        <v>1470</v>
      </c>
      <c r="G734" s="30"/>
      <c r="J734" s="44" t="s">
        <v>77</v>
      </c>
      <c r="K734" s="145" t="s">
        <v>63</v>
      </c>
      <c r="M734" s="145" t="s">
        <v>63</v>
      </c>
      <c r="N734" s="3">
        <v>2183</v>
      </c>
    </row>
    <row r="735" spans="1:14" s="3" customFormat="1" hidden="1" outlineLevel="1" x14ac:dyDescent="0.25">
      <c r="A735" s="77"/>
      <c r="B735" s="81" t="s">
        <v>24</v>
      </c>
      <c r="C735" s="79" t="s">
        <v>1491</v>
      </c>
      <c r="D735" s="79" t="s">
        <v>1489</v>
      </c>
      <c r="E735" s="79">
        <v>0</v>
      </c>
      <c r="F735" s="79" t="s">
        <v>1470</v>
      </c>
      <c r="G735" s="80"/>
      <c r="H735" s="3" t="str">
        <f t="shared" ref="H735:H736" si="3">"TRUNCATE TABLE "&amp;C735&amp;";#"&amp;E735</f>
        <v>TRUNCATE TABLE realize_pandl;#0</v>
      </c>
      <c r="J735" s="44" t="s">
        <v>78</v>
      </c>
      <c r="K735" s="145" t="s">
        <v>78</v>
      </c>
      <c r="M735" s="145" t="s">
        <v>78</v>
      </c>
    </row>
    <row r="736" spans="1:14" s="3" customFormat="1" hidden="1" outlineLevel="1" x14ac:dyDescent="0.25">
      <c r="A736" s="77"/>
      <c r="B736" s="81" t="s">
        <v>58</v>
      </c>
      <c r="C736" s="79" t="s">
        <v>1522</v>
      </c>
      <c r="D736" s="79" t="s">
        <v>1489</v>
      </c>
      <c r="E736" s="79">
        <v>0</v>
      </c>
      <c r="F736" s="79" t="s">
        <v>1470</v>
      </c>
      <c r="G736" s="80"/>
      <c r="H736" s="3" t="str">
        <f t="shared" si="3"/>
        <v>TRUNCATE TABLE over_night_pandl;#0</v>
      </c>
      <c r="J736" s="44" t="s">
        <v>24</v>
      </c>
      <c r="K736" s="145" t="s">
        <v>130</v>
      </c>
      <c r="M736" s="145" t="s">
        <v>130</v>
      </c>
    </row>
    <row r="737" spans="1:13" s="3" customFormat="1" hidden="1" outlineLevel="1" x14ac:dyDescent="0.25">
      <c r="B737" s="81" t="s">
        <v>22</v>
      </c>
      <c r="C737" s="39" t="s">
        <v>1488</v>
      </c>
      <c r="D737" s="39" t="s">
        <v>1489</v>
      </c>
      <c r="E737" s="39">
        <v>0</v>
      </c>
      <c r="F737" s="39" t="s">
        <v>1470</v>
      </c>
      <c r="G737" s="40" t="s">
        <v>1490</v>
      </c>
      <c r="J737" s="44" t="s">
        <v>58</v>
      </c>
      <c r="K737" s="145" t="s">
        <v>165</v>
      </c>
      <c r="M737" s="145" t="s">
        <v>165</v>
      </c>
    </row>
    <row r="738" spans="1:13" s="3" customFormat="1" hidden="1" outlineLevel="1" x14ac:dyDescent="0.25">
      <c r="B738" s="81" t="s">
        <v>63</v>
      </c>
      <c r="C738" s="39" t="s">
        <v>1526</v>
      </c>
      <c r="D738" s="39" t="s">
        <v>1489</v>
      </c>
      <c r="E738" s="39">
        <v>0</v>
      </c>
      <c r="F738" s="39"/>
      <c r="G738" s="40"/>
      <c r="J738" s="45" t="s">
        <v>63</v>
      </c>
      <c r="K738" s="145" t="s">
        <v>166</v>
      </c>
      <c r="M738" s="145" t="s">
        <v>166</v>
      </c>
    </row>
    <row r="739" spans="1:13" s="3" customFormat="1" hidden="1" outlineLevel="1" x14ac:dyDescent="0.25">
      <c r="B739" s="81" t="s">
        <v>78</v>
      </c>
      <c r="C739" s="39" t="s">
        <v>1534</v>
      </c>
      <c r="D739" s="39" t="s">
        <v>1489</v>
      </c>
      <c r="E739" s="39">
        <v>0</v>
      </c>
      <c r="F739" s="39"/>
      <c r="G739" s="40"/>
      <c r="K739" s="145" t="s">
        <v>167</v>
      </c>
      <c r="M739" s="145" t="s">
        <v>167</v>
      </c>
    </row>
    <row r="740" spans="1:13" s="3" customFormat="1" hidden="1" outlineLevel="1" x14ac:dyDescent="0.25">
      <c r="B740" s="81" t="s">
        <v>130</v>
      </c>
      <c r="C740" s="29" t="s">
        <v>1596</v>
      </c>
      <c r="D740" s="29" t="s">
        <v>1486</v>
      </c>
      <c r="E740" s="29">
        <v>0</v>
      </c>
      <c r="F740" s="29"/>
      <c r="G740" s="30"/>
      <c r="M740" s="146" t="s">
        <v>77</v>
      </c>
    </row>
    <row r="741" spans="1:13" s="3" customFormat="1" hidden="1" outlineLevel="1" x14ac:dyDescent="0.25">
      <c r="B741" s="81" t="s">
        <v>165</v>
      </c>
      <c r="C741" s="29" t="s">
        <v>1597</v>
      </c>
      <c r="D741" s="29" t="s">
        <v>1489</v>
      </c>
      <c r="E741" s="29">
        <v>0</v>
      </c>
      <c r="F741" s="29"/>
      <c r="G741" s="30"/>
      <c r="M741" s="146" t="s">
        <v>78</v>
      </c>
    </row>
    <row r="742" spans="1:13" s="3" customFormat="1" hidden="1" outlineLevel="1" x14ac:dyDescent="0.25">
      <c r="B742" s="81" t="s">
        <v>166</v>
      </c>
      <c r="C742" s="29" t="s">
        <v>1598</v>
      </c>
      <c r="D742" s="29" t="s">
        <v>1486</v>
      </c>
      <c r="E742" s="29">
        <v>0</v>
      </c>
      <c r="F742" s="29"/>
      <c r="G742" s="30"/>
      <c r="M742" s="35" t="s">
        <v>22</v>
      </c>
    </row>
    <row r="743" spans="1:13" s="3" customFormat="1" hidden="1" outlineLevel="1" x14ac:dyDescent="0.25">
      <c r="B743" s="81" t="s">
        <v>167</v>
      </c>
      <c r="C743" s="29" t="s">
        <v>1599</v>
      </c>
      <c r="D743" s="29" t="s">
        <v>1489</v>
      </c>
      <c r="E743" s="29">
        <v>0</v>
      </c>
      <c r="F743" s="29"/>
      <c r="G743" s="30"/>
      <c r="M743" s="35" t="s">
        <v>26</v>
      </c>
    </row>
    <row r="744" spans="1:13" s="3" customFormat="1" hidden="1" outlineLevel="1" x14ac:dyDescent="0.25">
      <c r="B744" s="139" t="s">
        <v>77</v>
      </c>
      <c r="C744" s="23" t="s">
        <v>1533</v>
      </c>
      <c r="D744" s="23" t="s">
        <v>1486</v>
      </c>
      <c r="E744" s="23">
        <v>0</v>
      </c>
      <c r="F744" s="23" t="s">
        <v>1470</v>
      </c>
      <c r="G744" s="24"/>
      <c r="M744" s="147" t="s">
        <v>27</v>
      </c>
    </row>
    <row r="745" spans="1:13" s="3" customFormat="1" hidden="1" outlineLevel="1" x14ac:dyDescent="0.25">
      <c r="B745" s="139" t="s">
        <v>26</v>
      </c>
      <c r="C745" s="23" t="s">
        <v>1493</v>
      </c>
      <c r="D745" s="23" t="s">
        <v>1494</v>
      </c>
      <c r="E745" s="23">
        <v>0</v>
      </c>
      <c r="F745" s="23" t="s">
        <v>1470</v>
      </c>
      <c r="G745" s="24"/>
      <c r="M745" s="146" t="s">
        <v>75</v>
      </c>
    </row>
    <row r="746" spans="1:13" s="3" customFormat="1" hidden="1" outlineLevel="1" x14ac:dyDescent="0.25">
      <c r="B746" s="139" t="s">
        <v>27</v>
      </c>
      <c r="C746" s="23" t="s">
        <v>1495</v>
      </c>
      <c r="D746" s="23" t="s">
        <v>1489</v>
      </c>
      <c r="E746" s="23">
        <v>0</v>
      </c>
      <c r="F746" s="23" t="s">
        <v>1470</v>
      </c>
      <c r="G746" s="24"/>
      <c r="M746" s="148" t="s">
        <v>19</v>
      </c>
    </row>
    <row r="747" spans="1:13" s="3" customFormat="1" hidden="1" outlineLevel="1" x14ac:dyDescent="0.25">
      <c r="B747" s="139" t="s">
        <v>75</v>
      </c>
      <c r="C747" s="23" t="s">
        <v>1530</v>
      </c>
      <c r="D747" s="23" t="s">
        <v>1486</v>
      </c>
      <c r="E747" s="23">
        <v>0</v>
      </c>
      <c r="F747" s="23" t="s">
        <v>1470</v>
      </c>
      <c r="G747" s="24" t="s">
        <v>1531</v>
      </c>
      <c r="M747" s="28" t="s">
        <v>21</v>
      </c>
    </row>
    <row r="748" spans="1:13" s="3" customFormat="1" hidden="1" outlineLevel="1" x14ac:dyDescent="0.25">
      <c r="B748" s="139" t="s">
        <v>19</v>
      </c>
      <c r="C748" s="23" t="s">
        <v>1485</v>
      </c>
      <c r="D748" s="23" t="s">
        <v>1486</v>
      </c>
      <c r="E748" s="23">
        <v>0</v>
      </c>
      <c r="F748" s="23"/>
      <c r="G748" s="24"/>
      <c r="M748" s="44" t="s">
        <v>76</v>
      </c>
    </row>
    <row r="749" spans="1:13" s="3" customFormat="1" hidden="1" outlineLevel="1" x14ac:dyDescent="0.25">
      <c r="B749" s="139" t="s">
        <v>21</v>
      </c>
      <c r="C749" s="23" t="s">
        <v>1487</v>
      </c>
      <c r="D749" s="23" t="s">
        <v>1486</v>
      </c>
      <c r="E749" s="23">
        <v>0</v>
      </c>
      <c r="F749" s="23"/>
      <c r="G749" s="24"/>
      <c r="M749" s="149"/>
    </row>
    <row r="750" spans="1:13" s="3" customFormat="1" hidden="1" outlineLevel="1" x14ac:dyDescent="0.25">
      <c r="B750" s="139" t="s">
        <v>76</v>
      </c>
      <c r="C750" s="23" t="s">
        <v>1532</v>
      </c>
      <c r="D750" s="23" t="s">
        <v>1489</v>
      </c>
      <c r="E750" s="23">
        <v>0</v>
      </c>
      <c r="F750" s="23"/>
      <c r="G750" s="24"/>
      <c r="M750" s="149"/>
    </row>
    <row r="751" spans="1:13" s="3" customFormat="1" hidden="1" outlineLevel="1" x14ac:dyDescent="0.25">
      <c r="B751" s="81"/>
      <c r="C751" s="23"/>
      <c r="D751" s="23"/>
      <c r="E751" s="23"/>
      <c r="F751" s="23"/>
      <c r="G751" s="24"/>
      <c r="M751" s="150"/>
    </row>
    <row r="752" spans="1:13" s="3" customFormat="1" ht="16.2" hidden="1" outlineLevel="1" thickBot="1" x14ac:dyDescent="0.3">
      <c r="A752" s="5"/>
      <c r="B752" s="31"/>
      <c r="C752" s="20"/>
      <c r="D752" s="20"/>
      <c r="E752" s="20"/>
      <c r="F752" s="20"/>
      <c r="G752" s="22"/>
      <c r="M752" s="150"/>
    </row>
    <row r="753" spans="1:13" s="3" customFormat="1" hidden="1" outlineLevel="1" x14ac:dyDescent="0.25">
      <c r="A753" s="5"/>
      <c r="B753" s="401" t="s">
        <v>29</v>
      </c>
      <c r="C753" s="402"/>
      <c r="D753" s="402"/>
      <c r="E753" s="402"/>
      <c r="F753" s="402"/>
      <c r="G753" s="403"/>
      <c r="M753" s="150"/>
    </row>
    <row r="754" spans="1:13" s="3" customFormat="1" hidden="1" outlineLevel="1" x14ac:dyDescent="0.25">
      <c r="A754" s="5"/>
      <c r="B754" s="31"/>
      <c r="C754" s="20"/>
      <c r="D754" s="20"/>
      <c r="E754" s="20"/>
      <c r="F754" s="20"/>
      <c r="G754" s="22"/>
      <c r="I754" s="57"/>
    </row>
    <row r="755" spans="1:13" s="3" customFormat="1" ht="17.399999999999999" hidden="1" customHeight="1" outlineLevel="1" x14ac:dyDescent="0.25">
      <c r="A755" s="5"/>
      <c r="B755" s="140" t="s">
        <v>890</v>
      </c>
      <c r="C755" s="20"/>
      <c r="D755" s="20"/>
      <c r="E755" s="20"/>
      <c r="F755" s="20"/>
      <c r="G755" s="22"/>
      <c r="I755" s="57"/>
    </row>
    <row r="756" spans="1:13" s="3" customFormat="1" hidden="1" outlineLevel="1" x14ac:dyDescent="0.25">
      <c r="A756" s="5"/>
      <c r="B756" s="140" t="s">
        <v>891</v>
      </c>
      <c r="C756" s="20"/>
      <c r="D756" s="20"/>
      <c r="E756" s="20"/>
      <c r="F756" s="20"/>
      <c r="G756" s="22"/>
      <c r="I756" s="60"/>
    </row>
    <row r="757" spans="1:13" s="3" customFormat="1" hidden="1" outlineLevel="1" x14ac:dyDescent="0.25">
      <c r="A757" s="5"/>
      <c r="B757" s="141" t="s">
        <v>892</v>
      </c>
      <c r="C757" s="20"/>
      <c r="D757" s="20"/>
      <c r="E757" s="20"/>
      <c r="F757" s="20"/>
      <c r="G757" s="22"/>
      <c r="I757" s="64"/>
    </row>
    <row r="758" spans="1:13" s="3" customFormat="1" hidden="1" outlineLevel="1" x14ac:dyDescent="0.25">
      <c r="A758" s="5"/>
      <c r="B758" s="141" t="s">
        <v>893</v>
      </c>
      <c r="C758" s="20"/>
      <c r="D758" s="20"/>
      <c r="E758" s="20"/>
      <c r="F758" s="20"/>
      <c r="G758" s="22"/>
      <c r="I758" s="134"/>
    </row>
    <row r="759" spans="1:13" s="3" customFormat="1" hidden="1" outlineLevel="1" x14ac:dyDescent="0.25">
      <c r="A759" s="5"/>
      <c r="B759" s="140"/>
      <c r="C759" s="20"/>
      <c r="D759" s="20"/>
      <c r="E759" s="20"/>
      <c r="F759" s="20"/>
      <c r="G759" s="22"/>
      <c r="I759" s="151"/>
    </row>
    <row r="760" spans="1:13" s="3" customFormat="1" hidden="1" outlineLevel="1" x14ac:dyDescent="0.25">
      <c r="A760" s="5"/>
      <c r="B760" s="140" t="s">
        <v>894</v>
      </c>
      <c r="C760" s="20"/>
      <c r="D760" s="20"/>
      <c r="E760" s="20"/>
      <c r="F760" s="20"/>
      <c r="G760" s="22"/>
      <c r="I760" s="57"/>
    </row>
    <row r="761" spans="1:13" s="3" customFormat="1" hidden="1" outlineLevel="1" x14ac:dyDescent="0.25">
      <c r="A761" s="5"/>
      <c r="B761" s="140" t="s">
        <v>895</v>
      </c>
      <c r="C761" s="20"/>
      <c r="D761" s="20"/>
      <c r="E761" s="20"/>
      <c r="F761" s="20"/>
      <c r="G761" s="22"/>
      <c r="I761" s="60"/>
    </row>
    <row r="762" spans="1:13" s="3" customFormat="1" hidden="1" outlineLevel="1" x14ac:dyDescent="0.25">
      <c r="A762" s="5"/>
      <c r="B762" s="140" t="s">
        <v>896</v>
      </c>
      <c r="C762" s="20"/>
      <c r="D762" s="20"/>
      <c r="E762" s="20"/>
      <c r="F762" s="20"/>
      <c r="G762" s="22"/>
      <c r="I762" s="60"/>
    </row>
    <row r="763" spans="1:13" s="3" customFormat="1" hidden="1" outlineLevel="1" x14ac:dyDescent="0.25">
      <c r="A763" s="5"/>
      <c r="B763" s="140" t="s">
        <v>897</v>
      </c>
      <c r="C763" s="20"/>
      <c r="D763" s="20"/>
      <c r="E763" s="20"/>
      <c r="F763" s="20"/>
      <c r="G763" s="22"/>
      <c r="I763" s="60"/>
    </row>
    <row r="764" spans="1:13" s="3" customFormat="1" hidden="1" outlineLevel="1" x14ac:dyDescent="0.25">
      <c r="A764" s="5"/>
      <c r="B764" s="140" t="s">
        <v>898</v>
      </c>
      <c r="C764" s="20"/>
      <c r="D764" s="20"/>
      <c r="E764" s="20"/>
      <c r="F764" s="20"/>
      <c r="G764" s="22"/>
      <c r="I764" s="60"/>
    </row>
    <row r="765" spans="1:13" s="3" customFormat="1" hidden="1" outlineLevel="1" x14ac:dyDescent="0.25">
      <c r="A765" s="5"/>
      <c r="B765" s="142"/>
      <c r="C765" s="20"/>
      <c r="D765" s="20"/>
      <c r="E765" s="20"/>
      <c r="F765" s="20"/>
      <c r="G765" s="22"/>
      <c r="J765" s="45"/>
    </row>
    <row r="766" spans="1:13" s="3" customFormat="1" hidden="1" outlineLevel="1" x14ac:dyDescent="0.25">
      <c r="A766" s="5"/>
      <c r="B766" s="140"/>
      <c r="C766" s="20"/>
      <c r="D766" s="20"/>
      <c r="E766" s="20"/>
      <c r="F766" s="20"/>
      <c r="G766" s="22"/>
      <c r="I766" s="152"/>
    </row>
    <row r="767" spans="1:13" s="3" customFormat="1" hidden="1" outlineLevel="1" x14ac:dyDescent="0.25">
      <c r="A767" s="5"/>
      <c r="B767" s="143" t="s">
        <v>899</v>
      </c>
      <c r="C767" s="20"/>
      <c r="D767" s="20"/>
      <c r="E767" s="20"/>
      <c r="F767" s="20"/>
      <c r="G767" s="22"/>
      <c r="I767" s="152"/>
    </row>
    <row r="768" spans="1:13" s="3" customFormat="1" hidden="1" outlineLevel="1" x14ac:dyDescent="0.25">
      <c r="A768" s="5"/>
      <c r="B768" s="144" t="s">
        <v>900</v>
      </c>
      <c r="C768" s="20"/>
      <c r="D768" s="20"/>
      <c r="E768" s="20"/>
      <c r="F768" s="20"/>
      <c r="G768" s="22"/>
    </row>
    <row r="769" spans="1:10" s="3" customFormat="1" hidden="1" outlineLevel="1" x14ac:dyDescent="0.25">
      <c r="A769" s="5"/>
      <c r="B769" s="144" t="s">
        <v>901</v>
      </c>
      <c r="C769" s="20"/>
      <c r="D769" s="20"/>
      <c r="E769" s="20"/>
      <c r="F769" s="20"/>
      <c r="G769" s="22"/>
    </row>
    <row r="770" spans="1:10" s="3" customFormat="1" hidden="1" outlineLevel="1" x14ac:dyDescent="0.25">
      <c r="A770" s="5"/>
      <c r="B770" s="31" t="s">
        <v>902</v>
      </c>
      <c r="C770" s="20"/>
      <c r="D770" s="20"/>
      <c r="E770" s="20"/>
      <c r="F770" s="20"/>
      <c r="G770" s="22"/>
    </row>
    <row r="771" spans="1:10" s="3" customFormat="1" hidden="1" outlineLevel="1" x14ac:dyDescent="0.25">
      <c r="A771" s="5"/>
      <c r="B771" s="142" t="s">
        <v>903</v>
      </c>
      <c r="C771" s="20"/>
      <c r="D771" s="20"/>
      <c r="E771" s="20"/>
      <c r="F771" s="20"/>
      <c r="G771" s="22"/>
      <c r="J771" s="45"/>
    </row>
    <row r="772" spans="1:10" s="3" customFormat="1" hidden="1" outlineLevel="1" x14ac:dyDescent="0.25">
      <c r="A772" s="5"/>
      <c r="B772" s="115" t="s">
        <v>904</v>
      </c>
      <c r="C772" s="20"/>
      <c r="D772" s="20"/>
      <c r="E772" s="20"/>
      <c r="F772" s="20"/>
      <c r="G772" s="22"/>
      <c r="J772" s="45"/>
    </row>
    <row r="773" spans="1:10" s="3" customFormat="1" hidden="1" outlineLevel="1" x14ac:dyDescent="0.25">
      <c r="A773" s="5"/>
      <c r="B773" s="115" t="s">
        <v>905</v>
      </c>
      <c r="C773" s="20"/>
      <c r="D773" s="20"/>
      <c r="E773" s="20"/>
      <c r="F773" s="20"/>
      <c r="G773" s="22"/>
      <c r="J773" s="45"/>
    </row>
    <row r="774" spans="1:10" s="3" customFormat="1" hidden="1" outlineLevel="1" x14ac:dyDescent="0.25">
      <c r="A774" s="5"/>
      <c r="B774" s="115" t="s">
        <v>906</v>
      </c>
      <c r="C774" s="20"/>
      <c r="D774" s="20"/>
      <c r="E774" s="20"/>
      <c r="F774" s="20"/>
      <c r="G774" s="22"/>
      <c r="J774" s="55"/>
    </row>
    <row r="775" spans="1:10" s="3" customFormat="1" hidden="1" outlineLevel="1" x14ac:dyDescent="0.25">
      <c r="A775" s="5"/>
      <c r="B775" s="153" t="s">
        <v>907</v>
      </c>
      <c r="C775" s="20"/>
      <c r="D775" s="20"/>
      <c r="E775" s="20"/>
      <c r="F775" s="20"/>
      <c r="G775" s="22"/>
      <c r="J775" s="150"/>
    </row>
    <row r="776" spans="1:10" s="3" customFormat="1" hidden="1" outlineLevel="1" x14ac:dyDescent="0.25">
      <c r="A776" s="5"/>
      <c r="B776" s="153" t="s">
        <v>908</v>
      </c>
      <c r="C776" s="20"/>
      <c r="D776" s="20"/>
      <c r="E776" s="20"/>
      <c r="F776" s="20"/>
      <c r="G776" s="22"/>
      <c r="J776" s="150"/>
    </row>
    <row r="777" spans="1:10" s="3" customFormat="1" hidden="1" outlineLevel="1" x14ac:dyDescent="0.25">
      <c r="A777" s="5"/>
      <c r="B777" s="153" t="s">
        <v>909</v>
      </c>
      <c r="C777" s="20"/>
      <c r="D777" s="20"/>
      <c r="E777" s="20"/>
      <c r="F777" s="20"/>
      <c r="G777" s="22"/>
      <c r="J777" s="150"/>
    </row>
    <row r="778" spans="1:10" s="3" customFormat="1" hidden="1" outlineLevel="1" x14ac:dyDescent="0.25">
      <c r="A778" s="5"/>
      <c r="B778" s="115"/>
      <c r="C778" s="20"/>
      <c r="D778" s="20"/>
      <c r="E778" s="20"/>
      <c r="F778" s="20"/>
      <c r="G778" s="22"/>
      <c r="J778" s="150"/>
    </row>
    <row r="779" spans="1:10" s="3" customFormat="1" hidden="1" outlineLevel="1" x14ac:dyDescent="0.25">
      <c r="A779" s="14"/>
      <c r="B779" s="154" t="s">
        <v>910</v>
      </c>
      <c r="C779" s="23"/>
      <c r="D779" s="23"/>
      <c r="E779" s="23"/>
      <c r="F779" s="23"/>
      <c r="G779" s="123"/>
      <c r="H779" s="14"/>
      <c r="I779" s="14"/>
      <c r="J779" s="14"/>
    </row>
    <row r="780" spans="1:10" s="3" customFormat="1" hidden="1" outlineLevel="1" x14ac:dyDescent="0.25">
      <c r="A780" s="5"/>
      <c r="B780" s="115" t="s">
        <v>911</v>
      </c>
      <c r="C780" s="20"/>
      <c r="D780" s="20"/>
      <c r="E780" s="20"/>
      <c r="F780" s="20"/>
      <c r="G780" s="22"/>
      <c r="J780" s="55"/>
    </row>
    <row r="781" spans="1:10" hidden="1" outlineLevel="1" x14ac:dyDescent="0.25">
      <c r="B781" s="154" t="s">
        <v>912</v>
      </c>
      <c r="C781" s="23"/>
      <c r="D781" s="23"/>
      <c r="E781" s="23"/>
      <c r="F781" s="23"/>
      <c r="G781" s="123"/>
    </row>
    <row r="782" spans="1:10" s="3" customFormat="1" hidden="1" outlineLevel="1" x14ac:dyDescent="0.25">
      <c r="A782" s="14"/>
      <c r="B782" s="89"/>
      <c r="C782" s="23"/>
      <c r="D782" s="23"/>
      <c r="E782" s="23"/>
      <c r="F782" s="23"/>
      <c r="G782" s="24"/>
      <c r="H782" s="14"/>
      <c r="I782" s="14"/>
      <c r="J782" s="14"/>
    </row>
    <row r="783" spans="1:10" hidden="1" outlineLevel="1" x14ac:dyDescent="0.25">
      <c r="B783" s="115" t="s">
        <v>913</v>
      </c>
      <c r="C783" s="23"/>
      <c r="D783" s="23"/>
      <c r="E783" s="23"/>
      <c r="F783" s="23"/>
      <c r="G783" s="24"/>
    </row>
    <row r="784" spans="1:10" hidden="1" outlineLevel="1" x14ac:dyDescent="0.25">
      <c r="B784" s="89"/>
      <c r="C784" s="23"/>
      <c r="D784" s="23"/>
      <c r="E784" s="23"/>
      <c r="F784" s="23"/>
      <c r="G784" s="24"/>
    </row>
    <row r="785" spans="1:10" hidden="1" outlineLevel="1" x14ac:dyDescent="0.25">
      <c r="B785" s="154" t="s">
        <v>561</v>
      </c>
      <c r="C785" s="155"/>
      <c r="D785" s="23"/>
      <c r="E785" s="155"/>
      <c r="F785" s="23"/>
      <c r="G785" s="24"/>
    </row>
    <row r="786" spans="1:10" hidden="1" outlineLevel="1" x14ac:dyDescent="0.25">
      <c r="A786" s="5"/>
      <c r="B786" s="156"/>
      <c r="C786" s="20"/>
      <c r="D786" s="20"/>
      <c r="E786" s="20"/>
      <c r="F786" s="20"/>
      <c r="G786" s="22"/>
      <c r="H786" s="3"/>
      <c r="I786" s="3"/>
      <c r="J786" s="55"/>
    </row>
    <row r="787" spans="1:10" hidden="1" outlineLevel="1" x14ac:dyDescent="0.25">
      <c r="A787" s="5"/>
      <c r="B787" s="156" t="s">
        <v>914</v>
      </c>
      <c r="C787" s="20"/>
      <c r="D787" s="20"/>
      <c r="E787" s="20"/>
      <c r="F787" s="20"/>
      <c r="G787" s="22"/>
      <c r="H787" s="3"/>
      <c r="I787" s="3"/>
      <c r="J787" s="55"/>
    </row>
    <row r="788" spans="1:10" s="3" customFormat="1" hidden="1" outlineLevel="1" x14ac:dyDescent="0.25">
      <c r="A788" s="5"/>
      <c r="B788" s="156" t="s">
        <v>915</v>
      </c>
      <c r="C788" s="20"/>
      <c r="D788" s="20"/>
      <c r="E788" s="20"/>
      <c r="F788" s="20"/>
      <c r="G788" s="22"/>
      <c r="J788" s="55"/>
    </row>
    <row r="789" spans="1:10" s="3" customFormat="1" hidden="1" outlineLevel="1" x14ac:dyDescent="0.25">
      <c r="A789" s="5"/>
      <c r="B789" s="156" t="s">
        <v>916</v>
      </c>
      <c r="C789" s="20"/>
      <c r="D789" s="20"/>
      <c r="E789" s="20"/>
      <c r="F789" s="20"/>
      <c r="G789" s="22"/>
      <c r="J789" s="45"/>
    </row>
    <row r="790" spans="1:10" s="3" customFormat="1" hidden="1" outlineLevel="1" x14ac:dyDescent="0.25">
      <c r="A790" s="5"/>
      <c r="B790" s="156" t="s">
        <v>917</v>
      </c>
      <c r="C790" s="20"/>
      <c r="D790" s="20"/>
      <c r="E790" s="20"/>
      <c r="F790" s="20"/>
      <c r="G790" s="22"/>
      <c r="J790" s="56"/>
    </row>
    <row r="791" spans="1:10" s="3" customFormat="1" hidden="1" outlineLevel="1" x14ac:dyDescent="0.25">
      <c r="A791" s="5"/>
      <c r="B791" s="156" t="s">
        <v>918</v>
      </c>
      <c r="C791" s="20"/>
      <c r="D791" s="20"/>
      <c r="E791" s="20"/>
      <c r="F791" s="20"/>
      <c r="G791" s="22"/>
      <c r="J791" s="31"/>
    </row>
    <row r="792" spans="1:10" s="3" customFormat="1" hidden="1" outlineLevel="1" x14ac:dyDescent="0.25">
      <c r="A792" s="5"/>
      <c r="B792" s="156" t="s">
        <v>919</v>
      </c>
      <c r="C792" s="20"/>
      <c r="D792" s="20"/>
      <c r="E792" s="20"/>
      <c r="F792" s="20"/>
      <c r="G792" s="22"/>
      <c r="J792" s="56"/>
    </row>
    <row r="793" spans="1:10" s="3" customFormat="1" hidden="1" outlineLevel="1" x14ac:dyDescent="0.25">
      <c r="A793" s="5"/>
      <c r="B793" s="156" t="s">
        <v>920</v>
      </c>
      <c r="C793" s="20"/>
      <c r="D793" s="20"/>
      <c r="E793" s="20"/>
      <c r="F793" s="20"/>
      <c r="G793" s="22"/>
      <c r="J793" s="31"/>
    </row>
    <row r="794" spans="1:10" s="3" customFormat="1" hidden="1" outlineLevel="1" x14ac:dyDescent="0.25">
      <c r="A794" s="5"/>
      <c r="B794" s="156" t="s">
        <v>921</v>
      </c>
      <c r="C794" s="20"/>
      <c r="D794" s="20"/>
      <c r="E794" s="20"/>
      <c r="F794" s="20"/>
      <c r="G794" s="22"/>
    </row>
    <row r="795" spans="1:10" s="3" customFormat="1" hidden="1" outlineLevel="1" x14ac:dyDescent="0.25">
      <c r="A795" s="5"/>
      <c r="B795" s="156" t="s">
        <v>561</v>
      </c>
      <c r="C795" s="20"/>
      <c r="D795" s="20"/>
      <c r="E795" s="20"/>
      <c r="F795" s="20"/>
      <c r="G795" s="22"/>
    </row>
    <row r="796" spans="1:10" s="3" customFormat="1" hidden="1" outlineLevel="1" x14ac:dyDescent="0.25">
      <c r="A796" s="5"/>
      <c r="B796" s="115" t="s">
        <v>922</v>
      </c>
      <c r="C796" s="20"/>
      <c r="D796" s="20"/>
      <c r="E796" s="20"/>
      <c r="F796" s="20"/>
      <c r="G796" s="22"/>
    </row>
    <row r="797" spans="1:10" s="3" customFormat="1" ht="16.2" hidden="1" outlineLevel="1" thickBot="1" x14ac:dyDescent="0.3">
      <c r="A797" s="5"/>
      <c r="B797" s="157" t="s">
        <v>923</v>
      </c>
      <c r="C797" s="20"/>
      <c r="D797" s="20"/>
      <c r="E797" s="20"/>
      <c r="F797" s="20"/>
      <c r="G797" s="22"/>
    </row>
    <row r="798" spans="1:10" s="3" customFormat="1" hidden="1" outlineLevel="1" x14ac:dyDescent="0.25">
      <c r="A798" s="5"/>
      <c r="B798" s="50"/>
      <c r="C798" s="20"/>
      <c r="D798" s="20"/>
      <c r="E798" s="20"/>
      <c r="F798" s="20"/>
      <c r="G798" s="22"/>
    </row>
    <row r="799" spans="1:10" s="3" customFormat="1" hidden="1" outlineLevel="1" x14ac:dyDescent="0.25">
      <c r="A799" s="5"/>
      <c r="B799" s="46"/>
      <c r="C799" s="20"/>
      <c r="D799" s="20"/>
      <c r="E799" s="20"/>
      <c r="F799" s="20"/>
      <c r="G799" s="22"/>
    </row>
    <row r="800" spans="1:10" s="3" customFormat="1" ht="16.2" hidden="1" outlineLevel="1" thickBot="1" x14ac:dyDescent="0.3">
      <c r="A800" s="5"/>
      <c r="B800" s="52"/>
      <c r="C800" s="53"/>
      <c r="D800" s="53"/>
      <c r="E800" s="53"/>
      <c r="F800" s="53"/>
      <c r="G800" s="54"/>
    </row>
    <row r="801" spans="1:14" s="3" customFormat="1" ht="16.2" hidden="1" outlineLevel="1" thickBot="1" x14ac:dyDescent="0.3">
      <c r="A801" s="5"/>
      <c r="B801" s="52"/>
      <c r="C801" s="53"/>
      <c r="D801" s="53"/>
      <c r="E801" s="53"/>
      <c r="F801" s="53"/>
      <c r="G801" s="54"/>
    </row>
    <row r="802" spans="1:14" s="3" customFormat="1" ht="16.2" hidden="1" outlineLevel="1" thickBot="1" x14ac:dyDescent="0.3">
      <c r="A802" s="5"/>
      <c r="B802" s="5"/>
      <c r="C802" s="5"/>
      <c r="D802" s="5"/>
      <c r="E802" s="5"/>
      <c r="F802" s="5"/>
      <c r="G802" s="5"/>
      <c r="H802" s="5"/>
    </row>
    <row r="803" spans="1:14" s="3" customFormat="1" ht="16.2" collapsed="1" thickBot="1" x14ac:dyDescent="0.3">
      <c r="A803" s="5"/>
      <c r="B803" s="15" t="s">
        <v>1279</v>
      </c>
      <c r="C803" s="16" t="s">
        <v>2141</v>
      </c>
      <c r="D803" s="17" t="s">
        <v>1281</v>
      </c>
      <c r="E803" s="133" t="s">
        <v>924</v>
      </c>
      <c r="F803" s="17" t="s">
        <v>1282</v>
      </c>
      <c r="G803" s="18" t="s">
        <v>2142</v>
      </c>
      <c r="I803" s="5"/>
      <c r="J803" s="5"/>
    </row>
    <row r="804" spans="1:14" s="3" customFormat="1" hidden="1" outlineLevel="1" x14ac:dyDescent="0.25">
      <c r="A804" s="5"/>
      <c r="B804" s="19" t="s">
        <v>1284</v>
      </c>
      <c r="C804" s="20" t="s">
        <v>1285</v>
      </c>
      <c r="D804" s="21" t="s">
        <v>1286</v>
      </c>
      <c r="E804" s="20" t="s">
        <v>2143</v>
      </c>
      <c r="F804" s="21" t="s">
        <v>1288</v>
      </c>
      <c r="G804" s="22" t="s">
        <v>1350</v>
      </c>
    </row>
    <row r="805" spans="1:14" s="5" customFormat="1" ht="16.2" hidden="1" outlineLevel="1" thickBot="1" x14ac:dyDescent="0.3">
      <c r="B805" s="19" t="s">
        <v>1290</v>
      </c>
      <c r="C805" s="23" t="s">
        <v>1291</v>
      </c>
      <c r="D805" s="21" t="s">
        <v>1292</v>
      </c>
      <c r="E805" s="23">
        <v>5</v>
      </c>
      <c r="F805" s="21" t="s">
        <v>1293</v>
      </c>
      <c r="G805" s="24" t="s">
        <v>1294</v>
      </c>
      <c r="H805" s="3"/>
      <c r="I805" s="3"/>
      <c r="J805" s="3"/>
    </row>
    <row r="806" spans="1:14" s="3" customFormat="1" ht="17.399999999999999" hidden="1" customHeight="1" outlineLevel="1" x14ac:dyDescent="0.25">
      <c r="A806" s="5"/>
      <c r="B806" s="401" t="s">
        <v>1</v>
      </c>
      <c r="C806" s="402"/>
      <c r="D806" s="402"/>
      <c r="E806" s="402"/>
      <c r="F806" s="402"/>
      <c r="G806" s="403"/>
    </row>
    <row r="807" spans="1:14" s="3" customFormat="1" ht="17.399999999999999" hidden="1" customHeight="1" outlineLevel="1" x14ac:dyDescent="0.25">
      <c r="A807" s="5"/>
      <c r="B807" s="25" t="s">
        <v>2</v>
      </c>
      <c r="C807" s="26" t="s">
        <v>3</v>
      </c>
      <c r="D807" s="26" t="s">
        <v>4</v>
      </c>
      <c r="E807" s="26" t="s">
        <v>5</v>
      </c>
      <c r="F807" s="26"/>
      <c r="G807" s="27" t="s">
        <v>6</v>
      </c>
    </row>
    <row r="808" spans="1:14" s="3" customFormat="1" ht="17.399999999999999" hidden="1" customHeight="1" outlineLevel="1" x14ac:dyDescent="0.35">
      <c r="A808" s="5"/>
      <c r="B808" s="57" t="s">
        <v>7</v>
      </c>
      <c r="C808" s="58" t="s">
        <v>1468</v>
      </c>
      <c r="D808" s="58" t="s">
        <v>1469</v>
      </c>
      <c r="E808" s="58">
        <v>0</v>
      </c>
      <c r="F808" s="58" t="s">
        <v>1470</v>
      </c>
      <c r="G808" s="59" t="s">
        <v>1471</v>
      </c>
      <c r="H808" s="4"/>
      <c r="I808" s="4"/>
      <c r="J808" s="3" t="s">
        <v>154</v>
      </c>
    </row>
    <row r="809" spans="1:14" s="3" customFormat="1" ht="17.399999999999999" hidden="1" customHeight="1" outlineLevel="1" x14ac:dyDescent="0.35">
      <c r="A809" s="5"/>
      <c r="B809" s="57" t="s">
        <v>11</v>
      </c>
      <c r="C809" s="58" t="s">
        <v>1472</v>
      </c>
      <c r="D809" s="58" t="s">
        <v>1469</v>
      </c>
      <c r="E809" s="58">
        <v>0</v>
      </c>
      <c r="F809" s="58" t="s">
        <v>1470</v>
      </c>
      <c r="G809" s="59" t="s">
        <v>1473</v>
      </c>
      <c r="H809" s="4"/>
      <c r="I809" s="4"/>
      <c r="J809" s="3" t="s">
        <v>155</v>
      </c>
    </row>
    <row r="810" spans="1:14" s="4" customFormat="1" ht="17.399999999999999" hidden="1" customHeight="1" outlineLevel="1" x14ac:dyDescent="0.35">
      <c r="A810" s="5"/>
      <c r="B810" s="60" t="s">
        <v>13</v>
      </c>
      <c r="C810" s="61" t="s">
        <v>1474</v>
      </c>
      <c r="D810" s="61" t="s">
        <v>1469</v>
      </c>
      <c r="E810" s="61">
        <v>0</v>
      </c>
      <c r="F810" s="61" t="s">
        <v>1470</v>
      </c>
      <c r="G810" s="62"/>
      <c r="H810" s="63"/>
      <c r="J810" s="3" t="s">
        <v>156</v>
      </c>
      <c r="K810" s="81" t="s">
        <v>112</v>
      </c>
      <c r="N810" s="4">
        <v>1112</v>
      </c>
    </row>
    <row r="811" spans="1:14" s="4" customFormat="1" ht="17.399999999999999" hidden="1" customHeight="1" outlineLevel="1" x14ac:dyDescent="0.35">
      <c r="A811" s="5"/>
      <c r="B811" s="60" t="s">
        <v>14</v>
      </c>
      <c r="C811" s="61" t="s">
        <v>1475</v>
      </c>
      <c r="D811" s="61" t="s">
        <v>1469</v>
      </c>
      <c r="E811" s="61">
        <v>0</v>
      </c>
      <c r="F811" s="61" t="s">
        <v>1476</v>
      </c>
      <c r="G811" s="62" t="s">
        <v>1477</v>
      </c>
      <c r="H811" s="63"/>
      <c r="J811" s="3" t="s">
        <v>157</v>
      </c>
      <c r="K811" s="81" t="s">
        <v>7</v>
      </c>
      <c r="N811" s="4">
        <v>1700</v>
      </c>
    </row>
    <row r="812" spans="1:14" s="4" customFormat="1" ht="17.399999999999999" hidden="1" customHeight="1" outlineLevel="1" x14ac:dyDescent="0.35">
      <c r="A812" s="5"/>
      <c r="B812" s="60" t="s">
        <v>15</v>
      </c>
      <c r="C812" s="61" t="s">
        <v>1478</v>
      </c>
      <c r="D812" s="61" t="s">
        <v>1469</v>
      </c>
      <c r="E812" s="61">
        <v>0</v>
      </c>
      <c r="F812" s="61" t="s">
        <v>1470</v>
      </c>
      <c r="G812" s="62"/>
      <c r="H812" s="63"/>
      <c r="J812" s="3" t="s">
        <v>158</v>
      </c>
      <c r="K812" s="81" t="s">
        <v>11</v>
      </c>
      <c r="N812" s="4">
        <v>2534</v>
      </c>
    </row>
    <row r="813" spans="1:14" s="4" customFormat="1" ht="17.399999999999999" hidden="1" customHeight="1" outlineLevel="1" x14ac:dyDescent="0.35">
      <c r="A813" s="5"/>
      <c r="B813" s="134" t="s">
        <v>17</v>
      </c>
      <c r="C813" s="135" t="s">
        <v>1483</v>
      </c>
      <c r="D813" s="135" t="s">
        <v>1469</v>
      </c>
      <c r="E813" s="65">
        <v>0</v>
      </c>
      <c r="F813" s="65" t="s">
        <v>1470</v>
      </c>
      <c r="G813" s="66" t="s">
        <v>1484</v>
      </c>
      <c r="H813" s="5"/>
      <c r="I813" s="5"/>
      <c r="J813" s="3" t="s">
        <v>159</v>
      </c>
      <c r="K813" s="78" t="s">
        <v>13</v>
      </c>
      <c r="N813" s="4">
        <v>2155</v>
      </c>
    </row>
    <row r="814" spans="1:14" s="4" customFormat="1" ht="17.399999999999999" hidden="1" customHeight="1" outlineLevel="1" x14ac:dyDescent="0.35">
      <c r="A814" s="5"/>
      <c r="B814" s="31" t="s">
        <v>160</v>
      </c>
      <c r="C814" s="20" t="s">
        <v>1588</v>
      </c>
      <c r="D814" s="20" t="s">
        <v>1469</v>
      </c>
      <c r="E814" s="20">
        <v>0</v>
      </c>
      <c r="F814" s="20"/>
      <c r="G814" s="22"/>
      <c r="H814" s="3"/>
      <c r="I814" s="3"/>
      <c r="J814" s="3" t="s">
        <v>161</v>
      </c>
      <c r="K814" s="81" t="s">
        <v>14</v>
      </c>
      <c r="N814" s="4">
        <v>2430</v>
      </c>
    </row>
    <row r="815" spans="1:14" s="4" customFormat="1" ht="17.399999999999999" hidden="1" customHeight="1" outlineLevel="1" x14ac:dyDescent="0.35">
      <c r="A815" s="5"/>
      <c r="B815" s="31" t="s">
        <v>162</v>
      </c>
      <c r="C815" s="20" t="s">
        <v>1589</v>
      </c>
      <c r="D815" s="20" t="s">
        <v>1469</v>
      </c>
      <c r="E815" s="20">
        <v>0</v>
      </c>
      <c r="F815" s="20"/>
      <c r="G815" s="22" t="s">
        <v>1590</v>
      </c>
      <c r="H815" s="3"/>
      <c r="I815" s="3"/>
      <c r="J815" s="3"/>
      <c r="K815" s="78" t="s">
        <v>15</v>
      </c>
      <c r="L815" s="5"/>
      <c r="M815" s="5"/>
      <c r="N815" s="4">
        <v>1097</v>
      </c>
    </row>
    <row r="816" spans="1:14" s="3" customFormat="1" hidden="1" outlineLevel="1" x14ac:dyDescent="0.25">
      <c r="A816" s="5"/>
      <c r="B816" s="31" t="s">
        <v>163</v>
      </c>
      <c r="C816" s="20" t="s">
        <v>1591</v>
      </c>
      <c r="D816" s="20" t="s">
        <v>1469</v>
      </c>
      <c r="E816" s="20">
        <v>0</v>
      </c>
      <c r="F816" s="20"/>
      <c r="G816" s="22" t="s">
        <v>1590</v>
      </c>
      <c r="K816" s="3" t="s">
        <v>64</v>
      </c>
      <c r="N816" s="3">
        <v>1604</v>
      </c>
    </row>
    <row r="817" spans="1:14" s="3" customFormat="1" hidden="1" outlineLevel="1" x14ac:dyDescent="0.25">
      <c r="A817" s="5"/>
      <c r="B817" s="31"/>
      <c r="C817" s="20"/>
      <c r="D817" s="20"/>
      <c r="E817" s="20"/>
      <c r="F817" s="20"/>
      <c r="G817" s="22"/>
      <c r="J817" s="3" t="s">
        <v>64</v>
      </c>
    </row>
    <row r="818" spans="1:14" s="3" customFormat="1" ht="16.2" hidden="1" outlineLevel="1" thickBot="1" x14ac:dyDescent="0.3">
      <c r="A818" s="5"/>
      <c r="B818" s="91"/>
      <c r="C818" s="92"/>
      <c r="D818" s="92"/>
      <c r="E818" s="92"/>
      <c r="F818" s="92"/>
      <c r="G818" s="93"/>
      <c r="H818" s="6"/>
      <c r="I818" s="6"/>
      <c r="J818" s="3" t="s">
        <v>164</v>
      </c>
    </row>
    <row r="819" spans="1:14" s="3" customFormat="1" hidden="1" outlineLevel="1" x14ac:dyDescent="0.35">
      <c r="A819" s="5"/>
      <c r="B819" s="383" t="s">
        <v>18</v>
      </c>
      <c r="C819" s="384"/>
      <c r="D819" s="384"/>
      <c r="E819" s="384"/>
      <c r="F819" s="384"/>
      <c r="G819" s="385"/>
      <c r="H819" s="6"/>
      <c r="I819" s="6"/>
      <c r="J819" s="4" t="s">
        <v>22</v>
      </c>
      <c r="K819" s="3" t="s">
        <v>164</v>
      </c>
    </row>
    <row r="820" spans="1:14" s="6" customFormat="1" hidden="1" outlineLevel="1" x14ac:dyDescent="0.35">
      <c r="A820" s="5"/>
      <c r="B820" s="136" t="s">
        <v>2</v>
      </c>
      <c r="C820" s="137" t="s">
        <v>3</v>
      </c>
      <c r="D820" s="137" t="s">
        <v>4</v>
      </c>
      <c r="E820" s="137" t="s">
        <v>5</v>
      </c>
      <c r="F820" s="137"/>
      <c r="G820" s="138" t="s">
        <v>6</v>
      </c>
      <c r="J820" s="3" t="s">
        <v>63</v>
      </c>
      <c r="K820" s="4" t="s">
        <v>22</v>
      </c>
    </row>
    <row r="821" spans="1:14" s="6" customFormat="1" hidden="1" outlineLevel="1" x14ac:dyDescent="0.25">
      <c r="A821" s="5"/>
      <c r="B821" s="81" t="s">
        <v>16</v>
      </c>
      <c r="C821" s="20" t="s">
        <v>1479</v>
      </c>
      <c r="D821" s="20" t="s">
        <v>1469</v>
      </c>
      <c r="E821" s="20" t="s">
        <v>1480</v>
      </c>
      <c r="F821" s="20" t="s">
        <v>1481</v>
      </c>
      <c r="G821" s="22" t="s">
        <v>1482</v>
      </c>
      <c r="J821" s="3" t="s">
        <v>78</v>
      </c>
      <c r="K821" s="3" t="s">
        <v>63</v>
      </c>
    </row>
    <row r="822" spans="1:14" s="6" customFormat="1" hidden="1" outlineLevel="1" x14ac:dyDescent="0.25">
      <c r="A822" s="3"/>
      <c r="B822" s="81" t="s">
        <v>7</v>
      </c>
      <c r="C822" s="29" t="s">
        <v>1468</v>
      </c>
      <c r="D822" s="29" t="s">
        <v>1469</v>
      </c>
      <c r="E822" s="29">
        <v>0</v>
      </c>
      <c r="F822" s="29" t="s">
        <v>1470</v>
      </c>
      <c r="G822" s="30" t="s">
        <v>1471</v>
      </c>
      <c r="H822" s="3"/>
      <c r="I822" s="3"/>
      <c r="J822" s="3" t="s">
        <v>165</v>
      </c>
      <c r="K822" s="3" t="s">
        <v>78</v>
      </c>
    </row>
    <row r="823" spans="1:14" s="6" customFormat="1" hidden="1" outlineLevel="1" x14ac:dyDescent="0.25">
      <c r="A823" s="3"/>
      <c r="B823" s="81" t="s">
        <v>11</v>
      </c>
      <c r="C823" s="29" t="s">
        <v>1472</v>
      </c>
      <c r="D823" s="29" t="s">
        <v>1469</v>
      </c>
      <c r="E823" s="29">
        <v>0</v>
      </c>
      <c r="F823" s="29" t="s">
        <v>1470</v>
      </c>
      <c r="G823" s="30" t="s">
        <v>1473</v>
      </c>
      <c r="H823" s="3"/>
      <c r="I823" s="3"/>
      <c r="J823" s="3" t="s">
        <v>166</v>
      </c>
      <c r="K823" s="3" t="s">
        <v>130</v>
      </c>
    </row>
    <row r="824" spans="1:14" s="3" customFormat="1" hidden="1" outlineLevel="1" x14ac:dyDescent="0.35">
      <c r="B824" s="81" t="s">
        <v>13</v>
      </c>
      <c r="C824" s="39" t="s">
        <v>1474</v>
      </c>
      <c r="D824" s="39" t="s">
        <v>1469</v>
      </c>
      <c r="E824" s="39">
        <v>0</v>
      </c>
      <c r="F824" s="39" t="s">
        <v>1470</v>
      </c>
      <c r="G824" s="40"/>
      <c r="J824" s="4" t="s">
        <v>167</v>
      </c>
      <c r="K824" s="3" t="s">
        <v>166</v>
      </c>
      <c r="N824" s="3">
        <v>2534</v>
      </c>
    </row>
    <row r="825" spans="1:14" s="3" customFormat="1" hidden="1" outlineLevel="1" x14ac:dyDescent="0.35">
      <c r="B825" s="81" t="s">
        <v>14</v>
      </c>
      <c r="C825" s="29" t="s">
        <v>1475</v>
      </c>
      <c r="D825" s="29" t="s">
        <v>1469</v>
      </c>
      <c r="E825" s="29">
        <v>0</v>
      </c>
      <c r="F825" s="29" t="s">
        <v>1476</v>
      </c>
      <c r="G825" s="30" t="s">
        <v>1477</v>
      </c>
      <c r="J825" s="3" t="s">
        <v>168</v>
      </c>
      <c r="K825" s="4" t="s">
        <v>167</v>
      </c>
      <c r="N825" s="3">
        <v>1700</v>
      </c>
    </row>
    <row r="826" spans="1:14" s="3" customFormat="1" hidden="1" outlineLevel="1" x14ac:dyDescent="0.25">
      <c r="B826" s="81" t="s">
        <v>159</v>
      </c>
      <c r="C826" s="29" t="s">
        <v>1592</v>
      </c>
      <c r="D826" s="29" t="s">
        <v>1593</v>
      </c>
      <c r="E826" s="29" t="s">
        <v>1594</v>
      </c>
      <c r="F826" s="29" t="s">
        <v>1470</v>
      </c>
      <c r="G826" s="30" t="s">
        <v>1595</v>
      </c>
      <c r="K826" s="3" t="s">
        <v>168</v>
      </c>
      <c r="N826" s="3">
        <v>1689</v>
      </c>
    </row>
    <row r="827" spans="1:14" s="3" customFormat="1" hidden="1" outlineLevel="1" x14ac:dyDescent="0.25">
      <c r="B827" s="81" t="s">
        <v>15</v>
      </c>
      <c r="C827" s="29" t="s">
        <v>1478</v>
      </c>
      <c r="D827" s="29" t="s">
        <v>1469</v>
      </c>
      <c r="E827" s="29">
        <v>0</v>
      </c>
      <c r="F827" s="29" t="s">
        <v>1470</v>
      </c>
      <c r="G827" s="30"/>
      <c r="N827" s="3">
        <v>2052</v>
      </c>
    </row>
    <row r="828" spans="1:14" s="3" customFormat="1" hidden="1" outlineLevel="1" x14ac:dyDescent="0.35">
      <c r="A828" s="5"/>
      <c r="B828" s="145" t="s">
        <v>64</v>
      </c>
      <c r="C828" s="42" t="s">
        <v>1527</v>
      </c>
      <c r="D828" s="42" t="s">
        <v>1489</v>
      </c>
      <c r="E828" s="42">
        <v>0</v>
      </c>
      <c r="F828" s="42"/>
      <c r="G828" s="43"/>
      <c r="H828" s="4"/>
      <c r="I828" s="4"/>
      <c r="J828" s="5"/>
      <c r="N828" s="3">
        <v>2153</v>
      </c>
    </row>
    <row r="829" spans="1:14" s="3" customFormat="1" hidden="1" outlineLevel="1" x14ac:dyDescent="0.25">
      <c r="A829" s="77"/>
      <c r="B829" s="81" t="s">
        <v>24</v>
      </c>
      <c r="C829" s="79" t="s">
        <v>1491</v>
      </c>
      <c r="D829" s="79" t="s">
        <v>1489</v>
      </c>
      <c r="E829" s="79">
        <v>0</v>
      </c>
      <c r="F829" s="79" t="s">
        <v>1470</v>
      </c>
      <c r="G829" s="80"/>
      <c r="H829" s="3" t="str">
        <f t="shared" ref="H829:H830" si="4">"TRUNCATE TABLE "&amp;C829&amp;";#"&amp;E829</f>
        <v>TRUNCATE TABLE realize_pandl;#0</v>
      </c>
      <c r="N829" s="3">
        <v>2183</v>
      </c>
    </row>
    <row r="830" spans="1:14" s="4" customFormat="1" ht="17.399999999999999" hidden="1" customHeight="1" outlineLevel="1" x14ac:dyDescent="0.35">
      <c r="A830" s="77"/>
      <c r="B830" s="81" t="s">
        <v>58</v>
      </c>
      <c r="C830" s="79" t="s">
        <v>1522</v>
      </c>
      <c r="D830" s="79" t="s">
        <v>1489</v>
      </c>
      <c r="E830" s="79">
        <v>0</v>
      </c>
      <c r="F830" s="79" t="s">
        <v>1470</v>
      </c>
      <c r="G830" s="80"/>
      <c r="H830" s="3" t="str">
        <f t="shared" si="4"/>
        <v>TRUNCATE TABLE over_night_pandl;#0</v>
      </c>
      <c r="I830" s="3"/>
      <c r="J830" s="3"/>
      <c r="K830" s="5"/>
      <c r="L830" s="5"/>
      <c r="M830" s="5"/>
    </row>
    <row r="831" spans="1:14" s="3" customFormat="1" hidden="1" outlineLevel="1" x14ac:dyDescent="0.25">
      <c r="B831" s="145" t="s">
        <v>22</v>
      </c>
      <c r="C831" s="39" t="s">
        <v>1488</v>
      </c>
      <c r="D831" s="39" t="s">
        <v>1489</v>
      </c>
      <c r="E831" s="39">
        <v>0</v>
      </c>
      <c r="F831" s="39" t="s">
        <v>1470</v>
      </c>
      <c r="G831" s="40" t="s">
        <v>1490</v>
      </c>
    </row>
    <row r="832" spans="1:14" s="3" customFormat="1" hidden="1" outlineLevel="1" x14ac:dyDescent="0.25">
      <c r="B832" s="145" t="s">
        <v>63</v>
      </c>
      <c r="C832" s="39" t="s">
        <v>1526</v>
      </c>
      <c r="D832" s="39" t="s">
        <v>1489</v>
      </c>
      <c r="E832" s="39">
        <v>0</v>
      </c>
      <c r="F832" s="39"/>
      <c r="G832" s="40"/>
    </row>
    <row r="833" spans="1:13" s="3" customFormat="1" hidden="1" outlineLevel="1" x14ac:dyDescent="0.25">
      <c r="B833" s="145" t="s">
        <v>78</v>
      </c>
      <c r="C833" s="39" t="s">
        <v>1534</v>
      </c>
      <c r="D833" s="39" t="s">
        <v>1489</v>
      </c>
      <c r="E833" s="39">
        <v>0</v>
      </c>
      <c r="F833" s="39"/>
      <c r="G833" s="40"/>
    </row>
    <row r="834" spans="1:13" s="3" customFormat="1" hidden="1" outlineLevel="1" x14ac:dyDescent="0.25">
      <c r="B834" s="145" t="s">
        <v>130</v>
      </c>
      <c r="C834" s="29" t="s">
        <v>1596</v>
      </c>
      <c r="D834" s="29" t="s">
        <v>1486</v>
      </c>
      <c r="E834" s="29">
        <v>0</v>
      </c>
      <c r="F834" s="29"/>
      <c r="G834" s="30"/>
    </row>
    <row r="835" spans="1:13" s="3" customFormat="1" hidden="1" outlineLevel="1" x14ac:dyDescent="0.25">
      <c r="B835" s="145" t="s">
        <v>165</v>
      </c>
      <c r="C835" s="29" t="s">
        <v>1597</v>
      </c>
      <c r="D835" s="29" t="s">
        <v>1489</v>
      </c>
      <c r="E835" s="29">
        <v>0</v>
      </c>
      <c r="F835" s="29"/>
      <c r="G835" s="30"/>
    </row>
    <row r="836" spans="1:13" s="3" customFormat="1" hidden="1" outlineLevel="1" x14ac:dyDescent="0.25">
      <c r="B836" s="145" t="s">
        <v>166</v>
      </c>
      <c r="C836" s="29" t="s">
        <v>1598</v>
      </c>
      <c r="D836" s="29" t="s">
        <v>1486</v>
      </c>
      <c r="E836" s="29">
        <v>0</v>
      </c>
      <c r="F836" s="29"/>
      <c r="G836" s="30"/>
    </row>
    <row r="837" spans="1:13" s="3" customFormat="1" hidden="1" outlineLevel="1" x14ac:dyDescent="0.25">
      <c r="B837" s="145" t="s">
        <v>167</v>
      </c>
      <c r="C837" s="29" t="s">
        <v>1599</v>
      </c>
      <c r="D837" s="29" t="s">
        <v>1489</v>
      </c>
      <c r="E837" s="29">
        <v>0</v>
      </c>
      <c r="F837" s="29"/>
      <c r="G837" s="30"/>
    </row>
    <row r="838" spans="1:13" s="3" customFormat="1" ht="16.2" hidden="1" outlineLevel="1" thickBot="1" x14ac:dyDescent="0.3">
      <c r="A838" s="5"/>
      <c r="B838" s="31"/>
      <c r="C838" s="20"/>
      <c r="D838" s="20"/>
      <c r="E838" s="20"/>
      <c r="F838" s="20"/>
      <c r="G838" s="22"/>
      <c r="J838" s="3" t="s">
        <v>20</v>
      </c>
    </row>
    <row r="839" spans="1:13" s="3" customFormat="1" hidden="1" outlineLevel="1" x14ac:dyDescent="0.25">
      <c r="A839" s="5"/>
      <c r="B839" s="401" t="s">
        <v>29</v>
      </c>
      <c r="C839" s="402"/>
      <c r="D839" s="402"/>
      <c r="E839" s="402"/>
      <c r="F839" s="402"/>
      <c r="G839" s="403"/>
    </row>
    <row r="840" spans="1:13" s="3" customFormat="1" hidden="1" outlineLevel="1" x14ac:dyDescent="0.25">
      <c r="A840" s="5"/>
      <c r="B840" s="31"/>
      <c r="C840" s="20"/>
      <c r="D840" s="20"/>
      <c r="E840" s="20"/>
      <c r="F840" s="20"/>
      <c r="G840" s="22"/>
      <c r="K840" s="3" t="s">
        <v>445</v>
      </c>
      <c r="L840" s="3" t="s">
        <v>446</v>
      </c>
      <c r="M840" s="3" t="s">
        <v>446</v>
      </c>
    </row>
    <row r="841" spans="1:13" s="3" customFormat="1" hidden="1" outlineLevel="1" x14ac:dyDescent="0.25">
      <c r="A841" s="5"/>
      <c r="B841" s="31"/>
      <c r="C841" s="20"/>
      <c r="D841" s="20"/>
      <c r="E841" s="20"/>
      <c r="F841" s="20"/>
      <c r="G841" s="22"/>
      <c r="J841" s="45"/>
    </row>
    <row r="842" spans="1:13" s="3" customFormat="1" ht="17.399999999999999" hidden="1" customHeight="1" outlineLevel="1" x14ac:dyDescent="0.25">
      <c r="A842" s="5"/>
      <c r="B842" s="46"/>
      <c r="C842" s="20"/>
      <c r="D842" s="20"/>
      <c r="E842" s="20"/>
      <c r="F842" s="20"/>
      <c r="G842" s="22"/>
      <c r="J842" s="45"/>
    </row>
    <row r="843" spans="1:13" s="3" customFormat="1" hidden="1" outlineLevel="1" x14ac:dyDescent="0.25">
      <c r="A843" s="5"/>
      <c r="B843" s="47"/>
      <c r="C843" s="20"/>
      <c r="D843" s="20"/>
      <c r="E843" s="20"/>
      <c r="F843" s="20"/>
      <c r="G843" s="22"/>
      <c r="J843" s="55"/>
    </row>
    <row r="844" spans="1:13" s="3" customFormat="1" hidden="1" outlineLevel="1" x14ac:dyDescent="0.25">
      <c r="A844" s="5"/>
      <c r="B844" s="47"/>
      <c r="C844" s="20"/>
      <c r="D844" s="20"/>
      <c r="E844" s="20"/>
      <c r="F844" s="20"/>
      <c r="G844" s="22"/>
      <c r="J844" s="55"/>
    </row>
    <row r="845" spans="1:13" s="3" customFormat="1" hidden="1" outlineLevel="1" x14ac:dyDescent="0.25">
      <c r="A845" s="5"/>
      <c r="B845" s="47"/>
      <c r="C845" s="20"/>
      <c r="D845" s="20"/>
      <c r="E845" s="20"/>
      <c r="F845" s="20"/>
      <c r="G845" s="22"/>
      <c r="J845" s="55"/>
    </row>
    <row r="846" spans="1:13" s="3" customFormat="1" hidden="1" outlineLevel="1" x14ac:dyDescent="0.25">
      <c r="A846" s="5"/>
      <c r="B846" s="47"/>
      <c r="C846" s="20"/>
      <c r="D846" s="20"/>
      <c r="E846" s="20"/>
      <c r="F846" s="20"/>
      <c r="G846" s="22"/>
      <c r="J846" s="55"/>
    </row>
    <row r="847" spans="1:13" s="3" customFormat="1" hidden="1" outlineLevel="1" x14ac:dyDescent="0.25">
      <c r="A847" s="5"/>
      <c r="B847" s="47"/>
      <c r="C847" s="20"/>
      <c r="D847" s="20"/>
      <c r="E847" s="20"/>
      <c r="F847" s="20"/>
      <c r="G847" s="22"/>
      <c r="J847" s="55"/>
    </row>
    <row r="848" spans="1:13" s="3" customFormat="1" hidden="1" outlineLevel="1" x14ac:dyDescent="0.25">
      <c r="A848" s="5"/>
      <c r="B848" s="47"/>
      <c r="C848" s="20"/>
      <c r="D848" s="20"/>
      <c r="E848" s="20"/>
      <c r="F848" s="20"/>
      <c r="G848" s="22"/>
      <c r="J848" s="45"/>
    </row>
    <row r="849" spans="1:10" s="3" customFormat="1" hidden="1" outlineLevel="1" x14ac:dyDescent="0.25">
      <c r="A849" s="5"/>
      <c r="B849" s="48"/>
      <c r="C849" s="20"/>
      <c r="D849" s="20"/>
      <c r="E849" s="20"/>
      <c r="F849" s="20"/>
      <c r="G849" s="22"/>
      <c r="J849" s="56"/>
    </row>
    <row r="850" spans="1:10" s="3" customFormat="1" hidden="1" outlineLevel="1" x14ac:dyDescent="0.25">
      <c r="A850" s="5"/>
      <c r="B850" s="49"/>
      <c r="C850" s="20"/>
      <c r="D850" s="20"/>
      <c r="E850" s="20"/>
      <c r="F850" s="20"/>
      <c r="G850" s="22"/>
      <c r="J850" s="31"/>
    </row>
    <row r="851" spans="1:10" s="3" customFormat="1" hidden="1" outlineLevel="1" x14ac:dyDescent="0.25">
      <c r="A851" s="5"/>
      <c r="B851" s="49"/>
      <c r="C851" s="20"/>
      <c r="D851" s="20"/>
      <c r="E851" s="20"/>
      <c r="F851" s="20"/>
      <c r="G851" s="22"/>
      <c r="J851" s="56"/>
    </row>
    <row r="852" spans="1:10" s="3" customFormat="1" hidden="1" outlineLevel="1" x14ac:dyDescent="0.25">
      <c r="A852" s="5"/>
      <c r="B852" s="49"/>
      <c r="C852" s="20"/>
      <c r="D852" s="20"/>
      <c r="E852" s="20"/>
      <c r="F852" s="20"/>
      <c r="G852" s="22"/>
      <c r="J852" s="31"/>
    </row>
    <row r="853" spans="1:10" s="3" customFormat="1" hidden="1" outlineLevel="1" x14ac:dyDescent="0.25">
      <c r="A853" s="5"/>
      <c r="B853" s="49"/>
      <c r="C853" s="20"/>
      <c r="D853" s="20"/>
      <c r="E853" s="20"/>
      <c r="F853" s="20"/>
      <c r="G853" s="22"/>
    </row>
    <row r="854" spans="1:10" s="3" customFormat="1" hidden="1" outlineLevel="1" x14ac:dyDescent="0.25">
      <c r="A854" s="5"/>
      <c r="B854" s="49"/>
      <c r="C854" s="20"/>
      <c r="D854" s="20"/>
      <c r="E854" s="20"/>
      <c r="F854" s="20"/>
      <c r="G854" s="22"/>
    </row>
    <row r="855" spans="1:10" s="3" customFormat="1" hidden="1" outlineLevel="1" x14ac:dyDescent="0.25">
      <c r="A855" s="5"/>
      <c r="B855" s="46"/>
      <c r="C855" s="20"/>
      <c r="D855" s="20"/>
      <c r="E855" s="20"/>
      <c r="F855" s="20"/>
      <c r="G855" s="22"/>
    </row>
    <row r="856" spans="1:10" s="3" customFormat="1" hidden="1" outlineLevel="1" x14ac:dyDescent="0.25">
      <c r="A856" s="5"/>
      <c r="B856" s="50"/>
      <c r="C856" s="20"/>
      <c r="D856" s="20"/>
      <c r="E856" s="20"/>
      <c r="F856" s="20"/>
      <c r="G856" s="22"/>
    </row>
    <row r="857" spans="1:10" s="3" customFormat="1" hidden="1" outlineLevel="1" x14ac:dyDescent="0.25">
      <c r="A857" s="5"/>
      <c r="B857" s="50"/>
      <c r="C857" s="20"/>
      <c r="D857" s="20"/>
      <c r="E857" s="20"/>
      <c r="F857" s="20"/>
      <c r="G857" s="22"/>
    </row>
    <row r="858" spans="1:10" s="3" customFormat="1" hidden="1" outlineLevel="1" x14ac:dyDescent="0.25">
      <c r="A858" s="5"/>
      <c r="B858" s="50"/>
      <c r="C858" s="20"/>
      <c r="D858" s="20"/>
      <c r="E858" s="20"/>
      <c r="F858" s="20"/>
      <c r="G858" s="22"/>
    </row>
    <row r="859" spans="1:10" s="3" customFormat="1" hidden="1" outlineLevel="1" x14ac:dyDescent="0.25">
      <c r="A859" s="5"/>
      <c r="B859" s="50"/>
      <c r="C859" s="20"/>
      <c r="D859" s="20"/>
      <c r="E859" s="20"/>
      <c r="F859" s="20"/>
      <c r="G859" s="22"/>
    </row>
    <row r="860" spans="1:10" s="3" customFormat="1" hidden="1" outlineLevel="1" x14ac:dyDescent="0.25">
      <c r="A860" s="5"/>
      <c r="B860" s="50"/>
      <c r="C860" s="20"/>
      <c r="D860" s="20"/>
      <c r="E860" s="20"/>
      <c r="F860" s="20"/>
      <c r="G860" s="22"/>
    </row>
    <row r="861" spans="1:10" s="3" customFormat="1" hidden="1" outlineLevel="1" x14ac:dyDescent="0.25">
      <c r="A861" s="5"/>
      <c r="B861" s="51"/>
      <c r="C861" s="20"/>
      <c r="D861" s="20"/>
      <c r="E861" s="20"/>
      <c r="F861" s="20"/>
      <c r="G861" s="22"/>
    </row>
    <row r="862" spans="1:10" s="3" customFormat="1" hidden="1" outlineLevel="1" x14ac:dyDescent="0.25">
      <c r="A862" s="5"/>
      <c r="B862" s="158"/>
      <c r="C862" s="20"/>
      <c r="D862" s="20"/>
      <c r="E862" s="20"/>
      <c r="F862" s="20"/>
      <c r="G862" s="22"/>
    </row>
    <row r="863" spans="1:10" s="3" customFormat="1" hidden="1" outlineLevel="1" x14ac:dyDescent="0.25">
      <c r="A863" s="5"/>
      <c r="B863" s="31"/>
      <c r="C863" s="20"/>
      <c r="D863" s="20"/>
      <c r="E863" s="20"/>
      <c r="F863" s="20"/>
      <c r="G863" s="22"/>
    </row>
    <row r="864" spans="1:10" s="3" customFormat="1" hidden="1" outlineLevel="1" x14ac:dyDescent="0.25">
      <c r="A864" s="5"/>
      <c r="B864" s="46"/>
      <c r="C864" s="20"/>
      <c r="D864" s="20"/>
      <c r="E864" s="20"/>
      <c r="F864" s="20"/>
      <c r="G864" s="22"/>
    </row>
    <row r="865" spans="1:10" s="3" customFormat="1" ht="16.2" hidden="1" outlineLevel="1" thickBot="1" x14ac:dyDescent="0.3">
      <c r="A865" s="5"/>
      <c r="B865" s="52"/>
      <c r="C865" s="53"/>
      <c r="D865" s="53"/>
      <c r="E865" s="53"/>
      <c r="F865" s="53"/>
      <c r="G865" s="54"/>
    </row>
    <row r="866" spans="1:10" s="3" customFormat="1" hidden="1" outlineLevel="1" x14ac:dyDescent="0.25">
      <c r="A866" s="5"/>
      <c r="B866" s="31"/>
      <c r="C866" s="20"/>
      <c r="D866" s="20"/>
      <c r="E866" s="20"/>
      <c r="F866" s="20"/>
      <c r="G866" s="22"/>
    </row>
    <row r="867" spans="1:10" s="3" customFormat="1" hidden="1" outlineLevel="1" x14ac:dyDescent="0.25">
      <c r="A867" s="5"/>
      <c r="B867" s="31"/>
      <c r="C867" s="20"/>
      <c r="D867" s="20"/>
      <c r="E867" s="20"/>
      <c r="F867" s="20"/>
      <c r="G867" s="22"/>
    </row>
    <row r="868" spans="1:10" s="3" customFormat="1" hidden="1" outlineLevel="1" x14ac:dyDescent="0.25">
      <c r="A868" s="5"/>
      <c r="B868" s="31"/>
      <c r="C868" s="20"/>
      <c r="D868" s="20"/>
      <c r="E868" s="20"/>
      <c r="F868" s="20"/>
      <c r="G868" s="22"/>
    </row>
    <row r="869" spans="1:10" s="3" customFormat="1" hidden="1" outlineLevel="1" x14ac:dyDescent="0.25">
      <c r="A869" s="5"/>
      <c r="B869" s="31"/>
      <c r="C869" s="20"/>
      <c r="D869" s="20"/>
      <c r="E869" s="20"/>
      <c r="F869" s="20"/>
      <c r="G869" s="22"/>
    </row>
    <row r="870" spans="1:10" s="3" customFormat="1" hidden="1" outlineLevel="1" x14ac:dyDescent="0.25">
      <c r="A870" s="5"/>
      <c r="B870" s="31"/>
      <c r="C870" s="20"/>
      <c r="D870" s="20"/>
      <c r="E870" s="20"/>
      <c r="F870" s="20"/>
      <c r="G870" s="22"/>
    </row>
    <row r="871" spans="1:10" s="3" customFormat="1" hidden="1" outlineLevel="1" x14ac:dyDescent="0.25">
      <c r="A871" s="5"/>
      <c r="B871" s="31"/>
      <c r="C871" s="20"/>
      <c r="D871" s="20"/>
      <c r="E871" s="20"/>
      <c r="F871" s="20"/>
      <c r="G871" s="22"/>
    </row>
    <row r="872" spans="1:10" s="3" customFormat="1" ht="16.2" hidden="1" outlineLevel="1" thickBot="1" x14ac:dyDescent="0.3">
      <c r="A872" s="5"/>
      <c r="B872" s="52"/>
      <c r="C872" s="53"/>
      <c r="D872" s="53"/>
      <c r="E872" s="53"/>
      <c r="F872" s="53"/>
      <c r="G872" s="54"/>
    </row>
    <row r="873" spans="1:10" s="3" customFormat="1" ht="16.2" hidden="1" outlineLevel="1" thickBot="1" x14ac:dyDescent="0.3">
      <c r="A873" s="5"/>
      <c r="B873" s="5"/>
      <c r="C873" s="5"/>
      <c r="D873" s="5"/>
      <c r="E873" s="5"/>
      <c r="F873" s="5"/>
      <c r="G873" s="5"/>
      <c r="H873" s="5"/>
    </row>
    <row r="874" spans="1:10" s="3" customFormat="1" ht="16.2" collapsed="1" thickBot="1" x14ac:dyDescent="0.3">
      <c r="A874" s="5"/>
      <c r="B874" s="15" t="s">
        <v>1279</v>
      </c>
      <c r="C874" s="16" t="s">
        <v>2144</v>
      </c>
      <c r="D874" s="17" t="s">
        <v>1281</v>
      </c>
      <c r="E874" s="133" t="s">
        <v>925</v>
      </c>
      <c r="F874" s="17" t="s">
        <v>1282</v>
      </c>
      <c r="G874" s="18" t="s">
        <v>2145</v>
      </c>
      <c r="I874" s="5"/>
      <c r="J874" s="5"/>
    </row>
    <row r="875" spans="1:10" s="3" customFormat="1" hidden="1" outlineLevel="1" x14ac:dyDescent="0.25">
      <c r="A875" s="5"/>
      <c r="B875" s="19" t="s">
        <v>1284</v>
      </c>
      <c r="C875" s="20" t="s">
        <v>1285</v>
      </c>
      <c r="D875" s="21" t="s">
        <v>1286</v>
      </c>
      <c r="E875" s="20" t="s">
        <v>2146</v>
      </c>
      <c r="F875" s="21" t="s">
        <v>1288</v>
      </c>
      <c r="G875" s="22" t="s">
        <v>1354</v>
      </c>
    </row>
    <row r="876" spans="1:10" s="5" customFormat="1" ht="16.2" hidden="1" outlineLevel="1" thickBot="1" x14ac:dyDescent="0.3">
      <c r="B876" s="19" t="s">
        <v>1290</v>
      </c>
      <c r="C876" s="23" t="s">
        <v>1291</v>
      </c>
      <c r="D876" s="21" t="s">
        <v>1292</v>
      </c>
      <c r="E876" s="23">
        <v>5</v>
      </c>
      <c r="F876" s="21" t="s">
        <v>1293</v>
      </c>
      <c r="G876" s="24" t="s">
        <v>1294</v>
      </c>
      <c r="H876" s="3"/>
      <c r="I876" s="3"/>
      <c r="J876" s="3"/>
    </row>
    <row r="877" spans="1:10" s="3" customFormat="1" ht="17.399999999999999" hidden="1" customHeight="1" outlineLevel="1" x14ac:dyDescent="0.25">
      <c r="A877" s="5"/>
      <c r="B877" s="401" t="s">
        <v>1</v>
      </c>
      <c r="C877" s="402"/>
      <c r="D877" s="402"/>
      <c r="E877" s="402"/>
      <c r="F877" s="402"/>
      <c r="G877" s="403"/>
    </row>
    <row r="878" spans="1:10" s="3" customFormat="1" ht="17.399999999999999" hidden="1" customHeight="1" outlineLevel="1" x14ac:dyDescent="0.25">
      <c r="A878" s="5"/>
      <c r="B878" s="25" t="s">
        <v>2</v>
      </c>
      <c r="C878" s="26" t="s">
        <v>3</v>
      </c>
      <c r="D878" s="26" t="s">
        <v>4</v>
      </c>
      <c r="E878" s="26" t="s">
        <v>5</v>
      </c>
      <c r="F878" s="26"/>
      <c r="G878" s="27" t="s">
        <v>6</v>
      </c>
    </row>
    <row r="879" spans="1:10" s="3" customFormat="1" ht="17.399999999999999" hidden="1" customHeight="1" outlineLevel="1" x14ac:dyDescent="0.35">
      <c r="A879" s="5"/>
      <c r="B879" s="57" t="s">
        <v>7</v>
      </c>
      <c r="C879" s="58" t="s">
        <v>1468</v>
      </c>
      <c r="D879" s="58" t="s">
        <v>1469</v>
      </c>
      <c r="E879" s="58">
        <v>0</v>
      </c>
      <c r="F879" s="58" t="s">
        <v>1470</v>
      </c>
      <c r="G879" s="59" t="s">
        <v>1471</v>
      </c>
      <c r="H879" s="4"/>
      <c r="I879" s="4"/>
      <c r="J879" s="4" t="s">
        <v>10</v>
      </c>
    </row>
    <row r="880" spans="1:10" s="3" customFormat="1" ht="17.399999999999999" hidden="1" customHeight="1" outlineLevel="1" x14ac:dyDescent="0.35">
      <c r="A880" s="5"/>
      <c r="B880" s="57" t="s">
        <v>11</v>
      </c>
      <c r="C880" s="58" t="s">
        <v>1472</v>
      </c>
      <c r="D880" s="58" t="s">
        <v>1469</v>
      </c>
      <c r="E880" s="58">
        <v>0</v>
      </c>
      <c r="F880" s="58" t="s">
        <v>1470</v>
      </c>
      <c r="G880" s="59" t="s">
        <v>1473</v>
      </c>
      <c r="H880" s="4"/>
      <c r="I880" s="4"/>
      <c r="J880" s="4" t="s">
        <v>12</v>
      </c>
    </row>
    <row r="881" spans="1:14" s="4" customFormat="1" ht="17.399999999999999" hidden="1" customHeight="1" outlineLevel="1" x14ac:dyDescent="0.35">
      <c r="A881" s="5"/>
      <c r="B881" s="60" t="s">
        <v>13</v>
      </c>
      <c r="C881" s="61" t="s">
        <v>1474</v>
      </c>
      <c r="D881" s="61" t="s">
        <v>1469</v>
      </c>
      <c r="E881" s="61">
        <v>0</v>
      </c>
      <c r="F881" s="61" t="s">
        <v>1470</v>
      </c>
      <c r="G881" s="62"/>
      <c r="H881" s="63"/>
      <c r="J881" s="4" t="s">
        <v>10</v>
      </c>
      <c r="K881" s="4" t="s">
        <v>173</v>
      </c>
      <c r="L881" s="4" t="s">
        <v>9</v>
      </c>
      <c r="M881" s="4" t="s">
        <v>9</v>
      </c>
      <c r="N881" s="4">
        <v>1112</v>
      </c>
    </row>
    <row r="882" spans="1:14" s="4" customFormat="1" ht="17.399999999999999" hidden="1" customHeight="1" outlineLevel="1" x14ac:dyDescent="0.35">
      <c r="A882" s="5"/>
      <c r="B882" s="60" t="s">
        <v>14</v>
      </c>
      <c r="C882" s="61" t="s">
        <v>1475</v>
      </c>
      <c r="D882" s="61" t="s">
        <v>1469</v>
      </c>
      <c r="E882" s="61">
        <v>0</v>
      </c>
      <c r="F882" s="61" t="s">
        <v>1476</v>
      </c>
      <c r="G882" s="62" t="s">
        <v>1477</v>
      </c>
      <c r="H882" s="63"/>
      <c r="J882" s="4" t="s">
        <v>10</v>
      </c>
      <c r="K882" s="4" t="s">
        <v>174</v>
      </c>
      <c r="L882" s="4" t="s">
        <v>175</v>
      </c>
      <c r="M882" s="4" t="s">
        <v>176</v>
      </c>
      <c r="N882" s="4">
        <v>1700</v>
      </c>
    </row>
    <row r="883" spans="1:14" s="4" customFormat="1" ht="17.399999999999999" hidden="1" customHeight="1" outlineLevel="1" x14ac:dyDescent="0.35">
      <c r="A883" s="5"/>
      <c r="B883" s="60" t="s">
        <v>15</v>
      </c>
      <c r="C883" s="61" t="s">
        <v>1478</v>
      </c>
      <c r="D883" s="61" t="s">
        <v>1469</v>
      </c>
      <c r="E883" s="61">
        <v>0</v>
      </c>
      <c r="F883" s="61" t="s">
        <v>1470</v>
      </c>
      <c r="G883" s="62"/>
      <c r="H883" s="63"/>
      <c r="J883" s="4" t="s">
        <v>10</v>
      </c>
      <c r="K883" s="4" t="s">
        <v>173</v>
      </c>
      <c r="L883" s="4" t="s">
        <v>9</v>
      </c>
      <c r="M883" s="4" t="s">
        <v>9</v>
      </c>
      <c r="N883" s="4">
        <v>2534</v>
      </c>
    </row>
    <row r="884" spans="1:14" s="4" customFormat="1" ht="17.399999999999999" hidden="1" customHeight="1" outlineLevel="1" x14ac:dyDescent="0.35">
      <c r="A884" s="5"/>
      <c r="B884" s="134" t="s">
        <v>17</v>
      </c>
      <c r="C884" s="135" t="s">
        <v>1483</v>
      </c>
      <c r="D884" s="135" t="s">
        <v>1469</v>
      </c>
      <c r="E884" s="65">
        <v>0</v>
      </c>
      <c r="F884" s="65" t="s">
        <v>1470</v>
      </c>
      <c r="G884" s="66" t="s">
        <v>1484</v>
      </c>
      <c r="H884" s="5"/>
      <c r="I884" s="5"/>
      <c r="J884" s="5" t="s">
        <v>10</v>
      </c>
      <c r="K884" s="4" t="s">
        <v>173</v>
      </c>
      <c r="L884" s="4" t="s">
        <v>9</v>
      </c>
      <c r="M884" s="4" t="s">
        <v>9</v>
      </c>
      <c r="N884" s="4">
        <v>2155</v>
      </c>
    </row>
    <row r="885" spans="1:14" s="4" customFormat="1" ht="17.399999999999999" hidden="1" customHeight="1" outlineLevel="1" x14ac:dyDescent="0.35">
      <c r="A885" s="5"/>
      <c r="B885" s="31" t="s">
        <v>160</v>
      </c>
      <c r="C885" s="20" t="s">
        <v>1588</v>
      </c>
      <c r="D885" s="20" t="s">
        <v>1469</v>
      </c>
      <c r="E885" s="20">
        <v>0</v>
      </c>
      <c r="F885" s="20"/>
      <c r="G885" s="22"/>
      <c r="H885" s="3"/>
      <c r="I885" s="3"/>
      <c r="J885" s="3" t="s">
        <v>10</v>
      </c>
      <c r="K885" s="4" t="s">
        <v>173</v>
      </c>
      <c r="L885" s="4" t="s">
        <v>9</v>
      </c>
      <c r="M885" s="4" t="s">
        <v>9</v>
      </c>
      <c r="N885" s="4">
        <v>2430</v>
      </c>
    </row>
    <row r="886" spans="1:14" s="4" customFormat="1" ht="17.399999999999999" hidden="1" customHeight="1" outlineLevel="1" x14ac:dyDescent="0.35">
      <c r="A886" s="5"/>
      <c r="B886" s="31" t="s">
        <v>162</v>
      </c>
      <c r="C886" s="20" t="s">
        <v>1589</v>
      </c>
      <c r="D886" s="20" t="s">
        <v>1469</v>
      </c>
      <c r="E886" s="20">
        <v>0</v>
      </c>
      <c r="F886" s="20"/>
      <c r="G886" s="22" t="s">
        <v>1590</v>
      </c>
      <c r="H886" s="3"/>
      <c r="I886" s="3"/>
      <c r="J886" s="3"/>
      <c r="K886" s="5" t="s">
        <v>173</v>
      </c>
      <c r="L886" s="5" t="s">
        <v>9</v>
      </c>
      <c r="M886" s="5" t="s">
        <v>9</v>
      </c>
      <c r="N886" s="4">
        <v>1097</v>
      </c>
    </row>
    <row r="887" spans="1:14" s="3" customFormat="1" hidden="1" outlineLevel="1" x14ac:dyDescent="0.25">
      <c r="A887" s="5"/>
      <c r="B887" s="31" t="s">
        <v>163</v>
      </c>
      <c r="C887" s="20" t="s">
        <v>1591</v>
      </c>
      <c r="D887" s="20" t="s">
        <v>1469</v>
      </c>
      <c r="E887" s="20">
        <v>0</v>
      </c>
      <c r="F887" s="20"/>
      <c r="G887" s="22" t="s">
        <v>1590</v>
      </c>
      <c r="K887" s="3" t="s">
        <v>173</v>
      </c>
      <c r="L887" s="3" t="s">
        <v>9</v>
      </c>
      <c r="M887" s="3" t="s">
        <v>9</v>
      </c>
      <c r="N887" s="3">
        <v>1604</v>
      </c>
    </row>
    <row r="888" spans="1:14" s="3" customFormat="1" hidden="1" outlineLevel="1" x14ac:dyDescent="0.25">
      <c r="A888" s="5"/>
      <c r="B888" s="64"/>
      <c r="C888" s="65"/>
      <c r="D888" s="65"/>
      <c r="E888" s="65"/>
      <c r="F888" s="65"/>
      <c r="G888" s="66"/>
      <c r="H888" s="6"/>
      <c r="I888" s="6"/>
      <c r="J888" s="6"/>
    </row>
    <row r="889" spans="1:14" s="3" customFormat="1" ht="16.2" hidden="1" outlineLevel="1" thickBot="1" x14ac:dyDescent="0.3">
      <c r="A889" s="5"/>
      <c r="B889" s="91"/>
      <c r="C889" s="92"/>
      <c r="D889" s="92"/>
      <c r="E889" s="92"/>
      <c r="F889" s="92"/>
      <c r="G889" s="93"/>
      <c r="H889" s="6"/>
      <c r="I889" s="6"/>
      <c r="J889" s="6"/>
    </row>
    <row r="890" spans="1:14" s="6" customFormat="1" hidden="1" outlineLevel="1" x14ac:dyDescent="0.25">
      <c r="A890" s="5"/>
      <c r="B890" s="383" t="s">
        <v>18</v>
      </c>
      <c r="C890" s="384"/>
      <c r="D890" s="384"/>
      <c r="E890" s="384"/>
      <c r="F890" s="384"/>
      <c r="G890" s="385"/>
    </row>
    <row r="891" spans="1:14" s="6" customFormat="1" hidden="1" outlineLevel="1" x14ac:dyDescent="0.25">
      <c r="A891" s="5"/>
      <c r="B891" s="136" t="s">
        <v>2</v>
      </c>
      <c r="C891" s="137" t="s">
        <v>3</v>
      </c>
      <c r="D891" s="137" t="s">
        <v>4</v>
      </c>
      <c r="E891" s="137" t="s">
        <v>5</v>
      </c>
      <c r="F891" s="137"/>
      <c r="G891" s="138" t="s">
        <v>6</v>
      </c>
    </row>
    <row r="892" spans="1:14" s="6" customFormat="1" hidden="1" outlineLevel="1" x14ac:dyDescent="0.25">
      <c r="A892" s="5"/>
      <c r="B892" s="31" t="s">
        <v>16</v>
      </c>
      <c r="C892" s="20" t="s">
        <v>1479</v>
      </c>
      <c r="D892" s="20" t="s">
        <v>1469</v>
      </c>
      <c r="E892" s="20" t="s">
        <v>1480</v>
      </c>
      <c r="F892" s="20" t="s">
        <v>1481</v>
      </c>
      <c r="G892" s="22" t="s">
        <v>1482</v>
      </c>
      <c r="H892" s="3"/>
      <c r="I892" s="3"/>
      <c r="J892" s="3" t="s">
        <v>10</v>
      </c>
    </row>
    <row r="893" spans="1:14" s="6" customFormat="1" hidden="1" outlineLevel="1" x14ac:dyDescent="0.25">
      <c r="A893" s="3"/>
      <c r="B893" s="28" t="s">
        <v>7</v>
      </c>
      <c r="C893" s="29" t="s">
        <v>1468</v>
      </c>
      <c r="D893" s="29" t="s">
        <v>1469</v>
      </c>
      <c r="E893" s="29">
        <v>0</v>
      </c>
      <c r="F893" s="29" t="s">
        <v>1470</v>
      </c>
      <c r="G893" s="30" t="s">
        <v>1471</v>
      </c>
      <c r="H893" s="3"/>
      <c r="I893" s="3"/>
      <c r="J893" s="3" t="s">
        <v>10</v>
      </c>
    </row>
    <row r="894" spans="1:14" s="3" customFormat="1" ht="17.399999999999999" hidden="1" customHeight="1" outlineLevel="1" x14ac:dyDescent="0.25">
      <c r="B894" s="28" t="s">
        <v>11</v>
      </c>
      <c r="C894" s="29" t="s">
        <v>1472</v>
      </c>
      <c r="D894" s="29" t="s">
        <v>1469</v>
      </c>
      <c r="E894" s="29">
        <v>0</v>
      </c>
      <c r="F894" s="29" t="s">
        <v>1470</v>
      </c>
      <c r="G894" s="30" t="s">
        <v>1473</v>
      </c>
      <c r="J894" s="3" t="s">
        <v>12</v>
      </c>
      <c r="N894" s="3">
        <v>1211</v>
      </c>
    </row>
    <row r="895" spans="1:14" s="3" customFormat="1" hidden="1" outlineLevel="1" x14ac:dyDescent="0.25">
      <c r="B895" s="28" t="s">
        <v>13</v>
      </c>
      <c r="C895" s="29" t="s">
        <v>1474</v>
      </c>
      <c r="D895" s="29" t="s">
        <v>1469</v>
      </c>
      <c r="E895" s="29">
        <v>0</v>
      </c>
      <c r="F895" s="29" t="s">
        <v>1470</v>
      </c>
      <c r="G895" s="30"/>
      <c r="J895" s="3" t="s">
        <v>10</v>
      </c>
      <c r="N895" s="3">
        <v>1112</v>
      </c>
    </row>
    <row r="896" spans="1:14" s="3" customFormat="1" hidden="1" outlineLevel="1" x14ac:dyDescent="0.25">
      <c r="A896" s="5"/>
      <c r="B896" s="31" t="s">
        <v>25</v>
      </c>
      <c r="C896" s="20" t="s">
        <v>1492</v>
      </c>
      <c r="D896" s="20" t="s">
        <v>1469</v>
      </c>
      <c r="E896" s="20">
        <v>0</v>
      </c>
      <c r="F896" s="20" t="s">
        <v>1470</v>
      </c>
      <c r="G896" s="22" t="s">
        <v>1484</v>
      </c>
      <c r="J896" s="3" t="s">
        <v>10</v>
      </c>
      <c r="N896" s="3">
        <v>1700</v>
      </c>
    </row>
    <row r="897" spans="1:14" s="3" customFormat="1" hidden="1" outlineLevel="1" x14ac:dyDescent="0.25">
      <c r="A897" s="5"/>
      <c r="B897" s="31" t="s">
        <v>14</v>
      </c>
      <c r="C897" s="20" t="s">
        <v>1475</v>
      </c>
      <c r="D897" s="20" t="s">
        <v>1469</v>
      </c>
      <c r="E897" s="20">
        <v>0</v>
      </c>
      <c r="F897" s="20" t="s">
        <v>1476</v>
      </c>
      <c r="G897" s="22" t="s">
        <v>1477</v>
      </c>
      <c r="J897" s="3" t="s">
        <v>10</v>
      </c>
      <c r="N897" s="3">
        <v>2534</v>
      </c>
    </row>
    <row r="898" spans="1:14" s="3" customFormat="1" ht="17.399999999999999" hidden="1" customHeight="1" outlineLevel="1" x14ac:dyDescent="0.25">
      <c r="A898" s="5"/>
      <c r="B898" s="31" t="s">
        <v>15</v>
      </c>
      <c r="C898" s="20" t="s">
        <v>1478</v>
      </c>
      <c r="D898" s="20" t="s">
        <v>1469</v>
      </c>
      <c r="E898" s="20">
        <v>0</v>
      </c>
      <c r="F898" s="20" t="s">
        <v>1470</v>
      </c>
      <c r="G898" s="22"/>
      <c r="J898" s="3" t="s">
        <v>20</v>
      </c>
      <c r="N898" s="3">
        <v>2155</v>
      </c>
    </row>
    <row r="899" spans="1:14" s="3" customFormat="1" ht="17.399999999999999" hidden="1" customHeight="1" outlineLevel="1" x14ac:dyDescent="0.25">
      <c r="A899" s="5"/>
      <c r="B899" s="159" t="s">
        <v>75</v>
      </c>
      <c r="C899" s="20" t="s">
        <v>1530</v>
      </c>
      <c r="D899" s="20" t="s">
        <v>1486</v>
      </c>
      <c r="E899" s="20">
        <v>0</v>
      </c>
      <c r="F899" s="20" t="s">
        <v>1470</v>
      </c>
      <c r="G899" s="22" t="s">
        <v>1531</v>
      </c>
      <c r="H899" s="3" t="str">
        <f t="shared" ref="H899:H908" si="5">",SUM(a.{"&amp;B899&amp;"}) as {"&amp;B899&amp;"}"</f>
        <v>,SUM(a.{当前数量}) as {当前数量}</v>
      </c>
      <c r="N899" s="3">
        <v>2430</v>
      </c>
    </row>
    <row r="900" spans="1:14" s="3" customFormat="1" ht="17.399999999999999" hidden="1" customHeight="1" outlineLevel="1" x14ac:dyDescent="0.25">
      <c r="A900" s="5"/>
      <c r="B900" s="31" t="s">
        <v>76</v>
      </c>
      <c r="C900" s="20" t="s">
        <v>1532</v>
      </c>
      <c r="D900" s="20" t="s">
        <v>1489</v>
      </c>
      <c r="E900" s="20">
        <v>0</v>
      </c>
      <c r="F900" s="20"/>
      <c r="G900" s="22"/>
      <c r="H900" s="3" t="str">
        <f t="shared" si="5"/>
        <v>,SUM(a.{开仓市值}) as {开仓市值}</v>
      </c>
      <c r="N900" s="3">
        <v>1203</v>
      </c>
    </row>
    <row r="901" spans="1:14" s="3" customFormat="1" ht="17.399999999999999" hidden="1" customHeight="1" outlineLevel="1" x14ac:dyDescent="0.25">
      <c r="A901" s="5"/>
      <c r="B901" s="81" t="s">
        <v>177</v>
      </c>
      <c r="C901" s="20" t="s">
        <v>1600</v>
      </c>
      <c r="D901" s="20" t="s">
        <v>1489</v>
      </c>
      <c r="E901" s="20">
        <v>0</v>
      </c>
      <c r="F901" s="20" t="s">
        <v>1470</v>
      </c>
      <c r="G901" s="22"/>
      <c r="H901" s="3" t="str">
        <f t="shared" si="5"/>
        <v>,SUM(a.{开仓费用}) as {开仓费用}</v>
      </c>
    </row>
    <row r="902" spans="1:14" s="3" customFormat="1" ht="17.399999999999999" hidden="1" customHeight="1" outlineLevel="1" x14ac:dyDescent="0.25">
      <c r="A902" s="5"/>
      <c r="B902" s="31" t="s">
        <v>77</v>
      </c>
      <c r="C902" s="20" t="s">
        <v>1533</v>
      </c>
      <c r="D902" s="20" t="s">
        <v>1486</v>
      </c>
      <c r="E902" s="20">
        <v>0</v>
      </c>
      <c r="F902" s="20" t="s">
        <v>1470</v>
      </c>
      <c r="G902" s="22"/>
      <c r="H902" s="3" t="str">
        <f t="shared" si="5"/>
        <v>,SUM(a.{平仓数量}) as {平仓数量}</v>
      </c>
    </row>
    <row r="903" spans="1:14" s="3" customFormat="1" ht="17.399999999999999" hidden="1" customHeight="1" outlineLevel="1" x14ac:dyDescent="0.25">
      <c r="A903" s="5"/>
      <c r="B903" s="31" t="s">
        <v>78</v>
      </c>
      <c r="C903" s="20" t="s">
        <v>1534</v>
      </c>
      <c r="D903" s="20" t="s">
        <v>1489</v>
      </c>
      <c r="E903" s="20">
        <v>0</v>
      </c>
      <c r="F903" s="20"/>
      <c r="G903" s="22"/>
      <c r="H903" s="3" t="str">
        <f t="shared" si="5"/>
        <v>,SUM(a.{平仓市值}) as {平仓市值}</v>
      </c>
    </row>
    <row r="904" spans="1:14" s="3" customFormat="1" ht="17.399999999999999" hidden="1" customHeight="1" outlineLevel="1" x14ac:dyDescent="0.25">
      <c r="A904" s="5"/>
      <c r="B904" s="81" t="s">
        <v>178</v>
      </c>
      <c r="C904" s="20" t="s">
        <v>1601</v>
      </c>
      <c r="D904" s="20" t="s">
        <v>1489</v>
      </c>
      <c r="E904" s="20">
        <v>0</v>
      </c>
      <c r="F904" s="20" t="s">
        <v>1470</v>
      </c>
      <c r="G904" s="22"/>
      <c r="H904" s="3" t="str">
        <f t="shared" si="5"/>
        <v>,SUM(a.{平仓费用}) as {平仓费用}</v>
      </c>
    </row>
    <row r="905" spans="1:14" s="3" customFormat="1" ht="17.399999999999999" hidden="1" customHeight="1" outlineLevel="1" x14ac:dyDescent="0.25">
      <c r="B905" s="159" t="s">
        <v>179</v>
      </c>
      <c r="C905" s="29" t="s">
        <v>1602</v>
      </c>
      <c r="D905" s="29" t="s">
        <v>1486</v>
      </c>
      <c r="E905" s="29">
        <v>0</v>
      </c>
      <c r="F905" s="29" t="s">
        <v>1470</v>
      </c>
      <c r="G905" s="30"/>
      <c r="H905" s="3" t="str">
        <f t="shared" si="5"/>
        <v>,SUM(a.{未平仓数量}) as {未平仓数量}</v>
      </c>
    </row>
    <row r="906" spans="1:14" s="3" customFormat="1" ht="17.399999999999999" hidden="1" customHeight="1" outlineLevel="1" x14ac:dyDescent="0.25">
      <c r="B906" s="159" t="s">
        <v>180</v>
      </c>
      <c r="C906" s="29" t="s">
        <v>1603</v>
      </c>
      <c r="D906" s="29" t="s">
        <v>1489</v>
      </c>
      <c r="E906" s="29">
        <v>0</v>
      </c>
      <c r="F906" s="29" t="s">
        <v>1470</v>
      </c>
      <c r="G906" s="30"/>
      <c r="H906" s="3" t="str">
        <f t="shared" si="5"/>
        <v>,SUM(a.{未平仓市值}) as {未平仓市值}</v>
      </c>
    </row>
    <row r="907" spans="1:14" s="3" customFormat="1" hidden="1" outlineLevel="1" x14ac:dyDescent="0.25">
      <c r="B907" s="81" t="s">
        <v>24</v>
      </c>
      <c r="C907" s="23" t="s">
        <v>1491</v>
      </c>
      <c r="D907" s="23" t="s">
        <v>1489</v>
      </c>
      <c r="E907" s="23">
        <v>0</v>
      </c>
      <c r="F907" s="23" t="s">
        <v>1470</v>
      </c>
      <c r="G907" s="24"/>
      <c r="H907" s="3" t="str">
        <f t="shared" si="5"/>
        <v>,SUM(a.{实现盈亏}) as {实现盈亏}</v>
      </c>
    </row>
    <row r="908" spans="1:14" s="3" customFormat="1" hidden="1" outlineLevel="1" x14ac:dyDescent="0.25">
      <c r="B908" s="81" t="s">
        <v>58</v>
      </c>
      <c r="C908" s="23" t="s">
        <v>1522</v>
      </c>
      <c r="D908" s="23" t="s">
        <v>1489</v>
      </c>
      <c r="E908" s="23">
        <v>0</v>
      </c>
      <c r="F908" s="23" t="s">
        <v>1470</v>
      </c>
      <c r="G908" s="24"/>
      <c r="H908" s="3" t="str">
        <f t="shared" si="5"/>
        <v>,SUM(a.{隔夜盈亏}) as {隔夜盈亏}</v>
      </c>
    </row>
    <row r="909" spans="1:14" s="3" customFormat="1" ht="16.2" hidden="1" outlineLevel="1" thickBot="1" x14ac:dyDescent="0.3">
      <c r="B909" s="28"/>
      <c r="C909" s="29"/>
      <c r="D909" s="29"/>
      <c r="E909" s="29"/>
      <c r="F909" s="29"/>
      <c r="G909" s="30"/>
    </row>
    <row r="910" spans="1:14" s="3" customFormat="1" hidden="1" outlineLevel="1" x14ac:dyDescent="0.25">
      <c r="A910" s="5"/>
      <c r="B910" s="401" t="s">
        <v>29</v>
      </c>
      <c r="C910" s="402"/>
      <c r="D910" s="402"/>
      <c r="E910" s="402"/>
      <c r="F910" s="402"/>
      <c r="G910" s="403"/>
    </row>
    <row r="911" spans="1:14" s="3" customFormat="1" ht="17.399999999999999" hidden="1" customHeight="1" outlineLevel="1" x14ac:dyDescent="0.25">
      <c r="A911" s="5"/>
      <c r="B911" s="31"/>
      <c r="C911" s="20"/>
      <c r="D911" s="20"/>
      <c r="E911" s="20"/>
      <c r="F911" s="20"/>
      <c r="G911" s="22"/>
      <c r="I911" s="28"/>
    </row>
    <row r="912" spans="1:14" s="3" customFormat="1" hidden="1" outlineLevel="1" x14ac:dyDescent="0.25">
      <c r="A912" s="5"/>
      <c r="B912" s="140" t="s">
        <v>926</v>
      </c>
      <c r="C912" s="20"/>
      <c r="D912" s="20"/>
      <c r="E912" s="20"/>
      <c r="F912" s="20"/>
      <c r="G912" s="22"/>
      <c r="I912" s="57"/>
    </row>
    <row r="913" spans="1:10" s="3" customFormat="1" hidden="1" outlineLevel="1" x14ac:dyDescent="0.25">
      <c r="A913" s="5"/>
      <c r="B913" s="140" t="s">
        <v>927</v>
      </c>
      <c r="C913" s="20"/>
      <c r="D913" s="20"/>
      <c r="E913" s="20"/>
      <c r="F913" s="20"/>
      <c r="G913" s="22"/>
      <c r="I913" s="60"/>
    </row>
    <row r="914" spans="1:10" s="3" customFormat="1" hidden="1" outlineLevel="1" x14ac:dyDescent="0.25">
      <c r="A914" s="5"/>
      <c r="B914" s="141" t="s">
        <v>928</v>
      </c>
      <c r="C914" s="20"/>
      <c r="D914" s="20"/>
      <c r="E914" s="20"/>
      <c r="F914" s="20"/>
      <c r="G914" s="22"/>
      <c r="I914" s="64"/>
    </row>
    <row r="915" spans="1:10" s="3" customFormat="1" hidden="1" outlineLevel="1" x14ac:dyDescent="0.25">
      <c r="A915" s="5"/>
      <c r="B915" s="141" t="s">
        <v>929</v>
      </c>
      <c r="C915" s="20"/>
      <c r="D915" s="20"/>
      <c r="E915" s="20"/>
      <c r="F915" s="20"/>
      <c r="G915" s="22"/>
      <c r="I915" s="134"/>
    </row>
    <row r="916" spans="1:10" s="3" customFormat="1" hidden="1" outlineLevel="1" x14ac:dyDescent="0.25">
      <c r="A916" s="5"/>
      <c r="B916" s="140"/>
      <c r="C916" s="20"/>
      <c r="D916" s="20"/>
      <c r="E916" s="20"/>
      <c r="F916" s="20"/>
      <c r="G916" s="22"/>
      <c r="I916" s="151"/>
    </row>
    <row r="917" spans="1:10" s="3" customFormat="1" hidden="1" outlineLevel="1" x14ac:dyDescent="0.25">
      <c r="A917" s="5"/>
      <c r="B917" s="140" t="s">
        <v>930</v>
      </c>
      <c r="C917" s="20"/>
      <c r="D917" s="20"/>
      <c r="E917" s="20"/>
      <c r="F917" s="20"/>
      <c r="G917" s="22"/>
      <c r="I917" s="57"/>
    </row>
    <row r="918" spans="1:10" s="3" customFormat="1" hidden="1" outlineLevel="1" x14ac:dyDescent="0.25">
      <c r="A918" s="5"/>
      <c r="B918" s="140" t="s">
        <v>931</v>
      </c>
      <c r="C918" s="20"/>
      <c r="D918" s="20"/>
      <c r="E918" s="20"/>
      <c r="F918" s="20"/>
      <c r="G918" s="22"/>
      <c r="I918" s="60"/>
    </row>
    <row r="919" spans="1:10" s="3" customFormat="1" hidden="1" outlineLevel="1" x14ac:dyDescent="0.25">
      <c r="A919" s="5"/>
      <c r="B919" s="140" t="s">
        <v>932</v>
      </c>
      <c r="C919" s="20"/>
      <c r="D919" s="20"/>
      <c r="E919" s="20"/>
      <c r="F919" s="20"/>
      <c r="G919" s="22"/>
      <c r="I919" s="60"/>
    </row>
    <row r="920" spans="1:10" s="3" customFormat="1" hidden="1" outlineLevel="1" x14ac:dyDescent="0.25">
      <c r="A920" s="5"/>
      <c r="B920" s="140" t="s">
        <v>933</v>
      </c>
      <c r="C920" s="20"/>
      <c r="D920" s="20"/>
      <c r="E920" s="20"/>
      <c r="F920" s="20"/>
      <c r="G920" s="22"/>
      <c r="I920" s="60"/>
    </row>
    <row r="921" spans="1:10" s="3" customFormat="1" hidden="1" outlineLevel="1" x14ac:dyDescent="0.25">
      <c r="A921" s="5"/>
      <c r="B921" s="140" t="s">
        <v>934</v>
      </c>
      <c r="C921" s="20"/>
      <c r="D921" s="20"/>
      <c r="E921" s="20"/>
      <c r="F921" s="20"/>
      <c r="G921" s="22"/>
      <c r="I921" s="60"/>
    </row>
    <row r="922" spans="1:10" s="3" customFormat="1" hidden="1" outlineLevel="1" x14ac:dyDescent="0.25">
      <c r="A922" s="5"/>
      <c r="B922" s="51"/>
      <c r="C922" s="20"/>
      <c r="D922" s="20"/>
      <c r="E922" s="20"/>
      <c r="F922" s="20"/>
      <c r="G922" s="22"/>
    </row>
    <row r="923" spans="1:10" s="3" customFormat="1" hidden="1" outlineLevel="1" x14ac:dyDescent="0.25">
      <c r="A923" s="5"/>
      <c r="B923" s="143" t="s">
        <v>899</v>
      </c>
      <c r="C923" s="20"/>
      <c r="D923" s="20"/>
      <c r="E923" s="20"/>
      <c r="F923" s="20"/>
      <c r="G923" s="22"/>
      <c r="I923" s="152"/>
    </row>
    <row r="924" spans="1:10" s="3" customFormat="1" hidden="1" outlineLevel="1" x14ac:dyDescent="0.25">
      <c r="A924" s="5"/>
      <c r="B924" s="144" t="s">
        <v>935</v>
      </c>
      <c r="C924" s="20"/>
      <c r="D924" s="20"/>
      <c r="E924" s="20"/>
      <c r="F924" s="20"/>
      <c r="G924" s="22"/>
    </row>
    <row r="925" spans="1:10" s="3" customFormat="1" hidden="1" outlineLevel="1" x14ac:dyDescent="0.25">
      <c r="A925" s="5"/>
      <c r="B925" s="144"/>
      <c r="C925" s="20"/>
      <c r="D925" s="20"/>
      <c r="E925" s="20"/>
      <c r="F925" s="20"/>
      <c r="G925" s="22"/>
    </row>
    <row r="926" spans="1:10" s="3" customFormat="1" hidden="1" outlineLevel="1" x14ac:dyDescent="0.25">
      <c r="A926" s="5"/>
      <c r="B926" s="31" t="s">
        <v>902</v>
      </c>
      <c r="C926" s="20"/>
      <c r="D926" s="20"/>
      <c r="E926" s="20"/>
      <c r="F926" s="20"/>
      <c r="G926" s="22"/>
    </row>
    <row r="927" spans="1:10" s="3" customFormat="1" hidden="1" outlineLevel="1" x14ac:dyDescent="0.25">
      <c r="A927" s="5"/>
      <c r="B927" s="142" t="s">
        <v>936</v>
      </c>
      <c r="C927" s="20"/>
      <c r="D927" s="20"/>
      <c r="E927" s="20"/>
      <c r="F927" s="20"/>
      <c r="G927" s="22"/>
      <c r="J927" s="45"/>
    </row>
    <row r="928" spans="1:10" s="3" customFormat="1" hidden="1" outlineLevel="1" x14ac:dyDescent="0.25">
      <c r="A928" s="5"/>
      <c r="B928" s="115" t="s">
        <v>937</v>
      </c>
      <c r="C928" s="20"/>
      <c r="D928" s="20"/>
      <c r="E928" s="20"/>
      <c r="F928" s="20"/>
      <c r="G928" s="22"/>
      <c r="J928" s="45"/>
    </row>
    <row r="929" spans="1:10" s="3" customFormat="1" hidden="1" outlineLevel="1" x14ac:dyDescent="0.25">
      <c r="A929" s="5"/>
      <c r="B929" s="160" t="s">
        <v>938</v>
      </c>
      <c r="C929" s="20"/>
      <c r="D929" s="20"/>
      <c r="E929" s="20"/>
      <c r="F929" s="20"/>
      <c r="G929" s="22"/>
      <c r="J929" s="45"/>
    </row>
    <row r="930" spans="1:10" s="3" customFormat="1" hidden="1" outlineLevel="1" x14ac:dyDescent="0.25">
      <c r="A930" s="5"/>
      <c r="B930" s="160" t="s">
        <v>2291</v>
      </c>
      <c r="C930" s="20"/>
      <c r="D930" s="20"/>
      <c r="E930" s="20"/>
      <c r="F930" s="20"/>
      <c r="G930" s="22"/>
      <c r="J930" s="55"/>
    </row>
    <row r="931" spans="1:10" s="3" customFormat="1" hidden="1" outlineLevel="1" x14ac:dyDescent="0.25">
      <c r="A931" s="5"/>
      <c r="B931" s="115"/>
      <c r="C931" s="20"/>
      <c r="D931" s="20"/>
      <c r="E931" s="20"/>
      <c r="F931" s="20"/>
      <c r="G931" s="22"/>
      <c r="J931" s="150"/>
    </row>
    <row r="932" spans="1:10" s="3" customFormat="1" hidden="1" outlineLevel="1" x14ac:dyDescent="0.25">
      <c r="A932" s="14"/>
      <c r="B932" s="154" t="s">
        <v>910</v>
      </c>
      <c r="C932" s="23"/>
      <c r="D932" s="23"/>
      <c r="E932" s="23"/>
      <c r="F932" s="23"/>
      <c r="G932" s="123"/>
      <c r="H932" s="14"/>
      <c r="I932" s="14"/>
      <c r="J932" s="14"/>
    </row>
    <row r="933" spans="1:10" s="3" customFormat="1" hidden="1" outlineLevel="1" x14ac:dyDescent="0.25">
      <c r="A933" s="5"/>
      <c r="B933" s="115" t="s">
        <v>2292</v>
      </c>
      <c r="C933" s="20"/>
      <c r="D933" s="20"/>
      <c r="E933" s="20"/>
      <c r="F933" s="20"/>
      <c r="G933" s="22"/>
      <c r="J933" s="55"/>
    </row>
    <row r="934" spans="1:10" s="3" customFormat="1" hidden="1" outlineLevel="1" x14ac:dyDescent="0.25">
      <c r="A934" s="5"/>
      <c r="B934" s="115" t="s">
        <v>2293</v>
      </c>
      <c r="C934" s="20"/>
      <c r="D934" s="20"/>
      <c r="E934" s="20"/>
      <c r="F934" s="20"/>
      <c r="G934" s="22"/>
      <c r="J934" s="55"/>
    </row>
    <row r="935" spans="1:10" hidden="1" outlineLevel="1" x14ac:dyDescent="0.25">
      <c r="B935" s="154" t="s">
        <v>912</v>
      </c>
      <c r="C935" s="23"/>
      <c r="D935" s="23"/>
      <c r="E935" s="23"/>
      <c r="F935" s="23"/>
      <c r="G935" s="123"/>
    </row>
    <row r="936" spans="1:10" s="3" customFormat="1" hidden="1" outlineLevel="1" x14ac:dyDescent="0.25">
      <c r="A936" s="14"/>
      <c r="B936" s="89"/>
      <c r="C936" s="23"/>
      <c r="D936" s="23"/>
      <c r="E936" s="23"/>
      <c r="F936" s="23"/>
      <c r="G936" s="24"/>
      <c r="H936" s="14"/>
      <c r="I936" s="14"/>
      <c r="J936" s="14"/>
    </row>
    <row r="937" spans="1:10" hidden="1" outlineLevel="1" x14ac:dyDescent="0.25">
      <c r="B937" s="115" t="s">
        <v>2294</v>
      </c>
      <c r="C937" s="23"/>
      <c r="D937" s="23"/>
      <c r="E937" s="23"/>
      <c r="F937" s="23"/>
      <c r="G937" s="24"/>
    </row>
    <row r="938" spans="1:10" s="3" customFormat="1" hidden="1" outlineLevel="1" x14ac:dyDescent="0.25">
      <c r="A938" s="5"/>
      <c r="B938" s="115" t="s">
        <v>2295</v>
      </c>
      <c r="C938" s="20"/>
      <c r="D938" s="20"/>
      <c r="E938" s="20"/>
      <c r="F938" s="20"/>
      <c r="G938" s="22"/>
      <c r="J938" s="55"/>
    </row>
    <row r="939" spans="1:10" hidden="1" outlineLevel="1" x14ac:dyDescent="0.25">
      <c r="B939" s="154" t="s">
        <v>561</v>
      </c>
      <c r="C939" s="155"/>
      <c r="D939" s="23"/>
      <c r="E939" s="155"/>
      <c r="F939" s="23"/>
      <c r="G939" s="24"/>
    </row>
    <row r="940" spans="1:10" hidden="1" outlineLevel="1" x14ac:dyDescent="0.25">
      <c r="B940" s="115" t="s">
        <v>939</v>
      </c>
      <c r="C940" s="23"/>
      <c r="D940" s="23"/>
      <c r="E940" s="23"/>
      <c r="F940" s="23"/>
      <c r="G940" s="24"/>
    </row>
    <row r="941" spans="1:10" hidden="1" outlineLevel="1" x14ac:dyDescent="0.25">
      <c r="A941" s="5"/>
      <c r="B941" s="156"/>
      <c r="C941" s="20"/>
      <c r="D941" s="20"/>
      <c r="E941" s="20"/>
      <c r="F941" s="20"/>
      <c r="G941" s="22"/>
      <c r="H941" s="3"/>
      <c r="I941" s="3"/>
      <c r="J941" s="55"/>
    </row>
    <row r="942" spans="1:10" hidden="1" outlineLevel="1" x14ac:dyDescent="0.25">
      <c r="A942" s="5"/>
      <c r="B942" s="156" t="s">
        <v>914</v>
      </c>
      <c r="C942" s="20"/>
      <c r="D942" s="20"/>
      <c r="E942" s="20"/>
      <c r="F942" s="20"/>
      <c r="G942" s="22"/>
      <c r="H942" s="3"/>
      <c r="I942" s="3"/>
      <c r="J942" s="55"/>
    </row>
    <row r="943" spans="1:10" s="3" customFormat="1" hidden="1" outlineLevel="1" x14ac:dyDescent="0.25">
      <c r="A943" s="5"/>
      <c r="B943" s="161" t="s">
        <v>940</v>
      </c>
      <c r="C943" s="20"/>
      <c r="D943" s="20"/>
      <c r="E943" s="20"/>
      <c r="F943" s="20"/>
      <c r="G943" s="22"/>
      <c r="J943" s="55"/>
    </row>
    <row r="944" spans="1:10" s="3" customFormat="1" hidden="1" outlineLevel="1" x14ac:dyDescent="0.25">
      <c r="A944" s="5"/>
      <c r="B944" s="156" t="s">
        <v>916</v>
      </c>
      <c r="C944" s="20"/>
      <c r="D944" s="20"/>
      <c r="E944" s="20"/>
      <c r="F944" s="20"/>
      <c r="G944" s="22"/>
      <c r="J944" s="45"/>
    </row>
    <row r="945" spans="1:10" s="3" customFormat="1" hidden="1" outlineLevel="1" x14ac:dyDescent="0.25">
      <c r="A945" s="5"/>
      <c r="B945" s="161" t="s">
        <v>941</v>
      </c>
      <c r="C945" s="20"/>
      <c r="D945" s="20"/>
      <c r="E945" s="20"/>
      <c r="F945" s="20"/>
      <c r="G945" s="22"/>
      <c r="J945" s="56"/>
    </row>
    <row r="946" spans="1:10" s="3" customFormat="1" hidden="1" outlineLevel="1" x14ac:dyDescent="0.25">
      <c r="A946" s="5"/>
      <c r="B946" s="156" t="s">
        <v>920</v>
      </c>
      <c r="C946" s="20"/>
      <c r="D946" s="20"/>
      <c r="E946" s="20"/>
      <c r="F946" s="20"/>
      <c r="G946" s="22"/>
      <c r="J946" s="31"/>
    </row>
    <row r="947" spans="1:10" s="3" customFormat="1" hidden="1" outlineLevel="1" x14ac:dyDescent="0.25">
      <c r="A947" s="5"/>
      <c r="B947" s="161" t="s">
        <v>942</v>
      </c>
      <c r="C947" s="20"/>
      <c r="D947" s="20"/>
      <c r="E947" s="20"/>
      <c r="F947" s="20"/>
      <c r="G947" s="22"/>
      <c r="J947" s="56"/>
    </row>
    <row r="948" spans="1:10" s="3" customFormat="1" hidden="1" outlineLevel="1" x14ac:dyDescent="0.25">
      <c r="A948" s="5"/>
      <c r="B948" s="156" t="s">
        <v>561</v>
      </c>
      <c r="C948" s="20"/>
      <c r="D948" s="20"/>
      <c r="E948" s="20"/>
      <c r="F948" s="20"/>
      <c r="G948" s="22"/>
      <c r="J948" s="31"/>
    </row>
    <row r="949" spans="1:10" s="3" customFormat="1" hidden="1" outlineLevel="1" x14ac:dyDescent="0.25">
      <c r="A949" s="5"/>
      <c r="B949" s="156"/>
      <c r="C949" s="20"/>
      <c r="D949" s="20"/>
      <c r="E949" s="20"/>
      <c r="F949" s="20"/>
      <c r="G949" s="22"/>
    </row>
    <row r="950" spans="1:10" s="3" customFormat="1" hidden="1" outlineLevel="1" x14ac:dyDescent="0.25">
      <c r="A950" s="5"/>
      <c r="B950" s="156"/>
      <c r="C950" s="20"/>
      <c r="D950" s="20"/>
      <c r="E950" s="20"/>
      <c r="F950" s="20"/>
      <c r="G950" s="22"/>
    </row>
    <row r="951" spans="1:10" s="3" customFormat="1" hidden="1" outlineLevel="1" x14ac:dyDescent="0.25">
      <c r="A951" s="5"/>
      <c r="B951" s="115" t="s">
        <v>943</v>
      </c>
      <c r="C951" s="20"/>
      <c r="D951" s="20"/>
      <c r="E951" s="20"/>
      <c r="F951" s="20"/>
      <c r="G951" s="22"/>
    </row>
    <row r="952" spans="1:10" s="3" customFormat="1" ht="16.2" hidden="1" outlineLevel="1" thickBot="1" x14ac:dyDescent="0.3">
      <c r="A952" s="5"/>
      <c r="B952" s="157" t="s">
        <v>923</v>
      </c>
      <c r="C952" s="20"/>
      <c r="D952" s="20"/>
      <c r="E952" s="20"/>
      <c r="F952" s="20"/>
      <c r="G952" s="22"/>
    </row>
    <row r="953" spans="1:10" s="3" customFormat="1" hidden="1" outlineLevel="1" x14ac:dyDescent="0.25">
      <c r="A953" s="5"/>
      <c r="B953" s="31"/>
      <c r="C953" s="20"/>
      <c r="D953" s="20"/>
      <c r="E953" s="20"/>
      <c r="F953" s="20"/>
      <c r="G953" s="22"/>
      <c r="I953" s="28"/>
    </row>
    <row r="954" spans="1:10" s="3" customFormat="1" ht="16.2" hidden="1" outlineLevel="1" thickBot="1" x14ac:dyDescent="0.3">
      <c r="A954" s="5"/>
      <c r="B954" s="52"/>
      <c r="C954" s="53"/>
      <c r="D954" s="53"/>
      <c r="E954" s="53"/>
      <c r="F954" s="53"/>
      <c r="G954" s="54"/>
    </row>
    <row r="955" spans="1:10" s="3" customFormat="1" ht="16.2" hidden="1" outlineLevel="1" thickBot="1" x14ac:dyDescent="0.3">
      <c r="A955" s="5"/>
      <c r="B955" s="5"/>
      <c r="C955" s="5"/>
      <c r="D955" s="5"/>
      <c r="E955" s="5"/>
      <c r="F955" s="5"/>
      <c r="G955" s="5"/>
      <c r="H955" s="5"/>
    </row>
    <row r="956" spans="1:10" s="3" customFormat="1" ht="18.75" customHeight="1" collapsed="1" thickBot="1" x14ac:dyDescent="0.3">
      <c r="A956" s="5"/>
      <c r="B956" s="15" t="s">
        <v>1279</v>
      </c>
      <c r="C956" s="16" t="s">
        <v>2147</v>
      </c>
      <c r="D956" s="17" t="s">
        <v>1281</v>
      </c>
      <c r="E956" s="133" t="s">
        <v>944</v>
      </c>
      <c r="F956" s="17" t="s">
        <v>1282</v>
      </c>
      <c r="G956" s="18" t="s">
        <v>2148</v>
      </c>
      <c r="I956" s="5"/>
      <c r="J956" s="5"/>
    </row>
    <row r="957" spans="1:10" s="3" customFormat="1" ht="18.75" hidden="1" customHeight="1" outlineLevel="1" x14ac:dyDescent="0.25">
      <c r="A957" s="5"/>
      <c r="B957" s="19" t="s">
        <v>1284</v>
      </c>
      <c r="C957" s="20" t="s">
        <v>1285</v>
      </c>
      <c r="D957" s="21" t="s">
        <v>1286</v>
      </c>
      <c r="E957" s="20" t="s">
        <v>2149</v>
      </c>
      <c r="F957" s="21" t="s">
        <v>1288</v>
      </c>
      <c r="G957" s="22" t="s">
        <v>1358</v>
      </c>
    </row>
    <row r="958" spans="1:10" s="5" customFormat="1" ht="16.2" hidden="1" outlineLevel="1" thickBot="1" x14ac:dyDescent="0.3">
      <c r="B958" s="19" t="s">
        <v>1290</v>
      </c>
      <c r="C958" s="23" t="s">
        <v>1291</v>
      </c>
      <c r="D958" s="21" t="s">
        <v>1292</v>
      </c>
      <c r="E958" s="23">
        <v>5</v>
      </c>
      <c r="F958" s="21" t="s">
        <v>1293</v>
      </c>
      <c r="G958" s="24" t="s">
        <v>1294</v>
      </c>
      <c r="H958" s="3"/>
      <c r="I958" s="3"/>
      <c r="J958" s="3"/>
    </row>
    <row r="959" spans="1:10" s="3" customFormat="1" ht="17.399999999999999" hidden="1" customHeight="1" outlineLevel="1" x14ac:dyDescent="0.25">
      <c r="A959" s="5"/>
      <c r="B959" s="401" t="s">
        <v>1</v>
      </c>
      <c r="C959" s="402"/>
      <c r="D959" s="402"/>
      <c r="E959" s="402"/>
      <c r="F959" s="402"/>
      <c r="G959" s="403"/>
    </row>
    <row r="960" spans="1:10" s="3" customFormat="1" ht="17.399999999999999" hidden="1" customHeight="1" outlineLevel="1" x14ac:dyDescent="0.25">
      <c r="A960" s="5"/>
      <c r="B960" s="25" t="s">
        <v>2</v>
      </c>
      <c r="C960" s="26" t="s">
        <v>3</v>
      </c>
      <c r="D960" s="26" t="s">
        <v>4</v>
      </c>
      <c r="E960" s="26" t="s">
        <v>5</v>
      </c>
      <c r="F960" s="26"/>
      <c r="G960" s="27" t="s">
        <v>6</v>
      </c>
    </row>
    <row r="961" spans="1:14" s="3" customFormat="1" ht="17.399999999999999" hidden="1" customHeight="1" outlineLevel="1" x14ac:dyDescent="0.35">
      <c r="A961" s="5"/>
      <c r="B961" s="57" t="s">
        <v>7</v>
      </c>
      <c r="C961" s="58" t="s">
        <v>1468</v>
      </c>
      <c r="D961" s="58" t="s">
        <v>1469</v>
      </c>
      <c r="E961" s="58">
        <v>0</v>
      </c>
      <c r="F961" s="58" t="s">
        <v>1470</v>
      </c>
      <c r="G961" s="59" t="s">
        <v>1471</v>
      </c>
      <c r="H961" s="4"/>
      <c r="I961" s="4"/>
      <c r="J961" s="4" t="s">
        <v>10</v>
      </c>
    </row>
    <row r="962" spans="1:14" s="3" customFormat="1" ht="17.399999999999999" hidden="1" customHeight="1" outlineLevel="1" x14ac:dyDescent="0.35">
      <c r="A962" s="5"/>
      <c r="B962" s="57" t="s">
        <v>11</v>
      </c>
      <c r="C962" s="58" t="s">
        <v>1472</v>
      </c>
      <c r="D962" s="58" t="s">
        <v>1469</v>
      </c>
      <c r="E962" s="58">
        <v>0</v>
      </c>
      <c r="F962" s="58" t="s">
        <v>1470</v>
      </c>
      <c r="G962" s="59" t="s">
        <v>1473</v>
      </c>
      <c r="H962" s="4"/>
      <c r="I962" s="4"/>
      <c r="J962" s="4" t="s">
        <v>12</v>
      </c>
    </row>
    <row r="963" spans="1:14" s="4" customFormat="1" ht="17.399999999999999" hidden="1" customHeight="1" outlineLevel="1" x14ac:dyDescent="0.35">
      <c r="A963" s="5"/>
      <c r="B963" s="60" t="s">
        <v>13</v>
      </c>
      <c r="C963" s="61" t="s">
        <v>1474</v>
      </c>
      <c r="D963" s="61" t="s">
        <v>1469</v>
      </c>
      <c r="E963" s="61">
        <v>0</v>
      </c>
      <c r="F963" s="61" t="s">
        <v>1470</v>
      </c>
      <c r="G963" s="62"/>
      <c r="H963" s="63"/>
      <c r="J963" s="4" t="s">
        <v>10</v>
      </c>
      <c r="K963" s="4" t="s">
        <v>173</v>
      </c>
      <c r="L963" s="4" t="s">
        <v>9</v>
      </c>
      <c r="M963" s="4" t="s">
        <v>9</v>
      </c>
      <c r="N963" s="4">
        <v>1112</v>
      </c>
    </row>
    <row r="964" spans="1:14" s="4" customFormat="1" ht="17.399999999999999" hidden="1" customHeight="1" outlineLevel="1" x14ac:dyDescent="0.35">
      <c r="A964" s="5"/>
      <c r="B964" s="60" t="s">
        <v>14</v>
      </c>
      <c r="C964" s="61" t="s">
        <v>1475</v>
      </c>
      <c r="D964" s="61" t="s">
        <v>1469</v>
      </c>
      <c r="E964" s="61">
        <v>0</v>
      </c>
      <c r="F964" s="61" t="s">
        <v>1476</v>
      </c>
      <c r="G964" s="62" t="s">
        <v>1477</v>
      </c>
      <c r="H964" s="63"/>
      <c r="J964" s="4" t="s">
        <v>10</v>
      </c>
      <c r="K964" s="4" t="s">
        <v>174</v>
      </c>
      <c r="L964" s="4" t="s">
        <v>175</v>
      </c>
      <c r="M964" s="4" t="s">
        <v>176</v>
      </c>
      <c r="N964" s="4">
        <v>1700</v>
      </c>
    </row>
    <row r="965" spans="1:14" s="4" customFormat="1" ht="17.399999999999999" hidden="1" customHeight="1" outlineLevel="1" x14ac:dyDescent="0.35">
      <c r="A965" s="5"/>
      <c r="B965" s="60" t="s">
        <v>15</v>
      </c>
      <c r="C965" s="61" t="s">
        <v>1478</v>
      </c>
      <c r="D965" s="61" t="s">
        <v>1469</v>
      </c>
      <c r="E965" s="61">
        <v>0</v>
      </c>
      <c r="F965" s="61" t="s">
        <v>1470</v>
      </c>
      <c r="G965" s="62"/>
      <c r="H965" s="63"/>
      <c r="J965" s="4" t="s">
        <v>10</v>
      </c>
      <c r="K965" s="4" t="s">
        <v>173</v>
      </c>
      <c r="L965" s="4" t="s">
        <v>9</v>
      </c>
      <c r="M965" s="4" t="s">
        <v>9</v>
      </c>
      <c r="N965" s="4">
        <v>2534</v>
      </c>
    </row>
    <row r="966" spans="1:14" s="4" customFormat="1" ht="17.399999999999999" hidden="1" customHeight="1" outlineLevel="1" x14ac:dyDescent="0.35">
      <c r="A966" s="5"/>
      <c r="B966" s="134" t="s">
        <v>17</v>
      </c>
      <c r="C966" s="135" t="s">
        <v>1483</v>
      </c>
      <c r="D966" s="135" t="s">
        <v>1469</v>
      </c>
      <c r="E966" s="65">
        <v>0</v>
      </c>
      <c r="F966" s="65" t="s">
        <v>1470</v>
      </c>
      <c r="G966" s="66" t="s">
        <v>1484</v>
      </c>
      <c r="H966" s="5"/>
      <c r="I966" s="5"/>
      <c r="J966" s="5" t="s">
        <v>10</v>
      </c>
      <c r="K966" s="4" t="s">
        <v>173</v>
      </c>
      <c r="L966" s="4" t="s">
        <v>9</v>
      </c>
      <c r="M966" s="4" t="s">
        <v>9</v>
      </c>
      <c r="N966" s="4">
        <v>2155</v>
      </c>
    </row>
    <row r="967" spans="1:14" s="4" customFormat="1" ht="17.399999999999999" hidden="1" customHeight="1" outlineLevel="1" x14ac:dyDescent="0.35">
      <c r="A967" s="5"/>
      <c r="B967" s="31" t="s">
        <v>160</v>
      </c>
      <c r="C967" s="20" t="s">
        <v>1588</v>
      </c>
      <c r="D967" s="20" t="s">
        <v>1469</v>
      </c>
      <c r="E967" s="20">
        <v>0</v>
      </c>
      <c r="F967" s="20"/>
      <c r="G967" s="22"/>
      <c r="H967" s="3"/>
      <c r="I967" s="3"/>
      <c r="J967" s="3" t="s">
        <v>10</v>
      </c>
      <c r="K967" s="4" t="s">
        <v>173</v>
      </c>
      <c r="L967" s="4" t="s">
        <v>9</v>
      </c>
      <c r="M967" s="4" t="s">
        <v>9</v>
      </c>
      <c r="N967" s="4">
        <v>2430</v>
      </c>
    </row>
    <row r="968" spans="1:14" s="4" customFormat="1" ht="17.399999999999999" hidden="1" customHeight="1" outlineLevel="1" x14ac:dyDescent="0.35">
      <c r="A968" s="5"/>
      <c r="B968" s="64" t="s">
        <v>73</v>
      </c>
      <c r="C968" s="65" t="s">
        <v>1528</v>
      </c>
      <c r="D968" s="65" t="s">
        <v>1469</v>
      </c>
      <c r="E968" s="65" t="s">
        <v>1480</v>
      </c>
      <c r="F968" s="65" t="s">
        <v>1481</v>
      </c>
      <c r="G968" s="66"/>
      <c r="H968" s="3"/>
      <c r="I968" s="3"/>
      <c r="J968" s="3" t="s">
        <v>10</v>
      </c>
      <c r="K968" s="5" t="s">
        <v>173</v>
      </c>
      <c r="L968" s="5" t="s">
        <v>9</v>
      </c>
      <c r="M968" s="5" t="s">
        <v>9</v>
      </c>
      <c r="N968" s="4">
        <v>1097</v>
      </c>
    </row>
    <row r="969" spans="1:14" s="3" customFormat="1" ht="16.2" hidden="1" outlineLevel="1" thickBot="1" x14ac:dyDescent="0.3">
      <c r="A969" s="5"/>
      <c r="B969" s="91" t="s">
        <v>74</v>
      </c>
      <c r="C969" s="92" t="s">
        <v>1529</v>
      </c>
      <c r="D969" s="92" t="s">
        <v>1469</v>
      </c>
      <c r="E969" s="92" t="s">
        <v>1480</v>
      </c>
      <c r="F969" s="92" t="s">
        <v>1481</v>
      </c>
      <c r="G969" s="93"/>
      <c r="J969" s="3" t="s">
        <v>10</v>
      </c>
      <c r="K969" s="3" t="s">
        <v>173</v>
      </c>
      <c r="L969" s="3" t="s">
        <v>9</v>
      </c>
      <c r="M969" s="3" t="s">
        <v>9</v>
      </c>
      <c r="N969" s="3">
        <v>1604</v>
      </c>
    </row>
    <row r="970" spans="1:14" s="3" customFormat="1" ht="17.399999999999999" hidden="1" customHeight="1" outlineLevel="1" x14ac:dyDescent="0.25">
      <c r="A970" s="5"/>
      <c r="B970" s="383" t="s">
        <v>18</v>
      </c>
      <c r="C970" s="384"/>
      <c r="D970" s="384"/>
      <c r="E970" s="384"/>
      <c r="F970" s="384"/>
      <c r="G970" s="385"/>
      <c r="K970" s="3" t="s">
        <v>173</v>
      </c>
      <c r="L970" s="3" t="s">
        <v>9</v>
      </c>
      <c r="M970" s="3" t="s">
        <v>9</v>
      </c>
      <c r="N970" s="3">
        <v>1767</v>
      </c>
    </row>
    <row r="971" spans="1:14" s="3" customFormat="1" ht="17.399999999999999" hidden="1" customHeight="1" outlineLevel="1" x14ac:dyDescent="0.25">
      <c r="A971" s="5"/>
      <c r="B971" s="94" t="s">
        <v>2</v>
      </c>
      <c r="C971" s="95" t="s">
        <v>3</v>
      </c>
      <c r="D971" s="95" t="s">
        <v>4</v>
      </c>
      <c r="E971" s="95" t="s">
        <v>5</v>
      </c>
      <c r="F971" s="95"/>
      <c r="G971" s="96" t="s">
        <v>6</v>
      </c>
      <c r="K971" s="3" t="s">
        <v>173</v>
      </c>
      <c r="L971" s="3" t="s">
        <v>9</v>
      </c>
      <c r="M971" s="3" t="s">
        <v>9</v>
      </c>
      <c r="N971" s="3">
        <v>1713</v>
      </c>
    </row>
    <row r="972" spans="1:14" s="3" customFormat="1" ht="17.399999999999999" hidden="1" customHeight="1" outlineLevel="1" x14ac:dyDescent="0.25">
      <c r="A972" s="5"/>
      <c r="B972" s="31" t="s">
        <v>16</v>
      </c>
      <c r="C972" s="20" t="s">
        <v>1479</v>
      </c>
      <c r="D972" s="20" t="s">
        <v>1469</v>
      </c>
      <c r="E972" s="20" t="s">
        <v>1480</v>
      </c>
      <c r="F972" s="20" t="s">
        <v>1481</v>
      </c>
      <c r="G972" s="22" t="s">
        <v>1482</v>
      </c>
      <c r="J972" s="3" t="s">
        <v>10</v>
      </c>
    </row>
    <row r="973" spans="1:14" s="3" customFormat="1" ht="17.399999999999999" hidden="1" customHeight="1" outlineLevel="1" x14ac:dyDescent="0.25">
      <c r="B973" s="28" t="s">
        <v>7</v>
      </c>
      <c r="C973" s="29" t="s">
        <v>1468</v>
      </c>
      <c r="D973" s="29" t="s">
        <v>1469</v>
      </c>
      <c r="E973" s="29">
        <v>0</v>
      </c>
      <c r="F973" s="29" t="s">
        <v>1470</v>
      </c>
      <c r="G973" s="30" t="s">
        <v>1471</v>
      </c>
      <c r="J973" s="3" t="s">
        <v>10</v>
      </c>
    </row>
    <row r="974" spans="1:14" s="3" customFormat="1" ht="17.399999999999999" hidden="1" customHeight="1" outlineLevel="1" x14ac:dyDescent="0.25">
      <c r="B974" s="28" t="s">
        <v>11</v>
      </c>
      <c r="C974" s="29" t="s">
        <v>1472</v>
      </c>
      <c r="D974" s="29" t="s">
        <v>1469</v>
      </c>
      <c r="E974" s="29">
        <v>0</v>
      </c>
      <c r="F974" s="29" t="s">
        <v>1470</v>
      </c>
      <c r="G974" s="30" t="s">
        <v>1473</v>
      </c>
      <c r="J974" s="3" t="s">
        <v>12</v>
      </c>
      <c r="K974" s="3" t="s">
        <v>173</v>
      </c>
      <c r="L974" s="3" t="s">
        <v>9</v>
      </c>
      <c r="M974" s="3" t="s">
        <v>9</v>
      </c>
      <c r="N974" s="3">
        <v>1211</v>
      </c>
    </row>
    <row r="975" spans="1:14" s="3" customFormat="1" hidden="1" outlineLevel="1" x14ac:dyDescent="0.25">
      <c r="B975" s="28" t="s">
        <v>13</v>
      </c>
      <c r="C975" s="29" t="s">
        <v>1474</v>
      </c>
      <c r="D975" s="29" t="s">
        <v>1469</v>
      </c>
      <c r="E975" s="29">
        <v>0</v>
      </c>
      <c r="F975" s="29" t="s">
        <v>1470</v>
      </c>
      <c r="G975" s="30"/>
      <c r="J975" s="3" t="s">
        <v>10</v>
      </c>
      <c r="K975" s="3" t="s">
        <v>173</v>
      </c>
      <c r="L975" s="3" t="s">
        <v>9</v>
      </c>
      <c r="M975" s="3" t="s">
        <v>9</v>
      </c>
      <c r="N975" s="3">
        <v>1112</v>
      </c>
    </row>
    <row r="976" spans="1:14" s="3" customFormat="1" hidden="1" outlineLevel="1" x14ac:dyDescent="0.25">
      <c r="B976" s="35" t="s">
        <v>25</v>
      </c>
      <c r="C976" s="36" t="s">
        <v>1492</v>
      </c>
      <c r="D976" s="36" t="s">
        <v>1469</v>
      </c>
      <c r="E976" s="36">
        <v>0</v>
      </c>
      <c r="F976" s="36" t="s">
        <v>1470</v>
      </c>
      <c r="G976" s="37" t="s">
        <v>1484</v>
      </c>
      <c r="J976" s="3" t="s">
        <v>10</v>
      </c>
      <c r="K976" s="3" t="s">
        <v>174</v>
      </c>
      <c r="L976" s="3" t="s">
        <v>175</v>
      </c>
      <c r="M976" s="3" t="s">
        <v>176</v>
      </c>
      <c r="N976" s="3">
        <v>1700</v>
      </c>
    </row>
    <row r="977" spans="1:14" s="3" customFormat="1" hidden="1" outlineLevel="1" x14ac:dyDescent="0.25">
      <c r="B977" s="28" t="s">
        <v>14</v>
      </c>
      <c r="C977" s="29" t="s">
        <v>1475</v>
      </c>
      <c r="D977" s="29" t="s">
        <v>1469</v>
      </c>
      <c r="E977" s="29">
        <v>0</v>
      </c>
      <c r="F977" s="29" t="s">
        <v>1476</v>
      </c>
      <c r="G977" s="30" t="s">
        <v>1477</v>
      </c>
      <c r="J977" s="3" t="s">
        <v>10</v>
      </c>
      <c r="K977" s="3" t="s">
        <v>173</v>
      </c>
      <c r="L977" s="3" t="s">
        <v>9</v>
      </c>
      <c r="M977" s="3" t="s">
        <v>9</v>
      </c>
      <c r="N977" s="3">
        <v>2534</v>
      </c>
    </row>
    <row r="978" spans="1:14" s="3" customFormat="1" hidden="1" outlineLevel="1" x14ac:dyDescent="0.25">
      <c r="B978" s="28" t="s">
        <v>15</v>
      </c>
      <c r="C978" s="29" t="s">
        <v>1478</v>
      </c>
      <c r="D978" s="29" t="s">
        <v>1469</v>
      </c>
      <c r="E978" s="29">
        <v>0</v>
      </c>
      <c r="F978" s="29" t="s">
        <v>1470</v>
      </c>
      <c r="G978" s="30"/>
      <c r="J978" s="3" t="s">
        <v>20</v>
      </c>
      <c r="K978" s="3" t="s">
        <v>173</v>
      </c>
      <c r="L978" s="3" t="s">
        <v>9</v>
      </c>
      <c r="M978" s="3" t="s">
        <v>9</v>
      </c>
      <c r="N978" s="3">
        <v>2155</v>
      </c>
    </row>
    <row r="979" spans="1:14" s="3" customFormat="1" hidden="1" outlineLevel="1" x14ac:dyDescent="0.25">
      <c r="B979" s="38" t="s">
        <v>19</v>
      </c>
      <c r="C979" s="39" t="s">
        <v>1485</v>
      </c>
      <c r="D979" s="39" t="s">
        <v>1486</v>
      </c>
      <c r="E979" s="39">
        <v>0</v>
      </c>
      <c r="F979" s="39"/>
      <c r="G979" s="40"/>
      <c r="J979" s="3" t="s">
        <v>20</v>
      </c>
      <c r="K979" s="3" t="s">
        <v>173</v>
      </c>
      <c r="L979" s="3" t="s">
        <v>9</v>
      </c>
      <c r="M979" s="3" t="s">
        <v>9</v>
      </c>
      <c r="N979" s="3">
        <v>2430</v>
      </c>
    </row>
    <row r="980" spans="1:14" s="3" customFormat="1" hidden="1" outlineLevel="1" x14ac:dyDescent="0.25">
      <c r="B980" s="28" t="s">
        <v>21</v>
      </c>
      <c r="C980" s="29" t="s">
        <v>1487</v>
      </c>
      <c r="D980" s="29" t="s">
        <v>1486</v>
      </c>
      <c r="E980" s="29">
        <v>0</v>
      </c>
      <c r="F980" s="29"/>
      <c r="G980" s="30"/>
      <c r="J980" s="3" t="s">
        <v>20</v>
      </c>
      <c r="K980" s="3" t="s">
        <v>445</v>
      </c>
      <c r="L980" s="3" t="s">
        <v>446</v>
      </c>
      <c r="M980" s="3" t="s">
        <v>446</v>
      </c>
      <c r="N980" s="3">
        <v>1203</v>
      </c>
    </row>
    <row r="981" spans="1:14" s="3" customFormat="1" hidden="1" outlineLevel="1" x14ac:dyDescent="0.25">
      <c r="B981" s="28" t="s">
        <v>22</v>
      </c>
      <c r="C981" s="29" t="s">
        <v>1488</v>
      </c>
      <c r="D981" s="29" t="s">
        <v>1489</v>
      </c>
      <c r="E981" s="29">
        <v>0</v>
      </c>
      <c r="F981" s="29" t="s">
        <v>1470</v>
      </c>
      <c r="G981" s="30" t="s">
        <v>1490</v>
      </c>
      <c r="J981" s="3" t="s">
        <v>20</v>
      </c>
      <c r="K981" s="3" t="s">
        <v>445</v>
      </c>
      <c r="L981" s="3" t="s">
        <v>446</v>
      </c>
      <c r="M981" s="3" t="s">
        <v>446</v>
      </c>
      <c r="N981" s="3">
        <v>1689</v>
      </c>
    </row>
    <row r="982" spans="1:14" s="3" customFormat="1" hidden="1" outlineLevel="1" x14ac:dyDescent="0.25">
      <c r="B982" s="28" t="s">
        <v>26</v>
      </c>
      <c r="C982" s="29" t="s">
        <v>1493</v>
      </c>
      <c r="D982" s="29" t="s">
        <v>1494</v>
      </c>
      <c r="E982" s="29">
        <v>0</v>
      </c>
      <c r="F982" s="29" t="s">
        <v>1470</v>
      </c>
      <c r="G982" s="30"/>
      <c r="J982" s="3" t="s">
        <v>20</v>
      </c>
      <c r="K982" s="3" t="s">
        <v>445</v>
      </c>
      <c r="L982" s="3" t="s">
        <v>446</v>
      </c>
      <c r="M982" s="3" t="s">
        <v>446</v>
      </c>
      <c r="N982" s="3">
        <v>2052</v>
      </c>
    </row>
    <row r="983" spans="1:14" s="3" customFormat="1" hidden="1" outlineLevel="1" x14ac:dyDescent="0.35">
      <c r="A983" s="5"/>
      <c r="B983" s="41" t="s">
        <v>27</v>
      </c>
      <c r="C983" s="42" t="s">
        <v>1495</v>
      </c>
      <c r="D983" s="42" t="s">
        <v>1489</v>
      </c>
      <c r="E983" s="42">
        <v>0</v>
      </c>
      <c r="F983" s="42" t="s">
        <v>1470</v>
      </c>
      <c r="G983" s="43"/>
      <c r="H983" s="4"/>
      <c r="I983" s="4"/>
      <c r="J983" s="5" t="s">
        <v>20</v>
      </c>
      <c r="K983" s="3" t="s">
        <v>445</v>
      </c>
      <c r="L983" s="3" t="s">
        <v>446</v>
      </c>
      <c r="M983" s="3" t="s">
        <v>446</v>
      </c>
      <c r="N983" s="3">
        <v>2153</v>
      </c>
    </row>
    <row r="984" spans="1:14" s="3" customFormat="1" hidden="1" outlineLevel="1" x14ac:dyDescent="0.25">
      <c r="B984" s="44" t="s">
        <v>75</v>
      </c>
      <c r="C984" s="39" t="s">
        <v>1530</v>
      </c>
      <c r="D984" s="39" t="s">
        <v>1486</v>
      </c>
      <c r="E984" s="39">
        <v>0</v>
      </c>
      <c r="F984" s="39" t="s">
        <v>1470</v>
      </c>
      <c r="G984" s="40" t="s">
        <v>1531</v>
      </c>
      <c r="K984" s="3" t="s">
        <v>445</v>
      </c>
      <c r="L984" s="3" t="s">
        <v>446</v>
      </c>
      <c r="M984" s="3" t="s">
        <v>446</v>
      </c>
      <c r="N984" s="3">
        <v>2183</v>
      </c>
    </row>
    <row r="985" spans="1:14" s="4" customFormat="1" ht="17.399999999999999" hidden="1" customHeight="1" outlineLevel="1" x14ac:dyDescent="0.35">
      <c r="A985" s="3"/>
      <c r="B985" s="44" t="s">
        <v>76</v>
      </c>
      <c r="C985" s="29" t="s">
        <v>1532</v>
      </c>
      <c r="D985" s="29" t="s">
        <v>1489</v>
      </c>
      <c r="E985" s="29">
        <v>0</v>
      </c>
      <c r="F985" s="29"/>
      <c r="G985" s="30"/>
      <c r="H985" s="3"/>
      <c r="I985" s="3"/>
      <c r="J985" s="3"/>
      <c r="K985" s="5" t="s">
        <v>445</v>
      </c>
      <c r="L985" s="5" t="s">
        <v>446</v>
      </c>
      <c r="M985" s="5" t="s">
        <v>446</v>
      </c>
    </row>
    <row r="986" spans="1:14" s="3" customFormat="1" hidden="1" outlineLevel="1" x14ac:dyDescent="0.25">
      <c r="B986" s="44" t="s">
        <v>77</v>
      </c>
      <c r="C986" s="29" t="s">
        <v>1533</v>
      </c>
      <c r="D986" s="29" t="s">
        <v>1486</v>
      </c>
      <c r="E986" s="29">
        <v>0</v>
      </c>
      <c r="F986" s="29" t="s">
        <v>1470</v>
      </c>
      <c r="G986" s="30"/>
    </row>
    <row r="987" spans="1:14" s="3" customFormat="1" hidden="1" outlineLevel="1" x14ac:dyDescent="0.25">
      <c r="B987" s="44" t="s">
        <v>78</v>
      </c>
      <c r="C987" s="29" t="s">
        <v>1534</v>
      </c>
      <c r="D987" s="29" t="s">
        <v>1489</v>
      </c>
      <c r="E987" s="29">
        <v>0</v>
      </c>
      <c r="F987" s="29"/>
      <c r="G987" s="30"/>
    </row>
    <row r="988" spans="1:14" s="3" customFormat="1" hidden="1" outlineLevel="1" x14ac:dyDescent="0.25">
      <c r="B988" s="44" t="s">
        <v>24</v>
      </c>
      <c r="C988" s="29" t="s">
        <v>1491</v>
      </c>
      <c r="D988" s="29" t="s">
        <v>1489</v>
      </c>
      <c r="E988" s="29">
        <v>0</v>
      </c>
      <c r="F988" s="29" t="s">
        <v>1470</v>
      </c>
      <c r="G988" s="30"/>
    </row>
    <row r="989" spans="1:14" s="3" customFormat="1" hidden="1" outlineLevel="1" x14ac:dyDescent="0.35">
      <c r="A989" s="5"/>
      <c r="B989" s="44" t="s">
        <v>58</v>
      </c>
      <c r="C989" s="42" t="s">
        <v>1522</v>
      </c>
      <c r="D989" s="42" t="s">
        <v>1489</v>
      </c>
      <c r="E989" s="42">
        <v>0</v>
      </c>
      <c r="F989" s="42" t="s">
        <v>1470</v>
      </c>
      <c r="G989" s="43"/>
      <c r="H989" s="4"/>
      <c r="I989" s="4"/>
      <c r="J989" s="4"/>
    </row>
    <row r="990" spans="1:14" s="3" customFormat="1" hidden="1" outlineLevel="1" x14ac:dyDescent="0.25">
      <c r="A990" s="5"/>
      <c r="B990" s="45" t="s">
        <v>63</v>
      </c>
      <c r="C990" s="20" t="s">
        <v>1526</v>
      </c>
      <c r="D990" s="20" t="s">
        <v>1489</v>
      </c>
      <c r="E990" s="20">
        <v>0</v>
      </c>
      <c r="F990" s="20"/>
      <c r="G990" s="22"/>
    </row>
    <row r="991" spans="1:14" s="4" customFormat="1" ht="17.399999999999999" hidden="1" customHeight="1" outlineLevel="1" thickBot="1" x14ac:dyDescent="0.4">
      <c r="A991" s="5"/>
      <c r="B991" s="103"/>
      <c r="C991" s="92"/>
      <c r="D991" s="92"/>
      <c r="E991" s="92"/>
      <c r="F991" s="92"/>
      <c r="G991" s="93"/>
      <c r="H991" s="3"/>
      <c r="I991" s="3"/>
      <c r="J991" s="3"/>
      <c r="K991" s="5"/>
      <c r="L991" s="5"/>
      <c r="M991" s="5"/>
    </row>
    <row r="992" spans="1:14" s="3" customFormat="1" hidden="1" outlineLevel="1" x14ac:dyDescent="0.25">
      <c r="A992" s="5"/>
      <c r="B992" s="57"/>
      <c r="C992" s="58"/>
      <c r="D992" s="58"/>
      <c r="E992" s="58"/>
      <c r="F992" s="58"/>
      <c r="G992" s="59"/>
    </row>
    <row r="993" spans="1:14" s="3" customFormat="1" ht="17.399999999999999" hidden="1" customHeight="1" outlineLevel="1" thickBot="1" x14ac:dyDescent="0.3">
      <c r="B993" s="67"/>
      <c r="C993" s="84"/>
      <c r="D993" s="84"/>
      <c r="E993" s="84"/>
      <c r="F993" s="84"/>
      <c r="G993" s="85"/>
      <c r="H993" s="5"/>
      <c r="I993" s="5"/>
      <c r="J993" s="5"/>
    </row>
    <row r="994" spans="1:14" s="3" customFormat="1" ht="17.399999999999999" hidden="1" customHeight="1" outlineLevel="1" x14ac:dyDescent="0.25">
      <c r="B994" s="389" t="s">
        <v>28</v>
      </c>
      <c r="C994" s="390"/>
      <c r="D994" s="390"/>
      <c r="E994" s="390"/>
      <c r="F994" s="390"/>
      <c r="G994" s="391"/>
      <c r="H994" s="5"/>
      <c r="I994" s="5"/>
      <c r="J994" s="5"/>
    </row>
    <row r="995" spans="1:14" s="3" customFormat="1" hidden="1" outlineLevel="1" x14ac:dyDescent="0.25">
      <c r="B995" s="32" t="s">
        <v>2</v>
      </c>
      <c r="C995" s="33" t="s">
        <v>3</v>
      </c>
      <c r="D995" s="33" t="s">
        <v>4</v>
      </c>
      <c r="E995" s="33"/>
      <c r="F995" s="33"/>
      <c r="G995" s="34" t="s">
        <v>6</v>
      </c>
      <c r="H995" s="5"/>
      <c r="I995" s="5"/>
      <c r="J995" s="5"/>
      <c r="K995" s="5"/>
    </row>
    <row r="996" spans="1:14" s="3" customFormat="1" hidden="1" outlineLevel="1" x14ac:dyDescent="0.25">
      <c r="B996" s="57"/>
      <c r="C996" s="58"/>
      <c r="D996" s="58"/>
      <c r="E996" s="58"/>
      <c r="F996" s="58"/>
      <c r="G996" s="59"/>
      <c r="H996" s="5"/>
      <c r="I996" s="5"/>
      <c r="J996" s="5"/>
      <c r="K996" s="5"/>
    </row>
    <row r="997" spans="1:14" s="3" customFormat="1" ht="17.399999999999999" hidden="1" customHeight="1" outlineLevel="1" thickBot="1" x14ac:dyDescent="0.3">
      <c r="B997" s="100"/>
      <c r="C997" s="101"/>
      <c r="D997" s="101"/>
      <c r="E997" s="101"/>
      <c r="F997" s="101"/>
      <c r="G997" s="102"/>
      <c r="H997" s="5"/>
      <c r="I997" s="5"/>
      <c r="J997" s="5" t="s">
        <v>187</v>
      </c>
      <c r="K997" s="5"/>
    </row>
    <row r="998" spans="1:14" s="3" customFormat="1" hidden="1" outlineLevel="1" x14ac:dyDescent="0.25">
      <c r="B998" s="392" t="s">
        <v>29</v>
      </c>
      <c r="C998" s="393"/>
      <c r="D998" s="393"/>
      <c r="E998" s="393"/>
      <c r="F998" s="393"/>
      <c r="G998" s="394"/>
      <c r="H998" s="5"/>
      <c r="I998" s="5"/>
      <c r="J998" s="5"/>
      <c r="K998" s="5"/>
    </row>
    <row r="999" spans="1:14" s="3" customFormat="1" hidden="1" outlineLevel="1" x14ac:dyDescent="0.25">
      <c r="A999" s="5"/>
      <c r="B999" s="31"/>
      <c r="C999" s="20"/>
      <c r="D999" s="20"/>
      <c r="E999" s="20"/>
      <c r="F999" s="20"/>
      <c r="G999" s="22"/>
      <c r="I999" s="28"/>
      <c r="K999" s="5" t="s">
        <v>438</v>
      </c>
      <c r="L999" s="3" t="s">
        <v>537</v>
      </c>
      <c r="M999" s="3" t="s">
        <v>187</v>
      </c>
      <c r="N999" s="3">
        <v>1107</v>
      </c>
    </row>
    <row r="1000" spans="1:14" s="3" customFormat="1" hidden="1" outlineLevel="1" x14ac:dyDescent="0.25">
      <c r="A1000" s="5"/>
      <c r="B1000" s="46"/>
      <c r="C1000" s="20"/>
      <c r="D1000" s="20"/>
      <c r="E1000" s="20"/>
      <c r="F1000" s="20"/>
      <c r="G1000" s="22"/>
      <c r="I1000" s="28"/>
      <c r="K1000" s="5"/>
    </row>
    <row r="1001" spans="1:14" s="3" customFormat="1" hidden="1" outlineLevel="1" x14ac:dyDescent="0.25">
      <c r="A1001" s="5"/>
      <c r="B1001" s="47"/>
      <c r="C1001" s="20"/>
      <c r="D1001" s="20"/>
      <c r="E1001" s="20"/>
      <c r="F1001" s="20"/>
      <c r="G1001" s="22"/>
      <c r="I1001" s="28"/>
    </row>
    <row r="1002" spans="1:14" s="3" customFormat="1" hidden="1" outlineLevel="1" x14ac:dyDescent="0.25">
      <c r="A1002" s="5"/>
      <c r="B1002" s="47"/>
      <c r="C1002" s="20"/>
      <c r="D1002" s="20"/>
      <c r="E1002" s="20"/>
      <c r="F1002" s="20"/>
      <c r="G1002" s="22"/>
      <c r="I1002" s="28"/>
    </row>
    <row r="1003" spans="1:14" s="3" customFormat="1" hidden="1" outlineLevel="1" x14ac:dyDescent="0.25">
      <c r="A1003" s="5"/>
      <c r="B1003" s="47"/>
      <c r="C1003" s="20"/>
      <c r="D1003" s="20"/>
      <c r="E1003" s="20"/>
      <c r="F1003" s="20"/>
      <c r="G1003" s="22"/>
      <c r="I1003" s="28"/>
    </row>
    <row r="1004" spans="1:14" s="3" customFormat="1" hidden="1" outlineLevel="1" x14ac:dyDescent="0.25">
      <c r="A1004" s="5"/>
      <c r="B1004" s="47"/>
      <c r="C1004" s="20"/>
      <c r="D1004" s="20"/>
      <c r="E1004" s="20"/>
      <c r="F1004" s="20"/>
      <c r="G1004" s="22"/>
      <c r="I1004" s="28"/>
    </row>
    <row r="1005" spans="1:14" s="3" customFormat="1" hidden="1" outlineLevel="1" x14ac:dyDescent="0.25">
      <c r="A1005" s="5"/>
      <c r="B1005" s="47"/>
      <c r="C1005" s="20"/>
      <c r="D1005" s="20"/>
      <c r="E1005" s="20"/>
      <c r="F1005" s="20"/>
      <c r="G1005" s="22"/>
      <c r="I1005" s="28"/>
    </row>
    <row r="1006" spans="1:14" s="3" customFormat="1" hidden="1" outlineLevel="1" x14ac:dyDescent="0.25">
      <c r="A1006" s="5"/>
      <c r="B1006" s="47"/>
      <c r="C1006" s="20"/>
      <c r="D1006" s="20"/>
      <c r="E1006" s="20"/>
      <c r="F1006" s="20"/>
      <c r="G1006" s="22"/>
      <c r="I1006" s="28"/>
    </row>
    <row r="1007" spans="1:14" s="3" customFormat="1" hidden="1" outlineLevel="1" x14ac:dyDescent="0.25">
      <c r="A1007" s="5"/>
      <c r="B1007" s="162"/>
      <c r="C1007" s="20"/>
      <c r="D1007" s="20"/>
      <c r="E1007" s="20"/>
      <c r="F1007" s="20"/>
      <c r="G1007" s="22"/>
      <c r="I1007" s="28"/>
    </row>
    <row r="1008" spans="1:14" s="3" customFormat="1" hidden="1" outlineLevel="1" x14ac:dyDescent="0.25">
      <c r="A1008" s="5"/>
      <c r="B1008" s="162"/>
      <c r="C1008" s="20"/>
      <c r="D1008" s="20"/>
      <c r="E1008" s="20"/>
      <c r="F1008" s="20"/>
      <c r="G1008" s="22"/>
      <c r="I1008" s="28"/>
    </row>
    <row r="1009" spans="1:9" s="3" customFormat="1" hidden="1" outlineLevel="1" x14ac:dyDescent="0.25">
      <c r="A1009" s="5"/>
      <c r="B1009" s="48"/>
      <c r="C1009" s="20"/>
      <c r="D1009" s="20"/>
      <c r="E1009" s="20"/>
      <c r="F1009" s="20"/>
      <c r="G1009" s="22"/>
      <c r="I1009" s="28"/>
    </row>
    <row r="1010" spans="1:9" s="3" customFormat="1" hidden="1" outlineLevel="1" x14ac:dyDescent="0.25">
      <c r="A1010" s="5"/>
      <c r="B1010" s="49"/>
      <c r="C1010" s="20"/>
      <c r="D1010" s="20"/>
      <c r="E1010" s="20"/>
      <c r="F1010" s="20"/>
      <c r="G1010" s="22"/>
      <c r="I1010" s="28"/>
    </row>
    <row r="1011" spans="1:9" s="3" customFormat="1" hidden="1" outlineLevel="1" x14ac:dyDescent="0.25">
      <c r="A1011" s="5"/>
      <c r="B1011" s="49"/>
      <c r="C1011" s="20"/>
      <c r="D1011" s="20"/>
      <c r="E1011" s="20"/>
      <c r="F1011" s="20"/>
      <c r="G1011" s="22"/>
      <c r="I1011" s="28"/>
    </row>
    <row r="1012" spans="1:9" s="3" customFormat="1" hidden="1" outlineLevel="1" x14ac:dyDescent="0.25">
      <c r="A1012" s="5"/>
      <c r="B1012" s="49"/>
      <c r="C1012" s="20"/>
      <c r="D1012" s="20"/>
      <c r="E1012" s="20"/>
      <c r="F1012" s="20"/>
      <c r="G1012" s="22"/>
      <c r="I1012" s="28"/>
    </row>
    <row r="1013" spans="1:9" s="3" customFormat="1" hidden="1" outlineLevel="1" x14ac:dyDescent="0.25">
      <c r="A1013" s="5"/>
      <c r="B1013" s="49"/>
      <c r="C1013" s="20"/>
      <c r="D1013" s="20"/>
      <c r="E1013" s="20"/>
      <c r="F1013" s="20"/>
      <c r="G1013" s="22"/>
    </row>
    <row r="1014" spans="1:9" s="3" customFormat="1" hidden="1" outlineLevel="1" x14ac:dyDescent="0.25">
      <c r="A1014" s="5"/>
      <c r="B1014" s="49"/>
      <c r="C1014" s="20"/>
      <c r="D1014" s="20"/>
      <c r="E1014" s="20"/>
      <c r="F1014" s="20"/>
      <c r="G1014" s="22"/>
    </row>
    <row r="1015" spans="1:9" s="3" customFormat="1" hidden="1" outlineLevel="1" x14ac:dyDescent="0.25">
      <c r="A1015" s="5"/>
      <c r="B1015" s="46"/>
      <c r="C1015" s="20"/>
      <c r="D1015" s="20"/>
      <c r="E1015" s="20"/>
      <c r="F1015" s="20"/>
      <c r="G1015" s="22"/>
    </row>
    <row r="1016" spans="1:9" s="3" customFormat="1" hidden="1" outlineLevel="1" x14ac:dyDescent="0.25">
      <c r="A1016" s="5"/>
      <c r="B1016" s="50"/>
      <c r="C1016" s="20"/>
      <c r="D1016" s="20"/>
      <c r="E1016" s="20"/>
      <c r="F1016" s="20"/>
      <c r="G1016" s="22"/>
    </row>
    <row r="1017" spans="1:9" s="3" customFormat="1" hidden="1" outlineLevel="1" x14ac:dyDescent="0.25">
      <c r="A1017" s="5"/>
      <c r="B1017" s="50"/>
      <c r="C1017" s="20"/>
      <c r="D1017" s="20"/>
      <c r="E1017" s="20"/>
      <c r="F1017" s="20"/>
      <c r="G1017" s="22"/>
    </row>
    <row r="1018" spans="1:9" s="3" customFormat="1" hidden="1" outlineLevel="1" x14ac:dyDescent="0.25">
      <c r="A1018" s="5"/>
      <c r="B1018" s="50"/>
      <c r="C1018" s="20"/>
      <c r="D1018" s="20"/>
      <c r="E1018" s="20"/>
      <c r="F1018" s="20"/>
      <c r="G1018" s="22"/>
    </row>
    <row r="1019" spans="1:9" s="3" customFormat="1" hidden="1" outlineLevel="1" x14ac:dyDescent="0.25">
      <c r="A1019" s="5"/>
      <c r="B1019" s="50"/>
      <c r="C1019" s="20"/>
      <c r="D1019" s="20"/>
      <c r="E1019" s="20"/>
      <c r="F1019" s="20"/>
      <c r="G1019" s="22"/>
    </row>
    <row r="1020" spans="1:9" s="3" customFormat="1" hidden="1" outlineLevel="1" x14ac:dyDescent="0.25">
      <c r="A1020" s="5"/>
      <c r="B1020" s="50"/>
      <c r="C1020" s="20"/>
      <c r="D1020" s="20"/>
      <c r="E1020" s="20"/>
      <c r="F1020" s="20"/>
      <c r="G1020" s="22"/>
    </row>
    <row r="1021" spans="1:9" s="3" customFormat="1" hidden="1" outlineLevel="1" x14ac:dyDescent="0.25">
      <c r="A1021" s="5"/>
      <c r="B1021" s="51"/>
      <c r="C1021" s="20"/>
      <c r="D1021" s="20"/>
      <c r="E1021" s="20"/>
      <c r="F1021" s="20"/>
      <c r="G1021" s="22"/>
    </row>
    <row r="1022" spans="1:9" s="3" customFormat="1" hidden="1" outlineLevel="1" x14ac:dyDescent="0.25">
      <c r="A1022" s="5"/>
      <c r="B1022" s="31"/>
      <c r="C1022" s="20"/>
      <c r="D1022" s="20"/>
      <c r="E1022" s="20"/>
      <c r="F1022" s="20"/>
      <c r="G1022" s="22"/>
    </row>
    <row r="1023" spans="1:9" s="3" customFormat="1" hidden="1" outlineLevel="1" x14ac:dyDescent="0.25">
      <c r="A1023" s="5"/>
      <c r="B1023" s="46"/>
      <c r="C1023" s="20"/>
      <c r="D1023" s="20"/>
      <c r="E1023" s="20"/>
      <c r="F1023" s="20"/>
      <c r="G1023" s="22"/>
    </row>
    <row r="1024" spans="1:9" s="3" customFormat="1" ht="16.2" hidden="1" outlineLevel="1" thickBot="1" x14ac:dyDescent="0.3">
      <c r="A1024" s="5"/>
      <c r="B1024" s="52"/>
      <c r="C1024" s="53"/>
      <c r="D1024" s="53"/>
      <c r="E1024" s="53"/>
      <c r="F1024" s="53"/>
      <c r="G1024" s="54"/>
    </row>
    <row r="1025" spans="1:14" s="3" customFormat="1" hidden="1" outlineLevel="1" x14ac:dyDescent="0.25">
      <c r="B1025" s="31"/>
      <c r="C1025" s="65"/>
      <c r="D1025" s="65"/>
      <c r="E1025" s="65"/>
      <c r="F1025" s="65"/>
      <c r="G1025" s="66"/>
      <c r="H1025" s="5"/>
      <c r="I1025" s="5"/>
      <c r="J1025" s="5"/>
    </row>
    <row r="1026" spans="1:14" s="3" customFormat="1" hidden="1" outlineLevel="1" x14ac:dyDescent="0.25">
      <c r="B1026" s="31"/>
      <c r="C1026" s="65"/>
      <c r="D1026" s="65"/>
      <c r="E1026" s="65"/>
      <c r="F1026" s="65"/>
      <c r="G1026" s="66"/>
      <c r="H1026" s="5"/>
      <c r="I1026" s="5"/>
      <c r="J1026" s="5"/>
    </row>
    <row r="1027" spans="1:14" s="3" customFormat="1" hidden="1" outlineLevel="1" x14ac:dyDescent="0.25">
      <c r="B1027" s="31"/>
      <c r="C1027" s="65"/>
      <c r="D1027" s="65"/>
      <c r="E1027" s="65"/>
      <c r="F1027" s="65"/>
      <c r="G1027" s="66"/>
      <c r="H1027" s="5"/>
      <c r="I1027" s="5"/>
      <c r="J1027" s="5"/>
      <c r="K1027" s="5"/>
    </row>
    <row r="1028" spans="1:14" s="3" customFormat="1" ht="16.2" hidden="1" outlineLevel="1" thickBot="1" x14ac:dyDescent="0.3">
      <c r="B1028" s="52"/>
      <c r="C1028" s="92"/>
      <c r="D1028" s="92"/>
      <c r="E1028" s="92"/>
      <c r="F1028" s="92"/>
      <c r="G1028" s="93"/>
      <c r="H1028" s="5"/>
      <c r="I1028" s="5"/>
      <c r="J1028" s="5"/>
      <c r="K1028" s="5"/>
    </row>
    <row r="1029" spans="1:14" s="3" customFormat="1" ht="16.2" hidden="1" outlineLevel="1" thickBot="1" x14ac:dyDescent="0.3">
      <c r="A1029" s="14"/>
      <c r="B1029" s="14"/>
      <c r="C1029" s="14"/>
      <c r="D1029" s="14"/>
      <c r="E1029" s="14"/>
      <c r="F1029" s="14"/>
      <c r="G1029" s="14"/>
      <c r="H1029" s="14"/>
      <c r="I1029" s="5"/>
      <c r="J1029" s="5"/>
      <c r="K1029" s="5"/>
    </row>
    <row r="1030" spans="1:14" s="3" customFormat="1" ht="16.2" collapsed="1" thickBot="1" x14ac:dyDescent="0.3">
      <c r="A1030" s="5"/>
      <c r="B1030" s="15" t="s">
        <v>1279</v>
      </c>
      <c r="C1030" s="16" t="s">
        <v>2150</v>
      </c>
      <c r="D1030" s="17" t="s">
        <v>1281</v>
      </c>
      <c r="E1030" s="16" t="s">
        <v>945</v>
      </c>
      <c r="F1030" s="17" t="s">
        <v>1282</v>
      </c>
      <c r="G1030" s="18" t="s">
        <v>2151</v>
      </c>
      <c r="I1030" s="14"/>
      <c r="J1030" s="14"/>
      <c r="K1030" s="5"/>
    </row>
    <row r="1031" spans="1:14" s="3" customFormat="1" hidden="1" outlineLevel="1" x14ac:dyDescent="0.25">
      <c r="A1031" s="5"/>
      <c r="B1031" s="19" t="s">
        <v>1284</v>
      </c>
      <c r="C1031" s="20" t="s">
        <v>1285</v>
      </c>
      <c r="D1031" s="21" t="s">
        <v>1286</v>
      </c>
      <c r="E1031" s="20" t="s">
        <v>2152</v>
      </c>
      <c r="F1031" s="21" t="s">
        <v>1288</v>
      </c>
      <c r="G1031" s="22" t="s">
        <v>1362</v>
      </c>
      <c r="K1031" s="5"/>
    </row>
    <row r="1032" spans="1:14" ht="16.2" hidden="1" outlineLevel="1" thickBot="1" x14ac:dyDescent="0.3">
      <c r="A1032" s="5"/>
      <c r="B1032" s="19" t="s">
        <v>1290</v>
      </c>
      <c r="C1032" s="23" t="s">
        <v>1291</v>
      </c>
      <c r="D1032" s="21" t="s">
        <v>1292</v>
      </c>
      <c r="E1032" s="23">
        <v>5</v>
      </c>
      <c r="F1032" s="21" t="s">
        <v>1293</v>
      </c>
      <c r="G1032" s="24" t="s">
        <v>1294</v>
      </c>
      <c r="H1032" s="3"/>
      <c r="I1032" s="3"/>
      <c r="J1032" s="3"/>
    </row>
    <row r="1033" spans="1:14" s="3" customFormat="1" ht="17.399999999999999" hidden="1" customHeight="1" outlineLevel="1" x14ac:dyDescent="0.25">
      <c r="A1033" s="5"/>
      <c r="B1033" s="401" t="s">
        <v>1</v>
      </c>
      <c r="C1033" s="402"/>
      <c r="D1033" s="402"/>
      <c r="E1033" s="402"/>
      <c r="F1033" s="402"/>
      <c r="G1033" s="403"/>
    </row>
    <row r="1034" spans="1:14" s="3" customFormat="1" ht="17.399999999999999" hidden="1" customHeight="1" outlineLevel="1" x14ac:dyDescent="0.25">
      <c r="A1034" s="5"/>
      <c r="B1034" s="25" t="s">
        <v>2</v>
      </c>
      <c r="C1034" s="26" t="s">
        <v>3</v>
      </c>
      <c r="D1034" s="26" t="s">
        <v>4</v>
      </c>
      <c r="E1034" s="26" t="s">
        <v>5</v>
      </c>
      <c r="F1034" s="26"/>
      <c r="G1034" s="27" t="s">
        <v>6</v>
      </c>
    </row>
    <row r="1035" spans="1:14" s="3" customFormat="1" ht="17.399999999999999" hidden="1" customHeight="1" outlineLevel="1" x14ac:dyDescent="0.25">
      <c r="B1035" s="28" t="s">
        <v>190</v>
      </c>
      <c r="C1035" s="29" t="s">
        <v>1610</v>
      </c>
      <c r="D1035" s="29" t="s">
        <v>1469</v>
      </c>
      <c r="E1035" s="29">
        <v>0</v>
      </c>
      <c r="F1035" s="29"/>
      <c r="G1035" s="30"/>
    </row>
    <row r="1036" spans="1:14" s="3" customFormat="1" ht="17.399999999999999" hidden="1" customHeight="1" outlineLevel="1" x14ac:dyDescent="0.25">
      <c r="B1036" s="28" t="s">
        <v>114</v>
      </c>
      <c r="C1036" s="29" t="s">
        <v>1557</v>
      </c>
      <c r="D1036" s="29" t="s">
        <v>1469</v>
      </c>
      <c r="E1036" s="29">
        <v>-1</v>
      </c>
      <c r="F1036" s="29" t="s">
        <v>1470</v>
      </c>
      <c r="G1036" s="30"/>
      <c r="J1036" s="3" t="s">
        <v>10</v>
      </c>
    </row>
    <row r="1037" spans="1:14" s="3" customFormat="1" ht="17.399999999999999" hidden="1" customHeight="1" outlineLevel="1" x14ac:dyDescent="0.25">
      <c r="B1037" s="28" t="s">
        <v>784</v>
      </c>
      <c r="C1037" s="29" t="s">
        <v>2270</v>
      </c>
      <c r="D1037" s="29" t="s">
        <v>1606</v>
      </c>
      <c r="E1037" s="29" t="s">
        <v>2271</v>
      </c>
      <c r="F1037" s="29" t="s">
        <v>1470</v>
      </c>
      <c r="G1037" s="30"/>
      <c r="J1037" s="3" t="s">
        <v>10</v>
      </c>
    </row>
    <row r="1038" spans="1:14" s="3" customFormat="1" ht="16.2" hidden="1" outlineLevel="1" thickBot="1" x14ac:dyDescent="0.3">
      <c r="B1038" s="28" t="s">
        <v>192</v>
      </c>
      <c r="C1038" s="29" t="s">
        <v>1613</v>
      </c>
      <c r="D1038" s="29" t="s">
        <v>1469</v>
      </c>
      <c r="E1038" s="29">
        <v>1</v>
      </c>
      <c r="F1038" s="29" t="s">
        <v>1470</v>
      </c>
      <c r="G1038" s="30" t="s">
        <v>1614</v>
      </c>
      <c r="J1038" s="3" t="s">
        <v>187</v>
      </c>
      <c r="K1038" s="3" t="s">
        <v>173</v>
      </c>
      <c r="L1038" s="3" t="s">
        <v>9</v>
      </c>
      <c r="M1038" s="3" t="s">
        <v>9</v>
      </c>
      <c r="N1038" s="3">
        <v>1099</v>
      </c>
    </row>
    <row r="1039" spans="1:14" s="3" customFormat="1" hidden="1" outlineLevel="1" x14ac:dyDescent="0.25">
      <c r="A1039" s="5"/>
      <c r="B1039" s="401" t="s">
        <v>18</v>
      </c>
      <c r="C1039" s="402"/>
      <c r="D1039" s="402"/>
      <c r="E1039" s="402"/>
      <c r="F1039" s="402"/>
      <c r="G1039" s="403"/>
      <c r="J1039" s="3" t="s">
        <v>10</v>
      </c>
      <c r="K1039" s="3" t="s">
        <v>173</v>
      </c>
      <c r="L1039" s="3" t="s">
        <v>9</v>
      </c>
      <c r="M1039" s="3" t="s">
        <v>9</v>
      </c>
      <c r="N1039" s="3">
        <v>2449</v>
      </c>
    </row>
    <row r="1040" spans="1:14" s="3" customFormat="1" hidden="1" outlineLevel="1" x14ac:dyDescent="0.25">
      <c r="A1040" s="5"/>
      <c r="B1040" s="25" t="s">
        <v>2</v>
      </c>
      <c r="C1040" s="26" t="s">
        <v>3</v>
      </c>
      <c r="D1040" s="26" t="s">
        <v>4</v>
      </c>
      <c r="E1040" s="26" t="s">
        <v>5</v>
      </c>
      <c r="F1040" s="26"/>
      <c r="G1040" s="27" t="s">
        <v>6</v>
      </c>
      <c r="K1040" s="3" t="s">
        <v>438</v>
      </c>
      <c r="L1040" s="3" t="s">
        <v>537</v>
      </c>
      <c r="M1040" s="3" t="s">
        <v>187</v>
      </c>
      <c r="N1040" s="3">
        <v>1107</v>
      </c>
    </row>
    <row r="1041" spans="1:14" s="3" customFormat="1" hidden="1" outlineLevel="1" x14ac:dyDescent="0.25">
      <c r="B1041" s="28"/>
      <c r="C1041" s="29"/>
      <c r="D1041" s="29"/>
      <c r="E1041" s="29"/>
      <c r="F1041" s="29"/>
      <c r="G1041" s="30"/>
      <c r="K1041" s="3" t="s">
        <v>173</v>
      </c>
      <c r="L1041" s="3" t="s">
        <v>9</v>
      </c>
      <c r="M1041" s="3" t="s">
        <v>9</v>
      </c>
      <c r="N1041" s="3">
        <v>1951</v>
      </c>
    </row>
    <row r="1042" spans="1:14" s="3" customFormat="1" ht="17.399999999999999" hidden="1" customHeight="1" outlineLevel="1" thickBot="1" x14ac:dyDescent="0.3">
      <c r="B1042" s="28"/>
      <c r="C1042" s="29"/>
      <c r="D1042" s="29"/>
      <c r="E1042" s="29"/>
      <c r="F1042" s="29"/>
      <c r="G1042" s="30"/>
    </row>
    <row r="1043" spans="1:14" s="3" customFormat="1" ht="17.399999999999999" hidden="1" customHeight="1" outlineLevel="1" x14ac:dyDescent="0.25">
      <c r="A1043" s="5"/>
      <c r="B1043" s="401" t="s">
        <v>29</v>
      </c>
      <c r="C1043" s="402"/>
      <c r="D1043" s="402"/>
      <c r="E1043" s="402"/>
      <c r="F1043" s="402"/>
      <c r="G1043" s="403"/>
    </row>
    <row r="1044" spans="1:14" s="3" customFormat="1" hidden="1" outlineLevel="1" x14ac:dyDescent="0.25">
      <c r="B1044" s="28" t="s">
        <v>590</v>
      </c>
      <c r="C1044" s="29"/>
      <c r="D1044" s="29"/>
      <c r="E1044" s="29"/>
      <c r="F1044" s="29"/>
      <c r="G1044" s="30"/>
    </row>
    <row r="1045" spans="1:14" s="3" customFormat="1" hidden="1" outlineLevel="1" x14ac:dyDescent="0.25">
      <c r="B1045" s="28" t="s">
        <v>591</v>
      </c>
      <c r="C1045" s="29"/>
      <c r="D1045" s="29"/>
      <c r="E1045" s="29"/>
      <c r="F1045" s="29"/>
      <c r="G1045" s="30"/>
    </row>
    <row r="1046" spans="1:14" s="3" customFormat="1" ht="17.399999999999999" hidden="1" customHeight="1" outlineLevel="1" x14ac:dyDescent="0.25">
      <c r="B1046" s="28" t="s">
        <v>946</v>
      </c>
      <c r="C1046" s="29"/>
      <c r="D1046" s="29"/>
      <c r="E1046" s="29"/>
      <c r="F1046" s="29"/>
      <c r="G1046" s="30"/>
    </row>
    <row r="1047" spans="1:14" s="3" customFormat="1" hidden="1" outlineLevel="1" x14ac:dyDescent="0.25">
      <c r="B1047" s="28" t="s">
        <v>593</v>
      </c>
      <c r="C1047" s="29"/>
      <c r="D1047" s="29"/>
      <c r="E1047" s="29"/>
      <c r="F1047" s="29"/>
      <c r="G1047" s="30"/>
    </row>
    <row r="1048" spans="1:14" s="3" customFormat="1" hidden="1" outlineLevel="1" x14ac:dyDescent="0.25">
      <c r="B1048" s="28" t="s">
        <v>947</v>
      </c>
      <c r="C1048" s="29"/>
      <c r="D1048" s="29"/>
      <c r="E1048" s="29"/>
      <c r="F1048" s="29"/>
      <c r="G1048" s="30"/>
    </row>
    <row r="1049" spans="1:14" s="3" customFormat="1" hidden="1" outlineLevel="1" x14ac:dyDescent="0.25">
      <c r="B1049" s="28" t="s">
        <v>948</v>
      </c>
      <c r="C1049" s="29"/>
      <c r="D1049" s="29"/>
      <c r="E1049" s="29"/>
      <c r="F1049" s="29"/>
      <c r="G1049" s="30"/>
    </row>
    <row r="1050" spans="1:14" s="3" customFormat="1" hidden="1" outlineLevel="1" x14ac:dyDescent="0.25">
      <c r="B1050" s="28" t="s">
        <v>949</v>
      </c>
      <c r="C1050" s="29"/>
      <c r="D1050" s="29"/>
      <c r="E1050" s="29"/>
      <c r="F1050" s="29"/>
      <c r="G1050" s="30"/>
    </row>
    <row r="1051" spans="1:14" s="3" customFormat="1" hidden="1" outlineLevel="1" x14ac:dyDescent="0.25">
      <c r="B1051" s="28" t="s">
        <v>597</v>
      </c>
      <c r="C1051" s="29"/>
      <c r="D1051" s="29"/>
      <c r="E1051" s="29"/>
      <c r="F1051" s="29"/>
      <c r="G1051" s="30"/>
    </row>
    <row r="1052" spans="1:14" s="3" customFormat="1" hidden="1" outlineLevel="1" x14ac:dyDescent="0.25">
      <c r="B1052" s="28" t="s">
        <v>950</v>
      </c>
      <c r="C1052" s="29"/>
      <c r="D1052" s="29"/>
      <c r="E1052" s="29"/>
      <c r="F1052" s="29"/>
      <c r="G1052" s="30"/>
    </row>
    <row r="1053" spans="1:14" s="3" customFormat="1" hidden="1" outlineLevel="1" x14ac:dyDescent="0.25">
      <c r="B1053" s="28" t="s">
        <v>920</v>
      </c>
      <c r="C1053" s="29"/>
      <c r="D1053" s="29"/>
      <c r="E1053" s="29"/>
      <c r="F1053" s="29"/>
      <c r="G1053" s="30"/>
    </row>
    <row r="1054" spans="1:14" s="3" customFormat="1" hidden="1" outlineLevel="1" x14ac:dyDescent="0.25">
      <c r="B1054" s="28" t="s">
        <v>951</v>
      </c>
      <c r="C1054" s="29"/>
      <c r="D1054" s="29"/>
      <c r="E1054" s="29"/>
      <c r="F1054" s="29"/>
      <c r="G1054" s="30"/>
    </row>
    <row r="1055" spans="1:14" s="3" customFormat="1" hidden="1" outlineLevel="1" x14ac:dyDescent="0.25">
      <c r="B1055" s="28" t="s">
        <v>561</v>
      </c>
      <c r="C1055" s="29"/>
      <c r="D1055" s="29"/>
      <c r="E1055" s="29"/>
      <c r="F1055" s="29"/>
      <c r="G1055" s="30"/>
    </row>
    <row r="1056" spans="1:14" s="3" customFormat="1" hidden="1" outlineLevel="1" x14ac:dyDescent="0.25">
      <c r="B1056" s="28" t="s">
        <v>920</v>
      </c>
      <c r="C1056" s="29"/>
      <c r="D1056" s="29"/>
      <c r="E1056" s="29"/>
      <c r="F1056" s="29"/>
      <c r="G1056" s="30"/>
    </row>
    <row r="1057" spans="1:7" s="3" customFormat="1" hidden="1" outlineLevel="1" x14ac:dyDescent="0.25">
      <c r="B1057" s="28" t="s">
        <v>591</v>
      </c>
      <c r="C1057" s="29"/>
      <c r="D1057" s="29"/>
      <c r="E1057" s="29"/>
      <c r="F1057" s="29"/>
      <c r="G1057" s="30"/>
    </row>
    <row r="1058" spans="1:7" s="3" customFormat="1" hidden="1" outlineLevel="1" x14ac:dyDescent="0.25">
      <c r="B1058" s="28" t="s">
        <v>952</v>
      </c>
      <c r="C1058" s="29"/>
      <c r="D1058" s="29"/>
      <c r="E1058" s="29"/>
      <c r="F1058" s="29"/>
      <c r="G1058" s="30"/>
    </row>
    <row r="1059" spans="1:7" s="3" customFormat="1" hidden="1" outlineLevel="1" x14ac:dyDescent="0.25">
      <c r="B1059" s="28" t="s">
        <v>593</v>
      </c>
      <c r="C1059" s="29"/>
      <c r="D1059" s="29"/>
      <c r="E1059" s="29"/>
      <c r="F1059" s="29"/>
      <c r="G1059" s="30"/>
    </row>
    <row r="1060" spans="1:7" s="3" customFormat="1" hidden="1" outlineLevel="1" x14ac:dyDescent="0.25">
      <c r="B1060" s="28" t="s">
        <v>953</v>
      </c>
      <c r="C1060" s="29"/>
      <c r="D1060" s="29"/>
      <c r="E1060" s="29"/>
      <c r="F1060" s="29"/>
      <c r="G1060" s="30"/>
    </row>
    <row r="1061" spans="1:7" s="3" customFormat="1" hidden="1" outlineLevel="1" x14ac:dyDescent="0.25">
      <c r="B1061" s="28" t="s">
        <v>595</v>
      </c>
      <c r="C1061" s="29"/>
      <c r="D1061" s="29"/>
      <c r="E1061" s="29"/>
      <c r="F1061" s="29"/>
      <c r="G1061" s="30"/>
    </row>
    <row r="1062" spans="1:7" s="3" customFormat="1" hidden="1" outlineLevel="1" x14ac:dyDescent="0.25">
      <c r="B1062" s="28" t="s">
        <v>954</v>
      </c>
      <c r="C1062" s="29"/>
      <c r="D1062" s="29"/>
      <c r="E1062" s="29"/>
      <c r="F1062" s="29"/>
      <c r="G1062" s="30"/>
    </row>
    <row r="1063" spans="1:7" s="3" customFormat="1" hidden="1" outlineLevel="1" x14ac:dyDescent="0.25">
      <c r="B1063" s="28" t="s">
        <v>597</v>
      </c>
      <c r="C1063" s="29"/>
      <c r="D1063" s="29"/>
      <c r="E1063" s="29"/>
      <c r="F1063" s="29"/>
      <c r="G1063" s="30"/>
    </row>
    <row r="1064" spans="1:7" s="3" customFormat="1" hidden="1" outlineLevel="1" x14ac:dyDescent="0.25">
      <c r="B1064" s="28" t="s">
        <v>955</v>
      </c>
      <c r="C1064" s="29"/>
      <c r="D1064" s="29"/>
      <c r="E1064" s="29"/>
      <c r="F1064" s="29"/>
      <c r="G1064" s="30"/>
    </row>
    <row r="1065" spans="1:7" s="3" customFormat="1" hidden="1" outlineLevel="1" x14ac:dyDescent="0.25">
      <c r="B1065" s="28" t="s">
        <v>920</v>
      </c>
      <c r="C1065" s="29"/>
      <c r="D1065" s="29"/>
      <c r="E1065" s="29"/>
      <c r="F1065" s="29"/>
      <c r="G1065" s="30"/>
    </row>
    <row r="1066" spans="1:7" s="3" customFormat="1" hidden="1" outlineLevel="1" x14ac:dyDescent="0.25">
      <c r="B1066" s="28" t="s">
        <v>951</v>
      </c>
      <c r="C1066" s="29"/>
      <c r="D1066" s="29"/>
      <c r="E1066" s="29"/>
      <c r="F1066" s="29"/>
      <c r="G1066" s="30"/>
    </row>
    <row r="1067" spans="1:7" s="3" customFormat="1" hidden="1" outlineLevel="1" x14ac:dyDescent="0.25">
      <c r="B1067" s="28" t="s">
        <v>561</v>
      </c>
      <c r="C1067" s="29"/>
      <c r="D1067" s="29"/>
      <c r="E1067" s="29"/>
      <c r="F1067" s="29"/>
      <c r="G1067" s="30"/>
    </row>
    <row r="1068" spans="1:7" s="3" customFormat="1" ht="16.2" hidden="1" outlineLevel="1" thickBot="1" x14ac:dyDescent="0.3">
      <c r="B1068" s="163" t="s">
        <v>561</v>
      </c>
      <c r="C1068" s="164"/>
      <c r="D1068" s="164"/>
      <c r="E1068" s="164"/>
      <c r="F1068" s="164"/>
      <c r="G1068" s="165"/>
    </row>
    <row r="1069" spans="1:7" s="3" customFormat="1" ht="16.2" hidden="1" outlineLevel="1" thickBot="1" x14ac:dyDescent="0.3"/>
    <row r="1070" spans="1:7" s="3" customFormat="1" ht="16.2" collapsed="1" thickBot="1" x14ac:dyDescent="0.3">
      <c r="A1070" s="5"/>
      <c r="B1070" s="15" t="s">
        <v>1279</v>
      </c>
      <c r="C1070" s="16" t="s">
        <v>2153</v>
      </c>
      <c r="D1070" s="17" t="s">
        <v>1281</v>
      </c>
      <c r="E1070" s="16" t="s">
        <v>956</v>
      </c>
      <c r="F1070" s="17" t="s">
        <v>1282</v>
      </c>
      <c r="G1070" s="18" t="s">
        <v>2154</v>
      </c>
    </row>
    <row r="1071" spans="1:7" s="3" customFormat="1" hidden="1" outlineLevel="1" x14ac:dyDescent="0.25">
      <c r="A1071" s="5"/>
      <c r="B1071" s="19" t="s">
        <v>1284</v>
      </c>
      <c r="C1071" s="20" t="s">
        <v>1285</v>
      </c>
      <c r="D1071" s="21" t="s">
        <v>1286</v>
      </c>
      <c r="E1071" s="20" t="s">
        <v>2155</v>
      </c>
      <c r="F1071" s="21" t="s">
        <v>1288</v>
      </c>
      <c r="G1071" s="22" t="s">
        <v>1366</v>
      </c>
    </row>
    <row r="1072" spans="1:7" s="3" customFormat="1" ht="16.2" hidden="1" outlineLevel="1" thickBot="1" x14ac:dyDescent="0.3">
      <c r="A1072" s="5"/>
      <c r="B1072" s="19" t="s">
        <v>1290</v>
      </c>
      <c r="C1072" s="23" t="s">
        <v>1291</v>
      </c>
      <c r="D1072" s="21" t="s">
        <v>1292</v>
      </c>
      <c r="E1072" s="23">
        <v>5</v>
      </c>
      <c r="F1072" s="21" t="s">
        <v>1293</v>
      </c>
      <c r="G1072" s="24" t="s">
        <v>1294</v>
      </c>
    </row>
    <row r="1073" spans="1:14" s="3" customFormat="1" ht="17.399999999999999" hidden="1" customHeight="1" outlineLevel="1" x14ac:dyDescent="0.25">
      <c r="A1073" s="5"/>
      <c r="B1073" s="401" t="s">
        <v>1</v>
      </c>
      <c r="C1073" s="402"/>
      <c r="D1073" s="402"/>
      <c r="E1073" s="402"/>
      <c r="F1073" s="402"/>
      <c r="G1073" s="403"/>
    </row>
    <row r="1074" spans="1:14" s="3" customFormat="1" ht="17.399999999999999" hidden="1" customHeight="1" outlineLevel="1" x14ac:dyDescent="0.25">
      <c r="A1074" s="5"/>
      <c r="B1074" s="25" t="s">
        <v>2</v>
      </c>
      <c r="C1074" s="26" t="s">
        <v>3</v>
      </c>
      <c r="D1074" s="26" t="s">
        <v>4</v>
      </c>
      <c r="E1074" s="26" t="s">
        <v>5</v>
      </c>
      <c r="F1074" s="26"/>
      <c r="G1074" s="27" t="s">
        <v>6</v>
      </c>
    </row>
    <row r="1075" spans="1:14" s="3" customFormat="1" ht="17.399999999999999" hidden="1" customHeight="1" outlineLevel="1" x14ac:dyDescent="0.25">
      <c r="B1075" s="28" t="s">
        <v>190</v>
      </c>
      <c r="C1075" s="29" t="s">
        <v>1610</v>
      </c>
      <c r="D1075" s="29" t="s">
        <v>1469</v>
      </c>
      <c r="E1075" s="29">
        <v>0</v>
      </c>
      <c r="F1075" s="29"/>
      <c r="G1075" s="30"/>
    </row>
    <row r="1076" spans="1:14" s="3" customFormat="1" ht="17.399999999999999" hidden="1" customHeight="1" outlineLevel="1" x14ac:dyDescent="0.25">
      <c r="B1076" s="28" t="s">
        <v>114</v>
      </c>
      <c r="C1076" s="29" t="s">
        <v>1557</v>
      </c>
      <c r="D1076" s="29" t="s">
        <v>1469</v>
      </c>
      <c r="E1076" s="29">
        <v>-1</v>
      </c>
      <c r="F1076" s="29" t="s">
        <v>1470</v>
      </c>
      <c r="G1076" s="30"/>
      <c r="J1076" s="3" t="s">
        <v>10</v>
      </c>
    </row>
    <row r="1077" spans="1:14" s="3" customFormat="1" ht="17.399999999999999" hidden="1" customHeight="1" outlineLevel="1" x14ac:dyDescent="0.25">
      <c r="B1077" s="28" t="s">
        <v>784</v>
      </c>
      <c r="C1077" s="29" t="s">
        <v>2270</v>
      </c>
      <c r="D1077" s="29" t="s">
        <v>1606</v>
      </c>
      <c r="E1077" s="29" t="s">
        <v>2271</v>
      </c>
      <c r="F1077" s="29" t="s">
        <v>1470</v>
      </c>
      <c r="G1077" s="30"/>
      <c r="J1077" s="3" t="s">
        <v>10</v>
      </c>
    </row>
    <row r="1078" spans="1:14" s="3" customFormat="1" ht="16.2" hidden="1" outlineLevel="1" thickBot="1" x14ac:dyDescent="0.3">
      <c r="B1078" s="28" t="s">
        <v>192</v>
      </c>
      <c r="C1078" s="29" t="s">
        <v>1613</v>
      </c>
      <c r="D1078" s="29" t="s">
        <v>1469</v>
      </c>
      <c r="E1078" s="29">
        <v>1</v>
      </c>
      <c r="F1078" s="29" t="s">
        <v>1470</v>
      </c>
      <c r="G1078" s="30" t="s">
        <v>1614</v>
      </c>
      <c r="J1078" s="3" t="s">
        <v>187</v>
      </c>
      <c r="K1078" s="3" t="s">
        <v>173</v>
      </c>
      <c r="L1078" s="3" t="s">
        <v>9</v>
      </c>
      <c r="M1078" s="3" t="s">
        <v>9</v>
      </c>
      <c r="N1078" s="3">
        <v>1099</v>
      </c>
    </row>
    <row r="1079" spans="1:14" s="3" customFormat="1" hidden="1" outlineLevel="1" x14ac:dyDescent="0.25">
      <c r="A1079" s="5"/>
      <c r="B1079" s="401" t="s">
        <v>18</v>
      </c>
      <c r="C1079" s="402"/>
      <c r="D1079" s="402"/>
      <c r="E1079" s="402"/>
      <c r="F1079" s="402"/>
      <c r="G1079" s="403"/>
      <c r="J1079" s="3" t="s">
        <v>10</v>
      </c>
      <c r="K1079" s="3" t="s">
        <v>173</v>
      </c>
      <c r="L1079" s="3" t="s">
        <v>9</v>
      </c>
      <c r="M1079" s="3" t="s">
        <v>9</v>
      </c>
      <c r="N1079" s="3">
        <v>2449</v>
      </c>
    </row>
    <row r="1080" spans="1:14" s="3" customFormat="1" hidden="1" outlineLevel="1" x14ac:dyDescent="0.25">
      <c r="A1080" s="5"/>
      <c r="B1080" s="25" t="s">
        <v>2</v>
      </c>
      <c r="C1080" s="26" t="s">
        <v>3</v>
      </c>
      <c r="D1080" s="26" t="s">
        <v>4</v>
      </c>
      <c r="E1080" s="26" t="s">
        <v>5</v>
      </c>
      <c r="F1080" s="26"/>
      <c r="G1080" s="27" t="s">
        <v>6</v>
      </c>
      <c r="K1080" s="3" t="s">
        <v>438</v>
      </c>
      <c r="L1080" s="3" t="s">
        <v>537</v>
      </c>
      <c r="M1080" s="3" t="s">
        <v>187</v>
      </c>
      <c r="N1080" s="3">
        <v>1107</v>
      </c>
    </row>
    <row r="1081" spans="1:14" s="3" customFormat="1" ht="16.2" hidden="1" outlineLevel="1" thickBot="1" x14ac:dyDescent="0.3">
      <c r="B1081" s="28"/>
      <c r="C1081" s="29"/>
      <c r="D1081" s="29"/>
      <c r="E1081" s="29"/>
      <c r="F1081" s="29"/>
      <c r="G1081" s="30"/>
      <c r="K1081" s="3" t="s">
        <v>173</v>
      </c>
      <c r="L1081" s="3" t="s">
        <v>9</v>
      </c>
      <c r="M1081" s="3" t="s">
        <v>9</v>
      </c>
      <c r="N1081" s="3">
        <v>1951</v>
      </c>
    </row>
    <row r="1082" spans="1:14" s="3" customFormat="1" ht="17.399999999999999" hidden="1" customHeight="1" outlineLevel="1" x14ac:dyDescent="0.25">
      <c r="A1082" s="5"/>
      <c r="B1082" s="401" t="s">
        <v>29</v>
      </c>
      <c r="C1082" s="402"/>
      <c r="D1082" s="402"/>
      <c r="E1082" s="402"/>
      <c r="F1082" s="402"/>
      <c r="G1082" s="403"/>
    </row>
    <row r="1083" spans="1:14" s="3" customFormat="1" ht="17.399999999999999" hidden="1" customHeight="1" outlineLevel="1" x14ac:dyDescent="0.25">
      <c r="B1083" s="28" t="s">
        <v>590</v>
      </c>
      <c r="C1083" s="29"/>
      <c r="D1083" s="29"/>
      <c r="E1083" s="29"/>
      <c r="F1083" s="29"/>
      <c r="G1083" s="30"/>
    </row>
    <row r="1084" spans="1:14" s="3" customFormat="1" hidden="1" outlineLevel="1" x14ac:dyDescent="0.25">
      <c r="B1084" s="28" t="s">
        <v>591</v>
      </c>
      <c r="C1084" s="29"/>
      <c r="D1084" s="29"/>
      <c r="E1084" s="29"/>
      <c r="F1084" s="29"/>
      <c r="G1084" s="30"/>
    </row>
    <row r="1085" spans="1:14" s="3" customFormat="1" ht="17.399999999999999" hidden="1" customHeight="1" outlineLevel="1" x14ac:dyDescent="0.25">
      <c r="B1085" s="28" t="s">
        <v>957</v>
      </c>
      <c r="C1085" s="29"/>
      <c r="D1085" s="29"/>
      <c r="E1085" s="29"/>
      <c r="F1085" s="29"/>
      <c r="G1085" s="30"/>
    </row>
    <row r="1086" spans="1:14" s="3" customFormat="1" hidden="1" outlineLevel="1" x14ac:dyDescent="0.25">
      <c r="B1086" s="28" t="s">
        <v>593</v>
      </c>
      <c r="C1086" s="29"/>
      <c r="D1086" s="29"/>
      <c r="E1086" s="29"/>
      <c r="F1086" s="29"/>
      <c r="G1086" s="30"/>
    </row>
    <row r="1087" spans="1:14" s="3" customFormat="1" hidden="1" outlineLevel="1" x14ac:dyDescent="0.25">
      <c r="B1087" s="28" t="s">
        <v>958</v>
      </c>
      <c r="C1087" s="29"/>
      <c r="D1087" s="29"/>
      <c r="E1087" s="29"/>
      <c r="F1087" s="29"/>
      <c r="G1087" s="30"/>
    </row>
    <row r="1088" spans="1:14" s="3" customFormat="1" hidden="1" outlineLevel="1" x14ac:dyDescent="0.25">
      <c r="B1088" s="28" t="s">
        <v>595</v>
      </c>
      <c r="C1088" s="29"/>
      <c r="D1088" s="29"/>
      <c r="E1088" s="29"/>
      <c r="F1088" s="29"/>
      <c r="G1088" s="30"/>
    </row>
    <row r="1089" spans="2:7" s="3" customFormat="1" hidden="1" outlineLevel="1" x14ac:dyDescent="0.25">
      <c r="B1089" s="28" t="s">
        <v>959</v>
      </c>
      <c r="C1089" s="29"/>
      <c r="D1089" s="29"/>
      <c r="E1089" s="29"/>
      <c r="F1089" s="29"/>
      <c r="G1089" s="30"/>
    </row>
    <row r="1090" spans="2:7" s="3" customFormat="1" hidden="1" outlineLevel="1" x14ac:dyDescent="0.25">
      <c r="B1090" s="28" t="s">
        <v>597</v>
      </c>
      <c r="C1090" s="29"/>
      <c r="D1090" s="29"/>
      <c r="E1090" s="29"/>
      <c r="F1090" s="29"/>
      <c r="G1090" s="30"/>
    </row>
    <row r="1091" spans="2:7" s="3" customFormat="1" hidden="1" outlineLevel="1" x14ac:dyDescent="0.25">
      <c r="B1091" s="28" t="s">
        <v>960</v>
      </c>
      <c r="C1091" s="29"/>
      <c r="D1091" s="29"/>
      <c r="E1091" s="29"/>
      <c r="F1091" s="29"/>
      <c r="G1091" s="30"/>
    </row>
    <row r="1092" spans="2:7" s="3" customFormat="1" hidden="1" outlineLevel="1" x14ac:dyDescent="0.25">
      <c r="B1092" s="28" t="s">
        <v>920</v>
      </c>
      <c r="C1092" s="29"/>
      <c r="D1092" s="29"/>
      <c r="E1092" s="29"/>
      <c r="F1092" s="29"/>
      <c r="G1092" s="30"/>
    </row>
    <row r="1093" spans="2:7" s="3" customFormat="1" hidden="1" outlineLevel="1" x14ac:dyDescent="0.25">
      <c r="B1093" s="28" t="s">
        <v>961</v>
      </c>
      <c r="C1093" s="29"/>
      <c r="D1093" s="29"/>
      <c r="E1093" s="29"/>
      <c r="F1093" s="29"/>
      <c r="G1093" s="30"/>
    </row>
    <row r="1094" spans="2:7" s="3" customFormat="1" hidden="1" outlineLevel="1" x14ac:dyDescent="0.25">
      <c r="B1094" s="28" t="s">
        <v>561</v>
      </c>
      <c r="C1094" s="29"/>
      <c r="D1094" s="29"/>
      <c r="E1094" s="29"/>
      <c r="F1094" s="29"/>
      <c r="G1094" s="30"/>
    </row>
    <row r="1095" spans="2:7" s="3" customFormat="1" hidden="1" outlineLevel="1" x14ac:dyDescent="0.25">
      <c r="B1095" s="28" t="s">
        <v>920</v>
      </c>
      <c r="C1095" s="29"/>
      <c r="D1095" s="29"/>
      <c r="E1095" s="29"/>
      <c r="F1095" s="29"/>
      <c r="G1095" s="30"/>
    </row>
    <row r="1096" spans="2:7" s="3" customFormat="1" hidden="1" outlineLevel="1" x14ac:dyDescent="0.25">
      <c r="B1096" s="28" t="s">
        <v>591</v>
      </c>
      <c r="C1096" s="29"/>
      <c r="D1096" s="29"/>
      <c r="E1096" s="29"/>
      <c r="F1096" s="29"/>
      <c r="G1096" s="30"/>
    </row>
    <row r="1097" spans="2:7" s="3" customFormat="1" hidden="1" outlineLevel="1" x14ac:dyDescent="0.25">
      <c r="B1097" s="28" t="s">
        <v>962</v>
      </c>
      <c r="C1097" s="29"/>
      <c r="D1097" s="29"/>
      <c r="E1097" s="29"/>
      <c r="F1097" s="29"/>
      <c r="G1097" s="30"/>
    </row>
    <row r="1098" spans="2:7" s="3" customFormat="1" hidden="1" outlineLevel="1" x14ac:dyDescent="0.25">
      <c r="B1098" s="28" t="s">
        <v>593</v>
      </c>
      <c r="C1098" s="29"/>
      <c r="D1098" s="29"/>
      <c r="E1098" s="29"/>
      <c r="F1098" s="29"/>
      <c r="G1098" s="30"/>
    </row>
    <row r="1099" spans="2:7" s="3" customFormat="1" hidden="1" outlineLevel="1" x14ac:dyDescent="0.25">
      <c r="B1099" s="28" t="s">
        <v>963</v>
      </c>
      <c r="C1099" s="29"/>
      <c r="D1099" s="29"/>
      <c r="E1099" s="29"/>
      <c r="F1099" s="29"/>
      <c r="G1099" s="30"/>
    </row>
    <row r="1100" spans="2:7" s="3" customFormat="1" hidden="1" outlineLevel="1" x14ac:dyDescent="0.25">
      <c r="B1100" s="28" t="s">
        <v>595</v>
      </c>
      <c r="C1100" s="29"/>
      <c r="D1100" s="29"/>
      <c r="E1100" s="29"/>
      <c r="F1100" s="29"/>
      <c r="G1100" s="30"/>
    </row>
    <row r="1101" spans="2:7" s="3" customFormat="1" hidden="1" outlineLevel="1" x14ac:dyDescent="0.25">
      <c r="B1101" s="28" t="s">
        <v>964</v>
      </c>
      <c r="C1101" s="29"/>
      <c r="D1101" s="29"/>
      <c r="E1101" s="29"/>
      <c r="F1101" s="29"/>
      <c r="G1101" s="30"/>
    </row>
    <row r="1102" spans="2:7" s="3" customFormat="1" hidden="1" outlineLevel="1" x14ac:dyDescent="0.25">
      <c r="B1102" s="28" t="s">
        <v>597</v>
      </c>
      <c r="C1102" s="29"/>
      <c r="D1102" s="29"/>
      <c r="E1102" s="29"/>
      <c r="F1102" s="29"/>
      <c r="G1102" s="30"/>
    </row>
    <row r="1103" spans="2:7" s="3" customFormat="1" hidden="1" outlineLevel="1" x14ac:dyDescent="0.25">
      <c r="B1103" s="28" t="s">
        <v>965</v>
      </c>
      <c r="C1103" s="29"/>
      <c r="D1103" s="29"/>
      <c r="E1103" s="29"/>
      <c r="F1103" s="29"/>
      <c r="G1103" s="30"/>
    </row>
    <row r="1104" spans="2:7" s="3" customFormat="1" hidden="1" outlineLevel="1" x14ac:dyDescent="0.25">
      <c r="B1104" s="28" t="s">
        <v>920</v>
      </c>
      <c r="C1104" s="29"/>
      <c r="D1104" s="29"/>
      <c r="E1104" s="29"/>
      <c r="F1104" s="29"/>
      <c r="G1104" s="30"/>
    </row>
    <row r="1105" spans="1:14" s="3" customFormat="1" hidden="1" outlineLevel="1" x14ac:dyDescent="0.25">
      <c r="B1105" s="28" t="s">
        <v>961</v>
      </c>
      <c r="C1105" s="29"/>
      <c r="D1105" s="29"/>
      <c r="E1105" s="29"/>
      <c r="F1105" s="29"/>
      <c r="G1105" s="30"/>
    </row>
    <row r="1106" spans="1:14" s="3" customFormat="1" hidden="1" outlineLevel="1" x14ac:dyDescent="0.25">
      <c r="B1106" s="28" t="s">
        <v>561</v>
      </c>
      <c r="C1106" s="29"/>
      <c r="D1106" s="29"/>
      <c r="E1106" s="29"/>
      <c r="F1106" s="29"/>
      <c r="G1106" s="30"/>
    </row>
    <row r="1107" spans="1:14" s="3" customFormat="1" ht="16.2" hidden="1" outlineLevel="1" thickBot="1" x14ac:dyDescent="0.3">
      <c r="B1107" s="163" t="s">
        <v>561</v>
      </c>
      <c r="C1107" s="164"/>
      <c r="D1107" s="164"/>
      <c r="E1107" s="164"/>
      <c r="F1107" s="164"/>
      <c r="G1107" s="165"/>
    </row>
    <row r="1108" spans="1:14" s="3" customFormat="1" ht="16.2" hidden="1" outlineLevel="1" thickBot="1" x14ac:dyDescent="0.3"/>
    <row r="1109" spans="1:14" s="3" customFormat="1" ht="16.2" collapsed="1" thickBot="1" x14ac:dyDescent="0.3">
      <c r="A1109" s="5"/>
      <c r="B1109" s="15" t="s">
        <v>1279</v>
      </c>
      <c r="C1109" s="16" t="s">
        <v>2156</v>
      </c>
      <c r="D1109" s="17" t="s">
        <v>1281</v>
      </c>
      <c r="E1109" s="16" t="s">
        <v>966</v>
      </c>
      <c r="F1109" s="17" t="s">
        <v>1282</v>
      </c>
      <c r="G1109" s="18" t="s">
        <v>2157</v>
      </c>
    </row>
    <row r="1110" spans="1:14" s="3" customFormat="1" hidden="1" outlineLevel="1" x14ac:dyDescent="0.25">
      <c r="A1110" s="5"/>
      <c r="B1110" s="19" t="s">
        <v>1284</v>
      </c>
      <c r="C1110" s="20" t="s">
        <v>1285</v>
      </c>
      <c r="D1110" s="21" t="s">
        <v>1286</v>
      </c>
      <c r="E1110" s="20" t="s">
        <v>2158</v>
      </c>
      <c r="F1110" s="21" t="s">
        <v>1288</v>
      </c>
      <c r="G1110" s="22" t="s">
        <v>1370</v>
      </c>
    </row>
    <row r="1111" spans="1:14" s="3" customFormat="1" ht="16.2" hidden="1" outlineLevel="1" thickBot="1" x14ac:dyDescent="0.3">
      <c r="A1111" s="5"/>
      <c r="B1111" s="19" t="s">
        <v>1290</v>
      </c>
      <c r="C1111" s="23" t="s">
        <v>1291</v>
      </c>
      <c r="D1111" s="21" t="s">
        <v>1292</v>
      </c>
      <c r="E1111" s="23">
        <v>5</v>
      </c>
      <c r="F1111" s="21" t="s">
        <v>1293</v>
      </c>
      <c r="G1111" s="24" t="s">
        <v>1294</v>
      </c>
    </row>
    <row r="1112" spans="1:14" s="3" customFormat="1" ht="17.399999999999999" hidden="1" customHeight="1" outlineLevel="1" x14ac:dyDescent="0.25">
      <c r="A1112" s="5"/>
      <c r="B1112" s="401" t="s">
        <v>1</v>
      </c>
      <c r="C1112" s="402"/>
      <c r="D1112" s="402"/>
      <c r="E1112" s="402"/>
      <c r="F1112" s="402"/>
      <c r="G1112" s="403"/>
    </row>
    <row r="1113" spans="1:14" s="3" customFormat="1" ht="17.399999999999999" hidden="1" customHeight="1" outlineLevel="1" x14ac:dyDescent="0.25">
      <c r="A1113" s="5"/>
      <c r="B1113" s="25" t="s">
        <v>2</v>
      </c>
      <c r="C1113" s="26" t="s">
        <v>3</v>
      </c>
      <c r="D1113" s="26" t="s">
        <v>4</v>
      </c>
      <c r="E1113" s="26" t="s">
        <v>5</v>
      </c>
      <c r="F1113" s="26"/>
      <c r="G1113" s="27" t="s">
        <v>6</v>
      </c>
    </row>
    <row r="1114" spans="1:14" s="3" customFormat="1" ht="17.399999999999999" hidden="1" customHeight="1" outlineLevel="1" x14ac:dyDescent="0.25">
      <c r="B1114" s="28" t="s">
        <v>7</v>
      </c>
      <c r="C1114" s="29" t="s">
        <v>1468</v>
      </c>
      <c r="D1114" s="29" t="s">
        <v>1469</v>
      </c>
      <c r="E1114" s="29">
        <v>0</v>
      </c>
      <c r="F1114" s="29" t="s">
        <v>1470</v>
      </c>
      <c r="G1114" s="30" t="s">
        <v>1471</v>
      </c>
    </row>
    <row r="1115" spans="1:14" s="3" customFormat="1" ht="17.399999999999999" hidden="1" customHeight="1" outlineLevel="1" x14ac:dyDescent="0.25">
      <c r="B1115" s="28" t="s">
        <v>11</v>
      </c>
      <c r="C1115" s="29" t="s">
        <v>1472</v>
      </c>
      <c r="D1115" s="29" t="s">
        <v>1469</v>
      </c>
      <c r="E1115" s="29">
        <v>0</v>
      </c>
      <c r="F1115" s="29" t="s">
        <v>1470</v>
      </c>
      <c r="G1115" s="30" t="s">
        <v>1473</v>
      </c>
      <c r="J1115" s="3" t="s">
        <v>10</v>
      </c>
    </row>
    <row r="1116" spans="1:14" s="3" customFormat="1" ht="17.399999999999999" hidden="1" customHeight="1" outlineLevel="1" x14ac:dyDescent="0.25">
      <c r="B1116" s="28" t="s">
        <v>185</v>
      </c>
      <c r="C1116" s="29" t="s">
        <v>1604</v>
      </c>
      <c r="D1116" s="29" t="s">
        <v>1469</v>
      </c>
      <c r="E1116" s="29">
        <v>0</v>
      </c>
      <c r="F1116" s="29" t="s">
        <v>1470</v>
      </c>
      <c r="G1116" s="30"/>
      <c r="J1116" s="3" t="s">
        <v>12</v>
      </c>
    </row>
    <row r="1117" spans="1:14" s="3" customFormat="1" hidden="1" outlineLevel="1" x14ac:dyDescent="0.25">
      <c r="B1117" s="28" t="s">
        <v>160</v>
      </c>
      <c r="C1117" s="29" t="s">
        <v>1588</v>
      </c>
      <c r="D1117" s="29" t="s">
        <v>1469</v>
      </c>
      <c r="E1117" s="29">
        <v>0</v>
      </c>
      <c r="F1117" s="29"/>
      <c r="G1117" s="30"/>
      <c r="J1117" s="3" t="s">
        <v>10</v>
      </c>
      <c r="K1117" s="3" t="s">
        <v>173</v>
      </c>
      <c r="L1117" s="3" t="s">
        <v>9</v>
      </c>
      <c r="M1117" s="3" t="s">
        <v>9</v>
      </c>
      <c r="N1117" s="3">
        <v>1112</v>
      </c>
    </row>
    <row r="1118" spans="1:14" s="3" customFormat="1" hidden="1" outlineLevel="1" x14ac:dyDescent="0.25">
      <c r="B1118" s="28" t="s">
        <v>302</v>
      </c>
      <c r="C1118" s="29" t="s">
        <v>1727</v>
      </c>
      <c r="D1118" s="29" t="s">
        <v>1606</v>
      </c>
      <c r="E1118" s="29" t="s">
        <v>1594</v>
      </c>
      <c r="F1118" s="29" t="s">
        <v>1470</v>
      </c>
      <c r="G1118" s="30"/>
      <c r="J1118" s="3" t="s">
        <v>10</v>
      </c>
      <c r="K1118" s="3" t="s">
        <v>174</v>
      </c>
      <c r="L1118" s="3" t="s">
        <v>175</v>
      </c>
      <c r="M1118" s="3" t="s">
        <v>176</v>
      </c>
      <c r="N1118" s="3">
        <v>1700</v>
      </c>
    </row>
    <row r="1119" spans="1:14" s="3" customFormat="1" hidden="1" outlineLevel="1" x14ac:dyDescent="0.25">
      <c r="B1119" s="28" t="s">
        <v>265</v>
      </c>
      <c r="C1119" s="29" t="s">
        <v>1692</v>
      </c>
      <c r="D1119" s="29" t="s">
        <v>1606</v>
      </c>
      <c r="E1119" s="29" t="s">
        <v>1594</v>
      </c>
      <c r="F1119" s="29" t="s">
        <v>1470</v>
      </c>
      <c r="G1119" s="30"/>
      <c r="J1119" s="3" t="s">
        <v>187</v>
      </c>
      <c r="K1119" s="3" t="s">
        <v>173</v>
      </c>
      <c r="L1119" s="3" t="s">
        <v>9</v>
      </c>
      <c r="M1119" s="3" t="s">
        <v>9</v>
      </c>
      <c r="N1119" s="3">
        <v>2330</v>
      </c>
    </row>
    <row r="1120" spans="1:14" s="3" customFormat="1" hidden="1" outlineLevel="1" x14ac:dyDescent="0.25">
      <c r="B1120" s="28" t="s">
        <v>538</v>
      </c>
      <c r="C1120" s="29" t="s">
        <v>2062</v>
      </c>
      <c r="D1120" s="29" t="s">
        <v>1606</v>
      </c>
      <c r="E1120" s="29" t="s">
        <v>1594</v>
      </c>
      <c r="F1120" s="29"/>
      <c r="G1120" s="30"/>
      <c r="J1120" s="3" t="s">
        <v>187</v>
      </c>
      <c r="K1120" s="3" t="s">
        <v>173</v>
      </c>
      <c r="L1120" s="3" t="s">
        <v>9</v>
      </c>
      <c r="M1120" s="3" t="s">
        <v>9</v>
      </c>
      <c r="N1120" s="3">
        <v>1604</v>
      </c>
    </row>
    <row r="1121" spans="1:14" s="3" customFormat="1" hidden="1" outlineLevel="1" x14ac:dyDescent="0.25">
      <c r="B1121" s="28"/>
      <c r="C1121" s="29"/>
      <c r="D1121" s="29"/>
      <c r="E1121" s="29"/>
      <c r="F1121" s="29"/>
      <c r="G1121" s="30"/>
      <c r="J1121" s="3" t="s">
        <v>187</v>
      </c>
      <c r="K1121" s="3" t="s">
        <v>438</v>
      </c>
      <c r="L1121" s="3" t="s">
        <v>537</v>
      </c>
      <c r="M1121" s="3" t="s">
        <v>187</v>
      </c>
      <c r="N1121" s="3">
        <v>1700</v>
      </c>
    </row>
    <row r="1122" spans="1:14" s="3" customFormat="1" hidden="1" outlineLevel="1" x14ac:dyDescent="0.25">
      <c r="B1122" s="28" t="s">
        <v>18</v>
      </c>
      <c r="C1122" s="29"/>
      <c r="D1122" s="29"/>
      <c r="E1122" s="29"/>
      <c r="F1122" s="29"/>
      <c r="G1122" s="30"/>
      <c r="K1122" s="3" t="s">
        <v>438</v>
      </c>
      <c r="L1122" s="3" t="s">
        <v>537</v>
      </c>
      <c r="M1122" s="3" t="s">
        <v>187</v>
      </c>
      <c r="N1122" s="3">
        <v>1114</v>
      </c>
    </row>
    <row r="1123" spans="1:14" s="3" customFormat="1" hidden="1" outlineLevel="1" x14ac:dyDescent="0.25">
      <c r="A1123" s="5"/>
      <c r="B1123" s="25" t="s">
        <v>2</v>
      </c>
      <c r="C1123" s="26" t="s">
        <v>3</v>
      </c>
      <c r="D1123" s="26" t="s">
        <v>4</v>
      </c>
      <c r="E1123" s="26" t="s">
        <v>5</v>
      </c>
      <c r="F1123" s="26"/>
      <c r="G1123" s="27" t="s">
        <v>6</v>
      </c>
      <c r="K1123" s="3" t="s">
        <v>438</v>
      </c>
      <c r="L1123" s="3" t="s">
        <v>537</v>
      </c>
      <c r="M1123" s="3" t="s">
        <v>187</v>
      </c>
      <c r="N1123" s="3">
        <v>1607</v>
      </c>
    </row>
    <row r="1124" spans="1:14" s="3" customFormat="1" ht="16.2" hidden="1" outlineLevel="1" thickBot="1" x14ac:dyDescent="0.3">
      <c r="B1124" s="28"/>
      <c r="C1124" s="29"/>
      <c r="D1124" s="29"/>
      <c r="E1124" s="29"/>
      <c r="F1124" s="29"/>
      <c r="G1124" s="30"/>
    </row>
    <row r="1125" spans="1:14" s="3" customFormat="1" hidden="1" outlineLevel="1" x14ac:dyDescent="0.25">
      <c r="A1125" s="5"/>
      <c r="B1125" s="401" t="s">
        <v>29</v>
      </c>
      <c r="C1125" s="402"/>
      <c r="D1125" s="402"/>
      <c r="E1125" s="402"/>
      <c r="F1125" s="402"/>
      <c r="G1125" s="403"/>
    </row>
    <row r="1126" spans="1:14" s="3" customFormat="1" ht="17.399999999999999" hidden="1" customHeight="1" outlineLevel="1" x14ac:dyDescent="0.25">
      <c r="B1126" s="28"/>
      <c r="C1126" s="29"/>
      <c r="D1126" s="29"/>
      <c r="E1126" s="29"/>
      <c r="F1126" s="29"/>
      <c r="G1126" s="30"/>
    </row>
    <row r="1127" spans="1:14" s="3" customFormat="1" hidden="1" outlineLevel="1" x14ac:dyDescent="0.25">
      <c r="B1127" s="28"/>
      <c r="C1127" s="29"/>
      <c r="D1127" s="29"/>
      <c r="E1127" s="29"/>
      <c r="F1127" s="29"/>
      <c r="G1127" s="30"/>
    </row>
    <row r="1128" spans="1:14" s="3" customFormat="1" ht="17.399999999999999" hidden="1" customHeight="1" outlineLevel="1" x14ac:dyDescent="0.25">
      <c r="B1128" s="28"/>
      <c r="C1128" s="29"/>
      <c r="D1128" s="29"/>
      <c r="E1128" s="29"/>
      <c r="F1128" s="29"/>
      <c r="G1128" s="30"/>
    </row>
    <row r="1129" spans="1:14" s="3" customFormat="1" hidden="1" outlineLevel="1" x14ac:dyDescent="0.25">
      <c r="B1129" s="28"/>
      <c r="C1129" s="29"/>
      <c r="D1129" s="29"/>
      <c r="E1129" s="29"/>
      <c r="F1129" s="29"/>
      <c r="G1129" s="30"/>
    </row>
    <row r="1130" spans="1:14" s="3" customFormat="1" hidden="1" outlineLevel="1" x14ac:dyDescent="0.25">
      <c r="B1130" s="28"/>
      <c r="C1130" s="29"/>
      <c r="D1130" s="29"/>
      <c r="E1130" s="29"/>
      <c r="F1130" s="29"/>
      <c r="G1130" s="30"/>
    </row>
    <row r="1131" spans="1:14" s="3" customFormat="1" hidden="1" outlineLevel="1" x14ac:dyDescent="0.25">
      <c r="B1131" s="28"/>
      <c r="C1131" s="29"/>
      <c r="D1131" s="29"/>
      <c r="E1131" s="29"/>
      <c r="F1131" s="29"/>
      <c r="G1131" s="30"/>
    </row>
    <row r="1132" spans="1:14" s="3" customFormat="1" ht="16.2" hidden="1" outlineLevel="1" thickBot="1" x14ac:dyDescent="0.3">
      <c r="B1132" s="163"/>
      <c r="C1132" s="164"/>
      <c r="D1132" s="164"/>
      <c r="E1132" s="164"/>
      <c r="F1132" s="164"/>
      <c r="G1132" s="165"/>
    </row>
    <row r="1133" spans="1:14" s="3" customFormat="1" ht="16.2" hidden="1" outlineLevel="1" thickBot="1" x14ac:dyDescent="0.3">
      <c r="A1133" s="5"/>
      <c r="B1133" s="5"/>
      <c r="C1133" s="5"/>
      <c r="D1133" s="5"/>
      <c r="E1133" s="5"/>
      <c r="F1133" s="5"/>
      <c r="G1133" s="5"/>
      <c r="H1133" s="5"/>
    </row>
    <row r="1134" spans="1:14" s="3" customFormat="1" ht="16.2" collapsed="1" thickBot="1" x14ac:dyDescent="0.3">
      <c r="A1134" s="5"/>
      <c r="B1134" s="15" t="s">
        <v>1279</v>
      </c>
      <c r="C1134" s="16" t="s">
        <v>2159</v>
      </c>
      <c r="D1134" s="17" t="s">
        <v>1281</v>
      </c>
      <c r="E1134" s="16" t="s">
        <v>967</v>
      </c>
      <c r="F1134" s="17" t="s">
        <v>1282</v>
      </c>
      <c r="G1134" s="18" t="s">
        <v>2160</v>
      </c>
      <c r="I1134" s="5"/>
      <c r="J1134" s="5"/>
    </row>
    <row r="1135" spans="1:14" s="3" customFormat="1" hidden="1" outlineLevel="1" x14ac:dyDescent="0.25">
      <c r="A1135" s="5"/>
      <c r="B1135" s="19" t="s">
        <v>1284</v>
      </c>
      <c r="C1135" s="20" t="s">
        <v>1285</v>
      </c>
      <c r="D1135" s="21" t="s">
        <v>1286</v>
      </c>
      <c r="E1135" s="20" t="s">
        <v>2161</v>
      </c>
      <c r="F1135" s="21" t="s">
        <v>1288</v>
      </c>
      <c r="G1135" s="22"/>
    </row>
    <row r="1136" spans="1:14" s="5" customFormat="1" ht="17.399999999999999" hidden="1" customHeight="1" outlineLevel="1" thickBot="1" x14ac:dyDescent="0.3">
      <c r="B1136" s="19" t="s">
        <v>1290</v>
      </c>
      <c r="C1136" s="23" t="s">
        <v>1291</v>
      </c>
      <c r="D1136" s="21" t="s">
        <v>1292</v>
      </c>
      <c r="E1136" s="23">
        <v>5</v>
      </c>
      <c r="F1136" s="21" t="s">
        <v>1293</v>
      </c>
      <c r="G1136" s="24" t="s">
        <v>1294</v>
      </c>
      <c r="H1136" s="3"/>
      <c r="I1136" s="3"/>
      <c r="J1136" s="3"/>
    </row>
    <row r="1137" spans="1:14" s="3" customFormat="1" ht="17.399999999999999" hidden="1" customHeight="1" outlineLevel="1" x14ac:dyDescent="0.25">
      <c r="A1137" s="5"/>
      <c r="B1137" s="401" t="s">
        <v>1</v>
      </c>
      <c r="C1137" s="402"/>
      <c r="D1137" s="402"/>
      <c r="E1137" s="402"/>
      <c r="F1137" s="402"/>
      <c r="G1137" s="403"/>
    </row>
    <row r="1138" spans="1:14" s="3" customFormat="1" ht="17.399999999999999" hidden="1" customHeight="1" outlineLevel="1" x14ac:dyDescent="0.25">
      <c r="A1138" s="5"/>
      <c r="B1138" s="25" t="s">
        <v>2</v>
      </c>
      <c r="C1138" s="26" t="s">
        <v>3</v>
      </c>
      <c r="D1138" s="26" t="s">
        <v>4</v>
      </c>
      <c r="E1138" s="26" t="s">
        <v>5</v>
      </c>
      <c r="F1138" s="26"/>
      <c r="G1138" s="27" t="s">
        <v>6</v>
      </c>
    </row>
    <row r="1139" spans="1:14" s="3" customFormat="1" ht="17.399999999999999" hidden="1" customHeight="1" outlineLevel="1" x14ac:dyDescent="0.25">
      <c r="B1139" s="28" t="s">
        <v>7</v>
      </c>
      <c r="C1139" s="29" t="s">
        <v>1468</v>
      </c>
      <c r="D1139" s="29" t="s">
        <v>1469</v>
      </c>
      <c r="E1139" s="29">
        <v>0</v>
      </c>
      <c r="F1139" s="29" t="s">
        <v>1470</v>
      </c>
      <c r="G1139" s="30" t="s">
        <v>1471</v>
      </c>
    </row>
    <row r="1140" spans="1:14" s="3" customFormat="1" ht="17.399999999999999" hidden="1" customHeight="1" outlineLevel="1" x14ac:dyDescent="0.25">
      <c r="B1140" s="28" t="s">
        <v>11</v>
      </c>
      <c r="C1140" s="29" t="s">
        <v>1472</v>
      </c>
      <c r="D1140" s="29" t="s">
        <v>1469</v>
      </c>
      <c r="E1140" s="29">
        <v>0</v>
      </c>
      <c r="F1140" s="29" t="s">
        <v>1470</v>
      </c>
      <c r="G1140" s="30" t="s">
        <v>1473</v>
      </c>
      <c r="J1140" s="3" t="s">
        <v>10</v>
      </c>
    </row>
    <row r="1141" spans="1:14" s="3" customFormat="1" ht="17.399999999999999" hidden="1" customHeight="1" outlineLevel="1" x14ac:dyDescent="0.25">
      <c r="A1141" s="5"/>
      <c r="B1141" s="31" t="s">
        <v>185</v>
      </c>
      <c r="C1141" s="20" t="s">
        <v>1604</v>
      </c>
      <c r="D1141" s="20" t="s">
        <v>1469</v>
      </c>
      <c r="E1141" s="20">
        <v>0</v>
      </c>
      <c r="F1141" s="20" t="s">
        <v>1470</v>
      </c>
      <c r="G1141" s="22"/>
      <c r="J1141" s="3" t="s">
        <v>12</v>
      </c>
    </row>
    <row r="1142" spans="1:14" s="3" customFormat="1" hidden="1" outlineLevel="1" x14ac:dyDescent="0.25">
      <c r="A1142" s="5"/>
      <c r="B1142" s="31" t="s">
        <v>160</v>
      </c>
      <c r="C1142" s="20" t="s">
        <v>1588</v>
      </c>
      <c r="D1142" s="20" t="s">
        <v>1469</v>
      </c>
      <c r="E1142" s="20">
        <v>0</v>
      </c>
      <c r="F1142" s="20"/>
      <c r="G1142" s="22"/>
      <c r="J1142" s="3" t="s">
        <v>10</v>
      </c>
      <c r="K1142" s="3" t="s">
        <v>173</v>
      </c>
      <c r="L1142" s="3" t="s">
        <v>9</v>
      </c>
      <c r="M1142" s="3" t="s">
        <v>9</v>
      </c>
      <c r="N1142" s="3">
        <v>1112</v>
      </c>
    </row>
    <row r="1143" spans="1:14" s="3" customFormat="1" hidden="1" outlineLevel="1" x14ac:dyDescent="0.25">
      <c r="A1143" s="5"/>
      <c r="B1143" s="31" t="s">
        <v>73</v>
      </c>
      <c r="C1143" s="20" t="s">
        <v>1528</v>
      </c>
      <c r="D1143" s="20" t="s">
        <v>1469</v>
      </c>
      <c r="E1143" s="20" t="s">
        <v>1480</v>
      </c>
      <c r="F1143" s="20" t="s">
        <v>1481</v>
      </c>
      <c r="G1143" s="22"/>
      <c r="J1143" s="3" t="s">
        <v>10</v>
      </c>
      <c r="K1143" s="3" t="s">
        <v>174</v>
      </c>
      <c r="L1143" s="3" t="s">
        <v>175</v>
      </c>
      <c r="M1143" s="3" t="s">
        <v>176</v>
      </c>
      <c r="N1143" s="3">
        <v>1700</v>
      </c>
    </row>
    <row r="1144" spans="1:14" s="3" customFormat="1" hidden="1" outlineLevel="1" x14ac:dyDescent="0.25">
      <c r="A1144" s="5"/>
      <c r="B1144" s="31" t="s">
        <v>74</v>
      </c>
      <c r="C1144" s="20" t="s">
        <v>1529</v>
      </c>
      <c r="D1144" s="20" t="s">
        <v>1469</v>
      </c>
      <c r="E1144" s="20" t="s">
        <v>1480</v>
      </c>
      <c r="F1144" s="20" t="s">
        <v>1481</v>
      </c>
      <c r="G1144" s="22"/>
      <c r="J1144" s="3" t="s">
        <v>10</v>
      </c>
      <c r="K1144" s="3" t="s">
        <v>173</v>
      </c>
      <c r="L1144" s="3" t="s">
        <v>9</v>
      </c>
      <c r="M1144" s="3" t="s">
        <v>9</v>
      </c>
      <c r="N1144" s="3">
        <v>2330</v>
      </c>
    </row>
    <row r="1145" spans="1:14" s="3" customFormat="1" hidden="1" outlineLevel="1" x14ac:dyDescent="0.25">
      <c r="A1145" s="5"/>
      <c r="B1145" s="31" t="s">
        <v>302</v>
      </c>
      <c r="C1145" s="20" t="s">
        <v>1727</v>
      </c>
      <c r="D1145" s="20" t="s">
        <v>1606</v>
      </c>
      <c r="E1145" s="20" t="s">
        <v>1594</v>
      </c>
      <c r="F1145" s="20" t="s">
        <v>1470</v>
      </c>
      <c r="G1145" s="22"/>
      <c r="J1145" s="3" t="s">
        <v>10</v>
      </c>
      <c r="K1145" s="3" t="s">
        <v>173</v>
      </c>
      <c r="L1145" s="3" t="s">
        <v>9</v>
      </c>
      <c r="M1145" s="3" t="s">
        <v>9</v>
      </c>
      <c r="N1145" s="3">
        <v>1604</v>
      </c>
    </row>
    <row r="1146" spans="1:14" s="3" customFormat="1" hidden="1" outlineLevel="1" x14ac:dyDescent="0.25">
      <c r="A1146" s="5"/>
      <c r="B1146" s="31" t="s">
        <v>265</v>
      </c>
      <c r="C1146" s="20" t="s">
        <v>1692</v>
      </c>
      <c r="D1146" s="20" t="s">
        <v>1606</v>
      </c>
      <c r="E1146" s="20" t="s">
        <v>1594</v>
      </c>
      <c r="F1146" s="20" t="s">
        <v>1470</v>
      </c>
      <c r="G1146" s="22"/>
      <c r="J1146" s="3" t="s">
        <v>187</v>
      </c>
      <c r="K1146" s="3" t="s">
        <v>173</v>
      </c>
      <c r="L1146" s="3" t="s">
        <v>9</v>
      </c>
      <c r="M1146" s="3" t="s">
        <v>9</v>
      </c>
      <c r="N1146" s="3">
        <v>1767</v>
      </c>
    </row>
    <row r="1147" spans="1:14" s="3" customFormat="1" hidden="1" outlineLevel="1" x14ac:dyDescent="0.25">
      <c r="A1147" s="5"/>
      <c r="B1147" s="31" t="s">
        <v>538</v>
      </c>
      <c r="C1147" s="20" t="s">
        <v>2062</v>
      </c>
      <c r="D1147" s="20" t="s">
        <v>1606</v>
      </c>
      <c r="E1147" s="20" t="s">
        <v>1594</v>
      </c>
      <c r="F1147" s="20"/>
      <c r="G1147" s="22"/>
      <c r="J1147" s="3" t="s">
        <v>187</v>
      </c>
      <c r="K1147" s="3" t="s">
        <v>173</v>
      </c>
      <c r="L1147" s="3" t="s">
        <v>9</v>
      </c>
      <c r="M1147" s="3" t="s">
        <v>9</v>
      </c>
      <c r="N1147" s="3">
        <v>1713</v>
      </c>
    </row>
    <row r="1148" spans="1:14" s="3" customFormat="1" ht="16.2" hidden="1" outlineLevel="1" thickBot="1" x14ac:dyDescent="0.3">
      <c r="A1148" s="5"/>
      <c r="B1148" s="31"/>
      <c r="C1148" s="20"/>
      <c r="D1148" s="20"/>
      <c r="E1148" s="20"/>
      <c r="F1148" s="20"/>
      <c r="G1148" s="22"/>
      <c r="J1148" s="3" t="s">
        <v>187</v>
      </c>
      <c r="K1148" s="3" t="s">
        <v>438</v>
      </c>
      <c r="L1148" s="3" t="s">
        <v>537</v>
      </c>
      <c r="M1148" s="3" t="s">
        <v>187</v>
      </c>
      <c r="N1148" s="3">
        <v>1700</v>
      </c>
    </row>
    <row r="1149" spans="1:14" s="3" customFormat="1" hidden="1" outlineLevel="1" x14ac:dyDescent="0.25">
      <c r="A1149" s="5"/>
      <c r="B1149" s="401" t="s">
        <v>18</v>
      </c>
      <c r="C1149" s="402"/>
      <c r="D1149" s="402"/>
      <c r="E1149" s="402"/>
      <c r="F1149" s="402"/>
      <c r="G1149" s="403"/>
      <c r="K1149" s="3" t="s">
        <v>438</v>
      </c>
      <c r="L1149" s="3" t="s">
        <v>537</v>
      </c>
      <c r="M1149" s="3" t="s">
        <v>187</v>
      </c>
      <c r="N1149" s="3">
        <v>1114</v>
      </c>
    </row>
    <row r="1150" spans="1:14" s="3" customFormat="1" hidden="1" outlineLevel="1" x14ac:dyDescent="0.25">
      <c r="A1150" s="5"/>
      <c r="B1150" s="25" t="s">
        <v>2</v>
      </c>
      <c r="C1150" s="26" t="s">
        <v>3</v>
      </c>
      <c r="D1150" s="26" t="s">
        <v>4</v>
      </c>
      <c r="E1150" s="26" t="s">
        <v>5</v>
      </c>
      <c r="F1150" s="26"/>
      <c r="G1150" s="27" t="s">
        <v>6</v>
      </c>
      <c r="K1150" s="3" t="s">
        <v>438</v>
      </c>
      <c r="L1150" s="3" t="s">
        <v>537</v>
      </c>
      <c r="M1150" s="3" t="s">
        <v>187</v>
      </c>
      <c r="N1150" s="3">
        <v>1607</v>
      </c>
    </row>
    <row r="1151" spans="1:14" s="3" customFormat="1" ht="16.2" hidden="1" outlineLevel="1" thickBot="1" x14ac:dyDescent="0.3">
      <c r="A1151" s="5"/>
      <c r="B1151" s="31"/>
      <c r="C1151" s="20"/>
      <c r="D1151" s="20"/>
      <c r="E1151" s="20"/>
      <c r="F1151" s="20"/>
      <c r="G1151" s="22"/>
    </row>
    <row r="1152" spans="1:14" s="3" customFormat="1" ht="17.399999999999999" hidden="1" customHeight="1" outlineLevel="1" x14ac:dyDescent="0.25">
      <c r="A1152" s="5"/>
      <c r="B1152" s="401" t="s">
        <v>29</v>
      </c>
      <c r="C1152" s="402"/>
      <c r="D1152" s="402"/>
      <c r="E1152" s="402"/>
      <c r="F1152" s="402"/>
      <c r="G1152" s="403"/>
    </row>
    <row r="1153" spans="1:7" s="3" customFormat="1" ht="17.399999999999999" hidden="1" customHeight="1" outlineLevel="1" x14ac:dyDescent="0.25">
      <c r="A1153" s="5"/>
      <c r="B1153" s="31" t="s">
        <v>583</v>
      </c>
      <c r="C1153" s="20"/>
      <c r="D1153" s="20"/>
      <c r="E1153" s="20"/>
      <c r="F1153" s="20"/>
      <c r="G1153" s="22"/>
    </row>
    <row r="1154" spans="1:7" s="3" customFormat="1" hidden="1" outlineLevel="1" x14ac:dyDescent="0.25">
      <c r="A1154" s="5"/>
      <c r="B1154" s="31" t="s">
        <v>767</v>
      </c>
      <c r="C1154" s="20"/>
      <c r="D1154" s="20"/>
      <c r="E1154" s="20"/>
      <c r="F1154" s="20"/>
      <c r="G1154" s="22"/>
    </row>
    <row r="1155" spans="1:7" s="3" customFormat="1" ht="17.399999999999999" hidden="1" customHeight="1" outlineLevel="1" x14ac:dyDescent="0.25">
      <c r="A1155" s="5"/>
      <c r="B1155" s="31" t="s">
        <v>768</v>
      </c>
      <c r="C1155" s="20"/>
      <c r="D1155" s="20"/>
      <c r="E1155" s="20"/>
      <c r="F1155" s="20"/>
      <c r="G1155" s="22"/>
    </row>
    <row r="1156" spans="1:7" s="3" customFormat="1" hidden="1" outlineLevel="1" x14ac:dyDescent="0.25">
      <c r="A1156" s="5"/>
      <c r="B1156" s="31" t="s">
        <v>769</v>
      </c>
      <c r="C1156" s="20"/>
      <c r="D1156" s="20"/>
      <c r="E1156" s="20"/>
      <c r="F1156" s="20"/>
      <c r="G1156" s="22"/>
    </row>
    <row r="1157" spans="1:7" s="3" customFormat="1" hidden="1" outlineLevel="1" x14ac:dyDescent="0.25">
      <c r="A1157" s="5"/>
      <c r="B1157" s="31" t="s">
        <v>770</v>
      </c>
      <c r="C1157" s="20"/>
      <c r="D1157" s="20"/>
      <c r="E1157" s="20"/>
      <c r="F1157" s="20"/>
      <c r="G1157" s="22"/>
    </row>
    <row r="1158" spans="1:7" s="3" customFormat="1" hidden="1" outlineLevel="1" x14ac:dyDescent="0.25">
      <c r="A1158" s="5"/>
      <c r="B1158" s="31" t="s">
        <v>771</v>
      </c>
      <c r="C1158" s="20"/>
      <c r="D1158" s="20"/>
      <c r="E1158" s="20"/>
      <c r="F1158" s="20"/>
      <c r="G1158" s="22"/>
    </row>
    <row r="1159" spans="1:7" s="3" customFormat="1" hidden="1" outlineLevel="1" x14ac:dyDescent="0.25">
      <c r="A1159" s="5"/>
      <c r="B1159" s="31" t="s">
        <v>587</v>
      </c>
      <c r="C1159" s="20"/>
      <c r="D1159" s="20"/>
      <c r="E1159" s="20"/>
      <c r="F1159" s="20"/>
      <c r="G1159" s="22"/>
    </row>
    <row r="1160" spans="1:7" s="3" customFormat="1" hidden="1" outlineLevel="1" x14ac:dyDescent="0.25">
      <c r="A1160" s="5"/>
      <c r="B1160" s="31" t="s">
        <v>772</v>
      </c>
      <c r="C1160" s="20"/>
      <c r="D1160" s="20"/>
      <c r="E1160" s="20"/>
      <c r="F1160" s="20"/>
      <c r="G1160" s="22"/>
    </row>
    <row r="1161" spans="1:7" s="3" customFormat="1" hidden="1" outlineLevel="1" x14ac:dyDescent="0.25">
      <c r="A1161" s="5"/>
      <c r="B1161" s="31" t="s">
        <v>561</v>
      </c>
      <c r="C1161" s="20"/>
      <c r="D1161" s="20"/>
      <c r="E1161" s="20"/>
      <c r="F1161" s="20"/>
      <c r="G1161" s="22"/>
    </row>
    <row r="1162" spans="1:7" s="3" customFormat="1" hidden="1" outlineLevel="1" x14ac:dyDescent="0.25">
      <c r="A1162" s="5"/>
      <c r="B1162" s="31" t="s">
        <v>930</v>
      </c>
      <c r="C1162" s="20"/>
      <c r="D1162" s="20"/>
      <c r="E1162" s="20"/>
      <c r="F1162" s="20"/>
      <c r="G1162" s="22"/>
    </row>
    <row r="1163" spans="1:7" s="3" customFormat="1" hidden="1" outlineLevel="1" x14ac:dyDescent="0.25">
      <c r="A1163" s="5"/>
      <c r="B1163" s="31" t="s">
        <v>931</v>
      </c>
      <c r="C1163" s="20"/>
      <c r="D1163" s="20"/>
      <c r="E1163" s="20"/>
      <c r="F1163" s="20"/>
      <c r="G1163" s="22"/>
    </row>
    <row r="1164" spans="1:7" s="3" customFormat="1" hidden="1" outlineLevel="1" x14ac:dyDescent="0.25">
      <c r="A1164" s="5"/>
      <c r="B1164" s="31" t="s">
        <v>968</v>
      </c>
      <c r="C1164" s="20"/>
      <c r="D1164" s="20"/>
      <c r="E1164" s="20"/>
      <c r="F1164" s="20"/>
      <c r="G1164" s="22"/>
    </row>
    <row r="1165" spans="1:7" s="3" customFormat="1" hidden="1" outlineLevel="1" x14ac:dyDescent="0.25">
      <c r="A1165" s="5"/>
      <c r="B1165" s="31" t="s">
        <v>969</v>
      </c>
      <c r="C1165" s="20"/>
      <c r="D1165" s="20"/>
      <c r="E1165" s="20"/>
      <c r="F1165" s="20"/>
      <c r="G1165" s="22"/>
    </row>
    <row r="1166" spans="1:7" s="3" customFormat="1" hidden="1" outlineLevel="1" x14ac:dyDescent="0.25">
      <c r="A1166" s="5"/>
      <c r="B1166" s="31" t="s">
        <v>970</v>
      </c>
      <c r="C1166" s="20"/>
      <c r="D1166" s="20"/>
      <c r="E1166" s="20"/>
      <c r="F1166" s="20"/>
      <c r="G1166" s="22"/>
    </row>
    <row r="1167" spans="1:7" s="3" customFormat="1" hidden="1" outlineLevel="1" x14ac:dyDescent="0.25">
      <c r="A1167" s="5"/>
      <c r="B1167" s="31"/>
      <c r="C1167" s="20"/>
      <c r="D1167" s="20"/>
      <c r="E1167" s="20"/>
      <c r="F1167" s="20"/>
      <c r="G1167" s="22"/>
    </row>
    <row r="1168" spans="1:7" s="3" customFormat="1" hidden="1" outlineLevel="1" x14ac:dyDescent="0.25">
      <c r="A1168" s="5"/>
      <c r="B1168" s="31" t="s">
        <v>971</v>
      </c>
      <c r="C1168" s="20"/>
      <c r="D1168" s="20"/>
      <c r="E1168" s="20"/>
      <c r="F1168" s="20"/>
      <c r="G1168" s="22"/>
    </row>
    <row r="1169" spans="1:10" s="3" customFormat="1" hidden="1" outlineLevel="1" x14ac:dyDescent="0.25">
      <c r="A1169" s="5"/>
      <c r="B1169" s="31" t="s">
        <v>972</v>
      </c>
      <c r="C1169" s="20"/>
      <c r="D1169" s="20"/>
      <c r="E1169" s="20"/>
      <c r="F1169" s="20"/>
      <c r="G1169" s="22"/>
    </row>
    <row r="1170" spans="1:10" s="3" customFormat="1" hidden="1" outlineLevel="1" x14ac:dyDescent="0.25">
      <c r="A1170" s="5"/>
      <c r="B1170" s="31" t="s">
        <v>973</v>
      </c>
      <c r="C1170" s="20"/>
      <c r="D1170" s="20"/>
      <c r="E1170" s="20"/>
      <c r="F1170" s="20"/>
      <c r="G1170" s="22"/>
    </row>
    <row r="1171" spans="1:10" s="3" customFormat="1" hidden="1" outlineLevel="1" x14ac:dyDescent="0.25">
      <c r="A1171" s="5"/>
      <c r="B1171" s="31" t="s">
        <v>974</v>
      </c>
      <c r="C1171" s="20"/>
      <c r="D1171" s="20"/>
      <c r="E1171" s="20"/>
      <c r="F1171" s="20"/>
      <c r="G1171" s="22"/>
    </row>
    <row r="1172" spans="1:10" s="3" customFormat="1" hidden="1" outlineLevel="1" x14ac:dyDescent="0.25">
      <c r="A1172" s="5"/>
      <c r="B1172" s="31"/>
      <c r="C1172" s="20"/>
      <c r="D1172" s="20"/>
      <c r="E1172" s="20"/>
      <c r="F1172" s="20"/>
      <c r="G1172" s="22"/>
    </row>
    <row r="1173" spans="1:10" s="3" customFormat="1" hidden="1" outlineLevel="1" x14ac:dyDescent="0.25">
      <c r="A1173" s="5"/>
      <c r="B1173" s="31" t="s">
        <v>914</v>
      </c>
      <c r="C1173" s="20"/>
      <c r="D1173" s="20"/>
      <c r="E1173" s="20"/>
      <c r="F1173" s="20"/>
      <c r="G1173" s="22"/>
    </row>
    <row r="1174" spans="1:10" s="3" customFormat="1" hidden="1" outlineLevel="1" x14ac:dyDescent="0.25">
      <c r="A1174" s="5"/>
      <c r="B1174" s="31" t="s">
        <v>975</v>
      </c>
      <c r="C1174" s="20"/>
      <c r="D1174" s="20"/>
      <c r="E1174" s="20"/>
      <c r="F1174" s="20"/>
      <c r="G1174" s="22"/>
    </row>
    <row r="1175" spans="1:10" s="3" customFormat="1" hidden="1" outlineLevel="1" x14ac:dyDescent="0.25">
      <c r="A1175" s="5"/>
      <c r="B1175" s="31" t="s">
        <v>916</v>
      </c>
      <c r="C1175" s="20"/>
      <c r="D1175" s="20"/>
      <c r="E1175" s="20"/>
      <c r="F1175" s="20"/>
      <c r="G1175" s="22"/>
    </row>
    <row r="1176" spans="1:10" s="3" customFormat="1" hidden="1" outlineLevel="1" x14ac:dyDescent="0.25">
      <c r="A1176" s="5"/>
      <c r="B1176" s="31" t="s">
        <v>976</v>
      </c>
      <c r="C1176" s="20"/>
      <c r="D1176" s="20"/>
      <c r="E1176" s="20"/>
      <c r="F1176" s="20"/>
      <c r="G1176" s="22"/>
    </row>
    <row r="1177" spans="1:10" s="3" customFormat="1" hidden="1" outlineLevel="1" x14ac:dyDescent="0.25">
      <c r="A1177" s="5"/>
      <c r="B1177" s="31" t="s">
        <v>920</v>
      </c>
      <c r="C1177" s="20"/>
      <c r="D1177" s="20"/>
      <c r="E1177" s="20"/>
      <c r="F1177" s="20"/>
      <c r="G1177" s="22"/>
    </row>
    <row r="1178" spans="1:10" s="3" customFormat="1" hidden="1" outlineLevel="1" x14ac:dyDescent="0.25">
      <c r="A1178" s="5"/>
      <c r="B1178" s="31" t="s">
        <v>977</v>
      </c>
      <c r="C1178" s="20"/>
      <c r="D1178" s="20"/>
      <c r="E1178" s="20"/>
      <c r="F1178" s="20"/>
      <c r="G1178" s="22"/>
    </row>
    <row r="1179" spans="1:10" s="3" customFormat="1" hidden="1" outlineLevel="1" x14ac:dyDescent="0.25">
      <c r="A1179" s="5"/>
      <c r="B1179" s="31" t="s">
        <v>561</v>
      </c>
      <c r="C1179" s="20"/>
      <c r="D1179" s="20"/>
      <c r="E1179" s="20"/>
      <c r="F1179" s="20"/>
      <c r="G1179" s="22"/>
    </row>
    <row r="1180" spans="1:10" s="3" customFormat="1" hidden="1" outlineLevel="1" x14ac:dyDescent="0.25">
      <c r="A1180" s="5"/>
      <c r="B1180" s="31" t="s">
        <v>978</v>
      </c>
      <c r="C1180" s="20"/>
      <c r="D1180" s="20"/>
      <c r="E1180" s="20"/>
      <c r="F1180" s="20"/>
      <c r="G1180" s="22"/>
    </row>
    <row r="1181" spans="1:10" s="3" customFormat="1" hidden="1" outlineLevel="1" x14ac:dyDescent="0.25">
      <c r="A1181" s="5"/>
      <c r="B1181" s="31" t="s">
        <v>923</v>
      </c>
      <c r="C1181" s="20"/>
      <c r="D1181" s="20"/>
      <c r="E1181" s="20"/>
      <c r="F1181" s="20"/>
      <c r="G1181" s="22"/>
    </row>
    <row r="1182" spans="1:10" s="3" customFormat="1" ht="16.2" hidden="1" outlineLevel="1" thickBot="1" x14ac:dyDescent="0.3">
      <c r="A1182" s="5"/>
      <c r="B1182" s="52"/>
      <c r="C1182" s="53"/>
      <c r="D1182" s="53"/>
      <c r="E1182" s="53"/>
      <c r="F1182" s="53"/>
      <c r="G1182" s="54"/>
    </row>
    <row r="1183" spans="1:10" s="3" customFormat="1" ht="16.2" hidden="1" outlineLevel="1" thickBot="1" x14ac:dyDescent="0.3">
      <c r="A1183" s="5"/>
      <c r="B1183" s="5"/>
      <c r="C1183" s="5"/>
      <c r="D1183" s="5"/>
      <c r="E1183" s="5"/>
      <c r="F1183" s="5"/>
      <c r="G1183" s="5"/>
      <c r="H1183" s="5"/>
    </row>
    <row r="1184" spans="1:10" s="3" customFormat="1" ht="16.2" collapsed="1" thickBot="1" x14ac:dyDescent="0.3">
      <c r="B1184" s="166" t="s">
        <v>1279</v>
      </c>
      <c r="C1184" s="167" t="s">
        <v>2162</v>
      </c>
      <c r="D1184" s="168" t="s">
        <v>1281</v>
      </c>
      <c r="E1184" s="169" t="s">
        <v>979</v>
      </c>
      <c r="F1184" s="168" t="s">
        <v>1282</v>
      </c>
      <c r="G1184" s="170" t="s">
        <v>2163</v>
      </c>
      <c r="H1184" s="5"/>
      <c r="I1184" s="5"/>
      <c r="J1184" s="5"/>
    </row>
    <row r="1185" spans="1:14" s="3" customFormat="1" hidden="1" outlineLevel="1" x14ac:dyDescent="0.25">
      <c r="B1185" s="136" t="s">
        <v>1284</v>
      </c>
      <c r="C1185" s="84" t="s">
        <v>1285</v>
      </c>
      <c r="D1185" s="137" t="s">
        <v>1286</v>
      </c>
      <c r="E1185" s="84" t="s">
        <v>2164</v>
      </c>
      <c r="F1185" s="137" t="s">
        <v>1288</v>
      </c>
      <c r="G1185" s="85"/>
      <c r="H1185" s="5"/>
      <c r="I1185" s="5"/>
      <c r="J1185" s="5"/>
    </row>
    <row r="1186" spans="1:14" s="5" customFormat="1" ht="17.399999999999999" hidden="1" customHeight="1" outlineLevel="1" thickBot="1" x14ac:dyDescent="0.3">
      <c r="A1186" s="3"/>
      <c r="B1186" s="171" t="s">
        <v>1290</v>
      </c>
      <c r="C1186" s="172" t="s">
        <v>1291</v>
      </c>
      <c r="D1186" s="173" t="s">
        <v>1292</v>
      </c>
      <c r="E1186" s="172">
        <v>5</v>
      </c>
      <c r="F1186" s="173" t="s">
        <v>1293</v>
      </c>
      <c r="G1186" s="174" t="s">
        <v>1294</v>
      </c>
    </row>
    <row r="1187" spans="1:14" s="3" customFormat="1" hidden="1" outlineLevel="1" x14ac:dyDescent="0.25">
      <c r="B1187" s="392" t="s">
        <v>1</v>
      </c>
      <c r="C1187" s="393"/>
      <c r="D1187" s="393"/>
      <c r="E1187" s="393"/>
      <c r="F1187" s="393"/>
      <c r="G1187" s="394"/>
      <c r="H1187" s="5"/>
      <c r="I1187" s="5"/>
      <c r="J1187" s="5"/>
      <c r="K1187" s="5"/>
    </row>
    <row r="1188" spans="1:14" s="3" customFormat="1" hidden="1" outlineLevel="1" x14ac:dyDescent="0.25">
      <c r="B1188" s="94" t="s">
        <v>2</v>
      </c>
      <c r="C1188" s="95" t="s">
        <v>3</v>
      </c>
      <c r="D1188" s="95" t="s">
        <v>4</v>
      </c>
      <c r="E1188" s="95" t="s">
        <v>5</v>
      </c>
      <c r="F1188" s="95"/>
      <c r="G1188" s="96" t="s">
        <v>6</v>
      </c>
      <c r="H1188" s="5"/>
      <c r="I1188" s="5"/>
      <c r="J1188" s="5"/>
      <c r="K1188" s="5"/>
    </row>
    <row r="1189" spans="1:14" s="3" customFormat="1" hidden="1" outlineLevel="1" x14ac:dyDescent="0.35">
      <c r="A1189" s="5"/>
      <c r="B1189" s="57" t="s">
        <v>7</v>
      </c>
      <c r="C1189" s="58" t="s">
        <v>1468</v>
      </c>
      <c r="D1189" s="58" t="s">
        <v>1469</v>
      </c>
      <c r="E1189" s="58">
        <v>0</v>
      </c>
      <c r="F1189" s="58" t="s">
        <v>1470</v>
      </c>
      <c r="G1189" s="59" t="s">
        <v>1471</v>
      </c>
      <c r="H1189" s="4"/>
      <c r="I1189" s="4"/>
      <c r="J1189" s="4" t="s">
        <v>10</v>
      </c>
      <c r="K1189" s="5"/>
    </row>
    <row r="1190" spans="1:14" s="3" customFormat="1" ht="17.399999999999999" hidden="1" customHeight="1" outlineLevel="1" x14ac:dyDescent="0.35">
      <c r="A1190" s="5"/>
      <c r="B1190" s="57" t="s">
        <v>11</v>
      </c>
      <c r="C1190" s="58" t="s">
        <v>1472</v>
      </c>
      <c r="D1190" s="58" t="s">
        <v>1469</v>
      </c>
      <c r="E1190" s="58">
        <v>0</v>
      </c>
      <c r="F1190" s="58" t="s">
        <v>1470</v>
      </c>
      <c r="G1190" s="59" t="s">
        <v>1473</v>
      </c>
      <c r="H1190" s="4"/>
      <c r="I1190" s="4"/>
      <c r="J1190" s="4" t="s">
        <v>12</v>
      </c>
      <c r="K1190" s="5"/>
    </row>
    <row r="1191" spans="1:14" s="4" customFormat="1" ht="17.399999999999999" hidden="1" customHeight="1" outlineLevel="1" x14ac:dyDescent="0.35">
      <c r="A1191" s="5"/>
      <c r="B1191" s="60" t="s">
        <v>13</v>
      </c>
      <c r="C1191" s="61" t="s">
        <v>1474</v>
      </c>
      <c r="D1191" s="61" t="s">
        <v>1469</v>
      </c>
      <c r="E1191" s="61">
        <v>0</v>
      </c>
      <c r="F1191" s="61" t="s">
        <v>1470</v>
      </c>
      <c r="G1191" s="62"/>
      <c r="H1191" s="63"/>
      <c r="J1191" s="4" t="s">
        <v>10</v>
      </c>
      <c r="K1191" s="4" t="s">
        <v>173</v>
      </c>
      <c r="L1191" s="4" t="s">
        <v>9</v>
      </c>
      <c r="M1191" s="4" t="s">
        <v>9</v>
      </c>
      <c r="N1191" s="4">
        <v>1112</v>
      </c>
    </row>
    <row r="1192" spans="1:14" s="4" customFormat="1" ht="17.399999999999999" hidden="1" customHeight="1" outlineLevel="1" x14ac:dyDescent="0.35">
      <c r="A1192" s="5"/>
      <c r="B1192" s="60" t="s">
        <v>14</v>
      </c>
      <c r="C1192" s="61" t="s">
        <v>1475</v>
      </c>
      <c r="D1192" s="61" t="s">
        <v>1469</v>
      </c>
      <c r="E1192" s="61">
        <v>0</v>
      </c>
      <c r="F1192" s="61" t="s">
        <v>1476</v>
      </c>
      <c r="G1192" s="62" t="s">
        <v>1477</v>
      </c>
      <c r="H1192" s="63"/>
      <c r="J1192" s="4" t="s">
        <v>10</v>
      </c>
      <c r="K1192" s="4" t="s">
        <v>174</v>
      </c>
      <c r="L1192" s="4" t="s">
        <v>175</v>
      </c>
      <c r="M1192" s="4" t="s">
        <v>176</v>
      </c>
      <c r="N1192" s="4">
        <v>1700</v>
      </c>
    </row>
    <row r="1193" spans="1:14" s="4" customFormat="1" ht="17.399999999999999" hidden="1" customHeight="1" outlineLevel="1" x14ac:dyDescent="0.35">
      <c r="A1193" s="5"/>
      <c r="B1193" s="60" t="s">
        <v>15</v>
      </c>
      <c r="C1193" s="61" t="s">
        <v>1478</v>
      </c>
      <c r="D1193" s="61" t="s">
        <v>1469</v>
      </c>
      <c r="E1193" s="61">
        <v>0</v>
      </c>
      <c r="F1193" s="61" t="s">
        <v>1470</v>
      </c>
      <c r="G1193" s="62"/>
      <c r="H1193" s="63"/>
      <c r="J1193" s="4" t="s">
        <v>10</v>
      </c>
      <c r="K1193" s="4" t="s">
        <v>173</v>
      </c>
      <c r="L1193" s="4" t="s">
        <v>9</v>
      </c>
      <c r="M1193" s="4" t="s">
        <v>9</v>
      </c>
      <c r="N1193" s="4">
        <v>2534</v>
      </c>
    </row>
    <row r="1194" spans="1:14" s="4" customFormat="1" ht="17.399999999999999" hidden="1" customHeight="1" outlineLevel="1" x14ac:dyDescent="0.35">
      <c r="A1194" s="5"/>
      <c r="B1194" s="134" t="s">
        <v>17</v>
      </c>
      <c r="C1194" s="135" t="s">
        <v>1483</v>
      </c>
      <c r="D1194" s="135" t="s">
        <v>1469</v>
      </c>
      <c r="E1194" s="65">
        <v>0</v>
      </c>
      <c r="F1194" s="65" t="s">
        <v>1470</v>
      </c>
      <c r="G1194" s="66" t="s">
        <v>1484</v>
      </c>
      <c r="H1194" s="5"/>
      <c r="I1194" s="5"/>
      <c r="J1194" s="5" t="s">
        <v>10</v>
      </c>
      <c r="K1194" s="4" t="s">
        <v>173</v>
      </c>
      <c r="L1194" s="4" t="s">
        <v>9</v>
      </c>
      <c r="M1194" s="4" t="s">
        <v>9</v>
      </c>
      <c r="N1194" s="4">
        <v>2155</v>
      </c>
    </row>
    <row r="1195" spans="1:14" s="4" customFormat="1" ht="17.399999999999999" hidden="1" customHeight="1" outlineLevel="1" x14ac:dyDescent="0.35">
      <c r="A1195" s="5"/>
      <c r="B1195" s="31" t="s">
        <v>160</v>
      </c>
      <c r="C1195" s="20" t="s">
        <v>1588</v>
      </c>
      <c r="D1195" s="20" t="s">
        <v>1469</v>
      </c>
      <c r="E1195" s="20">
        <v>0</v>
      </c>
      <c r="F1195" s="20"/>
      <c r="G1195" s="22"/>
      <c r="H1195" s="3"/>
      <c r="I1195" s="3"/>
      <c r="J1195" s="3" t="s">
        <v>10</v>
      </c>
      <c r="K1195" s="4" t="s">
        <v>173</v>
      </c>
      <c r="L1195" s="4" t="s">
        <v>9</v>
      </c>
      <c r="M1195" s="4" t="s">
        <v>9</v>
      </c>
      <c r="N1195" s="4">
        <v>2430</v>
      </c>
    </row>
    <row r="1196" spans="1:14" s="4" customFormat="1" ht="17.399999999999999" hidden="1" customHeight="1" outlineLevel="1" x14ac:dyDescent="0.35">
      <c r="A1196" s="5"/>
      <c r="B1196" s="64" t="s">
        <v>16</v>
      </c>
      <c r="C1196" s="65" t="s">
        <v>1479</v>
      </c>
      <c r="D1196" s="65" t="s">
        <v>1469</v>
      </c>
      <c r="E1196" s="65" t="s">
        <v>1480</v>
      </c>
      <c r="F1196" s="65" t="s">
        <v>1481</v>
      </c>
      <c r="G1196" s="66" t="s">
        <v>1482</v>
      </c>
      <c r="H1196" s="5"/>
      <c r="I1196" s="5"/>
      <c r="J1196" s="5" t="s">
        <v>10</v>
      </c>
      <c r="K1196" s="5" t="s">
        <v>173</v>
      </c>
      <c r="L1196" s="5" t="s">
        <v>9</v>
      </c>
      <c r="M1196" s="5" t="s">
        <v>9</v>
      </c>
      <c r="N1196" s="4">
        <v>1097</v>
      </c>
    </row>
    <row r="1197" spans="1:14" s="3" customFormat="1" ht="16.2" hidden="1" outlineLevel="1" thickBot="1" x14ac:dyDescent="0.3">
      <c r="A1197" s="5"/>
      <c r="B1197" s="91"/>
      <c r="C1197" s="92"/>
      <c r="D1197" s="92"/>
      <c r="E1197" s="92"/>
      <c r="F1197" s="92"/>
      <c r="G1197" s="93"/>
      <c r="K1197" s="3" t="s">
        <v>173</v>
      </c>
      <c r="L1197" s="3" t="s">
        <v>9</v>
      </c>
      <c r="M1197" s="3" t="s">
        <v>9</v>
      </c>
      <c r="N1197" s="3">
        <v>1604</v>
      </c>
    </row>
    <row r="1198" spans="1:14" s="4" customFormat="1" ht="17.399999999999999" hidden="1" customHeight="1" outlineLevel="1" x14ac:dyDescent="0.35">
      <c r="A1198" s="5"/>
      <c r="B1198" s="383" t="s">
        <v>18</v>
      </c>
      <c r="C1198" s="384"/>
      <c r="D1198" s="384"/>
      <c r="E1198" s="384"/>
      <c r="F1198" s="384"/>
      <c r="G1198" s="385"/>
      <c r="H1198" s="3"/>
      <c r="I1198" s="3"/>
      <c r="J1198" s="3"/>
      <c r="K1198" s="5" t="s">
        <v>173</v>
      </c>
      <c r="L1198" s="5" t="s">
        <v>9</v>
      </c>
      <c r="M1198" s="5" t="s">
        <v>9</v>
      </c>
      <c r="N1198" s="4">
        <v>1211</v>
      </c>
    </row>
    <row r="1199" spans="1:14" s="3" customFormat="1" ht="17.399999999999999" hidden="1" customHeight="1" outlineLevel="1" x14ac:dyDescent="0.25">
      <c r="A1199" s="5"/>
      <c r="B1199" s="94" t="s">
        <v>2</v>
      </c>
      <c r="C1199" s="95" t="s">
        <v>3</v>
      </c>
      <c r="D1199" s="95" t="s">
        <v>4</v>
      </c>
      <c r="E1199" s="95" t="s">
        <v>5</v>
      </c>
      <c r="F1199" s="95"/>
      <c r="G1199" s="96" t="s">
        <v>6</v>
      </c>
    </row>
    <row r="1200" spans="1:14" s="3" customFormat="1" ht="17.399999999999999" hidden="1" customHeight="1" outlineLevel="1" x14ac:dyDescent="0.25">
      <c r="A1200" s="5"/>
      <c r="B1200" s="31" t="s">
        <v>16</v>
      </c>
      <c r="C1200" s="20" t="s">
        <v>1479</v>
      </c>
      <c r="D1200" s="20" t="s">
        <v>1469</v>
      </c>
      <c r="E1200" s="20" t="s">
        <v>1480</v>
      </c>
      <c r="F1200" s="20" t="s">
        <v>1481</v>
      </c>
      <c r="G1200" s="22" t="s">
        <v>1482</v>
      </c>
      <c r="J1200" s="3" t="s">
        <v>10</v>
      </c>
    </row>
    <row r="1201" spans="1:14" s="3" customFormat="1" hidden="1" outlineLevel="1" x14ac:dyDescent="0.25">
      <c r="B1201" s="28" t="s">
        <v>7</v>
      </c>
      <c r="C1201" s="29" t="s">
        <v>1468</v>
      </c>
      <c r="D1201" s="29" t="s">
        <v>1469</v>
      </c>
      <c r="E1201" s="29">
        <v>0</v>
      </c>
      <c r="F1201" s="29" t="s">
        <v>1470</v>
      </c>
      <c r="G1201" s="30" t="s">
        <v>1471</v>
      </c>
      <c r="J1201" s="3" t="s">
        <v>10</v>
      </c>
    </row>
    <row r="1202" spans="1:14" s="3" customFormat="1" ht="17.399999999999999" hidden="1" customHeight="1" outlineLevel="1" x14ac:dyDescent="0.25">
      <c r="B1202" s="28" t="s">
        <v>11</v>
      </c>
      <c r="C1202" s="29" t="s">
        <v>1472</v>
      </c>
      <c r="D1202" s="29" t="s">
        <v>1469</v>
      </c>
      <c r="E1202" s="29">
        <v>0</v>
      </c>
      <c r="F1202" s="29" t="s">
        <v>1470</v>
      </c>
      <c r="G1202" s="30" t="s">
        <v>1473</v>
      </c>
      <c r="J1202" s="3" t="s">
        <v>12</v>
      </c>
      <c r="K1202" s="3" t="s">
        <v>173</v>
      </c>
      <c r="L1202" s="3" t="s">
        <v>9</v>
      </c>
      <c r="M1202" s="3" t="s">
        <v>9</v>
      </c>
      <c r="N1202" s="3">
        <v>1211</v>
      </c>
    </row>
    <row r="1203" spans="1:14" s="3" customFormat="1" hidden="1" outlineLevel="1" x14ac:dyDescent="0.25">
      <c r="B1203" s="28" t="s">
        <v>13</v>
      </c>
      <c r="C1203" s="29" t="s">
        <v>1474</v>
      </c>
      <c r="D1203" s="29" t="s">
        <v>1469</v>
      </c>
      <c r="E1203" s="29">
        <v>0</v>
      </c>
      <c r="F1203" s="29" t="s">
        <v>1470</v>
      </c>
      <c r="G1203" s="30"/>
      <c r="J1203" s="3" t="s">
        <v>10</v>
      </c>
      <c r="K1203" s="3" t="s">
        <v>173</v>
      </c>
      <c r="L1203" s="3" t="s">
        <v>9</v>
      </c>
      <c r="M1203" s="3" t="s">
        <v>9</v>
      </c>
      <c r="N1203" s="3">
        <v>1112</v>
      </c>
    </row>
    <row r="1204" spans="1:14" s="3" customFormat="1" hidden="1" outlineLevel="1" x14ac:dyDescent="0.25">
      <c r="B1204" s="35" t="s">
        <v>25</v>
      </c>
      <c r="C1204" s="36" t="s">
        <v>1492</v>
      </c>
      <c r="D1204" s="36" t="s">
        <v>1469</v>
      </c>
      <c r="E1204" s="36">
        <v>0</v>
      </c>
      <c r="F1204" s="36" t="s">
        <v>1470</v>
      </c>
      <c r="G1204" s="37" t="s">
        <v>1484</v>
      </c>
      <c r="J1204" s="3" t="s">
        <v>10</v>
      </c>
      <c r="K1204" s="3" t="s">
        <v>174</v>
      </c>
      <c r="L1204" s="3" t="s">
        <v>175</v>
      </c>
      <c r="M1204" s="3" t="s">
        <v>176</v>
      </c>
      <c r="N1204" s="3">
        <v>1700</v>
      </c>
    </row>
    <row r="1205" spans="1:14" s="3" customFormat="1" hidden="1" outlineLevel="1" x14ac:dyDescent="0.25">
      <c r="B1205" s="28" t="s">
        <v>14</v>
      </c>
      <c r="C1205" s="29" t="s">
        <v>1475</v>
      </c>
      <c r="D1205" s="29" t="s">
        <v>1469</v>
      </c>
      <c r="E1205" s="29">
        <v>0</v>
      </c>
      <c r="F1205" s="29" t="s">
        <v>1476</v>
      </c>
      <c r="G1205" s="30" t="s">
        <v>1477</v>
      </c>
      <c r="J1205" s="3" t="s">
        <v>10</v>
      </c>
      <c r="K1205" s="3" t="s">
        <v>173</v>
      </c>
      <c r="L1205" s="3" t="s">
        <v>9</v>
      </c>
      <c r="M1205" s="3" t="s">
        <v>9</v>
      </c>
      <c r="N1205" s="3">
        <v>2534</v>
      </c>
    </row>
    <row r="1206" spans="1:14" s="3" customFormat="1" hidden="1" outlineLevel="1" x14ac:dyDescent="0.25">
      <c r="B1206" s="28" t="s">
        <v>15</v>
      </c>
      <c r="C1206" s="29" t="s">
        <v>1478</v>
      </c>
      <c r="D1206" s="29" t="s">
        <v>1469</v>
      </c>
      <c r="E1206" s="29">
        <v>0</v>
      </c>
      <c r="F1206" s="29" t="s">
        <v>1470</v>
      </c>
      <c r="G1206" s="30"/>
      <c r="J1206" s="3" t="s">
        <v>20</v>
      </c>
      <c r="K1206" s="3" t="s">
        <v>173</v>
      </c>
      <c r="L1206" s="3" t="s">
        <v>9</v>
      </c>
      <c r="M1206" s="3" t="s">
        <v>9</v>
      </c>
      <c r="N1206" s="3">
        <v>2155</v>
      </c>
    </row>
    <row r="1207" spans="1:14" s="3" customFormat="1" hidden="1" outlineLevel="1" x14ac:dyDescent="0.25">
      <c r="B1207" s="38" t="s">
        <v>19</v>
      </c>
      <c r="C1207" s="39" t="s">
        <v>1485</v>
      </c>
      <c r="D1207" s="39" t="s">
        <v>1486</v>
      </c>
      <c r="E1207" s="39">
        <v>0</v>
      </c>
      <c r="F1207" s="39"/>
      <c r="G1207" s="40"/>
      <c r="J1207" s="3" t="s">
        <v>20</v>
      </c>
      <c r="K1207" s="3" t="s">
        <v>173</v>
      </c>
      <c r="L1207" s="3" t="s">
        <v>9</v>
      </c>
      <c r="M1207" s="3" t="s">
        <v>9</v>
      </c>
      <c r="N1207" s="3">
        <v>2430</v>
      </c>
    </row>
    <row r="1208" spans="1:14" s="3" customFormat="1" hidden="1" outlineLevel="1" x14ac:dyDescent="0.25">
      <c r="B1208" s="28" t="s">
        <v>21</v>
      </c>
      <c r="C1208" s="29" t="s">
        <v>1487</v>
      </c>
      <c r="D1208" s="29" t="s">
        <v>1486</v>
      </c>
      <c r="E1208" s="29">
        <v>0</v>
      </c>
      <c r="F1208" s="29"/>
      <c r="G1208" s="30"/>
      <c r="J1208" s="3" t="s">
        <v>20</v>
      </c>
      <c r="K1208" s="3" t="s">
        <v>445</v>
      </c>
      <c r="L1208" s="3" t="s">
        <v>446</v>
      </c>
      <c r="M1208" s="3" t="s">
        <v>446</v>
      </c>
      <c r="N1208" s="3">
        <v>1203</v>
      </c>
    </row>
    <row r="1209" spans="1:14" s="3" customFormat="1" hidden="1" outlineLevel="1" x14ac:dyDescent="0.25">
      <c r="B1209" s="28" t="s">
        <v>22</v>
      </c>
      <c r="C1209" s="29" t="s">
        <v>1488</v>
      </c>
      <c r="D1209" s="29" t="s">
        <v>1489</v>
      </c>
      <c r="E1209" s="29">
        <v>0</v>
      </c>
      <c r="F1209" s="29" t="s">
        <v>1470</v>
      </c>
      <c r="G1209" s="30" t="s">
        <v>1490</v>
      </c>
      <c r="J1209" s="3" t="s">
        <v>20</v>
      </c>
      <c r="K1209" s="3" t="s">
        <v>445</v>
      </c>
      <c r="L1209" s="3" t="s">
        <v>446</v>
      </c>
      <c r="M1209" s="3" t="s">
        <v>446</v>
      </c>
      <c r="N1209" s="3">
        <v>1689</v>
      </c>
    </row>
    <row r="1210" spans="1:14" s="3" customFormat="1" hidden="1" outlineLevel="1" x14ac:dyDescent="0.25">
      <c r="B1210" s="28" t="s">
        <v>26</v>
      </c>
      <c r="C1210" s="29" t="s">
        <v>1493</v>
      </c>
      <c r="D1210" s="29" t="s">
        <v>1494</v>
      </c>
      <c r="E1210" s="29">
        <v>0</v>
      </c>
      <c r="F1210" s="29" t="s">
        <v>1470</v>
      </c>
      <c r="G1210" s="30"/>
      <c r="J1210" s="3" t="s">
        <v>20</v>
      </c>
      <c r="K1210" s="3" t="s">
        <v>445</v>
      </c>
      <c r="L1210" s="3" t="s">
        <v>446</v>
      </c>
      <c r="M1210" s="3" t="s">
        <v>446</v>
      </c>
      <c r="N1210" s="3">
        <v>2052</v>
      </c>
    </row>
    <row r="1211" spans="1:14" s="3" customFormat="1" hidden="1" outlineLevel="1" x14ac:dyDescent="0.35">
      <c r="A1211" s="5"/>
      <c r="B1211" s="41" t="s">
        <v>27</v>
      </c>
      <c r="C1211" s="42" t="s">
        <v>1495</v>
      </c>
      <c r="D1211" s="42" t="s">
        <v>1489</v>
      </c>
      <c r="E1211" s="42">
        <v>0</v>
      </c>
      <c r="F1211" s="42" t="s">
        <v>1470</v>
      </c>
      <c r="G1211" s="43"/>
      <c r="H1211" s="4"/>
      <c r="I1211" s="4"/>
      <c r="J1211" s="5" t="s">
        <v>20</v>
      </c>
      <c r="K1211" s="3" t="s">
        <v>445</v>
      </c>
      <c r="L1211" s="3" t="s">
        <v>446</v>
      </c>
      <c r="M1211" s="3" t="s">
        <v>446</v>
      </c>
      <c r="N1211" s="3">
        <v>2153</v>
      </c>
    </row>
    <row r="1212" spans="1:14" s="3" customFormat="1" hidden="1" outlineLevel="1" x14ac:dyDescent="0.25">
      <c r="B1212" s="44" t="s">
        <v>75</v>
      </c>
      <c r="C1212" s="39" t="s">
        <v>1530</v>
      </c>
      <c r="D1212" s="39" t="s">
        <v>1486</v>
      </c>
      <c r="E1212" s="39">
        <v>0</v>
      </c>
      <c r="F1212" s="39" t="s">
        <v>1470</v>
      </c>
      <c r="G1212" s="40" t="s">
        <v>1531</v>
      </c>
      <c r="K1212" s="3" t="s">
        <v>445</v>
      </c>
      <c r="L1212" s="3" t="s">
        <v>446</v>
      </c>
      <c r="M1212" s="3" t="s">
        <v>446</v>
      </c>
      <c r="N1212" s="3">
        <v>2183</v>
      </c>
    </row>
    <row r="1213" spans="1:14" s="4" customFormat="1" ht="17.399999999999999" hidden="1" customHeight="1" outlineLevel="1" x14ac:dyDescent="0.35">
      <c r="A1213" s="3"/>
      <c r="B1213" s="44" t="s">
        <v>76</v>
      </c>
      <c r="C1213" s="29" t="s">
        <v>1532</v>
      </c>
      <c r="D1213" s="29" t="s">
        <v>1489</v>
      </c>
      <c r="E1213" s="29">
        <v>0</v>
      </c>
      <c r="F1213" s="29"/>
      <c r="G1213" s="30"/>
      <c r="H1213" s="3"/>
      <c r="I1213" s="3"/>
      <c r="J1213" s="3"/>
      <c r="K1213" s="5" t="s">
        <v>445</v>
      </c>
      <c r="L1213" s="5" t="s">
        <v>446</v>
      </c>
      <c r="M1213" s="5" t="s">
        <v>446</v>
      </c>
    </row>
    <row r="1214" spans="1:14" s="3" customFormat="1" hidden="1" outlineLevel="1" x14ac:dyDescent="0.25">
      <c r="B1214" s="44" t="s">
        <v>77</v>
      </c>
      <c r="C1214" s="29" t="s">
        <v>1533</v>
      </c>
      <c r="D1214" s="29" t="s">
        <v>1486</v>
      </c>
      <c r="E1214" s="29">
        <v>0</v>
      </c>
      <c r="F1214" s="29" t="s">
        <v>1470</v>
      </c>
      <c r="G1214" s="30"/>
    </row>
    <row r="1215" spans="1:14" s="3" customFormat="1" hidden="1" outlineLevel="1" x14ac:dyDescent="0.25">
      <c r="B1215" s="44" t="s">
        <v>78</v>
      </c>
      <c r="C1215" s="29" t="s">
        <v>1534</v>
      </c>
      <c r="D1215" s="29" t="s">
        <v>1489</v>
      </c>
      <c r="E1215" s="29">
        <v>0</v>
      </c>
      <c r="F1215" s="29"/>
      <c r="G1215" s="30"/>
    </row>
    <row r="1216" spans="1:14" s="3" customFormat="1" hidden="1" outlineLevel="1" x14ac:dyDescent="0.25">
      <c r="B1216" s="44" t="s">
        <v>24</v>
      </c>
      <c r="C1216" s="29" t="s">
        <v>1491</v>
      </c>
      <c r="D1216" s="29" t="s">
        <v>1489</v>
      </c>
      <c r="E1216" s="29">
        <v>0</v>
      </c>
      <c r="F1216" s="29" t="s">
        <v>1470</v>
      </c>
      <c r="G1216" s="30"/>
    </row>
    <row r="1217" spans="1:13" s="3" customFormat="1" hidden="1" outlineLevel="1" x14ac:dyDescent="0.35">
      <c r="A1217" s="5"/>
      <c r="B1217" s="44" t="s">
        <v>58</v>
      </c>
      <c r="C1217" s="42" t="s">
        <v>1522</v>
      </c>
      <c r="D1217" s="42" t="s">
        <v>1489</v>
      </c>
      <c r="E1217" s="42">
        <v>0</v>
      </c>
      <c r="F1217" s="42" t="s">
        <v>1470</v>
      </c>
      <c r="G1217" s="43"/>
      <c r="H1217" s="4"/>
      <c r="I1217" s="4"/>
      <c r="J1217" s="4"/>
    </row>
    <row r="1218" spans="1:13" s="3" customFormat="1" hidden="1" outlineLevel="1" x14ac:dyDescent="0.25">
      <c r="A1218" s="5"/>
      <c r="B1218" s="45" t="s">
        <v>63</v>
      </c>
      <c r="C1218" s="20" t="s">
        <v>1526</v>
      </c>
      <c r="D1218" s="20" t="s">
        <v>1489</v>
      </c>
      <c r="E1218" s="20">
        <v>0</v>
      </c>
      <c r="F1218" s="20"/>
      <c r="G1218" s="22"/>
    </row>
    <row r="1219" spans="1:13" s="4" customFormat="1" ht="17.399999999999999" hidden="1" customHeight="1" outlineLevel="1" thickBot="1" x14ac:dyDescent="0.4">
      <c r="A1219" s="5"/>
      <c r="B1219" s="103"/>
      <c r="C1219" s="92"/>
      <c r="D1219" s="92"/>
      <c r="E1219" s="92"/>
      <c r="F1219" s="92"/>
      <c r="G1219" s="93"/>
      <c r="H1219" s="3"/>
      <c r="I1219" s="3"/>
      <c r="J1219" s="3"/>
      <c r="K1219" s="5"/>
      <c r="L1219" s="5"/>
      <c r="M1219" s="5"/>
    </row>
    <row r="1220" spans="1:13" s="3" customFormat="1" ht="16.2" hidden="1" outlineLevel="1" thickBot="1" x14ac:dyDescent="0.3">
      <c r="B1220" s="67"/>
      <c r="C1220" s="84"/>
      <c r="D1220" s="84"/>
      <c r="E1220" s="84"/>
      <c r="F1220" s="84"/>
      <c r="G1220" s="85"/>
      <c r="H1220" s="5"/>
      <c r="I1220" s="5"/>
      <c r="J1220" s="5"/>
    </row>
    <row r="1221" spans="1:13" s="3" customFormat="1" ht="17.399999999999999" hidden="1" customHeight="1" outlineLevel="1" x14ac:dyDescent="0.25">
      <c r="B1221" s="392" t="s">
        <v>29</v>
      </c>
      <c r="C1221" s="393"/>
      <c r="D1221" s="393"/>
      <c r="E1221" s="393"/>
      <c r="F1221" s="393"/>
      <c r="G1221" s="394"/>
      <c r="H1221" s="5"/>
      <c r="I1221" s="5"/>
      <c r="J1221" s="5"/>
    </row>
    <row r="1222" spans="1:13" s="3" customFormat="1" hidden="1" outlineLevel="1" x14ac:dyDescent="0.25">
      <c r="B1222" s="31"/>
      <c r="C1222" s="65"/>
      <c r="D1222" s="65"/>
      <c r="E1222" s="65"/>
      <c r="F1222" s="65"/>
      <c r="G1222" s="66"/>
      <c r="H1222" s="5"/>
      <c r="I1222" s="5"/>
      <c r="J1222" s="5"/>
      <c r="K1222" s="5"/>
    </row>
    <row r="1223" spans="1:13" s="3" customFormat="1" hidden="1" outlineLevel="1" x14ac:dyDescent="0.25">
      <c r="A1223" s="5"/>
      <c r="B1223" s="31" t="s">
        <v>980</v>
      </c>
      <c r="C1223" s="20"/>
      <c r="D1223" s="20"/>
      <c r="E1223" s="20"/>
      <c r="F1223" s="20"/>
      <c r="G1223" s="22"/>
      <c r="I1223" s="57" t="s">
        <v>16</v>
      </c>
      <c r="K1223" s="5"/>
    </row>
    <row r="1224" spans="1:13" s="3" customFormat="1" ht="17.399999999999999" hidden="1" customHeight="1" outlineLevel="1" x14ac:dyDescent="0.25">
      <c r="A1224" s="5"/>
      <c r="B1224" s="46" t="s">
        <v>703</v>
      </c>
      <c r="C1224" s="20"/>
      <c r="D1224" s="20"/>
      <c r="E1224" s="20"/>
      <c r="F1224" s="20"/>
      <c r="G1224" s="22"/>
      <c r="I1224" s="57" t="s">
        <v>7</v>
      </c>
      <c r="K1224" s="5"/>
    </row>
    <row r="1225" spans="1:13" s="3" customFormat="1" hidden="1" outlineLevel="1" x14ac:dyDescent="0.25">
      <c r="A1225" s="5"/>
      <c r="B1225" s="47" t="s">
        <v>704</v>
      </c>
      <c r="C1225" s="20"/>
      <c r="D1225" s="20"/>
      <c r="E1225" s="20"/>
      <c r="F1225" s="20"/>
      <c r="G1225" s="22"/>
      <c r="I1225" s="28" t="s">
        <v>13</v>
      </c>
    </row>
    <row r="1226" spans="1:13" s="3" customFormat="1" hidden="1" outlineLevel="1" x14ac:dyDescent="0.25">
      <c r="A1226" s="5"/>
      <c r="B1226" s="47" t="s">
        <v>705</v>
      </c>
      <c r="C1226" s="20"/>
      <c r="D1226" s="20"/>
      <c r="E1226" s="20"/>
      <c r="F1226" s="20"/>
      <c r="G1226" s="22"/>
      <c r="I1226" s="57" t="s">
        <v>11</v>
      </c>
    </row>
    <row r="1227" spans="1:13" s="3" customFormat="1" hidden="1" outlineLevel="1" x14ac:dyDescent="0.25">
      <c r="A1227" s="5"/>
      <c r="B1227" s="47" t="s">
        <v>706</v>
      </c>
      <c r="C1227" s="20"/>
      <c r="D1227" s="20"/>
      <c r="E1227" s="20"/>
      <c r="F1227" s="20"/>
      <c r="G1227" s="22"/>
      <c r="I1227" s="57" t="s">
        <v>25</v>
      </c>
    </row>
    <row r="1228" spans="1:13" s="3" customFormat="1" hidden="1" outlineLevel="1" x14ac:dyDescent="0.25">
      <c r="A1228" s="5"/>
      <c r="B1228" s="47" t="s">
        <v>707</v>
      </c>
      <c r="C1228" s="20"/>
      <c r="D1228" s="20"/>
      <c r="E1228" s="20"/>
      <c r="F1228" s="20"/>
      <c r="G1228" s="22"/>
      <c r="I1228" s="57" t="s">
        <v>14</v>
      </c>
    </row>
    <row r="1229" spans="1:13" s="3" customFormat="1" hidden="1" outlineLevel="1" x14ac:dyDescent="0.25">
      <c r="A1229" s="5"/>
      <c r="B1229" s="47" t="s">
        <v>708</v>
      </c>
      <c r="C1229" s="20"/>
      <c r="D1229" s="20"/>
      <c r="E1229" s="20"/>
      <c r="F1229" s="20"/>
      <c r="G1229" s="22"/>
      <c r="I1229" s="31" t="s">
        <v>15</v>
      </c>
    </row>
    <row r="1230" spans="1:13" s="3" customFormat="1" hidden="1" outlineLevel="1" x14ac:dyDescent="0.25">
      <c r="A1230" s="5"/>
      <c r="B1230" s="47" t="s">
        <v>709</v>
      </c>
      <c r="C1230" s="20"/>
      <c r="D1230" s="20"/>
      <c r="E1230" s="20"/>
      <c r="F1230" s="20"/>
      <c r="G1230" s="22"/>
      <c r="I1230" s="57" t="s">
        <v>22</v>
      </c>
    </row>
    <row r="1231" spans="1:13" s="3" customFormat="1" hidden="1" outlineLevel="1" x14ac:dyDescent="0.25">
      <c r="A1231" s="5"/>
      <c r="B1231" s="162" t="s">
        <v>713</v>
      </c>
      <c r="C1231" s="20"/>
      <c r="D1231" s="20"/>
      <c r="E1231" s="20"/>
      <c r="F1231" s="20"/>
      <c r="G1231" s="22"/>
      <c r="I1231" s="57" t="s">
        <v>63</v>
      </c>
    </row>
    <row r="1232" spans="1:13" s="3" customFormat="1" hidden="1" outlineLevel="1" x14ac:dyDescent="0.25">
      <c r="A1232" s="5"/>
      <c r="B1232" s="162" t="s">
        <v>981</v>
      </c>
      <c r="C1232" s="20"/>
      <c r="D1232" s="20"/>
      <c r="E1232" s="20"/>
      <c r="F1232" s="20"/>
      <c r="G1232" s="22"/>
      <c r="I1232" s="57" t="s">
        <v>78</v>
      </c>
    </row>
    <row r="1233" spans="1:9" s="3" customFormat="1" hidden="1" outlineLevel="1" x14ac:dyDescent="0.25">
      <c r="A1233" s="5"/>
      <c r="B1233" s="48" t="s">
        <v>710</v>
      </c>
      <c r="C1233" s="20"/>
      <c r="D1233" s="20"/>
      <c r="E1233" s="20"/>
      <c r="F1233" s="20"/>
      <c r="G1233" s="22"/>
      <c r="I1233" s="57" t="s">
        <v>130</v>
      </c>
    </row>
    <row r="1234" spans="1:9" s="3" customFormat="1" hidden="1" outlineLevel="1" x14ac:dyDescent="0.25">
      <c r="A1234" s="5"/>
      <c r="B1234" s="49" t="s">
        <v>712</v>
      </c>
      <c r="C1234" s="20"/>
      <c r="D1234" s="20"/>
      <c r="E1234" s="20"/>
      <c r="F1234" s="20"/>
      <c r="G1234" s="22"/>
      <c r="I1234" s="57" t="s">
        <v>165</v>
      </c>
    </row>
    <row r="1235" spans="1:9" s="3" customFormat="1" hidden="1" outlineLevel="1" x14ac:dyDescent="0.25">
      <c r="A1235" s="5"/>
      <c r="B1235" s="49" t="s">
        <v>982</v>
      </c>
      <c r="C1235" s="20"/>
      <c r="D1235" s="20"/>
      <c r="E1235" s="20"/>
      <c r="F1235" s="20"/>
      <c r="G1235" s="22"/>
      <c r="I1235" s="57" t="s">
        <v>166</v>
      </c>
    </row>
    <row r="1236" spans="1:9" s="3" customFormat="1" hidden="1" outlineLevel="1" x14ac:dyDescent="0.25">
      <c r="A1236" s="5"/>
      <c r="B1236" s="49" t="s">
        <v>715</v>
      </c>
      <c r="C1236" s="20"/>
      <c r="D1236" s="20"/>
      <c r="E1236" s="20"/>
      <c r="F1236" s="20"/>
      <c r="G1236" s="22"/>
      <c r="I1236" s="57" t="s">
        <v>167</v>
      </c>
    </row>
    <row r="1237" spans="1:9" s="3" customFormat="1" hidden="1" outlineLevel="1" x14ac:dyDescent="0.25">
      <c r="A1237" s="5"/>
      <c r="B1237" s="49" t="s">
        <v>716</v>
      </c>
      <c r="C1237" s="20"/>
      <c r="D1237" s="20"/>
      <c r="E1237" s="20"/>
      <c r="F1237" s="20"/>
      <c r="G1237" s="22"/>
      <c r="I1237" s="57" t="s">
        <v>168</v>
      </c>
    </row>
    <row r="1238" spans="1:9" s="3" customFormat="1" hidden="1" outlineLevel="1" x14ac:dyDescent="0.25">
      <c r="A1238" s="5"/>
      <c r="B1238" s="49" t="s">
        <v>717</v>
      </c>
      <c r="C1238" s="20"/>
      <c r="D1238" s="20"/>
      <c r="E1238" s="20"/>
      <c r="F1238" s="20"/>
      <c r="G1238" s="22"/>
      <c r="I1238" s="57" t="s">
        <v>15</v>
      </c>
    </row>
    <row r="1239" spans="1:9" s="3" customFormat="1" hidden="1" outlineLevel="1" x14ac:dyDescent="0.25">
      <c r="A1239" s="5"/>
      <c r="B1239" s="46" t="s">
        <v>2280</v>
      </c>
      <c r="C1239" s="20"/>
      <c r="D1239" s="20"/>
      <c r="E1239" s="20"/>
      <c r="F1239" s="20"/>
      <c r="G1239" s="22"/>
      <c r="I1239" s="57" t="s">
        <v>24</v>
      </c>
    </row>
    <row r="1240" spans="1:9" s="3" customFormat="1" hidden="1" outlineLevel="1" x14ac:dyDescent="0.25">
      <c r="A1240" s="5"/>
      <c r="B1240" s="50" t="s">
        <v>718</v>
      </c>
      <c r="C1240" s="20"/>
      <c r="D1240" s="20"/>
      <c r="E1240" s="20"/>
      <c r="F1240" s="20"/>
      <c r="G1240" s="22"/>
      <c r="I1240" s="28" t="s">
        <v>27</v>
      </c>
    </row>
    <row r="1241" spans="1:9" s="3" customFormat="1" hidden="1" outlineLevel="1" x14ac:dyDescent="0.25">
      <c r="A1241" s="5"/>
      <c r="B1241" s="50" t="s">
        <v>719</v>
      </c>
      <c r="C1241" s="20"/>
      <c r="D1241" s="20"/>
      <c r="E1241" s="20"/>
      <c r="F1241" s="20"/>
      <c r="G1241" s="22"/>
    </row>
    <row r="1242" spans="1:9" s="3" customFormat="1" hidden="1" outlineLevel="1" x14ac:dyDescent="0.25">
      <c r="A1242" s="5"/>
      <c r="B1242" s="50" t="s">
        <v>720</v>
      </c>
      <c r="C1242" s="20"/>
      <c r="D1242" s="20"/>
      <c r="E1242" s="20"/>
      <c r="F1242" s="20"/>
      <c r="G1242" s="22"/>
    </row>
    <row r="1243" spans="1:9" s="3" customFormat="1" hidden="1" outlineLevel="1" x14ac:dyDescent="0.25">
      <c r="A1243" s="5"/>
      <c r="B1243" s="50" t="s">
        <v>722</v>
      </c>
      <c r="C1243" s="20"/>
      <c r="D1243" s="20"/>
      <c r="E1243" s="20"/>
      <c r="F1243" s="20"/>
      <c r="G1243" s="22"/>
    </row>
    <row r="1244" spans="1:9" s="3" customFormat="1" hidden="1" outlineLevel="1" x14ac:dyDescent="0.25">
      <c r="A1244" s="5"/>
      <c r="B1244" s="50" t="s">
        <v>723</v>
      </c>
      <c r="C1244" s="20"/>
      <c r="D1244" s="20"/>
      <c r="E1244" s="20"/>
      <c r="F1244" s="20"/>
      <c r="G1244" s="22"/>
    </row>
    <row r="1245" spans="1:9" s="3" customFormat="1" hidden="1" outlineLevel="1" x14ac:dyDescent="0.25">
      <c r="A1245" s="5"/>
      <c r="B1245" s="51" t="s">
        <v>724</v>
      </c>
      <c r="C1245" s="20"/>
      <c r="D1245" s="20"/>
      <c r="E1245" s="20"/>
      <c r="F1245" s="20"/>
      <c r="G1245" s="22"/>
    </row>
    <row r="1246" spans="1:9" s="3" customFormat="1" hidden="1" outlineLevel="1" x14ac:dyDescent="0.25">
      <c r="A1246" s="5"/>
      <c r="B1246" s="31"/>
      <c r="C1246" s="20"/>
      <c r="D1246" s="20"/>
      <c r="E1246" s="20"/>
      <c r="F1246" s="20"/>
      <c r="G1246" s="22"/>
    </row>
    <row r="1247" spans="1:9" s="3" customFormat="1" hidden="1" outlineLevel="1" x14ac:dyDescent="0.25">
      <c r="A1247" s="5"/>
      <c r="B1247" s="46" t="s">
        <v>983</v>
      </c>
      <c r="C1247" s="20"/>
      <c r="D1247" s="20"/>
      <c r="E1247" s="20"/>
      <c r="F1247" s="20"/>
      <c r="G1247" s="22"/>
    </row>
    <row r="1248" spans="1:9" s="3" customFormat="1" ht="16.2" hidden="1" outlineLevel="1" thickBot="1" x14ac:dyDescent="0.3">
      <c r="A1248" s="5"/>
      <c r="B1248" s="52" t="s">
        <v>726</v>
      </c>
      <c r="C1248" s="53"/>
      <c r="D1248" s="53"/>
      <c r="E1248" s="53"/>
      <c r="F1248" s="53"/>
      <c r="G1248" s="54"/>
    </row>
    <row r="1249" spans="1:14" s="3" customFormat="1" hidden="1" outlineLevel="1" x14ac:dyDescent="0.25">
      <c r="B1249" s="45" t="s">
        <v>984</v>
      </c>
      <c r="C1249" s="65"/>
      <c r="D1249" s="65"/>
      <c r="E1249" s="65"/>
      <c r="F1249" s="65"/>
      <c r="G1249" s="66"/>
      <c r="H1249" s="5"/>
      <c r="I1249" s="5"/>
      <c r="J1249" s="5"/>
    </row>
    <row r="1250" spans="1:14" s="3" customFormat="1" ht="16.2" hidden="1" outlineLevel="1" thickBot="1" x14ac:dyDescent="0.3">
      <c r="B1250" s="52"/>
      <c r="C1250" s="92"/>
      <c r="D1250" s="92"/>
      <c r="E1250" s="175"/>
      <c r="F1250" s="92"/>
      <c r="G1250" s="93"/>
      <c r="H1250" s="5"/>
      <c r="I1250" s="5"/>
      <c r="J1250" s="5"/>
    </row>
    <row r="1251" spans="1:14" s="3" customFormat="1" ht="16.2" hidden="1" outlineLevel="1" thickBot="1" x14ac:dyDescent="0.3">
      <c r="H1251" s="5"/>
      <c r="I1251" s="5"/>
      <c r="J1251" s="5"/>
      <c r="K1251" s="5"/>
    </row>
    <row r="1252" spans="1:14" s="3" customFormat="1" ht="16.2" collapsed="1" thickBot="1" x14ac:dyDescent="0.3">
      <c r="B1252" s="166" t="s">
        <v>1279</v>
      </c>
      <c r="C1252" s="167" t="s">
        <v>2165</v>
      </c>
      <c r="D1252" s="168" t="s">
        <v>1281</v>
      </c>
      <c r="E1252" s="169" t="s">
        <v>985</v>
      </c>
      <c r="F1252" s="168" t="s">
        <v>1282</v>
      </c>
      <c r="G1252" s="170" t="s">
        <v>2166</v>
      </c>
      <c r="H1252" s="5"/>
      <c r="I1252" s="5"/>
      <c r="J1252" s="5"/>
      <c r="K1252" s="5"/>
    </row>
    <row r="1253" spans="1:14" s="3" customFormat="1" hidden="1" outlineLevel="1" x14ac:dyDescent="0.25">
      <c r="B1253" s="136" t="s">
        <v>1284</v>
      </c>
      <c r="C1253" s="84" t="s">
        <v>1285</v>
      </c>
      <c r="D1253" s="137" t="s">
        <v>1286</v>
      </c>
      <c r="E1253" s="84" t="s">
        <v>2167</v>
      </c>
      <c r="F1253" s="137" t="s">
        <v>1288</v>
      </c>
      <c r="G1253" s="85"/>
      <c r="H1253" s="5"/>
      <c r="I1253" s="5"/>
      <c r="J1253" s="5"/>
      <c r="K1253" s="5"/>
    </row>
    <row r="1254" spans="1:14" s="3" customFormat="1" ht="16.2" hidden="1" outlineLevel="1" thickBot="1" x14ac:dyDescent="0.3">
      <c r="B1254" s="171" t="s">
        <v>1290</v>
      </c>
      <c r="C1254" s="172" t="s">
        <v>1291</v>
      </c>
      <c r="D1254" s="173" t="s">
        <v>1292</v>
      </c>
      <c r="E1254" s="172">
        <v>5</v>
      </c>
      <c r="F1254" s="173" t="s">
        <v>1293</v>
      </c>
      <c r="G1254" s="174" t="s">
        <v>1294</v>
      </c>
      <c r="H1254" s="5"/>
      <c r="I1254" s="5"/>
      <c r="J1254" s="5"/>
      <c r="K1254" s="5"/>
    </row>
    <row r="1255" spans="1:14" s="3" customFormat="1" hidden="1" outlineLevel="1" x14ac:dyDescent="0.25">
      <c r="B1255" s="392" t="s">
        <v>1</v>
      </c>
      <c r="C1255" s="393"/>
      <c r="D1255" s="393"/>
      <c r="E1255" s="393"/>
      <c r="F1255" s="393"/>
      <c r="G1255" s="394"/>
      <c r="H1255" s="5"/>
      <c r="I1255" s="5"/>
      <c r="J1255" s="5"/>
      <c r="K1255" s="5"/>
    </row>
    <row r="1256" spans="1:14" s="3" customFormat="1" hidden="1" outlineLevel="1" x14ac:dyDescent="0.25">
      <c r="B1256" s="94" t="s">
        <v>2</v>
      </c>
      <c r="C1256" s="95" t="s">
        <v>3</v>
      </c>
      <c r="D1256" s="95" t="s">
        <v>4</v>
      </c>
      <c r="E1256" s="95" t="s">
        <v>5</v>
      </c>
      <c r="F1256" s="95"/>
      <c r="G1256" s="96" t="s">
        <v>6</v>
      </c>
      <c r="H1256" s="5"/>
      <c r="I1256" s="5"/>
      <c r="J1256" s="5"/>
      <c r="K1256" s="5"/>
    </row>
    <row r="1257" spans="1:14" s="3" customFormat="1" hidden="1" outlineLevel="1" x14ac:dyDescent="0.35">
      <c r="A1257" s="5"/>
      <c r="B1257" s="57" t="s">
        <v>7</v>
      </c>
      <c r="C1257" s="58" t="s">
        <v>1468</v>
      </c>
      <c r="D1257" s="58" t="s">
        <v>1469</v>
      </c>
      <c r="E1257" s="58">
        <v>0</v>
      </c>
      <c r="F1257" s="58" t="s">
        <v>1470</v>
      </c>
      <c r="G1257" s="59" t="s">
        <v>1471</v>
      </c>
      <c r="H1257" s="4"/>
      <c r="I1257" s="4"/>
      <c r="J1257" s="4" t="s">
        <v>10</v>
      </c>
      <c r="K1257" s="5"/>
    </row>
    <row r="1258" spans="1:14" s="3" customFormat="1" ht="17.399999999999999" hidden="1" customHeight="1" outlineLevel="1" x14ac:dyDescent="0.35">
      <c r="A1258" s="5"/>
      <c r="B1258" s="57" t="s">
        <v>11</v>
      </c>
      <c r="C1258" s="58" t="s">
        <v>1472</v>
      </c>
      <c r="D1258" s="58" t="s">
        <v>1469</v>
      </c>
      <c r="E1258" s="58">
        <v>0</v>
      </c>
      <c r="F1258" s="58" t="s">
        <v>1470</v>
      </c>
      <c r="G1258" s="59" t="s">
        <v>1473</v>
      </c>
      <c r="H1258" s="4"/>
      <c r="I1258" s="4"/>
      <c r="J1258" s="4" t="s">
        <v>12</v>
      </c>
      <c r="K1258" s="5"/>
    </row>
    <row r="1259" spans="1:14" s="4" customFormat="1" ht="17.399999999999999" hidden="1" customHeight="1" outlineLevel="1" x14ac:dyDescent="0.35">
      <c r="A1259" s="5"/>
      <c r="B1259" s="60" t="s">
        <v>13</v>
      </c>
      <c r="C1259" s="61" t="s">
        <v>1474</v>
      </c>
      <c r="D1259" s="61" t="s">
        <v>1469</v>
      </c>
      <c r="E1259" s="61">
        <v>0</v>
      </c>
      <c r="F1259" s="61" t="s">
        <v>1470</v>
      </c>
      <c r="G1259" s="62"/>
      <c r="H1259" s="63"/>
      <c r="J1259" s="4" t="s">
        <v>10</v>
      </c>
      <c r="K1259" s="4" t="s">
        <v>173</v>
      </c>
      <c r="L1259" s="4" t="s">
        <v>9</v>
      </c>
      <c r="M1259" s="4" t="s">
        <v>9</v>
      </c>
      <c r="N1259" s="4">
        <v>1112</v>
      </c>
    </row>
    <row r="1260" spans="1:14" s="4" customFormat="1" ht="17.399999999999999" hidden="1" customHeight="1" outlineLevel="1" x14ac:dyDescent="0.35">
      <c r="A1260" s="5"/>
      <c r="B1260" s="60" t="s">
        <v>14</v>
      </c>
      <c r="C1260" s="61" t="s">
        <v>1475</v>
      </c>
      <c r="D1260" s="61" t="s">
        <v>1469</v>
      </c>
      <c r="E1260" s="61">
        <v>0</v>
      </c>
      <c r="F1260" s="61" t="s">
        <v>1476</v>
      </c>
      <c r="G1260" s="62" t="s">
        <v>1477</v>
      </c>
      <c r="H1260" s="63"/>
      <c r="J1260" s="4" t="s">
        <v>10</v>
      </c>
      <c r="K1260" s="4" t="s">
        <v>174</v>
      </c>
      <c r="L1260" s="4" t="s">
        <v>175</v>
      </c>
      <c r="M1260" s="4" t="s">
        <v>176</v>
      </c>
      <c r="N1260" s="4">
        <v>1700</v>
      </c>
    </row>
    <row r="1261" spans="1:14" s="4" customFormat="1" ht="17.399999999999999" hidden="1" customHeight="1" outlineLevel="1" x14ac:dyDescent="0.35">
      <c r="A1261" s="5"/>
      <c r="B1261" s="60" t="s">
        <v>15</v>
      </c>
      <c r="C1261" s="61" t="s">
        <v>1478</v>
      </c>
      <c r="D1261" s="61" t="s">
        <v>1469</v>
      </c>
      <c r="E1261" s="61">
        <v>0</v>
      </c>
      <c r="F1261" s="61" t="s">
        <v>1470</v>
      </c>
      <c r="G1261" s="62"/>
      <c r="H1261" s="63"/>
      <c r="J1261" s="4" t="s">
        <v>10</v>
      </c>
      <c r="K1261" s="4" t="s">
        <v>173</v>
      </c>
      <c r="L1261" s="4" t="s">
        <v>9</v>
      </c>
      <c r="M1261" s="4" t="s">
        <v>9</v>
      </c>
      <c r="N1261" s="4">
        <v>2534</v>
      </c>
    </row>
    <row r="1262" spans="1:14" s="4" customFormat="1" ht="17.399999999999999" hidden="1" customHeight="1" outlineLevel="1" x14ac:dyDescent="0.35">
      <c r="A1262" s="5"/>
      <c r="B1262" s="134" t="s">
        <v>17</v>
      </c>
      <c r="C1262" s="135" t="s">
        <v>1483</v>
      </c>
      <c r="D1262" s="135" t="s">
        <v>1469</v>
      </c>
      <c r="E1262" s="65">
        <v>0</v>
      </c>
      <c r="F1262" s="65" t="s">
        <v>1470</v>
      </c>
      <c r="G1262" s="66" t="s">
        <v>1484</v>
      </c>
      <c r="H1262" s="5"/>
      <c r="I1262" s="5"/>
      <c r="J1262" s="5" t="s">
        <v>10</v>
      </c>
      <c r="K1262" s="4" t="s">
        <v>173</v>
      </c>
      <c r="L1262" s="4" t="s">
        <v>9</v>
      </c>
      <c r="M1262" s="4" t="s">
        <v>9</v>
      </c>
      <c r="N1262" s="4">
        <v>2155</v>
      </c>
    </row>
    <row r="1263" spans="1:14" s="4" customFormat="1" ht="17.399999999999999" hidden="1" customHeight="1" outlineLevel="1" x14ac:dyDescent="0.35">
      <c r="A1263" s="5"/>
      <c r="B1263" s="31" t="s">
        <v>160</v>
      </c>
      <c r="C1263" s="20" t="s">
        <v>1588</v>
      </c>
      <c r="D1263" s="20" t="s">
        <v>1469</v>
      </c>
      <c r="E1263" s="20">
        <v>0</v>
      </c>
      <c r="F1263" s="20"/>
      <c r="G1263" s="22"/>
      <c r="H1263" s="3"/>
      <c r="I1263" s="3"/>
      <c r="J1263" s="3" t="s">
        <v>10</v>
      </c>
      <c r="K1263" s="4" t="s">
        <v>173</v>
      </c>
      <c r="L1263" s="4" t="s">
        <v>9</v>
      </c>
      <c r="M1263" s="4" t="s">
        <v>9</v>
      </c>
      <c r="N1263" s="4">
        <v>2430</v>
      </c>
    </row>
    <row r="1264" spans="1:14" s="4" customFormat="1" ht="17.399999999999999" hidden="1" customHeight="1" outlineLevel="1" x14ac:dyDescent="0.35">
      <c r="A1264" s="5"/>
      <c r="B1264" s="64" t="s">
        <v>73</v>
      </c>
      <c r="C1264" s="65" t="s">
        <v>1528</v>
      </c>
      <c r="D1264" s="65" t="s">
        <v>1469</v>
      </c>
      <c r="E1264" s="65" t="s">
        <v>1480</v>
      </c>
      <c r="F1264" s="65" t="s">
        <v>1481</v>
      </c>
      <c r="G1264" s="66"/>
      <c r="H1264" s="3"/>
      <c r="I1264" s="3"/>
      <c r="J1264" s="3" t="s">
        <v>10</v>
      </c>
      <c r="K1264" s="5" t="s">
        <v>173</v>
      </c>
      <c r="L1264" s="5" t="s">
        <v>9</v>
      </c>
      <c r="M1264" s="5" t="s">
        <v>9</v>
      </c>
      <c r="N1264" s="4">
        <v>1097</v>
      </c>
    </row>
    <row r="1265" spans="1:14" s="3" customFormat="1" hidden="1" outlineLevel="1" x14ac:dyDescent="0.25">
      <c r="A1265" s="5"/>
      <c r="B1265" s="64" t="s">
        <v>74</v>
      </c>
      <c r="C1265" s="65" t="s">
        <v>1529</v>
      </c>
      <c r="D1265" s="65" t="s">
        <v>1469</v>
      </c>
      <c r="E1265" s="65" t="s">
        <v>1480</v>
      </c>
      <c r="F1265" s="65" t="s">
        <v>1481</v>
      </c>
      <c r="G1265" s="66"/>
      <c r="J1265" s="3" t="s">
        <v>10</v>
      </c>
      <c r="K1265" s="3" t="s">
        <v>173</v>
      </c>
      <c r="L1265" s="3" t="s">
        <v>9</v>
      </c>
      <c r="M1265" s="3" t="s">
        <v>9</v>
      </c>
      <c r="N1265" s="3">
        <v>1604</v>
      </c>
    </row>
    <row r="1266" spans="1:14" s="3" customFormat="1" ht="17.399999999999999" hidden="1" customHeight="1" outlineLevel="1" x14ac:dyDescent="0.25">
      <c r="A1266" s="5"/>
      <c r="B1266" s="64"/>
      <c r="C1266" s="65"/>
      <c r="D1266" s="65"/>
      <c r="E1266" s="65"/>
      <c r="F1266" s="65"/>
      <c r="G1266" s="66"/>
      <c r="K1266" s="3" t="s">
        <v>173</v>
      </c>
      <c r="L1266" s="3" t="s">
        <v>9</v>
      </c>
      <c r="M1266" s="3" t="s">
        <v>9</v>
      </c>
    </row>
    <row r="1267" spans="1:14" s="3" customFormat="1" ht="17.399999999999999" hidden="1" customHeight="1" outlineLevel="1" x14ac:dyDescent="0.25">
      <c r="A1267" s="5"/>
      <c r="B1267" s="383" t="s">
        <v>18</v>
      </c>
      <c r="C1267" s="384"/>
      <c r="D1267" s="384"/>
      <c r="E1267" s="384"/>
      <c r="F1267" s="384"/>
      <c r="G1267" s="385"/>
      <c r="K1267" s="3" t="s">
        <v>173</v>
      </c>
      <c r="L1267" s="3" t="s">
        <v>9</v>
      </c>
      <c r="M1267" s="3" t="s">
        <v>9</v>
      </c>
    </row>
    <row r="1268" spans="1:14" s="3" customFormat="1" ht="17.399999999999999" hidden="1" customHeight="1" outlineLevel="1" x14ac:dyDescent="0.25">
      <c r="A1268" s="5"/>
      <c r="B1268" s="94" t="s">
        <v>2</v>
      </c>
      <c r="C1268" s="95" t="s">
        <v>3</v>
      </c>
      <c r="D1268" s="95" t="s">
        <v>4</v>
      </c>
      <c r="E1268" s="95" t="s">
        <v>5</v>
      </c>
      <c r="F1268" s="95"/>
      <c r="G1268" s="96" t="s">
        <v>6</v>
      </c>
    </row>
    <row r="1269" spans="1:14" s="3" customFormat="1" ht="17.399999999999999" hidden="1" customHeight="1" outlineLevel="1" x14ac:dyDescent="0.25">
      <c r="A1269" s="5"/>
      <c r="B1269" s="31" t="s">
        <v>16</v>
      </c>
      <c r="C1269" s="20" t="s">
        <v>1479</v>
      </c>
      <c r="D1269" s="20" t="s">
        <v>1469</v>
      </c>
      <c r="E1269" s="20" t="s">
        <v>1480</v>
      </c>
      <c r="F1269" s="20" t="s">
        <v>1481</v>
      </c>
      <c r="G1269" s="22" t="s">
        <v>1482</v>
      </c>
      <c r="J1269" s="3" t="s">
        <v>10</v>
      </c>
    </row>
    <row r="1270" spans="1:14" s="3" customFormat="1" ht="17.399999999999999" hidden="1" customHeight="1" outlineLevel="1" x14ac:dyDescent="0.25">
      <c r="B1270" s="28" t="s">
        <v>7</v>
      </c>
      <c r="C1270" s="29" t="s">
        <v>1468</v>
      </c>
      <c r="D1270" s="29" t="s">
        <v>1469</v>
      </c>
      <c r="E1270" s="29">
        <v>0</v>
      </c>
      <c r="F1270" s="29" t="s">
        <v>1470</v>
      </c>
      <c r="G1270" s="30" t="s">
        <v>1471</v>
      </c>
      <c r="J1270" s="3" t="s">
        <v>10</v>
      </c>
    </row>
    <row r="1271" spans="1:14" s="3" customFormat="1" ht="17.399999999999999" hidden="1" customHeight="1" outlineLevel="1" x14ac:dyDescent="0.25">
      <c r="B1271" s="28" t="s">
        <v>11</v>
      </c>
      <c r="C1271" s="29" t="s">
        <v>1472</v>
      </c>
      <c r="D1271" s="29" t="s">
        <v>1469</v>
      </c>
      <c r="E1271" s="29">
        <v>0</v>
      </c>
      <c r="F1271" s="29" t="s">
        <v>1470</v>
      </c>
      <c r="G1271" s="30" t="s">
        <v>1473</v>
      </c>
      <c r="J1271" s="3" t="s">
        <v>12</v>
      </c>
      <c r="K1271" s="3" t="s">
        <v>173</v>
      </c>
      <c r="L1271" s="3" t="s">
        <v>9</v>
      </c>
      <c r="M1271" s="3" t="s">
        <v>9</v>
      </c>
      <c r="N1271" s="3">
        <v>1211</v>
      </c>
    </row>
    <row r="1272" spans="1:14" s="3" customFormat="1" hidden="1" outlineLevel="1" x14ac:dyDescent="0.25">
      <c r="B1272" s="28" t="s">
        <v>13</v>
      </c>
      <c r="C1272" s="29" t="s">
        <v>1474</v>
      </c>
      <c r="D1272" s="29" t="s">
        <v>1469</v>
      </c>
      <c r="E1272" s="29">
        <v>0</v>
      </c>
      <c r="F1272" s="29" t="s">
        <v>1470</v>
      </c>
      <c r="G1272" s="30"/>
      <c r="J1272" s="3" t="s">
        <v>10</v>
      </c>
      <c r="K1272" s="3" t="s">
        <v>173</v>
      </c>
      <c r="L1272" s="3" t="s">
        <v>9</v>
      </c>
      <c r="M1272" s="3" t="s">
        <v>9</v>
      </c>
      <c r="N1272" s="3">
        <v>1112</v>
      </c>
    </row>
    <row r="1273" spans="1:14" s="3" customFormat="1" hidden="1" outlineLevel="1" x14ac:dyDescent="0.25">
      <c r="B1273" s="35" t="s">
        <v>25</v>
      </c>
      <c r="C1273" s="36" t="s">
        <v>1492</v>
      </c>
      <c r="D1273" s="36" t="s">
        <v>1469</v>
      </c>
      <c r="E1273" s="36">
        <v>0</v>
      </c>
      <c r="F1273" s="36" t="s">
        <v>1470</v>
      </c>
      <c r="G1273" s="37" t="s">
        <v>1484</v>
      </c>
      <c r="J1273" s="3" t="s">
        <v>10</v>
      </c>
      <c r="K1273" s="3" t="s">
        <v>174</v>
      </c>
      <c r="L1273" s="3" t="s">
        <v>175</v>
      </c>
      <c r="M1273" s="3" t="s">
        <v>176</v>
      </c>
      <c r="N1273" s="3">
        <v>1700</v>
      </c>
    </row>
    <row r="1274" spans="1:14" s="3" customFormat="1" hidden="1" outlineLevel="1" x14ac:dyDescent="0.25">
      <c r="B1274" s="28" t="s">
        <v>14</v>
      </c>
      <c r="C1274" s="29" t="s">
        <v>1475</v>
      </c>
      <c r="D1274" s="29" t="s">
        <v>1469</v>
      </c>
      <c r="E1274" s="29">
        <v>0</v>
      </c>
      <c r="F1274" s="29" t="s">
        <v>1476</v>
      </c>
      <c r="G1274" s="30" t="s">
        <v>1477</v>
      </c>
      <c r="J1274" s="3" t="s">
        <v>10</v>
      </c>
      <c r="K1274" s="3" t="s">
        <v>173</v>
      </c>
      <c r="L1274" s="3" t="s">
        <v>9</v>
      </c>
      <c r="M1274" s="3" t="s">
        <v>9</v>
      </c>
      <c r="N1274" s="3">
        <v>2534</v>
      </c>
    </row>
    <row r="1275" spans="1:14" s="3" customFormat="1" hidden="1" outlineLevel="1" x14ac:dyDescent="0.25">
      <c r="B1275" s="28" t="s">
        <v>15</v>
      </c>
      <c r="C1275" s="29" t="s">
        <v>1478</v>
      </c>
      <c r="D1275" s="29" t="s">
        <v>1469</v>
      </c>
      <c r="E1275" s="29">
        <v>0</v>
      </c>
      <c r="F1275" s="29" t="s">
        <v>1470</v>
      </c>
      <c r="G1275" s="30"/>
      <c r="J1275" s="3" t="s">
        <v>20</v>
      </c>
      <c r="K1275" s="3" t="s">
        <v>173</v>
      </c>
      <c r="L1275" s="3" t="s">
        <v>9</v>
      </c>
      <c r="M1275" s="3" t="s">
        <v>9</v>
      </c>
      <c r="N1275" s="3">
        <v>2155</v>
      </c>
    </row>
    <row r="1276" spans="1:14" s="3" customFormat="1" hidden="1" outlineLevel="1" x14ac:dyDescent="0.25">
      <c r="B1276" s="38" t="s">
        <v>19</v>
      </c>
      <c r="C1276" s="39" t="s">
        <v>1485</v>
      </c>
      <c r="D1276" s="39" t="s">
        <v>1486</v>
      </c>
      <c r="E1276" s="39">
        <v>0</v>
      </c>
      <c r="F1276" s="39"/>
      <c r="G1276" s="40"/>
      <c r="J1276" s="3" t="s">
        <v>20</v>
      </c>
      <c r="K1276" s="3" t="s">
        <v>173</v>
      </c>
      <c r="L1276" s="3" t="s">
        <v>9</v>
      </c>
      <c r="M1276" s="3" t="s">
        <v>9</v>
      </c>
      <c r="N1276" s="3">
        <v>2430</v>
      </c>
    </row>
    <row r="1277" spans="1:14" s="3" customFormat="1" hidden="1" outlineLevel="1" x14ac:dyDescent="0.25">
      <c r="B1277" s="28" t="s">
        <v>21</v>
      </c>
      <c r="C1277" s="29" t="s">
        <v>1487</v>
      </c>
      <c r="D1277" s="29" t="s">
        <v>1486</v>
      </c>
      <c r="E1277" s="29">
        <v>0</v>
      </c>
      <c r="F1277" s="29"/>
      <c r="G1277" s="30"/>
      <c r="J1277" s="3" t="s">
        <v>20</v>
      </c>
      <c r="K1277" s="3" t="s">
        <v>445</v>
      </c>
      <c r="L1277" s="3" t="s">
        <v>446</v>
      </c>
      <c r="M1277" s="3" t="s">
        <v>446</v>
      </c>
      <c r="N1277" s="3">
        <v>1203</v>
      </c>
    </row>
    <row r="1278" spans="1:14" s="3" customFormat="1" hidden="1" outlineLevel="1" x14ac:dyDescent="0.25">
      <c r="B1278" s="28" t="s">
        <v>22</v>
      </c>
      <c r="C1278" s="29" t="s">
        <v>1488</v>
      </c>
      <c r="D1278" s="29" t="s">
        <v>1489</v>
      </c>
      <c r="E1278" s="29">
        <v>0</v>
      </c>
      <c r="F1278" s="29" t="s">
        <v>1470</v>
      </c>
      <c r="G1278" s="30" t="s">
        <v>1490</v>
      </c>
      <c r="J1278" s="3" t="s">
        <v>20</v>
      </c>
      <c r="K1278" s="3" t="s">
        <v>445</v>
      </c>
      <c r="L1278" s="3" t="s">
        <v>446</v>
      </c>
      <c r="M1278" s="3" t="s">
        <v>446</v>
      </c>
      <c r="N1278" s="3">
        <v>1689</v>
      </c>
    </row>
    <row r="1279" spans="1:14" s="3" customFormat="1" hidden="1" outlineLevel="1" x14ac:dyDescent="0.25">
      <c r="B1279" s="28" t="s">
        <v>26</v>
      </c>
      <c r="C1279" s="29" t="s">
        <v>1493</v>
      </c>
      <c r="D1279" s="29" t="s">
        <v>1494</v>
      </c>
      <c r="E1279" s="29">
        <v>0</v>
      </c>
      <c r="F1279" s="29" t="s">
        <v>1470</v>
      </c>
      <c r="G1279" s="30"/>
      <c r="J1279" s="3" t="s">
        <v>20</v>
      </c>
      <c r="K1279" s="3" t="s">
        <v>445</v>
      </c>
      <c r="L1279" s="3" t="s">
        <v>446</v>
      </c>
      <c r="M1279" s="3" t="s">
        <v>446</v>
      </c>
      <c r="N1279" s="3">
        <v>2052</v>
      </c>
    </row>
    <row r="1280" spans="1:14" s="3" customFormat="1" hidden="1" outlineLevel="1" x14ac:dyDescent="0.35">
      <c r="A1280" s="5"/>
      <c r="B1280" s="41" t="s">
        <v>27</v>
      </c>
      <c r="C1280" s="42" t="s">
        <v>1495</v>
      </c>
      <c r="D1280" s="42" t="s">
        <v>1489</v>
      </c>
      <c r="E1280" s="42">
        <v>0</v>
      </c>
      <c r="F1280" s="42" t="s">
        <v>1470</v>
      </c>
      <c r="G1280" s="43"/>
      <c r="H1280" s="4"/>
      <c r="I1280" s="4"/>
      <c r="J1280" s="5" t="s">
        <v>20</v>
      </c>
      <c r="K1280" s="3" t="s">
        <v>445</v>
      </c>
      <c r="L1280" s="3" t="s">
        <v>446</v>
      </c>
      <c r="M1280" s="3" t="s">
        <v>446</v>
      </c>
      <c r="N1280" s="3">
        <v>2153</v>
      </c>
    </row>
    <row r="1281" spans="1:14" s="3" customFormat="1" hidden="1" outlineLevel="1" x14ac:dyDescent="0.25">
      <c r="B1281" s="44" t="s">
        <v>75</v>
      </c>
      <c r="C1281" s="39" t="s">
        <v>1530</v>
      </c>
      <c r="D1281" s="39" t="s">
        <v>1486</v>
      </c>
      <c r="E1281" s="39">
        <v>0</v>
      </c>
      <c r="F1281" s="39" t="s">
        <v>1470</v>
      </c>
      <c r="G1281" s="40" t="s">
        <v>1531</v>
      </c>
      <c r="K1281" s="3" t="s">
        <v>445</v>
      </c>
      <c r="L1281" s="3" t="s">
        <v>446</v>
      </c>
      <c r="M1281" s="3" t="s">
        <v>446</v>
      </c>
      <c r="N1281" s="3">
        <v>2183</v>
      </c>
    </row>
    <row r="1282" spans="1:14" s="4" customFormat="1" ht="17.399999999999999" hidden="1" customHeight="1" outlineLevel="1" x14ac:dyDescent="0.35">
      <c r="A1282" s="3"/>
      <c r="B1282" s="44" t="s">
        <v>76</v>
      </c>
      <c r="C1282" s="29" t="s">
        <v>1532</v>
      </c>
      <c r="D1282" s="29" t="s">
        <v>1489</v>
      </c>
      <c r="E1282" s="29">
        <v>0</v>
      </c>
      <c r="F1282" s="29"/>
      <c r="G1282" s="30"/>
      <c r="H1282" s="3"/>
      <c r="I1282" s="3"/>
      <c r="J1282" s="3"/>
      <c r="K1282" s="5" t="s">
        <v>445</v>
      </c>
      <c r="L1282" s="5" t="s">
        <v>446</v>
      </c>
      <c r="M1282" s="5" t="s">
        <v>446</v>
      </c>
    </row>
    <row r="1283" spans="1:14" s="3" customFormat="1" hidden="1" outlineLevel="1" x14ac:dyDescent="0.25">
      <c r="B1283" s="44" t="s">
        <v>77</v>
      </c>
      <c r="C1283" s="29" t="s">
        <v>1533</v>
      </c>
      <c r="D1283" s="29" t="s">
        <v>1486</v>
      </c>
      <c r="E1283" s="29">
        <v>0</v>
      </c>
      <c r="F1283" s="29" t="s">
        <v>1470</v>
      </c>
      <c r="G1283" s="30"/>
    </row>
    <row r="1284" spans="1:14" s="3" customFormat="1" hidden="1" outlineLevel="1" x14ac:dyDescent="0.25">
      <c r="B1284" s="44" t="s">
        <v>78</v>
      </c>
      <c r="C1284" s="29" t="s">
        <v>1534</v>
      </c>
      <c r="D1284" s="29" t="s">
        <v>1489</v>
      </c>
      <c r="E1284" s="29">
        <v>0</v>
      </c>
      <c r="F1284" s="29"/>
      <c r="G1284" s="30"/>
    </row>
    <row r="1285" spans="1:14" s="3" customFormat="1" hidden="1" outlineLevel="1" x14ac:dyDescent="0.25">
      <c r="B1285" s="44" t="s">
        <v>24</v>
      </c>
      <c r="C1285" s="29" t="s">
        <v>1491</v>
      </c>
      <c r="D1285" s="29" t="s">
        <v>1489</v>
      </c>
      <c r="E1285" s="29">
        <v>0</v>
      </c>
      <c r="F1285" s="29" t="s">
        <v>1470</v>
      </c>
      <c r="G1285" s="30"/>
    </row>
    <row r="1286" spans="1:14" s="3" customFormat="1" hidden="1" outlineLevel="1" x14ac:dyDescent="0.35">
      <c r="A1286" s="5"/>
      <c r="B1286" s="44" t="s">
        <v>58</v>
      </c>
      <c r="C1286" s="42" t="s">
        <v>1522</v>
      </c>
      <c r="D1286" s="42" t="s">
        <v>1489</v>
      </c>
      <c r="E1286" s="42">
        <v>0</v>
      </c>
      <c r="F1286" s="42" t="s">
        <v>1470</v>
      </c>
      <c r="G1286" s="43"/>
      <c r="H1286" s="4"/>
      <c r="I1286" s="4"/>
      <c r="J1286" s="4"/>
    </row>
    <row r="1287" spans="1:14" s="3" customFormat="1" hidden="1" outlineLevel="1" x14ac:dyDescent="0.25">
      <c r="A1287" s="5"/>
      <c r="B1287" s="45" t="s">
        <v>63</v>
      </c>
      <c r="C1287" s="20" t="s">
        <v>1526</v>
      </c>
      <c r="D1287" s="20" t="s">
        <v>1489</v>
      </c>
      <c r="E1287" s="20">
        <v>0</v>
      </c>
      <c r="F1287" s="20"/>
      <c r="G1287" s="22"/>
    </row>
    <row r="1288" spans="1:14" s="4" customFormat="1" ht="17.399999999999999" hidden="1" customHeight="1" outlineLevel="1" thickBot="1" x14ac:dyDescent="0.4">
      <c r="A1288" s="5"/>
      <c r="B1288" s="103"/>
      <c r="C1288" s="92"/>
      <c r="D1288" s="92"/>
      <c r="E1288" s="92"/>
      <c r="F1288" s="92"/>
      <c r="G1288" s="93"/>
      <c r="H1288" s="3"/>
      <c r="I1288" s="3"/>
      <c r="J1288" s="3"/>
      <c r="K1288" s="5"/>
      <c r="L1288" s="5"/>
      <c r="M1288" s="5"/>
    </row>
    <row r="1289" spans="1:14" s="3" customFormat="1" ht="16.2" hidden="1" outlineLevel="1" thickBot="1" x14ac:dyDescent="0.3">
      <c r="B1289" s="176"/>
      <c r="C1289" s="177"/>
      <c r="D1289" s="177"/>
      <c r="E1289" s="177"/>
      <c r="F1289" s="177"/>
      <c r="G1289" s="178"/>
      <c r="H1289" s="5"/>
      <c r="I1289" s="5"/>
      <c r="J1289" s="5"/>
    </row>
    <row r="1290" spans="1:14" s="3" customFormat="1" ht="17.399999999999999" hidden="1" customHeight="1" outlineLevel="1" x14ac:dyDescent="0.25">
      <c r="B1290" s="392" t="s">
        <v>29</v>
      </c>
      <c r="C1290" s="393"/>
      <c r="D1290" s="393"/>
      <c r="E1290" s="393"/>
      <c r="F1290" s="393"/>
      <c r="G1290" s="394"/>
      <c r="H1290" s="5"/>
      <c r="I1290" s="5"/>
      <c r="J1290" s="5"/>
    </row>
    <row r="1291" spans="1:14" s="3" customFormat="1" hidden="1" outlineLevel="1" x14ac:dyDescent="0.25">
      <c r="B1291" s="31"/>
      <c r="C1291" s="65"/>
      <c r="D1291" s="65"/>
      <c r="E1291" s="65"/>
      <c r="F1291" s="65"/>
      <c r="G1291" s="66"/>
      <c r="H1291" s="5"/>
      <c r="I1291" s="5"/>
      <c r="J1291" s="5"/>
      <c r="K1291" s="5"/>
    </row>
    <row r="1292" spans="1:14" s="3" customFormat="1" hidden="1" outlineLevel="1" x14ac:dyDescent="0.25">
      <c r="A1292" s="5"/>
      <c r="B1292" s="31" t="s">
        <v>986</v>
      </c>
      <c r="C1292" s="20"/>
      <c r="D1292" s="20"/>
      <c r="E1292" s="20"/>
      <c r="F1292" s="20"/>
      <c r="G1292" s="22"/>
      <c r="I1292" s="57" t="s">
        <v>16</v>
      </c>
      <c r="K1292" s="5"/>
    </row>
    <row r="1293" spans="1:14" s="3" customFormat="1" ht="17.399999999999999" hidden="1" customHeight="1" outlineLevel="1" x14ac:dyDescent="0.25">
      <c r="A1293" s="5"/>
      <c r="B1293" s="46" t="s">
        <v>703</v>
      </c>
      <c r="C1293" s="20"/>
      <c r="D1293" s="20"/>
      <c r="E1293" s="20"/>
      <c r="F1293" s="20"/>
      <c r="G1293" s="22"/>
      <c r="I1293" s="57" t="s">
        <v>7</v>
      </c>
      <c r="K1293" s="5"/>
    </row>
    <row r="1294" spans="1:14" s="3" customFormat="1" hidden="1" outlineLevel="1" x14ac:dyDescent="0.25">
      <c r="A1294" s="5"/>
      <c r="B1294" s="47" t="s">
        <v>704</v>
      </c>
      <c r="C1294" s="20"/>
      <c r="D1294" s="20"/>
      <c r="E1294" s="20"/>
      <c r="F1294" s="20"/>
      <c r="G1294" s="22"/>
      <c r="I1294" s="28" t="s">
        <v>13</v>
      </c>
    </row>
    <row r="1295" spans="1:14" s="3" customFormat="1" hidden="1" outlineLevel="1" x14ac:dyDescent="0.25">
      <c r="A1295" s="5"/>
      <c r="B1295" s="47" t="s">
        <v>705</v>
      </c>
      <c r="C1295" s="20"/>
      <c r="D1295" s="20"/>
      <c r="E1295" s="20"/>
      <c r="F1295" s="20"/>
      <c r="G1295" s="22"/>
      <c r="I1295" s="57" t="s">
        <v>11</v>
      </c>
    </row>
    <row r="1296" spans="1:14" s="3" customFormat="1" hidden="1" outlineLevel="1" x14ac:dyDescent="0.25">
      <c r="A1296" s="5"/>
      <c r="B1296" s="47" t="s">
        <v>706</v>
      </c>
      <c r="C1296" s="20"/>
      <c r="D1296" s="20"/>
      <c r="E1296" s="20"/>
      <c r="F1296" s="20"/>
      <c r="G1296" s="22"/>
      <c r="I1296" s="57" t="s">
        <v>25</v>
      </c>
    </row>
    <row r="1297" spans="1:9" s="3" customFormat="1" hidden="1" outlineLevel="1" x14ac:dyDescent="0.25">
      <c r="A1297" s="5"/>
      <c r="B1297" s="47" t="s">
        <v>707</v>
      </c>
      <c r="C1297" s="20"/>
      <c r="D1297" s="20"/>
      <c r="E1297" s="20"/>
      <c r="F1297" s="20"/>
      <c r="G1297" s="22"/>
      <c r="I1297" s="57" t="s">
        <v>14</v>
      </c>
    </row>
    <row r="1298" spans="1:9" s="3" customFormat="1" hidden="1" outlineLevel="1" x14ac:dyDescent="0.25">
      <c r="A1298" s="5"/>
      <c r="B1298" s="47" t="s">
        <v>708</v>
      </c>
      <c r="C1298" s="20"/>
      <c r="D1298" s="20"/>
      <c r="E1298" s="20"/>
      <c r="F1298" s="20"/>
      <c r="G1298" s="22"/>
      <c r="I1298" s="31" t="s">
        <v>15</v>
      </c>
    </row>
    <row r="1299" spans="1:9" s="3" customFormat="1" hidden="1" outlineLevel="1" x14ac:dyDescent="0.25">
      <c r="A1299" s="5"/>
      <c r="B1299" s="47" t="s">
        <v>709</v>
      </c>
      <c r="C1299" s="20"/>
      <c r="D1299" s="20"/>
      <c r="E1299" s="20"/>
      <c r="F1299" s="20"/>
      <c r="G1299" s="22"/>
      <c r="I1299" s="57" t="s">
        <v>22</v>
      </c>
    </row>
    <row r="1300" spans="1:9" s="3" customFormat="1" hidden="1" outlineLevel="1" x14ac:dyDescent="0.25">
      <c r="A1300" s="5"/>
      <c r="B1300" s="162" t="s">
        <v>713</v>
      </c>
      <c r="C1300" s="20"/>
      <c r="D1300" s="20"/>
      <c r="E1300" s="20"/>
      <c r="F1300" s="20"/>
      <c r="G1300" s="22"/>
      <c r="I1300" s="57" t="s">
        <v>63</v>
      </c>
    </row>
    <row r="1301" spans="1:9" s="3" customFormat="1" hidden="1" outlineLevel="1" x14ac:dyDescent="0.25">
      <c r="A1301" s="5"/>
      <c r="B1301" s="162" t="s">
        <v>981</v>
      </c>
      <c r="C1301" s="20"/>
      <c r="D1301" s="20"/>
      <c r="E1301" s="20"/>
      <c r="F1301" s="20"/>
      <c r="G1301" s="22"/>
      <c r="I1301" s="57" t="s">
        <v>78</v>
      </c>
    </row>
    <row r="1302" spans="1:9" s="3" customFormat="1" hidden="1" outlineLevel="1" x14ac:dyDescent="0.25">
      <c r="A1302" s="5"/>
      <c r="B1302" s="48" t="s">
        <v>710</v>
      </c>
      <c r="C1302" s="20"/>
      <c r="D1302" s="20"/>
      <c r="E1302" s="20"/>
      <c r="F1302" s="20"/>
      <c r="G1302" s="22"/>
      <c r="I1302" s="57" t="s">
        <v>130</v>
      </c>
    </row>
    <row r="1303" spans="1:9" s="3" customFormat="1" hidden="1" outlineLevel="1" x14ac:dyDescent="0.25">
      <c r="A1303" s="5"/>
      <c r="B1303" s="49" t="s">
        <v>712</v>
      </c>
      <c r="C1303" s="20"/>
      <c r="D1303" s="20"/>
      <c r="E1303" s="20"/>
      <c r="F1303" s="20"/>
      <c r="G1303" s="22"/>
      <c r="I1303" s="57" t="s">
        <v>165</v>
      </c>
    </row>
    <row r="1304" spans="1:9" s="3" customFormat="1" hidden="1" outlineLevel="1" x14ac:dyDescent="0.25">
      <c r="A1304" s="5"/>
      <c r="B1304" s="49" t="s">
        <v>982</v>
      </c>
      <c r="C1304" s="20"/>
      <c r="D1304" s="20"/>
      <c r="E1304" s="20"/>
      <c r="F1304" s="20"/>
      <c r="G1304" s="22"/>
      <c r="I1304" s="57" t="s">
        <v>166</v>
      </c>
    </row>
    <row r="1305" spans="1:9" s="3" customFormat="1" hidden="1" outlineLevel="1" x14ac:dyDescent="0.25">
      <c r="A1305" s="5"/>
      <c r="B1305" s="49" t="s">
        <v>715</v>
      </c>
      <c r="C1305" s="20"/>
      <c r="D1305" s="20"/>
      <c r="E1305" s="20"/>
      <c r="F1305" s="20"/>
      <c r="G1305" s="22"/>
      <c r="I1305" s="57" t="s">
        <v>167</v>
      </c>
    </row>
    <row r="1306" spans="1:9" s="3" customFormat="1" hidden="1" outlineLevel="1" x14ac:dyDescent="0.25">
      <c r="A1306" s="5"/>
      <c r="B1306" s="49" t="s">
        <v>716</v>
      </c>
      <c r="C1306" s="20"/>
      <c r="D1306" s="20"/>
      <c r="E1306" s="20"/>
      <c r="F1306" s="20"/>
      <c r="G1306" s="22"/>
      <c r="I1306" s="57" t="s">
        <v>168</v>
      </c>
    </row>
    <row r="1307" spans="1:9" s="3" customFormat="1" hidden="1" outlineLevel="1" x14ac:dyDescent="0.25">
      <c r="A1307" s="5"/>
      <c r="B1307" s="49" t="s">
        <v>717</v>
      </c>
      <c r="C1307" s="20"/>
      <c r="D1307" s="20"/>
      <c r="E1307" s="20"/>
      <c r="F1307" s="20"/>
      <c r="G1307" s="22"/>
      <c r="I1307" s="57" t="s">
        <v>15</v>
      </c>
    </row>
    <row r="1308" spans="1:9" s="3" customFormat="1" hidden="1" outlineLevel="1" x14ac:dyDescent="0.25">
      <c r="A1308" s="5"/>
      <c r="B1308" s="46" t="s">
        <v>2280</v>
      </c>
      <c r="C1308" s="20"/>
      <c r="D1308" s="20"/>
      <c r="E1308" s="20"/>
      <c r="F1308" s="20"/>
      <c r="G1308" s="22"/>
      <c r="I1308" s="57" t="s">
        <v>24</v>
      </c>
    </row>
    <row r="1309" spans="1:9" s="3" customFormat="1" hidden="1" outlineLevel="1" x14ac:dyDescent="0.25">
      <c r="A1309" s="5"/>
      <c r="B1309" s="50" t="s">
        <v>718</v>
      </c>
      <c r="C1309" s="20"/>
      <c r="D1309" s="20"/>
      <c r="E1309" s="20"/>
      <c r="F1309" s="20"/>
      <c r="G1309" s="22"/>
      <c r="I1309" s="28" t="s">
        <v>27</v>
      </c>
    </row>
    <row r="1310" spans="1:9" s="3" customFormat="1" hidden="1" outlineLevel="1" x14ac:dyDescent="0.25">
      <c r="A1310" s="5"/>
      <c r="B1310" s="50" t="s">
        <v>719</v>
      </c>
      <c r="C1310" s="20"/>
      <c r="D1310" s="20"/>
      <c r="E1310" s="20"/>
      <c r="F1310" s="20"/>
      <c r="G1310" s="22"/>
    </row>
    <row r="1311" spans="1:9" s="3" customFormat="1" hidden="1" outlineLevel="1" x14ac:dyDescent="0.25">
      <c r="A1311" s="5"/>
      <c r="B1311" s="50" t="s">
        <v>720</v>
      </c>
      <c r="C1311" s="20"/>
      <c r="D1311" s="20"/>
      <c r="E1311" s="20"/>
      <c r="F1311" s="20"/>
      <c r="G1311" s="22"/>
    </row>
    <row r="1312" spans="1:9" s="3" customFormat="1" hidden="1" outlineLevel="1" x14ac:dyDescent="0.25">
      <c r="A1312" s="5"/>
      <c r="B1312" s="50" t="s">
        <v>722</v>
      </c>
      <c r="C1312" s="20"/>
      <c r="D1312" s="20"/>
      <c r="E1312" s="20"/>
      <c r="F1312" s="20"/>
      <c r="G1312" s="22"/>
    </row>
    <row r="1313" spans="1:11" s="3" customFormat="1" hidden="1" outlineLevel="1" x14ac:dyDescent="0.25">
      <c r="A1313" s="5"/>
      <c r="B1313" s="50" t="s">
        <v>723</v>
      </c>
      <c r="C1313" s="20"/>
      <c r="D1313" s="20"/>
      <c r="E1313" s="20"/>
      <c r="F1313" s="20"/>
      <c r="G1313" s="22"/>
    </row>
    <row r="1314" spans="1:11" s="3" customFormat="1" hidden="1" outlineLevel="1" x14ac:dyDescent="0.25">
      <c r="A1314" s="5"/>
      <c r="B1314" s="51" t="s">
        <v>724</v>
      </c>
      <c r="C1314" s="20"/>
      <c r="D1314" s="20"/>
      <c r="E1314" s="20"/>
      <c r="F1314" s="20"/>
      <c r="G1314" s="22"/>
    </row>
    <row r="1315" spans="1:11" s="3" customFormat="1" hidden="1" outlineLevel="1" x14ac:dyDescent="0.25">
      <c r="A1315" s="5"/>
      <c r="B1315" s="31"/>
      <c r="C1315" s="20"/>
      <c r="D1315" s="20"/>
      <c r="E1315" s="20"/>
      <c r="F1315" s="20"/>
      <c r="G1315" s="22"/>
    </row>
    <row r="1316" spans="1:11" s="3" customFormat="1" hidden="1" outlineLevel="1" x14ac:dyDescent="0.25">
      <c r="A1316" s="5"/>
      <c r="B1316" s="46" t="s">
        <v>987</v>
      </c>
      <c r="C1316" s="20"/>
      <c r="D1316" s="20"/>
      <c r="E1316" s="20"/>
      <c r="F1316" s="20"/>
      <c r="G1316" s="22"/>
    </row>
    <row r="1317" spans="1:11" s="3" customFormat="1" ht="16.2" hidden="1" outlineLevel="1" thickBot="1" x14ac:dyDescent="0.3">
      <c r="A1317" s="5"/>
      <c r="B1317" s="52" t="s">
        <v>726</v>
      </c>
      <c r="C1317" s="53"/>
      <c r="D1317" s="53"/>
      <c r="E1317" s="53"/>
      <c r="F1317" s="53"/>
      <c r="G1317" s="54"/>
    </row>
    <row r="1318" spans="1:11" s="3" customFormat="1" ht="16.2" hidden="1" outlineLevel="1" thickBot="1" x14ac:dyDescent="0.3">
      <c r="B1318" s="91"/>
      <c r="C1318" s="92"/>
      <c r="D1318" s="92"/>
      <c r="E1318" s="92"/>
      <c r="F1318" s="92"/>
      <c r="G1318" s="93"/>
      <c r="H1318" s="5"/>
      <c r="I1318" s="5"/>
      <c r="J1318" s="5"/>
    </row>
    <row r="1319" spans="1:11" s="3" customFormat="1" hidden="1" outlineLevel="1" x14ac:dyDescent="0.25">
      <c r="H1319" s="5"/>
      <c r="I1319" s="5"/>
      <c r="J1319" s="5"/>
    </row>
    <row r="1320" spans="1:11" s="3" customFormat="1" ht="16.2" hidden="1" outlineLevel="1" thickBot="1" x14ac:dyDescent="0.3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</row>
    <row r="1321" spans="1:11" s="3" customFormat="1" ht="16.2" collapsed="1" thickBot="1" x14ac:dyDescent="0.3">
      <c r="A1321" s="5"/>
      <c r="B1321" s="15" t="s">
        <v>1279</v>
      </c>
      <c r="C1321" s="16" t="s">
        <v>2228</v>
      </c>
      <c r="D1321" s="17" t="s">
        <v>1281</v>
      </c>
      <c r="E1321" s="16" t="s">
        <v>988</v>
      </c>
      <c r="F1321" s="17" t="s">
        <v>1282</v>
      </c>
      <c r="G1321" s="18" t="s">
        <v>2229</v>
      </c>
      <c r="I1321" s="5"/>
      <c r="J1321" s="5"/>
      <c r="K1321" s="5"/>
    </row>
    <row r="1322" spans="1:11" s="3" customFormat="1" hidden="1" outlineLevel="1" x14ac:dyDescent="0.25">
      <c r="A1322" s="5"/>
      <c r="B1322" s="19" t="s">
        <v>1284</v>
      </c>
      <c r="C1322" s="20" t="s">
        <v>1285</v>
      </c>
      <c r="D1322" s="21" t="s">
        <v>1286</v>
      </c>
      <c r="E1322" s="20" t="s">
        <v>2230</v>
      </c>
      <c r="F1322" s="21" t="s">
        <v>1288</v>
      </c>
      <c r="G1322" s="22"/>
      <c r="K1322" s="5"/>
    </row>
    <row r="1323" spans="1:11" s="5" customFormat="1" ht="16.2" hidden="1" outlineLevel="1" thickBot="1" x14ac:dyDescent="0.3">
      <c r="B1323" s="19" t="s">
        <v>1290</v>
      </c>
      <c r="C1323" s="23" t="s">
        <v>1291</v>
      </c>
      <c r="D1323" s="21" t="s">
        <v>1292</v>
      </c>
      <c r="E1323" s="23">
        <v>5</v>
      </c>
      <c r="F1323" s="21" t="s">
        <v>1293</v>
      </c>
      <c r="G1323" s="24" t="s">
        <v>1294</v>
      </c>
      <c r="H1323" s="3"/>
      <c r="I1323" s="3"/>
      <c r="J1323" s="3"/>
    </row>
    <row r="1324" spans="1:11" s="3" customFormat="1" ht="17.399999999999999" hidden="1" customHeight="1" outlineLevel="1" x14ac:dyDescent="0.25">
      <c r="A1324" s="5"/>
      <c r="B1324" s="401" t="s">
        <v>1</v>
      </c>
      <c r="C1324" s="402"/>
      <c r="D1324" s="402"/>
      <c r="E1324" s="402"/>
      <c r="F1324" s="402"/>
      <c r="G1324" s="403"/>
    </row>
    <row r="1325" spans="1:11" s="3" customFormat="1" ht="17.399999999999999" hidden="1" customHeight="1" outlineLevel="1" x14ac:dyDescent="0.25">
      <c r="A1325" s="5"/>
      <c r="B1325" s="25" t="s">
        <v>2</v>
      </c>
      <c r="C1325" s="26" t="s">
        <v>3</v>
      </c>
      <c r="D1325" s="26" t="s">
        <v>4</v>
      </c>
      <c r="E1325" s="26" t="s">
        <v>5</v>
      </c>
      <c r="F1325" s="26"/>
      <c r="G1325" s="27" t="s">
        <v>6</v>
      </c>
    </row>
    <row r="1326" spans="1:11" s="3" customFormat="1" ht="17.399999999999999" hidden="1" customHeight="1" outlineLevel="1" x14ac:dyDescent="0.25">
      <c r="B1326" s="28" t="s">
        <v>112</v>
      </c>
      <c r="C1326" s="29" t="s">
        <v>1555</v>
      </c>
      <c r="D1326" s="29" t="s">
        <v>1469</v>
      </c>
      <c r="E1326" s="29">
        <v>0</v>
      </c>
      <c r="F1326" s="29" t="s">
        <v>1470</v>
      </c>
      <c r="G1326" s="30" t="s">
        <v>1556</v>
      </c>
    </row>
    <row r="1327" spans="1:11" s="3" customFormat="1" ht="17.399999999999999" hidden="1" customHeight="1" outlineLevel="1" x14ac:dyDescent="0.25">
      <c r="B1327" s="28" t="s">
        <v>7</v>
      </c>
      <c r="C1327" s="29" t="s">
        <v>1468</v>
      </c>
      <c r="D1327" s="29" t="s">
        <v>1469</v>
      </c>
      <c r="E1327" s="29">
        <v>0</v>
      </c>
      <c r="F1327" s="29" t="s">
        <v>1470</v>
      </c>
      <c r="G1327" s="30" t="s">
        <v>1471</v>
      </c>
      <c r="J1327" s="3" t="s">
        <v>10</v>
      </c>
    </row>
    <row r="1328" spans="1:11" s="3" customFormat="1" ht="17.399999999999999" hidden="1" customHeight="1" outlineLevel="1" x14ac:dyDescent="0.25">
      <c r="A1328" s="5"/>
      <c r="B1328" s="31" t="s">
        <v>11</v>
      </c>
      <c r="C1328" s="20" t="s">
        <v>1472</v>
      </c>
      <c r="D1328" s="20" t="s">
        <v>1469</v>
      </c>
      <c r="E1328" s="20">
        <v>0</v>
      </c>
      <c r="F1328" s="20" t="s">
        <v>1470</v>
      </c>
      <c r="G1328" s="22" t="s">
        <v>1473</v>
      </c>
      <c r="J1328" s="3" t="s">
        <v>10</v>
      </c>
    </row>
    <row r="1329" spans="1:15" s="3" customFormat="1" hidden="1" outlineLevel="1" x14ac:dyDescent="0.25">
      <c r="A1329" s="5"/>
      <c r="B1329" s="31" t="s">
        <v>254</v>
      </c>
      <c r="C1329" s="20" t="s">
        <v>1683</v>
      </c>
      <c r="D1329" s="20" t="s">
        <v>1616</v>
      </c>
      <c r="E1329" s="20" t="s">
        <v>1617</v>
      </c>
      <c r="F1329" s="20"/>
      <c r="G1329" s="22"/>
      <c r="J1329" s="3" t="s">
        <v>12</v>
      </c>
      <c r="K1329" s="3" t="s">
        <v>173</v>
      </c>
      <c r="L1329" s="3" t="s">
        <v>9</v>
      </c>
      <c r="M1329" s="3" t="s">
        <v>9</v>
      </c>
      <c r="N1329" s="3">
        <v>1606</v>
      </c>
      <c r="O1329" s="3">
        <v>32</v>
      </c>
    </row>
    <row r="1330" spans="1:15" s="3" customFormat="1" ht="16.2" hidden="1" outlineLevel="1" thickBot="1" x14ac:dyDescent="0.3">
      <c r="B1330" s="163"/>
      <c r="C1330" s="164"/>
      <c r="D1330" s="164"/>
      <c r="E1330" s="164"/>
      <c r="F1330" s="164"/>
      <c r="G1330" s="165"/>
      <c r="J1330" s="3" t="s">
        <v>187</v>
      </c>
      <c r="K1330" s="3" t="s">
        <v>173</v>
      </c>
      <c r="L1330" s="3" t="s">
        <v>9</v>
      </c>
      <c r="M1330" s="3" t="s">
        <v>9</v>
      </c>
      <c r="N1330" s="3">
        <v>1112</v>
      </c>
      <c r="O1330" s="3">
        <v>32</v>
      </c>
    </row>
    <row r="1331" spans="1:15" s="3" customFormat="1" hidden="1" outlineLevel="1" x14ac:dyDescent="0.25">
      <c r="B1331" s="401" t="s">
        <v>18</v>
      </c>
      <c r="C1331" s="402"/>
      <c r="D1331" s="402"/>
      <c r="E1331" s="402"/>
      <c r="F1331" s="402"/>
      <c r="G1331" s="403"/>
      <c r="K1331" s="3" t="s">
        <v>174</v>
      </c>
      <c r="L1331" s="3" t="s">
        <v>175</v>
      </c>
      <c r="M1331" s="3" t="s">
        <v>176</v>
      </c>
      <c r="N1331" s="3">
        <v>1700</v>
      </c>
      <c r="O1331" s="3">
        <v>32</v>
      </c>
    </row>
    <row r="1332" spans="1:15" s="3" customFormat="1" hidden="1" outlineLevel="1" x14ac:dyDescent="0.25">
      <c r="B1332" s="179" t="s">
        <v>2</v>
      </c>
      <c r="C1332" s="180" t="s">
        <v>3</v>
      </c>
      <c r="D1332" s="180" t="s">
        <v>4</v>
      </c>
      <c r="E1332" s="180" t="s">
        <v>5</v>
      </c>
      <c r="F1332" s="180"/>
      <c r="G1332" s="181" t="s">
        <v>6</v>
      </c>
      <c r="K1332" s="3" t="s">
        <v>438</v>
      </c>
      <c r="L1332" s="3" t="s">
        <v>537</v>
      </c>
      <c r="M1332" s="3" t="s">
        <v>187</v>
      </c>
      <c r="N1332" s="3">
        <v>1704</v>
      </c>
      <c r="O1332" s="3">
        <v>2</v>
      </c>
    </row>
    <row r="1333" spans="1:15" s="3" customFormat="1" hidden="1" outlineLevel="1" x14ac:dyDescent="0.25">
      <c r="A1333" s="77"/>
      <c r="B1333" s="116"/>
      <c r="C1333" s="29"/>
      <c r="D1333" s="29"/>
      <c r="E1333" s="29"/>
      <c r="F1333" s="29"/>
      <c r="G1333" s="30"/>
    </row>
    <row r="1334" spans="1:15" s="3" customFormat="1" ht="17.399999999999999" hidden="1" customHeight="1" outlineLevel="1" x14ac:dyDescent="0.25">
      <c r="A1334" s="77"/>
      <c r="B1334" s="182"/>
      <c r="C1334" s="183"/>
      <c r="D1334" s="183"/>
      <c r="E1334" s="183"/>
      <c r="F1334" s="183"/>
      <c r="G1334" s="184"/>
    </row>
    <row r="1335" spans="1:15" s="3" customFormat="1" ht="16.2" hidden="1" outlineLevel="1" thickBot="1" x14ac:dyDescent="0.3">
      <c r="B1335" s="185"/>
      <c r="C1335" s="23"/>
      <c r="D1335" s="23"/>
      <c r="E1335" s="23"/>
      <c r="F1335" s="23"/>
      <c r="G1335" s="24"/>
    </row>
    <row r="1336" spans="1:15" s="3" customFormat="1" hidden="1" outlineLevel="1" x14ac:dyDescent="0.25">
      <c r="B1336" s="401" t="s">
        <v>29</v>
      </c>
      <c r="C1336" s="402"/>
      <c r="D1336" s="402"/>
      <c r="E1336" s="402"/>
      <c r="F1336" s="402"/>
      <c r="G1336" s="403"/>
    </row>
    <row r="1337" spans="1:15" s="3" customFormat="1" hidden="1" outlineLevel="1" x14ac:dyDescent="0.25">
      <c r="B1337" s="186"/>
      <c r="C1337" s="117"/>
      <c r="D1337" s="117"/>
      <c r="E1337" s="117"/>
      <c r="F1337" s="117"/>
      <c r="G1337" s="105"/>
    </row>
    <row r="1338" spans="1:15" s="3" customFormat="1" hidden="1" outlineLevel="1" x14ac:dyDescent="0.25">
      <c r="B1338" s="187" t="s">
        <v>989</v>
      </c>
      <c r="C1338" s="188"/>
      <c r="D1338" s="188"/>
      <c r="E1338" s="188"/>
      <c r="F1338" s="188"/>
      <c r="G1338" s="189"/>
    </row>
    <row r="1339" spans="1:15" s="3" customFormat="1" ht="17.399999999999999" hidden="1" customHeight="1" outlineLevel="1" thickBot="1" x14ac:dyDescent="0.3">
      <c r="B1339" s="132"/>
      <c r="C1339" s="190"/>
      <c r="D1339" s="190"/>
      <c r="E1339" s="190"/>
      <c r="F1339" s="190"/>
      <c r="G1339" s="191"/>
    </row>
    <row r="1340" spans="1:15" s="3" customFormat="1" ht="16.2" hidden="1" outlineLevel="1" thickBot="1" x14ac:dyDescent="0.3"/>
    <row r="1341" spans="1:15" s="3" customFormat="1" ht="16.2" collapsed="1" thickBot="1" x14ac:dyDescent="0.3">
      <c r="B1341" s="15" t="s">
        <v>1279</v>
      </c>
      <c r="C1341" s="16" t="s">
        <v>2231</v>
      </c>
      <c r="D1341" s="17" t="s">
        <v>1281</v>
      </c>
      <c r="E1341" s="16" t="s">
        <v>990</v>
      </c>
      <c r="F1341" s="17" t="s">
        <v>1282</v>
      </c>
      <c r="G1341" s="192" t="s">
        <v>2232</v>
      </c>
    </row>
    <row r="1342" spans="1:15" s="3" customFormat="1" hidden="1" outlineLevel="1" x14ac:dyDescent="0.25">
      <c r="B1342" s="179" t="s">
        <v>1284</v>
      </c>
      <c r="C1342" s="29" t="s">
        <v>1285</v>
      </c>
      <c r="D1342" s="180" t="s">
        <v>1286</v>
      </c>
      <c r="E1342" s="29" t="s">
        <v>2233</v>
      </c>
      <c r="F1342" s="180" t="s">
        <v>1288</v>
      </c>
      <c r="G1342" s="30"/>
    </row>
    <row r="1343" spans="1:15" s="3" customFormat="1" ht="16.2" hidden="1" outlineLevel="1" thickBot="1" x14ac:dyDescent="0.3">
      <c r="B1343" s="193" t="s">
        <v>1290</v>
      </c>
      <c r="C1343" s="164" t="s">
        <v>1291</v>
      </c>
      <c r="D1343" s="194" t="s">
        <v>1292</v>
      </c>
      <c r="E1343" s="164">
        <v>5</v>
      </c>
      <c r="F1343" s="194" t="s">
        <v>1293</v>
      </c>
      <c r="G1343" s="165" t="s">
        <v>1294</v>
      </c>
    </row>
    <row r="1344" spans="1:15" s="3" customFormat="1" hidden="1" outlineLevel="1" x14ac:dyDescent="0.25">
      <c r="B1344" s="401" t="s">
        <v>1</v>
      </c>
      <c r="C1344" s="402"/>
      <c r="D1344" s="402"/>
      <c r="E1344" s="402"/>
      <c r="F1344" s="402"/>
      <c r="G1344" s="403"/>
    </row>
    <row r="1345" spans="2:15" s="3" customFormat="1" hidden="1" outlineLevel="1" x14ac:dyDescent="0.25">
      <c r="B1345" s="179" t="s">
        <v>2</v>
      </c>
      <c r="C1345" s="180" t="s">
        <v>3</v>
      </c>
      <c r="D1345" s="180" t="s">
        <v>4</v>
      </c>
      <c r="E1345" s="180" t="s">
        <v>5</v>
      </c>
      <c r="F1345" s="180"/>
      <c r="G1345" s="181" t="s">
        <v>6</v>
      </c>
    </row>
    <row r="1346" spans="2:15" s="3" customFormat="1" hidden="1" outlineLevel="1" x14ac:dyDescent="0.25">
      <c r="B1346" s="28" t="s">
        <v>17</v>
      </c>
      <c r="C1346" s="29" t="s">
        <v>1483</v>
      </c>
      <c r="D1346" s="29" t="s">
        <v>1469</v>
      </c>
      <c r="E1346" s="29">
        <v>0</v>
      </c>
      <c r="F1346" s="29" t="s">
        <v>1470</v>
      </c>
      <c r="G1346" s="30" t="s">
        <v>1484</v>
      </c>
    </row>
    <row r="1347" spans="2:15" s="3" customFormat="1" ht="17.399999999999999" hidden="1" customHeight="1" outlineLevel="1" x14ac:dyDescent="0.25">
      <c r="B1347" s="28" t="s">
        <v>112</v>
      </c>
      <c r="C1347" s="29" t="s">
        <v>1555</v>
      </c>
      <c r="D1347" s="29" t="s">
        <v>1469</v>
      </c>
      <c r="E1347" s="29">
        <v>0</v>
      </c>
      <c r="F1347" s="29" t="s">
        <v>1470</v>
      </c>
      <c r="G1347" s="29" t="s">
        <v>1556</v>
      </c>
      <c r="J1347" s="3" t="s">
        <v>10</v>
      </c>
    </row>
    <row r="1348" spans="2:15" s="3" customFormat="1" hidden="1" outlineLevel="1" x14ac:dyDescent="0.25">
      <c r="B1348" s="195" t="s">
        <v>259</v>
      </c>
      <c r="C1348" s="120" t="s">
        <v>1688</v>
      </c>
      <c r="D1348" s="120" t="s">
        <v>1469</v>
      </c>
      <c r="E1348" s="120">
        <v>0</v>
      </c>
      <c r="F1348" s="120"/>
      <c r="G1348" s="120"/>
      <c r="J1348" s="3" t="s">
        <v>10</v>
      </c>
    </row>
    <row r="1349" spans="2:15" s="3" customFormat="1" hidden="1" outlineLevel="1" x14ac:dyDescent="0.25">
      <c r="B1349" s="195" t="s">
        <v>260</v>
      </c>
      <c r="C1349" s="23" t="s">
        <v>1689</v>
      </c>
      <c r="D1349" s="23" t="s">
        <v>1652</v>
      </c>
      <c r="E1349" s="23" t="s">
        <v>1594</v>
      </c>
      <c r="F1349" s="23" t="s">
        <v>1470</v>
      </c>
      <c r="G1349" s="24"/>
      <c r="J1349" s="3" t="s">
        <v>10</v>
      </c>
      <c r="K1349" s="3" t="s">
        <v>173</v>
      </c>
      <c r="L1349" s="3" t="s">
        <v>9</v>
      </c>
      <c r="M1349" s="3" t="s">
        <v>9</v>
      </c>
      <c r="N1349" s="3">
        <v>1097</v>
      </c>
      <c r="O1349" s="3">
        <v>32</v>
      </c>
    </row>
    <row r="1350" spans="2:15" s="3" customFormat="1" hidden="1" outlineLevel="1" x14ac:dyDescent="0.25">
      <c r="B1350" s="195" t="s">
        <v>128</v>
      </c>
      <c r="C1350" s="23" t="s">
        <v>1566</v>
      </c>
      <c r="D1350" s="23" t="s">
        <v>1567</v>
      </c>
      <c r="E1350" s="23">
        <v>0</v>
      </c>
      <c r="F1350" s="23" t="s">
        <v>1470</v>
      </c>
      <c r="G1350" s="24"/>
      <c r="J1350" s="3" t="s">
        <v>187</v>
      </c>
      <c r="K1350" s="3" t="s">
        <v>173</v>
      </c>
      <c r="L1350" s="3" t="s">
        <v>9</v>
      </c>
      <c r="M1350" s="3" t="s">
        <v>9</v>
      </c>
      <c r="N1350" s="3">
        <v>1606</v>
      </c>
      <c r="O1350" s="3">
        <v>32</v>
      </c>
    </row>
    <row r="1351" spans="2:15" s="3" customFormat="1" hidden="1" outlineLevel="1" x14ac:dyDescent="0.25">
      <c r="B1351" s="196" t="s">
        <v>114</v>
      </c>
      <c r="C1351" s="23" t="s">
        <v>1557</v>
      </c>
      <c r="D1351" s="23" t="s">
        <v>1469</v>
      </c>
      <c r="E1351" s="23">
        <v>-1</v>
      </c>
      <c r="F1351" s="23" t="s">
        <v>1470</v>
      </c>
      <c r="G1351" s="24"/>
      <c r="J1351" s="3" t="s">
        <v>12</v>
      </c>
      <c r="K1351" s="3" t="s">
        <v>173</v>
      </c>
      <c r="L1351" s="3" t="s">
        <v>9</v>
      </c>
      <c r="M1351" s="3" t="s">
        <v>9</v>
      </c>
      <c r="N1351" s="3">
        <v>2174</v>
      </c>
      <c r="O1351" s="3">
        <v>32</v>
      </c>
    </row>
    <row r="1352" spans="2:15" s="3" customFormat="1" ht="16.2" hidden="1" outlineLevel="1" thickBot="1" x14ac:dyDescent="0.3">
      <c r="B1352" s="163"/>
      <c r="C1352" s="164"/>
      <c r="D1352" s="164"/>
      <c r="E1352" s="164"/>
      <c r="F1352" s="164"/>
      <c r="G1352" s="165"/>
      <c r="J1352" s="3" t="s">
        <v>10</v>
      </c>
      <c r="K1352" s="3" t="s">
        <v>438</v>
      </c>
      <c r="L1352" s="3" t="s">
        <v>537</v>
      </c>
      <c r="M1352" s="3" t="s">
        <v>187</v>
      </c>
      <c r="N1352" s="3">
        <v>1094</v>
      </c>
      <c r="O1352" s="3">
        <v>64</v>
      </c>
    </row>
    <row r="1353" spans="2:15" s="3" customFormat="1" hidden="1" outlineLevel="1" x14ac:dyDescent="0.25">
      <c r="B1353" s="401" t="s">
        <v>18</v>
      </c>
      <c r="C1353" s="402"/>
      <c r="D1353" s="402"/>
      <c r="E1353" s="402"/>
      <c r="F1353" s="402"/>
      <c r="G1353" s="403"/>
      <c r="K1353" s="3" t="s">
        <v>174</v>
      </c>
      <c r="L1353" s="3" t="s">
        <v>175</v>
      </c>
      <c r="M1353" s="3" t="s">
        <v>176</v>
      </c>
      <c r="N1353" s="3">
        <v>1629</v>
      </c>
      <c r="O1353" s="3">
        <v>64</v>
      </c>
    </row>
    <row r="1354" spans="2:15" s="3" customFormat="1" hidden="1" outlineLevel="1" x14ac:dyDescent="0.25">
      <c r="B1354" s="179" t="s">
        <v>2</v>
      </c>
      <c r="C1354" s="180" t="s">
        <v>3</v>
      </c>
      <c r="D1354" s="180" t="s">
        <v>4</v>
      </c>
      <c r="E1354" s="180" t="s">
        <v>5</v>
      </c>
      <c r="F1354" s="180"/>
      <c r="G1354" s="181" t="s">
        <v>6</v>
      </c>
      <c r="K1354" s="3" t="s">
        <v>173</v>
      </c>
      <c r="L1354" s="3" t="s">
        <v>9</v>
      </c>
      <c r="M1354" s="3" t="s">
        <v>9</v>
      </c>
      <c r="N1354" s="3">
        <v>2449</v>
      </c>
      <c r="O1354" s="3">
        <v>32</v>
      </c>
    </row>
    <row r="1355" spans="2:15" s="3" customFormat="1" hidden="1" outlineLevel="1" x14ac:dyDescent="0.25">
      <c r="B1355" s="197"/>
      <c r="C1355" s="20"/>
      <c r="D1355" s="29"/>
      <c r="E1355" s="29"/>
      <c r="F1355" s="29"/>
      <c r="G1355" s="30"/>
    </row>
    <row r="1356" spans="2:15" s="3" customFormat="1" ht="17.399999999999999" hidden="1" customHeight="1" outlineLevel="1" thickBot="1" x14ac:dyDescent="0.3">
      <c r="B1356" s="185"/>
      <c r="C1356" s="23"/>
      <c r="D1356" s="23"/>
      <c r="E1356" s="23"/>
      <c r="F1356" s="23"/>
      <c r="G1356" s="24"/>
    </row>
    <row r="1357" spans="2:15" s="3" customFormat="1" hidden="1" outlineLevel="1" x14ac:dyDescent="0.25">
      <c r="B1357" s="401" t="s">
        <v>29</v>
      </c>
      <c r="C1357" s="402"/>
      <c r="D1357" s="402"/>
      <c r="E1357" s="402"/>
      <c r="F1357" s="402"/>
      <c r="G1357" s="403"/>
    </row>
    <row r="1358" spans="2:15" s="3" customFormat="1" hidden="1" outlineLevel="1" x14ac:dyDescent="0.25">
      <c r="B1358" s="116"/>
      <c r="C1358" s="198"/>
      <c r="D1358" s="117"/>
      <c r="E1358" s="117"/>
      <c r="F1358" s="117"/>
      <c r="G1358" s="105"/>
    </row>
    <row r="1359" spans="2:15" s="3" customFormat="1" hidden="1" outlineLevel="1" x14ac:dyDescent="0.25">
      <c r="B1359" s="199" t="s">
        <v>991</v>
      </c>
      <c r="C1359" s="117"/>
      <c r="D1359" s="117"/>
      <c r="E1359" s="117"/>
      <c r="F1359" s="117"/>
      <c r="G1359" s="105"/>
    </row>
    <row r="1360" spans="2:15" s="3" customFormat="1" ht="17.399999999999999" hidden="1" customHeight="1" outlineLevel="1" thickBot="1" x14ac:dyDescent="0.3">
      <c r="B1360" s="132"/>
      <c r="C1360" s="190"/>
      <c r="D1360" s="190"/>
      <c r="E1360" s="190"/>
      <c r="F1360" s="190"/>
      <c r="G1360" s="191"/>
    </row>
    <row r="1361" spans="1:14" s="3" customFormat="1" ht="16.2" hidden="1" outlineLevel="1" thickBot="1" x14ac:dyDescent="0.3"/>
    <row r="1362" spans="1:14" s="3" customFormat="1" ht="16.2" collapsed="1" thickBot="1" x14ac:dyDescent="0.3">
      <c r="A1362" s="5"/>
      <c r="B1362" s="15" t="s">
        <v>1279</v>
      </c>
      <c r="C1362" s="16" t="s">
        <v>2168</v>
      </c>
      <c r="D1362" s="17" t="s">
        <v>1281</v>
      </c>
      <c r="E1362" s="200" t="s">
        <v>992</v>
      </c>
      <c r="F1362" s="17" t="s">
        <v>1282</v>
      </c>
      <c r="G1362" s="18" t="s">
        <v>2169</v>
      </c>
    </row>
    <row r="1363" spans="1:14" s="3" customFormat="1" hidden="1" outlineLevel="1" x14ac:dyDescent="0.25">
      <c r="A1363" s="5"/>
      <c r="B1363" s="19" t="s">
        <v>1284</v>
      </c>
      <c r="C1363" s="20" t="s">
        <v>1285</v>
      </c>
      <c r="D1363" s="21" t="s">
        <v>1286</v>
      </c>
      <c r="E1363" s="20" t="s">
        <v>2170</v>
      </c>
      <c r="F1363" s="21" t="s">
        <v>1288</v>
      </c>
      <c r="G1363" s="22" t="s">
        <v>1383</v>
      </c>
    </row>
    <row r="1364" spans="1:14" s="3" customFormat="1" ht="16.2" hidden="1" outlineLevel="1" thickBot="1" x14ac:dyDescent="0.3">
      <c r="A1364" s="5"/>
      <c r="B1364" s="19" t="s">
        <v>1290</v>
      </c>
      <c r="C1364" s="23" t="s">
        <v>1291</v>
      </c>
      <c r="D1364" s="21" t="s">
        <v>1292</v>
      </c>
      <c r="E1364" s="23">
        <v>5</v>
      </c>
      <c r="F1364" s="21" t="s">
        <v>1293</v>
      </c>
      <c r="G1364" s="24" t="s">
        <v>1294</v>
      </c>
    </row>
    <row r="1365" spans="1:14" s="3" customFormat="1" ht="17.399999999999999" hidden="1" customHeight="1" outlineLevel="1" x14ac:dyDescent="0.25">
      <c r="A1365" s="5"/>
      <c r="B1365" s="401" t="s">
        <v>1</v>
      </c>
      <c r="C1365" s="402"/>
      <c r="D1365" s="402"/>
      <c r="E1365" s="402"/>
      <c r="F1365" s="402"/>
      <c r="G1365" s="403"/>
    </row>
    <row r="1366" spans="1:14" s="3" customFormat="1" ht="17.399999999999999" hidden="1" customHeight="1" outlineLevel="1" x14ac:dyDescent="0.25">
      <c r="A1366" s="5"/>
      <c r="B1366" s="25" t="s">
        <v>2</v>
      </c>
      <c r="C1366" s="26" t="s">
        <v>3</v>
      </c>
      <c r="D1366" s="26" t="s">
        <v>4</v>
      </c>
      <c r="E1366" s="26" t="s">
        <v>5</v>
      </c>
      <c r="F1366" s="26"/>
      <c r="G1366" s="27" t="s">
        <v>6</v>
      </c>
    </row>
    <row r="1367" spans="1:14" s="3" customFormat="1" ht="17.399999999999999" hidden="1" customHeight="1" outlineLevel="1" x14ac:dyDescent="0.25">
      <c r="B1367" s="28" t="s">
        <v>7</v>
      </c>
      <c r="C1367" s="29" t="s">
        <v>1468</v>
      </c>
      <c r="D1367" s="29" t="s">
        <v>1469</v>
      </c>
      <c r="E1367" s="29">
        <v>0</v>
      </c>
      <c r="F1367" s="29" t="s">
        <v>1470</v>
      </c>
      <c r="G1367" s="30" t="s">
        <v>1471</v>
      </c>
    </row>
    <row r="1368" spans="1:14" s="3" customFormat="1" ht="17.399999999999999" hidden="1" customHeight="1" outlineLevel="1" x14ac:dyDescent="0.25">
      <c r="B1368" s="28" t="s">
        <v>265</v>
      </c>
      <c r="C1368" s="29" t="s">
        <v>1692</v>
      </c>
      <c r="D1368" s="29" t="s">
        <v>1606</v>
      </c>
      <c r="E1368" s="29" t="s">
        <v>1594</v>
      </c>
      <c r="F1368" s="29" t="s">
        <v>1470</v>
      </c>
      <c r="G1368" s="30"/>
      <c r="J1368" s="3" t="s">
        <v>10</v>
      </c>
    </row>
    <row r="1369" spans="1:14" s="3" customFormat="1" ht="17.399999999999999" hidden="1" customHeight="1" outlineLevel="1" x14ac:dyDescent="0.25">
      <c r="A1369" s="5"/>
      <c r="B1369" s="31" t="s">
        <v>203</v>
      </c>
      <c r="C1369" s="20" t="s">
        <v>1635</v>
      </c>
      <c r="D1369" s="20" t="s">
        <v>1636</v>
      </c>
      <c r="E1369" s="20" t="s">
        <v>1637</v>
      </c>
      <c r="F1369" s="20" t="s">
        <v>1476</v>
      </c>
      <c r="G1369" s="22"/>
      <c r="J1369" s="3" t="s">
        <v>187</v>
      </c>
    </row>
    <row r="1370" spans="1:14" s="3" customFormat="1" hidden="1" outlineLevel="1" x14ac:dyDescent="0.25">
      <c r="A1370" s="7"/>
      <c r="B1370" s="201"/>
      <c r="C1370" s="107"/>
      <c r="D1370" s="107"/>
      <c r="E1370" s="107"/>
      <c r="F1370" s="107"/>
      <c r="G1370" s="108"/>
      <c r="H1370" s="7"/>
      <c r="J1370" s="3" t="s">
        <v>187</v>
      </c>
      <c r="K1370" s="3" t="s">
        <v>173</v>
      </c>
      <c r="L1370" s="3" t="s">
        <v>9</v>
      </c>
      <c r="M1370" s="3" t="s">
        <v>9</v>
      </c>
      <c r="N1370" s="3">
        <v>1112</v>
      </c>
    </row>
    <row r="1371" spans="1:14" s="3" customFormat="1" ht="16.2" hidden="1" outlineLevel="1" thickBot="1" x14ac:dyDescent="0.3">
      <c r="A1371" s="7"/>
      <c r="B1371" s="157"/>
      <c r="C1371" s="202"/>
      <c r="D1371" s="202"/>
      <c r="E1371" s="202"/>
      <c r="F1371" s="202"/>
      <c r="G1371" s="203"/>
      <c r="H1371" s="7"/>
      <c r="I1371" s="7"/>
      <c r="J1371" s="7"/>
      <c r="K1371" s="3" t="s">
        <v>438</v>
      </c>
      <c r="L1371" s="3" t="s">
        <v>537</v>
      </c>
      <c r="M1371" s="3" t="s">
        <v>187</v>
      </c>
      <c r="N1371" s="3">
        <v>1114</v>
      </c>
    </row>
    <row r="1372" spans="1:14" s="3" customFormat="1" hidden="1" outlineLevel="1" x14ac:dyDescent="0.25">
      <c r="A1372" s="5"/>
      <c r="B1372" s="401" t="s">
        <v>18</v>
      </c>
      <c r="C1372" s="402"/>
      <c r="D1372" s="402"/>
      <c r="E1372" s="402"/>
      <c r="F1372" s="402"/>
      <c r="G1372" s="403"/>
      <c r="I1372" s="7"/>
      <c r="J1372" s="7"/>
      <c r="K1372" s="3" t="s">
        <v>438</v>
      </c>
      <c r="L1372" s="3" t="s">
        <v>537</v>
      </c>
      <c r="M1372" s="3" t="s">
        <v>187</v>
      </c>
      <c r="N1372" s="3">
        <v>1041</v>
      </c>
    </row>
    <row r="1373" spans="1:14" s="7" customFormat="1" ht="17.399999999999999" hidden="1" customHeight="1" outlineLevel="1" x14ac:dyDescent="0.25">
      <c r="A1373" s="5"/>
      <c r="B1373" s="25" t="s">
        <v>2</v>
      </c>
      <c r="C1373" s="26" t="s">
        <v>3</v>
      </c>
      <c r="D1373" s="26" t="s">
        <v>4</v>
      </c>
      <c r="E1373" s="26" t="s">
        <v>5</v>
      </c>
      <c r="F1373" s="26"/>
      <c r="G1373" s="27" t="s">
        <v>6</v>
      </c>
      <c r="H1373" s="3"/>
      <c r="I1373" s="3"/>
      <c r="J1373" s="3"/>
    </row>
    <row r="1374" spans="1:14" s="7" customFormat="1" ht="17.399999999999999" hidden="1" customHeight="1" outlineLevel="1" thickBot="1" x14ac:dyDescent="0.3">
      <c r="B1374" s="204"/>
      <c r="C1374" s="205"/>
      <c r="D1374" s="205"/>
      <c r="E1374" s="205"/>
      <c r="F1374" s="205"/>
      <c r="G1374" s="206"/>
      <c r="I1374" s="3"/>
      <c r="J1374" s="3"/>
    </row>
    <row r="1375" spans="1:14" s="3" customFormat="1" ht="17.399999999999999" hidden="1" customHeight="1" outlineLevel="1" x14ac:dyDescent="0.25">
      <c r="A1375" s="5"/>
      <c r="B1375" s="401" t="s">
        <v>28</v>
      </c>
      <c r="C1375" s="402"/>
      <c r="D1375" s="402"/>
      <c r="E1375" s="402"/>
      <c r="F1375" s="402"/>
      <c r="G1375" s="403"/>
      <c r="I1375" s="7"/>
      <c r="J1375" s="7"/>
    </row>
    <row r="1376" spans="1:14" s="3" customFormat="1" ht="17.399999999999999" hidden="1" customHeight="1" outlineLevel="1" x14ac:dyDescent="0.25">
      <c r="A1376" s="5"/>
      <c r="B1376" s="25" t="s">
        <v>2</v>
      </c>
      <c r="C1376" s="26" t="s">
        <v>3</v>
      </c>
      <c r="D1376" s="26" t="s">
        <v>4</v>
      </c>
      <c r="E1376" s="26"/>
      <c r="F1376" s="26"/>
      <c r="G1376" s="27" t="s">
        <v>6</v>
      </c>
    </row>
    <row r="1377" spans="1:10" s="7" customFormat="1" ht="17.399999999999999" hidden="1" customHeight="1" outlineLevel="1" thickBot="1" x14ac:dyDescent="0.3">
      <c r="B1377" s="156"/>
      <c r="C1377" s="207"/>
      <c r="D1377" s="207"/>
      <c r="E1377" s="207"/>
      <c r="F1377" s="207"/>
      <c r="G1377" s="208"/>
      <c r="I1377" s="3"/>
      <c r="J1377" s="3"/>
    </row>
    <row r="1378" spans="1:10" s="3" customFormat="1" ht="17.399999999999999" hidden="1" customHeight="1" outlineLevel="1" x14ac:dyDescent="0.25">
      <c r="A1378" s="5"/>
      <c r="B1378" s="401" t="s">
        <v>29</v>
      </c>
      <c r="C1378" s="402"/>
      <c r="D1378" s="402"/>
      <c r="E1378" s="402"/>
      <c r="F1378" s="402"/>
      <c r="G1378" s="403"/>
      <c r="I1378" s="7"/>
      <c r="J1378" s="7"/>
    </row>
    <row r="1379" spans="1:10" s="3" customFormat="1" ht="17.399999999999999" hidden="1" customHeight="1" outlineLevel="1" x14ac:dyDescent="0.25">
      <c r="A1379" s="5"/>
      <c r="B1379" s="209"/>
      <c r="C1379" s="210"/>
      <c r="D1379" s="210"/>
      <c r="E1379" s="210"/>
      <c r="F1379" s="210"/>
      <c r="G1379" s="211"/>
      <c r="H1379" s="9"/>
      <c r="I1379" s="8"/>
      <c r="J1379" s="8"/>
    </row>
    <row r="1380" spans="1:10" s="7" customFormat="1" ht="17.399999999999999" hidden="1" customHeight="1" outlineLevel="1" x14ac:dyDescent="0.25">
      <c r="A1380" s="5"/>
      <c r="B1380" s="212" t="s">
        <v>993</v>
      </c>
      <c r="C1380" s="210"/>
      <c r="D1380" s="210"/>
      <c r="E1380" s="210"/>
      <c r="F1380" s="210"/>
      <c r="G1380" s="211"/>
      <c r="H1380" s="9"/>
      <c r="I1380" s="9"/>
      <c r="J1380" s="9"/>
    </row>
    <row r="1381" spans="1:10" s="8" customFormat="1" ht="17.399999999999999" hidden="1" customHeight="1" outlineLevel="1" x14ac:dyDescent="0.25">
      <c r="A1381" s="5"/>
      <c r="B1381" s="209"/>
      <c r="C1381" s="210"/>
      <c r="D1381" s="210"/>
      <c r="E1381" s="210"/>
      <c r="F1381" s="210"/>
      <c r="G1381" s="211"/>
      <c r="H1381" s="9"/>
      <c r="I1381" s="9"/>
      <c r="J1381" s="9"/>
    </row>
    <row r="1382" spans="1:10" s="9" customFormat="1" ht="17.399999999999999" hidden="1" customHeight="1" outlineLevel="1" x14ac:dyDescent="0.25">
      <c r="A1382" s="5"/>
      <c r="B1382" s="213" t="s">
        <v>994</v>
      </c>
      <c r="C1382" s="210"/>
      <c r="D1382" s="210"/>
      <c r="E1382" s="210"/>
      <c r="F1382" s="210"/>
      <c r="G1382" s="211"/>
    </row>
    <row r="1383" spans="1:10" s="9" customFormat="1" ht="17.399999999999999" hidden="1" customHeight="1" outlineLevel="1" x14ac:dyDescent="0.25">
      <c r="A1383" s="5"/>
      <c r="B1383" s="31"/>
      <c r="C1383" s="20"/>
      <c r="D1383" s="20"/>
      <c r="E1383" s="20"/>
      <c r="F1383" s="20"/>
      <c r="G1383" s="22"/>
      <c r="H1383" s="3"/>
      <c r="I1383" s="3"/>
      <c r="J1383" s="45"/>
    </row>
    <row r="1384" spans="1:10" s="9" customFormat="1" ht="17.399999999999999" hidden="1" customHeight="1" outlineLevel="1" x14ac:dyDescent="0.25">
      <c r="A1384" s="5"/>
      <c r="B1384" s="31" t="s">
        <v>702</v>
      </c>
      <c r="C1384" s="20"/>
      <c r="D1384" s="20"/>
      <c r="E1384" s="20"/>
      <c r="F1384" s="20"/>
      <c r="G1384" s="22"/>
      <c r="H1384" s="3"/>
      <c r="I1384" s="3"/>
      <c r="J1384" s="45"/>
    </row>
    <row r="1385" spans="1:10" s="3" customFormat="1" hidden="1" outlineLevel="1" x14ac:dyDescent="0.25">
      <c r="A1385" s="5"/>
      <c r="B1385" s="46" t="s">
        <v>995</v>
      </c>
      <c r="C1385" s="20"/>
      <c r="D1385" s="20"/>
      <c r="E1385" s="20"/>
      <c r="F1385" s="20"/>
      <c r="G1385" s="22"/>
      <c r="J1385" s="45"/>
    </row>
    <row r="1386" spans="1:10" s="3" customFormat="1" hidden="1" outlineLevel="1" x14ac:dyDescent="0.25">
      <c r="A1386" s="5"/>
      <c r="B1386" s="46" t="s">
        <v>2296</v>
      </c>
      <c r="C1386" s="20"/>
      <c r="D1386" s="20"/>
      <c r="E1386" s="20"/>
      <c r="F1386" s="20"/>
      <c r="G1386" s="22"/>
    </row>
    <row r="1387" spans="1:10" s="3" customFormat="1" hidden="1" outlineLevel="1" x14ac:dyDescent="0.25">
      <c r="A1387" s="5"/>
      <c r="B1387" s="50" t="s">
        <v>718</v>
      </c>
      <c r="C1387" s="20"/>
      <c r="D1387" s="20"/>
      <c r="E1387" s="20"/>
      <c r="F1387" s="20"/>
      <c r="G1387" s="22"/>
    </row>
    <row r="1388" spans="1:10" s="3" customFormat="1" hidden="1" outlineLevel="1" x14ac:dyDescent="0.25">
      <c r="A1388" s="5"/>
      <c r="B1388" s="50" t="s">
        <v>996</v>
      </c>
      <c r="C1388" s="20"/>
      <c r="D1388" s="20"/>
      <c r="E1388" s="20"/>
      <c r="F1388" s="20"/>
      <c r="G1388" s="22"/>
    </row>
    <row r="1389" spans="1:10" s="3" customFormat="1" ht="16.2" hidden="1" outlineLevel="1" thickBot="1" x14ac:dyDescent="0.3">
      <c r="A1389" s="5"/>
      <c r="B1389" s="52" t="s">
        <v>726</v>
      </c>
      <c r="C1389" s="53"/>
      <c r="D1389" s="53"/>
      <c r="E1389" s="53"/>
      <c r="F1389" s="53"/>
      <c r="G1389" s="54"/>
    </row>
    <row r="1390" spans="1:10" s="3" customFormat="1" ht="16.2" hidden="1" outlineLevel="1" thickBot="1" x14ac:dyDescent="0.3">
      <c r="A1390" s="5"/>
      <c r="B1390" s="214"/>
      <c r="C1390" s="215"/>
      <c r="D1390" s="215"/>
      <c r="E1390" s="215"/>
      <c r="F1390" s="215"/>
      <c r="G1390" s="216"/>
      <c r="H1390" s="9"/>
      <c r="I1390" s="9"/>
      <c r="J1390" s="9"/>
    </row>
    <row r="1391" spans="1:10" s="3" customFormat="1" ht="16.2" hidden="1" outlineLevel="1" thickBot="1" x14ac:dyDescent="0.3">
      <c r="A1391" s="5"/>
      <c r="B1391" s="5"/>
      <c r="C1391" s="5"/>
      <c r="D1391" s="5"/>
      <c r="E1391" s="5"/>
      <c r="F1391" s="5"/>
      <c r="G1391" s="5"/>
      <c r="H1391" s="5"/>
      <c r="I1391" s="7"/>
      <c r="J1391" s="7"/>
    </row>
    <row r="1392" spans="1:10" s="9" customFormat="1" ht="17.399999999999999" customHeight="1" collapsed="1" thickBot="1" x14ac:dyDescent="0.3">
      <c r="A1392" s="5"/>
      <c r="B1392" s="15" t="s">
        <v>1279</v>
      </c>
      <c r="C1392" s="16" t="s">
        <v>2171</v>
      </c>
      <c r="D1392" s="17" t="s">
        <v>1281</v>
      </c>
      <c r="E1392" s="200" t="s">
        <v>997</v>
      </c>
      <c r="F1392" s="17" t="s">
        <v>1282</v>
      </c>
      <c r="G1392" s="18" t="s">
        <v>2172</v>
      </c>
      <c r="H1392" s="3"/>
      <c r="I1392" s="5"/>
      <c r="J1392" s="5"/>
    </row>
    <row r="1393" spans="1:14" s="7" customFormat="1" ht="17.399999999999999" hidden="1" customHeight="1" outlineLevel="1" x14ac:dyDescent="0.25">
      <c r="A1393" s="5"/>
      <c r="B1393" s="19" t="s">
        <v>1284</v>
      </c>
      <c r="C1393" s="20" t="s">
        <v>1285</v>
      </c>
      <c r="D1393" s="21" t="s">
        <v>1286</v>
      </c>
      <c r="E1393" s="20" t="s">
        <v>2173</v>
      </c>
      <c r="F1393" s="21" t="s">
        <v>1288</v>
      </c>
      <c r="G1393" s="22"/>
      <c r="H1393" s="3"/>
      <c r="I1393" s="3"/>
      <c r="J1393" s="3"/>
    </row>
    <row r="1394" spans="1:14" s="5" customFormat="1" ht="17.399999999999999" hidden="1" customHeight="1" outlineLevel="1" thickBot="1" x14ac:dyDescent="0.3">
      <c r="B1394" s="19" t="s">
        <v>1290</v>
      </c>
      <c r="C1394" s="23" t="s">
        <v>1291</v>
      </c>
      <c r="D1394" s="21" t="s">
        <v>1292</v>
      </c>
      <c r="E1394" s="23">
        <v>5</v>
      </c>
      <c r="F1394" s="21" t="s">
        <v>1293</v>
      </c>
      <c r="G1394" s="24" t="s">
        <v>1294</v>
      </c>
      <c r="H1394" s="3"/>
      <c r="I1394" s="3"/>
      <c r="J1394" s="3"/>
    </row>
    <row r="1395" spans="1:14" s="3" customFormat="1" ht="17.399999999999999" hidden="1" customHeight="1" outlineLevel="1" x14ac:dyDescent="0.25">
      <c r="A1395" s="5"/>
      <c r="B1395" s="401" t="s">
        <v>1</v>
      </c>
      <c r="C1395" s="402"/>
      <c r="D1395" s="402"/>
      <c r="E1395" s="402"/>
      <c r="F1395" s="402"/>
      <c r="G1395" s="403"/>
    </row>
    <row r="1396" spans="1:14" s="3" customFormat="1" ht="17.399999999999999" hidden="1" customHeight="1" outlineLevel="1" x14ac:dyDescent="0.25">
      <c r="A1396" s="5"/>
      <c r="B1396" s="25" t="s">
        <v>2</v>
      </c>
      <c r="C1396" s="26" t="s">
        <v>3</v>
      </c>
      <c r="D1396" s="26" t="s">
        <v>4</v>
      </c>
      <c r="E1396" s="26" t="s">
        <v>5</v>
      </c>
      <c r="F1396" s="26"/>
      <c r="G1396" s="27" t="s">
        <v>6</v>
      </c>
    </row>
    <row r="1397" spans="1:14" s="3" customFormat="1" ht="17.399999999999999" hidden="1" customHeight="1" outlineLevel="1" x14ac:dyDescent="0.25">
      <c r="B1397" s="28" t="s">
        <v>7</v>
      </c>
      <c r="C1397" s="29" t="s">
        <v>1468</v>
      </c>
      <c r="D1397" s="29" t="s">
        <v>1469</v>
      </c>
      <c r="E1397" s="29">
        <v>0</v>
      </c>
      <c r="F1397" s="29" t="s">
        <v>1470</v>
      </c>
      <c r="G1397" s="30" t="s">
        <v>1471</v>
      </c>
    </row>
    <row r="1398" spans="1:14" s="3" customFormat="1" ht="17.399999999999999" hidden="1" customHeight="1" outlineLevel="1" x14ac:dyDescent="0.25">
      <c r="B1398" s="28" t="s">
        <v>265</v>
      </c>
      <c r="C1398" s="29" t="s">
        <v>1692</v>
      </c>
      <c r="D1398" s="29" t="s">
        <v>1606</v>
      </c>
      <c r="E1398" s="29" t="s">
        <v>1594</v>
      </c>
      <c r="F1398" s="29" t="s">
        <v>1470</v>
      </c>
      <c r="G1398" s="30"/>
      <c r="J1398" s="3" t="s">
        <v>10</v>
      </c>
    </row>
    <row r="1399" spans="1:14" s="3" customFormat="1" ht="17.399999999999999" hidden="1" customHeight="1" outlineLevel="1" x14ac:dyDescent="0.25">
      <c r="A1399" s="5"/>
      <c r="B1399" s="31" t="s">
        <v>11</v>
      </c>
      <c r="C1399" s="20" t="s">
        <v>1472</v>
      </c>
      <c r="D1399" s="20" t="s">
        <v>1469</v>
      </c>
      <c r="E1399" s="20">
        <v>0</v>
      </c>
      <c r="F1399" s="20" t="s">
        <v>1470</v>
      </c>
      <c r="G1399" s="22" t="s">
        <v>1473</v>
      </c>
      <c r="J1399" s="3" t="s">
        <v>187</v>
      </c>
    </row>
    <row r="1400" spans="1:14" s="3" customFormat="1" hidden="1" outlineLevel="1" x14ac:dyDescent="0.25">
      <c r="A1400" s="5"/>
      <c r="B1400" s="31" t="s">
        <v>302</v>
      </c>
      <c r="C1400" s="20" t="s">
        <v>1727</v>
      </c>
      <c r="D1400" s="20" t="s">
        <v>1606</v>
      </c>
      <c r="E1400" s="20" t="s">
        <v>1594</v>
      </c>
      <c r="F1400" s="20" t="s">
        <v>1470</v>
      </c>
      <c r="G1400" s="22"/>
      <c r="J1400" s="3" t="s">
        <v>12</v>
      </c>
      <c r="K1400" s="3" t="s">
        <v>173</v>
      </c>
      <c r="L1400" s="3" t="s">
        <v>9</v>
      </c>
      <c r="M1400" s="3" t="s">
        <v>9</v>
      </c>
      <c r="N1400" s="3">
        <v>1112</v>
      </c>
    </row>
    <row r="1401" spans="1:14" s="3" customFormat="1" hidden="1" outlineLevel="1" x14ac:dyDescent="0.25">
      <c r="A1401" s="5"/>
      <c r="B1401" s="31" t="s">
        <v>203</v>
      </c>
      <c r="C1401" s="20" t="s">
        <v>1635</v>
      </c>
      <c r="D1401" s="20" t="s">
        <v>1636</v>
      </c>
      <c r="E1401" s="20" t="s">
        <v>1637</v>
      </c>
      <c r="F1401" s="20" t="s">
        <v>1476</v>
      </c>
      <c r="G1401" s="22"/>
      <c r="J1401" s="3" t="s">
        <v>187</v>
      </c>
      <c r="K1401" s="3" t="s">
        <v>438</v>
      </c>
      <c r="L1401" s="3" t="s">
        <v>537</v>
      </c>
      <c r="M1401" s="3" t="s">
        <v>187</v>
      </c>
      <c r="N1401" s="3">
        <v>1114</v>
      </c>
    </row>
    <row r="1402" spans="1:14" s="3" customFormat="1" hidden="1" outlineLevel="1" x14ac:dyDescent="0.25">
      <c r="A1402" s="5"/>
      <c r="B1402" s="31"/>
      <c r="C1402" s="20"/>
      <c r="D1402" s="20"/>
      <c r="E1402" s="20"/>
      <c r="F1402" s="20"/>
      <c r="G1402" s="22"/>
      <c r="J1402" s="3" t="s">
        <v>187</v>
      </c>
      <c r="K1402" s="3" t="s">
        <v>174</v>
      </c>
      <c r="L1402" s="3" t="s">
        <v>175</v>
      </c>
      <c r="M1402" s="3" t="s">
        <v>176</v>
      </c>
      <c r="N1402" s="3">
        <v>1700</v>
      </c>
    </row>
    <row r="1403" spans="1:14" s="3" customFormat="1" ht="16.2" hidden="1" outlineLevel="1" thickBot="1" x14ac:dyDescent="0.3">
      <c r="A1403" s="5"/>
      <c r="B1403" s="52"/>
      <c r="C1403" s="53"/>
      <c r="D1403" s="53"/>
      <c r="E1403" s="53"/>
      <c r="F1403" s="53"/>
      <c r="G1403" s="54"/>
      <c r="K1403" s="3" t="s">
        <v>438</v>
      </c>
      <c r="L1403" s="3" t="s">
        <v>537</v>
      </c>
      <c r="M1403" s="3" t="s">
        <v>187</v>
      </c>
      <c r="N1403" s="3">
        <v>1700</v>
      </c>
    </row>
    <row r="1404" spans="1:14" s="3" customFormat="1" hidden="1" outlineLevel="1" x14ac:dyDescent="0.25">
      <c r="A1404" s="5"/>
      <c r="B1404" s="401" t="s">
        <v>18</v>
      </c>
      <c r="C1404" s="402"/>
      <c r="D1404" s="402"/>
      <c r="E1404" s="402"/>
      <c r="F1404" s="402"/>
      <c r="G1404" s="403"/>
      <c r="K1404" s="3" t="s">
        <v>438</v>
      </c>
      <c r="L1404" s="3" t="s">
        <v>537</v>
      </c>
      <c r="M1404" s="3" t="s">
        <v>187</v>
      </c>
      <c r="N1404" s="3">
        <v>1041</v>
      </c>
    </row>
    <row r="1405" spans="1:14" s="3" customFormat="1" hidden="1" outlineLevel="1" x14ac:dyDescent="0.25">
      <c r="A1405" s="5"/>
      <c r="B1405" s="25" t="s">
        <v>2</v>
      </c>
      <c r="C1405" s="26" t="s">
        <v>3</v>
      </c>
      <c r="D1405" s="26" t="s">
        <v>4</v>
      </c>
      <c r="E1405" s="26" t="s">
        <v>5</v>
      </c>
      <c r="F1405" s="26"/>
      <c r="G1405" s="27" t="s">
        <v>6</v>
      </c>
    </row>
    <row r="1406" spans="1:14" s="3" customFormat="1" ht="16.2" hidden="1" outlineLevel="1" thickBot="1" x14ac:dyDescent="0.3">
      <c r="A1406" s="7"/>
      <c r="B1406" s="204"/>
      <c r="C1406" s="205"/>
      <c r="D1406" s="205"/>
      <c r="E1406" s="205"/>
      <c r="F1406" s="205"/>
      <c r="G1406" s="206"/>
      <c r="H1406" s="7"/>
    </row>
    <row r="1407" spans="1:14" s="3" customFormat="1" ht="17.399999999999999" hidden="1" customHeight="1" outlineLevel="1" x14ac:dyDescent="0.25">
      <c r="A1407" s="5"/>
      <c r="B1407" s="401" t="s">
        <v>28</v>
      </c>
      <c r="C1407" s="402"/>
      <c r="D1407" s="402"/>
      <c r="E1407" s="402"/>
      <c r="F1407" s="402"/>
      <c r="G1407" s="403"/>
      <c r="I1407" s="7"/>
      <c r="J1407" s="7"/>
    </row>
    <row r="1408" spans="1:14" s="3" customFormat="1" ht="17.399999999999999" hidden="1" customHeight="1" outlineLevel="1" x14ac:dyDescent="0.25">
      <c r="A1408" s="5"/>
      <c r="B1408" s="25" t="s">
        <v>2</v>
      </c>
      <c r="C1408" s="26" t="s">
        <v>3</v>
      </c>
      <c r="D1408" s="26" t="s">
        <v>4</v>
      </c>
      <c r="E1408" s="26"/>
      <c r="F1408" s="26"/>
      <c r="G1408" s="27" t="s">
        <v>6</v>
      </c>
    </row>
    <row r="1409" spans="1:10" s="7" customFormat="1" ht="17.399999999999999" hidden="1" customHeight="1" outlineLevel="1" thickBot="1" x14ac:dyDescent="0.3">
      <c r="B1409" s="156"/>
      <c r="C1409" s="207"/>
      <c r="D1409" s="207"/>
      <c r="E1409" s="207"/>
      <c r="F1409" s="207"/>
      <c r="G1409" s="208"/>
      <c r="I1409" s="3"/>
      <c r="J1409" s="3"/>
    </row>
    <row r="1410" spans="1:10" s="3" customFormat="1" ht="17.399999999999999" hidden="1" customHeight="1" outlineLevel="1" x14ac:dyDescent="0.25">
      <c r="A1410" s="5"/>
      <c r="B1410" s="401" t="s">
        <v>29</v>
      </c>
      <c r="C1410" s="402"/>
      <c r="D1410" s="402"/>
      <c r="E1410" s="402"/>
      <c r="F1410" s="402"/>
      <c r="G1410" s="403"/>
      <c r="I1410" s="7"/>
      <c r="J1410" s="7"/>
    </row>
    <row r="1411" spans="1:10" s="3" customFormat="1" ht="17.399999999999999" hidden="1" customHeight="1" outlineLevel="1" x14ac:dyDescent="0.25">
      <c r="A1411" s="7"/>
      <c r="B1411" s="217" t="s">
        <v>998</v>
      </c>
      <c r="C1411" s="107"/>
      <c r="D1411" s="107"/>
      <c r="E1411" s="107"/>
      <c r="F1411" s="107"/>
      <c r="G1411" s="108"/>
      <c r="H1411" s="7"/>
    </row>
    <row r="1412" spans="1:10" s="7" customFormat="1" ht="17.399999999999999" hidden="1" customHeight="1" outlineLevel="1" x14ac:dyDescent="0.25">
      <c r="B1412" s="217" t="s">
        <v>998</v>
      </c>
      <c r="C1412" s="107"/>
      <c r="D1412" s="107"/>
      <c r="E1412" s="107"/>
      <c r="F1412" s="107"/>
      <c r="G1412" s="108"/>
      <c r="I1412" s="3"/>
      <c r="J1412" s="3"/>
    </row>
    <row r="1413" spans="1:10" s="3" customFormat="1" ht="17.399999999999999" hidden="1" customHeight="1" outlineLevel="1" x14ac:dyDescent="0.25">
      <c r="A1413" s="7"/>
      <c r="B1413" s="217"/>
      <c r="C1413" s="107"/>
      <c r="D1413" s="107"/>
      <c r="E1413" s="107"/>
      <c r="F1413" s="107"/>
      <c r="G1413" s="108"/>
      <c r="H1413" s="7"/>
    </row>
    <row r="1414" spans="1:10" s="3" customFormat="1" ht="17.399999999999999" hidden="1" customHeight="1" outlineLevel="1" x14ac:dyDescent="0.25">
      <c r="A1414" s="7"/>
      <c r="B1414" s="218" t="s">
        <v>999</v>
      </c>
      <c r="C1414" s="107"/>
      <c r="D1414" s="107"/>
      <c r="E1414" s="107"/>
      <c r="F1414" s="107"/>
      <c r="G1414" s="108"/>
      <c r="H1414" s="7"/>
      <c r="I1414" s="7"/>
      <c r="J1414" s="7"/>
    </row>
    <row r="1415" spans="1:10" s="3" customFormat="1" ht="17.399999999999999" hidden="1" customHeight="1" outlineLevel="1" x14ac:dyDescent="0.25">
      <c r="A1415" s="7"/>
      <c r="B1415" s="217"/>
      <c r="C1415" s="107"/>
      <c r="D1415" s="107"/>
      <c r="E1415" s="107"/>
      <c r="F1415" s="107"/>
      <c r="G1415" s="108"/>
      <c r="H1415" s="7"/>
    </row>
    <row r="1416" spans="1:10" s="3" customFormat="1" ht="17.399999999999999" hidden="1" customHeight="1" outlineLevel="1" x14ac:dyDescent="0.25">
      <c r="A1416" s="7"/>
      <c r="B1416" s="218" t="s">
        <v>1000</v>
      </c>
      <c r="C1416" s="107"/>
      <c r="D1416" s="107"/>
      <c r="E1416" s="107"/>
      <c r="F1416" s="107"/>
      <c r="G1416" s="108"/>
      <c r="H1416" s="7"/>
      <c r="I1416" s="7"/>
      <c r="J1416" s="7"/>
    </row>
    <row r="1417" spans="1:10" s="3" customFormat="1" ht="17.399999999999999" hidden="1" customHeight="1" outlineLevel="1" x14ac:dyDescent="0.25">
      <c r="A1417" s="7"/>
      <c r="B1417" s="217"/>
      <c r="C1417" s="107"/>
      <c r="D1417" s="107"/>
      <c r="E1417" s="107"/>
      <c r="F1417" s="107"/>
      <c r="G1417" s="108"/>
      <c r="H1417" s="7"/>
    </row>
    <row r="1418" spans="1:10" s="3" customFormat="1" hidden="1" outlineLevel="1" x14ac:dyDescent="0.25">
      <c r="A1418" s="5"/>
      <c r="B1418" s="31"/>
      <c r="C1418" s="20"/>
      <c r="D1418" s="20"/>
      <c r="E1418" s="20"/>
      <c r="F1418" s="20"/>
      <c r="G1418" s="22"/>
      <c r="I1418" s="5"/>
      <c r="J1418" s="5"/>
    </row>
    <row r="1419" spans="1:10" s="3" customFormat="1" hidden="1" outlineLevel="1" x14ac:dyDescent="0.25">
      <c r="A1419" s="5"/>
      <c r="B1419" s="31" t="s">
        <v>1001</v>
      </c>
      <c r="C1419" s="20"/>
      <c r="D1419" s="20"/>
      <c r="E1419" s="20"/>
      <c r="F1419" s="20"/>
      <c r="G1419" s="22"/>
      <c r="I1419" s="5"/>
      <c r="J1419" s="5"/>
    </row>
    <row r="1420" spans="1:10" s="3" customFormat="1" hidden="1" outlineLevel="1" x14ac:dyDescent="0.25">
      <c r="A1420" s="5"/>
      <c r="B1420" s="31" t="s">
        <v>1002</v>
      </c>
      <c r="C1420" s="20"/>
      <c r="D1420" s="20" t="s">
        <v>1003</v>
      </c>
      <c r="E1420" s="20" t="s">
        <v>1004</v>
      </c>
      <c r="G1420" s="22"/>
      <c r="I1420" s="5"/>
      <c r="J1420" s="5"/>
    </row>
    <row r="1421" spans="1:10" s="3" customFormat="1" hidden="1" outlineLevel="1" x14ac:dyDescent="0.25">
      <c r="A1421" s="5"/>
      <c r="B1421" s="31" t="s">
        <v>1005</v>
      </c>
      <c r="C1421" s="20"/>
      <c r="D1421" s="20"/>
      <c r="E1421" s="20"/>
      <c r="F1421" s="20"/>
      <c r="G1421" s="22"/>
      <c r="I1421" s="5"/>
      <c r="J1421" s="5"/>
    </row>
    <row r="1422" spans="1:10" s="3" customFormat="1" hidden="1" outlineLevel="1" x14ac:dyDescent="0.25">
      <c r="A1422" s="5"/>
      <c r="B1422" s="31"/>
      <c r="C1422" s="20"/>
      <c r="D1422" s="20"/>
      <c r="E1422" s="20"/>
      <c r="F1422" s="20"/>
      <c r="G1422" s="22"/>
      <c r="I1422" s="5"/>
      <c r="J1422" s="5"/>
    </row>
    <row r="1423" spans="1:10" s="3" customFormat="1" hidden="1" outlineLevel="1" x14ac:dyDescent="0.25">
      <c r="A1423" s="5"/>
      <c r="B1423" s="31"/>
      <c r="C1423" s="20"/>
      <c r="D1423" s="20"/>
      <c r="E1423" s="20"/>
      <c r="F1423" s="20"/>
      <c r="G1423" s="22"/>
      <c r="I1423" s="5"/>
      <c r="J1423" s="5"/>
    </row>
    <row r="1424" spans="1:10" s="3" customFormat="1" hidden="1" outlineLevel="1" x14ac:dyDescent="0.25">
      <c r="A1424" s="5"/>
      <c r="B1424" s="363" t="s">
        <v>1006</v>
      </c>
      <c r="C1424" s="20"/>
      <c r="D1424" s="20"/>
      <c r="E1424" s="20"/>
      <c r="F1424" s="20"/>
      <c r="G1424" s="22"/>
      <c r="I1424" s="5"/>
      <c r="J1424" s="5"/>
    </row>
    <row r="1425" spans="1:10" s="3" customFormat="1" hidden="1" outlineLevel="1" x14ac:dyDescent="0.25">
      <c r="A1425" s="5"/>
      <c r="B1425" s="364" t="s">
        <v>1007</v>
      </c>
      <c r="C1425" s="20"/>
      <c r="D1425" s="20"/>
      <c r="E1425" s="20"/>
      <c r="F1425" s="20"/>
      <c r="G1425" s="22"/>
      <c r="I1425" s="5"/>
      <c r="J1425" s="5"/>
    </row>
    <row r="1426" spans="1:10" s="3" customFormat="1" hidden="1" outlineLevel="1" x14ac:dyDescent="0.25">
      <c r="A1426" s="5"/>
      <c r="B1426" s="364" t="s">
        <v>1008</v>
      </c>
      <c r="C1426" s="20"/>
      <c r="D1426" s="20"/>
      <c r="E1426" s="20"/>
      <c r="F1426" s="20"/>
      <c r="G1426" s="22"/>
      <c r="I1426" s="5"/>
      <c r="J1426" s="5"/>
    </row>
    <row r="1427" spans="1:10" s="3" customFormat="1" hidden="1" outlineLevel="1" x14ac:dyDescent="0.25">
      <c r="A1427" s="5"/>
      <c r="B1427" s="364" t="s">
        <v>1009</v>
      </c>
      <c r="C1427" s="20"/>
      <c r="D1427" s="20"/>
      <c r="E1427" s="20"/>
      <c r="F1427" s="20"/>
      <c r="G1427" s="22"/>
      <c r="I1427" s="5"/>
      <c r="J1427" s="5"/>
    </row>
    <row r="1428" spans="1:10" s="3" customFormat="1" hidden="1" outlineLevel="1" x14ac:dyDescent="0.25">
      <c r="A1428" s="5"/>
      <c r="B1428" s="364" t="s">
        <v>1010</v>
      </c>
      <c r="C1428" s="20"/>
      <c r="D1428" s="20"/>
      <c r="E1428" s="20"/>
      <c r="F1428" s="20"/>
      <c r="G1428" s="22"/>
      <c r="I1428" s="5"/>
      <c r="J1428" s="5"/>
    </row>
    <row r="1429" spans="1:10" s="3" customFormat="1" hidden="1" outlineLevel="1" x14ac:dyDescent="0.25">
      <c r="A1429" s="5"/>
      <c r="B1429" s="31"/>
      <c r="C1429" s="20"/>
      <c r="D1429" s="20"/>
      <c r="E1429" s="20"/>
      <c r="F1429" s="20"/>
      <c r="G1429" s="22"/>
      <c r="I1429" s="5"/>
      <c r="J1429" s="5"/>
    </row>
    <row r="1430" spans="1:10" s="3" customFormat="1" hidden="1" outlineLevel="1" x14ac:dyDescent="0.25">
      <c r="A1430" s="5"/>
      <c r="B1430" s="365" t="s">
        <v>1011</v>
      </c>
      <c r="C1430" s="20"/>
      <c r="D1430" s="20"/>
      <c r="E1430" s="20"/>
      <c r="F1430" s="20"/>
      <c r="G1430" s="22"/>
      <c r="I1430" s="5"/>
      <c r="J1430" s="5"/>
    </row>
    <row r="1431" spans="1:10" s="3" customFormat="1" hidden="1" outlineLevel="1" x14ac:dyDescent="0.25">
      <c r="A1431" s="5"/>
      <c r="B1431" s="364" t="s">
        <v>1012</v>
      </c>
      <c r="C1431" s="20"/>
      <c r="D1431" s="20"/>
      <c r="E1431" s="20"/>
      <c r="F1431" s="20"/>
      <c r="G1431" s="22"/>
      <c r="I1431" s="5"/>
      <c r="J1431" s="5"/>
    </row>
    <row r="1432" spans="1:10" s="3" customFormat="1" hidden="1" outlineLevel="1" x14ac:dyDescent="0.25">
      <c r="A1432" s="5"/>
      <c r="B1432" s="364" t="s">
        <v>1013</v>
      </c>
      <c r="C1432" s="20"/>
      <c r="D1432" s="20"/>
      <c r="E1432" s="20"/>
      <c r="F1432" s="20"/>
      <c r="G1432" s="22"/>
      <c r="I1432" s="5"/>
      <c r="J1432" s="5"/>
    </row>
    <row r="1433" spans="1:10" s="3" customFormat="1" hidden="1" outlineLevel="1" x14ac:dyDescent="0.25">
      <c r="A1433" s="5"/>
      <c r="B1433" s="364" t="s">
        <v>1014</v>
      </c>
      <c r="C1433" s="20"/>
      <c r="D1433" s="20"/>
      <c r="E1433" s="20"/>
      <c r="F1433" s="20"/>
      <c r="G1433" s="22"/>
      <c r="I1433" s="5"/>
      <c r="J1433" s="5"/>
    </row>
    <row r="1434" spans="1:10" s="3" customFormat="1" hidden="1" outlineLevel="1" x14ac:dyDescent="0.25">
      <c r="A1434" s="5"/>
      <c r="B1434" s="364" t="s">
        <v>1015</v>
      </c>
      <c r="C1434" s="20"/>
      <c r="D1434" s="20"/>
      <c r="E1434" s="20"/>
      <c r="F1434" s="20"/>
      <c r="G1434" s="22"/>
      <c r="I1434" s="5"/>
      <c r="J1434" s="5"/>
    </row>
    <row r="1435" spans="1:10" s="3" customFormat="1" hidden="1" outlineLevel="1" x14ac:dyDescent="0.25">
      <c r="A1435" s="5"/>
      <c r="B1435" s="31"/>
      <c r="C1435" s="20"/>
      <c r="D1435" s="20"/>
      <c r="E1435" s="20"/>
      <c r="F1435" s="20"/>
      <c r="G1435" s="22"/>
      <c r="I1435" s="5"/>
      <c r="J1435" s="5"/>
    </row>
    <row r="1436" spans="1:10" s="3" customFormat="1" hidden="1" outlineLevel="1" x14ac:dyDescent="0.25">
      <c r="A1436" s="5"/>
      <c r="B1436" s="31"/>
      <c r="C1436" s="20"/>
      <c r="D1436" s="20"/>
      <c r="E1436" s="20"/>
      <c r="F1436" s="20"/>
      <c r="G1436" s="22"/>
      <c r="I1436" s="5"/>
      <c r="J1436" s="5"/>
    </row>
    <row r="1437" spans="1:10" s="3" customFormat="1" hidden="1" outlineLevel="1" x14ac:dyDescent="0.25">
      <c r="A1437" s="5"/>
      <c r="B1437" s="31" t="s">
        <v>1016</v>
      </c>
      <c r="C1437" s="20"/>
      <c r="D1437" s="20"/>
      <c r="E1437" s="20"/>
      <c r="F1437" s="20"/>
      <c r="G1437" s="22"/>
      <c r="I1437" s="5"/>
      <c r="J1437" s="5"/>
    </row>
    <row r="1438" spans="1:10" s="3" customFormat="1" hidden="1" outlineLevel="1" x14ac:dyDescent="0.25">
      <c r="A1438" s="5"/>
      <c r="B1438" s="31" t="s">
        <v>1017</v>
      </c>
      <c r="C1438" s="20"/>
      <c r="D1438" s="20"/>
      <c r="E1438" s="20"/>
      <c r="F1438" s="20"/>
      <c r="G1438" s="22"/>
      <c r="I1438" s="5"/>
      <c r="J1438" s="5"/>
    </row>
    <row r="1439" spans="1:10" s="3" customFormat="1" hidden="1" outlineLevel="1" x14ac:dyDescent="0.25">
      <c r="A1439" s="5"/>
      <c r="B1439" s="31" t="s">
        <v>1018</v>
      </c>
      <c r="C1439" s="20"/>
      <c r="D1439" s="20"/>
      <c r="E1439" s="20"/>
      <c r="F1439" s="20"/>
      <c r="G1439" s="22"/>
      <c r="I1439" s="5"/>
      <c r="J1439" s="5"/>
    </row>
    <row r="1440" spans="1:10" s="3" customFormat="1" hidden="1" outlineLevel="1" x14ac:dyDescent="0.25">
      <c r="A1440" s="5"/>
      <c r="B1440" s="31" t="s">
        <v>1019</v>
      </c>
      <c r="C1440" s="20"/>
      <c r="D1440" s="20"/>
      <c r="E1440" s="20"/>
      <c r="F1440" s="20"/>
      <c r="G1440" s="22"/>
      <c r="I1440" s="5"/>
      <c r="J1440" s="5"/>
    </row>
    <row r="1441" spans="1:14" s="3" customFormat="1" hidden="1" outlineLevel="1" x14ac:dyDescent="0.25">
      <c r="A1441" s="5"/>
      <c r="B1441" s="31"/>
      <c r="C1441" s="20"/>
      <c r="D1441" s="20"/>
      <c r="E1441" s="20"/>
      <c r="F1441" s="20"/>
      <c r="G1441" s="22"/>
      <c r="I1441" s="5"/>
      <c r="J1441" s="5"/>
    </row>
    <row r="1442" spans="1:14" s="3" customFormat="1" hidden="1" outlineLevel="1" x14ac:dyDescent="0.25">
      <c r="A1442" s="5"/>
      <c r="B1442" s="31"/>
      <c r="C1442" s="20"/>
      <c r="D1442" s="20"/>
      <c r="E1442" s="20"/>
      <c r="F1442" s="20"/>
      <c r="G1442" s="22"/>
      <c r="I1442" s="5"/>
      <c r="J1442" s="5"/>
    </row>
    <row r="1443" spans="1:14" s="3" customFormat="1" hidden="1" outlineLevel="1" x14ac:dyDescent="0.25">
      <c r="A1443" s="5"/>
      <c r="B1443" s="31"/>
      <c r="C1443" s="20"/>
      <c r="D1443" s="20"/>
      <c r="E1443" s="20"/>
      <c r="F1443" s="20"/>
      <c r="G1443" s="22"/>
    </row>
    <row r="1444" spans="1:14" s="7" customFormat="1" ht="17.399999999999999" hidden="1" customHeight="1" outlineLevel="1" x14ac:dyDescent="0.25">
      <c r="B1444" s="115"/>
      <c r="C1444" s="107"/>
      <c r="D1444" s="107"/>
      <c r="E1444" s="107"/>
      <c r="F1444" s="107"/>
      <c r="G1444" s="108"/>
    </row>
    <row r="1445" spans="1:14" s="7" customFormat="1" ht="17.399999999999999" hidden="1" customHeight="1" outlineLevel="1" thickBot="1" x14ac:dyDescent="0.3">
      <c r="B1445" s="157"/>
      <c r="C1445" s="202"/>
      <c r="D1445" s="202"/>
      <c r="E1445" s="202"/>
      <c r="F1445" s="202"/>
      <c r="G1445" s="203"/>
    </row>
    <row r="1446" spans="1:14" s="7" customFormat="1" ht="17.399999999999999" hidden="1" customHeight="1" outlineLevel="1" x14ac:dyDescent="0.25">
      <c r="A1446" s="5"/>
      <c r="B1446" s="5"/>
      <c r="C1446" s="5"/>
      <c r="D1446" s="5"/>
      <c r="E1446" s="5"/>
      <c r="F1446" s="5"/>
      <c r="G1446" s="5"/>
      <c r="H1446" s="5"/>
    </row>
    <row r="1447" spans="1:14" s="7" customFormat="1" ht="17.399999999999999" hidden="1" customHeight="1" outlineLevel="1" thickBot="1" x14ac:dyDescent="0.3">
      <c r="A1447" s="5"/>
      <c r="B1447" s="5"/>
      <c r="C1447" s="5"/>
      <c r="D1447" s="5"/>
      <c r="E1447" s="5"/>
      <c r="F1447" s="5"/>
      <c r="G1447" s="5"/>
      <c r="H1447" s="5"/>
      <c r="I1447" s="5"/>
      <c r="J1447" s="5"/>
    </row>
    <row r="1448" spans="1:14" s="7" customFormat="1" ht="17.399999999999999" customHeight="1" collapsed="1" thickBot="1" x14ac:dyDescent="0.3">
      <c r="A1448" s="5"/>
      <c r="B1448" s="15" t="s">
        <v>1279</v>
      </c>
      <c r="C1448" s="16" t="s">
        <v>2174</v>
      </c>
      <c r="D1448" s="17" t="s">
        <v>1281</v>
      </c>
      <c r="E1448" s="200" t="s">
        <v>1020</v>
      </c>
      <c r="F1448" s="17" t="s">
        <v>1282</v>
      </c>
      <c r="G1448" s="18" t="s">
        <v>2175</v>
      </c>
      <c r="H1448" s="3"/>
      <c r="I1448" s="5"/>
      <c r="J1448" s="5"/>
    </row>
    <row r="1449" spans="1:14" s="5" customFormat="1" ht="17.399999999999999" hidden="1" customHeight="1" outlineLevel="1" x14ac:dyDescent="0.25">
      <c r="B1449" s="19" t="s">
        <v>1284</v>
      </c>
      <c r="C1449" s="20" t="s">
        <v>1285</v>
      </c>
      <c r="D1449" s="21" t="s">
        <v>1286</v>
      </c>
      <c r="E1449" s="20" t="s">
        <v>2176</v>
      </c>
      <c r="F1449" s="21" t="s">
        <v>1288</v>
      </c>
      <c r="G1449" s="22" t="s">
        <v>1390</v>
      </c>
      <c r="H1449" s="3"/>
      <c r="I1449" s="3"/>
      <c r="J1449" s="3"/>
    </row>
    <row r="1450" spans="1:14" s="5" customFormat="1" ht="16.2" hidden="1" outlineLevel="1" thickBot="1" x14ac:dyDescent="0.3">
      <c r="B1450" s="19" t="s">
        <v>1290</v>
      </c>
      <c r="C1450" s="23" t="s">
        <v>1291</v>
      </c>
      <c r="D1450" s="21" t="s">
        <v>1292</v>
      </c>
      <c r="E1450" s="23">
        <v>5</v>
      </c>
      <c r="F1450" s="21" t="s">
        <v>1293</v>
      </c>
      <c r="G1450" s="24" t="s">
        <v>1294</v>
      </c>
      <c r="H1450" s="3"/>
      <c r="I1450" s="3"/>
      <c r="J1450" s="3"/>
    </row>
    <row r="1451" spans="1:14" s="3" customFormat="1" ht="17.399999999999999" hidden="1" customHeight="1" outlineLevel="1" x14ac:dyDescent="0.25">
      <c r="A1451" s="5"/>
      <c r="B1451" s="401" t="s">
        <v>1</v>
      </c>
      <c r="C1451" s="402"/>
      <c r="D1451" s="402"/>
      <c r="E1451" s="402"/>
      <c r="F1451" s="402"/>
      <c r="G1451" s="403"/>
    </row>
    <row r="1452" spans="1:14" s="3" customFormat="1" ht="17.399999999999999" hidden="1" customHeight="1" outlineLevel="1" x14ac:dyDescent="0.25">
      <c r="A1452" s="5"/>
      <c r="B1452" s="25" t="s">
        <v>2</v>
      </c>
      <c r="C1452" s="26" t="s">
        <v>3</v>
      </c>
      <c r="D1452" s="26" t="s">
        <v>4</v>
      </c>
      <c r="E1452" s="26" t="s">
        <v>5</v>
      </c>
      <c r="F1452" s="26"/>
      <c r="G1452" s="27" t="s">
        <v>6</v>
      </c>
    </row>
    <row r="1453" spans="1:14" s="3" customFormat="1" ht="17.399999999999999" hidden="1" customHeight="1" outlineLevel="1" x14ac:dyDescent="0.25">
      <c r="B1453" s="28" t="s">
        <v>7</v>
      </c>
      <c r="C1453" s="29" t="s">
        <v>1468</v>
      </c>
      <c r="D1453" s="29" t="s">
        <v>1469</v>
      </c>
      <c r="E1453" s="29">
        <v>0</v>
      </c>
      <c r="F1453" s="29" t="s">
        <v>1470</v>
      </c>
      <c r="G1453" s="30" t="s">
        <v>1471</v>
      </c>
    </row>
    <row r="1454" spans="1:14" s="3" customFormat="1" ht="17.399999999999999" hidden="1" customHeight="1" outlineLevel="1" x14ac:dyDescent="0.25">
      <c r="B1454" s="28" t="s">
        <v>265</v>
      </c>
      <c r="C1454" s="29" t="s">
        <v>1692</v>
      </c>
      <c r="D1454" s="29" t="s">
        <v>1606</v>
      </c>
      <c r="E1454" s="29" t="s">
        <v>1594</v>
      </c>
      <c r="F1454" s="29" t="s">
        <v>1470</v>
      </c>
      <c r="G1454" s="30"/>
      <c r="J1454" s="3" t="s">
        <v>10</v>
      </c>
    </row>
    <row r="1455" spans="1:14" s="3" customFormat="1" ht="17.399999999999999" hidden="1" customHeight="1" outlineLevel="1" x14ac:dyDescent="0.25">
      <c r="A1455" s="5"/>
      <c r="B1455" s="31" t="s">
        <v>203</v>
      </c>
      <c r="C1455" s="20" t="s">
        <v>1635</v>
      </c>
      <c r="D1455" s="20" t="s">
        <v>1636</v>
      </c>
      <c r="E1455" s="20" t="s">
        <v>1637</v>
      </c>
      <c r="F1455" s="20" t="s">
        <v>1476</v>
      </c>
      <c r="G1455" s="22"/>
      <c r="J1455" s="3" t="s">
        <v>187</v>
      </c>
    </row>
    <row r="1456" spans="1:14" s="3" customFormat="1" hidden="1" outlineLevel="1" x14ac:dyDescent="0.25">
      <c r="A1456" s="5"/>
      <c r="B1456" s="220" t="s">
        <v>128</v>
      </c>
      <c r="C1456" s="220" t="s">
        <v>1566</v>
      </c>
      <c r="D1456" s="220" t="s">
        <v>1567</v>
      </c>
      <c r="E1456" s="220">
        <v>0</v>
      </c>
      <c r="F1456" s="220" t="s">
        <v>1470</v>
      </c>
      <c r="G1456" s="220"/>
      <c r="J1456" s="3" t="s">
        <v>187</v>
      </c>
      <c r="K1456" s="3" t="s">
        <v>173</v>
      </c>
      <c r="L1456" s="3" t="s">
        <v>9</v>
      </c>
      <c r="M1456" s="3" t="s">
        <v>9</v>
      </c>
      <c r="N1456" s="3">
        <v>1112</v>
      </c>
    </row>
    <row r="1457" spans="1:14" s="3" customFormat="1" hidden="1" outlineLevel="1" x14ac:dyDescent="0.25">
      <c r="A1457" s="5"/>
      <c r="B1457" s="220" t="s">
        <v>114</v>
      </c>
      <c r="C1457" s="220" t="s">
        <v>1557</v>
      </c>
      <c r="D1457" s="220" t="s">
        <v>1469</v>
      </c>
      <c r="E1457" s="220">
        <v>-1</v>
      </c>
      <c r="F1457" s="220" t="s">
        <v>1470</v>
      </c>
      <c r="G1457" s="220"/>
      <c r="J1457" s="3" t="s">
        <v>12</v>
      </c>
      <c r="K1457" s="3" t="s">
        <v>438</v>
      </c>
      <c r="L1457" s="3" t="s">
        <v>537</v>
      </c>
      <c r="M1457" s="3" t="s">
        <v>187</v>
      </c>
      <c r="N1457" s="3">
        <v>1114</v>
      </c>
    </row>
    <row r="1458" spans="1:14" s="3" customFormat="1" hidden="1" outlineLevel="1" x14ac:dyDescent="0.25">
      <c r="A1458" s="7"/>
      <c r="B1458" s="106" t="s">
        <v>73</v>
      </c>
      <c r="C1458" s="221" t="s">
        <v>1528</v>
      </c>
      <c r="D1458" s="221" t="s">
        <v>1469</v>
      </c>
      <c r="E1458" s="221" t="s">
        <v>1480</v>
      </c>
      <c r="F1458" s="221" t="s">
        <v>1481</v>
      </c>
      <c r="G1458" s="222"/>
      <c r="H1458" s="7"/>
      <c r="J1458" s="3" t="s">
        <v>10</v>
      </c>
      <c r="K1458" s="3" t="s">
        <v>438</v>
      </c>
      <c r="L1458" s="3" t="s">
        <v>537</v>
      </c>
      <c r="M1458" s="3" t="s">
        <v>187</v>
      </c>
      <c r="N1458" s="3">
        <v>1041</v>
      </c>
    </row>
    <row r="1459" spans="1:14" s="3" customFormat="1" ht="17.399999999999999" hidden="1" customHeight="1" outlineLevel="1" x14ac:dyDescent="0.25">
      <c r="A1459" s="7"/>
      <c r="B1459" s="106" t="s">
        <v>74</v>
      </c>
      <c r="C1459" s="221" t="s">
        <v>1529</v>
      </c>
      <c r="D1459" s="221" t="s">
        <v>1469</v>
      </c>
      <c r="E1459" s="221" t="s">
        <v>1480</v>
      </c>
      <c r="F1459" s="221" t="s">
        <v>1481</v>
      </c>
      <c r="G1459" s="222"/>
      <c r="H1459" s="7"/>
      <c r="I1459" s="7"/>
      <c r="J1459" s="7" t="s">
        <v>10</v>
      </c>
      <c r="K1459" s="3" t="s">
        <v>174</v>
      </c>
      <c r="L1459" s="3" t="s">
        <v>175</v>
      </c>
      <c r="M1459" s="3" t="s">
        <v>176</v>
      </c>
      <c r="N1459" s="3">
        <v>1629</v>
      </c>
    </row>
    <row r="1460" spans="1:14" s="3" customFormat="1" ht="17.399999999999999" hidden="1" customHeight="1" outlineLevel="1" x14ac:dyDescent="0.25">
      <c r="A1460" s="7"/>
      <c r="B1460" s="201"/>
      <c r="C1460" s="107"/>
      <c r="D1460" s="107"/>
      <c r="E1460" s="107"/>
      <c r="F1460" s="107"/>
      <c r="G1460" s="108"/>
      <c r="H1460" s="7"/>
      <c r="I1460" s="7"/>
      <c r="J1460" s="7" t="s">
        <v>10</v>
      </c>
      <c r="K1460" s="3" t="s">
        <v>173</v>
      </c>
      <c r="L1460" s="3" t="s">
        <v>9</v>
      </c>
      <c r="M1460" s="3" t="s">
        <v>9</v>
      </c>
      <c r="N1460" s="3">
        <v>2449</v>
      </c>
    </row>
    <row r="1461" spans="1:14" s="7" customFormat="1" ht="17.399999999999999" hidden="1" customHeight="1" outlineLevel="1" thickBot="1" x14ac:dyDescent="0.3">
      <c r="B1461" s="157"/>
      <c r="C1461" s="202"/>
      <c r="D1461" s="202"/>
      <c r="E1461" s="202"/>
      <c r="F1461" s="202"/>
      <c r="G1461" s="203"/>
      <c r="K1461" s="7" t="s">
        <v>173</v>
      </c>
      <c r="L1461" s="7" t="s">
        <v>9</v>
      </c>
      <c r="M1461" s="7" t="s">
        <v>9</v>
      </c>
      <c r="N1461" s="7">
        <v>1767</v>
      </c>
    </row>
    <row r="1462" spans="1:14" s="7" customFormat="1" ht="17.399999999999999" hidden="1" customHeight="1" outlineLevel="1" x14ac:dyDescent="0.25">
      <c r="A1462" s="5"/>
      <c r="B1462" s="401" t="s">
        <v>18</v>
      </c>
      <c r="C1462" s="402"/>
      <c r="D1462" s="402"/>
      <c r="E1462" s="402"/>
      <c r="F1462" s="402"/>
      <c r="G1462" s="403"/>
      <c r="H1462" s="3"/>
      <c r="K1462" s="7" t="s">
        <v>173</v>
      </c>
      <c r="L1462" s="7" t="s">
        <v>9</v>
      </c>
      <c r="M1462" s="7" t="s">
        <v>9</v>
      </c>
      <c r="N1462" s="7">
        <v>1713</v>
      </c>
    </row>
    <row r="1463" spans="1:14" s="7" customFormat="1" ht="17.399999999999999" hidden="1" customHeight="1" outlineLevel="1" x14ac:dyDescent="0.25">
      <c r="A1463" s="5"/>
      <c r="B1463" s="25" t="s">
        <v>2</v>
      </c>
      <c r="C1463" s="26" t="s">
        <v>3</v>
      </c>
      <c r="D1463" s="26" t="s">
        <v>4</v>
      </c>
      <c r="E1463" s="26" t="s">
        <v>5</v>
      </c>
      <c r="F1463" s="26"/>
      <c r="G1463" s="27" t="s">
        <v>6</v>
      </c>
      <c r="H1463" s="3"/>
      <c r="I1463" s="3"/>
      <c r="J1463" s="3"/>
    </row>
    <row r="1464" spans="1:14" s="7" customFormat="1" ht="17.399999999999999" hidden="1" customHeight="1" outlineLevel="1" thickBot="1" x14ac:dyDescent="0.3">
      <c r="B1464" s="204"/>
      <c r="C1464" s="205"/>
      <c r="D1464" s="205"/>
      <c r="E1464" s="205"/>
      <c r="F1464" s="205"/>
      <c r="G1464" s="206"/>
      <c r="I1464" s="3"/>
      <c r="J1464" s="3"/>
    </row>
    <row r="1465" spans="1:14" s="3" customFormat="1" ht="17.399999999999999" hidden="1" customHeight="1" outlineLevel="1" x14ac:dyDescent="0.25">
      <c r="A1465" s="5"/>
      <c r="B1465" s="401" t="s">
        <v>28</v>
      </c>
      <c r="C1465" s="402"/>
      <c r="D1465" s="402"/>
      <c r="E1465" s="402"/>
      <c r="F1465" s="402"/>
      <c r="G1465" s="403"/>
      <c r="I1465" s="7"/>
      <c r="J1465" s="7"/>
    </row>
    <row r="1466" spans="1:14" s="3" customFormat="1" ht="17.399999999999999" hidden="1" customHeight="1" outlineLevel="1" x14ac:dyDescent="0.25">
      <c r="A1466" s="5"/>
      <c r="B1466" s="25" t="s">
        <v>2</v>
      </c>
      <c r="C1466" s="26" t="s">
        <v>3</v>
      </c>
      <c r="D1466" s="26" t="s">
        <v>4</v>
      </c>
      <c r="E1466" s="26"/>
      <c r="F1466" s="26"/>
      <c r="G1466" s="27" t="s">
        <v>6</v>
      </c>
    </row>
    <row r="1467" spans="1:14" s="7" customFormat="1" ht="17.399999999999999" hidden="1" customHeight="1" outlineLevel="1" thickBot="1" x14ac:dyDescent="0.3">
      <c r="B1467" s="156"/>
      <c r="C1467" s="207"/>
      <c r="D1467" s="207"/>
      <c r="E1467" s="207"/>
      <c r="F1467" s="207"/>
      <c r="G1467" s="208"/>
      <c r="I1467" s="3"/>
      <c r="J1467" s="3"/>
    </row>
    <row r="1468" spans="1:14" s="3" customFormat="1" ht="17.399999999999999" hidden="1" customHeight="1" outlineLevel="1" x14ac:dyDescent="0.25">
      <c r="A1468" s="5"/>
      <c r="B1468" s="401" t="s">
        <v>29</v>
      </c>
      <c r="C1468" s="402"/>
      <c r="D1468" s="402"/>
      <c r="E1468" s="402"/>
      <c r="F1468" s="402"/>
      <c r="G1468" s="403"/>
      <c r="I1468" s="7"/>
      <c r="J1468" s="7"/>
    </row>
    <row r="1469" spans="1:14" s="3" customFormat="1" ht="17.399999999999999" hidden="1" customHeight="1" outlineLevel="1" x14ac:dyDescent="0.25">
      <c r="A1469" s="7"/>
      <c r="B1469" s="201"/>
      <c r="C1469" s="107"/>
      <c r="D1469" s="107"/>
      <c r="E1469" s="107"/>
      <c r="F1469" s="107"/>
      <c r="G1469" s="108"/>
      <c r="H1469" s="7"/>
    </row>
    <row r="1470" spans="1:14" s="7" customFormat="1" ht="17.399999999999999" hidden="1" customHeight="1" outlineLevel="1" x14ac:dyDescent="0.25">
      <c r="A1470" s="5"/>
      <c r="B1470" s="212" t="s">
        <v>993</v>
      </c>
      <c r="C1470" s="210"/>
      <c r="D1470" s="210"/>
      <c r="E1470" s="210"/>
      <c r="F1470" s="210"/>
      <c r="G1470" s="211"/>
      <c r="H1470" s="9"/>
      <c r="I1470" s="9"/>
      <c r="J1470" s="9"/>
    </row>
    <row r="1471" spans="1:14" s="3" customFormat="1" ht="17.399999999999999" hidden="1" customHeight="1" outlineLevel="1" x14ac:dyDescent="0.25">
      <c r="A1471" s="7"/>
      <c r="B1471" s="218" t="s">
        <v>1021</v>
      </c>
      <c r="C1471" s="107"/>
      <c r="D1471" s="107"/>
      <c r="E1471" s="107"/>
      <c r="F1471" s="107"/>
      <c r="G1471" s="108"/>
      <c r="H1471" s="7"/>
      <c r="I1471" s="7"/>
      <c r="J1471" s="7"/>
    </row>
    <row r="1472" spans="1:14" s="3" customFormat="1" ht="17.399999999999999" hidden="1" customHeight="1" outlineLevel="1" x14ac:dyDescent="0.25">
      <c r="A1472" s="7"/>
      <c r="B1472" s="218"/>
      <c r="C1472" s="107"/>
      <c r="D1472" s="107"/>
      <c r="E1472" s="107"/>
      <c r="F1472" s="107"/>
      <c r="G1472" s="108"/>
      <c r="H1472" s="7"/>
      <c r="I1472" s="7"/>
      <c r="J1472" s="7"/>
    </row>
    <row r="1473" spans="1:14" s="3" customFormat="1" ht="17.399999999999999" hidden="1" customHeight="1" outlineLevel="1" x14ac:dyDescent="0.25">
      <c r="A1473" s="7"/>
      <c r="B1473" s="218" t="s">
        <v>1022</v>
      </c>
      <c r="C1473" s="107"/>
      <c r="D1473" s="107"/>
      <c r="E1473" s="107"/>
      <c r="F1473" s="107"/>
      <c r="G1473" s="108"/>
      <c r="H1473" s="7"/>
      <c r="I1473" s="7"/>
      <c r="J1473" s="7"/>
    </row>
    <row r="1474" spans="1:14" s="9" customFormat="1" ht="17.399999999999999" hidden="1" customHeight="1" outlineLevel="1" x14ac:dyDescent="0.25">
      <c r="A1474" s="7"/>
      <c r="B1474" s="201"/>
      <c r="C1474" s="107"/>
      <c r="D1474" s="107"/>
      <c r="E1474" s="107"/>
      <c r="F1474" s="107"/>
      <c r="G1474" s="108"/>
      <c r="H1474" s="7"/>
      <c r="I1474" s="7"/>
      <c r="J1474" s="7"/>
    </row>
    <row r="1475" spans="1:14" s="7" customFormat="1" ht="17.399999999999999" hidden="1" customHeight="1" outlineLevel="1" thickBot="1" x14ac:dyDescent="0.3">
      <c r="B1475" s="157"/>
      <c r="C1475" s="202"/>
      <c r="D1475" s="202"/>
      <c r="E1475" s="202"/>
      <c r="F1475" s="202"/>
      <c r="G1475" s="203"/>
    </row>
    <row r="1476" spans="1:14" s="7" customFormat="1" ht="17.399999999999999" hidden="1" customHeight="1" outlineLevel="1" thickBot="1" x14ac:dyDescent="0.3">
      <c r="A1476" s="5"/>
      <c r="B1476" s="5"/>
      <c r="C1476" s="5"/>
      <c r="D1476" s="5"/>
      <c r="E1476" s="5"/>
      <c r="F1476" s="5"/>
      <c r="G1476" s="5"/>
      <c r="H1476" s="5"/>
    </row>
    <row r="1477" spans="1:14" s="7" customFormat="1" ht="17.399999999999999" customHeight="1" collapsed="1" thickBot="1" x14ac:dyDescent="0.3">
      <c r="A1477" s="5"/>
      <c r="B1477" s="15" t="s">
        <v>1279</v>
      </c>
      <c r="C1477" s="16" t="s">
        <v>2177</v>
      </c>
      <c r="D1477" s="17" t="s">
        <v>1281</v>
      </c>
      <c r="E1477" s="200" t="s">
        <v>1023</v>
      </c>
      <c r="F1477" s="17" t="s">
        <v>1282</v>
      </c>
      <c r="G1477" s="18" t="s">
        <v>2178</v>
      </c>
      <c r="H1477" s="3"/>
      <c r="I1477" s="5"/>
      <c r="J1477" s="5"/>
    </row>
    <row r="1478" spans="1:14" s="7" customFormat="1" ht="17.399999999999999" hidden="1" customHeight="1" outlineLevel="1" x14ac:dyDescent="0.25">
      <c r="A1478" s="5"/>
      <c r="B1478" s="19" t="s">
        <v>1284</v>
      </c>
      <c r="C1478" s="20" t="s">
        <v>1285</v>
      </c>
      <c r="D1478" s="21" t="s">
        <v>1286</v>
      </c>
      <c r="E1478" s="20" t="s">
        <v>2179</v>
      </c>
      <c r="F1478" s="21" t="s">
        <v>1288</v>
      </c>
      <c r="G1478" s="22"/>
      <c r="H1478" s="3"/>
      <c r="I1478" s="3"/>
      <c r="J1478" s="3"/>
    </row>
    <row r="1479" spans="1:14" s="5" customFormat="1" ht="17.399999999999999" hidden="1" customHeight="1" outlineLevel="1" thickBot="1" x14ac:dyDescent="0.3">
      <c r="B1479" s="19" t="s">
        <v>1290</v>
      </c>
      <c r="C1479" s="23" t="s">
        <v>1291</v>
      </c>
      <c r="D1479" s="21" t="s">
        <v>1292</v>
      </c>
      <c r="E1479" s="23">
        <v>5</v>
      </c>
      <c r="F1479" s="21" t="s">
        <v>1293</v>
      </c>
      <c r="G1479" s="24" t="s">
        <v>1294</v>
      </c>
      <c r="H1479" s="3"/>
      <c r="I1479" s="3"/>
      <c r="J1479" s="3"/>
    </row>
    <row r="1480" spans="1:14" s="3" customFormat="1" ht="17.399999999999999" hidden="1" customHeight="1" outlineLevel="1" x14ac:dyDescent="0.25">
      <c r="A1480" s="5"/>
      <c r="B1480" s="401" t="s">
        <v>1</v>
      </c>
      <c r="C1480" s="402"/>
      <c r="D1480" s="402"/>
      <c r="E1480" s="402"/>
      <c r="F1480" s="402"/>
      <c r="G1480" s="403"/>
    </row>
    <row r="1481" spans="1:14" s="3" customFormat="1" ht="17.399999999999999" hidden="1" customHeight="1" outlineLevel="1" x14ac:dyDescent="0.25">
      <c r="A1481" s="5"/>
      <c r="B1481" s="25" t="s">
        <v>2</v>
      </c>
      <c r="C1481" s="26" t="s">
        <v>3</v>
      </c>
      <c r="D1481" s="26" t="s">
        <v>4</v>
      </c>
      <c r="E1481" s="26" t="s">
        <v>5</v>
      </c>
      <c r="F1481" s="26"/>
      <c r="G1481" s="27" t="s">
        <v>6</v>
      </c>
    </row>
    <row r="1482" spans="1:14" s="3" customFormat="1" ht="17.399999999999999" hidden="1" customHeight="1" outlineLevel="1" x14ac:dyDescent="0.25">
      <c r="B1482" s="28" t="s">
        <v>7</v>
      </c>
      <c r="C1482" s="29" t="s">
        <v>1468</v>
      </c>
      <c r="D1482" s="29" t="s">
        <v>1469</v>
      </c>
      <c r="E1482" s="29">
        <v>0</v>
      </c>
      <c r="F1482" s="29" t="s">
        <v>1470</v>
      </c>
      <c r="G1482" s="30" t="s">
        <v>1471</v>
      </c>
    </row>
    <row r="1483" spans="1:14" s="3" customFormat="1" ht="17.399999999999999" hidden="1" customHeight="1" outlineLevel="1" x14ac:dyDescent="0.25">
      <c r="B1483" s="28" t="s">
        <v>265</v>
      </c>
      <c r="C1483" s="29" t="s">
        <v>1692</v>
      </c>
      <c r="D1483" s="29" t="s">
        <v>1606</v>
      </c>
      <c r="E1483" s="29" t="s">
        <v>1594</v>
      </c>
      <c r="F1483" s="29" t="s">
        <v>1470</v>
      </c>
      <c r="G1483" s="30"/>
      <c r="J1483" s="3" t="s">
        <v>10</v>
      </c>
    </row>
    <row r="1484" spans="1:14" s="3" customFormat="1" ht="17.399999999999999" hidden="1" customHeight="1" outlineLevel="1" x14ac:dyDescent="0.25">
      <c r="A1484" s="5"/>
      <c r="B1484" s="31" t="s">
        <v>11</v>
      </c>
      <c r="C1484" s="20" t="s">
        <v>1472</v>
      </c>
      <c r="D1484" s="20" t="s">
        <v>1469</v>
      </c>
      <c r="E1484" s="20">
        <v>0</v>
      </c>
      <c r="F1484" s="20" t="s">
        <v>1470</v>
      </c>
      <c r="G1484" s="22" t="s">
        <v>1473</v>
      </c>
      <c r="J1484" s="3" t="s">
        <v>187</v>
      </c>
    </row>
    <row r="1485" spans="1:14" s="3" customFormat="1" hidden="1" outlineLevel="1" x14ac:dyDescent="0.25">
      <c r="A1485" s="7"/>
      <c r="B1485" s="156" t="s">
        <v>302</v>
      </c>
      <c r="C1485" s="207" t="s">
        <v>1727</v>
      </c>
      <c r="D1485" s="207" t="s">
        <v>1606</v>
      </c>
      <c r="E1485" s="207" t="s">
        <v>1594</v>
      </c>
      <c r="F1485" s="207" t="s">
        <v>1470</v>
      </c>
      <c r="G1485" s="208"/>
      <c r="H1485" s="7"/>
      <c r="J1485" s="3" t="s">
        <v>12</v>
      </c>
      <c r="K1485" s="3" t="s">
        <v>173</v>
      </c>
      <c r="L1485" s="3" t="s">
        <v>9</v>
      </c>
      <c r="M1485" s="3" t="s">
        <v>9</v>
      </c>
      <c r="N1485" s="3">
        <v>1112</v>
      </c>
    </row>
    <row r="1486" spans="1:14" s="3" customFormat="1" hidden="1" outlineLevel="1" x14ac:dyDescent="0.25">
      <c r="A1486" s="7"/>
      <c r="B1486" s="156" t="s">
        <v>203</v>
      </c>
      <c r="C1486" s="207" t="s">
        <v>1635</v>
      </c>
      <c r="D1486" s="207" t="s">
        <v>1636</v>
      </c>
      <c r="E1486" s="207" t="s">
        <v>1637</v>
      </c>
      <c r="F1486" s="207" t="s">
        <v>1476</v>
      </c>
      <c r="G1486" s="208"/>
      <c r="H1486" s="7"/>
      <c r="I1486" s="7"/>
      <c r="J1486" s="7" t="s">
        <v>187</v>
      </c>
      <c r="K1486" s="3" t="s">
        <v>438</v>
      </c>
      <c r="L1486" s="3" t="s">
        <v>537</v>
      </c>
      <c r="M1486" s="3" t="s">
        <v>187</v>
      </c>
      <c r="N1486" s="3">
        <v>1114</v>
      </c>
    </row>
    <row r="1487" spans="1:14" s="3" customFormat="1" hidden="1" outlineLevel="1" x14ac:dyDescent="0.25">
      <c r="A1487" s="5"/>
      <c r="B1487" s="220" t="s">
        <v>128</v>
      </c>
      <c r="C1487" s="220" t="s">
        <v>1566</v>
      </c>
      <c r="D1487" s="220" t="s">
        <v>1567</v>
      </c>
      <c r="E1487" s="220">
        <v>0</v>
      </c>
      <c r="F1487" s="220" t="s">
        <v>1470</v>
      </c>
      <c r="G1487" s="220"/>
      <c r="I1487" s="7"/>
      <c r="J1487" s="7" t="s">
        <v>187</v>
      </c>
      <c r="K1487" s="3" t="s">
        <v>174</v>
      </c>
      <c r="L1487" s="3" t="s">
        <v>175</v>
      </c>
      <c r="M1487" s="3" t="s">
        <v>176</v>
      </c>
      <c r="N1487" s="3">
        <v>1700</v>
      </c>
    </row>
    <row r="1488" spans="1:14" s="7" customFormat="1" hidden="1" outlineLevel="1" x14ac:dyDescent="0.25">
      <c r="A1488" s="5"/>
      <c r="B1488" s="220" t="s">
        <v>114</v>
      </c>
      <c r="C1488" s="220" t="s">
        <v>1557</v>
      </c>
      <c r="D1488" s="220" t="s">
        <v>1469</v>
      </c>
      <c r="E1488" s="220">
        <v>-1</v>
      </c>
      <c r="F1488" s="220" t="s">
        <v>1470</v>
      </c>
      <c r="G1488" s="220"/>
      <c r="H1488" s="3"/>
      <c r="I1488" s="3"/>
      <c r="J1488" s="3" t="s">
        <v>12</v>
      </c>
      <c r="K1488" s="7" t="s">
        <v>438</v>
      </c>
      <c r="L1488" s="7" t="s">
        <v>537</v>
      </c>
      <c r="M1488" s="7" t="s">
        <v>187</v>
      </c>
      <c r="N1488" s="7">
        <v>1700</v>
      </c>
    </row>
    <row r="1489" spans="1:14" s="7" customFormat="1" hidden="1" outlineLevel="1" x14ac:dyDescent="0.25">
      <c r="B1489" s="106" t="s">
        <v>73</v>
      </c>
      <c r="C1489" s="221" t="s">
        <v>1528</v>
      </c>
      <c r="D1489" s="221" t="s">
        <v>1469</v>
      </c>
      <c r="E1489" s="221" t="s">
        <v>1480</v>
      </c>
      <c r="F1489" s="221" t="s">
        <v>1481</v>
      </c>
      <c r="G1489" s="222"/>
      <c r="I1489" s="3"/>
      <c r="J1489" s="3" t="s">
        <v>10</v>
      </c>
      <c r="K1489" s="7" t="s">
        <v>438</v>
      </c>
      <c r="L1489" s="7" t="s">
        <v>537</v>
      </c>
      <c r="M1489" s="7" t="s">
        <v>187</v>
      </c>
      <c r="N1489" s="7">
        <v>1041</v>
      </c>
    </row>
    <row r="1490" spans="1:14" s="3" customFormat="1" ht="17.399999999999999" hidden="1" customHeight="1" outlineLevel="1" x14ac:dyDescent="0.25">
      <c r="A1490" s="7"/>
      <c r="B1490" s="106" t="s">
        <v>74</v>
      </c>
      <c r="C1490" s="221" t="s">
        <v>1529</v>
      </c>
      <c r="D1490" s="221" t="s">
        <v>1469</v>
      </c>
      <c r="E1490" s="221" t="s">
        <v>1480</v>
      </c>
      <c r="F1490" s="221" t="s">
        <v>1481</v>
      </c>
      <c r="G1490" s="222"/>
      <c r="H1490" s="7"/>
      <c r="I1490" s="7"/>
      <c r="J1490" s="7" t="s">
        <v>10</v>
      </c>
      <c r="K1490" s="3" t="s">
        <v>174</v>
      </c>
      <c r="L1490" s="3" t="s">
        <v>175</v>
      </c>
      <c r="M1490" s="3" t="s">
        <v>176</v>
      </c>
      <c r="N1490" s="3">
        <v>1629</v>
      </c>
    </row>
    <row r="1491" spans="1:14" s="3" customFormat="1" ht="17.399999999999999" hidden="1" customHeight="1" outlineLevel="1" x14ac:dyDescent="0.25">
      <c r="A1491" s="7"/>
      <c r="B1491" s="201"/>
      <c r="C1491" s="107"/>
      <c r="D1491" s="107"/>
      <c r="E1491" s="107"/>
      <c r="F1491" s="107"/>
      <c r="G1491" s="108"/>
      <c r="H1491" s="7"/>
      <c r="I1491" s="7"/>
      <c r="J1491" s="7" t="s">
        <v>10</v>
      </c>
      <c r="K1491" s="3" t="s">
        <v>173</v>
      </c>
      <c r="L1491" s="3" t="s">
        <v>9</v>
      </c>
      <c r="M1491" s="3" t="s">
        <v>9</v>
      </c>
      <c r="N1491" s="3">
        <v>2449</v>
      </c>
    </row>
    <row r="1492" spans="1:14" s="7" customFormat="1" ht="17.399999999999999" hidden="1" customHeight="1" outlineLevel="1" thickBot="1" x14ac:dyDescent="0.3">
      <c r="B1492" s="157"/>
      <c r="C1492" s="202"/>
      <c r="D1492" s="202"/>
      <c r="E1492" s="202"/>
      <c r="F1492" s="202"/>
      <c r="G1492" s="203"/>
      <c r="K1492" s="7" t="s">
        <v>173</v>
      </c>
      <c r="L1492" s="7" t="s">
        <v>9</v>
      </c>
      <c r="M1492" s="7" t="s">
        <v>9</v>
      </c>
      <c r="N1492" s="7">
        <v>1767</v>
      </c>
    </row>
    <row r="1493" spans="1:14" s="7" customFormat="1" ht="17.399999999999999" hidden="1" customHeight="1" outlineLevel="1" x14ac:dyDescent="0.25">
      <c r="A1493" s="5"/>
      <c r="B1493" s="401" t="s">
        <v>18</v>
      </c>
      <c r="C1493" s="402"/>
      <c r="D1493" s="402"/>
      <c r="E1493" s="402"/>
      <c r="F1493" s="402"/>
      <c r="G1493" s="403"/>
      <c r="H1493" s="3"/>
      <c r="K1493" s="7" t="s">
        <v>173</v>
      </c>
      <c r="L1493" s="7" t="s">
        <v>9</v>
      </c>
      <c r="M1493" s="7" t="s">
        <v>9</v>
      </c>
      <c r="N1493" s="7">
        <v>1713</v>
      </c>
    </row>
    <row r="1494" spans="1:14" s="7" customFormat="1" ht="17.399999999999999" hidden="1" customHeight="1" outlineLevel="1" x14ac:dyDescent="0.25">
      <c r="A1494" s="5"/>
      <c r="B1494" s="25" t="s">
        <v>2</v>
      </c>
      <c r="C1494" s="26" t="s">
        <v>3</v>
      </c>
      <c r="D1494" s="26" t="s">
        <v>4</v>
      </c>
      <c r="E1494" s="26" t="s">
        <v>5</v>
      </c>
      <c r="F1494" s="26"/>
      <c r="G1494" s="27" t="s">
        <v>6</v>
      </c>
      <c r="H1494" s="3"/>
      <c r="I1494" s="3"/>
      <c r="J1494" s="3"/>
    </row>
    <row r="1495" spans="1:14" s="7" customFormat="1" ht="17.399999999999999" hidden="1" customHeight="1" outlineLevel="1" thickBot="1" x14ac:dyDescent="0.3">
      <c r="B1495" s="204"/>
      <c r="C1495" s="205"/>
      <c r="D1495" s="205"/>
      <c r="E1495" s="205"/>
      <c r="F1495" s="205"/>
      <c r="G1495" s="206"/>
      <c r="I1495" s="3"/>
      <c r="J1495" s="3"/>
    </row>
    <row r="1496" spans="1:14" s="3" customFormat="1" ht="17.399999999999999" hidden="1" customHeight="1" outlineLevel="1" x14ac:dyDescent="0.25">
      <c r="A1496" s="5"/>
      <c r="B1496" s="401" t="s">
        <v>28</v>
      </c>
      <c r="C1496" s="402"/>
      <c r="D1496" s="402"/>
      <c r="E1496" s="402"/>
      <c r="F1496" s="402"/>
      <c r="G1496" s="403"/>
      <c r="I1496" s="7"/>
      <c r="J1496" s="7"/>
    </row>
    <row r="1497" spans="1:14" s="3" customFormat="1" ht="17.399999999999999" hidden="1" customHeight="1" outlineLevel="1" x14ac:dyDescent="0.25">
      <c r="A1497" s="5"/>
      <c r="B1497" s="25" t="s">
        <v>2</v>
      </c>
      <c r="C1497" s="26" t="s">
        <v>3</v>
      </c>
      <c r="D1497" s="26" t="s">
        <v>4</v>
      </c>
      <c r="E1497" s="26"/>
      <c r="F1497" s="26"/>
      <c r="G1497" s="27" t="s">
        <v>6</v>
      </c>
    </row>
    <row r="1498" spans="1:14" s="7" customFormat="1" ht="17.399999999999999" hidden="1" customHeight="1" outlineLevel="1" thickBot="1" x14ac:dyDescent="0.3">
      <c r="B1498" s="156"/>
      <c r="C1498" s="207"/>
      <c r="D1498" s="207"/>
      <c r="E1498" s="207"/>
      <c r="F1498" s="207"/>
      <c r="G1498" s="208"/>
      <c r="I1498" s="3"/>
      <c r="J1498" s="3"/>
    </row>
    <row r="1499" spans="1:14" s="3" customFormat="1" ht="17.399999999999999" hidden="1" customHeight="1" outlineLevel="1" x14ac:dyDescent="0.25">
      <c r="A1499" s="5"/>
      <c r="B1499" s="401" t="s">
        <v>29</v>
      </c>
      <c r="C1499" s="402"/>
      <c r="D1499" s="402"/>
      <c r="E1499" s="402"/>
      <c r="F1499" s="402"/>
      <c r="G1499" s="403"/>
      <c r="I1499" s="7"/>
      <c r="J1499" s="7"/>
    </row>
    <row r="1500" spans="1:14" s="3" customFormat="1" ht="17.399999999999999" hidden="1" customHeight="1" outlineLevel="1" x14ac:dyDescent="0.25">
      <c r="A1500" s="7"/>
      <c r="B1500" s="223"/>
      <c r="C1500" s="224"/>
      <c r="D1500" s="224"/>
      <c r="E1500" s="224"/>
      <c r="F1500" s="224"/>
      <c r="G1500" s="225"/>
      <c r="H1500" s="7"/>
    </row>
    <row r="1501" spans="1:14" s="7" customFormat="1" ht="17.399999999999999" hidden="1" customHeight="1" outlineLevel="1" x14ac:dyDescent="0.25">
      <c r="A1501" s="5"/>
      <c r="B1501" s="212" t="s">
        <v>993</v>
      </c>
      <c r="C1501" s="210"/>
      <c r="D1501" s="210"/>
      <c r="E1501" s="210"/>
      <c r="F1501" s="210"/>
      <c r="G1501" s="211"/>
      <c r="H1501" s="9"/>
      <c r="I1501" s="9"/>
      <c r="J1501" s="9"/>
    </row>
    <row r="1502" spans="1:14" s="3" customFormat="1" ht="17.399999999999999" hidden="1" customHeight="1" outlineLevel="1" x14ac:dyDescent="0.25">
      <c r="A1502" s="7"/>
      <c r="B1502" s="218" t="s">
        <v>1024</v>
      </c>
      <c r="C1502" s="107"/>
      <c r="D1502" s="107"/>
      <c r="E1502" s="107"/>
      <c r="F1502" s="107"/>
      <c r="G1502" s="108"/>
      <c r="H1502" s="7"/>
      <c r="I1502" s="7"/>
      <c r="J1502" s="7"/>
    </row>
    <row r="1503" spans="1:14" s="9" customFormat="1" ht="17.399999999999999" hidden="1" customHeight="1" outlineLevel="1" x14ac:dyDescent="0.25">
      <c r="A1503" s="7"/>
      <c r="B1503" s="226"/>
      <c r="C1503" s="224"/>
      <c r="D1503" s="224"/>
      <c r="E1503" s="224"/>
      <c r="F1503" s="224"/>
      <c r="G1503" s="225"/>
      <c r="H1503" s="7"/>
      <c r="I1503" s="7"/>
      <c r="J1503" s="7"/>
    </row>
    <row r="1504" spans="1:14" s="3" customFormat="1" ht="17.399999999999999" hidden="1" customHeight="1" outlineLevel="1" x14ac:dyDescent="0.25">
      <c r="A1504" s="7"/>
      <c r="B1504" s="218" t="s">
        <v>1025</v>
      </c>
      <c r="C1504" s="107"/>
      <c r="D1504" s="107"/>
      <c r="E1504" s="107"/>
      <c r="F1504" s="107"/>
      <c r="G1504" s="108"/>
      <c r="H1504" s="7"/>
      <c r="I1504" s="7"/>
      <c r="J1504" s="7"/>
    </row>
    <row r="1505" spans="1:14" s="7" customFormat="1" ht="16.2" hidden="1" outlineLevel="1" thickBot="1" x14ac:dyDescent="0.3">
      <c r="B1505" s="157"/>
      <c r="C1505" s="202"/>
      <c r="D1505" s="202"/>
      <c r="E1505" s="202"/>
      <c r="F1505" s="202"/>
      <c r="G1505" s="203"/>
    </row>
    <row r="1506" spans="1:14" s="7" customFormat="1" ht="17.399999999999999" hidden="1" customHeight="1" outlineLevel="1" thickBot="1" x14ac:dyDescent="0.3">
      <c r="A1506" s="5"/>
      <c r="B1506" s="5"/>
      <c r="C1506" s="5"/>
      <c r="D1506" s="5"/>
      <c r="E1506" s="5"/>
      <c r="F1506" s="5"/>
      <c r="G1506" s="5"/>
      <c r="H1506" s="5"/>
    </row>
    <row r="1507" spans="1:14" s="7" customFormat="1" ht="17.399999999999999" customHeight="1" collapsed="1" thickBot="1" x14ac:dyDescent="0.3">
      <c r="A1507" s="5"/>
      <c r="B1507" s="15" t="s">
        <v>1279</v>
      </c>
      <c r="C1507" s="16" t="s">
        <v>2180</v>
      </c>
      <c r="D1507" s="17" t="s">
        <v>1281</v>
      </c>
      <c r="E1507" s="227" t="s">
        <v>1026</v>
      </c>
      <c r="F1507" s="17" t="s">
        <v>1282</v>
      </c>
      <c r="G1507" s="18" t="s">
        <v>2181</v>
      </c>
      <c r="H1507" s="3"/>
      <c r="I1507" s="5"/>
      <c r="J1507" s="5"/>
    </row>
    <row r="1508" spans="1:14" s="7" customFormat="1" ht="17.399999999999999" hidden="1" customHeight="1" outlineLevel="1" thickBot="1" x14ac:dyDescent="0.3">
      <c r="A1508" s="5"/>
      <c r="B1508" s="19" t="s">
        <v>1284</v>
      </c>
      <c r="C1508" s="20" t="s">
        <v>1285</v>
      </c>
      <c r="D1508" s="21" t="s">
        <v>1286</v>
      </c>
      <c r="E1508" s="20" t="s">
        <v>2182</v>
      </c>
      <c r="F1508" s="21" t="s">
        <v>1288</v>
      </c>
      <c r="G1508" s="22" t="s">
        <v>1397</v>
      </c>
      <c r="H1508" s="3"/>
      <c r="I1508" s="3"/>
      <c r="J1508" s="3"/>
    </row>
    <row r="1509" spans="1:14" s="5" customFormat="1" ht="17.399999999999999" hidden="1" customHeight="1" outlineLevel="1" x14ac:dyDescent="0.25">
      <c r="B1509" s="5" t="s">
        <v>1290</v>
      </c>
      <c r="C1509" s="15" t="s">
        <v>1291</v>
      </c>
      <c r="D1509" s="16" t="s">
        <v>1292</v>
      </c>
      <c r="E1509" s="17">
        <v>5</v>
      </c>
      <c r="F1509" s="16" t="s">
        <v>1293</v>
      </c>
      <c r="G1509" s="17" t="s">
        <v>1294</v>
      </c>
      <c r="H1509" s="3"/>
      <c r="I1509" s="3"/>
      <c r="J1509" s="3"/>
    </row>
    <row r="1510" spans="1:14" s="3" customFormat="1" ht="17.399999999999999" hidden="1" customHeight="1" outlineLevel="1" x14ac:dyDescent="0.25">
      <c r="A1510" s="5"/>
      <c r="B1510" s="5" t="s">
        <v>1</v>
      </c>
      <c r="C1510" s="19"/>
      <c r="D1510" s="20"/>
      <c r="E1510" s="21"/>
      <c r="F1510" s="20"/>
      <c r="G1510" s="21"/>
    </row>
    <row r="1511" spans="1:14" s="3" customFormat="1" ht="17.399999999999999" hidden="1" customHeight="1" outlineLevel="1" x14ac:dyDescent="0.25">
      <c r="A1511" s="5"/>
      <c r="B1511" s="25" t="s">
        <v>2</v>
      </c>
      <c r="C1511" s="26" t="s">
        <v>3</v>
      </c>
      <c r="D1511" s="26" t="s">
        <v>4</v>
      </c>
      <c r="E1511" s="26" t="s">
        <v>5</v>
      </c>
      <c r="F1511" s="26"/>
      <c r="G1511" s="27" t="s">
        <v>6</v>
      </c>
    </row>
    <row r="1512" spans="1:14" s="3" customFormat="1" ht="17.399999999999999" hidden="1" customHeight="1" outlineLevel="1" x14ac:dyDescent="0.25">
      <c r="B1512" s="28" t="s">
        <v>7</v>
      </c>
      <c r="C1512" s="29" t="s">
        <v>1468</v>
      </c>
      <c r="D1512" s="29" t="s">
        <v>1469</v>
      </c>
      <c r="E1512" s="29">
        <v>0</v>
      </c>
      <c r="F1512" s="29" t="s">
        <v>1470</v>
      </c>
      <c r="G1512" s="30" t="s">
        <v>1471</v>
      </c>
    </row>
    <row r="1513" spans="1:14" s="3" customFormat="1" ht="17.399999999999999" hidden="1" customHeight="1" outlineLevel="1" x14ac:dyDescent="0.25">
      <c r="B1513" s="28" t="s">
        <v>188</v>
      </c>
      <c r="C1513" s="29" t="s">
        <v>1607</v>
      </c>
      <c r="D1513" s="29" t="s">
        <v>1606</v>
      </c>
      <c r="E1513" s="29" t="s">
        <v>1594</v>
      </c>
      <c r="F1513" s="29"/>
      <c r="G1513" s="30"/>
      <c r="J1513" s="3" t="s">
        <v>10</v>
      </c>
    </row>
    <row r="1514" spans="1:14" s="3" customFormat="1" ht="17.399999999999999" hidden="1" customHeight="1" outlineLevel="1" x14ac:dyDescent="0.25">
      <c r="A1514" s="5"/>
      <c r="B1514" s="31" t="s">
        <v>15</v>
      </c>
      <c r="C1514" s="20" t="s">
        <v>1478</v>
      </c>
      <c r="D1514" s="20" t="s">
        <v>1469</v>
      </c>
      <c r="E1514" s="20">
        <v>0</v>
      </c>
      <c r="F1514" s="20" t="s">
        <v>1470</v>
      </c>
      <c r="G1514" s="22"/>
      <c r="J1514" s="3" t="s">
        <v>187</v>
      </c>
    </row>
    <row r="1515" spans="1:14" s="3" customFormat="1" hidden="1" outlineLevel="1" x14ac:dyDescent="0.25">
      <c r="A1515" s="5"/>
      <c r="B1515" s="31" t="s">
        <v>87</v>
      </c>
      <c r="C1515" s="20" t="s">
        <v>1535</v>
      </c>
      <c r="D1515" s="20" t="s">
        <v>1469</v>
      </c>
      <c r="E1515" s="20">
        <v>0</v>
      </c>
      <c r="F1515" s="20" t="s">
        <v>1476</v>
      </c>
      <c r="G1515" s="22"/>
      <c r="J1515" s="3" t="s">
        <v>10</v>
      </c>
      <c r="K1515" s="3" t="s">
        <v>173</v>
      </c>
      <c r="L1515" s="3" t="s">
        <v>9</v>
      </c>
      <c r="M1515" s="3" t="s">
        <v>9</v>
      </c>
      <c r="N1515" s="3">
        <v>1112</v>
      </c>
    </row>
    <row r="1516" spans="1:14" s="3" customFormat="1" hidden="1" outlineLevel="1" x14ac:dyDescent="0.25">
      <c r="A1516" s="5"/>
      <c r="B1516" s="228" t="s">
        <v>128</v>
      </c>
      <c r="C1516" s="228" t="s">
        <v>1566</v>
      </c>
      <c r="D1516" s="228" t="s">
        <v>1567</v>
      </c>
      <c r="E1516" s="228">
        <v>0</v>
      </c>
      <c r="F1516" s="228" t="s">
        <v>1470</v>
      </c>
      <c r="G1516" s="228"/>
      <c r="J1516" s="3" t="s">
        <v>10</v>
      </c>
      <c r="K1516" s="3" t="s">
        <v>438</v>
      </c>
      <c r="L1516" s="3" t="s">
        <v>537</v>
      </c>
      <c r="M1516" s="3" t="s">
        <v>187</v>
      </c>
      <c r="N1516" s="3">
        <v>2156</v>
      </c>
    </row>
    <row r="1517" spans="1:14" s="3" customFormat="1" hidden="1" outlineLevel="1" x14ac:dyDescent="0.25">
      <c r="A1517" s="5"/>
      <c r="B1517" s="228" t="s">
        <v>114</v>
      </c>
      <c r="C1517" s="228" t="s">
        <v>1557</v>
      </c>
      <c r="D1517" s="228" t="s">
        <v>1469</v>
      </c>
      <c r="E1517" s="228">
        <v>-1</v>
      </c>
      <c r="F1517" s="228" t="s">
        <v>1470</v>
      </c>
      <c r="G1517" s="228"/>
      <c r="J1517" s="3" t="s">
        <v>12</v>
      </c>
      <c r="K1517" s="3" t="s">
        <v>173</v>
      </c>
      <c r="L1517" s="3" t="s">
        <v>9</v>
      </c>
      <c r="M1517" s="3" t="s">
        <v>9</v>
      </c>
      <c r="N1517" s="3">
        <v>2430</v>
      </c>
    </row>
    <row r="1518" spans="1:14" s="3" customFormat="1" ht="16.2" hidden="1" outlineLevel="1" thickBot="1" x14ac:dyDescent="0.3">
      <c r="A1518" s="5"/>
      <c r="B1518" s="31"/>
      <c r="C1518" s="20"/>
      <c r="D1518" s="20"/>
      <c r="E1518" s="20"/>
      <c r="F1518" s="20"/>
      <c r="G1518" s="22"/>
      <c r="J1518" s="3" t="s">
        <v>10</v>
      </c>
      <c r="K1518" s="3" t="s">
        <v>173</v>
      </c>
      <c r="L1518" s="3" t="s">
        <v>9</v>
      </c>
      <c r="M1518" s="3" t="s">
        <v>9</v>
      </c>
      <c r="N1518" s="3">
        <v>2433</v>
      </c>
    </row>
    <row r="1519" spans="1:14" s="3" customFormat="1" ht="17.399999999999999" hidden="1" customHeight="1" outlineLevel="1" x14ac:dyDescent="0.25">
      <c r="A1519" s="5"/>
      <c r="B1519" s="401" t="s">
        <v>18</v>
      </c>
      <c r="C1519" s="402"/>
      <c r="D1519" s="402"/>
      <c r="E1519" s="402"/>
      <c r="F1519" s="402"/>
      <c r="G1519" s="403"/>
      <c r="K1519" s="3" t="s">
        <v>174</v>
      </c>
      <c r="L1519" s="3" t="s">
        <v>175</v>
      </c>
      <c r="M1519" s="3" t="s">
        <v>176</v>
      </c>
      <c r="N1519" s="3">
        <v>1629</v>
      </c>
    </row>
    <row r="1520" spans="1:14" s="3" customFormat="1" ht="17.399999999999999" hidden="1" customHeight="1" outlineLevel="1" x14ac:dyDescent="0.25">
      <c r="A1520" s="5"/>
      <c r="B1520" s="25" t="s">
        <v>2</v>
      </c>
      <c r="C1520" s="26" t="s">
        <v>3</v>
      </c>
      <c r="D1520" s="26" t="s">
        <v>4</v>
      </c>
      <c r="E1520" s="26" t="s">
        <v>5</v>
      </c>
      <c r="F1520" s="26"/>
      <c r="G1520" s="27" t="s">
        <v>6</v>
      </c>
      <c r="K1520" s="3" t="s">
        <v>173</v>
      </c>
      <c r="L1520" s="3" t="s">
        <v>9</v>
      </c>
      <c r="M1520" s="3" t="s">
        <v>9</v>
      </c>
      <c r="N1520" s="3">
        <v>2449</v>
      </c>
    </row>
    <row r="1521" spans="1:10" s="3" customFormat="1" ht="17.399999999999999" hidden="1" customHeight="1" outlineLevel="1" thickBot="1" x14ac:dyDescent="0.3">
      <c r="A1521" s="5"/>
      <c r="B1521" s="31"/>
      <c r="C1521" s="20"/>
      <c r="D1521" s="20"/>
      <c r="E1521" s="20"/>
      <c r="F1521" s="20"/>
      <c r="G1521" s="22"/>
    </row>
    <row r="1522" spans="1:10" s="3" customFormat="1" ht="17.399999999999999" hidden="1" customHeight="1" outlineLevel="1" x14ac:dyDescent="0.25">
      <c r="A1522" s="5"/>
      <c r="B1522" s="401" t="s">
        <v>28</v>
      </c>
      <c r="C1522" s="402"/>
      <c r="D1522" s="402"/>
      <c r="E1522" s="402"/>
      <c r="F1522" s="402"/>
      <c r="G1522" s="403"/>
    </row>
    <row r="1523" spans="1:10" s="3" customFormat="1" ht="17.399999999999999" hidden="1" customHeight="1" outlineLevel="1" x14ac:dyDescent="0.25">
      <c r="A1523" s="5"/>
      <c r="B1523" s="116"/>
      <c r="C1523" s="117"/>
      <c r="D1523" s="117"/>
      <c r="E1523" s="117"/>
      <c r="F1523" s="117"/>
      <c r="G1523" s="105"/>
    </row>
    <row r="1524" spans="1:10" s="3" customFormat="1" ht="17.399999999999999" hidden="1" customHeight="1" outlineLevel="1" thickBot="1" x14ac:dyDescent="0.3">
      <c r="A1524" s="5"/>
      <c r="B1524" s="116"/>
      <c r="C1524" s="117"/>
      <c r="D1524" s="117"/>
      <c r="E1524" s="117"/>
      <c r="F1524" s="117"/>
      <c r="G1524" s="105"/>
    </row>
    <row r="1525" spans="1:10" s="3" customFormat="1" ht="17.399999999999999" hidden="1" customHeight="1" outlineLevel="1" x14ac:dyDescent="0.25">
      <c r="A1525" s="5"/>
      <c r="B1525" s="401" t="s">
        <v>29</v>
      </c>
      <c r="C1525" s="402"/>
      <c r="D1525" s="402"/>
      <c r="E1525" s="402"/>
      <c r="F1525" s="402"/>
      <c r="G1525" s="403"/>
    </row>
    <row r="1526" spans="1:10" s="3" customFormat="1" ht="17.399999999999999" hidden="1" customHeight="1" outlineLevel="1" x14ac:dyDescent="0.25">
      <c r="A1526" s="5"/>
      <c r="B1526" s="201"/>
      <c r="C1526" s="107"/>
      <c r="D1526" s="107"/>
      <c r="E1526" s="107"/>
      <c r="F1526" s="107"/>
      <c r="G1526" s="108"/>
    </row>
    <row r="1527" spans="1:10" s="3" customFormat="1" ht="17.399999999999999" hidden="1" customHeight="1" outlineLevel="1" x14ac:dyDescent="0.25">
      <c r="A1527" s="5"/>
      <c r="B1527" s="106"/>
      <c r="C1527" s="107"/>
      <c r="D1527" s="107"/>
      <c r="E1527" s="107"/>
      <c r="F1527" s="107"/>
      <c r="G1527" s="108"/>
      <c r="H1527" s="5"/>
    </row>
    <row r="1528" spans="1:10" s="3" customFormat="1" ht="17.399999999999999" hidden="1" customHeight="1" outlineLevel="1" x14ac:dyDescent="0.25">
      <c r="A1528" s="5"/>
      <c r="B1528" s="218" t="s">
        <v>1027</v>
      </c>
      <c r="C1528" s="107"/>
      <c r="D1528" s="107"/>
      <c r="E1528" s="107"/>
      <c r="F1528" s="107"/>
      <c r="G1528" s="108"/>
    </row>
    <row r="1529" spans="1:10" s="3" customFormat="1" ht="17.399999999999999" hidden="1" customHeight="1" outlineLevel="1" x14ac:dyDescent="0.25">
      <c r="A1529" s="5"/>
      <c r="B1529" s="218"/>
      <c r="C1529" s="107"/>
      <c r="D1529" s="107"/>
      <c r="E1529" s="107"/>
      <c r="F1529" s="107"/>
      <c r="G1529" s="108"/>
      <c r="I1529" s="5"/>
      <c r="J1529" s="5"/>
    </row>
    <row r="1530" spans="1:10" s="3" customFormat="1" ht="17.399999999999999" hidden="1" customHeight="1" outlineLevel="1" x14ac:dyDescent="0.25">
      <c r="A1530" s="5"/>
      <c r="B1530" s="106" t="s">
        <v>1028</v>
      </c>
      <c r="C1530" s="107"/>
      <c r="D1530" s="107"/>
      <c r="E1530" s="107"/>
      <c r="F1530" s="107"/>
      <c r="G1530" s="108"/>
      <c r="H1530" s="5"/>
    </row>
    <row r="1531" spans="1:10" s="3" customFormat="1" ht="17.399999999999999" hidden="1" customHeight="1" outlineLevel="1" x14ac:dyDescent="0.25">
      <c r="A1531" s="5"/>
      <c r="B1531" s="106" t="s">
        <v>805</v>
      </c>
      <c r="C1531" s="107"/>
      <c r="D1531" s="107"/>
      <c r="E1531" s="107"/>
      <c r="F1531" s="107"/>
      <c r="G1531" s="108"/>
      <c r="H1531" s="5"/>
    </row>
    <row r="1532" spans="1:10" s="3" customFormat="1" ht="17.399999999999999" hidden="1" customHeight="1" outlineLevel="1" x14ac:dyDescent="0.25">
      <c r="A1532" s="5"/>
      <c r="B1532" s="229"/>
      <c r="C1532" s="207"/>
      <c r="D1532" s="207"/>
      <c r="E1532" s="207"/>
      <c r="F1532" s="207"/>
      <c r="G1532" s="208"/>
      <c r="H1532" s="5"/>
    </row>
    <row r="1533" spans="1:10" s="9" customFormat="1" ht="17.399999999999999" hidden="1" customHeight="1" outlineLevel="1" x14ac:dyDescent="0.25">
      <c r="A1533" s="5"/>
      <c r="B1533" s="31" t="s">
        <v>702</v>
      </c>
      <c r="C1533" s="20"/>
      <c r="D1533" s="20"/>
      <c r="E1533" s="20"/>
      <c r="F1533" s="20"/>
      <c r="G1533" s="22"/>
      <c r="H1533" s="3"/>
      <c r="I1533" s="3"/>
      <c r="J1533" s="45"/>
    </row>
    <row r="1534" spans="1:10" s="3" customFormat="1" hidden="1" outlineLevel="1" x14ac:dyDescent="0.25">
      <c r="A1534" s="5"/>
      <c r="B1534" s="46" t="s">
        <v>995</v>
      </c>
      <c r="C1534" s="20"/>
      <c r="D1534" s="20"/>
      <c r="E1534" s="20"/>
      <c r="F1534" s="20"/>
      <c r="G1534" s="22"/>
      <c r="J1534" s="45"/>
    </row>
    <row r="1535" spans="1:10" s="3" customFormat="1" hidden="1" outlineLevel="1" x14ac:dyDescent="0.25">
      <c r="A1535" s="5"/>
      <c r="B1535" s="46" t="s">
        <v>821</v>
      </c>
      <c r="C1535" s="20"/>
      <c r="D1535" s="20"/>
      <c r="E1535" s="20"/>
      <c r="F1535" s="20"/>
      <c r="G1535" s="22"/>
      <c r="J1535" s="230"/>
    </row>
    <row r="1536" spans="1:10" s="3" customFormat="1" hidden="1" outlineLevel="1" x14ac:dyDescent="0.25">
      <c r="A1536" s="5"/>
      <c r="B1536" s="46" t="s">
        <v>1029</v>
      </c>
      <c r="C1536" s="20"/>
      <c r="D1536" s="20"/>
      <c r="E1536" s="20"/>
      <c r="F1536" s="20"/>
      <c r="G1536" s="22"/>
      <c r="J1536" s="230"/>
    </row>
    <row r="1537" spans="1:10" s="3" customFormat="1" hidden="1" outlineLevel="1" x14ac:dyDescent="0.25">
      <c r="A1537" s="5"/>
      <c r="B1537" s="46" t="s">
        <v>2319</v>
      </c>
      <c r="C1537" s="20"/>
      <c r="D1537" s="20"/>
      <c r="E1537" s="20"/>
      <c r="F1537" s="20"/>
      <c r="G1537" s="22"/>
      <c r="J1537" s="230"/>
    </row>
    <row r="1538" spans="1:10" s="3" customFormat="1" hidden="1" outlineLevel="1" x14ac:dyDescent="0.25">
      <c r="A1538" s="5"/>
      <c r="B1538" s="46" t="s">
        <v>2320</v>
      </c>
      <c r="C1538" s="20"/>
      <c r="D1538" s="20"/>
      <c r="E1538" s="20"/>
      <c r="F1538" s="20"/>
      <c r="G1538" s="22"/>
      <c r="J1538" s="230"/>
    </row>
    <row r="1539" spans="1:10" s="3" customFormat="1" hidden="1" outlineLevel="1" x14ac:dyDescent="0.25">
      <c r="A1539" s="5"/>
      <c r="B1539" s="46" t="s">
        <v>1030</v>
      </c>
      <c r="C1539" s="20"/>
      <c r="D1539" s="20"/>
      <c r="E1539" s="20"/>
      <c r="F1539" s="20"/>
      <c r="G1539" s="22"/>
      <c r="J1539" s="230"/>
    </row>
    <row r="1540" spans="1:10" s="3" customFormat="1" hidden="1" outlineLevel="1" x14ac:dyDescent="0.25">
      <c r="A1540" s="5"/>
      <c r="B1540" s="46" t="s">
        <v>824</v>
      </c>
      <c r="C1540" s="20"/>
      <c r="D1540" s="20"/>
      <c r="E1540" s="20"/>
      <c r="F1540" s="20"/>
      <c r="G1540" s="22"/>
      <c r="J1540" s="230"/>
    </row>
    <row r="1541" spans="1:10" s="3" customFormat="1" hidden="1" outlineLevel="1" x14ac:dyDescent="0.25">
      <c r="A1541" s="5"/>
      <c r="B1541" s="46" t="s">
        <v>1031</v>
      </c>
      <c r="C1541" s="20"/>
      <c r="D1541" s="20"/>
      <c r="E1541" s="20"/>
      <c r="F1541" s="20"/>
      <c r="G1541" s="22"/>
      <c r="J1541" s="230"/>
    </row>
    <row r="1542" spans="1:10" s="3" customFormat="1" hidden="1" outlineLevel="1" x14ac:dyDescent="0.25">
      <c r="A1542" s="5"/>
      <c r="B1542" s="46" t="s">
        <v>2284</v>
      </c>
      <c r="C1542" s="20"/>
      <c r="D1542" s="20"/>
      <c r="E1542" s="20"/>
      <c r="F1542" s="20"/>
      <c r="G1542" s="22"/>
    </row>
    <row r="1543" spans="1:10" s="3" customFormat="1" hidden="1" outlineLevel="1" x14ac:dyDescent="0.25">
      <c r="A1543" s="5"/>
      <c r="B1543" s="46" t="s">
        <v>2285</v>
      </c>
      <c r="C1543" s="20"/>
      <c r="D1543" s="20"/>
      <c r="E1543" s="20"/>
      <c r="F1543" s="20"/>
      <c r="G1543" s="22"/>
    </row>
    <row r="1544" spans="1:10" s="3" customFormat="1" hidden="1" outlineLevel="1" x14ac:dyDescent="0.25">
      <c r="A1544" s="5"/>
      <c r="B1544" s="46" t="s">
        <v>1032</v>
      </c>
      <c r="C1544" s="20"/>
      <c r="D1544" s="20"/>
      <c r="E1544" s="20"/>
      <c r="F1544" s="20"/>
      <c r="G1544" s="22"/>
    </row>
    <row r="1545" spans="1:10" s="3" customFormat="1" hidden="1" outlineLevel="1" x14ac:dyDescent="0.25">
      <c r="A1545" s="5"/>
      <c r="B1545" s="46"/>
      <c r="C1545" s="20"/>
      <c r="D1545" s="20"/>
      <c r="E1545" s="20"/>
      <c r="F1545" s="20"/>
      <c r="G1545" s="22"/>
    </row>
    <row r="1546" spans="1:10" s="3" customFormat="1" hidden="1" outlineLevel="1" x14ac:dyDescent="0.25">
      <c r="A1546" s="5"/>
      <c r="B1546" s="50" t="s">
        <v>1033</v>
      </c>
      <c r="C1546" s="20"/>
      <c r="D1546" s="20"/>
      <c r="E1546" s="20"/>
      <c r="F1546" s="20"/>
      <c r="G1546" s="22"/>
    </row>
    <row r="1547" spans="1:10" s="3" customFormat="1" ht="17.399999999999999" hidden="1" customHeight="1" outlineLevel="1" x14ac:dyDescent="0.25">
      <c r="A1547" s="5"/>
      <c r="B1547" s="218" t="s">
        <v>1034</v>
      </c>
      <c r="C1547" s="107"/>
      <c r="D1547" s="107"/>
      <c r="E1547" s="107"/>
      <c r="F1547" s="107"/>
      <c r="G1547" s="108"/>
      <c r="I1547" s="5"/>
      <c r="J1547" s="5"/>
    </row>
    <row r="1548" spans="1:10" s="3" customFormat="1" ht="17.399999999999999" hidden="1" customHeight="1" outlineLevel="1" x14ac:dyDescent="0.25">
      <c r="A1548" s="5"/>
      <c r="B1548" s="201" t="s">
        <v>1035</v>
      </c>
      <c r="C1548" s="107"/>
      <c r="D1548" s="107"/>
      <c r="E1548" s="107"/>
      <c r="F1548" s="107"/>
      <c r="G1548" s="129"/>
    </row>
    <row r="1549" spans="1:10" s="3" customFormat="1" ht="17.399999999999999" hidden="1" customHeight="1" outlineLevel="1" x14ac:dyDescent="0.25">
      <c r="A1549" s="5"/>
      <c r="B1549" s="128" t="s">
        <v>1036</v>
      </c>
      <c r="C1549" s="107"/>
      <c r="D1549" s="107"/>
      <c r="E1549" s="107"/>
      <c r="F1549" s="107"/>
      <c r="G1549" s="129"/>
    </row>
    <row r="1550" spans="1:10" s="3" customFormat="1" hidden="1" outlineLevel="1" x14ac:dyDescent="0.25">
      <c r="A1550" s="5"/>
      <c r="B1550" s="50" t="s">
        <v>726</v>
      </c>
      <c r="C1550" s="20"/>
      <c r="D1550" s="20"/>
      <c r="E1550" s="20"/>
      <c r="F1550" s="20"/>
      <c r="G1550" s="22"/>
    </row>
    <row r="1551" spans="1:10" s="3" customFormat="1" ht="17.399999999999999" hidden="1" customHeight="1" outlineLevel="1" x14ac:dyDescent="0.25">
      <c r="A1551" s="5"/>
      <c r="B1551" s="218"/>
      <c r="C1551" s="107"/>
      <c r="D1551" s="107"/>
      <c r="E1551" s="107"/>
      <c r="F1551" s="107"/>
      <c r="G1551" s="108"/>
      <c r="I1551" s="5"/>
      <c r="J1551" s="5"/>
    </row>
    <row r="1552" spans="1:10" s="3" customFormat="1" ht="17.399999999999999" hidden="1" customHeight="1" outlineLevel="1" x14ac:dyDescent="0.25">
      <c r="A1552" s="5"/>
      <c r="B1552" s="201"/>
      <c r="C1552" s="107"/>
      <c r="D1552" s="107"/>
      <c r="E1552" s="107"/>
      <c r="F1552" s="107"/>
      <c r="G1552" s="108"/>
    </row>
    <row r="1553" spans="1:14" s="3" customFormat="1" ht="17.399999999999999" hidden="1" customHeight="1" outlineLevel="1" thickBot="1" x14ac:dyDescent="0.3">
      <c r="A1553" s="5"/>
      <c r="B1553" s="157"/>
      <c r="C1553" s="202"/>
      <c r="D1553" s="202"/>
      <c r="E1553" s="202"/>
      <c r="F1553" s="202"/>
      <c r="G1553" s="203"/>
    </row>
    <row r="1554" spans="1:14" s="3" customFormat="1" ht="17.399999999999999" hidden="1" customHeight="1" outlineLevel="1" thickBot="1" x14ac:dyDescent="0.3">
      <c r="A1554" s="5"/>
    </row>
    <row r="1555" spans="1:14" s="3" customFormat="1" ht="17.399999999999999" customHeight="1" collapsed="1" thickBot="1" x14ac:dyDescent="0.3">
      <c r="A1555" s="5"/>
      <c r="B1555" s="15" t="s">
        <v>1279</v>
      </c>
      <c r="C1555" s="16" t="s">
        <v>2183</v>
      </c>
      <c r="D1555" s="17" t="s">
        <v>1281</v>
      </c>
      <c r="E1555" s="227" t="s">
        <v>1037</v>
      </c>
      <c r="F1555" s="17" t="s">
        <v>1282</v>
      </c>
      <c r="G1555" s="18" t="s">
        <v>2184</v>
      </c>
    </row>
    <row r="1556" spans="1:14" s="3" customFormat="1" ht="17.399999999999999" hidden="1" customHeight="1" outlineLevel="1" x14ac:dyDescent="0.25">
      <c r="A1556" s="5"/>
      <c r="B1556" s="19" t="s">
        <v>1284</v>
      </c>
      <c r="C1556" s="20" t="s">
        <v>1285</v>
      </c>
      <c r="D1556" s="21" t="s">
        <v>1286</v>
      </c>
      <c r="E1556" s="20" t="s">
        <v>2185</v>
      </c>
      <c r="F1556" s="21" t="s">
        <v>1288</v>
      </c>
      <c r="G1556" s="22" t="s">
        <v>1401</v>
      </c>
    </row>
    <row r="1557" spans="1:14" s="3" customFormat="1" ht="17.399999999999999" hidden="1" customHeight="1" outlineLevel="1" thickBot="1" x14ac:dyDescent="0.3">
      <c r="A1557" s="5"/>
      <c r="B1557" s="19" t="s">
        <v>1290</v>
      </c>
      <c r="C1557" s="23" t="s">
        <v>1291</v>
      </c>
      <c r="D1557" s="21" t="s">
        <v>1292</v>
      </c>
      <c r="E1557" s="23">
        <v>5</v>
      </c>
      <c r="F1557" s="21" t="s">
        <v>1293</v>
      </c>
      <c r="G1557" s="24" t="s">
        <v>1294</v>
      </c>
    </row>
    <row r="1558" spans="1:14" s="3" customFormat="1" ht="17.399999999999999" hidden="1" customHeight="1" outlineLevel="1" x14ac:dyDescent="0.25">
      <c r="A1558" s="5"/>
      <c r="B1558" s="401" t="s">
        <v>1</v>
      </c>
      <c r="C1558" s="402"/>
      <c r="D1558" s="402"/>
      <c r="E1558" s="402"/>
      <c r="F1558" s="402"/>
      <c r="G1558" s="403"/>
    </row>
    <row r="1559" spans="1:14" s="3" customFormat="1" ht="17.399999999999999" hidden="1" customHeight="1" outlineLevel="1" x14ac:dyDescent="0.25">
      <c r="A1559" s="5"/>
      <c r="B1559" s="25" t="s">
        <v>2</v>
      </c>
      <c r="C1559" s="26" t="s">
        <v>3</v>
      </c>
      <c r="D1559" s="26" t="s">
        <v>4</v>
      </c>
      <c r="E1559" s="26" t="s">
        <v>5</v>
      </c>
      <c r="F1559" s="26"/>
      <c r="G1559" s="27" t="s">
        <v>6</v>
      </c>
    </row>
    <row r="1560" spans="1:14" s="3" customFormat="1" ht="17.399999999999999" hidden="1" customHeight="1" outlineLevel="1" x14ac:dyDescent="0.25">
      <c r="B1560" s="28" t="s">
        <v>7</v>
      </c>
      <c r="C1560" s="29" t="s">
        <v>1468</v>
      </c>
      <c r="D1560" s="29" t="s">
        <v>1469</v>
      </c>
      <c r="E1560" s="29">
        <v>0</v>
      </c>
      <c r="F1560" s="29" t="s">
        <v>1470</v>
      </c>
      <c r="G1560" s="30" t="s">
        <v>1471</v>
      </c>
    </row>
    <row r="1561" spans="1:14" s="3" customFormat="1" ht="17.399999999999999" hidden="1" customHeight="1" outlineLevel="1" x14ac:dyDescent="0.25">
      <c r="B1561" s="28" t="s">
        <v>188</v>
      </c>
      <c r="C1561" s="29" t="s">
        <v>1607</v>
      </c>
      <c r="D1561" s="29" t="s">
        <v>1606</v>
      </c>
      <c r="E1561" s="29" t="s">
        <v>1594</v>
      </c>
      <c r="F1561" s="29"/>
      <c r="G1561" s="30"/>
      <c r="J1561" s="3" t="s">
        <v>10</v>
      </c>
    </row>
    <row r="1562" spans="1:14" s="3" customFormat="1" ht="17.399999999999999" hidden="1" customHeight="1" outlineLevel="1" x14ac:dyDescent="0.25">
      <c r="A1562" s="5"/>
      <c r="B1562" s="31" t="s">
        <v>15</v>
      </c>
      <c r="C1562" s="20" t="s">
        <v>1478</v>
      </c>
      <c r="D1562" s="20" t="s">
        <v>1469</v>
      </c>
      <c r="E1562" s="20">
        <v>0</v>
      </c>
      <c r="F1562" s="20" t="s">
        <v>1470</v>
      </c>
      <c r="G1562" s="22"/>
      <c r="J1562" s="3" t="s">
        <v>187</v>
      </c>
    </row>
    <row r="1563" spans="1:14" s="3" customFormat="1" hidden="1" outlineLevel="1" x14ac:dyDescent="0.25">
      <c r="A1563" s="5"/>
      <c r="B1563" s="228" t="s">
        <v>87</v>
      </c>
      <c r="C1563" s="228" t="s">
        <v>1535</v>
      </c>
      <c r="D1563" s="228" t="s">
        <v>1469</v>
      </c>
      <c r="E1563" s="228">
        <v>0</v>
      </c>
      <c r="F1563" s="228" t="s">
        <v>1476</v>
      </c>
      <c r="G1563" s="228"/>
      <c r="J1563" s="3" t="s">
        <v>10</v>
      </c>
      <c r="K1563" s="3" t="s">
        <v>173</v>
      </c>
      <c r="L1563" s="3" t="s">
        <v>9</v>
      </c>
      <c r="M1563" s="3" t="s">
        <v>9</v>
      </c>
      <c r="N1563" s="3">
        <v>1112</v>
      </c>
    </row>
    <row r="1564" spans="1:14" s="3" customFormat="1" hidden="1" outlineLevel="1" x14ac:dyDescent="0.25">
      <c r="A1564" s="5"/>
      <c r="B1564" s="228" t="s">
        <v>11</v>
      </c>
      <c r="C1564" s="228" t="s">
        <v>1472</v>
      </c>
      <c r="D1564" s="228" t="s">
        <v>1469</v>
      </c>
      <c r="E1564" s="228">
        <v>0</v>
      </c>
      <c r="F1564" s="228" t="s">
        <v>1470</v>
      </c>
      <c r="G1564" s="228" t="s">
        <v>1473</v>
      </c>
      <c r="J1564" s="3" t="s">
        <v>10</v>
      </c>
      <c r="K1564" s="3" t="s">
        <v>438</v>
      </c>
      <c r="L1564" s="3" t="s">
        <v>537</v>
      </c>
      <c r="M1564" s="3" t="s">
        <v>187</v>
      </c>
      <c r="N1564" s="3">
        <v>2156</v>
      </c>
    </row>
    <row r="1565" spans="1:14" s="3" customFormat="1" hidden="1" outlineLevel="1" x14ac:dyDescent="0.25">
      <c r="A1565" s="5"/>
      <c r="B1565" s="231" t="s">
        <v>128</v>
      </c>
      <c r="C1565" s="231" t="s">
        <v>1566</v>
      </c>
      <c r="D1565" s="231" t="s">
        <v>1567</v>
      </c>
      <c r="E1565" s="231">
        <v>0</v>
      </c>
      <c r="F1565" s="231" t="s">
        <v>1470</v>
      </c>
      <c r="G1565" s="231"/>
      <c r="J1565" s="3" t="s">
        <v>12</v>
      </c>
      <c r="K1565" s="3" t="s">
        <v>173</v>
      </c>
      <c r="L1565" s="3" t="s">
        <v>9</v>
      </c>
      <c r="M1565" s="3" t="s">
        <v>9</v>
      </c>
      <c r="N1565" s="3">
        <v>2430</v>
      </c>
    </row>
    <row r="1566" spans="1:14" s="3" customFormat="1" ht="17.399999999999999" hidden="1" customHeight="1" outlineLevel="1" x14ac:dyDescent="0.25">
      <c r="A1566" s="5"/>
      <c r="B1566" s="231" t="s">
        <v>114</v>
      </c>
      <c r="C1566" s="231" t="s">
        <v>1557</v>
      </c>
      <c r="D1566" s="231" t="s">
        <v>1469</v>
      </c>
      <c r="E1566" s="231">
        <v>-1</v>
      </c>
      <c r="F1566" s="231" t="s">
        <v>1470</v>
      </c>
      <c r="G1566" s="231"/>
      <c r="J1566" s="3" t="s">
        <v>12</v>
      </c>
      <c r="K1566" s="3" t="s">
        <v>173</v>
      </c>
      <c r="L1566" s="3" t="s">
        <v>9</v>
      </c>
      <c r="M1566" s="3" t="s">
        <v>9</v>
      </c>
      <c r="N1566" s="3">
        <v>2433</v>
      </c>
    </row>
    <row r="1567" spans="1:14" s="3" customFormat="1" ht="17.399999999999999" hidden="1" customHeight="1" outlineLevel="1" thickBot="1" x14ac:dyDescent="0.3">
      <c r="A1567" s="5"/>
      <c r="B1567" s="52"/>
      <c r="C1567" s="53"/>
      <c r="D1567" s="53"/>
      <c r="E1567" s="53"/>
      <c r="F1567" s="53"/>
      <c r="G1567" s="54"/>
      <c r="J1567" s="3" t="s">
        <v>10</v>
      </c>
      <c r="K1567" s="3" t="s">
        <v>174</v>
      </c>
      <c r="L1567" s="3" t="s">
        <v>175</v>
      </c>
      <c r="M1567" s="3" t="s">
        <v>176</v>
      </c>
      <c r="N1567" s="3">
        <v>1700</v>
      </c>
    </row>
    <row r="1568" spans="1:14" s="3" customFormat="1" ht="17.399999999999999" hidden="1" customHeight="1" outlineLevel="1" x14ac:dyDescent="0.25">
      <c r="A1568" s="5"/>
      <c r="B1568" s="401" t="s">
        <v>18</v>
      </c>
      <c r="C1568" s="402"/>
      <c r="D1568" s="402"/>
      <c r="E1568" s="402"/>
      <c r="F1568" s="402"/>
      <c r="G1568" s="403"/>
      <c r="K1568" s="3" t="s">
        <v>174</v>
      </c>
      <c r="L1568" s="3" t="s">
        <v>175</v>
      </c>
      <c r="M1568" s="3" t="s">
        <v>176</v>
      </c>
      <c r="N1568" s="3">
        <v>1629</v>
      </c>
    </row>
    <row r="1569" spans="1:14" s="3" customFormat="1" ht="17.399999999999999" hidden="1" customHeight="1" outlineLevel="1" x14ac:dyDescent="0.25">
      <c r="A1569" s="5"/>
      <c r="B1569" s="25" t="s">
        <v>2</v>
      </c>
      <c r="C1569" s="26" t="s">
        <v>3</v>
      </c>
      <c r="D1569" s="26" t="s">
        <v>4</v>
      </c>
      <c r="E1569" s="26" t="s">
        <v>5</v>
      </c>
      <c r="F1569" s="26"/>
      <c r="G1569" s="27" t="s">
        <v>6</v>
      </c>
      <c r="K1569" s="3" t="s">
        <v>173</v>
      </c>
      <c r="L1569" s="3" t="s">
        <v>9</v>
      </c>
      <c r="M1569" s="3" t="s">
        <v>9</v>
      </c>
      <c r="N1569" s="3">
        <v>2449</v>
      </c>
    </row>
    <row r="1570" spans="1:14" s="3" customFormat="1" ht="17.399999999999999" hidden="1" customHeight="1" outlineLevel="1" thickBot="1" x14ac:dyDescent="0.3">
      <c r="A1570" s="5"/>
      <c r="B1570" s="82"/>
      <c r="C1570" s="232"/>
      <c r="D1570" s="232"/>
      <c r="E1570" s="232"/>
      <c r="F1570" s="232"/>
      <c r="G1570" s="233"/>
    </row>
    <row r="1571" spans="1:14" s="3" customFormat="1" ht="17.399999999999999" hidden="1" customHeight="1" outlineLevel="1" x14ac:dyDescent="0.25">
      <c r="A1571" s="5"/>
      <c r="B1571" s="401" t="s">
        <v>28</v>
      </c>
      <c r="C1571" s="402"/>
      <c r="D1571" s="402"/>
      <c r="E1571" s="402"/>
      <c r="F1571" s="402"/>
      <c r="G1571" s="403"/>
    </row>
    <row r="1572" spans="1:14" s="3" customFormat="1" ht="17.399999999999999" hidden="1" customHeight="1" outlineLevel="1" x14ac:dyDescent="0.25">
      <c r="A1572" s="5"/>
      <c r="B1572" s="25" t="s">
        <v>2</v>
      </c>
      <c r="C1572" s="26" t="s">
        <v>3</v>
      </c>
      <c r="D1572" s="26" t="s">
        <v>4</v>
      </c>
      <c r="E1572" s="26" t="s">
        <v>5</v>
      </c>
      <c r="F1572" s="26"/>
      <c r="G1572" s="27" t="s">
        <v>6</v>
      </c>
    </row>
    <row r="1573" spans="1:14" s="3" customFormat="1" ht="17.399999999999999" hidden="1" customHeight="1" outlineLevel="1" thickBot="1" x14ac:dyDescent="0.3">
      <c r="A1573" s="5"/>
      <c r="B1573" s="116"/>
      <c r="C1573" s="117"/>
      <c r="D1573" s="117"/>
      <c r="E1573" s="117"/>
      <c r="F1573" s="117"/>
      <c r="G1573" s="118"/>
    </row>
    <row r="1574" spans="1:14" s="3" customFormat="1" ht="17.399999999999999" hidden="1" customHeight="1" outlineLevel="1" x14ac:dyDescent="0.25">
      <c r="A1574" s="5"/>
      <c r="B1574" s="401" t="s">
        <v>29</v>
      </c>
      <c r="C1574" s="402"/>
      <c r="D1574" s="402"/>
      <c r="E1574" s="402"/>
      <c r="F1574" s="402"/>
      <c r="G1574" s="403"/>
    </row>
    <row r="1575" spans="1:14" s="3" customFormat="1" ht="17.399999999999999" hidden="1" customHeight="1" outlineLevel="1" x14ac:dyDescent="0.25">
      <c r="A1575" s="5"/>
      <c r="B1575" s="234"/>
      <c r="C1575" s="235"/>
      <c r="D1575" s="235"/>
      <c r="E1575" s="235"/>
      <c r="F1575" s="235"/>
      <c r="G1575" s="236"/>
      <c r="H1575" s="5"/>
    </row>
    <row r="1576" spans="1:14" s="3" customFormat="1" ht="17.399999999999999" hidden="1" customHeight="1" outlineLevel="1" x14ac:dyDescent="0.25">
      <c r="A1576" s="5"/>
      <c r="B1576" s="218" t="s">
        <v>1038</v>
      </c>
      <c r="C1576" s="107"/>
      <c r="D1576" s="107"/>
      <c r="E1576" s="107"/>
      <c r="F1576" s="107"/>
      <c r="G1576" s="108"/>
      <c r="I1576" s="5"/>
      <c r="J1576" s="5"/>
    </row>
    <row r="1577" spans="1:14" s="3" customFormat="1" ht="17.399999999999999" hidden="1" customHeight="1" outlineLevel="1" x14ac:dyDescent="0.25">
      <c r="A1577" s="5"/>
      <c r="B1577" s="218"/>
      <c r="C1577" s="107"/>
      <c r="D1577" s="107"/>
      <c r="E1577" s="107"/>
      <c r="F1577" s="107"/>
      <c r="G1577" s="108"/>
      <c r="I1577" s="5"/>
      <c r="J1577" s="5"/>
    </row>
    <row r="1578" spans="1:14" s="3" customFormat="1" ht="17.399999999999999" hidden="1" customHeight="1" outlineLevel="1" x14ac:dyDescent="0.25">
      <c r="A1578" s="5"/>
      <c r="B1578" s="106" t="s">
        <v>1028</v>
      </c>
      <c r="C1578" s="107"/>
      <c r="D1578" s="107"/>
      <c r="E1578" s="107"/>
      <c r="F1578" s="107"/>
      <c r="G1578" s="108"/>
      <c r="H1578" s="5"/>
    </row>
    <row r="1579" spans="1:14" s="3" customFormat="1" ht="17.399999999999999" hidden="1" customHeight="1" outlineLevel="1" x14ac:dyDescent="0.25">
      <c r="A1579" s="5"/>
      <c r="B1579" s="106" t="s">
        <v>805</v>
      </c>
      <c r="C1579" s="107"/>
      <c r="D1579" s="107"/>
      <c r="E1579" s="107"/>
      <c r="F1579" s="107"/>
      <c r="G1579" s="108"/>
      <c r="H1579" s="5"/>
    </row>
    <row r="1580" spans="1:14" s="3" customFormat="1" ht="17.399999999999999" hidden="1" customHeight="1" outlineLevel="1" x14ac:dyDescent="0.25">
      <c r="A1580" s="5"/>
      <c r="B1580" s="229"/>
      <c r="C1580" s="207"/>
      <c r="D1580" s="207"/>
      <c r="E1580" s="207"/>
      <c r="F1580" s="207"/>
      <c r="G1580" s="208"/>
      <c r="H1580" s="5"/>
    </row>
    <row r="1581" spans="1:14" s="9" customFormat="1" ht="17.399999999999999" hidden="1" customHeight="1" outlineLevel="1" x14ac:dyDescent="0.25">
      <c r="A1581" s="5"/>
      <c r="B1581" s="31" t="s">
        <v>702</v>
      </c>
      <c r="C1581" s="20"/>
      <c r="D1581" s="20"/>
      <c r="E1581" s="20"/>
      <c r="F1581" s="20"/>
      <c r="G1581" s="22"/>
      <c r="H1581" s="3"/>
      <c r="I1581" s="3"/>
      <c r="J1581" s="45"/>
    </row>
    <row r="1582" spans="1:14" s="3" customFormat="1" hidden="1" outlineLevel="1" x14ac:dyDescent="0.25">
      <c r="A1582" s="5"/>
      <c r="B1582" s="46" t="s">
        <v>995</v>
      </c>
      <c r="C1582" s="20"/>
      <c r="D1582" s="20"/>
      <c r="E1582" s="20"/>
      <c r="F1582" s="20"/>
      <c r="G1582" s="22"/>
      <c r="J1582" s="45"/>
    </row>
    <row r="1583" spans="1:14" s="3" customFormat="1" hidden="1" outlineLevel="1" x14ac:dyDescent="0.25">
      <c r="A1583" s="5"/>
      <c r="B1583" s="46" t="s">
        <v>821</v>
      </c>
      <c r="C1583" s="20"/>
      <c r="D1583" s="20"/>
      <c r="E1583" s="20"/>
      <c r="F1583" s="20"/>
      <c r="G1583" s="22"/>
      <c r="J1583" s="230"/>
    </row>
    <row r="1584" spans="1:14" s="3" customFormat="1" hidden="1" outlineLevel="1" x14ac:dyDescent="0.25">
      <c r="A1584" s="5"/>
      <c r="B1584" s="46" t="s">
        <v>1029</v>
      </c>
      <c r="C1584" s="20"/>
      <c r="D1584" s="20"/>
      <c r="E1584" s="20"/>
      <c r="F1584" s="20"/>
      <c r="G1584" s="22"/>
      <c r="J1584" s="230"/>
    </row>
    <row r="1585" spans="1:10" s="3" customFormat="1" hidden="1" outlineLevel="1" x14ac:dyDescent="0.25">
      <c r="A1585" s="5"/>
      <c r="B1585" s="46" t="s">
        <v>2321</v>
      </c>
      <c r="C1585" s="20"/>
      <c r="D1585" s="20"/>
      <c r="E1585" s="20"/>
      <c r="F1585" s="20"/>
      <c r="G1585" s="22"/>
      <c r="J1585" s="230"/>
    </row>
    <row r="1586" spans="1:10" s="3" customFormat="1" hidden="1" outlineLevel="1" x14ac:dyDescent="0.25">
      <c r="A1586" s="5"/>
      <c r="B1586" s="46" t="s">
        <v>2322</v>
      </c>
      <c r="C1586" s="20"/>
      <c r="D1586" s="20"/>
      <c r="E1586" s="20"/>
      <c r="F1586" s="20"/>
      <c r="G1586" s="22"/>
      <c r="J1586" s="230"/>
    </row>
    <row r="1587" spans="1:10" s="3" customFormat="1" hidden="1" outlineLevel="1" x14ac:dyDescent="0.25">
      <c r="A1587" s="5"/>
      <c r="B1587" s="46"/>
      <c r="C1587" s="20"/>
      <c r="D1587" s="20"/>
      <c r="E1587" s="20"/>
      <c r="F1587" s="20"/>
      <c r="G1587" s="22"/>
      <c r="J1587" s="230"/>
    </row>
    <row r="1588" spans="1:10" s="3" customFormat="1" hidden="1" outlineLevel="1" x14ac:dyDescent="0.25">
      <c r="A1588" s="5"/>
      <c r="B1588" s="46" t="s">
        <v>1030</v>
      </c>
      <c r="C1588" s="20"/>
      <c r="D1588" s="20"/>
      <c r="E1588" s="20"/>
      <c r="F1588" s="20"/>
      <c r="G1588" s="22"/>
      <c r="J1588" s="230"/>
    </row>
    <row r="1589" spans="1:10" s="3" customFormat="1" hidden="1" outlineLevel="1" x14ac:dyDescent="0.25">
      <c r="A1589" s="5"/>
      <c r="B1589" s="46" t="s">
        <v>824</v>
      </c>
      <c r="C1589" s="20"/>
      <c r="D1589" s="20"/>
      <c r="E1589" s="20"/>
      <c r="F1589" s="20"/>
      <c r="G1589" s="22"/>
      <c r="J1589" s="230"/>
    </row>
    <row r="1590" spans="1:10" s="3" customFormat="1" hidden="1" outlineLevel="1" x14ac:dyDescent="0.25">
      <c r="A1590" s="5"/>
      <c r="B1590" s="46" t="s">
        <v>1031</v>
      </c>
      <c r="C1590" s="20"/>
      <c r="D1590" s="20"/>
      <c r="E1590" s="20"/>
      <c r="F1590" s="20"/>
      <c r="G1590" s="22"/>
      <c r="J1590" s="230"/>
    </row>
    <row r="1591" spans="1:10" s="3" customFormat="1" hidden="1" outlineLevel="1" x14ac:dyDescent="0.25">
      <c r="A1591" s="5"/>
      <c r="B1591" s="46" t="s">
        <v>2297</v>
      </c>
      <c r="C1591" s="20"/>
      <c r="D1591" s="20"/>
      <c r="E1591" s="20"/>
      <c r="F1591" s="20"/>
      <c r="G1591" s="22"/>
    </row>
    <row r="1592" spans="1:10" s="3" customFormat="1" hidden="1" outlineLevel="1" x14ac:dyDescent="0.25">
      <c r="A1592" s="5"/>
      <c r="B1592" s="46" t="s">
        <v>2285</v>
      </c>
      <c r="C1592" s="20"/>
      <c r="D1592" s="20"/>
      <c r="E1592" s="20"/>
      <c r="F1592" s="20"/>
      <c r="G1592" s="22"/>
    </row>
    <row r="1593" spans="1:10" s="3" customFormat="1" hidden="1" outlineLevel="1" x14ac:dyDescent="0.25">
      <c r="A1593" s="5"/>
      <c r="B1593" s="46" t="s">
        <v>1032</v>
      </c>
      <c r="C1593" s="20"/>
      <c r="D1593" s="20"/>
      <c r="E1593" s="20"/>
      <c r="F1593" s="20"/>
      <c r="G1593" s="22"/>
    </row>
    <row r="1594" spans="1:10" s="3" customFormat="1" hidden="1" outlineLevel="1" x14ac:dyDescent="0.25">
      <c r="A1594" s="5"/>
      <c r="B1594" s="50" t="s">
        <v>1039</v>
      </c>
      <c r="C1594" s="20"/>
      <c r="D1594" s="20"/>
      <c r="E1594" s="20"/>
      <c r="F1594" s="20"/>
      <c r="G1594" s="22"/>
    </row>
    <row r="1595" spans="1:10" s="3" customFormat="1" ht="17.399999999999999" hidden="1" customHeight="1" outlineLevel="1" x14ac:dyDescent="0.25">
      <c r="A1595" s="5"/>
      <c r="B1595" s="218" t="s">
        <v>1034</v>
      </c>
      <c r="C1595" s="107"/>
      <c r="D1595" s="107"/>
      <c r="E1595" s="107"/>
      <c r="F1595" s="107"/>
      <c r="G1595" s="108"/>
      <c r="I1595" s="5"/>
      <c r="J1595" s="5"/>
    </row>
    <row r="1596" spans="1:10" s="3" customFormat="1" hidden="1" outlineLevel="1" x14ac:dyDescent="0.25">
      <c r="A1596" s="5"/>
      <c r="B1596" s="50" t="s">
        <v>1040</v>
      </c>
      <c r="C1596" s="20"/>
      <c r="D1596" s="20"/>
      <c r="E1596" s="20"/>
      <c r="F1596" s="20"/>
      <c r="G1596" s="22"/>
    </row>
    <row r="1597" spans="1:10" s="3" customFormat="1" ht="17.399999999999999" hidden="1" customHeight="1" outlineLevel="1" x14ac:dyDescent="0.25">
      <c r="A1597" s="5"/>
      <c r="B1597" s="128" t="s">
        <v>1036</v>
      </c>
      <c r="C1597" s="107"/>
      <c r="D1597" s="107"/>
      <c r="E1597" s="107"/>
      <c r="F1597" s="107"/>
      <c r="G1597" s="129"/>
    </row>
    <row r="1598" spans="1:10" s="3" customFormat="1" hidden="1" outlineLevel="1" x14ac:dyDescent="0.25">
      <c r="A1598" s="5"/>
      <c r="B1598" s="50" t="s">
        <v>726</v>
      </c>
      <c r="C1598" s="20"/>
      <c r="D1598" s="20"/>
      <c r="E1598" s="20"/>
      <c r="F1598" s="20"/>
      <c r="G1598" s="22"/>
    </row>
    <row r="1599" spans="1:10" s="3" customFormat="1" ht="17.399999999999999" hidden="1" customHeight="1" outlineLevel="1" x14ac:dyDescent="0.25">
      <c r="A1599" s="5"/>
      <c r="B1599" s="218"/>
      <c r="C1599" s="107"/>
      <c r="D1599" s="107"/>
      <c r="E1599" s="107"/>
      <c r="F1599" s="107"/>
      <c r="G1599" s="108"/>
      <c r="I1599" s="5"/>
      <c r="J1599" s="5"/>
    </row>
    <row r="1600" spans="1:10" s="3" customFormat="1" ht="17.399999999999999" hidden="1" customHeight="1" outlineLevel="1" x14ac:dyDescent="0.25">
      <c r="A1600" s="5"/>
      <c r="B1600" s="218"/>
      <c r="C1600" s="107"/>
      <c r="D1600" s="107"/>
      <c r="E1600" s="107"/>
      <c r="F1600" s="107"/>
      <c r="G1600" s="108"/>
      <c r="I1600" s="5"/>
      <c r="J1600" s="5"/>
    </row>
    <row r="1601" spans="1:14" s="3" customFormat="1" ht="17.399999999999999" hidden="1" customHeight="1" outlineLevel="1" x14ac:dyDescent="0.25">
      <c r="A1601" s="5"/>
      <c r="B1601" s="218"/>
      <c r="C1601" s="107"/>
      <c r="D1601" s="107"/>
      <c r="E1601" s="107"/>
      <c r="F1601" s="107"/>
      <c r="G1601" s="108"/>
      <c r="I1601" s="5"/>
      <c r="J1601" s="5"/>
    </row>
    <row r="1602" spans="1:14" s="3" customFormat="1" ht="17.399999999999999" hidden="1" customHeight="1" outlineLevel="1" x14ac:dyDescent="0.25">
      <c r="A1602" s="5"/>
      <c r="B1602" s="234"/>
      <c r="C1602" s="235"/>
      <c r="D1602" s="237"/>
      <c r="E1602" s="235"/>
      <c r="F1602" s="235"/>
      <c r="G1602" s="236"/>
    </row>
    <row r="1603" spans="1:14" s="3" customFormat="1" ht="17.399999999999999" hidden="1" customHeight="1" outlineLevel="1" x14ac:dyDescent="0.25">
      <c r="A1603" s="5"/>
      <c r="B1603" s="125"/>
      <c r="C1603" s="117"/>
      <c r="D1603" s="117"/>
      <c r="E1603" s="117"/>
      <c r="F1603" s="117"/>
      <c r="G1603" s="118"/>
      <c r="K1603" s="5"/>
    </row>
    <row r="1604" spans="1:14" s="3" customFormat="1" ht="17.399999999999999" hidden="1" customHeight="1" outlineLevel="1" x14ac:dyDescent="0.25">
      <c r="A1604" s="5"/>
    </row>
    <row r="1605" spans="1:14" s="3" customFormat="1" ht="17.399999999999999" hidden="1" customHeight="1" outlineLevel="1" thickBot="1" x14ac:dyDescent="0.3">
      <c r="A1605" s="14"/>
      <c r="B1605" s="14"/>
      <c r="C1605" s="14"/>
      <c r="D1605" s="14"/>
      <c r="E1605" s="14"/>
      <c r="F1605" s="14"/>
      <c r="G1605" s="14"/>
      <c r="H1605" s="14"/>
    </row>
    <row r="1606" spans="1:14" s="3" customFormat="1" ht="17.399999999999999" customHeight="1" collapsed="1" thickBot="1" x14ac:dyDescent="0.3">
      <c r="A1606" s="5"/>
      <c r="B1606" s="15" t="s">
        <v>1279</v>
      </c>
      <c r="C1606" s="16" t="s">
        <v>2186</v>
      </c>
      <c r="D1606" s="17" t="s">
        <v>1281</v>
      </c>
      <c r="E1606" s="16" t="s">
        <v>1041</v>
      </c>
      <c r="F1606" s="17" t="s">
        <v>1282</v>
      </c>
      <c r="G1606" s="18" t="s">
        <v>2187</v>
      </c>
      <c r="I1606" s="14"/>
      <c r="J1606" s="14"/>
    </row>
    <row r="1607" spans="1:14" s="3" customFormat="1" ht="17.399999999999999" hidden="1" customHeight="1" outlineLevel="1" x14ac:dyDescent="0.25">
      <c r="A1607" s="5"/>
      <c r="B1607" s="19" t="s">
        <v>1284</v>
      </c>
      <c r="C1607" s="20" t="s">
        <v>1285</v>
      </c>
      <c r="D1607" s="21" t="s">
        <v>1286</v>
      </c>
      <c r="E1607" s="20" t="s">
        <v>2188</v>
      </c>
      <c r="F1607" s="21" t="s">
        <v>1288</v>
      </c>
      <c r="G1607" s="22" t="s">
        <v>1405</v>
      </c>
    </row>
    <row r="1608" spans="1:14" ht="16.2" hidden="1" outlineLevel="1" thickBot="1" x14ac:dyDescent="0.3">
      <c r="A1608" s="5"/>
      <c r="B1608" s="19" t="s">
        <v>1290</v>
      </c>
      <c r="C1608" s="23" t="s">
        <v>1291</v>
      </c>
      <c r="D1608" s="21" t="s">
        <v>1292</v>
      </c>
      <c r="E1608" s="23">
        <v>5</v>
      </c>
      <c r="F1608" s="21" t="s">
        <v>1293</v>
      </c>
      <c r="G1608" s="24" t="s">
        <v>1294</v>
      </c>
      <c r="H1608" s="3"/>
      <c r="I1608" s="3"/>
      <c r="J1608" s="3"/>
    </row>
    <row r="1609" spans="1:14" s="3" customFormat="1" ht="17.399999999999999" hidden="1" customHeight="1" outlineLevel="1" x14ac:dyDescent="0.25">
      <c r="A1609" s="5"/>
      <c r="B1609" s="401" t="s">
        <v>1</v>
      </c>
      <c r="C1609" s="402"/>
      <c r="D1609" s="402"/>
      <c r="E1609" s="402"/>
      <c r="F1609" s="402"/>
      <c r="G1609" s="403"/>
    </row>
    <row r="1610" spans="1:14" s="3" customFormat="1" ht="17.399999999999999" hidden="1" customHeight="1" outlineLevel="1" x14ac:dyDescent="0.25">
      <c r="A1610" s="5"/>
      <c r="B1610" s="25" t="s">
        <v>2</v>
      </c>
      <c r="C1610" s="26" t="s">
        <v>3</v>
      </c>
      <c r="D1610" s="26" t="s">
        <v>4</v>
      </c>
      <c r="E1610" s="26" t="s">
        <v>5</v>
      </c>
      <c r="F1610" s="26"/>
      <c r="G1610" s="27" t="s">
        <v>6</v>
      </c>
    </row>
    <row r="1611" spans="1:14" s="3" customFormat="1" ht="17.399999999999999" hidden="1" customHeight="1" outlineLevel="1" x14ac:dyDescent="0.25">
      <c r="B1611" s="28" t="s">
        <v>7</v>
      </c>
      <c r="C1611" s="29" t="s">
        <v>1468</v>
      </c>
      <c r="D1611" s="29" t="s">
        <v>1469</v>
      </c>
      <c r="E1611" s="29">
        <v>0</v>
      </c>
      <c r="F1611" s="29" t="s">
        <v>1470</v>
      </c>
      <c r="G1611" s="30" t="s">
        <v>1471</v>
      </c>
    </row>
    <row r="1612" spans="1:14" s="3" customFormat="1" ht="17.399999999999999" hidden="1" customHeight="1" outlineLevel="1" x14ac:dyDescent="0.25">
      <c r="B1612" s="28" t="s">
        <v>188</v>
      </c>
      <c r="C1612" s="29" t="s">
        <v>1607</v>
      </c>
      <c r="D1612" s="29" t="s">
        <v>1606</v>
      </c>
      <c r="E1612" s="29" t="s">
        <v>1594</v>
      </c>
      <c r="F1612" s="29"/>
      <c r="G1612" s="30"/>
      <c r="J1612" s="3" t="s">
        <v>10</v>
      </c>
    </row>
    <row r="1613" spans="1:14" s="3" customFormat="1" ht="17.399999999999999" hidden="1" customHeight="1" outlineLevel="1" x14ac:dyDescent="0.25">
      <c r="A1613" s="5"/>
      <c r="B1613" s="31" t="s">
        <v>15</v>
      </c>
      <c r="C1613" s="20" t="s">
        <v>1478</v>
      </c>
      <c r="D1613" s="20" t="s">
        <v>1469</v>
      </c>
      <c r="E1613" s="20">
        <v>0</v>
      </c>
      <c r="F1613" s="20" t="s">
        <v>1470</v>
      </c>
      <c r="G1613" s="22"/>
      <c r="J1613" s="3" t="s">
        <v>187</v>
      </c>
    </row>
    <row r="1614" spans="1:14" s="3" customFormat="1" hidden="1" outlineLevel="1" x14ac:dyDescent="0.25">
      <c r="A1614" s="5"/>
      <c r="B1614" s="219" t="s">
        <v>87</v>
      </c>
      <c r="C1614" s="219" t="s">
        <v>1535</v>
      </c>
      <c r="D1614" s="219" t="s">
        <v>1469</v>
      </c>
      <c r="E1614" s="219">
        <v>0</v>
      </c>
      <c r="F1614" s="219" t="s">
        <v>1476</v>
      </c>
      <c r="G1614" s="219"/>
      <c r="J1614" s="3" t="s">
        <v>10</v>
      </c>
      <c r="K1614" s="3" t="s">
        <v>173</v>
      </c>
      <c r="L1614" s="3" t="s">
        <v>9</v>
      </c>
      <c r="M1614" s="3" t="s">
        <v>9</v>
      </c>
      <c r="N1614" s="3">
        <v>1112</v>
      </c>
    </row>
    <row r="1615" spans="1:14" s="3" customFormat="1" hidden="1" outlineLevel="1" x14ac:dyDescent="0.25">
      <c r="A1615" s="5"/>
      <c r="B1615" s="228" t="s">
        <v>128</v>
      </c>
      <c r="C1615" s="228" t="s">
        <v>1566</v>
      </c>
      <c r="D1615" s="228" t="s">
        <v>1567</v>
      </c>
      <c r="E1615" s="228">
        <v>0</v>
      </c>
      <c r="F1615" s="228" t="s">
        <v>1470</v>
      </c>
      <c r="G1615" s="228"/>
      <c r="J1615" s="3" t="s">
        <v>10</v>
      </c>
      <c r="K1615" s="3" t="s">
        <v>438</v>
      </c>
      <c r="L1615" s="3" t="s">
        <v>537</v>
      </c>
      <c r="M1615" s="3" t="s">
        <v>187</v>
      </c>
      <c r="N1615" s="3">
        <v>2156</v>
      </c>
    </row>
    <row r="1616" spans="1:14" s="3" customFormat="1" hidden="1" outlineLevel="1" x14ac:dyDescent="0.25">
      <c r="A1616" s="5"/>
      <c r="B1616" s="228" t="s">
        <v>114</v>
      </c>
      <c r="C1616" s="228" t="s">
        <v>1557</v>
      </c>
      <c r="D1616" s="228" t="s">
        <v>1469</v>
      </c>
      <c r="E1616" s="228">
        <v>-1</v>
      </c>
      <c r="F1616" s="228" t="s">
        <v>1470</v>
      </c>
      <c r="G1616" s="228"/>
      <c r="J1616" s="3" t="s">
        <v>12</v>
      </c>
      <c r="K1616" s="3" t="s">
        <v>173</v>
      </c>
      <c r="L1616" s="3" t="s">
        <v>9</v>
      </c>
      <c r="M1616" s="3" t="s">
        <v>9</v>
      </c>
      <c r="N1616" s="3">
        <v>2430</v>
      </c>
    </row>
    <row r="1617" spans="1:14" s="3" customFormat="1" ht="17.399999999999999" hidden="1" customHeight="1" outlineLevel="1" x14ac:dyDescent="0.25">
      <c r="A1617" s="7"/>
      <c r="B1617" s="106" t="s">
        <v>73</v>
      </c>
      <c r="C1617" s="221" t="s">
        <v>1528</v>
      </c>
      <c r="D1617" s="221" t="s">
        <v>1469</v>
      </c>
      <c r="E1617" s="221" t="s">
        <v>1480</v>
      </c>
      <c r="F1617" s="221" t="s">
        <v>1481</v>
      </c>
      <c r="G1617" s="222"/>
      <c r="H1617" s="7"/>
      <c r="J1617" s="3" t="s">
        <v>10</v>
      </c>
      <c r="K1617" s="3" t="s">
        <v>173</v>
      </c>
      <c r="L1617" s="3" t="s">
        <v>9</v>
      </c>
      <c r="M1617" s="3" t="s">
        <v>9</v>
      </c>
      <c r="N1617" s="3">
        <v>2433</v>
      </c>
    </row>
    <row r="1618" spans="1:14" s="3" customFormat="1" ht="17.399999999999999" hidden="1" customHeight="1" outlineLevel="1" x14ac:dyDescent="0.25">
      <c r="A1618" s="7"/>
      <c r="B1618" s="106" t="s">
        <v>74</v>
      </c>
      <c r="C1618" s="221" t="s">
        <v>1529</v>
      </c>
      <c r="D1618" s="221" t="s">
        <v>1469</v>
      </c>
      <c r="E1618" s="221" t="s">
        <v>1480</v>
      </c>
      <c r="F1618" s="221" t="s">
        <v>1481</v>
      </c>
      <c r="G1618" s="222"/>
      <c r="H1618" s="7"/>
      <c r="I1618" s="7"/>
      <c r="J1618" s="7" t="s">
        <v>10</v>
      </c>
      <c r="K1618" s="3" t="s">
        <v>174</v>
      </c>
      <c r="L1618" s="3" t="s">
        <v>175</v>
      </c>
      <c r="M1618" s="3" t="s">
        <v>176</v>
      </c>
      <c r="N1618" s="3">
        <v>1629</v>
      </c>
    </row>
    <row r="1619" spans="1:14" s="3" customFormat="1" ht="17.399999999999999" hidden="1" customHeight="1" outlineLevel="1" x14ac:dyDescent="0.25">
      <c r="A1619" s="5"/>
      <c r="B1619" s="31"/>
      <c r="C1619" s="20"/>
      <c r="D1619" s="20"/>
      <c r="E1619" s="20"/>
      <c r="F1619" s="20"/>
      <c r="G1619" s="22"/>
      <c r="I1619" s="7"/>
      <c r="J1619" s="7" t="s">
        <v>10</v>
      </c>
      <c r="K1619" s="3" t="s">
        <v>173</v>
      </c>
      <c r="L1619" s="3" t="s">
        <v>9</v>
      </c>
      <c r="M1619" s="3" t="s">
        <v>9</v>
      </c>
      <c r="N1619" s="3">
        <v>2449</v>
      </c>
    </row>
    <row r="1620" spans="1:14" s="7" customFormat="1" ht="17.399999999999999" hidden="1" customHeight="1" outlineLevel="1" x14ac:dyDescent="0.25">
      <c r="A1620" s="5"/>
      <c r="B1620" s="398" t="s">
        <v>18</v>
      </c>
      <c r="C1620" s="399"/>
      <c r="D1620" s="399"/>
      <c r="E1620" s="399"/>
      <c r="F1620" s="399"/>
      <c r="G1620" s="400"/>
      <c r="H1620" s="3"/>
      <c r="I1620" s="3"/>
      <c r="J1620" s="3"/>
      <c r="K1620" s="7" t="s">
        <v>173</v>
      </c>
      <c r="L1620" s="7" t="s">
        <v>9</v>
      </c>
      <c r="M1620" s="7" t="s">
        <v>9</v>
      </c>
      <c r="N1620" s="7">
        <v>1767</v>
      </c>
    </row>
    <row r="1621" spans="1:14" s="7" customFormat="1" ht="17.399999999999999" hidden="1" customHeight="1" outlineLevel="1" x14ac:dyDescent="0.25">
      <c r="A1621" s="5"/>
      <c r="B1621" s="25" t="s">
        <v>2</v>
      </c>
      <c r="C1621" s="26" t="s">
        <v>3</v>
      </c>
      <c r="D1621" s="26" t="s">
        <v>4</v>
      </c>
      <c r="E1621" s="26" t="s">
        <v>5</v>
      </c>
      <c r="F1621" s="26"/>
      <c r="G1621" s="27" t="s">
        <v>6</v>
      </c>
      <c r="H1621" s="3"/>
      <c r="I1621" s="3"/>
      <c r="J1621" s="3"/>
      <c r="K1621" s="7" t="s">
        <v>173</v>
      </c>
      <c r="L1621" s="7" t="s">
        <v>9</v>
      </c>
      <c r="M1621" s="7" t="s">
        <v>9</v>
      </c>
      <c r="N1621" s="7">
        <v>1713</v>
      </c>
    </row>
    <row r="1622" spans="1:14" s="3" customFormat="1" hidden="1" outlineLevel="1" x14ac:dyDescent="0.25">
      <c r="B1622" s="28"/>
      <c r="C1622" s="29"/>
      <c r="D1622" s="29"/>
      <c r="E1622" s="29"/>
      <c r="F1622" s="29"/>
      <c r="G1622" s="30"/>
    </row>
    <row r="1623" spans="1:14" s="3" customFormat="1" ht="17.399999999999999" hidden="1" customHeight="1" outlineLevel="1" thickBot="1" x14ac:dyDescent="0.3">
      <c r="A1623" s="5"/>
      <c r="B1623" s="31"/>
      <c r="C1623" s="20"/>
      <c r="D1623" s="20"/>
      <c r="E1623" s="20"/>
      <c r="F1623" s="20"/>
      <c r="G1623" s="22"/>
    </row>
    <row r="1624" spans="1:14" s="3" customFormat="1" ht="17.399999999999999" hidden="1" customHeight="1" outlineLevel="1" x14ac:dyDescent="0.25">
      <c r="A1624" s="5"/>
      <c r="B1624" s="401" t="s">
        <v>28</v>
      </c>
      <c r="C1624" s="402"/>
      <c r="D1624" s="402"/>
      <c r="E1624" s="402"/>
      <c r="F1624" s="402"/>
      <c r="G1624" s="403"/>
    </row>
    <row r="1625" spans="1:14" s="3" customFormat="1" ht="17.399999999999999" hidden="1" customHeight="1" outlineLevel="1" x14ac:dyDescent="0.25">
      <c r="A1625" s="5"/>
      <c r="B1625" s="116"/>
      <c r="C1625" s="117"/>
      <c r="D1625" s="117"/>
      <c r="E1625" s="117"/>
      <c r="F1625" s="117"/>
      <c r="G1625" s="105"/>
    </row>
    <row r="1626" spans="1:14" s="3" customFormat="1" ht="17.399999999999999" hidden="1" customHeight="1" outlineLevel="1" thickBot="1" x14ac:dyDescent="0.3">
      <c r="A1626" s="5"/>
      <c r="B1626" s="116"/>
      <c r="C1626" s="117"/>
      <c r="D1626" s="117"/>
      <c r="E1626" s="117"/>
      <c r="F1626" s="117"/>
      <c r="G1626" s="105"/>
    </row>
    <row r="1627" spans="1:14" s="3" customFormat="1" ht="17.399999999999999" hidden="1" customHeight="1" outlineLevel="1" x14ac:dyDescent="0.25">
      <c r="A1627" s="5"/>
      <c r="B1627" s="401" t="s">
        <v>29</v>
      </c>
      <c r="C1627" s="402"/>
      <c r="D1627" s="402"/>
      <c r="E1627" s="402"/>
      <c r="F1627" s="402"/>
      <c r="G1627" s="403"/>
    </row>
    <row r="1628" spans="1:14" s="3" customFormat="1" ht="17.399999999999999" hidden="1" customHeight="1" outlineLevel="1" x14ac:dyDescent="0.25">
      <c r="A1628" s="5"/>
      <c r="B1628" s="201"/>
      <c r="C1628" s="107"/>
      <c r="D1628" s="107"/>
      <c r="E1628" s="107"/>
      <c r="F1628" s="107"/>
      <c r="G1628" s="108"/>
    </row>
    <row r="1629" spans="1:14" s="3" customFormat="1" ht="17.399999999999999" hidden="1" customHeight="1" outlineLevel="1" x14ac:dyDescent="0.25">
      <c r="A1629" s="5"/>
      <c r="B1629" s="106" t="s">
        <v>1028</v>
      </c>
      <c r="C1629" s="107"/>
      <c r="D1629" s="107"/>
      <c r="E1629" s="107"/>
      <c r="F1629" s="107"/>
      <c r="G1629" s="108"/>
      <c r="H1629" s="5"/>
    </row>
    <row r="1630" spans="1:14" s="3" customFormat="1" ht="17.399999999999999" hidden="1" customHeight="1" outlineLevel="1" x14ac:dyDescent="0.25">
      <c r="A1630" s="5"/>
      <c r="B1630" s="218" t="s">
        <v>1042</v>
      </c>
      <c r="C1630" s="107"/>
      <c r="D1630" s="107"/>
      <c r="E1630" s="107"/>
      <c r="F1630" s="107"/>
      <c r="G1630" s="108"/>
      <c r="I1630" s="5"/>
      <c r="J1630" s="5"/>
    </row>
    <row r="1631" spans="1:14" s="3" customFormat="1" hidden="1" outlineLevel="1" x14ac:dyDescent="0.25">
      <c r="A1631" s="5"/>
      <c r="B1631" s="31" t="s">
        <v>1043</v>
      </c>
      <c r="C1631" s="20"/>
      <c r="D1631" s="20"/>
      <c r="E1631" s="20"/>
      <c r="F1631" s="20"/>
      <c r="G1631" s="22"/>
      <c r="I1631" s="45"/>
    </row>
    <row r="1632" spans="1:14" s="3" customFormat="1" hidden="1" outlineLevel="1" x14ac:dyDescent="0.25">
      <c r="A1632" s="5"/>
      <c r="B1632" s="46" t="s">
        <v>2298</v>
      </c>
      <c r="C1632" s="20"/>
      <c r="D1632" s="20"/>
      <c r="E1632" s="20"/>
      <c r="F1632" s="20"/>
      <c r="G1632" s="22"/>
    </row>
    <row r="1633" spans="1:11" s="3" customFormat="1" hidden="1" outlineLevel="1" x14ac:dyDescent="0.25">
      <c r="A1633" s="5"/>
      <c r="B1633" s="46" t="s">
        <v>1044</v>
      </c>
      <c r="C1633" s="20"/>
      <c r="D1633" s="20"/>
      <c r="E1633" s="20"/>
      <c r="F1633" s="20"/>
      <c r="G1633" s="22"/>
    </row>
    <row r="1634" spans="1:11" s="3" customFormat="1" hidden="1" outlineLevel="1" x14ac:dyDescent="0.25">
      <c r="A1634" s="5"/>
      <c r="B1634" s="46" t="s">
        <v>763</v>
      </c>
      <c r="C1634" s="20"/>
      <c r="D1634" s="20"/>
      <c r="E1634" s="20"/>
      <c r="F1634" s="20"/>
      <c r="G1634" s="22"/>
    </row>
    <row r="1635" spans="1:11" s="3" customFormat="1" ht="16.2" hidden="1" outlineLevel="1" thickBot="1" x14ac:dyDescent="0.3">
      <c r="A1635" s="5"/>
      <c r="B1635" s="52" t="s">
        <v>1045</v>
      </c>
      <c r="C1635" s="53"/>
      <c r="D1635" s="53"/>
      <c r="E1635" s="53"/>
      <c r="F1635" s="53"/>
      <c r="G1635" s="54"/>
    </row>
    <row r="1636" spans="1:11" s="3" customFormat="1" ht="16.2" hidden="1" outlineLevel="1" thickBot="1" x14ac:dyDescent="0.3">
      <c r="A1636" s="5"/>
      <c r="B1636" s="52" t="s">
        <v>1046</v>
      </c>
      <c r="C1636" s="53"/>
      <c r="D1636" s="53"/>
      <c r="E1636" s="53"/>
      <c r="F1636" s="53"/>
      <c r="G1636" s="54"/>
    </row>
    <row r="1637" spans="1:11" s="3" customFormat="1" ht="17.399999999999999" hidden="1" customHeight="1" outlineLevel="1" x14ac:dyDescent="0.25">
      <c r="A1637" s="5"/>
      <c r="B1637" s="218" t="s">
        <v>1047</v>
      </c>
      <c r="C1637" s="107"/>
      <c r="D1637" s="107"/>
      <c r="E1637" s="107"/>
      <c r="F1637" s="107"/>
      <c r="G1637" s="108"/>
    </row>
    <row r="1638" spans="1:11" s="3" customFormat="1" ht="17.399999999999999" hidden="1" customHeight="1" outlineLevel="1" x14ac:dyDescent="0.25">
      <c r="A1638" s="5"/>
      <c r="B1638" s="201" t="s">
        <v>1048</v>
      </c>
      <c r="C1638" s="107"/>
      <c r="D1638" s="107"/>
      <c r="E1638" s="107"/>
      <c r="F1638" s="107"/>
      <c r="G1638" s="108"/>
    </row>
    <row r="1639" spans="1:11" s="3" customFormat="1" ht="17.399999999999999" hidden="1" customHeight="1" outlineLevel="1" x14ac:dyDescent="0.25">
      <c r="A1639" s="5"/>
      <c r="B1639" s="201" t="s">
        <v>1035</v>
      </c>
      <c r="C1639" s="107"/>
      <c r="D1639" s="107"/>
      <c r="E1639" s="107"/>
      <c r="F1639" s="107"/>
      <c r="G1639" s="129"/>
    </row>
    <row r="1640" spans="1:11" s="3" customFormat="1" ht="17.399999999999999" hidden="1" customHeight="1" outlineLevel="1" x14ac:dyDescent="0.25">
      <c r="A1640" s="5"/>
      <c r="B1640" s="128" t="s">
        <v>877</v>
      </c>
      <c r="C1640" s="107"/>
      <c r="D1640" s="107"/>
      <c r="E1640" s="107"/>
      <c r="F1640" s="107"/>
      <c r="G1640" s="129"/>
    </row>
    <row r="1641" spans="1:11" s="3" customFormat="1" ht="17.399999999999999" hidden="1" customHeight="1" outlineLevel="1" x14ac:dyDescent="0.25">
      <c r="A1641" s="5"/>
      <c r="B1641" s="201" t="s">
        <v>726</v>
      </c>
      <c r="C1641" s="107"/>
      <c r="D1641" s="107"/>
      <c r="E1641" s="107"/>
      <c r="F1641" s="107"/>
      <c r="G1641" s="108"/>
    </row>
    <row r="1642" spans="1:11" s="3" customFormat="1" ht="17.399999999999999" hidden="1" customHeight="1" outlineLevel="1" x14ac:dyDescent="0.25">
      <c r="A1642" s="5"/>
      <c r="B1642" s="201"/>
      <c r="C1642" s="107"/>
      <c r="D1642" s="107"/>
      <c r="E1642" s="107"/>
      <c r="F1642" s="107"/>
      <c r="G1642" s="108"/>
      <c r="K1642" s="5"/>
    </row>
    <row r="1643" spans="1:11" s="3" customFormat="1" ht="17.399999999999999" hidden="1" customHeight="1" outlineLevel="1" thickBot="1" x14ac:dyDescent="0.3">
      <c r="A1643" s="5"/>
      <c r="B1643" s="157"/>
      <c r="C1643" s="202"/>
      <c r="D1643" s="202"/>
      <c r="E1643" s="202"/>
      <c r="F1643" s="202"/>
      <c r="G1643" s="203"/>
    </row>
    <row r="1644" spans="1:11" s="3" customFormat="1" ht="17.399999999999999" hidden="1" customHeight="1" outlineLevel="1" thickBot="1" x14ac:dyDescent="0.3">
      <c r="A1644" s="5"/>
    </row>
    <row r="1645" spans="1:11" s="3" customFormat="1" ht="17.399999999999999" customHeight="1" collapsed="1" thickBot="1" x14ac:dyDescent="0.3">
      <c r="A1645" s="5"/>
      <c r="B1645" s="15" t="s">
        <v>1279</v>
      </c>
      <c r="C1645" s="16" t="s">
        <v>2189</v>
      </c>
      <c r="D1645" s="17" t="s">
        <v>1281</v>
      </c>
      <c r="E1645" s="16" t="s">
        <v>1049</v>
      </c>
      <c r="F1645" s="17" t="s">
        <v>1282</v>
      </c>
      <c r="G1645" s="18" t="s">
        <v>2190</v>
      </c>
    </row>
    <row r="1646" spans="1:11" s="3" customFormat="1" ht="17.399999999999999" hidden="1" customHeight="1" outlineLevel="1" x14ac:dyDescent="0.25">
      <c r="A1646" s="5"/>
      <c r="B1646" s="19" t="s">
        <v>1284</v>
      </c>
      <c r="C1646" s="20" t="s">
        <v>1285</v>
      </c>
      <c r="D1646" s="21" t="s">
        <v>1286</v>
      </c>
      <c r="E1646" s="20" t="s">
        <v>2191</v>
      </c>
      <c r="F1646" s="21" t="s">
        <v>1288</v>
      </c>
      <c r="G1646" s="22" t="s">
        <v>1409</v>
      </c>
    </row>
    <row r="1647" spans="1:11" s="3" customFormat="1" ht="17.399999999999999" hidden="1" customHeight="1" outlineLevel="1" thickBot="1" x14ac:dyDescent="0.3">
      <c r="A1647" s="5"/>
      <c r="B1647" s="19" t="s">
        <v>1290</v>
      </c>
      <c r="C1647" s="23" t="s">
        <v>1291</v>
      </c>
      <c r="D1647" s="21" t="s">
        <v>1292</v>
      </c>
      <c r="E1647" s="23">
        <v>5</v>
      </c>
      <c r="F1647" s="21" t="s">
        <v>1293</v>
      </c>
      <c r="G1647" s="24" t="s">
        <v>1294</v>
      </c>
    </row>
    <row r="1648" spans="1:11" s="3" customFormat="1" ht="17.399999999999999" hidden="1" customHeight="1" outlineLevel="1" x14ac:dyDescent="0.25">
      <c r="A1648" s="5"/>
      <c r="B1648" s="401" t="s">
        <v>1</v>
      </c>
      <c r="C1648" s="402"/>
      <c r="D1648" s="402"/>
      <c r="E1648" s="402"/>
      <c r="F1648" s="402"/>
      <c r="G1648" s="403"/>
    </row>
    <row r="1649" spans="1:14" s="3" customFormat="1" ht="17.399999999999999" hidden="1" customHeight="1" outlineLevel="1" x14ac:dyDescent="0.25">
      <c r="A1649" s="5"/>
      <c r="B1649" s="25" t="s">
        <v>2</v>
      </c>
      <c r="C1649" s="26" t="s">
        <v>3</v>
      </c>
      <c r="D1649" s="26" t="s">
        <v>4</v>
      </c>
      <c r="E1649" s="26" t="s">
        <v>5</v>
      </c>
      <c r="F1649" s="26"/>
      <c r="G1649" s="27" t="s">
        <v>6</v>
      </c>
    </row>
    <row r="1650" spans="1:14" s="3" customFormat="1" ht="17.399999999999999" hidden="1" customHeight="1" outlineLevel="1" x14ac:dyDescent="0.25">
      <c r="B1650" s="28" t="s">
        <v>7</v>
      </c>
      <c r="C1650" s="29" t="s">
        <v>1468</v>
      </c>
      <c r="D1650" s="29" t="s">
        <v>1469</v>
      </c>
      <c r="E1650" s="29">
        <v>0</v>
      </c>
      <c r="F1650" s="29" t="s">
        <v>1470</v>
      </c>
      <c r="G1650" s="30" t="s">
        <v>1471</v>
      </c>
    </row>
    <row r="1651" spans="1:14" s="3" customFormat="1" ht="17.399999999999999" hidden="1" customHeight="1" outlineLevel="1" x14ac:dyDescent="0.25">
      <c r="B1651" s="28" t="s">
        <v>188</v>
      </c>
      <c r="C1651" s="29" t="s">
        <v>1607</v>
      </c>
      <c r="D1651" s="29" t="s">
        <v>1606</v>
      </c>
      <c r="E1651" s="29" t="s">
        <v>1594</v>
      </c>
      <c r="F1651" s="29"/>
      <c r="G1651" s="30"/>
      <c r="J1651" s="3" t="s">
        <v>10</v>
      </c>
    </row>
    <row r="1652" spans="1:14" s="3" customFormat="1" ht="17.399999999999999" hidden="1" customHeight="1" outlineLevel="1" x14ac:dyDescent="0.25">
      <c r="A1652" s="5"/>
      <c r="B1652" s="31" t="s">
        <v>15</v>
      </c>
      <c r="C1652" s="20" t="s">
        <v>1478</v>
      </c>
      <c r="D1652" s="20" t="s">
        <v>1469</v>
      </c>
      <c r="E1652" s="20">
        <v>0</v>
      </c>
      <c r="F1652" s="20" t="s">
        <v>1470</v>
      </c>
      <c r="G1652" s="22"/>
      <c r="J1652" s="3" t="s">
        <v>187</v>
      </c>
    </row>
    <row r="1653" spans="1:14" s="3" customFormat="1" hidden="1" outlineLevel="1" x14ac:dyDescent="0.25">
      <c r="A1653" s="5"/>
      <c r="B1653" s="228" t="s">
        <v>87</v>
      </c>
      <c r="C1653" s="228" t="s">
        <v>1535</v>
      </c>
      <c r="D1653" s="228" t="s">
        <v>1469</v>
      </c>
      <c r="E1653" s="228">
        <v>0</v>
      </c>
      <c r="F1653" s="228" t="s">
        <v>1476</v>
      </c>
      <c r="G1653" s="228"/>
      <c r="J1653" s="3" t="s">
        <v>10</v>
      </c>
      <c r="K1653" s="3" t="s">
        <v>173</v>
      </c>
      <c r="L1653" s="3" t="s">
        <v>9</v>
      </c>
      <c r="M1653" s="3" t="s">
        <v>9</v>
      </c>
      <c r="N1653" s="3">
        <v>1112</v>
      </c>
    </row>
    <row r="1654" spans="1:14" s="3" customFormat="1" hidden="1" outlineLevel="1" x14ac:dyDescent="0.25">
      <c r="A1654" s="5"/>
      <c r="B1654" s="228" t="s">
        <v>11</v>
      </c>
      <c r="C1654" s="228" t="s">
        <v>1472</v>
      </c>
      <c r="D1654" s="228" t="s">
        <v>1469</v>
      </c>
      <c r="E1654" s="228">
        <v>0</v>
      </c>
      <c r="F1654" s="228" t="s">
        <v>1470</v>
      </c>
      <c r="G1654" s="228" t="s">
        <v>1473</v>
      </c>
      <c r="J1654" s="3" t="s">
        <v>10</v>
      </c>
      <c r="K1654" s="3" t="s">
        <v>438</v>
      </c>
      <c r="L1654" s="3" t="s">
        <v>537</v>
      </c>
      <c r="M1654" s="3" t="s">
        <v>187</v>
      </c>
      <c r="N1654" s="3">
        <v>2156</v>
      </c>
    </row>
    <row r="1655" spans="1:14" s="3" customFormat="1" hidden="1" outlineLevel="1" x14ac:dyDescent="0.25">
      <c r="A1655" s="5"/>
      <c r="B1655" s="231" t="s">
        <v>128</v>
      </c>
      <c r="C1655" s="231" t="s">
        <v>1566</v>
      </c>
      <c r="D1655" s="231" t="s">
        <v>1567</v>
      </c>
      <c r="E1655" s="231">
        <v>0</v>
      </c>
      <c r="F1655" s="231" t="s">
        <v>1470</v>
      </c>
      <c r="G1655" s="231"/>
      <c r="J1655" s="3" t="s">
        <v>12</v>
      </c>
      <c r="K1655" s="3" t="s">
        <v>173</v>
      </c>
      <c r="L1655" s="3" t="s">
        <v>9</v>
      </c>
      <c r="M1655" s="3" t="s">
        <v>9</v>
      </c>
      <c r="N1655" s="3">
        <v>2430</v>
      </c>
    </row>
    <row r="1656" spans="1:14" s="3" customFormat="1" ht="17.399999999999999" hidden="1" customHeight="1" outlineLevel="1" x14ac:dyDescent="0.25">
      <c r="A1656" s="5"/>
      <c r="B1656" s="231" t="s">
        <v>114</v>
      </c>
      <c r="C1656" s="231" t="s">
        <v>1557</v>
      </c>
      <c r="D1656" s="231" t="s">
        <v>1469</v>
      </c>
      <c r="E1656" s="231">
        <v>-1</v>
      </c>
      <c r="F1656" s="231" t="s">
        <v>1470</v>
      </c>
      <c r="G1656" s="231"/>
      <c r="J1656" s="3" t="s">
        <v>12</v>
      </c>
      <c r="K1656" s="3" t="s">
        <v>173</v>
      </c>
      <c r="L1656" s="3" t="s">
        <v>9</v>
      </c>
      <c r="M1656" s="3" t="s">
        <v>9</v>
      </c>
      <c r="N1656" s="3">
        <v>2433</v>
      </c>
    </row>
    <row r="1657" spans="1:14" s="3" customFormat="1" ht="17.399999999999999" hidden="1" customHeight="1" outlineLevel="1" x14ac:dyDescent="0.25">
      <c r="A1657" s="7"/>
      <c r="B1657" s="106" t="s">
        <v>73</v>
      </c>
      <c r="C1657" s="221" t="s">
        <v>1528</v>
      </c>
      <c r="D1657" s="221" t="s">
        <v>1469</v>
      </c>
      <c r="E1657" s="221" t="s">
        <v>1480</v>
      </c>
      <c r="F1657" s="221" t="s">
        <v>1481</v>
      </c>
      <c r="G1657" s="222"/>
      <c r="H1657" s="7"/>
      <c r="J1657" s="3" t="s">
        <v>10</v>
      </c>
      <c r="K1657" s="3" t="s">
        <v>174</v>
      </c>
      <c r="L1657" s="3" t="s">
        <v>175</v>
      </c>
      <c r="M1657" s="3" t="s">
        <v>176</v>
      </c>
      <c r="N1657" s="3">
        <v>1700</v>
      </c>
    </row>
    <row r="1658" spans="1:14" s="3" customFormat="1" ht="17.399999999999999" hidden="1" customHeight="1" outlineLevel="1" x14ac:dyDescent="0.25">
      <c r="A1658" s="7"/>
      <c r="B1658" s="106" t="s">
        <v>74</v>
      </c>
      <c r="C1658" s="221" t="s">
        <v>1529</v>
      </c>
      <c r="D1658" s="221" t="s">
        <v>1469</v>
      </c>
      <c r="E1658" s="221" t="s">
        <v>1480</v>
      </c>
      <c r="F1658" s="221" t="s">
        <v>1481</v>
      </c>
      <c r="G1658" s="222"/>
      <c r="H1658" s="7"/>
      <c r="I1658" s="7"/>
      <c r="J1658" s="7" t="s">
        <v>10</v>
      </c>
      <c r="K1658" s="3" t="s">
        <v>174</v>
      </c>
      <c r="L1658" s="3" t="s">
        <v>175</v>
      </c>
      <c r="M1658" s="3" t="s">
        <v>176</v>
      </c>
      <c r="N1658" s="3">
        <v>1629</v>
      </c>
    </row>
    <row r="1659" spans="1:14" s="3" customFormat="1" ht="17.399999999999999" hidden="1" customHeight="1" outlineLevel="1" thickBot="1" x14ac:dyDescent="0.3">
      <c r="A1659" s="5"/>
      <c r="B1659" s="52"/>
      <c r="C1659" s="53"/>
      <c r="D1659" s="53"/>
      <c r="E1659" s="53"/>
      <c r="F1659" s="53"/>
      <c r="G1659" s="54"/>
      <c r="I1659" s="7"/>
      <c r="J1659" s="7" t="s">
        <v>10</v>
      </c>
      <c r="K1659" s="3" t="s">
        <v>173</v>
      </c>
      <c r="L1659" s="3" t="s">
        <v>9</v>
      </c>
      <c r="M1659" s="3" t="s">
        <v>9</v>
      </c>
      <c r="N1659" s="3">
        <v>2449</v>
      </c>
    </row>
    <row r="1660" spans="1:14" s="7" customFormat="1" ht="17.399999999999999" hidden="1" customHeight="1" outlineLevel="1" x14ac:dyDescent="0.25">
      <c r="A1660" s="5"/>
      <c r="B1660" s="401" t="s">
        <v>18</v>
      </c>
      <c r="C1660" s="402"/>
      <c r="D1660" s="402"/>
      <c r="E1660" s="402"/>
      <c r="F1660" s="402"/>
      <c r="G1660" s="403"/>
      <c r="H1660" s="3"/>
      <c r="I1660" s="3"/>
      <c r="J1660" s="3"/>
      <c r="K1660" s="7" t="s">
        <v>173</v>
      </c>
      <c r="L1660" s="7" t="s">
        <v>9</v>
      </c>
      <c r="M1660" s="7" t="s">
        <v>9</v>
      </c>
      <c r="N1660" s="7">
        <v>1767</v>
      </c>
    </row>
    <row r="1661" spans="1:14" s="7" customFormat="1" ht="17.399999999999999" hidden="1" customHeight="1" outlineLevel="1" x14ac:dyDescent="0.25">
      <c r="A1661" s="5"/>
      <c r="B1661" s="25" t="s">
        <v>2</v>
      </c>
      <c r="C1661" s="26" t="s">
        <v>3</v>
      </c>
      <c r="D1661" s="26" t="s">
        <v>4</v>
      </c>
      <c r="E1661" s="26" t="s">
        <v>5</v>
      </c>
      <c r="F1661" s="26"/>
      <c r="G1661" s="27" t="s">
        <v>6</v>
      </c>
      <c r="H1661" s="3"/>
      <c r="I1661" s="3"/>
      <c r="J1661" s="3"/>
      <c r="K1661" s="7" t="s">
        <v>173</v>
      </c>
      <c r="L1661" s="7" t="s">
        <v>9</v>
      </c>
      <c r="M1661" s="7" t="s">
        <v>9</v>
      </c>
      <c r="N1661" s="7">
        <v>1713</v>
      </c>
    </row>
    <row r="1662" spans="1:14" s="3" customFormat="1" ht="17.399999999999999" hidden="1" customHeight="1" outlineLevel="1" x14ac:dyDescent="0.25">
      <c r="A1662" s="5"/>
      <c r="B1662" s="82"/>
      <c r="C1662" s="232"/>
      <c r="D1662" s="232"/>
      <c r="E1662" s="232"/>
      <c r="F1662" s="232"/>
      <c r="G1662" s="233"/>
    </row>
    <row r="1663" spans="1:14" s="3" customFormat="1" ht="17.399999999999999" hidden="1" customHeight="1" outlineLevel="1" x14ac:dyDescent="0.25">
      <c r="A1663" s="5"/>
      <c r="B1663" s="398" t="s">
        <v>28</v>
      </c>
      <c r="C1663" s="399"/>
      <c r="D1663" s="399"/>
      <c r="E1663" s="399"/>
      <c r="F1663" s="399"/>
      <c r="G1663" s="400"/>
    </row>
    <row r="1664" spans="1:14" s="3" customFormat="1" ht="17.399999999999999" hidden="1" customHeight="1" outlineLevel="1" x14ac:dyDescent="0.25">
      <c r="A1664" s="5"/>
      <c r="B1664" s="25" t="s">
        <v>2</v>
      </c>
      <c r="C1664" s="26" t="s">
        <v>3</v>
      </c>
      <c r="D1664" s="26" t="s">
        <v>4</v>
      </c>
      <c r="E1664" s="26" t="s">
        <v>5</v>
      </c>
      <c r="F1664" s="26"/>
      <c r="G1664" s="27" t="s">
        <v>6</v>
      </c>
    </row>
    <row r="1665" spans="1:10" s="3" customFormat="1" ht="17.399999999999999" hidden="1" customHeight="1" outlineLevel="1" thickBot="1" x14ac:dyDescent="0.3">
      <c r="A1665" s="5"/>
      <c r="B1665" s="116"/>
      <c r="C1665" s="117"/>
      <c r="D1665" s="117"/>
      <c r="E1665" s="117"/>
      <c r="F1665" s="117"/>
      <c r="G1665" s="118"/>
    </row>
    <row r="1666" spans="1:10" s="3" customFormat="1" ht="17.399999999999999" hidden="1" customHeight="1" outlineLevel="1" x14ac:dyDescent="0.25">
      <c r="A1666" s="5"/>
      <c r="B1666" s="401" t="s">
        <v>29</v>
      </c>
      <c r="C1666" s="402"/>
      <c r="D1666" s="402"/>
      <c r="E1666" s="402"/>
      <c r="F1666" s="402"/>
      <c r="G1666" s="403"/>
    </row>
    <row r="1667" spans="1:10" s="3" customFormat="1" ht="17.399999999999999" hidden="1" customHeight="1" outlineLevel="1" x14ac:dyDescent="0.25">
      <c r="A1667" s="5"/>
      <c r="B1667" s="234"/>
      <c r="C1667" s="235"/>
      <c r="D1667" s="235"/>
      <c r="E1667" s="235"/>
      <c r="F1667" s="235"/>
      <c r="G1667" s="236"/>
      <c r="H1667" s="5"/>
    </row>
    <row r="1668" spans="1:10" s="3" customFormat="1" ht="17.399999999999999" hidden="1" customHeight="1" outlineLevel="1" x14ac:dyDescent="0.25">
      <c r="A1668" s="5"/>
      <c r="B1668" s="218" t="s">
        <v>1050</v>
      </c>
      <c r="C1668" s="107"/>
      <c r="D1668" s="107"/>
      <c r="E1668" s="107"/>
      <c r="F1668" s="107"/>
      <c r="G1668" s="108"/>
      <c r="I1668" s="5"/>
      <c r="J1668" s="5"/>
    </row>
    <row r="1669" spans="1:10" s="3" customFormat="1" ht="17.399999999999999" hidden="1" customHeight="1" outlineLevel="1" x14ac:dyDescent="0.25">
      <c r="A1669" s="5"/>
      <c r="B1669" s="106" t="s">
        <v>1028</v>
      </c>
      <c r="C1669" s="107"/>
      <c r="D1669" s="107"/>
      <c r="E1669" s="107"/>
      <c r="F1669" s="107"/>
      <c r="G1669" s="108"/>
      <c r="H1669" s="5"/>
    </row>
    <row r="1670" spans="1:10" s="3" customFormat="1" hidden="1" outlineLevel="1" x14ac:dyDescent="0.25">
      <c r="A1670" s="5"/>
      <c r="B1670" s="31" t="s">
        <v>1043</v>
      </c>
      <c r="C1670" s="20"/>
      <c r="D1670" s="20"/>
      <c r="E1670" s="20"/>
      <c r="F1670" s="20"/>
      <c r="G1670" s="22"/>
      <c r="I1670" s="45"/>
    </row>
    <row r="1671" spans="1:10" s="3" customFormat="1" hidden="1" outlineLevel="1" x14ac:dyDescent="0.25">
      <c r="A1671" s="5"/>
      <c r="B1671" s="46" t="s">
        <v>2299</v>
      </c>
      <c r="C1671" s="20"/>
      <c r="D1671" s="20"/>
      <c r="E1671" s="20"/>
      <c r="F1671" s="20"/>
      <c r="G1671" s="22"/>
    </row>
    <row r="1672" spans="1:10" s="3" customFormat="1" hidden="1" outlineLevel="1" x14ac:dyDescent="0.25">
      <c r="A1672" s="5"/>
      <c r="B1672" s="46" t="s">
        <v>1051</v>
      </c>
      <c r="C1672" s="20"/>
      <c r="D1672" s="20"/>
      <c r="E1672" s="20"/>
      <c r="F1672" s="20"/>
      <c r="G1672" s="22"/>
    </row>
    <row r="1673" spans="1:10" s="3" customFormat="1" hidden="1" outlineLevel="1" x14ac:dyDescent="0.25">
      <c r="A1673" s="5"/>
      <c r="B1673" s="46" t="s">
        <v>763</v>
      </c>
      <c r="C1673" s="20"/>
      <c r="D1673" s="20"/>
      <c r="E1673" s="20"/>
      <c r="F1673" s="20"/>
      <c r="G1673" s="22"/>
    </row>
    <row r="1674" spans="1:10" s="3" customFormat="1" ht="16.2" hidden="1" outlineLevel="1" thickBot="1" x14ac:dyDescent="0.3">
      <c r="A1674" s="5"/>
      <c r="B1674" s="52" t="s">
        <v>1045</v>
      </c>
      <c r="C1674" s="53"/>
      <c r="D1674" s="53"/>
      <c r="E1674" s="53"/>
      <c r="F1674" s="53"/>
      <c r="G1674" s="54"/>
    </row>
    <row r="1675" spans="1:10" s="3" customFormat="1" ht="16.2" hidden="1" outlineLevel="1" thickBot="1" x14ac:dyDescent="0.3">
      <c r="A1675" s="5"/>
      <c r="B1675" s="52" t="s">
        <v>1052</v>
      </c>
      <c r="C1675" s="53"/>
      <c r="D1675" s="53"/>
      <c r="E1675" s="53"/>
      <c r="F1675" s="53"/>
      <c r="G1675" s="54"/>
    </row>
    <row r="1676" spans="1:10" s="3" customFormat="1" ht="16.2" hidden="1" outlineLevel="1" thickBot="1" x14ac:dyDescent="0.3">
      <c r="A1676" s="5"/>
      <c r="B1676" s="52" t="s">
        <v>1046</v>
      </c>
      <c r="C1676" s="53"/>
      <c r="D1676" s="53"/>
      <c r="E1676" s="53"/>
      <c r="F1676" s="53"/>
      <c r="G1676" s="54"/>
    </row>
    <row r="1677" spans="1:10" s="3" customFormat="1" ht="17.399999999999999" hidden="1" customHeight="1" outlineLevel="1" x14ac:dyDescent="0.25">
      <c r="A1677" s="5"/>
      <c r="B1677" s="218" t="s">
        <v>1047</v>
      </c>
      <c r="C1677" s="107"/>
      <c r="D1677" s="107"/>
      <c r="E1677" s="107"/>
      <c r="F1677" s="107"/>
      <c r="G1677" s="108"/>
    </row>
    <row r="1678" spans="1:10" s="3" customFormat="1" ht="17.399999999999999" hidden="1" customHeight="1" outlineLevel="1" x14ac:dyDescent="0.25">
      <c r="A1678" s="5"/>
      <c r="B1678" s="201" t="s">
        <v>1048</v>
      </c>
      <c r="C1678" s="107"/>
      <c r="D1678" s="107"/>
      <c r="E1678" s="107"/>
      <c r="F1678" s="107"/>
      <c r="G1678" s="108"/>
    </row>
    <row r="1679" spans="1:10" s="3" customFormat="1" ht="17.399999999999999" hidden="1" customHeight="1" outlineLevel="1" x14ac:dyDescent="0.25">
      <c r="A1679" s="5"/>
      <c r="B1679" s="201" t="s">
        <v>1040</v>
      </c>
      <c r="C1679" s="107"/>
      <c r="D1679" s="107"/>
      <c r="E1679" s="107"/>
      <c r="F1679" s="107"/>
      <c r="G1679" s="129"/>
    </row>
    <row r="1680" spans="1:10" s="3" customFormat="1" ht="17.399999999999999" hidden="1" customHeight="1" outlineLevel="1" x14ac:dyDescent="0.25">
      <c r="A1680" s="5"/>
      <c r="B1680" s="128" t="s">
        <v>877</v>
      </c>
      <c r="C1680" s="107"/>
      <c r="D1680" s="107"/>
      <c r="E1680" s="107"/>
      <c r="F1680" s="107"/>
      <c r="G1680" s="129"/>
    </row>
    <row r="1681" spans="1:14" s="3" customFormat="1" ht="17.399999999999999" hidden="1" customHeight="1" outlineLevel="1" x14ac:dyDescent="0.25">
      <c r="A1681" s="5"/>
      <c r="B1681" s="201" t="s">
        <v>726</v>
      </c>
      <c r="C1681" s="107"/>
      <c r="D1681" s="107"/>
      <c r="E1681" s="107"/>
      <c r="F1681" s="107"/>
      <c r="G1681" s="108"/>
    </row>
    <row r="1682" spans="1:14" s="3" customFormat="1" ht="17.399999999999999" hidden="1" customHeight="1" outlineLevel="1" x14ac:dyDescent="0.25">
      <c r="A1682" s="5"/>
      <c r="B1682" s="125"/>
      <c r="C1682" s="117"/>
      <c r="D1682" s="117"/>
      <c r="E1682" s="117"/>
      <c r="F1682" s="117"/>
      <c r="G1682" s="118"/>
      <c r="K1682" s="5"/>
    </row>
    <row r="1683" spans="1:14" s="3" customFormat="1" ht="17.399999999999999" hidden="1" customHeight="1" outlineLevel="1" thickBot="1" x14ac:dyDescent="0.3">
      <c r="A1683" s="5"/>
    </row>
    <row r="1684" spans="1:14" s="3" customFormat="1" ht="17.399999999999999" customHeight="1" collapsed="1" thickBot="1" x14ac:dyDescent="0.3">
      <c r="A1684" s="5"/>
      <c r="B1684" s="15" t="s">
        <v>1279</v>
      </c>
      <c r="C1684" s="16" t="s">
        <v>2192</v>
      </c>
      <c r="D1684" s="17" t="s">
        <v>1281</v>
      </c>
      <c r="E1684" s="16" t="s">
        <v>1053</v>
      </c>
      <c r="F1684" s="17" t="s">
        <v>1282</v>
      </c>
      <c r="G1684" s="18" t="s">
        <v>2193</v>
      </c>
    </row>
    <row r="1685" spans="1:14" s="3" customFormat="1" ht="17.399999999999999" hidden="1" customHeight="1" outlineLevel="1" x14ac:dyDescent="0.25">
      <c r="A1685" s="5"/>
      <c r="B1685" s="19" t="s">
        <v>1284</v>
      </c>
      <c r="C1685" s="20" t="s">
        <v>1285</v>
      </c>
      <c r="D1685" s="21" t="s">
        <v>1286</v>
      </c>
      <c r="E1685" s="20" t="s">
        <v>2194</v>
      </c>
      <c r="F1685" s="21" t="s">
        <v>1288</v>
      </c>
      <c r="G1685" s="22"/>
    </row>
    <row r="1686" spans="1:14" s="3" customFormat="1" ht="17.399999999999999" hidden="1" customHeight="1" outlineLevel="1" thickBot="1" x14ac:dyDescent="0.3">
      <c r="A1686" s="5"/>
      <c r="B1686" s="19" t="s">
        <v>1290</v>
      </c>
      <c r="C1686" s="23" t="s">
        <v>1291</v>
      </c>
      <c r="D1686" s="21" t="s">
        <v>1292</v>
      </c>
      <c r="E1686" s="23">
        <v>5</v>
      </c>
      <c r="F1686" s="21" t="s">
        <v>1293</v>
      </c>
      <c r="G1686" s="24" t="s">
        <v>1294</v>
      </c>
    </row>
    <row r="1687" spans="1:14" s="3" customFormat="1" ht="17.399999999999999" hidden="1" customHeight="1" outlineLevel="1" x14ac:dyDescent="0.25">
      <c r="A1687" s="5"/>
      <c r="B1687" s="401" t="s">
        <v>1</v>
      </c>
      <c r="C1687" s="402"/>
      <c r="D1687" s="402"/>
      <c r="E1687" s="402"/>
      <c r="F1687" s="402"/>
      <c r="G1687" s="403"/>
    </row>
    <row r="1688" spans="1:14" s="3" customFormat="1" ht="17.399999999999999" hidden="1" customHeight="1" outlineLevel="1" x14ac:dyDescent="0.25">
      <c r="A1688" s="5"/>
      <c r="B1688" s="25" t="s">
        <v>2</v>
      </c>
      <c r="C1688" s="26" t="s">
        <v>3</v>
      </c>
      <c r="D1688" s="26" t="s">
        <v>4</v>
      </c>
      <c r="E1688" s="26" t="s">
        <v>5</v>
      </c>
      <c r="F1688" s="26"/>
      <c r="G1688" s="27" t="s">
        <v>6</v>
      </c>
    </row>
    <row r="1689" spans="1:14" s="3" customFormat="1" ht="17.399999999999999" hidden="1" customHeight="1" outlineLevel="1" x14ac:dyDescent="0.25">
      <c r="B1689" s="28" t="s">
        <v>7</v>
      </c>
      <c r="C1689" s="29" t="s">
        <v>1468</v>
      </c>
      <c r="D1689" s="29" t="s">
        <v>1469</v>
      </c>
      <c r="E1689" s="29">
        <v>0</v>
      </c>
      <c r="F1689" s="29" t="s">
        <v>1470</v>
      </c>
      <c r="G1689" s="30" t="s">
        <v>1471</v>
      </c>
    </row>
    <row r="1690" spans="1:14" s="3" customFormat="1" ht="17.399999999999999" hidden="1" customHeight="1" outlineLevel="1" x14ac:dyDescent="0.25">
      <c r="B1690" s="28" t="s">
        <v>345</v>
      </c>
      <c r="C1690" s="29" t="s">
        <v>1754</v>
      </c>
      <c r="D1690" s="29" t="s">
        <v>1469</v>
      </c>
      <c r="E1690" s="29">
        <v>0</v>
      </c>
      <c r="F1690" s="29" t="s">
        <v>1470</v>
      </c>
      <c r="G1690" s="30"/>
      <c r="J1690" s="3" t="s">
        <v>10</v>
      </c>
    </row>
    <row r="1691" spans="1:14" s="3" customFormat="1" ht="17.399999999999999" hidden="1" customHeight="1" outlineLevel="1" x14ac:dyDescent="0.25">
      <c r="A1691" s="5"/>
      <c r="B1691" s="31" t="s">
        <v>128</v>
      </c>
      <c r="C1691" s="20" t="s">
        <v>1566</v>
      </c>
      <c r="D1691" s="20" t="s">
        <v>1567</v>
      </c>
      <c r="E1691" s="20">
        <v>0</v>
      </c>
      <c r="F1691" s="20" t="s">
        <v>1470</v>
      </c>
      <c r="G1691" s="22"/>
    </row>
    <row r="1692" spans="1:14" s="3" customFormat="1" hidden="1" outlineLevel="1" x14ac:dyDescent="0.25">
      <c r="B1692" s="28" t="s">
        <v>114</v>
      </c>
      <c r="C1692" s="29" t="s">
        <v>1557</v>
      </c>
      <c r="D1692" s="29" t="s">
        <v>1469</v>
      </c>
      <c r="E1692" s="29">
        <v>-1</v>
      </c>
      <c r="F1692" s="29" t="s">
        <v>1470</v>
      </c>
      <c r="G1692" s="30"/>
      <c r="J1692" s="3" t="s">
        <v>12</v>
      </c>
      <c r="K1692" s="3" t="s">
        <v>173</v>
      </c>
      <c r="L1692" s="3" t="s">
        <v>9</v>
      </c>
      <c r="M1692" s="3" t="s">
        <v>9</v>
      </c>
      <c r="N1692" s="3">
        <v>1112</v>
      </c>
    </row>
    <row r="1693" spans="1:14" s="3" customFormat="1" hidden="1" outlineLevel="1" x14ac:dyDescent="0.25">
      <c r="A1693" s="5"/>
      <c r="B1693" s="31"/>
      <c r="C1693" s="20"/>
      <c r="D1693" s="20"/>
      <c r="E1693" s="20"/>
      <c r="F1693" s="20"/>
      <c r="G1693" s="22"/>
      <c r="J1693" s="3" t="s">
        <v>10</v>
      </c>
    </row>
    <row r="1694" spans="1:14" s="3" customFormat="1" hidden="1" outlineLevel="1" x14ac:dyDescent="0.25">
      <c r="A1694" s="5"/>
      <c r="B1694" s="398" t="s">
        <v>18</v>
      </c>
      <c r="C1694" s="399"/>
      <c r="D1694" s="399"/>
      <c r="E1694" s="399"/>
      <c r="F1694" s="399"/>
      <c r="G1694" s="400"/>
      <c r="K1694" s="3" t="s">
        <v>174</v>
      </c>
      <c r="L1694" s="3" t="s">
        <v>175</v>
      </c>
      <c r="M1694" s="3" t="s">
        <v>176</v>
      </c>
      <c r="N1694" s="3">
        <v>1629</v>
      </c>
    </row>
    <row r="1695" spans="1:14" s="3" customFormat="1" hidden="1" outlineLevel="1" x14ac:dyDescent="0.25">
      <c r="A1695" s="5"/>
      <c r="B1695" s="25" t="s">
        <v>2</v>
      </c>
      <c r="C1695" s="26" t="s">
        <v>3</v>
      </c>
      <c r="D1695" s="26" t="s">
        <v>4</v>
      </c>
      <c r="E1695" s="26" t="s">
        <v>5</v>
      </c>
      <c r="F1695" s="26"/>
      <c r="G1695" s="27" t="s">
        <v>6</v>
      </c>
      <c r="K1695" s="3" t="s">
        <v>173</v>
      </c>
      <c r="L1695" s="3" t="s">
        <v>9</v>
      </c>
      <c r="M1695" s="3" t="s">
        <v>9</v>
      </c>
      <c r="N1695" s="3">
        <v>2449</v>
      </c>
    </row>
    <row r="1696" spans="1:14" s="3" customFormat="1" ht="17.399999999999999" hidden="1" customHeight="1" outlineLevel="1" x14ac:dyDescent="0.25">
      <c r="B1696" s="28" t="s">
        <v>128</v>
      </c>
      <c r="C1696" s="29" t="s">
        <v>1566</v>
      </c>
      <c r="D1696" s="29" t="s">
        <v>1567</v>
      </c>
      <c r="E1696" s="29">
        <v>0</v>
      </c>
      <c r="F1696" s="29" t="s">
        <v>1470</v>
      </c>
      <c r="G1696" s="30"/>
      <c r="H1696" s="3" t="str">
        <f t="shared" ref="H1696:H1714" si="6">"{"&amp;B1696&amp;"},"</f>
        <v>{记录序号},</v>
      </c>
    </row>
    <row r="1697" spans="2:14" s="3" customFormat="1" ht="17.399999999999999" hidden="1" customHeight="1" outlineLevel="1" x14ac:dyDescent="0.25">
      <c r="B1697" s="28" t="s">
        <v>16</v>
      </c>
      <c r="C1697" s="29" t="s">
        <v>1479</v>
      </c>
      <c r="D1697" s="29" t="s">
        <v>1469</v>
      </c>
      <c r="E1697" s="29" t="s">
        <v>1480</v>
      </c>
      <c r="F1697" s="29" t="s">
        <v>1481</v>
      </c>
      <c r="G1697" s="30" t="s">
        <v>1482</v>
      </c>
      <c r="H1697" s="3" t="str">
        <f t="shared" si="6"/>
        <v>{初始化日期},</v>
      </c>
      <c r="J1697" s="3" t="s">
        <v>12</v>
      </c>
    </row>
    <row r="1698" spans="2:14" s="3" customFormat="1" ht="17.399999999999999" hidden="1" customHeight="1" outlineLevel="1" x14ac:dyDescent="0.25">
      <c r="B1698" s="28" t="s">
        <v>112</v>
      </c>
      <c r="C1698" s="29" t="s">
        <v>1555</v>
      </c>
      <c r="D1698" s="29" t="s">
        <v>1469</v>
      </c>
      <c r="E1698" s="29">
        <v>0</v>
      </c>
      <c r="F1698" s="29" t="s">
        <v>1470</v>
      </c>
      <c r="G1698" s="30" t="s">
        <v>1556</v>
      </c>
      <c r="H1698" s="3" t="str">
        <f t="shared" si="6"/>
        <v>{机构编号},</v>
      </c>
      <c r="J1698" s="3" t="s">
        <v>10</v>
      </c>
    </row>
    <row r="1699" spans="2:14" s="3" customFormat="1" hidden="1" outlineLevel="1" x14ac:dyDescent="0.25">
      <c r="B1699" s="28" t="s">
        <v>7</v>
      </c>
      <c r="C1699" s="29" t="s">
        <v>1468</v>
      </c>
      <c r="D1699" s="29" t="s">
        <v>1469</v>
      </c>
      <c r="E1699" s="29">
        <v>0</v>
      </c>
      <c r="F1699" s="29" t="s">
        <v>1470</v>
      </c>
      <c r="G1699" s="30" t="s">
        <v>1471</v>
      </c>
      <c r="H1699" s="3" t="str">
        <f t="shared" si="6"/>
        <v>{产品编号},</v>
      </c>
      <c r="J1699" s="3" t="s">
        <v>10</v>
      </c>
      <c r="K1699" s="3" t="s">
        <v>174</v>
      </c>
      <c r="L1699" s="3" t="s">
        <v>175</v>
      </c>
      <c r="M1699" s="3" t="s">
        <v>176</v>
      </c>
      <c r="N1699" s="3">
        <v>1629</v>
      </c>
    </row>
    <row r="1700" spans="2:14" s="3" customFormat="1" hidden="1" outlineLevel="1" x14ac:dyDescent="0.25">
      <c r="B1700" s="28" t="s">
        <v>13</v>
      </c>
      <c r="C1700" s="29" t="s">
        <v>1474</v>
      </c>
      <c r="D1700" s="29" t="s">
        <v>1469</v>
      </c>
      <c r="E1700" s="29">
        <v>0</v>
      </c>
      <c r="F1700" s="29" t="s">
        <v>1470</v>
      </c>
      <c r="G1700" s="30"/>
      <c r="H1700" s="3" t="str">
        <f t="shared" si="6"/>
        <v>{资产账户编号},</v>
      </c>
      <c r="J1700" s="3" t="s">
        <v>10</v>
      </c>
      <c r="N1700" s="3">
        <v>2534</v>
      </c>
    </row>
    <row r="1701" spans="2:14" s="3" customFormat="1" hidden="1" outlineLevel="1" x14ac:dyDescent="0.25">
      <c r="B1701" s="28" t="s">
        <v>14</v>
      </c>
      <c r="C1701" s="29" t="s">
        <v>1475</v>
      </c>
      <c r="D1701" s="29" t="s">
        <v>1469</v>
      </c>
      <c r="E1701" s="29">
        <v>0</v>
      </c>
      <c r="F1701" s="29" t="s">
        <v>1476</v>
      </c>
      <c r="G1701" s="30" t="s">
        <v>1477</v>
      </c>
      <c r="H1701" s="3" t="str">
        <f t="shared" si="6"/>
        <v>{市场编号},</v>
      </c>
      <c r="J1701" s="3" t="s">
        <v>10</v>
      </c>
      <c r="K1701" s="3" t="s">
        <v>173</v>
      </c>
      <c r="L1701" s="3" t="s">
        <v>9</v>
      </c>
      <c r="M1701" s="3" t="s">
        <v>9</v>
      </c>
      <c r="N1701" s="3">
        <v>1211</v>
      </c>
    </row>
    <row r="1702" spans="2:14" s="3" customFormat="1" hidden="1" outlineLevel="1" x14ac:dyDescent="0.25">
      <c r="B1702" s="28" t="s">
        <v>346</v>
      </c>
      <c r="C1702" s="29" t="s">
        <v>1755</v>
      </c>
      <c r="D1702" s="29" t="s">
        <v>1469</v>
      </c>
      <c r="E1702" s="29">
        <v>0</v>
      </c>
      <c r="F1702" s="29" t="s">
        <v>1470</v>
      </c>
      <c r="G1702" s="30"/>
      <c r="H1702" s="3" t="str">
        <f t="shared" si="6"/>
        <v>{交易编码编号},</v>
      </c>
      <c r="J1702" s="3" t="s">
        <v>10</v>
      </c>
      <c r="K1702" s="3" t="s">
        <v>173</v>
      </c>
      <c r="L1702" s="3" t="s">
        <v>9</v>
      </c>
      <c r="M1702" s="3" t="s">
        <v>9</v>
      </c>
      <c r="N1702" s="3">
        <v>1606</v>
      </c>
    </row>
    <row r="1703" spans="2:14" s="3" customFormat="1" hidden="1" outlineLevel="1" x14ac:dyDescent="0.25">
      <c r="B1703" s="28" t="s">
        <v>345</v>
      </c>
      <c r="C1703" s="29" t="s">
        <v>1754</v>
      </c>
      <c r="D1703" s="29" t="s">
        <v>1469</v>
      </c>
      <c r="E1703" s="29">
        <v>0</v>
      </c>
      <c r="F1703" s="29" t="s">
        <v>1470</v>
      </c>
      <c r="G1703" s="30"/>
      <c r="H1703" s="3" t="str">
        <f t="shared" si="6"/>
        <v>{合约代码编号},</v>
      </c>
      <c r="J1703" s="3" t="s">
        <v>10</v>
      </c>
      <c r="K1703" s="3" t="s">
        <v>173</v>
      </c>
      <c r="L1703" s="3" t="s">
        <v>9</v>
      </c>
      <c r="M1703" s="3" t="s">
        <v>9</v>
      </c>
      <c r="N1703" s="3">
        <v>1112</v>
      </c>
    </row>
    <row r="1704" spans="2:14" s="3" customFormat="1" hidden="1" outlineLevel="1" x14ac:dyDescent="0.25">
      <c r="B1704" s="28" t="s">
        <v>347</v>
      </c>
      <c r="C1704" s="29" t="s">
        <v>1756</v>
      </c>
      <c r="D1704" s="29" t="s">
        <v>1469</v>
      </c>
      <c r="E1704" s="29">
        <v>0</v>
      </c>
      <c r="F1704" s="29" t="s">
        <v>1476</v>
      </c>
      <c r="G1704" s="30"/>
      <c r="H1704" s="3" t="str">
        <f t="shared" si="6"/>
        <v>{多空类型},</v>
      </c>
      <c r="J1704" s="3" t="s">
        <v>10</v>
      </c>
      <c r="K1704" s="3" t="s">
        <v>173</v>
      </c>
      <c r="L1704" s="3" t="s">
        <v>9</v>
      </c>
      <c r="M1704" s="3" t="s">
        <v>9</v>
      </c>
      <c r="N1704" s="3">
        <v>2534</v>
      </c>
    </row>
    <row r="1705" spans="2:14" s="3" customFormat="1" hidden="1" outlineLevel="1" x14ac:dyDescent="0.25">
      <c r="B1705" s="28" t="s">
        <v>348</v>
      </c>
      <c r="C1705" s="29" t="s">
        <v>1757</v>
      </c>
      <c r="D1705" s="29" t="s">
        <v>1469</v>
      </c>
      <c r="E1705" s="29">
        <v>0</v>
      </c>
      <c r="F1705" s="29" t="s">
        <v>2341</v>
      </c>
      <c r="G1705" s="30" t="s">
        <v>2342</v>
      </c>
      <c r="H1705" s="3" t="str">
        <f t="shared" si="6"/>
        <v>{套保标志},</v>
      </c>
    </row>
    <row r="1706" spans="2:14" s="3" customFormat="1" hidden="1" outlineLevel="1" x14ac:dyDescent="0.25">
      <c r="B1706" s="28" t="s">
        <v>75</v>
      </c>
      <c r="C1706" s="29" t="s">
        <v>1530</v>
      </c>
      <c r="D1706" s="29" t="s">
        <v>1486</v>
      </c>
      <c r="E1706" s="29">
        <v>0</v>
      </c>
      <c r="F1706" s="29" t="s">
        <v>1470</v>
      </c>
      <c r="G1706" s="30" t="s">
        <v>1531</v>
      </c>
      <c r="H1706" s="3" t="str">
        <f t="shared" si="6"/>
        <v>{当前数量},</v>
      </c>
      <c r="J1706" s="3" t="s">
        <v>10</v>
      </c>
      <c r="K1706" s="3" t="s">
        <v>173</v>
      </c>
      <c r="L1706" s="3" t="s">
        <v>9</v>
      </c>
      <c r="M1706" s="3" t="s">
        <v>9</v>
      </c>
      <c r="N1706" s="3">
        <v>2430</v>
      </c>
    </row>
    <row r="1707" spans="2:14" s="3" customFormat="1" hidden="1" outlineLevel="1" x14ac:dyDescent="0.25">
      <c r="B1707" s="185" t="s">
        <v>349</v>
      </c>
      <c r="C1707" s="23" t="s">
        <v>1758</v>
      </c>
      <c r="D1707" s="23" t="s">
        <v>1539</v>
      </c>
      <c r="E1707" s="29">
        <v>0</v>
      </c>
      <c r="F1707" s="29" t="s">
        <v>1470</v>
      </c>
      <c r="G1707" s="30"/>
      <c r="H1707" s="3" t="str">
        <f t="shared" si="6"/>
        <v>{开仓价格},</v>
      </c>
      <c r="J1707" s="3" t="s">
        <v>20</v>
      </c>
      <c r="K1707" s="3" t="s">
        <v>173</v>
      </c>
      <c r="L1707" s="3" t="s">
        <v>9</v>
      </c>
      <c r="M1707" s="3" t="s">
        <v>9</v>
      </c>
      <c r="N1707" s="3">
        <v>2433</v>
      </c>
    </row>
    <row r="1708" spans="2:14" s="3" customFormat="1" hidden="1" outlineLevel="1" x14ac:dyDescent="0.25">
      <c r="B1708" s="185" t="s">
        <v>350</v>
      </c>
      <c r="C1708" s="23" t="s">
        <v>1759</v>
      </c>
      <c r="D1708" s="23" t="s">
        <v>1489</v>
      </c>
      <c r="E1708" s="29">
        <v>0</v>
      </c>
      <c r="F1708" s="29" t="s">
        <v>1470</v>
      </c>
      <c r="G1708" s="30"/>
      <c r="H1708" s="3" t="str">
        <f t="shared" si="6"/>
        <v>{盯市盈亏},</v>
      </c>
      <c r="J1708" s="3" t="s">
        <v>10</v>
      </c>
      <c r="K1708" s="3" t="s">
        <v>173</v>
      </c>
      <c r="L1708" s="3" t="s">
        <v>9</v>
      </c>
      <c r="M1708" s="3" t="s">
        <v>9</v>
      </c>
      <c r="N1708" s="3">
        <v>2155</v>
      </c>
    </row>
    <row r="1709" spans="2:14" s="3" customFormat="1" hidden="1" outlineLevel="1" x14ac:dyDescent="0.25">
      <c r="B1709" s="28" t="s">
        <v>351</v>
      </c>
      <c r="C1709" s="29" t="s">
        <v>1760</v>
      </c>
      <c r="D1709" s="29" t="s">
        <v>1489</v>
      </c>
      <c r="E1709" s="29">
        <v>0</v>
      </c>
      <c r="F1709" s="29" t="s">
        <v>1470</v>
      </c>
      <c r="G1709" s="30" t="s">
        <v>1761</v>
      </c>
      <c r="H1709" s="3" t="str">
        <f t="shared" si="6"/>
        <v>{应收保证金},</v>
      </c>
      <c r="J1709" s="3" t="s">
        <v>20</v>
      </c>
      <c r="K1709" s="3" t="s">
        <v>445</v>
      </c>
      <c r="L1709" s="3" t="s">
        <v>446</v>
      </c>
      <c r="M1709" s="3" t="s">
        <v>446</v>
      </c>
      <c r="N1709" s="3">
        <v>1202</v>
      </c>
    </row>
    <row r="1710" spans="2:14" s="3" customFormat="1" hidden="1" outlineLevel="1" x14ac:dyDescent="0.25">
      <c r="B1710" s="28" t="s">
        <v>138</v>
      </c>
      <c r="C1710" s="29" t="s">
        <v>1577</v>
      </c>
      <c r="D1710" s="29" t="s">
        <v>1486</v>
      </c>
      <c r="E1710" s="29">
        <v>0</v>
      </c>
      <c r="F1710" s="29" t="s">
        <v>1470</v>
      </c>
      <c r="G1710" s="30"/>
      <c r="H1710" s="3" t="str">
        <f t="shared" si="6"/>
        <v>{成交释放数量},</v>
      </c>
      <c r="J1710" s="3" t="s">
        <v>20</v>
      </c>
      <c r="K1710" s="3" t="s">
        <v>173</v>
      </c>
      <c r="L1710" s="3" t="s">
        <v>9</v>
      </c>
      <c r="M1710" s="3" t="s">
        <v>9</v>
      </c>
      <c r="N1710" s="3">
        <v>2237</v>
      </c>
    </row>
    <row r="1711" spans="2:14" s="3" customFormat="1" hidden="1" outlineLevel="1" x14ac:dyDescent="0.25">
      <c r="B1711" s="28" t="s">
        <v>352</v>
      </c>
      <c r="C1711" s="29" t="s">
        <v>1762</v>
      </c>
      <c r="D1711" s="29" t="s">
        <v>1486</v>
      </c>
      <c r="E1711" s="29">
        <v>0</v>
      </c>
      <c r="F1711" s="29"/>
      <c r="G1711" s="30"/>
      <c r="H1711" s="3" t="str">
        <f t="shared" si="6"/>
        <v>{今仓成交占用数量},</v>
      </c>
      <c r="J1711" s="3" t="s">
        <v>20</v>
      </c>
      <c r="K1711" s="3" t="s">
        <v>445</v>
      </c>
      <c r="L1711" s="3" t="s">
        <v>446</v>
      </c>
      <c r="M1711" s="3" t="s">
        <v>446</v>
      </c>
      <c r="N1711" s="3">
        <v>1986</v>
      </c>
    </row>
    <row r="1712" spans="2:14" s="3" customFormat="1" hidden="1" outlineLevel="1" x14ac:dyDescent="0.25">
      <c r="B1712" s="28" t="s">
        <v>62</v>
      </c>
      <c r="C1712" s="29" t="s">
        <v>1525</v>
      </c>
      <c r="D1712" s="23" t="s">
        <v>1489</v>
      </c>
      <c r="E1712" s="29">
        <v>0</v>
      </c>
      <c r="F1712" s="29"/>
      <c r="G1712" s="30"/>
      <c r="H1712" s="3" t="str">
        <f t="shared" si="6"/>
        <v>{持仓市值},</v>
      </c>
      <c r="J1712" s="3" t="s">
        <v>20</v>
      </c>
      <c r="K1712" s="3" t="s">
        <v>445</v>
      </c>
      <c r="L1712" s="3" t="s">
        <v>446</v>
      </c>
      <c r="M1712" s="3" t="s">
        <v>446</v>
      </c>
      <c r="N1712" s="3">
        <v>1262</v>
      </c>
    </row>
    <row r="1713" spans="1:14" s="3" customFormat="1" hidden="1" outlineLevel="1" x14ac:dyDescent="0.25">
      <c r="B1713" s="28" t="s">
        <v>95</v>
      </c>
      <c r="C1713" s="29" t="s">
        <v>1542</v>
      </c>
      <c r="D1713" s="29" t="s">
        <v>1494</v>
      </c>
      <c r="E1713" s="29">
        <v>0</v>
      </c>
      <c r="F1713" s="29"/>
      <c r="G1713" s="30"/>
      <c r="H1713" s="3" t="str">
        <f t="shared" si="6"/>
        <v>{持仓净值占比},</v>
      </c>
      <c r="J1713" s="3" t="s">
        <v>20</v>
      </c>
      <c r="K1713" s="3" t="s">
        <v>445</v>
      </c>
      <c r="L1713" s="3" t="s">
        <v>446</v>
      </c>
      <c r="M1713" s="3" t="s">
        <v>446</v>
      </c>
      <c r="N1713" s="3">
        <v>1317</v>
      </c>
    </row>
    <row r="1714" spans="1:14" s="3" customFormat="1" hidden="1" outlineLevel="1" x14ac:dyDescent="0.25">
      <c r="B1714" s="185" t="s">
        <v>2331</v>
      </c>
      <c r="C1714" s="23" t="s">
        <v>2343</v>
      </c>
      <c r="D1714" s="23" t="s">
        <v>23</v>
      </c>
      <c r="E1714" s="23">
        <v>0</v>
      </c>
      <c r="F1714" s="23"/>
      <c r="G1714" s="24"/>
      <c r="H1714" s="3" t="str">
        <f t="shared" si="6"/>
        <v>{开仓均价},</v>
      </c>
    </row>
    <row r="1715" spans="1:14" s="3" customFormat="1" ht="16.2" hidden="1" outlineLevel="1" thickBot="1" x14ac:dyDescent="0.3">
      <c r="A1715" s="5"/>
      <c r="B1715" s="31"/>
      <c r="C1715" s="20"/>
      <c r="D1715" s="20"/>
      <c r="E1715" s="20"/>
      <c r="F1715" s="20"/>
      <c r="G1715" s="22"/>
      <c r="J1715" s="3" t="s">
        <v>20</v>
      </c>
      <c r="K1715" s="3" t="s">
        <v>445</v>
      </c>
      <c r="L1715" s="3" t="s">
        <v>446</v>
      </c>
      <c r="M1715" s="3" t="s">
        <v>446</v>
      </c>
      <c r="N1715" s="3">
        <v>1721</v>
      </c>
    </row>
    <row r="1716" spans="1:14" s="3" customFormat="1" hidden="1" outlineLevel="1" x14ac:dyDescent="0.25">
      <c r="A1716" s="5"/>
      <c r="B1716" s="401" t="s">
        <v>28</v>
      </c>
      <c r="C1716" s="402"/>
      <c r="D1716" s="402"/>
      <c r="E1716" s="402"/>
      <c r="F1716" s="402"/>
      <c r="G1716" s="403"/>
      <c r="K1716" s="3" t="s">
        <v>445</v>
      </c>
      <c r="L1716" s="3" t="s">
        <v>446</v>
      </c>
      <c r="M1716" s="3" t="s">
        <v>446</v>
      </c>
      <c r="N1716" s="3">
        <v>1875</v>
      </c>
    </row>
    <row r="1717" spans="1:14" s="3" customFormat="1" hidden="1" outlineLevel="1" x14ac:dyDescent="0.25">
      <c r="A1717" s="5"/>
      <c r="B1717" s="116"/>
      <c r="C1717" s="117"/>
      <c r="D1717" s="117"/>
      <c r="E1717" s="117"/>
      <c r="F1717" s="117"/>
      <c r="G1717" s="105"/>
      <c r="K1717" s="3" t="s">
        <v>445</v>
      </c>
      <c r="L1717" s="3" t="s">
        <v>446</v>
      </c>
      <c r="M1717" s="3" t="s">
        <v>446</v>
      </c>
      <c r="N1717" s="3">
        <v>1891</v>
      </c>
    </row>
    <row r="1718" spans="1:14" s="3" customFormat="1" ht="17.399999999999999" hidden="1" customHeight="1" outlineLevel="1" thickBot="1" x14ac:dyDescent="0.3">
      <c r="A1718" s="5"/>
      <c r="B1718" s="116"/>
      <c r="C1718" s="117"/>
      <c r="D1718" s="117"/>
      <c r="E1718" s="117"/>
      <c r="F1718" s="117"/>
      <c r="G1718" s="105"/>
    </row>
    <row r="1719" spans="1:14" s="3" customFormat="1" ht="17.399999999999999" hidden="1" customHeight="1" outlineLevel="1" x14ac:dyDescent="0.25">
      <c r="A1719" s="5"/>
      <c r="B1719" s="401" t="s">
        <v>29</v>
      </c>
      <c r="C1719" s="402"/>
      <c r="D1719" s="402"/>
      <c r="E1719" s="402"/>
      <c r="F1719" s="402"/>
      <c r="G1719" s="403"/>
    </row>
    <row r="1720" spans="1:14" s="3" customFormat="1" ht="17.399999999999999" hidden="1" customHeight="1" outlineLevel="1" x14ac:dyDescent="0.25">
      <c r="B1720" s="28"/>
      <c r="C1720" s="29"/>
      <c r="D1720" s="23"/>
      <c r="E1720" s="29"/>
      <c r="F1720" s="29"/>
      <c r="G1720" s="30"/>
    </row>
    <row r="1721" spans="1:14" s="3" customFormat="1" ht="17.399999999999999" hidden="1" customHeight="1" outlineLevel="1" x14ac:dyDescent="0.25">
      <c r="B1721" s="28" t="s">
        <v>2334</v>
      </c>
      <c r="C1721" s="29"/>
      <c r="D1721" s="23"/>
      <c r="E1721" s="29"/>
      <c r="F1721" s="29"/>
      <c r="G1721" s="30"/>
    </row>
    <row r="1722" spans="1:14" s="3" customFormat="1" ht="17.399999999999999" hidden="1" customHeight="1" outlineLevel="1" x14ac:dyDescent="0.25">
      <c r="B1722" s="28"/>
      <c r="C1722" s="29"/>
      <c r="D1722" s="23"/>
      <c r="E1722" s="29"/>
      <c r="F1722" s="29"/>
      <c r="G1722" s="30"/>
    </row>
    <row r="1723" spans="1:14" s="3" customFormat="1" hidden="1" outlineLevel="1" x14ac:dyDescent="0.25">
      <c r="B1723" s="28"/>
      <c r="C1723" s="29"/>
      <c r="D1723" s="23"/>
      <c r="E1723" s="29"/>
      <c r="F1723" s="29"/>
      <c r="G1723" s="30"/>
    </row>
    <row r="1724" spans="1:14" s="3" customFormat="1" ht="18.75" hidden="1" customHeight="1" outlineLevel="1" thickBot="1" x14ac:dyDescent="0.3">
      <c r="B1724" s="163"/>
      <c r="C1724" s="164"/>
      <c r="D1724" s="164"/>
      <c r="E1724" s="164"/>
      <c r="F1724" s="164"/>
      <c r="G1724" s="165"/>
    </row>
    <row r="1725" spans="1:14" s="3" customFormat="1" ht="16.2" hidden="1" outlineLevel="1" thickBot="1" x14ac:dyDescent="0.3">
      <c r="A1725" s="5"/>
    </row>
    <row r="1726" spans="1:14" s="3" customFormat="1" ht="16.2" collapsed="1" thickBot="1" x14ac:dyDescent="0.3">
      <c r="A1726" s="5"/>
      <c r="B1726" s="15" t="s">
        <v>1279</v>
      </c>
      <c r="C1726" s="16" t="s">
        <v>2195</v>
      </c>
      <c r="D1726" s="17" t="s">
        <v>1281</v>
      </c>
      <c r="E1726" s="16" t="s">
        <v>1054</v>
      </c>
      <c r="F1726" s="17" t="s">
        <v>1282</v>
      </c>
      <c r="G1726" s="18" t="s">
        <v>2196</v>
      </c>
    </row>
    <row r="1727" spans="1:14" s="3" customFormat="1" hidden="1" outlineLevel="1" x14ac:dyDescent="0.25">
      <c r="A1727" s="5"/>
      <c r="B1727" s="19" t="s">
        <v>1284</v>
      </c>
      <c r="C1727" s="20" t="s">
        <v>1285</v>
      </c>
      <c r="D1727" s="21" t="s">
        <v>1286</v>
      </c>
      <c r="E1727" s="20" t="s">
        <v>2197</v>
      </c>
      <c r="F1727" s="21" t="s">
        <v>1288</v>
      </c>
      <c r="G1727" s="22"/>
    </row>
    <row r="1728" spans="1:14" s="3" customFormat="1" ht="17.399999999999999" hidden="1" customHeight="1" outlineLevel="1" thickBot="1" x14ac:dyDescent="0.3">
      <c r="A1728" s="5"/>
      <c r="B1728" s="19" t="s">
        <v>1290</v>
      </c>
      <c r="C1728" s="23" t="s">
        <v>1291</v>
      </c>
      <c r="D1728" s="21" t="s">
        <v>1292</v>
      </c>
      <c r="E1728" s="23">
        <v>5</v>
      </c>
      <c r="F1728" s="21" t="s">
        <v>1293</v>
      </c>
      <c r="G1728" s="24" t="s">
        <v>1294</v>
      </c>
    </row>
    <row r="1729" spans="1:14" s="3" customFormat="1" ht="17.399999999999999" hidden="1" customHeight="1" outlineLevel="1" x14ac:dyDescent="0.25">
      <c r="A1729" s="5"/>
      <c r="B1729" s="401" t="s">
        <v>1</v>
      </c>
      <c r="C1729" s="402"/>
      <c r="D1729" s="402"/>
      <c r="E1729" s="402"/>
      <c r="F1729" s="402"/>
      <c r="G1729" s="403"/>
    </row>
    <row r="1730" spans="1:14" s="3" customFormat="1" ht="17.399999999999999" hidden="1" customHeight="1" outlineLevel="1" x14ac:dyDescent="0.25">
      <c r="A1730" s="5"/>
      <c r="B1730" s="25" t="s">
        <v>2</v>
      </c>
      <c r="C1730" s="26" t="s">
        <v>3</v>
      </c>
      <c r="D1730" s="26" t="s">
        <v>4</v>
      </c>
      <c r="E1730" s="26" t="s">
        <v>5</v>
      </c>
      <c r="F1730" s="26"/>
      <c r="G1730" s="27" t="s">
        <v>6</v>
      </c>
    </row>
    <row r="1731" spans="1:14" s="3" customFormat="1" ht="17.399999999999999" hidden="1" customHeight="1" outlineLevel="1" x14ac:dyDescent="0.25">
      <c r="B1731" s="28" t="s">
        <v>7</v>
      </c>
      <c r="C1731" s="29" t="s">
        <v>1468</v>
      </c>
      <c r="D1731" s="29" t="s">
        <v>1469</v>
      </c>
      <c r="E1731" s="29">
        <v>0</v>
      </c>
      <c r="F1731" s="29" t="s">
        <v>1470</v>
      </c>
      <c r="G1731" s="30" t="s">
        <v>1471</v>
      </c>
    </row>
    <row r="1732" spans="1:14" s="3" customFormat="1" ht="17.399999999999999" hidden="1" customHeight="1" outlineLevel="1" x14ac:dyDescent="0.25">
      <c r="B1732" s="28" t="s">
        <v>345</v>
      </c>
      <c r="C1732" s="29" t="s">
        <v>1754</v>
      </c>
      <c r="D1732" s="29" t="s">
        <v>1469</v>
      </c>
      <c r="E1732" s="29">
        <v>0</v>
      </c>
      <c r="F1732" s="29" t="s">
        <v>1470</v>
      </c>
      <c r="G1732" s="30"/>
      <c r="J1732" s="3" t="s">
        <v>10</v>
      </c>
    </row>
    <row r="1733" spans="1:14" s="3" customFormat="1" ht="17.399999999999999" hidden="1" customHeight="1" outlineLevel="1" x14ac:dyDescent="0.25">
      <c r="B1733" s="28" t="s">
        <v>73</v>
      </c>
      <c r="C1733" s="29" t="s">
        <v>1528</v>
      </c>
      <c r="D1733" s="29" t="s">
        <v>1469</v>
      </c>
      <c r="E1733" s="29" t="s">
        <v>1480</v>
      </c>
      <c r="F1733" s="29" t="s">
        <v>1481</v>
      </c>
      <c r="G1733" s="30"/>
    </row>
    <row r="1734" spans="1:14" s="3" customFormat="1" hidden="1" outlineLevel="1" x14ac:dyDescent="0.25">
      <c r="B1734" s="28" t="s">
        <v>74</v>
      </c>
      <c r="C1734" s="29" t="s">
        <v>1529</v>
      </c>
      <c r="D1734" s="29" t="s">
        <v>1469</v>
      </c>
      <c r="E1734" s="29" t="s">
        <v>1480</v>
      </c>
      <c r="F1734" s="29" t="s">
        <v>1481</v>
      </c>
      <c r="G1734" s="30"/>
      <c r="J1734" s="3" t="s">
        <v>10</v>
      </c>
      <c r="K1734" s="3" t="s">
        <v>173</v>
      </c>
      <c r="L1734" s="3" t="s">
        <v>9</v>
      </c>
      <c r="M1734" s="3" t="s">
        <v>9</v>
      </c>
      <c r="N1734" s="3">
        <v>1112</v>
      </c>
    </row>
    <row r="1735" spans="1:14" s="3" customFormat="1" hidden="1" outlineLevel="1" x14ac:dyDescent="0.25">
      <c r="B1735" s="28" t="s">
        <v>128</v>
      </c>
      <c r="C1735" s="29" t="s">
        <v>1566</v>
      </c>
      <c r="D1735" s="29" t="s">
        <v>1567</v>
      </c>
      <c r="E1735" s="29">
        <v>0</v>
      </c>
      <c r="F1735" s="29" t="s">
        <v>1470</v>
      </c>
      <c r="G1735" s="30"/>
      <c r="J1735" s="3" t="s">
        <v>10</v>
      </c>
    </row>
    <row r="1736" spans="1:14" s="3" customFormat="1" hidden="1" outlineLevel="1" x14ac:dyDescent="0.25">
      <c r="B1736" s="28" t="s">
        <v>114</v>
      </c>
      <c r="C1736" s="29" t="s">
        <v>1557</v>
      </c>
      <c r="D1736" s="29" t="s">
        <v>1469</v>
      </c>
      <c r="E1736" s="29">
        <v>-1</v>
      </c>
      <c r="F1736" s="29" t="s">
        <v>1470</v>
      </c>
      <c r="G1736" s="30"/>
      <c r="J1736" s="3" t="s">
        <v>12</v>
      </c>
      <c r="K1736" s="3" t="s">
        <v>173</v>
      </c>
      <c r="L1736" s="3" t="s">
        <v>9</v>
      </c>
      <c r="M1736" s="3" t="s">
        <v>9</v>
      </c>
      <c r="N1736" s="3">
        <v>1767</v>
      </c>
    </row>
    <row r="1737" spans="1:14" s="3" customFormat="1" hidden="1" outlineLevel="1" x14ac:dyDescent="0.25">
      <c r="A1737" s="5"/>
      <c r="B1737" s="31"/>
      <c r="C1737" s="20"/>
      <c r="D1737" s="20"/>
      <c r="E1737" s="20"/>
      <c r="F1737" s="20"/>
      <c r="G1737" s="22"/>
      <c r="J1737" s="3" t="s">
        <v>10</v>
      </c>
      <c r="K1737" s="3" t="s">
        <v>173</v>
      </c>
      <c r="L1737" s="3" t="s">
        <v>9</v>
      </c>
      <c r="M1737" s="3" t="s">
        <v>9</v>
      </c>
      <c r="N1737" s="3">
        <v>1713</v>
      </c>
    </row>
    <row r="1738" spans="1:14" s="3" customFormat="1" hidden="1" outlineLevel="1" x14ac:dyDescent="0.25">
      <c r="A1738" s="5"/>
      <c r="B1738" s="398" t="s">
        <v>18</v>
      </c>
      <c r="C1738" s="399"/>
      <c r="D1738" s="399"/>
      <c r="E1738" s="399"/>
      <c r="F1738" s="399"/>
      <c r="G1738" s="400"/>
      <c r="K1738" s="3" t="s">
        <v>174</v>
      </c>
      <c r="L1738" s="3" t="s">
        <v>175</v>
      </c>
      <c r="M1738" s="3" t="s">
        <v>176</v>
      </c>
      <c r="N1738" s="3">
        <v>1629</v>
      </c>
    </row>
    <row r="1739" spans="1:14" s="3" customFormat="1" hidden="1" outlineLevel="1" x14ac:dyDescent="0.25">
      <c r="A1739" s="5"/>
      <c r="B1739" s="25" t="s">
        <v>2</v>
      </c>
      <c r="C1739" s="26" t="s">
        <v>3</v>
      </c>
      <c r="D1739" s="26" t="s">
        <v>4</v>
      </c>
      <c r="E1739" s="26" t="s">
        <v>5</v>
      </c>
      <c r="F1739" s="26"/>
      <c r="G1739" s="27" t="s">
        <v>6</v>
      </c>
      <c r="K1739" s="3" t="s">
        <v>173</v>
      </c>
      <c r="L1739" s="3" t="s">
        <v>9</v>
      </c>
      <c r="M1739" s="3" t="s">
        <v>9</v>
      </c>
      <c r="N1739" s="3">
        <v>2449</v>
      </c>
    </row>
    <row r="1740" spans="1:14" s="3" customFormat="1" ht="17.399999999999999" hidden="1" customHeight="1" outlineLevel="1" x14ac:dyDescent="0.25">
      <c r="B1740" s="28" t="s">
        <v>128</v>
      </c>
      <c r="C1740" s="29" t="s">
        <v>1566</v>
      </c>
      <c r="D1740" s="29" t="s">
        <v>1567</v>
      </c>
      <c r="E1740" s="29">
        <v>0</v>
      </c>
      <c r="F1740" s="29" t="s">
        <v>1470</v>
      </c>
      <c r="G1740" s="30"/>
      <c r="H1740" s="3" t="str">
        <f t="shared" ref="H1740:H1758" si="7">"{"&amp;B1740&amp;"},"</f>
        <v>{记录序号},</v>
      </c>
    </row>
    <row r="1741" spans="1:14" s="3" customFormat="1" ht="17.399999999999999" hidden="1" customHeight="1" outlineLevel="1" x14ac:dyDescent="0.25">
      <c r="B1741" s="28" t="s">
        <v>16</v>
      </c>
      <c r="C1741" s="29" t="s">
        <v>1479</v>
      </c>
      <c r="D1741" s="29" t="s">
        <v>1469</v>
      </c>
      <c r="E1741" s="29" t="s">
        <v>1480</v>
      </c>
      <c r="F1741" s="29" t="s">
        <v>1481</v>
      </c>
      <c r="G1741" s="30" t="s">
        <v>1482</v>
      </c>
      <c r="H1741" s="3" t="str">
        <f t="shared" si="7"/>
        <v>{初始化日期},</v>
      </c>
      <c r="J1741" s="3" t="s">
        <v>12</v>
      </c>
    </row>
    <row r="1742" spans="1:14" s="3" customFormat="1" ht="17.399999999999999" hidden="1" customHeight="1" outlineLevel="1" x14ac:dyDescent="0.25">
      <c r="B1742" s="28" t="s">
        <v>112</v>
      </c>
      <c r="C1742" s="29" t="s">
        <v>1555</v>
      </c>
      <c r="D1742" s="29" t="s">
        <v>1469</v>
      </c>
      <c r="E1742" s="29">
        <v>0</v>
      </c>
      <c r="F1742" s="29" t="s">
        <v>1470</v>
      </c>
      <c r="G1742" s="30" t="s">
        <v>1556</v>
      </c>
      <c r="H1742" s="3" t="str">
        <f t="shared" si="7"/>
        <v>{机构编号},</v>
      </c>
      <c r="J1742" s="3" t="s">
        <v>10</v>
      </c>
    </row>
    <row r="1743" spans="1:14" s="3" customFormat="1" hidden="1" outlineLevel="1" x14ac:dyDescent="0.25">
      <c r="B1743" s="28" t="s">
        <v>7</v>
      </c>
      <c r="C1743" s="29" t="s">
        <v>1468</v>
      </c>
      <c r="D1743" s="29" t="s">
        <v>1469</v>
      </c>
      <c r="E1743" s="29">
        <v>0</v>
      </c>
      <c r="F1743" s="29" t="s">
        <v>1470</v>
      </c>
      <c r="G1743" s="30" t="s">
        <v>1471</v>
      </c>
      <c r="H1743" s="3" t="str">
        <f t="shared" si="7"/>
        <v>{产品编号},</v>
      </c>
      <c r="J1743" s="3" t="s">
        <v>10</v>
      </c>
      <c r="K1743" s="3" t="s">
        <v>174</v>
      </c>
      <c r="L1743" s="3" t="s">
        <v>175</v>
      </c>
      <c r="M1743" s="3" t="s">
        <v>176</v>
      </c>
      <c r="N1743" s="3">
        <v>1629</v>
      </c>
    </row>
    <row r="1744" spans="1:14" s="3" customFormat="1" hidden="1" outlineLevel="1" x14ac:dyDescent="0.25">
      <c r="B1744" s="28" t="s">
        <v>13</v>
      </c>
      <c r="C1744" s="29" t="s">
        <v>1474</v>
      </c>
      <c r="D1744" s="29" t="s">
        <v>1469</v>
      </c>
      <c r="E1744" s="29">
        <v>0</v>
      </c>
      <c r="F1744" s="29" t="s">
        <v>1470</v>
      </c>
      <c r="G1744" s="30"/>
      <c r="H1744" s="3" t="str">
        <f t="shared" si="7"/>
        <v>{资产账户编号},</v>
      </c>
      <c r="J1744" s="3" t="s">
        <v>10</v>
      </c>
      <c r="N1744" s="3">
        <v>2534</v>
      </c>
    </row>
    <row r="1745" spans="1:14" s="3" customFormat="1" hidden="1" outlineLevel="1" x14ac:dyDescent="0.25">
      <c r="B1745" s="28" t="s">
        <v>14</v>
      </c>
      <c r="C1745" s="29" t="s">
        <v>1475</v>
      </c>
      <c r="D1745" s="29" t="s">
        <v>1469</v>
      </c>
      <c r="E1745" s="29">
        <v>0</v>
      </c>
      <c r="F1745" s="29" t="s">
        <v>1476</v>
      </c>
      <c r="G1745" s="30" t="s">
        <v>1477</v>
      </c>
      <c r="H1745" s="3" t="str">
        <f t="shared" si="7"/>
        <v>{市场编号},</v>
      </c>
      <c r="J1745" s="3" t="s">
        <v>10</v>
      </c>
      <c r="K1745" s="3" t="s">
        <v>173</v>
      </c>
      <c r="L1745" s="3" t="s">
        <v>9</v>
      </c>
      <c r="M1745" s="3" t="s">
        <v>9</v>
      </c>
      <c r="N1745" s="3">
        <v>1211</v>
      </c>
    </row>
    <row r="1746" spans="1:14" s="3" customFormat="1" hidden="1" outlineLevel="1" x14ac:dyDescent="0.25">
      <c r="B1746" s="28" t="s">
        <v>346</v>
      </c>
      <c r="C1746" s="29" t="s">
        <v>1755</v>
      </c>
      <c r="D1746" s="29" t="s">
        <v>1469</v>
      </c>
      <c r="E1746" s="29">
        <v>0</v>
      </c>
      <c r="F1746" s="29" t="s">
        <v>1470</v>
      </c>
      <c r="G1746" s="30"/>
      <c r="H1746" s="3" t="str">
        <f t="shared" si="7"/>
        <v>{交易编码编号},</v>
      </c>
      <c r="J1746" s="3" t="s">
        <v>10</v>
      </c>
      <c r="K1746" s="3" t="s">
        <v>173</v>
      </c>
      <c r="L1746" s="3" t="s">
        <v>9</v>
      </c>
      <c r="M1746" s="3" t="s">
        <v>9</v>
      </c>
      <c r="N1746" s="3">
        <v>1606</v>
      </c>
    </row>
    <row r="1747" spans="1:14" s="3" customFormat="1" hidden="1" outlineLevel="1" x14ac:dyDescent="0.25">
      <c r="B1747" s="28" t="s">
        <v>345</v>
      </c>
      <c r="C1747" s="29" t="s">
        <v>1754</v>
      </c>
      <c r="D1747" s="29" t="s">
        <v>1469</v>
      </c>
      <c r="E1747" s="29">
        <v>0</v>
      </c>
      <c r="F1747" s="29" t="s">
        <v>1470</v>
      </c>
      <c r="G1747" s="30"/>
      <c r="H1747" s="3" t="str">
        <f t="shared" si="7"/>
        <v>{合约代码编号},</v>
      </c>
      <c r="J1747" s="3" t="s">
        <v>10</v>
      </c>
      <c r="K1747" s="3" t="s">
        <v>173</v>
      </c>
      <c r="L1747" s="3" t="s">
        <v>9</v>
      </c>
      <c r="M1747" s="3" t="s">
        <v>9</v>
      </c>
      <c r="N1747" s="3">
        <v>1112</v>
      </c>
    </row>
    <row r="1748" spans="1:14" s="3" customFormat="1" hidden="1" outlineLevel="1" x14ac:dyDescent="0.25">
      <c r="B1748" s="28" t="s">
        <v>347</v>
      </c>
      <c r="C1748" s="29" t="s">
        <v>1756</v>
      </c>
      <c r="D1748" s="29" t="s">
        <v>1469</v>
      </c>
      <c r="E1748" s="29">
        <v>0</v>
      </c>
      <c r="F1748" s="29" t="s">
        <v>1476</v>
      </c>
      <c r="G1748" s="30"/>
      <c r="H1748" s="3" t="str">
        <f t="shared" si="7"/>
        <v>{多空类型},</v>
      </c>
      <c r="J1748" s="3" t="s">
        <v>10</v>
      </c>
      <c r="K1748" s="3" t="s">
        <v>173</v>
      </c>
      <c r="L1748" s="3" t="s">
        <v>9</v>
      </c>
      <c r="M1748" s="3" t="s">
        <v>9</v>
      </c>
      <c r="N1748" s="3">
        <v>2534</v>
      </c>
    </row>
    <row r="1749" spans="1:14" s="3" customFormat="1" hidden="1" outlineLevel="1" x14ac:dyDescent="0.25">
      <c r="B1749" s="28" t="s">
        <v>348</v>
      </c>
      <c r="C1749" s="29" t="s">
        <v>1757</v>
      </c>
      <c r="D1749" s="29" t="s">
        <v>1469</v>
      </c>
      <c r="E1749" s="29">
        <v>0</v>
      </c>
      <c r="F1749" s="29" t="s">
        <v>2341</v>
      </c>
      <c r="G1749" s="30" t="s">
        <v>2342</v>
      </c>
      <c r="H1749" s="3" t="str">
        <f t="shared" si="7"/>
        <v>{套保标志},</v>
      </c>
    </row>
    <row r="1750" spans="1:14" s="3" customFormat="1" hidden="1" outlineLevel="1" x14ac:dyDescent="0.25">
      <c r="B1750" s="28" t="s">
        <v>75</v>
      </c>
      <c r="C1750" s="29" t="s">
        <v>1530</v>
      </c>
      <c r="D1750" s="29" t="s">
        <v>1486</v>
      </c>
      <c r="E1750" s="29">
        <v>0</v>
      </c>
      <c r="F1750" s="29" t="s">
        <v>1470</v>
      </c>
      <c r="G1750" s="30" t="s">
        <v>1531</v>
      </c>
      <c r="H1750" s="3" t="str">
        <f t="shared" si="7"/>
        <v>{当前数量},</v>
      </c>
      <c r="J1750" s="3" t="s">
        <v>10</v>
      </c>
      <c r="K1750" s="3" t="s">
        <v>173</v>
      </c>
      <c r="L1750" s="3" t="s">
        <v>9</v>
      </c>
      <c r="M1750" s="3" t="s">
        <v>9</v>
      </c>
      <c r="N1750" s="3">
        <v>2430</v>
      </c>
    </row>
    <row r="1751" spans="1:14" s="3" customFormat="1" hidden="1" outlineLevel="1" x14ac:dyDescent="0.25">
      <c r="B1751" s="185" t="s">
        <v>349</v>
      </c>
      <c r="C1751" s="23" t="s">
        <v>1758</v>
      </c>
      <c r="D1751" s="23" t="s">
        <v>1539</v>
      </c>
      <c r="E1751" s="29">
        <v>0</v>
      </c>
      <c r="F1751" s="29" t="s">
        <v>1470</v>
      </c>
      <c r="G1751" s="30"/>
      <c r="H1751" s="3" t="str">
        <f t="shared" si="7"/>
        <v>{开仓价格},</v>
      </c>
      <c r="J1751" s="3" t="s">
        <v>20</v>
      </c>
      <c r="K1751" s="3" t="s">
        <v>173</v>
      </c>
      <c r="L1751" s="3" t="s">
        <v>9</v>
      </c>
      <c r="M1751" s="3" t="s">
        <v>9</v>
      </c>
      <c r="N1751" s="3">
        <v>2433</v>
      </c>
    </row>
    <row r="1752" spans="1:14" s="3" customFormat="1" hidden="1" outlineLevel="1" x14ac:dyDescent="0.25">
      <c r="B1752" s="185" t="s">
        <v>350</v>
      </c>
      <c r="C1752" s="23" t="s">
        <v>1759</v>
      </c>
      <c r="D1752" s="23" t="s">
        <v>1489</v>
      </c>
      <c r="E1752" s="29">
        <v>0</v>
      </c>
      <c r="F1752" s="29" t="s">
        <v>1470</v>
      </c>
      <c r="G1752" s="30"/>
      <c r="H1752" s="3" t="str">
        <f t="shared" si="7"/>
        <v>{盯市盈亏},</v>
      </c>
      <c r="J1752" s="3" t="s">
        <v>10</v>
      </c>
      <c r="K1752" s="3" t="s">
        <v>173</v>
      </c>
      <c r="L1752" s="3" t="s">
        <v>9</v>
      </c>
      <c r="M1752" s="3" t="s">
        <v>9</v>
      </c>
      <c r="N1752" s="3">
        <v>2155</v>
      </c>
    </row>
    <row r="1753" spans="1:14" s="3" customFormat="1" hidden="1" outlineLevel="1" x14ac:dyDescent="0.25">
      <c r="B1753" s="28" t="s">
        <v>351</v>
      </c>
      <c r="C1753" s="29" t="s">
        <v>1760</v>
      </c>
      <c r="D1753" s="29" t="s">
        <v>1489</v>
      </c>
      <c r="E1753" s="29">
        <v>0</v>
      </c>
      <c r="F1753" s="29" t="s">
        <v>1470</v>
      </c>
      <c r="G1753" s="30" t="s">
        <v>1761</v>
      </c>
      <c r="H1753" s="3" t="str">
        <f t="shared" si="7"/>
        <v>{应收保证金},</v>
      </c>
      <c r="J1753" s="3" t="s">
        <v>20</v>
      </c>
      <c r="K1753" s="3" t="s">
        <v>445</v>
      </c>
      <c r="L1753" s="3" t="s">
        <v>446</v>
      </c>
      <c r="M1753" s="3" t="s">
        <v>446</v>
      </c>
      <c r="N1753" s="3">
        <v>1202</v>
      </c>
    </row>
    <row r="1754" spans="1:14" s="3" customFormat="1" hidden="1" outlineLevel="1" x14ac:dyDescent="0.25">
      <c r="B1754" s="28" t="s">
        <v>138</v>
      </c>
      <c r="C1754" s="29" t="s">
        <v>1577</v>
      </c>
      <c r="D1754" s="29" t="s">
        <v>1486</v>
      </c>
      <c r="E1754" s="29">
        <v>0</v>
      </c>
      <c r="F1754" s="29" t="s">
        <v>1470</v>
      </c>
      <c r="G1754" s="30"/>
      <c r="H1754" s="3" t="str">
        <f t="shared" si="7"/>
        <v>{成交释放数量},</v>
      </c>
      <c r="J1754" s="3" t="s">
        <v>20</v>
      </c>
      <c r="K1754" s="3" t="s">
        <v>173</v>
      </c>
      <c r="L1754" s="3" t="s">
        <v>9</v>
      </c>
      <c r="M1754" s="3" t="s">
        <v>9</v>
      </c>
      <c r="N1754" s="3">
        <v>2237</v>
      </c>
    </row>
    <row r="1755" spans="1:14" s="3" customFormat="1" hidden="1" outlineLevel="1" x14ac:dyDescent="0.25">
      <c r="B1755" s="28" t="s">
        <v>352</v>
      </c>
      <c r="C1755" s="29" t="s">
        <v>1762</v>
      </c>
      <c r="D1755" s="29" t="s">
        <v>1486</v>
      </c>
      <c r="E1755" s="29">
        <v>0</v>
      </c>
      <c r="F1755" s="29"/>
      <c r="G1755" s="30"/>
      <c r="H1755" s="3" t="str">
        <f t="shared" si="7"/>
        <v>{今仓成交占用数量},</v>
      </c>
      <c r="J1755" s="3" t="s">
        <v>20</v>
      </c>
      <c r="K1755" s="3" t="s">
        <v>445</v>
      </c>
      <c r="L1755" s="3" t="s">
        <v>446</v>
      </c>
      <c r="M1755" s="3" t="s">
        <v>446</v>
      </c>
      <c r="N1755" s="3">
        <v>1986</v>
      </c>
    </row>
    <row r="1756" spans="1:14" s="3" customFormat="1" hidden="1" outlineLevel="1" x14ac:dyDescent="0.25">
      <c r="B1756" s="28" t="s">
        <v>62</v>
      </c>
      <c r="C1756" s="29" t="s">
        <v>1525</v>
      </c>
      <c r="D1756" s="23" t="s">
        <v>1489</v>
      </c>
      <c r="E1756" s="29">
        <v>0</v>
      </c>
      <c r="F1756" s="29"/>
      <c r="G1756" s="30"/>
      <c r="H1756" s="3" t="str">
        <f t="shared" si="7"/>
        <v>{持仓市值},</v>
      </c>
      <c r="J1756" s="3" t="s">
        <v>20</v>
      </c>
      <c r="K1756" s="3" t="s">
        <v>445</v>
      </c>
      <c r="L1756" s="3" t="s">
        <v>446</v>
      </c>
      <c r="M1756" s="3" t="s">
        <v>446</v>
      </c>
      <c r="N1756" s="3">
        <v>1262</v>
      </c>
    </row>
    <row r="1757" spans="1:14" s="3" customFormat="1" hidden="1" outlineLevel="1" x14ac:dyDescent="0.25">
      <c r="B1757" s="28" t="s">
        <v>95</v>
      </c>
      <c r="C1757" s="29" t="s">
        <v>1542</v>
      </c>
      <c r="D1757" s="29" t="s">
        <v>1494</v>
      </c>
      <c r="E1757" s="29">
        <v>0</v>
      </c>
      <c r="F1757" s="29"/>
      <c r="G1757" s="30"/>
      <c r="H1757" s="3" t="str">
        <f t="shared" si="7"/>
        <v>{持仓净值占比},</v>
      </c>
      <c r="J1757" s="3" t="s">
        <v>20</v>
      </c>
      <c r="K1757" s="3" t="s">
        <v>445</v>
      </c>
      <c r="L1757" s="3" t="s">
        <v>446</v>
      </c>
      <c r="M1757" s="3" t="s">
        <v>446</v>
      </c>
      <c r="N1757" s="3">
        <v>1317</v>
      </c>
    </row>
    <row r="1758" spans="1:14" s="3" customFormat="1" hidden="1" outlineLevel="1" x14ac:dyDescent="0.25">
      <c r="B1758" s="185" t="s">
        <v>2331</v>
      </c>
      <c r="C1758" s="23" t="s">
        <v>2343</v>
      </c>
      <c r="D1758" s="23" t="s">
        <v>23</v>
      </c>
      <c r="E1758" s="23">
        <v>0</v>
      </c>
      <c r="F1758" s="23"/>
      <c r="G1758" s="24"/>
      <c r="H1758" s="3" t="str">
        <f t="shared" si="7"/>
        <v>{开仓均价},</v>
      </c>
    </row>
    <row r="1759" spans="1:14" s="3" customFormat="1" ht="16.2" hidden="1" outlineLevel="1" thickBot="1" x14ac:dyDescent="0.3">
      <c r="A1759" s="5"/>
      <c r="B1759" s="31"/>
      <c r="C1759" s="20"/>
      <c r="D1759" s="20"/>
      <c r="E1759" s="20"/>
      <c r="F1759" s="20"/>
      <c r="G1759" s="22"/>
      <c r="J1759" s="3" t="s">
        <v>20</v>
      </c>
      <c r="K1759" s="3" t="s">
        <v>445</v>
      </c>
      <c r="L1759" s="3" t="s">
        <v>446</v>
      </c>
      <c r="M1759" s="3" t="s">
        <v>446</v>
      </c>
      <c r="N1759" s="3">
        <v>1721</v>
      </c>
    </row>
    <row r="1760" spans="1:14" s="3" customFormat="1" hidden="1" outlineLevel="1" x14ac:dyDescent="0.25">
      <c r="A1760" s="5"/>
      <c r="B1760" s="401" t="s">
        <v>28</v>
      </c>
      <c r="C1760" s="402"/>
      <c r="D1760" s="402"/>
      <c r="E1760" s="402"/>
      <c r="F1760" s="402"/>
      <c r="G1760" s="403"/>
      <c r="K1760" s="3" t="s">
        <v>445</v>
      </c>
      <c r="L1760" s="3" t="s">
        <v>446</v>
      </c>
      <c r="M1760" s="3" t="s">
        <v>446</v>
      </c>
      <c r="N1760" s="3">
        <v>1875</v>
      </c>
    </row>
    <row r="1761" spans="1:14" s="3" customFormat="1" hidden="1" outlineLevel="1" x14ac:dyDescent="0.25">
      <c r="A1761" s="5"/>
      <c r="B1761" s="116"/>
      <c r="C1761" s="117"/>
      <c r="D1761" s="117"/>
      <c r="E1761" s="117"/>
      <c r="F1761" s="117"/>
      <c r="G1761" s="105"/>
      <c r="K1761" s="3" t="s">
        <v>445</v>
      </c>
      <c r="L1761" s="3" t="s">
        <v>446</v>
      </c>
      <c r="M1761" s="3" t="s">
        <v>446</v>
      </c>
      <c r="N1761" s="3">
        <v>1891</v>
      </c>
    </row>
    <row r="1762" spans="1:14" s="3" customFormat="1" ht="17.399999999999999" hidden="1" customHeight="1" outlineLevel="1" thickBot="1" x14ac:dyDescent="0.3">
      <c r="A1762" s="5"/>
      <c r="B1762" s="116"/>
      <c r="C1762" s="117"/>
      <c r="D1762" s="117"/>
      <c r="E1762" s="117"/>
      <c r="F1762" s="117"/>
      <c r="G1762" s="105"/>
    </row>
    <row r="1763" spans="1:14" s="3" customFormat="1" ht="17.399999999999999" hidden="1" customHeight="1" outlineLevel="1" x14ac:dyDescent="0.25">
      <c r="A1763" s="5"/>
      <c r="B1763" s="401" t="s">
        <v>29</v>
      </c>
      <c r="C1763" s="402"/>
      <c r="D1763" s="402"/>
      <c r="E1763" s="402"/>
      <c r="F1763" s="402"/>
      <c r="G1763" s="403"/>
    </row>
    <row r="1764" spans="1:14" s="3" customFormat="1" ht="17.399999999999999" hidden="1" customHeight="1" outlineLevel="1" x14ac:dyDescent="0.25">
      <c r="B1764" s="28"/>
      <c r="C1764" s="29"/>
      <c r="D1764" s="23"/>
      <c r="E1764" s="29"/>
      <c r="F1764" s="29"/>
      <c r="G1764" s="30"/>
    </row>
    <row r="1765" spans="1:14" s="3" customFormat="1" ht="17.399999999999999" hidden="1" customHeight="1" outlineLevel="1" x14ac:dyDescent="0.25">
      <c r="B1765" s="28" t="s">
        <v>2466</v>
      </c>
      <c r="C1765" s="29"/>
      <c r="D1765" s="23"/>
      <c r="E1765" s="29"/>
      <c r="F1765" s="29"/>
      <c r="G1765" s="30"/>
    </row>
    <row r="1766" spans="1:14" s="3" customFormat="1" ht="17.399999999999999" hidden="1" customHeight="1" outlineLevel="1" x14ac:dyDescent="0.25">
      <c r="B1766" s="28"/>
      <c r="C1766" s="29"/>
      <c r="D1766" s="23"/>
      <c r="E1766" s="29"/>
      <c r="F1766" s="29"/>
      <c r="G1766" s="30"/>
    </row>
    <row r="1767" spans="1:14" s="3" customFormat="1" hidden="1" outlineLevel="1" x14ac:dyDescent="0.25">
      <c r="B1767" s="28"/>
      <c r="C1767" s="29"/>
      <c r="D1767" s="23"/>
      <c r="E1767" s="29"/>
      <c r="F1767" s="29"/>
      <c r="G1767" s="30"/>
    </row>
    <row r="1768" spans="1:14" s="3" customFormat="1" ht="18.75" hidden="1" customHeight="1" outlineLevel="1" thickBot="1" x14ac:dyDescent="0.3">
      <c r="B1768" s="163"/>
      <c r="C1768" s="164"/>
      <c r="D1768" s="164"/>
      <c r="E1768" s="164"/>
      <c r="F1768" s="164"/>
      <c r="G1768" s="165"/>
    </row>
    <row r="1769" spans="1:14" s="3" customFormat="1" ht="16.2" hidden="1" outlineLevel="1" thickBot="1" x14ac:dyDescent="0.3">
      <c r="A1769" s="5"/>
    </row>
    <row r="1770" spans="1:14" s="3" customFormat="1" ht="16.2" collapsed="1" thickBot="1" x14ac:dyDescent="0.3">
      <c r="A1770" s="5"/>
      <c r="B1770" s="15" t="s">
        <v>1279</v>
      </c>
      <c r="C1770" s="16" t="s">
        <v>2198</v>
      </c>
      <c r="D1770" s="17" t="s">
        <v>1281</v>
      </c>
      <c r="E1770" s="16" t="s">
        <v>1055</v>
      </c>
      <c r="F1770" s="17" t="s">
        <v>1282</v>
      </c>
      <c r="G1770" s="18" t="s">
        <v>2199</v>
      </c>
    </row>
    <row r="1771" spans="1:14" s="3" customFormat="1" hidden="1" outlineLevel="1" x14ac:dyDescent="0.25">
      <c r="A1771" s="5"/>
      <c r="B1771" s="19" t="s">
        <v>1284</v>
      </c>
      <c r="C1771" s="20" t="s">
        <v>1285</v>
      </c>
      <c r="D1771" s="21" t="s">
        <v>1286</v>
      </c>
      <c r="E1771" s="20" t="s">
        <v>2200</v>
      </c>
      <c r="F1771" s="21" t="s">
        <v>1288</v>
      </c>
      <c r="G1771" s="22"/>
    </row>
    <row r="1772" spans="1:14" s="3" customFormat="1" ht="17.399999999999999" hidden="1" customHeight="1" outlineLevel="1" thickBot="1" x14ac:dyDescent="0.3">
      <c r="A1772" s="5"/>
      <c r="B1772" s="19" t="s">
        <v>1290</v>
      </c>
      <c r="C1772" s="23" t="s">
        <v>1291</v>
      </c>
      <c r="D1772" s="21" t="s">
        <v>1292</v>
      </c>
      <c r="E1772" s="23">
        <v>5</v>
      </c>
      <c r="F1772" s="21" t="s">
        <v>1293</v>
      </c>
      <c r="G1772" s="24" t="s">
        <v>1294</v>
      </c>
    </row>
    <row r="1773" spans="1:14" s="3" customFormat="1" ht="17.399999999999999" hidden="1" customHeight="1" outlineLevel="1" x14ac:dyDescent="0.25">
      <c r="A1773" s="5"/>
      <c r="B1773" s="401" t="s">
        <v>1</v>
      </c>
      <c r="C1773" s="402"/>
      <c r="D1773" s="402"/>
      <c r="E1773" s="402"/>
      <c r="F1773" s="402"/>
      <c r="G1773" s="403"/>
    </row>
    <row r="1774" spans="1:14" s="3" customFormat="1" ht="17.399999999999999" hidden="1" customHeight="1" outlineLevel="1" x14ac:dyDescent="0.25">
      <c r="A1774" s="5"/>
      <c r="B1774" s="25" t="s">
        <v>2</v>
      </c>
      <c r="C1774" s="26" t="s">
        <v>3</v>
      </c>
      <c r="D1774" s="26" t="s">
        <v>4</v>
      </c>
      <c r="E1774" s="26" t="s">
        <v>5</v>
      </c>
      <c r="F1774" s="26"/>
      <c r="G1774" s="27" t="s">
        <v>6</v>
      </c>
    </row>
    <row r="1775" spans="1:14" s="3" customFormat="1" ht="17.399999999999999" hidden="1" customHeight="1" outlineLevel="1" x14ac:dyDescent="0.25">
      <c r="B1775" s="28" t="s">
        <v>7</v>
      </c>
      <c r="C1775" s="29" t="s">
        <v>1468</v>
      </c>
      <c r="D1775" s="29" t="s">
        <v>1469</v>
      </c>
      <c r="E1775" s="29">
        <v>0</v>
      </c>
      <c r="F1775" s="29" t="s">
        <v>1470</v>
      </c>
      <c r="G1775" s="30" t="s">
        <v>1471</v>
      </c>
    </row>
    <row r="1776" spans="1:14" s="3" customFormat="1" ht="17.399999999999999" hidden="1" customHeight="1" outlineLevel="1" x14ac:dyDescent="0.25">
      <c r="B1776" s="28" t="s">
        <v>345</v>
      </c>
      <c r="C1776" s="29" t="s">
        <v>1754</v>
      </c>
      <c r="D1776" s="29" t="s">
        <v>1469</v>
      </c>
      <c r="E1776" s="29">
        <v>0</v>
      </c>
      <c r="F1776" s="29" t="s">
        <v>1470</v>
      </c>
      <c r="G1776" s="30"/>
      <c r="J1776" s="3" t="s">
        <v>10</v>
      </c>
    </row>
    <row r="1777" spans="1:14" s="3" customFormat="1" ht="17.399999999999999" hidden="1" customHeight="1" outlineLevel="1" x14ac:dyDescent="0.25">
      <c r="B1777" s="28" t="s">
        <v>128</v>
      </c>
      <c r="C1777" s="29" t="s">
        <v>1566</v>
      </c>
      <c r="D1777" s="29" t="s">
        <v>1567</v>
      </c>
      <c r="E1777" s="29">
        <v>0</v>
      </c>
      <c r="F1777" s="29" t="s">
        <v>1470</v>
      </c>
      <c r="G1777" s="30"/>
    </row>
    <row r="1778" spans="1:14" s="3" customFormat="1" hidden="1" outlineLevel="1" x14ac:dyDescent="0.25">
      <c r="B1778" s="28" t="s">
        <v>114</v>
      </c>
      <c r="C1778" s="29" t="s">
        <v>1557</v>
      </c>
      <c r="D1778" s="29" t="s">
        <v>1469</v>
      </c>
      <c r="E1778" s="29">
        <v>-1</v>
      </c>
      <c r="F1778" s="29" t="s">
        <v>1470</v>
      </c>
      <c r="G1778" s="30"/>
      <c r="J1778" s="3" t="s">
        <v>12</v>
      </c>
      <c r="K1778" s="3" t="s">
        <v>173</v>
      </c>
      <c r="L1778" s="3" t="s">
        <v>9</v>
      </c>
      <c r="M1778" s="3" t="s">
        <v>9</v>
      </c>
      <c r="N1778" s="3">
        <v>1112</v>
      </c>
    </row>
    <row r="1779" spans="1:14" s="3" customFormat="1" hidden="1" outlineLevel="1" x14ac:dyDescent="0.25">
      <c r="A1779" s="5"/>
      <c r="B1779" s="31"/>
      <c r="C1779" s="20"/>
      <c r="D1779" s="20"/>
      <c r="E1779" s="20"/>
      <c r="F1779" s="20"/>
      <c r="G1779" s="22"/>
      <c r="J1779" s="3" t="s">
        <v>10</v>
      </c>
    </row>
    <row r="1780" spans="1:14" s="3" customFormat="1" hidden="1" outlineLevel="1" x14ac:dyDescent="0.25">
      <c r="A1780" s="5"/>
      <c r="B1780" s="398" t="s">
        <v>18</v>
      </c>
      <c r="C1780" s="399"/>
      <c r="D1780" s="399"/>
      <c r="E1780" s="399"/>
      <c r="F1780" s="399"/>
      <c r="G1780" s="400"/>
      <c r="K1780" s="3" t="s">
        <v>174</v>
      </c>
      <c r="L1780" s="3" t="s">
        <v>175</v>
      </c>
      <c r="M1780" s="3" t="s">
        <v>176</v>
      </c>
      <c r="N1780" s="3">
        <v>1629</v>
      </c>
    </row>
    <row r="1781" spans="1:14" s="3" customFormat="1" hidden="1" outlineLevel="1" x14ac:dyDescent="0.25">
      <c r="A1781" s="5"/>
      <c r="B1781" s="25" t="s">
        <v>2</v>
      </c>
      <c r="C1781" s="26" t="s">
        <v>3</v>
      </c>
      <c r="D1781" s="26" t="s">
        <v>4</v>
      </c>
      <c r="E1781" s="26" t="s">
        <v>5</v>
      </c>
      <c r="F1781" s="26"/>
      <c r="G1781" s="27" t="s">
        <v>6</v>
      </c>
      <c r="K1781" s="3" t="s">
        <v>173</v>
      </c>
      <c r="L1781" s="3" t="s">
        <v>9</v>
      </c>
      <c r="M1781" s="3" t="s">
        <v>9</v>
      </c>
      <c r="N1781" s="3">
        <v>2449</v>
      </c>
    </row>
    <row r="1782" spans="1:14" s="3" customFormat="1" ht="17.399999999999999" hidden="1" customHeight="1" outlineLevel="1" x14ac:dyDescent="0.25">
      <c r="B1782" s="28" t="s">
        <v>128</v>
      </c>
      <c r="C1782" s="29" t="s">
        <v>1566</v>
      </c>
      <c r="D1782" s="29" t="s">
        <v>1567</v>
      </c>
      <c r="E1782" s="29">
        <v>0</v>
      </c>
      <c r="F1782" s="29" t="s">
        <v>1470</v>
      </c>
      <c r="G1782" s="30"/>
      <c r="H1782" s="3" t="str">
        <f>"{"&amp;B1782&amp;"},"</f>
        <v>{记录序号},</v>
      </c>
    </row>
    <row r="1783" spans="1:14" s="3" customFormat="1" ht="17.399999999999999" hidden="1" customHeight="1" outlineLevel="1" x14ac:dyDescent="0.25">
      <c r="B1783" s="28" t="s">
        <v>16</v>
      </c>
      <c r="C1783" s="29" t="s">
        <v>1479</v>
      </c>
      <c r="D1783" s="29" t="s">
        <v>1469</v>
      </c>
      <c r="E1783" s="29" t="s">
        <v>1480</v>
      </c>
      <c r="F1783" s="29" t="s">
        <v>1481</v>
      </c>
      <c r="G1783" s="30" t="s">
        <v>1482</v>
      </c>
      <c r="H1783" s="3" t="str">
        <f>"{"&amp;B1783&amp;"},"</f>
        <v>{初始化日期},</v>
      </c>
      <c r="J1783" s="3" t="s">
        <v>12</v>
      </c>
    </row>
    <row r="1784" spans="1:14" s="3" customFormat="1" ht="17.399999999999999" hidden="1" customHeight="1" outlineLevel="1" x14ac:dyDescent="0.25">
      <c r="B1784" s="28" t="s">
        <v>112</v>
      </c>
      <c r="C1784" s="29" t="s">
        <v>1555</v>
      </c>
      <c r="D1784" s="29" t="s">
        <v>1469</v>
      </c>
      <c r="E1784" s="29">
        <v>0</v>
      </c>
      <c r="F1784" s="29" t="s">
        <v>1470</v>
      </c>
      <c r="G1784" s="30" t="s">
        <v>1556</v>
      </c>
      <c r="H1784" s="3" t="str">
        <f>"{"&amp;B1784&amp;"},"</f>
        <v>{机构编号},</v>
      </c>
      <c r="J1784" s="3" t="s">
        <v>10</v>
      </c>
    </row>
    <row r="1785" spans="1:14" s="3" customFormat="1" hidden="1" outlineLevel="1" x14ac:dyDescent="0.25">
      <c r="B1785" s="28" t="s">
        <v>7</v>
      </c>
      <c r="C1785" s="29" t="s">
        <v>1468</v>
      </c>
      <c r="D1785" s="29" t="s">
        <v>1469</v>
      </c>
      <c r="E1785" s="29">
        <v>0</v>
      </c>
      <c r="F1785" s="29" t="s">
        <v>1470</v>
      </c>
      <c r="G1785" s="30" t="s">
        <v>1471</v>
      </c>
      <c r="H1785" s="3" t="str">
        <f>"{"&amp;B1785&amp;"},"</f>
        <v>{产品编号},</v>
      </c>
      <c r="J1785" s="3" t="s">
        <v>10</v>
      </c>
      <c r="K1785" s="3" t="s">
        <v>174</v>
      </c>
      <c r="L1785" s="3" t="s">
        <v>175</v>
      </c>
      <c r="M1785" s="3" t="s">
        <v>176</v>
      </c>
      <c r="N1785" s="3">
        <v>1629</v>
      </c>
    </row>
    <row r="1786" spans="1:14" s="3" customFormat="1" hidden="1" outlineLevel="1" x14ac:dyDescent="0.25">
      <c r="B1786" s="28" t="s">
        <v>13</v>
      </c>
      <c r="C1786" s="29" t="s">
        <v>1474</v>
      </c>
      <c r="D1786" s="29" t="s">
        <v>1469</v>
      </c>
      <c r="E1786" s="29">
        <v>0</v>
      </c>
      <c r="F1786" s="29" t="s">
        <v>1470</v>
      </c>
      <c r="G1786" s="30"/>
      <c r="H1786" s="3" t="str">
        <f>"{"&amp;B1786&amp;"},"</f>
        <v>{资产账户编号},</v>
      </c>
      <c r="J1786" s="3" t="s">
        <v>10</v>
      </c>
      <c r="N1786" s="3">
        <v>2534</v>
      </c>
    </row>
    <row r="1787" spans="1:14" s="3" customFormat="1" hidden="1" outlineLevel="1" x14ac:dyDescent="0.25">
      <c r="B1787" s="116" t="s">
        <v>11</v>
      </c>
      <c r="C1787" s="117" t="s">
        <v>1472</v>
      </c>
      <c r="D1787" s="117" t="s">
        <v>1469</v>
      </c>
      <c r="E1787" s="29">
        <v>0</v>
      </c>
      <c r="F1787" s="29" t="s">
        <v>1470</v>
      </c>
      <c r="G1787" s="30" t="s">
        <v>1473</v>
      </c>
      <c r="J1787" s="3" t="s">
        <v>10</v>
      </c>
      <c r="K1787" s="3" t="s">
        <v>173</v>
      </c>
      <c r="L1787" s="3" t="s">
        <v>9</v>
      </c>
      <c r="M1787" s="3" t="s">
        <v>9</v>
      </c>
      <c r="N1787" s="3">
        <v>1211</v>
      </c>
    </row>
    <row r="1788" spans="1:14" s="3" customFormat="1" hidden="1" outlineLevel="1" x14ac:dyDescent="0.25">
      <c r="B1788" s="28" t="s">
        <v>14</v>
      </c>
      <c r="C1788" s="29" t="s">
        <v>1475</v>
      </c>
      <c r="D1788" s="29" t="s">
        <v>1469</v>
      </c>
      <c r="E1788" s="29">
        <v>0</v>
      </c>
      <c r="F1788" s="29" t="s">
        <v>1476</v>
      </c>
      <c r="G1788" s="30" t="s">
        <v>1477</v>
      </c>
      <c r="H1788" s="3" t="str">
        <f t="shared" ref="H1788:H1801" si="8">"{"&amp;B1788&amp;"},"</f>
        <v>{市场编号},</v>
      </c>
      <c r="K1788" s="3" t="s">
        <v>173</v>
      </c>
      <c r="L1788" s="3" t="s">
        <v>9</v>
      </c>
      <c r="M1788" s="3" t="s">
        <v>9</v>
      </c>
      <c r="N1788" s="3">
        <v>1606</v>
      </c>
    </row>
    <row r="1789" spans="1:14" s="3" customFormat="1" hidden="1" outlineLevel="1" x14ac:dyDescent="0.25">
      <c r="B1789" s="28" t="s">
        <v>346</v>
      </c>
      <c r="C1789" s="29" t="s">
        <v>1755</v>
      </c>
      <c r="D1789" s="29" t="s">
        <v>1469</v>
      </c>
      <c r="E1789" s="29">
        <v>0</v>
      </c>
      <c r="F1789" s="29" t="s">
        <v>1470</v>
      </c>
      <c r="G1789" s="30"/>
      <c r="H1789" s="3" t="str">
        <f t="shared" si="8"/>
        <v>{交易编码编号},</v>
      </c>
      <c r="J1789" s="3" t="s">
        <v>10</v>
      </c>
      <c r="K1789" s="3" t="s">
        <v>173</v>
      </c>
      <c r="L1789" s="3" t="s">
        <v>9</v>
      </c>
      <c r="M1789" s="3" t="s">
        <v>9</v>
      </c>
      <c r="N1789" s="3">
        <v>1112</v>
      </c>
    </row>
    <row r="1790" spans="1:14" s="3" customFormat="1" hidden="1" outlineLevel="1" x14ac:dyDescent="0.25">
      <c r="B1790" s="28" t="s">
        <v>345</v>
      </c>
      <c r="C1790" s="29" t="s">
        <v>1754</v>
      </c>
      <c r="D1790" s="29" t="s">
        <v>1469</v>
      </c>
      <c r="E1790" s="29">
        <v>0</v>
      </c>
      <c r="F1790" s="29" t="s">
        <v>1470</v>
      </c>
      <c r="G1790" s="30"/>
      <c r="H1790" s="3" t="str">
        <f t="shared" si="8"/>
        <v>{合约代码编号},</v>
      </c>
      <c r="J1790" s="3" t="s">
        <v>10</v>
      </c>
    </row>
    <row r="1791" spans="1:14" s="3" customFormat="1" hidden="1" outlineLevel="1" x14ac:dyDescent="0.25">
      <c r="B1791" s="28" t="s">
        <v>347</v>
      </c>
      <c r="C1791" s="29" t="s">
        <v>1756</v>
      </c>
      <c r="D1791" s="29" t="s">
        <v>1469</v>
      </c>
      <c r="E1791" s="29">
        <v>0</v>
      </c>
      <c r="F1791" s="29" t="s">
        <v>1476</v>
      </c>
      <c r="G1791" s="30"/>
      <c r="H1791" s="3" t="str">
        <f t="shared" si="8"/>
        <v>{多空类型},</v>
      </c>
      <c r="J1791" s="3" t="s">
        <v>10</v>
      </c>
      <c r="K1791" s="3" t="s">
        <v>173</v>
      </c>
      <c r="L1791" s="3" t="s">
        <v>9</v>
      </c>
      <c r="M1791" s="3" t="s">
        <v>9</v>
      </c>
      <c r="N1791" s="3">
        <v>2534</v>
      </c>
    </row>
    <row r="1792" spans="1:14" s="3" customFormat="1" hidden="1" outlineLevel="1" x14ac:dyDescent="0.25">
      <c r="B1792" s="28" t="s">
        <v>348</v>
      </c>
      <c r="C1792" s="29" t="s">
        <v>1757</v>
      </c>
      <c r="D1792" s="29" t="s">
        <v>1469</v>
      </c>
      <c r="E1792" s="29">
        <v>0</v>
      </c>
      <c r="F1792" s="29" t="s">
        <v>2341</v>
      </c>
      <c r="G1792" s="30" t="s">
        <v>2342</v>
      </c>
      <c r="H1792" s="3" t="str">
        <f t="shared" si="8"/>
        <v>{套保标志},</v>
      </c>
    </row>
    <row r="1793" spans="1:14" s="3" customFormat="1" hidden="1" outlineLevel="1" x14ac:dyDescent="0.25">
      <c r="B1793" s="28" t="s">
        <v>75</v>
      </c>
      <c r="C1793" s="29" t="s">
        <v>1530</v>
      </c>
      <c r="D1793" s="29" t="s">
        <v>1486</v>
      </c>
      <c r="E1793" s="29">
        <v>0</v>
      </c>
      <c r="F1793" s="29" t="s">
        <v>1470</v>
      </c>
      <c r="G1793" s="30" t="s">
        <v>1531</v>
      </c>
      <c r="H1793" s="3" t="str">
        <f t="shared" si="8"/>
        <v>{当前数量},</v>
      </c>
      <c r="J1793" s="3" t="s">
        <v>10</v>
      </c>
      <c r="K1793" s="3" t="s">
        <v>173</v>
      </c>
      <c r="L1793" s="3" t="s">
        <v>9</v>
      </c>
      <c r="M1793" s="3" t="s">
        <v>9</v>
      </c>
      <c r="N1793" s="3">
        <v>2430</v>
      </c>
    </row>
    <row r="1794" spans="1:14" s="3" customFormat="1" hidden="1" outlineLevel="1" x14ac:dyDescent="0.25">
      <c r="B1794" s="185" t="s">
        <v>349</v>
      </c>
      <c r="C1794" s="23" t="s">
        <v>1758</v>
      </c>
      <c r="D1794" s="23" t="s">
        <v>1539</v>
      </c>
      <c r="E1794" s="29">
        <v>0</v>
      </c>
      <c r="F1794" s="29" t="s">
        <v>1470</v>
      </c>
      <c r="G1794" s="30"/>
      <c r="H1794" s="3" t="str">
        <f t="shared" si="8"/>
        <v>{开仓价格},</v>
      </c>
      <c r="J1794" s="3" t="s">
        <v>20</v>
      </c>
      <c r="K1794" s="3" t="s">
        <v>173</v>
      </c>
      <c r="L1794" s="3" t="s">
        <v>9</v>
      </c>
      <c r="M1794" s="3" t="s">
        <v>9</v>
      </c>
      <c r="N1794" s="3">
        <v>2433</v>
      </c>
    </row>
    <row r="1795" spans="1:14" s="3" customFormat="1" hidden="1" outlineLevel="1" x14ac:dyDescent="0.25">
      <c r="B1795" s="185" t="s">
        <v>350</v>
      </c>
      <c r="C1795" s="23" t="s">
        <v>1759</v>
      </c>
      <c r="D1795" s="23" t="s">
        <v>1489</v>
      </c>
      <c r="E1795" s="29">
        <v>0</v>
      </c>
      <c r="F1795" s="29" t="s">
        <v>1470</v>
      </c>
      <c r="G1795" s="30"/>
      <c r="H1795" s="3" t="str">
        <f t="shared" si="8"/>
        <v>{盯市盈亏},</v>
      </c>
      <c r="J1795" s="3" t="s">
        <v>10</v>
      </c>
      <c r="K1795" s="3" t="s">
        <v>173</v>
      </c>
      <c r="L1795" s="3" t="s">
        <v>9</v>
      </c>
      <c r="M1795" s="3" t="s">
        <v>9</v>
      </c>
      <c r="N1795" s="3">
        <v>2155</v>
      </c>
    </row>
    <row r="1796" spans="1:14" s="3" customFormat="1" hidden="1" outlineLevel="1" x14ac:dyDescent="0.25">
      <c r="B1796" s="28" t="s">
        <v>351</v>
      </c>
      <c r="C1796" s="29" t="s">
        <v>1760</v>
      </c>
      <c r="D1796" s="29" t="s">
        <v>1489</v>
      </c>
      <c r="E1796" s="29">
        <v>0</v>
      </c>
      <c r="F1796" s="29" t="s">
        <v>1470</v>
      </c>
      <c r="G1796" s="30" t="s">
        <v>1761</v>
      </c>
      <c r="H1796" s="3" t="str">
        <f t="shared" si="8"/>
        <v>{应收保证金},</v>
      </c>
      <c r="J1796" s="3" t="s">
        <v>20</v>
      </c>
      <c r="K1796" s="3" t="s">
        <v>445</v>
      </c>
      <c r="L1796" s="3" t="s">
        <v>446</v>
      </c>
      <c r="M1796" s="3" t="s">
        <v>446</v>
      </c>
      <c r="N1796" s="3">
        <v>1202</v>
      </c>
    </row>
    <row r="1797" spans="1:14" s="3" customFormat="1" hidden="1" outlineLevel="1" x14ac:dyDescent="0.25">
      <c r="B1797" s="28" t="s">
        <v>138</v>
      </c>
      <c r="C1797" s="29" t="s">
        <v>1577</v>
      </c>
      <c r="D1797" s="29" t="s">
        <v>1486</v>
      </c>
      <c r="E1797" s="29">
        <v>0</v>
      </c>
      <c r="F1797" s="29" t="s">
        <v>1470</v>
      </c>
      <c r="G1797" s="30"/>
      <c r="H1797" s="3" t="str">
        <f t="shared" si="8"/>
        <v>{成交释放数量},</v>
      </c>
      <c r="J1797" s="3" t="s">
        <v>20</v>
      </c>
      <c r="K1797" s="3" t="s">
        <v>173</v>
      </c>
      <c r="L1797" s="3" t="s">
        <v>9</v>
      </c>
      <c r="M1797" s="3" t="s">
        <v>9</v>
      </c>
      <c r="N1797" s="3">
        <v>2237</v>
      </c>
    </row>
    <row r="1798" spans="1:14" s="3" customFormat="1" hidden="1" outlineLevel="1" x14ac:dyDescent="0.25">
      <c r="B1798" s="28" t="s">
        <v>352</v>
      </c>
      <c r="C1798" s="29" t="s">
        <v>1762</v>
      </c>
      <c r="D1798" s="29" t="s">
        <v>1486</v>
      </c>
      <c r="E1798" s="29">
        <v>0</v>
      </c>
      <c r="F1798" s="29"/>
      <c r="G1798" s="30"/>
      <c r="H1798" s="3" t="str">
        <f t="shared" si="8"/>
        <v>{今仓成交占用数量},</v>
      </c>
      <c r="J1798" s="3" t="s">
        <v>20</v>
      </c>
      <c r="K1798" s="3" t="s">
        <v>445</v>
      </c>
      <c r="L1798" s="3" t="s">
        <v>446</v>
      </c>
      <c r="M1798" s="3" t="s">
        <v>446</v>
      </c>
      <c r="N1798" s="3">
        <v>1986</v>
      </c>
    </row>
    <row r="1799" spans="1:14" s="3" customFormat="1" hidden="1" outlineLevel="1" x14ac:dyDescent="0.25">
      <c r="B1799" s="28" t="s">
        <v>62</v>
      </c>
      <c r="C1799" s="29" t="s">
        <v>1525</v>
      </c>
      <c r="D1799" s="23" t="s">
        <v>1489</v>
      </c>
      <c r="E1799" s="29">
        <v>0</v>
      </c>
      <c r="F1799" s="29"/>
      <c r="G1799" s="30"/>
      <c r="H1799" s="3" t="str">
        <f t="shared" si="8"/>
        <v>{持仓市值},</v>
      </c>
      <c r="J1799" s="3" t="s">
        <v>20</v>
      </c>
      <c r="K1799" s="3" t="s">
        <v>445</v>
      </c>
      <c r="L1799" s="3" t="s">
        <v>446</v>
      </c>
      <c r="M1799" s="3" t="s">
        <v>446</v>
      </c>
      <c r="N1799" s="3">
        <v>1262</v>
      </c>
    </row>
    <row r="1800" spans="1:14" s="3" customFormat="1" hidden="1" outlineLevel="1" x14ac:dyDescent="0.25">
      <c r="B1800" s="28" t="s">
        <v>95</v>
      </c>
      <c r="C1800" s="29" t="s">
        <v>1542</v>
      </c>
      <c r="D1800" s="29" t="s">
        <v>1494</v>
      </c>
      <c r="E1800" s="29">
        <v>0</v>
      </c>
      <c r="F1800" s="29"/>
      <c r="G1800" s="30"/>
      <c r="H1800" s="3" t="str">
        <f t="shared" si="8"/>
        <v>{持仓净值占比},</v>
      </c>
      <c r="J1800" s="3" t="s">
        <v>20</v>
      </c>
      <c r="K1800" s="3" t="s">
        <v>445</v>
      </c>
      <c r="L1800" s="3" t="s">
        <v>446</v>
      </c>
      <c r="M1800" s="3" t="s">
        <v>446</v>
      </c>
      <c r="N1800" s="3">
        <v>1317</v>
      </c>
    </row>
    <row r="1801" spans="1:14" s="3" customFormat="1" hidden="1" outlineLevel="1" x14ac:dyDescent="0.25">
      <c r="B1801" s="185" t="s">
        <v>2331</v>
      </c>
      <c r="C1801" s="23" t="s">
        <v>2343</v>
      </c>
      <c r="D1801" s="23" t="s">
        <v>23</v>
      </c>
      <c r="E1801" s="23">
        <v>0</v>
      </c>
      <c r="F1801" s="23"/>
      <c r="G1801" s="24"/>
      <c r="H1801" s="3" t="str">
        <f t="shared" si="8"/>
        <v>{开仓均价},</v>
      </c>
    </row>
    <row r="1802" spans="1:14" s="3" customFormat="1" ht="16.2" hidden="1" outlineLevel="1" thickBot="1" x14ac:dyDescent="0.3">
      <c r="A1802" s="5"/>
      <c r="B1802" s="31"/>
      <c r="C1802" s="20"/>
      <c r="D1802" s="20"/>
      <c r="E1802" s="20"/>
      <c r="F1802" s="20"/>
      <c r="G1802" s="22"/>
      <c r="J1802" s="3" t="s">
        <v>20</v>
      </c>
      <c r="K1802" s="3" t="s">
        <v>445</v>
      </c>
      <c r="L1802" s="3" t="s">
        <v>446</v>
      </c>
      <c r="M1802" s="3" t="s">
        <v>446</v>
      </c>
      <c r="N1802" s="3">
        <v>1721</v>
      </c>
    </row>
    <row r="1803" spans="1:14" s="3" customFormat="1" hidden="1" outlineLevel="1" x14ac:dyDescent="0.25">
      <c r="A1803" s="5"/>
      <c r="B1803" s="401" t="s">
        <v>28</v>
      </c>
      <c r="C1803" s="402"/>
      <c r="D1803" s="402"/>
      <c r="E1803" s="402"/>
      <c r="F1803" s="402"/>
      <c r="G1803" s="403"/>
      <c r="K1803" s="3" t="s">
        <v>445</v>
      </c>
      <c r="L1803" s="3" t="s">
        <v>446</v>
      </c>
      <c r="M1803" s="3" t="s">
        <v>446</v>
      </c>
      <c r="N1803" s="3">
        <v>1875</v>
      </c>
    </row>
    <row r="1804" spans="1:14" s="3" customFormat="1" hidden="1" outlineLevel="1" x14ac:dyDescent="0.25">
      <c r="A1804" s="5"/>
      <c r="B1804" s="116"/>
      <c r="C1804" s="117"/>
      <c r="D1804" s="117"/>
      <c r="E1804" s="117"/>
      <c r="F1804" s="117"/>
      <c r="G1804" s="105"/>
      <c r="K1804" s="3" t="s">
        <v>445</v>
      </c>
      <c r="L1804" s="3" t="s">
        <v>446</v>
      </c>
      <c r="M1804" s="3" t="s">
        <v>446</v>
      </c>
      <c r="N1804" s="3">
        <v>1891</v>
      </c>
    </row>
    <row r="1805" spans="1:14" s="3" customFormat="1" ht="17.399999999999999" hidden="1" customHeight="1" outlineLevel="1" thickBot="1" x14ac:dyDescent="0.3">
      <c r="A1805" s="5"/>
      <c r="B1805" s="116"/>
      <c r="C1805" s="117"/>
      <c r="D1805" s="117"/>
      <c r="E1805" s="117"/>
      <c r="F1805" s="117"/>
      <c r="G1805" s="105"/>
    </row>
    <row r="1806" spans="1:14" s="3" customFormat="1" ht="17.399999999999999" hidden="1" customHeight="1" outlineLevel="1" x14ac:dyDescent="0.25">
      <c r="A1806" s="5"/>
      <c r="B1806" s="401" t="s">
        <v>29</v>
      </c>
      <c r="C1806" s="402"/>
      <c r="D1806" s="402"/>
      <c r="E1806" s="402"/>
      <c r="F1806" s="402"/>
      <c r="G1806" s="403"/>
    </row>
    <row r="1807" spans="1:14" s="3" customFormat="1" ht="17.399999999999999" hidden="1" customHeight="1" outlineLevel="1" x14ac:dyDescent="0.25">
      <c r="B1807" s="28"/>
      <c r="C1807" s="29"/>
      <c r="D1807" s="23"/>
      <c r="E1807" s="29"/>
      <c r="F1807" s="29"/>
      <c r="G1807" s="30"/>
    </row>
    <row r="1808" spans="1:14" s="3" customFormat="1" ht="17.399999999999999" hidden="1" customHeight="1" outlineLevel="1" x14ac:dyDescent="0.25">
      <c r="B1808" s="28" t="s">
        <v>2333</v>
      </c>
      <c r="C1808" s="29"/>
      <c r="D1808" s="23"/>
      <c r="E1808" s="29"/>
      <c r="F1808" s="29"/>
      <c r="G1808" s="30"/>
    </row>
    <row r="1809" spans="1:14" s="3" customFormat="1" ht="17.399999999999999" hidden="1" customHeight="1" outlineLevel="1" x14ac:dyDescent="0.25">
      <c r="B1809" s="28"/>
      <c r="C1809" s="29"/>
      <c r="D1809" s="23"/>
      <c r="E1809" s="29"/>
      <c r="F1809" s="29"/>
      <c r="G1809" s="30"/>
    </row>
    <row r="1810" spans="1:14" s="3" customFormat="1" hidden="1" outlineLevel="1" x14ac:dyDescent="0.25">
      <c r="B1810" s="28"/>
      <c r="C1810" s="29"/>
      <c r="D1810" s="23"/>
      <c r="E1810" s="29"/>
      <c r="F1810" s="29"/>
      <c r="G1810" s="30"/>
    </row>
    <row r="1811" spans="1:14" s="3" customFormat="1" ht="18.75" hidden="1" customHeight="1" outlineLevel="1" thickBot="1" x14ac:dyDescent="0.3">
      <c r="B1811" s="163"/>
      <c r="C1811" s="164"/>
      <c r="D1811" s="164"/>
      <c r="E1811" s="164"/>
      <c r="F1811" s="164"/>
      <c r="G1811" s="165"/>
    </row>
    <row r="1812" spans="1:14" s="3" customFormat="1" ht="16.2" hidden="1" outlineLevel="1" thickBot="1" x14ac:dyDescent="0.3">
      <c r="A1812" s="5"/>
    </row>
    <row r="1813" spans="1:14" s="3" customFormat="1" ht="16.2" collapsed="1" thickBot="1" x14ac:dyDescent="0.3">
      <c r="A1813" s="5"/>
      <c r="B1813" s="15" t="s">
        <v>1279</v>
      </c>
      <c r="C1813" s="16" t="s">
        <v>2201</v>
      </c>
      <c r="D1813" s="17" t="s">
        <v>1281</v>
      </c>
      <c r="E1813" s="16" t="s">
        <v>1056</v>
      </c>
      <c r="F1813" s="17" t="s">
        <v>1282</v>
      </c>
      <c r="G1813" s="18" t="s">
        <v>2202</v>
      </c>
    </row>
    <row r="1814" spans="1:14" s="3" customFormat="1" hidden="1" outlineLevel="1" x14ac:dyDescent="0.25">
      <c r="A1814" s="5"/>
      <c r="B1814" s="19" t="s">
        <v>1284</v>
      </c>
      <c r="C1814" s="20" t="s">
        <v>1285</v>
      </c>
      <c r="D1814" s="21" t="s">
        <v>1286</v>
      </c>
      <c r="E1814" s="20" t="s">
        <v>2203</v>
      </c>
      <c r="F1814" s="21" t="s">
        <v>1288</v>
      </c>
      <c r="G1814" s="22"/>
    </row>
    <row r="1815" spans="1:14" s="3" customFormat="1" ht="17.399999999999999" hidden="1" customHeight="1" outlineLevel="1" thickBot="1" x14ac:dyDescent="0.3">
      <c r="A1815" s="5"/>
      <c r="B1815" s="19" t="s">
        <v>1290</v>
      </c>
      <c r="C1815" s="23" t="s">
        <v>1291</v>
      </c>
      <c r="D1815" s="21" t="s">
        <v>1292</v>
      </c>
      <c r="E1815" s="23">
        <v>5</v>
      </c>
      <c r="F1815" s="21" t="s">
        <v>1293</v>
      </c>
      <c r="G1815" s="24" t="s">
        <v>1294</v>
      </c>
    </row>
    <row r="1816" spans="1:14" s="3" customFormat="1" ht="17.399999999999999" hidden="1" customHeight="1" outlineLevel="1" x14ac:dyDescent="0.25">
      <c r="A1816" s="5"/>
      <c r="B1816" s="401" t="s">
        <v>1</v>
      </c>
      <c r="C1816" s="402"/>
      <c r="D1816" s="402"/>
      <c r="E1816" s="402"/>
      <c r="F1816" s="402"/>
      <c r="G1816" s="403"/>
    </row>
    <row r="1817" spans="1:14" s="3" customFormat="1" ht="17.399999999999999" hidden="1" customHeight="1" outlineLevel="1" x14ac:dyDescent="0.25">
      <c r="A1817" s="5"/>
      <c r="B1817" s="25" t="s">
        <v>2</v>
      </c>
      <c r="C1817" s="26" t="s">
        <v>3</v>
      </c>
      <c r="D1817" s="26" t="s">
        <v>4</v>
      </c>
      <c r="E1817" s="26" t="s">
        <v>5</v>
      </c>
      <c r="F1817" s="26"/>
      <c r="G1817" s="27" t="s">
        <v>6</v>
      </c>
    </row>
    <row r="1818" spans="1:14" s="3" customFormat="1" ht="17.399999999999999" hidden="1" customHeight="1" outlineLevel="1" x14ac:dyDescent="0.25">
      <c r="B1818" s="28" t="s">
        <v>7</v>
      </c>
      <c r="C1818" s="29" t="s">
        <v>1468</v>
      </c>
      <c r="D1818" s="29" t="s">
        <v>1469</v>
      </c>
      <c r="E1818" s="29">
        <v>0</v>
      </c>
      <c r="F1818" s="29" t="s">
        <v>1470</v>
      </c>
      <c r="G1818" s="30" t="s">
        <v>1471</v>
      </c>
    </row>
    <row r="1819" spans="1:14" s="3" customFormat="1" ht="17.399999999999999" hidden="1" customHeight="1" outlineLevel="1" x14ac:dyDescent="0.25">
      <c r="B1819" s="28" t="s">
        <v>345</v>
      </c>
      <c r="C1819" s="29" t="s">
        <v>1754</v>
      </c>
      <c r="D1819" s="29" t="s">
        <v>1469</v>
      </c>
      <c r="E1819" s="29">
        <v>0</v>
      </c>
      <c r="F1819" s="29" t="s">
        <v>1470</v>
      </c>
      <c r="G1819" s="30"/>
      <c r="J1819" s="3" t="s">
        <v>10</v>
      </c>
    </row>
    <row r="1820" spans="1:14" s="3" customFormat="1" ht="17.399999999999999" hidden="1" customHeight="1" outlineLevel="1" x14ac:dyDescent="0.25">
      <c r="B1820" s="28" t="s">
        <v>73</v>
      </c>
      <c r="C1820" s="29" t="s">
        <v>1528</v>
      </c>
      <c r="D1820" s="29" t="s">
        <v>1469</v>
      </c>
      <c r="E1820" s="29" t="s">
        <v>1480</v>
      </c>
      <c r="F1820" s="29" t="s">
        <v>1481</v>
      </c>
      <c r="G1820" s="30"/>
    </row>
    <row r="1821" spans="1:14" s="3" customFormat="1" hidden="1" outlineLevel="1" x14ac:dyDescent="0.25">
      <c r="B1821" s="28" t="s">
        <v>74</v>
      </c>
      <c r="C1821" s="29" t="s">
        <v>1529</v>
      </c>
      <c r="D1821" s="29" t="s">
        <v>1469</v>
      </c>
      <c r="E1821" s="29" t="s">
        <v>1480</v>
      </c>
      <c r="F1821" s="29" t="s">
        <v>1481</v>
      </c>
      <c r="G1821" s="30"/>
      <c r="J1821" s="3" t="s">
        <v>10</v>
      </c>
      <c r="K1821" s="3" t="s">
        <v>173</v>
      </c>
      <c r="L1821" s="3" t="s">
        <v>9</v>
      </c>
      <c r="M1821" s="3" t="s">
        <v>9</v>
      </c>
      <c r="N1821" s="3">
        <v>1112</v>
      </c>
    </row>
    <row r="1822" spans="1:14" s="3" customFormat="1" hidden="1" outlineLevel="1" x14ac:dyDescent="0.25">
      <c r="B1822" s="28" t="s">
        <v>128</v>
      </c>
      <c r="C1822" s="29" t="s">
        <v>1566</v>
      </c>
      <c r="D1822" s="29" t="s">
        <v>1567</v>
      </c>
      <c r="E1822" s="29">
        <v>0</v>
      </c>
      <c r="F1822" s="29" t="s">
        <v>1470</v>
      </c>
      <c r="G1822" s="30"/>
      <c r="J1822" s="3" t="s">
        <v>10</v>
      </c>
    </row>
    <row r="1823" spans="1:14" s="3" customFormat="1" hidden="1" outlineLevel="1" x14ac:dyDescent="0.25">
      <c r="B1823" s="28" t="s">
        <v>114</v>
      </c>
      <c r="C1823" s="29" t="s">
        <v>1557</v>
      </c>
      <c r="D1823" s="29" t="s">
        <v>1469</v>
      </c>
      <c r="E1823" s="29">
        <v>-1</v>
      </c>
      <c r="F1823" s="29" t="s">
        <v>1470</v>
      </c>
      <c r="G1823" s="30"/>
      <c r="J1823" s="3" t="s">
        <v>12</v>
      </c>
      <c r="K1823" s="3" t="s">
        <v>173</v>
      </c>
      <c r="L1823" s="3" t="s">
        <v>9</v>
      </c>
      <c r="M1823" s="3" t="s">
        <v>9</v>
      </c>
      <c r="N1823" s="3">
        <v>1767</v>
      </c>
    </row>
    <row r="1824" spans="1:14" s="3" customFormat="1" hidden="1" outlineLevel="1" x14ac:dyDescent="0.25">
      <c r="A1824" s="5"/>
      <c r="B1824" s="31"/>
      <c r="C1824" s="20"/>
      <c r="D1824" s="20"/>
      <c r="E1824" s="20"/>
      <c r="F1824" s="20"/>
      <c r="G1824" s="22"/>
      <c r="J1824" s="3" t="s">
        <v>10</v>
      </c>
      <c r="K1824" s="3" t="s">
        <v>173</v>
      </c>
      <c r="L1824" s="3" t="s">
        <v>9</v>
      </c>
      <c r="M1824" s="3" t="s">
        <v>9</v>
      </c>
      <c r="N1824" s="3">
        <v>1713</v>
      </c>
    </row>
    <row r="1825" spans="1:14" s="3" customFormat="1" hidden="1" outlineLevel="1" x14ac:dyDescent="0.25">
      <c r="A1825" s="5"/>
      <c r="B1825" s="398" t="s">
        <v>18</v>
      </c>
      <c r="C1825" s="399"/>
      <c r="D1825" s="399"/>
      <c r="E1825" s="399"/>
      <c r="F1825" s="399"/>
      <c r="G1825" s="400"/>
      <c r="K1825" s="3" t="s">
        <v>174</v>
      </c>
      <c r="L1825" s="3" t="s">
        <v>175</v>
      </c>
      <c r="M1825" s="3" t="s">
        <v>176</v>
      </c>
      <c r="N1825" s="3">
        <v>1629</v>
      </c>
    </row>
    <row r="1826" spans="1:14" s="3" customFormat="1" hidden="1" outlineLevel="1" x14ac:dyDescent="0.25">
      <c r="A1826" s="5"/>
      <c r="B1826" s="25" t="s">
        <v>2</v>
      </c>
      <c r="C1826" s="26" t="s">
        <v>3</v>
      </c>
      <c r="D1826" s="26" t="s">
        <v>4</v>
      </c>
      <c r="E1826" s="26" t="s">
        <v>5</v>
      </c>
      <c r="F1826" s="26"/>
      <c r="G1826" s="27" t="s">
        <v>6</v>
      </c>
      <c r="K1826" s="3" t="s">
        <v>173</v>
      </c>
      <c r="L1826" s="3" t="s">
        <v>9</v>
      </c>
      <c r="M1826" s="3" t="s">
        <v>9</v>
      </c>
      <c r="N1826" s="3">
        <v>2449</v>
      </c>
    </row>
    <row r="1827" spans="1:14" s="3" customFormat="1" ht="17.399999999999999" hidden="1" customHeight="1" outlineLevel="1" x14ac:dyDescent="0.25">
      <c r="B1827" s="28" t="s">
        <v>128</v>
      </c>
      <c r="C1827" s="29" t="s">
        <v>1566</v>
      </c>
      <c r="D1827" s="29" t="s">
        <v>1567</v>
      </c>
      <c r="E1827" s="29">
        <v>0</v>
      </c>
      <c r="F1827" s="29" t="s">
        <v>1470</v>
      </c>
      <c r="G1827" s="30"/>
      <c r="H1827" s="3" t="str">
        <f>"{"&amp;B1827&amp;"},"</f>
        <v>{记录序号},</v>
      </c>
    </row>
    <row r="1828" spans="1:14" s="3" customFormat="1" ht="17.399999999999999" hidden="1" customHeight="1" outlineLevel="1" x14ac:dyDescent="0.25">
      <c r="B1828" s="28" t="s">
        <v>16</v>
      </c>
      <c r="C1828" s="29" t="s">
        <v>1479</v>
      </c>
      <c r="D1828" s="29" t="s">
        <v>1469</v>
      </c>
      <c r="E1828" s="29" t="s">
        <v>1480</v>
      </c>
      <c r="F1828" s="29" t="s">
        <v>1481</v>
      </c>
      <c r="G1828" s="30" t="s">
        <v>1482</v>
      </c>
      <c r="H1828" s="3" t="str">
        <f>"{"&amp;B1828&amp;"},"</f>
        <v>{初始化日期},</v>
      </c>
      <c r="J1828" s="3" t="s">
        <v>12</v>
      </c>
    </row>
    <row r="1829" spans="1:14" s="3" customFormat="1" ht="17.399999999999999" hidden="1" customHeight="1" outlineLevel="1" x14ac:dyDescent="0.25">
      <c r="B1829" s="28" t="s">
        <v>112</v>
      </c>
      <c r="C1829" s="29" t="s">
        <v>1555</v>
      </c>
      <c r="D1829" s="29" t="s">
        <v>1469</v>
      </c>
      <c r="E1829" s="29">
        <v>0</v>
      </c>
      <c r="F1829" s="29" t="s">
        <v>1470</v>
      </c>
      <c r="G1829" s="30" t="s">
        <v>1556</v>
      </c>
      <c r="H1829" s="3" t="str">
        <f>"{"&amp;B1829&amp;"},"</f>
        <v>{机构编号},</v>
      </c>
      <c r="J1829" s="3" t="s">
        <v>10</v>
      </c>
    </row>
    <row r="1830" spans="1:14" s="3" customFormat="1" hidden="1" outlineLevel="1" x14ac:dyDescent="0.25">
      <c r="B1830" s="28" t="s">
        <v>7</v>
      </c>
      <c r="C1830" s="29" t="s">
        <v>1468</v>
      </c>
      <c r="D1830" s="29" t="s">
        <v>1469</v>
      </c>
      <c r="E1830" s="29">
        <v>0</v>
      </c>
      <c r="F1830" s="29" t="s">
        <v>1470</v>
      </c>
      <c r="G1830" s="30" t="s">
        <v>1471</v>
      </c>
      <c r="H1830" s="3" t="str">
        <f>"{"&amp;B1830&amp;"},"</f>
        <v>{产品编号},</v>
      </c>
      <c r="J1830" s="3" t="s">
        <v>10</v>
      </c>
      <c r="K1830" s="3" t="s">
        <v>174</v>
      </c>
      <c r="L1830" s="3" t="s">
        <v>175</v>
      </c>
      <c r="M1830" s="3" t="s">
        <v>176</v>
      </c>
      <c r="N1830" s="3">
        <v>1629</v>
      </c>
    </row>
    <row r="1831" spans="1:14" s="3" customFormat="1" hidden="1" outlineLevel="1" x14ac:dyDescent="0.25">
      <c r="B1831" s="28" t="s">
        <v>13</v>
      </c>
      <c r="C1831" s="29" t="s">
        <v>1474</v>
      </c>
      <c r="D1831" s="29" t="s">
        <v>1469</v>
      </c>
      <c r="E1831" s="29">
        <v>0</v>
      </c>
      <c r="F1831" s="29" t="s">
        <v>1470</v>
      </c>
      <c r="G1831" s="30"/>
      <c r="H1831" s="3" t="str">
        <f>"{"&amp;B1831&amp;"},"</f>
        <v>{资产账户编号},</v>
      </c>
      <c r="J1831" s="3" t="s">
        <v>10</v>
      </c>
      <c r="N1831" s="3">
        <v>2534</v>
      </c>
    </row>
    <row r="1832" spans="1:14" s="3" customFormat="1" hidden="1" outlineLevel="1" x14ac:dyDescent="0.25">
      <c r="B1832" s="116" t="s">
        <v>11</v>
      </c>
      <c r="C1832" s="117" t="s">
        <v>1472</v>
      </c>
      <c r="D1832" s="117" t="s">
        <v>1469</v>
      </c>
      <c r="E1832" s="29">
        <v>0</v>
      </c>
      <c r="F1832" s="29" t="s">
        <v>1470</v>
      </c>
      <c r="G1832" s="30" t="s">
        <v>1473</v>
      </c>
      <c r="J1832" s="3" t="s">
        <v>10</v>
      </c>
      <c r="K1832" s="3" t="s">
        <v>173</v>
      </c>
      <c r="L1832" s="3" t="s">
        <v>9</v>
      </c>
      <c r="M1832" s="3" t="s">
        <v>9</v>
      </c>
      <c r="N1832" s="3">
        <v>1211</v>
      </c>
    </row>
    <row r="1833" spans="1:14" s="3" customFormat="1" hidden="1" outlineLevel="1" x14ac:dyDescent="0.25">
      <c r="B1833" s="28" t="s">
        <v>14</v>
      </c>
      <c r="C1833" s="29" t="s">
        <v>1475</v>
      </c>
      <c r="D1833" s="29" t="s">
        <v>1469</v>
      </c>
      <c r="E1833" s="29">
        <v>0</v>
      </c>
      <c r="F1833" s="29" t="s">
        <v>1476</v>
      </c>
      <c r="G1833" s="30" t="s">
        <v>1477</v>
      </c>
      <c r="H1833" s="3" t="str">
        <f t="shared" ref="H1833:H1846" si="9">"{"&amp;B1833&amp;"},"</f>
        <v>{市场编号},</v>
      </c>
      <c r="K1833" s="3" t="s">
        <v>173</v>
      </c>
      <c r="L1833" s="3" t="s">
        <v>9</v>
      </c>
      <c r="M1833" s="3" t="s">
        <v>9</v>
      </c>
      <c r="N1833" s="3">
        <v>1606</v>
      </c>
    </row>
    <row r="1834" spans="1:14" s="3" customFormat="1" hidden="1" outlineLevel="1" x14ac:dyDescent="0.25">
      <c r="B1834" s="28" t="s">
        <v>346</v>
      </c>
      <c r="C1834" s="29" t="s">
        <v>1755</v>
      </c>
      <c r="D1834" s="29" t="s">
        <v>1469</v>
      </c>
      <c r="E1834" s="29">
        <v>0</v>
      </c>
      <c r="F1834" s="29" t="s">
        <v>1470</v>
      </c>
      <c r="G1834" s="30"/>
      <c r="H1834" s="3" t="str">
        <f t="shared" si="9"/>
        <v>{交易编码编号},</v>
      </c>
      <c r="J1834" s="3" t="s">
        <v>10</v>
      </c>
      <c r="K1834" s="3" t="s">
        <v>173</v>
      </c>
      <c r="L1834" s="3" t="s">
        <v>9</v>
      </c>
      <c r="M1834" s="3" t="s">
        <v>9</v>
      </c>
      <c r="N1834" s="3">
        <v>1112</v>
      </c>
    </row>
    <row r="1835" spans="1:14" s="3" customFormat="1" hidden="1" outlineLevel="1" x14ac:dyDescent="0.25">
      <c r="B1835" s="28" t="s">
        <v>345</v>
      </c>
      <c r="C1835" s="29" t="s">
        <v>1754</v>
      </c>
      <c r="D1835" s="29" t="s">
        <v>1469</v>
      </c>
      <c r="E1835" s="29">
        <v>0</v>
      </c>
      <c r="F1835" s="29" t="s">
        <v>1470</v>
      </c>
      <c r="G1835" s="30"/>
      <c r="H1835" s="3" t="str">
        <f t="shared" si="9"/>
        <v>{合约代码编号},</v>
      </c>
      <c r="J1835" s="3" t="s">
        <v>10</v>
      </c>
    </row>
    <row r="1836" spans="1:14" s="3" customFormat="1" hidden="1" outlineLevel="1" x14ac:dyDescent="0.25">
      <c r="B1836" s="28" t="s">
        <v>347</v>
      </c>
      <c r="C1836" s="29" t="s">
        <v>1756</v>
      </c>
      <c r="D1836" s="29" t="s">
        <v>1469</v>
      </c>
      <c r="E1836" s="29">
        <v>0</v>
      </c>
      <c r="F1836" s="29" t="s">
        <v>1476</v>
      </c>
      <c r="G1836" s="30"/>
      <c r="H1836" s="3" t="str">
        <f t="shared" si="9"/>
        <v>{多空类型},</v>
      </c>
      <c r="J1836" s="3" t="s">
        <v>10</v>
      </c>
      <c r="K1836" s="3" t="s">
        <v>173</v>
      </c>
      <c r="L1836" s="3" t="s">
        <v>9</v>
      </c>
      <c r="M1836" s="3" t="s">
        <v>9</v>
      </c>
      <c r="N1836" s="3">
        <v>2534</v>
      </c>
    </row>
    <row r="1837" spans="1:14" s="3" customFormat="1" hidden="1" outlineLevel="1" x14ac:dyDescent="0.25">
      <c r="B1837" s="28" t="s">
        <v>348</v>
      </c>
      <c r="C1837" s="29" t="s">
        <v>1757</v>
      </c>
      <c r="D1837" s="29" t="s">
        <v>1469</v>
      </c>
      <c r="E1837" s="29">
        <v>0</v>
      </c>
      <c r="F1837" s="29" t="s">
        <v>2341</v>
      </c>
      <c r="G1837" s="30" t="s">
        <v>2342</v>
      </c>
      <c r="H1837" s="3" t="str">
        <f t="shared" si="9"/>
        <v>{套保标志},</v>
      </c>
    </row>
    <row r="1838" spans="1:14" s="3" customFormat="1" hidden="1" outlineLevel="1" x14ac:dyDescent="0.25">
      <c r="B1838" s="28" t="s">
        <v>75</v>
      </c>
      <c r="C1838" s="29" t="s">
        <v>1530</v>
      </c>
      <c r="D1838" s="29" t="s">
        <v>1486</v>
      </c>
      <c r="E1838" s="29">
        <v>0</v>
      </c>
      <c r="F1838" s="29" t="s">
        <v>1470</v>
      </c>
      <c r="G1838" s="30" t="s">
        <v>1531</v>
      </c>
      <c r="H1838" s="3" t="str">
        <f t="shared" si="9"/>
        <v>{当前数量},</v>
      </c>
      <c r="J1838" s="3" t="s">
        <v>10</v>
      </c>
      <c r="K1838" s="3" t="s">
        <v>173</v>
      </c>
      <c r="L1838" s="3" t="s">
        <v>9</v>
      </c>
      <c r="M1838" s="3" t="s">
        <v>9</v>
      </c>
      <c r="N1838" s="3">
        <v>2430</v>
      </c>
    </row>
    <row r="1839" spans="1:14" s="3" customFormat="1" hidden="1" outlineLevel="1" x14ac:dyDescent="0.25">
      <c r="B1839" s="185" t="s">
        <v>349</v>
      </c>
      <c r="C1839" s="23" t="s">
        <v>1758</v>
      </c>
      <c r="D1839" s="23" t="s">
        <v>1539</v>
      </c>
      <c r="E1839" s="29">
        <v>0</v>
      </c>
      <c r="F1839" s="29" t="s">
        <v>1470</v>
      </c>
      <c r="G1839" s="30"/>
      <c r="H1839" s="3" t="str">
        <f t="shared" si="9"/>
        <v>{开仓价格},</v>
      </c>
      <c r="J1839" s="3" t="s">
        <v>20</v>
      </c>
      <c r="K1839" s="3" t="s">
        <v>173</v>
      </c>
      <c r="L1839" s="3" t="s">
        <v>9</v>
      </c>
      <c r="M1839" s="3" t="s">
        <v>9</v>
      </c>
      <c r="N1839" s="3">
        <v>2433</v>
      </c>
    </row>
    <row r="1840" spans="1:14" s="3" customFormat="1" hidden="1" outlineLevel="1" x14ac:dyDescent="0.25">
      <c r="B1840" s="185" t="s">
        <v>350</v>
      </c>
      <c r="C1840" s="23" t="s">
        <v>1759</v>
      </c>
      <c r="D1840" s="23" t="s">
        <v>1489</v>
      </c>
      <c r="E1840" s="29">
        <v>0</v>
      </c>
      <c r="F1840" s="29" t="s">
        <v>1470</v>
      </c>
      <c r="G1840" s="30"/>
      <c r="H1840" s="3" t="str">
        <f t="shared" si="9"/>
        <v>{盯市盈亏},</v>
      </c>
      <c r="J1840" s="3" t="s">
        <v>10</v>
      </c>
      <c r="K1840" s="3" t="s">
        <v>173</v>
      </c>
      <c r="L1840" s="3" t="s">
        <v>9</v>
      </c>
      <c r="M1840" s="3" t="s">
        <v>9</v>
      </c>
      <c r="N1840" s="3">
        <v>2155</v>
      </c>
    </row>
    <row r="1841" spans="1:14" s="3" customFormat="1" hidden="1" outlineLevel="1" x14ac:dyDescent="0.25">
      <c r="B1841" s="28" t="s">
        <v>351</v>
      </c>
      <c r="C1841" s="29" t="s">
        <v>1760</v>
      </c>
      <c r="D1841" s="29" t="s">
        <v>1489</v>
      </c>
      <c r="E1841" s="29">
        <v>0</v>
      </c>
      <c r="F1841" s="29" t="s">
        <v>1470</v>
      </c>
      <c r="G1841" s="30" t="s">
        <v>1761</v>
      </c>
      <c r="H1841" s="3" t="str">
        <f t="shared" si="9"/>
        <v>{应收保证金},</v>
      </c>
      <c r="J1841" s="3" t="s">
        <v>20</v>
      </c>
      <c r="K1841" s="3" t="s">
        <v>445</v>
      </c>
      <c r="L1841" s="3" t="s">
        <v>446</v>
      </c>
      <c r="M1841" s="3" t="s">
        <v>446</v>
      </c>
      <c r="N1841" s="3">
        <v>1202</v>
      </c>
    </row>
    <row r="1842" spans="1:14" s="3" customFormat="1" hidden="1" outlineLevel="1" x14ac:dyDescent="0.25">
      <c r="B1842" s="28" t="s">
        <v>138</v>
      </c>
      <c r="C1842" s="29" t="s">
        <v>1577</v>
      </c>
      <c r="D1842" s="29" t="s">
        <v>1486</v>
      </c>
      <c r="E1842" s="29">
        <v>0</v>
      </c>
      <c r="F1842" s="29" t="s">
        <v>1470</v>
      </c>
      <c r="G1842" s="30"/>
      <c r="H1842" s="3" t="str">
        <f t="shared" si="9"/>
        <v>{成交释放数量},</v>
      </c>
      <c r="J1842" s="3" t="s">
        <v>20</v>
      </c>
      <c r="K1842" s="3" t="s">
        <v>173</v>
      </c>
      <c r="L1842" s="3" t="s">
        <v>9</v>
      </c>
      <c r="M1842" s="3" t="s">
        <v>9</v>
      </c>
      <c r="N1842" s="3">
        <v>2237</v>
      </c>
    </row>
    <row r="1843" spans="1:14" s="3" customFormat="1" hidden="1" outlineLevel="1" x14ac:dyDescent="0.25">
      <c r="B1843" s="28" t="s">
        <v>352</v>
      </c>
      <c r="C1843" s="29" t="s">
        <v>1762</v>
      </c>
      <c r="D1843" s="29" t="s">
        <v>1486</v>
      </c>
      <c r="E1843" s="29">
        <v>0</v>
      </c>
      <c r="F1843" s="29"/>
      <c r="G1843" s="30"/>
      <c r="H1843" s="3" t="str">
        <f t="shared" si="9"/>
        <v>{今仓成交占用数量},</v>
      </c>
      <c r="J1843" s="3" t="s">
        <v>20</v>
      </c>
      <c r="K1843" s="3" t="s">
        <v>445</v>
      </c>
      <c r="L1843" s="3" t="s">
        <v>446</v>
      </c>
      <c r="M1843" s="3" t="s">
        <v>446</v>
      </c>
      <c r="N1843" s="3">
        <v>1986</v>
      </c>
    </row>
    <row r="1844" spans="1:14" s="3" customFormat="1" hidden="1" outlineLevel="1" x14ac:dyDescent="0.25">
      <c r="B1844" s="28" t="s">
        <v>62</v>
      </c>
      <c r="C1844" s="29" t="s">
        <v>1525</v>
      </c>
      <c r="D1844" s="23" t="s">
        <v>1489</v>
      </c>
      <c r="E1844" s="29">
        <v>0</v>
      </c>
      <c r="F1844" s="29"/>
      <c r="G1844" s="30"/>
      <c r="H1844" s="3" t="str">
        <f t="shared" si="9"/>
        <v>{持仓市值},</v>
      </c>
      <c r="J1844" s="3" t="s">
        <v>20</v>
      </c>
      <c r="K1844" s="3" t="s">
        <v>445</v>
      </c>
      <c r="L1844" s="3" t="s">
        <v>446</v>
      </c>
      <c r="M1844" s="3" t="s">
        <v>446</v>
      </c>
      <c r="N1844" s="3">
        <v>1262</v>
      </c>
    </row>
    <row r="1845" spans="1:14" s="3" customFormat="1" hidden="1" outlineLevel="1" x14ac:dyDescent="0.25">
      <c r="B1845" s="28" t="s">
        <v>95</v>
      </c>
      <c r="C1845" s="29" t="s">
        <v>1542</v>
      </c>
      <c r="D1845" s="29" t="s">
        <v>1494</v>
      </c>
      <c r="E1845" s="29">
        <v>0</v>
      </c>
      <c r="F1845" s="29"/>
      <c r="G1845" s="30"/>
      <c r="H1845" s="3" t="str">
        <f t="shared" si="9"/>
        <v>{持仓净值占比},</v>
      </c>
      <c r="J1845" s="3" t="s">
        <v>20</v>
      </c>
      <c r="K1845" s="3" t="s">
        <v>445</v>
      </c>
      <c r="L1845" s="3" t="s">
        <v>446</v>
      </c>
      <c r="M1845" s="3" t="s">
        <v>446</v>
      </c>
      <c r="N1845" s="3">
        <v>1317</v>
      </c>
    </row>
    <row r="1846" spans="1:14" s="3" customFormat="1" hidden="1" outlineLevel="1" x14ac:dyDescent="0.25">
      <c r="B1846" s="185" t="s">
        <v>2331</v>
      </c>
      <c r="C1846" s="23" t="s">
        <v>2343</v>
      </c>
      <c r="D1846" s="23" t="s">
        <v>23</v>
      </c>
      <c r="E1846" s="23">
        <v>0</v>
      </c>
      <c r="F1846" s="23"/>
      <c r="G1846" s="24"/>
      <c r="H1846" s="3" t="str">
        <f t="shared" si="9"/>
        <v>{开仓均价},</v>
      </c>
    </row>
    <row r="1847" spans="1:14" s="3" customFormat="1" ht="16.2" hidden="1" outlineLevel="1" thickBot="1" x14ac:dyDescent="0.3">
      <c r="A1847" s="5"/>
      <c r="B1847" s="31"/>
      <c r="C1847" s="20"/>
      <c r="D1847" s="20"/>
      <c r="E1847" s="20"/>
      <c r="F1847" s="20"/>
      <c r="G1847" s="22"/>
      <c r="J1847" s="3" t="s">
        <v>20</v>
      </c>
      <c r="K1847" s="3" t="s">
        <v>445</v>
      </c>
      <c r="L1847" s="3" t="s">
        <v>446</v>
      </c>
      <c r="M1847" s="3" t="s">
        <v>446</v>
      </c>
      <c r="N1847" s="3">
        <v>1721</v>
      </c>
    </row>
    <row r="1848" spans="1:14" s="3" customFormat="1" hidden="1" outlineLevel="1" x14ac:dyDescent="0.25">
      <c r="A1848" s="5"/>
      <c r="B1848" s="401" t="s">
        <v>28</v>
      </c>
      <c r="C1848" s="402"/>
      <c r="D1848" s="402"/>
      <c r="E1848" s="402"/>
      <c r="F1848" s="402"/>
      <c r="G1848" s="403"/>
      <c r="K1848" s="3" t="s">
        <v>445</v>
      </c>
      <c r="L1848" s="3" t="s">
        <v>446</v>
      </c>
      <c r="M1848" s="3" t="s">
        <v>446</v>
      </c>
      <c r="N1848" s="3">
        <v>1875</v>
      </c>
    </row>
    <row r="1849" spans="1:14" s="3" customFormat="1" hidden="1" outlineLevel="1" x14ac:dyDescent="0.25">
      <c r="A1849" s="5"/>
      <c r="B1849" s="116"/>
      <c r="C1849" s="117"/>
      <c r="D1849" s="117"/>
      <c r="E1849" s="117"/>
      <c r="F1849" s="117"/>
      <c r="G1849" s="105"/>
      <c r="K1849" s="3" t="s">
        <v>445</v>
      </c>
      <c r="L1849" s="3" t="s">
        <v>446</v>
      </c>
      <c r="M1849" s="3" t="s">
        <v>446</v>
      </c>
      <c r="N1849" s="3">
        <v>1891</v>
      </c>
    </row>
    <row r="1850" spans="1:14" s="3" customFormat="1" ht="17.399999999999999" hidden="1" customHeight="1" outlineLevel="1" thickBot="1" x14ac:dyDescent="0.3">
      <c r="A1850" s="5"/>
      <c r="B1850" s="116"/>
      <c r="C1850" s="117"/>
      <c r="D1850" s="117"/>
      <c r="E1850" s="117"/>
      <c r="F1850" s="117"/>
      <c r="G1850" s="105"/>
    </row>
    <row r="1851" spans="1:14" s="3" customFormat="1" ht="17.399999999999999" hidden="1" customHeight="1" outlineLevel="1" x14ac:dyDescent="0.25">
      <c r="A1851" s="5"/>
      <c r="B1851" s="401" t="s">
        <v>29</v>
      </c>
      <c r="C1851" s="402"/>
      <c r="D1851" s="402"/>
      <c r="E1851" s="402"/>
      <c r="F1851" s="402"/>
      <c r="G1851" s="403"/>
    </row>
    <row r="1852" spans="1:14" s="3" customFormat="1" ht="17.399999999999999" hidden="1" customHeight="1" outlineLevel="1" x14ac:dyDescent="0.25">
      <c r="B1852" s="28"/>
      <c r="C1852" s="29"/>
      <c r="D1852" s="23"/>
      <c r="E1852" s="29"/>
      <c r="F1852" s="29"/>
      <c r="G1852" s="30"/>
    </row>
    <row r="1853" spans="1:14" s="3" customFormat="1" ht="17.399999999999999" hidden="1" customHeight="1" outlineLevel="1" x14ac:dyDescent="0.25">
      <c r="B1853" s="28" t="s">
        <v>2467</v>
      </c>
      <c r="C1853" s="29"/>
      <c r="D1853" s="23"/>
      <c r="E1853" s="29"/>
      <c r="F1853" s="29"/>
      <c r="G1853" s="30"/>
    </row>
    <row r="1854" spans="1:14" s="3" customFormat="1" ht="17.399999999999999" hidden="1" customHeight="1" outlineLevel="1" x14ac:dyDescent="0.25">
      <c r="B1854" s="28"/>
      <c r="C1854" s="29"/>
      <c r="D1854" s="23"/>
      <c r="E1854" s="29"/>
      <c r="F1854" s="29"/>
      <c r="G1854" s="30"/>
    </row>
    <row r="1855" spans="1:14" s="3" customFormat="1" ht="17.399999999999999" hidden="1" customHeight="1" outlineLevel="1" x14ac:dyDescent="0.25">
      <c r="B1855" s="28"/>
      <c r="C1855" s="29"/>
      <c r="D1855" s="23"/>
      <c r="E1855" s="29"/>
      <c r="F1855" s="29"/>
      <c r="G1855" s="30"/>
    </row>
    <row r="1856" spans="1:14" s="3" customFormat="1" ht="17.399999999999999" hidden="1" customHeight="1" outlineLevel="1" x14ac:dyDescent="0.25">
      <c r="B1856" s="28"/>
      <c r="C1856" s="29"/>
      <c r="D1856" s="23"/>
      <c r="E1856" s="29"/>
      <c r="F1856" s="29"/>
      <c r="G1856" s="30"/>
    </row>
    <row r="1857" spans="1:14" s="3" customFormat="1" ht="17.399999999999999" hidden="1" customHeight="1" outlineLevel="1" x14ac:dyDescent="0.25">
      <c r="B1857" s="28"/>
      <c r="C1857" s="29"/>
      <c r="D1857" s="23"/>
      <c r="E1857" s="29"/>
      <c r="F1857" s="29"/>
      <c r="G1857" s="30"/>
    </row>
    <row r="1858" spans="1:14" s="3" customFormat="1" ht="17.399999999999999" hidden="1" customHeight="1" outlineLevel="1" x14ac:dyDescent="0.25">
      <c r="B1858" s="28"/>
      <c r="C1858" s="29"/>
      <c r="D1858" s="23"/>
      <c r="E1858" s="29"/>
      <c r="F1858" s="29"/>
      <c r="G1858" s="30"/>
    </row>
    <row r="1859" spans="1:14" s="3" customFormat="1" ht="17.399999999999999" hidden="1" customHeight="1" outlineLevel="1" x14ac:dyDescent="0.25">
      <c r="B1859" s="28"/>
      <c r="C1859" s="29"/>
      <c r="D1859" s="23"/>
      <c r="E1859" s="29"/>
      <c r="F1859" s="29"/>
      <c r="G1859" s="30"/>
    </row>
    <row r="1860" spans="1:14" s="3" customFormat="1" hidden="1" outlineLevel="1" x14ac:dyDescent="0.25">
      <c r="B1860" s="28"/>
      <c r="C1860" s="29"/>
      <c r="D1860" s="23"/>
      <c r="E1860" s="29"/>
      <c r="F1860" s="29"/>
      <c r="G1860" s="30"/>
    </row>
    <row r="1861" spans="1:14" s="3" customFormat="1" ht="18.75" hidden="1" customHeight="1" outlineLevel="1" thickBot="1" x14ac:dyDescent="0.3">
      <c r="B1861" s="163"/>
      <c r="C1861" s="164"/>
      <c r="D1861" s="164"/>
      <c r="E1861" s="164"/>
      <c r="F1861" s="164"/>
      <c r="G1861" s="165"/>
    </row>
    <row r="1862" spans="1:14" s="3" customFormat="1" ht="16.2" hidden="1" outlineLevel="1" thickBot="1" x14ac:dyDescent="0.3">
      <c r="A1862" s="5"/>
    </row>
    <row r="1863" spans="1:14" s="3" customFormat="1" ht="16.2" collapsed="1" thickBot="1" x14ac:dyDescent="0.3">
      <c r="A1863" s="5"/>
      <c r="B1863" s="15" t="s">
        <v>1279</v>
      </c>
      <c r="C1863" s="16" t="s">
        <v>2204</v>
      </c>
      <c r="D1863" s="17" t="s">
        <v>1281</v>
      </c>
      <c r="E1863" s="16" t="s">
        <v>1057</v>
      </c>
      <c r="F1863" s="17" t="s">
        <v>1282</v>
      </c>
      <c r="G1863" s="18" t="s">
        <v>2205</v>
      </c>
    </row>
    <row r="1864" spans="1:14" s="3" customFormat="1" hidden="1" outlineLevel="1" x14ac:dyDescent="0.25">
      <c r="A1864" s="5"/>
      <c r="B1864" s="19" t="s">
        <v>1284</v>
      </c>
      <c r="C1864" s="20" t="s">
        <v>1285</v>
      </c>
      <c r="D1864" s="21" t="s">
        <v>1286</v>
      </c>
      <c r="E1864" s="20" t="s">
        <v>2206</v>
      </c>
      <c r="F1864" s="21" t="s">
        <v>1288</v>
      </c>
      <c r="G1864" s="22"/>
    </row>
    <row r="1865" spans="1:14" s="3" customFormat="1" ht="17.399999999999999" hidden="1" customHeight="1" outlineLevel="1" thickBot="1" x14ac:dyDescent="0.3">
      <c r="A1865" s="5"/>
      <c r="B1865" s="19" t="s">
        <v>1290</v>
      </c>
      <c r="C1865" s="23" t="s">
        <v>1291</v>
      </c>
      <c r="D1865" s="21" t="s">
        <v>1292</v>
      </c>
      <c r="E1865" s="23">
        <v>5</v>
      </c>
      <c r="F1865" s="21" t="s">
        <v>1293</v>
      </c>
      <c r="G1865" s="24" t="s">
        <v>1294</v>
      </c>
    </row>
    <row r="1866" spans="1:14" s="3" customFormat="1" ht="17.399999999999999" hidden="1" customHeight="1" outlineLevel="1" x14ac:dyDescent="0.25">
      <c r="A1866" s="5"/>
      <c r="B1866" s="401" t="s">
        <v>1</v>
      </c>
      <c r="C1866" s="402"/>
      <c r="D1866" s="402"/>
      <c r="E1866" s="402"/>
      <c r="F1866" s="402"/>
      <c r="G1866" s="403"/>
    </row>
    <row r="1867" spans="1:14" s="3" customFormat="1" ht="17.399999999999999" hidden="1" customHeight="1" outlineLevel="1" x14ac:dyDescent="0.25">
      <c r="A1867" s="5"/>
      <c r="B1867" s="25" t="s">
        <v>2</v>
      </c>
      <c r="C1867" s="26" t="s">
        <v>3</v>
      </c>
      <c r="D1867" s="26" t="s">
        <v>4</v>
      </c>
      <c r="E1867" s="26" t="s">
        <v>5</v>
      </c>
      <c r="F1867" s="26"/>
      <c r="G1867" s="27" t="s">
        <v>6</v>
      </c>
    </row>
    <row r="1868" spans="1:14" s="3" customFormat="1" ht="17.399999999999999" hidden="1" customHeight="1" outlineLevel="1" x14ac:dyDescent="0.25">
      <c r="B1868" s="28" t="s">
        <v>7</v>
      </c>
      <c r="C1868" s="29" t="s">
        <v>1468</v>
      </c>
      <c r="D1868" s="29" t="s">
        <v>1469</v>
      </c>
      <c r="E1868" s="29">
        <v>0</v>
      </c>
      <c r="F1868" s="29" t="s">
        <v>1470</v>
      </c>
      <c r="G1868" s="30" t="s">
        <v>1471</v>
      </c>
    </row>
    <row r="1869" spans="1:14" s="3" customFormat="1" ht="17.399999999999999" hidden="1" customHeight="1" outlineLevel="1" x14ac:dyDescent="0.25">
      <c r="B1869" s="28" t="s">
        <v>345</v>
      </c>
      <c r="C1869" s="29" t="s">
        <v>1754</v>
      </c>
      <c r="D1869" s="29" t="s">
        <v>1469</v>
      </c>
      <c r="E1869" s="29">
        <v>0</v>
      </c>
      <c r="F1869" s="29" t="s">
        <v>1470</v>
      </c>
      <c r="G1869" s="30"/>
      <c r="J1869" s="3" t="s">
        <v>10</v>
      </c>
    </row>
    <row r="1870" spans="1:14" s="3" customFormat="1" ht="17.399999999999999" hidden="1" customHeight="1" outlineLevel="1" x14ac:dyDescent="0.25">
      <c r="B1870" s="28" t="s">
        <v>128</v>
      </c>
      <c r="C1870" s="29" t="s">
        <v>1566</v>
      </c>
      <c r="D1870" s="29" t="s">
        <v>1567</v>
      </c>
      <c r="E1870" s="29">
        <v>0</v>
      </c>
      <c r="F1870" s="29" t="s">
        <v>1470</v>
      </c>
      <c r="G1870" s="30"/>
    </row>
    <row r="1871" spans="1:14" s="3" customFormat="1" hidden="1" outlineLevel="1" x14ac:dyDescent="0.25">
      <c r="B1871" s="28" t="s">
        <v>114</v>
      </c>
      <c r="C1871" s="29" t="s">
        <v>1557</v>
      </c>
      <c r="D1871" s="29" t="s">
        <v>1469</v>
      </c>
      <c r="E1871" s="29">
        <v>-1</v>
      </c>
      <c r="F1871" s="29" t="s">
        <v>1470</v>
      </c>
      <c r="G1871" s="30"/>
      <c r="J1871" s="3" t="s">
        <v>12</v>
      </c>
      <c r="K1871" s="3" t="s">
        <v>173</v>
      </c>
      <c r="L1871" s="3" t="s">
        <v>9</v>
      </c>
      <c r="M1871" s="3" t="s">
        <v>9</v>
      </c>
      <c r="N1871" s="3">
        <v>1112</v>
      </c>
    </row>
    <row r="1872" spans="1:14" s="3" customFormat="1" hidden="1" outlineLevel="1" x14ac:dyDescent="0.25">
      <c r="A1872" s="5"/>
      <c r="B1872" s="31"/>
      <c r="C1872" s="20"/>
      <c r="D1872" s="20"/>
      <c r="E1872" s="20"/>
      <c r="F1872" s="20"/>
      <c r="G1872" s="22"/>
      <c r="J1872" s="3" t="s">
        <v>10</v>
      </c>
    </row>
    <row r="1873" spans="1:14" s="3" customFormat="1" hidden="1" outlineLevel="1" x14ac:dyDescent="0.25">
      <c r="A1873" s="5"/>
      <c r="B1873" s="398" t="s">
        <v>18</v>
      </c>
      <c r="C1873" s="399"/>
      <c r="D1873" s="399"/>
      <c r="E1873" s="399"/>
      <c r="F1873" s="399"/>
      <c r="G1873" s="400"/>
      <c r="K1873" s="3" t="s">
        <v>174</v>
      </c>
      <c r="L1873" s="3" t="s">
        <v>175</v>
      </c>
      <c r="M1873" s="3" t="s">
        <v>176</v>
      </c>
      <c r="N1873" s="3">
        <v>1629</v>
      </c>
    </row>
    <row r="1874" spans="1:14" s="3" customFormat="1" hidden="1" outlineLevel="1" x14ac:dyDescent="0.25">
      <c r="A1874" s="5"/>
      <c r="B1874" s="25" t="s">
        <v>2</v>
      </c>
      <c r="C1874" s="26" t="s">
        <v>3</v>
      </c>
      <c r="D1874" s="26" t="s">
        <v>4</v>
      </c>
      <c r="E1874" s="26" t="s">
        <v>5</v>
      </c>
      <c r="F1874" s="26"/>
      <c r="G1874" s="27" t="s">
        <v>6</v>
      </c>
      <c r="K1874" s="3" t="s">
        <v>173</v>
      </c>
      <c r="L1874" s="3" t="s">
        <v>9</v>
      </c>
      <c r="M1874" s="3" t="s">
        <v>9</v>
      </c>
      <c r="N1874" s="3">
        <v>2449</v>
      </c>
    </row>
    <row r="1875" spans="1:14" s="3" customFormat="1" ht="17.399999999999999" hidden="1" customHeight="1" outlineLevel="1" x14ac:dyDescent="0.25">
      <c r="B1875" s="28" t="s">
        <v>128</v>
      </c>
      <c r="C1875" s="29" t="s">
        <v>1566</v>
      </c>
      <c r="D1875" s="29" t="s">
        <v>1567</v>
      </c>
      <c r="E1875" s="29">
        <v>0</v>
      </c>
      <c r="F1875" s="29" t="s">
        <v>1470</v>
      </c>
      <c r="G1875" s="30"/>
      <c r="H1875" s="3" t="str">
        <f>"{"&amp;B1875&amp;"},"</f>
        <v>{记录序号},</v>
      </c>
    </row>
    <row r="1876" spans="1:14" s="3" customFormat="1" ht="17.399999999999999" hidden="1" customHeight="1" outlineLevel="1" x14ac:dyDescent="0.25">
      <c r="B1876" s="28" t="s">
        <v>16</v>
      </c>
      <c r="C1876" s="29" t="s">
        <v>1479</v>
      </c>
      <c r="D1876" s="29" t="s">
        <v>1469</v>
      </c>
      <c r="E1876" s="29" t="s">
        <v>1480</v>
      </c>
      <c r="F1876" s="29" t="s">
        <v>1481</v>
      </c>
      <c r="G1876" s="30" t="s">
        <v>1482</v>
      </c>
      <c r="H1876" s="3" t="str">
        <f>"{"&amp;B1876&amp;"},"</f>
        <v>{初始化日期},</v>
      </c>
      <c r="J1876" s="3" t="s">
        <v>12</v>
      </c>
    </row>
    <row r="1877" spans="1:14" s="3" customFormat="1" ht="17.399999999999999" hidden="1" customHeight="1" outlineLevel="1" x14ac:dyDescent="0.25">
      <c r="B1877" s="28" t="s">
        <v>112</v>
      </c>
      <c r="C1877" s="29" t="s">
        <v>1555</v>
      </c>
      <c r="D1877" s="29" t="s">
        <v>1469</v>
      </c>
      <c r="E1877" s="29">
        <v>0</v>
      </c>
      <c r="F1877" s="29" t="s">
        <v>1470</v>
      </c>
      <c r="G1877" s="30" t="s">
        <v>1556</v>
      </c>
      <c r="H1877" s="3" t="str">
        <f>"{"&amp;B1877&amp;"},"</f>
        <v>{机构编号},</v>
      </c>
      <c r="J1877" s="3" t="s">
        <v>10</v>
      </c>
    </row>
    <row r="1878" spans="1:14" s="3" customFormat="1" hidden="1" outlineLevel="1" x14ac:dyDescent="0.25">
      <c r="B1878" s="28" t="s">
        <v>7</v>
      </c>
      <c r="C1878" s="29" t="s">
        <v>1468</v>
      </c>
      <c r="D1878" s="29" t="s">
        <v>1469</v>
      </c>
      <c r="E1878" s="29">
        <v>0</v>
      </c>
      <c r="F1878" s="29" t="s">
        <v>1470</v>
      </c>
      <c r="G1878" s="30" t="s">
        <v>1471</v>
      </c>
      <c r="H1878" s="3" t="str">
        <f>"{"&amp;B1878&amp;"},"</f>
        <v>{产品编号},</v>
      </c>
      <c r="J1878" s="3" t="s">
        <v>10</v>
      </c>
      <c r="K1878" s="3" t="s">
        <v>174</v>
      </c>
      <c r="L1878" s="3" t="s">
        <v>175</v>
      </c>
      <c r="M1878" s="3" t="s">
        <v>176</v>
      </c>
      <c r="N1878" s="3">
        <v>1629</v>
      </c>
    </row>
    <row r="1879" spans="1:14" s="3" customFormat="1" hidden="1" outlineLevel="1" x14ac:dyDescent="0.25">
      <c r="B1879" s="28" t="s">
        <v>13</v>
      </c>
      <c r="C1879" s="29" t="s">
        <v>1474</v>
      </c>
      <c r="D1879" s="29" t="s">
        <v>1469</v>
      </c>
      <c r="E1879" s="29">
        <v>0</v>
      </c>
      <c r="F1879" s="29" t="s">
        <v>1470</v>
      </c>
      <c r="G1879" s="30"/>
      <c r="H1879" s="3" t="str">
        <f>"{"&amp;B1879&amp;"},"</f>
        <v>{资产账户编号},</v>
      </c>
      <c r="J1879" s="3" t="s">
        <v>10</v>
      </c>
      <c r="N1879" s="3">
        <v>2534</v>
      </c>
    </row>
    <row r="1880" spans="1:14" s="3" customFormat="1" hidden="1" outlineLevel="1" x14ac:dyDescent="0.25">
      <c r="B1880" s="116" t="s">
        <v>11</v>
      </c>
      <c r="C1880" s="117" t="s">
        <v>1472</v>
      </c>
      <c r="D1880" s="117" t="s">
        <v>1469</v>
      </c>
      <c r="E1880" s="29">
        <v>0</v>
      </c>
      <c r="F1880" s="29" t="s">
        <v>1470</v>
      </c>
      <c r="G1880" s="30" t="s">
        <v>1473</v>
      </c>
      <c r="J1880" s="3" t="s">
        <v>10</v>
      </c>
      <c r="K1880" s="3" t="s">
        <v>173</v>
      </c>
      <c r="L1880" s="3" t="s">
        <v>9</v>
      </c>
      <c r="M1880" s="3" t="s">
        <v>9</v>
      </c>
      <c r="N1880" s="3">
        <v>1211</v>
      </c>
    </row>
    <row r="1881" spans="1:14" s="3" customFormat="1" hidden="1" outlineLevel="1" x14ac:dyDescent="0.25">
      <c r="B1881" s="28" t="s">
        <v>14</v>
      </c>
      <c r="C1881" s="29" t="s">
        <v>1475</v>
      </c>
      <c r="D1881" s="29" t="s">
        <v>1469</v>
      </c>
      <c r="E1881" s="29">
        <v>0</v>
      </c>
      <c r="F1881" s="29" t="s">
        <v>1476</v>
      </c>
      <c r="G1881" s="30" t="s">
        <v>1477</v>
      </c>
      <c r="H1881" s="3" t="str">
        <f t="shared" ref="H1881:H1892" si="10">"{"&amp;B1881&amp;"},"</f>
        <v>{市场编号},</v>
      </c>
      <c r="K1881" s="3" t="s">
        <v>173</v>
      </c>
      <c r="L1881" s="3" t="s">
        <v>9</v>
      </c>
      <c r="M1881" s="3" t="s">
        <v>9</v>
      </c>
      <c r="N1881" s="3">
        <v>1606</v>
      </c>
    </row>
    <row r="1882" spans="1:14" s="3" customFormat="1" hidden="1" outlineLevel="1" x14ac:dyDescent="0.25">
      <c r="B1882" s="28" t="s">
        <v>346</v>
      </c>
      <c r="C1882" s="29" t="s">
        <v>1755</v>
      </c>
      <c r="D1882" s="29" t="s">
        <v>1469</v>
      </c>
      <c r="E1882" s="29">
        <v>0</v>
      </c>
      <c r="F1882" s="29" t="s">
        <v>1470</v>
      </c>
      <c r="G1882" s="30"/>
      <c r="H1882" s="3" t="str">
        <f t="shared" si="10"/>
        <v>{交易编码编号},</v>
      </c>
      <c r="J1882" s="3" t="s">
        <v>10</v>
      </c>
      <c r="K1882" s="3" t="s">
        <v>173</v>
      </c>
      <c r="L1882" s="3" t="s">
        <v>9</v>
      </c>
      <c r="M1882" s="3" t="s">
        <v>9</v>
      </c>
      <c r="N1882" s="3">
        <v>1112</v>
      </c>
    </row>
    <row r="1883" spans="1:14" s="3" customFormat="1" hidden="1" outlineLevel="1" x14ac:dyDescent="0.25">
      <c r="B1883" s="28" t="s">
        <v>345</v>
      </c>
      <c r="C1883" s="29" t="s">
        <v>1754</v>
      </c>
      <c r="D1883" s="29" t="s">
        <v>1469</v>
      </c>
      <c r="E1883" s="29">
        <v>0</v>
      </c>
      <c r="F1883" s="29" t="s">
        <v>1470</v>
      </c>
      <c r="G1883" s="30"/>
      <c r="H1883" s="3" t="str">
        <f t="shared" si="10"/>
        <v>{合约代码编号},</v>
      </c>
      <c r="J1883" s="3" t="s">
        <v>10</v>
      </c>
    </row>
    <row r="1884" spans="1:14" s="3" customFormat="1" hidden="1" outlineLevel="1" x14ac:dyDescent="0.25">
      <c r="B1884" s="28" t="s">
        <v>347</v>
      </c>
      <c r="C1884" s="29" t="s">
        <v>1756</v>
      </c>
      <c r="D1884" s="29" t="s">
        <v>1469</v>
      </c>
      <c r="E1884" s="29">
        <v>0</v>
      </c>
      <c r="F1884" s="29" t="s">
        <v>1476</v>
      </c>
      <c r="G1884" s="30"/>
      <c r="H1884" s="3" t="str">
        <f t="shared" si="10"/>
        <v>{多空类型},</v>
      </c>
      <c r="J1884" s="3" t="s">
        <v>10</v>
      </c>
      <c r="K1884" s="3" t="s">
        <v>173</v>
      </c>
      <c r="L1884" s="3" t="s">
        <v>9</v>
      </c>
      <c r="M1884" s="3" t="s">
        <v>9</v>
      </c>
      <c r="N1884" s="3">
        <v>2534</v>
      </c>
    </row>
    <row r="1885" spans="1:14" s="3" customFormat="1" hidden="1" outlineLevel="1" x14ac:dyDescent="0.25">
      <c r="B1885" s="28" t="s">
        <v>348</v>
      </c>
      <c r="C1885" s="29" t="s">
        <v>1757</v>
      </c>
      <c r="D1885" s="29" t="s">
        <v>1469</v>
      </c>
      <c r="E1885" s="29">
        <v>0</v>
      </c>
      <c r="F1885" s="29" t="s">
        <v>2341</v>
      </c>
      <c r="G1885" s="30" t="s">
        <v>2342</v>
      </c>
      <c r="H1885" s="3" t="str">
        <f t="shared" si="10"/>
        <v>{套保标志},</v>
      </c>
    </row>
    <row r="1886" spans="1:14" s="3" customFormat="1" hidden="1" outlineLevel="1" x14ac:dyDescent="0.25">
      <c r="B1886" s="28" t="s">
        <v>75</v>
      </c>
      <c r="C1886" s="29" t="s">
        <v>1530</v>
      </c>
      <c r="D1886" s="29" t="s">
        <v>1486</v>
      </c>
      <c r="E1886" s="29">
        <v>0</v>
      </c>
      <c r="F1886" s="29" t="s">
        <v>1470</v>
      </c>
      <c r="G1886" s="30" t="s">
        <v>1531</v>
      </c>
      <c r="H1886" s="3" t="str">
        <f t="shared" si="10"/>
        <v>{当前数量},</v>
      </c>
      <c r="J1886" s="3" t="s">
        <v>10</v>
      </c>
      <c r="K1886" s="3" t="s">
        <v>173</v>
      </c>
      <c r="L1886" s="3" t="s">
        <v>9</v>
      </c>
      <c r="M1886" s="3" t="s">
        <v>9</v>
      </c>
      <c r="N1886" s="3">
        <v>2430</v>
      </c>
    </row>
    <row r="1887" spans="1:14" s="3" customFormat="1" hidden="1" outlineLevel="1" x14ac:dyDescent="0.25">
      <c r="B1887" s="185" t="s">
        <v>349</v>
      </c>
      <c r="C1887" s="23" t="s">
        <v>1758</v>
      </c>
      <c r="D1887" s="23" t="s">
        <v>1539</v>
      </c>
      <c r="E1887" s="29">
        <v>0</v>
      </c>
      <c r="F1887" s="29" t="s">
        <v>1470</v>
      </c>
      <c r="G1887" s="30"/>
      <c r="H1887" s="3" t="str">
        <f t="shared" si="10"/>
        <v>{开仓价格},</v>
      </c>
      <c r="J1887" s="3" t="s">
        <v>20</v>
      </c>
      <c r="K1887" s="3" t="s">
        <v>173</v>
      </c>
      <c r="L1887" s="3" t="s">
        <v>9</v>
      </c>
      <c r="M1887" s="3" t="s">
        <v>9</v>
      </c>
      <c r="N1887" s="3">
        <v>2433</v>
      </c>
    </row>
    <row r="1888" spans="1:14" s="3" customFormat="1" hidden="1" outlineLevel="1" x14ac:dyDescent="0.25">
      <c r="B1888" s="185" t="s">
        <v>361</v>
      </c>
      <c r="C1888" s="23" t="s">
        <v>1763</v>
      </c>
      <c r="D1888" s="29" t="s">
        <v>1469</v>
      </c>
      <c r="E1888" s="29" t="s">
        <v>1480</v>
      </c>
      <c r="F1888" s="29" t="s">
        <v>1481</v>
      </c>
      <c r="G1888" s="30"/>
      <c r="H1888" s="3" t="str">
        <f t="shared" si="10"/>
        <v>{开仓日期},</v>
      </c>
      <c r="J1888" s="3" t="s">
        <v>10</v>
      </c>
      <c r="K1888" s="3" t="s">
        <v>173</v>
      </c>
      <c r="L1888" s="3" t="s">
        <v>9</v>
      </c>
      <c r="M1888" s="3" t="s">
        <v>9</v>
      </c>
      <c r="N1888" s="3">
        <v>2155</v>
      </c>
    </row>
    <row r="1889" spans="1:14" s="3" customFormat="1" hidden="1" outlineLevel="1" x14ac:dyDescent="0.25">
      <c r="B1889" s="185" t="s">
        <v>362</v>
      </c>
      <c r="C1889" s="23" t="s">
        <v>1764</v>
      </c>
      <c r="D1889" s="29" t="s">
        <v>1469</v>
      </c>
      <c r="E1889" s="29" t="s">
        <v>1549</v>
      </c>
      <c r="F1889" s="29" t="s">
        <v>1470</v>
      </c>
      <c r="G1889" s="30"/>
      <c r="H1889" s="3" t="str">
        <f t="shared" si="10"/>
        <v>{开仓时间},</v>
      </c>
      <c r="J1889" s="3" t="s">
        <v>20</v>
      </c>
      <c r="K1889" s="3" t="s">
        <v>445</v>
      </c>
      <c r="L1889" s="3" t="s">
        <v>446</v>
      </c>
      <c r="M1889" s="3" t="s">
        <v>446</v>
      </c>
      <c r="N1889" s="3">
        <v>1202</v>
      </c>
    </row>
    <row r="1890" spans="1:14" s="3" customFormat="1" hidden="1" outlineLevel="1" x14ac:dyDescent="0.25">
      <c r="B1890" s="185" t="s">
        <v>363</v>
      </c>
      <c r="C1890" s="23" t="s">
        <v>1765</v>
      </c>
      <c r="D1890" s="23" t="s">
        <v>1489</v>
      </c>
      <c r="E1890" s="29">
        <v>0</v>
      </c>
      <c r="F1890" s="29" t="s">
        <v>2336</v>
      </c>
      <c r="G1890" s="30"/>
      <c r="H1890" s="3" t="str">
        <f t="shared" si="10"/>
        <v>{平仓盈亏},</v>
      </c>
    </row>
    <row r="1891" spans="1:14" s="3" customFormat="1" hidden="1" outlineLevel="1" x14ac:dyDescent="0.25">
      <c r="B1891" s="185" t="s">
        <v>350</v>
      </c>
      <c r="C1891" s="23" t="s">
        <v>1759</v>
      </c>
      <c r="D1891" s="23" t="s">
        <v>1489</v>
      </c>
      <c r="E1891" s="29">
        <v>0</v>
      </c>
      <c r="F1891" s="29" t="s">
        <v>1470</v>
      </c>
      <c r="G1891" s="30"/>
      <c r="H1891" s="3" t="str">
        <f t="shared" si="10"/>
        <v>{盯市盈亏},</v>
      </c>
      <c r="J1891" s="3" t="s">
        <v>20</v>
      </c>
      <c r="K1891" s="3" t="s">
        <v>173</v>
      </c>
      <c r="L1891" s="3" t="s">
        <v>9</v>
      </c>
      <c r="M1891" s="3" t="s">
        <v>9</v>
      </c>
      <c r="N1891" s="3">
        <v>2237</v>
      </c>
    </row>
    <row r="1892" spans="1:14" s="3" customFormat="1" hidden="1" outlineLevel="1" x14ac:dyDescent="0.25">
      <c r="B1892" s="28" t="s">
        <v>351</v>
      </c>
      <c r="C1892" s="29" t="s">
        <v>1760</v>
      </c>
      <c r="D1892" s="29" t="s">
        <v>1489</v>
      </c>
      <c r="E1892" s="29">
        <v>0</v>
      </c>
      <c r="F1892" s="29" t="s">
        <v>1470</v>
      </c>
      <c r="G1892" s="30" t="s">
        <v>1761</v>
      </c>
      <c r="H1892" s="3" t="str">
        <f t="shared" si="10"/>
        <v>{应收保证金},</v>
      </c>
      <c r="J1892" s="3" t="s">
        <v>20</v>
      </c>
      <c r="K1892" s="3" t="s">
        <v>445</v>
      </c>
      <c r="L1892" s="3" t="s">
        <v>446</v>
      </c>
      <c r="M1892" s="3" t="s">
        <v>446</v>
      </c>
      <c r="N1892" s="3">
        <v>1986</v>
      </c>
    </row>
    <row r="1893" spans="1:14" s="3" customFormat="1" ht="16.2" hidden="1" outlineLevel="1" thickBot="1" x14ac:dyDescent="0.3">
      <c r="A1893" s="5"/>
      <c r="B1893" s="31"/>
      <c r="C1893" s="20"/>
      <c r="D1893" s="20"/>
      <c r="E1893" s="20"/>
      <c r="F1893" s="20"/>
      <c r="G1893" s="22"/>
      <c r="J1893" s="3" t="s">
        <v>20</v>
      </c>
      <c r="K1893" s="3" t="s">
        <v>445</v>
      </c>
      <c r="L1893" s="3" t="s">
        <v>446</v>
      </c>
      <c r="M1893" s="3" t="s">
        <v>446</v>
      </c>
      <c r="N1893" s="3">
        <v>1262</v>
      </c>
    </row>
    <row r="1894" spans="1:14" s="3" customFormat="1" hidden="1" outlineLevel="1" x14ac:dyDescent="0.25">
      <c r="A1894" s="5"/>
      <c r="B1894" s="401" t="s">
        <v>28</v>
      </c>
      <c r="C1894" s="402"/>
      <c r="D1894" s="402"/>
      <c r="E1894" s="402"/>
      <c r="F1894" s="402"/>
      <c r="G1894" s="403"/>
      <c r="K1894" s="3" t="s">
        <v>445</v>
      </c>
      <c r="L1894" s="3" t="s">
        <v>446</v>
      </c>
      <c r="M1894" s="3" t="s">
        <v>446</v>
      </c>
      <c r="N1894" s="3">
        <v>1317</v>
      </c>
    </row>
    <row r="1895" spans="1:14" s="3" customFormat="1" hidden="1" outlineLevel="1" x14ac:dyDescent="0.25">
      <c r="A1895" s="5"/>
      <c r="B1895" s="116"/>
      <c r="C1895" s="117"/>
      <c r="D1895" s="117"/>
      <c r="E1895" s="117"/>
      <c r="F1895" s="117"/>
      <c r="G1895" s="105"/>
      <c r="K1895" s="3" t="s">
        <v>445</v>
      </c>
      <c r="L1895" s="3" t="s">
        <v>446</v>
      </c>
      <c r="M1895" s="3" t="s">
        <v>446</v>
      </c>
      <c r="N1895" s="3">
        <v>1721</v>
      </c>
    </row>
    <row r="1896" spans="1:14" s="3" customFormat="1" ht="17.399999999999999" hidden="1" customHeight="1" outlineLevel="1" thickBot="1" x14ac:dyDescent="0.3">
      <c r="A1896" s="5"/>
      <c r="B1896" s="116"/>
      <c r="C1896" s="117"/>
      <c r="D1896" s="117"/>
      <c r="E1896" s="117"/>
      <c r="F1896" s="117"/>
      <c r="G1896" s="105"/>
    </row>
    <row r="1897" spans="1:14" s="3" customFormat="1" ht="17.399999999999999" hidden="1" customHeight="1" outlineLevel="1" x14ac:dyDescent="0.25">
      <c r="A1897" s="5"/>
      <c r="B1897" s="401" t="s">
        <v>29</v>
      </c>
      <c r="C1897" s="402"/>
      <c r="D1897" s="402"/>
      <c r="E1897" s="402"/>
      <c r="F1897" s="402"/>
      <c r="G1897" s="403"/>
    </row>
    <row r="1898" spans="1:14" s="3" customFormat="1" ht="17.399999999999999" hidden="1" customHeight="1" outlineLevel="1" x14ac:dyDescent="0.25">
      <c r="B1898" s="28"/>
      <c r="C1898" s="29"/>
      <c r="D1898" s="29"/>
      <c r="E1898" s="29"/>
      <c r="F1898" s="29"/>
      <c r="G1898" s="30"/>
    </row>
    <row r="1899" spans="1:14" s="3" customFormat="1" ht="17.399999999999999" hidden="1" customHeight="1" outlineLevel="1" x14ac:dyDescent="0.25">
      <c r="B1899" s="28" t="s">
        <v>1058</v>
      </c>
      <c r="C1899" s="29"/>
      <c r="D1899" s="29"/>
      <c r="E1899" s="29"/>
      <c r="F1899" s="29"/>
      <c r="G1899" s="30"/>
    </row>
    <row r="1900" spans="1:14" s="3" customFormat="1" ht="17.399999999999999" hidden="1" customHeight="1" outlineLevel="1" x14ac:dyDescent="0.25">
      <c r="B1900" s="28"/>
      <c r="C1900" s="29"/>
      <c r="D1900" s="29"/>
      <c r="E1900" s="29"/>
      <c r="F1900" s="29"/>
      <c r="G1900" s="30"/>
    </row>
    <row r="1901" spans="1:14" s="3" customFormat="1" hidden="1" outlineLevel="1" x14ac:dyDescent="0.25">
      <c r="B1901" s="28"/>
      <c r="C1901" s="29"/>
      <c r="D1901" s="29"/>
      <c r="E1901" s="29"/>
      <c r="F1901" s="29"/>
      <c r="G1901" s="30"/>
    </row>
    <row r="1902" spans="1:14" s="3" customFormat="1" ht="16.2" hidden="1" outlineLevel="1" thickBot="1" x14ac:dyDescent="0.3">
      <c r="B1902" s="163"/>
      <c r="C1902" s="164"/>
      <c r="D1902" s="164"/>
      <c r="E1902" s="164"/>
      <c r="F1902" s="164"/>
      <c r="G1902" s="165"/>
    </row>
    <row r="1903" spans="1:14" s="3" customFormat="1" ht="16.2" hidden="1" outlineLevel="1" thickBot="1" x14ac:dyDescent="0.3">
      <c r="A1903" s="14"/>
      <c r="B1903" s="14"/>
      <c r="C1903" s="14"/>
      <c r="D1903" s="14"/>
      <c r="E1903" s="14"/>
      <c r="F1903" s="14"/>
      <c r="G1903" s="14"/>
      <c r="H1903" s="14"/>
    </row>
    <row r="1904" spans="1:14" s="3" customFormat="1" ht="16.2" collapsed="1" thickBot="1" x14ac:dyDescent="0.3">
      <c r="A1904" s="5"/>
      <c r="B1904" s="15" t="s">
        <v>1279</v>
      </c>
      <c r="C1904" s="16" t="s">
        <v>2213</v>
      </c>
      <c r="D1904" s="17" t="s">
        <v>1281</v>
      </c>
      <c r="E1904" s="16" t="s">
        <v>1059</v>
      </c>
      <c r="F1904" s="17" t="s">
        <v>1282</v>
      </c>
      <c r="G1904" s="18" t="s">
        <v>2214</v>
      </c>
      <c r="I1904" s="14"/>
      <c r="J1904" s="14"/>
    </row>
    <row r="1905" spans="1:14" s="3" customFormat="1" ht="18.75" hidden="1" customHeight="1" outlineLevel="1" x14ac:dyDescent="0.25">
      <c r="A1905" s="5"/>
      <c r="B1905" s="19" t="s">
        <v>1284</v>
      </c>
      <c r="C1905" s="20" t="s">
        <v>1285</v>
      </c>
      <c r="D1905" s="21" t="s">
        <v>1286</v>
      </c>
      <c r="E1905" s="20" t="s">
        <v>2215</v>
      </c>
      <c r="F1905" s="21" t="s">
        <v>1288</v>
      </c>
      <c r="G1905" s="22"/>
    </row>
    <row r="1906" spans="1:14" ht="16.2" hidden="1" outlineLevel="1" thickBot="1" x14ac:dyDescent="0.3">
      <c r="A1906" s="5"/>
      <c r="B1906" s="19" t="s">
        <v>1290</v>
      </c>
      <c r="C1906" s="23" t="s">
        <v>1291</v>
      </c>
      <c r="D1906" s="21" t="s">
        <v>1292</v>
      </c>
      <c r="E1906" s="23">
        <v>5</v>
      </c>
      <c r="F1906" s="21" t="s">
        <v>1293</v>
      </c>
      <c r="G1906" s="24" t="s">
        <v>1294</v>
      </c>
      <c r="H1906" s="3"/>
      <c r="I1906" s="3"/>
      <c r="J1906" s="3"/>
    </row>
    <row r="1907" spans="1:14" s="3" customFormat="1" ht="17.399999999999999" hidden="1" customHeight="1" outlineLevel="1" x14ac:dyDescent="0.25">
      <c r="A1907" s="5"/>
      <c r="B1907" s="395" t="s">
        <v>1</v>
      </c>
      <c r="C1907" s="396"/>
      <c r="D1907" s="396"/>
      <c r="E1907" s="396"/>
      <c r="F1907" s="396"/>
      <c r="G1907" s="397"/>
    </row>
    <row r="1908" spans="1:14" s="3" customFormat="1" ht="17.399999999999999" hidden="1" customHeight="1" outlineLevel="1" x14ac:dyDescent="0.25">
      <c r="A1908" s="5"/>
      <c r="B1908" s="25" t="s">
        <v>2</v>
      </c>
      <c r="C1908" s="26" t="s">
        <v>3</v>
      </c>
      <c r="D1908" s="26" t="s">
        <v>4</v>
      </c>
      <c r="E1908" s="26" t="s">
        <v>5</v>
      </c>
      <c r="F1908" s="26"/>
      <c r="G1908" s="27" t="s">
        <v>6</v>
      </c>
    </row>
    <row r="1909" spans="1:14" s="3" customFormat="1" ht="17.399999999999999" hidden="1" customHeight="1" outlineLevel="1" x14ac:dyDescent="0.35">
      <c r="A1909" s="5"/>
      <c r="B1909" s="57" t="s">
        <v>7</v>
      </c>
      <c r="C1909" s="58" t="s">
        <v>1468</v>
      </c>
      <c r="D1909" s="58" t="s">
        <v>1469</v>
      </c>
      <c r="E1909" s="58">
        <v>0</v>
      </c>
      <c r="F1909" s="58" t="s">
        <v>1470</v>
      </c>
      <c r="G1909" s="59" t="s">
        <v>1471</v>
      </c>
      <c r="H1909" s="4"/>
    </row>
    <row r="1910" spans="1:14" s="3" customFormat="1" ht="17.399999999999999" hidden="1" customHeight="1" outlineLevel="1" x14ac:dyDescent="0.35">
      <c r="A1910" s="5"/>
      <c r="B1910" s="57" t="s">
        <v>11</v>
      </c>
      <c r="C1910" s="58" t="s">
        <v>1472</v>
      </c>
      <c r="D1910" s="58" t="s">
        <v>1469</v>
      </c>
      <c r="E1910" s="58">
        <v>0</v>
      </c>
      <c r="F1910" s="58" t="s">
        <v>1470</v>
      </c>
      <c r="G1910" s="59" t="s">
        <v>1473</v>
      </c>
      <c r="H1910" s="4"/>
      <c r="I1910" s="4"/>
      <c r="J1910" s="4" t="s">
        <v>10</v>
      </c>
    </row>
    <row r="1911" spans="1:14" s="3" customFormat="1" ht="17.399999999999999" hidden="1" customHeight="1" outlineLevel="1" x14ac:dyDescent="0.35">
      <c r="A1911" s="5"/>
      <c r="B1911" s="60" t="s">
        <v>13</v>
      </c>
      <c r="C1911" s="61" t="s">
        <v>1474</v>
      </c>
      <c r="D1911" s="61" t="s">
        <v>1469</v>
      </c>
      <c r="E1911" s="61">
        <v>0</v>
      </c>
      <c r="F1911" s="61" t="s">
        <v>1470</v>
      </c>
      <c r="G1911" s="62"/>
      <c r="H1911" s="63"/>
      <c r="I1911" s="4"/>
      <c r="J1911" s="4" t="s">
        <v>12</v>
      </c>
    </row>
    <row r="1912" spans="1:14" s="4" customFormat="1" ht="17.399999999999999" hidden="1" customHeight="1" outlineLevel="1" x14ac:dyDescent="0.35">
      <c r="A1912" s="5"/>
      <c r="B1912" s="60" t="s">
        <v>14</v>
      </c>
      <c r="C1912" s="61" t="s">
        <v>1475</v>
      </c>
      <c r="D1912" s="61" t="s">
        <v>1469</v>
      </c>
      <c r="E1912" s="61">
        <v>0</v>
      </c>
      <c r="F1912" s="61" t="s">
        <v>1476</v>
      </c>
      <c r="G1912" s="62" t="s">
        <v>1477</v>
      </c>
      <c r="H1912" s="63"/>
      <c r="J1912" s="4" t="s">
        <v>10</v>
      </c>
      <c r="K1912" s="4" t="s">
        <v>173</v>
      </c>
      <c r="L1912" s="4" t="s">
        <v>9</v>
      </c>
      <c r="M1912" s="4" t="s">
        <v>9</v>
      </c>
      <c r="N1912" s="4">
        <v>1112</v>
      </c>
    </row>
    <row r="1913" spans="1:14" s="4" customFormat="1" ht="17.399999999999999" hidden="1" customHeight="1" outlineLevel="1" x14ac:dyDescent="0.35">
      <c r="A1913" s="5"/>
      <c r="B1913" s="60" t="s">
        <v>15</v>
      </c>
      <c r="C1913" s="61" t="s">
        <v>1478</v>
      </c>
      <c r="D1913" s="61" t="s">
        <v>1469</v>
      </c>
      <c r="E1913" s="61">
        <v>0</v>
      </c>
      <c r="F1913" s="61" t="s">
        <v>1470</v>
      </c>
      <c r="G1913" s="62"/>
      <c r="H1913" s="63"/>
      <c r="J1913" s="4" t="s">
        <v>10</v>
      </c>
      <c r="K1913" s="4" t="s">
        <v>174</v>
      </c>
      <c r="L1913" s="4" t="s">
        <v>175</v>
      </c>
      <c r="M1913" s="4" t="s">
        <v>176</v>
      </c>
      <c r="N1913" s="4">
        <v>1700</v>
      </c>
    </row>
    <row r="1914" spans="1:14" s="4" customFormat="1" ht="17.399999999999999" hidden="1" customHeight="1" outlineLevel="1" x14ac:dyDescent="0.35">
      <c r="A1914" s="5"/>
      <c r="B1914" s="64" t="s">
        <v>16</v>
      </c>
      <c r="C1914" s="65" t="s">
        <v>1479</v>
      </c>
      <c r="D1914" s="65" t="s">
        <v>1469</v>
      </c>
      <c r="E1914" s="65" t="s">
        <v>1480</v>
      </c>
      <c r="F1914" s="65" t="s">
        <v>1481</v>
      </c>
      <c r="G1914" s="66" t="s">
        <v>1482</v>
      </c>
      <c r="H1914" s="5"/>
      <c r="J1914" s="4" t="s">
        <v>10</v>
      </c>
      <c r="K1914" s="4" t="s">
        <v>173</v>
      </c>
      <c r="L1914" s="4" t="s">
        <v>9</v>
      </c>
      <c r="M1914" s="4" t="s">
        <v>9</v>
      </c>
      <c r="N1914" s="4">
        <v>2534</v>
      </c>
    </row>
    <row r="1915" spans="1:14" s="4" customFormat="1" ht="17.399999999999999" hidden="1" customHeight="1" outlineLevel="1" x14ac:dyDescent="0.35">
      <c r="A1915" s="5"/>
      <c r="B1915" s="64" t="s">
        <v>17</v>
      </c>
      <c r="C1915" s="65" t="s">
        <v>1483</v>
      </c>
      <c r="D1915" s="65" t="s">
        <v>1469</v>
      </c>
      <c r="E1915" s="65">
        <v>0</v>
      </c>
      <c r="F1915" s="65" t="s">
        <v>1470</v>
      </c>
      <c r="G1915" s="66" t="s">
        <v>1484</v>
      </c>
      <c r="H1915" s="5"/>
      <c r="I1915" s="5"/>
      <c r="J1915" s="5" t="s">
        <v>10</v>
      </c>
      <c r="K1915" s="4" t="s">
        <v>173</v>
      </c>
      <c r="L1915" s="4" t="s">
        <v>9</v>
      </c>
      <c r="M1915" s="4" t="s">
        <v>9</v>
      </c>
      <c r="N1915" s="4">
        <v>2155</v>
      </c>
    </row>
    <row r="1916" spans="1:14" s="4" customFormat="1" ht="17.399999999999999" hidden="1" customHeight="1" outlineLevel="1" thickBot="1" x14ac:dyDescent="0.4">
      <c r="A1916" s="3"/>
      <c r="B1916" s="28"/>
      <c r="C1916" s="29"/>
      <c r="D1916" s="29"/>
      <c r="E1916" s="29"/>
      <c r="F1916" s="29"/>
      <c r="G1916" s="30"/>
      <c r="H1916" s="3"/>
      <c r="I1916" s="5"/>
      <c r="J1916" s="5" t="s">
        <v>10</v>
      </c>
      <c r="K1916" s="4" t="s">
        <v>173</v>
      </c>
      <c r="L1916" s="4" t="s">
        <v>9</v>
      </c>
      <c r="M1916" s="4" t="s">
        <v>9</v>
      </c>
      <c r="N1916" s="4">
        <v>2430</v>
      </c>
    </row>
    <row r="1917" spans="1:14" s="4" customFormat="1" ht="17.399999999999999" hidden="1" customHeight="1" outlineLevel="1" x14ac:dyDescent="0.35">
      <c r="A1917" s="5"/>
      <c r="B1917" s="395" t="s">
        <v>18</v>
      </c>
      <c r="C1917" s="396"/>
      <c r="D1917" s="396"/>
      <c r="E1917" s="396"/>
      <c r="F1917" s="396"/>
      <c r="G1917" s="397"/>
      <c r="H1917" s="3"/>
      <c r="I1917" s="3"/>
      <c r="J1917" s="3" t="s">
        <v>187</v>
      </c>
      <c r="K1917" s="5" t="s">
        <v>173</v>
      </c>
      <c r="L1917" s="5" t="s">
        <v>9</v>
      </c>
      <c r="M1917" s="5" t="s">
        <v>9</v>
      </c>
      <c r="N1917" s="4">
        <v>1211</v>
      </c>
    </row>
    <row r="1918" spans="1:14" s="4" customFormat="1" ht="17.399999999999999" hidden="1" customHeight="1" outlineLevel="1" x14ac:dyDescent="0.35">
      <c r="A1918" s="5"/>
      <c r="B1918" s="25" t="s">
        <v>2</v>
      </c>
      <c r="C1918" s="26" t="s">
        <v>3</v>
      </c>
      <c r="D1918" s="26" t="s">
        <v>4</v>
      </c>
      <c r="E1918" s="26" t="s">
        <v>5</v>
      </c>
      <c r="F1918" s="26"/>
      <c r="G1918" s="27" t="s">
        <v>6</v>
      </c>
      <c r="H1918" s="3"/>
      <c r="I1918" s="3"/>
      <c r="J1918" s="3" t="s">
        <v>10</v>
      </c>
      <c r="K1918" s="5" t="s">
        <v>173</v>
      </c>
      <c r="L1918" s="5" t="s">
        <v>9</v>
      </c>
      <c r="M1918" s="5" t="s">
        <v>9</v>
      </c>
      <c r="N1918" s="4">
        <v>1097</v>
      </c>
    </row>
    <row r="1919" spans="1:14" s="3" customFormat="1" hidden="1" outlineLevel="1" x14ac:dyDescent="0.25">
      <c r="B1919" s="28" t="s">
        <v>159</v>
      </c>
      <c r="C1919" s="29" t="s">
        <v>1592</v>
      </c>
      <c r="D1919" s="29" t="s">
        <v>1593</v>
      </c>
      <c r="E1919" s="29" t="s">
        <v>1594</v>
      </c>
      <c r="F1919" s="29" t="s">
        <v>1470</v>
      </c>
      <c r="G1919" s="30" t="s">
        <v>1595</v>
      </c>
      <c r="J1919" s="3" t="s">
        <v>20</v>
      </c>
      <c r="K1919" s="3" t="s">
        <v>438</v>
      </c>
      <c r="L1919" s="3" t="s">
        <v>537</v>
      </c>
      <c r="M1919" s="3" t="s">
        <v>187</v>
      </c>
    </row>
    <row r="1920" spans="1:14" s="3" customFormat="1" ht="17.399999999999999" hidden="1" customHeight="1" outlineLevel="1" x14ac:dyDescent="0.25">
      <c r="B1920" s="28" t="s">
        <v>14</v>
      </c>
      <c r="C1920" s="29" t="s">
        <v>1475</v>
      </c>
      <c r="D1920" s="29" t="s">
        <v>1469</v>
      </c>
      <c r="E1920" s="29">
        <v>0</v>
      </c>
      <c r="F1920" s="29" t="s">
        <v>1476</v>
      </c>
      <c r="G1920" s="30" t="s">
        <v>1477</v>
      </c>
      <c r="J1920" s="3" t="s">
        <v>187</v>
      </c>
      <c r="K1920" s="3" t="s">
        <v>173</v>
      </c>
      <c r="L1920" s="3" t="s">
        <v>9</v>
      </c>
      <c r="M1920" s="3" t="s">
        <v>9</v>
      </c>
    </row>
    <row r="1921" spans="1:14" s="3" customFormat="1" ht="17.399999999999999" hidden="1" customHeight="1" outlineLevel="1" x14ac:dyDescent="0.25">
      <c r="B1921" s="28" t="s">
        <v>32</v>
      </c>
      <c r="C1921" s="29" t="s">
        <v>1496</v>
      </c>
      <c r="D1921" s="29" t="s">
        <v>1486</v>
      </c>
      <c r="E1921" s="29">
        <v>0</v>
      </c>
      <c r="F1921" s="29"/>
      <c r="G1921" s="30"/>
      <c r="J1921" s="3" t="s">
        <v>10</v>
      </c>
      <c r="K1921" s="3" t="s">
        <v>445</v>
      </c>
      <c r="L1921" s="3" t="s">
        <v>446</v>
      </c>
      <c r="M1921" s="3" t="s">
        <v>446</v>
      </c>
    </row>
    <row r="1922" spans="1:14" s="3" customFormat="1" hidden="1" outlineLevel="1" x14ac:dyDescent="0.25">
      <c r="B1922" s="28" t="s">
        <v>653</v>
      </c>
      <c r="C1922" s="29" t="s">
        <v>2070</v>
      </c>
      <c r="D1922" s="29" t="s">
        <v>1486</v>
      </c>
      <c r="E1922" s="29">
        <v>0</v>
      </c>
      <c r="F1922" s="29"/>
      <c r="G1922" s="30"/>
      <c r="J1922" s="3" t="s">
        <v>20</v>
      </c>
      <c r="K1922" s="3" t="s">
        <v>438</v>
      </c>
      <c r="L1922" s="3" t="s">
        <v>537</v>
      </c>
      <c r="M1922" s="3" t="s">
        <v>187</v>
      </c>
      <c r="N1922" s="3">
        <v>2430</v>
      </c>
    </row>
    <row r="1923" spans="1:14" s="3" customFormat="1" hidden="1" outlineLevel="1" x14ac:dyDescent="0.25">
      <c r="B1923" s="28" t="s">
        <v>654</v>
      </c>
      <c r="C1923" s="29" t="s">
        <v>2071</v>
      </c>
      <c r="D1923" s="29" t="s">
        <v>1486</v>
      </c>
      <c r="E1923" s="29">
        <v>0</v>
      </c>
      <c r="F1923" s="29"/>
      <c r="G1923" s="30"/>
      <c r="J1923" s="3" t="s">
        <v>20</v>
      </c>
      <c r="K1923" s="3" t="s">
        <v>173</v>
      </c>
      <c r="L1923" s="3" t="s">
        <v>9</v>
      </c>
      <c r="M1923" s="3" t="s">
        <v>9</v>
      </c>
      <c r="N1923" s="3">
        <v>2155</v>
      </c>
    </row>
    <row r="1924" spans="1:14" s="3" customFormat="1" hidden="1" outlineLevel="1" x14ac:dyDescent="0.25">
      <c r="B1924" s="28" t="s">
        <v>19</v>
      </c>
      <c r="C1924" s="29" t="s">
        <v>1485</v>
      </c>
      <c r="D1924" s="29" t="s">
        <v>1486</v>
      </c>
      <c r="E1924" s="29">
        <v>0</v>
      </c>
      <c r="F1924" s="29"/>
      <c r="G1924" s="30"/>
      <c r="J1924" s="3" t="s">
        <v>20</v>
      </c>
      <c r="K1924" s="3" t="s">
        <v>445</v>
      </c>
      <c r="L1924" s="3" t="s">
        <v>446</v>
      </c>
      <c r="M1924" s="3" t="s">
        <v>446</v>
      </c>
      <c r="N1924" s="3">
        <v>2055</v>
      </c>
    </row>
    <row r="1925" spans="1:14" s="3" customFormat="1" hidden="1" outlineLevel="1" x14ac:dyDescent="0.25">
      <c r="B1925" s="28" t="s">
        <v>64</v>
      </c>
      <c r="C1925" s="29" t="s">
        <v>1527</v>
      </c>
      <c r="D1925" s="29" t="s">
        <v>1489</v>
      </c>
      <c r="E1925" s="29">
        <v>0</v>
      </c>
      <c r="F1925" s="29"/>
      <c r="G1925" s="30"/>
      <c r="J1925" s="3" t="s">
        <v>20</v>
      </c>
      <c r="K1925" s="3" t="s">
        <v>445</v>
      </c>
      <c r="L1925" s="3" t="s">
        <v>446</v>
      </c>
      <c r="M1925" s="3" t="s">
        <v>446</v>
      </c>
      <c r="N1925" s="3">
        <v>1878</v>
      </c>
    </row>
    <row r="1926" spans="1:14" s="3" customFormat="1" hidden="1" outlineLevel="1" x14ac:dyDescent="0.25">
      <c r="B1926" s="28" t="s">
        <v>655</v>
      </c>
      <c r="C1926" s="29" t="s">
        <v>2072</v>
      </c>
      <c r="D1926" s="29" t="s">
        <v>1489</v>
      </c>
      <c r="E1926" s="29">
        <v>0</v>
      </c>
      <c r="F1926" s="29"/>
      <c r="G1926" s="30"/>
      <c r="J1926" s="3" t="s">
        <v>20</v>
      </c>
      <c r="K1926" s="3" t="s">
        <v>445</v>
      </c>
      <c r="L1926" s="3" t="s">
        <v>446</v>
      </c>
      <c r="M1926" s="3" t="s">
        <v>446</v>
      </c>
      <c r="N1926" s="3">
        <v>1894</v>
      </c>
    </row>
    <row r="1927" spans="1:14" s="3" customFormat="1" ht="16.2" hidden="1" outlineLevel="1" thickBot="1" x14ac:dyDescent="0.3">
      <c r="B1927" s="28"/>
      <c r="C1927" s="29"/>
      <c r="D1927" s="29"/>
      <c r="E1927" s="29"/>
      <c r="F1927" s="29"/>
      <c r="G1927" s="30"/>
      <c r="J1927" s="3" t="s">
        <v>20</v>
      </c>
      <c r="K1927" s="3" t="s">
        <v>445</v>
      </c>
      <c r="L1927" s="3" t="s">
        <v>446</v>
      </c>
      <c r="M1927" s="3" t="s">
        <v>446</v>
      </c>
      <c r="N1927" s="3">
        <v>1203</v>
      </c>
    </row>
    <row r="1928" spans="1:14" s="3" customFormat="1" hidden="1" outlineLevel="1" x14ac:dyDescent="0.25">
      <c r="A1928" s="5"/>
      <c r="B1928" s="395" t="s">
        <v>29</v>
      </c>
      <c r="C1928" s="396"/>
      <c r="D1928" s="396"/>
      <c r="E1928" s="396"/>
      <c r="F1928" s="396"/>
      <c r="G1928" s="397"/>
      <c r="K1928" s="3" t="s">
        <v>445</v>
      </c>
      <c r="L1928" s="3" t="s">
        <v>446</v>
      </c>
      <c r="M1928" s="3" t="s">
        <v>446</v>
      </c>
      <c r="N1928" s="3">
        <v>1274</v>
      </c>
    </row>
    <row r="1929" spans="1:14" s="3" customFormat="1" hidden="1" outlineLevel="1" x14ac:dyDescent="0.25">
      <c r="A1929" s="5"/>
      <c r="B1929" s="31" t="s">
        <v>702</v>
      </c>
      <c r="C1929" s="20"/>
      <c r="D1929" s="20"/>
      <c r="E1929" s="20"/>
      <c r="F1929" s="20"/>
      <c r="G1929" s="22"/>
      <c r="K1929" s="3" t="s">
        <v>445</v>
      </c>
      <c r="L1929" s="3" t="s">
        <v>446</v>
      </c>
      <c r="M1929" s="3" t="s">
        <v>446</v>
      </c>
      <c r="N1929" s="3">
        <v>1266</v>
      </c>
    </row>
    <row r="1930" spans="1:14" s="3" customFormat="1" hidden="1" outlineLevel="1" x14ac:dyDescent="0.25">
      <c r="A1930" s="5"/>
      <c r="B1930" s="46" t="s">
        <v>731</v>
      </c>
      <c r="C1930" s="20"/>
      <c r="D1930" s="20"/>
      <c r="E1930" s="20"/>
      <c r="F1930" s="20"/>
      <c r="G1930" s="22"/>
    </row>
    <row r="1931" spans="1:14" s="3" customFormat="1" ht="17.399999999999999" hidden="1" customHeight="1" outlineLevel="1" x14ac:dyDescent="0.25">
      <c r="A1931" s="5"/>
      <c r="B1931" s="49" t="s">
        <v>1060</v>
      </c>
      <c r="C1931" s="20"/>
      <c r="D1931" s="20"/>
      <c r="E1931" s="20"/>
      <c r="F1931" s="20"/>
      <c r="G1931" s="22"/>
    </row>
    <row r="1932" spans="1:14" s="3" customFormat="1" hidden="1" outlineLevel="1" x14ac:dyDescent="0.25">
      <c r="A1932" s="5"/>
      <c r="B1932" s="49" t="s">
        <v>1061</v>
      </c>
      <c r="C1932" s="20"/>
      <c r="D1932" s="20"/>
      <c r="E1932" s="20"/>
      <c r="F1932" s="20"/>
      <c r="G1932" s="22"/>
    </row>
    <row r="1933" spans="1:14" s="3" customFormat="1" hidden="1" outlineLevel="1" x14ac:dyDescent="0.25">
      <c r="A1933" s="5"/>
      <c r="B1933" s="49" t="s">
        <v>1062</v>
      </c>
      <c r="C1933" s="20"/>
      <c r="D1933" s="20"/>
      <c r="E1933" s="20"/>
      <c r="F1933" s="20"/>
      <c r="G1933" s="22"/>
    </row>
    <row r="1934" spans="1:14" s="3" customFormat="1" hidden="1" outlineLevel="1" x14ac:dyDescent="0.25">
      <c r="A1934" s="5"/>
      <c r="B1934" s="49" t="s">
        <v>1063</v>
      </c>
      <c r="C1934" s="20"/>
      <c r="D1934" s="20"/>
      <c r="E1934" s="20"/>
      <c r="F1934" s="20"/>
      <c r="G1934" s="22"/>
    </row>
    <row r="1935" spans="1:14" s="3" customFormat="1" hidden="1" outlineLevel="1" x14ac:dyDescent="0.25">
      <c r="A1935" s="5"/>
      <c r="B1935" s="49" t="s">
        <v>1064</v>
      </c>
      <c r="C1935" s="20"/>
      <c r="D1935" s="20"/>
      <c r="E1935" s="20"/>
      <c r="F1935" s="20"/>
      <c r="G1935" s="22"/>
    </row>
    <row r="1936" spans="1:14" s="3" customFormat="1" hidden="1" outlineLevel="1" x14ac:dyDescent="0.25">
      <c r="A1936" s="5"/>
      <c r="B1936" s="49" t="s">
        <v>1065</v>
      </c>
      <c r="C1936" s="20"/>
      <c r="D1936" s="20"/>
      <c r="E1936" s="20"/>
      <c r="F1936" s="20"/>
      <c r="G1936" s="22"/>
    </row>
    <row r="1937" spans="1:7" s="3" customFormat="1" hidden="1" outlineLevel="1" x14ac:dyDescent="0.25">
      <c r="A1937" s="5"/>
      <c r="B1937" s="46" t="s">
        <v>2300</v>
      </c>
      <c r="C1937" s="20"/>
      <c r="D1937" s="20"/>
      <c r="E1937" s="20"/>
      <c r="F1937" s="20"/>
      <c r="G1937" s="22"/>
    </row>
    <row r="1938" spans="1:7" s="3" customFormat="1" hidden="1" outlineLevel="1" x14ac:dyDescent="0.25">
      <c r="A1938" s="5"/>
      <c r="B1938" s="46" t="s">
        <v>1066</v>
      </c>
      <c r="C1938" s="20"/>
      <c r="D1938" s="20"/>
      <c r="E1938" s="20"/>
      <c r="F1938" s="20"/>
      <c r="G1938" s="22"/>
    </row>
    <row r="1939" spans="1:7" s="3" customFormat="1" hidden="1" outlineLevel="1" x14ac:dyDescent="0.25">
      <c r="A1939" s="5"/>
      <c r="B1939" s="46" t="s">
        <v>1067</v>
      </c>
      <c r="C1939" s="20"/>
      <c r="D1939" s="20"/>
      <c r="E1939" s="20"/>
      <c r="F1939" s="20"/>
      <c r="G1939" s="22"/>
    </row>
    <row r="1940" spans="1:7" s="3" customFormat="1" hidden="1" outlineLevel="1" x14ac:dyDescent="0.25">
      <c r="A1940" s="5"/>
      <c r="B1940" s="20" t="s">
        <v>763</v>
      </c>
      <c r="C1940" s="20"/>
      <c r="D1940" s="20"/>
      <c r="E1940" s="20"/>
      <c r="F1940" s="20"/>
      <c r="G1940" s="22"/>
    </row>
    <row r="1941" spans="1:7" s="3" customFormat="1" hidden="1" outlineLevel="1" x14ac:dyDescent="0.25">
      <c r="A1941" s="5"/>
      <c r="B1941" s="50" t="s">
        <v>718</v>
      </c>
      <c r="C1941" s="20"/>
      <c r="D1941" s="20"/>
      <c r="E1941" s="20"/>
      <c r="F1941" s="20"/>
      <c r="G1941" s="22"/>
    </row>
    <row r="1942" spans="1:7" s="3" customFormat="1" hidden="1" outlineLevel="1" x14ac:dyDescent="0.25">
      <c r="A1942" s="5"/>
      <c r="B1942" s="50" t="s">
        <v>719</v>
      </c>
      <c r="C1942" s="20"/>
      <c r="D1942" s="20"/>
      <c r="E1942" s="20"/>
      <c r="F1942" s="20"/>
      <c r="G1942" s="22"/>
    </row>
    <row r="1943" spans="1:7" s="3" customFormat="1" hidden="1" outlineLevel="1" x14ac:dyDescent="0.25">
      <c r="A1943" s="5"/>
      <c r="B1943" s="50" t="s">
        <v>720</v>
      </c>
      <c r="C1943" s="20"/>
      <c r="D1943" s="20"/>
      <c r="F1943" s="20"/>
      <c r="G1943" s="22"/>
    </row>
    <row r="1944" spans="1:7" s="3" customFormat="1" hidden="1" outlineLevel="1" x14ac:dyDescent="0.25">
      <c r="A1944" s="5"/>
      <c r="B1944" s="50" t="s">
        <v>722</v>
      </c>
      <c r="C1944" s="20"/>
      <c r="D1944" s="20"/>
      <c r="E1944" s="20"/>
      <c r="F1944" s="20"/>
      <c r="G1944" s="22"/>
    </row>
    <row r="1945" spans="1:7" s="3" customFormat="1" hidden="1" outlineLevel="1" x14ac:dyDescent="0.25">
      <c r="A1945" s="5"/>
      <c r="B1945" s="50" t="s">
        <v>723</v>
      </c>
      <c r="C1945" s="20"/>
      <c r="D1945" s="20"/>
      <c r="E1945" s="20"/>
      <c r="F1945" s="20"/>
      <c r="G1945" s="22"/>
    </row>
    <row r="1946" spans="1:7" s="3" customFormat="1" hidden="1" outlineLevel="1" x14ac:dyDescent="0.25">
      <c r="A1946" s="5"/>
      <c r="B1946" s="51" t="s">
        <v>1068</v>
      </c>
      <c r="C1946" s="20"/>
      <c r="D1946" s="20"/>
      <c r="E1946" s="20"/>
      <c r="F1946" s="20"/>
      <c r="G1946" s="22"/>
    </row>
    <row r="1947" spans="1:7" s="3" customFormat="1" hidden="1" outlineLevel="1" x14ac:dyDescent="0.25">
      <c r="A1947" s="5"/>
      <c r="B1947" s="89" t="s">
        <v>1069</v>
      </c>
      <c r="C1947" s="20"/>
      <c r="D1947" s="20"/>
      <c r="E1947" s="20"/>
      <c r="F1947" s="20"/>
      <c r="G1947" s="22"/>
    </row>
    <row r="1948" spans="1:7" s="3" customFormat="1" hidden="1" outlineLevel="1" x14ac:dyDescent="0.25">
      <c r="A1948" s="5"/>
      <c r="B1948" s="46" t="s">
        <v>1070</v>
      </c>
      <c r="C1948" s="20"/>
      <c r="D1948" s="20"/>
      <c r="E1948" s="20"/>
      <c r="F1948" s="20"/>
      <c r="G1948" s="22"/>
    </row>
    <row r="1949" spans="1:7" s="3" customFormat="1" ht="16.2" hidden="1" outlineLevel="1" thickBot="1" x14ac:dyDescent="0.3">
      <c r="A1949" s="5"/>
      <c r="B1949" s="52" t="s">
        <v>726</v>
      </c>
      <c r="C1949" s="53"/>
      <c r="D1949" s="53"/>
      <c r="E1949" s="53"/>
      <c r="F1949" s="53"/>
      <c r="G1949" s="54"/>
    </row>
    <row r="1950" spans="1:7" s="3" customFormat="1" ht="16.2" hidden="1" outlineLevel="1" thickBot="1" x14ac:dyDescent="0.3">
      <c r="B1950" s="163"/>
      <c r="C1950" s="164"/>
      <c r="D1950" s="164"/>
      <c r="E1950" s="164"/>
      <c r="F1950" s="164"/>
      <c r="G1950" s="165"/>
    </row>
    <row r="1951" spans="1:7" s="3" customFormat="1" hidden="1" outlineLevel="1" x14ac:dyDescent="0.25"/>
    <row r="1952" spans="1:7" s="3" customFormat="1" ht="16.2" hidden="1" outlineLevel="1" thickBot="1" x14ac:dyDescent="0.3"/>
    <row r="1953" spans="1:14" s="3" customFormat="1" ht="16.2" collapsed="1" thickBot="1" x14ac:dyDescent="0.3">
      <c r="A1953" s="5"/>
      <c r="B1953" s="15" t="s">
        <v>1279</v>
      </c>
      <c r="C1953" s="16" t="s">
        <v>2216</v>
      </c>
      <c r="D1953" s="17" t="s">
        <v>1281</v>
      </c>
      <c r="E1953" s="16" t="s">
        <v>1071</v>
      </c>
      <c r="F1953" s="17" t="s">
        <v>1282</v>
      </c>
      <c r="G1953" s="18" t="s">
        <v>2217</v>
      </c>
    </row>
    <row r="1954" spans="1:14" s="3" customFormat="1" hidden="1" outlineLevel="1" x14ac:dyDescent="0.25">
      <c r="A1954" s="5"/>
      <c r="B1954" s="19" t="s">
        <v>1284</v>
      </c>
      <c r="C1954" s="20" t="s">
        <v>1285</v>
      </c>
      <c r="D1954" s="21" t="s">
        <v>1286</v>
      </c>
      <c r="E1954" s="20" t="s">
        <v>2218</v>
      </c>
      <c r="F1954" s="21" t="s">
        <v>1288</v>
      </c>
      <c r="G1954" s="22"/>
    </row>
    <row r="1955" spans="1:14" s="3" customFormat="1" ht="16.2" hidden="1" outlineLevel="1" thickBot="1" x14ac:dyDescent="0.3">
      <c r="A1955" s="5"/>
      <c r="B1955" s="19" t="s">
        <v>1290</v>
      </c>
      <c r="C1955" s="23" t="s">
        <v>1291</v>
      </c>
      <c r="D1955" s="21" t="s">
        <v>1292</v>
      </c>
      <c r="E1955" s="23">
        <v>5</v>
      </c>
      <c r="F1955" s="21" t="s">
        <v>1293</v>
      </c>
      <c r="G1955" s="24" t="s">
        <v>1294</v>
      </c>
    </row>
    <row r="1956" spans="1:14" s="3" customFormat="1" ht="17.399999999999999" hidden="1" customHeight="1" outlineLevel="1" x14ac:dyDescent="0.25">
      <c r="A1956" s="5"/>
      <c r="B1956" s="401" t="s">
        <v>1</v>
      </c>
      <c r="C1956" s="402"/>
      <c r="D1956" s="402"/>
      <c r="E1956" s="402"/>
      <c r="F1956" s="402"/>
      <c r="G1956" s="403"/>
    </row>
    <row r="1957" spans="1:14" s="3" customFormat="1" ht="17.399999999999999" hidden="1" customHeight="1" outlineLevel="1" x14ac:dyDescent="0.25">
      <c r="A1957" s="5"/>
      <c r="B1957" s="25" t="s">
        <v>2</v>
      </c>
      <c r="C1957" s="26" t="s">
        <v>3</v>
      </c>
      <c r="D1957" s="26" t="s">
        <v>4</v>
      </c>
      <c r="E1957" s="26" t="s">
        <v>5</v>
      </c>
      <c r="F1957" s="26"/>
      <c r="G1957" s="27" t="s">
        <v>6</v>
      </c>
    </row>
    <row r="1958" spans="1:14" s="3" customFormat="1" ht="17.399999999999999" hidden="1" customHeight="1" outlineLevel="1" x14ac:dyDescent="0.25">
      <c r="B1958" s="28" t="s">
        <v>112</v>
      </c>
      <c r="C1958" s="29" t="s">
        <v>1555</v>
      </c>
      <c r="D1958" s="29" t="s">
        <v>1469</v>
      </c>
      <c r="E1958" s="29">
        <v>0</v>
      </c>
      <c r="F1958" s="29" t="s">
        <v>1470</v>
      </c>
      <c r="G1958" s="30" t="s">
        <v>1556</v>
      </c>
    </row>
    <row r="1959" spans="1:14" s="3" customFormat="1" ht="17.399999999999999" hidden="1" customHeight="1" outlineLevel="1" x14ac:dyDescent="0.25">
      <c r="B1959" s="28" t="s">
        <v>13</v>
      </c>
      <c r="C1959" s="29" t="s">
        <v>1474</v>
      </c>
      <c r="D1959" s="29" t="s">
        <v>1469</v>
      </c>
      <c r="E1959" s="29">
        <v>0</v>
      </c>
      <c r="F1959" s="29" t="s">
        <v>1470</v>
      </c>
      <c r="G1959" s="30"/>
      <c r="J1959" s="3" t="s">
        <v>10</v>
      </c>
    </row>
    <row r="1960" spans="1:14" s="3" customFormat="1" ht="17.399999999999999" hidden="1" customHeight="1" outlineLevel="1" x14ac:dyDescent="0.25">
      <c r="A1960" s="5"/>
      <c r="B1960" s="31" t="s">
        <v>16</v>
      </c>
      <c r="C1960" s="20" t="s">
        <v>1479</v>
      </c>
      <c r="D1960" s="20" t="s">
        <v>1469</v>
      </c>
      <c r="E1960" s="20" t="s">
        <v>1480</v>
      </c>
      <c r="F1960" s="20" t="s">
        <v>1481</v>
      </c>
      <c r="G1960" s="22" t="s">
        <v>1482</v>
      </c>
      <c r="J1960" s="3" t="s">
        <v>10</v>
      </c>
    </row>
    <row r="1961" spans="1:14" s="3" customFormat="1" hidden="1" outlineLevel="1" x14ac:dyDescent="0.25">
      <c r="A1961" s="5"/>
      <c r="B1961" s="31" t="s">
        <v>302</v>
      </c>
      <c r="C1961" s="20" t="s">
        <v>1727</v>
      </c>
      <c r="D1961" s="20" t="s">
        <v>1606</v>
      </c>
      <c r="E1961" s="20" t="s">
        <v>1594</v>
      </c>
      <c r="F1961" s="20" t="s">
        <v>1470</v>
      </c>
      <c r="G1961" s="22"/>
      <c r="J1961" s="3" t="s">
        <v>10</v>
      </c>
      <c r="K1961" s="3" t="s">
        <v>173</v>
      </c>
      <c r="L1961" s="3" t="s">
        <v>9</v>
      </c>
      <c r="M1961" s="3" t="s">
        <v>9</v>
      </c>
      <c r="N1961" s="3">
        <v>1606</v>
      </c>
    </row>
    <row r="1962" spans="1:14" s="3" customFormat="1" hidden="1" outlineLevel="1" x14ac:dyDescent="0.25">
      <c r="A1962" s="5"/>
      <c r="B1962" s="31" t="s">
        <v>265</v>
      </c>
      <c r="C1962" s="20" t="s">
        <v>1692</v>
      </c>
      <c r="D1962" s="20" t="s">
        <v>1606</v>
      </c>
      <c r="E1962" s="20" t="s">
        <v>1594</v>
      </c>
      <c r="F1962" s="20" t="s">
        <v>1470</v>
      </c>
      <c r="G1962" s="22"/>
      <c r="J1962" s="3" t="s">
        <v>187</v>
      </c>
      <c r="K1962" s="3" t="s">
        <v>173</v>
      </c>
      <c r="L1962" s="3" t="s">
        <v>9</v>
      </c>
      <c r="M1962" s="3" t="s">
        <v>9</v>
      </c>
      <c r="N1962" s="3">
        <v>2534</v>
      </c>
    </row>
    <row r="1963" spans="1:14" s="3" customFormat="1" hidden="1" outlineLevel="1" x14ac:dyDescent="0.25">
      <c r="A1963" s="5"/>
      <c r="B1963" s="31" t="s">
        <v>538</v>
      </c>
      <c r="C1963" s="20" t="s">
        <v>2062</v>
      </c>
      <c r="D1963" s="20" t="s">
        <v>1606</v>
      </c>
      <c r="E1963" s="20" t="s">
        <v>1594</v>
      </c>
      <c r="F1963" s="20"/>
      <c r="G1963" s="22"/>
      <c r="J1963" s="3" t="s">
        <v>187</v>
      </c>
      <c r="K1963" s="3" t="s">
        <v>173</v>
      </c>
      <c r="L1963" s="3" t="s">
        <v>9</v>
      </c>
      <c r="M1963" s="3" t="s">
        <v>9</v>
      </c>
      <c r="N1963" s="3">
        <v>1211</v>
      </c>
    </row>
    <row r="1964" spans="1:14" s="3" customFormat="1" ht="16.2" hidden="1" outlineLevel="1" thickBot="1" x14ac:dyDescent="0.3">
      <c r="A1964" s="5"/>
      <c r="B1964" s="31"/>
      <c r="C1964" s="20"/>
      <c r="D1964" s="20"/>
      <c r="E1964" s="20"/>
      <c r="F1964" s="20"/>
      <c r="G1964" s="22"/>
      <c r="J1964" s="3" t="s">
        <v>187</v>
      </c>
      <c r="K1964" s="3" t="s">
        <v>438</v>
      </c>
      <c r="L1964" s="3" t="s">
        <v>537</v>
      </c>
      <c r="M1964" s="3" t="s">
        <v>187</v>
      </c>
      <c r="N1964" s="3">
        <v>1700</v>
      </c>
    </row>
    <row r="1965" spans="1:14" s="3" customFormat="1" hidden="1" outlineLevel="1" x14ac:dyDescent="0.25">
      <c r="A1965" s="5"/>
      <c r="B1965" s="401" t="s">
        <v>18</v>
      </c>
      <c r="C1965" s="402"/>
      <c r="D1965" s="402"/>
      <c r="E1965" s="402"/>
      <c r="F1965" s="402"/>
      <c r="G1965" s="403"/>
      <c r="J1965" s="3" t="s">
        <v>187</v>
      </c>
      <c r="K1965" s="3" t="s">
        <v>438</v>
      </c>
      <c r="L1965" s="3" t="s">
        <v>537</v>
      </c>
      <c r="M1965" s="3" t="s">
        <v>187</v>
      </c>
      <c r="N1965" s="3">
        <v>1114</v>
      </c>
    </row>
    <row r="1966" spans="1:14" s="3" customFormat="1" hidden="1" outlineLevel="1" x14ac:dyDescent="0.25">
      <c r="A1966" s="5"/>
      <c r="B1966" s="25" t="s">
        <v>2</v>
      </c>
      <c r="C1966" s="26" t="s">
        <v>3</v>
      </c>
      <c r="D1966" s="26" t="s">
        <v>4</v>
      </c>
      <c r="E1966" s="26" t="s">
        <v>5</v>
      </c>
      <c r="F1966" s="26"/>
      <c r="G1966" s="27" t="s">
        <v>6</v>
      </c>
      <c r="J1966" s="3" t="s">
        <v>10</v>
      </c>
      <c r="K1966" s="3" t="s">
        <v>438</v>
      </c>
      <c r="L1966" s="3" t="s">
        <v>537</v>
      </c>
      <c r="M1966" s="3" t="s">
        <v>187</v>
      </c>
      <c r="N1966" s="3">
        <v>1607</v>
      </c>
    </row>
    <row r="1967" spans="1:14" s="3" customFormat="1" hidden="1" outlineLevel="1" x14ac:dyDescent="0.25">
      <c r="A1967" s="5"/>
      <c r="B1967" s="31" t="s">
        <v>159</v>
      </c>
      <c r="C1967" s="20" t="s">
        <v>1592</v>
      </c>
      <c r="D1967" s="20" t="s">
        <v>1593</v>
      </c>
      <c r="E1967" s="20" t="s">
        <v>1594</v>
      </c>
      <c r="F1967" s="20" t="s">
        <v>1470</v>
      </c>
      <c r="G1967" s="22" t="s">
        <v>1595</v>
      </c>
      <c r="J1967" s="3" t="s">
        <v>20</v>
      </c>
      <c r="K1967" s="3" t="s">
        <v>438</v>
      </c>
      <c r="L1967" s="3" t="s">
        <v>537</v>
      </c>
      <c r="M1967" s="3" t="s">
        <v>187</v>
      </c>
    </row>
    <row r="1968" spans="1:14" s="3" customFormat="1" ht="17.399999999999999" hidden="1" customHeight="1" outlineLevel="1" x14ac:dyDescent="0.25">
      <c r="A1968" s="5"/>
      <c r="B1968" s="31" t="s">
        <v>14</v>
      </c>
      <c r="C1968" s="20" t="s">
        <v>1475</v>
      </c>
      <c r="D1968" s="20" t="s">
        <v>1469</v>
      </c>
      <c r="E1968" s="20">
        <v>0</v>
      </c>
      <c r="F1968" s="20" t="s">
        <v>1476</v>
      </c>
      <c r="G1968" s="22" t="s">
        <v>1477</v>
      </c>
      <c r="J1968" s="3" t="s">
        <v>187</v>
      </c>
      <c r="K1968" s="3" t="s">
        <v>173</v>
      </c>
      <c r="L1968" s="3" t="s">
        <v>9</v>
      </c>
      <c r="M1968" s="3" t="s">
        <v>9</v>
      </c>
    </row>
    <row r="1969" spans="1:14" s="3" customFormat="1" ht="17.399999999999999" hidden="1" customHeight="1" outlineLevel="1" x14ac:dyDescent="0.25">
      <c r="A1969" s="5"/>
      <c r="B1969" s="31" t="s">
        <v>19</v>
      </c>
      <c r="C1969" s="20" t="s">
        <v>1485</v>
      </c>
      <c r="D1969" s="20" t="s">
        <v>1486</v>
      </c>
      <c r="E1969" s="20">
        <v>0</v>
      </c>
      <c r="F1969" s="20"/>
      <c r="G1969" s="22"/>
      <c r="J1969" s="3" t="s">
        <v>10</v>
      </c>
      <c r="K1969" s="3" t="s">
        <v>445</v>
      </c>
      <c r="L1969" s="3" t="s">
        <v>446</v>
      </c>
      <c r="M1969" s="3" t="s">
        <v>446</v>
      </c>
    </row>
    <row r="1970" spans="1:14" s="3" customFormat="1" hidden="1" outlineLevel="1" x14ac:dyDescent="0.25">
      <c r="A1970" s="5"/>
      <c r="B1970" s="31" t="s">
        <v>75</v>
      </c>
      <c r="C1970" s="20" t="s">
        <v>1530</v>
      </c>
      <c r="D1970" s="20" t="s">
        <v>1486</v>
      </c>
      <c r="E1970" s="20">
        <v>0</v>
      </c>
      <c r="F1970" s="20" t="s">
        <v>1470</v>
      </c>
      <c r="G1970" s="22" t="s">
        <v>1531</v>
      </c>
      <c r="J1970" s="3" t="s">
        <v>20</v>
      </c>
      <c r="K1970" s="3" t="s">
        <v>438</v>
      </c>
      <c r="L1970" s="3" t="s">
        <v>537</v>
      </c>
      <c r="M1970" s="3" t="s">
        <v>187</v>
      </c>
      <c r="N1970" s="3">
        <v>2430</v>
      </c>
    </row>
    <row r="1971" spans="1:14" s="3" customFormat="1" hidden="1" outlineLevel="1" x14ac:dyDescent="0.25">
      <c r="A1971" s="5"/>
      <c r="B1971" s="31" t="s">
        <v>76</v>
      </c>
      <c r="C1971" s="20" t="s">
        <v>1532</v>
      </c>
      <c r="D1971" s="20" t="s">
        <v>1489</v>
      </c>
      <c r="E1971" s="20">
        <v>0</v>
      </c>
      <c r="F1971" s="20"/>
      <c r="G1971" s="22"/>
      <c r="J1971" s="3" t="s">
        <v>20</v>
      </c>
      <c r="K1971" s="3" t="s">
        <v>173</v>
      </c>
      <c r="L1971" s="3" t="s">
        <v>9</v>
      </c>
      <c r="M1971" s="3" t="s">
        <v>9</v>
      </c>
      <c r="N1971" s="3">
        <v>2155</v>
      </c>
    </row>
    <row r="1972" spans="1:14" s="3" customFormat="1" hidden="1" outlineLevel="1" x14ac:dyDescent="0.25">
      <c r="A1972" s="5"/>
      <c r="B1972" s="31" t="s">
        <v>177</v>
      </c>
      <c r="C1972" s="20" t="s">
        <v>1600</v>
      </c>
      <c r="D1972" s="20" t="s">
        <v>1489</v>
      </c>
      <c r="E1972" s="20">
        <v>0</v>
      </c>
      <c r="F1972" s="20" t="s">
        <v>1470</v>
      </c>
      <c r="G1972" s="22"/>
      <c r="J1972" s="3" t="s">
        <v>20</v>
      </c>
      <c r="K1972" s="3" t="s">
        <v>445</v>
      </c>
      <c r="L1972" s="3" t="s">
        <v>446</v>
      </c>
      <c r="M1972" s="3" t="s">
        <v>446</v>
      </c>
      <c r="N1972" s="3">
        <v>1203</v>
      </c>
    </row>
    <row r="1973" spans="1:14" s="3" customFormat="1" hidden="1" outlineLevel="1" x14ac:dyDescent="0.25">
      <c r="A1973" s="5"/>
      <c r="B1973" s="31" t="s">
        <v>658</v>
      </c>
      <c r="C1973" s="20" t="s">
        <v>2073</v>
      </c>
      <c r="D1973" s="20" t="s">
        <v>1567</v>
      </c>
      <c r="E1973" s="20">
        <v>0</v>
      </c>
      <c r="F1973" s="20" t="s">
        <v>1470</v>
      </c>
      <c r="G1973" s="22"/>
      <c r="J1973" s="3" t="s">
        <v>20</v>
      </c>
      <c r="K1973" s="3" t="s">
        <v>445</v>
      </c>
      <c r="L1973" s="3" t="s">
        <v>446</v>
      </c>
      <c r="M1973" s="3" t="s">
        <v>446</v>
      </c>
      <c r="N1973" s="3">
        <v>1262</v>
      </c>
    </row>
    <row r="1974" spans="1:14" s="3" customFormat="1" hidden="1" outlineLevel="1" x14ac:dyDescent="0.25">
      <c r="A1974" s="5"/>
      <c r="B1974" s="31" t="s">
        <v>362</v>
      </c>
      <c r="C1974" s="20" t="s">
        <v>1764</v>
      </c>
      <c r="D1974" s="20" t="s">
        <v>1469</v>
      </c>
      <c r="E1974" s="20" t="s">
        <v>1549</v>
      </c>
      <c r="F1974" s="20" t="s">
        <v>1470</v>
      </c>
      <c r="G1974" s="22"/>
      <c r="J1974" s="3" t="s">
        <v>12</v>
      </c>
      <c r="K1974" s="3" t="s">
        <v>445</v>
      </c>
      <c r="L1974" s="3" t="s">
        <v>446</v>
      </c>
      <c r="M1974" s="3" t="s">
        <v>446</v>
      </c>
      <c r="N1974" s="3">
        <v>1757</v>
      </c>
    </row>
    <row r="1975" spans="1:14" s="3" customFormat="1" ht="16.2" hidden="1" outlineLevel="1" thickBot="1" x14ac:dyDescent="0.3">
      <c r="A1975" s="5"/>
      <c r="B1975" s="31"/>
      <c r="C1975" s="20"/>
      <c r="D1975" s="20"/>
      <c r="E1975" s="20"/>
      <c r="F1975" s="20"/>
      <c r="G1975" s="22"/>
      <c r="J1975" s="3" t="s">
        <v>10</v>
      </c>
      <c r="K1975" s="3" t="s">
        <v>445</v>
      </c>
      <c r="L1975" s="3" t="s">
        <v>446</v>
      </c>
      <c r="M1975" s="3" t="s">
        <v>446</v>
      </c>
      <c r="N1975" s="3">
        <v>1752</v>
      </c>
    </row>
    <row r="1976" spans="1:14" s="3" customFormat="1" hidden="1" outlineLevel="1" x14ac:dyDescent="0.25">
      <c r="A1976" s="5"/>
      <c r="B1976" s="401" t="s">
        <v>29</v>
      </c>
      <c r="C1976" s="402"/>
      <c r="D1976" s="402"/>
      <c r="E1976" s="402"/>
      <c r="F1976" s="402"/>
      <c r="G1976" s="403"/>
      <c r="K1976" s="3" t="s">
        <v>174</v>
      </c>
      <c r="L1976" s="3" t="s">
        <v>175</v>
      </c>
      <c r="M1976" s="3" t="s">
        <v>176</v>
      </c>
      <c r="N1976" s="3">
        <v>1919</v>
      </c>
    </row>
    <row r="1977" spans="1:14" s="3" customFormat="1" hidden="1" outlineLevel="1" x14ac:dyDescent="0.25">
      <c r="A1977" s="5"/>
      <c r="B1977" s="31" t="s">
        <v>1072</v>
      </c>
      <c r="C1977" s="20"/>
      <c r="D1977" s="20"/>
      <c r="E1977" s="20"/>
      <c r="F1977" s="20"/>
      <c r="G1977" s="22"/>
      <c r="K1977" s="3" t="s">
        <v>173</v>
      </c>
      <c r="L1977" s="3" t="s">
        <v>9</v>
      </c>
      <c r="M1977" s="3" t="s">
        <v>9</v>
      </c>
      <c r="N1977" s="3">
        <v>1756</v>
      </c>
    </row>
    <row r="1978" spans="1:14" s="3" customFormat="1" hidden="1" outlineLevel="1" x14ac:dyDescent="0.25">
      <c r="A1978" s="5"/>
      <c r="B1978" s="31" t="s">
        <v>1073</v>
      </c>
      <c r="C1978" s="20"/>
      <c r="D1978" s="20"/>
      <c r="E1978" s="20"/>
      <c r="F1978" s="20"/>
      <c r="G1978" s="22"/>
    </row>
    <row r="1979" spans="1:14" s="3" customFormat="1" ht="17.399999999999999" hidden="1" customHeight="1" outlineLevel="1" x14ac:dyDescent="0.25">
      <c r="A1979" s="5"/>
      <c r="B1979" s="31" t="s">
        <v>920</v>
      </c>
      <c r="C1979" s="20"/>
      <c r="D1979" s="20"/>
      <c r="E1979" s="20"/>
      <c r="F1979" s="20"/>
      <c r="G1979" s="22"/>
    </row>
    <row r="1980" spans="1:14" s="3" customFormat="1" hidden="1" outlineLevel="1" x14ac:dyDescent="0.25">
      <c r="A1980" s="5"/>
      <c r="B1980" s="31" t="s">
        <v>583</v>
      </c>
      <c r="C1980" s="20"/>
      <c r="D1980" s="20"/>
      <c r="E1980" s="20"/>
      <c r="F1980" s="20"/>
      <c r="G1980" s="22"/>
    </row>
    <row r="1981" spans="1:14" s="3" customFormat="1" hidden="1" outlineLevel="1" x14ac:dyDescent="0.25">
      <c r="A1981" s="5"/>
      <c r="B1981" s="31" t="s">
        <v>767</v>
      </c>
      <c r="C1981" s="20"/>
      <c r="D1981" s="20"/>
      <c r="E1981" s="20"/>
      <c r="F1981" s="20"/>
      <c r="G1981" s="22"/>
    </row>
    <row r="1982" spans="1:14" s="3" customFormat="1" hidden="1" outlineLevel="1" x14ac:dyDescent="0.25">
      <c r="A1982" s="5"/>
      <c r="B1982" s="31" t="s">
        <v>768</v>
      </c>
      <c r="C1982" s="20"/>
      <c r="D1982" s="20"/>
      <c r="E1982" s="20"/>
      <c r="F1982" s="20"/>
      <c r="G1982" s="22"/>
    </row>
    <row r="1983" spans="1:14" s="3" customFormat="1" hidden="1" outlineLevel="1" x14ac:dyDescent="0.25">
      <c r="A1983" s="5"/>
      <c r="B1983" s="31" t="s">
        <v>769</v>
      </c>
      <c r="C1983" s="20"/>
      <c r="D1983" s="20"/>
      <c r="E1983" s="20"/>
      <c r="F1983" s="20"/>
      <c r="G1983" s="22"/>
    </row>
    <row r="1984" spans="1:14" s="3" customFormat="1" hidden="1" outlineLevel="1" x14ac:dyDescent="0.25">
      <c r="A1984" s="5"/>
      <c r="B1984" s="31" t="s">
        <v>770</v>
      </c>
      <c r="C1984" s="20"/>
      <c r="D1984" s="20"/>
      <c r="E1984" s="20"/>
      <c r="F1984" s="20"/>
      <c r="G1984" s="22"/>
    </row>
    <row r="1985" spans="1:10" s="3" customFormat="1" hidden="1" outlineLevel="1" x14ac:dyDescent="0.25">
      <c r="A1985" s="5"/>
      <c r="B1985" s="31" t="s">
        <v>771</v>
      </c>
      <c r="C1985" s="20"/>
      <c r="D1985" s="20"/>
      <c r="E1985" s="20"/>
      <c r="F1985" s="20"/>
      <c r="G1985" s="22"/>
    </row>
    <row r="1986" spans="1:10" s="3" customFormat="1" hidden="1" outlineLevel="1" x14ac:dyDescent="0.25">
      <c r="A1986" s="5"/>
      <c r="B1986" s="31" t="s">
        <v>587</v>
      </c>
      <c r="C1986" s="20"/>
      <c r="D1986" s="20"/>
      <c r="E1986" s="20"/>
      <c r="F1986" s="20"/>
      <c r="G1986" s="22"/>
    </row>
    <row r="1987" spans="1:10" s="3" customFormat="1" hidden="1" outlineLevel="1" x14ac:dyDescent="0.25">
      <c r="A1987" s="5"/>
      <c r="B1987" s="31" t="s">
        <v>772</v>
      </c>
      <c r="C1987" s="20"/>
      <c r="D1987" s="20"/>
      <c r="E1987" s="20"/>
      <c r="F1987" s="20"/>
      <c r="G1987" s="22"/>
    </row>
    <row r="1988" spans="1:10" s="3" customFormat="1" hidden="1" outlineLevel="1" x14ac:dyDescent="0.25">
      <c r="A1988" s="5"/>
      <c r="B1988" s="31" t="s">
        <v>561</v>
      </c>
      <c r="C1988" s="20"/>
      <c r="D1988" s="20"/>
      <c r="E1988" s="20"/>
      <c r="F1988" s="20"/>
      <c r="G1988" s="22"/>
    </row>
    <row r="1989" spans="1:10" s="3" customFormat="1" hidden="1" outlineLevel="1" x14ac:dyDescent="0.25">
      <c r="A1989" s="5"/>
      <c r="B1989" s="31" t="s">
        <v>1074</v>
      </c>
      <c r="C1989" s="20"/>
      <c r="D1989" s="20"/>
      <c r="E1989" s="20"/>
      <c r="F1989" s="20"/>
      <c r="G1989" s="22"/>
    </row>
    <row r="1990" spans="1:10" s="3" customFormat="1" hidden="1" outlineLevel="1" x14ac:dyDescent="0.25">
      <c r="A1990" s="5"/>
      <c r="B1990" s="31" t="s">
        <v>1075</v>
      </c>
      <c r="C1990" s="20"/>
      <c r="D1990" s="20"/>
      <c r="E1990" s="20"/>
      <c r="F1990" s="20"/>
      <c r="G1990" s="22"/>
    </row>
    <row r="1991" spans="1:10" s="3" customFormat="1" hidden="1" outlineLevel="1" x14ac:dyDescent="0.25">
      <c r="A1991" s="5"/>
      <c r="B1991" s="31" t="s">
        <v>1076</v>
      </c>
      <c r="C1991" s="20"/>
      <c r="D1991" s="20"/>
      <c r="E1991" s="20"/>
      <c r="F1991" s="20"/>
      <c r="G1991" s="22"/>
    </row>
    <row r="1992" spans="1:10" s="3" customFormat="1" hidden="1" outlineLevel="1" x14ac:dyDescent="0.25">
      <c r="A1992" s="5"/>
      <c r="B1992" s="31" t="s">
        <v>561</v>
      </c>
      <c r="C1992" s="20"/>
      <c r="D1992" s="20"/>
      <c r="E1992" s="20"/>
      <c r="F1992" s="20"/>
      <c r="G1992" s="22"/>
    </row>
    <row r="1993" spans="1:10" s="3" customFormat="1" ht="16.2" hidden="1" outlineLevel="1" thickBot="1" x14ac:dyDescent="0.3">
      <c r="A1993" s="5"/>
      <c r="B1993" s="52"/>
      <c r="C1993" s="53"/>
      <c r="D1993" s="53"/>
      <c r="E1993" s="53"/>
      <c r="F1993" s="53"/>
      <c r="G1993" s="54"/>
    </row>
    <row r="1994" spans="1:10" s="3" customFormat="1" hidden="1" outlineLevel="1" x14ac:dyDescent="0.25">
      <c r="A1994" s="5"/>
      <c r="B1994" s="5"/>
      <c r="C1994" s="5"/>
      <c r="D1994" s="5"/>
      <c r="E1994" s="5"/>
      <c r="F1994" s="5"/>
      <c r="G1994" s="5"/>
      <c r="H1994" s="5"/>
    </row>
    <row r="1995" spans="1:10" s="3" customFormat="1" ht="16.2" hidden="1" outlineLevel="1" thickBot="1" x14ac:dyDescent="0.3">
      <c r="A1995" s="5"/>
      <c r="B1995" s="5"/>
      <c r="C1995" s="5"/>
      <c r="D1995" s="5"/>
      <c r="E1995" s="5"/>
      <c r="F1995" s="5"/>
      <c r="G1995" s="5"/>
      <c r="H1995" s="5"/>
      <c r="I1995" s="5"/>
      <c r="J1995" s="5"/>
    </row>
    <row r="1996" spans="1:10" s="3" customFormat="1" ht="16.2" collapsed="1" thickBot="1" x14ac:dyDescent="0.3">
      <c r="A1996" s="5"/>
      <c r="B1996" s="15" t="s">
        <v>1279</v>
      </c>
      <c r="C1996" s="16" t="s">
        <v>2219</v>
      </c>
      <c r="D1996" s="17" t="s">
        <v>1281</v>
      </c>
      <c r="E1996" s="16" t="s">
        <v>1077</v>
      </c>
      <c r="F1996" s="17" t="s">
        <v>1282</v>
      </c>
      <c r="G1996" s="18" t="s">
        <v>2220</v>
      </c>
      <c r="I1996" s="5"/>
      <c r="J1996" s="5"/>
    </row>
    <row r="1997" spans="1:10" s="5" customFormat="1" hidden="1" outlineLevel="1" x14ac:dyDescent="0.25">
      <c r="B1997" s="19" t="s">
        <v>1284</v>
      </c>
      <c r="C1997" s="20" t="s">
        <v>1285</v>
      </c>
      <c r="D1997" s="21" t="s">
        <v>1286</v>
      </c>
      <c r="E1997" s="20" t="s">
        <v>2221</v>
      </c>
      <c r="F1997" s="21" t="s">
        <v>1288</v>
      </c>
      <c r="G1997" s="22"/>
      <c r="H1997" s="3"/>
      <c r="I1997" s="3"/>
      <c r="J1997" s="3"/>
    </row>
    <row r="1998" spans="1:10" s="5" customFormat="1" ht="16.2" hidden="1" outlineLevel="1" thickBot="1" x14ac:dyDescent="0.3">
      <c r="B1998" s="19" t="s">
        <v>1290</v>
      </c>
      <c r="C1998" s="23" t="s">
        <v>1291</v>
      </c>
      <c r="D1998" s="21" t="s">
        <v>1292</v>
      </c>
      <c r="E1998" s="23">
        <v>5</v>
      </c>
      <c r="F1998" s="21" t="s">
        <v>1293</v>
      </c>
      <c r="G1998" s="24" t="s">
        <v>1294</v>
      </c>
      <c r="H1998" s="3"/>
      <c r="I1998" s="3"/>
      <c r="J1998" s="3"/>
    </row>
    <row r="1999" spans="1:10" s="3" customFormat="1" ht="17.399999999999999" hidden="1" customHeight="1" outlineLevel="1" x14ac:dyDescent="0.25">
      <c r="A1999" s="5"/>
      <c r="B1999" s="401" t="s">
        <v>1</v>
      </c>
      <c r="C1999" s="402"/>
      <c r="D1999" s="402"/>
      <c r="E1999" s="402"/>
      <c r="F1999" s="402"/>
      <c r="G1999" s="403"/>
    </row>
    <row r="2000" spans="1:10" s="3" customFormat="1" ht="17.399999999999999" hidden="1" customHeight="1" outlineLevel="1" x14ac:dyDescent="0.25">
      <c r="A2000" s="5"/>
      <c r="B2000" s="25" t="s">
        <v>2</v>
      </c>
      <c r="C2000" s="26" t="s">
        <v>3</v>
      </c>
      <c r="D2000" s="26" t="s">
        <v>4</v>
      </c>
      <c r="E2000" s="26" t="s">
        <v>5</v>
      </c>
      <c r="F2000" s="26"/>
      <c r="G2000" s="27" t="s">
        <v>6</v>
      </c>
    </row>
    <row r="2001" spans="1:14" s="3" customFormat="1" ht="17.399999999999999" hidden="1" customHeight="1" outlineLevel="1" x14ac:dyDescent="0.25">
      <c r="B2001" s="28" t="s">
        <v>112</v>
      </c>
      <c r="C2001" s="29" t="s">
        <v>1555</v>
      </c>
      <c r="D2001" s="29" t="s">
        <v>1469</v>
      </c>
      <c r="E2001" s="29">
        <v>0</v>
      </c>
      <c r="F2001" s="29" t="s">
        <v>1470</v>
      </c>
      <c r="G2001" s="30" t="s">
        <v>1556</v>
      </c>
    </row>
    <row r="2002" spans="1:14" s="3" customFormat="1" ht="17.399999999999999" hidden="1" customHeight="1" outlineLevel="1" x14ac:dyDescent="0.25">
      <c r="B2002" s="28" t="s">
        <v>13</v>
      </c>
      <c r="C2002" s="29" t="s">
        <v>1474</v>
      </c>
      <c r="D2002" s="29" t="s">
        <v>1469</v>
      </c>
      <c r="E2002" s="29">
        <v>0</v>
      </c>
      <c r="F2002" s="29" t="s">
        <v>1470</v>
      </c>
      <c r="G2002" s="30"/>
      <c r="J2002" s="3" t="s">
        <v>10</v>
      </c>
    </row>
    <row r="2003" spans="1:14" s="3" customFormat="1" ht="17.399999999999999" hidden="1" customHeight="1" outlineLevel="1" x14ac:dyDescent="0.25">
      <c r="A2003" s="5"/>
      <c r="B2003" s="31" t="s">
        <v>302</v>
      </c>
      <c r="C2003" s="20" t="s">
        <v>1727</v>
      </c>
      <c r="D2003" s="20" t="s">
        <v>1606</v>
      </c>
      <c r="E2003" s="20" t="s">
        <v>1594</v>
      </c>
      <c r="F2003" s="20" t="s">
        <v>1470</v>
      </c>
      <c r="G2003" s="22"/>
      <c r="J2003" s="3" t="s">
        <v>10</v>
      </c>
    </row>
    <row r="2004" spans="1:14" s="3" customFormat="1" hidden="1" outlineLevel="1" x14ac:dyDescent="0.25">
      <c r="A2004" s="5"/>
      <c r="B2004" s="31" t="s">
        <v>265</v>
      </c>
      <c r="C2004" s="20" t="s">
        <v>1692</v>
      </c>
      <c r="D2004" s="20" t="s">
        <v>1606</v>
      </c>
      <c r="E2004" s="20" t="s">
        <v>1594</v>
      </c>
      <c r="F2004" s="20" t="s">
        <v>1470</v>
      </c>
      <c r="G2004" s="22"/>
      <c r="J2004" s="3" t="s">
        <v>187</v>
      </c>
      <c r="K2004" s="3" t="s">
        <v>173</v>
      </c>
      <c r="L2004" s="3" t="s">
        <v>9</v>
      </c>
      <c r="M2004" s="3" t="s">
        <v>9</v>
      </c>
      <c r="N2004" s="3">
        <v>1606</v>
      </c>
    </row>
    <row r="2005" spans="1:14" s="3" customFormat="1" hidden="1" outlineLevel="1" x14ac:dyDescent="0.25">
      <c r="A2005" s="5"/>
      <c r="B2005" s="31" t="s">
        <v>538</v>
      </c>
      <c r="C2005" s="20" t="s">
        <v>2062</v>
      </c>
      <c r="D2005" s="20" t="s">
        <v>1606</v>
      </c>
      <c r="E2005" s="20" t="s">
        <v>1594</v>
      </c>
      <c r="F2005" s="20"/>
      <c r="G2005" s="22"/>
      <c r="J2005" s="3" t="s">
        <v>187</v>
      </c>
      <c r="K2005" s="3" t="s">
        <v>173</v>
      </c>
      <c r="L2005" s="3" t="s">
        <v>9</v>
      </c>
      <c r="M2005" s="3" t="s">
        <v>9</v>
      </c>
      <c r="N2005" s="3">
        <v>2534</v>
      </c>
    </row>
    <row r="2006" spans="1:14" s="3" customFormat="1" ht="16.2" hidden="1" outlineLevel="1" thickBot="1" x14ac:dyDescent="0.3">
      <c r="A2006" s="5"/>
      <c r="B2006" s="31" t="s">
        <v>16</v>
      </c>
      <c r="C2006" s="20" t="s">
        <v>1479</v>
      </c>
      <c r="D2006" s="20" t="s">
        <v>1469</v>
      </c>
      <c r="E2006" s="20" t="s">
        <v>1480</v>
      </c>
      <c r="F2006" s="20" t="s">
        <v>1481</v>
      </c>
      <c r="G2006" s="22" t="s">
        <v>1482</v>
      </c>
      <c r="J2006" s="3" t="s">
        <v>187</v>
      </c>
      <c r="K2006" s="3" t="s">
        <v>438</v>
      </c>
      <c r="L2006" s="3" t="s">
        <v>537</v>
      </c>
      <c r="M2006" s="3" t="s">
        <v>187</v>
      </c>
      <c r="N2006" s="3">
        <v>1700</v>
      </c>
    </row>
    <row r="2007" spans="1:14" s="3" customFormat="1" hidden="1" outlineLevel="1" x14ac:dyDescent="0.25">
      <c r="A2007" s="5"/>
      <c r="B2007" s="401" t="s">
        <v>18</v>
      </c>
      <c r="C2007" s="402"/>
      <c r="D2007" s="402"/>
      <c r="E2007" s="402"/>
      <c r="F2007" s="402"/>
      <c r="G2007" s="403"/>
      <c r="J2007" s="3" t="s">
        <v>187</v>
      </c>
      <c r="K2007" s="3" t="s">
        <v>438</v>
      </c>
      <c r="L2007" s="3" t="s">
        <v>537</v>
      </c>
      <c r="M2007" s="3" t="s">
        <v>187</v>
      </c>
      <c r="N2007" s="3">
        <v>1114</v>
      </c>
    </row>
    <row r="2008" spans="1:14" s="3" customFormat="1" hidden="1" outlineLevel="1" x14ac:dyDescent="0.25">
      <c r="A2008" s="5"/>
      <c r="B2008" s="25" t="s">
        <v>2</v>
      </c>
      <c r="C2008" s="26" t="s">
        <v>3</v>
      </c>
      <c r="D2008" s="26" t="s">
        <v>4</v>
      </c>
      <c r="E2008" s="26" t="s">
        <v>5</v>
      </c>
      <c r="F2008" s="26"/>
      <c r="G2008" s="27" t="s">
        <v>6</v>
      </c>
      <c r="J2008" s="3" t="s">
        <v>10</v>
      </c>
      <c r="K2008" s="3" t="s">
        <v>438</v>
      </c>
      <c r="L2008" s="3" t="s">
        <v>537</v>
      </c>
      <c r="M2008" s="3" t="s">
        <v>187</v>
      </c>
      <c r="N2008" s="3">
        <v>1607</v>
      </c>
    </row>
    <row r="2009" spans="1:14" s="3" customFormat="1" hidden="1" outlineLevel="1" x14ac:dyDescent="0.25">
      <c r="A2009" s="5"/>
      <c r="B2009" s="31" t="s">
        <v>159</v>
      </c>
      <c r="C2009" s="20" t="s">
        <v>1592</v>
      </c>
      <c r="D2009" s="20" t="s">
        <v>1593</v>
      </c>
      <c r="E2009" s="20" t="s">
        <v>1594</v>
      </c>
      <c r="F2009" s="20" t="s">
        <v>1470</v>
      </c>
      <c r="G2009" s="22" t="s">
        <v>1595</v>
      </c>
      <c r="J2009" s="3" t="s">
        <v>20</v>
      </c>
      <c r="K2009" s="3" t="s">
        <v>438</v>
      </c>
      <c r="L2009" s="3" t="s">
        <v>537</v>
      </c>
      <c r="M2009" s="3" t="s">
        <v>187</v>
      </c>
    </row>
    <row r="2010" spans="1:14" s="3" customFormat="1" ht="17.399999999999999" hidden="1" customHeight="1" outlineLevel="1" x14ac:dyDescent="0.25">
      <c r="A2010" s="5"/>
      <c r="B2010" s="31" t="s">
        <v>14</v>
      </c>
      <c r="C2010" s="20" t="s">
        <v>1475</v>
      </c>
      <c r="D2010" s="20" t="s">
        <v>1469</v>
      </c>
      <c r="E2010" s="20">
        <v>0</v>
      </c>
      <c r="F2010" s="20" t="s">
        <v>1476</v>
      </c>
      <c r="G2010" s="22" t="s">
        <v>1477</v>
      </c>
      <c r="J2010" s="3" t="s">
        <v>187</v>
      </c>
      <c r="K2010" s="3" t="s">
        <v>173</v>
      </c>
      <c r="L2010" s="3" t="s">
        <v>9</v>
      </c>
      <c r="M2010" s="3" t="s">
        <v>9</v>
      </c>
    </row>
    <row r="2011" spans="1:14" s="3" customFormat="1" ht="17.399999999999999" hidden="1" customHeight="1" outlineLevel="1" x14ac:dyDescent="0.25">
      <c r="A2011" s="5"/>
      <c r="B2011" s="31" t="s">
        <v>19</v>
      </c>
      <c r="C2011" s="20" t="s">
        <v>1485</v>
      </c>
      <c r="D2011" s="20" t="s">
        <v>1486</v>
      </c>
      <c r="E2011" s="20">
        <v>0</v>
      </c>
      <c r="F2011" s="20"/>
      <c r="G2011" s="22"/>
      <c r="J2011" s="3" t="s">
        <v>10</v>
      </c>
      <c r="K2011" s="3" t="s">
        <v>445</v>
      </c>
      <c r="L2011" s="3" t="s">
        <v>446</v>
      </c>
      <c r="M2011" s="3" t="s">
        <v>446</v>
      </c>
    </row>
    <row r="2012" spans="1:14" s="3" customFormat="1" hidden="1" outlineLevel="1" x14ac:dyDescent="0.25">
      <c r="A2012" s="5"/>
      <c r="B2012" s="31" t="s">
        <v>75</v>
      </c>
      <c r="C2012" s="20" t="s">
        <v>1530</v>
      </c>
      <c r="D2012" s="20" t="s">
        <v>1486</v>
      </c>
      <c r="E2012" s="20">
        <v>0</v>
      </c>
      <c r="F2012" s="20" t="s">
        <v>1470</v>
      </c>
      <c r="G2012" s="22" t="s">
        <v>1531</v>
      </c>
      <c r="J2012" s="3" t="s">
        <v>20</v>
      </c>
      <c r="K2012" s="3" t="s">
        <v>438</v>
      </c>
      <c r="L2012" s="3" t="s">
        <v>537</v>
      </c>
      <c r="M2012" s="3" t="s">
        <v>187</v>
      </c>
      <c r="N2012" s="3">
        <v>2430</v>
      </c>
    </row>
    <row r="2013" spans="1:14" s="3" customFormat="1" hidden="1" outlineLevel="1" x14ac:dyDescent="0.25">
      <c r="A2013" s="5"/>
      <c r="B2013" s="31" t="s">
        <v>76</v>
      </c>
      <c r="C2013" s="20" t="s">
        <v>1532</v>
      </c>
      <c r="D2013" s="20" t="s">
        <v>1489</v>
      </c>
      <c r="E2013" s="20">
        <v>0</v>
      </c>
      <c r="F2013" s="20"/>
      <c r="G2013" s="22"/>
      <c r="J2013" s="3" t="s">
        <v>20</v>
      </c>
      <c r="K2013" s="3" t="s">
        <v>173</v>
      </c>
      <c r="L2013" s="3" t="s">
        <v>9</v>
      </c>
      <c r="M2013" s="3" t="s">
        <v>9</v>
      </c>
      <c r="N2013" s="3">
        <v>2155</v>
      </c>
    </row>
    <row r="2014" spans="1:14" s="3" customFormat="1" hidden="1" outlineLevel="1" x14ac:dyDescent="0.25">
      <c r="A2014" s="5"/>
      <c r="B2014" s="31" t="s">
        <v>177</v>
      </c>
      <c r="C2014" s="20" t="s">
        <v>1600</v>
      </c>
      <c r="D2014" s="20" t="s">
        <v>1489</v>
      </c>
      <c r="E2014" s="20">
        <v>0</v>
      </c>
      <c r="F2014" s="20" t="s">
        <v>1470</v>
      </c>
      <c r="G2014" s="22"/>
      <c r="J2014" s="3" t="s">
        <v>20</v>
      </c>
      <c r="K2014" s="3" t="s">
        <v>445</v>
      </c>
      <c r="L2014" s="3" t="s">
        <v>446</v>
      </c>
      <c r="M2014" s="3" t="s">
        <v>446</v>
      </c>
      <c r="N2014" s="3">
        <v>1203</v>
      </c>
    </row>
    <row r="2015" spans="1:14" s="3" customFormat="1" hidden="1" outlineLevel="1" x14ac:dyDescent="0.25">
      <c r="A2015" s="5"/>
      <c r="B2015" s="31" t="s">
        <v>362</v>
      </c>
      <c r="C2015" s="20" t="s">
        <v>1764</v>
      </c>
      <c r="D2015" s="20" t="s">
        <v>1469</v>
      </c>
      <c r="E2015" s="20" t="s">
        <v>1549</v>
      </c>
      <c r="F2015" s="20" t="s">
        <v>1470</v>
      </c>
      <c r="G2015" s="22"/>
      <c r="J2015" s="3" t="s">
        <v>20</v>
      </c>
      <c r="K2015" s="3" t="s">
        <v>445</v>
      </c>
      <c r="L2015" s="3" t="s">
        <v>446</v>
      </c>
      <c r="M2015" s="3" t="s">
        <v>446</v>
      </c>
      <c r="N2015" s="3">
        <v>1262</v>
      </c>
    </row>
    <row r="2016" spans="1:14" s="3" customFormat="1" ht="16.2" hidden="1" outlineLevel="1" thickBot="1" x14ac:dyDescent="0.3">
      <c r="A2016" s="5"/>
      <c r="B2016" s="31"/>
      <c r="C2016" s="20"/>
      <c r="D2016" s="20"/>
      <c r="E2016" s="20"/>
      <c r="F2016" s="20"/>
      <c r="G2016" s="22"/>
      <c r="J2016" s="3" t="s">
        <v>10</v>
      </c>
      <c r="K2016" s="3" t="s">
        <v>445</v>
      </c>
      <c r="L2016" s="3" t="s">
        <v>446</v>
      </c>
      <c r="M2016" s="3" t="s">
        <v>446</v>
      </c>
      <c r="N2016" s="3">
        <v>1757</v>
      </c>
    </row>
    <row r="2017" spans="1:14" s="3" customFormat="1" hidden="1" outlineLevel="1" x14ac:dyDescent="0.25">
      <c r="A2017" s="5"/>
      <c r="B2017" s="401" t="s">
        <v>29</v>
      </c>
      <c r="C2017" s="402"/>
      <c r="D2017" s="402"/>
      <c r="E2017" s="402"/>
      <c r="F2017" s="402"/>
      <c r="G2017" s="403"/>
      <c r="K2017" s="3" t="s">
        <v>445</v>
      </c>
      <c r="L2017" s="3" t="s">
        <v>446</v>
      </c>
      <c r="M2017" s="3" t="s">
        <v>446</v>
      </c>
      <c r="N2017" s="3">
        <v>1752</v>
      </c>
    </row>
    <row r="2018" spans="1:14" s="3" customFormat="1" hidden="1" outlineLevel="1" x14ac:dyDescent="0.25">
      <c r="A2018" s="5"/>
      <c r="B2018" s="31" t="s">
        <v>1078</v>
      </c>
      <c r="C2018" s="20"/>
      <c r="D2018" s="20"/>
      <c r="E2018" s="20"/>
      <c r="F2018" s="20"/>
      <c r="G2018" s="22"/>
      <c r="K2018" s="3" t="s">
        <v>173</v>
      </c>
      <c r="L2018" s="3" t="s">
        <v>9</v>
      </c>
      <c r="M2018" s="3" t="s">
        <v>9</v>
      </c>
      <c r="N2018" s="3">
        <v>1756</v>
      </c>
    </row>
    <row r="2019" spans="1:14" s="3" customFormat="1" hidden="1" outlineLevel="1" x14ac:dyDescent="0.25">
      <c r="A2019" s="5"/>
      <c r="B2019" s="31" t="s">
        <v>1079</v>
      </c>
      <c r="C2019" s="20"/>
      <c r="D2019" s="20"/>
      <c r="E2019" s="20"/>
      <c r="F2019" s="20"/>
      <c r="G2019" s="22"/>
    </row>
    <row r="2020" spans="1:14" s="3" customFormat="1" ht="17.399999999999999" hidden="1" customHeight="1" outlineLevel="1" x14ac:dyDescent="0.25">
      <c r="A2020" s="5"/>
      <c r="B2020" s="31" t="s">
        <v>920</v>
      </c>
      <c r="C2020" s="20"/>
      <c r="D2020" s="20"/>
      <c r="E2020" s="20"/>
      <c r="F2020" s="20"/>
      <c r="G2020" s="22"/>
    </row>
    <row r="2021" spans="1:14" s="3" customFormat="1" hidden="1" outlineLevel="1" x14ac:dyDescent="0.25">
      <c r="A2021" s="5"/>
      <c r="B2021" s="31" t="s">
        <v>583</v>
      </c>
      <c r="C2021" s="20"/>
      <c r="D2021" s="20"/>
      <c r="E2021" s="20"/>
      <c r="F2021" s="20"/>
      <c r="G2021" s="22"/>
    </row>
    <row r="2022" spans="1:14" s="3" customFormat="1" hidden="1" outlineLevel="1" x14ac:dyDescent="0.25">
      <c r="A2022" s="5"/>
      <c r="B2022" s="31" t="s">
        <v>767</v>
      </c>
      <c r="C2022" s="20"/>
      <c r="D2022" s="20"/>
      <c r="E2022" s="20"/>
      <c r="F2022" s="20"/>
      <c r="G2022" s="22"/>
    </row>
    <row r="2023" spans="1:14" s="3" customFormat="1" hidden="1" outlineLevel="1" x14ac:dyDescent="0.25">
      <c r="A2023" s="5"/>
      <c r="B2023" s="31" t="s">
        <v>768</v>
      </c>
      <c r="C2023" s="20"/>
      <c r="D2023" s="20"/>
      <c r="E2023" s="20"/>
      <c r="F2023" s="20"/>
      <c r="G2023" s="22"/>
    </row>
    <row r="2024" spans="1:14" s="3" customFormat="1" hidden="1" outlineLevel="1" x14ac:dyDescent="0.25">
      <c r="A2024" s="5"/>
      <c r="B2024" s="31" t="s">
        <v>769</v>
      </c>
      <c r="C2024" s="20"/>
      <c r="D2024" s="20"/>
      <c r="E2024" s="20"/>
      <c r="F2024" s="20"/>
      <c r="G2024" s="22"/>
    </row>
    <row r="2025" spans="1:14" s="3" customFormat="1" hidden="1" outlineLevel="1" x14ac:dyDescent="0.25">
      <c r="A2025" s="5"/>
      <c r="B2025" s="31" t="s">
        <v>770</v>
      </c>
      <c r="C2025" s="20"/>
      <c r="D2025" s="20"/>
      <c r="E2025" s="20"/>
      <c r="F2025" s="20"/>
      <c r="G2025" s="22"/>
    </row>
    <row r="2026" spans="1:14" s="3" customFormat="1" hidden="1" outlineLevel="1" x14ac:dyDescent="0.25">
      <c r="A2026" s="5"/>
      <c r="B2026" s="31" t="s">
        <v>771</v>
      </c>
      <c r="C2026" s="20"/>
      <c r="D2026" s="20"/>
      <c r="E2026" s="20"/>
      <c r="F2026" s="20"/>
      <c r="G2026" s="22"/>
    </row>
    <row r="2027" spans="1:14" s="3" customFormat="1" hidden="1" outlineLevel="1" x14ac:dyDescent="0.25">
      <c r="A2027" s="5"/>
      <c r="B2027" s="31" t="s">
        <v>587</v>
      </c>
      <c r="C2027" s="20"/>
      <c r="D2027" s="20"/>
      <c r="E2027" s="20"/>
      <c r="F2027" s="20"/>
      <c r="G2027" s="22"/>
    </row>
    <row r="2028" spans="1:14" s="3" customFormat="1" hidden="1" outlineLevel="1" x14ac:dyDescent="0.25">
      <c r="A2028" s="5"/>
      <c r="B2028" s="31" t="s">
        <v>772</v>
      </c>
      <c r="C2028" s="20"/>
      <c r="D2028" s="20"/>
      <c r="E2028" s="20"/>
      <c r="F2028" s="20"/>
      <c r="G2028" s="22"/>
    </row>
    <row r="2029" spans="1:14" s="3" customFormat="1" hidden="1" outlineLevel="1" x14ac:dyDescent="0.25">
      <c r="A2029" s="5"/>
      <c r="B2029" s="31" t="s">
        <v>561</v>
      </c>
      <c r="C2029" s="20"/>
      <c r="D2029" s="20"/>
      <c r="E2029" s="20"/>
      <c r="F2029" s="20"/>
      <c r="G2029" s="22"/>
    </row>
    <row r="2030" spans="1:14" s="3" customFormat="1" hidden="1" outlineLevel="1" x14ac:dyDescent="0.25">
      <c r="A2030" s="5"/>
      <c r="B2030" s="31" t="s">
        <v>773</v>
      </c>
      <c r="C2030" s="20"/>
      <c r="D2030" s="20"/>
      <c r="E2030" s="20"/>
      <c r="F2030" s="20"/>
      <c r="G2030" s="22"/>
    </row>
    <row r="2031" spans="1:14" s="3" customFormat="1" hidden="1" outlineLevel="1" x14ac:dyDescent="0.25">
      <c r="A2031" s="5"/>
      <c r="B2031" s="31" t="s">
        <v>774</v>
      </c>
      <c r="C2031" s="20"/>
      <c r="D2031" s="20"/>
      <c r="E2031" s="20"/>
      <c r="F2031" s="20"/>
      <c r="G2031" s="22"/>
    </row>
    <row r="2032" spans="1:14" s="3" customFormat="1" hidden="1" outlineLevel="1" x14ac:dyDescent="0.25">
      <c r="A2032" s="5"/>
      <c r="B2032" s="31" t="s">
        <v>775</v>
      </c>
      <c r="C2032" s="20"/>
      <c r="D2032" s="20"/>
      <c r="E2032" s="20"/>
      <c r="F2032" s="20"/>
      <c r="G2032" s="22"/>
    </row>
    <row r="2033" spans="1:14" s="3" customFormat="1" hidden="1" outlineLevel="1" x14ac:dyDescent="0.25">
      <c r="A2033" s="5"/>
      <c r="B2033" s="31" t="s">
        <v>1075</v>
      </c>
      <c r="C2033" s="20"/>
      <c r="D2033" s="20"/>
      <c r="E2033" s="20"/>
      <c r="F2033" s="20"/>
      <c r="G2033" s="22"/>
    </row>
    <row r="2034" spans="1:14" s="3" customFormat="1" hidden="1" outlineLevel="1" x14ac:dyDescent="0.25">
      <c r="A2034" s="5"/>
      <c r="B2034" s="31" t="s">
        <v>1080</v>
      </c>
      <c r="C2034" s="20"/>
      <c r="D2034" s="20"/>
      <c r="E2034" s="20"/>
      <c r="F2034" s="20"/>
      <c r="G2034" s="22"/>
    </row>
    <row r="2035" spans="1:14" s="3" customFormat="1" hidden="1" outlineLevel="1" x14ac:dyDescent="0.25">
      <c r="A2035" s="5"/>
      <c r="B2035" s="31" t="s">
        <v>561</v>
      </c>
      <c r="C2035" s="20"/>
      <c r="D2035" s="20"/>
      <c r="E2035" s="20"/>
      <c r="F2035" s="20"/>
      <c r="G2035" s="22"/>
    </row>
    <row r="2036" spans="1:14" s="3" customFormat="1" ht="16.2" hidden="1" outlineLevel="1" thickBot="1" x14ac:dyDescent="0.3">
      <c r="A2036" s="5"/>
      <c r="B2036" s="52"/>
      <c r="C2036" s="53"/>
      <c r="D2036" s="53"/>
      <c r="E2036" s="53"/>
      <c r="F2036" s="53"/>
      <c r="G2036" s="54"/>
    </row>
    <row r="2037" spans="1:14" s="3" customFormat="1" ht="16.2" hidden="1" outlineLevel="1" thickBot="1" x14ac:dyDescent="0.3">
      <c r="A2037" s="5"/>
      <c r="B2037" s="5"/>
      <c r="C2037" s="5"/>
      <c r="D2037" s="5"/>
      <c r="E2037" s="5"/>
      <c r="F2037" s="5"/>
      <c r="G2037" s="5"/>
      <c r="H2037" s="5"/>
    </row>
    <row r="2038" spans="1:14" s="3" customFormat="1" ht="16.2" collapsed="1" thickBot="1" x14ac:dyDescent="0.3">
      <c r="A2038" s="5"/>
      <c r="B2038" s="15" t="s">
        <v>1279</v>
      </c>
      <c r="C2038" s="16" t="s">
        <v>2222</v>
      </c>
      <c r="D2038" s="17" t="s">
        <v>1281</v>
      </c>
      <c r="E2038" s="16" t="s">
        <v>1081</v>
      </c>
      <c r="F2038" s="17" t="s">
        <v>1282</v>
      </c>
      <c r="G2038" s="18" t="s">
        <v>2223</v>
      </c>
      <c r="I2038" s="5"/>
      <c r="J2038" s="5"/>
    </row>
    <row r="2039" spans="1:14" s="3" customFormat="1" hidden="1" outlineLevel="1" x14ac:dyDescent="0.25">
      <c r="A2039" s="5"/>
      <c r="B2039" s="19" t="s">
        <v>1284</v>
      </c>
      <c r="C2039" s="20" t="s">
        <v>1285</v>
      </c>
      <c r="D2039" s="21" t="s">
        <v>1286</v>
      </c>
      <c r="E2039" s="20" t="s">
        <v>2224</v>
      </c>
      <c r="F2039" s="21" t="s">
        <v>1288</v>
      </c>
      <c r="G2039" s="22"/>
    </row>
    <row r="2040" spans="1:14" s="5" customFormat="1" ht="16.2" hidden="1" outlineLevel="1" thickBot="1" x14ac:dyDescent="0.3">
      <c r="B2040" s="19" t="s">
        <v>1290</v>
      </c>
      <c r="C2040" s="23"/>
      <c r="D2040" s="21" t="s">
        <v>1292</v>
      </c>
      <c r="E2040" s="23">
        <v>5</v>
      </c>
      <c r="F2040" s="21" t="s">
        <v>1293</v>
      </c>
      <c r="G2040" s="24" t="s">
        <v>1294</v>
      </c>
      <c r="H2040" s="3"/>
      <c r="I2040" s="3"/>
      <c r="J2040" s="3"/>
    </row>
    <row r="2041" spans="1:14" s="3" customFormat="1" ht="17.399999999999999" hidden="1" customHeight="1" outlineLevel="1" x14ac:dyDescent="0.25">
      <c r="A2041" s="5"/>
      <c r="B2041" s="401" t="s">
        <v>1</v>
      </c>
      <c r="C2041" s="402"/>
      <c r="D2041" s="402"/>
      <c r="E2041" s="402"/>
      <c r="F2041" s="402"/>
      <c r="G2041" s="403"/>
    </row>
    <row r="2042" spans="1:14" s="3" customFormat="1" ht="17.399999999999999" hidden="1" customHeight="1" outlineLevel="1" x14ac:dyDescent="0.25">
      <c r="A2042" s="5"/>
      <c r="B2042" s="25" t="s">
        <v>2</v>
      </c>
      <c r="C2042" s="26" t="s">
        <v>3</v>
      </c>
      <c r="D2042" s="26" t="s">
        <v>4</v>
      </c>
      <c r="E2042" s="26" t="s">
        <v>5</v>
      </c>
      <c r="F2042" s="26"/>
      <c r="G2042" s="27" t="s">
        <v>6</v>
      </c>
    </row>
    <row r="2043" spans="1:14" s="3" customFormat="1" ht="17.399999999999999" hidden="1" customHeight="1" outlineLevel="1" x14ac:dyDescent="0.25">
      <c r="B2043" s="28" t="s">
        <v>112</v>
      </c>
      <c r="C2043" s="29" t="s">
        <v>1555</v>
      </c>
      <c r="D2043" s="29" t="s">
        <v>1469</v>
      </c>
      <c r="E2043" s="29">
        <v>0</v>
      </c>
      <c r="F2043" s="29" t="s">
        <v>1470</v>
      </c>
      <c r="G2043" s="30" t="s">
        <v>1556</v>
      </c>
    </row>
    <row r="2044" spans="1:14" s="3" customFormat="1" ht="17.399999999999999" hidden="1" customHeight="1" outlineLevel="1" x14ac:dyDescent="0.25">
      <c r="B2044" s="28" t="s">
        <v>13</v>
      </c>
      <c r="C2044" s="29" t="s">
        <v>1474</v>
      </c>
      <c r="D2044" s="29" t="s">
        <v>1469</v>
      </c>
      <c r="E2044" s="29">
        <v>0</v>
      </c>
      <c r="F2044" s="29" t="s">
        <v>1470</v>
      </c>
      <c r="G2044" s="30"/>
      <c r="J2044" s="3" t="s">
        <v>10</v>
      </c>
    </row>
    <row r="2045" spans="1:14" s="3" customFormat="1" ht="17.399999999999999" hidden="1" customHeight="1" outlineLevel="1" x14ac:dyDescent="0.25">
      <c r="B2045" s="28" t="s">
        <v>16</v>
      </c>
      <c r="C2045" s="29" t="s">
        <v>1479</v>
      </c>
      <c r="D2045" s="29" t="s">
        <v>1469</v>
      </c>
      <c r="E2045" s="29" t="s">
        <v>1480</v>
      </c>
      <c r="F2045" s="29" t="s">
        <v>1481</v>
      </c>
      <c r="G2045" s="30" t="s">
        <v>1482</v>
      </c>
      <c r="J2045" s="3" t="s">
        <v>10</v>
      </c>
    </row>
    <row r="2046" spans="1:14" s="3" customFormat="1" hidden="1" outlineLevel="1" x14ac:dyDescent="0.25">
      <c r="B2046" s="28" t="s">
        <v>302</v>
      </c>
      <c r="C2046" s="29" t="s">
        <v>1727</v>
      </c>
      <c r="D2046" s="29" t="s">
        <v>1606</v>
      </c>
      <c r="E2046" s="29" t="s">
        <v>1594</v>
      </c>
      <c r="F2046" s="29" t="s">
        <v>1470</v>
      </c>
      <c r="G2046" s="30"/>
      <c r="J2046" s="3" t="s">
        <v>10</v>
      </c>
      <c r="K2046" s="3" t="s">
        <v>173</v>
      </c>
      <c r="L2046" s="3" t="s">
        <v>9</v>
      </c>
      <c r="M2046" s="3" t="s">
        <v>9</v>
      </c>
      <c r="N2046" s="3">
        <v>1606</v>
      </c>
    </row>
    <row r="2047" spans="1:14" s="3" customFormat="1" hidden="1" outlineLevel="1" x14ac:dyDescent="0.25">
      <c r="B2047" s="28" t="s">
        <v>265</v>
      </c>
      <c r="C2047" s="29" t="s">
        <v>1692</v>
      </c>
      <c r="D2047" s="29" t="s">
        <v>1606</v>
      </c>
      <c r="E2047" s="29" t="s">
        <v>1594</v>
      </c>
      <c r="F2047" s="29" t="s">
        <v>1470</v>
      </c>
      <c r="G2047" s="30"/>
      <c r="J2047" s="3" t="s">
        <v>187</v>
      </c>
      <c r="K2047" s="3" t="s">
        <v>173</v>
      </c>
      <c r="L2047" s="3" t="s">
        <v>9</v>
      </c>
      <c r="M2047" s="3" t="s">
        <v>9</v>
      </c>
      <c r="N2047" s="3">
        <v>2534</v>
      </c>
    </row>
    <row r="2048" spans="1:14" s="3" customFormat="1" hidden="1" outlineLevel="1" x14ac:dyDescent="0.25">
      <c r="B2048" s="28" t="s">
        <v>538</v>
      </c>
      <c r="C2048" s="29" t="s">
        <v>2062</v>
      </c>
      <c r="D2048" s="29" t="s">
        <v>1606</v>
      </c>
      <c r="E2048" s="29" t="s">
        <v>1594</v>
      </c>
      <c r="F2048" s="29"/>
      <c r="G2048" s="30"/>
      <c r="J2048" s="3" t="s">
        <v>187</v>
      </c>
      <c r="K2048" s="3" t="s">
        <v>173</v>
      </c>
      <c r="L2048" s="3" t="s">
        <v>9</v>
      </c>
      <c r="M2048" s="3" t="s">
        <v>9</v>
      </c>
      <c r="N2048" s="3">
        <v>1211</v>
      </c>
    </row>
    <row r="2049" spans="1:14" s="3" customFormat="1" ht="16.2" hidden="1" outlineLevel="1" thickBot="1" x14ac:dyDescent="0.3">
      <c r="B2049" s="28"/>
      <c r="C2049" s="29"/>
      <c r="D2049" s="29"/>
      <c r="E2049" s="29"/>
      <c r="F2049" s="29"/>
      <c r="G2049" s="30"/>
      <c r="J2049" s="3" t="s">
        <v>187</v>
      </c>
      <c r="K2049" s="3" t="s">
        <v>438</v>
      </c>
      <c r="L2049" s="3" t="s">
        <v>537</v>
      </c>
      <c r="M2049" s="3" t="s">
        <v>187</v>
      </c>
      <c r="N2049" s="3">
        <v>1700</v>
      </c>
    </row>
    <row r="2050" spans="1:14" s="3" customFormat="1" hidden="1" outlineLevel="1" x14ac:dyDescent="0.25">
      <c r="B2050" s="389" t="s">
        <v>18</v>
      </c>
      <c r="C2050" s="390"/>
      <c r="D2050" s="390"/>
      <c r="E2050" s="390"/>
      <c r="F2050" s="390"/>
      <c r="G2050" s="391"/>
      <c r="H2050" s="5"/>
      <c r="J2050" s="3" t="s">
        <v>20</v>
      </c>
      <c r="K2050" s="3" t="s">
        <v>438</v>
      </c>
      <c r="L2050" s="3" t="s">
        <v>537</v>
      </c>
      <c r="M2050" s="3" t="s">
        <v>187</v>
      </c>
      <c r="N2050" s="3">
        <v>1114</v>
      </c>
    </row>
    <row r="2051" spans="1:14" s="3" customFormat="1" hidden="1" outlineLevel="1" x14ac:dyDescent="0.25">
      <c r="B2051" s="94" t="s">
        <v>2</v>
      </c>
      <c r="C2051" s="95" t="s">
        <v>3</v>
      </c>
      <c r="D2051" s="95" t="s">
        <v>4</v>
      </c>
      <c r="E2051" s="95" t="s">
        <v>5</v>
      </c>
      <c r="F2051" s="95"/>
      <c r="G2051" s="96" t="s">
        <v>6</v>
      </c>
      <c r="H2051" s="5"/>
      <c r="I2051" s="5"/>
      <c r="J2051" s="5" t="s">
        <v>20</v>
      </c>
      <c r="K2051" s="3" t="s">
        <v>438</v>
      </c>
      <c r="L2051" s="3" t="s">
        <v>537</v>
      </c>
      <c r="M2051" s="3" t="s">
        <v>187</v>
      </c>
      <c r="N2051" s="3">
        <v>1607</v>
      </c>
    </row>
    <row r="2052" spans="1:14" s="3" customFormat="1" hidden="1" outlineLevel="1" x14ac:dyDescent="0.25">
      <c r="B2052" s="28" t="s">
        <v>63</v>
      </c>
      <c r="C2052" s="29" t="s">
        <v>1526</v>
      </c>
      <c r="D2052" s="29" t="s">
        <v>1489</v>
      </c>
      <c r="E2052" s="29">
        <v>0</v>
      </c>
      <c r="F2052" s="29"/>
      <c r="G2052" s="30"/>
      <c r="I2052" s="5"/>
      <c r="J2052" s="5" t="s">
        <v>20</v>
      </c>
      <c r="K2052" s="3" t="s">
        <v>445</v>
      </c>
      <c r="L2052" s="3" t="s">
        <v>446</v>
      </c>
      <c r="M2052" s="3" t="s">
        <v>446</v>
      </c>
    </row>
    <row r="2053" spans="1:14" s="4" customFormat="1" ht="17.399999999999999" hidden="1" customHeight="1" outlineLevel="1" x14ac:dyDescent="0.35">
      <c r="A2053" s="3"/>
      <c r="B2053" s="28" t="s">
        <v>21</v>
      </c>
      <c r="C2053" s="29" t="s">
        <v>1487</v>
      </c>
      <c r="D2053" s="29" t="s">
        <v>1486</v>
      </c>
      <c r="E2053" s="29">
        <v>0</v>
      </c>
      <c r="F2053" s="29"/>
      <c r="G2053" s="30"/>
      <c r="H2053" s="3"/>
      <c r="I2053" s="3"/>
      <c r="J2053" s="3" t="s">
        <v>20</v>
      </c>
      <c r="K2053" s="5" t="s">
        <v>445</v>
      </c>
      <c r="L2053" s="5" t="s">
        <v>446</v>
      </c>
      <c r="M2053" s="5" t="s">
        <v>446</v>
      </c>
    </row>
    <row r="2054" spans="1:14" s="4" customFormat="1" hidden="1" outlineLevel="1" x14ac:dyDescent="0.35">
      <c r="A2054" s="3"/>
      <c r="B2054" s="28" t="s">
        <v>24</v>
      </c>
      <c r="C2054" s="29" t="s">
        <v>1491</v>
      </c>
      <c r="D2054" s="29" t="s">
        <v>1489</v>
      </c>
      <c r="E2054" s="29">
        <v>0</v>
      </c>
      <c r="F2054" s="29" t="s">
        <v>1470</v>
      </c>
      <c r="G2054" s="30"/>
      <c r="H2054" s="3"/>
      <c r="I2054" s="3"/>
      <c r="J2054" s="3" t="s">
        <v>20</v>
      </c>
      <c r="K2054" s="5" t="s">
        <v>445</v>
      </c>
      <c r="L2054" s="5" t="s">
        <v>446</v>
      </c>
      <c r="M2054" s="5" t="s">
        <v>446</v>
      </c>
    </row>
    <row r="2055" spans="1:14" s="3" customFormat="1" hidden="1" outlineLevel="1" x14ac:dyDescent="0.25">
      <c r="B2055" s="28" t="s">
        <v>26</v>
      </c>
      <c r="C2055" s="29" t="s">
        <v>1493</v>
      </c>
      <c r="D2055" s="29" t="s">
        <v>1494</v>
      </c>
      <c r="E2055" s="29">
        <v>0</v>
      </c>
      <c r="F2055" s="29" t="s">
        <v>1470</v>
      </c>
      <c r="G2055" s="30"/>
      <c r="J2055" s="3" t="s">
        <v>20</v>
      </c>
      <c r="K2055" s="3" t="s">
        <v>445</v>
      </c>
      <c r="L2055" s="3" t="s">
        <v>446</v>
      </c>
      <c r="M2055" s="3" t="s">
        <v>446</v>
      </c>
      <c r="N2055" s="3">
        <v>1682</v>
      </c>
    </row>
    <row r="2056" spans="1:14" s="3" customFormat="1" hidden="1" outlineLevel="1" x14ac:dyDescent="0.25">
      <c r="B2056" s="28" t="s">
        <v>22</v>
      </c>
      <c r="C2056" s="29" t="s">
        <v>1488</v>
      </c>
      <c r="D2056" s="29" t="s">
        <v>1489</v>
      </c>
      <c r="E2056" s="29">
        <v>0</v>
      </c>
      <c r="F2056" s="29" t="s">
        <v>1470</v>
      </c>
      <c r="G2056" s="30" t="s">
        <v>1490</v>
      </c>
      <c r="J2056" s="3" t="s">
        <v>20</v>
      </c>
      <c r="K2056" s="3" t="s">
        <v>445</v>
      </c>
      <c r="L2056" s="3" t="s">
        <v>446</v>
      </c>
      <c r="M2056" s="3" t="s">
        <v>446</v>
      </c>
      <c r="N2056" s="3">
        <v>1689</v>
      </c>
    </row>
    <row r="2057" spans="1:14" s="3" customFormat="1" hidden="1" outlineLevel="1" x14ac:dyDescent="0.25">
      <c r="B2057" s="28" t="s">
        <v>292</v>
      </c>
      <c r="C2057" s="29" t="s">
        <v>1719</v>
      </c>
      <c r="D2057" s="29" t="s">
        <v>1489</v>
      </c>
      <c r="E2057" s="29">
        <v>0</v>
      </c>
      <c r="F2057" s="29" t="s">
        <v>1470</v>
      </c>
      <c r="G2057" s="30"/>
      <c r="J2057" s="3" t="s">
        <v>20</v>
      </c>
      <c r="K2057" s="3" t="s">
        <v>445</v>
      </c>
      <c r="L2057" s="3" t="s">
        <v>446</v>
      </c>
      <c r="M2057" s="3" t="s">
        <v>446</v>
      </c>
      <c r="N2057" s="3">
        <v>2153</v>
      </c>
    </row>
    <row r="2058" spans="1:14" s="3" customFormat="1" ht="16.2" hidden="1" outlineLevel="1" thickBot="1" x14ac:dyDescent="0.3">
      <c r="B2058" s="28"/>
      <c r="C2058" s="29"/>
      <c r="D2058" s="29"/>
      <c r="E2058" s="29"/>
      <c r="F2058" s="29"/>
      <c r="G2058" s="30"/>
      <c r="J2058" s="3" t="s">
        <v>20</v>
      </c>
      <c r="K2058" s="3" t="s">
        <v>445</v>
      </c>
      <c r="L2058" s="3" t="s">
        <v>446</v>
      </c>
      <c r="M2058" s="3" t="s">
        <v>446</v>
      </c>
      <c r="N2058" s="3">
        <v>2183</v>
      </c>
    </row>
    <row r="2059" spans="1:14" s="3" customFormat="1" hidden="1" outlineLevel="1" x14ac:dyDescent="0.25">
      <c r="B2059" s="389" t="s">
        <v>28</v>
      </c>
      <c r="C2059" s="390"/>
      <c r="D2059" s="390"/>
      <c r="E2059" s="390"/>
      <c r="F2059" s="390"/>
      <c r="G2059" s="391"/>
      <c r="H2059" s="5"/>
      <c r="J2059" s="3" t="s">
        <v>20</v>
      </c>
      <c r="K2059" s="3" t="s">
        <v>445</v>
      </c>
      <c r="L2059" s="3" t="s">
        <v>446</v>
      </c>
      <c r="M2059" s="3" t="s">
        <v>446</v>
      </c>
      <c r="N2059" s="3">
        <v>2052</v>
      </c>
    </row>
    <row r="2060" spans="1:14" s="3" customFormat="1" hidden="1" outlineLevel="1" x14ac:dyDescent="0.25">
      <c r="B2060" s="32" t="s">
        <v>2</v>
      </c>
      <c r="C2060" s="33" t="s">
        <v>3</v>
      </c>
      <c r="D2060" s="33" t="s">
        <v>4</v>
      </c>
      <c r="E2060" s="33"/>
      <c r="F2060" s="33"/>
      <c r="G2060" s="34" t="s">
        <v>6</v>
      </c>
      <c r="H2060" s="5"/>
      <c r="I2060" s="5"/>
      <c r="J2060" s="5" t="s">
        <v>10</v>
      </c>
      <c r="K2060" s="3" t="s">
        <v>445</v>
      </c>
      <c r="L2060" s="3" t="s">
        <v>446</v>
      </c>
      <c r="M2060" s="3" t="s">
        <v>446</v>
      </c>
      <c r="N2060" s="3">
        <v>1781</v>
      </c>
    </row>
    <row r="2061" spans="1:14" s="3" customFormat="1" hidden="1" outlineLevel="1" x14ac:dyDescent="0.25">
      <c r="B2061" s="28" t="s">
        <v>76</v>
      </c>
      <c r="C2061" s="29" t="s">
        <v>1532</v>
      </c>
      <c r="D2061" s="29" t="s">
        <v>1489</v>
      </c>
      <c r="E2061" s="29">
        <v>0</v>
      </c>
      <c r="F2061" s="29"/>
      <c r="G2061" s="30"/>
      <c r="I2061" s="5"/>
      <c r="J2061" s="5" t="s">
        <v>187</v>
      </c>
      <c r="K2061" s="3" t="s">
        <v>445</v>
      </c>
      <c r="L2061" s="3" t="s">
        <v>446</v>
      </c>
      <c r="M2061" s="3" t="s">
        <v>446</v>
      </c>
    </row>
    <row r="2062" spans="1:14" s="4" customFormat="1" ht="17.399999999999999" hidden="1" customHeight="1" outlineLevel="1" x14ac:dyDescent="0.35">
      <c r="A2062" s="3"/>
      <c r="B2062" s="28" t="s">
        <v>1082</v>
      </c>
      <c r="C2062" s="29" t="s">
        <v>2274</v>
      </c>
      <c r="D2062" s="29" t="s">
        <v>1469</v>
      </c>
      <c r="E2062" s="29">
        <v>0</v>
      </c>
      <c r="F2062" s="29" t="s">
        <v>1476</v>
      </c>
      <c r="G2062" s="30"/>
      <c r="H2062" s="3"/>
      <c r="I2062" s="3"/>
      <c r="J2062" s="3" t="s">
        <v>20</v>
      </c>
      <c r="K2062" s="5" t="s">
        <v>173</v>
      </c>
      <c r="L2062" s="5" t="s">
        <v>9</v>
      </c>
      <c r="M2062" s="5" t="s">
        <v>9</v>
      </c>
    </row>
    <row r="2063" spans="1:14" s="4" customFormat="1" hidden="1" outlineLevel="1" x14ac:dyDescent="0.35">
      <c r="A2063" s="3"/>
      <c r="B2063" s="28" t="s">
        <v>203</v>
      </c>
      <c r="C2063" s="29" t="s">
        <v>1635</v>
      </c>
      <c r="D2063" s="29" t="s">
        <v>1636</v>
      </c>
      <c r="E2063" s="29" t="s">
        <v>1637</v>
      </c>
      <c r="F2063" s="29" t="s">
        <v>1476</v>
      </c>
      <c r="G2063" s="30"/>
      <c r="H2063" s="3"/>
      <c r="I2063" s="3"/>
      <c r="J2063" s="3" t="s">
        <v>10</v>
      </c>
      <c r="K2063" s="5" t="s">
        <v>438</v>
      </c>
      <c r="L2063" s="5" t="s">
        <v>537</v>
      </c>
      <c r="M2063" s="5" t="s">
        <v>187</v>
      </c>
    </row>
    <row r="2064" spans="1:14" s="3" customFormat="1" ht="16.2" hidden="1" outlineLevel="1" thickBot="1" x14ac:dyDescent="0.3">
      <c r="B2064" s="28"/>
      <c r="C2064" s="29"/>
      <c r="D2064" s="29"/>
      <c r="E2064" s="29"/>
      <c r="F2064" s="29"/>
      <c r="G2064" s="30"/>
      <c r="J2064" s="3" t="s">
        <v>187</v>
      </c>
      <c r="K2064" s="3" t="s">
        <v>445</v>
      </c>
      <c r="L2064" s="3" t="s">
        <v>446</v>
      </c>
      <c r="M2064" s="3" t="s">
        <v>446</v>
      </c>
      <c r="N2064" s="3">
        <v>1757</v>
      </c>
    </row>
    <row r="2065" spans="1:14" s="3" customFormat="1" hidden="1" outlineLevel="1" x14ac:dyDescent="0.25">
      <c r="B2065" s="392" t="s">
        <v>29</v>
      </c>
      <c r="C2065" s="393"/>
      <c r="D2065" s="393"/>
      <c r="E2065" s="393"/>
      <c r="F2065" s="393"/>
      <c r="G2065" s="394"/>
      <c r="H2065" s="5"/>
      <c r="K2065" s="3" t="s">
        <v>173</v>
      </c>
      <c r="L2065" s="3" t="s">
        <v>9</v>
      </c>
      <c r="M2065" s="3" t="s">
        <v>9</v>
      </c>
      <c r="N2065" s="3">
        <v>2545</v>
      </c>
    </row>
    <row r="2066" spans="1:14" s="3" customFormat="1" hidden="1" outlineLevel="1" x14ac:dyDescent="0.25">
      <c r="B2066" s="28" t="s">
        <v>1083</v>
      </c>
      <c r="C2066" s="29"/>
      <c r="D2066" s="29"/>
      <c r="E2066" s="29"/>
      <c r="F2066" s="29"/>
      <c r="G2066" s="30"/>
      <c r="I2066" s="5"/>
      <c r="J2066" s="5"/>
      <c r="K2066" s="3" t="s">
        <v>438</v>
      </c>
      <c r="L2066" s="3" t="s">
        <v>537</v>
      </c>
      <c r="M2066" s="3" t="s">
        <v>187</v>
      </c>
      <c r="N2066" s="3">
        <v>1041</v>
      </c>
    </row>
    <row r="2067" spans="1:14" s="3" customFormat="1" hidden="1" outlineLevel="1" x14ac:dyDescent="0.25">
      <c r="B2067" s="28" t="s">
        <v>1084</v>
      </c>
      <c r="C2067" s="29"/>
      <c r="D2067" s="29"/>
      <c r="E2067" s="29"/>
      <c r="F2067" s="29"/>
      <c r="G2067" s="30"/>
    </row>
    <row r="2068" spans="1:14" s="4" customFormat="1" ht="17.399999999999999" hidden="1" customHeight="1" outlineLevel="1" x14ac:dyDescent="0.35">
      <c r="A2068" s="3"/>
      <c r="B2068" s="28" t="s">
        <v>1085</v>
      </c>
      <c r="C2068" s="29"/>
      <c r="D2068" s="29"/>
      <c r="E2068" s="29"/>
      <c r="F2068" s="29"/>
      <c r="G2068" s="30"/>
      <c r="H2068" s="3"/>
      <c r="I2068" s="3"/>
      <c r="J2068" s="3"/>
      <c r="K2068" s="5"/>
      <c r="L2068" s="5"/>
      <c r="M2068" s="5"/>
    </row>
    <row r="2069" spans="1:14" s="3" customFormat="1" hidden="1" outlineLevel="1" x14ac:dyDescent="0.25">
      <c r="B2069" s="28" t="s">
        <v>1086</v>
      </c>
      <c r="C2069" s="29"/>
      <c r="D2069" s="29"/>
      <c r="E2069" s="29"/>
      <c r="F2069" s="29"/>
      <c r="G2069" s="30"/>
    </row>
    <row r="2070" spans="1:14" s="3" customFormat="1" hidden="1" outlineLevel="1" x14ac:dyDescent="0.25">
      <c r="B2070" s="28" t="s">
        <v>1087</v>
      </c>
      <c r="C2070" s="29"/>
      <c r="D2070" s="29"/>
      <c r="E2070" s="29"/>
      <c r="F2070" s="29"/>
      <c r="G2070" s="30"/>
    </row>
    <row r="2071" spans="1:14" s="3" customFormat="1" hidden="1" outlineLevel="1" x14ac:dyDescent="0.25">
      <c r="B2071" s="28" t="s">
        <v>1088</v>
      </c>
      <c r="C2071" s="29"/>
      <c r="D2071" s="29"/>
      <c r="E2071" s="29"/>
      <c r="F2071" s="29"/>
      <c r="G2071" s="30"/>
    </row>
    <row r="2072" spans="1:14" s="3" customFormat="1" hidden="1" outlineLevel="1" x14ac:dyDescent="0.25">
      <c r="B2072" s="28" t="s">
        <v>1089</v>
      </c>
      <c r="C2072" s="29"/>
      <c r="D2072" s="29"/>
      <c r="E2072" s="29"/>
      <c r="F2072" s="29"/>
      <c r="G2072" s="30"/>
    </row>
    <row r="2073" spans="1:14" s="3" customFormat="1" hidden="1" outlineLevel="1" x14ac:dyDescent="0.25">
      <c r="B2073" s="28" t="s">
        <v>1090</v>
      </c>
      <c r="C2073" s="29"/>
      <c r="D2073" s="29"/>
      <c r="E2073" s="29"/>
      <c r="F2073" s="29"/>
      <c r="G2073" s="30"/>
    </row>
    <row r="2074" spans="1:14" s="3" customFormat="1" hidden="1" outlineLevel="1" x14ac:dyDescent="0.25">
      <c r="B2074" s="28"/>
      <c r="C2074" s="29"/>
      <c r="D2074" s="29"/>
      <c r="E2074" s="29"/>
      <c r="F2074" s="29"/>
      <c r="G2074" s="30"/>
    </row>
    <row r="2075" spans="1:14" s="3" customFormat="1" hidden="1" outlineLevel="1" x14ac:dyDescent="0.25">
      <c r="B2075" s="28" t="s">
        <v>1078</v>
      </c>
      <c r="C2075" s="29"/>
      <c r="D2075" s="29"/>
      <c r="E2075" s="29"/>
      <c r="F2075" s="29"/>
      <c r="G2075" s="30"/>
    </row>
    <row r="2076" spans="1:14" s="3" customFormat="1" hidden="1" outlineLevel="1" x14ac:dyDescent="0.25">
      <c r="B2076" s="28" t="s">
        <v>1091</v>
      </c>
      <c r="C2076" s="29"/>
      <c r="D2076" s="29"/>
      <c r="E2076" s="29"/>
      <c r="F2076" s="29"/>
      <c r="G2076" s="30"/>
    </row>
    <row r="2077" spans="1:14" s="3" customFormat="1" hidden="1" outlineLevel="1" x14ac:dyDescent="0.25">
      <c r="B2077" s="28" t="s">
        <v>1092</v>
      </c>
      <c r="C2077" s="29"/>
      <c r="D2077" s="29"/>
      <c r="E2077" s="29"/>
      <c r="F2077" s="29"/>
      <c r="G2077" s="30"/>
    </row>
    <row r="2078" spans="1:14" s="3" customFormat="1" hidden="1" outlineLevel="1" x14ac:dyDescent="0.25">
      <c r="B2078" s="28" t="s">
        <v>1093</v>
      </c>
      <c r="C2078" s="29"/>
      <c r="D2078" s="29"/>
      <c r="E2078" s="29"/>
      <c r="F2078" s="29"/>
      <c r="G2078" s="30"/>
    </row>
    <row r="2079" spans="1:14" s="3" customFormat="1" hidden="1" outlineLevel="1" x14ac:dyDescent="0.25">
      <c r="B2079" s="28" t="s">
        <v>1094</v>
      </c>
      <c r="C2079" s="29"/>
      <c r="D2079" s="29"/>
      <c r="E2079" s="29"/>
      <c r="F2079" s="29"/>
      <c r="G2079" s="30"/>
    </row>
    <row r="2080" spans="1:14" s="3" customFormat="1" hidden="1" outlineLevel="1" x14ac:dyDescent="0.25">
      <c r="B2080" s="28" t="s">
        <v>1095</v>
      </c>
      <c r="C2080" s="29"/>
      <c r="D2080" s="29"/>
      <c r="E2080" s="29"/>
      <c r="F2080" s="29"/>
      <c r="G2080" s="30"/>
    </row>
    <row r="2081" spans="2:7" s="3" customFormat="1" hidden="1" outlineLevel="1" x14ac:dyDescent="0.25">
      <c r="B2081" s="28" t="s">
        <v>1096</v>
      </c>
      <c r="C2081" s="29"/>
      <c r="D2081" s="29"/>
      <c r="E2081" s="29"/>
      <c r="F2081" s="29"/>
      <c r="G2081" s="30"/>
    </row>
    <row r="2082" spans="2:7" s="3" customFormat="1" hidden="1" outlineLevel="1" x14ac:dyDescent="0.25">
      <c r="B2082" s="28" t="s">
        <v>1097</v>
      </c>
      <c r="C2082" s="29"/>
      <c r="D2082" s="29"/>
      <c r="E2082" s="29"/>
      <c r="F2082" s="29"/>
      <c r="G2082" s="30"/>
    </row>
    <row r="2083" spans="2:7" s="3" customFormat="1" hidden="1" outlineLevel="1" x14ac:dyDescent="0.25">
      <c r="B2083" s="28" t="s">
        <v>1098</v>
      </c>
      <c r="C2083" s="29"/>
      <c r="D2083" s="29"/>
      <c r="E2083" s="29"/>
      <c r="F2083" s="29"/>
      <c r="G2083" s="30"/>
    </row>
    <row r="2084" spans="2:7" s="3" customFormat="1" hidden="1" outlineLevel="1" x14ac:dyDescent="0.25">
      <c r="B2084" s="28" t="s">
        <v>561</v>
      </c>
      <c r="C2084" s="29"/>
      <c r="D2084" s="29"/>
      <c r="E2084" s="29"/>
      <c r="F2084" s="29"/>
      <c r="G2084" s="30"/>
    </row>
    <row r="2085" spans="2:7" s="3" customFormat="1" hidden="1" outlineLevel="1" x14ac:dyDescent="0.25">
      <c r="B2085" s="28" t="s">
        <v>1099</v>
      </c>
      <c r="C2085" s="29"/>
      <c r="D2085" s="29"/>
      <c r="E2085" s="29"/>
      <c r="F2085" s="29"/>
      <c r="G2085" s="30"/>
    </row>
    <row r="2086" spans="2:7" s="3" customFormat="1" hidden="1" outlineLevel="1" x14ac:dyDescent="0.25">
      <c r="B2086" s="28" t="s">
        <v>1100</v>
      </c>
      <c r="C2086" s="29"/>
      <c r="D2086" s="29"/>
      <c r="E2086" s="29"/>
      <c r="F2086" s="29"/>
      <c r="G2086" s="30" t="s">
        <v>1101</v>
      </c>
    </row>
    <row r="2087" spans="2:7" s="3" customFormat="1" hidden="1" outlineLevel="1" x14ac:dyDescent="0.25">
      <c r="B2087" s="28" t="s">
        <v>920</v>
      </c>
      <c r="C2087" s="29"/>
      <c r="D2087" s="29"/>
      <c r="E2087" s="29"/>
      <c r="F2087" s="29"/>
      <c r="G2087" s="30"/>
    </row>
    <row r="2088" spans="2:7" s="3" customFormat="1" hidden="1" outlineLevel="1" x14ac:dyDescent="0.25">
      <c r="B2088" s="28" t="s">
        <v>583</v>
      </c>
      <c r="C2088" s="29"/>
      <c r="D2088" s="29"/>
      <c r="E2088" s="29"/>
      <c r="F2088" s="29"/>
      <c r="G2088" s="30"/>
    </row>
    <row r="2089" spans="2:7" s="3" customFormat="1" hidden="1" outlineLevel="1" x14ac:dyDescent="0.25">
      <c r="B2089" s="28" t="s">
        <v>767</v>
      </c>
      <c r="C2089" s="29"/>
      <c r="D2089" s="29"/>
      <c r="E2089" s="29"/>
      <c r="F2089" s="29"/>
      <c r="G2089" s="30"/>
    </row>
    <row r="2090" spans="2:7" s="3" customFormat="1" hidden="1" outlineLevel="1" x14ac:dyDescent="0.25">
      <c r="B2090" s="28" t="s">
        <v>768</v>
      </c>
      <c r="C2090" s="29"/>
      <c r="D2090" s="29"/>
      <c r="E2090" s="29"/>
      <c r="F2090" s="29"/>
      <c r="G2090" s="30"/>
    </row>
    <row r="2091" spans="2:7" s="3" customFormat="1" hidden="1" outlineLevel="1" x14ac:dyDescent="0.25">
      <c r="B2091" s="28" t="s">
        <v>769</v>
      </c>
      <c r="C2091" s="29"/>
      <c r="D2091" s="29"/>
      <c r="E2091" s="29"/>
      <c r="F2091" s="29"/>
      <c r="G2091" s="30"/>
    </row>
    <row r="2092" spans="2:7" s="3" customFormat="1" hidden="1" outlineLevel="1" x14ac:dyDescent="0.25">
      <c r="B2092" s="28" t="s">
        <v>770</v>
      </c>
      <c r="C2092" s="29"/>
      <c r="D2092" s="29"/>
      <c r="E2092" s="29"/>
      <c r="F2092" s="29"/>
      <c r="G2092" s="30"/>
    </row>
    <row r="2093" spans="2:7" s="3" customFormat="1" hidden="1" outlineLevel="1" x14ac:dyDescent="0.25">
      <c r="B2093" s="28" t="s">
        <v>771</v>
      </c>
      <c r="C2093" s="29"/>
      <c r="D2093" s="29"/>
      <c r="E2093" s="29"/>
      <c r="F2093" s="29"/>
      <c r="G2093" s="30"/>
    </row>
    <row r="2094" spans="2:7" s="3" customFormat="1" hidden="1" outlineLevel="1" x14ac:dyDescent="0.25">
      <c r="B2094" s="28" t="s">
        <v>587</v>
      </c>
      <c r="C2094" s="29"/>
      <c r="D2094" s="29"/>
      <c r="E2094" s="29"/>
      <c r="F2094" s="29"/>
      <c r="G2094" s="30"/>
    </row>
    <row r="2095" spans="2:7" s="3" customFormat="1" hidden="1" outlineLevel="1" x14ac:dyDescent="0.25">
      <c r="B2095" s="28" t="s">
        <v>772</v>
      </c>
      <c r="C2095" s="29"/>
      <c r="D2095" s="29"/>
      <c r="E2095" s="29"/>
      <c r="F2095" s="29"/>
      <c r="G2095" s="30"/>
    </row>
    <row r="2096" spans="2:7" s="3" customFormat="1" hidden="1" outlineLevel="1" x14ac:dyDescent="0.25">
      <c r="B2096" s="28" t="s">
        <v>561</v>
      </c>
      <c r="C2096" s="29"/>
      <c r="D2096" s="29"/>
      <c r="E2096" s="29"/>
      <c r="F2096" s="29"/>
      <c r="G2096" s="30"/>
    </row>
    <row r="2097" spans="2:7" s="3" customFormat="1" hidden="1" outlineLevel="1" x14ac:dyDescent="0.25">
      <c r="B2097" s="28" t="s">
        <v>773</v>
      </c>
      <c r="C2097" s="29"/>
      <c r="D2097" s="29"/>
      <c r="E2097" s="29"/>
      <c r="F2097" s="29"/>
      <c r="G2097" s="30"/>
    </row>
    <row r="2098" spans="2:7" s="3" customFormat="1" hidden="1" outlineLevel="1" x14ac:dyDescent="0.25">
      <c r="B2098" s="28" t="s">
        <v>774</v>
      </c>
      <c r="C2098" s="29"/>
      <c r="D2098" s="29"/>
      <c r="E2098" s="29"/>
      <c r="F2098" s="29"/>
      <c r="G2098" s="30"/>
    </row>
    <row r="2099" spans="2:7" s="3" customFormat="1" hidden="1" outlineLevel="1" x14ac:dyDescent="0.25">
      <c r="B2099" s="28" t="s">
        <v>775</v>
      </c>
      <c r="C2099" s="29"/>
      <c r="D2099" s="29"/>
      <c r="E2099" s="29"/>
      <c r="F2099" s="29"/>
      <c r="G2099" s="30"/>
    </row>
    <row r="2100" spans="2:7" s="3" customFormat="1" hidden="1" outlineLevel="1" x14ac:dyDescent="0.25">
      <c r="B2100" s="28" t="s">
        <v>1102</v>
      </c>
      <c r="C2100" s="29"/>
      <c r="D2100" s="29"/>
      <c r="E2100" s="29"/>
      <c r="F2100" s="29"/>
      <c r="G2100" s="30"/>
    </row>
    <row r="2101" spans="2:7" s="3" customFormat="1" hidden="1" outlineLevel="1" x14ac:dyDescent="0.25">
      <c r="B2101" s="28" t="s">
        <v>1103</v>
      </c>
      <c r="C2101" s="29"/>
      <c r="D2101" s="29"/>
      <c r="E2101" s="29"/>
      <c r="F2101" s="29"/>
      <c r="G2101" s="30"/>
    </row>
    <row r="2102" spans="2:7" s="3" customFormat="1" hidden="1" outlineLevel="1" x14ac:dyDescent="0.25">
      <c r="B2102" s="28" t="s">
        <v>1104</v>
      </c>
      <c r="C2102" s="29"/>
      <c r="D2102" s="29"/>
      <c r="E2102" s="29"/>
      <c r="F2102" s="29"/>
      <c r="G2102" s="30"/>
    </row>
    <row r="2103" spans="2:7" s="3" customFormat="1" hidden="1" outlineLevel="1" x14ac:dyDescent="0.25">
      <c r="B2103" s="28" t="s">
        <v>1105</v>
      </c>
      <c r="C2103" s="29"/>
      <c r="D2103" s="29"/>
      <c r="E2103" s="29"/>
      <c r="F2103" s="29"/>
      <c r="G2103" s="30"/>
    </row>
    <row r="2104" spans="2:7" s="3" customFormat="1" hidden="1" outlineLevel="1" x14ac:dyDescent="0.25">
      <c r="B2104" s="28" t="s">
        <v>1092</v>
      </c>
      <c r="C2104" s="29"/>
      <c r="D2104" s="29"/>
      <c r="E2104" s="29"/>
      <c r="F2104" s="29"/>
      <c r="G2104" s="30"/>
    </row>
    <row r="2105" spans="2:7" s="3" customFormat="1" hidden="1" outlineLevel="1" x14ac:dyDescent="0.25">
      <c r="B2105" s="28" t="s">
        <v>1093</v>
      </c>
      <c r="C2105" s="29"/>
      <c r="D2105" s="29"/>
      <c r="E2105" s="29"/>
      <c r="F2105" s="29"/>
      <c r="G2105" s="30"/>
    </row>
    <row r="2106" spans="2:7" s="3" customFormat="1" hidden="1" outlineLevel="1" x14ac:dyDescent="0.25">
      <c r="B2106" s="28" t="s">
        <v>1094</v>
      </c>
      <c r="C2106" s="29"/>
      <c r="D2106" s="29"/>
      <c r="E2106" s="29"/>
      <c r="F2106" s="29"/>
      <c r="G2106" s="30"/>
    </row>
    <row r="2107" spans="2:7" s="3" customFormat="1" hidden="1" outlineLevel="1" x14ac:dyDescent="0.25">
      <c r="B2107" s="28" t="s">
        <v>1095</v>
      </c>
      <c r="C2107" s="29"/>
      <c r="D2107" s="29"/>
      <c r="E2107" s="29"/>
      <c r="F2107" s="29"/>
      <c r="G2107" s="30"/>
    </row>
    <row r="2108" spans="2:7" s="3" customFormat="1" hidden="1" outlineLevel="1" x14ac:dyDescent="0.25">
      <c r="B2108" s="28" t="s">
        <v>1096</v>
      </c>
      <c r="C2108" s="29"/>
      <c r="D2108" s="29"/>
      <c r="E2108" s="29"/>
      <c r="F2108" s="29"/>
      <c r="G2108" s="30"/>
    </row>
    <row r="2109" spans="2:7" s="3" customFormat="1" hidden="1" outlineLevel="1" x14ac:dyDescent="0.25">
      <c r="B2109" s="28" t="s">
        <v>1097</v>
      </c>
      <c r="C2109" s="29"/>
      <c r="D2109" s="29"/>
      <c r="E2109" s="29"/>
      <c r="F2109" s="29"/>
      <c r="G2109" s="30"/>
    </row>
    <row r="2110" spans="2:7" s="3" customFormat="1" hidden="1" outlineLevel="1" x14ac:dyDescent="0.25">
      <c r="B2110" s="28" t="s">
        <v>1098</v>
      </c>
      <c r="C2110" s="29"/>
      <c r="D2110" s="29"/>
      <c r="E2110" s="29"/>
      <c r="F2110" s="29"/>
      <c r="G2110" s="30"/>
    </row>
    <row r="2111" spans="2:7" s="3" customFormat="1" hidden="1" outlineLevel="1" x14ac:dyDescent="0.25">
      <c r="B2111" s="28" t="s">
        <v>561</v>
      </c>
      <c r="C2111" s="29"/>
      <c r="D2111" s="29"/>
      <c r="E2111" s="29"/>
      <c r="F2111" s="29"/>
      <c r="G2111" s="30"/>
    </row>
    <row r="2112" spans="2:7" s="3" customFormat="1" hidden="1" outlineLevel="1" x14ac:dyDescent="0.25">
      <c r="B2112" s="28" t="s">
        <v>1099</v>
      </c>
      <c r="C2112" s="29"/>
      <c r="D2112" s="29"/>
      <c r="E2112" s="29"/>
      <c r="F2112" s="29"/>
      <c r="G2112" s="30"/>
    </row>
    <row r="2113" spans="1:10" s="3" customFormat="1" hidden="1" outlineLevel="1" x14ac:dyDescent="0.25">
      <c r="B2113" s="28" t="s">
        <v>1106</v>
      </c>
      <c r="C2113" s="29"/>
      <c r="D2113" s="29"/>
      <c r="E2113" s="29"/>
      <c r="F2113" s="29"/>
      <c r="G2113" s="30"/>
    </row>
    <row r="2114" spans="1:10" s="3" customFormat="1" hidden="1" outlineLevel="1" x14ac:dyDescent="0.25">
      <c r="B2114" s="28" t="s">
        <v>1107</v>
      </c>
      <c r="C2114" s="29"/>
      <c r="D2114" s="29"/>
      <c r="E2114" s="29"/>
      <c r="F2114" s="29"/>
      <c r="G2114" s="30"/>
    </row>
    <row r="2115" spans="1:10" s="3" customFormat="1" hidden="1" outlineLevel="1" x14ac:dyDescent="0.25">
      <c r="B2115" s="28" t="s">
        <v>1108</v>
      </c>
      <c r="C2115" s="29"/>
      <c r="D2115" s="29"/>
      <c r="E2115" s="29"/>
      <c r="F2115" s="29"/>
      <c r="G2115" s="30"/>
    </row>
    <row r="2116" spans="1:10" s="3" customFormat="1" hidden="1" outlineLevel="1" x14ac:dyDescent="0.25">
      <c r="B2116" s="28" t="s">
        <v>1109</v>
      </c>
      <c r="C2116" s="29"/>
      <c r="D2116" s="29"/>
      <c r="E2116" s="29"/>
      <c r="F2116" s="29"/>
      <c r="G2116" s="30"/>
    </row>
    <row r="2117" spans="1:10" s="3" customFormat="1" hidden="1" outlineLevel="1" x14ac:dyDescent="0.25">
      <c r="B2117" s="28" t="s">
        <v>1110</v>
      </c>
      <c r="C2117" s="29"/>
      <c r="D2117" s="29"/>
      <c r="E2117" s="29"/>
      <c r="F2117" s="29"/>
      <c r="G2117" s="30"/>
    </row>
    <row r="2118" spans="1:10" s="3" customFormat="1" hidden="1" outlineLevel="1" x14ac:dyDescent="0.25">
      <c r="B2118" s="28" t="s">
        <v>1111</v>
      </c>
      <c r="C2118" s="29"/>
      <c r="D2118" s="29"/>
      <c r="E2118" s="29"/>
      <c r="F2118" s="29"/>
      <c r="G2118" s="30"/>
    </row>
    <row r="2119" spans="1:10" s="3" customFormat="1" hidden="1" outlineLevel="1" x14ac:dyDescent="0.25">
      <c r="B2119" s="28" t="s">
        <v>561</v>
      </c>
      <c r="C2119" s="29"/>
      <c r="D2119" s="29"/>
      <c r="E2119" s="29"/>
      <c r="F2119" s="29"/>
      <c r="G2119" s="30"/>
    </row>
    <row r="2120" spans="1:10" s="3" customFormat="1" hidden="1" outlineLevel="1" x14ac:dyDescent="0.25">
      <c r="B2120" s="28" t="s">
        <v>561</v>
      </c>
      <c r="C2120" s="29"/>
      <c r="D2120" s="29"/>
      <c r="E2120" s="29"/>
      <c r="F2120" s="29"/>
      <c r="G2120" s="30"/>
    </row>
    <row r="2121" spans="1:10" s="3" customFormat="1" hidden="1" outlineLevel="1" x14ac:dyDescent="0.25">
      <c r="A2121" s="14"/>
      <c r="B2121" s="14"/>
      <c r="C2121" s="14"/>
      <c r="D2121" s="14"/>
      <c r="E2121" s="14"/>
      <c r="F2121" s="14"/>
      <c r="G2121" s="14"/>
      <c r="H2121" s="14"/>
    </row>
    <row r="2122" spans="1:10" s="3" customFormat="1" hidden="1" outlineLevel="1" x14ac:dyDescent="0.25">
      <c r="A2122" s="5"/>
      <c r="B2122" s="5"/>
      <c r="C2122" s="5"/>
      <c r="D2122" s="5"/>
      <c r="E2122" s="5"/>
      <c r="F2122" s="5"/>
      <c r="G2122" s="5"/>
      <c r="H2122" s="5"/>
      <c r="I2122" s="14"/>
      <c r="J2122" s="14"/>
    </row>
    <row r="2123" spans="1:10" s="3" customFormat="1" ht="16.2" hidden="1" outlineLevel="1" thickBot="1" x14ac:dyDescent="0.3">
      <c r="A2123" s="14"/>
      <c r="B2123" s="14"/>
      <c r="C2123" s="14"/>
      <c r="D2123" s="14"/>
      <c r="E2123" s="14"/>
      <c r="F2123" s="14"/>
      <c r="G2123" s="14"/>
      <c r="H2123" s="14"/>
      <c r="I2123" s="5"/>
      <c r="J2123" s="5"/>
    </row>
    <row r="2124" spans="1:10" ht="16.2" collapsed="1" thickBot="1" x14ac:dyDescent="0.3">
      <c r="A2124" s="5"/>
      <c r="B2124" s="15" t="s">
        <v>1279</v>
      </c>
      <c r="C2124" s="16" t="s">
        <v>2225</v>
      </c>
      <c r="D2124" s="17" t="s">
        <v>1281</v>
      </c>
      <c r="E2124" s="16" t="s">
        <v>1112</v>
      </c>
      <c r="F2124" s="17" t="s">
        <v>1282</v>
      </c>
      <c r="G2124" s="18" t="s">
        <v>2226</v>
      </c>
      <c r="H2124" s="3"/>
    </row>
    <row r="2125" spans="1:10" s="5" customFormat="1" hidden="1" outlineLevel="1" x14ac:dyDescent="0.25">
      <c r="B2125" s="19" t="s">
        <v>1284</v>
      </c>
      <c r="C2125" s="20" t="s">
        <v>1285</v>
      </c>
      <c r="D2125" s="21" t="s">
        <v>1286</v>
      </c>
      <c r="E2125" s="20" t="s">
        <v>2227</v>
      </c>
      <c r="F2125" s="21" t="s">
        <v>1288</v>
      </c>
      <c r="G2125" s="22"/>
      <c r="H2125" s="3"/>
      <c r="I2125" s="3"/>
      <c r="J2125" s="3"/>
    </row>
    <row r="2126" spans="1:10" ht="16.2" hidden="1" outlineLevel="1" thickBot="1" x14ac:dyDescent="0.3">
      <c r="A2126" s="5"/>
      <c r="B2126" s="19" t="s">
        <v>1290</v>
      </c>
      <c r="C2126" s="23"/>
      <c r="D2126" s="21" t="s">
        <v>1292</v>
      </c>
      <c r="E2126" s="23">
        <v>5</v>
      </c>
      <c r="F2126" s="21" t="s">
        <v>1293</v>
      </c>
      <c r="G2126" s="24" t="s">
        <v>1294</v>
      </c>
      <c r="H2126" s="3"/>
      <c r="I2126" s="3"/>
      <c r="J2126" s="3"/>
    </row>
    <row r="2127" spans="1:10" s="3" customFormat="1" ht="17.399999999999999" hidden="1" customHeight="1" outlineLevel="1" x14ac:dyDescent="0.25">
      <c r="A2127" s="5"/>
      <c r="B2127" s="401" t="s">
        <v>1</v>
      </c>
      <c r="C2127" s="402"/>
      <c r="D2127" s="402"/>
      <c r="E2127" s="402"/>
      <c r="F2127" s="402"/>
      <c r="G2127" s="403"/>
    </row>
    <row r="2128" spans="1:10" s="3" customFormat="1" ht="17.399999999999999" hidden="1" customHeight="1" outlineLevel="1" x14ac:dyDescent="0.25">
      <c r="A2128" s="5"/>
      <c r="B2128" s="25" t="s">
        <v>2</v>
      </c>
      <c r="C2128" s="26" t="s">
        <v>3</v>
      </c>
      <c r="D2128" s="26" t="s">
        <v>4</v>
      </c>
      <c r="E2128" s="26" t="s">
        <v>5</v>
      </c>
      <c r="F2128" s="26"/>
      <c r="G2128" s="27" t="s">
        <v>6</v>
      </c>
    </row>
    <row r="2129" spans="1:14" s="3" customFormat="1" ht="17.399999999999999" hidden="1" customHeight="1" outlineLevel="1" x14ac:dyDescent="0.25">
      <c r="B2129" s="28" t="s">
        <v>112</v>
      </c>
      <c r="C2129" s="29" t="s">
        <v>1555</v>
      </c>
      <c r="D2129" s="29" t="s">
        <v>1469</v>
      </c>
      <c r="E2129" s="29">
        <v>0</v>
      </c>
      <c r="F2129" s="29" t="s">
        <v>1470</v>
      </c>
      <c r="G2129" s="30" t="s">
        <v>1556</v>
      </c>
    </row>
    <row r="2130" spans="1:14" s="3" customFormat="1" ht="17.399999999999999" hidden="1" customHeight="1" outlineLevel="1" x14ac:dyDescent="0.25">
      <c r="B2130" s="28" t="s">
        <v>7</v>
      </c>
      <c r="C2130" s="29" t="s">
        <v>1468</v>
      </c>
      <c r="D2130" s="29" t="s">
        <v>1469</v>
      </c>
      <c r="E2130" s="29">
        <v>0</v>
      </c>
      <c r="F2130" s="29" t="s">
        <v>1470</v>
      </c>
      <c r="G2130" s="30" t="s">
        <v>1471</v>
      </c>
      <c r="J2130" s="3" t="s">
        <v>10</v>
      </c>
    </row>
    <row r="2131" spans="1:14" s="3" customFormat="1" ht="17.399999999999999" hidden="1" customHeight="1" outlineLevel="1" x14ac:dyDescent="0.25">
      <c r="A2131" s="5"/>
      <c r="B2131" s="31" t="s">
        <v>11</v>
      </c>
      <c r="C2131" s="20" t="s">
        <v>1472</v>
      </c>
      <c r="D2131" s="20" t="s">
        <v>1469</v>
      </c>
      <c r="E2131" s="20">
        <v>0</v>
      </c>
      <c r="F2131" s="20" t="s">
        <v>1470</v>
      </c>
      <c r="G2131" s="22" t="s">
        <v>1473</v>
      </c>
      <c r="J2131" s="3" t="s">
        <v>10</v>
      </c>
    </row>
    <row r="2132" spans="1:14" s="3" customFormat="1" hidden="1" outlineLevel="1" x14ac:dyDescent="0.25">
      <c r="A2132" s="5"/>
      <c r="B2132" s="31" t="s">
        <v>1113</v>
      </c>
      <c r="C2132" s="20" t="s">
        <v>2275</v>
      </c>
      <c r="D2132" s="20" t="s">
        <v>1567</v>
      </c>
      <c r="E2132" s="20">
        <v>0</v>
      </c>
      <c r="F2132" s="20" t="s">
        <v>1470</v>
      </c>
      <c r="G2132" s="22" t="s">
        <v>2276</v>
      </c>
      <c r="J2132" s="3" t="s">
        <v>12</v>
      </c>
      <c r="K2132" s="3" t="s">
        <v>173</v>
      </c>
      <c r="L2132" s="3" t="s">
        <v>9</v>
      </c>
      <c r="M2132" s="3" t="s">
        <v>9</v>
      </c>
      <c r="N2132" s="3">
        <v>1606</v>
      </c>
    </row>
    <row r="2133" spans="1:14" s="3" customFormat="1" ht="16.2" hidden="1" outlineLevel="1" thickBot="1" x14ac:dyDescent="0.3">
      <c r="A2133" s="5"/>
      <c r="B2133" s="31"/>
      <c r="C2133" s="20"/>
      <c r="D2133" s="20"/>
      <c r="E2133" s="20"/>
      <c r="F2133" s="20"/>
      <c r="G2133" s="22"/>
      <c r="J2133" s="3" t="s">
        <v>12</v>
      </c>
      <c r="K2133" s="3" t="s">
        <v>173</v>
      </c>
      <c r="L2133" s="3" t="s">
        <v>9</v>
      </c>
      <c r="M2133" s="3" t="s">
        <v>9</v>
      </c>
      <c r="N2133" s="3">
        <v>1112</v>
      </c>
    </row>
    <row r="2134" spans="1:14" s="3" customFormat="1" hidden="1" outlineLevel="1" x14ac:dyDescent="0.25">
      <c r="B2134" s="389" t="s">
        <v>18</v>
      </c>
      <c r="C2134" s="390"/>
      <c r="D2134" s="390"/>
      <c r="E2134" s="390"/>
      <c r="F2134" s="390"/>
      <c r="G2134" s="391"/>
      <c r="H2134" s="5"/>
      <c r="K2134" s="3" t="s">
        <v>174</v>
      </c>
      <c r="L2134" s="3" t="s">
        <v>175</v>
      </c>
      <c r="M2134" s="3" t="s">
        <v>176</v>
      </c>
      <c r="N2134" s="3">
        <v>1700</v>
      </c>
    </row>
    <row r="2135" spans="1:14" s="3" customFormat="1" hidden="1" outlineLevel="1" x14ac:dyDescent="0.25">
      <c r="B2135" s="32" t="s">
        <v>2</v>
      </c>
      <c r="C2135" s="33" t="s">
        <v>3</v>
      </c>
      <c r="D2135" s="33" t="s">
        <v>4</v>
      </c>
      <c r="E2135" s="33" t="s">
        <v>5</v>
      </c>
      <c r="F2135" s="33"/>
      <c r="G2135" s="34" t="s">
        <v>6</v>
      </c>
      <c r="H2135" s="5"/>
      <c r="I2135" s="5"/>
      <c r="J2135" s="5"/>
      <c r="K2135" s="3" t="s">
        <v>174</v>
      </c>
      <c r="L2135" s="3" t="s">
        <v>175</v>
      </c>
      <c r="M2135" s="3" t="s">
        <v>176</v>
      </c>
      <c r="N2135" s="3">
        <v>1103</v>
      </c>
    </row>
    <row r="2136" spans="1:14" s="3" customFormat="1" hidden="1" outlineLevel="1" x14ac:dyDescent="0.25">
      <c r="A2136" s="5"/>
      <c r="B2136" s="31" t="s">
        <v>128</v>
      </c>
      <c r="C2136" s="20" t="s">
        <v>1566</v>
      </c>
      <c r="D2136" s="20" t="s">
        <v>1567</v>
      </c>
      <c r="E2136" s="20">
        <v>0</v>
      </c>
      <c r="F2136" s="20" t="s">
        <v>1470</v>
      </c>
      <c r="G2136" s="22"/>
      <c r="I2136" s="5"/>
      <c r="J2136" s="5"/>
    </row>
    <row r="2137" spans="1:14" s="4" customFormat="1" ht="17.399999999999999" hidden="1" customHeight="1" outlineLevel="1" x14ac:dyDescent="0.35">
      <c r="A2137" s="5"/>
      <c r="B2137" s="31" t="s">
        <v>14</v>
      </c>
      <c r="C2137" s="20" t="s">
        <v>1475</v>
      </c>
      <c r="D2137" s="20" t="s">
        <v>1469</v>
      </c>
      <c r="E2137" s="20">
        <v>0</v>
      </c>
      <c r="F2137" s="20" t="s">
        <v>1476</v>
      </c>
      <c r="G2137" s="22" t="s">
        <v>1477</v>
      </c>
      <c r="H2137" s="3"/>
      <c r="I2137" s="3"/>
      <c r="J2137" s="3" t="s">
        <v>12</v>
      </c>
      <c r="K2137" s="5"/>
      <c r="L2137" s="5"/>
      <c r="M2137" s="5"/>
    </row>
    <row r="2138" spans="1:14" s="4" customFormat="1" hidden="1" outlineLevel="1" x14ac:dyDescent="0.35">
      <c r="A2138" s="5"/>
      <c r="B2138" s="31" t="s">
        <v>159</v>
      </c>
      <c r="C2138" s="20" t="s">
        <v>1592</v>
      </c>
      <c r="D2138" s="20" t="s">
        <v>1593</v>
      </c>
      <c r="E2138" s="20" t="s">
        <v>1594</v>
      </c>
      <c r="F2138" s="20" t="s">
        <v>1470</v>
      </c>
      <c r="G2138" s="22" t="s">
        <v>1595</v>
      </c>
      <c r="H2138" s="3"/>
      <c r="I2138" s="3"/>
      <c r="J2138" s="3" t="s">
        <v>10</v>
      </c>
      <c r="K2138" s="5"/>
      <c r="L2138" s="5"/>
      <c r="M2138" s="5"/>
    </row>
    <row r="2139" spans="1:14" s="3" customFormat="1" hidden="1" outlineLevel="1" x14ac:dyDescent="0.25">
      <c r="A2139" s="5"/>
      <c r="B2139" s="31" t="s">
        <v>100</v>
      </c>
      <c r="C2139" s="20" t="s">
        <v>1543</v>
      </c>
      <c r="D2139" s="20" t="s">
        <v>1469</v>
      </c>
      <c r="E2139" s="20">
        <v>0</v>
      </c>
      <c r="F2139" s="20" t="s">
        <v>1476</v>
      </c>
      <c r="G2139" s="22" t="s">
        <v>1544</v>
      </c>
      <c r="J2139" s="3" t="s">
        <v>187</v>
      </c>
      <c r="K2139" s="3" t="s">
        <v>174</v>
      </c>
      <c r="L2139" s="3" t="s">
        <v>175</v>
      </c>
      <c r="M2139" s="3" t="s">
        <v>176</v>
      </c>
      <c r="N2139" s="3">
        <v>1629</v>
      </c>
    </row>
    <row r="2140" spans="1:14" s="3" customFormat="1" hidden="1" outlineLevel="1" x14ac:dyDescent="0.25">
      <c r="A2140" s="5"/>
      <c r="B2140" s="31" t="s">
        <v>577</v>
      </c>
      <c r="C2140" s="20" t="s">
        <v>2069</v>
      </c>
      <c r="D2140" s="20" t="s">
        <v>2068</v>
      </c>
      <c r="E2140" s="20" t="s">
        <v>1594</v>
      </c>
      <c r="F2140" s="20" t="s">
        <v>1470</v>
      </c>
      <c r="G2140" s="22"/>
      <c r="J2140" s="3" t="s">
        <v>10</v>
      </c>
      <c r="K2140" s="3" t="s">
        <v>173</v>
      </c>
      <c r="L2140" s="3" t="s">
        <v>9</v>
      </c>
      <c r="M2140" s="3" t="s">
        <v>9</v>
      </c>
      <c r="N2140" s="3">
        <v>2155</v>
      </c>
    </row>
    <row r="2141" spans="1:14" s="3" customFormat="1" hidden="1" outlineLevel="1" x14ac:dyDescent="0.25">
      <c r="A2141" s="5"/>
      <c r="B2141" s="31" t="s">
        <v>576</v>
      </c>
      <c r="C2141" s="20" t="s">
        <v>2067</v>
      </c>
      <c r="D2141" s="20" t="s">
        <v>2068</v>
      </c>
      <c r="E2141" s="20" t="s">
        <v>1594</v>
      </c>
      <c r="F2141" s="20" t="s">
        <v>1470</v>
      </c>
      <c r="G2141" s="22"/>
      <c r="J2141" s="3" t="s">
        <v>187</v>
      </c>
      <c r="K2141" s="3" t="s">
        <v>438</v>
      </c>
      <c r="L2141" s="3" t="s">
        <v>537</v>
      </c>
      <c r="M2141" s="3" t="s">
        <v>187</v>
      </c>
      <c r="N2141" s="3">
        <v>2430</v>
      </c>
    </row>
    <row r="2142" spans="1:14" s="3" customFormat="1" hidden="1" outlineLevel="1" x14ac:dyDescent="0.25">
      <c r="A2142" s="5"/>
      <c r="B2142" s="31" t="s">
        <v>75</v>
      </c>
      <c r="C2142" s="20" t="s">
        <v>1530</v>
      </c>
      <c r="D2142" s="20" t="s">
        <v>1486</v>
      </c>
      <c r="E2142" s="20">
        <v>0</v>
      </c>
      <c r="F2142" s="20" t="s">
        <v>1470</v>
      </c>
      <c r="G2142" s="22" t="s">
        <v>1531</v>
      </c>
      <c r="J2142" s="3" t="s">
        <v>187</v>
      </c>
      <c r="K2142" s="3" t="s">
        <v>173</v>
      </c>
      <c r="L2142" s="3" t="s">
        <v>9</v>
      </c>
      <c r="M2142" s="3" t="s">
        <v>9</v>
      </c>
      <c r="N2142" s="3">
        <v>2237</v>
      </c>
    </row>
    <row r="2143" spans="1:14" s="3" customFormat="1" hidden="1" outlineLevel="1" x14ac:dyDescent="0.25">
      <c r="A2143" s="5"/>
      <c r="B2143" s="31" t="s">
        <v>131</v>
      </c>
      <c r="C2143" s="20" t="s">
        <v>1568</v>
      </c>
      <c r="D2143" s="20" t="s">
        <v>1486</v>
      </c>
      <c r="E2143" s="20">
        <v>0</v>
      </c>
      <c r="F2143" s="20" t="s">
        <v>1470</v>
      </c>
      <c r="G2143" s="22" t="s">
        <v>1569</v>
      </c>
      <c r="J2143" s="3" t="s">
        <v>20</v>
      </c>
      <c r="K2143" s="3" t="s">
        <v>438</v>
      </c>
      <c r="L2143" s="3" t="s">
        <v>537</v>
      </c>
      <c r="M2143" s="3" t="s">
        <v>187</v>
      </c>
      <c r="N2143" s="3">
        <v>1498</v>
      </c>
    </row>
    <row r="2144" spans="1:14" s="3" customFormat="1" hidden="1" outlineLevel="1" x14ac:dyDescent="0.25">
      <c r="A2144" s="5"/>
      <c r="B2144" s="31" t="s">
        <v>132</v>
      </c>
      <c r="C2144" s="20" t="s">
        <v>1570</v>
      </c>
      <c r="D2144" s="20" t="s">
        <v>1486</v>
      </c>
      <c r="E2144" s="20">
        <v>0</v>
      </c>
      <c r="F2144" s="20" t="s">
        <v>1470</v>
      </c>
      <c r="G2144" s="22" t="s">
        <v>1571</v>
      </c>
      <c r="J2144" s="3" t="s">
        <v>20</v>
      </c>
      <c r="K2144" s="3" t="s">
        <v>438</v>
      </c>
      <c r="L2144" s="3" t="s">
        <v>537</v>
      </c>
      <c r="M2144" s="3" t="s">
        <v>187</v>
      </c>
      <c r="N2144" s="3">
        <v>2533</v>
      </c>
    </row>
    <row r="2145" spans="1:14" s="3" customFormat="1" hidden="1" outlineLevel="1" x14ac:dyDescent="0.25">
      <c r="A2145" s="5"/>
      <c r="B2145" s="31" t="s">
        <v>137</v>
      </c>
      <c r="C2145" s="20" t="s">
        <v>1576</v>
      </c>
      <c r="D2145" s="20" t="s">
        <v>1486</v>
      </c>
      <c r="E2145" s="20">
        <v>0</v>
      </c>
      <c r="F2145" s="20" t="s">
        <v>1470</v>
      </c>
      <c r="G2145" s="22"/>
      <c r="J2145" s="3" t="s">
        <v>20</v>
      </c>
      <c r="K2145" s="3" t="s">
        <v>445</v>
      </c>
      <c r="L2145" s="3" t="s">
        <v>446</v>
      </c>
      <c r="M2145" s="3" t="s">
        <v>446</v>
      </c>
      <c r="N2145" s="3">
        <v>1262</v>
      </c>
    </row>
    <row r="2146" spans="1:14" s="3" customFormat="1" hidden="1" outlineLevel="1" x14ac:dyDescent="0.25">
      <c r="A2146" s="5"/>
      <c r="B2146" s="31" t="s">
        <v>117</v>
      </c>
      <c r="C2146" s="20" t="s">
        <v>1561</v>
      </c>
      <c r="D2146" s="20" t="s">
        <v>1489</v>
      </c>
      <c r="E2146" s="20">
        <v>0</v>
      </c>
      <c r="F2146" s="20" t="s">
        <v>1470</v>
      </c>
      <c r="G2146" s="22"/>
      <c r="J2146" s="3" t="s">
        <v>20</v>
      </c>
      <c r="K2146" s="3" t="s">
        <v>445</v>
      </c>
      <c r="L2146" s="3" t="s">
        <v>446</v>
      </c>
      <c r="M2146" s="3" t="s">
        <v>446</v>
      </c>
      <c r="N2146" s="3">
        <v>1317</v>
      </c>
    </row>
    <row r="2147" spans="1:14" s="3" customFormat="1" hidden="1" outlineLevel="1" x14ac:dyDescent="0.25">
      <c r="A2147" s="5"/>
      <c r="B2147" s="31" t="s">
        <v>140</v>
      </c>
      <c r="C2147" s="20" t="s">
        <v>1578</v>
      </c>
      <c r="D2147" s="20" t="s">
        <v>1489</v>
      </c>
      <c r="E2147" s="20">
        <v>0</v>
      </c>
      <c r="F2147" s="20" t="s">
        <v>1470</v>
      </c>
      <c r="G2147" s="22"/>
      <c r="J2147" s="3" t="s">
        <v>20</v>
      </c>
      <c r="K2147" s="3" t="s">
        <v>445</v>
      </c>
      <c r="L2147" s="3" t="s">
        <v>446</v>
      </c>
      <c r="M2147" s="3" t="s">
        <v>446</v>
      </c>
      <c r="N2147" s="3">
        <v>1721</v>
      </c>
    </row>
    <row r="2148" spans="1:14" s="3" customFormat="1" hidden="1" outlineLevel="1" x14ac:dyDescent="0.25">
      <c r="A2148" s="5"/>
      <c r="B2148" s="31"/>
      <c r="C2148" s="20"/>
      <c r="D2148" s="20"/>
      <c r="E2148" s="20"/>
      <c r="F2148" s="20"/>
      <c r="G2148" s="22"/>
      <c r="J2148" s="3" t="s">
        <v>20</v>
      </c>
      <c r="K2148" s="3" t="s">
        <v>445</v>
      </c>
      <c r="L2148" s="3" t="s">
        <v>446</v>
      </c>
      <c r="M2148" s="3" t="s">
        <v>446</v>
      </c>
      <c r="N2148" s="3">
        <v>1191</v>
      </c>
    </row>
    <row r="2149" spans="1:14" s="3" customFormat="1" ht="16.2" hidden="1" outlineLevel="1" thickBot="1" x14ac:dyDescent="0.3">
      <c r="A2149" s="5"/>
      <c r="B2149" s="31"/>
      <c r="C2149" s="20"/>
      <c r="D2149" s="20"/>
      <c r="E2149" s="20"/>
      <c r="F2149" s="20"/>
      <c r="G2149" s="22"/>
      <c r="K2149" s="3" t="s">
        <v>445</v>
      </c>
      <c r="L2149" s="3" t="s">
        <v>446</v>
      </c>
      <c r="M2149" s="3" t="s">
        <v>446</v>
      </c>
      <c r="N2149" s="3">
        <v>1163</v>
      </c>
    </row>
    <row r="2150" spans="1:14" s="3" customFormat="1" hidden="1" outlineLevel="1" x14ac:dyDescent="0.25">
      <c r="B2150" s="389" t="s">
        <v>29</v>
      </c>
      <c r="C2150" s="390"/>
      <c r="D2150" s="390"/>
      <c r="E2150" s="390"/>
      <c r="F2150" s="390"/>
      <c r="G2150" s="391"/>
      <c r="H2150" s="5"/>
      <c r="K2150" s="3" t="s">
        <v>445</v>
      </c>
      <c r="L2150" s="3" t="s">
        <v>446</v>
      </c>
      <c r="M2150" s="3" t="s">
        <v>446</v>
      </c>
      <c r="N2150" s="3">
        <v>1852</v>
      </c>
    </row>
    <row r="2151" spans="1:14" s="3" customFormat="1" hidden="1" outlineLevel="1" x14ac:dyDescent="0.25">
      <c r="A2151" s="5"/>
      <c r="B2151" s="31" t="s">
        <v>1114</v>
      </c>
      <c r="C2151" s="20"/>
      <c r="D2151" s="20"/>
      <c r="E2151" s="20"/>
      <c r="F2151" s="20"/>
      <c r="G2151" s="22"/>
      <c r="I2151" s="5"/>
      <c r="J2151" s="5"/>
    </row>
    <row r="2152" spans="1:14" s="3" customFormat="1" hidden="1" outlineLevel="1" x14ac:dyDescent="0.25">
      <c r="A2152" s="5"/>
      <c r="B2152" s="31"/>
      <c r="C2152" s="20"/>
      <c r="D2152" s="20"/>
      <c r="E2152" s="20"/>
      <c r="F2152" s="20"/>
      <c r="G2152" s="22"/>
      <c r="I2152" s="5"/>
      <c r="J2152" s="5"/>
    </row>
    <row r="2153" spans="1:14" s="3" customFormat="1" hidden="1" outlineLevel="1" x14ac:dyDescent="0.25">
      <c r="A2153" s="5"/>
      <c r="B2153" s="31"/>
      <c r="C2153" s="20"/>
      <c r="D2153" s="20"/>
      <c r="E2153" s="20"/>
      <c r="F2153" s="20"/>
      <c r="G2153" s="22"/>
    </row>
    <row r="2154" spans="1:14" s="3" customFormat="1" hidden="1" outlineLevel="1" x14ac:dyDescent="0.25">
      <c r="A2154" s="5"/>
      <c r="B2154" s="31"/>
      <c r="C2154" s="20"/>
      <c r="D2154" s="20"/>
      <c r="E2154" s="20"/>
      <c r="F2154" s="20"/>
      <c r="G2154" s="22"/>
    </row>
    <row r="2155" spans="1:14" s="4" customFormat="1" ht="17.399999999999999" hidden="1" customHeight="1" outlineLevel="1" thickBot="1" x14ac:dyDescent="0.4">
      <c r="A2155" s="5"/>
      <c r="B2155" s="52"/>
      <c r="C2155" s="53"/>
      <c r="D2155" s="53"/>
      <c r="E2155" s="53"/>
      <c r="F2155" s="53"/>
      <c r="G2155" s="54"/>
      <c r="H2155" s="3"/>
      <c r="I2155" s="3"/>
      <c r="J2155" s="3"/>
      <c r="K2155" s="5"/>
      <c r="L2155" s="5"/>
      <c r="M2155" s="5"/>
    </row>
    <row r="2156" spans="1:14" s="3" customFormat="1" hidden="1" outlineLevel="1" x14ac:dyDescent="0.25">
      <c r="A2156" s="5"/>
      <c r="B2156" s="5"/>
      <c r="C2156" s="5"/>
      <c r="D2156" s="5"/>
      <c r="E2156" s="5"/>
      <c r="F2156" s="5"/>
      <c r="G2156" s="5"/>
      <c r="H2156" s="5"/>
    </row>
    <row r="2157" spans="1:14" s="3" customFormat="1" hidden="1" outlineLevel="1" x14ac:dyDescent="0.25">
      <c r="A2157" s="5"/>
      <c r="B2157" s="5"/>
      <c r="C2157" s="5"/>
      <c r="D2157" s="5"/>
      <c r="E2157" s="5"/>
      <c r="F2157" s="5"/>
      <c r="G2157" s="5"/>
      <c r="H2157" s="5"/>
      <c r="I2157" s="5"/>
      <c r="J2157" s="5"/>
    </row>
    <row r="2158" spans="1:14" s="3" customFormat="1" hidden="1" outlineLevel="1" x14ac:dyDescent="0.25">
      <c r="A2158" s="14"/>
      <c r="B2158" s="14"/>
      <c r="C2158" s="14"/>
      <c r="D2158" s="14"/>
      <c r="E2158" s="14"/>
      <c r="F2158" s="14"/>
      <c r="G2158" s="14"/>
      <c r="H2158" s="14"/>
      <c r="I2158" s="5"/>
      <c r="J2158" s="5"/>
    </row>
    <row r="2159" spans="1:14" s="5" customFormat="1" hidden="1" outlineLevel="1" x14ac:dyDescent="0.25">
      <c r="A2159" s="14"/>
      <c r="B2159" s="14"/>
      <c r="C2159" s="14"/>
      <c r="D2159" s="14"/>
      <c r="E2159" s="14"/>
      <c r="F2159" s="14"/>
      <c r="G2159" s="14"/>
      <c r="H2159" s="14"/>
      <c r="I2159" s="14"/>
      <c r="J2159" s="14"/>
    </row>
    <row r="2160" spans="1:14" s="5" customFormat="1" hidden="1" outlineLevel="1" x14ac:dyDescent="0.25">
      <c r="A2160" s="14"/>
      <c r="B2160" s="14"/>
      <c r="C2160" s="14"/>
      <c r="D2160" s="14"/>
      <c r="E2160" s="14"/>
      <c r="F2160" s="14"/>
      <c r="G2160" s="14"/>
      <c r="H2160" s="14"/>
      <c r="I2160" s="14"/>
      <c r="J2160" s="14"/>
    </row>
    <row r="2161" spans="1:14" ht="16.2" hidden="1" outlineLevel="1" thickBot="1" x14ac:dyDescent="0.3"/>
    <row r="2162" spans="1:14" s="4" customFormat="1" ht="17.399999999999999" customHeight="1" collapsed="1" thickBot="1" x14ac:dyDescent="0.4">
      <c r="A2162" s="5"/>
      <c r="B2162" s="166" t="s">
        <v>1279</v>
      </c>
      <c r="C2162" s="169" t="s">
        <v>2207</v>
      </c>
      <c r="D2162" s="168" t="s">
        <v>1281</v>
      </c>
      <c r="E2162" s="238" t="s">
        <v>1115</v>
      </c>
      <c r="F2162" s="168" t="s">
        <v>1282</v>
      </c>
      <c r="G2162" s="170" t="s">
        <v>2208</v>
      </c>
      <c r="H2162" s="5"/>
      <c r="I2162" s="5"/>
      <c r="J2162" s="5"/>
      <c r="K2162" s="5"/>
      <c r="L2162" s="5"/>
      <c r="M2162" s="5"/>
    </row>
    <row r="2163" spans="1:14" s="4" customFormat="1" ht="17.399999999999999" hidden="1" customHeight="1" outlineLevel="1" x14ac:dyDescent="0.35">
      <c r="A2163" s="5"/>
      <c r="B2163" s="136" t="s">
        <v>1284</v>
      </c>
      <c r="C2163" s="84" t="s">
        <v>1285</v>
      </c>
      <c r="D2163" s="137" t="s">
        <v>1286</v>
      </c>
      <c r="E2163" s="84" t="s">
        <v>2209</v>
      </c>
      <c r="F2163" s="137" t="s">
        <v>1288</v>
      </c>
      <c r="G2163" s="85"/>
      <c r="H2163" s="5"/>
      <c r="I2163" s="5"/>
      <c r="J2163" s="5"/>
      <c r="K2163" s="5"/>
      <c r="L2163" s="5"/>
      <c r="M2163" s="5"/>
    </row>
    <row r="2164" spans="1:14" s="4" customFormat="1" ht="17.399999999999999" hidden="1" customHeight="1" outlineLevel="1" thickBot="1" x14ac:dyDescent="0.4">
      <c r="A2164" s="5"/>
      <c r="B2164" s="171" t="s">
        <v>1290</v>
      </c>
      <c r="C2164" s="172" t="s">
        <v>1291</v>
      </c>
      <c r="D2164" s="173" t="s">
        <v>1292</v>
      </c>
      <c r="E2164" s="172">
        <v>4</v>
      </c>
      <c r="F2164" s="173" t="s">
        <v>1293</v>
      </c>
      <c r="G2164" s="174" t="s">
        <v>1294</v>
      </c>
      <c r="H2164" s="5"/>
      <c r="I2164" s="5"/>
      <c r="J2164" s="5"/>
      <c r="K2164" s="5"/>
      <c r="L2164" s="5"/>
      <c r="M2164" s="5"/>
    </row>
    <row r="2165" spans="1:14" s="4" customFormat="1" ht="17.399999999999999" hidden="1" customHeight="1" outlineLevel="1" x14ac:dyDescent="0.35">
      <c r="A2165" s="5"/>
      <c r="B2165" s="380" t="s">
        <v>1</v>
      </c>
      <c r="C2165" s="381"/>
      <c r="D2165" s="381"/>
      <c r="E2165" s="381"/>
      <c r="F2165" s="381"/>
      <c r="G2165" s="382"/>
      <c r="H2165" s="5"/>
      <c r="I2165" s="5"/>
      <c r="J2165" s="5"/>
      <c r="K2165" s="5"/>
      <c r="L2165" s="5"/>
      <c r="M2165" s="5"/>
    </row>
    <row r="2166" spans="1:14" s="4" customFormat="1" ht="17.399999999999999" hidden="1" customHeight="1" outlineLevel="1" x14ac:dyDescent="0.35">
      <c r="A2166" s="5"/>
      <c r="B2166" s="94" t="s">
        <v>2</v>
      </c>
      <c r="C2166" s="95" t="s">
        <v>3</v>
      </c>
      <c r="D2166" s="95" t="s">
        <v>4</v>
      </c>
      <c r="E2166" s="95" t="s">
        <v>5</v>
      </c>
      <c r="F2166" s="95"/>
      <c r="G2166" s="96" t="s">
        <v>6</v>
      </c>
      <c r="H2166" s="5"/>
      <c r="I2166" s="5"/>
      <c r="J2166" s="5"/>
      <c r="K2166" s="5"/>
      <c r="L2166" s="5"/>
      <c r="M2166" s="5"/>
    </row>
    <row r="2167" spans="1:14" s="4" customFormat="1" ht="17.399999999999999" hidden="1" customHeight="1" outlineLevel="1" x14ac:dyDescent="0.35">
      <c r="A2167" s="5"/>
      <c r="B2167" s="57" t="s">
        <v>7</v>
      </c>
      <c r="C2167" s="58" t="s">
        <v>1468</v>
      </c>
      <c r="D2167" s="58" t="s">
        <v>1469</v>
      </c>
      <c r="E2167" s="58">
        <v>0</v>
      </c>
      <c r="F2167" s="58" t="s">
        <v>1470</v>
      </c>
      <c r="G2167" s="59" t="s">
        <v>1471</v>
      </c>
      <c r="J2167" s="3" t="s">
        <v>154</v>
      </c>
      <c r="K2167" s="81"/>
      <c r="N2167" s="4">
        <v>1112</v>
      </c>
    </row>
    <row r="2168" spans="1:14" s="4" customFormat="1" ht="17.399999999999999" hidden="1" customHeight="1" outlineLevel="1" x14ac:dyDescent="0.35">
      <c r="A2168" s="5"/>
      <c r="B2168" s="57" t="s">
        <v>11</v>
      </c>
      <c r="C2168" s="58" t="s">
        <v>1472</v>
      </c>
      <c r="D2168" s="58" t="s">
        <v>1469</v>
      </c>
      <c r="E2168" s="58">
        <v>0</v>
      </c>
      <c r="F2168" s="58" t="s">
        <v>1470</v>
      </c>
      <c r="G2168" s="59" t="s">
        <v>1473</v>
      </c>
      <c r="J2168" s="3" t="s">
        <v>155</v>
      </c>
      <c r="K2168" s="81"/>
      <c r="N2168" s="4">
        <v>1700</v>
      </c>
    </row>
    <row r="2169" spans="1:14" s="4" customFormat="1" ht="17.399999999999999" hidden="1" customHeight="1" outlineLevel="1" x14ac:dyDescent="0.35">
      <c r="A2169" s="5"/>
      <c r="B2169" s="60" t="s">
        <v>13</v>
      </c>
      <c r="C2169" s="61" t="s">
        <v>1474</v>
      </c>
      <c r="D2169" s="61" t="s">
        <v>1469</v>
      </c>
      <c r="E2169" s="61">
        <v>0</v>
      </c>
      <c r="F2169" s="61" t="s">
        <v>1470</v>
      </c>
      <c r="G2169" s="62"/>
      <c r="H2169" s="63"/>
      <c r="J2169" s="3" t="s">
        <v>156</v>
      </c>
      <c r="K2169" s="81"/>
      <c r="N2169" s="4">
        <v>2534</v>
      </c>
    </row>
    <row r="2170" spans="1:14" s="4" customFormat="1" ht="17.399999999999999" hidden="1" customHeight="1" outlineLevel="1" x14ac:dyDescent="0.35">
      <c r="A2170" s="5"/>
      <c r="B2170" s="60" t="s">
        <v>14</v>
      </c>
      <c r="C2170" s="61" t="s">
        <v>1475</v>
      </c>
      <c r="D2170" s="61" t="s">
        <v>1469</v>
      </c>
      <c r="E2170" s="61">
        <v>0</v>
      </c>
      <c r="F2170" s="61" t="s">
        <v>1476</v>
      </c>
      <c r="G2170" s="62" t="s">
        <v>1477</v>
      </c>
      <c r="H2170" s="63"/>
      <c r="J2170" s="3" t="s">
        <v>157</v>
      </c>
      <c r="K2170" s="78"/>
      <c r="N2170" s="4">
        <v>2155</v>
      </c>
    </row>
    <row r="2171" spans="1:14" s="4" customFormat="1" ht="17.399999999999999" hidden="1" customHeight="1" outlineLevel="1" x14ac:dyDescent="0.35">
      <c r="A2171" s="5"/>
      <c r="B2171" s="60" t="s">
        <v>15</v>
      </c>
      <c r="C2171" s="61" t="s">
        <v>1478</v>
      </c>
      <c r="D2171" s="61" t="s">
        <v>1469</v>
      </c>
      <c r="E2171" s="61">
        <v>0</v>
      </c>
      <c r="F2171" s="61" t="s">
        <v>1470</v>
      </c>
      <c r="G2171" s="62"/>
      <c r="H2171" s="63"/>
      <c r="J2171" s="3" t="s">
        <v>158</v>
      </c>
      <c r="K2171" s="81"/>
      <c r="N2171" s="4">
        <v>2430</v>
      </c>
    </row>
    <row r="2172" spans="1:14" s="4" customFormat="1" ht="17.399999999999999" hidden="1" customHeight="1" outlineLevel="1" x14ac:dyDescent="0.35">
      <c r="A2172" s="5"/>
      <c r="B2172" s="134" t="s">
        <v>17</v>
      </c>
      <c r="C2172" s="135" t="s">
        <v>1483</v>
      </c>
      <c r="D2172" s="135" t="s">
        <v>1469</v>
      </c>
      <c r="E2172" s="65">
        <v>0</v>
      </c>
      <c r="F2172" s="65" t="s">
        <v>1470</v>
      </c>
      <c r="G2172" s="66" t="s">
        <v>1484</v>
      </c>
      <c r="H2172" s="5"/>
      <c r="I2172" s="5"/>
      <c r="J2172" s="3" t="s">
        <v>159</v>
      </c>
      <c r="K2172" s="78"/>
      <c r="L2172" s="5"/>
      <c r="M2172" s="5"/>
      <c r="N2172" s="4">
        <v>1097</v>
      </c>
    </row>
    <row r="2173" spans="1:14" s="3" customFormat="1" hidden="1" outlineLevel="1" x14ac:dyDescent="0.25">
      <c r="A2173" s="5"/>
      <c r="B2173" s="31" t="s">
        <v>162</v>
      </c>
      <c r="C2173" s="20" t="s">
        <v>1589</v>
      </c>
      <c r="D2173" s="20" t="s">
        <v>1469</v>
      </c>
      <c r="E2173" s="20">
        <v>0</v>
      </c>
      <c r="F2173" s="20"/>
      <c r="G2173" s="22" t="s">
        <v>1590</v>
      </c>
    </row>
    <row r="2174" spans="1:14" s="3" customFormat="1" hidden="1" outlineLevel="1" x14ac:dyDescent="0.25">
      <c r="A2174" s="5"/>
      <c r="B2174" s="31" t="s">
        <v>163</v>
      </c>
      <c r="C2174" s="20" t="s">
        <v>1591</v>
      </c>
      <c r="D2174" s="20" t="s">
        <v>1469</v>
      </c>
      <c r="E2174" s="20">
        <v>0</v>
      </c>
      <c r="F2174" s="20"/>
      <c r="G2174" s="22" t="s">
        <v>1590</v>
      </c>
    </row>
    <row r="2175" spans="1:14" s="4" customFormat="1" ht="17.399999999999999" hidden="1" customHeight="1" outlineLevel="1" thickBot="1" x14ac:dyDescent="0.4">
      <c r="A2175" s="5"/>
      <c r="B2175" s="91"/>
      <c r="C2175" s="92"/>
      <c r="D2175" s="92"/>
      <c r="E2175" s="92"/>
      <c r="F2175" s="92"/>
      <c r="G2175" s="93"/>
      <c r="H2175" s="5"/>
      <c r="I2175" s="5"/>
      <c r="J2175" s="5"/>
      <c r="K2175" s="5"/>
      <c r="L2175" s="5"/>
      <c r="M2175" s="5"/>
    </row>
    <row r="2176" spans="1:14" s="4" customFormat="1" ht="17.399999999999999" hidden="1" customHeight="1" outlineLevel="1" x14ac:dyDescent="0.35">
      <c r="A2176" s="5"/>
      <c r="B2176" s="383" t="s">
        <v>18</v>
      </c>
      <c r="C2176" s="384"/>
      <c r="D2176" s="384"/>
      <c r="E2176" s="384"/>
      <c r="F2176" s="384"/>
      <c r="G2176" s="385"/>
      <c r="H2176" s="5"/>
      <c r="I2176" s="5"/>
      <c r="J2176" s="5"/>
      <c r="K2176" s="5"/>
      <c r="L2176" s="5"/>
      <c r="M2176" s="5"/>
    </row>
    <row r="2177" spans="1:15" s="4" customFormat="1" ht="17.399999999999999" hidden="1" customHeight="1" outlineLevel="1" x14ac:dyDescent="0.35">
      <c r="A2177" s="5"/>
      <c r="B2177" s="94" t="s">
        <v>2</v>
      </c>
      <c r="C2177" s="95" t="s">
        <v>3</v>
      </c>
      <c r="D2177" s="95" t="s">
        <v>4</v>
      </c>
      <c r="E2177" s="95" t="s">
        <v>5</v>
      </c>
      <c r="F2177" s="95"/>
      <c r="G2177" s="96" t="s">
        <v>6</v>
      </c>
      <c r="H2177" s="5"/>
      <c r="I2177" s="5"/>
      <c r="J2177" s="5"/>
      <c r="K2177" s="5"/>
      <c r="L2177" s="5"/>
      <c r="M2177" s="5"/>
    </row>
    <row r="2178" spans="1:15" s="4" customFormat="1" ht="17.399999999999999" hidden="1" customHeight="1" outlineLevel="1" x14ac:dyDescent="0.35">
      <c r="A2178" s="5"/>
      <c r="B2178" s="64" t="s">
        <v>366</v>
      </c>
      <c r="C2178" s="65" t="s">
        <v>1766</v>
      </c>
      <c r="D2178" s="65" t="s">
        <v>1469</v>
      </c>
      <c r="E2178" s="65">
        <v>0</v>
      </c>
      <c r="F2178" s="65" t="s">
        <v>1476</v>
      </c>
      <c r="G2178" s="66" t="s">
        <v>1767</v>
      </c>
      <c r="H2178" s="5" t="str">
        <f>"t.{"&amp;B2178&amp;"},"</f>
        <v>t.{开平方向},</v>
      </c>
      <c r="I2178" s="5"/>
      <c r="J2178" s="5"/>
      <c r="K2178" s="5"/>
      <c r="L2178" s="5"/>
      <c r="M2178" s="5"/>
    </row>
    <row r="2179" spans="1:15" s="4" customFormat="1" ht="17.399999999999999" hidden="1" customHeight="1" outlineLevel="1" x14ac:dyDescent="0.35">
      <c r="A2179" s="5"/>
      <c r="B2179" s="64" t="s">
        <v>128</v>
      </c>
      <c r="C2179" s="65" t="s">
        <v>1566</v>
      </c>
      <c r="D2179" s="65" t="s">
        <v>1567</v>
      </c>
      <c r="E2179" s="65">
        <v>0</v>
      </c>
      <c r="F2179" s="65" t="s">
        <v>1470</v>
      </c>
      <c r="G2179" s="66"/>
      <c r="H2179" s="5" t="str">
        <f>"t.{"&amp;B2179&amp;"},"</f>
        <v>t.{记录序号},</v>
      </c>
      <c r="I2179" s="5"/>
      <c r="J2179" s="5" t="s">
        <v>12</v>
      </c>
      <c r="K2179" s="5" t="s">
        <v>174</v>
      </c>
      <c r="L2179" s="5" t="s">
        <v>314</v>
      </c>
      <c r="M2179" s="5" t="s">
        <v>176</v>
      </c>
      <c r="N2179" s="4">
        <v>2241</v>
      </c>
      <c r="O2179" s="4">
        <v>64</v>
      </c>
    </row>
    <row r="2180" spans="1:15" s="4" customFormat="1" ht="17.399999999999999" hidden="1" customHeight="1" outlineLevel="1" x14ac:dyDescent="0.35">
      <c r="A2180" s="5"/>
      <c r="B2180" s="81" t="s">
        <v>16</v>
      </c>
      <c r="C2180" s="65" t="s">
        <v>1479</v>
      </c>
      <c r="D2180" s="65" t="s">
        <v>1469</v>
      </c>
      <c r="E2180" s="65" t="s">
        <v>1480</v>
      </c>
      <c r="F2180" s="65" t="s">
        <v>1481</v>
      </c>
      <c r="G2180" s="66" t="s">
        <v>1482</v>
      </c>
      <c r="H2180" s="5"/>
      <c r="I2180" s="5"/>
      <c r="J2180" s="5"/>
      <c r="K2180" s="5"/>
      <c r="L2180" s="5"/>
      <c r="M2180" s="5"/>
    </row>
    <row r="2181" spans="1:15" s="4" customFormat="1" ht="17.399999999999999" hidden="1" customHeight="1" outlineLevel="1" x14ac:dyDescent="0.35">
      <c r="A2181" s="5"/>
      <c r="B2181" s="81" t="s">
        <v>25</v>
      </c>
      <c r="C2181" s="65" t="s">
        <v>1492</v>
      </c>
      <c r="D2181" s="65" t="s">
        <v>1469</v>
      </c>
      <c r="E2181" s="65">
        <v>0</v>
      </c>
      <c r="F2181" s="65" t="s">
        <v>1470</v>
      </c>
      <c r="G2181" s="66" t="s">
        <v>1484</v>
      </c>
      <c r="H2181" s="5"/>
      <c r="I2181" s="5"/>
      <c r="J2181" s="5"/>
      <c r="K2181" s="5"/>
      <c r="L2181" s="5"/>
      <c r="M2181" s="5"/>
    </row>
    <row r="2182" spans="1:15" s="4" customFormat="1" ht="17.399999999999999" hidden="1" customHeight="1" outlineLevel="1" x14ac:dyDescent="0.35">
      <c r="A2182" s="5"/>
      <c r="B2182" s="81" t="s">
        <v>112</v>
      </c>
      <c r="C2182" s="65" t="s">
        <v>1555</v>
      </c>
      <c r="D2182" s="65" t="s">
        <v>1469</v>
      </c>
      <c r="E2182" s="65">
        <v>0</v>
      </c>
      <c r="F2182" s="65" t="s">
        <v>1470</v>
      </c>
      <c r="G2182" s="66" t="s">
        <v>1556</v>
      </c>
      <c r="H2182" s="5"/>
      <c r="I2182" s="5"/>
      <c r="J2182" s="5"/>
      <c r="K2182" s="5"/>
      <c r="L2182" s="5"/>
      <c r="M2182" s="5"/>
    </row>
    <row r="2183" spans="1:15" s="4" customFormat="1" hidden="1" outlineLevel="1" x14ac:dyDescent="0.35">
      <c r="B2183" s="81" t="s">
        <v>7</v>
      </c>
      <c r="C2183" s="79" t="s">
        <v>1468</v>
      </c>
      <c r="D2183" s="79" t="s">
        <v>1469</v>
      </c>
      <c r="E2183" s="79">
        <v>0</v>
      </c>
      <c r="F2183" s="79" t="s">
        <v>1470</v>
      </c>
      <c r="G2183" s="80" t="s">
        <v>1471</v>
      </c>
      <c r="H2183" s="5" t="e">
        <f>"t.{"&amp;#REF!&amp;"},"</f>
        <v>#REF!</v>
      </c>
      <c r="I2183" s="3"/>
      <c r="J2183" s="3"/>
      <c r="K2183" s="3"/>
      <c r="L2183" s="3"/>
      <c r="M2183" s="3"/>
      <c r="N2183" s="3"/>
      <c r="O2183" s="3"/>
    </row>
    <row r="2184" spans="1:15" s="3" customFormat="1" hidden="1" outlineLevel="1" x14ac:dyDescent="0.25">
      <c r="B2184" s="81" t="s">
        <v>11</v>
      </c>
      <c r="C2184" s="79" t="s">
        <v>1472</v>
      </c>
      <c r="D2184" s="79" t="s">
        <v>1469</v>
      </c>
      <c r="E2184" s="79">
        <v>0</v>
      </c>
      <c r="F2184" s="79" t="s">
        <v>1470</v>
      </c>
      <c r="G2184" s="80" t="s">
        <v>1473</v>
      </c>
      <c r="H2184" s="5" t="e">
        <f>"t.{"&amp;#REF!&amp;"},"</f>
        <v>#REF!</v>
      </c>
    </row>
    <row r="2185" spans="1:15" s="3" customFormat="1" hidden="1" outlineLevel="1" x14ac:dyDescent="0.25">
      <c r="B2185" s="81" t="s">
        <v>14</v>
      </c>
      <c r="C2185" s="79" t="s">
        <v>1475</v>
      </c>
      <c r="D2185" s="79" t="s">
        <v>1469</v>
      </c>
      <c r="E2185" s="79">
        <v>0</v>
      </c>
      <c r="F2185" s="79" t="s">
        <v>1476</v>
      </c>
      <c r="G2185" s="80" t="s">
        <v>1477</v>
      </c>
      <c r="H2185" s="5" t="e">
        <f>"t.{"&amp;#REF!&amp;"},"</f>
        <v>#REF!</v>
      </c>
    </row>
    <row r="2186" spans="1:15" s="3" customFormat="1" hidden="1" outlineLevel="1" x14ac:dyDescent="0.25">
      <c r="B2186" s="78" t="s">
        <v>202</v>
      </c>
      <c r="C2186" s="79" t="s">
        <v>1634</v>
      </c>
      <c r="D2186" s="79" t="s">
        <v>1469</v>
      </c>
      <c r="E2186" s="79">
        <v>0</v>
      </c>
      <c r="F2186" s="79" t="s">
        <v>1470</v>
      </c>
      <c r="G2186" s="80"/>
      <c r="H2186" s="5" t="e">
        <f>"t.{"&amp;#REF!&amp;"},"</f>
        <v>#REF!</v>
      </c>
    </row>
    <row r="2187" spans="1:15" s="3" customFormat="1" ht="16.2" hidden="1" outlineLevel="1" thickBot="1" x14ac:dyDescent="0.3">
      <c r="B2187" s="239" t="s">
        <v>15</v>
      </c>
      <c r="C2187" s="79" t="s">
        <v>1478</v>
      </c>
      <c r="D2187" s="79" t="s">
        <v>1469</v>
      </c>
      <c r="E2187" s="79">
        <v>0</v>
      </c>
      <c r="F2187" s="79" t="s">
        <v>1470</v>
      </c>
      <c r="G2187" s="80"/>
      <c r="H2187" s="5" t="e">
        <f>"t.{"&amp;#REF!&amp;"},"</f>
        <v>#REF!</v>
      </c>
    </row>
    <row r="2188" spans="1:15" s="3" customFormat="1" ht="16.2" hidden="1" outlineLevel="1" thickBot="1" x14ac:dyDescent="0.3">
      <c r="B2188" s="239" t="s">
        <v>13</v>
      </c>
      <c r="C2188" s="240" t="s">
        <v>1474</v>
      </c>
      <c r="D2188" s="240" t="s">
        <v>1469</v>
      </c>
      <c r="E2188" s="240">
        <v>0</v>
      </c>
      <c r="F2188" s="240" t="s">
        <v>1470</v>
      </c>
      <c r="G2188" s="241"/>
      <c r="H2188" s="5" t="e">
        <f>"t.{"&amp;#REF!&amp;"},"</f>
        <v>#REF!</v>
      </c>
    </row>
    <row r="2189" spans="1:15" s="3" customFormat="1" hidden="1" outlineLevel="1" x14ac:dyDescent="0.25">
      <c r="B2189" s="81" t="s">
        <v>347</v>
      </c>
      <c r="C2189" s="79" t="s">
        <v>1756</v>
      </c>
      <c r="D2189" s="79" t="s">
        <v>1469</v>
      </c>
      <c r="E2189" s="79">
        <v>0</v>
      </c>
      <c r="F2189" s="79" t="s">
        <v>1476</v>
      </c>
      <c r="G2189" s="80"/>
      <c r="H2189" s="5" t="e">
        <f>"t.{"&amp;#REF!&amp;"},"</f>
        <v>#REF!</v>
      </c>
    </row>
    <row r="2190" spans="1:15" s="3" customFormat="1" hidden="1" outlineLevel="1" x14ac:dyDescent="0.25">
      <c r="B2190" s="81" t="s">
        <v>75</v>
      </c>
      <c r="C2190" s="240" t="s">
        <v>1530</v>
      </c>
      <c r="D2190" s="240" t="s">
        <v>1486</v>
      </c>
      <c r="E2190" s="240">
        <v>0</v>
      </c>
      <c r="F2190" s="240" t="s">
        <v>1470</v>
      </c>
      <c r="G2190" s="241" t="s">
        <v>1531</v>
      </c>
      <c r="H2190" s="5" t="e">
        <f>"t.{"&amp;#REF!&amp;"},"</f>
        <v>#REF!</v>
      </c>
    </row>
    <row r="2191" spans="1:15" s="3" customFormat="1" hidden="1" outlineLevel="1" x14ac:dyDescent="0.25">
      <c r="B2191" s="81" t="s">
        <v>361</v>
      </c>
      <c r="C2191" s="240" t="s">
        <v>1763</v>
      </c>
      <c r="D2191" s="240" t="s">
        <v>1469</v>
      </c>
      <c r="E2191" s="240" t="s">
        <v>1480</v>
      </c>
      <c r="F2191" s="240" t="s">
        <v>1481</v>
      </c>
      <c r="G2191" s="241"/>
      <c r="H2191" s="5" t="e">
        <f>"t.{"&amp;#REF!&amp;"},"</f>
        <v>#REF!</v>
      </c>
    </row>
    <row r="2192" spans="1:15" s="3" customFormat="1" hidden="1" outlineLevel="1" x14ac:dyDescent="0.25">
      <c r="B2192" s="81" t="s">
        <v>362</v>
      </c>
      <c r="C2192" s="79" t="s">
        <v>1764</v>
      </c>
      <c r="D2192" s="79" t="s">
        <v>1469</v>
      </c>
      <c r="E2192" s="79" t="s">
        <v>1549</v>
      </c>
      <c r="F2192" s="79" t="s">
        <v>1470</v>
      </c>
      <c r="G2192" s="80"/>
      <c r="H2192" s="5" t="e">
        <f>"t.{"&amp;#REF!&amp;"},"</f>
        <v>#REF!</v>
      </c>
    </row>
    <row r="2193" spans="1:13" s="3" customFormat="1" hidden="1" outlineLevel="1" x14ac:dyDescent="0.25">
      <c r="B2193" s="81" t="s">
        <v>349</v>
      </c>
      <c r="C2193" s="79" t="s">
        <v>1758</v>
      </c>
      <c r="D2193" s="79" t="s">
        <v>1539</v>
      </c>
      <c r="E2193" s="79">
        <v>0</v>
      </c>
      <c r="F2193" s="79" t="s">
        <v>1470</v>
      </c>
      <c r="G2193" s="80"/>
      <c r="H2193" s="5" t="e">
        <f>"t.{"&amp;#REF!&amp;"},"</f>
        <v>#REF!</v>
      </c>
    </row>
    <row r="2194" spans="1:13" s="3" customFormat="1" hidden="1" outlineLevel="1" x14ac:dyDescent="0.25">
      <c r="B2194" s="81" t="s">
        <v>76</v>
      </c>
      <c r="C2194" s="79" t="s">
        <v>1532</v>
      </c>
      <c r="D2194" s="79" t="s">
        <v>1489</v>
      </c>
      <c r="E2194" s="79">
        <v>0</v>
      </c>
      <c r="F2194" s="79"/>
      <c r="G2194" s="80"/>
      <c r="H2194" s="5" t="e">
        <f>"t.{"&amp;#REF!&amp;"},"</f>
        <v>#REF!</v>
      </c>
    </row>
    <row r="2195" spans="1:13" s="3" customFormat="1" hidden="1" outlineLevel="1" x14ac:dyDescent="0.25">
      <c r="B2195" s="81" t="s">
        <v>177</v>
      </c>
      <c r="C2195" s="79" t="s">
        <v>1600</v>
      </c>
      <c r="D2195" s="79" t="s">
        <v>1489</v>
      </c>
      <c r="E2195" s="79">
        <v>0</v>
      </c>
      <c r="F2195" s="79" t="s">
        <v>1470</v>
      </c>
      <c r="G2195" s="80"/>
      <c r="H2195" s="5" t="e">
        <f>"t.{"&amp;#REF!&amp;"},"</f>
        <v>#REF!</v>
      </c>
    </row>
    <row r="2196" spans="1:13" s="3" customFormat="1" hidden="1" outlineLevel="1" x14ac:dyDescent="0.25">
      <c r="B2196" s="242" t="s">
        <v>367</v>
      </c>
      <c r="C2196" s="79" t="s">
        <v>1768</v>
      </c>
      <c r="D2196" s="79" t="s">
        <v>1469</v>
      </c>
      <c r="E2196" s="79" t="s">
        <v>1480</v>
      </c>
      <c r="F2196" s="79" t="s">
        <v>1481</v>
      </c>
      <c r="G2196" s="80"/>
      <c r="H2196" s="5" t="e">
        <f>"t.{"&amp;#REF!&amp;"},"</f>
        <v>#REF!</v>
      </c>
    </row>
    <row r="2197" spans="1:13" s="3" customFormat="1" hidden="1" outlineLevel="1" x14ac:dyDescent="0.25">
      <c r="B2197" s="242" t="s">
        <v>368</v>
      </c>
      <c r="C2197" s="79" t="s">
        <v>1769</v>
      </c>
      <c r="D2197" s="79" t="s">
        <v>1469</v>
      </c>
      <c r="E2197" s="79" t="s">
        <v>1549</v>
      </c>
      <c r="F2197" s="79" t="s">
        <v>1470</v>
      </c>
      <c r="G2197" s="80"/>
      <c r="H2197" s="5" t="e">
        <f>"t.{"&amp;#REF!&amp;"},"</f>
        <v>#REF!</v>
      </c>
    </row>
    <row r="2198" spans="1:13" s="3" customFormat="1" hidden="1" outlineLevel="1" x14ac:dyDescent="0.25">
      <c r="B2198" s="242" t="s">
        <v>369</v>
      </c>
      <c r="C2198" s="79" t="s">
        <v>1770</v>
      </c>
      <c r="D2198" s="79" t="s">
        <v>1539</v>
      </c>
      <c r="E2198" s="79">
        <v>0</v>
      </c>
      <c r="F2198" s="79" t="s">
        <v>1470</v>
      </c>
      <c r="G2198" s="80"/>
      <c r="H2198" s="5" t="e">
        <f>"t.{"&amp;#REF!&amp;"},"</f>
        <v>#REF!</v>
      </c>
    </row>
    <row r="2199" spans="1:13" s="3" customFormat="1" hidden="1" outlineLevel="1" x14ac:dyDescent="0.25">
      <c r="B2199" s="81" t="s">
        <v>78</v>
      </c>
      <c r="C2199" s="79" t="s">
        <v>1534</v>
      </c>
      <c r="D2199" s="79" t="s">
        <v>1489</v>
      </c>
      <c r="E2199" s="79">
        <v>0</v>
      </c>
      <c r="F2199" s="79"/>
      <c r="G2199" s="80"/>
      <c r="H2199" s="5" t="e">
        <f>"t.{"&amp;#REF!&amp;"},"</f>
        <v>#REF!</v>
      </c>
    </row>
    <row r="2200" spans="1:13" s="3" customFormat="1" hidden="1" outlineLevel="1" x14ac:dyDescent="0.25">
      <c r="B2200" s="81" t="s">
        <v>178</v>
      </c>
      <c r="C2200" s="79" t="s">
        <v>1601</v>
      </c>
      <c r="D2200" s="79" t="s">
        <v>1489</v>
      </c>
      <c r="E2200" s="79">
        <v>0</v>
      </c>
      <c r="F2200" s="79" t="s">
        <v>1470</v>
      </c>
      <c r="G2200" s="80"/>
      <c r="H2200" s="5" t="e">
        <f>"t.{"&amp;#REF!&amp;"},"</f>
        <v>#REF!</v>
      </c>
    </row>
    <row r="2201" spans="1:13" s="3" customFormat="1" hidden="1" outlineLevel="1" x14ac:dyDescent="0.25">
      <c r="B2201" s="81" t="s">
        <v>211</v>
      </c>
      <c r="C2201" s="79" t="s">
        <v>1651</v>
      </c>
      <c r="D2201" s="79" t="s">
        <v>1652</v>
      </c>
      <c r="E2201" s="79" t="s">
        <v>1594</v>
      </c>
      <c r="F2201" s="79" t="s">
        <v>1470</v>
      </c>
      <c r="G2201" s="80" t="s">
        <v>1653</v>
      </c>
      <c r="H2201" s="5" t="e">
        <f>"t.{"&amp;#REF!&amp;"},"</f>
        <v>#REF!</v>
      </c>
    </row>
    <row r="2202" spans="1:13" s="3" customFormat="1" hidden="1" outlineLevel="1" x14ac:dyDescent="0.25">
      <c r="B2202" s="81" t="s">
        <v>77</v>
      </c>
      <c r="C2202" s="79" t="s">
        <v>1533</v>
      </c>
      <c r="D2202" s="79" t="s">
        <v>1486</v>
      </c>
      <c r="E2202" s="79">
        <v>0</v>
      </c>
      <c r="F2202" s="79" t="s">
        <v>1470</v>
      </c>
      <c r="G2202" s="80"/>
      <c r="H2202" s="5" t="e">
        <f>"t.{"&amp;#REF!&amp;"},"</f>
        <v>#REF!</v>
      </c>
    </row>
    <row r="2203" spans="1:13" s="3" customFormat="1" hidden="1" outlineLevel="1" x14ac:dyDescent="0.25">
      <c r="B2203" s="81" t="s">
        <v>24</v>
      </c>
      <c r="C2203" s="79" t="s">
        <v>1491</v>
      </c>
      <c r="D2203" s="79" t="s">
        <v>1489</v>
      </c>
      <c r="E2203" s="79">
        <v>0</v>
      </c>
      <c r="F2203" s="79" t="s">
        <v>1470</v>
      </c>
      <c r="G2203" s="80"/>
      <c r="H2203" s="5" t="e">
        <f>"t.{"&amp;#REF!&amp;"},"</f>
        <v>#REF!</v>
      </c>
    </row>
    <row r="2204" spans="1:13" s="3" customFormat="1" hidden="1" outlineLevel="1" x14ac:dyDescent="0.25">
      <c r="B2204" s="81" t="s">
        <v>58</v>
      </c>
      <c r="C2204" s="79" t="s">
        <v>1522</v>
      </c>
      <c r="D2204" s="79" t="s">
        <v>1489</v>
      </c>
      <c r="E2204" s="79">
        <v>0</v>
      </c>
      <c r="F2204" s="79" t="s">
        <v>1470</v>
      </c>
      <c r="G2204" s="80"/>
      <c r="H2204" s="5" t="e">
        <f>"t.{"&amp;#REF!&amp;"},"</f>
        <v>#REF!</v>
      </c>
    </row>
    <row r="2205" spans="1:13" s="4" customFormat="1" ht="17.399999999999999" hidden="1" customHeight="1" outlineLevel="1" x14ac:dyDescent="0.35">
      <c r="B2205" s="64"/>
      <c r="C2205" s="65"/>
      <c r="D2205" s="65"/>
      <c r="E2205" s="65"/>
      <c r="F2205" s="65"/>
      <c r="G2205" s="66"/>
      <c r="H2205" s="5"/>
      <c r="I2205" s="5"/>
      <c r="J2205" s="5"/>
      <c r="K2205" s="5"/>
      <c r="L2205" s="5"/>
      <c r="M2205" s="5"/>
    </row>
    <row r="2206" spans="1:13" s="4" customFormat="1" ht="16.2" hidden="1" outlineLevel="1" thickBot="1" x14ac:dyDescent="0.4">
      <c r="B2206" s="67"/>
      <c r="C2206" s="84"/>
      <c r="D2206" s="84"/>
      <c r="E2206" s="84"/>
      <c r="F2206" s="84"/>
      <c r="G2206" s="85"/>
      <c r="H2206" s="5"/>
      <c r="I2206" s="5"/>
      <c r="J2206" s="5"/>
      <c r="K2206" s="5"/>
      <c r="L2206" s="5"/>
      <c r="M2206" s="5"/>
    </row>
    <row r="2207" spans="1:13" s="4" customFormat="1" ht="17.399999999999999" hidden="1" customHeight="1" outlineLevel="1" x14ac:dyDescent="0.35">
      <c r="B2207" s="389" t="s">
        <v>28</v>
      </c>
      <c r="C2207" s="390"/>
      <c r="D2207" s="390"/>
      <c r="E2207" s="390"/>
      <c r="F2207" s="390"/>
      <c r="G2207" s="391"/>
      <c r="H2207" s="5"/>
      <c r="I2207" s="5"/>
      <c r="J2207" s="5"/>
      <c r="K2207" s="5"/>
      <c r="L2207" s="5"/>
      <c r="M2207" s="5"/>
    </row>
    <row r="2208" spans="1:13" s="4" customFormat="1" ht="17.399999999999999" hidden="1" customHeight="1" outlineLevel="1" x14ac:dyDescent="0.35">
      <c r="A2208" s="5"/>
      <c r="B2208" s="32" t="s">
        <v>2</v>
      </c>
      <c r="C2208" s="33" t="s">
        <v>3</v>
      </c>
      <c r="D2208" s="33" t="s">
        <v>4</v>
      </c>
      <c r="E2208" s="33"/>
      <c r="F2208" s="33"/>
      <c r="G2208" s="34" t="s">
        <v>6</v>
      </c>
      <c r="H2208" s="5"/>
      <c r="I2208" s="5"/>
      <c r="J2208" s="5"/>
      <c r="K2208" s="5"/>
      <c r="L2208" s="5"/>
      <c r="M2208" s="5"/>
    </row>
    <row r="2209" spans="1:13" s="4" customFormat="1" ht="17.399999999999999" hidden="1" customHeight="1" outlineLevel="1" x14ac:dyDescent="0.35">
      <c r="A2209" s="5"/>
      <c r="B2209" s="31"/>
      <c r="C2209" s="65"/>
      <c r="D2209" s="65"/>
      <c r="E2209" s="65"/>
      <c r="F2209" s="65"/>
      <c r="G2209" s="66"/>
    </row>
    <row r="2210" spans="1:13" s="4" customFormat="1" ht="17.399999999999999" hidden="1" customHeight="1" outlineLevel="1" thickBot="1" x14ac:dyDescent="0.4">
      <c r="A2210" s="5"/>
      <c r="B2210" s="31"/>
      <c r="C2210" s="65"/>
      <c r="D2210" s="65"/>
      <c r="E2210" s="65"/>
      <c r="F2210" s="65"/>
      <c r="G2210" s="66"/>
      <c r="H2210" s="5"/>
      <c r="I2210" s="5"/>
      <c r="J2210" s="5"/>
      <c r="K2210" s="5"/>
      <c r="L2210" s="5"/>
      <c r="M2210" s="5"/>
    </row>
    <row r="2211" spans="1:13" s="4" customFormat="1" ht="17.399999999999999" hidden="1" customHeight="1" outlineLevel="1" x14ac:dyDescent="0.35">
      <c r="A2211" s="5"/>
      <c r="B2211" s="392" t="s">
        <v>29</v>
      </c>
      <c r="C2211" s="393"/>
      <c r="D2211" s="393"/>
      <c r="E2211" s="393"/>
      <c r="F2211" s="393"/>
      <c r="G2211" s="394"/>
      <c r="H2211" s="5"/>
      <c r="I2211" s="5"/>
      <c r="J2211" s="5"/>
      <c r="K2211" s="5"/>
      <c r="L2211" s="5"/>
      <c r="M2211" s="5"/>
    </row>
    <row r="2212" spans="1:13" s="4" customFormat="1" ht="17.399999999999999" hidden="1" customHeight="1" outlineLevel="1" x14ac:dyDescent="0.35">
      <c r="A2212" s="5"/>
      <c r="B2212" s="28"/>
      <c r="C2212" s="65"/>
      <c r="D2212" s="65"/>
      <c r="E2212" s="65"/>
      <c r="F2212" s="65"/>
      <c r="G2212" s="105"/>
      <c r="H2212" s="5"/>
      <c r="I2212" s="5"/>
      <c r="J2212" s="5"/>
      <c r="K2212" s="5"/>
      <c r="L2212" s="5"/>
      <c r="M2212" s="5"/>
    </row>
    <row r="2213" spans="1:13" s="3" customFormat="1" hidden="1" outlineLevel="1" x14ac:dyDescent="0.25">
      <c r="A2213" s="5"/>
      <c r="B2213" s="31"/>
      <c r="C2213" s="20"/>
      <c r="D2213" s="20"/>
      <c r="E2213" s="20"/>
      <c r="F2213" s="20"/>
      <c r="G2213" s="22"/>
      <c r="I2213" s="57"/>
    </row>
    <row r="2214" spans="1:13" s="3" customFormat="1" ht="17.399999999999999" hidden="1" customHeight="1" outlineLevel="1" x14ac:dyDescent="0.25">
      <c r="A2214" s="5"/>
      <c r="B2214" s="140" t="s">
        <v>890</v>
      </c>
      <c r="C2214" s="20"/>
      <c r="D2214" s="20"/>
      <c r="E2214" s="20"/>
      <c r="F2214" s="20"/>
      <c r="G2214" s="22"/>
      <c r="I2214" s="57"/>
    </row>
    <row r="2215" spans="1:13" s="3" customFormat="1" hidden="1" outlineLevel="1" x14ac:dyDescent="0.25">
      <c r="A2215" s="5"/>
      <c r="B2215" s="140" t="s">
        <v>891</v>
      </c>
      <c r="C2215" s="20"/>
      <c r="D2215" s="20"/>
      <c r="E2215" s="20"/>
      <c r="F2215" s="20"/>
      <c r="G2215" s="22"/>
      <c r="I2215" s="60"/>
    </row>
    <row r="2216" spans="1:13" s="3" customFormat="1" hidden="1" outlineLevel="1" x14ac:dyDescent="0.25">
      <c r="A2216" s="5"/>
      <c r="B2216" s="141" t="s">
        <v>892</v>
      </c>
      <c r="C2216" s="20"/>
      <c r="D2216" s="20"/>
      <c r="E2216" s="20"/>
      <c r="F2216" s="20"/>
      <c r="G2216" s="22"/>
      <c r="I2216" s="64"/>
    </row>
    <row r="2217" spans="1:13" s="3" customFormat="1" hidden="1" outlineLevel="1" x14ac:dyDescent="0.25">
      <c r="A2217" s="5"/>
      <c r="B2217" s="141" t="s">
        <v>893</v>
      </c>
      <c r="C2217" s="20"/>
      <c r="D2217" s="20"/>
      <c r="E2217" s="20"/>
      <c r="F2217" s="20"/>
      <c r="G2217" s="22"/>
      <c r="I2217" s="134"/>
    </row>
    <row r="2218" spans="1:13" s="3" customFormat="1" hidden="1" outlineLevel="1" x14ac:dyDescent="0.25">
      <c r="A2218" s="5"/>
      <c r="B2218" s="140"/>
      <c r="C2218" s="20"/>
      <c r="D2218" s="20"/>
      <c r="E2218" s="20"/>
      <c r="F2218" s="20"/>
      <c r="G2218" s="22"/>
      <c r="I2218" s="151"/>
    </row>
    <row r="2219" spans="1:13" s="3" customFormat="1" hidden="1" outlineLevel="1" x14ac:dyDescent="0.25">
      <c r="A2219" s="5"/>
      <c r="B2219" s="140" t="s">
        <v>894</v>
      </c>
      <c r="C2219" s="20"/>
      <c r="D2219" s="20"/>
      <c r="E2219" s="20"/>
      <c r="F2219" s="20"/>
      <c r="G2219" s="22"/>
      <c r="I2219" s="57"/>
    </row>
    <row r="2220" spans="1:13" s="3" customFormat="1" hidden="1" outlineLevel="1" x14ac:dyDescent="0.25">
      <c r="A2220" s="5"/>
      <c r="B2220" s="140" t="s">
        <v>895</v>
      </c>
      <c r="C2220" s="20"/>
      <c r="D2220" s="20"/>
      <c r="E2220" s="20"/>
      <c r="F2220" s="20"/>
      <c r="G2220" s="22"/>
      <c r="I2220" s="60"/>
    </row>
    <row r="2221" spans="1:13" s="3" customFormat="1" hidden="1" outlineLevel="1" x14ac:dyDescent="0.25">
      <c r="A2221" s="5"/>
      <c r="B2221" s="140" t="s">
        <v>896</v>
      </c>
      <c r="C2221" s="20"/>
      <c r="D2221" s="20"/>
      <c r="E2221" s="20"/>
      <c r="F2221" s="20"/>
      <c r="G2221" s="22"/>
      <c r="I2221" s="60"/>
    </row>
    <row r="2222" spans="1:13" s="3" customFormat="1" hidden="1" outlineLevel="1" x14ac:dyDescent="0.25">
      <c r="A2222" s="5"/>
      <c r="B2222" s="140" t="s">
        <v>897</v>
      </c>
      <c r="C2222" s="20"/>
      <c r="D2222" s="20"/>
      <c r="E2222" s="20"/>
      <c r="F2222" s="20"/>
      <c r="G2222" s="22"/>
      <c r="I2222" s="60"/>
    </row>
    <row r="2223" spans="1:13" s="3" customFormat="1" hidden="1" outlineLevel="1" x14ac:dyDescent="0.25">
      <c r="A2223" s="5"/>
      <c r="B2223" s="140" t="s">
        <v>898</v>
      </c>
      <c r="C2223" s="20"/>
      <c r="D2223" s="20"/>
      <c r="E2223" s="20"/>
      <c r="F2223" s="20"/>
      <c r="G2223" s="22"/>
      <c r="I2223" s="60"/>
    </row>
    <row r="2224" spans="1:13" s="3" customFormat="1" hidden="1" outlineLevel="1" x14ac:dyDescent="0.25">
      <c r="A2224" s="5"/>
      <c r="B2224" s="140"/>
      <c r="C2224" s="20"/>
      <c r="D2224" s="20"/>
      <c r="E2224" s="20"/>
      <c r="F2224" s="20"/>
      <c r="G2224" s="22"/>
      <c r="I2224" s="152"/>
    </row>
    <row r="2225" spans="1:10" s="3" customFormat="1" hidden="1" outlineLevel="1" x14ac:dyDescent="0.25">
      <c r="A2225" s="5"/>
      <c r="B2225" s="143" t="s">
        <v>899</v>
      </c>
      <c r="C2225" s="20"/>
      <c r="D2225" s="20"/>
      <c r="E2225" s="20"/>
      <c r="F2225" s="20"/>
      <c r="G2225" s="22"/>
      <c r="I2225" s="152"/>
    </row>
    <row r="2226" spans="1:10" s="3" customFormat="1" hidden="1" outlineLevel="1" x14ac:dyDescent="0.25">
      <c r="A2226" s="5"/>
      <c r="B2226" s="144" t="s">
        <v>935</v>
      </c>
      <c r="C2226" s="20"/>
      <c r="D2226" s="20"/>
      <c r="E2226" s="20"/>
      <c r="F2226" s="20"/>
      <c r="G2226" s="22"/>
    </row>
    <row r="2227" spans="1:10" s="3" customFormat="1" hidden="1" outlineLevel="1" x14ac:dyDescent="0.25">
      <c r="A2227" s="5"/>
      <c r="B2227" s="144" t="s">
        <v>2301</v>
      </c>
      <c r="C2227" s="20"/>
      <c r="D2227" s="20"/>
      <c r="E2227" s="20"/>
      <c r="F2227" s="20"/>
      <c r="G2227" s="22"/>
    </row>
    <row r="2228" spans="1:10" s="3" customFormat="1" hidden="1" outlineLevel="1" x14ac:dyDescent="0.25">
      <c r="A2228" s="5"/>
      <c r="B2228" s="50"/>
      <c r="C2228" s="20"/>
      <c r="D2228" s="20"/>
      <c r="E2228" s="20"/>
      <c r="F2228" s="20"/>
      <c r="G2228" s="22"/>
    </row>
    <row r="2229" spans="1:10" s="3" customFormat="1" hidden="1" outlineLevel="1" x14ac:dyDescent="0.25">
      <c r="A2229" s="5"/>
      <c r="B2229" s="31" t="s">
        <v>902</v>
      </c>
      <c r="C2229" s="20"/>
      <c r="D2229" s="20"/>
      <c r="E2229" s="20"/>
      <c r="F2229" s="20"/>
      <c r="G2229" s="22"/>
    </row>
    <row r="2230" spans="1:10" s="3" customFormat="1" ht="17.399999999999999" hidden="1" customHeight="1" outlineLevel="1" x14ac:dyDescent="0.25">
      <c r="A2230" s="5"/>
      <c r="B2230" s="140" t="s">
        <v>1116</v>
      </c>
      <c r="C2230" s="20"/>
      <c r="D2230" s="20"/>
      <c r="E2230" s="20"/>
      <c r="F2230" s="20"/>
      <c r="G2230" s="22"/>
      <c r="I2230" s="60"/>
    </row>
    <row r="2231" spans="1:10" s="3" customFormat="1" hidden="1" outlineLevel="1" x14ac:dyDescent="0.25">
      <c r="A2231" s="5"/>
      <c r="B2231" s="140" t="s">
        <v>1117</v>
      </c>
      <c r="C2231" s="20"/>
      <c r="D2231" s="20"/>
      <c r="E2231" s="20"/>
      <c r="F2231" s="20"/>
      <c r="G2231" s="22"/>
      <c r="I2231" s="60"/>
    </row>
    <row r="2232" spans="1:10" s="3" customFormat="1" hidden="1" outlineLevel="1" x14ac:dyDescent="0.25">
      <c r="A2232" s="5"/>
      <c r="B2232" s="140" t="s">
        <v>1118</v>
      </c>
      <c r="C2232" s="20"/>
      <c r="D2232" s="20"/>
      <c r="E2232" s="20"/>
      <c r="F2232" s="20"/>
      <c r="G2232" s="22"/>
      <c r="I2232" s="60"/>
    </row>
    <row r="2233" spans="1:10" s="3" customFormat="1" hidden="1" outlineLevel="1" x14ac:dyDescent="0.25">
      <c r="A2233" s="5"/>
      <c r="B2233" s="141"/>
      <c r="C2233" s="20"/>
      <c r="D2233" s="20"/>
      <c r="E2233" s="20"/>
      <c r="F2233" s="20"/>
      <c r="G2233" s="22"/>
      <c r="I2233" s="60"/>
    </row>
    <row r="2234" spans="1:10" s="10" customFormat="1" hidden="1" outlineLevel="1" x14ac:dyDescent="0.25">
      <c r="A2234" s="243"/>
      <c r="B2234" s="244" t="s">
        <v>2328</v>
      </c>
      <c r="C2234" s="245"/>
      <c r="D2234" s="245"/>
      <c r="E2234" s="245"/>
      <c r="F2234" s="245"/>
      <c r="G2234" s="246"/>
      <c r="I2234" s="249"/>
    </row>
    <row r="2235" spans="1:10" s="10" customFormat="1" hidden="1" outlineLevel="1" x14ac:dyDescent="0.25">
      <c r="A2235" s="243"/>
      <c r="B2235" s="244" t="s">
        <v>1119</v>
      </c>
      <c r="C2235" s="245"/>
      <c r="D2235" s="245"/>
      <c r="E2235" s="245"/>
      <c r="F2235" s="245"/>
      <c r="G2235" s="246"/>
      <c r="I2235" s="249"/>
    </row>
    <row r="2236" spans="1:10" s="10" customFormat="1" hidden="1" outlineLevel="1" x14ac:dyDescent="0.25">
      <c r="A2236" s="243"/>
      <c r="B2236" s="247" t="s">
        <v>2302</v>
      </c>
      <c r="C2236" s="245"/>
      <c r="D2236" s="245"/>
      <c r="E2236" s="245"/>
      <c r="F2236" s="245"/>
      <c r="G2236" s="246"/>
      <c r="I2236" s="249"/>
      <c r="J2236" s="250"/>
    </row>
    <row r="2237" spans="1:10" s="3" customFormat="1" hidden="1" outlineLevel="1" x14ac:dyDescent="0.25">
      <c r="A2237" s="5"/>
      <c r="B2237" s="143"/>
      <c r="C2237" s="20"/>
      <c r="D2237" s="20"/>
      <c r="E2237" s="20"/>
      <c r="F2237" s="20"/>
      <c r="G2237" s="22"/>
      <c r="I2237" s="60"/>
    </row>
    <row r="2238" spans="1:10" s="3" customFormat="1" hidden="1" outlineLevel="1" x14ac:dyDescent="0.25">
      <c r="A2238" s="5"/>
      <c r="B2238" s="144" t="s">
        <v>1120</v>
      </c>
      <c r="C2238" s="20"/>
      <c r="D2238" s="20"/>
      <c r="E2238" s="20"/>
      <c r="F2238" s="20"/>
      <c r="G2238" s="22"/>
      <c r="I2238" s="60"/>
    </row>
    <row r="2239" spans="1:10" s="3" customFormat="1" ht="17.399999999999999" hidden="1" customHeight="1" outlineLevel="1" x14ac:dyDescent="0.25">
      <c r="A2239" s="5"/>
      <c r="B2239" s="140" t="s">
        <v>1121</v>
      </c>
      <c r="C2239" s="20"/>
      <c r="D2239" s="20"/>
      <c r="E2239" s="20"/>
      <c r="F2239" s="20"/>
      <c r="G2239" s="22"/>
      <c r="I2239" s="60"/>
    </row>
    <row r="2240" spans="1:10" s="3" customFormat="1" hidden="1" outlineLevel="1" x14ac:dyDescent="0.25">
      <c r="A2240" s="5"/>
      <c r="B2240" s="140" t="s">
        <v>1117</v>
      </c>
      <c r="C2240" s="20"/>
      <c r="D2240" s="20"/>
      <c r="E2240" s="20"/>
      <c r="F2240" s="20"/>
      <c r="G2240" s="22"/>
      <c r="I2240" s="60"/>
    </row>
    <row r="2241" spans="1:10" s="3" customFormat="1" hidden="1" outlineLevel="1" x14ac:dyDescent="0.25">
      <c r="A2241" s="5"/>
      <c r="B2241" s="140" t="s">
        <v>1122</v>
      </c>
      <c r="C2241" s="20"/>
      <c r="D2241" s="20"/>
      <c r="E2241" s="20"/>
      <c r="F2241" s="20"/>
      <c r="G2241" s="22"/>
      <c r="I2241" s="60"/>
    </row>
    <row r="2242" spans="1:10" s="10" customFormat="1" hidden="1" outlineLevel="1" x14ac:dyDescent="0.25">
      <c r="A2242" s="243"/>
      <c r="B2242" s="244" t="s">
        <v>2303</v>
      </c>
      <c r="C2242" s="245"/>
      <c r="D2242" s="245"/>
      <c r="E2242" s="245"/>
      <c r="F2242" s="245"/>
      <c r="G2242" s="246"/>
      <c r="I2242" s="249"/>
    </row>
    <row r="2243" spans="1:10" s="3" customFormat="1" hidden="1" outlineLevel="1" x14ac:dyDescent="0.25">
      <c r="A2243" s="5"/>
      <c r="B2243" s="153"/>
      <c r="C2243" s="20"/>
      <c r="D2243" s="20"/>
      <c r="E2243" s="20"/>
      <c r="F2243" s="20"/>
      <c r="G2243" s="22"/>
      <c r="J2243" s="150"/>
    </row>
    <row r="2244" spans="1:10" s="10" customFormat="1" hidden="1" outlineLevel="1" x14ac:dyDescent="0.25">
      <c r="A2244" s="243"/>
      <c r="B2244" s="248" t="s">
        <v>910</v>
      </c>
      <c r="C2244" s="245"/>
      <c r="D2244" s="245"/>
      <c r="E2244" s="245"/>
      <c r="F2244" s="245"/>
      <c r="G2244" s="246"/>
      <c r="I2244" s="249"/>
    </row>
    <row r="2245" spans="1:10" s="10" customFormat="1" hidden="1" outlineLevel="1" x14ac:dyDescent="0.25">
      <c r="A2245" s="243"/>
      <c r="B2245" s="251" t="s">
        <v>2304</v>
      </c>
      <c r="C2245" s="245"/>
      <c r="D2245" s="245"/>
      <c r="E2245" s="245"/>
      <c r="F2245" s="245"/>
      <c r="G2245" s="246"/>
      <c r="I2245" s="249"/>
    </row>
    <row r="2246" spans="1:10" s="10" customFormat="1" hidden="1" outlineLevel="1" x14ac:dyDescent="0.25">
      <c r="A2246" s="243"/>
      <c r="B2246" s="251" t="s">
        <v>2305</v>
      </c>
      <c r="C2246" s="245"/>
      <c r="D2246" s="245"/>
      <c r="E2246" s="245"/>
      <c r="F2246" s="245"/>
      <c r="G2246" s="246"/>
      <c r="I2246" s="249"/>
    </row>
    <row r="2247" spans="1:10" s="3" customFormat="1" hidden="1" outlineLevel="1" x14ac:dyDescent="0.25">
      <c r="A2247" s="5"/>
      <c r="B2247" s="46" t="s">
        <v>561</v>
      </c>
      <c r="C2247" s="20"/>
      <c r="D2247" s="20"/>
      <c r="E2247" s="20"/>
      <c r="F2247" s="20"/>
      <c r="G2247" s="22"/>
      <c r="I2247" s="60"/>
    </row>
    <row r="2248" spans="1:10" s="3" customFormat="1" hidden="1" outlineLevel="1" x14ac:dyDescent="0.25">
      <c r="A2248" s="5"/>
      <c r="B2248" s="115" t="s">
        <v>1123</v>
      </c>
      <c r="C2248" s="20"/>
      <c r="D2248" s="20"/>
      <c r="E2248" s="20"/>
      <c r="F2248" s="20"/>
      <c r="G2248" s="22"/>
      <c r="I2248" s="60"/>
      <c r="J2248" s="55"/>
    </row>
    <row r="2249" spans="1:10" s="3" customFormat="1" hidden="1" outlineLevel="1" x14ac:dyDescent="0.25">
      <c r="A2249" s="5"/>
      <c r="B2249" s="144" t="s">
        <v>923</v>
      </c>
      <c r="C2249" s="20"/>
      <c r="D2249" s="20"/>
      <c r="E2249" s="20"/>
      <c r="F2249" s="20"/>
      <c r="G2249" s="22"/>
      <c r="I2249" s="60"/>
    </row>
    <row r="2250" spans="1:10" s="3" customFormat="1" ht="17.399999999999999" hidden="1" customHeight="1" outlineLevel="1" x14ac:dyDescent="0.25">
      <c r="A2250" s="5"/>
      <c r="B2250" s="31"/>
      <c r="C2250" s="65"/>
      <c r="D2250" s="65"/>
      <c r="E2250" s="65"/>
      <c r="F2250" s="65"/>
      <c r="G2250" s="105"/>
    </row>
    <row r="2251" spans="1:10" s="4" customFormat="1" ht="17.399999999999999" hidden="1" customHeight="1" outlineLevel="1" thickBot="1" x14ac:dyDescent="0.4">
      <c r="A2251" s="5"/>
      <c r="B2251" s="103"/>
      <c r="C2251" s="92"/>
      <c r="D2251" s="92"/>
      <c r="E2251" s="92"/>
      <c r="F2251" s="92"/>
      <c r="G2251" s="93"/>
    </row>
    <row r="2252" spans="1:10" s="4" customFormat="1" ht="17.399999999999999" hidden="1" customHeight="1" outlineLevel="1" x14ac:dyDescent="0.35">
      <c r="A2252" s="5"/>
      <c r="B2252" s="5"/>
      <c r="C2252" s="5"/>
      <c r="D2252" s="5"/>
      <c r="E2252" s="5"/>
      <c r="F2252" s="5"/>
      <c r="G2252" s="5"/>
    </row>
    <row r="2253" spans="1:10" ht="16.2" hidden="1" outlineLevel="1" thickBot="1" x14ac:dyDescent="0.3"/>
    <row r="2254" spans="1:10" s="3" customFormat="1" ht="18" customHeight="1" collapsed="1" thickBot="1" x14ac:dyDescent="0.3">
      <c r="A2254" s="5"/>
      <c r="B2254" s="15" t="s">
        <v>1279</v>
      </c>
      <c r="C2254" s="16" t="s">
        <v>2234</v>
      </c>
      <c r="D2254" s="17" t="s">
        <v>1281</v>
      </c>
      <c r="E2254" s="252" t="s">
        <v>1124</v>
      </c>
      <c r="F2254" s="17" t="s">
        <v>1282</v>
      </c>
      <c r="G2254" s="18" t="s">
        <v>2235</v>
      </c>
    </row>
    <row r="2255" spans="1:10" s="3" customFormat="1" ht="17.399999999999999" hidden="1" customHeight="1" outlineLevel="1" x14ac:dyDescent="0.25">
      <c r="A2255" s="5"/>
      <c r="B2255" s="19" t="s">
        <v>1284</v>
      </c>
      <c r="C2255" s="20" t="s">
        <v>1285</v>
      </c>
      <c r="D2255" s="21" t="s">
        <v>1286</v>
      </c>
      <c r="E2255" s="20" t="s">
        <v>2236</v>
      </c>
      <c r="F2255" s="21" t="s">
        <v>1288</v>
      </c>
      <c r="G2255" s="22"/>
    </row>
    <row r="2256" spans="1:10" s="3" customFormat="1" ht="17.399999999999999" hidden="1" customHeight="1" outlineLevel="1" thickBot="1" x14ac:dyDescent="0.3">
      <c r="A2256" s="5"/>
      <c r="B2256" s="19" t="s">
        <v>1290</v>
      </c>
      <c r="C2256" s="23" t="s">
        <v>1291</v>
      </c>
      <c r="D2256" s="21" t="s">
        <v>1292</v>
      </c>
      <c r="E2256" s="23">
        <v>5</v>
      </c>
      <c r="F2256" s="21" t="s">
        <v>1293</v>
      </c>
      <c r="G2256" s="24" t="s">
        <v>1294</v>
      </c>
    </row>
    <row r="2257" spans="1:14" s="3" customFormat="1" ht="17.399999999999999" hidden="1" customHeight="1" outlineLevel="1" x14ac:dyDescent="0.25">
      <c r="A2257" s="5"/>
      <c r="B2257" s="401" t="s">
        <v>1</v>
      </c>
      <c r="C2257" s="402"/>
      <c r="D2257" s="402"/>
      <c r="E2257" s="402"/>
      <c r="F2257" s="402"/>
      <c r="G2257" s="403"/>
    </row>
    <row r="2258" spans="1:14" s="3" customFormat="1" ht="17.399999999999999" hidden="1" customHeight="1" outlineLevel="1" x14ac:dyDescent="0.25">
      <c r="A2258" s="5"/>
      <c r="B2258" s="25" t="s">
        <v>2</v>
      </c>
      <c r="C2258" s="26" t="s">
        <v>3</v>
      </c>
      <c r="D2258" s="26" t="s">
        <v>4</v>
      </c>
      <c r="E2258" s="26" t="s">
        <v>5</v>
      </c>
      <c r="F2258" s="26"/>
      <c r="G2258" s="27" t="s">
        <v>6</v>
      </c>
    </row>
    <row r="2259" spans="1:14" s="3" customFormat="1" hidden="1" outlineLevel="1" x14ac:dyDescent="0.25">
      <c r="A2259" s="5"/>
      <c r="B2259" s="31" t="s">
        <v>162</v>
      </c>
      <c r="C2259" s="20" t="s">
        <v>1589</v>
      </c>
      <c r="D2259" s="20" t="s">
        <v>1469</v>
      </c>
      <c r="E2259" s="20">
        <v>0</v>
      </c>
      <c r="F2259" s="20"/>
      <c r="G2259" s="22" t="s">
        <v>1590</v>
      </c>
    </row>
    <row r="2260" spans="1:14" s="3" customFormat="1" hidden="1" outlineLevel="1" x14ac:dyDescent="0.25">
      <c r="A2260" s="5"/>
      <c r="B2260" s="31" t="s">
        <v>163</v>
      </c>
      <c r="C2260" s="20" t="s">
        <v>1591</v>
      </c>
      <c r="D2260" s="20" t="s">
        <v>1469</v>
      </c>
      <c r="E2260" s="20">
        <v>0</v>
      </c>
      <c r="F2260" s="20"/>
      <c r="G2260" s="22" t="s">
        <v>1590</v>
      </c>
    </row>
    <row r="2261" spans="1:14" s="3" customFormat="1" hidden="1" outlineLevel="1" x14ac:dyDescent="0.25">
      <c r="B2261" s="28" t="s">
        <v>128</v>
      </c>
      <c r="C2261" s="29" t="s">
        <v>1566</v>
      </c>
      <c r="D2261" s="29" t="s">
        <v>1567</v>
      </c>
      <c r="E2261" s="29">
        <v>0</v>
      </c>
      <c r="F2261" s="29" t="s">
        <v>1470</v>
      </c>
      <c r="G2261" s="30"/>
      <c r="J2261" s="3" t="s">
        <v>12</v>
      </c>
      <c r="N2261" s="3">
        <v>1629</v>
      </c>
    </row>
    <row r="2262" spans="1:14" s="3" customFormat="1" hidden="1" outlineLevel="1" x14ac:dyDescent="0.25">
      <c r="B2262" s="28" t="s">
        <v>114</v>
      </c>
      <c r="C2262" s="29" t="s">
        <v>1557</v>
      </c>
      <c r="D2262" s="29" t="s">
        <v>1469</v>
      </c>
      <c r="E2262" s="29">
        <v>-1</v>
      </c>
      <c r="F2262" s="29" t="s">
        <v>1470</v>
      </c>
      <c r="G2262" s="30"/>
      <c r="J2262" s="3" t="s">
        <v>10</v>
      </c>
      <c r="N2262" s="3">
        <v>2449</v>
      </c>
    </row>
    <row r="2263" spans="1:14" s="3" customFormat="1" hidden="1" outlineLevel="1" x14ac:dyDescent="0.25">
      <c r="B2263" s="28" t="s">
        <v>7</v>
      </c>
      <c r="C2263" s="29" t="s">
        <v>1468</v>
      </c>
      <c r="D2263" s="29" t="s">
        <v>1469</v>
      </c>
      <c r="E2263" s="29">
        <v>0</v>
      </c>
      <c r="F2263" s="29" t="s">
        <v>1470</v>
      </c>
      <c r="G2263" s="30" t="s">
        <v>1471</v>
      </c>
      <c r="J2263" s="3" t="s">
        <v>10</v>
      </c>
      <c r="N2263" s="3">
        <v>1112</v>
      </c>
    </row>
    <row r="2264" spans="1:14" s="3" customFormat="1" ht="16.2" hidden="1" outlineLevel="1" thickBot="1" x14ac:dyDescent="0.3">
      <c r="B2264" s="28"/>
      <c r="C2264" s="29"/>
      <c r="D2264" s="29"/>
      <c r="E2264" s="29"/>
      <c r="F2264" s="29"/>
      <c r="G2264" s="30"/>
    </row>
    <row r="2265" spans="1:14" s="3" customFormat="1" ht="17.399999999999999" hidden="1" customHeight="1" outlineLevel="1" x14ac:dyDescent="0.25">
      <c r="A2265" s="5"/>
      <c r="B2265" s="401" t="s">
        <v>18</v>
      </c>
      <c r="C2265" s="402"/>
      <c r="D2265" s="402"/>
      <c r="E2265" s="402"/>
      <c r="F2265" s="402"/>
      <c r="G2265" s="403"/>
    </row>
    <row r="2266" spans="1:14" s="3" customFormat="1" ht="17.399999999999999" hidden="1" customHeight="1" outlineLevel="1" x14ac:dyDescent="0.25">
      <c r="A2266" s="5"/>
      <c r="B2266" s="25" t="s">
        <v>2</v>
      </c>
      <c r="C2266" s="26" t="s">
        <v>3</v>
      </c>
      <c r="D2266" s="26" t="s">
        <v>4</v>
      </c>
      <c r="E2266" s="26" t="s">
        <v>5</v>
      </c>
      <c r="F2266" s="26"/>
      <c r="G2266" s="27" t="s">
        <v>6</v>
      </c>
    </row>
    <row r="2267" spans="1:14" s="3" customFormat="1" ht="17.399999999999999" hidden="1" customHeight="1" outlineLevel="1" x14ac:dyDescent="0.25">
      <c r="A2267" s="5"/>
      <c r="B2267" s="253" t="s">
        <v>128</v>
      </c>
      <c r="C2267" s="254" t="s">
        <v>1566</v>
      </c>
      <c r="D2267" s="254" t="s">
        <v>1567</v>
      </c>
      <c r="E2267" s="254">
        <v>0</v>
      </c>
      <c r="F2267" s="254" t="s">
        <v>1470</v>
      </c>
      <c r="G2267" s="255"/>
    </row>
    <row r="2268" spans="1:14" hidden="1" outlineLevel="1" x14ac:dyDescent="0.25">
      <c r="B2268" s="256" t="s">
        <v>16</v>
      </c>
      <c r="C2268" s="257" t="s">
        <v>1479</v>
      </c>
      <c r="D2268" s="257" t="s">
        <v>1469</v>
      </c>
      <c r="E2268" s="257" t="s">
        <v>1480</v>
      </c>
      <c r="F2268" s="257" t="s">
        <v>1481</v>
      </c>
      <c r="G2268" s="258" t="s">
        <v>1482</v>
      </c>
    </row>
    <row r="2269" spans="1:14" hidden="1" outlineLevel="1" x14ac:dyDescent="0.25">
      <c r="B2269" s="256" t="s">
        <v>112</v>
      </c>
      <c r="C2269" s="259" t="s">
        <v>1555</v>
      </c>
      <c r="D2269" s="257" t="s">
        <v>1469</v>
      </c>
      <c r="E2269" s="257">
        <v>0</v>
      </c>
      <c r="F2269" s="257" t="s">
        <v>1470</v>
      </c>
      <c r="G2269" s="258" t="s">
        <v>1556</v>
      </c>
    </row>
    <row r="2270" spans="1:14" hidden="1" outlineLevel="1" x14ac:dyDescent="0.25">
      <c r="B2270" s="256" t="s">
        <v>7</v>
      </c>
      <c r="C2270" s="259" t="s">
        <v>1468</v>
      </c>
      <c r="D2270" s="257" t="s">
        <v>1469</v>
      </c>
      <c r="E2270" s="257">
        <v>0</v>
      </c>
      <c r="F2270" s="257" t="s">
        <v>1470</v>
      </c>
      <c r="G2270" s="258" t="s">
        <v>1471</v>
      </c>
    </row>
    <row r="2271" spans="1:14" hidden="1" outlineLevel="1" x14ac:dyDescent="0.25">
      <c r="B2271" s="256" t="s">
        <v>282</v>
      </c>
      <c r="C2271" s="257" t="s">
        <v>1709</v>
      </c>
      <c r="D2271" s="257" t="s">
        <v>1489</v>
      </c>
      <c r="E2271" s="257">
        <v>0</v>
      </c>
      <c r="F2271" s="257"/>
      <c r="G2271" s="258"/>
    </row>
    <row r="2272" spans="1:14" hidden="1" outlineLevel="1" x14ac:dyDescent="0.25">
      <c r="B2272" s="256" t="s">
        <v>203</v>
      </c>
      <c r="C2272" s="257" t="s">
        <v>1635</v>
      </c>
      <c r="D2272" s="257" t="s">
        <v>1636</v>
      </c>
      <c r="E2272" s="257" t="s">
        <v>1637</v>
      </c>
      <c r="F2272" s="257" t="s">
        <v>1476</v>
      </c>
      <c r="G2272" s="258"/>
    </row>
    <row r="2273" spans="2:7" hidden="1" outlineLevel="1" x14ac:dyDescent="0.25">
      <c r="B2273" s="256" t="s">
        <v>64</v>
      </c>
      <c r="C2273" s="257" t="s">
        <v>1527</v>
      </c>
      <c r="D2273" s="257" t="s">
        <v>1489</v>
      </c>
      <c r="E2273" s="257">
        <v>0</v>
      </c>
      <c r="F2273" s="257"/>
      <c r="G2273" s="258"/>
    </row>
    <row r="2274" spans="2:7" hidden="1" outlineLevel="1" x14ac:dyDescent="0.25">
      <c r="B2274" s="256" t="s">
        <v>283</v>
      </c>
      <c r="C2274" s="257" t="s">
        <v>1710</v>
      </c>
      <c r="D2274" s="257" t="s">
        <v>1494</v>
      </c>
      <c r="E2274" s="257">
        <v>0</v>
      </c>
      <c r="F2274" s="257" t="s">
        <v>1470</v>
      </c>
      <c r="G2274" s="258"/>
    </row>
    <row r="2275" spans="2:7" hidden="1" outlineLevel="1" x14ac:dyDescent="0.25">
      <c r="B2275" s="256" t="s">
        <v>284</v>
      </c>
      <c r="C2275" s="257" t="s">
        <v>1711</v>
      </c>
      <c r="D2275" s="257" t="s">
        <v>1489</v>
      </c>
      <c r="E2275" s="257">
        <v>0</v>
      </c>
      <c r="F2275" s="257"/>
      <c r="G2275" s="258"/>
    </row>
    <row r="2276" spans="2:7" hidden="1" outlineLevel="1" x14ac:dyDescent="0.25">
      <c r="B2276" s="256" t="s">
        <v>285</v>
      </c>
      <c r="C2276" s="257" t="s">
        <v>1712</v>
      </c>
      <c r="D2276" s="257" t="s">
        <v>1494</v>
      </c>
      <c r="E2276" s="257">
        <v>0</v>
      </c>
      <c r="F2276" s="257"/>
      <c r="G2276" s="258"/>
    </row>
    <row r="2277" spans="2:7" hidden="1" outlineLevel="1" x14ac:dyDescent="0.25">
      <c r="B2277" s="256" t="s">
        <v>287</v>
      </c>
      <c r="C2277" s="257" t="s">
        <v>1714</v>
      </c>
      <c r="D2277" s="257" t="s">
        <v>1494</v>
      </c>
      <c r="E2277" s="257">
        <v>0</v>
      </c>
      <c r="F2277" s="257"/>
      <c r="G2277" s="258"/>
    </row>
    <row r="2278" spans="2:7" hidden="1" outlineLevel="1" x14ac:dyDescent="0.25">
      <c r="B2278" s="256" t="s">
        <v>286</v>
      </c>
      <c r="C2278" s="257" t="s">
        <v>1713</v>
      </c>
      <c r="D2278" s="257" t="s">
        <v>1494</v>
      </c>
      <c r="E2278" s="257">
        <v>0</v>
      </c>
      <c r="F2278" s="257"/>
      <c r="G2278" s="258"/>
    </row>
    <row r="2279" spans="2:7" hidden="1" outlineLevel="1" x14ac:dyDescent="0.25">
      <c r="B2279" s="256" t="s">
        <v>289</v>
      </c>
      <c r="C2279" s="257" t="s">
        <v>1716</v>
      </c>
      <c r="D2279" s="257" t="s">
        <v>1489</v>
      </c>
      <c r="E2279" s="257">
        <v>0</v>
      </c>
      <c r="F2279" s="257" t="s">
        <v>1470</v>
      </c>
      <c r="G2279" s="258"/>
    </row>
    <row r="2280" spans="2:7" hidden="1" outlineLevel="1" x14ac:dyDescent="0.25">
      <c r="B2280" s="256" t="s">
        <v>288</v>
      </c>
      <c r="C2280" s="257" t="s">
        <v>1715</v>
      </c>
      <c r="D2280" s="257" t="s">
        <v>1489</v>
      </c>
      <c r="E2280" s="257">
        <v>0</v>
      </c>
      <c r="F2280" s="257" t="s">
        <v>1470</v>
      </c>
      <c r="G2280" s="258"/>
    </row>
    <row r="2281" spans="2:7" hidden="1" outlineLevel="1" x14ac:dyDescent="0.25">
      <c r="B2281" s="256" t="s">
        <v>266</v>
      </c>
      <c r="C2281" s="257" t="s">
        <v>1693</v>
      </c>
      <c r="D2281" s="257" t="s">
        <v>1486</v>
      </c>
      <c r="E2281" s="257">
        <v>0</v>
      </c>
      <c r="F2281" s="257" t="s">
        <v>1470</v>
      </c>
      <c r="G2281" s="258"/>
    </row>
    <row r="2282" spans="2:7" hidden="1" outlineLevel="1" x14ac:dyDescent="0.25">
      <c r="B2282" s="256" t="s">
        <v>267</v>
      </c>
      <c r="C2282" s="257" t="s">
        <v>1694</v>
      </c>
      <c r="D2282" s="257" t="s">
        <v>1486</v>
      </c>
      <c r="E2282" s="257">
        <v>0</v>
      </c>
      <c r="F2282" s="257" t="s">
        <v>1470</v>
      </c>
      <c r="G2282" s="258"/>
    </row>
    <row r="2283" spans="2:7" hidden="1" outlineLevel="1" x14ac:dyDescent="0.25">
      <c r="B2283" s="256" t="s">
        <v>373</v>
      </c>
      <c r="C2283" s="257" t="s">
        <v>1771</v>
      </c>
      <c r="D2283" s="257" t="s">
        <v>1486</v>
      </c>
      <c r="E2283" s="257">
        <v>0</v>
      </c>
      <c r="F2283" s="257"/>
      <c r="G2283" s="258"/>
    </row>
    <row r="2284" spans="2:7" hidden="1" outlineLevel="1" x14ac:dyDescent="0.25">
      <c r="B2284" s="256" t="s">
        <v>374</v>
      </c>
      <c r="C2284" s="257" t="s">
        <v>1772</v>
      </c>
      <c r="D2284" s="257" t="s">
        <v>1489</v>
      </c>
      <c r="E2284" s="257">
        <v>0</v>
      </c>
      <c r="F2284" s="257"/>
      <c r="G2284" s="258"/>
    </row>
    <row r="2285" spans="2:7" hidden="1" outlineLevel="1" x14ac:dyDescent="0.25">
      <c r="B2285" s="256" t="s">
        <v>268</v>
      </c>
      <c r="C2285" s="259" t="s">
        <v>1695</v>
      </c>
      <c r="D2285" s="257" t="s">
        <v>1489</v>
      </c>
      <c r="E2285" s="257">
        <v>0</v>
      </c>
      <c r="F2285" s="257" t="s">
        <v>1470</v>
      </c>
      <c r="G2285" s="258"/>
    </row>
    <row r="2286" spans="2:7" hidden="1" outlineLevel="1" x14ac:dyDescent="0.25">
      <c r="B2286" s="256" t="s">
        <v>269</v>
      </c>
      <c r="C2286" s="257" t="s">
        <v>1696</v>
      </c>
      <c r="D2286" s="257" t="s">
        <v>1489</v>
      </c>
      <c r="E2286" s="257">
        <v>0</v>
      </c>
      <c r="F2286" s="257" t="s">
        <v>1470</v>
      </c>
      <c r="G2286" s="258"/>
    </row>
    <row r="2287" spans="2:7" hidden="1" outlineLevel="1" x14ac:dyDescent="0.25">
      <c r="B2287" s="256" t="s">
        <v>270</v>
      </c>
      <c r="C2287" s="257" t="s">
        <v>1697</v>
      </c>
      <c r="D2287" s="257" t="s">
        <v>1489</v>
      </c>
      <c r="E2287" s="257">
        <v>0</v>
      </c>
      <c r="F2287" s="257"/>
      <c r="G2287" s="258"/>
    </row>
    <row r="2288" spans="2:7" hidden="1" outlineLevel="1" x14ac:dyDescent="0.25">
      <c r="B2288" s="256" t="s">
        <v>271</v>
      </c>
      <c r="C2288" s="257" t="s">
        <v>1698</v>
      </c>
      <c r="D2288" s="257" t="s">
        <v>1494</v>
      </c>
      <c r="E2288" s="257">
        <v>0</v>
      </c>
      <c r="F2288" s="257"/>
      <c r="G2288" s="258"/>
    </row>
    <row r="2289" spans="1:8" hidden="1" outlineLevel="1" x14ac:dyDescent="0.25">
      <c r="A2289" s="204" t="s">
        <v>388</v>
      </c>
      <c r="B2289" s="256" t="s">
        <v>272</v>
      </c>
      <c r="C2289" s="259" t="s">
        <v>1699</v>
      </c>
      <c r="D2289" s="257" t="s">
        <v>1489</v>
      </c>
      <c r="E2289" s="257">
        <v>0</v>
      </c>
      <c r="F2289" s="257"/>
      <c r="G2289" s="258"/>
    </row>
    <row r="2290" spans="1:8" hidden="1" outlineLevel="1" x14ac:dyDescent="0.25">
      <c r="A2290" s="204" t="s">
        <v>389</v>
      </c>
      <c r="B2290" s="256" t="s">
        <v>273</v>
      </c>
      <c r="C2290" s="259" t="s">
        <v>1700</v>
      </c>
      <c r="D2290" s="257" t="s">
        <v>1489</v>
      </c>
      <c r="E2290" s="257">
        <v>0</v>
      </c>
      <c r="F2290" s="257" t="s">
        <v>1470</v>
      </c>
      <c r="G2290" s="258"/>
      <c r="H2290" s="14" t="str">
        <f t="shared" ref="H2290:H2305" si="11">"a.{"&amp;B2289&amp;"} as {"&amp;A2289&amp;"},"</f>
        <v>a.{现金资产} as {上日现金资产},</v>
      </c>
    </row>
    <row r="2291" spans="1:8" hidden="1" outlineLevel="1" x14ac:dyDescent="0.25">
      <c r="A2291" s="201" t="s">
        <v>390</v>
      </c>
      <c r="B2291" s="260" t="s">
        <v>274</v>
      </c>
      <c r="C2291" s="261" t="s">
        <v>1701</v>
      </c>
      <c r="D2291" s="262" t="s">
        <v>1489</v>
      </c>
      <c r="E2291" s="262">
        <v>0</v>
      </c>
      <c r="F2291" s="262" t="s">
        <v>1470</v>
      </c>
      <c r="G2291" s="263"/>
      <c r="H2291" s="14" t="str">
        <f t="shared" si="11"/>
        <v>a.{股票资产} as {上日股票资产},</v>
      </c>
    </row>
    <row r="2292" spans="1:8" hidden="1" outlineLevel="1" x14ac:dyDescent="0.25">
      <c r="A2292" s="204" t="s">
        <v>391</v>
      </c>
      <c r="B2292" s="256" t="s">
        <v>275</v>
      </c>
      <c r="C2292" s="259" t="s">
        <v>1702</v>
      </c>
      <c r="D2292" s="257" t="s">
        <v>1489</v>
      </c>
      <c r="E2292" s="257">
        <v>0</v>
      </c>
      <c r="F2292" s="257" t="s">
        <v>1470</v>
      </c>
      <c r="G2292" s="258"/>
      <c r="H2292" s="14" t="str">
        <f t="shared" si="11"/>
        <v>a.{债券资产} as {上日债券资产},</v>
      </c>
    </row>
    <row r="2293" spans="1:8" hidden="1" outlineLevel="1" x14ac:dyDescent="0.25">
      <c r="A2293" s="204" t="s">
        <v>392</v>
      </c>
      <c r="B2293" s="256" t="s">
        <v>278</v>
      </c>
      <c r="C2293" s="259" t="s">
        <v>1705</v>
      </c>
      <c r="D2293" s="257" t="s">
        <v>1489</v>
      </c>
      <c r="E2293" s="257">
        <v>0</v>
      </c>
      <c r="F2293" s="257"/>
      <c r="G2293" s="258"/>
      <c r="H2293" s="14" t="str">
        <f t="shared" si="11"/>
        <v>a.{基金资产} as {上日基金资产},</v>
      </c>
    </row>
    <row r="2294" spans="1:8" hidden="1" outlineLevel="1" x14ac:dyDescent="0.25">
      <c r="A2294" s="204" t="s">
        <v>393</v>
      </c>
      <c r="B2294" s="256" t="s">
        <v>279</v>
      </c>
      <c r="C2294" s="259" t="s">
        <v>1706</v>
      </c>
      <c r="D2294" s="257" t="s">
        <v>1489</v>
      </c>
      <c r="E2294" s="257">
        <v>0</v>
      </c>
      <c r="F2294" s="257" t="s">
        <v>1470</v>
      </c>
      <c r="G2294" s="258"/>
      <c r="H2294" s="14" t="str">
        <f t="shared" si="11"/>
        <v>a.{回购资产} as {上日回购资产},</v>
      </c>
    </row>
    <row r="2295" spans="1:8" hidden="1" outlineLevel="1" x14ac:dyDescent="0.25">
      <c r="A2295" s="204" t="s">
        <v>394</v>
      </c>
      <c r="B2295" s="256" t="s">
        <v>281</v>
      </c>
      <c r="C2295" s="259" t="s">
        <v>1708</v>
      </c>
      <c r="D2295" s="257" t="s">
        <v>1489</v>
      </c>
      <c r="E2295" s="257">
        <v>0</v>
      </c>
      <c r="F2295" s="257" t="s">
        <v>1470</v>
      </c>
      <c r="G2295" s="258"/>
      <c r="H2295" s="14" t="str">
        <f t="shared" si="11"/>
        <v>a.{其他资产} as {上日其他资产},</v>
      </c>
    </row>
    <row r="2296" spans="1:8" hidden="1" outlineLevel="1" x14ac:dyDescent="0.25">
      <c r="A2296" s="204" t="s">
        <v>395</v>
      </c>
      <c r="B2296" s="256" t="s">
        <v>280</v>
      </c>
      <c r="C2296" s="259" t="s">
        <v>1707</v>
      </c>
      <c r="D2296" s="257" t="s">
        <v>1489</v>
      </c>
      <c r="E2296" s="257">
        <v>0</v>
      </c>
      <c r="F2296" s="257"/>
      <c r="G2296" s="258"/>
      <c r="H2296" s="14" t="str">
        <f t="shared" si="11"/>
        <v>a.{期货资产} as {上日期货资产},</v>
      </c>
    </row>
    <row r="2297" spans="1:8" hidden="1" outlineLevel="1" x14ac:dyDescent="0.25">
      <c r="A2297" s="201" t="s">
        <v>396</v>
      </c>
      <c r="B2297" s="217" t="s">
        <v>276</v>
      </c>
      <c r="C2297" s="217" t="s">
        <v>1703</v>
      </c>
      <c r="D2297" s="257" t="s">
        <v>1489</v>
      </c>
      <c r="E2297" s="257">
        <v>0</v>
      </c>
      <c r="F2297" s="257"/>
      <c r="G2297" s="258"/>
      <c r="H2297" s="14" t="str">
        <f t="shared" si="11"/>
        <v>a.{港股通资产} as {上日港股通资产},</v>
      </c>
    </row>
    <row r="2298" spans="1:8" hidden="1" outlineLevel="1" x14ac:dyDescent="0.25">
      <c r="A2298" s="204" t="s">
        <v>397</v>
      </c>
      <c r="B2298" s="256" t="s">
        <v>375</v>
      </c>
      <c r="C2298" s="259" t="s">
        <v>1773</v>
      </c>
      <c r="D2298" s="257" t="s">
        <v>1489</v>
      </c>
      <c r="E2298" s="257">
        <v>0</v>
      </c>
      <c r="F2298" s="257"/>
      <c r="G2298" s="258"/>
      <c r="H2298" s="14" t="str">
        <f t="shared" si="11"/>
        <v>a.{货币基金资产} as {上日货币基金资产},</v>
      </c>
    </row>
    <row r="2299" spans="1:8" hidden="1" outlineLevel="1" x14ac:dyDescent="0.25">
      <c r="A2299" s="201" t="s">
        <v>398</v>
      </c>
      <c r="B2299" s="260" t="s">
        <v>376</v>
      </c>
      <c r="C2299" s="261" t="s">
        <v>1774</v>
      </c>
      <c r="D2299" s="262" t="s">
        <v>1489</v>
      </c>
      <c r="E2299" s="262">
        <v>0</v>
      </c>
      <c r="F2299" s="262"/>
      <c r="G2299" s="263"/>
      <c r="H2299" s="14" t="str">
        <f t="shared" si="11"/>
        <v>a.{股票成本} as {上日股票成本},</v>
      </c>
    </row>
    <row r="2300" spans="1:8" hidden="1" outlineLevel="1" x14ac:dyDescent="0.25">
      <c r="A2300" s="204" t="s">
        <v>399</v>
      </c>
      <c r="B2300" s="256" t="s">
        <v>377</v>
      </c>
      <c r="C2300" s="259" t="s">
        <v>1775</v>
      </c>
      <c r="D2300" s="257" t="s">
        <v>1489</v>
      </c>
      <c r="E2300" s="257">
        <v>0</v>
      </c>
      <c r="F2300" s="257"/>
      <c r="G2300" s="258"/>
      <c r="H2300" s="14" t="str">
        <f t="shared" si="11"/>
        <v>a.{债券成本} as {上日债券成本},</v>
      </c>
    </row>
    <row r="2301" spans="1:8" hidden="1" outlineLevel="1" x14ac:dyDescent="0.25">
      <c r="A2301" s="204" t="s">
        <v>400</v>
      </c>
      <c r="B2301" s="256" t="s">
        <v>378</v>
      </c>
      <c r="C2301" s="259" t="s">
        <v>1776</v>
      </c>
      <c r="D2301" s="257" t="s">
        <v>1489</v>
      </c>
      <c r="E2301" s="257">
        <v>0</v>
      </c>
      <c r="F2301" s="257"/>
      <c r="G2301" s="258"/>
      <c r="H2301" s="14" t="str">
        <f t="shared" si="11"/>
        <v>a.{基金成本} as {上日基金成本},</v>
      </c>
    </row>
    <row r="2302" spans="1:8" hidden="1" outlineLevel="1" x14ac:dyDescent="0.25">
      <c r="A2302" s="204" t="s">
        <v>401</v>
      </c>
      <c r="B2302" s="256" t="s">
        <v>379</v>
      </c>
      <c r="C2302" s="259" t="s">
        <v>1777</v>
      </c>
      <c r="D2302" s="257" t="s">
        <v>1489</v>
      </c>
      <c r="E2302" s="257">
        <v>0</v>
      </c>
      <c r="F2302" s="257"/>
      <c r="G2302" s="258"/>
      <c r="H2302" s="14" t="str">
        <f t="shared" si="11"/>
        <v>a.{回购成本} as {上日回购成本},</v>
      </c>
    </row>
    <row r="2303" spans="1:8" hidden="1" outlineLevel="1" x14ac:dyDescent="0.25">
      <c r="A2303" s="204" t="s">
        <v>402</v>
      </c>
      <c r="B2303" s="256" t="s">
        <v>380</v>
      </c>
      <c r="C2303" s="259" t="s">
        <v>1778</v>
      </c>
      <c r="D2303" s="257" t="s">
        <v>1489</v>
      </c>
      <c r="E2303" s="257">
        <v>0</v>
      </c>
      <c r="F2303" s="257"/>
      <c r="G2303" s="258"/>
      <c r="H2303" s="14" t="str">
        <f t="shared" si="11"/>
        <v>a.{其他成本} as {上日其他成本},</v>
      </c>
    </row>
    <row r="2304" spans="1:8" hidden="1" outlineLevel="1" x14ac:dyDescent="0.25">
      <c r="A2304" s="204" t="s">
        <v>403</v>
      </c>
      <c r="B2304" s="256" t="s">
        <v>381</v>
      </c>
      <c r="C2304" s="259" t="s">
        <v>1779</v>
      </c>
      <c r="D2304" s="257" t="s">
        <v>1489</v>
      </c>
      <c r="E2304" s="257">
        <v>0</v>
      </c>
      <c r="F2304" s="257"/>
      <c r="G2304" s="258"/>
      <c r="H2304" s="14" t="str">
        <f t="shared" si="11"/>
        <v>a.{期货成本} as {上日期货成本},</v>
      </c>
    </row>
    <row r="2305" spans="1:8" hidden="1" outlineLevel="1" x14ac:dyDescent="0.25">
      <c r="A2305" s="201" t="s">
        <v>404</v>
      </c>
      <c r="B2305" s="217" t="s">
        <v>382</v>
      </c>
      <c r="C2305" s="217" t="s">
        <v>1780</v>
      </c>
      <c r="D2305" s="257" t="s">
        <v>1489</v>
      </c>
      <c r="E2305" s="257">
        <v>0</v>
      </c>
      <c r="F2305" s="257"/>
      <c r="G2305" s="258"/>
      <c r="H2305" s="14" t="str">
        <f t="shared" si="11"/>
        <v>a.{港股通成本} as {上日港股通成本},</v>
      </c>
    </row>
    <row r="2306" spans="1:8" hidden="1" outlineLevel="1" x14ac:dyDescent="0.25">
      <c r="B2306" s="218" t="s">
        <v>383</v>
      </c>
      <c r="C2306" s="264" t="s">
        <v>1781</v>
      </c>
      <c r="D2306" s="257" t="s">
        <v>1489</v>
      </c>
      <c r="E2306" s="257">
        <v>0</v>
      </c>
      <c r="F2306" s="257" t="s">
        <v>1470</v>
      </c>
      <c r="G2306" s="258"/>
    </row>
    <row r="2307" spans="1:8" hidden="1" outlineLevel="1" x14ac:dyDescent="0.25">
      <c r="B2307" s="218" t="s">
        <v>384</v>
      </c>
      <c r="C2307" s="218" t="s">
        <v>1782</v>
      </c>
      <c r="D2307" s="257" t="s">
        <v>1489</v>
      </c>
      <c r="E2307" s="257">
        <v>0</v>
      </c>
      <c r="F2307" s="257"/>
      <c r="G2307" s="258"/>
    </row>
    <row r="2308" spans="1:8" hidden="1" outlineLevel="1" x14ac:dyDescent="0.25">
      <c r="B2308" s="28" t="s">
        <v>290</v>
      </c>
      <c r="C2308" s="29" t="s">
        <v>1717</v>
      </c>
      <c r="D2308" s="257" t="s">
        <v>1489</v>
      </c>
      <c r="E2308" s="257">
        <v>0</v>
      </c>
      <c r="F2308" s="257"/>
      <c r="G2308" s="258"/>
    </row>
    <row r="2309" spans="1:8" hidden="1" outlineLevel="1" x14ac:dyDescent="0.25">
      <c r="B2309" s="28" t="s">
        <v>385</v>
      </c>
      <c r="C2309" s="28" t="s">
        <v>1783</v>
      </c>
      <c r="D2309" s="257" t="s">
        <v>1567</v>
      </c>
      <c r="E2309" s="257">
        <v>0</v>
      </c>
      <c r="F2309" s="257"/>
      <c r="G2309" s="258"/>
    </row>
    <row r="2310" spans="1:8" hidden="1" outlineLevel="1" x14ac:dyDescent="0.25">
      <c r="B2310" s="256" t="s">
        <v>386</v>
      </c>
      <c r="C2310" s="257" t="s">
        <v>1784</v>
      </c>
      <c r="D2310" s="257" t="s">
        <v>1489</v>
      </c>
      <c r="E2310" s="257">
        <v>0</v>
      </c>
      <c r="F2310" s="257"/>
      <c r="G2310" s="258"/>
    </row>
    <row r="2311" spans="1:8" hidden="1" outlineLevel="1" x14ac:dyDescent="0.25">
      <c r="B2311" s="256" t="s">
        <v>387</v>
      </c>
      <c r="C2311" s="257" t="s">
        <v>1785</v>
      </c>
      <c r="D2311" s="257" t="s">
        <v>1632</v>
      </c>
      <c r="E2311" s="257" t="s">
        <v>1594</v>
      </c>
      <c r="F2311" s="257" t="s">
        <v>1470</v>
      </c>
      <c r="G2311" s="258"/>
    </row>
    <row r="2312" spans="1:8" hidden="1" outlineLevel="1" x14ac:dyDescent="0.25">
      <c r="B2312" s="204" t="s">
        <v>388</v>
      </c>
      <c r="C2312" s="265" t="s">
        <v>1786</v>
      </c>
      <c r="D2312" s="265" t="s">
        <v>1489</v>
      </c>
      <c r="E2312" s="265">
        <v>0</v>
      </c>
      <c r="F2312" s="265"/>
      <c r="G2312" s="266"/>
    </row>
    <row r="2313" spans="1:8" hidden="1" outlineLevel="1" x14ac:dyDescent="0.25">
      <c r="B2313" s="204" t="s">
        <v>389</v>
      </c>
      <c r="C2313" s="265" t="s">
        <v>1787</v>
      </c>
      <c r="D2313" s="265" t="s">
        <v>1489</v>
      </c>
      <c r="E2313" s="265">
        <v>0</v>
      </c>
      <c r="F2313" s="265"/>
      <c r="G2313" s="266"/>
    </row>
    <row r="2314" spans="1:8" hidden="1" outlineLevel="1" x14ac:dyDescent="0.25">
      <c r="B2314" s="201" t="s">
        <v>390</v>
      </c>
      <c r="C2314" s="107" t="s">
        <v>1788</v>
      </c>
      <c r="D2314" s="265" t="s">
        <v>1489</v>
      </c>
      <c r="E2314" s="265">
        <v>0</v>
      </c>
      <c r="F2314" s="265"/>
      <c r="G2314" s="266"/>
    </row>
    <row r="2315" spans="1:8" hidden="1" outlineLevel="1" x14ac:dyDescent="0.25">
      <c r="B2315" s="204" t="s">
        <v>391</v>
      </c>
      <c r="C2315" s="265" t="s">
        <v>1789</v>
      </c>
      <c r="D2315" s="265" t="s">
        <v>1489</v>
      </c>
      <c r="E2315" s="265">
        <v>0</v>
      </c>
      <c r="F2315" s="265"/>
      <c r="G2315" s="266"/>
    </row>
    <row r="2316" spans="1:8" hidden="1" outlineLevel="1" x14ac:dyDescent="0.25">
      <c r="B2316" s="204" t="s">
        <v>392</v>
      </c>
      <c r="C2316" s="265" t="s">
        <v>1790</v>
      </c>
      <c r="D2316" s="265" t="s">
        <v>1489</v>
      </c>
      <c r="E2316" s="265">
        <v>0</v>
      </c>
      <c r="F2316" s="265"/>
      <c r="G2316" s="266"/>
    </row>
    <row r="2317" spans="1:8" hidden="1" outlineLevel="1" x14ac:dyDescent="0.25">
      <c r="B2317" s="204" t="s">
        <v>393</v>
      </c>
      <c r="C2317" s="265" t="s">
        <v>1791</v>
      </c>
      <c r="D2317" s="265" t="s">
        <v>1489</v>
      </c>
      <c r="E2317" s="265">
        <v>0</v>
      </c>
      <c r="F2317" s="265"/>
      <c r="G2317" s="266"/>
    </row>
    <row r="2318" spans="1:8" hidden="1" outlineLevel="1" x14ac:dyDescent="0.25">
      <c r="B2318" s="204" t="s">
        <v>394</v>
      </c>
      <c r="C2318" s="265" t="s">
        <v>1792</v>
      </c>
      <c r="D2318" s="265" t="s">
        <v>1489</v>
      </c>
      <c r="E2318" s="265">
        <v>0</v>
      </c>
      <c r="F2318" s="265"/>
      <c r="G2318" s="266"/>
    </row>
    <row r="2319" spans="1:8" hidden="1" outlineLevel="1" x14ac:dyDescent="0.25">
      <c r="B2319" s="204" t="s">
        <v>395</v>
      </c>
      <c r="C2319" s="265" t="s">
        <v>1793</v>
      </c>
      <c r="D2319" s="265" t="s">
        <v>1489</v>
      </c>
      <c r="E2319" s="265">
        <v>0</v>
      </c>
      <c r="F2319" s="265"/>
      <c r="G2319" s="266"/>
    </row>
    <row r="2320" spans="1:8" hidden="1" outlineLevel="1" x14ac:dyDescent="0.25">
      <c r="B2320" s="201" t="s">
        <v>396</v>
      </c>
      <c r="C2320" s="201" t="s">
        <v>1794</v>
      </c>
      <c r="D2320" s="265" t="s">
        <v>1489</v>
      </c>
      <c r="E2320" s="265">
        <v>0</v>
      </c>
      <c r="F2320" s="265"/>
      <c r="G2320" s="266"/>
    </row>
    <row r="2321" spans="1:8" hidden="1" outlineLevel="1" x14ac:dyDescent="0.25">
      <c r="B2321" s="204" t="s">
        <v>397</v>
      </c>
      <c r="C2321" s="265" t="s">
        <v>1795</v>
      </c>
      <c r="D2321" s="265" t="s">
        <v>1489</v>
      </c>
      <c r="E2321" s="265">
        <v>0</v>
      </c>
      <c r="F2321" s="265"/>
      <c r="G2321" s="266"/>
    </row>
    <row r="2322" spans="1:8" hidden="1" outlineLevel="1" x14ac:dyDescent="0.25">
      <c r="B2322" s="201" t="s">
        <v>398</v>
      </c>
      <c r="C2322" s="107" t="s">
        <v>1796</v>
      </c>
      <c r="D2322" s="265" t="s">
        <v>1489</v>
      </c>
      <c r="E2322" s="265">
        <v>0</v>
      </c>
      <c r="F2322" s="265"/>
      <c r="G2322" s="266"/>
    </row>
    <row r="2323" spans="1:8" hidden="1" outlineLevel="1" x14ac:dyDescent="0.25">
      <c r="B2323" s="204" t="s">
        <v>399</v>
      </c>
      <c r="C2323" s="265" t="s">
        <v>1797</v>
      </c>
      <c r="D2323" s="265" t="s">
        <v>1489</v>
      </c>
      <c r="E2323" s="265">
        <v>0</v>
      </c>
      <c r="F2323" s="265"/>
      <c r="G2323" s="266"/>
    </row>
    <row r="2324" spans="1:8" hidden="1" outlineLevel="1" x14ac:dyDescent="0.25">
      <c r="B2324" s="204" t="s">
        <v>400</v>
      </c>
      <c r="C2324" s="265" t="s">
        <v>1798</v>
      </c>
      <c r="D2324" s="265" t="s">
        <v>1489</v>
      </c>
      <c r="E2324" s="265">
        <v>0</v>
      </c>
      <c r="F2324" s="265"/>
      <c r="G2324" s="266"/>
    </row>
    <row r="2325" spans="1:8" hidden="1" outlineLevel="1" x14ac:dyDescent="0.25">
      <c r="B2325" s="204" t="s">
        <v>401</v>
      </c>
      <c r="C2325" s="265" t="s">
        <v>1799</v>
      </c>
      <c r="D2325" s="107" t="s">
        <v>1489</v>
      </c>
      <c r="E2325" s="107">
        <v>0</v>
      </c>
      <c r="F2325" s="107"/>
      <c r="G2325" s="108"/>
    </row>
    <row r="2326" spans="1:8" hidden="1" outlineLevel="1" x14ac:dyDescent="0.25">
      <c r="B2326" s="204" t="s">
        <v>402</v>
      </c>
      <c r="C2326" s="265" t="s">
        <v>1800</v>
      </c>
      <c r="D2326" s="265" t="s">
        <v>1489</v>
      </c>
      <c r="E2326" s="265">
        <v>0</v>
      </c>
      <c r="F2326" s="265"/>
      <c r="G2326" s="266"/>
    </row>
    <row r="2327" spans="1:8" hidden="1" outlineLevel="1" x14ac:dyDescent="0.25">
      <c r="B2327" s="204" t="s">
        <v>403</v>
      </c>
      <c r="C2327" s="265" t="s">
        <v>1801</v>
      </c>
      <c r="D2327" s="265" t="s">
        <v>1489</v>
      </c>
      <c r="E2327" s="265">
        <v>0</v>
      </c>
      <c r="F2327" s="265"/>
      <c r="G2327" s="266"/>
    </row>
    <row r="2328" spans="1:8" hidden="1" outlineLevel="1" x14ac:dyDescent="0.25">
      <c r="B2328" s="201" t="s">
        <v>404</v>
      </c>
      <c r="C2328" s="201" t="s">
        <v>1802</v>
      </c>
      <c r="D2328" s="265" t="s">
        <v>1489</v>
      </c>
      <c r="E2328" s="265">
        <v>0</v>
      </c>
      <c r="F2328" s="265"/>
      <c r="G2328" s="266"/>
    </row>
    <row r="2329" spans="1:8" hidden="1" outlineLevel="1" x14ac:dyDescent="0.25">
      <c r="B2329" s="201"/>
      <c r="C2329" s="201"/>
      <c r="D2329" s="265"/>
      <c r="E2329" s="265"/>
      <c r="F2329" s="265"/>
      <c r="G2329" s="266"/>
    </row>
    <row r="2330" spans="1:8" hidden="1" outlineLevel="1" x14ac:dyDescent="0.25">
      <c r="B2330" s="201"/>
      <c r="C2330" s="107"/>
      <c r="D2330" s="265"/>
      <c r="E2330" s="265"/>
      <c r="F2330" s="265"/>
      <c r="G2330" s="266"/>
    </row>
    <row r="2331" spans="1:8" hidden="1" outlineLevel="1" x14ac:dyDescent="0.25">
      <c r="B2331" s="201"/>
      <c r="C2331" s="201"/>
      <c r="D2331" s="265"/>
      <c r="E2331" s="265"/>
      <c r="F2331" s="265"/>
      <c r="G2331" s="266"/>
    </row>
    <row r="2332" spans="1:8" s="3" customFormat="1" ht="16.2" hidden="1" outlineLevel="1" thickBot="1" x14ac:dyDescent="0.3">
      <c r="B2332" s="267"/>
      <c r="C2332" s="268"/>
      <c r="D2332" s="268"/>
      <c r="E2332" s="268"/>
      <c r="F2332" s="268"/>
      <c r="G2332" s="269"/>
    </row>
    <row r="2333" spans="1:8" s="3" customFormat="1" ht="17.399999999999999" hidden="1" customHeight="1" outlineLevel="1" x14ac:dyDescent="0.25">
      <c r="A2333" s="5"/>
      <c r="B2333" s="401" t="s">
        <v>29</v>
      </c>
      <c r="C2333" s="402"/>
      <c r="D2333" s="402"/>
      <c r="E2333" s="402"/>
      <c r="F2333" s="402"/>
      <c r="G2333" s="403"/>
    </row>
    <row r="2334" spans="1:8" s="3" customFormat="1" hidden="1" outlineLevel="1" x14ac:dyDescent="0.25">
      <c r="B2334" s="28"/>
      <c r="C2334" s="29"/>
      <c r="D2334" s="29"/>
      <c r="E2334" s="29"/>
      <c r="F2334" s="29"/>
      <c r="G2334" s="30"/>
    </row>
    <row r="2335" spans="1:8" s="3" customFormat="1" ht="17.399999999999999" hidden="1" customHeight="1" outlineLevel="1" x14ac:dyDescent="0.25">
      <c r="A2335" s="5"/>
      <c r="B2335" s="106" t="s">
        <v>851</v>
      </c>
      <c r="C2335" s="107"/>
      <c r="D2335" s="107"/>
      <c r="E2335" s="107"/>
      <c r="F2335" s="107"/>
      <c r="G2335" s="108"/>
      <c r="H2335" s="5"/>
    </row>
    <row r="2336" spans="1:8" s="3" customFormat="1" ht="17.399999999999999" hidden="1" customHeight="1" outlineLevel="1" x14ac:dyDescent="0.25">
      <c r="A2336" s="5"/>
      <c r="B2336" s="116" t="s">
        <v>1125</v>
      </c>
      <c r="C2336" s="117"/>
      <c r="D2336" s="117"/>
      <c r="E2336" s="117"/>
      <c r="F2336" s="117"/>
      <c r="G2336" s="118"/>
    </row>
    <row r="2337" spans="1:7" s="3" customFormat="1" ht="17.399999999999999" hidden="1" customHeight="1" outlineLevel="1" x14ac:dyDescent="0.25">
      <c r="A2337" s="5"/>
      <c r="B2337" s="116" t="s">
        <v>1126</v>
      </c>
      <c r="C2337" s="117"/>
      <c r="D2337" s="117"/>
      <c r="E2337" s="117"/>
      <c r="F2337" s="117"/>
      <c r="G2337" s="118"/>
    </row>
    <row r="2338" spans="1:7" s="3" customFormat="1" ht="17.399999999999999" hidden="1" customHeight="1" outlineLevel="1" x14ac:dyDescent="0.25">
      <c r="A2338" s="5"/>
      <c r="B2338" s="116" t="s">
        <v>1127</v>
      </c>
      <c r="C2338" s="117"/>
      <c r="D2338" s="117"/>
      <c r="E2338" s="117"/>
      <c r="F2338" s="117"/>
      <c r="G2338" s="118"/>
    </row>
    <row r="2339" spans="1:7" s="3" customFormat="1" ht="17.399999999999999" hidden="1" customHeight="1" outlineLevel="1" x14ac:dyDescent="0.25">
      <c r="A2339" s="5"/>
      <c r="B2339" s="116" t="s">
        <v>1128</v>
      </c>
      <c r="C2339" s="117"/>
      <c r="D2339" s="117"/>
      <c r="E2339" s="117"/>
      <c r="F2339" s="117"/>
      <c r="G2339" s="118"/>
    </row>
    <row r="2340" spans="1:7" s="3" customFormat="1" ht="17.399999999999999" hidden="1" customHeight="1" outlineLevel="1" x14ac:dyDescent="0.25">
      <c r="A2340" s="5"/>
      <c r="B2340" s="116" t="s">
        <v>1129</v>
      </c>
      <c r="C2340" s="117"/>
      <c r="D2340" s="117"/>
      <c r="E2340" s="117"/>
      <c r="F2340" s="117"/>
      <c r="G2340" s="118"/>
    </row>
    <row r="2341" spans="1:7" s="3" customFormat="1" ht="17.399999999999999" hidden="1" customHeight="1" outlineLevel="1" x14ac:dyDescent="0.25">
      <c r="A2341" s="5"/>
      <c r="B2341" s="116" t="s">
        <v>1130</v>
      </c>
      <c r="C2341" s="117"/>
      <c r="D2341" s="117"/>
      <c r="E2341" s="117"/>
      <c r="F2341" s="117"/>
      <c r="G2341" s="118"/>
    </row>
    <row r="2342" spans="1:7" s="3" customFormat="1" ht="17.399999999999999" hidden="1" customHeight="1" outlineLevel="1" x14ac:dyDescent="0.25">
      <c r="A2342" s="5"/>
      <c r="B2342" s="116" t="s">
        <v>1131</v>
      </c>
      <c r="C2342" s="117"/>
      <c r="D2342" s="117"/>
      <c r="E2342" s="117"/>
      <c r="F2342" s="117"/>
      <c r="G2342" s="118"/>
    </row>
    <row r="2343" spans="1:7" s="3" customFormat="1" ht="17.399999999999999" hidden="1" customHeight="1" outlineLevel="1" x14ac:dyDescent="0.25">
      <c r="A2343" s="5"/>
      <c r="B2343" s="116" t="s">
        <v>1132</v>
      </c>
      <c r="C2343" s="117"/>
      <c r="D2343" s="117"/>
      <c r="E2343" s="117"/>
      <c r="F2343" s="117"/>
      <c r="G2343" s="118"/>
    </row>
    <row r="2344" spans="1:7" s="3" customFormat="1" ht="17.399999999999999" hidden="1" customHeight="1" outlineLevel="1" x14ac:dyDescent="0.25">
      <c r="A2344" s="5"/>
      <c r="B2344" s="116" t="s">
        <v>1133</v>
      </c>
      <c r="C2344" s="117"/>
      <c r="D2344" s="117"/>
      <c r="E2344" s="117"/>
      <c r="F2344" s="117"/>
      <c r="G2344" s="118"/>
    </row>
    <row r="2345" spans="1:7" s="3" customFormat="1" ht="17.399999999999999" hidden="1" customHeight="1" outlineLevel="1" x14ac:dyDescent="0.25">
      <c r="A2345" s="5"/>
      <c r="B2345" s="116" t="s">
        <v>1134</v>
      </c>
      <c r="C2345" s="117"/>
      <c r="D2345" s="117"/>
      <c r="E2345" s="117"/>
      <c r="F2345" s="117"/>
      <c r="G2345" s="118"/>
    </row>
    <row r="2346" spans="1:7" s="3" customFormat="1" ht="17.399999999999999" hidden="1" customHeight="1" outlineLevel="1" x14ac:dyDescent="0.25">
      <c r="A2346" s="5"/>
      <c r="B2346" s="116" t="s">
        <v>1135</v>
      </c>
      <c r="C2346" s="117"/>
      <c r="D2346" s="117"/>
      <c r="E2346" s="117"/>
      <c r="F2346" s="117"/>
      <c r="G2346" s="118"/>
    </row>
    <row r="2347" spans="1:7" s="3" customFormat="1" ht="17.399999999999999" hidden="1" customHeight="1" outlineLevel="1" x14ac:dyDescent="0.25">
      <c r="A2347" s="5"/>
      <c r="B2347" s="116" t="s">
        <v>1136</v>
      </c>
      <c r="C2347" s="117"/>
      <c r="D2347" s="117"/>
      <c r="E2347" s="117"/>
      <c r="F2347" s="117"/>
      <c r="G2347" s="118"/>
    </row>
    <row r="2348" spans="1:7" s="3" customFormat="1" ht="17.399999999999999" hidden="1" customHeight="1" outlineLevel="1" x14ac:dyDescent="0.25">
      <c r="A2348" s="5"/>
      <c r="B2348" s="116" t="s">
        <v>1137</v>
      </c>
      <c r="C2348" s="117"/>
      <c r="D2348" s="117"/>
      <c r="E2348" s="117"/>
      <c r="F2348" s="117"/>
      <c r="G2348" s="118"/>
    </row>
    <row r="2349" spans="1:7" s="3" customFormat="1" ht="17.399999999999999" hidden="1" customHeight="1" outlineLevel="1" x14ac:dyDescent="0.25">
      <c r="A2349" s="5"/>
      <c r="B2349" s="116" t="s">
        <v>1138</v>
      </c>
      <c r="C2349" s="117"/>
      <c r="D2349" s="117"/>
      <c r="E2349" s="117"/>
      <c r="F2349" s="117"/>
      <c r="G2349" s="118"/>
    </row>
    <row r="2350" spans="1:7" s="3" customFormat="1" ht="17.399999999999999" hidden="1" customHeight="1" outlineLevel="1" x14ac:dyDescent="0.25">
      <c r="A2350" s="5"/>
      <c r="B2350" s="116" t="s">
        <v>1139</v>
      </c>
      <c r="C2350" s="117"/>
      <c r="D2350" s="117"/>
      <c r="E2350" s="117"/>
      <c r="F2350" s="117"/>
      <c r="G2350" s="118"/>
    </row>
    <row r="2351" spans="1:7" s="3" customFormat="1" ht="17.399999999999999" hidden="1" customHeight="1" outlineLevel="1" x14ac:dyDescent="0.25">
      <c r="A2351" s="5"/>
      <c r="B2351" s="116" t="s">
        <v>1140</v>
      </c>
      <c r="C2351" s="117"/>
      <c r="D2351" s="117"/>
      <c r="E2351" s="117"/>
      <c r="F2351" s="117"/>
      <c r="G2351" s="118"/>
    </row>
    <row r="2352" spans="1:7" s="3" customFormat="1" ht="17.399999999999999" hidden="1" customHeight="1" outlineLevel="1" x14ac:dyDescent="0.25">
      <c r="A2352" s="5"/>
      <c r="B2352" s="116" t="s">
        <v>1141</v>
      </c>
      <c r="C2352" s="117"/>
      <c r="D2352" s="117"/>
      <c r="E2352" s="117"/>
      <c r="F2352" s="117"/>
      <c r="G2352" s="118"/>
    </row>
    <row r="2353" spans="1:11" s="3" customFormat="1" ht="17.399999999999999" hidden="1" customHeight="1" outlineLevel="1" x14ac:dyDescent="0.25">
      <c r="A2353" s="5"/>
      <c r="B2353" s="116" t="s">
        <v>1142</v>
      </c>
      <c r="C2353" s="117"/>
      <c r="D2353" s="117"/>
      <c r="E2353" s="117"/>
      <c r="F2353" s="117"/>
      <c r="G2353" s="118"/>
    </row>
    <row r="2354" spans="1:11" s="3" customFormat="1" ht="17.399999999999999" hidden="1" customHeight="1" outlineLevel="1" x14ac:dyDescent="0.25">
      <c r="A2354" s="5"/>
      <c r="B2354" s="127"/>
      <c r="C2354" s="117"/>
      <c r="D2354" s="117"/>
      <c r="E2354" s="117"/>
      <c r="F2354" s="117"/>
      <c r="G2354" s="118"/>
    </row>
    <row r="2355" spans="1:11" s="3" customFormat="1" ht="17.399999999999999" hidden="1" customHeight="1" outlineLevel="1" x14ac:dyDescent="0.25">
      <c r="A2355" s="5"/>
      <c r="B2355" s="116"/>
      <c r="C2355" s="117"/>
      <c r="D2355" s="117"/>
      <c r="E2355" s="117"/>
      <c r="F2355" s="117"/>
      <c r="G2355" s="118"/>
    </row>
    <row r="2356" spans="1:11" s="3" customFormat="1" ht="17.399999999999999" hidden="1" customHeight="1" outlineLevel="1" x14ac:dyDescent="0.25">
      <c r="A2356" s="5"/>
      <c r="B2356" s="116" t="s">
        <v>1143</v>
      </c>
      <c r="C2356" s="117"/>
      <c r="D2356" s="117"/>
      <c r="E2356" s="117"/>
      <c r="F2356" s="117"/>
      <c r="G2356" s="118"/>
    </row>
    <row r="2357" spans="1:11" s="3" customFormat="1" ht="17.399999999999999" hidden="1" customHeight="1" outlineLevel="1" x14ac:dyDescent="0.25">
      <c r="A2357" s="5"/>
      <c r="B2357" s="116" t="s">
        <v>1144</v>
      </c>
      <c r="C2357" s="117"/>
      <c r="D2357" s="117"/>
      <c r="E2357" s="117"/>
      <c r="F2357" s="117"/>
      <c r="G2357" s="118"/>
    </row>
    <row r="2358" spans="1:11" s="3" customFormat="1" ht="17.399999999999999" hidden="1" customHeight="1" outlineLevel="1" x14ac:dyDescent="0.25">
      <c r="A2358" s="5"/>
      <c r="B2358" s="116" t="s">
        <v>1145</v>
      </c>
      <c r="C2358" s="117"/>
      <c r="D2358" s="117"/>
      <c r="E2358" s="117"/>
      <c r="F2358" s="117"/>
      <c r="G2358" s="118"/>
    </row>
    <row r="2359" spans="1:11" s="3" customFormat="1" hidden="1" outlineLevel="1" x14ac:dyDescent="0.25">
      <c r="A2359" s="5"/>
      <c r="B2359" s="50" t="s">
        <v>718</v>
      </c>
      <c r="C2359" s="20"/>
      <c r="D2359" s="20"/>
      <c r="E2359" s="20"/>
      <c r="F2359" s="20"/>
      <c r="G2359" s="22"/>
    </row>
    <row r="2360" spans="1:11" s="3" customFormat="1" hidden="1" outlineLevel="1" x14ac:dyDescent="0.25">
      <c r="A2360" s="5"/>
      <c r="B2360" s="90" t="s">
        <v>1146</v>
      </c>
      <c r="C2360" s="20"/>
      <c r="D2360" s="20"/>
      <c r="E2360" s="20"/>
      <c r="F2360" s="20"/>
      <c r="G2360" s="22"/>
    </row>
    <row r="2361" spans="1:11" s="3" customFormat="1" ht="17.399999999999999" hidden="1" customHeight="1" outlineLevel="1" x14ac:dyDescent="0.25">
      <c r="A2361" s="5"/>
      <c r="B2361" s="128" t="s">
        <v>1036</v>
      </c>
      <c r="C2361" s="107"/>
      <c r="D2361" s="107"/>
      <c r="E2361" s="107"/>
      <c r="F2361" s="107"/>
      <c r="G2361" s="129"/>
    </row>
    <row r="2362" spans="1:11" s="3" customFormat="1" ht="17.399999999999999" hidden="1" customHeight="1" outlineLevel="1" x14ac:dyDescent="0.25">
      <c r="A2362" s="5"/>
      <c r="B2362" s="130" t="s">
        <v>726</v>
      </c>
      <c r="C2362" s="29"/>
      <c r="D2362" s="29"/>
      <c r="E2362" s="29"/>
      <c r="F2362" s="29"/>
      <c r="G2362" s="131"/>
      <c r="H2362" s="5"/>
      <c r="I2362" s="5"/>
      <c r="J2362" s="5"/>
      <c r="K2362" s="5"/>
    </row>
    <row r="2363" spans="1:11" s="3" customFormat="1" hidden="1" outlineLevel="1" x14ac:dyDescent="0.25">
      <c r="A2363" s="5"/>
      <c r="B2363" s="46"/>
      <c r="C2363" s="20"/>
      <c r="D2363" s="20"/>
      <c r="E2363" s="20"/>
      <c r="F2363" s="20"/>
      <c r="G2363" s="22"/>
    </row>
    <row r="2364" spans="1:11" s="3" customFormat="1" hidden="1" outlineLevel="1" x14ac:dyDescent="0.25">
      <c r="A2364" s="5"/>
      <c r="B2364" s="50"/>
      <c r="C2364" s="20"/>
      <c r="D2364" s="20"/>
      <c r="E2364" s="20"/>
      <c r="F2364" s="20"/>
      <c r="G2364" s="22"/>
    </row>
    <row r="2365" spans="1:11" s="3" customFormat="1" hidden="1" outlineLevel="1" x14ac:dyDescent="0.25">
      <c r="A2365" s="5"/>
      <c r="B2365" s="50"/>
      <c r="C2365" s="20"/>
      <c r="D2365" s="20"/>
      <c r="E2365" s="20"/>
      <c r="F2365" s="20"/>
      <c r="G2365" s="22"/>
    </row>
    <row r="2366" spans="1:11" s="3" customFormat="1" hidden="1" outlineLevel="1" x14ac:dyDescent="0.25">
      <c r="A2366" s="5"/>
      <c r="B2366" s="50"/>
      <c r="C2366" s="20"/>
      <c r="D2366" s="20"/>
      <c r="E2366" s="20"/>
      <c r="F2366" s="20"/>
      <c r="G2366" s="22"/>
    </row>
    <row r="2367" spans="1:11" s="3" customFormat="1" hidden="1" outlineLevel="1" x14ac:dyDescent="0.25">
      <c r="A2367" s="5"/>
      <c r="B2367" s="50"/>
      <c r="C2367" s="20"/>
      <c r="D2367" s="20"/>
      <c r="E2367" s="20"/>
      <c r="F2367" s="20"/>
      <c r="G2367" s="22"/>
    </row>
    <row r="2368" spans="1:11" s="3" customFormat="1" hidden="1" outlineLevel="1" x14ac:dyDescent="0.25">
      <c r="A2368" s="5"/>
      <c r="B2368" s="50"/>
      <c r="C2368" s="20"/>
      <c r="D2368" s="20"/>
      <c r="E2368" s="20"/>
      <c r="F2368" s="20"/>
      <c r="G2368" s="22"/>
    </row>
    <row r="2369" spans="1:14" s="3" customFormat="1" hidden="1" outlineLevel="1" x14ac:dyDescent="0.25">
      <c r="A2369" s="5"/>
      <c r="B2369" s="51"/>
      <c r="C2369" s="20"/>
      <c r="D2369" s="20"/>
      <c r="E2369" s="20"/>
      <c r="F2369" s="20"/>
      <c r="G2369" s="22"/>
    </row>
    <row r="2370" spans="1:14" s="3" customFormat="1" hidden="1" outlineLevel="1" x14ac:dyDescent="0.25">
      <c r="A2370" s="5"/>
      <c r="B2370" s="90"/>
      <c r="C2370" s="20"/>
      <c r="D2370" s="20"/>
      <c r="E2370" s="20"/>
      <c r="F2370" s="20"/>
      <c r="G2370" s="22"/>
    </row>
    <row r="2371" spans="1:14" s="3" customFormat="1" ht="17.399999999999999" hidden="1" customHeight="1" outlineLevel="1" thickBot="1" x14ac:dyDescent="0.3"/>
    <row r="2372" spans="1:14" s="3" customFormat="1" ht="18" customHeight="1" collapsed="1" thickBot="1" x14ac:dyDescent="0.3">
      <c r="A2372" s="5"/>
      <c r="B2372" s="15" t="s">
        <v>1279</v>
      </c>
      <c r="C2372" s="16" t="s">
        <v>2237</v>
      </c>
      <c r="D2372" s="17" t="s">
        <v>1281</v>
      </c>
      <c r="E2372" s="29" t="s">
        <v>1147</v>
      </c>
      <c r="F2372" s="17" t="s">
        <v>1282</v>
      </c>
      <c r="G2372" s="18" t="s">
        <v>2238</v>
      </c>
    </row>
    <row r="2373" spans="1:14" s="3" customFormat="1" ht="17.399999999999999" hidden="1" customHeight="1" outlineLevel="1" x14ac:dyDescent="0.25">
      <c r="A2373" s="5"/>
      <c r="B2373" s="19" t="s">
        <v>1284</v>
      </c>
      <c r="C2373" s="20" t="s">
        <v>1285</v>
      </c>
      <c r="D2373" s="21" t="s">
        <v>1286</v>
      </c>
      <c r="E2373" s="20" t="s">
        <v>2239</v>
      </c>
      <c r="F2373" s="21" t="s">
        <v>1288</v>
      </c>
      <c r="G2373" s="22"/>
    </row>
    <row r="2374" spans="1:14" s="3" customFormat="1" ht="17.399999999999999" hidden="1" customHeight="1" outlineLevel="1" thickBot="1" x14ac:dyDescent="0.3">
      <c r="A2374" s="5"/>
      <c r="B2374" s="19" t="s">
        <v>1290</v>
      </c>
      <c r="C2374" s="23" t="s">
        <v>1291</v>
      </c>
      <c r="D2374" s="21" t="s">
        <v>1292</v>
      </c>
      <c r="E2374" s="23">
        <v>5</v>
      </c>
      <c r="F2374" s="21" t="s">
        <v>1293</v>
      </c>
      <c r="G2374" s="24" t="s">
        <v>1294</v>
      </c>
    </row>
    <row r="2375" spans="1:14" s="3" customFormat="1" ht="17.399999999999999" hidden="1" customHeight="1" outlineLevel="1" x14ac:dyDescent="0.25">
      <c r="A2375" s="5"/>
      <c r="B2375" s="401" t="s">
        <v>1</v>
      </c>
      <c r="C2375" s="402"/>
      <c r="D2375" s="402"/>
      <c r="E2375" s="402"/>
      <c r="F2375" s="402"/>
      <c r="G2375" s="403"/>
    </row>
    <row r="2376" spans="1:14" s="3" customFormat="1" ht="17.399999999999999" hidden="1" customHeight="1" outlineLevel="1" x14ac:dyDescent="0.25">
      <c r="A2376" s="5"/>
      <c r="B2376" s="25" t="s">
        <v>2</v>
      </c>
      <c r="C2376" s="26" t="s">
        <v>3</v>
      </c>
      <c r="D2376" s="26" t="s">
        <v>4</v>
      </c>
      <c r="E2376" s="26" t="s">
        <v>5</v>
      </c>
      <c r="F2376" s="26"/>
      <c r="G2376" s="27" t="s">
        <v>6</v>
      </c>
    </row>
    <row r="2377" spans="1:14" s="3" customFormat="1" hidden="1" outlineLevel="1" x14ac:dyDescent="0.25">
      <c r="A2377" s="5"/>
      <c r="B2377" s="31" t="s">
        <v>162</v>
      </c>
      <c r="C2377" s="20" t="s">
        <v>1589</v>
      </c>
      <c r="D2377" s="20" t="s">
        <v>1469</v>
      </c>
      <c r="E2377" s="20">
        <v>0</v>
      </c>
      <c r="F2377" s="20"/>
      <c r="G2377" s="22" t="s">
        <v>1590</v>
      </c>
    </row>
    <row r="2378" spans="1:14" s="3" customFormat="1" hidden="1" outlineLevel="1" x14ac:dyDescent="0.25">
      <c r="A2378" s="5"/>
      <c r="B2378" s="31" t="s">
        <v>163</v>
      </c>
      <c r="C2378" s="20" t="s">
        <v>1591</v>
      </c>
      <c r="D2378" s="20" t="s">
        <v>1469</v>
      </c>
      <c r="E2378" s="20">
        <v>0</v>
      </c>
      <c r="F2378" s="20"/>
      <c r="G2378" s="22" t="s">
        <v>1590</v>
      </c>
    </row>
    <row r="2379" spans="1:14" s="3" customFormat="1" hidden="1" outlineLevel="1" x14ac:dyDescent="0.25">
      <c r="B2379" s="28" t="s">
        <v>128</v>
      </c>
      <c r="C2379" s="29" t="s">
        <v>1566</v>
      </c>
      <c r="D2379" s="29" t="s">
        <v>1567</v>
      </c>
      <c r="E2379" s="29">
        <v>0</v>
      </c>
      <c r="F2379" s="29" t="s">
        <v>1470</v>
      </c>
      <c r="G2379" s="30"/>
      <c r="J2379" s="3" t="s">
        <v>12</v>
      </c>
      <c r="N2379" s="3">
        <v>1629</v>
      </c>
    </row>
    <row r="2380" spans="1:14" s="3" customFormat="1" hidden="1" outlineLevel="1" x14ac:dyDescent="0.25">
      <c r="B2380" s="28" t="s">
        <v>114</v>
      </c>
      <c r="C2380" s="29" t="s">
        <v>1557</v>
      </c>
      <c r="D2380" s="29" t="s">
        <v>1469</v>
      </c>
      <c r="E2380" s="29">
        <v>-1</v>
      </c>
      <c r="F2380" s="29" t="s">
        <v>1470</v>
      </c>
      <c r="G2380" s="30"/>
      <c r="J2380" s="3" t="s">
        <v>10</v>
      </c>
      <c r="N2380" s="3">
        <v>2449</v>
      </c>
    </row>
    <row r="2381" spans="1:14" s="3" customFormat="1" hidden="1" outlineLevel="1" x14ac:dyDescent="0.25">
      <c r="B2381" s="28" t="s">
        <v>7</v>
      </c>
      <c r="C2381" s="29" t="s">
        <v>1468</v>
      </c>
      <c r="D2381" s="29" t="s">
        <v>1469</v>
      </c>
      <c r="E2381" s="29">
        <v>0</v>
      </c>
      <c r="F2381" s="29" t="s">
        <v>1470</v>
      </c>
      <c r="G2381" s="30" t="s">
        <v>1471</v>
      </c>
      <c r="J2381" s="3" t="s">
        <v>10</v>
      </c>
      <c r="N2381" s="3">
        <v>1112</v>
      </c>
    </row>
    <row r="2382" spans="1:14" hidden="1" outlineLevel="1" x14ac:dyDescent="0.25">
      <c r="B2382" s="28" t="s">
        <v>87</v>
      </c>
      <c r="C2382" s="29" t="s">
        <v>1535</v>
      </c>
      <c r="D2382" s="265" t="s">
        <v>1469</v>
      </c>
      <c r="E2382" s="265">
        <v>0</v>
      </c>
      <c r="F2382" s="265" t="s">
        <v>1476</v>
      </c>
      <c r="G2382" s="266"/>
    </row>
    <row r="2383" spans="1:14" s="3" customFormat="1" ht="16.2" hidden="1" outlineLevel="1" thickBot="1" x14ac:dyDescent="0.3">
      <c r="B2383" s="28"/>
      <c r="C2383" s="29"/>
      <c r="D2383" s="29"/>
      <c r="E2383" s="29"/>
      <c r="F2383" s="29"/>
      <c r="G2383" s="30"/>
    </row>
    <row r="2384" spans="1:14" s="3" customFormat="1" ht="17.399999999999999" hidden="1" customHeight="1" outlineLevel="1" x14ac:dyDescent="0.25">
      <c r="A2384" s="5"/>
      <c r="B2384" s="401" t="s">
        <v>18</v>
      </c>
      <c r="C2384" s="402"/>
      <c r="D2384" s="402"/>
      <c r="E2384" s="402"/>
      <c r="F2384" s="402"/>
      <c r="G2384" s="403"/>
    </row>
    <row r="2385" spans="1:7" s="3" customFormat="1" ht="17.399999999999999" hidden="1" customHeight="1" outlineLevel="1" x14ac:dyDescent="0.25">
      <c r="A2385" s="5"/>
      <c r="B2385" s="25" t="s">
        <v>2</v>
      </c>
      <c r="C2385" s="26" t="s">
        <v>3</v>
      </c>
      <c r="D2385" s="26" t="s">
        <v>4</v>
      </c>
      <c r="E2385" s="26" t="s">
        <v>5</v>
      </c>
      <c r="F2385" s="26"/>
      <c r="G2385" s="27" t="s">
        <v>6</v>
      </c>
    </row>
    <row r="2386" spans="1:7" s="3" customFormat="1" ht="17.399999999999999" hidden="1" customHeight="1" outlineLevel="1" x14ac:dyDescent="0.25">
      <c r="A2386" s="5"/>
      <c r="B2386" s="270" t="s">
        <v>73</v>
      </c>
      <c r="C2386" s="271" t="s">
        <v>1528</v>
      </c>
      <c r="D2386" s="271" t="s">
        <v>1469</v>
      </c>
      <c r="E2386" s="271" t="s">
        <v>1480</v>
      </c>
      <c r="F2386" s="271" t="s">
        <v>1481</v>
      </c>
      <c r="G2386" s="272"/>
    </row>
    <row r="2387" spans="1:7" hidden="1" outlineLevel="1" x14ac:dyDescent="0.25">
      <c r="B2387" s="256" t="s">
        <v>74</v>
      </c>
      <c r="C2387" s="257" t="s">
        <v>1529</v>
      </c>
      <c r="D2387" s="257" t="s">
        <v>1469</v>
      </c>
      <c r="E2387" s="257" t="s">
        <v>1480</v>
      </c>
      <c r="F2387" s="257" t="s">
        <v>1481</v>
      </c>
      <c r="G2387" s="258"/>
    </row>
    <row r="2388" spans="1:7" hidden="1" outlineLevel="1" x14ac:dyDescent="0.25">
      <c r="B2388" s="256" t="s">
        <v>112</v>
      </c>
      <c r="C2388" s="259" t="s">
        <v>1555</v>
      </c>
      <c r="D2388" s="257" t="s">
        <v>1469</v>
      </c>
      <c r="E2388" s="257">
        <v>0</v>
      </c>
      <c r="F2388" s="257" t="s">
        <v>1470</v>
      </c>
      <c r="G2388" s="258" t="s">
        <v>1556</v>
      </c>
    </row>
    <row r="2389" spans="1:7" hidden="1" outlineLevel="1" x14ac:dyDescent="0.25">
      <c r="B2389" s="256" t="s">
        <v>7</v>
      </c>
      <c r="C2389" s="259" t="s">
        <v>1468</v>
      </c>
      <c r="D2389" s="257" t="s">
        <v>1469</v>
      </c>
      <c r="E2389" s="257">
        <v>0</v>
      </c>
      <c r="F2389" s="257" t="s">
        <v>1470</v>
      </c>
      <c r="G2389" s="258" t="s">
        <v>1471</v>
      </c>
    </row>
    <row r="2390" spans="1:7" hidden="1" outlineLevel="1" x14ac:dyDescent="0.25">
      <c r="B2390" s="28" t="s">
        <v>407</v>
      </c>
      <c r="C2390" s="29" t="s">
        <v>1803</v>
      </c>
      <c r="D2390" s="257" t="s">
        <v>1489</v>
      </c>
      <c r="E2390" s="257">
        <v>0</v>
      </c>
      <c r="F2390" s="257"/>
      <c r="G2390" s="258"/>
    </row>
    <row r="2391" spans="1:7" hidden="1" outlineLevel="1" x14ac:dyDescent="0.25">
      <c r="B2391" s="28" t="s">
        <v>408</v>
      </c>
      <c r="C2391" s="29" t="s">
        <v>1804</v>
      </c>
      <c r="D2391" s="257" t="s">
        <v>1489</v>
      </c>
      <c r="E2391" s="257">
        <v>0</v>
      </c>
      <c r="F2391" s="257" t="s">
        <v>1470</v>
      </c>
      <c r="G2391" s="258"/>
    </row>
    <row r="2392" spans="1:7" hidden="1" outlineLevel="1" x14ac:dyDescent="0.25">
      <c r="B2392" s="28" t="s">
        <v>409</v>
      </c>
      <c r="C2392" s="29" t="s">
        <v>1805</v>
      </c>
      <c r="D2392" s="257" t="s">
        <v>1489</v>
      </c>
      <c r="E2392" s="257">
        <v>0</v>
      </c>
      <c r="F2392" s="257"/>
      <c r="G2392" s="258"/>
    </row>
    <row r="2393" spans="1:7" hidden="1" outlineLevel="1" x14ac:dyDescent="0.25">
      <c r="B2393" s="28" t="s">
        <v>410</v>
      </c>
      <c r="C2393" s="29" t="s">
        <v>1806</v>
      </c>
      <c r="D2393" s="257" t="s">
        <v>1489</v>
      </c>
      <c r="E2393" s="257">
        <v>0</v>
      </c>
      <c r="F2393" s="257" t="s">
        <v>1470</v>
      </c>
      <c r="G2393" s="258"/>
    </row>
    <row r="2394" spans="1:7" hidden="1" outlineLevel="1" x14ac:dyDescent="0.25">
      <c r="B2394" s="28" t="s">
        <v>411</v>
      </c>
      <c r="C2394" s="29" t="s">
        <v>1807</v>
      </c>
      <c r="D2394" s="257" t="s">
        <v>1489</v>
      </c>
      <c r="E2394" s="257">
        <v>0</v>
      </c>
      <c r="F2394" s="257"/>
      <c r="G2394" s="258"/>
    </row>
    <row r="2395" spans="1:7" hidden="1" outlineLevel="1" x14ac:dyDescent="0.25">
      <c r="B2395" s="28" t="s">
        <v>412</v>
      </c>
      <c r="C2395" s="29" t="s">
        <v>1808</v>
      </c>
      <c r="D2395" s="257" t="s">
        <v>1489</v>
      </c>
      <c r="E2395" s="257">
        <v>0</v>
      </c>
      <c r="F2395" s="257" t="s">
        <v>1470</v>
      </c>
      <c r="G2395" s="258"/>
    </row>
    <row r="2396" spans="1:7" hidden="1" outlineLevel="1" x14ac:dyDescent="0.25">
      <c r="B2396" s="28" t="s">
        <v>413</v>
      </c>
      <c r="C2396" s="29" t="s">
        <v>1809</v>
      </c>
      <c r="D2396" s="257" t="s">
        <v>1489</v>
      </c>
      <c r="E2396" s="257">
        <v>0</v>
      </c>
      <c r="F2396" s="257"/>
      <c r="G2396" s="258"/>
    </row>
    <row r="2397" spans="1:7" hidden="1" outlineLevel="1" x14ac:dyDescent="0.25">
      <c r="B2397" s="28" t="s">
        <v>414</v>
      </c>
      <c r="C2397" s="29" t="s">
        <v>1810</v>
      </c>
      <c r="D2397" s="257" t="s">
        <v>1489</v>
      </c>
      <c r="E2397" s="257">
        <v>0</v>
      </c>
      <c r="F2397" s="257" t="s">
        <v>1470</v>
      </c>
      <c r="G2397" s="258"/>
    </row>
    <row r="2398" spans="1:7" hidden="1" outlineLevel="1" x14ac:dyDescent="0.25">
      <c r="B2398" s="28" t="s">
        <v>415</v>
      </c>
      <c r="C2398" s="29" t="s">
        <v>1811</v>
      </c>
      <c r="D2398" s="257" t="s">
        <v>1489</v>
      </c>
      <c r="E2398" s="257">
        <v>0</v>
      </c>
      <c r="F2398" s="257"/>
      <c r="G2398" s="258"/>
    </row>
    <row r="2399" spans="1:7" hidden="1" outlineLevel="1" x14ac:dyDescent="0.25">
      <c r="B2399" s="28" t="s">
        <v>416</v>
      </c>
      <c r="C2399" s="29" t="s">
        <v>1812</v>
      </c>
      <c r="D2399" s="257" t="s">
        <v>1489</v>
      </c>
      <c r="E2399" s="257">
        <v>0</v>
      </c>
      <c r="F2399" s="257" t="s">
        <v>1470</v>
      </c>
      <c r="G2399" s="258"/>
    </row>
    <row r="2400" spans="1:7" hidden="1" outlineLevel="1" x14ac:dyDescent="0.25">
      <c r="B2400" s="28" t="s">
        <v>417</v>
      </c>
      <c r="C2400" s="29" t="s">
        <v>1813</v>
      </c>
      <c r="D2400" s="257" t="s">
        <v>1489</v>
      </c>
      <c r="E2400" s="257">
        <v>0</v>
      </c>
      <c r="F2400" s="257"/>
      <c r="G2400" s="258"/>
    </row>
    <row r="2401" spans="2:8" hidden="1" outlineLevel="1" x14ac:dyDescent="0.25">
      <c r="B2401" s="28" t="s">
        <v>418</v>
      </c>
      <c r="C2401" s="29" t="s">
        <v>1814</v>
      </c>
      <c r="D2401" s="257" t="s">
        <v>1489</v>
      </c>
      <c r="E2401" s="257">
        <v>0</v>
      </c>
      <c r="F2401" s="257" t="s">
        <v>1470</v>
      </c>
      <c r="G2401" s="258"/>
    </row>
    <row r="2402" spans="2:8" hidden="1" outlineLevel="1" x14ac:dyDescent="0.25">
      <c r="B2402" s="28" t="s">
        <v>419</v>
      </c>
      <c r="C2402" s="29" t="s">
        <v>1815</v>
      </c>
      <c r="D2402" s="257" t="s">
        <v>1489</v>
      </c>
      <c r="E2402" s="257">
        <v>0</v>
      </c>
      <c r="F2402" s="257"/>
      <c r="G2402" s="258"/>
    </row>
    <row r="2403" spans="2:8" hidden="1" outlineLevel="1" x14ac:dyDescent="0.25">
      <c r="B2403" s="28" t="s">
        <v>420</v>
      </c>
      <c r="C2403" s="29" t="s">
        <v>1816</v>
      </c>
      <c r="D2403" s="257" t="s">
        <v>1489</v>
      </c>
      <c r="E2403" s="257">
        <v>0</v>
      </c>
      <c r="F2403" s="257" t="s">
        <v>1470</v>
      </c>
      <c r="G2403" s="258"/>
    </row>
    <row r="2404" spans="2:8" hidden="1" outlineLevel="1" x14ac:dyDescent="0.25">
      <c r="B2404" s="28" t="s">
        <v>421</v>
      </c>
      <c r="C2404" s="29" t="s">
        <v>1817</v>
      </c>
      <c r="D2404" s="257" t="s">
        <v>1489</v>
      </c>
      <c r="E2404" s="257">
        <v>0</v>
      </c>
      <c r="F2404" s="257"/>
      <c r="G2404" s="258"/>
    </row>
    <row r="2405" spans="2:8" hidden="1" outlineLevel="1" x14ac:dyDescent="0.25">
      <c r="B2405" s="28" t="s">
        <v>422</v>
      </c>
      <c r="C2405" s="29" t="s">
        <v>1818</v>
      </c>
      <c r="D2405" s="257" t="s">
        <v>1489</v>
      </c>
      <c r="E2405" s="257">
        <v>0</v>
      </c>
      <c r="F2405" s="257" t="s">
        <v>1470</v>
      </c>
      <c r="G2405" s="258"/>
    </row>
    <row r="2406" spans="2:8" hidden="1" outlineLevel="1" x14ac:dyDescent="0.25">
      <c r="B2406" s="28" t="s">
        <v>423</v>
      </c>
      <c r="C2406" s="29" t="s">
        <v>1819</v>
      </c>
      <c r="D2406" s="257" t="s">
        <v>1489</v>
      </c>
      <c r="E2406" s="257">
        <v>0</v>
      </c>
      <c r="F2406" s="257"/>
      <c r="G2406" s="258"/>
    </row>
    <row r="2407" spans="2:8" hidden="1" outlineLevel="1" x14ac:dyDescent="0.25">
      <c r="B2407" s="28" t="s">
        <v>424</v>
      </c>
      <c r="C2407" s="29" t="s">
        <v>1820</v>
      </c>
      <c r="D2407" s="257" t="s">
        <v>1489</v>
      </c>
      <c r="E2407" s="257">
        <v>0</v>
      </c>
      <c r="F2407" s="257" t="s">
        <v>1470</v>
      </c>
      <c r="G2407" s="258"/>
    </row>
    <row r="2408" spans="2:8" hidden="1" outlineLevel="1" x14ac:dyDescent="0.25">
      <c r="B2408" s="28" t="s">
        <v>425</v>
      </c>
      <c r="C2408" s="29" t="s">
        <v>1821</v>
      </c>
      <c r="D2408" s="257" t="s">
        <v>1469</v>
      </c>
      <c r="E2408" s="257">
        <v>0</v>
      </c>
      <c r="F2408" s="257"/>
      <c r="G2408" s="258"/>
    </row>
    <row r="2409" spans="2:8" hidden="1" outlineLevel="1" x14ac:dyDescent="0.25">
      <c r="B2409" s="28" t="s">
        <v>426</v>
      </c>
      <c r="C2409" s="29" t="s">
        <v>1822</v>
      </c>
      <c r="D2409" s="257" t="s">
        <v>1469</v>
      </c>
      <c r="E2409" s="257">
        <v>0</v>
      </c>
      <c r="F2409" s="257"/>
      <c r="G2409" s="258"/>
    </row>
    <row r="2410" spans="2:8" hidden="1" outlineLevel="1" x14ac:dyDescent="0.25">
      <c r="B2410" s="28" t="s">
        <v>427</v>
      </c>
      <c r="C2410" s="29" t="s">
        <v>1823</v>
      </c>
      <c r="D2410" s="265" t="s">
        <v>1469</v>
      </c>
      <c r="E2410" s="265">
        <v>0</v>
      </c>
      <c r="F2410" s="265"/>
      <c r="G2410" s="266"/>
    </row>
    <row r="2411" spans="2:8" s="3" customFormat="1" hidden="1" outlineLevel="1" x14ac:dyDescent="0.25">
      <c r="B2411" s="28" t="s">
        <v>428</v>
      </c>
      <c r="C2411" s="29" t="s">
        <v>1824</v>
      </c>
      <c r="D2411" s="29" t="s">
        <v>1469</v>
      </c>
      <c r="E2411" s="29">
        <v>0</v>
      </c>
      <c r="F2411" s="29"/>
      <c r="G2411" s="30"/>
      <c r="H2411" s="273"/>
    </row>
    <row r="2412" spans="2:8" s="3" customFormat="1" hidden="1" outlineLevel="1" x14ac:dyDescent="0.25">
      <c r="B2412" s="28" t="s">
        <v>429</v>
      </c>
      <c r="C2412" s="29" t="s">
        <v>1825</v>
      </c>
      <c r="D2412" s="29" t="s">
        <v>1469</v>
      </c>
      <c r="E2412" s="29">
        <v>0</v>
      </c>
      <c r="F2412" s="29"/>
      <c r="G2412" s="30"/>
      <c r="H2412" s="273"/>
    </row>
    <row r="2413" spans="2:8" s="3" customFormat="1" hidden="1" outlineLevel="1" x14ac:dyDescent="0.25">
      <c r="B2413" s="28" t="s">
        <v>430</v>
      </c>
      <c r="C2413" s="29" t="s">
        <v>1826</v>
      </c>
      <c r="D2413" s="29" t="s">
        <v>1469</v>
      </c>
      <c r="E2413" s="29">
        <v>0</v>
      </c>
      <c r="F2413" s="29"/>
      <c r="G2413" s="30"/>
      <c r="H2413" s="273"/>
    </row>
    <row r="2414" spans="2:8" s="3" customFormat="1" hidden="1" outlineLevel="1" x14ac:dyDescent="0.25">
      <c r="B2414" s="28" t="s">
        <v>431</v>
      </c>
      <c r="C2414" s="29" t="s">
        <v>1827</v>
      </c>
      <c r="D2414" s="29" t="s">
        <v>1469</v>
      </c>
      <c r="E2414" s="29">
        <v>0</v>
      </c>
      <c r="F2414" s="29"/>
      <c r="G2414" s="30"/>
      <c r="H2414" s="273"/>
    </row>
    <row r="2415" spans="2:8" s="3" customFormat="1" hidden="1" outlineLevel="1" x14ac:dyDescent="0.25">
      <c r="B2415" s="28" t="s">
        <v>432</v>
      </c>
      <c r="C2415" s="29" t="s">
        <v>1828</v>
      </c>
      <c r="D2415" s="29" t="s">
        <v>1469</v>
      </c>
      <c r="E2415" s="29">
        <v>0</v>
      </c>
      <c r="F2415" s="29"/>
      <c r="G2415" s="30"/>
      <c r="H2415" s="273"/>
    </row>
    <row r="2416" spans="2:8" s="3" customFormat="1" hidden="1" outlineLevel="1" x14ac:dyDescent="0.25">
      <c r="B2416" s="28" t="s">
        <v>433</v>
      </c>
      <c r="C2416" s="29" t="s">
        <v>1829</v>
      </c>
      <c r="D2416" s="29" t="s">
        <v>1469</v>
      </c>
      <c r="E2416" s="29">
        <v>0</v>
      </c>
      <c r="F2416" s="29"/>
      <c r="G2416" s="30"/>
      <c r="H2416" s="273"/>
    </row>
    <row r="2417" spans="1:10" s="3" customFormat="1" hidden="1" outlineLevel="1" x14ac:dyDescent="0.25">
      <c r="B2417" s="28"/>
      <c r="C2417" s="29"/>
      <c r="D2417" s="29"/>
      <c r="E2417" s="29"/>
      <c r="F2417" s="29"/>
      <c r="G2417" s="30"/>
      <c r="H2417" s="273"/>
    </row>
    <row r="2418" spans="1:10" s="3" customFormat="1" ht="16.2" hidden="1" outlineLevel="1" thickBot="1" x14ac:dyDescent="0.3">
      <c r="B2418" s="267"/>
      <c r="C2418" s="268"/>
      <c r="D2418" s="268"/>
      <c r="E2418" s="268"/>
      <c r="F2418" s="268"/>
      <c r="G2418" s="269"/>
    </row>
    <row r="2419" spans="1:10" s="3" customFormat="1" ht="17.399999999999999" hidden="1" customHeight="1" outlineLevel="1" x14ac:dyDescent="0.25">
      <c r="A2419" s="5"/>
      <c r="B2419" s="401" t="s">
        <v>29</v>
      </c>
      <c r="C2419" s="402"/>
      <c r="D2419" s="402"/>
      <c r="E2419" s="402"/>
      <c r="F2419" s="402"/>
      <c r="G2419" s="403"/>
    </row>
    <row r="2420" spans="1:10" s="3" customFormat="1" hidden="1" outlineLevel="1" x14ac:dyDescent="0.25">
      <c r="B2420" s="28"/>
      <c r="C2420" s="29"/>
      <c r="D2420" s="29"/>
      <c r="E2420" s="29"/>
      <c r="F2420" s="29"/>
      <c r="G2420" s="30"/>
    </row>
    <row r="2421" spans="1:10" s="3" customFormat="1" hidden="1" outlineLevel="1" x14ac:dyDescent="0.25">
      <c r="A2421" s="14"/>
      <c r="B2421" s="154" t="s">
        <v>1148</v>
      </c>
      <c r="C2421" s="23"/>
      <c r="D2421" s="23"/>
      <c r="E2421" s="23"/>
      <c r="F2421" s="23"/>
      <c r="G2421" s="123"/>
      <c r="H2421" s="14"/>
      <c r="I2421" s="14"/>
      <c r="J2421" s="14"/>
    </row>
    <row r="2422" spans="1:10" s="3" customFormat="1" hidden="1" outlineLevel="1" x14ac:dyDescent="0.25">
      <c r="A2422" s="5"/>
      <c r="B2422" s="115"/>
      <c r="C2422" s="20"/>
      <c r="D2422" s="20"/>
      <c r="E2422" s="20"/>
      <c r="F2422" s="20"/>
      <c r="G2422" s="22"/>
      <c r="J2422" s="55"/>
    </row>
    <row r="2423" spans="1:10" s="3" customFormat="1" hidden="1" outlineLevel="1" x14ac:dyDescent="0.25">
      <c r="A2423" s="5"/>
      <c r="B2423" s="115"/>
      <c r="C2423" s="20"/>
      <c r="D2423" s="20"/>
      <c r="E2423" s="20"/>
      <c r="F2423" s="20"/>
      <c r="G2423" s="22"/>
      <c r="J2423" s="55"/>
    </row>
    <row r="2424" spans="1:10" hidden="1" outlineLevel="1" x14ac:dyDescent="0.25">
      <c r="B2424" s="154" t="s">
        <v>1149</v>
      </c>
      <c r="C2424" s="23"/>
      <c r="D2424" s="23"/>
      <c r="E2424" s="23"/>
      <c r="F2424" s="23"/>
      <c r="G2424" s="123"/>
    </row>
    <row r="2425" spans="1:10" s="3" customFormat="1" hidden="1" outlineLevel="1" x14ac:dyDescent="0.25">
      <c r="A2425" s="14"/>
      <c r="B2425" s="89"/>
      <c r="C2425" s="23"/>
      <c r="D2425" s="23"/>
      <c r="E2425" s="23"/>
      <c r="F2425" s="23"/>
      <c r="G2425" s="24"/>
      <c r="H2425" s="14"/>
      <c r="I2425" s="14"/>
      <c r="J2425" s="14"/>
    </row>
    <row r="2426" spans="1:10" s="3" customFormat="1" hidden="1" outlineLevel="1" x14ac:dyDescent="0.25">
      <c r="B2426" s="28" t="s">
        <v>702</v>
      </c>
      <c r="C2426" s="29"/>
      <c r="D2426" s="29"/>
      <c r="E2426" s="29"/>
      <c r="F2426" s="29"/>
      <c r="G2426" s="30"/>
    </row>
    <row r="2427" spans="1:10" s="3" customFormat="1" hidden="1" outlineLevel="1" x14ac:dyDescent="0.25">
      <c r="B2427" s="28" t="s">
        <v>1150</v>
      </c>
      <c r="C2427" s="29"/>
      <c r="D2427" s="29"/>
      <c r="E2427" s="29"/>
      <c r="F2427" s="29"/>
      <c r="G2427" s="30"/>
    </row>
    <row r="2428" spans="1:10" s="3" customFormat="1" hidden="1" outlineLevel="1" x14ac:dyDescent="0.25">
      <c r="B2428" s="217" t="s">
        <v>1151</v>
      </c>
      <c r="C2428" s="29"/>
      <c r="D2428" s="29"/>
      <c r="E2428" s="29"/>
      <c r="F2428" s="29"/>
      <c r="G2428" s="30"/>
    </row>
    <row r="2429" spans="1:10" s="3" customFormat="1" hidden="1" outlineLevel="1" x14ac:dyDescent="0.25">
      <c r="B2429" s="217"/>
      <c r="C2429" s="29"/>
      <c r="D2429" s="29"/>
      <c r="E2429" s="29"/>
      <c r="F2429" s="29"/>
      <c r="G2429" s="30"/>
    </row>
    <row r="2430" spans="1:10" s="3" customFormat="1" hidden="1" outlineLevel="1" x14ac:dyDescent="0.25">
      <c r="B2430" s="217" t="s">
        <v>1152</v>
      </c>
      <c r="C2430" s="29"/>
      <c r="D2430" s="29"/>
      <c r="E2430" s="29"/>
      <c r="F2430" s="29"/>
      <c r="G2430" s="30"/>
    </row>
    <row r="2431" spans="1:10" s="3" customFormat="1" hidden="1" outlineLevel="1" x14ac:dyDescent="0.25">
      <c r="B2431" s="217" t="s">
        <v>1153</v>
      </c>
      <c r="C2431" s="29"/>
      <c r="D2431" s="29"/>
      <c r="E2431" s="29"/>
      <c r="F2431" s="29"/>
      <c r="G2431" s="30"/>
    </row>
    <row r="2432" spans="1:10" s="3" customFormat="1" hidden="1" outlineLevel="1" x14ac:dyDescent="0.25">
      <c r="B2432" s="217" t="s">
        <v>1154</v>
      </c>
      <c r="C2432" s="29"/>
      <c r="D2432" s="29"/>
      <c r="E2432" s="29"/>
      <c r="F2432" s="29"/>
      <c r="G2432" s="30"/>
    </row>
    <row r="2433" spans="2:7" s="3" customFormat="1" hidden="1" outlineLevel="1" x14ac:dyDescent="0.25">
      <c r="B2433" s="217"/>
      <c r="C2433" s="29"/>
      <c r="D2433" s="29"/>
      <c r="E2433" s="29"/>
      <c r="F2433" s="29"/>
      <c r="G2433" s="30"/>
    </row>
    <row r="2434" spans="2:7" s="3" customFormat="1" hidden="1" outlineLevel="1" x14ac:dyDescent="0.25">
      <c r="B2434" s="217" t="s">
        <v>1155</v>
      </c>
      <c r="C2434" s="29"/>
      <c r="D2434" s="29"/>
      <c r="E2434" s="29"/>
      <c r="F2434" s="29"/>
      <c r="G2434" s="30"/>
    </row>
    <row r="2435" spans="2:7" s="3" customFormat="1" hidden="1" outlineLevel="1" x14ac:dyDescent="0.25">
      <c r="B2435" s="217" t="s">
        <v>1156</v>
      </c>
      <c r="C2435" s="29"/>
      <c r="D2435" s="29"/>
      <c r="E2435" s="29"/>
      <c r="F2435" s="29"/>
      <c r="G2435" s="30"/>
    </row>
    <row r="2436" spans="2:7" s="3" customFormat="1" hidden="1" outlineLevel="1" x14ac:dyDescent="0.25">
      <c r="B2436" s="217" t="s">
        <v>1157</v>
      </c>
      <c r="C2436" s="29"/>
      <c r="D2436" s="29"/>
      <c r="E2436" s="29"/>
      <c r="F2436" s="29"/>
      <c r="G2436" s="30"/>
    </row>
    <row r="2437" spans="2:7" s="3" customFormat="1" hidden="1" outlineLevel="1" x14ac:dyDescent="0.25">
      <c r="B2437" s="217"/>
      <c r="C2437" s="29"/>
      <c r="D2437" s="29"/>
      <c r="E2437" s="29"/>
      <c r="F2437" s="29"/>
      <c r="G2437" s="30"/>
    </row>
    <row r="2438" spans="2:7" s="3" customFormat="1" hidden="1" outlineLevel="1" x14ac:dyDescent="0.25">
      <c r="B2438" s="217" t="s">
        <v>1158</v>
      </c>
      <c r="C2438" s="29"/>
      <c r="D2438" s="29"/>
      <c r="E2438" s="29"/>
      <c r="F2438" s="29"/>
      <c r="G2438" s="30"/>
    </row>
    <row r="2439" spans="2:7" s="3" customFormat="1" hidden="1" outlineLevel="1" x14ac:dyDescent="0.25">
      <c r="B2439" s="217" t="s">
        <v>1159</v>
      </c>
      <c r="C2439" s="29"/>
      <c r="D2439" s="29"/>
      <c r="E2439" s="29"/>
      <c r="F2439" s="29"/>
      <c r="G2439" s="30"/>
    </row>
    <row r="2440" spans="2:7" s="3" customFormat="1" hidden="1" outlineLevel="1" x14ac:dyDescent="0.25">
      <c r="B2440" s="217" t="s">
        <v>1160</v>
      </c>
      <c r="C2440" s="29"/>
      <c r="D2440" s="29"/>
      <c r="E2440" s="29"/>
      <c r="F2440" s="29"/>
      <c r="G2440" s="30"/>
    </row>
    <row r="2441" spans="2:7" s="3" customFormat="1" hidden="1" outlineLevel="1" x14ac:dyDescent="0.25">
      <c r="B2441" s="217"/>
      <c r="C2441" s="29"/>
      <c r="D2441" s="29"/>
      <c r="E2441" s="29"/>
      <c r="F2441" s="29"/>
      <c r="G2441" s="30"/>
    </row>
    <row r="2442" spans="2:7" s="3" customFormat="1" hidden="1" outlineLevel="1" x14ac:dyDescent="0.25">
      <c r="B2442" s="217" t="s">
        <v>1161</v>
      </c>
      <c r="C2442" s="29"/>
      <c r="D2442" s="29"/>
      <c r="E2442" s="29"/>
      <c r="F2442" s="29"/>
      <c r="G2442" s="30"/>
    </row>
    <row r="2443" spans="2:7" s="3" customFormat="1" hidden="1" outlineLevel="1" x14ac:dyDescent="0.25">
      <c r="B2443" s="217" t="s">
        <v>1162</v>
      </c>
      <c r="C2443" s="29"/>
      <c r="D2443" s="29"/>
      <c r="E2443" s="29"/>
      <c r="F2443" s="29"/>
      <c r="G2443" s="30"/>
    </row>
    <row r="2444" spans="2:7" s="3" customFormat="1" hidden="1" outlineLevel="1" x14ac:dyDescent="0.25">
      <c r="B2444" s="217" t="s">
        <v>1163</v>
      </c>
      <c r="C2444" s="29"/>
      <c r="D2444" s="29"/>
      <c r="E2444" s="29"/>
      <c r="F2444" s="29"/>
      <c r="G2444" s="30"/>
    </row>
    <row r="2445" spans="2:7" s="3" customFormat="1" hidden="1" outlineLevel="1" x14ac:dyDescent="0.25">
      <c r="B2445" s="217"/>
      <c r="C2445" s="29"/>
      <c r="D2445" s="29"/>
      <c r="E2445" s="29"/>
      <c r="F2445" s="29"/>
      <c r="G2445" s="30"/>
    </row>
    <row r="2446" spans="2:7" s="3" customFormat="1" hidden="1" outlineLevel="1" x14ac:dyDescent="0.25">
      <c r="B2446" s="217" t="s">
        <v>1164</v>
      </c>
      <c r="C2446" s="29"/>
      <c r="D2446" s="29"/>
      <c r="E2446" s="29"/>
      <c r="F2446" s="29"/>
      <c r="G2446" s="30"/>
    </row>
    <row r="2447" spans="2:7" s="3" customFormat="1" hidden="1" outlineLevel="1" x14ac:dyDescent="0.25">
      <c r="B2447" s="217" t="s">
        <v>1165</v>
      </c>
      <c r="C2447" s="29"/>
      <c r="D2447" s="29"/>
      <c r="E2447" s="29"/>
      <c r="F2447" s="29"/>
      <c r="G2447" s="30"/>
    </row>
    <row r="2448" spans="2:7" s="3" customFormat="1" hidden="1" outlineLevel="1" x14ac:dyDescent="0.25">
      <c r="B2448" s="217" t="s">
        <v>1166</v>
      </c>
      <c r="C2448" s="29"/>
      <c r="D2448" s="29"/>
      <c r="E2448" s="29"/>
      <c r="F2448" s="29"/>
      <c r="G2448" s="30"/>
    </row>
    <row r="2449" spans="2:7" s="3" customFormat="1" hidden="1" outlineLevel="1" x14ac:dyDescent="0.25">
      <c r="B2449" s="217"/>
      <c r="C2449" s="29"/>
      <c r="D2449" s="29"/>
      <c r="E2449" s="29"/>
      <c r="F2449" s="29"/>
      <c r="G2449" s="30"/>
    </row>
    <row r="2450" spans="2:7" s="3" customFormat="1" hidden="1" outlineLevel="1" x14ac:dyDescent="0.25">
      <c r="B2450" s="217" t="s">
        <v>1167</v>
      </c>
      <c r="C2450" s="29"/>
      <c r="D2450" s="29"/>
      <c r="E2450" s="29"/>
      <c r="F2450" s="29"/>
      <c r="G2450" s="30"/>
    </row>
    <row r="2451" spans="2:7" s="3" customFormat="1" hidden="1" outlineLevel="1" x14ac:dyDescent="0.25">
      <c r="B2451" s="217" t="s">
        <v>1168</v>
      </c>
      <c r="C2451" s="29"/>
      <c r="D2451" s="29"/>
      <c r="E2451" s="29"/>
      <c r="F2451" s="29"/>
      <c r="G2451" s="30"/>
    </row>
    <row r="2452" spans="2:7" s="3" customFormat="1" hidden="1" outlineLevel="1" x14ac:dyDescent="0.25">
      <c r="B2452" s="217" t="s">
        <v>1169</v>
      </c>
      <c r="C2452" s="29"/>
      <c r="D2452" s="29"/>
      <c r="E2452" s="29"/>
      <c r="F2452" s="29"/>
      <c r="G2452" s="30"/>
    </row>
    <row r="2453" spans="2:7" s="3" customFormat="1" hidden="1" outlineLevel="1" x14ac:dyDescent="0.25">
      <c r="B2453" s="217"/>
      <c r="C2453" s="29"/>
      <c r="D2453" s="29"/>
      <c r="E2453" s="29"/>
      <c r="F2453" s="29"/>
      <c r="G2453" s="30"/>
    </row>
    <row r="2454" spans="2:7" s="3" customFormat="1" hidden="1" outlineLevel="1" x14ac:dyDescent="0.25">
      <c r="B2454" s="217" t="s">
        <v>1170</v>
      </c>
      <c r="C2454" s="29"/>
      <c r="D2454" s="29"/>
      <c r="E2454" s="29"/>
      <c r="F2454" s="29"/>
      <c r="G2454" s="30"/>
    </row>
    <row r="2455" spans="2:7" s="3" customFormat="1" hidden="1" outlineLevel="1" x14ac:dyDescent="0.25">
      <c r="B2455" s="217" t="s">
        <v>1171</v>
      </c>
      <c r="C2455" s="29"/>
      <c r="D2455" s="29"/>
      <c r="E2455" s="29"/>
      <c r="F2455" s="29"/>
      <c r="G2455" s="30"/>
    </row>
    <row r="2456" spans="2:7" s="3" customFormat="1" hidden="1" outlineLevel="1" x14ac:dyDescent="0.25">
      <c r="B2456" s="217" t="s">
        <v>1172</v>
      </c>
      <c r="C2456" s="29"/>
      <c r="D2456" s="29"/>
      <c r="E2456" s="29"/>
      <c r="F2456" s="29"/>
      <c r="G2456" s="30"/>
    </row>
    <row r="2457" spans="2:7" s="3" customFormat="1" hidden="1" outlineLevel="1" x14ac:dyDescent="0.25">
      <c r="B2457" s="217"/>
      <c r="C2457" s="29"/>
      <c r="D2457" s="29"/>
      <c r="E2457" s="29"/>
      <c r="F2457" s="29"/>
      <c r="G2457" s="30"/>
    </row>
    <row r="2458" spans="2:7" s="3" customFormat="1" hidden="1" outlineLevel="1" x14ac:dyDescent="0.25">
      <c r="B2458" s="217" t="s">
        <v>1173</v>
      </c>
      <c r="C2458" s="29"/>
      <c r="D2458" s="29"/>
      <c r="E2458" s="29"/>
      <c r="F2458" s="29"/>
      <c r="G2458" s="30"/>
    </row>
    <row r="2459" spans="2:7" s="3" customFormat="1" hidden="1" outlineLevel="1" x14ac:dyDescent="0.25">
      <c r="B2459" s="217" t="s">
        <v>1174</v>
      </c>
      <c r="C2459" s="29"/>
      <c r="D2459" s="29"/>
      <c r="E2459" s="29"/>
      <c r="F2459" s="29"/>
      <c r="G2459" s="30"/>
    </row>
    <row r="2460" spans="2:7" s="3" customFormat="1" hidden="1" outlineLevel="1" x14ac:dyDescent="0.25">
      <c r="B2460" s="217" t="s">
        <v>1175</v>
      </c>
      <c r="C2460" s="29"/>
      <c r="D2460" s="29"/>
      <c r="E2460" s="29"/>
      <c r="F2460" s="29"/>
      <c r="G2460" s="30"/>
    </row>
    <row r="2461" spans="2:7" s="3" customFormat="1" hidden="1" outlineLevel="1" x14ac:dyDescent="0.25">
      <c r="B2461" s="217"/>
      <c r="C2461" s="29"/>
      <c r="D2461" s="29"/>
      <c r="E2461" s="29"/>
      <c r="F2461" s="29"/>
      <c r="G2461" s="30"/>
    </row>
    <row r="2462" spans="2:7" s="3" customFormat="1" hidden="1" outlineLevel="1" x14ac:dyDescent="0.25">
      <c r="B2462" s="217" t="s">
        <v>1176</v>
      </c>
      <c r="C2462" s="29"/>
      <c r="D2462" s="29"/>
      <c r="E2462" s="29"/>
      <c r="F2462" s="29"/>
      <c r="G2462" s="30"/>
    </row>
    <row r="2463" spans="2:7" s="3" customFormat="1" hidden="1" outlineLevel="1" x14ac:dyDescent="0.25">
      <c r="B2463" s="217" t="s">
        <v>1177</v>
      </c>
      <c r="C2463" s="29"/>
      <c r="D2463" s="29"/>
      <c r="E2463" s="29"/>
      <c r="F2463" s="29"/>
      <c r="G2463" s="30"/>
    </row>
    <row r="2464" spans="2:7" s="3" customFormat="1" hidden="1" outlineLevel="1" x14ac:dyDescent="0.25">
      <c r="B2464" s="217" t="s">
        <v>1178</v>
      </c>
      <c r="C2464" s="29"/>
      <c r="D2464" s="29"/>
      <c r="E2464" s="29"/>
      <c r="F2464" s="29"/>
      <c r="G2464" s="30"/>
    </row>
    <row r="2465" spans="1:10" s="3" customFormat="1" hidden="1" outlineLevel="1" x14ac:dyDescent="0.25">
      <c r="B2465" s="217"/>
      <c r="C2465" s="29"/>
      <c r="D2465" s="29"/>
      <c r="E2465" s="29"/>
      <c r="F2465" s="29"/>
      <c r="G2465" s="30"/>
    </row>
    <row r="2466" spans="1:10" s="3" customFormat="1" hidden="1" outlineLevel="1" x14ac:dyDescent="0.25">
      <c r="B2466" s="28"/>
      <c r="C2466" s="29"/>
      <c r="D2466" s="29"/>
      <c r="E2466" s="29"/>
      <c r="F2466" s="29"/>
      <c r="G2466" s="30"/>
    </row>
    <row r="2467" spans="1:10" hidden="1" outlineLevel="1" x14ac:dyDescent="0.25">
      <c r="B2467" s="46" t="s">
        <v>1179</v>
      </c>
    </row>
    <row r="2468" spans="1:10" s="3" customFormat="1" hidden="1" outlineLevel="1" x14ac:dyDescent="0.25">
      <c r="A2468" s="5"/>
      <c r="B2468" s="90" t="s">
        <v>1146</v>
      </c>
      <c r="C2468" s="20"/>
      <c r="D2468" s="20"/>
      <c r="E2468" s="20"/>
      <c r="F2468" s="20"/>
      <c r="G2468" s="22"/>
    </row>
    <row r="2469" spans="1:10" s="3" customFormat="1" hidden="1" outlineLevel="1" x14ac:dyDescent="0.25">
      <c r="A2469" s="5"/>
      <c r="B2469" s="90" t="s">
        <v>1180</v>
      </c>
      <c r="C2469" s="232"/>
      <c r="D2469" s="232"/>
      <c r="E2469" s="232"/>
      <c r="F2469" s="232"/>
      <c r="G2469" s="232"/>
    </row>
    <row r="2470" spans="1:10" s="3" customFormat="1" hidden="1" outlineLevel="1" x14ac:dyDescent="0.25">
      <c r="A2470" s="5"/>
      <c r="B2470" s="90" t="s">
        <v>1181</v>
      </c>
      <c r="C2470" s="232"/>
      <c r="D2470" s="232"/>
      <c r="E2470" s="232"/>
      <c r="F2470" s="232"/>
      <c r="G2470" s="232"/>
    </row>
    <row r="2471" spans="1:10" s="3" customFormat="1" hidden="1" outlineLevel="1" x14ac:dyDescent="0.25">
      <c r="B2471" s="28" t="s">
        <v>1182</v>
      </c>
      <c r="C2471" s="29"/>
      <c r="D2471" s="29"/>
      <c r="E2471" s="29"/>
      <c r="F2471" s="29"/>
      <c r="G2471" s="30"/>
    </row>
    <row r="2472" spans="1:10" hidden="1" outlineLevel="1" x14ac:dyDescent="0.25">
      <c r="B2472" s="115" t="s">
        <v>726</v>
      </c>
      <c r="C2472" s="23"/>
      <c r="D2472" s="23"/>
      <c r="E2472" s="23"/>
      <c r="F2472" s="23"/>
      <c r="G2472" s="24"/>
    </row>
    <row r="2473" spans="1:10" s="3" customFormat="1" hidden="1" outlineLevel="1" x14ac:dyDescent="0.25">
      <c r="A2473" s="5"/>
      <c r="B2473" s="115"/>
      <c r="C2473" s="20"/>
      <c r="D2473" s="20"/>
      <c r="E2473" s="20"/>
      <c r="F2473" s="20"/>
      <c r="G2473" s="22"/>
      <c r="J2473" s="55"/>
    </row>
    <row r="2474" spans="1:10" hidden="1" outlineLevel="1" x14ac:dyDescent="0.25">
      <c r="B2474" s="154" t="s">
        <v>1183</v>
      </c>
      <c r="C2474" s="155"/>
      <c r="D2474" s="23"/>
      <c r="E2474" s="155"/>
      <c r="F2474" s="23"/>
      <c r="G2474" s="24"/>
    </row>
    <row r="2475" spans="1:10" hidden="1" outlineLevel="1" x14ac:dyDescent="0.25">
      <c r="B2475" s="154"/>
      <c r="C2475" s="155"/>
      <c r="D2475" s="23"/>
      <c r="E2475" s="155"/>
      <c r="F2475" s="23"/>
      <c r="G2475" s="24"/>
    </row>
    <row r="2476" spans="1:10" s="3" customFormat="1" hidden="1" outlineLevel="1" x14ac:dyDescent="0.25">
      <c r="B2476" s="28"/>
      <c r="C2476" s="29"/>
      <c r="D2476" s="29"/>
      <c r="E2476" s="29"/>
      <c r="F2476" s="29"/>
      <c r="G2476" s="30"/>
    </row>
    <row r="2477" spans="1:10" s="3" customFormat="1" hidden="1" outlineLevel="1" x14ac:dyDescent="0.25">
      <c r="B2477" s="28"/>
      <c r="C2477" s="29"/>
      <c r="D2477" s="29"/>
      <c r="E2477" s="29"/>
      <c r="F2477" s="29"/>
      <c r="G2477" s="131"/>
    </row>
    <row r="2478" spans="1:10" s="3" customFormat="1" ht="16.2" hidden="1" outlineLevel="1" thickBot="1" x14ac:dyDescent="0.3">
      <c r="B2478" s="163"/>
      <c r="C2478" s="164"/>
      <c r="D2478" s="164"/>
      <c r="E2478" s="164"/>
      <c r="F2478" s="164"/>
      <c r="G2478" s="165"/>
    </row>
    <row r="2479" spans="1:10" s="3" customFormat="1" ht="17.399999999999999" hidden="1" customHeight="1" outlineLevel="1" x14ac:dyDescent="0.25"/>
    <row r="2480" spans="1:10" ht="16.2" hidden="1" outlineLevel="1" thickBot="1" x14ac:dyDescent="0.3"/>
    <row r="2481" spans="2:15" s="3" customFormat="1" ht="16.2" collapsed="1" thickBot="1" x14ac:dyDescent="0.3">
      <c r="B2481" s="15" t="s">
        <v>1279</v>
      </c>
      <c r="C2481" s="16" t="s">
        <v>2210</v>
      </c>
      <c r="D2481" s="17" t="s">
        <v>1281</v>
      </c>
      <c r="E2481" s="16" t="s">
        <v>1184</v>
      </c>
      <c r="F2481" s="17" t="s">
        <v>1282</v>
      </c>
      <c r="G2481" s="192" t="s">
        <v>2211</v>
      </c>
    </row>
    <row r="2482" spans="2:15" s="3" customFormat="1" hidden="1" outlineLevel="1" x14ac:dyDescent="0.25">
      <c r="B2482" s="179" t="s">
        <v>1284</v>
      </c>
      <c r="C2482" s="29" t="s">
        <v>1285</v>
      </c>
      <c r="D2482" s="180" t="s">
        <v>1286</v>
      </c>
      <c r="E2482" s="29" t="s">
        <v>2212</v>
      </c>
      <c r="F2482" s="180" t="s">
        <v>1288</v>
      </c>
      <c r="G2482" s="30"/>
    </row>
    <row r="2483" spans="2:15" s="3" customFormat="1" ht="16.2" hidden="1" outlineLevel="1" thickBot="1" x14ac:dyDescent="0.3">
      <c r="B2483" s="19" t="s">
        <v>1290</v>
      </c>
      <c r="C2483" s="23" t="s">
        <v>1291</v>
      </c>
      <c r="D2483" s="21" t="s">
        <v>1292</v>
      </c>
      <c r="E2483" s="23">
        <v>4</v>
      </c>
      <c r="F2483" s="21" t="s">
        <v>1293</v>
      </c>
      <c r="G2483" s="24" t="s">
        <v>1294</v>
      </c>
    </row>
    <row r="2484" spans="2:15" s="3" customFormat="1" hidden="1" outlineLevel="1" x14ac:dyDescent="0.25">
      <c r="B2484" s="395" t="s">
        <v>1</v>
      </c>
      <c r="C2484" s="396"/>
      <c r="D2484" s="396"/>
      <c r="E2484" s="396"/>
      <c r="F2484" s="396"/>
      <c r="G2484" s="397"/>
    </row>
    <row r="2485" spans="2:15" s="3" customFormat="1" hidden="1" outlineLevel="1" x14ac:dyDescent="0.25">
      <c r="B2485" s="179" t="s">
        <v>2</v>
      </c>
      <c r="C2485" s="180" t="s">
        <v>3</v>
      </c>
      <c r="D2485" s="180" t="s">
        <v>4</v>
      </c>
      <c r="E2485" s="180" t="s">
        <v>5</v>
      </c>
      <c r="F2485" s="180"/>
      <c r="G2485" s="181" t="s">
        <v>6</v>
      </c>
    </row>
    <row r="2486" spans="2:15" s="3" customFormat="1" hidden="1" outlineLevel="1" x14ac:dyDescent="0.25">
      <c r="B2486" s="28" t="s">
        <v>185</v>
      </c>
      <c r="C2486" s="29" t="s">
        <v>1604</v>
      </c>
      <c r="D2486" s="29" t="s">
        <v>1469</v>
      </c>
      <c r="E2486" s="29">
        <v>0</v>
      </c>
      <c r="F2486" s="29" t="s">
        <v>1470</v>
      </c>
      <c r="G2486" s="30"/>
      <c r="J2486" s="3" t="s">
        <v>10</v>
      </c>
      <c r="K2486" s="3" t="s">
        <v>173</v>
      </c>
      <c r="L2486" s="3" t="s">
        <v>436</v>
      </c>
      <c r="M2486" s="3" t="s">
        <v>9</v>
      </c>
      <c r="N2486" s="3">
        <v>2788</v>
      </c>
      <c r="O2486" s="3">
        <v>32</v>
      </c>
    </row>
    <row r="2487" spans="2:15" s="3" customFormat="1" hidden="1" outlineLevel="1" x14ac:dyDescent="0.25">
      <c r="B2487" s="28" t="s">
        <v>437</v>
      </c>
      <c r="C2487" s="29" t="s">
        <v>1830</v>
      </c>
      <c r="D2487" s="29" t="s">
        <v>1616</v>
      </c>
      <c r="E2487" s="29" t="s">
        <v>1594</v>
      </c>
      <c r="F2487" s="29" t="s">
        <v>1476</v>
      </c>
      <c r="G2487" s="30"/>
      <c r="J2487" s="3" t="s">
        <v>187</v>
      </c>
      <c r="K2487" s="3" t="s">
        <v>438</v>
      </c>
      <c r="L2487" s="3" t="s">
        <v>439</v>
      </c>
      <c r="M2487" s="3" t="s">
        <v>187</v>
      </c>
      <c r="N2487" s="3">
        <v>1443</v>
      </c>
      <c r="O2487" s="3">
        <v>2</v>
      </c>
    </row>
    <row r="2488" spans="2:15" s="3" customFormat="1" hidden="1" outlineLevel="1" x14ac:dyDescent="0.25">
      <c r="B2488" s="28" t="s">
        <v>112</v>
      </c>
      <c r="C2488" s="29" t="s">
        <v>1555</v>
      </c>
      <c r="D2488" s="29" t="s">
        <v>1469</v>
      </c>
      <c r="E2488" s="29">
        <v>0</v>
      </c>
      <c r="F2488" s="29" t="s">
        <v>1470</v>
      </c>
      <c r="G2488" s="30" t="s">
        <v>1556</v>
      </c>
      <c r="J2488" s="3" t="s">
        <v>10</v>
      </c>
      <c r="K2488" s="3" t="s">
        <v>173</v>
      </c>
      <c r="L2488" s="3" t="s">
        <v>436</v>
      </c>
      <c r="M2488" s="3" t="s">
        <v>9</v>
      </c>
      <c r="N2488" s="3">
        <v>1827</v>
      </c>
      <c r="O2488" s="3">
        <v>32</v>
      </c>
    </row>
    <row r="2489" spans="2:15" s="3" customFormat="1" hidden="1" outlineLevel="1" x14ac:dyDescent="0.25">
      <c r="B2489" s="28" t="s">
        <v>7</v>
      </c>
      <c r="C2489" s="29" t="s">
        <v>1468</v>
      </c>
      <c r="D2489" s="29" t="s">
        <v>1469</v>
      </c>
      <c r="E2489" s="29">
        <v>0</v>
      </c>
      <c r="F2489" s="29" t="s">
        <v>1470</v>
      </c>
      <c r="G2489" s="30" t="s">
        <v>1471</v>
      </c>
      <c r="J2489" s="3" t="s">
        <v>10</v>
      </c>
      <c r="K2489" s="3" t="s">
        <v>173</v>
      </c>
      <c r="L2489" s="3" t="s">
        <v>436</v>
      </c>
      <c r="M2489" s="3" t="s">
        <v>9</v>
      </c>
      <c r="N2489" s="3">
        <v>1228</v>
      </c>
      <c r="O2489" s="3">
        <v>32</v>
      </c>
    </row>
    <row r="2490" spans="2:15" s="3" customFormat="1" hidden="1" outlineLevel="1" x14ac:dyDescent="0.25">
      <c r="B2490" s="28" t="s">
        <v>11</v>
      </c>
      <c r="C2490" s="29" t="s">
        <v>1472</v>
      </c>
      <c r="D2490" s="29" t="s">
        <v>1469</v>
      </c>
      <c r="E2490" s="29">
        <v>0</v>
      </c>
      <c r="F2490" s="29" t="s">
        <v>1470</v>
      </c>
      <c r="G2490" s="30" t="s">
        <v>1473</v>
      </c>
      <c r="J2490" s="3" t="s">
        <v>10</v>
      </c>
      <c r="K2490" s="3" t="s">
        <v>173</v>
      </c>
      <c r="L2490" s="3" t="s">
        <v>436</v>
      </c>
      <c r="M2490" s="3" t="s">
        <v>9</v>
      </c>
      <c r="N2490" s="3">
        <v>1961</v>
      </c>
      <c r="O2490" s="3">
        <v>32</v>
      </c>
    </row>
    <row r="2491" spans="2:15" s="3" customFormat="1" hidden="1" outlineLevel="1" x14ac:dyDescent="0.25">
      <c r="B2491" s="28" t="s">
        <v>188</v>
      </c>
      <c r="C2491" s="29" t="s">
        <v>1607</v>
      </c>
      <c r="D2491" s="29" t="s">
        <v>1606</v>
      </c>
      <c r="E2491" s="29" t="s">
        <v>1594</v>
      </c>
      <c r="F2491" s="29"/>
      <c r="G2491" s="30"/>
      <c r="J2491" s="3" t="s">
        <v>187</v>
      </c>
      <c r="K2491" s="3" t="s">
        <v>438</v>
      </c>
      <c r="L2491" s="3" t="s">
        <v>439</v>
      </c>
      <c r="M2491" s="3" t="s">
        <v>187</v>
      </c>
      <c r="N2491" s="3">
        <v>2538</v>
      </c>
      <c r="O2491" s="3">
        <v>2048</v>
      </c>
    </row>
    <row r="2492" spans="2:15" s="3" customFormat="1" hidden="1" outlineLevel="1" x14ac:dyDescent="0.25">
      <c r="B2492" s="28" t="s">
        <v>15</v>
      </c>
      <c r="C2492" s="29" t="s">
        <v>1478</v>
      </c>
      <c r="D2492" s="29" t="s">
        <v>1469</v>
      </c>
      <c r="E2492" s="29">
        <v>0</v>
      </c>
      <c r="F2492" s="29" t="s">
        <v>1470</v>
      </c>
      <c r="G2492" s="30"/>
      <c r="J2492" s="3" t="s">
        <v>10</v>
      </c>
      <c r="K2492" s="3" t="s">
        <v>173</v>
      </c>
      <c r="L2492" s="3" t="s">
        <v>436</v>
      </c>
      <c r="M2492" s="3" t="s">
        <v>9</v>
      </c>
      <c r="N2492" s="3">
        <v>2929</v>
      </c>
      <c r="O2492" s="3">
        <v>32</v>
      </c>
    </row>
    <row r="2493" spans="2:15" s="3" customFormat="1" hidden="1" outlineLevel="1" x14ac:dyDescent="0.25">
      <c r="B2493" s="28" t="s">
        <v>186</v>
      </c>
      <c r="C2493" s="29" t="s">
        <v>1605</v>
      </c>
      <c r="D2493" s="29" t="s">
        <v>1606</v>
      </c>
      <c r="E2493" s="29" t="s">
        <v>1594</v>
      </c>
      <c r="F2493" s="29"/>
      <c r="G2493" s="30"/>
      <c r="J2493" s="3" t="s">
        <v>187</v>
      </c>
      <c r="K2493" s="3" t="s">
        <v>438</v>
      </c>
      <c r="L2493" s="3" t="s">
        <v>439</v>
      </c>
      <c r="M2493" s="3" t="s">
        <v>187</v>
      </c>
      <c r="N2493" s="3">
        <v>2938</v>
      </c>
      <c r="O2493" s="3">
        <v>2048</v>
      </c>
    </row>
    <row r="2494" spans="2:15" s="3" customFormat="1" hidden="1" outlineLevel="1" x14ac:dyDescent="0.25">
      <c r="B2494" s="28" t="s">
        <v>191</v>
      </c>
      <c r="C2494" s="29" t="s">
        <v>1611</v>
      </c>
      <c r="D2494" s="29" t="s">
        <v>1567</v>
      </c>
      <c r="E2494" s="29">
        <v>0</v>
      </c>
      <c r="F2494" s="29" t="s">
        <v>1470</v>
      </c>
      <c r="G2494" s="30" t="s">
        <v>1612</v>
      </c>
      <c r="J2494" s="3" t="s">
        <v>12</v>
      </c>
      <c r="K2494" s="3" t="s">
        <v>174</v>
      </c>
      <c r="L2494" s="3" t="s">
        <v>314</v>
      </c>
      <c r="M2494" s="3" t="s">
        <v>176</v>
      </c>
      <c r="N2494" s="3">
        <v>3009</v>
      </c>
      <c r="O2494" s="3">
        <v>64</v>
      </c>
    </row>
    <row r="2495" spans="2:15" s="3" customFormat="1" hidden="1" outlineLevel="1" x14ac:dyDescent="0.25">
      <c r="B2495" s="28" t="s">
        <v>440</v>
      </c>
      <c r="C2495" s="29" t="s">
        <v>1831</v>
      </c>
      <c r="D2495" s="29" t="s">
        <v>1469</v>
      </c>
      <c r="E2495" s="29">
        <v>0</v>
      </c>
      <c r="F2495" s="29" t="s">
        <v>1470</v>
      </c>
      <c r="G2495" s="30"/>
      <c r="J2495" s="3" t="s">
        <v>10</v>
      </c>
      <c r="K2495" s="3" t="s">
        <v>173</v>
      </c>
      <c r="L2495" s="3" t="s">
        <v>436</v>
      </c>
      <c r="M2495" s="3" t="s">
        <v>9</v>
      </c>
      <c r="N2495" s="3">
        <v>2986</v>
      </c>
      <c r="O2495" s="3">
        <v>32</v>
      </c>
    </row>
    <row r="2496" spans="2:15" s="3" customFormat="1" hidden="1" outlineLevel="1" x14ac:dyDescent="0.25">
      <c r="B2496" s="28" t="s">
        <v>441</v>
      </c>
      <c r="C2496" s="29" t="s">
        <v>1832</v>
      </c>
      <c r="D2496" s="29" t="s">
        <v>1469</v>
      </c>
      <c r="E2496" s="29">
        <v>0</v>
      </c>
      <c r="F2496" s="29" t="s">
        <v>1470</v>
      </c>
      <c r="G2496" s="30" t="s">
        <v>1833</v>
      </c>
    </row>
    <row r="2497" spans="1:15" s="3" customFormat="1" hidden="1" outlineLevel="1" x14ac:dyDescent="0.25">
      <c r="B2497" s="28" t="s">
        <v>189</v>
      </c>
      <c r="C2497" s="29" t="s">
        <v>1608</v>
      </c>
      <c r="D2497" s="29" t="s">
        <v>1609</v>
      </c>
      <c r="E2497" s="29" t="s">
        <v>1594</v>
      </c>
      <c r="F2497" s="29"/>
      <c r="G2497" s="30"/>
      <c r="J2497" s="3" t="s">
        <v>187</v>
      </c>
      <c r="K2497" s="3" t="s">
        <v>438</v>
      </c>
      <c r="L2497" s="3" t="s">
        <v>439</v>
      </c>
      <c r="M2497" s="3" t="s">
        <v>187</v>
      </c>
      <c r="N2497" s="3">
        <v>1450</v>
      </c>
      <c r="O2497" s="3">
        <v>64</v>
      </c>
    </row>
    <row r="2498" spans="1:15" s="3" customFormat="1" hidden="1" outlineLevel="1" x14ac:dyDescent="0.25">
      <c r="B2498" s="185" t="s">
        <v>194</v>
      </c>
      <c r="C2498" s="29" t="s">
        <v>1618</v>
      </c>
      <c r="D2498" s="29" t="s">
        <v>1469</v>
      </c>
      <c r="E2498" s="29">
        <v>0</v>
      </c>
      <c r="F2498" s="29"/>
      <c r="G2498" s="30" t="s">
        <v>1619</v>
      </c>
      <c r="J2498" s="3" t="s">
        <v>10</v>
      </c>
      <c r="K2498" s="3" t="s">
        <v>173</v>
      </c>
      <c r="L2498" s="3" t="s">
        <v>436</v>
      </c>
      <c r="M2498" s="3" t="s">
        <v>9</v>
      </c>
      <c r="N2498" s="3">
        <v>3169</v>
      </c>
      <c r="O2498" s="3">
        <v>32</v>
      </c>
    </row>
    <row r="2499" spans="1:15" s="3" customFormat="1" hidden="1" outlineLevel="1" x14ac:dyDescent="0.25">
      <c r="B2499" s="185" t="s">
        <v>195</v>
      </c>
      <c r="C2499" s="29" t="s">
        <v>1620</v>
      </c>
      <c r="D2499" s="29" t="s">
        <v>1469</v>
      </c>
      <c r="E2499" s="29">
        <v>0</v>
      </c>
      <c r="F2499" s="29"/>
      <c r="G2499" s="30" t="s">
        <v>1621</v>
      </c>
      <c r="J2499" s="3" t="s">
        <v>10</v>
      </c>
      <c r="K2499" s="3" t="s">
        <v>173</v>
      </c>
      <c r="L2499" s="3" t="s">
        <v>436</v>
      </c>
      <c r="M2499" s="3" t="s">
        <v>9</v>
      </c>
      <c r="N2499" s="3">
        <v>3168</v>
      </c>
      <c r="O2499" s="3">
        <v>32</v>
      </c>
    </row>
    <row r="2500" spans="1:15" s="3" customFormat="1" hidden="1" outlineLevel="1" x14ac:dyDescent="0.25">
      <c r="B2500" s="28" t="s">
        <v>128</v>
      </c>
      <c r="C2500" s="29" t="s">
        <v>1566</v>
      </c>
      <c r="D2500" s="29" t="s">
        <v>1567</v>
      </c>
      <c r="E2500" s="29">
        <v>0</v>
      </c>
      <c r="F2500" s="29" t="s">
        <v>1470</v>
      </c>
      <c r="G2500" s="30"/>
      <c r="J2500" s="3" t="s">
        <v>12</v>
      </c>
      <c r="K2500" s="3" t="s">
        <v>174</v>
      </c>
      <c r="L2500" s="3" t="s">
        <v>314</v>
      </c>
      <c r="M2500" s="3" t="s">
        <v>176</v>
      </c>
      <c r="N2500" s="3">
        <v>1866</v>
      </c>
      <c r="O2500" s="3">
        <v>64</v>
      </c>
    </row>
    <row r="2501" spans="1:15" s="3" customFormat="1" hidden="1" outlineLevel="1" x14ac:dyDescent="0.25">
      <c r="B2501" s="28" t="s">
        <v>114</v>
      </c>
      <c r="C2501" s="29" t="s">
        <v>1557</v>
      </c>
      <c r="D2501" s="29" t="s">
        <v>1469</v>
      </c>
      <c r="E2501" s="29">
        <v>-1</v>
      </c>
      <c r="F2501" s="29" t="s">
        <v>1470</v>
      </c>
      <c r="G2501" s="30"/>
      <c r="J2501" s="3" t="s">
        <v>10</v>
      </c>
      <c r="K2501" s="3" t="s">
        <v>173</v>
      </c>
      <c r="L2501" s="3" t="s">
        <v>442</v>
      </c>
      <c r="M2501" s="3" t="s">
        <v>9</v>
      </c>
      <c r="N2501" s="3">
        <v>2958</v>
      </c>
      <c r="O2501" s="3">
        <v>32</v>
      </c>
    </row>
    <row r="2502" spans="1:15" s="3" customFormat="1" hidden="1" outlineLevel="1" x14ac:dyDescent="0.25">
      <c r="B2502" s="28" t="s">
        <v>192</v>
      </c>
      <c r="C2502" s="29" t="s">
        <v>1613</v>
      </c>
      <c r="D2502" s="29" t="s">
        <v>1469</v>
      </c>
      <c r="E2502" s="29">
        <v>1</v>
      </c>
      <c r="F2502" s="29" t="s">
        <v>1470</v>
      </c>
      <c r="G2502" s="30" t="s">
        <v>1614</v>
      </c>
      <c r="J2502" s="3" t="s">
        <v>10</v>
      </c>
      <c r="K2502" s="3" t="s">
        <v>173</v>
      </c>
      <c r="L2502" s="3" t="s">
        <v>436</v>
      </c>
      <c r="M2502" s="3" t="s">
        <v>9</v>
      </c>
      <c r="N2502" s="3">
        <v>2289</v>
      </c>
      <c r="O2502" s="3">
        <v>32</v>
      </c>
    </row>
    <row r="2503" spans="1:15" s="3" customFormat="1" hidden="1" outlineLevel="1" x14ac:dyDescent="0.25">
      <c r="B2503" s="185" t="s">
        <v>443</v>
      </c>
      <c r="C2503" s="23" t="s">
        <v>1834</v>
      </c>
      <c r="D2503" s="23" t="s">
        <v>1632</v>
      </c>
      <c r="E2503" s="23" t="s">
        <v>1594</v>
      </c>
      <c r="F2503" s="23"/>
      <c r="G2503" s="24"/>
    </row>
    <row r="2504" spans="1:15" s="3" customFormat="1" hidden="1" outlineLevel="1" x14ac:dyDescent="0.25">
      <c r="A2504" s="5"/>
      <c r="B2504" s="31" t="s">
        <v>162</v>
      </c>
      <c r="C2504" s="20" t="s">
        <v>1589</v>
      </c>
      <c r="D2504" s="20" t="s">
        <v>1469</v>
      </c>
      <c r="E2504" s="20">
        <v>0</v>
      </c>
      <c r="F2504" s="20"/>
      <c r="G2504" s="22" t="s">
        <v>1590</v>
      </c>
    </row>
    <row r="2505" spans="1:15" s="3" customFormat="1" hidden="1" outlineLevel="1" x14ac:dyDescent="0.25">
      <c r="A2505" s="5"/>
      <c r="B2505" s="31" t="s">
        <v>163</v>
      </c>
      <c r="C2505" s="20" t="s">
        <v>1591</v>
      </c>
      <c r="D2505" s="20" t="s">
        <v>1469</v>
      </c>
      <c r="E2505" s="20">
        <v>0</v>
      </c>
      <c r="F2505" s="20"/>
      <c r="G2505" s="22" t="s">
        <v>1590</v>
      </c>
    </row>
    <row r="2506" spans="1:15" s="3" customFormat="1" ht="16.2" hidden="1" outlineLevel="1" thickBot="1" x14ac:dyDescent="0.3">
      <c r="B2506" s="163"/>
      <c r="C2506" s="164"/>
      <c r="D2506" s="164"/>
      <c r="E2506" s="164"/>
      <c r="F2506" s="164"/>
      <c r="G2506" s="165"/>
    </row>
    <row r="2507" spans="1:15" s="3" customFormat="1" hidden="1" outlineLevel="1" x14ac:dyDescent="0.25">
      <c r="B2507" s="398" t="s">
        <v>18</v>
      </c>
      <c r="C2507" s="399"/>
      <c r="D2507" s="399"/>
      <c r="E2507" s="399"/>
      <c r="F2507" s="399"/>
      <c r="G2507" s="400"/>
    </row>
    <row r="2508" spans="1:15" s="3" customFormat="1" hidden="1" outlineLevel="1" x14ac:dyDescent="0.25">
      <c r="B2508" s="179" t="s">
        <v>2</v>
      </c>
      <c r="C2508" s="180" t="s">
        <v>3</v>
      </c>
      <c r="D2508" s="180" t="s">
        <v>4</v>
      </c>
      <c r="E2508" s="180" t="s">
        <v>5</v>
      </c>
      <c r="F2508" s="180"/>
      <c r="G2508" s="181" t="s">
        <v>6</v>
      </c>
    </row>
    <row r="2509" spans="1:15" s="3" customFormat="1" hidden="1" outlineLevel="1" x14ac:dyDescent="0.25">
      <c r="B2509" s="185" t="s">
        <v>128</v>
      </c>
      <c r="C2509" s="23" t="s">
        <v>1566</v>
      </c>
      <c r="D2509" s="23" t="s">
        <v>1567</v>
      </c>
      <c r="E2509" s="23">
        <v>0</v>
      </c>
      <c r="F2509" s="23" t="s">
        <v>1470</v>
      </c>
      <c r="G2509" s="24"/>
      <c r="J2509" s="3" t="s">
        <v>12</v>
      </c>
      <c r="K2509" s="3" t="s">
        <v>174</v>
      </c>
      <c r="L2509" s="3" t="s">
        <v>314</v>
      </c>
      <c r="M2509" s="3" t="s">
        <v>176</v>
      </c>
      <c r="N2509" s="3">
        <v>1866</v>
      </c>
      <c r="O2509" s="3">
        <v>64</v>
      </c>
    </row>
    <row r="2510" spans="1:15" s="3" customFormat="1" hidden="1" outlineLevel="1" x14ac:dyDescent="0.25">
      <c r="B2510" s="185" t="s">
        <v>25</v>
      </c>
      <c r="C2510" s="23" t="s">
        <v>1492</v>
      </c>
      <c r="D2510" s="23" t="s">
        <v>1469</v>
      </c>
      <c r="E2510" s="23">
        <v>0</v>
      </c>
      <c r="F2510" s="23" t="s">
        <v>1470</v>
      </c>
      <c r="G2510" s="24" t="s">
        <v>1484</v>
      </c>
    </row>
    <row r="2511" spans="1:15" s="3" customFormat="1" hidden="1" outlineLevel="1" x14ac:dyDescent="0.25">
      <c r="B2511" s="28" t="s">
        <v>16</v>
      </c>
      <c r="C2511" s="29" t="s">
        <v>1479</v>
      </c>
      <c r="D2511" s="29" t="s">
        <v>1469</v>
      </c>
      <c r="E2511" s="29" t="s">
        <v>1480</v>
      </c>
      <c r="F2511" s="29" t="s">
        <v>1481</v>
      </c>
      <c r="G2511" s="30" t="s">
        <v>1482</v>
      </c>
      <c r="J2511" s="3" t="s">
        <v>10</v>
      </c>
      <c r="K2511" s="3" t="s">
        <v>173</v>
      </c>
      <c r="L2511" s="3" t="s">
        <v>436</v>
      </c>
      <c r="M2511" s="3" t="s">
        <v>9</v>
      </c>
      <c r="N2511" s="3">
        <v>1339</v>
      </c>
      <c r="O2511" s="3">
        <v>32</v>
      </c>
    </row>
    <row r="2512" spans="1:15" s="3" customFormat="1" hidden="1" outlineLevel="1" x14ac:dyDescent="0.25">
      <c r="B2512" s="28" t="s">
        <v>112</v>
      </c>
      <c r="C2512" s="29" t="s">
        <v>1555</v>
      </c>
      <c r="D2512" s="29" t="s">
        <v>1469</v>
      </c>
      <c r="E2512" s="29">
        <v>0</v>
      </c>
      <c r="F2512" s="29" t="s">
        <v>1470</v>
      </c>
      <c r="G2512" s="30" t="s">
        <v>1556</v>
      </c>
      <c r="J2512" s="3" t="s">
        <v>10</v>
      </c>
      <c r="K2512" s="3" t="s">
        <v>173</v>
      </c>
      <c r="L2512" s="3" t="s">
        <v>436</v>
      </c>
      <c r="M2512" s="3" t="s">
        <v>9</v>
      </c>
      <c r="N2512" s="3">
        <v>1827</v>
      </c>
      <c r="O2512" s="3">
        <v>32</v>
      </c>
    </row>
    <row r="2513" spans="2:15" s="3" customFormat="1" hidden="1" outlineLevel="1" x14ac:dyDescent="0.25">
      <c r="B2513" s="28" t="s">
        <v>7</v>
      </c>
      <c r="C2513" s="29" t="s">
        <v>1468</v>
      </c>
      <c r="D2513" s="29" t="s">
        <v>1469</v>
      </c>
      <c r="E2513" s="29">
        <v>0</v>
      </c>
      <c r="F2513" s="29" t="s">
        <v>1470</v>
      </c>
      <c r="G2513" s="30" t="s">
        <v>1471</v>
      </c>
      <c r="J2513" s="3" t="s">
        <v>10</v>
      </c>
      <c r="K2513" s="3" t="s">
        <v>173</v>
      </c>
      <c r="L2513" s="3" t="s">
        <v>436</v>
      </c>
      <c r="M2513" s="3" t="s">
        <v>9</v>
      </c>
      <c r="N2513" s="3">
        <v>1228</v>
      </c>
      <c r="O2513" s="3">
        <v>32</v>
      </c>
    </row>
    <row r="2514" spans="2:15" s="3" customFormat="1" hidden="1" outlineLevel="1" x14ac:dyDescent="0.25">
      <c r="B2514" s="28" t="s">
        <v>11</v>
      </c>
      <c r="C2514" s="29" t="s">
        <v>1472</v>
      </c>
      <c r="D2514" s="29" t="s">
        <v>1469</v>
      </c>
      <c r="E2514" s="29">
        <v>0</v>
      </c>
      <c r="F2514" s="29" t="s">
        <v>1470</v>
      </c>
      <c r="G2514" s="30" t="s">
        <v>1473</v>
      </c>
      <c r="J2514" s="3" t="s">
        <v>10</v>
      </c>
      <c r="K2514" s="3" t="s">
        <v>173</v>
      </c>
      <c r="L2514" s="3" t="s">
        <v>436</v>
      </c>
      <c r="M2514" s="3" t="s">
        <v>9</v>
      </c>
      <c r="N2514" s="3">
        <v>1961</v>
      </c>
      <c r="O2514" s="3">
        <v>32</v>
      </c>
    </row>
    <row r="2515" spans="2:15" s="3" customFormat="1" hidden="1" outlineLevel="1" x14ac:dyDescent="0.25">
      <c r="B2515" s="28" t="s">
        <v>13</v>
      </c>
      <c r="C2515" s="29" t="s">
        <v>1474</v>
      </c>
      <c r="D2515" s="29" t="s">
        <v>1469</v>
      </c>
      <c r="E2515" s="29">
        <v>0</v>
      </c>
      <c r="F2515" s="29" t="s">
        <v>1470</v>
      </c>
      <c r="G2515" s="30"/>
      <c r="J2515" s="3" t="s">
        <v>10</v>
      </c>
      <c r="K2515" s="3" t="s">
        <v>173</v>
      </c>
      <c r="L2515" s="3" t="s">
        <v>436</v>
      </c>
      <c r="M2515" s="3" t="s">
        <v>9</v>
      </c>
      <c r="N2515" s="3">
        <v>3050</v>
      </c>
      <c r="O2515" s="3">
        <v>32</v>
      </c>
    </row>
    <row r="2516" spans="2:15" s="3" customFormat="1" hidden="1" outlineLevel="1" x14ac:dyDescent="0.25">
      <c r="B2516" s="28" t="s">
        <v>197</v>
      </c>
      <c r="C2516" s="29" t="s">
        <v>1624</v>
      </c>
      <c r="D2516" s="29" t="s">
        <v>1469</v>
      </c>
      <c r="E2516" s="29">
        <v>0</v>
      </c>
      <c r="F2516" s="29" t="s">
        <v>1470</v>
      </c>
      <c r="G2516" s="30" t="s">
        <v>1625</v>
      </c>
      <c r="J2516" s="3" t="s">
        <v>10</v>
      </c>
      <c r="K2516" s="3" t="s">
        <v>173</v>
      </c>
      <c r="L2516" s="3" t="s">
        <v>436</v>
      </c>
      <c r="M2516" s="3" t="s">
        <v>9</v>
      </c>
      <c r="N2516" s="3">
        <v>2609</v>
      </c>
      <c r="O2516" s="3">
        <v>32</v>
      </c>
    </row>
    <row r="2517" spans="2:15" s="3" customFormat="1" hidden="1" outlineLevel="1" x14ac:dyDescent="0.25">
      <c r="B2517" s="28" t="s">
        <v>387</v>
      </c>
      <c r="C2517" s="29" t="s">
        <v>1785</v>
      </c>
      <c r="D2517" s="29" t="s">
        <v>1632</v>
      </c>
      <c r="E2517" s="29" t="s">
        <v>1594</v>
      </c>
      <c r="F2517" s="29" t="s">
        <v>1470</v>
      </c>
      <c r="G2517" s="30"/>
      <c r="J2517" s="3" t="s">
        <v>187</v>
      </c>
      <c r="K2517" s="3" t="s">
        <v>438</v>
      </c>
      <c r="L2517" s="3" t="s">
        <v>439</v>
      </c>
      <c r="M2517" s="3" t="s">
        <v>187</v>
      </c>
      <c r="N2517" s="3">
        <v>2696</v>
      </c>
      <c r="O2517" s="3">
        <v>32</v>
      </c>
    </row>
    <row r="2518" spans="2:15" s="3" customFormat="1" hidden="1" outlineLevel="1" x14ac:dyDescent="0.25">
      <c r="B2518" s="28" t="s">
        <v>14</v>
      </c>
      <c r="C2518" s="29" t="s">
        <v>1475</v>
      </c>
      <c r="D2518" s="29" t="s">
        <v>1469</v>
      </c>
      <c r="E2518" s="29">
        <v>0</v>
      </c>
      <c r="F2518" s="29" t="s">
        <v>1476</v>
      </c>
      <c r="G2518" s="30" t="s">
        <v>1477</v>
      </c>
      <c r="J2518" s="3" t="s">
        <v>10</v>
      </c>
      <c r="K2518" s="3" t="s">
        <v>173</v>
      </c>
      <c r="L2518" s="3" t="s">
        <v>436</v>
      </c>
      <c r="M2518" s="3" t="s">
        <v>9</v>
      </c>
      <c r="N2518" s="3">
        <v>2537</v>
      </c>
      <c r="O2518" s="3">
        <v>32</v>
      </c>
    </row>
    <row r="2519" spans="2:15" s="3" customFormat="1" hidden="1" outlineLevel="1" x14ac:dyDescent="0.25">
      <c r="B2519" s="28" t="s">
        <v>202</v>
      </c>
      <c r="C2519" s="29" t="s">
        <v>1634</v>
      </c>
      <c r="D2519" s="29" t="s">
        <v>1469</v>
      </c>
      <c r="E2519" s="29">
        <v>0</v>
      </c>
      <c r="F2519" s="29" t="s">
        <v>1470</v>
      </c>
      <c r="G2519" s="30"/>
      <c r="J2519" s="3" t="s">
        <v>10</v>
      </c>
      <c r="K2519" s="3" t="s">
        <v>173</v>
      </c>
      <c r="L2519" s="3" t="s">
        <v>436</v>
      </c>
      <c r="M2519" s="3" t="s">
        <v>9</v>
      </c>
      <c r="N2519" s="3">
        <v>1696</v>
      </c>
      <c r="O2519" s="3">
        <v>32</v>
      </c>
    </row>
    <row r="2520" spans="2:15" s="3" customFormat="1" hidden="1" outlineLevel="1" x14ac:dyDescent="0.25">
      <c r="B2520" s="28" t="s">
        <v>15</v>
      </c>
      <c r="C2520" s="29" t="s">
        <v>1478</v>
      </c>
      <c r="D2520" s="29" t="s">
        <v>1469</v>
      </c>
      <c r="E2520" s="29">
        <v>0</v>
      </c>
      <c r="F2520" s="29" t="s">
        <v>1470</v>
      </c>
      <c r="G2520" s="30"/>
      <c r="J2520" s="3" t="s">
        <v>10</v>
      </c>
      <c r="K2520" s="3" t="s">
        <v>173</v>
      </c>
      <c r="L2520" s="3" t="s">
        <v>436</v>
      </c>
      <c r="M2520" s="3" t="s">
        <v>9</v>
      </c>
      <c r="N2520" s="3">
        <v>2929</v>
      </c>
      <c r="O2520" s="3">
        <v>32</v>
      </c>
    </row>
    <row r="2521" spans="2:15" s="3" customFormat="1" hidden="1" outlineLevel="1" x14ac:dyDescent="0.25">
      <c r="B2521" s="28" t="s">
        <v>87</v>
      </c>
      <c r="C2521" s="29" t="s">
        <v>1535</v>
      </c>
      <c r="D2521" s="29" t="s">
        <v>1469</v>
      </c>
      <c r="E2521" s="29">
        <v>0</v>
      </c>
      <c r="F2521" s="29" t="s">
        <v>1476</v>
      </c>
      <c r="G2521" s="30"/>
      <c r="J2521" s="3" t="s">
        <v>10</v>
      </c>
      <c r="K2521" s="3" t="s">
        <v>173</v>
      </c>
      <c r="L2521" s="3" t="s">
        <v>436</v>
      </c>
      <c r="M2521" s="3" t="s">
        <v>9</v>
      </c>
      <c r="N2521" s="3">
        <v>2937</v>
      </c>
      <c r="O2521" s="3">
        <v>32</v>
      </c>
    </row>
    <row r="2522" spans="2:15" s="3" customFormat="1" hidden="1" outlineLevel="1" x14ac:dyDescent="0.25">
      <c r="B2522" s="28" t="s">
        <v>191</v>
      </c>
      <c r="C2522" s="29" t="s">
        <v>1611</v>
      </c>
      <c r="D2522" s="29" t="s">
        <v>1567</v>
      </c>
      <c r="E2522" s="29">
        <v>0</v>
      </c>
      <c r="F2522" s="29" t="s">
        <v>1470</v>
      </c>
      <c r="G2522" s="30" t="s">
        <v>1612</v>
      </c>
      <c r="J2522" s="3" t="s">
        <v>12</v>
      </c>
      <c r="K2522" s="3" t="s">
        <v>174</v>
      </c>
      <c r="L2522" s="3" t="s">
        <v>314</v>
      </c>
      <c r="M2522" s="3" t="s">
        <v>176</v>
      </c>
      <c r="N2522" s="3">
        <v>3009</v>
      </c>
      <c r="O2522" s="3">
        <v>64</v>
      </c>
    </row>
    <row r="2523" spans="2:15" s="3" customFormat="1" hidden="1" outlineLevel="1" x14ac:dyDescent="0.25">
      <c r="B2523" s="28" t="s">
        <v>440</v>
      </c>
      <c r="C2523" s="29" t="s">
        <v>1831</v>
      </c>
      <c r="D2523" s="29" t="s">
        <v>1469</v>
      </c>
      <c r="E2523" s="29">
        <v>0</v>
      </c>
      <c r="F2523" s="29" t="s">
        <v>1470</v>
      </c>
      <c r="G2523" s="30"/>
      <c r="J2523" s="3" t="s">
        <v>10</v>
      </c>
      <c r="K2523" s="3" t="s">
        <v>173</v>
      </c>
      <c r="L2523" s="3" t="s">
        <v>436</v>
      </c>
      <c r="M2523" s="3" t="s">
        <v>9</v>
      </c>
      <c r="N2523" s="3">
        <v>2986</v>
      </c>
      <c r="O2523" s="3">
        <v>32</v>
      </c>
    </row>
    <row r="2524" spans="2:15" s="3" customFormat="1" hidden="1" outlineLevel="1" x14ac:dyDescent="0.25">
      <c r="B2524" s="28" t="s">
        <v>208</v>
      </c>
      <c r="C2524" s="29" t="s">
        <v>1646</v>
      </c>
      <c r="D2524" s="29" t="s">
        <v>1469</v>
      </c>
      <c r="E2524" s="29" t="s">
        <v>1480</v>
      </c>
      <c r="F2524" s="29" t="s">
        <v>1481</v>
      </c>
      <c r="G2524" s="30" t="s">
        <v>1647</v>
      </c>
      <c r="J2524" s="3" t="s">
        <v>10</v>
      </c>
      <c r="K2524" s="3" t="s">
        <v>173</v>
      </c>
      <c r="L2524" s="3" t="s">
        <v>436</v>
      </c>
      <c r="M2524" s="3" t="s">
        <v>9</v>
      </c>
      <c r="N2524" s="3">
        <v>1310</v>
      </c>
      <c r="O2524" s="3">
        <v>32</v>
      </c>
    </row>
    <row r="2525" spans="2:15" s="3" customFormat="1" hidden="1" outlineLevel="1" x14ac:dyDescent="0.25">
      <c r="B2525" s="28" t="s">
        <v>209</v>
      </c>
      <c r="C2525" s="29" t="s">
        <v>1648</v>
      </c>
      <c r="D2525" s="29" t="s">
        <v>1469</v>
      </c>
      <c r="E2525" s="29" t="s">
        <v>1549</v>
      </c>
      <c r="F2525" s="29" t="s">
        <v>1481</v>
      </c>
      <c r="G2525" s="30" t="s">
        <v>1649</v>
      </c>
      <c r="J2525" s="3" t="s">
        <v>10</v>
      </c>
      <c r="K2525" s="3" t="s">
        <v>173</v>
      </c>
      <c r="L2525" s="3" t="s">
        <v>436</v>
      </c>
      <c r="M2525" s="3" t="s">
        <v>9</v>
      </c>
      <c r="N2525" s="3">
        <v>1311</v>
      </c>
      <c r="O2525" s="3">
        <v>32</v>
      </c>
    </row>
    <row r="2526" spans="2:15" s="3" customFormat="1" hidden="1" outlineLevel="1" x14ac:dyDescent="0.25">
      <c r="B2526" s="28" t="s">
        <v>211</v>
      </c>
      <c r="C2526" s="29" t="s">
        <v>1651</v>
      </c>
      <c r="D2526" s="29" t="s">
        <v>1652</v>
      </c>
      <c r="E2526" s="29" t="s">
        <v>1594</v>
      </c>
      <c r="F2526" s="29" t="s">
        <v>1470</v>
      </c>
      <c r="G2526" s="30" t="s">
        <v>1653</v>
      </c>
      <c r="J2526" s="3" t="s">
        <v>10</v>
      </c>
      <c r="K2526" s="3" t="s">
        <v>173</v>
      </c>
      <c r="L2526" s="3" t="s">
        <v>436</v>
      </c>
      <c r="M2526" s="3" t="s">
        <v>9</v>
      </c>
      <c r="N2526" s="3">
        <v>1295</v>
      </c>
      <c r="O2526" s="3">
        <v>32</v>
      </c>
    </row>
    <row r="2527" spans="2:15" s="3" customFormat="1" hidden="1" outlineLevel="1" x14ac:dyDescent="0.25">
      <c r="B2527" s="28" t="s">
        <v>196</v>
      </c>
      <c r="C2527" s="29" t="s">
        <v>1622</v>
      </c>
      <c r="D2527" s="29" t="s">
        <v>1469</v>
      </c>
      <c r="E2527" s="29" t="s">
        <v>1480</v>
      </c>
      <c r="F2527" s="29" t="s">
        <v>1481</v>
      </c>
      <c r="G2527" s="30" t="s">
        <v>1623</v>
      </c>
      <c r="J2527" s="3" t="s">
        <v>10</v>
      </c>
      <c r="K2527" s="3" t="s">
        <v>173</v>
      </c>
      <c r="L2527" s="3" t="s">
        <v>436</v>
      </c>
      <c r="M2527" s="3" t="s">
        <v>9</v>
      </c>
      <c r="N2527" s="3">
        <v>2504</v>
      </c>
      <c r="O2527" s="3">
        <v>32</v>
      </c>
    </row>
    <row r="2528" spans="2:15" s="3" customFormat="1" hidden="1" outlineLevel="1" x14ac:dyDescent="0.25">
      <c r="B2528" s="28" t="s">
        <v>201</v>
      </c>
      <c r="C2528" s="29" t="s">
        <v>1631</v>
      </c>
      <c r="D2528" s="29" t="s">
        <v>1632</v>
      </c>
      <c r="E2528" s="29" t="s">
        <v>1594</v>
      </c>
      <c r="F2528" s="29" t="s">
        <v>1470</v>
      </c>
      <c r="G2528" s="30" t="s">
        <v>1633</v>
      </c>
      <c r="J2528" s="3" t="s">
        <v>10</v>
      </c>
      <c r="K2528" s="3" t="s">
        <v>173</v>
      </c>
      <c r="L2528" s="3" t="s">
        <v>436</v>
      </c>
      <c r="M2528" s="3" t="s">
        <v>9</v>
      </c>
      <c r="N2528" s="3">
        <v>2501</v>
      </c>
      <c r="O2528" s="3">
        <v>32</v>
      </c>
    </row>
    <row r="2529" spans="2:15" s="3" customFormat="1" hidden="1" outlineLevel="1" x14ac:dyDescent="0.25">
      <c r="B2529" s="28" t="s">
        <v>199</v>
      </c>
      <c r="C2529" s="29" t="s">
        <v>1628</v>
      </c>
      <c r="D2529" s="29" t="s">
        <v>1469</v>
      </c>
      <c r="E2529" s="29" t="s">
        <v>1480</v>
      </c>
      <c r="F2529" s="29" t="s">
        <v>1481</v>
      </c>
      <c r="G2529" s="30" t="s">
        <v>1482</v>
      </c>
      <c r="J2529" s="3" t="s">
        <v>10</v>
      </c>
      <c r="K2529" s="3" t="s">
        <v>173</v>
      </c>
      <c r="L2529" s="3" t="s">
        <v>436</v>
      </c>
      <c r="M2529" s="3" t="s">
        <v>9</v>
      </c>
      <c r="N2529" s="3">
        <v>1458</v>
      </c>
      <c r="O2529" s="3">
        <v>32</v>
      </c>
    </row>
    <row r="2530" spans="2:15" s="3" customFormat="1" hidden="1" outlineLevel="1" x14ac:dyDescent="0.25">
      <c r="B2530" s="28" t="s">
        <v>200</v>
      </c>
      <c r="C2530" s="29" t="s">
        <v>1629</v>
      </c>
      <c r="D2530" s="29" t="s">
        <v>1469</v>
      </c>
      <c r="E2530" s="29" t="s">
        <v>1549</v>
      </c>
      <c r="F2530" s="29" t="s">
        <v>1481</v>
      </c>
      <c r="G2530" s="30" t="s">
        <v>1630</v>
      </c>
      <c r="J2530" s="3" t="s">
        <v>10</v>
      </c>
      <c r="K2530" s="3" t="s">
        <v>173</v>
      </c>
      <c r="L2530" s="3" t="s">
        <v>436</v>
      </c>
      <c r="M2530" s="3" t="s">
        <v>9</v>
      </c>
      <c r="N2530" s="3">
        <v>1459</v>
      </c>
      <c r="O2530" s="3">
        <v>32</v>
      </c>
    </row>
    <row r="2531" spans="2:15" s="3" customFormat="1" hidden="1" outlineLevel="1" x14ac:dyDescent="0.25">
      <c r="B2531" s="28" t="s">
        <v>444</v>
      </c>
      <c r="C2531" s="29" t="s">
        <v>1835</v>
      </c>
      <c r="D2531" s="29" t="s">
        <v>1567</v>
      </c>
      <c r="E2531" s="29">
        <v>0</v>
      </c>
      <c r="F2531" s="29"/>
      <c r="G2531" s="30"/>
      <c r="J2531" s="3" t="s">
        <v>12</v>
      </c>
      <c r="K2531" s="3" t="s">
        <v>174</v>
      </c>
      <c r="L2531" s="3" t="s">
        <v>314</v>
      </c>
      <c r="M2531" s="3" t="s">
        <v>176</v>
      </c>
      <c r="N2531" s="3">
        <v>1462</v>
      </c>
      <c r="O2531" s="3">
        <v>64</v>
      </c>
    </row>
    <row r="2532" spans="2:15" s="3" customFormat="1" hidden="1" outlineLevel="1" x14ac:dyDescent="0.25">
      <c r="B2532" s="28" t="s">
        <v>441</v>
      </c>
      <c r="C2532" s="29" t="s">
        <v>1832</v>
      </c>
      <c r="D2532" s="29" t="s">
        <v>1469</v>
      </c>
      <c r="E2532" s="29">
        <v>0</v>
      </c>
      <c r="F2532" s="29" t="s">
        <v>1470</v>
      </c>
      <c r="G2532" s="30" t="s">
        <v>1833</v>
      </c>
    </row>
    <row r="2533" spans="2:15" s="3" customFormat="1" hidden="1" outlineLevel="1" x14ac:dyDescent="0.25">
      <c r="B2533" s="28" t="s">
        <v>205</v>
      </c>
      <c r="C2533" s="29" t="s">
        <v>1640</v>
      </c>
      <c r="D2533" s="29" t="s">
        <v>1469</v>
      </c>
      <c r="E2533" s="29">
        <v>0</v>
      </c>
      <c r="F2533" s="29" t="s">
        <v>1476</v>
      </c>
      <c r="G2533" s="30" t="s">
        <v>1641</v>
      </c>
      <c r="J2533" s="3" t="s">
        <v>10</v>
      </c>
      <c r="K2533" s="3" t="s">
        <v>173</v>
      </c>
      <c r="L2533" s="3" t="s">
        <v>436</v>
      </c>
      <c r="M2533" s="3" t="s">
        <v>9</v>
      </c>
      <c r="N2533" s="3">
        <v>1449</v>
      </c>
      <c r="O2533" s="3">
        <v>32</v>
      </c>
    </row>
    <row r="2534" spans="2:15" s="3" customFormat="1" hidden="1" outlineLevel="1" x14ac:dyDescent="0.25">
      <c r="B2534" s="28" t="s">
        <v>206</v>
      </c>
      <c r="C2534" s="29" t="s">
        <v>1642</v>
      </c>
      <c r="D2534" s="29" t="s">
        <v>1539</v>
      </c>
      <c r="E2534" s="29">
        <v>0</v>
      </c>
      <c r="F2534" s="29" t="s">
        <v>1470</v>
      </c>
      <c r="G2534" s="30" t="s">
        <v>1643</v>
      </c>
      <c r="J2534" s="3" t="s">
        <v>20</v>
      </c>
      <c r="K2534" s="3" t="s">
        <v>445</v>
      </c>
      <c r="L2534" s="3" t="s">
        <v>446</v>
      </c>
      <c r="M2534" s="3" t="s">
        <v>446</v>
      </c>
      <c r="N2534" s="3">
        <v>1455</v>
      </c>
      <c r="O2534" s="3">
        <v>16</v>
      </c>
    </row>
    <row r="2535" spans="2:15" s="3" customFormat="1" hidden="1" outlineLevel="1" x14ac:dyDescent="0.25">
      <c r="B2535" s="28" t="s">
        <v>207</v>
      </c>
      <c r="C2535" s="29" t="s">
        <v>1644</v>
      </c>
      <c r="D2535" s="29" t="s">
        <v>1486</v>
      </c>
      <c r="E2535" s="29">
        <v>0</v>
      </c>
      <c r="F2535" s="29" t="s">
        <v>1470</v>
      </c>
      <c r="G2535" s="30" t="s">
        <v>1645</v>
      </c>
      <c r="J2535" s="3" t="s">
        <v>20</v>
      </c>
      <c r="K2535" s="3" t="s">
        <v>445</v>
      </c>
      <c r="L2535" s="3" t="s">
        <v>446</v>
      </c>
      <c r="M2535" s="3" t="s">
        <v>446</v>
      </c>
      <c r="N2535" s="3">
        <v>1460</v>
      </c>
      <c r="O2535" s="3">
        <v>18</v>
      </c>
    </row>
    <row r="2536" spans="2:15" s="3" customFormat="1" hidden="1" outlineLevel="1" x14ac:dyDescent="0.25">
      <c r="B2536" s="28" t="s">
        <v>212</v>
      </c>
      <c r="C2536" s="29" t="s">
        <v>1654</v>
      </c>
      <c r="D2536" s="29" t="s">
        <v>1486</v>
      </c>
      <c r="E2536" s="29">
        <v>0</v>
      </c>
      <c r="F2536" s="29" t="s">
        <v>1470</v>
      </c>
      <c r="G2536" s="30" t="s">
        <v>1655</v>
      </c>
      <c r="J2536" s="3" t="s">
        <v>20</v>
      </c>
      <c r="K2536" s="3" t="s">
        <v>445</v>
      </c>
      <c r="L2536" s="3" t="s">
        <v>446</v>
      </c>
      <c r="M2536" s="3" t="s">
        <v>446</v>
      </c>
      <c r="N2536" s="3">
        <v>1314</v>
      </c>
      <c r="O2536" s="3">
        <v>18</v>
      </c>
    </row>
    <row r="2537" spans="2:15" s="3" customFormat="1" hidden="1" outlineLevel="1" x14ac:dyDescent="0.25">
      <c r="B2537" s="28" t="s">
        <v>204</v>
      </c>
      <c r="C2537" s="29" t="s">
        <v>1638</v>
      </c>
      <c r="D2537" s="29" t="s">
        <v>1539</v>
      </c>
      <c r="E2537" s="29">
        <v>0</v>
      </c>
      <c r="F2537" s="29" t="s">
        <v>1470</v>
      </c>
      <c r="G2537" s="30" t="s">
        <v>1639</v>
      </c>
      <c r="J2537" s="3" t="s">
        <v>20</v>
      </c>
      <c r="K2537" s="3" t="s">
        <v>445</v>
      </c>
      <c r="L2537" s="3" t="s">
        <v>446</v>
      </c>
      <c r="M2537" s="3" t="s">
        <v>446</v>
      </c>
      <c r="N2537" s="3">
        <v>1303</v>
      </c>
      <c r="O2537" s="3">
        <v>16</v>
      </c>
    </row>
    <row r="2538" spans="2:15" s="3" customFormat="1" hidden="1" outlineLevel="1" x14ac:dyDescent="0.25">
      <c r="B2538" s="28" t="s">
        <v>213</v>
      </c>
      <c r="C2538" s="29" t="s">
        <v>1656</v>
      </c>
      <c r="D2538" s="29" t="s">
        <v>1489</v>
      </c>
      <c r="E2538" s="29">
        <v>0</v>
      </c>
      <c r="F2538" s="29" t="s">
        <v>1470</v>
      </c>
      <c r="G2538" s="30" t="s">
        <v>1657</v>
      </c>
      <c r="J2538" s="3" t="s">
        <v>20</v>
      </c>
      <c r="K2538" s="3" t="s">
        <v>445</v>
      </c>
      <c r="L2538" s="3" t="s">
        <v>446</v>
      </c>
      <c r="M2538" s="3" t="s">
        <v>446</v>
      </c>
      <c r="N2538" s="3">
        <v>1305</v>
      </c>
      <c r="O2538" s="3">
        <v>32</v>
      </c>
    </row>
    <row r="2539" spans="2:15" s="3" customFormat="1" hidden="1" outlineLevel="1" x14ac:dyDescent="0.25">
      <c r="B2539" s="28" t="s">
        <v>22</v>
      </c>
      <c r="C2539" s="29" t="s">
        <v>1488</v>
      </c>
      <c r="D2539" s="29" t="s">
        <v>1489</v>
      </c>
      <c r="E2539" s="29">
        <v>0</v>
      </c>
      <c r="F2539" s="29" t="s">
        <v>1470</v>
      </c>
      <c r="G2539" s="30" t="s">
        <v>1490</v>
      </c>
      <c r="J2539" s="3" t="s">
        <v>20</v>
      </c>
      <c r="K2539" s="3" t="s">
        <v>445</v>
      </c>
      <c r="L2539" s="3" t="s">
        <v>446</v>
      </c>
      <c r="M2539" s="3" t="s">
        <v>446</v>
      </c>
      <c r="N2539" s="3">
        <v>2409</v>
      </c>
      <c r="O2539" s="3">
        <v>32</v>
      </c>
    </row>
    <row r="2540" spans="2:15" s="3" customFormat="1" hidden="1" outlineLevel="1" x14ac:dyDescent="0.25">
      <c r="B2540" s="28" t="s">
        <v>214</v>
      </c>
      <c r="C2540" s="29" t="s">
        <v>1658</v>
      </c>
      <c r="D2540" s="29" t="s">
        <v>1489</v>
      </c>
      <c r="E2540" s="29">
        <v>0</v>
      </c>
      <c r="F2540" s="29" t="s">
        <v>1470</v>
      </c>
      <c r="G2540" s="30" t="s">
        <v>1659</v>
      </c>
      <c r="J2540" s="3" t="s">
        <v>20</v>
      </c>
      <c r="K2540" s="3" t="s">
        <v>445</v>
      </c>
      <c r="L2540" s="3" t="s">
        <v>446</v>
      </c>
      <c r="M2540" s="3" t="s">
        <v>446</v>
      </c>
      <c r="N2540" s="3">
        <v>2813</v>
      </c>
      <c r="O2540" s="3">
        <v>32</v>
      </c>
    </row>
    <row r="2541" spans="2:15" s="3" customFormat="1" hidden="1" outlineLevel="1" x14ac:dyDescent="0.25">
      <c r="B2541" s="28" t="s">
        <v>215</v>
      </c>
      <c r="C2541" s="29" t="s">
        <v>1660</v>
      </c>
      <c r="D2541" s="29" t="s">
        <v>1489</v>
      </c>
      <c r="E2541" s="29">
        <v>0</v>
      </c>
      <c r="F2541" s="29" t="s">
        <v>1470</v>
      </c>
      <c r="G2541" s="30"/>
      <c r="J2541" s="3" t="s">
        <v>20</v>
      </c>
      <c r="K2541" s="3" t="s">
        <v>445</v>
      </c>
      <c r="L2541" s="3" t="s">
        <v>446</v>
      </c>
      <c r="M2541" s="3" t="s">
        <v>446</v>
      </c>
      <c r="N2541" s="3">
        <v>1717</v>
      </c>
      <c r="O2541" s="3">
        <v>32</v>
      </c>
    </row>
    <row r="2542" spans="2:15" s="3" customFormat="1" hidden="1" outlineLevel="1" x14ac:dyDescent="0.25">
      <c r="B2542" s="28" t="s">
        <v>216</v>
      </c>
      <c r="C2542" s="29" t="s">
        <v>1661</v>
      </c>
      <c r="D2542" s="29" t="s">
        <v>1489</v>
      </c>
      <c r="E2542" s="29">
        <v>0</v>
      </c>
      <c r="F2542" s="29" t="s">
        <v>1470</v>
      </c>
      <c r="G2542" s="30" t="s">
        <v>1662</v>
      </c>
      <c r="J2542" s="3" t="s">
        <v>20</v>
      </c>
      <c r="K2542" s="3" t="s">
        <v>445</v>
      </c>
      <c r="L2542" s="3" t="s">
        <v>446</v>
      </c>
      <c r="M2542" s="3" t="s">
        <v>446</v>
      </c>
      <c r="N2542" s="3">
        <v>2016</v>
      </c>
      <c r="O2542" s="3">
        <v>32</v>
      </c>
    </row>
    <row r="2543" spans="2:15" s="3" customFormat="1" hidden="1" outlineLevel="1" x14ac:dyDescent="0.25">
      <c r="B2543" s="28" t="s">
        <v>217</v>
      </c>
      <c r="C2543" s="29" t="s">
        <v>1663</v>
      </c>
      <c r="D2543" s="29" t="s">
        <v>1489</v>
      </c>
      <c r="E2543" s="29">
        <v>0</v>
      </c>
      <c r="F2543" s="29" t="s">
        <v>1470</v>
      </c>
      <c r="G2543" s="30" t="s">
        <v>1664</v>
      </c>
      <c r="J2543" s="3" t="s">
        <v>20</v>
      </c>
      <c r="K2543" s="3" t="s">
        <v>445</v>
      </c>
      <c r="L2543" s="3" t="s">
        <v>446</v>
      </c>
      <c r="M2543" s="3" t="s">
        <v>446</v>
      </c>
      <c r="N2543" s="3">
        <v>2921</v>
      </c>
      <c r="O2543" s="3">
        <v>32</v>
      </c>
    </row>
    <row r="2544" spans="2:15" s="3" customFormat="1" hidden="1" outlineLevel="1" x14ac:dyDescent="0.25">
      <c r="B2544" s="28" t="s">
        <v>218</v>
      </c>
      <c r="C2544" s="29" t="s">
        <v>1665</v>
      </c>
      <c r="D2544" s="29" t="s">
        <v>1489</v>
      </c>
      <c r="E2544" s="29">
        <v>0</v>
      </c>
      <c r="F2544" s="29" t="s">
        <v>1470</v>
      </c>
      <c r="G2544" s="30" t="s">
        <v>1666</v>
      </c>
      <c r="J2544" s="3" t="s">
        <v>20</v>
      </c>
      <c r="K2544" s="3" t="s">
        <v>445</v>
      </c>
      <c r="L2544" s="3" t="s">
        <v>446</v>
      </c>
      <c r="M2544" s="3" t="s">
        <v>446</v>
      </c>
      <c r="N2544" s="3">
        <v>2347</v>
      </c>
      <c r="O2544" s="3">
        <v>32</v>
      </c>
    </row>
    <row r="2545" spans="2:15" s="3" customFormat="1" hidden="1" outlineLevel="1" x14ac:dyDescent="0.25">
      <c r="B2545" s="28" t="s">
        <v>219</v>
      </c>
      <c r="C2545" s="29" t="s">
        <v>1667</v>
      </c>
      <c r="D2545" s="29" t="s">
        <v>1489</v>
      </c>
      <c r="E2545" s="29">
        <v>0</v>
      </c>
      <c r="F2545" s="29" t="s">
        <v>1470</v>
      </c>
      <c r="G2545" s="30" t="s">
        <v>1668</v>
      </c>
      <c r="J2545" s="3" t="s">
        <v>20</v>
      </c>
      <c r="K2545" s="3" t="s">
        <v>445</v>
      </c>
      <c r="L2545" s="3" t="s">
        <v>446</v>
      </c>
      <c r="M2545" s="3" t="s">
        <v>446</v>
      </c>
      <c r="N2545" s="3">
        <v>1952</v>
      </c>
      <c r="O2545" s="3">
        <v>32</v>
      </c>
    </row>
    <row r="2546" spans="2:15" s="3" customFormat="1" hidden="1" outlineLevel="1" x14ac:dyDescent="0.25">
      <c r="B2546" s="28" t="s">
        <v>220</v>
      </c>
      <c r="C2546" s="29" t="s">
        <v>1669</v>
      </c>
      <c r="D2546" s="29" t="s">
        <v>1489</v>
      </c>
      <c r="E2546" s="29">
        <v>0</v>
      </c>
      <c r="F2546" s="29" t="s">
        <v>1470</v>
      </c>
      <c r="G2546" s="30" t="s">
        <v>1670</v>
      </c>
      <c r="J2546" s="3" t="s">
        <v>20</v>
      </c>
      <c r="K2546" s="3" t="s">
        <v>445</v>
      </c>
      <c r="L2546" s="3" t="s">
        <v>446</v>
      </c>
      <c r="M2546" s="3" t="s">
        <v>446</v>
      </c>
      <c r="N2546" s="3">
        <v>2349</v>
      </c>
      <c r="O2546" s="3">
        <v>32</v>
      </c>
    </row>
    <row r="2547" spans="2:15" s="3" customFormat="1" hidden="1" outlineLevel="1" x14ac:dyDescent="0.25">
      <c r="B2547" s="28" t="s">
        <v>447</v>
      </c>
      <c r="C2547" s="29" t="s">
        <v>1836</v>
      </c>
      <c r="D2547" s="29" t="s">
        <v>1489</v>
      </c>
      <c r="E2547" s="29">
        <v>0</v>
      </c>
      <c r="F2547" s="29"/>
      <c r="G2547" s="30"/>
    </row>
    <row r="2548" spans="2:15" s="3" customFormat="1" hidden="1" outlineLevel="1" x14ac:dyDescent="0.25">
      <c r="B2548" s="28" t="s">
        <v>448</v>
      </c>
      <c r="C2548" s="29" t="s">
        <v>1837</v>
      </c>
      <c r="D2548" s="29" t="s">
        <v>1489</v>
      </c>
      <c r="E2548" s="29">
        <v>0</v>
      </c>
      <c r="F2548" s="29"/>
      <c r="G2548" s="30"/>
    </row>
    <row r="2549" spans="2:15" s="3" customFormat="1" hidden="1" outlineLevel="1" x14ac:dyDescent="0.25">
      <c r="B2549" s="28" t="s">
        <v>449</v>
      </c>
      <c r="C2549" s="29" t="s">
        <v>1838</v>
      </c>
      <c r="D2549" s="29" t="s">
        <v>1489</v>
      </c>
      <c r="E2549" s="29">
        <v>0</v>
      </c>
      <c r="F2549" s="29"/>
      <c r="G2549" s="30"/>
    </row>
    <row r="2550" spans="2:15" s="3" customFormat="1" hidden="1" outlineLevel="1" x14ac:dyDescent="0.25">
      <c r="B2550" s="28" t="s">
        <v>450</v>
      </c>
      <c r="C2550" s="29" t="s">
        <v>1839</v>
      </c>
      <c r="D2550" s="29" t="s">
        <v>1489</v>
      </c>
      <c r="E2550" s="29">
        <v>0</v>
      </c>
      <c r="F2550" s="29"/>
      <c r="G2550" s="30"/>
    </row>
    <row r="2551" spans="2:15" s="3" customFormat="1" hidden="1" outlineLevel="1" x14ac:dyDescent="0.25">
      <c r="B2551" s="28" t="s">
        <v>223</v>
      </c>
      <c r="C2551" s="29" t="s">
        <v>1674</v>
      </c>
      <c r="D2551" s="29" t="s">
        <v>1494</v>
      </c>
      <c r="E2551" s="29">
        <v>0</v>
      </c>
      <c r="F2551" s="29" t="s">
        <v>1470</v>
      </c>
      <c r="G2551" s="30"/>
      <c r="J2551" s="3" t="s">
        <v>20</v>
      </c>
      <c r="K2551" s="3" t="s">
        <v>445</v>
      </c>
      <c r="L2551" s="3" t="s">
        <v>446</v>
      </c>
      <c r="M2551" s="3" t="s">
        <v>446</v>
      </c>
      <c r="N2551" s="3">
        <v>2892</v>
      </c>
      <c r="O2551" s="3">
        <v>18</v>
      </c>
    </row>
    <row r="2552" spans="2:15" s="3" customFormat="1" hidden="1" outlineLevel="1" x14ac:dyDescent="0.25">
      <c r="B2552" s="28" t="s">
        <v>451</v>
      </c>
      <c r="C2552" s="29" t="s">
        <v>1840</v>
      </c>
      <c r="D2552" s="29" t="s">
        <v>1489</v>
      </c>
      <c r="E2552" s="29">
        <v>0</v>
      </c>
      <c r="F2552" s="29" t="s">
        <v>1470</v>
      </c>
      <c r="G2552" s="30"/>
    </row>
    <row r="2553" spans="2:15" s="3" customFormat="1" hidden="1" outlineLevel="1" x14ac:dyDescent="0.25">
      <c r="B2553" s="28" t="s">
        <v>224</v>
      </c>
      <c r="C2553" s="29" t="s">
        <v>1675</v>
      </c>
      <c r="D2553" s="29" t="s">
        <v>1469</v>
      </c>
      <c r="E2553" s="29">
        <v>0</v>
      </c>
      <c r="F2553" s="29" t="s">
        <v>1476</v>
      </c>
      <c r="G2553" s="30"/>
      <c r="J2553" s="3" t="s">
        <v>10</v>
      </c>
      <c r="K2553" s="3" t="s">
        <v>173</v>
      </c>
      <c r="L2553" s="3" t="s">
        <v>436</v>
      </c>
      <c r="M2553" s="3" t="s">
        <v>9</v>
      </c>
      <c r="N2553" s="3">
        <v>2018</v>
      </c>
      <c r="O2553" s="3">
        <v>32</v>
      </c>
    </row>
    <row r="2554" spans="2:15" s="3" customFormat="1" hidden="1" outlineLevel="1" x14ac:dyDescent="0.25">
      <c r="B2554" s="28" t="s">
        <v>437</v>
      </c>
      <c r="C2554" s="23" t="s">
        <v>1830</v>
      </c>
      <c r="D2554" s="23" t="s">
        <v>1616</v>
      </c>
      <c r="E2554" s="23" t="s">
        <v>1594</v>
      </c>
      <c r="F2554" s="23" t="s">
        <v>1476</v>
      </c>
      <c r="G2554" s="24"/>
      <c r="J2554" s="3" t="s">
        <v>187</v>
      </c>
      <c r="K2554" s="3" t="s">
        <v>438</v>
      </c>
      <c r="L2554" s="3" t="s">
        <v>439</v>
      </c>
      <c r="M2554" s="3" t="s">
        <v>187</v>
      </c>
      <c r="N2554" s="3">
        <v>1443</v>
      </c>
      <c r="O2554" s="3">
        <v>2</v>
      </c>
    </row>
    <row r="2555" spans="2:15" s="3" customFormat="1" hidden="1" outlineLevel="1" x14ac:dyDescent="0.25">
      <c r="B2555" s="185" t="s">
        <v>194</v>
      </c>
      <c r="C2555" s="23" t="s">
        <v>1618</v>
      </c>
      <c r="D2555" s="23" t="s">
        <v>1469</v>
      </c>
      <c r="E2555" s="23">
        <v>0</v>
      </c>
      <c r="F2555" s="23"/>
      <c r="G2555" s="24" t="s">
        <v>1619</v>
      </c>
      <c r="J2555" s="3" t="s">
        <v>10</v>
      </c>
      <c r="K2555" s="3" t="s">
        <v>173</v>
      </c>
      <c r="L2555" s="3" t="s">
        <v>436</v>
      </c>
      <c r="M2555" s="3" t="s">
        <v>9</v>
      </c>
      <c r="N2555" s="3">
        <v>3169</v>
      </c>
      <c r="O2555" s="3">
        <v>32</v>
      </c>
    </row>
    <row r="2556" spans="2:15" s="3" customFormat="1" hidden="1" outlineLevel="1" x14ac:dyDescent="0.25">
      <c r="B2556" s="28" t="s">
        <v>195</v>
      </c>
      <c r="C2556" s="29" t="s">
        <v>1620</v>
      </c>
      <c r="D2556" s="29" t="s">
        <v>1469</v>
      </c>
      <c r="E2556" s="29">
        <v>0</v>
      </c>
      <c r="F2556" s="29"/>
      <c r="G2556" s="30" t="s">
        <v>1621</v>
      </c>
      <c r="J2556" s="3" t="s">
        <v>10</v>
      </c>
      <c r="K2556" s="3" t="s">
        <v>173</v>
      </c>
      <c r="L2556" s="3" t="s">
        <v>436</v>
      </c>
      <c r="M2556" s="3" t="s">
        <v>9</v>
      </c>
      <c r="N2556" s="3">
        <v>3168</v>
      </c>
      <c r="O2556" s="3">
        <v>32</v>
      </c>
    </row>
    <row r="2557" spans="2:15" s="3" customFormat="1" hidden="1" outlineLevel="1" x14ac:dyDescent="0.25">
      <c r="B2557" s="28" t="s">
        <v>452</v>
      </c>
      <c r="C2557" s="29" t="s">
        <v>1841</v>
      </c>
      <c r="D2557" s="29" t="s">
        <v>1469</v>
      </c>
      <c r="E2557" s="29">
        <v>1</v>
      </c>
      <c r="F2557" s="29"/>
      <c r="G2557" s="30"/>
    </row>
    <row r="2558" spans="2:15" s="3" customFormat="1" hidden="1" outlineLevel="1" x14ac:dyDescent="0.25">
      <c r="B2558" s="28" t="s">
        <v>454</v>
      </c>
      <c r="C2558" s="29" t="s">
        <v>1842</v>
      </c>
      <c r="D2558" s="29" t="s">
        <v>1567</v>
      </c>
      <c r="E2558" s="29">
        <v>0</v>
      </c>
      <c r="F2558" s="29" t="s">
        <v>1470</v>
      </c>
      <c r="G2558" s="30" t="s">
        <v>1843</v>
      </c>
    </row>
    <row r="2559" spans="2:15" s="3" customFormat="1" hidden="1" outlineLevel="1" x14ac:dyDescent="0.25">
      <c r="B2559" s="28" t="s">
        <v>443</v>
      </c>
      <c r="C2559" s="29" t="s">
        <v>1834</v>
      </c>
      <c r="D2559" s="29" t="s">
        <v>1632</v>
      </c>
      <c r="E2559" s="29" t="s">
        <v>1594</v>
      </c>
      <c r="F2559" s="29"/>
      <c r="G2559" s="30"/>
    </row>
    <row r="2560" spans="2:15" s="3" customFormat="1" hidden="1" outlineLevel="1" x14ac:dyDescent="0.25">
      <c r="B2560" s="217" t="s">
        <v>455</v>
      </c>
      <c r="C2560" s="29" t="s">
        <v>1844</v>
      </c>
      <c r="D2560" s="29" t="s">
        <v>1486</v>
      </c>
      <c r="E2560" s="29">
        <v>0</v>
      </c>
      <c r="F2560" s="29" t="s">
        <v>1470</v>
      </c>
      <c r="G2560" s="30"/>
    </row>
    <row r="2561" spans="1:10" s="3" customFormat="1" hidden="1" outlineLevel="1" x14ac:dyDescent="0.25">
      <c r="B2561" s="217" t="s">
        <v>456</v>
      </c>
      <c r="C2561" s="29" t="s">
        <v>1845</v>
      </c>
      <c r="D2561" s="29" t="s">
        <v>1489</v>
      </c>
      <c r="E2561" s="29">
        <v>0</v>
      </c>
      <c r="F2561" s="29" t="s">
        <v>1470</v>
      </c>
      <c r="G2561" s="30"/>
    </row>
    <row r="2562" spans="1:10" s="3" customFormat="1" ht="16.2" hidden="1" outlineLevel="1" thickBot="1" x14ac:dyDescent="0.3">
      <c r="B2562" s="116"/>
      <c r="C2562" s="117"/>
      <c r="D2562" s="117"/>
      <c r="E2562" s="117"/>
      <c r="F2562" s="117"/>
      <c r="G2562" s="105" t="s">
        <v>457</v>
      </c>
    </row>
    <row r="2563" spans="1:10" s="3" customFormat="1" hidden="1" outlineLevel="1" x14ac:dyDescent="0.25">
      <c r="B2563" s="395" t="s">
        <v>29</v>
      </c>
      <c r="C2563" s="396"/>
      <c r="D2563" s="396"/>
      <c r="E2563" s="396"/>
      <c r="F2563" s="396"/>
      <c r="G2563" s="397"/>
    </row>
    <row r="2564" spans="1:10" s="3" customFormat="1" hidden="1" outlineLevel="1" x14ac:dyDescent="0.25">
      <c r="B2564" s="125"/>
      <c r="C2564" s="117"/>
      <c r="D2564" s="117"/>
      <c r="E2564" s="117"/>
      <c r="F2564" s="117"/>
      <c r="G2564" s="105"/>
    </row>
    <row r="2565" spans="1:10" s="10" customFormat="1" hidden="1" outlineLevel="1" x14ac:dyDescent="0.25">
      <c r="A2565" s="243"/>
      <c r="B2565" s="231" t="s">
        <v>910</v>
      </c>
      <c r="C2565" s="245"/>
      <c r="D2565" s="245"/>
      <c r="E2565" s="245"/>
      <c r="F2565" s="245"/>
      <c r="G2565" s="246"/>
      <c r="I2565" s="249"/>
    </row>
    <row r="2566" spans="1:10" s="3" customFormat="1" hidden="1" outlineLevel="1" x14ac:dyDescent="0.25">
      <c r="B2566" s="116"/>
      <c r="C2566" s="274"/>
      <c r="D2566" s="274"/>
      <c r="E2566" s="274"/>
      <c r="F2566" s="274"/>
      <c r="G2566" s="275"/>
    </row>
    <row r="2567" spans="1:10" s="9" customFormat="1" ht="17.399999999999999" hidden="1" customHeight="1" outlineLevel="1" x14ac:dyDescent="0.25">
      <c r="A2567" s="5"/>
      <c r="B2567" s="31" t="s">
        <v>702</v>
      </c>
      <c r="C2567" s="20"/>
      <c r="D2567" s="20"/>
      <c r="E2567" s="20"/>
      <c r="F2567" s="20"/>
      <c r="G2567" s="22"/>
      <c r="H2567" s="3"/>
      <c r="I2567" s="3"/>
      <c r="J2567" s="45"/>
    </row>
    <row r="2568" spans="1:10" s="3" customFormat="1" hidden="1" outlineLevel="1" x14ac:dyDescent="0.25">
      <c r="A2568" s="5"/>
      <c r="B2568" s="46" t="s">
        <v>1185</v>
      </c>
      <c r="C2568" s="20"/>
      <c r="D2568" s="20"/>
      <c r="E2568" s="20"/>
      <c r="F2568" s="20"/>
      <c r="G2568" s="22"/>
      <c r="J2568" s="45"/>
    </row>
    <row r="2569" spans="1:10" s="3" customFormat="1" hidden="1" outlineLevel="1" x14ac:dyDescent="0.25">
      <c r="A2569" s="5"/>
      <c r="B2569" s="46" t="s">
        <v>1186</v>
      </c>
      <c r="C2569" s="20"/>
      <c r="D2569" s="20"/>
      <c r="E2569" s="20"/>
      <c r="F2569" s="20"/>
      <c r="G2569" s="22"/>
      <c r="J2569" s="230"/>
    </row>
    <row r="2570" spans="1:10" s="3" customFormat="1" hidden="1" outlineLevel="1" x14ac:dyDescent="0.25">
      <c r="A2570" s="5"/>
      <c r="B2570" s="46" t="s">
        <v>2306</v>
      </c>
      <c r="C2570" s="20"/>
      <c r="D2570" s="20"/>
      <c r="E2570" s="20"/>
      <c r="F2570" s="20"/>
      <c r="G2570" s="22"/>
    </row>
    <row r="2571" spans="1:10" s="3" customFormat="1" hidden="1" outlineLevel="1" x14ac:dyDescent="0.25">
      <c r="A2571" s="5"/>
      <c r="B2571" s="46" t="s">
        <v>2285</v>
      </c>
      <c r="C2571" s="20"/>
      <c r="D2571" s="20"/>
      <c r="E2571" s="20"/>
      <c r="F2571" s="20"/>
      <c r="G2571" s="22"/>
    </row>
    <row r="2572" spans="1:10" s="3" customFormat="1" hidden="1" outlineLevel="1" x14ac:dyDescent="0.25">
      <c r="A2572" s="5"/>
      <c r="B2572" s="46" t="s">
        <v>1187</v>
      </c>
      <c r="C2572" s="20"/>
      <c r="D2572" s="20"/>
      <c r="E2572" s="20"/>
      <c r="F2572" s="20"/>
      <c r="G2572" s="22"/>
    </row>
    <row r="2573" spans="1:10" s="3" customFormat="1" hidden="1" outlineLevel="1" x14ac:dyDescent="0.25">
      <c r="A2573" s="5"/>
      <c r="B2573" s="50" t="s">
        <v>1188</v>
      </c>
      <c r="C2573" s="20"/>
      <c r="D2573" s="20"/>
      <c r="E2573" s="20"/>
      <c r="F2573" s="20"/>
      <c r="G2573" s="22"/>
    </row>
    <row r="2574" spans="1:10" s="3" customFormat="1" hidden="1" outlineLevel="1" x14ac:dyDescent="0.25">
      <c r="A2574" s="5"/>
      <c r="B2574" s="90"/>
      <c r="C2574" s="20"/>
      <c r="D2574" s="20"/>
      <c r="E2574" s="20"/>
      <c r="F2574" s="20"/>
      <c r="G2574" s="22"/>
    </row>
    <row r="2575" spans="1:10" s="3" customFormat="1" ht="17.399999999999999" hidden="1" customHeight="1" outlineLevel="1" x14ac:dyDescent="0.25">
      <c r="A2575" s="5"/>
      <c r="B2575" s="128" t="s">
        <v>1036</v>
      </c>
      <c r="C2575" s="107"/>
      <c r="D2575" s="107"/>
      <c r="E2575" s="107"/>
      <c r="F2575" s="107"/>
      <c r="G2575" s="129"/>
    </row>
    <row r="2576" spans="1:10" s="3" customFormat="1" hidden="1" outlineLevel="1" x14ac:dyDescent="0.25">
      <c r="A2576" s="5"/>
      <c r="B2576" s="50" t="s">
        <v>726</v>
      </c>
      <c r="C2576" s="20"/>
      <c r="D2576" s="20"/>
      <c r="E2576" s="20"/>
      <c r="F2576" s="20"/>
      <c r="G2576" s="22"/>
    </row>
    <row r="2577" spans="1:10" s="3" customFormat="1" hidden="1" outlineLevel="1" x14ac:dyDescent="0.25">
      <c r="B2577" s="276" t="s">
        <v>1189</v>
      </c>
      <c r="C2577" s="29"/>
      <c r="D2577" s="29"/>
      <c r="E2577" s="29"/>
      <c r="F2577" s="29"/>
      <c r="G2577" s="30"/>
    </row>
    <row r="2578" spans="1:10" s="3" customFormat="1" hidden="1" outlineLevel="1" x14ac:dyDescent="0.25">
      <c r="B2578" s="28"/>
      <c r="C2578" s="29"/>
      <c r="D2578" s="29"/>
      <c r="E2578" s="29"/>
      <c r="F2578" s="29"/>
      <c r="G2578" s="30"/>
    </row>
    <row r="2579" spans="1:10" s="3" customFormat="1" hidden="1" outlineLevel="1" x14ac:dyDescent="0.25">
      <c r="B2579" s="231" t="s">
        <v>912</v>
      </c>
      <c r="C2579" s="29"/>
      <c r="D2579" s="29"/>
      <c r="E2579" s="29"/>
      <c r="F2579" s="29"/>
      <c r="G2579" s="30"/>
    </row>
    <row r="2580" spans="1:10" s="3" customFormat="1" hidden="1" outlineLevel="1" x14ac:dyDescent="0.25">
      <c r="B2580" s="28"/>
      <c r="C2580" s="29"/>
      <c r="D2580" s="29"/>
      <c r="E2580" s="29"/>
      <c r="F2580" s="29"/>
      <c r="G2580" s="30"/>
    </row>
    <row r="2581" spans="1:10" s="3" customFormat="1" hidden="1" outlineLevel="1" x14ac:dyDescent="0.25">
      <c r="B2581" s="277" t="s">
        <v>1190</v>
      </c>
      <c r="C2581" s="29"/>
      <c r="D2581" s="29"/>
      <c r="E2581" s="29"/>
      <c r="F2581" s="29"/>
      <c r="G2581" s="30"/>
    </row>
    <row r="2582" spans="1:10" s="9" customFormat="1" ht="17.399999999999999" hidden="1" customHeight="1" outlineLevel="1" x14ac:dyDescent="0.25">
      <c r="A2582" s="5"/>
      <c r="B2582" s="31" t="s">
        <v>702</v>
      </c>
      <c r="C2582" s="20"/>
      <c r="D2582" s="20"/>
      <c r="E2582" s="20"/>
      <c r="F2582" s="20"/>
      <c r="G2582" s="22"/>
      <c r="H2582" s="3"/>
      <c r="I2582" s="3"/>
      <c r="J2582" s="45"/>
    </row>
    <row r="2583" spans="1:10" s="3" customFormat="1" hidden="1" outlineLevel="1" x14ac:dyDescent="0.25">
      <c r="A2583" s="5"/>
      <c r="B2583" s="46" t="s">
        <v>1185</v>
      </c>
      <c r="C2583" s="20"/>
      <c r="D2583" s="20"/>
      <c r="E2583" s="20"/>
      <c r="F2583" s="20"/>
      <c r="G2583" s="22"/>
      <c r="J2583" s="45"/>
    </row>
    <row r="2584" spans="1:10" s="3" customFormat="1" hidden="1" outlineLevel="1" x14ac:dyDescent="0.25">
      <c r="A2584" s="5"/>
      <c r="B2584" s="46" t="s">
        <v>1191</v>
      </c>
      <c r="C2584" s="20"/>
      <c r="D2584" s="20"/>
      <c r="E2584" s="20"/>
      <c r="F2584" s="20"/>
      <c r="G2584" s="22"/>
      <c r="J2584" s="230"/>
    </row>
    <row r="2585" spans="1:10" s="3" customFormat="1" hidden="1" outlineLevel="1" x14ac:dyDescent="0.25">
      <c r="A2585" s="5"/>
      <c r="B2585" s="46" t="s">
        <v>1192</v>
      </c>
      <c r="C2585" s="20"/>
      <c r="D2585" s="20"/>
      <c r="E2585" s="20"/>
      <c r="F2585" s="20"/>
      <c r="G2585" s="22"/>
    </row>
    <row r="2586" spans="1:10" s="3" customFormat="1" hidden="1" outlineLevel="1" x14ac:dyDescent="0.25">
      <c r="A2586" s="5"/>
      <c r="B2586" s="46" t="s">
        <v>1187</v>
      </c>
      <c r="C2586" s="20"/>
      <c r="D2586" s="20"/>
      <c r="E2586" s="20"/>
      <c r="F2586" s="20"/>
      <c r="G2586" s="22"/>
    </row>
    <row r="2587" spans="1:10" s="3" customFormat="1" hidden="1" outlineLevel="1" x14ac:dyDescent="0.25">
      <c r="A2587" s="5"/>
      <c r="B2587" s="50" t="s">
        <v>1188</v>
      </c>
      <c r="C2587" s="20"/>
      <c r="D2587" s="20"/>
      <c r="E2587" s="20"/>
      <c r="F2587" s="20"/>
      <c r="G2587" s="22"/>
    </row>
    <row r="2588" spans="1:10" s="3" customFormat="1" hidden="1" outlineLevel="1" x14ac:dyDescent="0.25">
      <c r="A2588" s="5"/>
      <c r="B2588" s="142" t="s">
        <v>1193</v>
      </c>
      <c r="C2588" s="20"/>
      <c r="D2588" s="20"/>
      <c r="E2588" s="20"/>
      <c r="F2588" s="20"/>
      <c r="G2588" s="22"/>
    </row>
    <row r="2589" spans="1:10" s="3" customFormat="1" ht="17.399999999999999" hidden="1" customHeight="1" outlineLevel="1" x14ac:dyDescent="0.25">
      <c r="A2589" s="5"/>
      <c r="B2589" s="128" t="s">
        <v>1036</v>
      </c>
      <c r="C2589" s="107"/>
      <c r="D2589" s="107"/>
      <c r="E2589" s="107"/>
      <c r="F2589" s="107"/>
      <c r="G2589" s="129"/>
    </row>
    <row r="2590" spans="1:10" s="3" customFormat="1" hidden="1" outlineLevel="1" x14ac:dyDescent="0.25">
      <c r="A2590" s="5"/>
      <c r="B2590" s="50" t="s">
        <v>726</v>
      </c>
      <c r="C2590" s="20"/>
      <c r="D2590" s="20"/>
      <c r="E2590" s="20"/>
      <c r="F2590" s="20"/>
      <c r="G2590" s="22"/>
    </row>
    <row r="2591" spans="1:10" s="3" customFormat="1" hidden="1" outlineLevel="1" x14ac:dyDescent="0.25">
      <c r="B2591" s="28"/>
      <c r="C2591" s="29"/>
      <c r="D2591" s="29"/>
      <c r="E2591" s="29"/>
      <c r="F2591" s="29"/>
      <c r="G2591" s="30"/>
    </row>
    <row r="2592" spans="1:10" s="3" customFormat="1" hidden="1" outlineLevel="1" x14ac:dyDescent="0.25">
      <c r="B2592" s="231" t="s">
        <v>561</v>
      </c>
      <c r="C2592" s="29"/>
      <c r="D2592" s="29"/>
      <c r="E2592" s="29"/>
      <c r="F2592" s="29"/>
      <c r="G2592" s="30"/>
    </row>
    <row r="2593" spans="1:14" s="3" customFormat="1" hidden="1" outlineLevel="1" x14ac:dyDescent="0.25">
      <c r="B2593" s="28"/>
      <c r="C2593" s="29"/>
      <c r="D2593" s="29"/>
      <c r="E2593" s="29"/>
      <c r="F2593" s="29"/>
      <c r="G2593" s="30"/>
    </row>
    <row r="2594" spans="1:14" s="3" customFormat="1" hidden="1" outlineLevel="1" x14ac:dyDescent="0.25">
      <c r="B2594" s="28"/>
      <c r="C2594" s="29"/>
      <c r="D2594" s="29"/>
      <c r="E2594" s="29"/>
      <c r="F2594" s="29"/>
      <c r="G2594" s="30"/>
    </row>
    <row r="2595" spans="1:14" ht="16.2" hidden="1" outlineLevel="1" thickBot="1" x14ac:dyDescent="0.3"/>
    <row r="2596" spans="1:14" s="3" customFormat="1" collapsed="1" x14ac:dyDescent="0.25">
      <c r="B2596" s="15" t="s">
        <v>1279</v>
      </c>
      <c r="C2596" s="16" t="s">
        <v>2240</v>
      </c>
      <c r="D2596" s="17" t="s">
        <v>1281</v>
      </c>
      <c r="E2596" s="29" t="s">
        <v>2474</v>
      </c>
      <c r="F2596" s="17" t="s">
        <v>1282</v>
      </c>
      <c r="G2596" s="192" t="s">
        <v>2241</v>
      </c>
    </row>
    <row r="2597" spans="1:14" s="3" customFormat="1" outlineLevel="1" x14ac:dyDescent="0.25">
      <c r="B2597" s="179" t="s">
        <v>1284</v>
      </c>
      <c r="C2597" s="29" t="s">
        <v>1285</v>
      </c>
      <c r="D2597" s="180" t="s">
        <v>1286</v>
      </c>
      <c r="E2597" s="29" t="s">
        <v>2242</v>
      </c>
      <c r="F2597" s="180" t="s">
        <v>1288</v>
      </c>
      <c r="G2597" s="30"/>
    </row>
    <row r="2598" spans="1:14" s="3" customFormat="1" ht="16.2" outlineLevel="1" thickBot="1" x14ac:dyDescent="0.3">
      <c r="B2598" s="19" t="s">
        <v>1290</v>
      </c>
      <c r="C2598" s="23" t="s">
        <v>1291</v>
      </c>
      <c r="D2598" s="21" t="s">
        <v>1292</v>
      </c>
      <c r="E2598" s="23">
        <v>5</v>
      </c>
      <c r="F2598" s="21" t="s">
        <v>1293</v>
      </c>
      <c r="G2598" s="24" t="s">
        <v>1294</v>
      </c>
    </row>
    <row r="2599" spans="1:14" s="3" customFormat="1" outlineLevel="1" x14ac:dyDescent="0.25">
      <c r="B2599" s="395" t="s">
        <v>1</v>
      </c>
      <c r="C2599" s="396"/>
      <c r="D2599" s="396"/>
      <c r="E2599" s="396"/>
      <c r="F2599" s="396"/>
      <c r="G2599" s="397"/>
    </row>
    <row r="2600" spans="1:14" s="3" customFormat="1" outlineLevel="1" x14ac:dyDescent="0.25">
      <c r="B2600" s="179" t="s">
        <v>2</v>
      </c>
      <c r="C2600" s="180" t="s">
        <v>3</v>
      </c>
      <c r="D2600" s="180" t="s">
        <v>4</v>
      </c>
      <c r="E2600" s="180" t="s">
        <v>5</v>
      </c>
      <c r="F2600" s="180"/>
      <c r="G2600" s="181" t="s">
        <v>6</v>
      </c>
    </row>
    <row r="2601" spans="1:14" s="3" customFormat="1" outlineLevel="1" x14ac:dyDescent="0.25">
      <c r="B2601" s="28" t="s">
        <v>15</v>
      </c>
      <c r="C2601" s="29" t="s">
        <v>1478</v>
      </c>
      <c r="D2601" s="29" t="s">
        <v>1469</v>
      </c>
      <c r="E2601" s="29">
        <v>0</v>
      </c>
      <c r="F2601" s="29" t="s">
        <v>1470</v>
      </c>
      <c r="G2601" s="30"/>
      <c r="J2601" s="3" t="s">
        <v>10</v>
      </c>
      <c r="N2601" s="3">
        <v>2430</v>
      </c>
    </row>
    <row r="2602" spans="1:14" s="11" customFormat="1" outlineLevel="1" x14ac:dyDescent="0.25">
      <c r="A2602" s="278"/>
      <c r="B2602" s="260" t="s">
        <v>159</v>
      </c>
      <c r="C2602" s="279" t="s">
        <v>1592</v>
      </c>
      <c r="D2602" s="262" t="s">
        <v>1593</v>
      </c>
      <c r="E2602" s="262" t="s">
        <v>1594</v>
      </c>
      <c r="F2602" s="262" t="s">
        <v>1470</v>
      </c>
      <c r="G2602" s="263" t="s">
        <v>1595</v>
      </c>
      <c r="H2602" s="12"/>
      <c r="I2602" s="12"/>
      <c r="J2602" s="12"/>
      <c r="K2602" s="12"/>
      <c r="L2602" s="12"/>
      <c r="M2602" s="12"/>
    </row>
    <row r="2603" spans="1:14" s="3" customFormat="1" outlineLevel="1" x14ac:dyDescent="0.25">
      <c r="B2603" s="28" t="s">
        <v>14</v>
      </c>
      <c r="C2603" s="29" t="s">
        <v>1475</v>
      </c>
      <c r="D2603" s="29" t="s">
        <v>1469</v>
      </c>
      <c r="E2603" s="29">
        <v>0</v>
      </c>
      <c r="F2603" s="29" t="s">
        <v>1476</v>
      </c>
      <c r="G2603" s="30" t="s">
        <v>1477</v>
      </c>
    </row>
    <row r="2604" spans="1:14" s="3" customFormat="1" outlineLevel="1" x14ac:dyDescent="0.25">
      <c r="B2604" s="28" t="s">
        <v>87</v>
      </c>
      <c r="C2604" s="29" t="s">
        <v>1535</v>
      </c>
      <c r="D2604" s="29" t="s">
        <v>1469</v>
      </c>
      <c r="E2604" s="29">
        <v>0</v>
      </c>
      <c r="F2604" s="29" t="s">
        <v>1476</v>
      </c>
      <c r="G2604" s="30"/>
      <c r="J2604" s="3" t="s">
        <v>10</v>
      </c>
      <c r="N2604" s="3">
        <v>2433</v>
      </c>
    </row>
    <row r="2605" spans="1:14" s="3" customFormat="1" outlineLevel="1" x14ac:dyDescent="0.25">
      <c r="B2605" s="185" t="s">
        <v>329</v>
      </c>
      <c r="C2605" s="23" t="s">
        <v>1747</v>
      </c>
      <c r="D2605" s="23" t="s">
        <v>1469</v>
      </c>
      <c r="E2605" s="23">
        <v>0</v>
      </c>
      <c r="F2605" s="23" t="s">
        <v>1476</v>
      </c>
      <c r="G2605" s="24" t="s">
        <v>1748</v>
      </c>
    </row>
    <row r="2606" spans="1:14" s="3" customFormat="1" outlineLevel="1" x14ac:dyDescent="0.25">
      <c r="A2606" s="5"/>
      <c r="B2606" s="31" t="s">
        <v>162</v>
      </c>
      <c r="C2606" s="20" t="s">
        <v>1589</v>
      </c>
      <c r="D2606" s="20" t="s">
        <v>1469</v>
      </c>
      <c r="E2606" s="20">
        <v>0</v>
      </c>
      <c r="F2606" s="20"/>
      <c r="G2606" s="22" t="s">
        <v>1590</v>
      </c>
    </row>
    <row r="2607" spans="1:14" s="3" customFormat="1" outlineLevel="1" x14ac:dyDescent="0.25">
      <c r="A2607" s="5"/>
      <c r="B2607" s="31" t="s">
        <v>163</v>
      </c>
      <c r="C2607" s="20" t="s">
        <v>1591</v>
      </c>
      <c r="D2607" s="20" t="s">
        <v>1469</v>
      </c>
      <c r="E2607" s="20">
        <v>0</v>
      </c>
      <c r="F2607" s="20"/>
      <c r="G2607" s="22" t="s">
        <v>1590</v>
      </c>
    </row>
    <row r="2608" spans="1:14" s="3" customFormat="1" outlineLevel="1" x14ac:dyDescent="0.25">
      <c r="B2608" s="28" t="s">
        <v>128</v>
      </c>
      <c r="C2608" s="29" t="s">
        <v>1566</v>
      </c>
      <c r="D2608" s="29" t="s">
        <v>1567</v>
      </c>
      <c r="E2608" s="29">
        <v>0</v>
      </c>
      <c r="F2608" s="29" t="s">
        <v>1470</v>
      </c>
      <c r="G2608" s="30"/>
      <c r="J2608" s="3" t="s">
        <v>12</v>
      </c>
      <c r="N2608" s="3">
        <v>1629</v>
      </c>
    </row>
    <row r="2609" spans="1:15" s="3" customFormat="1" outlineLevel="1" x14ac:dyDescent="0.25">
      <c r="B2609" s="28" t="s">
        <v>114</v>
      </c>
      <c r="C2609" s="29" t="s">
        <v>1557</v>
      </c>
      <c r="D2609" s="29" t="s">
        <v>1469</v>
      </c>
      <c r="E2609" s="29">
        <v>-1</v>
      </c>
      <c r="F2609" s="29" t="s">
        <v>1470</v>
      </c>
      <c r="G2609" s="30"/>
      <c r="J2609" s="3" t="s">
        <v>10</v>
      </c>
      <c r="N2609" s="3">
        <v>2449</v>
      </c>
    </row>
    <row r="2610" spans="1:15" s="3" customFormat="1" ht="16.2" outlineLevel="1" thickBot="1" x14ac:dyDescent="0.3">
      <c r="B2610" s="163"/>
      <c r="C2610" s="164"/>
      <c r="D2610" s="164"/>
      <c r="E2610" s="164"/>
      <c r="F2610" s="164"/>
      <c r="G2610" s="165"/>
    </row>
    <row r="2611" spans="1:15" s="3" customFormat="1" outlineLevel="1" x14ac:dyDescent="0.25">
      <c r="B2611" s="398" t="s">
        <v>18</v>
      </c>
      <c r="C2611" s="399"/>
      <c r="D2611" s="399"/>
      <c r="E2611" s="399"/>
      <c r="F2611" s="399"/>
      <c r="G2611" s="400"/>
    </row>
    <row r="2612" spans="1:15" s="3" customFormat="1" outlineLevel="1" x14ac:dyDescent="0.25">
      <c r="B2612" s="179" t="s">
        <v>2</v>
      </c>
      <c r="C2612" s="180" t="s">
        <v>3</v>
      </c>
      <c r="D2612" s="180" t="s">
        <v>4</v>
      </c>
      <c r="E2612" s="180" t="s">
        <v>5</v>
      </c>
      <c r="F2612" s="180"/>
      <c r="G2612" s="181" t="s">
        <v>6</v>
      </c>
    </row>
    <row r="2613" spans="1:15" s="3" customFormat="1" outlineLevel="1" x14ac:dyDescent="0.25">
      <c r="B2613" s="185" t="s">
        <v>128</v>
      </c>
      <c r="C2613" s="23" t="s">
        <v>1566</v>
      </c>
      <c r="D2613" s="23" t="s">
        <v>1567</v>
      </c>
      <c r="E2613" s="23">
        <v>0</v>
      </c>
      <c r="F2613" s="23" t="s">
        <v>1470</v>
      </c>
      <c r="G2613" s="24"/>
      <c r="J2613" s="3" t="s">
        <v>12</v>
      </c>
      <c r="K2613" s="3" t="s">
        <v>174</v>
      </c>
      <c r="L2613" s="3" t="s">
        <v>314</v>
      </c>
      <c r="M2613" s="3" t="s">
        <v>176</v>
      </c>
      <c r="N2613" s="3">
        <v>1866</v>
      </c>
      <c r="O2613" s="3">
        <v>64</v>
      </c>
    </row>
    <row r="2614" spans="1:15" s="11" customFormat="1" outlineLevel="1" x14ac:dyDescent="0.25">
      <c r="A2614" s="278"/>
      <c r="B2614" s="260" t="s">
        <v>15</v>
      </c>
      <c r="C2614" s="279" t="s">
        <v>1478</v>
      </c>
      <c r="D2614" s="262" t="s">
        <v>1469</v>
      </c>
      <c r="E2614" s="262">
        <v>0</v>
      </c>
      <c r="F2614" s="262" t="s">
        <v>1470</v>
      </c>
      <c r="G2614" s="263"/>
      <c r="H2614" s="12"/>
      <c r="I2614" s="12"/>
      <c r="J2614" s="12"/>
      <c r="K2614" s="12"/>
      <c r="L2614" s="12"/>
      <c r="M2614" s="12"/>
    </row>
    <row r="2615" spans="1:15" s="11" customFormat="1" outlineLevel="1" x14ac:dyDescent="0.25">
      <c r="A2615" s="278"/>
      <c r="B2615" s="260" t="s">
        <v>14</v>
      </c>
      <c r="C2615" s="279" t="s">
        <v>1475</v>
      </c>
      <c r="D2615" s="262" t="s">
        <v>1469</v>
      </c>
      <c r="E2615" s="262">
        <v>0</v>
      </c>
      <c r="F2615" s="262" t="s">
        <v>1476</v>
      </c>
      <c r="G2615" s="263" t="s">
        <v>1477</v>
      </c>
      <c r="H2615" s="12"/>
      <c r="I2615" s="12"/>
      <c r="J2615" s="12"/>
      <c r="K2615" s="12"/>
      <c r="L2615" s="12"/>
      <c r="M2615" s="12"/>
    </row>
    <row r="2616" spans="1:15" s="11" customFormat="1" outlineLevel="1" x14ac:dyDescent="0.25">
      <c r="A2616" s="278"/>
      <c r="B2616" s="260" t="s">
        <v>159</v>
      </c>
      <c r="C2616" s="279" t="s">
        <v>1592</v>
      </c>
      <c r="D2616" s="262" t="s">
        <v>1593</v>
      </c>
      <c r="E2616" s="262" t="s">
        <v>1594</v>
      </c>
      <c r="F2616" s="262" t="s">
        <v>1470</v>
      </c>
      <c r="G2616" s="263" t="s">
        <v>1595</v>
      </c>
      <c r="H2616" s="12"/>
      <c r="I2616" s="12"/>
      <c r="J2616" s="12"/>
      <c r="K2616" s="12"/>
      <c r="L2616" s="12"/>
      <c r="M2616" s="12"/>
    </row>
    <row r="2617" spans="1:15" s="11" customFormat="1" outlineLevel="1" x14ac:dyDescent="0.25">
      <c r="A2617" s="278"/>
      <c r="B2617" s="260" t="s">
        <v>161</v>
      </c>
      <c r="C2617" s="279" t="s">
        <v>1846</v>
      </c>
      <c r="D2617" s="262" t="s">
        <v>1652</v>
      </c>
      <c r="E2617" s="262" t="s">
        <v>1594</v>
      </c>
      <c r="F2617" s="262" t="s">
        <v>1470</v>
      </c>
      <c r="G2617" s="263"/>
      <c r="H2617" s="12"/>
      <c r="I2617" s="12"/>
      <c r="J2617" s="12"/>
      <c r="K2617" s="12"/>
      <c r="L2617" s="12"/>
      <c r="M2617" s="12"/>
    </row>
    <row r="2618" spans="1:15" s="12" customFormat="1" outlineLevel="1" x14ac:dyDescent="0.25">
      <c r="A2618" s="278"/>
      <c r="B2618" s="201" t="s">
        <v>87</v>
      </c>
      <c r="C2618" s="107" t="s">
        <v>1535</v>
      </c>
      <c r="D2618" s="107" t="s">
        <v>1469</v>
      </c>
      <c r="E2618" s="107">
        <v>0</v>
      </c>
      <c r="F2618" s="107" t="s">
        <v>1476</v>
      </c>
      <c r="G2618" s="108"/>
      <c r="H2618" s="273" t="str">
        <f>"ifnull("&amp;IF(I2618&lt;&gt;"",I2618,IF(F2619&lt;&gt;"",F2619,"t")&amp;"."&amp;C2619)&amp;","&amp;E2619&amp;") as "&amp;C2619&amp;",/*"&amp;B2619&amp;"*/"</f>
        <v>ifnull(select.asset_type,0) as asset_type,/*资产类型*/</v>
      </c>
    </row>
    <row r="2619" spans="1:15" s="12" customFormat="1" outlineLevel="1" x14ac:dyDescent="0.25">
      <c r="A2619" s="278"/>
      <c r="B2619" s="201" t="s">
        <v>329</v>
      </c>
      <c r="C2619" s="107" t="s">
        <v>1747</v>
      </c>
      <c r="D2619" s="107" t="s">
        <v>1469</v>
      </c>
      <c r="E2619" s="107">
        <v>0</v>
      </c>
      <c r="F2619" s="107" t="s">
        <v>1476</v>
      </c>
      <c r="G2619" s="108" t="s">
        <v>1748</v>
      </c>
      <c r="H2619" s="273" t="str">
        <f>"ifnull("&amp;IF(I2619&lt;&gt;"",I2619,IF(F2620&lt;&gt;"",F2620,"t")&amp;"."&amp;C2620)&amp;","&amp;E2620&amp;") as "&amp;C2620&amp;",/*"&amp;B2620&amp;"*/"</f>
        <v>ifnull(input.up_limit_price,0) as up_limit_price,/*涨停价*/</v>
      </c>
    </row>
    <row r="2620" spans="1:15" s="6" customFormat="1" outlineLevel="1" x14ac:dyDescent="0.25">
      <c r="A2620" s="278"/>
      <c r="B2620" s="260" t="s">
        <v>460</v>
      </c>
      <c r="C2620" s="262" t="s">
        <v>1847</v>
      </c>
      <c r="D2620" s="262" t="s">
        <v>1539</v>
      </c>
      <c r="E2620" s="262">
        <v>0</v>
      </c>
      <c r="F2620" s="262" t="s">
        <v>1470</v>
      </c>
      <c r="G2620" s="263"/>
      <c r="H2620" s="3"/>
      <c r="I2620" s="3"/>
      <c r="J2620" s="3"/>
      <c r="K2620" s="3"/>
      <c r="L2620" s="3"/>
      <c r="M2620" s="3"/>
    </row>
    <row r="2621" spans="1:15" s="6" customFormat="1" outlineLevel="1" x14ac:dyDescent="0.25">
      <c r="A2621" s="278"/>
      <c r="B2621" s="260" t="s">
        <v>461</v>
      </c>
      <c r="C2621" s="262" t="s">
        <v>1848</v>
      </c>
      <c r="D2621" s="262" t="s">
        <v>1539</v>
      </c>
      <c r="E2621" s="262">
        <v>0</v>
      </c>
      <c r="F2621" s="262" t="s">
        <v>1470</v>
      </c>
      <c r="G2621" s="263"/>
      <c r="H2621" s="3"/>
      <c r="I2621" s="3"/>
      <c r="J2621" s="3"/>
      <c r="K2621" s="3"/>
      <c r="L2621" s="3"/>
      <c r="M2621" s="3"/>
    </row>
    <row r="2622" spans="1:15" s="6" customFormat="1" outlineLevel="1" x14ac:dyDescent="0.25">
      <c r="A2622" s="278"/>
      <c r="B2622" s="260" t="s">
        <v>115</v>
      </c>
      <c r="C2622" s="262" t="s">
        <v>1558</v>
      </c>
      <c r="D2622" s="262" t="s">
        <v>1539</v>
      </c>
      <c r="E2622" s="262">
        <v>0</v>
      </c>
      <c r="F2622" s="262" t="s">
        <v>1470</v>
      </c>
      <c r="G2622" s="263"/>
      <c r="H2622" s="3"/>
      <c r="I2622" s="3"/>
      <c r="J2622" s="3"/>
      <c r="K2622" s="3"/>
      <c r="L2622" s="3"/>
      <c r="M2622" s="3"/>
    </row>
    <row r="2623" spans="1:15" s="6" customFormat="1" outlineLevel="1" x14ac:dyDescent="0.25">
      <c r="A2623" s="278"/>
      <c r="B2623" s="260" t="s">
        <v>327</v>
      </c>
      <c r="C2623" s="262" t="s">
        <v>1745</v>
      </c>
      <c r="D2623" s="262" t="s">
        <v>1539</v>
      </c>
      <c r="E2623" s="262">
        <v>0</v>
      </c>
      <c r="F2623" s="262" t="s">
        <v>1470</v>
      </c>
      <c r="G2623" s="263"/>
      <c r="H2623" s="3"/>
      <c r="I2623" s="3"/>
      <c r="J2623" s="3"/>
      <c r="K2623" s="3"/>
      <c r="L2623" s="3"/>
      <c r="M2623" s="3"/>
    </row>
    <row r="2624" spans="1:15" s="6" customFormat="1" outlineLevel="1" x14ac:dyDescent="0.25">
      <c r="A2624" s="278"/>
      <c r="B2624" s="260" t="s">
        <v>462</v>
      </c>
      <c r="C2624" s="262" t="s">
        <v>1849</v>
      </c>
      <c r="D2624" s="262" t="s">
        <v>1539</v>
      </c>
      <c r="E2624" s="262">
        <v>0</v>
      </c>
      <c r="F2624" s="262" t="s">
        <v>1470</v>
      </c>
      <c r="G2624" s="263"/>
      <c r="H2624" s="3"/>
      <c r="I2624" s="3"/>
      <c r="J2624" s="3"/>
      <c r="K2624" s="3"/>
      <c r="L2624" s="3"/>
      <c r="M2624" s="3"/>
    </row>
    <row r="2625" spans="1:13" s="6" customFormat="1" outlineLevel="1" x14ac:dyDescent="0.25">
      <c r="A2625" s="278"/>
      <c r="B2625" s="260" t="s">
        <v>91</v>
      </c>
      <c r="C2625" s="262" t="s">
        <v>1541</v>
      </c>
      <c r="D2625" s="262" t="s">
        <v>1539</v>
      </c>
      <c r="E2625" s="262">
        <v>0</v>
      </c>
      <c r="F2625" s="262" t="s">
        <v>1470</v>
      </c>
      <c r="G2625" s="263"/>
      <c r="H2625" s="3"/>
      <c r="I2625" s="3"/>
      <c r="J2625" s="3"/>
      <c r="K2625" s="3"/>
      <c r="L2625" s="3"/>
      <c r="M2625" s="3"/>
    </row>
    <row r="2626" spans="1:13" s="6" customFormat="1" outlineLevel="1" x14ac:dyDescent="0.25">
      <c r="A2626" s="278"/>
      <c r="B2626" s="260" t="s">
        <v>463</v>
      </c>
      <c r="C2626" s="262" t="s">
        <v>1850</v>
      </c>
      <c r="D2626" s="262" t="s">
        <v>1539</v>
      </c>
      <c r="E2626" s="262">
        <v>0</v>
      </c>
      <c r="F2626" s="262" t="s">
        <v>1470</v>
      </c>
      <c r="G2626" s="263"/>
      <c r="H2626" s="3"/>
      <c r="I2626" s="3"/>
      <c r="J2626" s="3"/>
      <c r="K2626" s="3"/>
      <c r="L2626" s="3"/>
      <c r="M2626" s="3"/>
    </row>
    <row r="2627" spans="1:13" s="6" customFormat="1" outlineLevel="1" x14ac:dyDescent="0.25">
      <c r="A2627" s="278"/>
      <c r="B2627" s="260" t="s">
        <v>464</v>
      </c>
      <c r="C2627" s="262" t="s">
        <v>1851</v>
      </c>
      <c r="D2627" s="262" t="s">
        <v>1539</v>
      </c>
      <c r="E2627" s="262">
        <v>0</v>
      </c>
      <c r="F2627" s="262" t="s">
        <v>1470</v>
      </c>
      <c r="G2627" s="263"/>
      <c r="H2627" s="3"/>
      <c r="I2627" s="3"/>
      <c r="J2627" s="3"/>
      <c r="K2627" s="3"/>
      <c r="L2627" s="3"/>
      <c r="M2627" s="3"/>
    </row>
    <row r="2628" spans="1:13" s="6" customFormat="1" outlineLevel="1" x14ac:dyDescent="0.25">
      <c r="A2628" s="278"/>
      <c r="B2628" s="280" t="s">
        <v>465</v>
      </c>
      <c r="C2628" s="262" t="s">
        <v>1852</v>
      </c>
      <c r="D2628" s="262" t="s">
        <v>1539</v>
      </c>
      <c r="E2628" s="262">
        <v>0</v>
      </c>
      <c r="F2628" s="262" t="s">
        <v>1470</v>
      </c>
      <c r="G2628" s="263"/>
      <c r="H2628" s="3"/>
      <c r="I2628" s="3"/>
      <c r="J2628" s="3"/>
      <c r="K2628" s="3"/>
      <c r="L2628" s="3"/>
      <c r="M2628" s="3"/>
    </row>
    <row r="2629" spans="1:13" s="6" customFormat="1" outlineLevel="1" x14ac:dyDescent="0.25">
      <c r="A2629" s="278"/>
      <c r="B2629" s="280" t="s">
        <v>466</v>
      </c>
      <c r="C2629" s="262" t="s">
        <v>1853</v>
      </c>
      <c r="D2629" s="262" t="s">
        <v>1486</v>
      </c>
      <c r="E2629" s="262">
        <v>0</v>
      </c>
      <c r="F2629" s="262" t="s">
        <v>1470</v>
      </c>
      <c r="G2629" s="263"/>
      <c r="H2629" s="3"/>
      <c r="I2629" s="3"/>
      <c r="J2629" s="3"/>
      <c r="K2629" s="3"/>
      <c r="L2629" s="3"/>
      <c r="M2629" s="3"/>
    </row>
    <row r="2630" spans="1:13" s="6" customFormat="1" outlineLevel="1" x14ac:dyDescent="0.25">
      <c r="A2630" s="278"/>
      <c r="B2630" s="280" t="s">
        <v>467</v>
      </c>
      <c r="C2630" s="262" t="s">
        <v>1854</v>
      </c>
      <c r="D2630" s="262" t="s">
        <v>1539</v>
      </c>
      <c r="E2630" s="262">
        <v>0</v>
      </c>
      <c r="F2630" s="262" t="s">
        <v>1470</v>
      </c>
      <c r="G2630" s="263"/>
      <c r="H2630" s="3"/>
      <c r="I2630" s="3"/>
      <c r="J2630" s="3"/>
      <c r="K2630" s="3"/>
      <c r="L2630" s="3"/>
      <c r="M2630" s="3"/>
    </row>
    <row r="2631" spans="1:13" s="6" customFormat="1" outlineLevel="1" x14ac:dyDescent="0.25">
      <c r="A2631" s="278"/>
      <c r="B2631" s="280" t="s">
        <v>468</v>
      </c>
      <c r="C2631" s="262" t="s">
        <v>1855</v>
      </c>
      <c r="D2631" s="262" t="s">
        <v>1486</v>
      </c>
      <c r="E2631" s="262">
        <v>0</v>
      </c>
      <c r="F2631" s="262" t="s">
        <v>1470</v>
      </c>
      <c r="G2631" s="263"/>
      <c r="H2631" s="3"/>
      <c r="I2631" s="3"/>
      <c r="J2631" s="3"/>
      <c r="K2631" s="3"/>
      <c r="L2631" s="3"/>
      <c r="M2631" s="3"/>
    </row>
    <row r="2632" spans="1:13" s="6" customFormat="1" outlineLevel="1" x14ac:dyDescent="0.25">
      <c r="A2632" s="278"/>
      <c r="B2632" s="280" t="s">
        <v>469</v>
      </c>
      <c r="C2632" s="262" t="s">
        <v>1856</v>
      </c>
      <c r="D2632" s="262" t="s">
        <v>1539</v>
      </c>
      <c r="E2632" s="262">
        <v>0</v>
      </c>
      <c r="F2632" s="262" t="s">
        <v>1470</v>
      </c>
      <c r="G2632" s="263"/>
      <c r="H2632" s="3"/>
      <c r="I2632" s="3"/>
      <c r="J2632" s="3"/>
      <c r="K2632" s="3"/>
      <c r="L2632" s="3"/>
      <c r="M2632" s="3"/>
    </row>
    <row r="2633" spans="1:13" s="6" customFormat="1" outlineLevel="1" x14ac:dyDescent="0.25">
      <c r="A2633" s="278"/>
      <c r="B2633" s="280" t="s">
        <v>470</v>
      </c>
      <c r="C2633" s="262" t="s">
        <v>1857</v>
      </c>
      <c r="D2633" s="262" t="s">
        <v>1486</v>
      </c>
      <c r="E2633" s="262">
        <v>0</v>
      </c>
      <c r="F2633" s="262" t="s">
        <v>1470</v>
      </c>
      <c r="G2633" s="263"/>
      <c r="H2633" s="3"/>
      <c r="I2633" s="3"/>
      <c r="J2633" s="3"/>
      <c r="K2633" s="3"/>
      <c r="L2633" s="3"/>
      <c r="M2633" s="3"/>
    </row>
    <row r="2634" spans="1:13" s="6" customFormat="1" outlineLevel="1" x14ac:dyDescent="0.25">
      <c r="A2634" s="278"/>
      <c r="B2634" s="280" t="s">
        <v>471</v>
      </c>
      <c r="C2634" s="262" t="s">
        <v>1858</v>
      </c>
      <c r="D2634" s="262" t="s">
        <v>1539</v>
      </c>
      <c r="E2634" s="262">
        <v>0</v>
      </c>
      <c r="F2634" s="262" t="s">
        <v>1470</v>
      </c>
      <c r="G2634" s="263"/>
      <c r="H2634" s="3"/>
      <c r="I2634" s="3"/>
      <c r="J2634" s="3"/>
      <c r="K2634" s="3"/>
      <c r="L2634" s="3"/>
      <c r="M2634" s="3"/>
    </row>
    <row r="2635" spans="1:13" s="6" customFormat="1" outlineLevel="1" x14ac:dyDescent="0.25">
      <c r="A2635" s="278"/>
      <c r="B2635" s="280" t="s">
        <v>472</v>
      </c>
      <c r="C2635" s="262" t="s">
        <v>1859</v>
      </c>
      <c r="D2635" s="262" t="s">
        <v>1486</v>
      </c>
      <c r="E2635" s="262">
        <v>0</v>
      </c>
      <c r="F2635" s="262" t="s">
        <v>1470</v>
      </c>
      <c r="G2635" s="263"/>
      <c r="H2635" s="3"/>
      <c r="I2635" s="3"/>
      <c r="J2635" s="3"/>
      <c r="K2635" s="3"/>
      <c r="L2635" s="3"/>
      <c r="M2635" s="3"/>
    </row>
    <row r="2636" spans="1:13" s="6" customFormat="1" outlineLevel="1" x14ac:dyDescent="0.25">
      <c r="A2636" s="278"/>
      <c r="B2636" s="280" t="s">
        <v>473</v>
      </c>
      <c r="C2636" s="262" t="s">
        <v>1860</v>
      </c>
      <c r="D2636" s="262" t="s">
        <v>1539</v>
      </c>
      <c r="E2636" s="262">
        <v>0</v>
      </c>
      <c r="F2636" s="262" t="s">
        <v>1470</v>
      </c>
      <c r="G2636" s="263"/>
      <c r="H2636" s="3"/>
      <c r="I2636" s="3"/>
      <c r="J2636" s="3"/>
      <c r="K2636" s="3"/>
      <c r="L2636" s="3"/>
      <c r="M2636" s="3"/>
    </row>
    <row r="2637" spans="1:13" s="6" customFormat="1" outlineLevel="1" x14ac:dyDescent="0.25">
      <c r="A2637" s="278"/>
      <c r="B2637" s="280" t="s">
        <v>474</v>
      </c>
      <c r="C2637" s="262" t="s">
        <v>1861</v>
      </c>
      <c r="D2637" s="262" t="s">
        <v>1486</v>
      </c>
      <c r="E2637" s="262">
        <v>0</v>
      </c>
      <c r="F2637" s="262" t="s">
        <v>1470</v>
      </c>
      <c r="G2637" s="263"/>
      <c r="H2637" s="3"/>
      <c r="I2637" s="3"/>
      <c r="J2637" s="3"/>
      <c r="K2637" s="3"/>
      <c r="L2637" s="3"/>
      <c r="M2637" s="3"/>
    </row>
    <row r="2638" spans="1:13" s="6" customFormat="1" outlineLevel="1" x14ac:dyDescent="0.25">
      <c r="A2638" s="278"/>
      <c r="B2638" s="280" t="s">
        <v>475</v>
      </c>
      <c r="C2638" s="262" t="s">
        <v>1862</v>
      </c>
      <c r="D2638" s="262" t="s">
        <v>1539</v>
      </c>
      <c r="E2638" s="262">
        <v>0</v>
      </c>
      <c r="F2638" s="262" t="s">
        <v>1470</v>
      </c>
      <c r="G2638" s="263"/>
      <c r="H2638" s="3"/>
      <c r="I2638" s="3"/>
      <c r="J2638" s="3"/>
      <c r="K2638" s="3"/>
      <c r="L2638" s="3"/>
      <c r="M2638" s="3"/>
    </row>
    <row r="2639" spans="1:13" s="6" customFormat="1" outlineLevel="1" x14ac:dyDescent="0.25">
      <c r="A2639" s="278"/>
      <c r="B2639" s="280" t="s">
        <v>476</v>
      </c>
      <c r="C2639" s="262" t="s">
        <v>1863</v>
      </c>
      <c r="D2639" s="262" t="s">
        <v>1486</v>
      </c>
      <c r="E2639" s="262">
        <v>0</v>
      </c>
      <c r="F2639" s="262" t="s">
        <v>1470</v>
      </c>
      <c r="G2639" s="263"/>
      <c r="H2639" s="3"/>
      <c r="I2639" s="3"/>
      <c r="J2639" s="3"/>
      <c r="K2639" s="3"/>
      <c r="L2639" s="3"/>
      <c r="M2639" s="3"/>
    </row>
    <row r="2640" spans="1:13" s="6" customFormat="1" outlineLevel="1" x14ac:dyDescent="0.25">
      <c r="A2640" s="278"/>
      <c r="B2640" s="280" t="s">
        <v>477</v>
      </c>
      <c r="C2640" s="262" t="s">
        <v>1864</v>
      </c>
      <c r="D2640" s="262" t="s">
        <v>1539</v>
      </c>
      <c r="E2640" s="262">
        <v>0</v>
      </c>
      <c r="F2640" s="262" t="s">
        <v>1470</v>
      </c>
      <c r="G2640" s="263"/>
      <c r="H2640" s="3"/>
      <c r="I2640" s="3"/>
      <c r="J2640" s="3"/>
      <c r="K2640" s="3"/>
      <c r="L2640" s="3"/>
      <c r="M2640" s="3"/>
    </row>
    <row r="2641" spans="1:13" s="6" customFormat="1" outlineLevel="1" x14ac:dyDescent="0.25">
      <c r="A2641" s="278"/>
      <c r="B2641" s="280" t="s">
        <v>478</v>
      </c>
      <c r="C2641" s="262" t="s">
        <v>1865</v>
      </c>
      <c r="D2641" s="262" t="s">
        <v>1486</v>
      </c>
      <c r="E2641" s="262">
        <v>0</v>
      </c>
      <c r="F2641" s="262" t="s">
        <v>1470</v>
      </c>
      <c r="G2641" s="263"/>
      <c r="H2641" s="3"/>
      <c r="I2641" s="3"/>
      <c r="J2641" s="3"/>
      <c r="K2641" s="3"/>
      <c r="L2641" s="3"/>
      <c r="M2641" s="3"/>
    </row>
    <row r="2642" spans="1:13" s="6" customFormat="1" outlineLevel="1" x14ac:dyDescent="0.25">
      <c r="A2642" s="278"/>
      <c r="B2642" s="280" t="s">
        <v>479</v>
      </c>
      <c r="C2642" s="262" t="s">
        <v>1866</v>
      </c>
      <c r="D2642" s="262" t="s">
        <v>1539</v>
      </c>
      <c r="E2642" s="262">
        <v>0</v>
      </c>
      <c r="F2642" s="262" t="s">
        <v>1470</v>
      </c>
      <c r="G2642" s="263"/>
      <c r="H2642" s="3"/>
      <c r="I2642" s="3"/>
      <c r="J2642" s="3"/>
      <c r="K2642" s="3"/>
      <c r="L2642" s="3"/>
      <c r="M2642" s="3"/>
    </row>
    <row r="2643" spans="1:13" s="6" customFormat="1" outlineLevel="1" x14ac:dyDescent="0.25">
      <c r="A2643" s="278"/>
      <c r="B2643" s="280" t="s">
        <v>480</v>
      </c>
      <c r="C2643" s="262" t="s">
        <v>1867</v>
      </c>
      <c r="D2643" s="262" t="s">
        <v>1486</v>
      </c>
      <c r="E2643" s="262">
        <v>0</v>
      </c>
      <c r="F2643" s="262" t="s">
        <v>1470</v>
      </c>
      <c r="G2643" s="263"/>
      <c r="H2643" s="3"/>
      <c r="I2643" s="3"/>
      <c r="J2643" s="3"/>
      <c r="K2643" s="3"/>
      <c r="L2643" s="3"/>
      <c r="M2643" s="3"/>
    </row>
    <row r="2644" spans="1:13" s="6" customFormat="1" outlineLevel="1" x14ac:dyDescent="0.25">
      <c r="A2644" s="278"/>
      <c r="B2644" s="280" t="s">
        <v>481</v>
      </c>
      <c r="C2644" s="262" t="s">
        <v>1868</v>
      </c>
      <c r="D2644" s="262" t="s">
        <v>1539</v>
      </c>
      <c r="E2644" s="262">
        <v>0</v>
      </c>
      <c r="F2644" s="262" t="s">
        <v>1470</v>
      </c>
      <c r="G2644" s="263"/>
      <c r="H2644" s="3"/>
      <c r="I2644" s="3"/>
      <c r="J2644" s="3"/>
      <c r="K2644" s="3"/>
      <c r="L2644" s="3"/>
      <c r="M2644" s="3"/>
    </row>
    <row r="2645" spans="1:13" s="6" customFormat="1" outlineLevel="1" x14ac:dyDescent="0.25">
      <c r="A2645" s="278"/>
      <c r="B2645" s="280" t="s">
        <v>482</v>
      </c>
      <c r="C2645" s="262" t="s">
        <v>1869</v>
      </c>
      <c r="D2645" s="262" t="s">
        <v>1486</v>
      </c>
      <c r="E2645" s="262">
        <v>0</v>
      </c>
      <c r="F2645" s="262" t="s">
        <v>1470</v>
      </c>
      <c r="G2645" s="263"/>
      <c r="H2645" s="3"/>
      <c r="I2645" s="3"/>
      <c r="J2645" s="3"/>
      <c r="K2645" s="3"/>
      <c r="L2645" s="3"/>
      <c r="M2645" s="3"/>
    </row>
    <row r="2646" spans="1:13" s="6" customFormat="1" outlineLevel="1" x14ac:dyDescent="0.25">
      <c r="A2646" s="278"/>
      <c r="B2646" s="280" t="s">
        <v>483</v>
      </c>
      <c r="C2646" s="262" t="s">
        <v>1870</v>
      </c>
      <c r="D2646" s="262" t="s">
        <v>1539</v>
      </c>
      <c r="E2646" s="262">
        <v>0</v>
      </c>
      <c r="F2646" s="262" t="s">
        <v>1470</v>
      </c>
      <c r="G2646" s="263"/>
      <c r="H2646" s="3"/>
      <c r="I2646" s="3"/>
      <c r="J2646" s="3"/>
      <c r="K2646" s="3"/>
      <c r="L2646" s="3"/>
      <c r="M2646" s="3"/>
    </row>
    <row r="2647" spans="1:13" s="6" customFormat="1" outlineLevel="1" x14ac:dyDescent="0.25">
      <c r="A2647" s="278"/>
      <c r="B2647" s="280" t="s">
        <v>484</v>
      </c>
      <c r="C2647" s="262" t="s">
        <v>1871</v>
      </c>
      <c r="D2647" s="262" t="s">
        <v>1486</v>
      </c>
      <c r="E2647" s="262">
        <v>0</v>
      </c>
      <c r="F2647" s="262" t="s">
        <v>1470</v>
      </c>
      <c r="G2647" s="263"/>
      <c r="H2647" s="3"/>
      <c r="I2647" s="3"/>
      <c r="J2647" s="3"/>
      <c r="K2647" s="3"/>
      <c r="L2647" s="3"/>
      <c r="M2647" s="3"/>
    </row>
    <row r="2648" spans="1:13" s="6" customFormat="1" outlineLevel="1" x14ac:dyDescent="0.25">
      <c r="A2648" s="278"/>
      <c r="B2648" s="260" t="s">
        <v>212</v>
      </c>
      <c r="C2648" s="262" t="s">
        <v>1654</v>
      </c>
      <c r="D2648" s="262" t="s">
        <v>1486</v>
      </c>
      <c r="E2648" s="262">
        <v>0</v>
      </c>
      <c r="F2648" s="262" t="s">
        <v>1470</v>
      </c>
      <c r="G2648" s="263" t="s">
        <v>1655</v>
      </c>
      <c r="H2648" s="3"/>
      <c r="I2648" s="3"/>
      <c r="J2648" s="3"/>
      <c r="K2648" s="3"/>
      <c r="L2648" s="3"/>
      <c r="M2648" s="3"/>
    </row>
    <row r="2649" spans="1:13" s="6" customFormat="1" outlineLevel="1" x14ac:dyDescent="0.25">
      <c r="A2649" s="278"/>
      <c r="B2649" s="260" t="s">
        <v>213</v>
      </c>
      <c r="C2649" s="262" t="s">
        <v>1656</v>
      </c>
      <c r="D2649" s="262" t="s">
        <v>1489</v>
      </c>
      <c r="E2649" s="262">
        <v>0</v>
      </c>
      <c r="F2649" s="262" t="s">
        <v>1470</v>
      </c>
      <c r="G2649" s="263" t="s">
        <v>1657</v>
      </c>
      <c r="H2649" s="3"/>
      <c r="I2649" s="3"/>
      <c r="J2649" s="3"/>
      <c r="K2649" s="3"/>
      <c r="L2649" s="3"/>
      <c r="M2649" s="3"/>
    </row>
    <row r="2650" spans="1:13" s="6" customFormat="1" outlineLevel="1" x14ac:dyDescent="0.25">
      <c r="A2650" s="278"/>
      <c r="B2650" s="260" t="s">
        <v>485</v>
      </c>
      <c r="C2650" s="262" t="s">
        <v>1872</v>
      </c>
      <c r="D2650" s="262" t="s">
        <v>1494</v>
      </c>
      <c r="E2650" s="262">
        <v>0</v>
      </c>
      <c r="F2650" s="262" t="s">
        <v>1470</v>
      </c>
      <c r="G2650" s="263"/>
      <c r="H2650" s="3"/>
      <c r="I2650" s="3"/>
      <c r="J2650" s="3"/>
      <c r="K2650" s="3"/>
      <c r="L2650" s="3"/>
      <c r="M2650" s="3"/>
    </row>
    <row r="2651" spans="1:13" s="12" customFormat="1" outlineLevel="1" x14ac:dyDescent="0.25">
      <c r="A2651" s="278"/>
      <c r="B2651" s="260" t="s">
        <v>486</v>
      </c>
      <c r="C2651" s="262" t="s">
        <v>1873</v>
      </c>
      <c r="D2651" s="262" t="s">
        <v>1469</v>
      </c>
      <c r="E2651" s="262" t="s">
        <v>1874</v>
      </c>
      <c r="F2651" s="262"/>
      <c r="G2651" s="263"/>
    </row>
    <row r="2652" spans="1:13" s="3" customFormat="1" ht="16.2" outlineLevel="1" thickBot="1" x14ac:dyDescent="0.3">
      <c r="B2652" s="116"/>
      <c r="C2652" s="117"/>
      <c r="D2652" s="117"/>
      <c r="E2652" s="117"/>
      <c r="F2652" s="117"/>
      <c r="G2652" s="105" t="s">
        <v>457</v>
      </c>
    </row>
    <row r="2653" spans="1:13" s="3" customFormat="1" outlineLevel="1" x14ac:dyDescent="0.25">
      <c r="B2653" s="395" t="s">
        <v>29</v>
      </c>
      <c r="C2653" s="396"/>
      <c r="D2653" s="396"/>
      <c r="E2653" s="396"/>
      <c r="F2653" s="396"/>
      <c r="G2653" s="397"/>
    </row>
    <row r="2654" spans="1:13" s="3" customFormat="1" outlineLevel="1" x14ac:dyDescent="0.25">
      <c r="B2654" s="125" t="s">
        <v>2471</v>
      </c>
      <c r="C2654" s="117"/>
      <c r="D2654" s="117"/>
      <c r="E2654" s="117"/>
      <c r="F2654" s="117"/>
      <c r="G2654" s="105"/>
    </row>
    <row r="2655" spans="1:13" s="3" customFormat="1" outlineLevel="1" x14ac:dyDescent="0.25">
      <c r="B2655" s="125" t="s">
        <v>2482</v>
      </c>
      <c r="C2655" s="379"/>
      <c r="D2655" s="117"/>
      <c r="E2655" s="117"/>
      <c r="F2655" s="117"/>
      <c r="G2655" s="105"/>
    </row>
    <row r="2656" spans="1:13" s="3" customFormat="1" outlineLevel="1" x14ac:dyDescent="0.25">
      <c r="B2656" s="125"/>
      <c r="C2656" s="379"/>
      <c r="D2656" s="117"/>
      <c r="E2656" s="117"/>
      <c r="F2656" s="117"/>
      <c r="G2656" s="105"/>
    </row>
    <row r="2657" spans="1:10" s="3" customFormat="1" outlineLevel="1" x14ac:dyDescent="0.25">
      <c r="B2657" s="125" t="s">
        <v>2468</v>
      </c>
      <c r="C2657" s="125"/>
      <c r="D2657" s="117"/>
      <c r="E2657" s="117"/>
      <c r="F2657" s="117"/>
      <c r="G2657" s="105"/>
    </row>
    <row r="2658" spans="1:10" s="3" customFormat="1" ht="17.399999999999999" customHeight="1" outlineLevel="1" x14ac:dyDescent="0.25">
      <c r="A2658" s="5"/>
      <c r="B2658" s="106" t="s">
        <v>851</v>
      </c>
      <c r="C2658" s="107"/>
      <c r="D2658" s="107"/>
      <c r="E2658" s="107"/>
      <c r="F2658" s="107"/>
      <c r="G2658" s="108"/>
      <c r="H2658" s="5"/>
    </row>
    <row r="2659" spans="1:10" s="3" customFormat="1" outlineLevel="1" x14ac:dyDescent="0.25">
      <c r="A2659" s="14"/>
      <c r="B2659" s="154" t="s">
        <v>2470</v>
      </c>
      <c r="C2659" s="23"/>
      <c r="D2659" s="23"/>
      <c r="E2659" s="23"/>
      <c r="F2659" s="23"/>
      <c r="G2659" s="123"/>
      <c r="H2659" s="14"/>
      <c r="I2659" s="14"/>
      <c r="J2659" s="14"/>
    </row>
    <row r="2660" spans="1:10" s="3" customFormat="1" outlineLevel="1" x14ac:dyDescent="0.25">
      <c r="A2660" s="5"/>
      <c r="B2660" s="115"/>
      <c r="C2660" s="20"/>
      <c r="D2660" s="20"/>
      <c r="E2660" s="20"/>
      <c r="F2660" s="20"/>
      <c r="G2660" s="22"/>
      <c r="J2660" s="55"/>
    </row>
    <row r="2661" spans="1:10" s="9" customFormat="1" ht="17.399999999999999" customHeight="1" outlineLevel="1" x14ac:dyDescent="0.25">
      <c r="A2661" s="5"/>
      <c r="B2661" s="31" t="s">
        <v>2472</v>
      </c>
      <c r="C2661" s="20"/>
      <c r="D2661" s="20"/>
      <c r="E2661" s="20"/>
      <c r="F2661" s="20"/>
      <c r="G2661" s="22"/>
      <c r="H2661" s="3"/>
      <c r="I2661" s="3"/>
      <c r="J2661" s="45"/>
    </row>
    <row r="2662" spans="1:10" s="3" customFormat="1" outlineLevel="1" x14ac:dyDescent="0.25">
      <c r="A2662" s="5"/>
      <c r="B2662" s="46" t="s">
        <v>2483</v>
      </c>
      <c r="C2662" s="20"/>
      <c r="D2662" s="20"/>
      <c r="E2662" s="20"/>
      <c r="F2662" s="20"/>
      <c r="G2662" s="22"/>
      <c r="J2662" s="45"/>
    </row>
    <row r="2663" spans="1:10" s="3" customFormat="1" outlineLevel="1" x14ac:dyDescent="0.25">
      <c r="A2663" s="5"/>
      <c r="B2663" s="46" t="s">
        <v>2307</v>
      </c>
      <c r="C2663" s="20"/>
      <c r="D2663" s="20"/>
      <c r="E2663" s="20"/>
      <c r="F2663" s="20"/>
      <c r="G2663" s="22"/>
    </row>
    <row r="2664" spans="1:10" s="3" customFormat="1" outlineLevel="1" x14ac:dyDescent="0.25">
      <c r="A2664" s="5"/>
      <c r="B2664" s="50" t="s">
        <v>722</v>
      </c>
      <c r="C2664" s="20"/>
      <c r="D2664" s="20"/>
      <c r="E2664" s="20"/>
      <c r="F2664" s="20"/>
      <c r="G2664" s="22"/>
    </row>
    <row r="2665" spans="1:10" s="3" customFormat="1" ht="17.399999999999999" customHeight="1" outlineLevel="1" x14ac:dyDescent="0.25">
      <c r="A2665" s="5"/>
      <c r="B2665" s="128" t="s">
        <v>2469</v>
      </c>
      <c r="C2665" s="107"/>
      <c r="D2665" s="107"/>
      <c r="E2665" s="107"/>
      <c r="F2665" s="107"/>
      <c r="G2665" s="129"/>
    </row>
    <row r="2666" spans="1:10" s="3" customFormat="1" outlineLevel="1" x14ac:dyDescent="0.25">
      <c r="A2666" s="5"/>
      <c r="B2666" s="50" t="s">
        <v>726</v>
      </c>
      <c r="C2666" s="20"/>
      <c r="D2666" s="20"/>
      <c r="E2666" s="20"/>
      <c r="F2666" s="20"/>
      <c r="G2666" s="22"/>
    </row>
    <row r="2667" spans="1:10" s="3" customFormat="1" outlineLevel="1" x14ac:dyDescent="0.25">
      <c r="A2667" s="5"/>
      <c r="B2667" s="115"/>
      <c r="C2667" s="20"/>
      <c r="D2667" s="20"/>
      <c r="E2667" s="20"/>
      <c r="F2667" s="20"/>
      <c r="G2667" s="22"/>
      <c r="J2667" s="55"/>
    </row>
    <row r="2668" spans="1:10" outlineLevel="1" x14ac:dyDescent="0.25">
      <c r="B2668" s="154" t="s">
        <v>1194</v>
      </c>
      <c r="C2668" s="23"/>
      <c r="D2668" s="23"/>
      <c r="E2668" s="23"/>
      <c r="F2668" s="23"/>
      <c r="G2668" s="123"/>
    </row>
    <row r="2669" spans="1:10" s="3" customFormat="1" outlineLevel="1" x14ac:dyDescent="0.25">
      <c r="A2669" s="5"/>
      <c r="B2669" s="115" t="s">
        <v>2481</v>
      </c>
      <c r="C2669" s="20"/>
      <c r="D2669" s="20"/>
      <c r="E2669" s="20"/>
      <c r="F2669" s="20"/>
      <c r="G2669" s="22"/>
      <c r="J2669" s="55"/>
    </row>
    <row r="2670" spans="1:10" s="9" customFormat="1" ht="17.399999999999999" customHeight="1" outlineLevel="1" x14ac:dyDescent="0.25">
      <c r="A2670" s="5"/>
      <c r="B2670" s="31" t="s">
        <v>2480</v>
      </c>
      <c r="C2670" s="20"/>
      <c r="D2670" s="20"/>
      <c r="E2670" s="20"/>
      <c r="F2670" s="20"/>
      <c r="G2670" s="22"/>
      <c r="H2670" s="3"/>
      <c r="I2670" s="3"/>
      <c r="J2670" s="45"/>
    </row>
    <row r="2671" spans="1:10" s="3" customFormat="1" outlineLevel="1" x14ac:dyDescent="0.25">
      <c r="A2671" s="5"/>
      <c r="B2671" s="46" t="s">
        <v>2479</v>
      </c>
      <c r="C2671" s="20"/>
      <c r="D2671" s="20"/>
      <c r="E2671" s="20"/>
      <c r="F2671" s="20"/>
      <c r="G2671" s="22"/>
      <c r="J2671" s="45"/>
    </row>
    <row r="2672" spans="1:10" s="3" customFormat="1" outlineLevel="1" x14ac:dyDescent="0.25">
      <c r="A2672" s="5"/>
      <c r="B2672" s="46" t="s">
        <v>2476</v>
      </c>
      <c r="C2672" s="20"/>
      <c r="D2672" s="20"/>
      <c r="E2672" s="20"/>
      <c r="F2672" s="20"/>
      <c r="G2672" s="22"/>
    </row>
    <row r="2673" spans="1:10" s="3" customFormat="1" outlineLevel="1" x14ac:dyDescent="0.25">
      <c r="A2673" s="5"/>
      <c r="B2673" s="50" t="s">
        <v>2478</v>
      </c>
      <c r="C2673" s="20"/>
      <c r="D2673" s="20"/>
      <c r="E2673" s="20"/>
      <c r="F2673" s="20"/>
      <c r="G2673" s="22"/>
    </row>
    <row r="2674" spans="1:10" s="3" customFormat="1" outlineLevel="1" x14ac:dyDescent="0.25">
      <c r="A2674" s="5"/>
      <c r="B2674" s="90" t="s">
        <v>2475</v>
      </c>
      <c r="C2674" s="20"/>
      <c r="D2674" s="20"/>
      <c r="E2674" s="20"/>
      <c r="F2674" s="20"/>
      <c r="G2674" s="22"/>
    </row>
    <row r="2675" spans="1:10" s="3" customFormat="1" ht="17.399999999999999" customHeight="1" outlineLevel="1" x14ac:dyDescent="0.25">
      <c r="A2675" s="5"/>
      <c r="B2675" s="128" t="s">
        <v>2477</v>
      </c>
      <c r="C2675" s="107"/>
      <c r="D2675" s="107"/>
      <c r="E2675" s="107"/>
      <c r="F2675" s="107"/>
      <c r="G2675" s="129"/>
    </row>
    <row r="2676" spans="1:10" s="3" customFormat="1" outlineLevel="1" x14ac:dyDescent="0.25">
      <c r="A2676" s="5"/>
      <c r="B2676" s="50" t="s">
        <v>726</v>
      </c>
      <c r="C2676" s="20"/>
      <c r="D2676" s="20"/>
      <c r="E2676" s="20"/>
      <c r="F2676" s="20"/>
      <c r="G2676" s="22"/>
    </row>
    <row r="2677" spans="1:10" s="3" customFormat="1" outlineLevel="1" x14ac:dyDescent="0.25">
      <c r="A2677" s="5"/>
      <c r="B2677" s="50" t="s">
        <v>2473</v>
      </c>
      <c r="C2677" s="20"/>
      <c r="D2677" s="20"/>
      <c r="E2677" s="20"/>
      <c r="F2677" s="20"/>
      <c r="G2677" s="22"/>
    </row>
    <row r="2678" spans="1:10" outlineLevel="1" x14ac:dyDescent="0.25">
      <c r="B2678" s="154" t="s">
        <v>1195</v>
      </c>
      <c r="C2678" s="23"/>
      <c r="D2678" s="23"/>
      <c r="E2678" s="23"/>
      <c r="F2678" s="23"/>
      <c r="G2678" s="123"/>
    </row>
    <row r="2679" spans="1:10" s="9" customFormat="1" ht="17.399999999999999" customHeight="1" outlineLevel="1" x14ac:dyDescent="0.25">
      <c r="A2679" s="5"/>
      <c r="B2679" s="31"/>
      <c r="C2679" s="20"/>
      <c r="D2679" s="20"/>
      <c r="E2679" s="20"/>
      <c r="F2679" s="20"/>
      <c r="G2679" s="22"/>
      <c r="H2679" s="3"/>
      <c r="I2679" s="3"/>
      <c r="J2679" s="45"/>
    </row>
    <row r="2680" spans="1:10" s="3" customFormat="1" outlineLevel="1" x14ac:dyDescent="0.25">
      <c r="A2680" s="5"/>
      <c r="B2680" s="46"/>
      <c r="C2680" s="20"/>
      <c r="D2680" s="20"/>
      <c r="E2680" s="20"/>
      <c r="F2680" s="20"/>
      <c r="G2680" s="22"/>
      <c r="J2680" s="45"/>
    </row>
    <row r="2681" spans="1:10" s="3" customFormat="1" outlineLevel="1" x14ac:dyDescent="0.25">
      <c r="A2681" s="5"/>
      <c r="B2681" s="46"/>
      <c r="C2681" s="20"/>
      <c r="D2681" s="20"/>
      <c r="E2681" s="20"/>
      <c r="F2681" s="20"/>
      <c r="G2681" s="22"/>
    </row>
    <row r="2682" spans="1:10" s="3" customFormat="1" outlineLevel="1" x14ac:dyDescent="0.25">
      <c r="A2682" s="5"/>
      <c r="B2682" s="50"/>
      <c r="C2682" s="20"/>
      <c r="D2682" s="20"/>
      <c r="E2682" s="20"/>
      <c r="F2682" s="20"/>
      <c r="G2682" s="22"/>
    </row>
    <row r="2683" spans="1:10" s="3" customFormat="1" outlineLevel="1" x14ac:dyDescent="0.25">
      <c r="A2683" s="5"/>
      <c r="B2683" s="50"/>
      <c r="C2683" s="20"/>
      <c r="D2683" s="20"/>
      <c r="E2683" s="20"/>
      <c r="F2683" s="20"/>
      <c r="G2683" s="22"/>
    </row>
    <row r="2684" spans="1:10" s="9" customFormat="1" ht="17.399999999999999" customHeight="1" outlineLevel="1" x14ac:dyDescent="0.25">
      <c r="A2684" s="5"/>
      <c r="B2684" s="31"/>
      <c r="C2684" s="20"/>
      <c r="D2684" s="20"/>
      <c r="E2684" s="20"/>
      <c r="F2684" s="20"/>
      <c r="G2684" s="22"/>
      <c r="H2684" s="3"/>
      <c r="I2684" s="3"/>
      <c r="J2684" s="45"/>
    </row>
    <row r="2685" spans="1:10" s="3" customFormat="1" outlineLevel="1" x14ac:dyDescent="0.25">
      <c r="A2685" s="5"/>
      <c r="B2685" s="46"/>
      <c r="C2685" s="20"/>
      <c r="D2685" s="20"/>
      <c r="E2685" s="20"/>
      <c r="F2685" s="20"/>
      <c r="G2685" s="22"/>
      <c r="J2685" s="45"/>
    </row>
    <row r="2686" spans="1:10" s="3" customFormat="1" outlineLevel="1" x14ac:dyDescent="0.25">
      <c r="A2686" s="5"/>
      <c r="B2686" s="46"/>
      <c r="C2686" s="20"/>
      <c r="D2686" s="20"/>
      <c r="E2686" s="20"/>
      <c r="F2686" s="20"/>
      <c r="G2686" s="22"/>
    </row>
    <row r="2687" spans="1:10" s="3" customFormat="1" outlineLevel="1" x14ac:dyDescent="0.25">
      <c r="A2687" s="5"/>
      <c r="B2687" s="50"/>
      <c r="C2687" s="20"/>
      <c r="D2687" s="20"/>
      <c r="E2687" s="20"/>
      <c r="F2687" s="20"/>
      <c r="G2687" s="22"/>
    </row>
    <row r="2688" spans="1:10" s="3" customFormat="1" outlineLevel="1" x14ac:dyDescent="0.25">
      <c r="A2688" s="5"/>
      <c r="B2688" s="50"/>
      <c r="C2688" s="20"/>
      <c r="D2688" s="20"/>
      <c r="E2688" s="20"/>
      <c r="F2688" s="20"/>
      <c r="G2688" s="22"/>
    </row>
    <row r="2689" spans="1:14" s="3" customFormat="1" ht="16.2" outlineLevel="1" thickBot="1" x14ac:dyDescent="0.3">
      <c r="A2689" s="5"/>
      <c r="B2689" s="52"/>
      <c r="C2689" s="53"/>
      <c r="D2689" s="53"/>
      <c r="E2689" s="53"/>
      <c r="F2689" s="53"/>
      <c r="G2689" s="54"/>
    </row>
    <row r="2690" spans="1:14" ht="16.2" outlineLevel="1" thickBot="1" x14ac:dyDescent="0.3"/>
    <row r="2691" spans="1:14" s="3" customFormat="1" ht="16.2" thickBot="1" x14ac:dyDescent="0.3">
      <c r="B2691" s="15" t="s">
        <v>1279</v>
      </c>
      <c r="C2691" s="16" t="s">
        <v>2243</v>
      </c>
      <c r="D2691" s="17" t="s">
        <v>1281</v>
      </c>
      <c r="E2691" s="29" t="s">
        <v>1196</v>
      </c>
      <c r="F2691" s="17" t="s">
        <v>1282</v>
      </c>
      <c r="G2691" s="192" t="s">
        <v>2244</v>
      </c>
    </row>
    <row r="2692" spans="1:14" s="3" customFormat="1" hidden="1" outlineLevel="1" x14ac:dyDescent="0.25">
      <c r="B2692" s="179" t="s">
        <v>1284</v>
      </c>
      <c r="C2692" s="29" t="s">
        <v>1285</v>
      </c>
      <c r="D2692" s="180" t="s">
        <v>1286</v>
      </c>
      <c r="E2692" s="29" t="s">
        <v>2245</v>
      </c>
      <c r="F2692" s="180" t="s">
        <v>1288</v>
      </c>
      <c r="G2692" s="30"/>
    </row>
    <row r="2693" spans="1:14" s="3" customFormat="1" ht="16.2" hidden="1" outlineLevel="1" thickBot="1" x14ac:dyDescent="0.3">
      <c r="B2693" s="19" t="s">
        <v>1290</v>
      </c>
      <c r="C2693" s="23" t="s">
        <v>1291</v>
      </c>
      <c r="D2693" s="21" t="s">
        <v>1292</v>
      </c>
      <c r="E2693" s="23">
        <v>5</v>
      </c>
      <c r="F2693" s="21" t="s">
        <v>1293</v>
      </c>
      <c r="G2693" s="24" t="s">
        <v>1294</v>
      </c>
    </row>
    <row r="2694" spans="1:14" s="3" customFormat="1" hidden="1" outlineLevel="1" x14ac:dyDescent="0.25">
      <c r="B2694" s="395" t="s">
        <v>1</v>
      </c>
      <c r="C2694" s="396"/>
      <c r="D2694" s="396"/>
      <c r="E2694" s="396"/>
      <c r="F2694" s="396"/>
      <c r="G2694" s="397"/>
    </row>
    <row r="2695" spans="1:14" s="3" customFormat="1" hidden="1" outlineLevel="1" x14ac:dyDescent="0.25">
      <c r="B2695" s="179" t="s">
        <v>2</v>
      </c>
      <c r="C2695" s="180" t="s">
        <v>3</v>
      </c>
      <c r="D2695" s="180" t="s">
        <v>4</v>
      </c>
      <c r="E2695" s="180" t="s">
        <v>5</v>
      </c>
      <c r="F2695" s="180"/>
      <c r="G2695" s="181" t="s">
        <v>6</v>
      </c>
    </row>
    <row r="2696" spans="1:14" s="3" customFormat="1" hidden="1" outlineLevel="1" x14ac:dyDescent="0.25">
      <c r="B2696" s="29" t="s">
        <v>112</v>
      </c>
      <c r="C2696" s="29" t="s">
        <v>1555</v>
      </c>
      <c r="D2696" s="29" t="s">
        <v>1469</v>
      </c>
      <c r="E2696" s="29">
        <v>0</v>
      </c>
      <c r="F2696" s="29" t="s">
        <v>1470</v>
      </c>
      <c r="G2696" s="30" t="s">
        <v>1556</v>
      </c>
    </row>
    <row r="2697" spans="1:14" s="3" customFormat="1" hidden="1" outlineLevel="1" x14ac:dyDescent="0.25">
      <c r="B2697" s="29" t="s">
        <v>7</v>
      </c>
      <c r="C2697" s="29" t="s">
        <v>1468</v>
      </c>
      <c r="D2697" s="29" t="s">
        <v>1469</v>
      </c>
      <c r="E2697" s="29">
        <v>0</v>
      </c>
      <c r="F2697" s="29" t="s">
        <v>1470</v>
      </c>
      <c r="G2697" s="30" t="s">
        <v>1471</v>
      </c>
    </row>
    <row r="2698" spans="1:14" s="3" customFormat="1" hidden="1" outlineLevel="1" x14ac:dyDescent="0.25">
      <c r="B2698" s="28" t="s">
        <v>15</v>
      </c>
      <c r="C2698" s="29" t="s">
        <v>1478</v>
      </c>
      <c r="D2698" s="29" t="s">
        <v>1469</v>
      </c>
      <c r="E2698" s="29">
        <v>0</v>
      </c>
      <c r="F2698" s="29" t="s">
        <v>1470</v>
      </c>
      <c r="G2698" s="30"/>
      <c r="J2698" s="3" t="s">
        <v>10</v>
      </c>
      <c r="N2698" s="3">
        <v>2430</v>
      </c>
    </row>
    <row r="2699" spans="1:14" s="11" customFormat="1" hidden="1" outlineLevel="1" x14ac:dyDescent="0.25">
      <c r="A2699" s="278"/>
      <c r="B2699" s="260" t="s">
        <v>159</v>
      </c>
      <c r="C2699" s="279" t="s">
        <v>1592</v>
      </c>
      <c r="D2699" s="262" t="s">
        <v>1593</v>
      </c>
      <c r="E2699" s="262" t="s">
        <v>1594</v>
      </c>
      <c r="F2699" s="262" t="s">
        <v>1470</v>
      </c>
      <c r="G2699" s="263" t="s">
        <v>1595</v>
      </c>
      <c r="H2699" s="12"/>
      <c r="I2699" s="12"/>
      <c r="J2699" s="12"/>
      <c r="K2699" s="12"/>
      <c r="L2699" s="12"/>
      <c r="M2699" s="12"/>
    </row>
    <row r="2700" spans="1:14" s="3" customFormat="1" hidden="1" outlineLevel="1" x14ac:dyDescent="0.25">
      <c r="B2700" s="28" t="s">
        <v>14</v>
      </c>
      <c r="C2700" s="29" t="s">
        <v>1475</v>
      </c>
      <c r="D2700" s="29" t="s">
        <v>1469</v>
      </c>
      <c r="E2700" s="29">
        <v>0</v>
      </c>
      <c r="F2700" s="29" t="s">
        <v>1476</v>
      </c>
      <c r="G2700" s="30" t="s">
        <v>1477</v>
      </c>
    </row>
    <row r="2701" spans="1:14" s="3" customFormat="1" hidden="1" outlineLevel="1" x14ac:dyDescent="0.25">
      <c r="B2701" s="28" t="s">
        <v>87</v>
      </c>
      <c r="C2701" s="29" t="s">
        <v>1535</v>
      </c>
      <c r="D2701" s="29" t="s">
        <v>1469</v>
      </c>
      <c r="E2701" s="29">
        <v>0</v>
      </c>
      <c r="F2701" s="29" t="s">
        <v>1476</v>
      </c>
      <c r="G2701" s="30"/>
      <c r="J2701" s="3" t="s">
        <v>10</v>
      </c>
      <c r="N2701" s="3">
        <v>2433</v>
      </c>
    </row>
    <row r="2702" spans="1:14" s="3" customFormat="1" hidden="1" outlineLevel="1" x14ac:dyDescent="0.25">
      <c r="B2702" s="185" t="s">
        <v>329</v>
      </c>
      <c r="C2702" s="23" t="s">
        <v>1747</v>
      </c>
      <c r="D2702" s="23" t="s">
        <v>1469</v>
      </c>
      <c r="E2702" s="23">
        <v>0</v>
      </c>
      <c r="F2702" s="23" t="s">
        <v>1476</v>
      </c>
      <c r="G2702" s="24" t="s">
        <v>1748</v>
      </c>
    </row>
    <row r="2703" spans="1:14" s="3" customFormat="1" hidden="1" outlineLevel="1" x14ac:dyDescent="0.25">
      <c r="A2703" s="5"/>
      <c r="B2703" s="31" t="s">
        <v>162</v>
      </c>
      <c r="C2703" s="20" t="s">
        <v>1589</v>
      </c>
      <c r="D2703" s="20" t="s">
        <v>1469</v>
      </c>
      <c r="E2703" s="20">
        <v>0</v>
      </c>
      <c r="F2703" s="20"/>
      <c r="G2703" s="22" t="s">
        <v>1590</v>
      </c>
    </row>
    <row r="2704" spans="1:14" s="3" customFormat="1" hidden="1" outlineLevel="1" x14ac:dyDescent="0.25">
      <c r="A2704" s="5"/>
      <c r="B2704" s="31" t="s">
        <v>163</v>
      </c>
      <c r="C2704" s="20" t="s">
        <v>1591</v>
      </c>
      <c r="D2704" s="20" t="s">
        <v>1469</v>
      </c>
      <c r="E2704" s="20">
        <v>0</v>
      </c>
      <c r="F2704" s="20"/>
      <c r="G2704" s="22" t="s">
        <v>1590</v>
      </c>
    </row>
    <row r="2705" spans="2:15" s="3" customFormat="1" hidden="1" outlineLevel="1" x14ac:dyDescent="0.25">
      <c r="B2705" s="28" t="s">
        <v>128</v>
      </c>
      <c r="C2705" s="29" t="s">
        <v>1566</v>
      </c>
      <c r="D2705" s="29" t="s">
        <v>1567</v>
      </c>
      <c r="E2705" s="29">
        <v>0</v>
      </c>
      <c r="F2705" s="29" t="s">
        <v>1470</v>
      </c>
      <c r="G2705" s="30"/>
      <c r="J2705" s="3" t="s">
        <v>12</v>
      </c>
      <c r="N2705" s="3">
        <v>1629</v>
      </c>
    </row>
    <row r="2706" spans="2:15" s="3" customFormat="1" hidden="1" outlineLevel="1" x14ac:dyDescent="0.25">
      <c r="B2706" s="28" t="s">
        <v>114</v>
      </c>
      <c r="C2706" s="29" t="s">
        <v>1557</v>
      </c>
      <c r="D2706" s="29" t="s">
        <v>1469</v>
      </c>
      <c r="E2706" s="29">
        <v>-1</v>
      </c>
      <c r="F2706" s="29" t="s">
        <v>1470</v>
      </c>
      <c r="G2706" s="30"/>
      <c r="J2706" s="3" t="s">
        <v>10</v>
      </c>
      <c r="N2706" s="3">
        <v>2449</v>
      </c>
    </row>
    <row r="2707" spans="2:15" s="3" customFormat="1" ht="16.2" hidden="1" outlineLevel="1" thickBot="1" x14ac:dyDescent="0.3">
      <c r="B2707" s="163"/>
      <c r="C2707" s="164"/>
      <c r="D2707" s="164"/>
      <c r="E2707" s="164"/>
      <c r="F2707" s="164"/>
      <c r="G2707" s="165"/>
    </row>
    <row r="2708" spans="2:15" s="3" customFormat="1" hidden="1" outlineLevel="1" x14ac:dyDescent="0.25">
      <c r="B2708" s="398" t="s">
        <v>18</v>
      </c>
      <c r="C2708" s="399"/>
      <c r="D2708" s="399"/>
      <c r="E2708" s="399"/>
      <c r="F2708" s="399"/>
      <c r="G2708" s="400"/>
    </row>
    <row r="2709" spans="2:15" s="3" customFormat="1" hidden="1" outlineLevel="1" x14ac:dyDescent="0.25">
      <c r="B2709" s="179" t="s">
        <v>2</v>
      </c>
      <c r="C2709" s="180" t="s">
        <v>3</v>
      </c>
      <c r="D2709" s="180" t="s">
        <v>4</v>
      </c>
      <c r="E2709" s="180" t="s">
        <v>5</v>
      </c>
      <c r="F2709" s="180"/>
      <c r="G2709" s="181" t="s">
        <v>6</v>
      </c>
    </row>
    <row r="2710" spans="2:15" s="3" customFormat="1" hidden="1" outlineLevel="1" x14ac:dyDescent="0.25">
      <c r="B2710" s="185" t="s">
        <v>128</v>
      </c>
      <c r="C2710" s="23" t="s">
        <v>1566</v>
      </c>
      <c r="D2710" s="23" t="s">
        <v>1567</v>
      </c>
      <c r="E2710" s="23">
        <v>0</v>
      </c>
      <c r="F2710" s="23" t="s">
        <v>1470</v>
      </c>
      <c r="G2710" s="24"/>
      <c r="J2710" s="3" t="s">
        <v>12</v>
      </c>
      <c r="K2710" s="3" t="s">
        <v>174</v>
      </c>
      <c r="L2710" s="3" t="s">
        <v>314</v>
      </c>
      <c r="M2710" s="3" t="s">
        <v>176</v>
      </c>
      <c r="N2710" s="3">
        <v>1866</v>
      </c>
      <c r="O2710" s="3">
        <v>64</v>
      </c>
    </row>
    <row r="2711" spans="2:15" s="3" customFormat="1" hidden="1" outlineLevel="1" x14ac:dyDescent="0.25">
      <c r="B2711" s="29" t="s">
        <v>16</v>
      </c>
      <c r="C2711" s="29" t="s">
        <v>1479</v>
      </c>
      <c r="D2711" s="29" t="s">
        <v>1469</v>
      </c>
      <c r="E2711" s="29" t="s">
        <v>1480</v>
      </c>
      <c r="F2711" s="29" t="s">
        <v>1481</v>
      </c>
      <c r="G2711" s="30" t="s">
        <v>1482</v>
      </c>
    </row>
    <row r="2712" spans="2:15" s="3" customFormat="1" hidden="1" outlineLevel="1" x14ac:dyDescent="0.25">
      <c r="B2712" s="29" t="s">
        <v>112</v>
      </c>
      <c r="C2712" s="29" t="s">
        <v>1555</v>
      </c>
      <c r="D2712" s="29" t="s">
        <v>1469</v>
      </c>
      <c r="E2712" s="29">
        <v>0</v>
      </c>
      <c r="F2712" s="29" t="s">
        <v>1470</v>
      </c>
      <c r="G2712" s="30" t="s">
        <v>1556</v>
      </c>
    </row>
    <row r="2713" spans="2:15" s="3" customFormat="1" hidden="1" outlineLevel="1" x14ac:dyDescent="0.25">
      <c r="B2713" s="29" t="s">
        <v>7</v>
      </c>
      <c r="C2713" s="29" t="s">
        <v>1468</v>
      </c>
      <c r="D2713" s="29" t="s">
        <v>1469</v>
      </c>
      <c r="E2713" s="29">
        <v>0</v>
      </c>
      <c r="F2713" s="29" t="s">
        <v>1470</v>
      </c>
      <c r="G2713" s="30" t="s">
        <v>1471</v>
      </c>
    </row>
    <row r="2714" spans="2:15" s="3" customFormat="1" hidden="1" outlineLevel="1" x14ac:dyDescent="0.25">
      <c r="B2714" s="218" t="s">
        <v>489</v>
      </c>
      <c r="C2714" s="29" t="s">
        <v>1875</v>
      </c>
      <c r="D2714" s="29" t="s">
        <v>1486</v>
      </c>
      <c r="E2714" s="29">
        <v>0</v>
      </c>
      <c r="F2714" s="29"/>
      <c r="G2714" s="30"/>
    </row>
    <row r="2715" spans="2:15" s="3" customFormat="1" hidden="1" outlineLevel="1" x14ac:dyDescent="0.25">
      <c r="B2715" s="218" t="s">
        <v>490</v>
      </c>
      <c r="C2715" s="29" t="s">
        <v>1876</v>
      </c>
      <c r="D2715" s="29" t="s">
        <v>1486</v>
      </c>
      <c r="E2715" s="29">
        <v>0</v>
      </c>
      <c r="F2715" s="29" t="s">
        <v>1470</v>
      </c>
      <c r="G2715" s="30"/>
    </row>
    <row r="2716" spans="2:15" s="3" customFormat="1" hidden="1" outlineLevel="1" x14ac:dyDescent="0.25">
      <c r="B2716" s="218" t="s">
        <v>491</v>
      </c>
      <c r="C2716" s="29" t="s">
        <v>1877</v>
      </c>
      <c r="D2716" s="29" t="s">
        <v>1489</v>
      </c>
      <c r="E2716" s="29">
        <v>0</v>
      </c>
      <c r="F2716" s="29" t="s">
        <v>1470</v>
      </c>
      <c r="G2716" s="30"/>
    </row>
    <row r="2717" spans="2:15" s="3" customFormat="1" hidden="1" outlineLevel="1" x14ac:dyDescent="0.25">
      <c r="B2717" s="201" t="s">
        <v>492</v>
      </c>
      <c r="C2717" s="29" t="s">
        <v>1878</v>
      </c>
      <c r="D2717" s="29" t="s">
        <v>1469</v>
      </c>
      <c r="E2717" s="29">
        <v>0</v>
      </c>
      <c r="F2717" s="29"/>
      <c r="G2717" s="30"/>
    </row>
    <row r="2718" spans="2:15" s="3" customFormat="1" hidden="1" outlineLevel="1" x14ac:dyDescent="0.25">
      <c r="B2718" s="201" t="s">
        <v>207</v>
      </c>
      <c r="C2718" s="29" t="s">
        <v>1644</v>
      </c>
      <c r="D2718" s="29" t="s">
        <v>1486</v>
      </c>
      <c r="E2718" s="29">
        <v>0</v>
      </c>
      <c r="F2718" s="29" t="s">
        <v>1470</v>
      </c>
      <c r="G2718" s="30" t="s">
        <v>1645</v>
      </c>
    </row>
    <row r="2719" spans="2:15" s="3" customFormat="1" hidden="1" outlineLevel="1" x14ac:dyDescent="0.25">
      <c r="B2719" s="201" t="s">
        <v>493</v>
      </c>
      <c r="C2719" s="29" t="s">
        <v>1879</v>
      </c>
      <c r="D2719" s="29" t="s">
        <v>1489</v>
      </c>
      <c r="E2719" s="29">
        <v>0</v>
      </c>
      <c r="F2719" s="29" t="s">
        <v>1470</v>
      </c>
      <c r="G2719" s="30"/>
    </row>
    <row r="2720" spans="2:15" s="3" customFormat="1" hidden="1" outlineLevel="1" x14ac:dyDescent="0.25">
      <c r="B2720" s="281" t="s">
        <v>494</v>
      </c>
      <c r="C2720" s="29" t="s">
        <v>1880</v>
      </c>
      <c r="D2720" s="29" t="s">
        <v>1489</v>
      </c>
      <c r="E2720" s="29">
        <v>0</v>
      </c>
      <c r="F2720" s="29"/>
      <c r="G2720" s="30"/>
    </row>
    <row r="2721" spans="1:10" s="3" customFormat="1" hidden="1" outlineLevel="1" x14ac:dyDescent="0.25">
      <c r="B2721" s="201" t="s">
        <v>495</v>
      </c>
      <c r="C2721" s="29" t="s">
        <v>1881</v>
      </c>
      <c r="D2721" s="29" t="s">
        <v>1469</v>
      </c>
      <c r="E2721" s="29">
        <v>0</v>
      </c>
      <c r="F2721" s="29" t="s">
        <v>1470</v>
      </c>
      <c r="G2721" s="30"/>
    </row>
    <row r="2722" spans="1:10" s="3" customFormat="1" hidden="1" outlineLevel="1" x14ac:dyDescent="0.25">
      <c r="B2722" s="282" t="s">
        <v>212</v>
      </c>
      <c r="C2722" s="29" t="s">
        <v>1654</v>
      </c>
      <c r="D2722" s="29" t="s">
        <v>1486</v>
      </c>
      <c r="E2722" s="29">
        <v>0</v>
      </c>
      <c r="F2722" s="29" t="s">
        <v>1470</v>
      </c>
      <c r="G2722" s="30" t="s">
        <v>1655</v>
      </c>
    </row>
    <row r="2723" spans="1:10" s="3" customFormat="1" hidden="1" outlineLevel="1" x14ac:dyDescent="0.25">
      <c r="B2723" s="282" t="s">
        <v>213</v>
      </c>
      <c r="C2723" s="29" t="s">
        <v>1656</v>
      </c>
      <c r="D2723" s="29" t="s">
        <v>1489</v>
      </c>
      <c r="E2723" s="29">
        <v>0</v>
      </c>
      <c r="F2723" s="29" t="s">
        <v>1470</v>
      </c>
      <c r="G2723" s="30" t="s">
        <v>1657</v>
      </c>
    </row>
    <row r="2724" spans="1:10" s="3" customFormat="1" hidden="1" outlineLevel="1" x14ac:dyDescent="0.25">
      <c r="B2724" s="201" t="s">
        <v>159</v>
      </c>
      <c r="C2724" s="29" t="s">
        <v>1592</v>
      </c>
      <c r="D2724" s="29" t="s">
        <v>1593</v>
      </c>
      <c r="E2724" s="29" t="s">
        <v>1594</v>
      </c>
      <c r="F2724" s="29" t="s">
        <v>1470</v>
      </c>
      <c r="G2724" s="30" t="s">
        <v>1595</v>
      </c>
    </row>
    <row r="2725" spans="1:10" s="3" customFormat="1" hidden="1" outlineLevel="1" x14ac:dyDescent="0.25">
      <c r="B2725" s="28" t="s">
        <v>14</v>
      </c>
      <c r="C2725" s="29" t="s">
        <v>1475</v>
      </c>
      <c r="D2725" s="29" t="s">
        <v>1469</v>
      </c>
      <c r="E2725" s="29">
        <v>0</v>
      </c>
      <c r="F2725" s="29" t="s">
        <v>1476</v>
      </c>
      <c r="G2725" s="30" t="s">
        <v>1477</v>
      </c>
    </row>
    <row r="2726" spans="1:10" s="3" customFormat="1" hidden="1" outlineLevel="1" x14ac:dyDescent="0.25">
      <c r="B2726" s="201" t="s">
        <v>15</v>
      </c>
      <c r="C2726" s="29" t="s">
        <v>1478</v>
      </c>
      <c r="D2726" s="29" t="s">
        <v>1469</v>
      </c>
      <c r="E2726" s="29">
        <v>0</v>
      </c>
      <c r="F2726" s="29" t="s">
        <v>1470</v>
      </c>
      <c r="G2726" s="30"/>
    </row>
    <row r="2727" spans="1:10" s="3" customFormat="1" hidden="1" outlineLevel="1" x14ac:dyDescent="0.25">
      <c r="B2727" s="201" t="s">
        <v>87</v>
      </c>
      <c r="C2727" s="29" t="s">
        <v>1535</v>
      </c>
      <c r="D2727" s="29" t="s">
        <v>1469</v>
      </c>
      <c r="E2727" s="29">
        <v>0</v>
      </c>
      <c r="F2727" s="29" t="s">
        <v>1476</v>
      </c>
      <c r="G2727" s="30"/>
    </row>
    <row r="2728" spans="1:10" s="3" customFormat="1" hidden="1" outlineLevel="1" x14ac:dyDescent="0.25">
      <c r="B2728" s="201" t="s">
        <v>329</v>
      </c>
      <c r="C2728" s="29" t="s">
        <v>1747</v>
      </c>
      <c r="D2728" s="29" t="s">
        <v>1469</v>
      </c>
      <c r="E2728" s="29">
        <v>0</v>
      </c>
      <c r="F2728" s="29" t="s">
        <v>1476</v>
      </c>
      <c r="G2728" s="30" t="s">
        <v>1748</v>
      </c>
    </row>
    <row r="2729" spans="1:10" s="3" customFormat="1" hidden="1" outlineLevel="1" x14ac:dyDescent="0.25">
      <c r="B2729" s="217" t="s">
        <v>455</v>
      </c>
      <c r="C2729" s="29" t="s">
        <v>1844</v>
      </c>
      <c r="D2729" s="29" t="s">
        <v>1486</v>
      </c>
      <c r="E2729" s="29">
        <v>0</v>
      </c>
      <c r="F2729" s="29" t="s">
        <v>1470</v>
      </c>
      <c r="G2729" s="30"/>
    </row>
    <row r="2730" spans="1:10" s="3" customFormat="1" hidden="1" outlineLevel="1" x14ac:dyDescent="0.25">
      <c r="B2730" s="217" t="s">
        <v>456</v>
      </c>
      <c r="C2730" s="29" t="s">
        <v>1845</v>
      </c>
      <c r="D2730" s="29" t="s">
        <v>1489</v>
      </c>
      <c r="E2730" s="29">
        <v>0</v>
      </c>
      <c r="F2730" s="29" t="s">
        <v>1470</v>
      </c>
      <c r="G2730" s="30"/>
    </row>
    <row r="2731" spans="1:10" s="12" customFormat="1" hidden="1" outlineLevel="1" x14ac:dyDescent="0.25">
      <c r="A2731" s="278"/>
      <c r="B2731" s="260"/>
      <c r="C2731" s="262"/>
      <c r="D2731" s="262"/>
      <c r="E2731" s="262"/>
      <c r="F2731" s="262"/>
      <c r="G2731" s="263"/>
    </row>
    <row r="2732" spans="1:10" s="3" customFormat="1" ht="16.2" hidden="1" outlineLevel="1" thickBot="1" x14ac:dyDescent="0.3">
      <c r="B2732" s="116"/>
      <c r="C2732" s="117"/>
      <c r="D2732" s="117"/>
      <c r="E2732" s="117"/>
      <c r="F2732" s="117"/>
      <c r="G2732" s="105" t="s">
        <v>457</v>
      </c>
    </row>
    <row r="2733" spans="1:10" s="3" customFormat="1" hidden="1" outlineLevel="1" x14ac:dyDescent="0.25">
      <c r="B2733" s="395" t="s">
        <v>29</v>
      </c>
      <c r="C2733" s="396"/>
      <c r="D2733" s="396"/>
      <c r="E2733" s="396"/>
      <c r="F2733" s="396"/>
      <c r="G2733" s="397"/>
    </row>
    <row r="2734" spans="1:10" s="9" customFormat="1" ht="17.399999999999999" hidden="1" customHeight="1" outlineLevel="1" x14ac:dyDescent="0.25">
      <c r="A2734" s="5"/>
      <c r="B2734" s="31"/>
      <c r="C2734" s="20"/>
      <c r="D2734" s="20"/>
      <c r="E2734" s="20"/>
      <c r="F2734" s="20"/>
      <c r="G2734" s="22"/>
      <c r="H2734" s="3"/>
      <c r="I2734" s="3"/>
      <c r="J2734" s="45"/>
    </row>
    <row r="2735" spans="1:10" s="3" customFormat="1" hidden="1" outlineLevel="1" x14ac:dyDescent="0.25">
      <c r="B2735" s="125"/>
      <c r="C2735" s="117"/>
      <c r="D2735" s="117"/>
      <c r="E2735" s="117"/>
      <c r="F2735" s="117"/>
      <c r="G2735" s="105"/>
    </row>
    <row r="2736" spans="1:10" s="3" customFormat="1" ht="17.399999999999999" hidden="1" customHeight="1" outlineLevel="1" x14ac:dyDescent="0.25">
      <c r="A2736" s="5"/>
      <c r="B2736" s="106" t="s">
        <v>851</v>
      </c>
      <c r="C2736" s="107"/>
      <c r="D2736" s="107"/>
      <c r="E2736" s="107"/>
      <c r="F2736" s="107"/>
      <c r="G2736" s="108"/>
      <c r="H2736" s="5"/>
    </row>
    <row r="2737" spans="1:10" s="3" customFormat="1" hidden="1" outlineLevel="1" x14ac:dyDescent="0.25">
      <c r="A2737" s="14"/>
      <c r="B2737" s="154" t="s">
        <v>1197</v>
      </c>
      <c r="C2737" s="23"/>
      <c r="D2737" s="23"/>
      <c r="E2737" s="23"/>
      <c r="F2737" s="23"/>
      <c r="G2737" s="123"/>
      <c r="H2737" s="14"/>
      <c r="I2737" s="14"/>
      <c r="J2737" s="14"/>
    </row>
    <row r="2738" spans="1:10" s="3" customFormat="1" hidden="1" outlineLevel="1" x14ac:dyDescent="0.25">
      <c r="A2738" s="5"/>
      <c r="B2738" s="115"/>
      <c r="C2738" s="20"/>
      <c r="D2738" s="20"/>
      <c r="E2738" s="20"/>
      <c r="F2738" s="20"/>
      <c r="G2738" s="22"/>
      <c r="J2738" s="55"/>
    </row>
    <row r="2739" spans="1:10" s="3" customFormat="1" hidden="1" outlineLevel="1" x14ac:dyDescent="0.25">
      <c r="A2739" s="5"/>
      <c r="B2739" s="115"/>
      <c r="C2739" s="20"/>
      <c r="D2739" s="20"/>
      <c r="E2739" s="20"/>
      <c r="F2739" s="20"/>
      <c r="G2739" s="22"/>
      <c r="J2739" s="55"/>
    </row>
    <row r="2740" spans="1:10" hidden="1" outlineLevel="1" x14ac:dyDescent="0.25">
      <c r="B2740" s="154" t="s">
        <v>1198</v>
      </c>
      <c r="C2740" s="23"/>
      <c r="D2740" s="23"/>
      <c r="E2740" s="23"/>
      <c r="F2740" s="23"/>
      <c r="G2740" s="123"/>
    </row>
    <row r="2741" spans="1:10" s="3" customFormat="1" hidden="1" outlineLevel="1" x14ac:dyDescent="0.25">
      <c r="A2741" s="5"/>
      <c r="B2741" s="115"/>
      <c r="C2741" s="20"/>
      <c r="D2741" s="20"/>
      <c r="E2741" s="20"/>
      <c r="F2741" s="20"/>
      <c r="G2741" s="22"/>
      <c r="J2741" s="55"/>
    </row>
    <row r="2742" spans="1:10" s="9" customFormat="1" ht="17.399999999999999" hidden="1" customHeight="1" outlineLevel="1" x14ac:dyDescent="0.25">
      <c r="A2742" s="5"/>
      <c r="B2742" s="31" t="s">
        <v>702</v>
      </c>
      <c r="C2742" s="20"/>
      <c r="D2742" s="20"/>
      <c r="E2742" s="20"/>
      <c r="F2742" s="20"/>
      <c r="G2742" s="22"/>
      <c r="H2742" s="3"/>
      <c r="I2742" s="3"/>
      <c r="J2742" s="45"/>
    </row>
    <row r="2743" spans="1:10" s="3" customFormat="1" hidden="1" outlineLevel="1" x14ac:dyDescent="0.25">
      <c r="A2743" s="5"/>
      <c r="B2743" s="46" t="s">
        <v>995</v>
      </c>
      <c r="C2743" s="20"/>
      <c r="D2743" s="20"/>
      <c r="E2743" s="20"/>
      <c r="F2743" s="20"/>
      <c r="G2743" s="22"/>
      <c r="J2743" s="45"/>
    </row>
    <row r="2744" spans="1:10" s="3" customFormat="1" hidden="1" outlineLevel="1" x14ac:dyDescent="0.25">
      <c r="A2744" s="5"/>
      <c r="B2744" s="46" t="s">
        <v>2308</v>
      </c>
      <c r="C2744" s="20"/>
      <c r="D2744" s="20"/>
      <c r="E2744" s="20"/>
      <c r="F2744" s="20"/>
      <c r="G2744" s="22"/>
    </row>
    <row r="2745" spans="1:10" s="3" customFormat="1" hidden="1" outlineLevel="1" x14ac:dyDescent="0.25">
      <c r="A2745" s="5"/>
      <c r="B2745" s="50" t="s">
        <v>718</v>
      </c>
      <c r="C2745" s="20"/>
      <c r="D2745" s="20"/>
      <c r="E2745" s="20"/>
      <c r="F2745" s="20"/>
      <c r="G2745" s="22"/>
    </row>
    <row r="2746" spans="1:10" s="3" customFormat="1" hidden="1" outlineLevel="1" x14ac:dyDescent="0.25">
      <c r="A2746" s="5"/>
      <c r="B2746" s="50" t="s">
        <v>722</v>
      </c>
      <c r="C2746" s="20"/>
      <c r="D2746" s="20"/>
      <c r="E2746" s="20"/>
      <c r="F2746" s="20"/>
      <c r="G2746" s="22"/>
    </row>
    <row r="2747" spans="1:10" s="3" customFormat="1" hidden="1" outlineLevel="1" x14ac:dyDescent="0.25">
      <c r="A2747" s="5"/>
      <c r="B2747" s="50" t="s">
        <v>723</v>
      </c>
      <c r="C2747" s="20"/>
      <c r="D2747" s="20"/>
      <c r="E2747" s="20"/>
      <c r="F2747" s="20"/>
      <c r="G2747" s="22"/>
    </row>
    <row r="2748" spans="1:10" s="3" customFormat="1" hidden="1" outlineLevel="1" x14ac:dyDescent="0.25">
      <c r="A2748" s="5"/>
      <c r="B2748" s="50" t="s">
        <v>1199</v>
      </c>
      <c r="C2748" s="20"/>
      <c r="D2748" s="20"/>
      <c r="E2748" s="20"/>
      <c r="F2748" s="20"/>
      <c r="G2748" s="22"/>
    </row>
    <row r="2749" spans="1:10" s="3" customFormat="1" hidden="1" outlineLevel="1" x14ac:dyDescent="0.25">
      <c r="A2749" s="5"/>
      <c r="B2749" s="50" t="s">
        <v>1200</v>
      </c>
      <c r="C2749" s="20"/>
      <c r="D2749" s="20"/>
      <c r="E2749" s="20"/>
      <c r="F2749" s="20"/>
      <c r="G2749" s="22"/>
    </row>
    <row r="2750" spans="1:10" s="3" customFormat="1" hidden="1" outlineLevel="1" x14ac:dyDescent="0.25">
      <c r="A2750" s="5"/>
      <c r="B2750" s="90" t="s">
        <v>1146</v>
      </c>
      <c r="C2750" s="20"/>
      <c r="D2750" s="20"/>
      <c r="E2750" s="20"/>
      <c r="F2750" s="20"/>
      <c r="G2750" s="22"/>
    </row>
    <row r="2751" spans="1:10" s="3" customFormat="1" ht="17.399999999999999" hidden="1" customHeight="1" outlineLevel="1" x14ac:dyDescent="0.25">
      <c r="A2751" s="5"/>
      <c r="B2751" s="128" t="s">
        <v>1036</v>
      </c>
      <c r="C2751" s="107"/>
      <c r="D2751" s="107"/>
      <c r="E2751" s="107"/>
      <c r="F2751" s="107"/>
      <c r="G2751" s="129"/>
    </row>
    <row r="2752" spans="1:10" s="3" customFormat="1" hidden="1" outlineLevel="1" x14ac:dyDescent="0.25">
      <c r="A2752" s="5"/>
      <c r="B2752" s="50" t="s">
        <v>726</v>
      </c>
      <c r="C2752" s="20"/>
      <c r="D2752" s="20"/>
      <c r="E2752" s="20"/>
      <c r="F2752" s="20"/>
      <c r="G2752" s="22"/>
    </row>
    <row r="2753" spans="1:10" hidden="1" outlineLevel="1" x14ac:dyDescent="0.25">
      <c r="B2753" s="154" t="s">
        <v>1201</v>
      </c>
      <c r="C2753" s="23"/>
      <c r="D2753" s="23"/>
      <c r="E2753" s="23"/>
      <c r="F2753" s="23"/>
      <c r="G2753" s="123"/>
    </row>
    <row r="2754" spans="1:10" s="9" customFormat="1" ht="17.399999999999999" hidden="1" customHeight="1" outlineLevel="1" x14ac:dyDescent="0.25">
      <c r="A2754" s="5"/>
      <c r="B2754" s="31"/>
      <c r="C2754" s="20"/>
      <c r="D2754" s="20"/>
      <c r="E2754" s="20"/>
      <c r="F2754" s="20"/>
      <c r="G2754" s="22"/>
      <c r="H2754" s="3"/>
      <c r="I2754" s="3"/>
      <c r="J2754" s="45"/>
    </row>
    <row r="2755" spans="1:10" s="9" customFormat="1" ht="17.399999999999999" hidden="1" customHeight="1" outlineLevel="1" x14ac:dyDescent="0.25">
      <c r="A2755" s="5"/>
      <c r="B2755" s="31"/>
      <c r="C2755" s="20"/>
      <c r="D2755" s="20"/>
      <c r="E2755" s="20"/>
      <c r="F2755" s="20"/>
      <c r="G2755" s="22"/>
      <c r="H2755" s="3"/>
      <c r="I2755" s="3"/>
      <c r="J2755" s="45"/>
    </row>
    <row r="2756" spans="1:10" s="9" customFormat="1" ht="17.399999999999999" hidden="1" customHeight="1" outlineLevel="1" x14ac:dyDescent="0.25">
      <c r="A2756" s="5"/>
      <c r="B2756" s="31"/>
      <c r="C2756" s="20"/>
      <c r="D2756" s="20"/>
      <c r="E2756" s="20"/>
      <c r="F2756" s="20"/>
      <c r="G2756" s="22"/>
      <c r="H2756" s="3"/>
      <c r="I2756" s="3"/>
      <c r="J2756" s="45"/>
    </row>
    <row r="2757" spans="1:10" s="3" customFormat="1" ht="16.2" hidden="1" outlineLevel="1" thickBot="1" x14ac:dyDescent="0.3">
      <c r="A2757" s="5"/>
      <c r="B2757" s="52"/>
      <c r="C2757" s="53"/>
      <c r="D2757" s="53"/>
      <c r="E2757" s="53"/>
      <c r="F2757" s="53"/>
      <c r="G2757" s="54"/>
    </row>
    <row r="2758" spans="1:10" s="3" customFormat="1" hidden="1" outlineLevel="1" x14ac:dyDescent="0.25"/>
    <row r="2759" spans="1:10" ht="16.2" hidden="1" outlineLevel="1" thickBot="1" x14ac:dyDescent="0.3"/>
    <row r="2760" spans="1:10" s="3" customFormat="1" ht="16.2" collapsed="1" thickBot="1" x14ac:dyDescent="0.3">
      <c r="B2760" s="15" t="s">
        <v>1279</v>
      </c>
      <c r="C2760" s="16" t="s">
        <v>2246</v>
      </c>
      <c r="D2760" s="17" t="s">
        <v>1281</v>
      </c>
      <c r="E2760" s="29" t="s">
        <v>1202</v>
      </c>
      <c r="F2760" s="17" t="s">
        <v>1282</v>
      </c>
      <c r="G2760" s="192" t="s">
        <v>2247</v>
      </c>
    </row>
    <row r="2761" spans="1:10" s="3" customFormat="1" hidden="1" outlineLevel="1" x14ac:dyDescent="0.25">
      <c r="B2761" s="179" t="s">
        <v>1284</v>
      </c>
      <c r="C2761" s="29" t="s">
        <v>1285</v>
      </c>
      <c r="D2761" s="180" t="s">
        <v>1286</v>
      </c>
      <c r="E2761" s="29" t="s">
        <v>2248</v>
      </c>
      <c r="F2761" s="180" t="s">
        <v>1288</v>
      </c>
      <c r="G2761" s="30"/>
    </row>
    <row r="2762" spans="1:10" s="3" customFormat="1" ht="16.2" hidden="1" outlineLevel="1" thickBot="1" x14ac:dyDescent="0.3">
      <c r="B2762" s="19" t="s">
        <v>1290</v>
      </c>
      <c r="C2762" s="23" t="s">
        <v>1291</v>
      </c>
      <c r="D2762" s="21" t="s">
        <v>1292</v>
      </c>
      <c r="E2762" s="23">
        <v>5</v>
      </c>
      <c r="F2762" s="21" t="s">
        <v>1293</v>
      </c>
      <c r="G2762" s="24" t="s">
        <v>1294</v>
      </c>
    </row>
    <row r="2763" spans="1:10" s="3" customFormat="1" hidden="1" outlineLevel="1" x14ac:dyDescent="0.25">
      <c r="B2763" s="395" t="s">
        <v>1</v>
      </c>
      <c r="C2763" s="396"/>
      <c r="D2763" s="396"/>
      <c r="E2763" s="396"/>
      <c r="F2763" s="396"/>
      <c r="G2763" s="397"/>
    </row>
    <row r="2764" spans="1:10" s="3" customFormat="1" hidden="1" outlineLevel="1" x14ac:dyDescent="0.25">
      <c r="B2764" s="179" t="s">
        <v>2</v>
      </c>
      <c r="C2764" s="180" t="s">
        <v>3</v>
      </c>
      <c r="D2764" s="180" t="s">
        <v>4</v>
      </c>
      <c r="E2764" s="180" t="s">
        <v>5</v>
      </c>
      <c r="F2764" s="180"/>
      <c r="G2764" s="181" t="s">
        <v>6</v>
      </c>
    </row>
    <row r="2765" spans="1:10" s="3" customFormat="1" hidden="1" outlineLevel="1" x14ac:dyDescent="0.25">
      <c r="B2765" s="29" t="s">
        <v>112</v>
      </c>
      <c r="C2765" s="29" t="s">
        <v>1555</v>
      </c>
      <c r="D2765" s="29" t="s">
        <v>1469</v>
      </c>
      <c r="E2765" s="29">
        <v>0</v>
      </c>
      <c r="F2765" s="29" t="s">
        <v>1470</v>
      </c>
      <c r="G2765" s="30" t="s">
        <v>1556</v>
      </c>
    </row>
    <row r="2766" spans="1:10" s="3" customFormat="1" hidden="1" outlineLevel="1" x14ac:dyDescent="0.25">
      <c r="B2766" s="29" t="s">
        <v>7</v>
      </c>
      <c r="C2766" s="29" t="s">
        <v>1468</v>
      </c>
      <c r="D2766" s="29" t="s">
        <v>1469</v>
      </c>
      <c r="E2766" s="29">
        <v>0</v>
      </c>
      <c r="F2766" s="29" t="s">
        <v>1470</v>
      </c>
      <c r="G2766" s="30" t="s">
        <v>1471</v>
      </c>
    </row>
    <row r="2767" spans="1:10" s="3" customFormat="1" hidden="1" outlineLevel="1" x14ac:dyDescent="0.25">
      <c r="A2767" s="5"/>
      <c r="B2767" s="31" t="s">
        <v>162</v>
      </c>
      <c r="C2767" s="20" t="s">
        <v>1589</v>
      </c>
      <c r="D2767" s="20" t="s">
        <v>1469</v>
      </c>
      <c r="E2767" s="20">
        <v>0</v>
      </c>
      <c r="F2767" s="20"/>
      <c r="G2767" s="22" t="s">
        <v>1590</v>
      </c>
    </row>
    <row r="2768" spans="1:10" s="3" customFormat="1" hidden="1" outlineLevel="1" x14ac:dyDescent="0.25">
      <c r="A2768" s="5"/>
      <c r="B2768" s="31" t="s">
        <v>163</v>
      </c>
      <c r="C2768" s="20" t="s">
        <v>1591</v>
      </c>
      <c r="D2768" s="20" t="s">
        <v>1469</v>
      </c>
      <c r="E2768" s="20">
        <v>0</v>
      </c>
      <c r="F2768" s="20"/>
      <c r="G2768" s="22" t="s">
        <v>1590</v>
      </c>
    </row>
    <row r="2769" spans="2:15" s="3" customFormat="1" hidden="1" outlineLevel="1" x14ac:dyDescent="0.25">
      <c r="B2769" s="28" t="s">
        <v>128</v>
      </c>
      <c r="C2769" s="29" t="s">
        <v>1566</v>
      </c>
      <c r="D2769" s="29" t="s">
        <v>1567</v>
      </c>
      <c r="E2769" s="29">
        <v>0</v>
      </c>
      <c r="F2769" s="29" t="s">
        <v>1470</v>
      </c>
      <c r="G2769" s="30"/>
      <c r="J2769" s="3" t="s">
        <v>12</v>
      </c>
      <c r="N2769" s="3">
        <v>1629</v>
      </c>
    </row>
    <row r="2770" spans="2:15" s="3" customFormat="1" hidden="1" outlineLevel="1" x14ac:dyDescent="0.25">
      <c r="B2770" s="28" t="s">
        <v>114</v>
      </c>
      <c r="C2770" s="29" t="s">
        <v>1557</v>
      </c>
      <c r="D2770" s="29" t="s">
        <v>1469</v>
      </c>
      <c r="E2770" s="29">
        <v>-1</v>
      </c>
      <c r="F2770" s="29" t="s">
        <v>1470</v>
      </c>
      <c r="G2770" s="30"/>
      <c r="J2770" s="3" t="s">
        <v>10</v>
      </c>
      <c r="N2770" s="3">
        <v>2449</v>
      </c>
    </row>
    <row r="2771" spans="2:15" s="3" customFormat="1" ht="16.2" hidden="1" outlineLevel="1" thickBot="1" x14ac:dyDescent="0.3">
      <c r="B2771" s="163"/>
      <c r="C2771" s="164"/>
      <c r="D2771" s="164"/>
      <c r="E2771" s="164"/>
      <c r="F2771" s="164"/>
      <c r="G2771" s="165"/>
    </row>
    <row r="2772" spans="2:15" s="3" customFormat="1" hidden="1" outlineLevel="1" x14ac:dyDescent="0.25">
      <c r="B2772" s="398" t="s">
        <v>18</v>
      </c>
      <c r="C2772" s="399"/>
      <c r="D2772" s="399"/>
      <c r="E2772" s="399"/>
      <c r="F2772" s="399"/>
      <c r="G2772" s="400"/>
    </row>
    <row r="2773" spans="2:15" s="3" customFormat="1" hidden="1" outlineLevel="1" x14ac:dyDescent="0.25">
      <c r="B2773" s="179" t="s">
        <v>2</v>
      </c>
      <c r="C2773" s="180" t="s">
        <v>3</v>
      </c>
      <c r="D2773" s="180" t="s">
        <v>4</v>
      </c>
      <c r="E2773" s="180" t="s">
        <v>5</v>
      </c>
      <c r="F2773" s="180"/>
      <c r="G2773" s="181" t="s">
        <v>6</v>
      </c>
    </row>
    <row r="2774" spans="2:15" s="3" customFormat="1" hidden="1" outlineLevel="1" x14ac:dyDescent="0.25">
      <c r="B2774" s="185" t="s">
        <v>128</v>
      </c>
      <c r="C2774" s="23" t="s">
        <v>1566</v>
      </c>
      <c r="D2774" s="23" t="s">
        <v>1567</v>
      </c>
      <c r="E2774" s="23">
        <v>0</v>
      </c>
      <c r="F2774" s="23" t="s">
        <v>1470</v>
      </c>
      <c r="G2774" s="24"/>
      <c r="J2774" s="3" t="s">
        <v>12</v>
      </c>
      <c r="K2774" s="3" t="s">
        <v>174</v>
      </c>
      <c r="L2774" s="3" t="s">
        <v>314</v>
      </c>
      <c r="M2774" s="3" t="s">
        <v>176</v>
      </c>
      <c r="N2774" s="3">
        <v>1866</v>
      </c>
      <c r="O2774" s="3">
        <v>64</v>
      </c>
    </row>
    <row r="2775" spans="2:15" s="3" customFormat="1" hidden="1" outlineLevel="1" x14ac:dyDescent="0.25">
      <c r="B2775" s="29" t="s">
        <v>112</v>
      </c>
      <c r="C2775" s="29" t="s">
        <v>1555</v>
      </c>
      <c r="D2775" s="29" t="s">
        <v>1469</v>
      </c>
      <c r="E2775" s="29">
        <v>0</v>
      </c>
      <c r="F2775" s="29" t="s">
        <v>1470</v>
      </c>
      <c r="G2775" s="30" t="s">
        <v>1556</v>
      </c>
    </row>
    <row r="2776" spans="2:15" s="3" customFormat="1" hidden="1" outlineLevel="1" x14ac:dyDescent="0.25">
      <c r="B2776" s="29" t="s">
        <v>7</v>
      </c>
      <c r="C2776" s="29" t="s">
        <v>1468</v>
      </c>
      <c r="D2776" s="29" t="s">
        <v>1469</v>
      </c>
      <c r="E2776" s="29">
        <v>0</v>
      </c>
      <c r="F2776" s="29" t="s">
        <v>1470</v>
      </c>
      <c r="G2776" s="30" t="s">
        <v>1471</v>
      </c>
    </row>
    <row r="2777" spans="2:15" s="3" customFormat="1" hidden="1" outlineLevel="1" x14ac:dyDescent="0.35">
      <c r="B2777" s="283" t="s">
        <v>73</v>
      </c>
      <c r="C2777" s="29" t="s">
        <v>1528</v>
      </c>
      <c r="D2777" s="29" t="s">
        <v>1469</v>
      </c>
      <c r="E2777" s="29" t="s">
        <v>1480</v>
      </c>
      <c r="F2777" s="29" t="s">
        <v>1481</v>
      </c>
      <c r="G2777" s="30"/>
    </row>
    <row r="2778" spans="2:15" s="3" customFormat="1" hidden="1" outlineLevel="1" x14ac:dyDescent="0.35">
      <c r="B2778" s="283" t="s">
        <v>74</v>
      </c>
      <c r="C2778" s="29" t="s">
        <v>1529</v>
      </c>
      <c r="D2778" s="29" t="s">
        <v>1469</v>
      </c>
      <c r="E2778" s="29" t="s">
        <v>1480</v>
      </c>
      <c r="F2778" s="29" t="s">
        <v>1481</v>
      </c>
      <c r="G2778" s="30"/>
    </row>
    <row r="2779" spans="2:15" s="3" customFormat="1" ht="31.2" hidden="1" outlineLevel="1" x14ac:dyDescent="0.25">
      <c r="B2779" s="284" t="s">
        <v>498</v>
      </c>
      <c r="C2779" s="29" t="s">
        <v>1882</v>
      </c>
      <c r="D2779" s="29" t="s">
        <v>1494</v>
      </c>
      <c r="E2779" s="29">
        <v>0</v>
      </c>
      <c r="F2779" s="29"/>
      <c r="G2779" s="30"/>
    </row>
    <row r="2780" spans="2:15" s="3" customFormat="1" ht="31.2" hidden="1" outlineLevel="1" x14ac:dyDescent="0.25">
      <c r="B2780" s="284" t="s">
        <v>499</v>
      </c>
      <c r="C2780" s="29" t="s">
        <v>1883</v>
      </c>
      <c r="D2780" s="29" t="s">
        <v>1494</v>
      </c>
      <c r="E2780" s="29">
        <v>0</v>
      </c>
      <c r="F2780" s="29"/>
      <c r="G2780" s="30"/>
    </row>
    <row r="2781" spans="2:15" s="3" customFormat="1" hidden="1" outlineLevel="1" x14ac:dyDescent="0.25">
      <c r="B2781" s="285" t="s">
        <v>500</v>
      </c>
      <c r="C2781" s="29" t="s">
        <v>1884</v>
      </c>
      <c r="D2781" s="29" t="s">
        <v>1489</v>
      </c>
      <c r="E2781" s="29">
        <v>0</v>
      </c>
      <c r="F2781" s="29"/>
      <c r="G2781" s="30"/>
    </row>
    <row r="2782" spans="2:15" s="3" customFormat="1" hidden="1" outlineLevel="1" x14ac:dyDescent="0.25">
      <c r="B2782" s="285" t="s">
        <v>165</v>
      </c>
      <c r="C2782" s="29" t="s">
        <v>1597</v>
      </c>
      <c r="D2782" s="29" t="s">
        <v>1489</v>
      </c>
      <c r="E2782" s="29">
        <v>0</v>
      </c>
      <c r="F2782" s="29"/>
      <c r="G2782" s="30"/>
    </row>
    <row r="2783" spans="2:15" s="3" customFormat="1" hidden="1" outlineLevel="1" x14ac:dyDescent="0.25">
      <c r="B2783" s="286" t="s">
        <v>167</v>
      </c>
      <c r="C2783" s="29" t="s">
        <v>1599</v>
      </c>
      <c r="D2783" s="29" t="s">
        <v>1489</v>
      </c>
      <c r="E2783" s="29">
        <v>0</v>
      </c>
      <c r="F2783" s="29"/>
      <c r="G2783" s="30"/>
    </row>
    <row r="2784" spans="2:15" s="3" customFormat="1" hidden="1" outlineLevel="1" x14ac:dyDescent="0.25">
      <c r="B2784" s="28" t="s">
        <v>374</v>
      </c>
      <c r="C2784" s="29" t="s">
        <v>1772</v>
      </c>
      <c r="D2784" s="29" t="s">
        <v>1489</v>
      </c>
      <c r="E2784" s="29">
        <v>0</v>
      </c>
      <c r="F2784" s="29"/>
      <c r="G2784" s="30"/>
    </row>
    <row r="2785" spans="1:10" s="3" customFormat="1" hidden="1" outlineLevel="1" x14ac:dyDescent="0.25">
      <c r="B2785" s="28" t="s">
        <v>501</v>
      </c>
      <c r="C2785" s="29" t="s">
        <v>1885</v>
      </c>
      <c r="D2785" s="29" t="s">
        <v>1489</v>
      </c>
      <c r="E2785" s="29">
        <v>0</v>
      </c>
      <c r="F2785" s="29" t="s">
        <v>1470</v>
      </c>
      <c r="G2785" s="30"/>
    </row>
    <row r="2786" spans="1:10" s="3" customFormat="1" hidden="1" outlineLevel="1" x14ac:dyDescent="0.25">
      <c r="B2786" s="116" t="s">
        <v>502</v>
      </c>
      <c r="C2786" s="29" t="s">
        <v>1886</v>
      </c>
      <c r="D2786" s="29" t="s">
        <v>1489</v>
      </c>
      <c r="E2786" s="29">
        <v>0</v>
      </c>
      <c r="F2786" s="29" t="s">
        <v>1470</v>
      </c>
      <c r="G2786" s="30"/>
    </row>
    <row r="2787" spans="1:10" s="3" customFormat="1" hidden="1" outlineLevel="1" x14ac:dyDescent="0.25">
      <c r="B2787" s="28" t="s">
        <v>503</v>
      </c>
      <c r="C2787" s="29" t="s">
        <v>1887</v>
      </c>
      <c r="D2787" s="29" t="s">
        <v>1489</v>
      </c>
      <c r="E2787" s="29">
        <v>0</v>
      </c>
      <c r="F2787" s="29"/>
      <c r="G2787" s="30"/>
    </row>
    <row r="2788" spans="1:10" s="3" customFormat="1" hidden="1" outlineLevel="1" x14ac:dyDescent="0.25">
      <c r="B2788" s="28" t="s">
        <v>504</v>
      </c>
      <c r="C2788" s="29" t="s">
        <v>1888</v>
      </c>
      <c r="D2788" s="29" t="s">
        <v>1489</v>
      </c>
      <c r="E2788" s="29">
        <v>0</v>
      </c>
      <c r="F2788" s="29"/>
      <c r="G2788" s="30"/>
    </row>
    <row r="2789" spans="1:10" s="3" customFormat="1" hidden="1" outlineLevel="1" x14ac:dyDescent="0.25">
      <c r="B2789" s="28" t="s">
        <v>505</v>
      </c>
      <c r="C2789" s="29" t="s">
        <v>1889</v>
      </c>
      <c r="D2789" s="29" t="s">
        <v>1489</v>
      </c>
      <c r="E2789" s="29">
        <v>0</v>
      </c>
      <c r="F2789" s="29" t="s">
        <v>1470</v>
      </c>
      <c r="G2789" s="30"/>
    </row>
    <row r="2790" spans="1:10" s="3" customFormat="1" hidden="1" outlineLevel="1" x14ac:dyDescent="0.25">
      <c r="B2790" s="28" t="s">
        <v>506</v>
      </c>
      <c r="C2790" s="29" t="s">
        <v>1890</v>
      </c>
      <c r="D2790" s="29" t="s">
        <v>1489</v>
      </c>
      <c r="E2790" s="29">
        <v>0</v>
      </c>
      <c r="F2790" s="29"/>
      <c r="G2790" s="30"/>
    </row>
    <row r="2791" spans="1:10" s="3" customFormat="1" hidden="1" outlineLevel="1" x14ac:dyDescent="0.25">
      <c r="B2791" s="28" t="s">
        <v>507</v>
      </c>
      <c r="C2791" s="29" t="s">
        <v>1891</v>
      </c>
      <c r="D2791" s="29" t="s">
        <v>1489</v>
      </c>
      <c r="E2791" s="29">
        <v>0</v>
      </c>
      <c r="F2791" s="29"/>
      <c r="G2791" s="30"/>
    </row>
    <row r="2792" spans="1:10" s="3" customFormat="1" hidden="1" outlineLevel="1" x14ac:dyDescent="0.25">
      <c r="B2792" s="217"/>
      <c r="C2792" s="29"/>
      <c r="D2792" s="29"/>
      <c r="E2792" s="29"/>
      <c r="F2792" s="29"/>
      <c r="G2792" s="30"/>
    </row>
    <row r="2793" spans="1:10" s="3" customFormat="1" hidden="1" outlineLevel="1" x14ac:dyDescent="0.25">
      <c r="B2793" s="217"/>
      <c r="C2793" s="29"/>
      <c r="D2793" s="29"/>
      <c r="E2793" s="29"/>
      <c r="F2793" s="29"/>
      <c r="G2793" s="30"/>
    </row>
    <row r="2794" spans="1:10" s="12" customFormat="1" hidden="1" outlineLevel="1" x14ac:dyDescent="0.25">
      <c r="A2794" s="278"/>
      <c r="B2794" s="260"/>
      <c r="C2794" s="262"/>
      <c r="D2794" s="262"/>
      <c r="E2794" s="262"/>
      <c r="F2794" s="262"/>
      <c r="G2794" s="263"/>
    </row>
    <row r="2795" spans="1:10" s="3" customFormat="1" ht="16.2" hidden="1" outlineLevel="1" thickBot="1" x14ac:dyDescent="0.3">
      <c r="B2795" s="116"/>
      <c r="C2795" s="117"/>
      <c r="D2795" s="117"/>
      <c r="E2795" s="117"/>
      <c r="F2795" s="117"/>
      <c r="G2795" s="105" t="s">
        <v>457</v>
      </c>
    </row>
    <row r="2796" spans="1:10" s="3" customFormat="1" hidden="1" outlineLevel="1" x14ac:dyDescent="0.25">
      <c r="B2796" s="395" t="s">
        <v>29</v>
      </c>
      <c r="C2796" s="396"/>
      <c r="D2796" s="396"/>
      <c r="E2796" s="396"/>
      <c r="F2796" s="396"/>
      <c r="G2796" s="397"/>
    </row>
    <row r="2797" spans="1:10" s="9" customFormat="1" ht="17.399999999999999" hidden="1" customHeight="1" outlineLevel="1" x14ac:dyDescent="0.25">
      <c r="A2797" s="5"/>
      <c r="B2797" s="31"/>
      <c r="C2797" s="20"/>
      <c r="D2797" s="20"/>
      <c r="E2797" s="20"/>
      <c r="F2797" s="20"/>
      <c r="G2797" s="22"/>
      <c r="H2797" s="3"/>
      <c r="I2797" s="3"/>
      <c r="J2797" s="45"/>
    </row>
    <row r="2798" spans="1:10" s="3" customFormat="1" ht="17.399999999999999" hidden="1" customHeight="1" outlineLevel="1" x14ac:dyDescent="0.25">
      <c r="A2798" s="5"/>
      <c r="B2798" s="106" t="s">
        <v>851</v>
      </c>
      <c r="C2798" s="107"/>
      <c r="D2798" s="107"/>
      <c r="E2798" s="107"/>
      <c r="F2798" s="107"/>
      <c r="G2798" s="108"/>
      <c r="H2798" s="5"/>
    </row>
    <row r="2799" spans="1:10" s="3" customFormat="1" hidden="1" outlineLevel="1" x14ac:dyDescent="0.25">
      <c r="A2799" s="5"/>
      <c r="B2799" s="115"/>
      <c r="C2799" s="20"/>
      <c r="D2799" s="20"/>
      <c r="E2799" s="20"/>
      <c r="F2799" s="20"/>
      <c r="G2799" s="22"/>
      <c r="J2799" s="55"/>
    </row>
    <row r="2800" spans="1:10" s="9" customFormat="1" ht="17.399999999999999" hidden="1" customHeight="1" outlineLevel="1" x14ac:dyDescent="0.25">
      <c r="A2800" s="5"/>
      <c r="B2800" s="31" t="s">
        <v>702</v>
      </c>
      <c r="C2800" s="20"/>
      <c r="D2800" s="20"/>
      <c r="E2800" s="20"/>
      <c r="F2800" s="20"/>
      <c r="G2800" s="22"/>
      <c r="H2800" s="3"/>
      <c r="I2800" s="3"/>
      <c r="J2800" s="45"/>
    </row>
    <row r="2801" spans="1:10" s="3" customFormat="1" hidden="1" outlineLevel="1" x14ac:dyDescent="0.25">
      <c r="A2801" s="5"/>
      <c r="B2801" s="46" t="s">
        <v>995</v>
      </c>
      <c r="C2801" s="20"/>
      <c r="D2801" s="20"/>
      <c r="E2801" s="20"/>
      <c r="F2801" s="20"/>
      <c r="G2801" s="22"/>
      <c r="J2801" s="45"/>
    </row>
    <row r="2802" spans="1:10" s="3" customFormat="1" hidden="1" outlineLevel="1" x14ac:dyDescent="0.25">
      <c r="A2802" s="5"/>
      <c r="B2802" s="46" t="s">
        <v>2309</v>
      </c>
      <c r="C2802" s="20"/>
      <c r="D2802" s="20"/>
      <c r="E2802" s="20"/>
      <c r="F2802" s="20"/>
      <c r="G2802" s="22"/>
    </row>
    <row r="2803" spans="1:10" s="3" customFormat="1" hidden="1" outlineLevel="1" x14ac:dyDescent="0.25">
      <c r="A2803" s="5"/>
      <c r="B2803" s="50" t="s">
        <v>718</v>
      </c>
      <c r="C2803" s="20"/>
      <c r="D2803" s="20"/>
      <c r="E2803" s="20"/>
      <c r="F2803" s="20"/>
      <c r="G2803" s="22"/>
    </row>
    <row r="2804" spans="1:10" s="3" customFormat="1" hidden="1" outlineLevel="1" x14ac:dyDescent="0.25">
      <c r="A2804" s="5"/>
      <c r="B2804" s="90" t="s">
        <v>1203</v>
      </c>
      <c r="C2804" s="20"/>
      <c r="D2804" s="20"/>
      <c r="E2804" s="20"/>
      <c r="F2804" s="20"/>
      <c r="G2804" s="22"/>
    </row>
    <row r="2805" spans="1:10" s="3" customFormat="1" hidden="1" outlineLevel="1" x14ac:dyDescent="0.25">
      <c r="A2805" s="5"/>
      <c r="B2805" s="90" t="s">
        <v>1204</v>
      </c>
      <c r="C2805" s="20"/>
      <c r="D2805" s="20"/>
      <c r="E2805" s="20"/>
      <c r="F2805" s="20"/>
      <c r="G2805" s="22"/>
    </row>
    <row r="2806" spans="1:10" s="3" customFormat="1" ht="17.399999999999999" hidden="1" customHeight="1" outlineLevel="1" x14ac:dyDescent="0.25">
      <c r="A2806" s="5"/>
      <c r="B2806" s="128" t="s">
        <v>1036</v>
      </c>
      <c r="C2806" s="107"/>
      <c r="D2806" s="107"/>
      <c r="E2806" s="107"/>
      <c r="F2806" s="107"/>
      <c r="G2806" s="129"/>
    </row>
    <row r="2807" spans="1:10" s="3" customFormat="1" hidden="1" outlineLevel="1" x14ac:dyDescent="0.25">
      <c r="A2807" s="5"/>
      <c r="B2807" s="50" t="s">
        <v>726</v>
      </c>
      <c r="C2807" s="20"/>
      <c r="D2807" s="20"/>
      <c r="E2807" s="20"/>
      <c r="F2807" s="20"/>
      <c r="G2807" s="22"/>
    </row>
    <row r="2808" spans="1:10" s="3" customFormat="1" hidden="1" outlineLevel="1" x14ac:dyDescent="0.25">
      <c r="B2808" s="83"/>
      <c r="C2808" s="274"/>
      <c r="D2808" s="274"/>
      <c r="E2808" s="274"/>
      <c r="F2808" s="274"/>
      <c r="G2808" s="275"/>
    </row>
    <row r="2809" spans="1:10" s="3" customFormat="1" hidden="1" outlineLevel="1" x14ac:dyDescent="0.25"/>
    <row r="2810" spans="1:10" ht="16.2" hidden="1" outlineLevel="1" thickBot="1" x14ac:dyDescent="0.3"/>
    <row r="2811" spans="1:10" s="3" customFormat="1" ht="18" customHeight="1" collapsed="1" thickBot="1" x14ac:dyDescent="0.3">
      <c r="A2811" s="5"/>
      <c r="B2811" s="15" t="s">
        <v>1279</v>
      </c>
      <c r="C2811" s="16" t="s">
        <v>2249</v>
      </c>
      <c r="D2811" s="17" t="s">
        <v>1281</v>
      </c>
      <c r="E2811" s="39" t="s">
        <v>1205</v>
      </c>
      <c r="F2811" s="17" t="s">
        <v>1282</v>
      </c>
      <c r="G2811" s="18" t="s">
        <v>2250</v>
      </c>
    </row>
    <row r="2812" spans="1:10" s="3" customFormat="1" ht="17.399999999999999" hidden="1" customHeight="1" outlineLevel="1" x14ac:dyDescent="0.25">
      <c r="A2812" s="5"/>
      <c r="B2812" s="19" t="s">
        <v>1284</v>
      </c>
      <c r="C2812" s="20" t="s">
        <v>1285</v>
      </c>
      <c r="D2812" s="21" t="s">
        <v>1286</v>
      </c>
      <c r="E2812" s="20" t="s">
        <v>2251</v>
      </c>
      <c r="F2812" s="21" t="s">
        <v>1288</v>
      </c>
      <c r="G2812" s="22" t="s">
        <v>1455</v>
      </c>
    </row>
    <row r="2813" spans="1:10" s="3" customFormat="1" ht="17.399999999999999" hidden="1" customHeight="1" outlineLevel="1" thickBot="1" x14ac:dyDescent="0.3">
      <c r="A2813" s="5"/>
      <c r="B2813" s="19" t="s">
        <v>1290</v>
      </c>
      <c r="C2813" s="23" t="s">
        <v>1291</v>
      </c>
      <c r="D2813" s="21" t="s">
        <v>1292</v>
      </c>
      <c r="E2813" s="23">
        <v>5</v>
      </c>
      <c r="F2813" s="21" t="s">
        <v>1293</v>
      </c>
      <c r="G2813" s="24" t="s">
        <v>1294</v>
      </c>
    </row>
    <row r="2814" spans="1:10" s="3" customFormat="1" ht="17.399999999999999" hidden="1" customHeight="1" outlineLevel="1" x14ac:dyDescent="0.25">
      <c r="A2814" s="5"/>
      <c r="B2814" s="401" t="s">
        <v>1</v>
      </c>
      <c r="C2814" s="402"/>
      <c r="D2814" s="402"/>
      <c r="E2814" s="402"/>
      <c r="F2814" s="402"/>
      <c r="G2814" s="403"/>
    </row>
    <row r="2815" spans="1:10" s="3" customFormat="1" ht="17.399999999999999" hidden="1" customHeight="1" outlineLevel="1" x14ac:dyDescent="0.25">
      <c r="A2815" s="5"/>
      <c r="B2815" s="25" t="s">
        <v>2</v>
      </c>
      <c r="C2815" s="26" t="s">
        <v>3</v>
      </c>
      <c r="D2815" s="26" t="s">
        <v>4</v>
      </c>
      <c r="E2815" s="26" t="s">
        <v>5</v>
      </c>
      <c r="F2815" s="26"/>
      <c r="G2815" s="27" t="s">
        <v>6</v>
      </c>
    </row>
    <row r="2816" spans="1:10" s="3" customFormat="1" hidden="1" outlineLevel="1" x14ac:dyDescent="0.25">
      <c r="A2816" s="5"/>
      <c r="B2816" s="31" t="s">
        <v>162</v>
      </c>
      <c r="C2816" s="20" t="s">
        <v>1589</v>
      </c>
      <c r="D2816" s="20" t="s">
        <v>1469</v>
      </c>
      <c r="E2816" s="20">
        <v>0</v>
      </c>
      <c r="F2816" s="20"/>
      <c r="G2816" s="22" t="s">
        <v>1590</v>
      </c>
    </row>
    <row r="2817" spans="1:14" s="3" customFormat="1" hidden="1" outlineLevel="1" x14ac:dyDescent="0.25">
      <c r="A2817" s="5"/>
      <c r="B2817" s="31" t="s">
        <v>163</v>
      </c>
      <c r="C2817" s="20" t="s">
        <v>1591</v>
      </c>
      <c r="D2817" s="20" t="s">
        <v>1469</v>
      </c>
      <c r="E2817" s="20">
        <v>0</v>
      </c>
      <c r="F2817" s="20"/>
      <c r="G2817" s="22" t="s">
        <v>1590</v>
      </c>
    </row>
    <row r="2818" spans="1:14" s="3" customFormat="1" hidden="1" outlineLevel="1" x14ac:dyDescent="0.25">
      <c r="B2818" s="28" t="s">
        <v>128</v>
      </c>
      <c r="C2818" s="29" t="s">
        <v>1566</v>
      </c>
      <c r="D2818" s="29" t="s">
        <v>1567</v>
      </c>
      <c r="E2818" s="29">
        <v>0</v>
      </c>
      <c r="F2818" s="29" t="s">
        <v>1470</v>
      </c>
      <c r="G2818" s="30"/>
      <c r="J2818" s="3" t="s">
        <v>12</v>
      </c>
      <c r="N2818" s="3">
        <v>1629</v>
      </c>
    </row>
    <row r="2819" spans="1:14" s="3" customFormat="1" hidden="1" outlineLevel="1" x14ac:dyDescent="0.25">
      <c r="B2819" s="28" t="s">
        <v>114</v>
      </c>
      <c r="C2819" s="29" t="s">
        <v>1557</v>
      </c>
      <c r="D2819" s="29" t="s">
        <v>1469</v>
      </c>
      <c r="E2819" s="29">
        <v>-1</v>
      </c>
      <c r="F2819" s="29" t="s">
        <v>1470</v>
      </c>
      <c r="G2819" s="30"/>
      <c r="J2819" s="3" t="s">
        <v>10</v>
      </c>
      <c r="N2819" s="3">
        <v>2449</v>
      </c>
    </row>
    <row r="2820" spans="1:14" s="3" customFormat="1" hidden="1" outlineLevel="1" x14ac:dyDescent="0.25">
      <c r="B2820" s="28" t="s">
        <v>7</v>
      </c>
      <c r="C2820" s="29" t="s">
        <v>1468</v>
      </c>
      <c r="D2820" s="29" t="s">
        <v>1469</v>
      </c>
      <c r="E2820" s="29">
        <v>0</v>
      </c>
      <c r="F2820" s="29" t="s">
        <v>1470</v>
      </c>
      <c r="G2820" s="30" t="s">
        <v>1471</v>
      </c>
      <c r="J2820" s="3" t="s">
        <v>10</v>
      </c>
      <c r="N2820" s="3">
        <v>1112</v>
      </c>
    </row>
    <row r="2821" spans="1:14" s="3" customFormat="1" hidden="1" outlineLevel="1" x14ac:dyDescent="0.25">
      <c r="B2821" s="28" t="s">
        <v>188</v>
      </c>
      <c r="C2821" s="29" t="s">
        <v>1607</v>
      </c>
      <c r="D2821" s="29" t="s">
        <v>1606</v>
      </c>
      <c r="E2821" s="29" t="s">
        <v>1594</v>
      </c>
      <c r="F2821" s="29"/>
      <c r="G2821" s="30"/>
      <c r="J2821" s="3" t="s">
        <v>187</v>
      </c>
      <c r="N2821" s="3">
        <v>2156</v>
      </c>
    </row>
    <row r="2822" spans="1:14" hidden="1" outlineLevel="1" x14ac:dyDescent="0.25">
      <c r="B2822" s="256" t="s">
        <v>14</v>
      </c>
      <c r="C2822" s="257" t="s">
        <v>1475</v>
      </c>
      <c r="D2822" s="257" t="s">
        <v>1469</v>
      </c>
      <c r="E2822" s="257">
        <v>0</v>
      </c>
      <c r="F2822" s="257" t="s">
        <v>1476</v>
      </c>
      <c r="G2822" s="258" t="s">
        <v>1477</v>
      </c>
    </row>
    <row r="2823" spans="1:14" s="3" customFormat="1" hidden="1" outlineLevel="1" x14ac:dyDescent="0.25">
      <c r="B2823" s="28" t="s">
        <v>87</v>
      </c>
      <c r="C2823" s="29" t="s">
        <v>1535</v>
      </c>
      <c r="D2823" s="29" t="s">
        <v>1469</v>
      </c>
      <c r="E2823" s="29">
        <v>0</v>
      </c>
      <c r="F2823" s="29" t="s">
        <v>1476</v>
      </c>
      <c r="G2823" s="30"/>
    </row>
    <row r="2824" spans="1:14" hidden="1" outlineLevel="1" x14ac:dyDescent="0.25">
      <c r="B2824" s="256" t="s">
        <v>15</v>
      </c>
      <c r="C2824" s="257" t="s">
        <v>1478</v>
      </c>
      <c r="D2824" s="257" t="s">
        <v>1469</v>
      </c>
      <c r="E2824" s="257">
        <v>0</v>
      </c>
      <c r="F2824" s="257" t="s">
        <v>1470</v>
      </c>
      <c r="G2824" s="258"/>
    </row>
    <row r="2825" spans="1:14" s="3" customFormat="1" ht="16.2" hidden="1" outlineLevel="1" thickBot="1" x14ac:dyDescent="0.3">
      <c r="B2825" s="28"/>
      <c r="C2825" s="29"/>
      <c r="D2825" s="29"/>
      <c r="E2825" s="29"/>
      <c r="F2825" s="29"/>
      <c r="G2825" s="30"/>
    </row>
    <row r="2826" spans="1:14" s="3" customFormat="1" ht="17.399999999999999" hidden="1" customHeight="1" outlineLevel="1" x14ac:dyDescent="0.25">
      <c r="A2826" s="5"/>
      <c r="B2826" s="401" t="s">
        <v>18</v>
      </c>
      <c r="C2826" s="402"/>
      <c r="D2826" s="402"/>
      <c r="E2826" s="402"/>
      <c r="F2826" s="402"/>
      <c r="G2826" s="403"/>
    </row>
    <row r="2827" spans="1:14" s="3" customFormat="1" ht="17.399999999999999" hidden="1" customHeight="1" outlineLevel="1" x14ac:dyDescent="0.25">
      <c r="A2827" s="5"/>
      <c r="B2827" s="25" t="s">
        <v>2</v>
      </c>
      <c r="C2827" s="26" t="s">
        <v>3</v>
      </c>
      <c r="D2827" s="26" t="s">
        <v>4</v>
      </c>
      <c r="E2827" s="26" t="s">
        <v>5</v>
      </c>
      <c r="F2827" s="26"/>
      <c r="G2827" s="27" t="s">
        <v>6</v>
      </c>
    </row>
    <row r="2828" spans="1:14" s="3" customFormat="1" ht="16.2" hidden="1" outlineLevel="1" thickBot="1" x14ac:dyDescent="0.3">
      <c r="B2828" s="267"/>
      <c r="C2828" s="268"/>
      <c r="D2828" s="268"/>
      <c r="E2828" s="268"/>
      <c r="F2828" s="268"/>
      <c r="G2828" s="269"/>
    </row>
    <row r="2829" spans="1:14" s="3" customFormat="1" ht="17.399999999999999" hidden="1" customHeight="1" outlineLevel="1" x14ac:dyDescent="0.25">
      <c r="A2829" s="5"/>
      <c r="B2829" s="401" t="s">
        <v>29</v>
      </c>
      <c r="C2829" s="402"/>
      <c r="D2829" s="402"/>
      <c r="E2829" s="402"/>
      <c r="F2829" s="402"/>
      <c r="G2829" s="403"/>
    </row>
    <row r="2830" spans="1:14" s="3" customFormat="1" hidden="1" outlineLevel="1" x14ac:dyDescent="0.25">
      <c r="B2830" s="28"/>
      <c r="C2830" s="29"/>
      <c r="D2830" s="29"/>
      <c r="E2830" s="29"/>
      <c r="F2830" s="29"/>
      <c r="G2830" s="30"/>
    </row>
    <row r="2831" spans="1:14" s="3" customFormat="1" ht="17.399999999999999" hidden="1" customHeight="1" outlineLevel="1" x14ac:dyDescent="0.25">
      <c r="A2831" s="5"/>
      <c r="B2831" s="106" t="s">
        <v>851</v>
      </c>
      <c r="C2831" s="107"/>
      <c r="D2831" s="107"/>
      <c r="E2831" s="107"/>
      <c r="F2831" s="107"/>
      <c r="G2831" s="108"/>
      <c r="H2831" s="5"/>
    </row>
    <row r="2832" spans="1:14" s="3" customFormat="1" hidden="1" outlineLevel="1" x14ac:dyDescent="0.25">
      <c r="B2832" s="28"/>
      <c r="C2832" s="29"/>
      <c r="D2832" s="29"/>
      <c r="E2832" s="29"/>
      <c r="F2832" s="29"/>
      <c r="G2832" s="30"/>
    </row>
    <row r="2833" spans="1:9" s="10" customFormat="1" hidden="1" outlineLevel="1" x14ac:dyDescent="0.25">
      <c r="A2833" s="243"/>
      <c r="B2833" s="231" t="s">
        <v>910</v>
      </c>
      <c r="C2833" s="245"/>
      <c r="D2833" s="245"/>
      <c r="E2833" s="245"/>
      <c r="F2833" s="245"/>
      <c r="G2833" s="246"/>
      <c r="I2833" s="249"/>
    </row>
    <row r="2834" spans="1:9" s="3" customFormat="1" hidden="1" outlineLevel="1" x14ac:dyDescent="0.25">
      <c r="B2834" s="185"/>
      <c r="C2834" s="23"/>
      <c r="D2834" s="23"/>
      <c r="E2834" s="23"/>
      <c r="F2834" s="23"/>
      <c r="G2834" s="24"/>
    </row>
    <row r="2835" spans="1:9" s="3" customFormat="1" hidden="1" outlineLevel="1" x14ac:dyDescent="0.25">
      <c r="A2835" s="5"/>
      <c r="B2835" s="31" t="s">
        <v>1206</v>
      </c>
      <c r="C2835" s="20"/>
      <c r="D2835" s="20"/>
      <c r="E2835" s="20"/>
      <c r="F2835" s="20"/>
      <c r="G2835" s="22"/>
      <c r="I2835" s="45"/>
    </row>
    <row r="2836" spans="1:9" s="3" customFormat="1" hidden="1" outlineLevel="1" x14ac:dyDescent="0.25">
      <c r="A2836" s="5"/>
      <c r="B2836" s="46" t="s">
        <v>2310</v>
      </c>
      <c r="C2836" s="20"/>
      <c r="D2836" s="20"/>
      <c r="E2836" s="20"/>
      <c r="F2836" s="20"/>
      <c r="G2836" s="22"/>
    </row>
    <row r="2837" spans="1:9" s="3" customFormat="1" ht="16.2" hidden="1" outlineLevel="1" thickBot="1" x14ac:dyDescent="0.3">
      <c r="A2837" s="5"/>
      <c r="B2837" s="52" t="s">
        <v>1046</v>
      </c>
      <c r="C2837" s="53"/>
      <c r="D2837" s="53"/>
      <c r="E2837" s="53"/>
      <c r="F2837" s="53"/>
      <c r="G2837" s="54"/>
    </row>
    <row r="2838" spans="1:9" s="3" customFormat="1" ht="17.399999999999999" hidden="1" customHeight="1" outlineLevel="1" x14ac:dyDescent="0.25">
      <c r="A2838" s="5"/>
      <c r="B2838" s="218" t="s">
        <v>1207</v>
      </c>
      <c r="C2838" s="107"/>
      <c r="D2838" s="107"/>
      <c r="E2838" s="107"/>
      <c r="F2838" s="107"/>
      <c r="G2838" s="108"/>
    </row>
    <row r="2839" spans="1:9" s="3" customFormat="1" ht="17.399999999999999" hidden="1" customHeight="1" outlineLevel="1" x14ac:dyDescent="0.25">
      <c r="A2839" s="5"/>
      <c r="B2839" s="218" t="s">
        <v>1208</v>
      </c>
      <c r="C2839" s="107"/>
      <c r="D2839" s="107"/>
      <c r="E2839" s="107"/>
      <c r="F2839" s="107"/>
      <c r="G2839" s="108"/>
    </row>
    <row r="2840" spans="1:9" s="3" customFormat="1" ht="17.399999999999999" hidden="1" customHeight="1" outlineLevel="1" x14ac:dyDescent="0.25">
      <c r="A2840" s="5"/>
      <c r="B2840" s="201" t="s">
        <v>1209</v>
      </c>
      <c r="C2840" s="107"/>
      <c r="D2840" s="107"/>
      <c r="E2840" s="107"/>
      <c r="F2840" s="107"/>
      <c r="G2840" s="129"/>
    </row>
    <row r="2841" spans="1:9" s="3" customFormat="1" ht="17.399999999999999" hidden="1" customHeight="1" outlineLevel="1" x14ac:dyDescent="0.25">
      <c r="A2841" s="5"/>
      <c r="B2841" s="128" t="s">
        <v>877</v>
      </c>
      <c r="C2841" s="107"/>
      <c r="D2841" s="107"/>
      <c r="E2841" s="107"/>
      <c r="F2841" s="107"/>
      <c r="G2841" s="129"/>
    </row>
    <row r="2842" spans="1:9" s="3" customFormat="1" ht="17.399999999999999" hidden="1" customHeight="1" outlineLevel="1" x14ac:dyDescent="0.25">
      <c r="A2842" s="5"/>
      <c r="B2842" s="201" t="s">
        <v>726</v>
      </c>
      <c r="C2842" s="107"/>
      <c r="D2842" s="107"/>
      <c r="E2842" s="107"/>
      <c r="F2842" s="107"/>
      <c r="G2842" s="108"/>
    </row>
    <row r="2843" spans="1:9" s="3" customFormat="1" ht="17.399999999999999" hidden="1" customHeight="1" outlineLevel="1" x14ac:dyDescent="0.25">
      <c r="A2843" s="5"/>
      <c r="B2843" s="201"/>
      <c r="C2843" s="107"/>
      <c r="D2843" s="107"/>
      <c r="E2843" s="107"/>
      <c r="F2843" s="107"/>
      <c r="G2843" s="108"/>
    </row>
    <row r="2844" spans="1:9" s="3" customFormat="1" ht="17.399999999999999" hidden="1" customHeight="1" outlineLevel="1" x14ac:dyDescent="0.25">
      <c r="A2844" s="5"/>
      <c r="B2844" s="201" t="s">
        <v>920</v>
      </c>
      <c r="C2844" s="107"/>
      <c r="D2844" s="107"/>
      <c r="E2844" s="107"/>
      <c r="F2844" s="107"/>
      <c r="G2844" s="108"/>
    </row>
    <row r="2845" spans="1:9" s="3" customFormat="1" ht="17.399999999999999" hidden="1" customHeight="1" outlineLevel="1" x14ac:dyDescent="0.25">
      <c r="A2845" s="5"/>
      <c r="B2845" s="201"/>
      <c r="C2845" s="107"/>
      <c r="D2845" s="107"/>
      <c r="E2845" s="107"/>
      <c r="F2845" s="107"/>
      <c r="G2845" s="108"/>
    </row>
    <row r="2846" spans="1:9" s="3" customFormat="1" hidden="1" outlineLevel="1" x14ac:dyDescent="0.25">
      <c r="A2846" s="5"/>
      <c r="B2846" s="31" t="s">
        <v>1206</v>
      </c>
      <c r="C2846" s="20"/>
      <c r="D2846" s="20"/>
      <c r="E2846" s="20"/>
      <c r="F2846" s="20"/>
      <c r="G2846" s="22"/>
      <c r="I2846" s="45"/>
    </row>
    <row r="2847" spans="1:9" s="3" customFormat="1" hidden="1" outlineLevel="1" x14ac:dyDescent="0.25">
      <c r="A2847" s="5"/>
      <c r="B2847" s="46" t="s">
        <v>2311</v>
      </c>
      <c r="C2847" s="20"/>
      <c r="D2847" s="20"/>
      <c r="E2847" s="20"/>
      <c r="F2847" s="20"/>
      <c r="G2847" s="22"/>
    </row>
    <row r="2848" spans="1:9" s="3" customFormat="1" ht="16.2" hidden="1" outlineLevel="1" thickBot="1" x14ac:dyDescent="0.3">
      <c r="A2848" s="5"/>
      <c r="B2848" s="52" t="s">
        <v>1046</v>
      </c>
      <c r="C2848" s="53"/>
      <c r="D2848" s="53"/>
      <c r="E2848" s="53"/>
      <c r="F2848" s="53"/>
      <c r="G2848" s="54"/>
    </row>
    <row r="2849" spans="1:7" s="3" customFormat="1" ht="17.399999999999999" hidden="1" customHeight="1" outlineLevel="1" x14ac:dyDescent="0.25">
      <c r="A2849" s="5"/>
      <c r="B2849" s="218" t="s">
        <v>1207</v>
      </c>
      <c r="C2849" s="107"/>
      <c r="D2849" s="107"/>
      <c r="E2849" s="107"/>
      <c r="F2849" s="107"/>
      <c r="G2849" s="108"/>
    </row>
    <row r="2850" spans="1:7" s="3" customFormat="1" ht="17.399999999999999" hidden="1" customHeight="1" outlineLevel="1" x14ac:dyDescent="0.25">
      <c r="A2850" s="5"/>
      <c r="B2850" s="218" t="s">
        <v>1208</v>
      </c>
      <c r="C2850" s="107"/>
      <c r="D2850" s="107"/>
      <c r="E2850" s="107"/>
      <c r="F2850" s="107"/>
      <c r="G2850" s="108"/>
    </row>
    <row r="2851" spans="1:7" s="3" customFormat="1" ht="17.399999999999999" hidden="1" customHeight="1" outlineLevel="1" x14ac:dyDescent="0.25">
      <c r="A2851" s="5"/>
      <c r="B2851" s="201" t="s">
        <v>1209</v>
      </c>
      <c r="C2851" s="107"/>
      <c r="D2851" s="107"/>
      <c r="E2851" s="107"/>
      <c r="F2851" s="107"/>
      <c r="G2851" s="129"/>
    </row>
    <row r="2852" spans="1:7" s="3" customFormat="1" ht="17.399999999999999" hidden="1" customHeight="1" outlineLevel="1" x14ac:dyDescent="0.25">
      <c r="A2852" s="5"/>
      <c r="B2852" s="128" t="s">
        <v>877</v>
      </c>
      <c r="C2852" s="107"/>
      <c r="D2852" s="107"/>
      <c r="E2852" s="107"/>
      <c r="F2852" s="107"/>
      <c r="G2852" s="129"/>
    </row>
    <row r="2853" spans="1:7" s="3" customFormat="1" ht="17.399999999999999" hidden="1" customHeight="1" outlineLevel="1" x14ac:dyDescent="0.25">
      <c r="A2853" s="5"/>
      <c r="B2853" s="201" t="s">
        <v>726</v>
      </c>
      <c r="C2853" s="107"/>
      <c r="D2853" s="107"/>
      <c r="E2853" s="107"/>
      <c r="F2853" s="107"/>
      <c r="G2853" s="108"/>
    </row>
    <row r="2854" spans="1:7" s="3" customFormat="1" ht="17.399999999999999" hidden="1" customHeight="1" outlineLevel="1" x14ac:dyDescent="0.25">
      <c r="A2854" s="5"/>
      <c r="B2854" s="116"/>
      <c r="C2854" s="117"/>
      <c r="D2854" s="117"/>
      <c r="E2854" s="117"/>
      <c r="F2854" s="117"/>
      <c r="G2854" s="118"/>
    </row>
    <row r="2855" spans="1:7" s="3" customFormat="1" ht="17.399999999999999" hidden="1" customHeight="1" outlineLevel="1" x14ac:dyDescent="0.25">
      <c r="A2855" s="5"/>
      <c r="B2855" s="116" t="s">
        <v>561</v>
      </c>
      <c r="C2855" s="117"/>
      <c r="D2855" s="117"/>
      <c r="E2855" s="117"/>
      <c r="F2855" s="117"/>
      <c r="G2855" s="118"/>
    </row>
    <row r="2856" spans="1:7" s="3" customFormat="1" ht="17.399999999999999" hidden="1" customHeight="1" outlineLevel="1" x14ac:dyDescent="0.25">
      <c r="A2856" s="5"/>
      <c r="B2856" s="116"/>
      <c r="C2856" s="117"/>
      <c r="D2856" s="117"/>
      <c r="E2856" s="117"/>
      <c r="F2856" s="117"/>
      <c r="G2856" s="118"/>
    </row>
    <row r="2857" spans="1:7" s="3" customFormat="1" ht="17.399999999999999" hidden="1" customHeight="1" outlineLevel="1" x14ac:dyDescent="0.25">
      <c r="A2857" s="5"/>
      <c r="B2857" s="116"/>
      <c r="C2857" s="117"/>
      <c r="D2857" s="117"/>
      <c r="E2857" s="117"/>
      <c r="F2857" s="117"/>
      <c r="G2857" s="118"/>
    </row>
    <row r="2858" spans="1:7" hidden="1" outlineLevel="1" x14ac:dyDescent="0.25"/>
    <row r="2859" spans="1:7" ht="16.2" hidden="1" outlineLevel="1" thickBot="1" x14ac:dyDescent="0.3"/>
    <row r="2860" spans="1:7" s="3" customFormat="1" ht="18" customHeight="1" collapsed="1" thickBot="1" x14ac:dyDescent="0.3">
      <c r="A2860" s="5"/>
      <c r="B2860" s="15" t="s">
        <v>1279</v>
      </c>
      <c r="C2860" s="16" t="s">
        <v>2252</v>
      </c>
      <c r="D2860" s="17" t="s">
        <v>1281</v>
      </c>
      <c r="E2860" s="29" t="s">
        <v>1210</v>
      </c>
      <c r="F2860" s="17" t="s">
        <v>1282</v>
      </c>
      <c r="G2860" s="18" t="s">
        <v>2253</v>
      </c>
    </row>
    <row r="2861" spans="1:7" s="3" customFormat="1" ht="17.399999999999999" hidden="1" customHeight="1" outlineLevel="1" x14ac:dyDescent="0.25">
      <c r="A2861" s="5"/>
      <c r="B2861" s="19" t="s">
        <v>1284</v>
      </c>
      <c r="C2861" s="20" t="s">
        <v>1285</v>
      </c>
      <c r="D2861" s="21" t="s">
        <v>1286</v>
      </c>
      <c r="E2861" s="20" t="s">
        <v>2254</v>
      </c>
      <c r="F2861" s="21" t="s">
        <v>1288</v>
      </c>
      <c r="G2861" s="22" t="s">
        <v>2335</v>
      </c>
    </row>
    <row r="2862" spans="1:7" s="3" customFormat="1" ht="17.399999999999999" hidden="1" customHeight="1" outlineLevel="1" thickBot="1" x14ac:dyDescent="0.3">
      <c r="A2862" s="5"/>
      <c r="B2862" s="19" t="s">
        <v>1290</v>
      </c>
      <c r="C2862" s="23" t="s">
        <v>1291</v>
      </c>
      <c r="D2862" s="21" t="s">
        <v>1292</v>
      </c>
      <c r="E2862" s="23">
        <v>5</v>
      </c>
      <c r="F2862" s="21" t="s">
        <v>1293</v>
      </c>
      <c r="G2862" s="24" t="s">
        <v>1294</v>
      </c>
    </row>
    <row r="2863" spans="1:7" s="3" customFormat="1" ht="17.399999999999999" hidden="1" customHeight="1" outlineLevel="1" x14ac:dyDescent="0.25">
      <c r="A2863" s="5"/>
      <c r="B2863" s="401" t="s">
        <v>1</v>
      </c>
      <c r="C2863" s="402"/>
      <c r="D2863" s="402"/>
      <c r="E2863" s="402"/>
      <c r="F2863" s="402"/>
      <c r="G2863" s="403"/>
    </row>
    <row r="2864" spans="1:7" s="3" customFormat="1" ht="17.399999999999999" hidden="1" customHeight="1" outlineLevel="1" x14ac:dyDescent="0.25">
      <c r="A2864" s="5"/>
      <c r="B2864" s="25" t="s">
        <v>2</v>
      </c>
      <c r="C2864" s="26" t="s">
        <v>3</v>
      </c>
      <c r="D2864" s="26" t="s">
        <v>4</v>
      </c>
      <c r="E2864" s="26" t="s">
        <v>5</v>
      </c>
      <c r="F2864" s="26"/>
      <c r="G2864" s="27" t="s">
        <v>6</v>
      </c>
    </row>
    <row r="2865" spans="1:14" s="3" customFormat="1" hidden="1" outlineLevel="1" x14ac:dyDescent="0.25">
      <c r="A2865" s="5"/>
      <c r="B2865" s="31" t="s">
        <v>162</v>
      </c>
      <c r="C2865" s="20" t="s">
        <v>1589</v>
      </c>
      <c r="D2865" s="20" t="s">
        <v>1469</v>
      </c>
      <c r="E2865" s="20">
        <v>0</v>
      </c>
      <c r="F2865" s="20"/>
      <c r="G2865" s="22" t="s">
        <v>2355</v>
      </c>
    </row>
    <row r="2866" spans="1:14" s="3" customFormat="1" hidden="1" outlineLevel="1" x14ac:dyDescent="0.25">
      <c r="A2866" s="5"/>
      <c r="B2866" s="31" t="s">
        <v>163</v>
      </c>
      <c r="C2866" s="20" t="s">
        <v>1591</v>
      </c>
      <c r="D2866" s="20" t="s">
        <v>1469</v>
      </c>
      <c r="E2866" s="20">
        <v>0</v>
      </c>
      <c r="F2866" s="20"/>
      <c r="G2866" s="22" t="s">
        <v>2355</v>
      </c>
    </row>
    <row r="2867" spans="1:14" s="3" customFormat="1" hidden="1" outlineLevel="1" x14ac:dyDescent="0.25">
      <c r="B2867" s="28" t="s">
        <v>128</v>
      </c>
      <c r="C2867" s="29" t="s">
        <v>1566</v>
      </c>
      <c r="D2867" s="29" t="s">
        <v>1567</v>
      </c>
      <c r="E2867" s="29">
        <v>0</v>
      </c>
      <c r="F2867" s="29" t="s">
        <v>1470</v>
      </c>
      <c r="G2867" s="30"/>
      <c r="J2867" s="3" t="s">
        <v>12</v>
      </c>
      <c r="N2867" s="3">
        <v>1629</v>
      </c>
    </row>
    <row r="2868" spans="1:14" s="3" customFormat="1" hidden="1" outlineLevel="1" x14ac:dyDescent="0.25">
      <c r="B2868" s="28" t="s">
        <v>114</v>
      </c>
      <c r="C2868" s="29" t="s">
        <v>1557</v>
      </c>
      <c r="D2868" s="29" t="s">
        <v>1469</v>
      </c>
      <c r="E2868" s="29">
        <v>-1</v>
      </c>
      <c r="F2868" s="29" t="s">
        <v>1470</v>
      </c>
      <c r="G2868" s="30"/>
      <c r="J2868" s="3" t="s">
        <v>10</v>
      </c>
      <c r="N2868" s="3">
        <v>2449</v>
      </c>
    </row>
    <row r="2869" spans="1:14" s="3" customFormat="1" hidden="1" outlineLevel="1" x14ac:dyDescent="0.25">
      <c r="B2869" s="28" t="s">
        <v>7</v>
      </c>
      <c r="C2869" s="29" t="s">
        <v>1468</v>
      </c>
      <c r="D2869" s="29" t="s">
        <v>1469</v>
      </c>
      <c r="E2869" s="29">
        <v>0</v>
      </c>
      <c r="F2869" s="29" t="s">
        <v>1470</v>
      </c>
      <c r="G2869" s="30" t="s">
        <v>1471</v>
      </c>
      <c r="J2869" s="3" t="s">
        <v>10</v>
      </c>
      <c r="N2869" s="3">
        <v>1112</v>
      </c>
    </row>
    <row r="2870" spans="1:14" s="3" customFormat="1" ht="16.2" hidden="1" outlineLevel="1" thickBot="1" x14ac:dyDescent="0.3">
      <c r="B2870" s="28"/>
      <c r="C2870" s="29"/>
      <c r="D2870" s="29"/>
      <c r="E2870" s="29"/>
      <c r="F2870" s="29"/>
      <c r="G2870" s="30"/>
    </row>
    <row r="2871" spans="1:14" s="3" customFormat="1" ht="17.399999999999999" hidden="1" customHeight="1" outlineLevel="1" x14ac:dyDescent="0.25">
      <c r="A2871" s="5"/>
      <c r="B2871" s="401" t="s">
        <v>18</v>
      </c>
      <c r="C2871" s="402"/>
      <c r="D2871" s="402"/>
      <c r="E2871" s="402"/>
      <c r="F2871" s="402"/>
      <c r="G2871" s="403"/>
    </row>
    <row r="2872" spans="1:14" s="3" customFormat="1" ht="17.399999999999999" hidden="1" customHeight="1" outlineLevel="1" x14ac:dyDescent="0.25">
      <c r="A2872" s="5"/>
      <c r="B2872" s="25" t="s">
        <v>2</v>
      </c>
      <c r="C2872" s="26" t="s">
        <v>3</v>
      </c>
      <c r="D2872" s="26" t="s">
        <v>4</v>
      </c>
      <c r="E2872" s="26" t="s">
        <v>5</v>
      </c>
      <c r="F2872" s="26"/>
      <c r="G2872" s="27" t="s">
        <v>6</v>
      </c>
    </row>
    <row r="2873" spans="1:14" s="3" customFormat="1" hidden="1" outlineLevel="1" x14ac:dyDescent="0.25">
      <c r="B2873" s="28"/>
      <c r="C2873" s="29"/>
      <c r="D2873" s="29"/>
      <c r="E2873" s="29"/>
      <c r="F2873" s="29"/>
      <c r="G2873" s="30"/>
      <c r="H2873" s="273"/>
    </row>
    <row r="2874" spans="1:14" s="3" customFormat="1" ht="16.2" hidden="1" outlineLevel="1" thickBot="1" x14ac:dyDescent="0.3">
      <c r="B2874" s="267"/>
      <c r="C2874" s="268"/>
      <c r="D2874" s="268"/>
      <c r="E2874" s="268"/>
      <c r="F2874" s="268"/>
      <c r="G2874" s="269"/>
    </row>
    <row r="2875" spans="1:14" s="3" customFormat="1" ht="17.399999999999999" hidden="1" customHeight="1" outlineLevel="1" x14ac:dyDescent="0.25">
      <c r="A2875" s="5"/>
      <c r="B2875" s="401" t="s">
        <v>29</v>
      </c>
      <c r="C2875" s="402"/>
      <c r="D2875" s="402"/>
      <c r="E2875" s="402"/>
      <c r="F2875" s="402"/>
      <c r="G2875" s="403"/>
    </row>
    <row r="2876" spans="1:14" s="3" customFormat="1" hidden="1" outlineLevel="1" x14ac:dyDescent="0.25">
      <c r="B2876" s="28"/>
      <c r="C2876" s="29"/>
      <c r="D2876" s="29"/>
      <c r="E2876" s="29"/>
      <c r="F2876" s="29"/>
      <c r="G2876" s="30"/>
    </row>
    <row r="2877" spans="1:14" s="3" customFormat="1" hidden="1" outlineLevel="1" x14ac:dyDescent="0.25">
      <c r="B2877" s="185" t="s">
        <v>1211</v>
      </c>
      <c r="C2877" s="23"/>
      <c r="D2877" s="23"/>
      <c r="E2877" s="23"/>
      <c r="F2877" s="23"/>
      <c r="G2877" s="24"/>
    </row>
    <row r="2878" spans="1:14" s="3" customFormat="1" hidden="1" outlineLevel="1" x14ac:dyDescent="0.25">
      <c r="B2878" s="185"/>
      <c r="C2878" s="23"/>
      <c r="D2878" s="23"/>
      <c r="E2878" s="23"/>
      <c r="F2878" s="23"/>
      <c r="G2878" s="24"/>
    </row>
    <row r="2879" spans="1:14" s="3" customFormat="1" hidden="1" outlineLevel="1" x14ac:dyDescent="0.25">
      <c r="B2879" s="185" t="s">
        <v>1212</v>
      </c>
      <c r="C2879" s="23"/>
      <c r="D2879" s="23"/>
      <c r="E2879" s="23"/>
      <c r="F2879" s="23"/>
      <c r="G2879" s="24"/>
    </row>
    <row r="2880" spans="1:14" s="13" customFormat="1" hidden="1" outlineLevel="1" x14ac:dyDescent="0.25">
      <c r="B2880" s="287" t="s">
        <v>1213</v>
      </c>
      <c r="C2880" s="288"/>
      <c r="D2880" s="288"/>
      <c r="E2880" s="288"/>
      <c r="F2880" s="288"/>
      <c r="G2880" s="289"/>
    </row>
    <row r="2881" spans="1:7" s="3" customFormat="1" hidden="1" outlineLevel="1" x14ac:dyDescent="0.25">
      <c r="B2881" s="185" t="s">
        <v>1214</v>
      </c>
      <c r="C2881" s="23"/>
      <c r="D2881" s="23"/>
      <c r="E2881" s="23"/>
      <c r="F2881" s="23"/>
      <c r="G2881" s="24"/>
    </row>
    <row r="2882" spans="1:7" s="3" customFormat="1" hidden="1" outlineLevel="1" x14ac:dyDescent="0.25">
      <c r="B2882" s="185" t="s">
        <v>1215</v>
      </c>
      <c r="C2882" s="23"/>
      <c r="D2882" s="23"/>
      <c r="E2882" s="23"/>
      <c r="F2882" s="23"/>
      <c r="G2882" s="24"/>
    </row>
    <row r="2883" spans="1:7" s="3" customFormat="1" hidden="1" outlineLevel="1" x14ac:dyDescent="0.25">
      <c r="B2883" s="185" t="s">
        <v>1216</v>
      </c>
      <c r="C2883" s="23"/>
      <c r="D2883" s="23"/>
      <c r="E2883" s="23"/>
      <c r="F2883" s="23"/>
      <c r="G2883" s="24"/>
    </row>
    <row r="2884" spans="1:7" s="3" customFormat="1" hidden="1" outlineLevel="1" x14ac:dyDescent="0.25">
      <c r="B2884" s="185" t="s">
        <v>1217</v>
      </c>
      <c r="C2884" s="23"/>
      <c r="D2884" s="23"/>
      <c r="E2884" s="23"/>
      <c r="F2884" s="23"/>
      <c r="G2884" s="24"/>
    </row>
    <row r="2885" spans="1:7" s="3" customFormat="1" hidden="1" outlineLevel="1" x14ac:dyDescent="0.25">
      <c r="B2885" s="185"/>
      <c r="C2885" s="23"/>
      <c r="D2885" s="23"/>
      <c r="E2885" s="23"/>
      <c r="F2885" s="23"/>
      <c r="G2885" s="24"/>
    </row>
    <row r="2886" spans="1:7" s="3" customFormat="1" hidden="1" outlineLevel="1" x14ac:dyDescent="0.25">
      <c r="B2886" s="185"/>
      <c r="C2886" s="23"/>
      <c r="D2886" s="23"/>
      <c r="E2886" s="23"/>
      <c r="F2886" s="23"/>
      <c r="G2886" s="24"/>
    </row>
    <row r="2887" spans="1:7" s="3" customFormat="1" hidden="1" outlineLevel="1" x14ac:dyDescent="0.25">
      <c r="B2887" s="185" t="s">
        <v>1218</v>
      </c>
      <c r="C2887" s="23"/>
      <c r="D2887" s="23"/>
      <c r="E2887" s="23"/>
      <c r="F2887" s="23"/>
      <c r="G2887" s="24"/>
    </row>
    <row r="2888" spans="1:7" s="3" customFormat="1" hidden="1" outlineLevel="1" x14ac:dyDescent="0.25">
      <c r="B2888" s="287" t="s">
        <v>1219</v>
      </c>
      <c r="C2888" s="23"/>
      <c r="D2888" s="23"/>
      <c r="E2888" s="23"/>
      <c r="F2888" s="23"/>
      <c r="G2888" s="24"/>
    </row>
    <row r="2889" spans="1:7" s="3" customFormat="1" hidden="1" outlineLevel="1" x14ac:dyDescent="0.25">
      <c r="B2889" s="185" t="s">
        <v>1220</v>
      </c>
      <c r="C2889" s="23"/>
      <c r="D2889" s="23"/>
      <c r="E2889" s="23"/>
      <c r="F2889" s="23"/>
      <c r="G2889" s="24"/>
    </row>
    <row r="2890" spans="1:7" s="3" customFormat="1" hidden="1" outlineLevel="1" x14ac:dyDescent="0.25">
      <c r="B2890" s="185" t="s">
        <v>1221</v>
      </c>
      <c r="C2890" s="23"/>
      <c r="D2890" s="23"/>
      <c r="E2890" s="23"/>
      <c r="F2890" s="23"/>
      <c r="G2890" s="24"/>
    </row>
    <row r="2891" spans="1:7" s="3" customFormat="1" hidden="1" outlineLevel="1" x14ac:dyDescent="0.25">
      <c r="B2891" s="185" t="s">
        <v>1222</v>
      </c>
      <c r="C2891" s="23"/>
      <c r="D2891" s="23"/>
      <c r="E2891" s="23"/>
      <c r="F2891" s="23"/>
      <c r="G2891" s="24"/>
    </row>
    <row r="2892" spans="1:7" s="3" customFormat="1" hidden="1" outlineLevel="1" x14ac:dyDescent="0.25">
      <c r="A2892" s="5"/>
      <c r="B2892" s="185" t="s">
        <v>1223</v>
      </c>
      <c r="C2892" s="20"/>
      <c r="D2892" s="20"/>
      <c r="E2892" s="20"/>
      <c r="F2892" s="20"/>
      <c r="G2892" s="22"/>
    </row>
    <row r="2893" spans="1:7" s="3" customFormat="1" hidden="1" outlineLevel="1" x14ac:dyDescent="0.25">
      <c r="B2893" s="185" t="s">
        <v>1224</v>
      </c>
      <c r="C2893" s="23"/>
      <c r="D2893" s="23"/>
      <c r="E2893" s="23"/>
      <c r="F2893" s="23"/>
      <c r="G2893" s="24"/>
    </row>
    <row r="2894" spans="1:7" s="3" customFormat="1" hidden="1" outlineLevel="1" x14ac:dyDescent="0.25">
      <c r="B2894" s="185" t="s">
        <v>912</v>
      </c>
      <c r="C2894" s="23"/>
      <c r="D2894" s="23"/>
      <c r="E2894" s="23"/>
      <c r="F2894" s="23"/>
      <c r="G2894" s="24"/>
    </row>
    <row r="2895" spans="1:7" s="3" customFormat="1" hidden="1" outlineLevel="1" x14ac:dyDescent="0.25">
      <c r="B2895" s="185" t="s">
        <v>1225</v>
      </c>
      <c r="C2895" s="23"/>
      <c r="D2895" s="23"/>
      <c r="E2895" s="23"/>
      <c r="F2895" s="23"/>
      <c r="G2895" s="24"/>
    </row>
    <row r="2896" spans="1:7" s="3" customFormat="1" hidden="1" outlineLevel="1" x14ac:dyDescent="0.25">
      <c r="B2896" s="185" t="s">
        <v>1226</v>
      </c>
      <c r="C2896" s="23"/>
      <c r="D2896" s="23"/>
      <c r="E2896" s="23"/>
      <c r="F2896" s="23"/>
      <c r="G2896" s="24"/>
    </row>
    <row r="2897" spans="2:7" s="3" customFormat="1" hidden="1" outlineLevel="1" x14ac:dyDescent="0.25">
      <c r="B2897" s="185" t="s">
        <v>1227</v>
      </c>
      <c r="C2897" s="23"/>
      <c r="D2897" s="23"/>
      <c r="E2897" s="23"/>
      <c r="F2897" s="23"/>
      <c r="G2897" s="24"/>
    </row>
    <row r="2898" spans="2:7" s="3" customFormat="1" hidden="1" outlineLevel="1" x14ac:dyDescent="0.25">
      <c r="B2898" s="185" t="s">
        <v>1228</v>
      </c>
      <c r="C2898" s="23"/>
      <c r="D2898" s="23"/>
      <c r="E2898" s="23"/>
      <c r="F2898" s="23"/>
      <c r="G2898" s="24"/>
    </row>
    <row r="2899" spans="2:7" s="3" customFormat="1" hidden="1" outlineLevel="1" x14ac:dyDescent="0.25">
      <c r="B2899" s="185" t="s">
        <v>1229</v>
      </c>
      <c r="C2899" s="23"/>
      <c r="D2899" s="23"/>
      <c r="E2899" s="23"/>
      <c r="F2899" s="23"/>
      <c r="G2899" s="24"/>
    </row>
    <row r="2900" spans="2:7" s="3" customFormat="1" hidden="1" outlineLevel="1" x14ac:dyDescent="0.25">
      <c r="B2900" s="185" t="s">
        <v>1230</v>
      </c>
      <c r="C2900" s="23"/>
      <c r="D2900" s="23"/>
      <c r="E2900" s="23"/>
      <c r="F2900" s="23"/>
      <c r="G2900" s="24"/>
    </row>
    <row r="2901" spans="2:7" s="3" customFormat="1" hidden="1" outlineLevel="1" x14ac:dyDescent="0.25">
      <c r="B2901" s="185" t="s">
        <v>1231</v>
      </c>
      <c r="C2901" s="23"/>
      <c r="D2901" s="23"/>
      <c r="E2901" s="23"/>
      <c r="F2901" s="23"/>
      <c r="G2901" s="24"/>
    </row>
    <row r="2902" spans="2:7" s="3" customFormat="1" hidden="1" outlineLevel="1" x14ac:dyDescent="0.25">
      <c r="B2902" s="185" t="s">
        <v>1232</v>
      </c>
      <c r="C2902" s="23"/>
      <c r="D2902" s="23"/>
      <c r="E2902" s="23"/>
      <c r="F2902" s="23"/>
      <c r="G2902" s="24"/>
    </row>
    <row r="2903" spans="2:7" s="3" customFormat="1" hidden="1" outlineLevel="1" x14ac:dyDescent="0.25">
      <c r="B2903" s="185" t="s">
        <v>1233</v>
      </c>
      <c r="C2903" s="23"/>
      <c r="D2903" s="23"/>
      <c r="E2903" s="23"/>
      <c r="F2903" s="23"/>
      <c r="G2903" s="24"/>
    </row>
    <row r="2904" spans="2:7" s="3" customFormat="1" hidden="1" outlineLevel="1" x14ac:dyDescent="0.25">
      <c r="B2904" s="185" t="s">
        <v>1234</v>
      </c>
      <c r="C2904" s="23"/>
      <c r="D2904" s="23"/>
      <c r="E2904" s="23"/>
      <c r="F2904" s="23"/>
      <c r="G2904" s="24"/>
    </row>
    <row r="2905" spans="2:7" s="3" customFormat="1" hidden="1" outlineLevel="1" x14ac:dyDescent="0.25">
      <c r="B2905" s="185" t="s">
        <v>1229</v>
      </c>
      <c r="C2905" s="23"/>
      <c r="D2905" s="23"/>
      <c r="E2905" s="23"/>
      <c r="F2905" s="23"/>
      <c r="G2905" s="24"/>
    </row>
    <row r="2906" spans="2:7" s="3" customFormat="1" hidden="1" outlineLevel="1" x14ac:dyDescent="0.25">
      <c r="B2906" s="185" t="s">
        <v>1231</v>
      </c>
      <c r="C2906" s="23"/>
      <c r="D2906" s="23"/>
      <c r="E2906" s="23"/>
      <c r="F2906" s="23"/>
      <c r="G2906" s="24"/>
    </row>
    <row r="2907" spans="2:7" s="3" customFormat="1" hidden="1" outlineLevel="1" x14ac:dyDescent="0.25">
      <c r="B2907" s="185"/>
      <c r="C2907" s="23"/>
      <c r="D2907" s="23"/>
      <c r="E2907" s="23"/>
      <c r="F2907" s="23"/>
      <c r="G2907" s="24"/>
    </row>
    <row r="2908" spans="2:7" s="3" customFormat="1" hidden="1" outlineLevel="1" x14ac:dyDescent="0.25">
      <c r="B2908" s="185" t="s">
        <v>1235</v>
      </c>
      <c r="C2908" s="23"/>
      <c r="D2908" s="23"/>
      <c r="E2908" s="23"/>
      <c r="F2908" s="23"/>
      <c r="G2908" s="24"/>
    </row>
    <row r="2909" spans="2:7" s="3" customFormat="1" hidden="1" outlineLevel="1" x14ac:dyDescent="0.25">
      <c r="B2909" s="185" t="s">
        <v>1236</v>
      </c>
      <c r="C2909" s="23"/>
      <c r="D2909" s="23"/>
      <c r="E2909" s="23"/>
      <c r="F2909" s="23"/>
      <c r="G2909" s="24"/>
    </row>
    <row r="2910" spans="2:7" s="3" customFormat="1" hidden="1" outlineLevel="1" x14ac:dyDescent="0.25">
      <c r="B2910" s="185"/>
      <c r="C2910" s="23"/>
      <c r="D2910" s="23"/>
      <c r="E2910" s="23"/>
      <c r="F2910" s="23"/>
      <c r="G2910" s="24"/>
    </row>
    <row r="2911" spans="2:7" s="3" customFormat="1" hidden="1" outlineLevel="1" x14ac:dyDescent="0.25">
      <c r="B2911" s="185" t="s">
        <v>561</v>
      </c>
      <c r="C2911" s="23"/>
      <c r="D2911" s="23"/>
      <c r="E2911" s="23"/>
      <c r="F2911" s="23"/>
      <c r="G2911" s="24"/>
    </row>
    <row r="2912" spans="2:7" s="3" customFormat="1" ht="16.2" hidden="1" outlineLevel="1" thickBot="1" x14ac:dyDescent="0.3">
      <c r="B2912" s="163"/>
      <c r="C2912" s="164"/>
      <c r="D2912" s="164"/>
      <c r="E2912" s="164"/>
      <c r="F2912" s="164"/>
      <c r="G2912" s="165"/>
    </row>
    <row r="2913" spans="1:14" hidden="1" outlineLevel="1" x14ac:dyDescent="0.25"/>
    <row r="2914" spans="1:14" ht="16.2" hidden="1" outlineLevel="1" thickBot="1" x14ac:dyDescent="0.3"/>
    <row r="2915" spans="1:14" s="3" customFormat="1" ht="18" customHeight="1" collapsed="1" thickBot="1" x14ac:dyDescent="0.3">
      <c r="A2915" s="5"/>
      <c r="B2915" s="15" t="s">
        <v>1279</v>
      </c>
      <c r="C2915" s="16" t="s">
        <v>2255</v>
      </c>
      <c r="D2915" s="17" t="s">
        <v>1281</v>
      </c>
      <c r="E2915" s="29" t="s">
        <v>1237</v>
      </c>
      <c r="F2915" s="17" t="s">
        <v>1282</v>
      </c>
      <c r="G2915" s="18" t="s">
        <v>2256</v>
      </c>
    </row>
    <row r="2916" spans="1:14" s="3" customFormat="1" ht="17.399999999999999" hidden="1" customHeight="1" outlineLevel="1" x14ac:dyDescent="0.25">
      <c r="A2916" s="5"/>
      <c r="B2916" s="19" t="s">
        <v>1284</v>
      </c>
      <c r="C2916" s="20" t="s">
        <v>1285</v>
      </c>
      <c r="D2916" s="21" t="s">
        <v>1286</v>
      </c>
      <c r="E2916" s="20" t="s">
        <v>2257</v>
      </c>
      <c r="F2916" s="21" t="s">
        <v>1288</v>
      </c>
      <c r="G2916" s="22"/>
    </row>
    <row r="2917" spans="1:14" s="3" customFormat="1" ht="17.399999999999999" hidden="1" customHeight="1" outlineLevel="1" thickBot="1" x14ac:dyDescent="0.3">
      <c r="A2917" s="5"/>
      <c r="B2917" s="19" t="s">
        <v>1290</v>
      </c>
      <c r="C2917" s="23" t="s">
        <v>1291</v>
      </c>
      <c r="D2917" s="21" t="s">
        <v>1292</v>
      </c>
      <c r="E2917" s="23">
        <v>5</v>
      </c>
      <c r="F2917" s="21" t="s">
        <v>1293</v>
      </c>
      <c r="G2917" s="24" t="s">
        <v>1294</v>
      </c>
    </row>
    <row r="2918" spans="1:14" s="3" customFormat="1" ht="17.399999999999999" hidden="1" customHeight="1" outlineLevel="1" x14ac:dyDescent="0.25">
      <c r="A2918" s="5"/>
      <c r="B2918" s="401" t="s">
        <v>1</v>
      </c>
      <c r="C2918" s="402"/>
      <c r="D2918" s="402"/>
      <c r="E2918" s="402"/>
      <c r="F2918" s="402"/>
      <c r="G2918" s="403"/>
    </row>
    <row r="2919" spans="1:14" s="3" customFormat="1" ht="17.399999999999999" hidden="1" customHeight="1" outlineLevel="1" x14ac:dyDescent="0.25">
      <c r="A2919" s="5"/>
      <c r="B2919" s="25" t="s">
        <v>2</v>
      </c>
      <c r="C2919" s="26" t="s">
        <v>3</v>
      </c>
      <c r="D2919" s="26" t="s">
        <v>4</v>
      </c>
      <c r="E2919" s="26" t="s">
        <v>5</v>
      </c>
      <c r="F2919" s="26"/>
      <c r="G2919" s="27" t="s">
        <v>6</v>
      </c>
    </row>
    <row r="2920" spans="1:14" s="3" customFormat="1" hidden="1" outlineLevel="1" x14ac:dyDescent="0.25">
      <c r="B2920" s="28" t="s">
        <v>7</v>
      </c>
      <c r="C2920" s="29" t="s">
        <v>1468</v>
      </c>
      <c r="D2920" s="29" t="s">
        <v>1469</v>
      </c>
      <c r="E2920" s="29">
        <v>0</v>
      </c>
      <c r="F2920" s="29" t="s">
        <v>1470</v>
      </c>
      <c r="G2920" s="30" t="s">
        <v>1471</v>
      </c>
      <c r="J2920" s="3" t="s">
        <v>10</v>
      </c>
      <c r="N2920" s="3">
        <v>1112</v>
      </c>
    </row>
    <row r="2921" spans="1:14" s="3" customFormat="1" ht="16.2" hidden="1" outlineLevel="1" thickBot="1" x14ac:dyDescent="0.3">
      <c r="B2921" s="28"/>
      <c r="C2921" s="29"/>
      <c r="D2921" s="29"/>
      <c r="E2921" s="29"/>
      <c r="F2921" s="29"/>
      <c r="G2921" s="30"/>
    </row>
    <row r="2922" spans="1:14" s="3" customFormat="1" ht="17.399999999999999" hidden="1" customHeight="1" outlineLevel="1" x14ac:dyDescent="0.25">
      <c r="A2922" s="5"/>
      <c r="B2922" s="401" t="s">
        <v>18</v>
      </c>
      <c r="C2922" s="402"/>
      <c r="D2922" s="402"/>
      <c r="E2922" s="402"/>
      <c r="F2922" s="402"/>
      <c r="G2922" s="403"/>
    </row>
    <row r="2923" spans="1:14" s="3" customFormat="1" ht="16.5" hidden="1" customHeight="1" outlineLevel="1" x14ac:dyDescent="0.25">
      <c r="A2923" s="5"/>
      <c r="B2923" s="25" t="s">
        <v>2</v>
      </c>
      <c r="C2923" s="26" t="s">
        <v>3</v>
      </c>
      <c r="D2923" s="26" t="s">
        <v>4</v>
      </c>
      <c r="E2923" s="26" t="s">
        <v>5</v>
      </c>
      <c r="F2923" s="26"/>
      <c r="G2923" s="27" t="s">
        <v>6</v>
      </c>
    </row>
    <row r="2924" spans="1:14" hidden="1" outlineLevel="1" x14ac:dyDescent="0.25">
      <c r="B2924" s="28" t="s">
        <v>213</v>
      </c>
      <c r="C2924" s="29" t="s">
        <v>1656</v>
      </c>
      <c r="D2924" s="257" t="s">
        <v>1489</v>
      </c>
      <c r="E2924" s="257">
        <v>0</v>
      </c>
      <c r="F2924" s="257" t="s">
        <v>2336</v>
      </c>
      <c r="G2924" s="258" t="s">
        <v>2353</v>
      </c>
    </row>
    <row r="2925" spans="1:14" hidden="1" outlineLevel="1" x14ac:dyDescent="0.25">
      <c r="B2925" s="28" t="s">
        <v>205</v>
      </c>
      <c r="C2925" s="29" t="s">
        <v>1640</v>
      </c>
      <c r="D2925" s="257" t="s">
        <v>1469</v>
      </c>
      <c r="E2925" s="257">
        <v>0</v>
      </c>
      <c r="F2925" s="257" t="s">
        <v>2341</v>
      </c>
      <c r="G2925" s="258" t="s">
        <v>2354</v>
      </c>
    </row>
    <row r="2926" spans="1:14" s="3" customFormat="1" hidden="1" outlineLevel="1" x14ac:dyDescent="0.25">
      <c r="B2926" s="28"/>
      <c r="C2926" s="29"/>
      <c r="D2926" s="29"/>
      <c r="E2926" s="29"/>
      <c r="F2926" s="29"/>
      <c r="G2926" s="30"/>
      <c r="H2926" s="273"/>
    </row>
    <row r="2927" spans="1:14" s="3" customFormat="1" hidden="1" outlineLevel="1" x14ac:dyDescent="0.25">
      <c r="B2927" s="28"/>
      <c r="C2927" s="29"/>
      <c r="D2927" s="29"/>
      <c r="E2927" s="29"/>
      <c r="F2927" s="29"/>
      <c r="G2927" s="30"/>
      <c r="H2927" s="273"/>
    </row>
    <row r="2928" spans="1:14" s="3" customFormat="1" ht="16.2" hidden="1" outlineLevel="1" thickBot="1" x14ac:dyDescent="0.3">
      <c r="B2928" s="267"/>
      <c r="C2928" s="268"/>
      <c r="D2928" s="268"/>
      <c r="E2928" s="268"/>
      <c r="F2928" s="268"/>
      <c r="G2928" s="269"/>
    </row>
    <row r="2929" spans="1:8" s="3" customFormat="1" ht="17.399999999999999" hidden="1" customHeight="1" outlineLevel="1" x14ac:dyDescent="0.25">
      <c r="A2929" s="5"/>
      <c r="B2929" s="401" t="s">
        <v>29</v>
      </c>
      <c r="C2929" s="402"/>
      <c r="D2929" s="402"/>
      <c r="E2929" s="402"/>
      <c r="F2929" s="402"/>
      <c r="G2929" s="403"/>
    </row>
    <row r="2930" spans="1:8" s="3" customFormat="1" ht="17.399999999999999" hidden="1" customHeight="1" outlineLevel="1" x14ac:dyDescent="0.25">
      <c r="A2930" s="5"/>
      <c r="B2930" s="106"/>
      <c r="C2930" s="107"/>
      <c r="D2930" s="107"/>
      <c r="E2930" s="107"/>
      <c r="F2930" s="107"/>
      <c r="G2930" s="108"/>
      <c r="H2930" s="5"/>
    </row>
    <row r="2931" spans="1:8" s="3" customFormat="1" ht="17.399999999999999" hidden="1" customHeight="1" outlineLevel="1" x14ac:dyDescent="0.25">
      <c r="A2931" s="5"/>
      <c r="B2931" s="106" t="s">
        <v>517</v>
      </c>
      <c r="C2931" s="107"/>
      <c r="D2931" s="107"/>
      <c r="E2931" s="107"/>
      <c r="F2931" s="107"/>
      <c r="G2931" s="108"/>
      <c r="H2931" s="5"/>
    </row>
    <row r="2932" spans="1:8" s="3" customFormat="1" ht="17.399999999999999" hidden="1" customHeight="1" outlineLevel="1" x14ac:dyDescent="0.25">
      <c r="A2932" s="5"/>
      <c r="B2932" s="106" t="s">
        <v>1238</v>
      </c>
      <c r="C2932" s="107"/>
      <c r="D2932" s="107"/>
      <c r="E2932" s="107"/>
      <c r="F2932" s="107"/>
      <c r="G2932" s="108"/>
      <c r="H2932" s="5"/>
    </row>
    <row r="2933" spans="1:8" s="3" customFormat="1" ht="17.399999999999999" hidden="1" customHeight="1" outlineLevel="1" x14ac:dyDescent="0.25">
      <c r="A2933" s="5"/>
      <c r="B2933" s="106" t="s">
        <v>1239</v>
      </c>
      <c r="C2933" s="107"/>
      <c r="D2933" s="107"/>
      <c r="E2933" s="107"/>
      <c r="F2933" s="107"/>
      <c r="G2933" s="108"/>
      <c r="H2933" s="5"/>
    </row>
    <row r="2934" spans="1:8" s="3" customFormat="1" hidden="1" outlineLevel="1" x14ac:dyDescent="0.25">
      <c r="B2934" s="185" t="s">
        <v>1240</v>
      </c>
      <c r="C2934" s="23"/>
      <c r="D2934" s="23"/>
      <c r="E2934" s="23"/>
      <c r="F2934" s="23"/>
      <c r="G2934" s="24"/>
    </row>
    <row r="2935" spans="1:8" s="3" customFormat="1" hidden="1" outlineLevel="1" x14ac:dyDescent="0.25">
      <c r="B2935" s="185" t="s">
        <v>1262</v>
      </c>
      <c r="C2935" s="23"/>
      <c r="D2935" s="23"/>
      <c r="E2935" s="23"/>
      <c r="F2935" s="23"/>
      <c r="G2935" s="24"/>
    </row>
    <row r="2936" spans="1:8" s="3" customFormat="1" hidden="1" outlineLevel="1" x14ac:dyDescent="0.25">
      <c r="B2936" s="185" t="s">
        <v>1241</v>
      </c>
      <c r="C2936" s="23"/>
      <c r="D2936" s="23"/>
      <c r="E2936" s="23"/>
      <c r="F2936" s="23"/>
      <c r="G2936" s="24"/>
    </row>
    <row r="2937" spans="1:8" s="3" customFormat="1" hidden="1" outlineLevel="1" x14ac:dyDescent="0.25">
      <c r="B2937" s="185" t="s">
        <v>1242</v>
      </c>
      <c r="C2937" s="23"/>
      <c r="D2937" s="23"/>
      <c r="E2937" s="23"/>
      <c r="F2937" s="23"/>
      <c r="G2937" s="24"/>
    </row>
    <row r="2938" spans="1:8" s="3" customFormat="1" hidden="1" outlineLevel="1" x14ac:dyDescent="0.25">
      <c r="B2938" s="185" t="s">
        <v>1243</v>
      </c>
      <c r="C2938" s="23"/>
      <c r="D2938" s="23"/>
      <c r="E2938" s="23"/>
      <c r="F2938" s="23"/>
      <c r="G2938" s="24"/>
    </row>
    <row r="2939" spans="1:8" s="3" customFormat="1" hidden="1" outlineLevel="1" x14ac:dyDescent="0.25">
      <c r="B2939" s="185" t="s">
        <v>1244</v>
      </c>
      <c r="C2939" s="23"/>
      <c r="D2939" s="23"/>
      <c r="E2939" s="23"/>
      <c r="F2939" s="23"/>
      <c r="G2939" s="24"/>
    </row>
    <row r="2940" spans="1:8" s="3" customFormat="1" hidden="1" outlineLevel="1" x14ac:dyDescent="0.25">
      <c r="B2940" s="185"/>
      <c r="C2940" s="23"/>
      <c r="D2940" s="23"/>
      <c r="E2940" s="23"/>
      <c r="F2940" s="23"/>
      <c r="G2940" s="24"/>
    </row>
    <row r="2941" spans="1:8" s="3" customFormat="1" hidden="1" outlineLevel="1" x14ac:dyDescent="0.25">
      <c r="B2941" s="28"/>
      <c r="C2941" s="29"/>
      <c r="D2941" s="29"/>
      <c r="E2941" s="29"/>
      <c r="F2941" s="29"/>
      <c r="G2941" s="30"/>
    </row>
    <row r="2942" spans="1:8" s="3" customFormat="1" hidden="1" outlineLevel="1" x14ac:dyDescent="0.25">
      <c r="B2942" s="185"/>
      <c r="C2942" s="23"/>
      <c r="D2942" s="23"/>
      <c r="E2942" s="23"/>
      <c r="F2942" s="23"/>
      <c r="G2942" s="24"/>
    </row>
    <row r="2943" spans="1:8" s="3" customFormat="1" ht="16.2" hidden="1" outlineLevel="1" thickBot="1" x14ac:dyDescent="0.3">
      <c r="B2943" s="163"/>
      <c r="C2943" s="164"/>
      <c r="D2943" s="164"/>
      <c r="E2943" s="164"/>
      <c r="F2943" s="164"/>
      <c r="G2943" s="165"/>
    </row>
    <row r="2944" spans="1:8" hidden="1" outlineLevel="1" x14ac:dyDescent="0.25"/>
    <row r="2945" spans="1:14" ht="16.2" hidden="1" outlineLevel="1" thickBot="1" x14ac:dyDescent="0.3"/>
    <row r="2946" spans="1:14" s="3" customFormat="1" ht="18" customHeight="1" collapsed="1" thickBot="1" x14ac:dyDescent="0.3">
      <c r="A2946" s="5"/>
      <c r="B2946" s="15" t="s">
        <v>1279</v>
      </c>
      <c r="C2946" s="16" t="s">
        <v>2258</v>
      </c>
      <c r="D2946" s="17" t="s">
        <v>1281</v>
      </c>
      <c r="E2946" s="29" t="s">
        <v>1245</v>
      </c>
      <c r="F2946" s="17" t="s">
        <v>1282</v>
      </c>
      <c r="G2946" s="18" t="s">
        <v>2259</v>
      </c>
    </row>
    <row r="2947" spans="1:14" s="3" customFormat="1" ht="17.399999999999999" hidden="1" customHeight="1" outlineLevel="1" x14ac:dyDescent="0.25">
      <c r="A2947" s="5"/>
      <c r="B2947" s="19" t="s">
        <v>1284</v>
      </c>
      <c r="C2947" s="20" t="s">
        <v>1285</v>
      </c>
      <c r="D2947" s="21" t="s">
        <v>1286</v>
      </c>
      <c r="E2947" s="20" t="s">
        <v>2260</v>
      </c>
      <c r="F2947" s="21" t="s">
        <v>1288</v>
      </c>
      <c r="G2947" s="22"/>
    </row>
    <row r="2948" spans="1:14" s="3" customFormat="1" ht="17.399999999999999" hidden="1" customHeight="1" outlineLevel="1" thickBot="1" x14ac:dyDescent="0.3">
      <c r="A2948" s="5"/>
      <c r="B2948" s="19" t="s">
        <v>1290</v>
      </c>
      <c r="C2948" s="23"/>
      <c r="D2948" s="21" t="s">
        <v>1292</v>
      </c>
      <c r="E2948" s="23">
        <v>5</v>
      </c>
      <c r="F2948" s="21" t="s">
        <v>1293</v>
      </c>
      <c r="G2948" s="24" t="s">
        <v>1294</v>
      </c>
    </row>
    <row r="2949" spans="1:14" s="3" customFormat="1" ht="17.399999999999999" hidden="1" customHeight="1" outlineLevel="1" x14ac:dyDescent="0.25">
      <c r="A2949" s="5"/>
      <c r="B2949" s="401" t="s">
        <v>1</v>
      </c>
      <c r="C2949" s="402"/>
      <c r="D2949" s="402"/>
      <c r="E2949" s="402"/>
      <c r="F2949" s="402"/>
      <c r="G2949" s="403"/>
    </row>
    <row r="2950" spans="1:14" s="3" customFormat="1" ht="17.399999999999999" hidden="1" customHeight="1" outlineLevel="1" x14ac:dyDescent="0.25">
      <c r="A2950" s="5"/>
      <c r="B2950" s="25" t="s">
        <v>2</v>
      </c>
      <c r="C2950" s="26" t="s">
        <v>3</v>
      </c>
      <c r="D2950" s="26" t="s">
        <v>4</v>
      </c>
      <c r="E2950" s="26" t="s">
        <v>5</v>
      </c>
      <c r="F2950" s="26"/>
      <c r="G2950" s="27" t="s">
        <v>6</v>
      </c>
    </row>
    <row r="2951" spans="1:14" s="3" customFormat="1" hidden="1" outlineLevel="1" x14ac:dyDescent="0.25">
      <c r="B2951" s="28" t="s">
        <v>7</v>
      </c>
      <c r="C2951" s="29" t="s">
        <v>1468</v>
      </c>
      <c r="D2951" s="29" t="s">
        <v>1469</v>
      </c>
      <c r="E2951" s="29">
        <v>0</v>
      </c>
      <c r="F2951" s="29" t="s">
        <v>1470</v>
      </c>
      <c r="G2951" s="30" t="s">
        <v>1471</v>
      </c>
      <c r="J2951" s="3" t="s">
        <v>10</v>
      </c>
      <c r="N2951" s="3">
        <v>1112</v>
      </c>
    </row>
    <row r="2952" spans="1:14" s="3" customFormat="1" ht="16.2" hidden="1" outlineLevel="1" thickBot="1" x14ac:dyDescent="0.3">
      <c r="B2952" s="28"/>
      <c r="C2952" s="29"/>
      <c r="D2952" s="29"/>
      <c r="E2952" s="29"/>
      <c r="F2952" s="29"/>
      <c r="G2952" s="30"/>
    </row>
    <row r="2953" spans="1:14" s="3" customFormat="1" ht="17.399999999999999" hidden="1" customHeight="1" outlineLevel="1" x14ac:dyDescent="0.25">
      <c r="A2953" s="5"/>
      <c r="B2953" s="401" t="s">
        <v>18</v>
      </c>
      <c r="C2953" s="402"/>
      <c r="D2953" s="402"/>
      <c r="E2953" s="402"/>
      <c r="F2953" s="402"/>
      <c r="G2953" s="403"/>
    </row>
    <row r="2954" spans="1:14" s="3" customFormat="1" ht="17.399999999999999" hidden="1" customHeight="1" outlineLevel="1" x14ac:dyDescent="0.25">
      <c r="A2954" s="5"/>
      <c r="B2954" s="25" t="s">
        <v>2</v>
      </c>
      <c r="C2954" s="26" t="s">
        <v>3</v>
      </c>
      <c r="D2954" s="26" t="s">
        <v>4</v>
      </c>
      <c r="E2954" s="26" t="s">
        <v>5</v>
      </c>
      <c r="F2954" s="26"/>
      <c r="G2954" s="27" t="s">
        <v>6</v>
      </c>
    </row>
    <row r="2955" spans="1:14" hidden="1" outlineLevel="1" x14ac:dyDescent="0.25">
      <c r="B2955" s="28" t="s">
        <v>62</v>
      </c>
      <c r="C2955" s="29" t="s">
        <v>1525</v>
      </c>
      <c r="D2955" s="257" t="s">
        <v>1489</v>
      </c>
      <c r="E2955" s="257">
        <v>0</v>
      </c>
      <c r="F2955" s="257"/>
      <c r="G2955" s="258"/>
    </row>
    <row r="2956" spans="1:14" hidden="1" outlineLevel="1" x14ac:dyDescent="0.25">
      <c r="B2956" s="28" t="s">
        <v>117</v>
      </c>
      <c r="C2956" s="29" t="s">
        <v>1561</v>
      </c>
      <c r="D2956" s="257" t="s">
        <v>1489</v>
      </c>
      <c r="E2956" s="257">
        <v>0</v>
      </c>
      <c r="F2956" s="257" t="s">
        <v>1470</v>
      </c>
      <c r="G2956" s="258"/>
    </row>
    <row r="2957" spans="1:14" s="3" customFormat="1" hidden="1" outlineLevel="1" x14ac:dyDescent="0.25">
      <c r="B2957" s="28" t="s">
        <v>528</v>
      </c>
      <c r="C2957" s="29" t="s">
        <v>2344</v>
      </c>
      <c r="D2957" s="29" t="s">
        <v>2345</v>
      </c>
      <c r="E2957" s="29">
        <v>0</v>
      </c>
      <c r="F2957" s="29"/>
      <c r="G2957" s="30"/>
      <c r="H2957" s="273"/>
    </row>
    <row r="2958" spans="1:14" s="3" customFormat="1" hidden="1" outlineLevel="1" x14ac:dyDescent="0.25">
      <c r="B2958" s="28"/>
      <c r="C2958" s="29"/>
      <c r="D2958" s="29"/>
      <c r="E2958" s="29"/>
      <c r="F2958" s="29"/>
      <c r="G2958" s="30"/>
      <c r="H2958" s="273"/>
    </row>
    <row r="2959" spans="1:14" s="3" customFormat="1" ht="16.2" hidden="1" outlineLevel="1" thickBot="1" x14ac:dyDescent="0.3">
      <c r="B2959" s="267"/>
      <c r="C2959" s="268"/>
      <c r="D2959" s="268"/>
      <c r="E2959" s="268"/>
      <c r="F2959" s="268"/>
      <c r="G2959" s="269"/>
    </row>
    <row r="2960" spans="1:14" s="3" customFormat="1" ht="17.399999999999999" hidden="1" customHeight="1" outlineLevel="1" x14ac:dyDescent="0.25">
      <c r="A2960" s="5"/>
      <c r="B2960" s="401" t="s">
        <v>29</v>
      </c>
      <c r="C2960" s="402"/>
      <c r="D2960" s="402"/>
      <c r="E2960" s="402"/>
      <c r="F2960" s="402"/>
      <c r="G2960" s="403"/>
    </row>
    <row r="2961" spans="1:14" s="3" customFormat="1" ht="17.399999999999999" hidden="1" customHeight="1" outlineLevel="1" x14ac:dyDescent="0.25">
      <c r="A2961" s="5"/>
      <c r="B2961" s="106" t="s">
        <v>1246</v>
      </c>
      <c r="C2961" s="107"/>
      <c r="D2961" s="107"/>
      <c r="E2961" s="107"/>
      <c r="F2961" s="107"/>
      <c r="G2961" s="108"/>
      <c r="H2961" s="5"/>
    </row>
    <row r="2962" spans="1:14" s="3" customFormat="1" ht="17.399999999999999" hidden="1" customHeight="1" outlineLevel="1" x14ac:dyDescent="0.25">
      <c r="A2962" s="5"/>
      <c r="B2962" s="106" t="s">
        <v>1247</v>
      </c>
      <c r="C2962" s="107"/>
      <c r="D2962" s="107"/>
      <c r="E2962" s="107"/>
      <c r="F2962" s="107"/>
      <c r="G2962" s="108"/>
      <c r="H2962" s="5"/>
    </row>
    <row r="2963" spans="1:14" s="3" customFormat="1" ht="17.399999999999999" hidden="1" customHeight="1" outlineLevel="1" x14ac:dyDescent="0.25">
      <c r="A2963" s="5"/>
      <c r="B2963" s="106" t="s">
        <v>805</v>
      </c>
      <c r="C2963" s="107"/>
      <c r="D2963" s="107"/>
      <c r="E2963" s="107"/>
      <c r="F2963" s="107"/>
      <c r="G2963" s="108"/>
      <c r="H2963" s="5"/>
    </row>
    <row r="2964" spans="1:14" s="3" customFormat="1" hidden="1" outlineLevel="1" x14ac:dyDescent="0.25">
      <c r="B2964" s="28" t="s">
        <v>2323</v>
      </c>
      <c r="C2964" s="29"/>
      <c r="D2964" s="29"/>
      <c r="E2964" s="29"/>
      <c r="F2964" s="29"/>
      <c r="G2964" s="30"/>
    </row>
    <row r="2965" spans="1:14" s="3" customFormat="1" hidden="1" outlineLevel="1" x14ac:dyDescent="0.25">
      <c r="B2965" s="185" t="s">
        <v>1248</v>
      </c>
      <c r="C2965" s="23"/>
      <c r="D2965" s="23"/>
      <c r="E2965" s="23"/>
      <c r="F2965" s="23"/>
      <c r="G2965" s="24"/>
    </row>
    <row r="2966" spans="1:14" s="3" customFormat="1" ht="16.2" hidden="1" outlineLevel="1" thickBot="1" x14ac:dyDescent="0.3">
      <c r="B2966" s="163"/>
      <c r="C2966" s="164"/>
      <c r="D2966" s="164"/>
      <c r="E2966" s="164"/>
      <c r="F2966" s="164"/>
      <c r="G2966" s="165"/>
    </row>
    <row r="2967" spans="1:14" hidden="1" outlineLevel="1" x14ac:dyDescent="0.25"/>
    <row r="2968" spans="1:14" ht="16.2" hidden="1" outlineLevel="1" thickBot="1" x14ac:dyDescent="0.3"/>
    <row r="2969" spans="1:14" s="3" customFormat="1" ht="18" customHeight="1" collapsed="1" thickBot="1" x14ac:dyDescent="0.3">
      <c r="A2969" s="5"/>
      <c r="B2969" s="15" t="s">
        <v>1279</v>
      </c>
      <c r="C2969" s="16" t="s">
        <v>2261</v>
      </c>
      <c r="D2969" s="17" t="s">
        <v>1281</v>
      </c>
      <c r="E2969" s="29" t="s">
        <v>1249</v>
      </c>
      <c r="F2969" s="17" t="s">
        <v>1282</v>
      </c>
      <c r="G2969" s="18" t="s">
        <v>2262</v>
      </c>
    </row>
    <row r="2970" spans="1:14" s="3" customFormat="1" ht="17.399999999999999" hidden="1" customHeight="1" outlineLevel="1" x14ac:dyDescent="0.25">
      <c r="A2970" s="5"/>
      <c r="B2970" s="19" t="s">
        <v>1284</v>
      </c>
      <c r="C2970" s="20" t="s">
        <v>1285</v>
      </c>
      <c r="D2970" s="21" t="s">
        <v>1286</v>
      </c>
      <c r="E2970" s="20" t="s">
        <v>2263</v>
      </c>
      <c r="F2970" s="21" t="s">
        <v>1288</v>
      </c>
      <c r="G2970" s="22"/>
    </row>
    <row r="2971" spans="1:14" s="3" customFormat="1" ht="17.399999999999999" hidden="1" customHeight="1" outlineLevel="1" thickBot="1" x14ac:dyDescent="0.3">
      <c r="A2971" s="5"/>
      <c r="B2971" s="19" t="s">
        <v>1290</v>
      </c>
      <c r="C2971" s="23" t="s">
        <v>1291</v>
      </c>
      <c r="D2971" s="21" t="s">
        <v>1292</v>
      </c>
      <c r="E2971" s="23">
        <v>5</v>
      </c>
      <c r="F2971" s="21" t="s">
        <v>1293</v>
      </c>
      <c r="G2971" s="24" t="s">
        <v>1294</v>
      </c>
    </row>
    <row r="2972" spans="1:14" s="3" customFormat="1" ht="17.399999999999999" hidden="1" customHeight="1" outlineLevel="1" x14ac:dyDescent="0.25">
      <c r="A2972" s="5"/>
      <c r="B2972" s="401" t="s">
        <v>1</v>
      </c>
      <c r="C2972" s="402"/>
      <c r="D2972" s="402"/>
      <c r="E2972" s="402"/>
      <c r="F2972" s="402"/>
      <c r="G2972" s="403"/>
    </row>
    <row r="2973" spans="1:14" s="3" customFormat="1" ht="17.399999999999999" hidden="1" customHeight="1" outlineLevel="1" x14ac:dyDescent="0.25">
      <c r="A2973" s="5"/>
      <c r="B2973" s="25" t="s">
        <v>2</v>
      </c>
      <c r="C2973" s="26" t="s">
        <v>3</v>
      </c>
      <c r="D2973" s="26" t="s">
        <v>4</v>
      </c>
      <c r="E2973" s="26" t="s">
        <v>5</v>
      </c>
      <c r="F2973" s="26"/>
      <c r="G2973" s="27" t="s">
        <v>6</v>
      </c>
    </row>
    <row r="2974" spans="1:14" s="3" customFormat="1" hidden="1" outlineLevel="1" x14ac:dyDescent="0.25">
      <c r="B2974" s="28" t="s">
        <v>15</v>
      </c>
      <c r="C2974" s="29" t="s">
        <v>1478</v>
      </c>
      <c r="D2974" s="29" t="s">
        <v>1469</v>
      </c>
      <c r="E2974" s="29">
        <v>0</v>
      </c>
      <c r="F2974" s="29" t="s">
        <v>1470</v>
      </c>
      <c r="G2974" s="30"/>
      <c r="J2974" s="3" t="s">
        <v>10</v>
      </c>
      <c r="K2974" s="3" t="s">
        <v>173</v>
      </c>
      <c r="L2974" s="3" t="s">
        <v>9</v>
      </c>
      <c r="M2974" s="3" t="s">
        <v>9</v>
      </c>
      <c r="N2974" s="3">
        <v>2430</v>
      </c>
    </row>
    <row r="2975" spans="1:14" s="3" customFormat="1" ht="16.2" hidden="1" outlineLevel="1" thickBot="1" x14ac:dyDescent="0.3">
      <c r="B2975" s="28"/>
      <c r="C2975" s="29"/>
      <c r="D2975" s="29"/>
      <c r="E2975" s="29"/>
      <c r="F2975" s="29"/>
      <c r="G2975" s="30"/>
    </row>
    <row r="2976" spans="1:14" s="3" customFormat="1" ht="17.399999999999999" hidden="1" customHeight="1" outlineLevel="1" x14ac:dyDescent="0.25">
      <c r="A2976" s="5"/>
      <c r="B2976" s="401" t="s">
        <v>18</v>
      </c>
      <c r="C2976" s="402"/>
      <c r="D2976" s="402"/>
      <c r="E2976" s="402"/>
      <c r="F2976" s="402"/>
      <c r="G2976" s="403"/>
    </row>
    <row r="2977" spans="1:14" s="3" customFormat="1" ht="17.399999999999999" hidden="1" customHeight="1" outlineLevel="1" x14ac:dyDescent="0.25">
      <c r="A2977" s="5"/>
      <c r="B2977" s="25" t="s">
        <v>2</v>
      </c>
      <c r="C2977" s="26" t="s">
        <v>3</v>
      </c>
      <c r="D2977" s="26" t="s">
        <v>4</v>
      </c>
      <c r="E2977" s="26" t="s">
        <v>5</v>
      </c>
      <c r="F2977" s="26"/>
      <c r="G2977" s="27" t="s">
        <v>6</v>
      </c>
    </row>
    <row r="2978" spans="1:14" s="3" customFormat="1" hidden="1" outlineLevel="1" x14ac:dyDescent="0.25">
      <c r="B2978" s="28" t="s">
        <v>159</v>
      </c>
      <c r="C2978" s="29" t="s">
        <v>1592</v>
      </c>
      <c r="D2978" s="29" t="s">
        <v>1593</v>
      </c>
      <c r="E2978" s="29" t="s">
        <v>2339</v>
      </c>
      <c r="F2978" s="29" t="s">
        <v>1470</v>
      </c>
      <c r="G2978" s="30" t="s">
        <v>2347</v>
      </c>
      <c r="H2978" s="3" t="str">
        <f>"{"&amp;B2978&amp;"},"</f>
        <v>{证券代码},</v>
      </c>
      <c r="J2978" s="3" t="s">
        <v>12</v>
      </c>
      <c r="K2978" s="3" t="s">
        <v>174</v>
      </c>
      <c r="L2978" s="3" t="s">
        <v>175</v>
      </c>
      <c r="M2978" s="3" t="s">
        <v>176</v>
      </c>
      <c r="N2978" s="3">
        <v>1629</v>
      </c>
    </row>
    <row r="2979" spans="1:14" hidden="1" outlineLevel="1" x14ac:dyDescent="0.25">
      <c r="B2979" s="28" t="s">
        <v>161</v>
      </c>
      <c r="C2979" s="29" t="s">
        <v>1846</v>
      </c>
      <c r="D2979" s="29" t="s">
        <v>1652</v>
      </c>
      <c r="E2979" s="29" t="s">
        <v>2339</v>
      </c>
      <c r="F2979" s="29" t="s">
        <v>1470</v>
      </c>
      <c r="G2979" s="30"/>
    </row>
    <row r="2980" spans="1:14" s="3" customFormat="1" hidden="1" outlineLevel="1" x14ac:dyDescent="0.25">
      <c r="B2980" s="28" t="s">
        <v>15</v>
      </c>
      <c r="C2980" s="29" t="s">
        <v>1478</v>
      </c>
      <c r="D2980" s="29" t="s">
        <v>1469</v>
      </c>
      <c r="E2980" s="29">
        <v>0</v>
      </c>
      <c r="F2980" s="29" t="s">
        <v>1470</v>
      </c>
      <c r="G2980" s="30"/>
      <c r="J2980" s="3" t="s">
        <v>10</v>
      </c>
      <c r="K2980" s="3" t="s">
        <v>173</v>
      </c>
      <c r="L2980" s="3" t="s">
        <v>9</v>
      </c>
      <c r="M2980" s="3" t="s">
        <v>9</v>
      </c>
      <c r="N2980" s="3">
        <v>2430</v>
      </c>
    </row>
    <row r="2981" spans="1:14" s="3" customFormat="1" hidden="1" outlineLevel="1" x14ac:dyDescent="0.25">
      <c r="B2981" s="28"/>
      <c r="C2981" s="29"/>
      <c r="D2981" s="29"/>
      <c r="E2981" s="29"/>
      <c r="F2981" s="29"/>
      <c r="G2981" s="30"/>
      <c r="H2981" s="273"/>
    </row>
    <row r="2982" spans="1:14" s="3" customFormat="1" ht="16.2" hidden="1" outlineLevel="1" thickBot="1" x14ac:dyDescent="0.3">
      <c r="B2982" s="267"/>
      <c r="C2982" s="268"/>
      <c r="D2982" s="268"/>
      <c r="E2982" s="268"/>
      <c r="F2982" s="268"/>
      <c r="G2982" s="269"/>
    </row>
    <row r="2983" spans="1:14" s="3" customFormat="1" ht="17.399999999999999" hidden="1" customHeight="1" outlineLevel="1" x14ac:dyDescent="0.25">
      <c r="A2983" s="5"/>
      <c r="B2983" s="401" t="s">
        <v>29</v>
      </c>
      <c r="C2983" s="402"/>
      <c r="D2983" s="402"/>
      <c r="E2983" s="402"/>
      <c r="F2983" s="402"/>
      <c r="G2983" s="403"/>
    </row>
    <row r="2984" spans="1:14" s="3" customFormat="1" ht="17.399999999999999" hidden="1" customHeight="1" outlineLevel="1" x14ac:dyDescent="0.25">
      <c r="A2984" s="5"/>
      <c r="B2984" s="106"/>
      <c r="C2984" s="107"/>
      <c r="D2984" s="107"/>
      <c r="E2984" s="107"/>
      <c r="F2984" s="107"/>
      <c r="G2984" s="108"/>
      <c r="H2984" s="5"/>
    </row>
    <row r="2985" spans="1:14" s="3" customFormat="1" ht="17.399999999999999" hidden="1" customHeight="1" outlineLevel="1" x14ac:dyDescent="0.25">
      <c r="A2985" s="5"/>
      <c r="B2985" s="106"/>
      <c r="C2985" s="107"/>
      <c r="D2985" s="107"/>
      <c r="E2985" s="107"/>
      <c r="F2985" s="107"/>
      <c r="G2985" s="108"/>
      <c r="H2985" s="5"/>
    </row>
    <row r="2986" spans="1:14" s="3" customFormat="1" ht="17.399999999999999" hidden="1" customHeight="1" outlineLevel="1" x14ac:dyDescent="0.25">
      <c r="A2986" s="5"/>
      <c r="B2986" s="106"/>
      <c r="C2986" s="107"/>
      <c r="D2986" s="107"/>
      <c r="E2986" s="107"/>
      <c r="F2986" s="107"/>
      <c r="G2986" s="108"/>
      <c r="H2986" s="5"/>
    </row>
    <row r="2987" spans="1:14" s="3" customFormat="1" hidden="1" outlineLevel="1" x14ac:dyDescent="0.25">
      <c r="B2987" s="28" t="s">
        <v>1250</v>
      </c>
      <c r="C2987" s="29"/>
      <c r="D2987" s="29"/>
      <c r="E2987" s="29"/>
      <c r="F2987" s="29"/>
      <c r="G2987" s="30"/>
    </row>
    <row r="2988" spans="1:14" s="3" customFormat="1" hidden="1" outlineLevel="1" x14ac:dyDescent="0.25">
      <c r="B2988" s="185"/>
      <c r="C2988" s="23"/>
      <c r="D2988" s="23"/>
      <c r="E2988" s="23"/>
      <c r="F2988" s="23"/>
      <c r="G2988" s="24"/>
    </row>
    <row r="2989" spans="1:14" s="3" customFormat="1" ht="16.2" hidden="1" outlineLevel="1" thickBot="1" x14ac:dyDescent="0.3">
      <c r="B2989" s="163"/>
      <c r="C2989" s="164"/>
      <c r="D2989" s="164"/>
      <c r="E2989" s="164"/>
      <c r="F2989" s="164"/>
      <c r="G2989" s="165"/>
    </row>
    <row r="2990" spans="1:14" hidden="1" outlineLevel="1" x14ac:dyDescent="0.25"/>
    <row r="2991" spans="1:14" ht="16.2" hidden="1" outlineLevel="1" thickBot="1" x14ac:dyDescent="0.3"/>
    <row r="2992" spans="1:14" s="3" customFormat="1" ht="17.399999999999999" customHeight="1" collapsed="1" thickBot="1" x14ac:dyDescent="0.3">
      <c r="A2992" s="5"/>
      <c r="B2992" s="15" t="s">
        <v>1279</v>
      </c>
      <c r="C2992" s="16" t="s">
        <v>2264</v>
      </c>
      <c r="D2992" s="17" t="s">
        <v>1281</v>
      </c>
      <c r="E2992" s="227" t="s">
        <v>1251</v>
      </c>
      <c r="F2992" s="17" t="s">
        <v>1282</v>
      </c>
      <c r="G2992" s="18" t="s">
        <v>2265</v>
      </c>
    </row>
    <row r="2993" spans="1:14" s="3" customFormat="1" ht="17.399999999999999" hidden="1" customHeight="1" outlineLevel="1" x14ac:dyDescent="0.25">
      <c r="A2993" s="5"/>
      <c r="B2993" s="19" t="s">
        <v>1284</v>
      </c>
      <c r="C2993" s="20" t="s">
        <v>1285</v>
      </c>
      <c r="D2993" s="21" t="s">
        <v>1286</v>
      </c>
      <c r="E2993" s="20" t="s">
        <v>2266</v>
      </c>
      <c r="F2993" s="21" t="s">
        <v>1288</v>
      </c>
      <c r="G2993" s="22" t="s">
        <v>1401</v>
      </c>
    </row>
    <row r="2994" spans="1:14" s="3" customFormat="1" ht="17.399999999999999" hidden="1" customHeight="1" outlineLevel="1" thickBot="1" x14ac:dyDescent="0.3">
      <c r="A2994" s="5"/>
      <c r="B2994" s="19" t="s">
        <v>1290</v>
      </c>
      <c r="C2994" s="23" t="s">
        <v>1291</v>
      </c>
      <c r="D2994" s="21" t="s">
        <v>1292</v>
      </c>
      <c r="E2994" s="23">
        <v>5</v>
      </c>
      <c r="F2994" s="21" t="s">
        <v>1293</v>
      </c>
      <c r="G2994" s="24" t="s">
        <v>1294</v>
      </c>
    </row>
    <row r="2995" spans="1:14" s="3" customFormat="1" ht="17.399999999999999" hidden="1" customHeight="1" outlineLevel="1" x14ac:dyDescent="0.25">
      <c r="A2995" s="5"/>
      <c r="B2995" s="401" t="s">
        <v>1</v>
      </c>
      <c r="C2995" s="402"/>
      <c r="D2995" s="402"/>
      <c r="E2995" s="402"/>
      <c r="F2995" s="402"/>
      <c r="G2995" s="403"/>
    </row>
    <row r="2996" spans="1:14" s="3" customFormat="1" ht="17.399999999999999" hidden="1" customHeight="1" outlineLevel="1" x14ac:dyDescent="0.25">
      <c r="A2996" s="5"/>
      <c r="B2996" s="25" t="s">
        <v>2</v>
      </c>
      <c r="C2996" s="26" t="s">
        <v>3</v>
      </c>
      <c r="D2996" s="26" t="s">
        <v>4</v>
      </c>
      <c r="E2996" s="26" t="s">
        <v>5</v>
      </c>
      <c r="F2996" s="26"/>
      <c r="G2996" s="27" t="s">
        <v>6</v>
      </c>
    </row>
    <row r="2997" spans="1:14" s="3" customFormat="1" ht="17.399999999999999" hidden="1" customHeight="1" outlineLevel="1" x14ac:dyDescent="0.25">
      <c r="B2997" s="28" t="s">
        <v>7</v>
      </c>
      <c r="C2997" s="29" t="s">
        <v>1468</v>
      </c>
      <c r="D2997" s="29" t="s">
        <v>1469</v>
      </c>
      <c r="E2997" s="29">
        <v>0</v>
      </c>
      <c r="F2997" s="29" t="s">
        <v>1470</v>
      </c>
      <c r="G2997" s="30" t="s">
        <v>1471</v>
      </c>
    </row>
    <row r="2998" spans="1:14" s="3" customFormat="1" ht="17.399999999999999" hidden="1" customHeight="1" outlineLevel="1" x14ac:dyDescent="0.25">
      <c r="B2998" s="28" t="s">
        <v>188</v>
      </c>
      <c r="C2998" s="29" t="s">
        <v>1607</v>
      </c>
      <c r="D2998" s="29" t="s">
        <v>1606</v>
      </c>
      <c r="E2998" s="29" t="s">
        <v>1594</v>
      </c>
      <c r="F2998" s="29"/>
      <c r="G2998" s="30"/>
      <c r="J2998" s="3" t="s">
        <v>10</v>
      </c>
    </row>
    <row r="2999" spans="1:14" s="3" customFormat="1" ht="17.399999999999999" hidden="1" customHeight="1" outlineLevel="1" x14ac:dyDescent="0.25">
      <c r="A2999" s="5"/>
      <c r="B2999" s="31" t="s">
        <v>15</v>
      </c>
      <c r="C2999" s="20" t="s">
        <v>1478</v>
      </c>
      <c r="D2999" s="20" t="s">
        <v>1469</v>
      </c>
      <c r="E2999" s="20">
        <v>0</v>
      </c>
      <c r="F2999" s="20" t="s">
        <v>1470</v>
      </c>
      <c r="G2999" s="22"/>
      <c r="J2999" s="3" t="s">
        <v>187</v>
      </c>
    </row>
    <row r="3000" spans="1:14" s="3" customFormat="1" hidden="1" outlineLevel="1" x14ac:dyDescent="0.25">
      <c r="A3000" s="5"/>
      <c r="B3000" s="228" t="s">
        <v>87</v>
      </c>
      <c r="C3000" s="228" t="s">
        <v>1535</v>
      </c>
      <c r="D3000" s="228" t="s">
        <v>1469</v>
      </c>
      <c r="E3000" s="228">
        <v>0</v>
      </c>
      <c r="F3000" s="228" t="s">
        <v>1476</v>
      </c>
      <c r="G3000" s="228"/>
      <c r="J3000" s="3" t="s">
        <v>10</v>
      </c>
      <c r="K3000" s="3" t="s">
        <v>173</v>
      </c>
      <c r="L3000" s="3" t="s">
        <v>9</v>
      </c>
      <c r="M3000" s="3" t="s">
        <v>9</v>
      </c>
      <c r="N3000" s="3">
        <v>1112</v>
      </c>
    </row>
    <row r="3001" spans="1:14" s="3" customFormat="1" hidden="1" outlineLevel="1" x14ac:dyDescent="0.25">
      <c r="A3001" s="5"/>
      <c r="B3001" s="228" t="s">
        <v>11</v>
      </c>
      <c r="C3001" s="228" t="s">
        <v>1472</v>
      </c>
      <c r="D3001" s="228" t="s">
        <v>1469</v>
      </c>
      <c r="E3001" s="228">
        <v>0</v>
      </c>
      <c r="F3001" s="228" t="s">
        <v>1470</v>
      </c>
      <c r="G3001" s="228" t="s">
        <v>1473</v>
      </c>
      <c r="J3001" s="3" t="s">
        <v>10</v>
      </c>
      <c r="K3001" s="3" t="s">
        <v>438</v>
      </c>
      <c r="L3001" s="3" t="s">
        <v>537</v>
      </c>
      <c r="M3001" s="3" t="s">
        <v>187</v>
      </c>
      <c r="N3001" s="3">
        <v>2156</v>
      </c>
    </row>
    <row r="3002" spans="1:14" s="3" customFormat="1" hidden="1" outlineLevel="1" x14ac:dyDescent="0.25">
      <c r="A3002" s="5"/>
      <c r="B3002" s="231" t="s">
        <v>128</v>
      </c>
      <c r="C3002" s="231" t="s">
        <v>1566</v>
      </c>
      <c r="D3002" s="231" t="s">
        <v>1567</v>
      </c>
      <c r="E3002" s="231">
        <v>0</v>
      </c>
      <c r="F3002" s="231" t="s">
        <v>1470</v>
      </c>
      <c r="G3002" s="231"/>
      <c r="J3002" s="3" t="s">
        <v>12</v>
      </c>
      <c r="K3002" s="3" t="s">
        <v>173</v>
      </c>
      <c r="L3002" s="3" t="s">
        <v>9</v>
      </c>
      <c r="M3002" s="3" t="s">
        <v>9</v>
      </c>
      <c r="N3002" s="3">
        <v>2430</v>
      </c>
    </row>
    <row r="3003" spans="1:14" s="3" customFormat="1" ht="17.399999999999999" hidden="1" customHeight="1" outlineLevel="1" x14ac:dyDescent="0.25">
      <c r="A3003" s="5"/>
      <c r="B3003" s="231" t="s">
        <v>114</v>
      </c>
      <c r="C3003" s="231" t="s">
        <v>1557</v>
      </c>
      <c r="D3003" s="231" t="s">
        <v>1469</v>
      </c>
      <c r="E3003" s="231">
        <v>-1</v>
      </c>
      <c r="F3003" s="231" t="s">
        <v>1470</v>
      </c>
      <c r="G3003" s="231"/>
      <c r="J3003" s="3" t="s">
        <v>12</v>
      </c>
      <c r="K3003" s="3" t="s">
        <v>173</v>
      </c>
      <c r="L3003" s="3" t="s">
        <v>9</v>
      </c>
      <c r="M3003" s="3" t="s">
        <v>9</v>
      </c>
      <c r="N3003" s="3">
        <v>2433</v>
      </c>
    </row>
    <row r="3004" spans="1:14" s="3" customFormat="1" ht="17.399999999999999" hidden="1" customHeight="1" outlineLevel="1" thickBot="1" x14ac:dyDescent="0.3">
      <c r="A3004" s="5"/>
      <c r="B3004" s="52"/>
      <c r="C3004" s="53"/>
      <c r="D3004" s="53"/>
      <c r="E3004" s="53"/>
      <c r="F3004" s="53"/>
      <c r="G3004" s="54"/>
      <c r="J3004" s="3" t="s">
        <v>10</v>
      </c>
      <c r="K3004" s="3" t="s">
        <v>174</v>
      </c>
      <c r="L3004" s="3" t="s">
        <v>175</v>
      </c>
      <c r="M3004" s="3" t="s">
        <v>176</v>
      </c>
      <c r="N3004" s="3">
        <v>1700</v>
      </c>
    </row>
    <row r="3005" spans="1:14" s="3" customFormat="1" ht="17.399999999999999" hidden="1" customHeight="1" outlineLevel="1" x14ac:dyDescent="0.25">
      <c r="A3005" s="5"/>
      <c r="B3005" s="401" t="s">
        <v>18</v>
      </c>
      <c r="C3005" s="402"/>
      <c r="D3005" s="402"/>
      <c r="E3005" s="402"/>
      <c r="F3005" s="402"/>
      <c r="G3005" s="403"/>
      <c r="K3005" s="3" t="s">
        <v>174</v>
      </c>
      <c r="L3005" s="3" t="s">
        <v>175</v>
      </c>
      <c r="M3005" s="3" t="s">
        <v>176</v>
      </c>
      <c r="N3005" s="3">
        <v>1629</v>
      </c>
    </row>
    <row r="3006" spans="1:14" s="3" customFormat="1" ht="17.399999999999999" hidden="1" customHeight="1" outlineLevel="1" x14ac:dyDescent="0.25">
      <c r="A3006" s="5"/>
      <c r="B3006" s="25" t="s">
        <v>2</v>
      </c>
      <c r="C3006" s="26" t="s">
        <v>3</v>
      </c>
      <c r="D3006" s="26" t="s">
        <v>4</v>
      </c>
      <c r="E3006" s="26" t="s">
        <v>5</v>
      </c>
      <c r="F3006" s="26"/>
      <c r="G3006" s="27" t="s">
        <v>6</v>
      </c>
      <c r="K3006" s="3" t="s">
        <v>173</v>
      </c>
      <c r="L3006" s="3" t="s">
        <v>9</v>
      </c>
      <c r="M3006" s="3" t="s">
        <v>9</v>
      </c>
      <c r="N3006" s="3">
        <v>2449</v>
      </c>
    </row>
    <row r="3007" spans="1:14" s="3" customFormat="1" ht="17.399999999999999" hidden="1" customHeight="1" outlineLevel="1" thickBot="1" x14ac:dyDescent="0.3">
      <c r="A3007" s="5"/>
      <c r="B3007" s="82"/>
      <c r="C3007" s="232"/>
      <c r="D3007" s="232"/>
      <c r="E3007" s="232"/>
      <c r="F3007" s="232"/>
      <c r="G3007" s="233"/>
    </row>
    <row r="3008" spans="1:14" s="3" customFormat="1" ht="17.399999999999999" hidden="1" customHeight="1" outlineLevel="1" x14ac:dyDescent="0.25">
      <c r="A3008" s="5"/>
      <c r="B3008" s="401" t="s">
        <v>28</v>
      </c>
      <c r="C3008" s="402"/>
      <c r="D3008" s="402"/>
      <c r="E3008" s="402"/>
      <c r="F3008" s="402"/>
      <c r="G3008" s="403"/>
    </row>
    <row r="3009" spans="1:10" s="3" customFormat="1" ht="17.399999999999999" hidden="1" customHeight="1" outlineLevel="1" x14ac:dyDescent="0.25">
      <c r="A3009" s="5"/>
      <c r="B3009" s="25" t="s">
        <v>2</v>
      </c>
      <c r="C3009" s="26" t="s">
        <v>3</v>
      </c>
      <c r="D3009" s="26" t="s">
        <v>4</v>
      </c>
      <c r="E3009" s="26" t="s">
        <v>5</v>
      </c>
      <c r="F3009" s="26"/>
      <c r="G3009" s="27" t="s">
        <v>6</v>
      </c>
    </row>
    <row r="3010" spans="1:10" s="3" customFormat="1" ht="17.399999999999999" hidden="1" customHeight="1" outlineLevel="1" thickBot="1" x14ac:dyDescent="0.3">
      <c r="A3010" s="5"/>
      <c r="B3010" s="116"/>
      <c r="C3010" s="117"/>
      <c r="D3010" s="117"/>
      <c r="E3010" s="117"/>
      <c r="F3010" s="117"/>
      <c r="G3010" s="118"/>
    </row>
    <row r="3011" spans="1:10" s="3" customFormat="1" ht="17.399999999999999" hidden="1" customHeight="1" outlineLevel="1" x14ac:dyDescent="0.25">
      <c r="A3011" s="5"/>
      <c r="B3011" s="401" t="s">
        <v>29</v>
      </c>
      <c r="C3011" s="402"/>
      <c r="D3011" s="402"/>
      <c r="E3011" s="402"/>
      <c r="F3011" s="402"/>
      <c r="G3011" s="403"/>
    </row>
    <row r="3012" spans="1:10" s="3" customFormat="1" ht="17.399999999999999" hidden="1" customHeight="1" outlineLevel="1" x14ac:dyDescent="0.25">
      <c r="A3012" s="5"/>
      <c r="B3012" s="234"/>
      <c r="C3012" s="235"/>
      <c r="D3012" s="235"/>
      <c r="E3012" s="235"/>
      <c r="F3012" s="235"/>
      <c r="G3012" s="236"/>
      <c r="H3012" s="5"/>
    </row>
    <row r="3013" spans="1:10" s="3" customFormat="1" ht="17.399999999999999" hidden="1" customHeight="1" outlineLevel="1" x14ac:dyDescent="0.25">
      <c r="A3013" s="5"/>
      <c r="B3013" s="218" t="s">
        <v>1038</v>
      </c>
      <c r="C3013" s="107"/>
      <c r="D3013" s="107"/>
      <c r="E3013" s="107"/>
      <c r="F3013" s="107"/>
      <c r="G3013" s="108"/>
      <c r="I3013" s="5"/>
      <c r="J3013" s="5"/>
    </row>
    <row r="3014" spans="1:10" s="3" customFormat="1" ht="17.399999999999999" hidden="1" customHeight="1" outlineLevel="1" x14ac:dyDescent="0.25">
      <c r="A3014" s="5"/>
      <c r="B3014" s="218"/>
      <c r="C3014" s="107"/>
      <c r="D3014" s="107"/>
      <c r="E3014" s="107"/>
      <c r="F3014" s="107"/>
      <c r="G3014" s="108"/>
      <c r="I3014" s="5"/>
      <c r="J3014" s="5"/>
    </row>
    <row r="3015" spans="1:10" s="3" customFormat="1" ht="17.399999999999999" hidden="1" customHeight="1" outlineLevel="1" x14ac:dyDescent="0.25">
      <c r="A3015" s="5"/>
      <c r="B3015" s="106" t="s">
        <v>851</v>
      </c>
      <c r="C3015" s="107"/>
      <c r="D3015" s="107"/>
      <c r="E3015" s="107"/>
      <c r="F3015" s="107"/>
      <c r="G3015" s="108"/>
      <c r="H3015" s="5"/>
    </row>
    <row r="3016" spans="1:10" s="3" customFormat="1" ht="17.399999999999999" hidden="1" customHeight="1" outlineLevel="1" x14ac:dyDescent="0.25">
      <c r="A3016" s="5"/>
      <c r="B3016" s="106" t="s">
        <v>805</v>
      </c>
      <c r="C3016" s="107"/>
      <c r="D3016" s="107"/>
      <c r="E3016" s="107"/>
      <c r="F3016" s="107"/>
      <c r="G3016" s="108"/>
      <c r="H3016" s="5"/>
    </row>
    <row r="3017" spans="1:10" s="3" customFormat="1" ht="17.399999999999999" hidden="1" customHeight="1" outlineLevel="1" x14ac:dyDescent="0.25">
      <c r="A3017" s="5"/>
      <c r="B3017" s="229"/>
      <c r="C3017" s="207"/>
      <c r="D3017" s="207"/>
      <c r="E3017" s="207"/>
      <c r="F3017" s="207"/>
      <c r="G3017" s="208"/>
      <c r="H3017" s="5"/>
    </row>
    <row r="3018" spans="1:10" s="9" customFormat="1" ht="17.399999999999999" hidden="1" customHeight="1" outlineLevel="1" x14ac:dyDescent="0.25">
      <c r="A3018" s="5"/>
      <c r="B3018" s="31" t="s">
        <v>702</v>
      </c>
      <c r="C3018" s="20"/>
      <c r="D3018" s="20"/>
      <c r="E3018" s="20"/>
      <c r="F3018" s="20"/>
      <c r="G3018" s="22"/>
      <c r="H3018" s="3"/>
      <c r="I3018" s="3"/>
      <c r="J3018" s="45"/>
    </row>
    <row r="3019" spans="1:10" s="3" customFormat="1" hidden="1" outlineLevel="1" x14ac:dyDescent="0.25">
      <c r="A3019" s="5"/>
      <c r="B3019" s="46" t="s">
        <v>995</v>
      </c>
      <c r="C3019" s="20"/>
      <c r="D3019" s="20"/>
      <c r="E3019" s="20"/>
      <c r="F3019" s="20"/>
      <c r="G3019" s="22"/>
      <c r="J3019" s="45"/>
    </row>
    <row r="3020" spans="1:10" s="3" customFormat="1" hidden="1" outlineLevel="1" x14ac:dyDescent="0.25">
      <c r="A3020" s="5"/>
      <c r="B3020" s="46" t="s">
        <v>821</v>
      </c>
      <c r="C3020" s="20"/>
      <c r="D3020" s="20"/>
      <c r="E3020" s="20"/>
      <c r="F3020" s="20"/>
      <c r="G3020" s="22"/>
      <c r="J3020" s="230"/>
    </row>
    <row r="3021" spans="1:10" s="3" customFormat="1" hidden="1" outlineLevel="1" x14ac:dyDescent="0.25">
      <c r="A3021" s="5"/>
      <c r="B3021" s="46" t="s">
        <v>1029</v>
      </c>
      <c r="C3021" s="20"/>
      <c r="D3021" s="20"/>
      <c r="E3021" s="20"/>
      <c r="F3021" s="20"/>
      <c r="G3021" s="22"/>
      <c r="J3021" s="230"/>
    </row>
    <row r="3022" spans="1:10" s="3" customFormat="1" hidden="1" outlineLevel="1" x14ac:dyDescent="0.25">
      <c r="A3022" s="5"/>
      <c r="B3022" s="46" t="s">
        <v>1252</v>
      </c>
      <c r="C3022" s="20"/>
      <c r="D3022" s="20"/>
      <c r="E3022" s="20"/>
      <c r="F3022" s="20"/>
      <c r="G3022" s="22"/>
      <c r="J3022" s="230"/>
    </row>
    <row r="3023" spans="1:10" s="3" customFormat="1" hidden="1" outlineLevel="1" x14ac:dyDescent="0.25">
      <c r="A3023" s="5"/>
      <c r="B3023" s="46" t="s">
        <v>1253</v>
      </c>
      <c r="C3023" s="20"/>
      <c r="D3023" s="20"/>
      <c r="E3023" s="20"/>
      <c r="F3023" s="20"/>
      <c r="G3023" s="22"/>
      <c r="J3023" s="230"/>
    </row>
    <row r="3024" spans="1:10" s="3" customFormat="1" hidden="1" outlineLevel="1" x14ac:dyDescent="0.25">
      <c r="A3024" s="5"/>
      <c r="B3024" s="46"/>
      <c r="C3024" s="20"/>
      <c r="D3024" s="20"/>
      <c r="E3024" s="20"/>
      <c r="F3024" s="20"/>
      <c r="G3024" s="22"/>
      <c r="J3024" s="230"/>
    </row>
    <row r="3025" spans="1:11" s="3" customFormat="1" hidden="1" outlineLevel="1" x14ac:dyDescent="0.25">
      <c r="A3025" s="5"/>
      <c r="B3025" s="46" t="s">
        <v>1030</v>
      </c>
      <c r="C3025" s="20"/>
      <c r="D3025" s="20"/>
      <c r="E3025" s="20"/>
      <c r="F3025" s="20"/>
      <c r="G3025" s="22"/>
      <c r="J3025" s="230"/>
    </row>
    <row r="3026" spans="1:11" s="3" customFormat="1" hidden="1" outlineLevel="1" x14ac:dyDescent="0.25">
      <c r="A3026" s="5"/>
      <c r="B3026" s="46" t="s">
        <v>824</v>
      </c>
      <c r="C3026" s="20"/>
      <c r="D3026" s="20"/>
      <c r="E3026" s="20"/>
      <c r="F3026" s="20"/>
      <c r="G3026" s="22"/>
      <c r="J3026" s="230"/>
    </row>
    <row r="3027" spans="1:11" s="3" customFormat="1" hidden="1" outlineLevel="1" x14ac:dyDescent="0.25">
      <c r="A3027" s="5"/>
      <c r="B3027" s="46" t="s">
        <v>1254</v>
      </c>
      <c r="C3027" s="20"/>
      <c r="D3027" s="20"/>
      <c r="E3027" s="20"/>
      <c r="F3027" s="20"/>
      <c r="G3027" s="22"/>
      <c r="J3027" s="230"/>
    </row>
    <row r="3028" spans="1:11" s="3" customFormat="1" hidden="1" outlineLevel="1" x14ac:dyDescent="0.25">
      <c r="A3028" s="5"/>
      <c r="B3028" s="46" t="s">
        <v>1255</v>
      </c>
      <c r="C3028" s="20"/>
      <c r="D3028" s="20"/>
      <c r="E3028" s="20"/>
      <c r="F3028" s="20"/>
      <c r="G3028" s="22"/>
      <c r="J3028" s="230"/>
    </row>
    <row r="3029" spans="1:11" s="3" customFormat="1" hidden="1" outlineLevel="1" x14ac:dyDescent="0.25">
      <c r="A3029" s="5"/>
      <c r="B3029" s="46" t="s">
        <v>2297</v>
      </c>
      <c r="C3029" s="20"/>
      <c r="D3029" s="20"/>
      <c r="E3029" s="20"/>
      <c r="F3029" s="20"/>
      <c r="G3029" s="22"/>
    </row>
    <row r="3030" spans="1:11" s="3" customFormat="1" hidden="1" outlineLevel="1" x14ac:dyDescent="0.25">
      <c r="A3030" s="5"/>
      <c r="B3030" s="46" t="s">
        <v>2285</v>
      </c>
      <c r="C3030" s="20"/>
      <c r="D3030" s="20"/>
      <c r="E3030" s="20"/>
      <c r="F3030" s="20"/>
      <c r="G3030" s="22"/>
    </row>
    <row r="3031" spans="1:11" s="3" customFormat="1" hidden="1" outlineLevel="1" x14ac:dyDescent="0.25">
      <c r="A3031" s="5"/>
      <c r="B3031" s="50" t="s">
        <v>1039</v>
      </c>
      <c r="C3031" s="20"/>
      <c r="D3031" s="20"/>
      <c r="E3031" s="20"/>
      <c r="F3031" s="20"/>
      <c r="G3031" s="22"/>
    </row>
    <row r="3032" spans="1:11" s="3" customFormat="1" ht="17.399999999999999" hidden="1" customHeight="1" outlineLevel="1" x14ac:dyDescent="0.25">
      <c r="A3032" s="5"/>
      <c r="B3032" s="218" t="s">
        <v>1034</v>
      </c>
      <c r="C3032" s="107"/>
      <c r="D3032" s="107"/>
      <c r="E3032" s="107"/>
      <c r="F3032" s="107"/>
      <c r="G3032" s="108"/>
      <c r="I3032" s="5"/>
      <c r="J3032" s="5"/>
    </row>
    <row r="3033" spans="1:11" s="3" customFormat="1" hidden="1" outlineLevel="1" x14ac:dyDescent="0.25">
      <c r="A3033" s="5"/>
      <c r="B3033" s="50" t="s">
        <v>1256</v>
      </c>
      <c r="C3033" s="20"/>
      <c r="D3033" s="20"/>
      <c r="E3033" s="20"/>
      <c r="F3033" s="20"/>
      <c r="G3033" s="22"/>
    </row>
    <row r="3034" spans="1:11" s="3" customFormat="1" ht="17.399999999999999" hidden="1" customHeight="1" outlineLevel="1" x14ac:dyDescent="0.25">
      <c r="A3034" s="5"/>
      <c r="B3034" s="128" t="s">
        <v>1036</v>
      </c>
      <c r="C3034" s="107"/>
      <c r="D3034" s="107"/>
      <c r="E3034" s="107"/>
      <c r="F3034" s="107"/>
      <c r="G3034" s="129"/>
    </row>
    <row r="3035" spans="1:11" s="3" customFormat="1" hidden="1" outlineLevel="1" x14ac:dyDescent="0.25">
      <c r="A3035" s="5"/>
      <c r="B3035" s="50" t="s">
        <v>726</v>
      </c>
      <c r="C3035" s="20"/>
      <c r="D3035" s="20"/>
      <c r="E3035" s="20"/>
      <c r="F3035" s="20"/>
      <c r="G3035" s="22"/>
    </row>
    <row r="3036" spans="1:11" s="3" customFormat="1" ht="17.399999999999999" hidden="1" customHeight="1" outlineLevel="1" x14ac:dyDescent="0.25">
      <c r="A3036" s="5"/>
      <c r="B3036" s="218"/>
      <c r="C3036" s="107"/>
      <c r="D3036" s="107"/>
      <c r="E3036" s="107"/>
      <c r="F3036" s="107"/>
      <c r="G3036" s="108"/>
      <c r="I3036" s="5"/>
      <c r="J3036" s="5"/>
    </row>
    <row r="3037" spans="1:11" s="3" customFormat="1" ht="17.399999999999999" hidden="1" customHeight="1" outlineLevel="1" x14ac:dyDescent="0.25">
      <c r="A3037" s="5"/>
      <c r="B3037" s="218"/>
      <c r="C3037" s="107"/>
      <c r="D3037" s="107"/>
      <c r="E3037" s="107"/>
      <c r="F3037" s="107"/>
      <c r="G3037" s="108"/>
      <c r="I3037" s="5"/>
      <c r="J3037" s="5"/>
    </row>
    <row r="3038" spans="1:11" s="3" customFormat="1" ht="17.399999999999999" hidden="1" customHeight="1" outlineLevel="1" x14ac:dyDescent="0.25">
      <c r="A3038" s="5"/>
      <c r="B3038" s="218"/>
      <c r="C3038" s="107"/>
      <c r="D3038" s="107"/>
      <c r="E3038" s="107"/>
      <c r="F3038" s="107"/>
      <c r="G3038" s="108"/>
      <c r="I3038" s="5"/>
      <c r="J3038" s="5"/>
    </row>
    <row r="3039" spans="1:11" s="3" customFormat="1" ht="17.399999999999999" hidden="1" customHeight="1" outlineLevel="1" x14ac:dyDescent="0.25">
      <c r="A3039" s="5"/>
      <c r="B3039" s="234"/>
      <c r="C3039" s="235"/>
      <c r="D3039" s="237"/>
      <c r="E3039" s="235"/>
      <c r="F3039" s="235"/>
      <c r="G3039" s="236"/>
    </row>
    <row r="3040" spans="1:11" s="3" customFormat="1" ht="17.399999999999999" hidden="1" customHeight="1" outlineLevel="1" x14ac:dyDescent="0.25">
      <c r="A3040" s="5"/>
      <c r="B3040" s="125"/>
      <c r="C3040" s="117"/>
      <c r="D3040" s="117"/>
      <c r="E3040" s="117"/>
      <c r="F3040" s="117"/>
      <c r="G3040" s="118"/>
      <c r="K3040" s="5"/>
    </row>
    <row r="3041" spans="2:13" hidden="1" outlineLevel="1" x14ac:dyDescent="0.25"/>
    <row r="3042" spans="2:13" ht="16.2" hidden="1" outlineLevel="1" thickBot="1" x14ac:dyDescent="0.3"/>
    <row r="3043" spans="2:13" s="3" customFormat="1" ht="16.2" collapsed="1" thickBot="1" x14ac:dyDescent="0.3">
      <c r="B3043" s="15" t="s">
        <v>1279</v>
      </c>
      <c r="C3043" s="16" t="s">
        <v>2267</v>
      </c>
      <c r="D3043" s="17" t="s">
        <v>1281</v>
      </c>
      <c r="E3043" s="16" t="s">
        <v>1257</v>
      </c>
      <c r="F3043" s="17" t="s">
        <v>1282</v>
      </c>
      <c r="G3043" s="192" t="s">
        <v>2268</v>
      </c>
    </row>
    <row r="3044" spans="2:13" s="3" customFormat="1" hidden="1" outlineLevel="1" x14ac:dyDescent="0.25">
      <c r="B3044" s="179" t="s">
        <v>1284</v>
      </c>
      <c r="C3044" s="20" t="s">
        <v>1285</v>
      </c>
      <c r="D3044" s="180" t="s">
        <v>1286</v>
      </c>
      <c r="E3044" s="29" t="s">
        <v>2269</v>
      </c>
      <c r="F3044" s="180" t="s">
        <v>1288</v>
      </c>
      <c r="G3044" s="30"/>
    </row>
    <row r="3045" spans="2:13" s="3" customFormat="1" ht="16.2" hidden="1" outlineLevel="1" thickBot="1" x14ac:dyDescent="0.3">
      <c r="B3045" s="193" t="s">
        <v>1290</v>
      </c>
      <c r="C3045" s="164"/>
      <c r="D3045" s="194" t="s">
        <v>1292</v>
      </c>
      <c r="E3045" s="164">
        <v>5</v>
      </c>
      <c r="F3045" s="194" t="s">
        <v>1293</v>
      </c>
      <c r="G3045" s="24" t="s">
        <v>1294</v>
      </c>
    </row>
    <row r="3046" spans="2:13" s="3" customFormat="1" hidden="1" outlineLevel="1" x14ac:dyDescent="0.25">
      <c r="B3046" s="401" t="s">
        <v>1</v>
      </c>
      <c r="C3046" s="402"/>
      <c r="D3046" s="402"/>
      <c r="E3046" s="402"/>
      <c r="F3046" s="402"/>
      <c r="G3046" s="403"/>
    </row>
    <row r="3047" spans="2:13" s="3" customFormat="1" hidden="1" outlineLevel="1" x14ac:dyDescent="0.25">
      <c r="B3047" s="179" t="s">
        <v>2</v>
      </c>
      <c r="C3047" s="180" t="s">
        <v>3</v>
      </c>
      <c r="D3047" s="180" t="s">
        <v>4</v>
      </c>
      <c r="E3047" s="180" t="s">
        <v>5</v>
      </c>
      <c r="F3047" s="180"/>
      <c r="G3047" s="181" t="s">
        <v>6</v>
      </c>
    </row>
    <row r="3048" spans="2:13" s="3" customFormat="1" hidden="1" outlineLevel="1" x14ac:dyDescent="0.25">
      <c r="B3048" s="185" t="s">
        <v>14</v>
      </c>
      <c r="C3048" s="23" t="s">
        <v>1475</v>
      </c>
      <c r="D3048" s="23" t="s">
        <v>1469</v>
      </c>
      <c r="E3048" s="23">
        <v>0</v>
      </c>
      <c r="F3048" s="23" t="s">
        <v>1476</v>
      </c>
      <c r="G3048" s="24" t="s">
        <v>1477</v>
      </c>
      <c r="J3048" s="3" t="s">
        <v>10</v>
      </c>
      <c r="K3048" s="3" t="s">
        <v>173</v>
      </c>
      <c r="L3048" s="3" t="s">
        <v>9</v>
      </c>
      <c r="M3048" s="3" t="s">
        <v>9</v>
      </c>
    </row>
    <row r="3049" spans="2:13" s="3" customFormat="1" hidden="1" outlineLevel="1" x14ac:dyDescent="0.25">
      <c r="B3049" s="185" t="s">
        <v>696</v>
      </c>
      <c r="C3049" s="29" t="s">
        <v>2074</v>
      </c>
      <c r="D3049" s="29" t="s">
        <v>1593</v>
      </c>
      <c r="E3049" s="29" t="s">
        <v>1594</v>
      </c>
      <c r="F3049" s="29" t="s">
        <v>1470</v>
      </c>
      <c r="G3049" s="30"/>
      <c r="J3049" s="3" t="s">
        <v>187</v>
      </c>
      <c r="K3049" s="3" t="s">
        <v>438</v>
      </c>
      <c r="L3049" s="3" t="s">
        <v>537</v>
      </c>
      <c r="M3049" s="3" t="s">
        <v>187</v>
      </c>
    </row>
    <row r="3050" spans="2:13" s="3" customFormat="1" hidden="1" outlineLevel="1" x14ac:dyDescent="0.25">
      <c r="B3050" s="185" t="s">
        <v>115</v>
      </c>
      <c r="C3050" s="23" t="s">
        <v>1558</v>
      </c>
      <c r="D3050" s="23" t="s">
        <v>1539</v>
      </c>
      <c r="E3050" s="23">
        <v>0</v>
      </c>
      <c r="F3050" s="23" t="s">
        <v>1470</v>
      </c>
      <c r="G3050" s="24"/>
      <c r="J3050" s="3" t="s">
        <v>20</v>
      </c>
      <c r="K3050" s="3" t="s">
        <v>445</v>
      </c>
      <c r="L3050" s="3" t="s">
        <v>446</v>
      </c>
      <c r="M3050" s="3" t="s">
        <v>446</v>
      </c>
    </row>
    <row r="3051" spans="2:13" s="3" customFormat="1" hidden="1" outlineLevel="1" x14ac:dyDescent="0.25">
      <c r="B3051" s="185" t="s">
        <v>460</v>
      </c>
      <c r="C3051" s="23" t="s">
        <v>1847</v>
      </c>
      <c r="D3051" s="23" t="s">
        <v>1539</v>
      </c>
      <c r="E3051" s="23">
        <v>0</v>
      </c>
      <c r="F3051" s="23" t="s">
        <v>1470</v>
      </c>
      <c r="G3051" s="24"/>
      <c r="J3051" s="3" t="s">
        <v>20</v>
      </c>
      <c r="K3051" s="3" t="s">
        <v>445</v>
      </c>
      <c r="L3051" s="3" t="s">
        <v>446</v>
      </c>
      <c r="M3051" s="3" t="s">
        <v>446</v>
      </c>
    </row>
    <row r="3052" spans="2:13" s="3" customFormat="1" hidden="1" outlineLevel="1" x14ac:dyDescent="0.25">
      <c r="B3052" s="185" t="s">
        <v>461</v>
      </c>
      <c r="C3052" s="23" t="s">
        <v>1848</v>
      </c>
      <c r="D3052" s="23" t="s">
        <v>1539</v>
      </c>
      <c r="E3052" s="23">
        <v>0</v>
      </c>
      <c r="F3052" s="23" t="s">
        <v>1470</v>
      </c>
      <c r="G3052" s="24"/>
      <c r="J3052" s="3" t="s">
        <v>20</v>
      </c>
      <c r="K3052" s="3" t="s">
        <v>445</v>
      </c>
      <c r="L3052" s="3" t="s">
        <v>446</v>
      </c>
      <c r="M3052" s="3" t="s">
        <v>446</v>
      </c>
    </row>
    <row r="3053" spans="2:13" s="3" customFormat="1" hidden="1" outlineLevel="1" x14ac:dyDescent="0.25">
      <c r="B3053" s="185" t="s">
        <v>697</v>
      </c>
      <c r="C3053" s="23" t="s">
        <v>2075</v>
      </c>
      <c r="D3053" s="23" t="s">
        <v>1539</v>
      </c>
      <c r="E3053" s="23">
        <v>0</v>
      </c>
      <c r="F3053" s="23" t="s">
        <v>1470</v>
      </c>
      <c r="G3053" s="24"/>
      <c r="J3053" s="3" t="s">
        <v>20</v>
      </c>
      <c r="K3053" s="3" t="s">
        <v>445</v>
      </c>
      <c r="L3053" s="3" t="s">
        <v>446</v>
      </c>
      <c r="M3053" s="3" t="s">
        <v>446</v>
      </c>
    </row>
    <row r="3054" spans="2:13" s="3" customFormat="1" hidden="1" outlineLevel="1" x14ac:dyDescent="0.25">
      <c r="B3054" s="185" t="s">
        <v>698</v>
      </c>
      <c r="C3054" s="23" t="s">
        <v>2076</v>
      </c>
      <c r="D3054" s="23" t="s">
        <v>1539</v>
      </c>
      <c r="E3054" s="23">
        <v>0</v>
      </c>
      <c r="F3054" s="23" t="s">
        <v>1470</v>
      </c>
      <c r="G3054" s="24"/>
      <c r="J3054" s="3" t="s">
        <v>20</v>
      </c>
      <c r="K3054" s="3" t="s">
        <v>445</v>
      </c>
      <c r="L3054" s="3" t="s">
        <v>446</v>
      </c>
      <c r="M3054" s="3" t="s">
        <v>446</v>
      </c>
    </row>
    <row r="3055" spans="2:13" s="3" customFormat="1" hidden="1" outlineLevel="1" x14ac:dyDescent="0.25">
      <c r="B3055" s="185" t="s">
        <v>91</v>
      </c>
      <c r="C3055" s="23" t="s">
        <v>1541</v>
      </c>
      <c r="D3055" s="23" t="s">
        <v>1539</v>
      </c>
      <c r="E3055" s="23">
        <v>0</v>
      </c>
      <c r="F3055" s="23" t="s">
        <v>1470</v>
      </c>
      <c r="G3055" s="24"/>
      <c r="J3055" s="3" t="s">
        <v>20</v>
      </c>
      <c r="K3055" s="3" t="s">
        <v>445</v>
      </c>
      <c r="L3055" s="3" t="s">
        <v>446</v>
      </c>
      <c r="M3055" s="3" t="s">
        <v>446</v>
      </c>
    </row>
    <row r="3056" spans="2:13" s="3" customFormat="1" hidden="1" outlineLevel="1" x14ac:dyDescent="0.25">
      <c r="B3056" s="185" t="s">
        <v>327</v>
      </c>
      <c r="C3056" s="23" t="s">
        <v>1745</v>
      </c>
      <c r="D3056" s="23" t="s">
        <v>1539</v>
      </c>
      <c r="E3056" s="23">
        <v>0</v>
      </c>
      <c r="F3056" s="23" t="s">
        <v>1470</v>
      </c>
      <c r="G3056" s="24"/>
      <c r="J3056" s="3" t="s">
        <v>20</v>
      </c>
      <c r="K3056" s="3" t="s">
        <v>445</v>
      </c>
      <c r="L3056" s="3" t="s">
        <v>446</v>
      </c>
      <c r="M3056" s="3" t="s">
        <v>446</v>
      </c>
    </row>
    <row r="3057" spans="2:13" s="3" customFormat="1" hidden="1" outlineLevel="1" x14ac:dyDescent="0.25">
      <c r="B3057" s="185" t="s">
        <v>465</v>
      </c>
      <c r="C3057" s="23" t="s">
        <v>1852</v>
      </c>
      <c r="D3057" s="23" t="s">
        <v>1539</v>
      </c>
      <c r="E3057" s="23">
        <v>0</v>
      </c>
      <c r="F3057" s="23" t="s">
        <v>1470</v>
      </c>
      <c r="G3057" s="24"/>
      <c r="J3057" s="3" t="s">
        <v>20</v>
      </c>
      <c r="K3057" s="3" t="s">
        <v>445</v>
      </c>
      <c r="L3057" s="3" t="s">
        <v>446</v>
      </c>
      <c r="M3057" s="3" t="s">
        <v>446</v>
      </c>
    </row>
    <row r="3058" spans="2:13" s="3" customFormat="1" hidden="1" outlineLevel="1" x14ac:dyDescent="0.25">
      <c r="B3058" s="185" t="s">
        <v>475</v>
      </c>
      <c r="C3058" s="23" t="s">
        <v>1862</v>
      </c>
      <c r="D3058" s="23" t="s">
        <v>1539</v>
      </c>
      <c r="E3058" s="23">
        <v>0</v>
      </c>
      <c r="F3058" s="23" t="s">
        <v>1470</v>
      </c>
      <c r="G3058" s="24"/>
      <c r="J3058" s="3" t="s">
        <v>20</v>
      </c>
      <c r="K3058" s="3" t="s">
        <v>445</v>
      </c>
      <c r="L3058" s="3" t="s">
        <v>446</v>
      </c>
      <c r="M3058" s="3" t="s">
        <v>446</v>
      </c>
    </row>
    <row r="3059" spans="2:13" s="3" customFormat="1" ht="16.2" hidden="1" outlineLevel="1" thickBot="1" x14ac:dyDescent="0.3">
      <c r="B3059" s="185"/>
      <c r="C3059" s="23"/>
      <c r="D3059" s="23"/>
      <c r="E3059" s="23"/>
      <c r="F3059" s="23"/>
      <c r="G3059" s="24"/>
    </row>
    <row r="3060" spans="2:13" s="3" customFormat="1" hidden="1" outlineLevel="1" x14ac:dyDescent="0.25">
      <c r="B3060" s="401" t="s">
        <v>18</v>
      </c>
      <c r="C3060" s="402"/>
      <c r="D3060" s="402"/>
      <c r="E3060" s="402"/>
      <c r="F3060" s="402"/>
      <c r="G3060" s="403"/>
    </row>
    <row r="3061" spans="2:13" s="3" customFormat="1" hidden="1" outlineLevel="1" x14ac:dyDescent="0.25">
      <c r="B3061" s="179" t="s">
        <v>2</v>
      </c>
      <c r="C3061" s="180" t="s">
        <v>3</v>
      </c>
      <c r="D3061" s="180" t="s">
        <v>4</v>
      </c>
      <c r="E3061" s="180" t="s">
        <v>5</v>
      </c>
      <c r="F3061" s="180"/>
      <c r="G3061" s="181" t="s">
        <v>6</v>
      </c>
    </row>
    <row r="3062" spans="2:13" s="3" customFormat="1" hidden="1" outlineLevel="1" x14ac:dyDescent="0.25">
      <c r="B3062" s="28"/>
      <c r="C3062" s="29"/>
      <c r="D3062" s="29"/>
      <c r="E3062" s="29"/>
      <c r="F3062" s="29"/>
      <c r="G3062" s="30"/>
    </row>
    <row r="3063" spans="2:13" s="3" customFormat="1" ht="16.2" hidden="1" outlineLevel="1" thickBot="1" x14ac:dyDescent="0.3">
      <c r="B3063" s="185"/>
      <c r="C3063" s="23"/>
      <c r="D3063" s="23"/>
      <c r="E3063" s="23"/>
      <c r="F3063" s="23"/>
      <c r="G3063" s="24"/>
    </row>
    <row r="3064" spans="2:13" s="3" customFormat="1" hidden="1" outlineLevel="1" x14ac:dyDescent="0.25">
      <c r="B3064" s="401" t="s">
        <v>29</v>
      </c>
      <c r="C3064" s="402"/>
      <c r="D3064" s="402"/>
      <c r="E3064" s="402"/>
      <c r="F3064" s="402"/>
      <c r="G3064" s="403"/>
    </row>
    <row r="3065" spans="2:13" s="3" customFormat="1" hidden="1" outlineLevel="1" x14ac:dyDescent="0.25">
      <c r="B3065" s="28"/>
      <c r="C3065" s="29"/>
      <c r="D3065" s="29"/>
      <c r="E3065" s="29"/>
      <c r="F3065" s="29"/>
      <c r="G3065" s="30"/>
    </row>
    <row r="3066" spans="2:13" s="3" customFormat="1" hidden="1" outlineLevel="1" x14ac:dyDescent="0.25">
      <c r="B3066" s="28" t="s">
        <v>1258</v>
      </c>
      <c r="C3066" s="29"/>
      <c r="D3066" s="29"/>
      <c r="E3066" s="29"/>
      <c r="F3066" s="29"/>
      <c r="G3066" s="30"/>
    </row>
    <row r="3067" spans="2:13" s="3" customFormat="1" hidden="1" outlineLevel="1" x14ac:dyDescent="0.25">
      <c r="B3067" s="28" t="s">
        <v>1259</v>
      </c>
      <c r="C3067" s="29"/>
      <c r="D3067" s="29"/>
      <c r="E3067" s="29"/>
      <c r="F3067" s="29"/>
      <c r="G3067" s="30"/>
      <c r="H3067" s="5"/>
      <c r="I3067" s="5"/>
      <c r="J3067" s="5"/>
      <c r="K3067" s="5"/>
    </row>
    <row r="3068" spans="2:13" s="3" customFormat="1" hidden="1" outlineLevel="1" x14ac:dyDescent="0.25">
      <c r="B3068" s="28" t="s">
        <v>1260</v>
      </c>
      <c r="C3068" s="29"/>
      <c r="D3068" s="29"/>
      <c r="E3068" s="29"/>
      <c r="F3068" s="29"/>
      <c r="G3068" s="30"/>
      <c r="H3068" s="5"/>
      <c r="I3068" s="5"/>
      <c r="J3068" s="5"/>
      <c r="K3068" s="5"/>
    </row>
    <row r="3069" spans="2:13" s="3" customFormat="1" hidden="1" outlineLevel="1" x14ac:dyDescent="0.25">
      <c r="B3069" s="28" t="s">
        <v>561</v>
      </c>
      <c r="C3069" s="29"/>
      <c r="D3069" s="29"/>
      <c r="E3069" s="29"/>
      <c r="F3069" s="29"/>
      <c r="G3069" s="30"/>
    </row>
    <row r="3070" spans="2:13" ht="16.2" hidden="1" outlineLevel="1" thickBot="1" x14ac:dyDescent="0.3"/>
    <row r="3071" spans="2:13" collapsed="1" x14ac:dyDescent="0.25">
      <c r="B3071" s="15" t="s">
        <v>1279</v>
      </c>
      <c r="C3071" s="16" t="s">
        <v>1274</v>
      </c>
      <c r="D3071" s="17" t="s">
        <v>1281</v>
      </c>
      <c r="E3071" s="29" t="s">
        <v>1275</v>
      </c>
      <c r="F3071" s="17" t="s">
        <v>1282</v>
      </c>
      <c r="G3071" s="18" t="s">
        <v>1277</v>
      </c>
    </row>
    <row r="3072" spans="2:13" hidden="1" outlineLevel="1" x14ac:dyDescent="0.25">
      <c r="B3072" s="19" t="s">
        <v>1284</v>
      </c>
      <c r="C3072" s="20" t="s">
        <v>1285</v>
      </c>
      <c r="D3072" s="21" t="s">
        <v>1286</v>
      </c>
      <c r="E3072" s="20" t="s">
        <v>1276</v>
      </c>
      <c r="F3072" s="21" t="s">
        <v>1288</v>
      </c>
      <c r="G3072" s="22"/>
    </row>
    <row r="3073" spans="2:7" ht="16.2" hidden="1" outlineLevel="1" thickBot="1" x14ac:dyDescent="0.3">
      <c r="B3073" s="19" t="s">
        <v>1290</v>
      </c>
      <c r="C3073" s="23"/>
      <c r="D3073" s="21" t="s">
        <v>1292</v>
      </c>
      <c r="E3073" s="23">
        <v>5</v>
      </c>
      <c r="F3073" s="21" t="s">
        <v>1293</v>
      </c>
      <c r="G3073" s="24" t="s">
        <v>1294</v>
      </c>
    </row>
    <row r="3074" spans="2:7" hidden="1" outlineLevel="1" x14ac:dyDescent="0.25">
      <c r="B3074" s="401" t="s">
        <v>1</v>
      </c>
      <c r="C3074" s="402"/>
      <c r="D3074" s="402"/>
      <c r="E3074" s="402"/>
      <c r="F3074" s="402"/>
      <c r="G3074" s="403"/>
    </row>
    <row r="3075" spans="2:7" hidden="1" outlineLevel="1" x14ac:dyDescent="0.25">
      <c r="B3075" s="25" t="s">
        <v>2</v>
      </c>
      <c r="C3075" s="26" t="s">
        <v>3</v>
      </c>
      <c r="D3075" s="26" t="s">
        <v>4</v>
      </c>
      <c r="E3075" s="26" t="s">
        <v>5</v>
      </c>
      <c r="F3075" s="26"/>
      <c r="G3075" s="27" t="s">
        <v>6</v>
      </c>
    </row>
    <row r="3076" spans="2:7" hidden="1" outlineLevel="1" x14ac:dyDescent="0.25">
      <c r="B3076" s="28" t="s">
        <v>7</v>
      </c>
      <c r="C3076" s="29" t="s">
        <v>1468</v>
      </c>
      <c r="D3076" s="29" t="s">
        <v>1469</v>
      </c>
      <c r="E3076" s="29">
        <v>0</v>
      </c>
      <c r="F3076" s="29" t="s">
        <v>1470</v>
      </c>
      <c r="G3076" s="30" t="s">
        <v>1471</v>
      </c>
    </row>
    <row r="3077" spans="2:7" hidden="1" outlineLevel="1" x14ac:dyDescent="0.25">
      <c r="B3077" s="28" t="s">
        <v>1267</v>
      </c>
      <c r="C3077" s="29" t="s">
        <v>2349</v>
      </c>
      <c r="D3077" s="29" t="s">
        <v>2350</v>
      </c>
      <c r="E3077" s="29">
        <v>0</v>
      </c>
      <c r="F3077" s="29" t="s">
        <v>2336</v>
      </c>
      <c r="G3077" s="30" t="s">
        <v>2351</v>
      </c>
    </row>
    <row r="3078" spans="2:7" ht="16.2" hidden="1" outlineLevel="1" thickBot="1" x14ac:dyDescent="0.3">
      <c r="B3078" s="28"/>
      <c r="C3078" s="29"/>
      <c r="D3078" s="29"/>
      <c r="E3078" s="29"/>
      <c r="F3078" s="29"/>
      <c r="G3078" s="30"/>
    </row>
    <row r="3079" spans="2:7" hidden="1" outlineLevel="1" x14ac:dyDescent="0.25">
      <c r="B3079" s="401" t="s">
        <v>18</v>
      </c>
      <c r="C3079" s="402"/>
      <c r="D3079" s="402"/>
      <c r="E3079" s="402"/>
      <c r="F3079" s="402"/>
      <c r="G3079" s="403"/>
    </row>
    <row r="3080" spans="2:7" hidden="1" outlineLevel="1" x14ac:dyDescent="0.25">
      <c r="B3080" s="25" t="s">
        <v>2</v>
      </c>
      <c r="C3080" s="26" t="s">
        <v>3</v>
      </c>
      <c r="D3080" s="26" t="s">
        <v>4</v>
      </c>
      <c r="E3080" s="26" t="s">
        <v>5</v>
      </c>
      <c r="F3080" s="26"/>
      <c r="G3080" s="27" t="s">
        <v>6</v>
      </c>
    </row>
    <row r="3081" spans="2:7" hidden="1" outlineLevel="1" x14ac:dyDescent="0.25">
      <c r="B3081" s="28" t="s">
        <v>514</v>
      </c>
      <c r="C3081" s="29" t="s">
        <v>2352</v>
      </c>
      <c r="D3081" s="257" t="s">
        <v>2345</v>
      </c>
      <c r="E3081" s="257">
        <v>0</v>
      </c>
      <c r="F3081" s="257" t="s">
        <v>2336</v>
      </c>
      <c r="G3081" s="258"/>
    </row>
    <row r="3082" spans="2:7" hidden="1" outlineLevel="1" x14ac:dyDescent="0.25">
      <c r="B3082" s="28" t="s">
        <v>515</v>
      </c>
      <c r="C3082" s="29" t="s">
        <v>2356</v>
      </c>
      <c r="D3082" s="257" t="s">
        <v>2345</v>
      </c>
      <c r="E3082" s="257">
        <v>0</v>
      </c>
      <c r="F3082" s="257" t="s">
        <v>2336</v>
      </c>
      <c r="G3082" s="258"/>
    </row>
    <row r="3083" spans="2:7" hidden="1" outlineLevel="1" x14ac:dyDescent="0.25">
      <c r="B3083" s="28"/>
      <c r="C3083" s="29"/>
      <c r="D3083" s="29"/>
      <c r="E3083" s="29"/>
      <c r="F3083" s="29"/>
      <c r="G3083" s="30"/>
    </row>
    <row r="3084" spans="2:7" hidden="1" outlineLevel="1" x14ac:dyDescent="0.25">
      <c r="B3084" s="28"/>
      <c r="C3084" s="29"/>
      <c r="D3084" s="29"/>
      <c r="E3084" s="29"/>
      <c r="F3084" s="29"/>
      <c r="G3084" s="30"/>
    </row>
    <row r="3085" spans="2:7" ht="16.2" hidden="1" outlineLevel="1" thickBot="1" x14ac:dyDescent="0.3">
      <c r="B3085" s="267"/>
      <c r="C3085" s="268"/>
      <c r="D3085" s="268"/>
      <c r="E3085" s="268"/>
      <c r="F3085" s="268"/>
      <c r="G3085" s="269"/>
    </row>
    <row r="3086" spans="2:7" hidden="1" outlineLevel="1" x14ac:dyDescent="0.25">
      <c r="B3086" s="401" t="s">
        <v>29</v>
      </c>
      <c r="C3086" s="402"/>
      <c r="D3086" s="402"/>
      <c r="E3086" s="402"/>
      <c r="F3086" s="402"/>
      <c r="G3086" s="403"/>
    </row>
    <row r="3087" spans="2:7" hidden="1" outlineLevel="1" x14ac:dyDescent="0.25">
      <c r="B3087" s="106"/>
      <c r="C3087" s="107"/>
      <c r="D3087" s="107"/>
      <c r="E3087" s="107"/>
      <c r="F3087" s="107"/>
      <c r="G3087" s="108"/>
    </row>
    <row r="3088" spans="2:7" hidden="1" outlineLevel="1" x14ac:dyDescent="0.25">
      <c r="B3088" s="106" t="s">
        <v>1278</v>
      </c>
      <c r="C3088" s="107"/>
      <c r="D3088" s="107"/>
      <c r="E3088" s="107"/>
      <c r="F3088" s="107"/>
      <c r="G3088" s="108"/>
    </row>
    <row r="3089" spans="2:7" hidden="1" outlineLevel="1" x14ac:dyDescent="0.25">
      <c r="B3089" s="106" t="s">
        <v>517</v>
      </c>
      <c r="C3089" s="107"/>
      <c r="D3089" s="107"/>
      <c r="E3089" s="107"/>
      <c r="F3089" s="107"/>
      <c r="G3089" s="108"/>
    </row>
    <row r="3090" spans="2:7" hidden="1" outlineLevel="1" x14ac:dyDescent="0.25">
      <c r="B3090" s="106" t="s">
        <v>1238</v>
      </c>
      <c r="C3090" s="107"/>
      <c r="D3090" s="107"/>
      <c r="E3090" s="107"/>
      <c r="F3090" s="107"/>
      <c r="G3090" s="108"/>
    </row>
    <row r="3091" spans="2:7" hidden="1" outlineLevel="1" x14ac:dyDescent="0.25">
      <c r="B3091" s="106" t="s">
        <v>1239</v>
      </c>
      <c r="C3091" s="107"/>
      <c r="D3091" s="107"/>
      <c r="E3091" s="107"/>
      <c r="F3091" s="107"/>
      <c r="G3091" s="108"/>
    </row>
    <row r="3092" spans="2:7" hidden="1" outlineLevel="1" x14ac:dyDescent="0.25">
      <c r="B3092" s="185"/>
      <c r="C3092" s="23"/>
      <c r="D3092" s="23"/>
      <c r="E3092" s="23"/>
      <c r="F3092" s="23"/>
      <c r="G3092" s="24"/>
    </row>
    <row r="3093" spans="2:7" hidden="1" outlineLevel="1" x14ac:dyDescent="0.25">
      <c r="B3093" s="185" t="s">
        <v>2313</v>
      </c>
      <c r="C3093" s="23"/>
      <c r="D3093" s="23"/>
      <c r="E3093" s="23"/>
      <c r="F3093" s="23"/>
      <c r="G3093" s="24"/>
    </row>
    <row r="3094" spans="2:7" hidden="1" outlineLevel="1" x14ac:dyDescent="0.25">
      <c r="B3094" s="185" t="s">
        <v>1262</v>
      </c>
      <c r="C3094" s="23"/>
      <c r="D3094" s="23"/>
      <c r="E3094" s="23"/>
      <c r="F3094" s="23"/>
      <c r="G3094" s="24"/>
    </row>
    <row r="3095" spans="2:7" hidden="1" outlineLevel="1" x14ac:dyDescent="0.25">
      <c r="B3095" s="185" t="s">
        <v>2314</v>
      </c>
      <c r="C3095" s="23"/>
      <c r="D3095" s="23"/>
      <c r="E3095" s="23"/>
      <c r="F3095" s="23"/>
      <c r="G3095" s="24"/>
    </row>
    <row r="3096" spans="2:7" hidden="1" outlineLevel="1" x14ac:dyDescent="0.25">
      <c r="B3096" s="185" t="s">
        <v>2315</v>
      </c>
      <c r="C3096" s="23"/>
      <c r="D3096" s="23"/>
      <c r="E3096" s="23"/>
      <c r="F3096" s="23"/>
      <c r="G3096" s="24"/>
    </row>
    <row r="3097" spans="2:7" hidden="1" outlineLevel="1" x14ac:dyDescent="0.25">
      <c r="B3097" s="185" t="s">
        <v>2316</v>
      </c>
      <c r="C3097" s="23"/>
      <c r="D3097" s="23"/>
      <c r="E3097" s="23"/>
      <c r="F3097" s="23"/>
      <c r="G3097" s="24"/>
    </row>
    <row r="3098" spans="2:7" hidden="1" outlineLevel="1" x14ac:dyDescent="0.25">
      <c r="B3098" s="185" t="s">
        <v>2312</v>
      </c>
      <c r="C3098" s="23"/>
      <c r="D3098" s="23"/>
      <c r="E3098" s="23"/>
      <c r="F3098" s="23"/>
      <c r="G3098" s="24"/>
    </row>
    <row r="3099" spans="2:7" hidden="1" outlineLevel="1" x14ac:dyDescent="0.25">
      <c r="B3099" s="185"/>
      <c r="C3099" s="23"/>
      <c r="D3099" s="23"/>
      <c r="E3099" s="23"/>
      <c r="F3099" s="23"/>
      <c r="G3099" s="24"/>
    </row>
    <row r="3100" spans="2:7" hidden="1" outlineLevel="1" x14ac:dyDescent="0.25">
      <c r="B3100" s="185"/>
      <c r="C3100" s="23"/>
      <c r="D3100" s="23"/>
      <c r="E3100" s="23"/>
      <c r="F3100" s="23"/>
      <c r="G3100" s="24"/>
    </row>
    <row r="3101" spans="2:7" hidden="1" outlineLevel="1" x14ac:dyDescent="0.25">
      <c r="B3101" s="28"/>
      <c r="C3101" s="29"/>
      <c r="D3101" s="29"/>
      <c r="E3101" s="29"/>
      <c r="F3101" s="29"/>
      <c r="G3101" s="30"/>
    </row>
    <row r="3102" spans="2:7" hidden="1" outlineLevel="1" x14ac:dyDescent="0.25">
      <c r="B3102" s="185"/>
      <c r="C3102" s="23"/>
      <c r="D3102" s="23"/>
      <c r="E3102" s="23"/>
      <c r="F3102" s="23"/>
      <c r="G3102" s="24"/>
    </row>
    <row r="3103" spans="2:7" ht="16.2" hidden="1" outlineLevel="1" thickBot="1" x14ac:dyDescent="0.3">
      <c r="B3103" s="163"/>
      <c r="C3103" s="164"/>
      <c r="D3103" s="164"/>
      <c r="E3103" s="164"/>
      <c r="F3103" s="164"/>
      <c r="G3103" s="165"/>
    </row>
    <row r="3104" spans="2:7" collapsed="1" x14ac:dyDescent="0.25"/>
  </sheetData>
  <mergeCells count="193">
    <mergeCell ref="B3064:G3064"/>
    <mergeCell ref="B3074:G3074"/>
    <mergeCell ref="B3079:G3079"/>
    <mergeCell ref="B3086:G3086"/>
    <mergeCell ref="B2972:G2972"/>
    <mergeCell ref="B2976:G2976"/>
    <mergeCell ref="B2983:G2983"/>
    <mergeCell ref="B2995:G2995"/>
    <mergeCell ref="B3005:G3005"/>
    <mergeCell ref="B3008:G3008"/>
    <mergeCell ref="B3011:G3011"/>
    <mergeCell ref="B3046:G3046"/>
    <mergeCell ref="B3060:G3060"/>
    <mergeCell ref="B2863:G2863"/>
    <mergeCell ref="B2871:G2871"/>
    <mergeCell ref="B2875:G2875"/>
    <mergeCell ref="B2918:G2918"/>
    <mergeCell ref="B2922:G2922"/>
    <mergeCell ref="B2929:G2929"/>
    <mergeCell ref="B2949:G2949"/>
    <mergeCell ref="B2953:G2953"/>
    <mergeCell ref="B2960:G2960"/>
    <mergeCell ref="B2694:G2694"/>
    <mergeCell ref="B2708:G2708"/>
    <mergeCell ref="B2733:G2733"/>
    <mergeCell ref="B2763:G2763"/>
    <mergeCell ref="B2772:G2772"/>
    <mergeCell ref="B2796:G2796"/>
    <mergeCell ref="B2814:G2814"/>
    <mergeCell ref="B2826:G2826"/>
    <mergeCell ref="B2829:G2829"/>
    <mergeCell ref="B2375:G2375"/>
    <mergeCell ref="B2384:G2384"/>
    <mergeCell ref="B2419:G2419"/>
    <mergeCell ref="B2484:G2484"/>
    <mergeCell ref="B2507:G2507"/>
    <mergeCell ref="B2563:G2563"/>
    <mergeCell ref="B2599:G2599"/>
    <mergeCell ref="B2611:G2611"/>
    <mergeCell ref="B2653:G2653"/>
    <mergeCell ref="B2134:G2134"/>
    <mergeCell ref="B2150:G2150"/>
    <mergeCell ref="B2165:G2165"/>
    <mergeCell ref="B2176:G2176"/>
    <mergeCell ref="B2207:G2207"/>
    <mergeCell ref="B2211:G2211"/>
    <mergeCell ref="B2257:G2257"/>
    <mergeCell ref="B2265:G2265"/>
    <mergeCell ref="B2333:G2333"/>
    <mergeCell ref="B1976:G1976"/>
    <mergeCell ref="B1999:G1999"/>
    <mergeCell ref="B2007:G2007"/>
    <mergeCell ref="B2017:G2017"/>
    <mergeCell ref="B2041:G2041"/>
    <mergeCell ref="B2050:G2050"/>
    <mergeCell ref="B2059:G2059"/>
    <mergeCell ref="B2065:G2065"/>
    <mergeCell ref="B2127:G2127"/>
    <mergeCell ref="B1866:G1866"/>
    <mergeCell ref="B1873:G1873"/>
    <mergeCell ref="B1894:G1894"/>
    <mergeCell ref="B1897:G1897"/>
    <mergeCell ref="B1907:G1907"/>
    <mergeCell ref="B1917:G1917"/>
    <mergeCell ref="B1928:G1928"/>
    <mergeCell ref="B1956:G1956"/>
    <mergeCell ref="B1965:G1965"/>
    <mergeCell ref="B1763:G1763"/>
    <mergeCell ref="B1773:G1773"/>
    <mergeCell ref="B1780:G1780"/>
    <mergeCell ref="B1803:G1803"/>
    <mergeCell ref="B1806:G1806"/>
    <mergeCell ref="B1816:G1816"/>
    <mergeCell ref="B1825:G1825"/>
    <mergeCell ref="B1848:G1848"/>
    <mergeCell ref="B1851:G1851"/>
    <mergeCell ref="B1663:G1663"/>
    <mergeCell ref="B1666:G1666"/>
    <mergeCell ref="B1687:G1687"/>
    <mergeCell ref="B1694:G1694"/>
    <mergeCell ref="B1716:G1716"/>
    <mergeCell ref="B1719:G1719"/>
    <mergeCell ref="B1729:G1729"/>
    <mergeCell ref="B1738:G1738"/>
    <mergeCell ref="B1760:G1760"/>
    <mergeCell ref="B1568:G1568"/>
    <mergeCell ref="B1571:G1571"/>
    <mergeCell ref="B1574:G1574"/>
    <mergeCell ref="B1609:G1609"/>
    <mergeCell ref="B1620:G1620"/>
    <mergeCell ref="B1624:G1624"/>
    <mergeCell ref="B1627:G1627"/>
    <mergeCell ref="B1648:G1648"/>
    <mergeCell ref="B1660:G1660"/>
    <mergeCell ref="B1468:G1468"/>
    <mergeCell ref="B1480:G1480"/>
    <mergeCell ref="B1493:G1493"/>
    <mergeCell ref="B1496:G1496"/>
    <mergeCell ref="B1499:G1499"/>
    <mergeCell ref="B1519:G1519"/>
    <mergeCell ref="B1522:G1522"/>
    <mergeCell ref="B1525:G1525"/>
    <mergeCell ref="B1558:G1558"/>
    <mergeCell ref="B1375:G1375"/>
    <mergeCell ref="B1378:G1378"/>
    <mergeCell ref="B1395:G1395"/>
    <mergeCell ref="B1404:G1404"/>
    <mergeCell ref="B1407:G1407"/>
    <mergeCell ref="B1410:G1410"/>
    <mergeCell ref="B1451:G1451"/>
    <mergeCell ref="B1462:G1462"/>
    <mergeCell ref="B1465:G1465"/>
    <mergeCell ref="B1290:G1290"/>
    <mergeCell ref="B1324:G1324"/>
    <mergeCell ref="B1331:G1331"/>
    <mergeCell ref="B1336:G1336"/>
    <mergeCell ref="B1344:G1344"/>
    <mergeCell ref="B1353:G1353"/>
    <mergeCell ref="B1357:G1357"/>
    <mergeCell ref="B1365:G1365"/>
    <mergeCell ref="B1372:G1372"/>
    <mergeCell ref="B1125:G1125"/>
    <mergeCell ref="B1137:G1137"/>
    <mergeCell ref="B1149:G1149"/>
    <mergeCell ref="B1152:G1152"/>
    <mergeCell ref="B1187:G1187"/>
    <mergeCell ref="B1198:G1198"/>
    <mergeCell ref="B1221:G1221"/>
    <mergeCell ref="B1255:G1255"/>
    <mergeCell ref="B1267:G1267"/>
    <mergeCell ref="B994:G994"/>
    <mergeCell ref="B998:G998"/>
    <mergeCell ref="B1033:G1033"/>
    <mergeCell ref="B1039:G1039"/>
    <mergeCell ref="B1043:G1043"/>
    <mergeCell ref="B1073:G1073"/>
    <mergeCell ref="B1079:G1079"/>
    <mergeCell ref="B1082:G1082"/>
    <mergeCell ref="B1112:G1112"/>
    <mergeCell ref="B753:G753"/>
    <mergeCell ref="B806:G806"/>
    <mergeCell ref="B819:G819"/>
    <mergeCell ref="B839:G839"/>
    <mergeCell ref="B877:G877"/>
    <mergeCell ref="B890:G890"/>
    <mergeCell ref="B910:G910"/>
    <mergeCell ref="B959:G959"/>
    <mergeCell ref="B970:G970"/>
    <mergeCell ref="B588:G588"/>
    <mergeCell ref="B602:G602"/>
    <mergeCell ref="B611:G611"/>
    <mergeCell ref="B616:G616"/>
    <mergeCell ref="B667:G667"/>
    <mergeCell ref="B678:G678"/>
    <mergeCell ref="B683:G683"/>
    <mergeCell ref="B712:G712"/>
    <mergeCell ref="B725:G725"/>
    <mergeCell ref="B481:G481"/>
    <mergeCell ref="B488:G488"/>
    <mergeCell ref="B492:G492"/>
    <mergeCell ref="B539:G539"/>
    <mergeCell ref="B547:G547"/>
    <mergeCell ref="B551:G551"/>
    <mergeCell ref="B564:G564"/>
    <mergeCell ref="B572:G572"/>
    <mergeCell ref="B577:G577"/>
    <mergeCell ref="B406:G406"/>
    <mergeCell ref="B410:G410"/>
    <mergeCell ref="B431:G431"/>
    <mergeCell ref="B437:G437"/>
    <mergeCell ref="B442:G442"/>
    <mergeCell ref="B450:G450"/>
    <mergeCell ref="B456:G456"/>
    <mergeCell ref="B461:G461"/>
    <mergeCell ref="B468:G468"/>
    <mergeCell ref="B209:G209"/>
    <mergeCell ref="B220:G220"/>
    <mergeCell ref="B243:G243"/>
    <mergeCell ref="B277:G277"/>
    <mergeCell ref="B288:G288"/>
    <mergeCell ref="B328:G328"/>
    <mergeCell ref="B331:G331"/>
    <mergeCell ref="B393:G393"/>
    <mergeCell ref="B403:G403"/>
    <mergeCell ref="B5:G5"/>
    <mergeCell ref="B16:G16"/>
    <mergeCell ref="B36:G36"/>
    <mergeCell ref="B68:G68"/>
    <mergeCell ref="B78:G78"/>
    <mergeCell ref="B118:G118"/>
    <mergeCell ref="B179:G179"/>
    <mergeCell ref="B185:G185"/>
    <mergeCell ref="B188:G188"/>
  </mergeCells>
  <phoneticPr fontId="35" type="noConversion"/>
  <conditionalFormatting sqref="E2162">
    <cfRule type="duplicateValues" dxfId="303" priority="448"/>
  </conditionalFormatting>
  <conditionalFormatting sqref="B2309">
    <cfRule type="duplicateValues" dxfId="302" priority="411"/>
  </conditionalFormatting>
  <conditionalFormatting sqref="C2309">
    <cfRule type="duplicateValues" dxfId="301" priority="410"/>
  </conditionalFormatting>
  <conditionalFormatting sqref="B2310">
    <cfRule type="duplicateValues" dxfId="300" priority="405"/>
  </conditionalFormatting>
  <conditionalFormatting sqref="B2311">
    <cfRule type="duplicateValues" dxfId="299" priority="379"/>
  </conditionalFormatting>
  <conditionalFormatting sqref="B2331">
    <cfRule type="duplicateValues" dxfId="298" priority="414"/>
  </conditionalFormatting>
  <conditionalFormatting sqref="C2331">
    <cfRule type="duplicateValues" dxfId="297" priority="413"/>
  </conditionalFormatting>
  <conditionalFormatting sqref="B2332">
    <cfRule type="duplicateValues" dxfId="296" priority="419"/>
    <cfRule type="duplicateValues" dxfId="295" priority="421"/>
    <cfRule type="duplicateValues" dxfId="294" priority="423"/>
    <cfRule type="duplicateValues" dxfId="293" priority="425"/>
  </conditionalFormatting>
  <conditionalFormatting sqref="B2332:C2332">
    <cfRule type="duplicateValues" dxfId="292" priority="416"/>
    <cfRule type="duplicateValues" dxfId="291" priority="417"/>
    <cfRule type="duplicateValues" dxfId="290" priority="418"/>
  </conditionalFormatting>
  <conditionalFormatting sqref="C2332">
    <cfRule type="duplicateValues" dxfId="289" priority="420"/>
    <cfRule type="duplicateValues" dxfId="288" priority="422"/>
    <cfRule type="duplicateValues" dxfId="287" priority="424"/>
    <cfRule type="duplicateValues" dxfId="286" priority="426"/>
    <cfRule type="duplicateValues" dxfId="285" priority="427"/>
  </conditionalFormatting>
  <conditionalFormatting sqref="B2382">
    <cfRule type="duplicateValues" dxfId="284" priority="381"/>
  </conditionalFormatting>
  <conditionalFormatting sqref="C2382">
    <cfRule type="duplicateValues" dxfId="283" priority="380"/>
  </conditionalFormatting>
  <conditionalFormatting sqref="B2390">
    <cfRule type="duplicateValues" dxfId="282" priority="375"/>
    <cfRule type="duplicateValues" dxfId="281" priority="377"/>
  </conditionalFormatting>
  <conditionalFormatting sqref="C2390">
    <cfRule type="duplicateValues" dxfId="280" priority="374"/>
    <cfRule type="duplicateValues" dxfId="279" priority="376"/>
  </conditionalFormatting>
  <conditionalFormatting sqref="B2391">
    <cfRule type="duplicateValues" dxfId="278" priority="371"/>
    <cfRule type="duplicateValues" dxfId="277" priority="373"/>
  </conditionalFormatting>
  <conditionalFormatting sqref="C2391">
    <cfRule type="duplicateValues" dxfId="276" priority="370"/>
    <cfRule type="duplicateValues" dxfId="275" priority="372"/>
  </conditionalFormatting>
  <conditionalFormatting sqref="B2392">
    <cfRule type="duplicateValues" dxfId="274" priority="367"/>
    <cfRule type="duplicateValues" dxfId="273" priority="369"/>
  </conditionalFormatting>
  <conditionalFormatting sqref="C2392">
    <cfRule type="duplicateValues" dxfId="272" priority="366"/>
    <cfRule type="duplicateValues" dxfId="271" priority="368"/>
  </conditionalFormatting>
  <conditionalFormatting sqref="B2393">
    <cfRule type="duplicateValues" dxfId="270" priority="363"/>
    <cfRule type="duplicateValues" dxfId="269" priority="365"/>
  </conditionalFormatting>
  <conditionalFormatting sqref="C2393">
    <cfRule type="duplicateValues" dxfId="268" priority="362"/>
    <cfRule type="duplicateValues" dxfId="267" priority="364"/>
  </conditionalFormatting>
  <conditionalFormatting sqref="B2394">
    <cfRule type="duplicateValues" dxfId="266" priority="311"/>
    <cfRule type="duplicateValues" dxfId="265" priority="313"/>
  </conditionalFormatting>
  <conditionalFormatting sqref="C2394">
    <cfRule type="duplicateValues" dxfId="264" priority="310"/>
    <cfRule type="duplicateValues" dxfId="263" priority="312"/>
  </conditionalFormatting>
  <conditionalFormatting sqref="B2395">
    <cfRule type="duplicateValues" dxfId="262" priority="307"/>
    <cfRule type="duplicateValues" dxfId="261" priority="309"/>
  </conditionalFormatting>
  <conditionalFormatting sqref="C2395">
    <cfRule type="duplicateValues" dxfId="260" priority="306"/>
    <cfRule type="duplicateValues" dxfId="259" priority="308"/>
  </conditionalFormatting>
  <conditionalFormatting sqref="B2396">
    <cfRule type="duplicateValues" dxfId="258" priority="359"/>
    <cfRule type="duplicateValues" dxfId="257" priority="361"/>
  </conditionalFormatting>
  <conditionalFormatting sqref="C2396">
    <cfRule type="duplicateValues" dxfId="256" priority="358"/>
    <cfRule type="duplicateValues" dxfId="255" priority="360"/>
  </conditionalFormatting>
  <conditionalFormatting sqref="B2397">
    <cfRule type="duplicateValues" dxfId="254" priority="355"/>
    <cfRule type="duplicateValues" dxfId="253" priority="357"/>
  </conditionalFormatting>
  <conditionalFormatting sqref="C2397">
    <cfRule type="duplicateValues" dxfId="252" priority="354"/>
    <cfRule type="duplicateValues" dxfId="251" priority="356"/>
  </conditionalFormatting>
  <conditionalFormatting sqref="B2398">
    <cfRule type="duplicateValues" dxfId="250" priority="319"/>
    <cfRule type="duplicateValues" dxfId="249" priority="321"/>
  </conditionalFormatting>
  <conditionalFormatting sqref="C2398">
    <cfRule type="duplicateValues" dxfId="248" priority="318"/>
    <cfRule type="duplicateValues" dxfId="247" priority="320"/>
  </conditionalFormatting>
  <conditionalFormatting sqref="B2399">
    <cfRule type="duplicateValues" dxfId="246" priority="315"/>
    <cfRule type="duplicateValues" dxfId="245" priority="317"/>
  </conditionalFormatting>
  <conditionalFormatting sqref="C2399">
    <cfRule type="duplicateValues" dxfId="244" priority="314"/>
    <cfRule type="duplicateValues" dxfId="243" priority="316"/>
  </conditionalFormatting>
  <conditionalFormatting sqref="B2400">
    <cfRule type="duplicateValues" dxfId="242" priority="351"/>
    <cfRule type="duplicateValues" dxfId="241" priority="353"/>
  </conditionalFormatting>
  <conditionalFormatting sqref="C2400">
    <cfRule type="duplicateValues" dxfId="240" priority="350"/>
    <cfRule type="duplicateValues" dxfId="239" priority="352"/>
  </conditionalFormatting>
  <conditionalFormatting sqref="B2401">
    <cfRule type="duplicateValues" dxfId="238" priority="347"/>
    <cfRule type="duplicateValues" dxfId="237" priority="349"/>
  </conditionalFormatting>
  <conditionalFormatting sqref="C2401">
    <cfRule type="duplicateValues" dxfId="236" priority="346"/>
    <cfRule type="duplicateValues" dxfId="235" priority="348"/>
  </conditionalFormatting>
  <conditionalFormatting sqref="B2402">
    <cfRule type="duplicateValues" dxfId="234" priority="343"/>
    <cfRule type="duplicateValues" dxfId="233" priority="345"/>
  </conditionalFormatting>
  <conditionalFormatting sqref="C2402">
    <cfRule type="duplicateValues" dxfId="232" priority="342"/>
    <cfRule type="duplicateValues" dxfId="231" priority="344"/>
  </conditionalFormatting>
  <conditionalFormatting sqref="B2403">
    <cfRule type="duplicateValues" dxfId="230" priority="339"/>
    <cfRule type="duplicateValues" dxfId="229" priority="341"/>
  </conditionalFormatting>
  <conditionalFormatting sqref="C2403">
    <cfRule type="duplicateValues" dxfId="228" priority="338"/>
    <cfRule type="duplicateValues" dxfId="227" priority="340"/>
  </conditionalFormatting>
  <conditionalFormatting sqref="B2404">
    <cfRule type="duplicateValues" dxfId="226" priority="335"/>
    <cfRule type="duplicateValues" dxfId="225" priority="337"/>
  </conditionalFormatting>
  <conditionalFormatting sqref="C2404">
    <cfRule type="duplicateValues" dxfId="224" priority="334"/>
    <cfRule type="duplicateValues" dxfId="223" priority="336"/>
  </conditionalFormatting>
  <conditionalFormatting sqref="B2405">
    <cfRule type="duplicateValues" dxfId="222" priority="331"/>
    <cfRule type="duplicateValues" dxfId="221" priority="333"/>
  </conditionalFormatting>
  <conditionalFormatting sqref="C2405">
    <cfRule type="duplicateValues" dxfId="220" priority="330"/>
    <cfRule type="duplicateValues" dxfId="219" priority="332"/>
  </conditionalFormatting>
  <conditionalFormatting sqref="B2406">
    <cfRule type="duplicateValues" dxfId="218" priority="327"/>
    <cfRule type="duplicateValues" dxfId="217" priority="329"/>
  </conditionalFormatting>
  <conditionalFormatting sqref="C2406">
    <cfRule type="duplicateValues" dxfId="216" priority="326"/>
    <cfRule type="duplicateValues" dxfId="215" priority="328"/>
  </conditionalFormatting>
  <conditionalFormatting sqref="B2407">
    <cfRule type="duplicateValues" dxfId="214" priority="323"/>
    <cfRule type="duplicateValues" dxfId="213" priority="325"/>
  </conditionalFormatting>
  <conditionalFormatting sqref="C2407">
    <cfRule type="duplicateValues" dxfId="212" priority="322"/>
    <cfRule type="duplicateValues" dxfId="211" priority="324"/>
  </conditionalFormatting>
  <conditionalFormatting sqref="B2408">
    <cfRule type="duplicateValues" dxfId="210" priority="303"/>
    <cfRule type="duplicateValues" dxfId="209" priority="305"/>
  </conditionalFormatting>
  <conditionalFormatting sqref="C2408">
    <cfRule type="duplicateValues" dxfId="208" priority="302"/>
    <cfRule type="duplicateValues" dxfId="207" priority="304"/>
  </conditionalFormatting>
  <conditionalFormatting sqref="B2409">
    <cfRule type="duplicateValues" dxfId="206" priority="299"/>
    <cfRule type="duplicateValues" dxfId="205" priority="301"/>
  </conditionalFormatting>
  <conditionalFormatting sqref="C2409">
    <cfRule type="duplicateValues" dxfId="204" priority="298"/>
    <cfRule type="duplicateValues" dxfId="203" priority="300"/>
  </conditionalFormatting>
  <conditionalFormatting sqref="B2410">
    <cfRule type="duplicateValues" dxfId="202" priority="295"/>
    <cfRule type="duplicateValues" dxfId="201" priority="297"/>
  </conditionalFormatting>
  <conditionalFormatting sqref="C2410">
    <cfRule type="duplicateValues" dxfId="200" priority="294"/>
    <cfRule type="duplicateValues" dxfId="199" priority="296"/>
  </conditionalFormatting>
  <conditionalFormatting sqref="B2411">
    <cfRule type="duplicateValues" dxfId="198" priority="291"/>
    <cfRule type="duplicateValues" dxfId="197" priority="293"/>
  </conditionalFormatting>
  <conditionalFormatting sqref="C2411">
    <cfRule type="duplicateValues" dxfId="196" priority="290"/>
    <cfRule type="duplicateValues" dxfId="195" priority="292"/>
  </conditionalFormatting>
  <conditionalFormatting sqref="B2412">
    <cfRule type="duplicateValues" dxfId="194" priority="287"/>
    <cfRule type="duplicateValues" dxfId="193" priority="289"/>
  </conditionalFormatting>
  <conditionalFormatting sqref="C2412">
    <cfRule type="duplicateValues" dxfId="192" priority="286"/>
    <cfRule type="duplicateValues" dxfId="191" priority="288"/>
  </conditionalFormatting>
  <conditionalFormatting sqref="B2413">
    <cfRule type="duplicateValues" dxfId="190" priority="283"/>
    <cfRule type="duplicateValues" dxfId="189" priority="285"/>
  </conditionalFormatting>
  <conditionalFormatting sqref="C2413">
    <cfRule type="duplicateValues" dxfId="188" priority="282"/>
    <cfRule type="duplicateValues" dxfId="187" priority="284"/>
  </conditionalFormatting>
  <conditionalFormatting sqref="B2414">
    <cfRule type="duplicateValues" dxfId="186" priority="279"/>
    <cfRule type="duplicateValues" dxfId="185" priority="281"/>
  </conditionalFormatting>
  <conditionalFormatting sqref="C2414">
    <cfRule type="duplicateValues" dxfId="184" priority="278"/>
    <cfRule type="duplicateValues" dxfId="183" priority="280"/>
  </conditionalFormatting>
  <conditionalFormatting sqref="B2415">
    <cfRule type="duplicateValues" dxfId="182" priority="275"/>
    <cfRule type="duplicateValues" dxfId="181" priority="277"/>
  </conditionalFormatting>
  <conditionalFormatting sqref="C2415">
    <cfRule type="duplicateValues" dxfId="180" priority="274"/>
    <cfRule type="duplicateValues" dxfId="179" priority="276"/>
  </conditionalFormatting>
  <conditionalFormatting sqref="B2416">
    <cfRule type="duplicateValues" dxfId="178" priority="271"/>
    <cfRule type="duplicateValues" dxfId="177" priority="273"/>
  </conditionalFormatting>
  <conditionalFormatting sqref="C2416">
    <cfRule type="duplicateValues" dxfId="176" priority="270"/>
    <cfRule type="duplicateValues" dxfId="175" priority="272"/>
  </conditionalFormatting>
  <conditionalFormatting sqref="B2418">
    <cfRule type="duplicateValues" dxfId="174" priority="395"/>
    <cfRule type="duplicateValues" dxfId="173" priority="397"/>
    <cfRule type="duplicateValues" dxfId="172" priority="399"/>
    <cfRule type="duplicateValues" dxfId="171" priority="401"/>
  </conditionalFormatting>
  <conditionalFormatting sqref="B2418:C2418">
    <cfRule type="duplicateValues" dxfId="170" priority="392"/>
    <cfRule type="duplicateValues" dxfId="169" priority="393"/>
    <cfRule type="duplicateValues" dxfId="168" priority="394"/>
  </conditionalFormatting>
  <conditionalFormatting sqref="C2418">
    <cfRule type="duplicateValues" dxfId="167" priority="396"/>
    <cfRule type="duplicateValues" dxfId="166" priority="398"/>
    <cfRule type="duplicateValues" dxfId="165" priority="400"/>
    <cfRule type="duplicateValues" dxfId="164" priority="402"/>
    <cfRule type="duplicateValues" dxfId="163" priority="403"/>
  </conditionalFormatting>
  <conditionalFormatting sqref="B2784">
    <cfRule type="duplicateValues" dxfId="162" priority="266"/>
  </conditionalFormatting>
  <conditionalFormatting sqref="B2785">
    <cfRule type="duplicateValues" dxfId="161" priority="251"/>
    <cfRule type="duplicateValues" dxfId="160" priority="252"/>
  </conditionalFormatting>
  <conditionalFormatting sqref="B2786">
    <cfRule type="duplicateValues" dxfId="159" priority="249"/>
    <cfRule type="duplicateValues" dxfId="158" priority="250"/>
  </conditionalFormatting>
  <conditionalFormatting sqref="B2787">
    <cfRule type="duplicateValues" dxfId="157" priority="253"/>
    <cfRule type="duplicateValues" dxfId="156" priority="254"/>
    <cfRule type="duplicateValues" dxfId="155" priority="263"/>
    <cfRule type="duplicateValues" dxfId="154" priority="264"/>
    <cfRule type="duplicateValues" dxfId="153" priority="265"/>
  </conditionalFormatting>
  <conditionalFormatting sqref="B2788">
    <cfRule type="duplicateValues" dxfId="152" priority="261"/>
    <cfRule type="duplicateValues" dxfId="151" priority="262"/>
  </conditionalFormatting>
  <conditionalFormatting sqref="B2789">
    <cfRule type="duplicateValues" dxfId="150" priority="259"/>
    <cfRule type="duplicateValues" dxfId="149" priority="260"/>
  </conditionalFormatting>
  <conditionalFormatting sqref="B2790">
    <cfRule type="duplicateValues" dxfId="148" priority="255"/>
    <cfRule type="duplicateValues" dxfId="147" priority="256"/>
  </conditionalFormatting>
  <conditionalFormatting sqref="B2791">
    <cfRule type="duplicateValues" dxfId="146" priority="257"/>
    <cfRule type="duplicateValues" dxfId="145" priority="258"/>
  </conditionalFormatting>
  <conditionalFormatting sqref="B2828">
    <cfRule type="duplicateValues" dxfId="144" priority="238"/>
    <cfRule type="duplicateValues" dxfId="143" priority="240"/>
    <cfRule type="duplicateValues" dxfId="142" priority="242"/>
    <cfRule type="duplicateValues" dxfId="141" priority="244"/>
  </conditionalFormatting>
  <conditionalFormatting sqref="B2828:C2828">
    <cfRule type="duplicateValues" dxfId="140" priority="235"/>
    <cfRule type="duplicateValues" dxfId="139" priority="236"/>
    <cfRule type="duplicateValues" dxfId="138" priority="237"/>
  </conditionalFormatting>
  <conditionalFormatting sqref="C2828">
    <cfRule type="duplicateValues" dxfId="137" priority="239"/>
    <cfRule type="duplicateValues" dxfId="136" priority="241"/>
    <cfRule type="duplicateValues" dxfId="135" priority="243"/>
    <cfRule type="duplicateValues" dxfId="134" priority="245"/>
    <cfRule type="duplicateValues" dxfId="133" priority="246"/>
  </conditionalFormatting>
  <conditionalFormatting sqref="B2874">
    <cfRule type="duplicateValues" dxfId="132" priority="215"/>
    <cfRule type="duplicateValues" dxfId="131" priority="217"/>
    <cfRule type="duplicateValues" dxfId="130" priority="219"/>
    <cfRule type="duplicateValues" dxfId="129" priority="221"/>
  </conditionalFormatting>
  <conditionalFormatting sqref="B2874:C2874">
    <cfRule type="duplicateValues" dxfId="128" priority="212"/>
    <cfRule type="duplicateValues" dxfId="127" priority="213"/>
    <cfRule type="duplicateValues" dxfId="126" priority="214"/>
  </conditionalFormatting>
  <conditionalFormatting sqref="C2874">
    <cfRule type="duplicateValues" dxfId="125" priority="216"/>
    <cfRule type="duplicateValues" dxfId="124" priority="218"/>
    <cfRule type="duplicateValues" dxfId="123" priority="220"/>
    <cfRule type="duplicateValues" dxfId="122" priority="222"/>
    <cfRule type="duplicateValues" dxfId="121" priority="223"/>
  </conditionalFormatting>
  <conditionalFormatting sqref="B2924">
    <cfRule type="duplicateValues" dxfId="120" priority="50"/>
    <cfRule type="duplicateValues" dxfId="119" priority="52"/>
  </conditionalFormatting>
  <conditionalFormatting sqref="C2924">
    <cfRule type="duplicateValues" dxfId="118" priority="49"/>
    <cfRule type="duplicateValues" dxfId="117" priority="51"/>
  </conditionalFormatting>
  <conditionalFormatting sqref="B2925">
    <cfRule type="duplicateValues" dxfId="116" priority="46"/>
    <cfRule type="duplicateValues" dxfId="115" priority="48"/>
  </conditionalFormatting>
  <conditionalFormatting sqref="C2925">
    <cfRule type="duplicateValues" dxfId="114" priority="45"/>
    <cfRule type="duplicateValues" dxfId="113" priority="47"/>
  </conditionalFormatting>
  <conditionalFormatting sqref="B2928">
    <cfRule type="duplicateValues" dxfId="112" priority="92"/>
    <cfRule type="duplicateValues" dxfId="111" priority="94"/>
    <cfRule type="duplicateValues" dxfId="110" priority="96"/>
    <cfRule type="duplicateValues" dxfId="109" priority="98"/>
  </conditionalFormatting>
  <conditionalFormatting sqref="B2928:C2928">
    <cfRule type="duplicateValues" dxfId="108" priority="89"/>
    <cfRule type="duplicateValues" dxfId="107" priority="90"/>
    <cfRule type="duplicateValues" dxfId="106" priority="91"/>
  </conditionalFormatting>
  <conditionalFormatting sqref="C2928">
    <cfRule type="duplicateValues" dxfId="105" priority="93"/>
    <cfRule type="duplicateValues" dxfId="104" priority="95"/>
    <cfRule type="duplicateValues" dxfId="103" priority="97"/>
    <cfRule type="duplicateValues" dxfId="102" priority="99"/>
    <cfRule type="duplicateValues" dxfId="101" priority="100"/>
  </conditionalFormatting>
  <conditionalFormatting sqref="B2955">
    <cfRule type="duplicateValues" dxfId="100" priority="58"/>
    <cfRule type="duplicateValues" dxfId="99" priority="60"/>
  </conditionalFormatting>
  <conditionalFormatting sqref="C2955">
    <cfRule type="duplicateValues" dxfId="98" priority="57"/>
    <cfRule type="duplicateValues" dxfId="97" priority="59"/>
  </conditionalFormatting>
  <conditionalFormatting sqref="B2956">
    <cfRule type="duplicateValues" dxfId="96" priority="54"/>
    <cfRule type="duplicateValues" dxfId="95" priority="56"/>
  </conditionalFormatting>
  <conditionalFormatting sqref="C2956">
    <cfRule type="duplicateValues" dxfId="94" priority="53"/>
    <cfRule type="duplicateValues" dxfId="93" priority="55"/>
  </conditionalFormatting>
  <conditionalFormatting sqref="B2959">
    <cfRule type="duplicateValues" dxfId="92" priority="64"/>
    <cfRule type="duplicateValues" dxfId="91" priority="66"/>
    <cfRule type="duplicateValues" dxfId="90" priority="68"/>
    <cfRule type="duplicateValues" dxfId="89" priority="70"/>
  </conditionalFormatting>
  <conditionalFormatting sqref="B2959:C2959">
    <cfRule type="duplicateValues" dxfId="88" priority="61"/>
    <cfRule type="duplicateValues" dxfId="87" priority="62"/>
    <cfRule type="duplicateValues" dxfId="86" priority="63"/>
  </conditionalFormatting>
  <conditionalFormatting sqref="C2959">
    <cfRule type="duplicateValues" dxfId="85" priority="65"/>
    <cfRule type="duplicateValues" dxfId="84" priority="67"/>
    <cfRule type="duplicateValues" dxfId="83" priority="69"/>
    <cfRule type="duplicateValues" dxfId="82" priority="71"/>
    <cfRule type="duplicateValues" dxfId="81" priority="72"/>
  </conditionalFormatting>
  <conditionalFormatting sqref="B2982">
    <cfRule type="duplicateValues" dxfId="80" priority="36"/>
    <cfRule type="duplicateValues" dxfId="79" priority="38"/>
    <cfRule type="duplicateValues" dxfId="78" priority="40"/>
    <cfRule type="duplicateValues" dxfId="77" priority="42"/>
  </conditionalFormatting>
  <conditionalFormatting sqref="B2982:C2982">
    <cfRule type="duplicateValues" dxfId="76" priority="33"/>
    <cfRule type="duplicateValues" dxfId="75" priority="34"/>
    <cfRule type="duplicateValues" dxfId="74" priority="35"/>
  </conditionalFormatting>
  <conditionalFormatting sqref="C2982">
    <cfRule type="duplicateValues" dxfId="73" priority="37"/>
    <cfRule type="duplicateValues" dxfId="72" priority="39"/>
    <cfRule type="duplicateValues" dxfId="71" priority="41"/>
    <cfRule type="duplicateValues" dxfId="70" priority="43"/>
    <cfRule type="duplicateValues" dxfId="69" priority="44"/>
  </conditionalFormatting>
  <conditionalFormatting sqref="A2289:A2296">
    <cfRule type="duplicateValues" dxfId="68" priority="407"/>
  </conditionalFormatting>
  <conditionalFormatting sqref="A2298:A2304">
    <cfRule type="duplicateValues" dxfId="67" priority="406"/>
  </conditionalFormatting>
  <conditionalFormatting sqref="B18:B35">
    <cfRule type="duplicateValues" dxfId="66" priority="502"/>
  </conditionalFormatting>
  <conditionalFormatting sqref="B103:B104">
    <cfRule type="duplicateValues" dxfId="65" priority="497"/>
    <cfRule type="duplicateValues" dxfId="64" priority="498"/>
    <cfRule type="duplicateValues" dxfId="63" priority="499"/>
    <cfRule type="duplicateValues" dxfId="62" priority="500"/>
    <cfRule type="duplicateValues" dxfId="61" priority="501"/>
  </conditionalFormatting>
  <conditionalFormatting sqref="B105:B109">
    <cfRule type="duplicateValues" dxfId="60" priority="492"/>
    <cfRule type="duplicateValues" dxfId="59" priority="493"/>
    <cfRule type="duplicateValues" dxfId="58" priority="494"/>
    <cfRule type="duplicateValues" dxfId="57" priority="495"/>
    <cfRule type="duplicateValues" dxfId="56" priority="496"/>
  </conditionalFormatting>
  <conditionalFormatting sqref="B110:B114">
    <cfRule type="duplicateValues" dxfId="55" priority="487"/>
    <cfRule type="duplicateValues" dxfId="54" priority="488"/>
    <cfRule type="duplicateValues" dxfId="53" priority="489"/>
    <cfRule type="duplicateValues" dxfId="52" priority="490"/>
    <cfRule type="duplicateValues" dxfId="51" priority="491"/>
  </conditionalFormatting>
  <conditionalFormatting sqref="B223:B240">
    <cfRule type="duplicateValues" dxfId="50" priority="471"/>
  </conditionalFormatting>
  <conditionalFormatting sqref="B313:B314">
    <cfRule type="duplicateValues" dxfId="49" priority="466"/>
    <cfRule type="duplicateValues" dxfId="48" priority="467"/>
    <cfRule type="duplicateValues" dxfId="47" priority="468"/>
    <cfRule type="duplicateValues" dxfId="46" priority="469"/>
    <cfRule type="duplicateValues" dxfId="45" priority="470"/>
  </conditionalFormatting>
  <conditionalFormatting sqref="B315:B319">
    <cfRule type="duplicateValues" dxfId="44" priority="461"/>
    <cfRule type="duplicateValues" dxfId="43" priority="462"/>
    <cfRule type="duplicateValues" dxfId="42" priority="463"/>
    <cfRule type="duplicateValues" dxfId="41" priority="464"/>
    <cfRule type="duplicateValues" dxfId="40" priority="465"/>
  </conditionalFormatting>
  <conditionalFormatting sqref="B320:B324">
    <cfRule type="duplicateValues" dxfId="39" priority="456"/>
    <cfRule type="duplicateValues" dxfId="38" priority="457"/>
    <cfRule type="duplicateValues" dxfId="37" priority="458"/>
    <cfRule type="duplicateValues" dxfId="36" priority="459"/>
    <cfRule type="duplicateValues" dxfId="35" priority="460"/>
  </conditionalFormatting>
  <conditionalFormatting sqref="B727:B750">
    <cfRule type="duplicateValues" dxfId="34" priority="597"/>
  </conditionalFormatting>
  <conditionalFormatting sqref="B893:B895">
    <cfRule type="duplicateValues" dxfId="33" priority="451"/>
  </conditionalFormatting>
  <conditionalFormatting sqref="B905:B906">
    <cfRule type="duplicateValues" dxfId="32" priority="450"/>
  </conditionalFormatting>
  <conditionalFormatting sqref="B973:B990">
    <cfRule type="duplicateValues" dxfId="31" priority="453"/>
  </conditionalFormatting>
  <conditionalFormatting sqref="B1201:B1218">
    <cfRule type="duplicateValues" dxfId="30" priority="454"/>
  </conditionalFormatting>
  <conditionalFormatting sqref="B1270:B1287">
    <cfRule type="duplicateValues" dxfId="29" priority="455"/>
  </conditionalFormatting>
  <conditionalFormatting sqref="B2268:B2296">
    <cfRule type="duplicateValues" dxfId="28" priority="598"/>
  </conditionalFormatting>
  <conditionalFormatting sqref="B2298:B2304">
    <cfRule type="duplicateValues" dxfId="27" priority="412"/>
  </conditionalFormatting>
  <conditionalFormatting sqref="B2312:B2319">
    <cfRule type="duplicateValues" dxfId="26" priority="409"/>
  </conditionalFormatting>
  <conditionalFormatting sqref="B2321:B2327">
    <cfRule type="duplicateValues" dxfId="25" priority="408"/>
  </conditionalFormatting>
  <conditionalFormatting sqref="B2387:B2389">
    <cfRule type="duplicateValues" dxfId="24" priority="378"/>
  </conditionalFormatting>
  <conditionalFormatting sqref="B2560:B2561">
    <cfRule type="duplicateValues" dxfId="23" priority="248"/>
  </conditionalFormatting>
  <conditionalFormatting sqref="B2618:B2619">
    <cfRule type="duplicateValues" dxfId="22" priority="269"/>
  </conditionalFormatting>
  <conditionalFormatting sqref="B2729:B2730">
    <cfRule type="duplicateValues" dxfId="21" priority="268"/>
  </conditionalFormatting>
  <conditionalFormatting sqref="B2792:B2793">
    <cfRule type="duplicateValues" dxfId="20" priority="267"/>
  </conditionalFormatting>
  <conditionalFormatting sqref="C3081">
    <cfRule type="duplicateValues" dxfId="19" priority="9"/>
    <cfRule type="duplicateValues" dxfId="18" priority="11"/>
  </conditionalFormatting>
  <conditionalFormatting sqref="C3082">
    <cfRule type="duplicateValues" dxfId="17" priority="5"/>
    <cfRule type="duplicateValues" dxfId="16" priority="7"/>
  </conditionalFormatting>
  <conditionalFormatting sqref="B3085">
    <cfRule type="duplicateValues" dxfId="15" priority="16"/>
    <cfRule type="duplicateValues" dxfId="14" priority="18"/>
    <cfRule type="duplicateValues" dxfId="13" priority="20"/>
    <cfRule type="duplicateValues" dxfId="12" priority="22"/>
  </conditionalFormatting>
  <conditionalFormatting sqref="B3085:C3085">
    <cfRule type="duplicateValues" dxfId="11" priority="13"/>
    <cfRule type="duplicateValues" dxfId="10" priority="14"/>
    <cfRule type="duplicateValues" dxfId="9" priority="15"/>
  </conditionalFormatting>
  <conditionalFormatting sqref="C3085">
    <cfRule type="duplicateValues" dxfId="8" priority="17"/>
    <cfRule type="duplicateValues" dxfId="7" priority="19"/>
    <cfRule type="duplicateValues" dxfId="6" priority="21"/>
    <cfRule type="duplicateValues" dxfId="5" priority="23"/>
    <cfRule type="duplicateValues" dxfId="4" priority="24"/>
  </conditionalFormatting>
  <conditionalFormatting sqref="B3082">
    <cfRule type="duplicateValues" dxfId="3" priority="1"/>
    <cfRule type="duplicateValues" dxfId="2" priority="2"/>
  </conditionalFormatting>
  <conditionalFormatting sqref="B3081">
    <cfRule type="duplicateValues" dxfId="1" priority="3"/>
    <cfRule type="duplicateValues" dxfId="0" priority="4"/>
  </conditionalFormatting>
  <hyperlinks>
    <hyperlink ref="G2086" r:id="rId1" xr:uid="{00000000-0004-0000-0200-000000000000}"/>
    <hyperlink ref="G552" r:id="rId2" xr:uid="{00000000-0004-0000-0200-000001000000}"/>
    <hyperlink ref="G555" r:id="rId3" xr:uid="{00000000-0004-0000-0200-000002000000}"/>
    <hyperlink ref="G593" r:id="rId4" xr:uid="{00000000-0004-0000-0200-000003000000}"/>
    <hyperlink ref="G589" r:id="rId5" xr:uid="{00000000-0004-0000-0200-000004000000}"/>
    <hyperlink ref="G590" r:id="rId6" xr:uid="{00000000-0004-0000-0200-000005000000}"/>
    <hyperlink ref="G1359" r:id="rId7" display="设计模板(公共-用户).xlsx" xr:uid="{00000000-0004-0000-0200-000006000000}"/>
    <hyperlink ref="G1528" r:id="rId8" display="设计模板(公共-用户).xlsx" xr:uid="{00000000-0004-0000-0200-000007000000}"/>
    <hyperlink ref="G1576" r:id="rId9" display="设计模板(公共-用户).xlsx" xr:uid="{00000000-0004-0000-0200-000008000000}"/>
    <hyperlink ref="G1668" r:id="rId10" display="设计模板(公共-用户).xlsx" xr:uid="{00000000-0004-0000-0200-000009000000}"/>
    <hyperlink ref="G1630" r:id="rId11" display="设计模板(公共-用户).xlsx" xr:uid="{00000000-0004-0000-0200-00000A000000}"/>
    <hyperlink ref="G625" r:id="rId12" display="设计模板(公共-用户).xlsx" xr:uid="{00000000-0004-0000-0200-00000B000000}"/>
    <hyperlink ref="G2347" r:id="rId13" display="设计模板(公共-用户).xlsx" xr:uid="{00000000-0004-0000-0200-00000C000000}"/>
    <hyperlink ref="G2562" r:id="rId14" xr:uid="{00000000-0004-0000-0200-00000D000000}"/>
    <hyperlink ref="G2581" r:id="rId15" display="../公共/设计模板(公共-公共接口).xlsx" xr:uid="{00000000-0004-0000-0200-00000E000000}"/>
    <hyperlink ref="G2577" r:id="rId16" display="../公共/设计模板(公共-公共接口).xlsx" xr:uid="{00000000-0004-0000-0200-00000F000000}"/>
    <hyperlink ref="G2652" r:id="rId17" xr:uid="{00000000-0004-0000-0200-000010000000}"/>
    <hyperlink ref="G2732" r:id="rId18" xr:uid="{00000000-0004-0000-0200-000011000000}"/>
    <hyperlink ref="G2795" r:id="rId19" xr:uid="{00000000-0004-0000-0200-000012000000}"/>
    <hyperlink ref="G3013" r:id="rId20" display="设计模板(公共-用户).xlsx" xr:uid="{00000000-0004-0000-0200-000013000000}"/>
  </hyperlinks>
  <pageMargins left="0.69930555555555596" right="0.69930555555555596" top="0.75" bottom="0.75" header="0.3" footer="0.3"/>
  <pageSetup paperSize="9" orientation="portrait"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workbookViewId="0">
      <selection activeCell="I5" sqref="I5"/>
    </sheetView>
  </sheetViews>
  <sheetFormatPr defaultColWidth="9" defaultRowHeight="14.4" x14ac:dyDescent="0.25"/>
  <cols>
    <col min="1" max="1" width="6.6640625" customWidth="1"/>
    <col min="2" max="2" width="9.6640625" customWidth="1"/>
    <col min="3" max="3" width="19.44140625" customWidth="1"/>
    <col min="4" max="4" width="12.88671875" customWidth="1"/>
    <col min="5" max="5" width="17.88671875" customWidth="1"/>
    <col min="6" max="6" width="9.109375" customWidth="1"/>
    <col min="7" max="7" width="9.44140625" customWidth="1"/>
    <col min="8" max="9" width="9.109375" customWidth="1"/>
  </cols>
  <sheetData>
    <row r="1" spans="1:10" x14ac:dyDescent="0.25">
      <c r="A1" t="s">
        <v>113</v>
      </c>
      <c r="B1" t="s">
        <v>8</v>
      </c>
      <c r="C1" t="s">
        <v>139</v>
      </c>
      <c r="D1" t="s">
        <v>1261</v>
      </c>
      <c r="E1" t="s">
        <v>453</v>
      </c>
      <c r="F1" t="s">
        <v>113</v>
      </c>
      <c r="G1" t="s">
        <v>8</v>
      </c>
      <c r="H1" t="s">
        <v>139</v>
      </c>
      <c r="I1" t="s">
        <v>1261</v>
      </c>
      <c r="J1" t="s">
        <v>453</v>
      </c>
    </row>
    <row r="2" spans="1:10" x14ac:dyDescent="0.25">
      <c r="A2">
        <v>4343</v>
      </c>
      <c r="B2">
        <v>43430002</v>
      </c>
      <c r="C2">
        <v>1600</v>
      </c>
      <c r="D2">
        <v>153332</v>
      </c>
      <c r="E2">
        <v>80</v>
      </c>
      <c r="F2">
        <v>4343</v>
      </c>
      <c r="G2">
        <v>43430002</v>
      </c>
      <c r="H2">
        <v>1600</v>
      </c>
      <c r="I2">
        <v>153332</v>
      </c>
      <c r="J2">
        <v>80</v>
      </c>
    </row>
    <row r="3" spans="1:10" x14ac:dyDescent="0.25">
      <c r="A3" s="1">
        <v>4343</v>
      </c>
      <c r="B3" s="1">
        <v>43430003</v>
      </c>
      <c r="C3" s="1">
        <v>800</v>
      </c>
      <c r="D3" s="1">
        <v>153239</v>
      </c>
      <c r="E3" s="1">
        <v>40</v>
      </c>
      <c r="F3" s="1">
        <v>4343</v>
      </c>
      <c r="G3" s="1">
        <v>43430003</v>
      </c>
      <c r="H3" s="1">
        <v>600</v>
      </c>
      <c r="I3" s="1">
        <v>153209</v>
      </c>
      <c r="J3" s="1">
        <v>34</v>
      </c>
    </row>
    <row r="4" spans="1:10" x14ac:dyDescent="0.25">
      <c r="A4">
        <v>4343</v>
      </c>
      <c r="B4">
        <v>43430004</v>
      </c>
      <c r="C4">
        <v>0</v>
      </c>
      <c r="D4">
        <v>153331</v>
      </c>
      <c r="E4">
        <v>24</v>
      </c>
      <c r="F4">
        <v>4343</v>
      </c>
      <c r="G4">
        <v>43430004</v>
      </c>
      <c r="H4">
        <v>0</v>
      </c>
      <c r="I4">
        <v>153234</v>
      </c>
      <c r="J4">
        <v>22</v>
      </c>
    </row>
    <row r="5" spans="1:10" x14ac:dyDescent="0.25">
      <c r="A5">
        <v>4343</v>
      </c>
      <c r="B5">
        <v>43430027</v>
      </c>
      <c r="C5">
        <v>0</v>
      </c>
      <c r="D5">
        <v>153323</v>
      </c>
      <c r="E5">
        <v>24</v>
      </c>
      <c r="F5">
        <v>4343</v>
      </c>
      <c r="G5">
        <v>43430027</v>
      </c>
      <c r="H5">
        <v>0</v>
      </c>
      <c r="I5">
        <v>153123</v>
      </c>
      <c r="J5">
        <v>22</v>
      </c>
    </row>
    <row r="6" spans="1:10" x14ac:dyDescent="0.25">
      <c r="A6">
        <v>4343</v>
      </c>
      <c r="B6">
        <v>43430044</v>
      </c>
      <c r="C6">
        <v>0</v>
      </c>
      <c r="D6">
        <v>153244</v>
      </c>
      <c r="E6">
        <v>24</v>
      </c>
      <c r="F6">
        <v>4343</v>
      </c>
      <c r="G6">
        <v>43430044</v>
      </c>
      <c r="H6">
        <v>0</v>
      </c>
      <c r="I6">
        <v>153244</v>
      </c>
      <c r="J6">
        <v>24</v>
      </c>
    </row>
    <row r="7" spans="1:10" x14ac:dyDescent="0.25">
      <c r="A7">
        <v>4343</v>
      </c>
      <c r="B7">
        <v>43430048</v>
      </c>
      <c r="C7">
        <v>0</v>
      </c>
      <c r="D7">
        <v>153336</v>
      </c>
      <c r="E7">
        <v>24</v>
      </c>
      <c r="F7">
        <v>4343</v>
      </c>
      <c r="G7">
        <v>43430048</v>
      </c>
      <c r="H7">
        <v>0</v>
      </c>
      <c r="I7">
        <v>153336</v>
      </c>
      <c r="J7">
        <v>24</v>
      </c>
    </row>
    <row r="8" spans="1:10" x14ac:dyDescent="0.25">
      <c r="A8">
        <v>4343</v>
      </c>
      <c r="B8">
        <v>43430049</v>
      </c>
      <c r="C8">
        <v>0</v>
      </c>
      <c r="D8">
        <v>153306</v>
      </c>
      <c r="E8">
        <v>24</v>
      </c>
      <c r="F8">
        <v>4343</v>
      </c>
      <c r="G8">
        <v>43430049</v>
      </c>
      <c r="H8">
        <v>0</v>
      </c>
      <c r="I8">
        <v>153209</v>
      </c>
      <c r="J8">
        <v>22</v>
      </c>
    </row>
    <row r="9" spans="1:10" x14ac:dyDescent="0.25">
      <c r="A9">
        <v>4343</v>
      </c>
      <c r="B9">
        <v>43430050</v>
      </c>
      <c r="C9">
        <v>0</v>
      </c>
      <c r="D9">
        <v>153322</v>
      </c>
      <c r="E9">
        <v>24</v>
      </c>
      <c r="F9">
        <v>4343</v>
      </c>
      <c r="G9">
        <v>43430050</v>
      </c>
      <c r="H9">
        <v>0</v>
      </c>
      <c r="I9">
        <v>153237</v>
      </c>
      <c r="J9">
        <v>22</v>
      </c>
    </row>
    <row r="10" spans="1:10" x14ac:dyDescent="0.25">
      <c r="A10">
        <v>4343</v>
      </c>
      <c r="B10">
        <v>43430053</v>
      </c>
      <c r="C10">
        <v>0</v>
      </c>
      <c r="D10">
        <v>153300</v>
      </c>
      <c r="E10">
        <v>24</v>
      </c>
      <c r="F10">
        <v>4343</v>
      </c>
      <c r="G10">
        <v>43430053</v>
      </c>
      <c r="H10">
        <v>0</v>
      </c>
      <c r="I10">
        <v>153224</v>
      </c>
      <c r="J10">
        <v>22</v>
      </c>
    </row>
    <row r="11" spans="1:10" x14ac:dyDescent="0.25">
      <c r="A11">
        <v>4343</v>
      </c>
      <c r="B11">
        <v>43430057</v>
      </c>
      <c r="C11">
        <v>0</v>
      </c>
      <c r="D11">
        <v>153308</v>
      </c>
      <c r="E11">
        <v>24</v>
      </c>
      <c r="F11">
        <v>4343</v>
      </c>
      <c r="G11">
        <v>43430057</v>
      </c>
      <c r="H11">
        <v>0</v>
      </c>
      <c r="I11">
        <v>152301</v>
      </c>
      <c r="J11">
        <v>3</v>
      </c>
    </row>
    <row r="12" spans="1:10" x14ac:dyDescent="0.25">
      <c r="A12">
        <v>4343</v>
      </c>
      <c r="B12">
        <v>43430058</v>
      </c>
      <c r="C12">
        <v>0</v>
      </c>
      <c r="D12">
        <v>153252</v>
      </c>
      <c r="E12">
        <v>24</v>
      </c>
      <c r="F12">
        <v>4343</v>
      </c>
      <c r="G12">
        <v>43430058</v>
      </c>
      <c r="H12">
        <v>0</v>
      </c>
      <c r="I12">
        <v>153131</v>
      </c>
      <c r="J12">
        <v>19</v>
      </c>
    </row>
    <row r="13" spans="1:10" x14ac:dyDescent="0.25">
      <c r="A13">
        <v>4343</v>
      </c>
      <c r="B13">
        <v>43430059</v>
      </c>
      <c r="C13">
        <v>0</v>
      </c>
      <c r="D13">
        <v>153254</v>
      </c>
      <c r="E13">
        <v>24</v>
      </c>
      <c r="F13">
        <v>4343</v>
      </c>
      <c r="G13">
        <v>43430059</v>
      </c>
      <c r="H13">
        <v>0</v>
      </c>
      <c r="I13">
        <v>153254</v>
      </c>
      <c r="J13">
        <v>24</v>
      </c>
    </row>
    <row r="14" spans="1:10" x14ac:dyDescent="0.25">
      <c r="A14">
        <v>4343</v>
      </c>
      <c r="B14">
        <v>43430060</v>
      </c>
      <c r="C14">
        <v>0</v>
      </c>
      <c r="D14">
        <v>153338</v>
      </c>
      <c r="E14">
        <v>24</v>
      </c>
      <c r="F14">
        <v>4343</v>
      </c>
      <c r="G14">
        <v>43430060</v>
      </c>
      <c r="H14">
        <v>0</v>
      </c>
      <c r="I14">
        <v>153144</v>
      </c>
      <c r="J14">
        <v>21</v>
      </c>
    </row>
    <row r="15" spans="1:10" x14ac:dyDescent="0.25">
      <c r="A15">
        <v>4343</v>
      </c>
      <c r="B15">
        <v>43430061</v>
      </c>
      <c r="C15">
        <v>0</v>
      </c>
      <c r="D15">
        <v>153259</v>
      </c>
      <c r="E15">
        <v>24</v>
      </c>
      <c r="F15">
        <v>4343</v>
      </c>
      <c r="G15">
        <v>43430061</v>
      </c>
      <c r="H15">
        <v>0</v>
      </c>
      <c r="I15">
        <v>153202</v>
      </c>
      <c r="J15">
        <v>21</v>
      </c>
    </row>
    <row r="16" spans="1:10" x14ac:dyDescent="0.25">
      <c r="A16">
        <v>4343</v>
      </c>
      <c r="B16">
        <v>43430062</v>
      </c>
      <c r="C16">
        <v>0</v>
      </c>
      <c r="D16">
        <v>153331</v>
      </c>
      <c r="E16">
        <v>24</v>
      </c>
      <c r="F16">
        <v>4343</v>
      </c>
      <c r="G16">
        <v>43430062</v>
      </c>
      <c r="H16">
        <v>0</v>
      </c>
      <c r="I16">
        <v>153331</v>
      </c>
      <c r="J16">
        <v>24</v>
      </c>
    </row>
    <row r="17" spans="1:10" x14ac:dyDescent="0.25">
      <c r="A17">
        <v>4343</v>
      </c>
      <c r="B17">
        <v>43430063</v>
      </c>
      <c r="C17">
        <v>0</v>
      </c>
      <c r="D17">
        <v>153341</v>
      </c>
      <c r="E17">
        <v>24</v>
      </c>
      <c r="F17">
        <v>4343</v>
      </c>
      <c r="G17">
        <v>43430063</v>
      </c>
      <c r="H17">
        <v>0</v>
      </c>
      <c r="I17">
        <v>153150</v>
      </c>
      <c r="J17">
        <v>21</v>
      </c>
    </row>
    <row r="18" spans="1:10" x14ac:dyDescent="0.25">
      <c r="A18">
        <v>4343</v>
      </c>
      <c r="B18">
        <v>43430064</v>
      </c>
      <c r="C18">
        <v>0</v>
      </c>
      <c r="D18">
        <v>153243</v>
      </c>
      <c r="E18">
        <v>24</v>
      </c>
      <c r="F18">
        <v>4343</v>
      </c>
      <c r="G18">
        <v>43430064</v>
      </c>
      <c r="H18">
        <v>0</v>
      </c>
      <c r="I18">
        <v>153016</v>
      </c>
      <c r="J18">
        <v>17</v>
      </c>
    </row>
    <row r="19" spans="1:10" x14ac:dyDescent="0.25">
      <c r="A19">
        <v>4343</v>
      </c>
      <c r="B19">
        <v>43430065</v>
      </c>
      <c r="C19">
        <v>0</v>
      </c>
      <c r="D19">
        <v>153332</v>
      </c>
      <c r="E19">
        <v>24</v>
      </c>
      <c r="F19">
        <v>4343</v>
      </c>
      <c r="G19">
        <v>43430065</v>
      </c>
      <c r="H19">
        <v>0</v>
      </c>
      <c r="I19">
        <v>153332</v>
      </c>
      <c r="J19">
        <v>24</v>
      </c>
    </row>
    <row r="20" spans="1:10" x14ac:dyDescent="0.25">
      <c r="A20">
        <v>4343</v>
      </c>
      <c r="B20">
        <v>43430066</v>
      </c>
      <c r="C20">
        <v>800</v>
      </c>
      <c r="D20">
        <v>153239</v>
      </c>
      <c r="E20">
        <v>40</v>
      </c>
      <c r="F20">
        <v>4343</v>
      </c>
      <c r="G20">
        <v>43430066</v>
      </c>
      <c r="H20">
        <v>0</v>
      </c>
      <c r="I20">
        <v>152613</v>
      </c>
      <c r="J20">
        <v>16</v>
      </c>
    </row>
    <row r="21" spans="1:10" x14ac:dyDescent="0.25">
      <c r="A21">
        <v>4343</v>
      </c>
      <c r="B21">
        <v>43430067</v>
      </c>
      <c r="C21">
        <v>800</v>
      </c>
      <c r="D21">
        <v>153338</v>
      </c>
      <c r="E21">
        <v>40</v>
      </c>
      <c r="F21">
        <v>4343</v>
      </c>
      <c r="G21">
        <v>43430067</v>
      </c>
      <c r="H21">
        <v>800</v>
      </c>
      <c r="I21">
        <v>153338</v>
      </c>
      <c r="J21">
        <v>40</v>
      </c>
    </row>
    <row r="22" spans="1:10" x14ac:dyDescent="0.25">
      <c r="A22">
        <v>4343</v>
      </c>
      <c r="B22">
        <v>43430068</v>
      </c>
      <c r="C22">
        <v>800</v>
      </c>
      <c r="D22">
        <v>153344</v>
      </c>
      <c r="E22">
        <v>40</v>
      </c>
      <c r="F22">
        <v>4343</v>
      </c>
      <c r="G22">
        <v>43430068</v>
      </c>
      <c r="H22">
        <v>800</v>
      </c>
      <c r="I22">
        <v>153344</v>
      </c>
      <c r="J22">
        <v>40</v>
      </c>
    </row>
    <row r="23" spans="1:10" x14ac:dyDescent="0.25">
      <c r="A23" s="2">
        <v>4343</v>
      </c>
      <c r="B23" s="2">
        <v>43430069</v>
      </c>
      <c r="C23" s="2">
        <v>800</v>
      </c>
      <c r="D23" s="2">
        <v>153252</v>
      </c>
      <c r="E23" s="2">
        <v>40</v>
      </c>
      <c r="F23" s="2">
        <v>4343</v>
      </c>
      <c r="G23" s="2">
        <v>43430069</v>
      </c>
      <c r="H23" s="2">
        <v>0</v>
      </c>
      <c r="I23" s="2">
        <v>152632</v>
      </c>
      <c r="J23" s="2">
        <v>16</v>
      </c>
    </row>
    <row r="24" spans="1:10" x14ac:dyDescent="0.25">
      <c r="A24">
        <v>4343</v>
      </c>
      <c r="B24">
        <v>43430070</v>
      </c>
      <c r="C24">
        <v>800</v>
      </c>
      <c r="D24">
        <v>153341</v>
      </c>
      <c r="E24">
        <v>40</v>
      </c>
      <c r="F24">
        <v>4343</v>
      </c>
      <c r="G24">
        <v>43430070</v>
      </c>
      <c r="H24">
        <v>700</v>
      </c>
      <c r="I24">
        <v>153319</v>
      </c>
      <c r="J24">
        <v>37</v>
      </c>
    </row>
    <row r="25" spans="1:10" x14ac:dyDescent="0.25">
      <c r="A25">
        <v>4343</v>
      </c>
      <c r="B25">
        <v>43430071</v>
      </c>
      <c r="C25">
        <v>800</v>
      </c>
      <c r="D25">
        <v>153335</v>
      </c>
      <c r="E25">
        <v>40</v>
      </c>
      <c r="F25">
        <v>4343</v>
      </c>
      <c r="G25">
        <v>43430071</v>
      </c>
      <c r="H25">
        <v>800</v>
      </c>
      <c r="I25">
        <v>153335</v>
      </c>
      <c r="J25">
        <v>40</v>
      </c>
    </row>
    <row r="26" spans="1:10" x14ac:dyDescent="0.25">
      <c r="A26">
        <v>4343</v>
      </c>
      <c r="B26">
        <v>43430072</v>
      </c>
      <c r="C26">
        <v>800</v>
      </c>
      <c r="D26">
        <v>153350</v>
      </c>
      <c r="E26">
        <v>40</v>
      </c>
      <c r="F26">
        <v>4343</v>
      </c>
      <c r="G26">
        <v>43430072</v>
      </c>
      <c r="H26">
        <v>300</v>
      </c>
      <c r="I26">
        <v>153236</v>
      </c>
      <c r="J26">
        <v>25</v>
      </c>
    </row>
    <row r="27" spans="1:10" x14ac:dyDescent="0.25">
      <c r="A27">
        <v>4343</v>
      </c>
      <c r="B27">
        <v>43430073</v>
      </c>
      <c r="C27">
        <v>800</v>
      </c>
      <c r="D27">
        <v>153344</v>
      </c>
      <c r="E27">
        <v>40</v>
      </c>
      <c r="F27">
        <v>4343</v>
      </c>
      <c r="G27">
        <v>43430073</v>
      </c>
      <c r="H27">
        <v>800</v>
      </c>
      <c r="I27">
        <v>153344</v>
      </c>
      <c r="J27">
        <v>40</v>
      </c>
    </row>
    <row r="28" spans="1:10" x14ac:dyDescent="0.25">
      <c r="A28">
        <v>4343</v>
      </c>
      <c r="B28">
        <v>43430074</v>
      </c>
      <c r="C28">
        <v>800</v>
      </c>
      <c r="D28">
        <v>153347</v>
      </c>
      <c r="E28">
        <v>40</v>
      </c>
      <c r="F28">
        <v>4343</v>
      </c>
      <c r="G28">
        <v>43430074</v>
      </c>
      <c r="H28">
        <v>400</v>
      </c>
      <c r="I28">
        <v>153304</v>
      </c>
      <c r="J28">
        <v>28</v>
      </c>
    </row>
    <row r="29" spans="1:10" x14ac:dyDescent="0.25">
      <c r="A29" s="2">
        <v>4343</v>
      </c>
      <c r="B29" s="2">
        <v>43430075</v>
      </c>
      <c r="C29" s="2">
        <v>800</v>
      </c>
      <c r="D29" s="2">
        <v>153301</v>
      </c>
      <c r="E29" s="2">
        <v>40</v>
      </c>
      <c r="F29" s="2">
        <v>4343</v>
      </c>
      <c r="G29" s="2">
        <v>43430075</v>
      </c>
      <c r="H29" s="2">
        <v>0</v>
      </c>
      <c r="I29" s="2">
        <v>152555</v>
      </c>
      <c r="J29" s="2">
        <v>11</v>
      </c>
    </row>
    <row r="30" spans="1:10" x14ac:dyDescent="0.25">
      <c r="A30">
        <v>4343</v>
      </c>
      <c r="B30">
        <v>43430076</v>
      </c>
      <c r="C30">
        <v>800</v>
      </c>
      <c r="D30">
        <v>153328</v>
      </c>
      <c r="E30">
        <v>40</v>
      </c>
      <c r="F30">
        <v>4343</v>
      </c>
      <c r="G30">
        <v>43430076</v>
      </c>
      <c r="H30">
        <v>800</v>
      </c>
      <c r="I30">
        <v>153328</v>
      </c>
      <c r="J30">
        <v>40</v>
      </c>
    </row>
    <row r="31" spans="1:10" x14ac:dyDescent="0.25">
      <c r="A31">
        <v>4343</v>
      </c>
      <c r="B31">
        <v>43430077</v>
      </c>
      <c r="C31">
        <v>800</v>
      </c>
      <c r="D31">
        <v>153328</v>
      </c>
      <c r="E31">
        <v>40</v>
      </c>
      <c r="F31">
        <v>4343</v>
      </c>
      <c r="G31">
        <v>43430077</v>
      </c>
      <c r="H31">
        <v>800</v>
      </c>
      <c r="I31">
        <v>153328</v>
      </c>
      <c r="J31">
        <v>40</v>
      </c>
    </row>
    <row r="32" spans="1:10" x14ac:dyDescent="0.25">
      <c r="A32">
        <v>4343</v>
      </c>
      <c r="B32">
        <v>43430078</v>
      </c>
      <c r="C32">
        <v>800</v>
      </c>
      <c r="D32">
        <v>153332</v>
      </c>
      <c r="E32">
        <v>40</v>
      </c>
      <c r="F32">
        <v>4343</v>
      </c>
      <c r="G32">
        <v>43430078</v>
      </c>
      <c r="H32">
        <v>800</v>
      </c>
      <c r="I32">
        <v>153332</v>
      </c>
      <c r="J32">
        <v>40</v>
      </c>
    </row>
    <row r="33" spans="1:10" x14ac:dyDescent="0.25">
      <c r="A33">
        <v>4343</v>
      </c>
      <c r="B33">
        <v>43430079</v>
      </c>
      <c r="C33">
        <v>800</v>
      </c>
      <c r="D33">
        <v>153344</v>
      </c>
      <c r="E33">
        <v>40</v>
      </c>
      <c r="F33">
        <v>4343</v>
      </c>
      <c r="G33">
        <v>43430079</v>
      </c>
      <c r="H33">
        <v>800</v>
      </c>
      <c r="I33">
        <v>153344</v>
      </c>
      <c r="J33">
        <v>40</v>
      </c>
    </row>
    <row r="34" spans="1:10" x14ac:dyDescent="0.25">
      <c r="A34" s="1">
        <v>4343</v>
      </c>
      <c r="B34" s="1">
        <v>43430080</v>
      </c>
      <c r="C34" s="1">
        <v>800</v>
      </c>
      <c r="D34" s="1">
        <v>153341</v>
      </c>
      <c r="E34" s="1">
        <v>40</v>
      </c>
      <c r="F34" s="1">
        <v>4343</v>
      </c>
      <c r="G34" s="1">
        <v>43430080</v>
      </c>
      <c r="H34" s="1">
        <v>700</v>
      </c>
      <c r="I34" s="1">
        <v>153233</v>
      </c>
      <c r="J34" s="1">
        <v>37</v>
      </c>
    </row>
    <row r="35" spans="1:10" x14ac:dyDescent="0.25">
      <c r="A35">
        <v>4343</v>
      </c>
      <c r="B35">
        <v>43430081</v>
      </c>
      <c r="C35">
        <v>800</v>
      </c>
      <c r="D35">
        <v>153258</v>
      </c>
      <c r="E35">
        <v>40</v>
      </c>
      <c r="F35">
        <v>4343</v>
      </c>
      <c r="G35">
        <v>43430081</v>
      </c>
      <c r="H35">
        <v>300</v>
      </c>
      <c r="I35">
        <v>153055</v>
      </c>
      <c r="J35">
        <v>25</v>
      </c>
    </row>
    <row r="36" spans="1:10" x14ac:dyDescent="0.25">
      <c r="A36">
        <v>4343</v>
      </c>
      <c r="B36">
        <v>43430082</v>
      </c>
      <c r="C36">
        <v>800</v>
      </c>
      <c r="D36">
        <v>153203</v>
      </c>
      <c r="E36">
        <v>40</v>
      </c>
      <c r="F36">
        <v>4343</v>
      </c>
      <c r="G36">
        <v>43430082</v>
      </c>
      <c r="H36">
        <v>800</v>
      </c>
      <c r="I36">
        <v>153203</v>
      </c>
      <c r="J36">
        <v>40</v>
      </c>
    </row>
    <row r="37" spans="1:10" x14ac:dyDescent="0.25">
      <c r="A37">
        <v>4343</v>
      </c>
      <c r="B37">
        <v>43430083</v>
      </c>
      <c r="C37">
        <v>800</v>
      </c>
      <c r="D37">
        <v>153341</v>
      </c>
      <c r="E37">
        <v>40</v>
      </c>
      <c r="F37">
        <v>4343</v>
      </c>
      <c r="G37">
        <v>43430083</v>
      </c>
      <c r="H37">
        <v>400</v>
      </c>
      <c r="I37">
        <v>153203</v>
      </c>
      <c r="J37">
        <v>28</v>
      </c>
    </row>
    <row r="38" spans="1:10" x14ac:dyDescent="0.25">
      <c r="A38">
        <v>4343</v>
      </c>
      <c r="B38">
        <v>43430084</v>
      </c>
      <c r="C38">
        <v>800</v>
      </c>
      <c r="D38">
        <v>153325</v>
      </c>
      <c r="E38">
        <v>40</v>
      </c>
      <c r="F38">
        <v>4343</v>
      </c>
      <c r="G38">
        <v>43430084</v>
      </c>
      <c r="H38">
        <v>800</v>
      </c>
      <c r="I38">
        <v>153325</v>
      </c>
      <c r="J38">
        <v>40</v>
      </c>
    </row>
    <row r="39" spans="1:10" x14ac:dyDescent="0.25">
      <c r="A39">
        <v>4343</v>
      </c>
      <c r="B39">
        <v>43430085</v>
      </c>
      <c r="C39">
        <v>800</v>
      </c>
      <c r="D39">
        <v>153347</v>
      </c>
      <c r="E39">
        <v>40</v>
      </c>
      <c r="F39">
        <v>4343</v>
      </c>
      <c r="G39">
        <v>43430085</v>
      </c>
      <c r="H39">
        <v>400</v>
      </c>
      <c r="I39">
        <v>153120</v>
      </c>
      <c r="J39">
        <v>28</v>
      </c>
    </row>
    <row r="40" spans="1:10" x14ac:dyDescent="0.25">
      <c r="A40">
        <v>4343</v>
      </c>
      <c r="B40">
        <v>43430086</v>
      </c>
      <c r="C40">
        <v>800</v>
      </c>
      <c r="D40">
        <v>153316</v>
      </c>
      <c r="E40">
        <v>40</v>
      </c>
      <c r="F40">
        <v>4343</v>
      </c>
      <c r="G40">
        <v>43430086</v>
      </c>
      <c r="H40">
        <v>800</v>
      </c>
      <c r="I40">
        <v>153316</v>
      </c>
      <c r="J40">
        <v>40</v>
      </c>
    </row>
    <row r="41" spans="1:10" x14ac:dyDescent="0.25">
      <c r="A41" s="2">
        <v>4343</v>
      </c>
      <c r="B41" s="2">
        <v>43430087</v>
      </c>
      <c r="C41" s="2">
        <v>800</v>
      </c>
      <c r="D41" s="2">
        <v>153304</v>
      </c>
      <c r="E41" s="2">
        <v>40</v>
      </c>
      <c r="F41" s="2">
        <v>4343</v>
      </c>
      <c r="G41" s="2">
        <v>43430087</v>
      </c>
      <c r="H41" s="2">
        <v>0</v>
      </c>
      <c r="I41" s="2">
        <v>152632</v>
      </c>
      <c r="J41" s="2">
        <v>16</v>
      </c>
    </row>
    <row r="42" spans="1:10" x14ac:dyDescent="0.25">
      <c r="A42">
        <v>4343</v>
      </c>
      <c r="B42">
        <v>43430088</v>
      </c>
      <c r="C42">
        <v>800</v>
      </c>
      <c r="D42">
        <v>153301</v>
      </c>
      <c r="E42">
        <v>40</v>
      </c>
      <c r="F42">
        <v>4343</v>
      </c>
      <c r="G42">
        <v>43430088</v>
      </c>
      <c r="H42">
        <v>500</v>
      </c>
      <c r="I42">
        <v>153120</v>
      </c>
      <c r="J42">
        <v>31</v>
      </c>
    </row>
    <row r="43" spans="1:10" x14ac:dyDescent="0.25">
      <c r="A43">
        <v>4343</v>
      </c>
      <c r="B43">
        <v>43430089</v>
      </c>
      <c r="C43">
        <v>800</v>
      </c>
      <c r="D43">
        <v>153341</v>
      </c>
      <c r="E43">
        <v>40</v>
      </c>
      <c r="F43">
        <v>4343</v>
      </c>
      <c r="G43">
        <v>43430089</v>
      </c>
      <c r="H43">
        <v>500</v>
      </c>
      <c r="I43">
        <v>153203</v>
      </c>
      <c r="J43">
        <v>31</v>
      </c>
    </row>
    <row r="44" spans="1:10" x14ac:dyDescent="0.25">
      <c r="A44">
        <v>4343</v>
      </c>
      <c r="B44">
        <v>43430090</v>
      </c>
      <c r="C44">
        <v>800</v>
      </c>
      <c r="D44">
        <v>153252</v>
      </c>
      <c r="E44">
        <v>40</v>
      </c>
      <c r="F44">
        <v>4343</v>
      </c>
      <c r="G44">
        <v>43430090</v>
      </c>
      <c r="H44">
        <v>100</v>
      </c>
      <c r="I44">
        <v>153006</v>
      </c>
      <c r="J44">
        <v>19</v>
      </c>
    </row>
    <row r="45" spans="1:10" x14ac:dyDescent="0.25">
      <c r="A45">
        <v>4343</v>
      </c>
      <c r="B45">
        <v>43430091</v>
      </c>
      <c r="C45">
        <v>800</v>
      </c>
      <c r="D45">
        <v>153335</v>
      </c>
      <c r="E45">
        <v>40</v>
      </c>
      <c r="F45">
        <v>4343</v>
      </c>
      <c r="G45">
        <v>43430091</v>
      </c>
      <c r="H45">
        <v>800</v>
      </c>
      <c r="I45">
        <v>153335</v>
      </c>
      <c r="J45">
        <v>40</v>
      </c>
    </row>
    <row r="46" spans="1:10" x14ac:dyDescent="0.25">
      <c r="A46">
        <v>4343</v>
      </c>
      <c r="B46">
        <v>43430092</v>
      </c>
      <c r="C46">
        <v>800</v>
      </c>
      <c r="D46">
        <v>153326</v>
      </c>
      <c r="E46">
        <v>40</v>
      </c>
      <c r="F46">
        <v>4343</v>
      </c>
      <c r="G46">
        <v>43430092</v>
      </c>
      <c r="H46">
        <v>800</v>
      </c>
      <c r="I46">
        <v>153326</v>
      </c>
      <c r="J46">
        <v>40</v>
      </c>
    </row>
    <row r="47" spans="1:10" x14ac:dyDescent="0.25">
      <c r="A47">
        <v>4343</v>
      </c>
      <c r="B47">
        <v>43430093</v>
      </c>
      <c r="C47">
        <v>800</v>
      </c>
      <c r="D47">
        <v>153347</v>
      </c>
      <c r="E47">
        <v>40</v>
      </c>
      <c r="F47">
        <v>4343</v>
      </c>
      <c r="G47">
        <v>43430093</v>
      </c>
      <c r="H47">
        <v>600</v>
      </c>
      <c r="I47">
        <v>153209</v>
      </c>
      <c r="J47">
        <v>34</v>
      </c>
    </row>
    <row r="48" spans="1:10" x14ac:dyDescent="0.25">
      <c r="A48">
        <v>4343</v>
      </c>
      <c r="B48">
        <v>43430094</v>
      </c>
      <c r="C48">
        <v>800</v>
      </c>
      <c r="D48">
        <v>153320</v>
      </c>
      <c r="E48">
        <v>40</v>
      </c>
      <c r="F48">
        <v>4343</v>
      </c>
      <c r="G48">
        <v>43430094</v>
      </c>
      <c r="H48">
        <v>800</v>
      </c>
      <c r="I48">
        <v>153320</v>
      </c>
      <c r="J48">
        <v>40</v>
      </c>
    </row>
    <row r="49" spans="1:10" x14ac:dyDescent="0.25">
      <c r="A49">
        <v>4343</v>
      </c>
      <c r="B49">
        <v>43430095</v>
      </c>
      <c r="C49">
        <v>800</v>
      </c>
      <c r="D49">
        <v>153310</v>
      </c>
      <c r="E49">
        <v>40</v>
      </c>
      <c r="F49">
        <v>4343</v>
      </c>
      <c r="G49">
        <v>43430095</v>
      </c>
      <c r="H49">
        <v>400</v>
      </c>
      <c r="I49">
        <v>153141</v>
      </c>
      <c r="J49">
        <v>28</v>
      </c>
    </row>
  </sheetData>
  <phoneticPr fontId="3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9"/>
  <sheetViews>
    <sheetView workbookViewId="0">
      <selection activeCell="O2" sqref="O2:O49"/>
    </sheetView>
  </sheetViews>
  <sheetFormatPr defaultColWidth="9" defaultRowHeight="14.4" x14ac:dyDescent="0.25"/>
  <cols>
    <col min="1" max="1" width="8.44140625" customWidth="1"/>
    <col min="2" max="2" width="6.44140625" customWidth="1"/>
    <col min="3" max="3" width="9.44140625" customWidth="1"/>
    <col min="4" max="4" width="19.33203125" customWidth="1"/>
    <col min="5" max="5" width="12.77734375" customWidth="1"/>
    <col min="6" max="6" width="13.88671875" customWidth="1"/>
  </cols>
  <sheetData>
    <row r="1" spans="1:15" x14ac:dyDescent="0.25">
      <c r="A1" t="s">
        <v>129</v>
      </c>
      <c r="B1" t="s">
        <v>113</v>
      </c>
      <c r="C1" t="s">
        <v>8</v>
      </c>
      <c r="D1" t="s">
        <v>139</v>
      </c>
      <c r="E1" t="s">
        <v>1261</v>
      </c>
      <c r="F1" t="s">
        <v>453</v>
      </c>
      <c r="H1" t="s">
        <v>129</v>
      </c>
      <c r="I1" t="s">
        <v>113</v>
      </c>
      <c r="J1" t="s">
        <v>8</v>
      </c>
      <c r="K1" t="s">
        <v>139</v>
      </c>
      <c r="L1" t="s">
        <v>1261</v>
      </c>
      <c r="M1" t="s">
        <v>453</v>
      </c>
    </row>
    <row r="2" spans="1:15" x14ac:dyDescent="0.25">
      <c r="A2">
        <v>1943218</v>
      </c>
      <c r="B2">
        <v>4343</v>
      </c>
      <c r="C2">
        <v>43430002</v>
      </c>
      <c r="D2">
        <v>1600</v>
      </c>
      <c r="E2">
        <v>153332</v>
      </c>
      <c r="F2">
        <v>80</v>
      </c>
      <c r="H2">
        <v>1943218</v>
      </c>
      <c r="I2">
        <v>4343</v>
      </c>
      <c r="J2">
        <v>43430002</v>
      </c>
      <c r="K2">
        <v>1600</v>
      </c>
      <c r="L2">
        <v>153332</v>
      </c>
      <c r="M2">
        <v>80</v>
      </c>
      <c r="O2">
        <f>H2-A2</f>
        <v>0</v>
      </c>
    </row>
    <row r="3" spans="1:15" x14ac:dyDescent="0.25">
      <c r="A3">
        <v>1943238</v>
      </c>
      <c r="B3">
        <v>4343</v>
      </c>
      <c r="C3">
        <v>43430003</v>
      </c>
      <c r="D3">
        <v>600</v>
      </c>
      <c r="E3">
        <v>153209</v>
      </c>
      <c r="F3">
        <v>34</v>
      </c>
      <c r="H3">
        <v>1943238</v>
      </c>
      <c r="I3">
        <v>4343</v>
      </c>
      <c r="J3">
        <v>43430003</v>
      </c>
      <c r="K3">
        <v>800</v>
      </c>
      <c r="L3">
        <v>153239</v>
      </c>
      <c r="M3">
        <v>40</v>
      </c>
      <c r="O3">
        <f t="shared" ref="O3:O49" si="0">H3-A3</f>
        <v>0</v>
      </c>
    </row>
    <row r="4" spans="1:15" x14ac:dyDescent="0.25">
      <c r="A4">
        <v>1943226</v>
      </c>
      <c r="B4">
        <v>4343</v>
      </c>
      <c r="C4">
        <v>43430004</v>
      </c>
      <c r="D4">
        <v>0</v>
      </c>
      <c r="E4">
        <v>153234</v>
      </c>
      <c r="F4">
        <v>22</v>
      </c>
      <c r="H4">
        <v>1943226</v>
      </c>
      <c r="I4">
        <v>4343</v>
      </c>
      <c r="J4">
        <v>43430004</v>
      </c>
      <c r="K4">
        <v>0</v>
      </c>
      <c r="L4">
        <v>153331</v>
      </c>
      <c r="M4">
        <v>24</v>
      </c>
      <c r="O4">
        <f t="shared" si="0"/>
        <v>0</v>
      </c>
    </row>
    <row r="5" spans="1:15" x14ac:dyDescent="0.25">
      <c r="A5">
        <v>1943205</v>
      </c>
      <c r="B5">
        <v>4343</v>
      </c>
      <c r="C5">
        <v>43430027</v>
      </c>
      <c r="D5">
        <v>0</v>
      </c>
      <c r="E5">
        <v>153123</v>
      </c>
      <c r="F5">
        <v>22</v>
      </c>
      <c r="H5">
        <v>1943205</v>
      </c>
      <c r="I5">
        <v>4343</v>
      </c>
      <c r="J5">
        <v>43430027</v>
      </c>
      <c r="K5">
        <v>0</v>
      </c>
      <c r="L5">
        <v>153323</v>
      </c>
      <c r="M5">
        <v>24</v>
      </c>
      <c r="O5">
        <f t="shared" si="0"/>
        <v>0</v>
      </c>
    </row>
    <row r="6" spans="1:15" x14ac:dyDescent="0.25">
      <c r="A6">
        <v>1943294</v>
      </c>
      <c r="B6">
        <v>4343</v>
      </c>
      <c r="C6">
        <v>43430044</v>
      </c>
      <c r="D6">
        <v>0</v>
      </c>
      <c r="E6">
        <v>153244</v>
      </c>
      <c r="F6">
        <v>24</v>
      </c>
      <c r="H6">
        <v>1943294</v>
      </c>
      <c r="I6">
        <v>4343</v>
      </c>
      <c r="J6">
        <v>43430044</v>
      </c>
      <c r="K6">
        <v>0</v>
      </c>
      <c r="L6">
        <v>153244</v>
      </c>
      <c r="M6">
        <v>24</v>
      </c>
      <c r="O6">
        <f t="shared" si="0"/>
        <v>0</v>
      </c>
    </row>
    <row r="7" spans="1:15" x14ac:dyDescent="0.25">
      <c r="A7">
        <v>1943313</v>
      </c>
      <c r="B7">
        <v>4343</v>
      </c>
      <c r="C7">
        <v>43430048</v>
      </c>
      <c r="D7">
        <v>0</v>
      </c>
      <c r="E7">
        <v>153336</v>
      </c>
      <c r="F7">
        <v>24</v>
      </c>
      <c r="H7">
        <v>1943313</v>
      </c>
      <c r="I7">
        <v>4343</v>
      </c>
      <c r="J7">
        <v>43430048</v>
      </c>
      <c r="K7">
        <v>0</v>
      </c>
      <c r="L7">
        <v>153336</v>
      </c>
      <c r="M7">
        <v>24</v>
      </c>
      <c r="O7">
        <f t="shared" si="0"/>
        <v>0</v>
      </c>
    </row>
    <row r="8" spans="1:15" x14ac:dyDescent="0.25">
      <c r="A8">
        <v>1943236</v>
      </c>
      <c r="B8">
        <v>4343</v>
      </c>
      <c r="C8">
        <v>43430049</v>
      </c>
      <c r="D8">
        <v>0</v>
      </c>
      <c r="E8">
        <v>153209</v>
      </c>
      <c r="F8">
        <v>22</v>
      </c>
      <c r="H8">
        <v>1943236</v>
      </c>
      <c r="I8">
        <v>4343</v>
      </c>
      <c r="J8">
        <v>43430049</v>
      </c>
      <c r="K8">
        <v>0</v>
      </c>
      <c r="L8">
        <v>153306</v>
      </c>
      <c r="M8">
        <v>24</v>
      </c>
      <c r="O8">
        <f t="shared" si="0"/>
        <v>0</v>
      </c>
    </row>
    <row r="9" spans="1:15" x14ac:dyDescent="0.25">
      <c r="A9">
        <v>1943308</v>
      </c>
      <c r="B9">
        <v>4343</v>
      </c>
      <c r="C9">
        <v>43430050</v>
      </c>
      <c r="D9">
        <v>0</v>
      </c>
      <c r="E9">
        <v>153237</v>
      </c>
      <c r="F9">
        <v>22</v>
      </c>
      <c r="H9">
        <v>1943308</v>
      </c>
      <c r="I9">
        <v>4343</v>
      </c>
      <c r="J9">
        <v>43430050</v>
      </c>
      <c r="K9">
        <v>0</v>
      </c>
      <c r="L9">
        <v>153322</v>
      </c>
      <c r="M9">
        <v>24</v>
      </c>
      <c r="O9">
        <f t="shared" si="0"/>
        <v>0</v>
      </c>
    </row>
    <row r="10" spans="1:15" x14ac:dyDescent="0.25">
      <c r="A10">
        <v>1943206</v>
      </c>
      <c r="B10">
        <v>4343</v>
      </c>
      <c r="C10">
        <v>43430053</v>
      </c>
      <c r="D10">
        <v>0</v>
      </c>
      <c r="E10">
        <v>153224</v>
      </c>
      <c r="F10">
        <v>22</v>
      </c>
      <c r="H10">
        <v>1943206</v>
      </c>
      <c r="I10">
        <v>4343</v>
      </c>
      <c r="J10">
        <v>43430053</v>
      </c>
      <c r="K10">
        <v>0</v>
      </c>
      <c r="L10">
        <v>153300</v>
      </c>
      <c r="M10">
        <v>24</v>
      </c>
      <c r="O10">
        <f t="shared" si="0"/>
        <v>0</v>
      </c>
    </row>
    <row r="11" spans="1:15" x14ac:dyDescent="0.25">
      <c r="A11">
        <v>1943208</v>
      </c>
      <c r="B11">
        <v>4343</v>
      </c>
      <c r="C11">
        <v>43430057</v>
      </c>
      <c r="D11">
        <v>0</v>
      </c>
      <c r="E11">
        <v>152301</v>
      </c>
      <c r="F11">
        <v>3</v>
      </c>
      <c r="H11">
        <v>1943208</v>
      </c>
      <c r="I11">
        <v>4343</v>
      </c>
      <c r="J11">
        <v>43430057</v>
      </c>
      <c r="K11">
        <v>0</v>
      </c>
      <c r="L11">
        <v>153308</v>
      </c>
      <c r="M11">
        <v>24</v>
      </c>
      <c r="O11">
        <f t="shared" si="0"/>
        <v>0</v>
      </c>
    </row>
    <row r="12" spans="1:15" x14ac:dyDescent="0.25">
      <c r="A12">
        <v>1943233</v>
      </c>
      <c r="B12">
        <v>4343</v>
      </c>
      <c r="C12">
        <v>43430058</v>
      </c>
      <c r="D12">
        <v>0</v>
      </c>
      <c r="E12">
        <v>153131</v>
      </c>
      <c r="F12">
        <v>19</v>
      </c>
      <c r="H12">
        <v>1943233</v>
      </c>
      <c r="I12">
        <v>4343</v>
      </c>
      <c r="J12">
        <v>43430058</v>
      </c>
      <c r="K12">
        <v>0</v>
      </c>
      <c r="L12">
        <v>153252</v>
      </c>
      <c r="M12">
        <v>24</v>
      </c>
      <c r="O12">
        <f t="shared" si="0"/>
        <v>0</v>
      </c>
    </row>
    <row r="13" spans="1:15" x14ac:dyDescent="0.25">
      <c r="A13">
        <v>1943295</v>
      </c>
      <c r="B13">
        <v>4343</v>
      </c>
      <c r="C13">
        <v>43430059</v>
      </c>
      <c r="D13">
        <v>0</v>
      </c>
      <c r="E13">
        <v>153254</v>
      </c>
      <c r="F13">
        <v>24</v>
      </c>
      <c r="H13">
        <v>1943295</v>
      </c>
      <c r="I13">
        <v>4343</v>
      </c>
      <c r="J13">
        <v>43430059</v>
      </c>
      <c r="K13">
        <v>0</v>
      </c>
      <c r="L13">
        <v>153254</v>
      </c>
      <c r="M13">
        <v>24</v>
      </c>
      <c r="O13">
        <f t="shared" si="0"/>
        <v>0</v>
      </c>
    </row>
    <row r="14" spans="1:15" x14ac:dyDescent="0.25">
      <c r="A14">
        <v>1943214</v>
      </c>
      <c r="B14">
        <v>4343</v>
      </c>
      <c r="C14">
        <v>43430060</v>
      </c>
      <c r="D14">
        <v>0</v>
      </c>
      <c r="E14">
        <v>153144</v>
      </c>
      <c r="F14">
        <v>21</v>
      </c>
      <c r="H14">
        <v>1943214</v>
      </c>
      <c r="I14">
        <v>4343</v>
      </c>
      <c r="J14">
        <v>43430060</v>
      </c>
      <c r="K14">
        <v>0</v>
      </c>
      <c r="L14">
        <v>153338</v>
      </c>
      <c r="M14">
        <v>24</v>
      </c>
      <c r="O14">
        <f t="shared" si="0"/>
        <v>0</v>
      </c>
    </row>
    <row r="15" spans="1:15" x14ac:dyDescent="0.25">
      <c r="A15">
        <v>1943225</v>
      </c>
      <c r="B15">
        <v>4343</v>
      </c>
      <c r="C15">
        <v>43430061</v>
      </c>
      <c r="D15">
        <v>0</v>
      </c>
      <c r="E15">
        <v>153202</v>
      </c>
      <c r="F15">
        <v>21</v>
      </c>
      <c r="H15">
        <v>1943225</v>
      </c>
      <c r="I15">
        <v>4343</v>
      </c>
      <c r="J15">
        <v>43430061</v>
      </c>
      <c r="K15">
        <v>0</v>
      </c>
      <c r="L15">
        <v>153259</v>
      </c>
      <c r="M15">
        <v>24</v>
      </c>
      <c r="O15">
        <f t="shared" si="0"/>
        <v>0</v>
      </c>
    </row>
    <row r="16" spans="1:15" x14ac:dyDescent="0.25">
      <c r="A16">
        <v>1943215</v>
      </c>
      <c r="B16">
        <v>4343</v>
      </c>
      <c r="C16">
        <v>43430062</v>
      </c>
      <c r="D16">
        <v>0</v>
      </c>
      <c r="E16">
        <v>153331</v>
      </c>
      <c r="F16">
        <v>24</v>
      </c>
      <c r="H16">
        <v>1943215</v>
      </c>
      <c r="I16">
        <v>4343</v>
      </c>
      <c r="J16">
        <v>43430062</v>
      </c>
      <c r="K16">
        <v>0</v>
      </c>
      <c r="L16">
        <v>153331</v>
      </c>
      <c r="M16">
        <v>24</v>
      </c>
      <c r="O16">
        <f t="shared" si="0"/>
        <v>0</v>
      </c>
    </row>
    <row r="17" spans="1:15" x14ac:dyDescent="0.25">
      <c r="A17">
        <v>1943229</v>
      </c>
      <c r="B17">
        <v>4343</v>
      </c>
      <c r="C17">
        <v>43430063</v>
      </c>
      <c r="D17">
        <v>0</v>
      </c>
      <c r="E17">
        <v>153150</v>
      </c>
      <c r="F17">
        <v>21</v>
      </c>
      <c r="H17">
        <v>1943229</v>
      </c>
      <c r="I17">
        <v>4343</v>
      </c>
      <c r="J17">
        <v>43430063</v>
      </c>
      <c r="K17">
        <v>0</v>
      </c>
      <c r="L17">
        <v>153341</v>
      </c>
      <c r="M17">
        <v>24</v>
      </c>
      <c r="O17">
        <f t="shared" si="0"/>
        <v>0</v>
      </c>
    </row>
    <row r="18" spans="1:15" x14ac:dyDescent="0.25">
      <c r="A18">
        <v>1943222</v>
      </c>
      <c r="B18">
        <v>4343</v>
      </c>
      <c r="C18">
        <v>43430064</v>
      </c>
      <c r="D18">
        <v>0</v>
      </c>
      <c r="E18">
        <v>153016</v>
      </c>
      <c r="F18">
        <v>17</v>
      </c>
      <c r="H18">
        <v>1943222</v>
      </c>
      <c r="I18">
        <v>4343</v>
      </c>
      <c r="J18">
        <v>43430064</v>
      </c>
      <c r="K18">
        <v>0</v>
      </c>
      <c r="L18">
        <v>153243</v>
      </c>
      <c r="M18">
        <v>24</v>
      </c>
      <c r="O18">
        <f t="shared" si="0"/>
        <v>0</v>
      </c>
    </row>
    <row r="19" spans="1:15" x14ac:dyDescent="0.25">
      <c r="A19">
        <v>1943237</v>
      </c>
      <c r="B19">
        <v>4343</v>
      </c>
      <c r="C19">
        <v>43430065</v>
      </c>
      <c r="D19">
        <v>0</v>
      </c>
      <c r="E19">
        <v>153332</v>
      </c>
      <c r="F19">
        <v>24</v>
      </c>
      <c r="H19">
        <v>1943237</v>
      </c>
      <c r="I19">
        <v>4343</v>
      </c>
      <c r="J19">
        <v>43430065</v>
      </c>
      <c r="K19">
        <v>0</v>
      </c>
      <c r="L19">
        <v>153332</v>
      </c>
      <c r="M19">
        <v>24</v>
      </c>
      <c r="O19">
        <f t="shared" si="0"/>
        <v>0</v>
      </c>
    </row>
    <row r="20" spans="1:15" x14ac:dyDescent="0.25">
      <c r="A20">
        <v>1943235</v>
      </c>
      <c r="B20">
        <v>4343</v>
      </c>
      <c r="C20">
        <v>43430066</v>
      </c>
      <c r="D20">
        <v>0</v>
      </c>
      <c r="E20">
        <v>152613</v>
      </c>
      <c r="F20">
        <v>16</v>
      </c>
      <c r="H20">
        <v>1943235</v>
      </c>
      <c r="I20">
        <v>4343</v>
      </c>
      <c r="J20">
        <v>43430066</v>
      </c>
      <c r="K20">
        <v>800</v>
      </c>
      <c r="L20">
        <v>153239</v>
      </c>
      <c r="M20">
        <v>40</v>
      </c>
      <c r="O20">
        <f t="shared" si="0"/>
        <v>0</v>
      </c>
    </row>
    <row r="21" spans="1:15" x14ac:dyDescent="0.25">
      <c r="A21">
        <v>1943209</v>
      </c>
      <c r="B21">
        <v>4343</v>
      </c>
      <c r="C21">
        <v>43430067</v>
      </c>
      <c r="D21">
        <v>800</v>
      </c>
      <c r="E21">
        <v>153338</v>
      </c>
      <c r="F21">
        <v>40</v>
      </c>
      <c r="H21">
        <v>1943209</v>
      </c>
      <c r="I21">
        <v>4343</v>
      </c>
      <c r="J21">
        <v>43430067</v>
      </c>
      <c r="K21">
        <v>800</v>
      </c>
      <c r="L21">
        <v>153338</v>
      </c>
      <c r="M21">
        <v>40</v>
      </c>
      <c r="O21">
        <f t="shared" si="0"/>
        <v>0</v>
      </c>
    </row>
    <row r="22" spans="1:15" x14ac:dyDescent="0.25">
      <c r="A22">
        <v>1943292</v>
      </c>
      <c r="B22">
        <v>4343</v>
      </c>
      <c r="C22">
        <v>43430068</v>
      </c>
      <c r="D22">
        <v>800</v>
      </c>
      <c r="E22">
        <v>153344</v>
      </c>
      <c r="F22">
        <v>40</v>
      </c>
      <c r="H22">
        <v>1943292</v>
      </c>
      <c r="I22">
        <v>4343</v>
      </c>
      <c r="J22">
        <v>43430068</v>
      </c>
      <c r="K22">
        <v>800</v>
      </c>
      <c r="L22">
        <v>153344</v>
      </c>
      <c r="M22">
        <v>40</v>
      </c>
      <c r="O22">
        <f t="shared" si="0"/>
        <v>0</v>
      </c>
    </row>
    <row r="23" spans="1:15" x14ac:dyDescent="0.25">
      <c r="A23">
        <v>1943200</v>
      </c>
      <c r="B23">
        <v>4343</v>
      </c>
      <c r="C23">
        <v>43430069</v>
      </c>
      <c r="D23">
        <v>0</v>
      </c>
      <c r="E23">
        <v>152632</v>
      </c>
      <c r="F23">
        <v>16</v>
      </c>
      <c r="H23">
        <v>1943200</v>
      </c>
      <c r="I23">
        <v>4343</v>
      </c>
      <c r="J23">
        <v>43430069</v>
      </c>
      <c r="K23">
        <v>800</v>
      </c>
      <c r="L23">
        <v>153252</v>
      </c>
      <c r="M23">
        <v>40</v>
      </c>
      <c r="O23">
        <f t="shared" si="0"/>
        <v>0</v>
      </c>
    </row>
    <row r="24" spans="1:15" x14ac:dyDescent="0.25">
      <c r="A24">
        <v>1943201</v>
      </c>
      <c r="B24">
        <v>4343</v>
      </c>
      <c r="C24">
        <v>43430070</v>
      </c>
      <c r="D24">
        <v>700</v>
      </c>
      <c r="E24">
        <v>153319</v>
      </c>
      <c r="F24">
        <v>37</v>
      </c>
      <c r="H24">
        <v>1943201</v>
      </c>
      <c r="I24">
        <v>4343</v>
      </c>
      <c r="J24">
        <v>43430070</v>
      </c>
      <c r="K24">
        <v>800</v>
      </c>
      <c r="L24">
        <v>153341</v>
      </c>
      <c r="M24">
        <v>40</v>
      </c>
      <c r="O24">
        <f t="shared" si="0"/>
        <v>0</v>
      </c>
    </row>
    <row r="25" spans="1:15" x14ac:dyDescent="0.25">
      <c r="A25">
        <v>1943455</v>
      </c>
      <c r="B25">
        <v>4343</v>
      </c>
      <c r="C25">
        <v>43430071</v>
      </c>
      <c r="D25">
        <v>800</v>
      </c>
      <c r="E25">
        <v>153335</v>
      </c>
      <c r="F25">
        <v>40</v>
      </c>
      <c r="H25">
        <v>1943455</v>
      </c>
      <c r="I25">
        <v>4343</v>
      </c>
      <c r="J25">
        <v>43430071</v>
      </c>
      <c r="K25">
        <v>800</v>
      </c>
      <c r="L25">
        <v>153335</v>
      </c>
      <c r="M25">
        <v>40</v>
      </c>
      <c r="O25">
        <f t="shared" si="0"/>
        <v>0</v>
      </c>
    </row>
    <row r="26" spans="1:15" x14ac:dyDescent="0.25">
      <c r="A26">
        <v>1943202</v>
      </c>
      <c r="B26">
        <v>4343</v>
      </c>
      <c r="C26">
        <v>43430072</v>
      </c>
      <c r="D26">
        <v>300</v>
      </c>
      <c r="E26">
        <v>153236</v>
      </c>
      <c r="F26">
        <v>25</v>
      </c>
      <c r="H26">
        <v>1943202</v>
      </c>
      <c r="I26">
        <v>4343</v>
      </c>
      <c r="J26">
        <v>43430072</v>
      </c>
      <c r="K26">
        <v>800</v>
      </c>
      <c r="L26">
        <v>153350</v>
      </c>
      <c r="M26">
        <v>40</v>
      </c>
      <c r="O26">
        <f t="shared" si="0"/>
        <v>0</v>
      </c>
    </row>
    <row r="27" spans="1:15" x14ac:dyDescent="0.25">
      <c r="A27">
        <v>1943212</v>
      </c>
      <c r="B27">
        <v>4343</v>
      </c>
      <c r="C27">
        <v>43430073</v>
      </c>
      <c r="D27">
        <v>800</v>
      </c>
      <c r="E27">
        <v>153344</v>
      </c>
      <c r="F27">
        <v>40</v>
      </c>
      <c r="H27">
        <v>1943212</v>
      </c>
      <c r="I27">
        <v>4343</v>
      </c>
      <c r="J27">
        <v>43430073</v>
      </c>
      <c r="K27">
        <v>800</v>
      </c>
      <c r="L27">
        <v>153344</v>
      </c>
      <c r="M27">
        <v>40</v>
      </c>
      <c r="O27">
        <f t="shared" si="0"/>
        <v>0</v>
      </c>
    </row>
    <row r="28" spans="1:15" x14ac:dyDescent="0.25">
      <c r="A28">
        <v>1943232</v>
      </c>
      <c r="B28">
        <v>4343</v>
      </c>
      <c r="C28">
        <v>43430074</v>
      </c>
      <c r="D28">
        <v>400</v>
      </c>
      <c r="E28">
        <v>153304</v>
      </c>
      <c r="F28">
        <v>28</v>
      </c>
      <c r="H28">
        <v>1943232</v>
      </c>
      <c r="I28">
        <v>4343</v>
      </c>
      <c r="J28">
        <v>43430074</v>
      </c>
      <c r="K28">
        <v>800</v>
      </c>
      <c r="L28">
        <v>153347</v>
      </c>
      <c r="M28">
        <v>40</v>
      </c>
      <c r="O28">
        <f t="shared" si="0"/>
        <v>0</v>
      </c>
    </row>
    <row r="29" spans="1:15" x14ac:dyDescent="0.25">
      <c r="A29">
        <v>1943258</v>
      </c>
      <c r="B29">
        <v>4343</v>
      </c>
      <c r="C29">
        <v>43430075</v>
      </c>
      <c r="D29">
        <v>0</v>
      </c>
      <c r="E29">
        <v>152555</v>
      </c>
      <c r="F29">
        <v>11</v>
      </c>
      <c r="H29">
        <v>1943258</v>
      </c>
      <c r="I29">
        <v>4343</v>
      </c>
      <c r="J29">
        <v>43430075</v>
      </c>
      <c r="K29">
        <v>800</v>
      </c>
      <c r="L29">
        <v>153301</v>
      </c>
      <c r="M29">
        <v>40</v>
      </c>
      <c r="O29">
        <f t="shared" si="0"/>
        <v>0</v>
      </c>
    </row>
    <row r="30" spans="1:15" x14ac:dyDescent="0.25">
      <c r="A30">
        <v>1943207</v>
      </c>
      <c r="B30">
        <v>4343</v>
      </c>
      <c r="C30">
        <v>43430076</v>
      </c>
      <c r="D30">
        <v>800</v>
      </c>
      <c r="E30">
        <v>153328</v>
      </c>
      <c r="F30">
        <v>40</v>
      </c>
      <c r="H30">
        <v>1943207</v>
      </c>
      <c r="I30">
        <v>4343</v>
      </c>
      <c r="J30">
        <v>43430076</v>
      </c>
      <c r="K30">
        <v>800</v>
      </c>
      <c r="L30">
        <v>153328</v>
      </c>
      <c r="M30">
        <v>40</v>
      </c>
      <c r="O30">
        <f t="shared" si="0"/>
        <v>0</v>
      </c>
    </row>
    <row r="31" spans="1:15" x14ac:dyDescent="0.25">
      <c r="A31">
        <v>1943219</v>
      </c>
      <c r="B31">
        <v>4343</v>
      </c>
      <c r="C31">
        <v>43430077</v>
      </c>
      <c r="D31">
        <v>800</v>
      </c>
      <c r="E31">
        <v>153328</v>
      </c>
      <c r="F31">
        <v>40</v>
      </c>
      <c r="H31">
        <v>1943219</v>
      </c>
      <c r="I31">
        <v>4343</v>
      </c>
      <c r="J31">
        <v>43430077</v>
      </c>
      <c r="K31">
        <v>800</v>
      </c>
      <c r="L31">
        <v>153328</v>
      </c>
      <c r="M31">
        <v>40</v>
      </c>
      <c r="O31">
        <f t="shared" si="0"/>
        <v>0</v>
      </c>
    </row>
    <row r="32" spans="1:15" x14ac:dyDescent="0.25">
      <c r="A32">
        <v>1943203</v>
      </c>
      <c r="B32">
        <v>4343</v>
      </c>
      <c r="C32">
        <v>43430078</v>
      </c>
      <c r="D32">
        <v>800</v>
      </c>
      <c r="E32">
        <v>153332</v>
      </c>
      <c r="F32">
        <v>40</v>
      </c>
      <c r="H32">
        <v>1943203</v>
      </c>
      <c r="I32">
        <v>4343</v>
      </c>
      <c r="J32">
        <v>43430078</v>
      </c>
      <c r="K32">
        <v>800</v>
      </c>
      <c r="L32">
        <v>153332</v>
      </c>
      <c r="M32">
        <v>40</v>
      </c>
      <c r="O32">
        <f t="shared" si="0"/>
        <v>0</v>
      </c>
    </row>
    <row r="33" spans="1:15" x14ac:dyDescent="0.25">
      <c r="A33">
        <v>1943243</v>
      </c>
      <c r="B33">
        <v>4343</v>
      </c>
      <c r="C33">
        <v>43430079</v>
      </c>
      <c r="D33">
        <v>800</v>
      </c>
      <c r="E33">
        <v>153344</v>
      </c>
      <c r="F33">
        <v>40</v>
      </c>
      <c r="H33">
        <v>1943243</v>
      </c>
      <c r="I33">
        <v>4343</v>
      </c>
      <c r="J33">
        <v>43430079</v>
      </c>
      <c r="K33">
        <v>800</v>
      </c>
      <c r="L33">
        <v>153344</v>
      </c>
      <c r="M33">
        <v>40</v>
      </c>
      <c r="O33">
        <f t="shared" si="0"/>
        <v>0</v>
      </c>
    </row>
    <row r="34" spans="1:15" x14ac:dyDescent="0.25">
      <c r="A34">
        <v>1943273</v>
      </c>
      <c r="B34">
        <v>4343</v>
      </c>
      <c r="C34">
        <v>43430080</v>
      </c>
      <c r="D34">
        <v>700</v>
      </c>
      <c r="E34">
        <v>153233</v>
      </c>
      <c r="F34">
        <v>37</v>
      </c>
      <c r="H34">
        <v>1943273</v>
      </c>
      <c r="I34">
        <v>4343</v>
      </c>
      <c r="J34">
        <v>43430080</v>
      </c>
      <c r="K34">
        <v>800</v>
      </c>
      <c r="L34">
        <v>153341</v>
      </c>
      <c r="M34">
        <v>40</v>
      </c>
      <c r="O34">
        <f t="shared" si="0"/>
        <v>0</v>
      </c>
    </row>
    <row r="35" spans="1:15" x14ac:dyDescent="0.25">
      <c r="A35">
        <v>1943217</v>
      </c>
      <c r="B35">
        <v>4343</v>
      </c>
      <c r="C35">
        <v>43430081</v>
      </c>
      <c r="D35">
        <v>300</v>
      </c>
      <c r="E35">
        <v>153055</v>
      </c>
      <c r="F35">
        <v>25</v>
      </c>
      <c r="H35">
        <v>1943217</v>
      </c>
      <c r="I35">
        <v>4343</v>
      </c>
      <c r="J35">
        <v>43430081</v>
      </c>
      <c r="K35">
        <v>800</v>
      </c>
      <c r="L35">
        <v>153258</v>
      </c>
      <c r="M35">
        <v>40</v>
      </c>
      <c r="O35">
        <f t="shared" si="0"/>
        <v>0</v>
      </c>
    </row>
    <row r="36" spans="1:15" x14ac:dyDescent="0.25">
      <c r="A36">
        <v>1943304</v>
      </c>
      <c r="B36">
        <v>4343</v>
      </c>
      <c r="C36">
        <v>43430082</v>
      </c>
      <c r="D36">
        <v>800</v>
      </c>
      <c r="E36">
        <v>153203</v>
      </c>
      <c r="F36">
        <v>40</v>
      </c>
      <c r="H36">
        <v>1943304</v>
      </c>
      <c r="I36">
        <v>4343</v>
      </c>
      <c r="J36">
        <v>43430082</v>
      </c>
      <c r="K36">
        <v>800</v>
      </c>
      <c r="L36">
        <v>153203</v>
      </c>
      <c r="M36">
        <v>40</v>
      </c>
      <c r="O36">
        <f t="shared" si="0"/>
        <v>0</v>
      </c>
    </row>
    <row r="37" spans="1:15" x14ac:dyDescent="0.25">
      <c r="A37">
        <v>1943213</v>
      </c>
      <c r="B37">
        <v>4343</v>
      </c>
      <c r="C37">
        <v>43430083</v>
      </c>
      <c r="D37">
        <v>400</v>
      </c>
      <c r="E37">
        <v>153203</v>
      </c>
      <c r="F37">
        <v>28</v>
      </c>
      <c r="H37">
        <v>1943213</v>
      </c>
      <c r="I37">
        <v>4343</v>
      </c>
      <c r="J37">
        <v>43430083</v>
      </c>
      <c r="K37">
        <v>800</v>
      </c>
      <c r="L37">
        <v>153341</v>
      </c>
      <c r="M37">
        <v>40</v>
      </c>
      <c r="O37">
        <f t="shared" si="0"/>
        <v>0</v>
      </c>
    </row>
    <row r="38" spans="1:15" x14ac:dyDescent="0.25">
      <c r="A38">
        <v>1943277</v>
      </c>
      <c r="B38">
        <v>4343</v>
      </c>
      <c r="C38">
        <v>43430084</v>
      </c>
      <c r="D38">
        <v>800</v>
      </c>
      <c r="E38">
        <v>153325</v>
      </c>
      <c r="F38">
        <v>40</v>
      </c>
      <c r="H38">
        <v>1943277</v>
      </c>
      <c r="I38">
        <v>4343</v>
      </c>
      <c r="J38">
        <v>43430084</v>
      </c>
      <c r="K38">
        <v>800</v>
      </c>
      <c r="L38">
        <v>153325</v>
      </c>
      <c r="M38">
        <v>40</v>
      </c>
      <c r="O38">
        <f t="shared" si="0"/>
        <v>0</v>
      </c>
    </row>
    <row r="39" spans="1:15" x14ac:dyDescent="0.25">
      <c r="A39">
        <v>1943278</v>
      </c>
      <c r="B39">
        <v>4343</v>
      </c>
      <c r="C39">
        <v>43430085</v>
      </c>
      <c r="D39">
        <v>400</v>
      </c>
      <c r="E39">
        <v>153120</v>
      </c>
      <c r="F39">
        <v>28</v>
      </c>
      <c r="H39">
        <v>1943278</v>
      </c>
      <c r="I39">
        <v>4343</v>
      </c>
      <c r="J39">
        <v>43430085</v>
      </c>
      <c r="K39">
        <v>800</v>
      </c>
      <c r="L39">
        <v>153347</v>
      </c>
      <c r="M39">
        <v>40</v>
      </c>
      <c r="O39">
        <f t="shared" si="0"/>
        <v>0</v>
      </c>
    </row>
    <row r="40" spans="1:15" x14ac:dyDescent="0.25">
      <c r="A40">
        <v>1943246</v>
      </c>
      <c r="B40">
        <v>4343</v>
      </c>
      <c r="C40">
        <v>43430086</v>
      </c>
      <c r="D40">
        <v>800</v>
      </c>
      <c r="E40">
        <v>153316</v>
      </c>
      <c r="F40">
        <v>40</v>
      </c>
      <c r="H40">
        <v>1943246</v>
      </c>
      <c r="I40">
        <v>4343</v>
      </c>
      <c r="J40">
        <v>43430086</v>
      </c>
      <c r="K40">
        <v>800</v>
      </c>
      <c r="L40">
        <v>153316</v>
      </c>
      <c r="M40">
        <v>40</v>
      </c>
      <c r="O40">
        <f t="shared" si="0"/>
        <v>0</v>
      </c>
    </row>
    <row r="41" spans="1:15" x14ac:dyDescent="0.25">
      <c r="A41">
        <v>1943318</v>
      </c>
      <c r="B41">
        <v>4343</v>
      </c>
      <c r="C41">
        <v>43430087</v>
      </c>
      <c r="D41">
        <v>0</v>
      </c>
      <c r="E41">
        <v>152632</v>
      </c>
      <c r="F41">
        <v>16</v>
      </c>
      <c r="H41">
        <v>1943318</v>
      </c>
      <c r="I41">
        <v>4343</v>
      </c>
      <c r="J41">
        <v>43430087</v>
      </c>
      <c r="K41">
        <v>800</v>
      </c>
      <c r="L41">
        <v>153304</v>
      </c>
      <c r="M41">
        <v>40</v>
      </c>
      <c r="O41">
        <f t="shared" si="0"/>
        <v>0</v>
      </c>
    </row>
    <row r="42" spans="1:15" x14ac:dyDescent="0.25">
      <c r="A42">
        <v>1943256</v>
      </c>
      <c r="B42">
        <v>4343</v>
      </c>
      <c r="C42">
        <v>43430088</v>
      </c>
      <c r="D42">
        <v>500</v>
      </c>
      <c r="E42">
        <v>153120</v>
      </c>
      <c r="F42">
        <v>31</v>
      </c>
      <c r="H42">
        <v>1943256</v>
      </c>
      <c r="I42">
        <v>4343</v>
      </c>
      <c r="J42">
        <v>43430088</v>
      </c>
      <c r="K42">
        <v>800</v>
      </c>
      <c r="L42">
        <v>153301</v>
      </c>
      <c r="M42">
        <v>40</v>
      </c>
      <c r="O42">
        <f t="shared" si="0"/>
        <v>0</v>
      </c>
    </row>
    <row r="43" spans="1:15" x14ac:dyDescent="0.25">
      <c r="A43">
        <v>1943268</v>
      </c>
      <c r="B43">
        <v>4343</v>
      </c>
      <c r="C43">
        <v>43430089</v>
      </c>
      <c r="D43">
        <v>500</v>
      </c>
      <c r="E43">
        <v>153203</v>
      </c>
      <c r="F43">
        <v>31</v>
      </c>
      <c r="H43">
        <v>1943268</v>
      </c>
      <c r="I43">
        <v>4343</v>
      </c>
      <c r="J43">
        <v>43430089</v>
      </c>
      <c r="K43">
        <v>800</v>
      </c>
      <c r="L43">
        <v>153341</v>
      </c>
      <c r="M43">
        <v>40</v>
      </c>
      <c r="O43">
        <f t="shared" si="0"/>
        <v>0</v>
      </c>
    </row>
    <row r="44" spans="1:15" x14ac:dyDescent="0.25">
      <c r="A44">
        <v>1943199</v>
      </c>
      <c r="B44">
        <v>4343</v>
      </c>
      <c r="C44">
        <v>43430090</v>
      </c>
      <c r="D44">
        <v>100</v>
      </c>
      <c r="E44">
        <v>153006</v>
      </c>
      <c r="F44">
        <v>19</v>
      </c>
      <c r="H44">
        <v>1943199</v>
      </c>
      <c r="I44">
        <v>4343</v>
      </c>
      <c r="J44">
        <v>43430090</v>
      </c>
      <c r="K44">
        <v>800</v>
      </c>
      <c r="L44">
        <v>153252</v>
      </c>
      <c r="M44">
        <v>40</v>
      </c>
      <c r="O44">
        <f t="shared" si="0"/>
        <v>0</v>
      </c>
    </row>
    <row r="45" spans="1:15" x14ac:dyDescent="0.25">
      <c r="A45">
        <v>1943261</v>
      </c>
      <c r="B45">
        <v>4343</v>
      </c>
      <c r="C45">
        <v>43430091</v>
      </c>
      <c r="D45">
        <v>800</v>
      </c>
      <c r="E45">
        <v>153335</v>
      </c>
      <c r="F45">
        <v>40</v>
      </c>
      <c r="H45">
        <v>1943261</v>
      </c>
      <c r="I45">
        <v>4343</v>
      </c>
      <c r="J45">
        <v>43430091</v>
      </c>
      <c r="K45">
        <v>800</v>
      </c>
      <c r="L45">
        <v>153335</v>
      </c>
      <c r="M45">
        <v>40</v>
      </c>
      <c r="O45">
        <f t="shared" si="0"/>
        <v>0</v>
      </c>
    </row>
    <row r="46" spans="1:15" x14ac:dyDescent="0.25">
      <c r="A46">
        <v>1943239</v>
      </c>
      <c r="B46">
        <v>4343</v>
      </c>
      <c r="C46">
        <v>43430092</v>
      </c>
      <c r="D46">
        <v>800</v>
      </c>
      <c r="E46">
        <v>153326</v>
      </c>
      <c r="F46">
        <v>40</v>
      </c>
      <c r="H46">
        <v>1943239</v>
      </c>
      <c r="I46">
        <v>4343</v>
      </c>
      <c r="J46">
        <v>43430092</v>
      </c>
      <c r="K46">
        <v>800</v>
      </c>
      <c r="L46">
        <v>153326</v>
      </c>
      <c r="M46">
        <v>40</v>
      </c>
      <c r="O46">
        <f t="shared" si="0"/>
        <v>0</v>
      </c>
    </row>
    <row r="47" spans="1:15" x14ac:dyDescent="0.25">
      <c r="A47">
        <v>1943284</v>
      </c>
      <c r="B47">
        <v>4343</v>
      </c>
      <c r="C47">
        <v>43430093</v>
      </c>
      <c r="D47">
        <v>600</v>
      </c>
      <c r="E47">
        <v>153209</v>
      </c>
      <c r="F47">
        <v>34</v>
      </c>
      <c r="H47">
        <v>1943284</v>
      </c>
      <c r="I47">
        <v>4343</v>
      </c>
      <c r="J47">
        <v>43430093</v>
      </c>
      <c r="K47">
        <v>800</v>
      </c>
      <c r="L47">
        <v>153347</v>
      </c>
      <c r="M47">
        <v>40</v>
      </c>
      <c r="O47">
        <f t="shared" si="0"/>
        <v>0</v>
      </c>
    </row>
    <row r="48" spans="1:15" x14ac:dyDescent="0.25">
      <c r="A48">
        <v>1943210</v>
      </c>
      <c r="B48">
        <v>4343</v>
      </c>
      <c r="C48">
        <v>43430094</v>
      </c>
      <c r="D48">
        <v>800</v>
      </c>
      <c r="E48">
        <v>153320</v>
      </c>
      <c r="F48">
        <v>40</v>
      </c>
      <c r="H48">
        <v>1943210</v>
      </c>
      <c r="I48">
        <v>4343</v>
      </c>
      <c r="J48">
        <v>43430094</v>
      </c>
      <c r="K48">
        <v>800</v>
      </c>
      <c r="L48">
        <v>153320</v>
      </c>
      <c r="M48">
        <v>40</v>
      </c>
      <c r="O48">
        <f t="shared" si="0"/>
        <v>0</v>
      </c>
    </row>
    <row r="49" spans="1:15" x14ac:dyDescent="0.25">
      <c r="A49">
        <v>1943204</v>
      </c>
      <c r="B49">
        <v>4343</v>
      </c>
      <c r="C49">
        <v>43430095</v>
      </c>
      <c r="D49">
        <v>400</v>
      </c>
      <c r="E49">
        <v>153141</v>
      </c>
      <c r="F49">
        <v>28</v>
      </c>
      <c r="H49">
        <v>1943204</v>
      </c>
      <c r="I49">
        <v>4343</v>
      </c>
      <c r="J49">
        <v>43430095</v>
      </c>
      <c r="K49">
        <v>800</v>
      </c>
      <c r="L49">
        <v>153310</v>
      </c>
      <c r="M49">
        <v>40</v>
      </c>
      <c r="O49">
        <f t="shared" si="0"/>
        <v>0</v>
      </c>
    </row>
  </sheetData>
  <phoneticPr fontId="3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报表-资管报表-逻辑服务</vt:lpstr>
      <vt:lpstr>报表-资管报表-事务服务</vt:lpstr>
      <vt:lpstr>报表-资管报表-原子服务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逆走时光流浪</cp:lastModifiedBy>
  <dcterms:created xsi:type="dcterms:W3CDTF">2015-12-16T08:03:00Z</dcterms:created>
  <dcterms:modified xsi:type="dcterms:W3CDTF">2019-07-18T13:24:38Z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