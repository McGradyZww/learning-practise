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4090" windowHeight="12945" tabRatio="683"/>
  </bookViews>
  <sheets>
    <sheet name="数据表-报表-资管报表" sheetId="7" r:id="rId1"/>
    <sheet name="Sheet1" sheetId="12" r:id="rId2"/>
    <sheet name="期货相关表" sheetId="8" r:id="rId3"/>
    <sheet name="视图" sheetId="11" r:id="rId4"/>
  </sheets>
  <calcPr calcId="145621" calcMode="manual"/>
  <fileRecoveryPr autoRecover="0"/>
</workbook>
</file>

<file path=xl/calcChain.xml><?xml version="1.0" encoding="utf-8"?>
<calcChain xmlns="http://schemas.openxmlformats.org/spreadsheetml/2006/main">
  <c r="H4336" i="7" l="1"/>
  <c r="H4335" i="7"/>
  <c r="H4068" i="7" l="1"/>
  <c r="H4045" i="7"/>
  <c r="H4023" i="7"/>
  <c r="H4001" i="7"/>
  <c r="H3979" i="7"/>
  <c r="H3978" i="7"/>
  <c r="H3977" i="7"/>
  <c r="H3976" i="7"/>
  <c r="H3975" i="7"/>
  <c r="H3974" i="7"/>
  <c r="H3973" i="7"/>
  <c r="H3972" i="7"/>
  <c r="H3971" i="7"/>
  <c r="H3970" i="7"/>
  <c r="H3969" i="7"/>
  <c r="H3968" i="7"/>
  <c r="H3967" i="7"/>
  <c r="H3966" i="7"/>
  <c r="H3965" i="7"/>
  <c r="H3964" i="7"/>
  <c r="H3963" i="7"/>
  <c r="H3962" i="7"/>
  <c r="H3958" i="7"/>
  <c r="H3957" i="7"/>
  <c r="H3789" i="7"/>
  <c r="H3788" i="7"/>
  <c r="H3787" i="7"/>
  <c r="H3786" i="7"/>
  <c r="H3785" i="7"/>
  <c r="H3784" i="7"/>
  <c r="H3783" i="7"/>
  <c r="H3782" i="7"/>
  <c r="H3781" i="7"/>
  <c r="H3780" i="7"/>
  <c r="H3779" i="7"/>
  <c r="H3778" i="7"/>
  <c r="H3777" i="7"/>
  <c r="H3776" i="7"/>
  <c r="H3775" i="7"/>
  <c r="H3774" i="7"/>
  <c r="H3773" i="7"/>
  <c r="H3772" i="7"/>
  <c r="H3771" i="7"/>
  <c r="H3770" i="7"/>
  <c r="H3769" i="7"/>
  <c r="H3768" i="7"/>
  <c r="H3767" i="7"/>
  <c r="H3766" i="7"/>
  <c r="H3765" i="7"/>
  <c r="H3764" i="7"/>
  <c r="H3763" i="7"/>
  <c r="H3762" i="7"/>
  <c r="H3761" i="7"/>
  <c r="H3760" i="7"/>
  <c r="H3759" i="7"/>
  <c r="H3757" i="7"/>
  <c r="H3756" i="7"/>
  <c r="H3750" i="7"/>
  <c r="H3749" i="7"/>
  <c r="H3748" i="7"/>
  <c r="H3747" i="7"/>
  <c r="H3746" i="7"/>
  <c r="H3744" i="7"/>
  <c r="H3743" i="7"/>
  <c r="H3735" i="7"/>
  <c r="H3734" i="7"/>
  <c r="H3733" i="7"/>
  <c r="H3732" i="7"/>
  <c r="H3731" i="7"/>
  <c r="H3729" i="7"/>
  <c r="H3728" i="7"/>
  <c r="H3719" i="7"/>
  <c r="H3718" i="7"/>
  <c r="H3717" i="7"/>
  <c r="H3716" i="7"/>
  <c r="H3715" i="7"/>
  <c r="H3714" i="7"/>
  <c r="H3713" i="7"/>
  <c r="H3712" i="7"/>
  <c r="H3711" i="7"/>
  <c r="H3710" i="7"/>
  <c r="H3709" i="7"/>
  <c r="H3708" i="7"/>
  <c r="H3707" i="7"/>
  <c r="H3706" i="7"/>
  <c r="H3704" i="7"/>
  <c r="H3703" i="7"/>
  <c r="H3695" i="7"/>
  <c r="H3694" i="7"/>
  <c r="H3693" i="7"/>
  <c r="H3692" i="7"/>
  <c r="H3690" i="7"/>
  <c r="H3689" i="7"/>
  <c r="H3682" i="7"/>
  <c r="H3681" i="7"/>
  <c r="H3680" i="7"/>
  <c r="H3678" i="7"/>
  <c r="H3677" i="7"/>
  <c r="H3669" i="7"/>
  <c r="H3668" i="7"/>
  <c r="H3667" i="7"/>
  <c r="H3666" i="7"/>
  <c r="H3665" i="7"/>
  <c r="H3664" i="7"/>
  <c r="H3663" i="7"/>
  <c r="H3662" i="7"/>
  <c r="H3661" i="7"/>
  <c r="H3660" i="7"/>
  <c r="H3659" i="7"/>
  <c r="H3658" i="7"/>
  <c r="H3657" i="7"/>
  <c r="H3656" i="7"/>
  <c r="H3655" i="7"/>
  <c r="H3654" i="7"/>
  <c r="H3653" i="7"/>
  <c r="H3652" i="7"/>
  <c r="H3651" i="7"/>
  <c r="H3650" i="7"/>
  <c r="H3649" i="7"/>
  <c r="H3648" i="7"/>
  <c r="H3647" i="7"/>
  <c r="H3646" i="7"/>
  <c r="H3645" i="7"/>
  <c r="H3644" i="7"/>
  <c r="H3643" i="7"/>
  <c r="H3642" i="7"/>
  <c r="H3641" i="7"/>
  <c r="H3640" i="7"/>
  <c r="H3639" i="7"/>
  <c r="H3638" i="7"/>
  <c r="H3636" i="7"/>
  <c r="H3635" i="7"/>
  <c r="H3628" i="7"/>
  <c r="H3627" i="7"/>
  <c r="H3626" i="7"/>
  <c r="H3625" i="7"/>
  <c r="H3624" i="7"/>
  <c r="H3623" i="7"/>
  <c r="H3622" i="7"/>
  <c r="H3621" i="7"/>
  <c r="H3620" i="7"/>
  <c r="H3619" i="7"/>
  <c r="H3618" i="7"/>
  <c r="H3617" i="7"/>
  <c r="H3616" i="7"/>
  <c r="H3615" i="7"/>
  <c r="H3614" i="7"/>
  <c r="H3613" i="7"/>
  <c r="H3612" i="7"/>
  <c r="H3611" i="7"/>
  <c r="H3610" i="7"/>
  <c r="H3609" i="7"/>
  <c r="H3608" i="7"/>
  <c r="H3607" i="7"/>
  <c r="H3606" i="7"/>
  <c r="H3605" i="7"/>
  <c r="H3604" i="7"/>
  <c r="H3603" i="7"/>
  <c r="H3602" i="7"/>
  <c r="H3601" i="7"/>
  <c r="H3600" i="7"/>
  <c r="H3598" i="7"/>
  <c r="H3597" i="7"/>
  <c r="H3571" i="7"/>
  <c r="H3556" i="7"/>
  <c r="H3555" i="7"/>
  <c r="H3554" i="7"/>
  <c r="H3553" i="7"/>
  <c r="H3552" i="7"/>
  <c r="H3551" i="7"/>
  <c r="H3550" i="7"/>
  <c r="H3549" i="7"/>
  <c r="H3548" i="7"/>
  <c r="H3547" i="7"/>
  <c r="H3546" i="7"/>
  <c r="H3545" i="7"/>
  <c r="H3544" i="7"/>
  <c r="H3543" i="7"/>
  <c r="H3542" i="7"/>
  <c r="H3541" i="7"/>
  <c r="H3540" i="7"/>
  <c r="H3539" i="7"/>
  <c r="H3538" i="7"/>
  <c r="H3537" i="7"/>
  <c r="H3536" i="7"/>
  <c r="H3535" i="7"/>
  <c r="H3534" i="7"/>
  <c r="H3533" i="7"/>
  <c r="H3532" i="7"/>
  <c r="H3531" i="7"/>
  <c r="H3530" i="7"/>
  <c r="H3529" i="7"/>
  <c r="H3528" i="7"/>
  <c r="H3527" i="7"/>
  <c r="H3526" i="7"/>
  <c r="H3525" i="7"/>
  <c r="H3524" i="7"/>
  <c r="H3523" i="7"/>
  <c r="H3522" i="7"/>
  <c r="H3521" i="7"/>
  <c r="H3520" i="7"/>
  <c r="H3519" i="7"/>
  <c r="H3517" i="7"/>
  <c r="H3516" i="7"/>
  <c r="H3507" i="7"/>
  <c r="H3506" i="7"/>
  <c r="H3505" i="7"/>
  <c r="H3504" i="7"/>
  <c r="H3503" i="7"/>
  <c r="H3502" i="7"/>
  <c r="H3501" i="7"/>
  <c r="H3500" i="7"/>
  <c r="H3499" i="7"/>
  <c r="H3498" i="7"/>
  <c r="H3497" i="7"/>
  <c r="H3496" i="7"/>
  <c r="H3495" i="7"/>
  <c r="H3494" i="7"/>
  <c r="H3493" i="7"/>
  <c r="H3492" i="7"/>
  <c r="H3491" i="7"/>
  <c r="H3490" i="7"/>
  <c r="H3489" i="7"/>
  <c r="H3488" i="7"/>
  <c r="H3487" i="7"/>
  <c r="H3486" i="7"/>
  <c r="H3485" i="7"/>
  <c r="H3484" i="7"/>
  <c r="H3483" i="7"/>
  <c r="H3482" i="7"/>
  <c r="H3481" i="7"/>
  <c r="H3480" i="7"/>
  <c r="H3479" i="7"/>
  <c r="H3478" i="7"/>
  <c r="H3477" i="7"/>
  <c r="H3476" i="7"/>
  <c r="H3475" i="7"/>
  <c r="H3474" i="7"/>
  <c r="H3473" i="7"/>
  <c r="H3472" i="7"/>
  <c r="H3471" i="7"/>
  <c r="H3470" i="7"/>
  <c r="H3469" i="7"/>
  <c r="H3468" i="7"/>
  <c r="H3467" i="7"/>
  <c r="H3466" i="7"/>
  <c r="H3465" i="7"/>
  <c r="H3464" i="7"/>
  <c r="H3463" i="7"/>
  <c r="H3462" i="7"/>
  <c r="H3461" i="7"/>
  <c r="H3460" i="7"/>
  <c r="H3458" i="7"/>
  <c r="H3457" i="7"/>
  <c r="H3449" i="7"/>
  <c r="H3448" i="7"/>
  <c r="H3447" i="7"/>
  <c r="H3446" i="7"/>
  <c r="H3445" i="7"/>
  <c r="H3444" i="7"/>
  <c r="H3443" i="7"/>
  <c r="H3442" i="7"/>
  <c r="H3441" i="7"/>
  <c r="H3440" i="7"/>
  <c r="H3439" i="7"/>
  <c r="H3438" i="7"/>
  <c r="H3437" i="7"/>
  <c r="H3436" i="7"/>
  <c r="H3435" i="7"/>
  <c r="H3434" i="7"/>
  <c r="H3433" i="7"/>
  <c r="H3432" i="7"/>
  <c r="H3431" i="7"/>
  <c r="H3430" i="7"/>
  <c r="H3429" i="7"/>
  <c r="H3428" i="7"/>
  <c r="H3426" i="7"/>
  <c r="H3425" i="7"/>
  <c r="H3420" i="7"/>
  <c r="H3419" i="7"/>
  <c r="H3418" i="7"/>
  <c r="H3417" i="7"/>
  <c r="H3416" i="7"/>
  <c r="H3415" i="7"/>
  <c r="H3414" i="7"/>
  <c r="H3413" i="7"/>
  <c r="H3412" i="7"/>
  <c r="H3411" i="7"/>
  <c r="H3410" i="7"/>
  <c r="H3409" i="7"/>
  <c r="H3408" i="7"/>
  <c r="H3407" i="7"/>
  <c r="H3406" i="7"/>
  <c r="H3405" i="7"/>
  <c r="H3404" i="7"/>
  <c r="H3403" i="7"/>
  <c r="H3402" i="7"/>
  <c r="H3401" i="7"/>
  <c r="H3400" i="7"/>
  <c r="H3399" i="7"/>
  <c r="H3396" i="7"/>
  <c r="H3395" i="7"/>
  <c r="H3390" i="7"/>
  <c r="H3389" i="7"/>
  <c r="H3388" i="7"/>
  <c r="H3387" i="7"/>
  <c r="H3386" i="7"/>
  <c r="H3385" i="7"/>
  <c r="H3384" i="7"/>
  <c r="H3383" i="7"/>
  <c r="H3382" i="7"/>
  <c r="H3381" i="7"/>
  <c r="H3380" i="7"/>
  <c r="H3379" i="7"/>
  <c r="H3378" i="7"/>
  <c r="H3377" i="7"/>
  <c r="H3376" i="7"/>
  <c r="H3375" i="7"/>
  <c r="H3374" i="7"/>
  <c r="H3373" i="7"/>
  <c r="H3372" i="7"/>
  <c r="H3371" i="7"/>
  <c r="H3370" i="7"/>
  <c r="H3369" i="7"/>
  <c r="H3366" i="7"/>
  <c r="H3365" i="7"/>
  <c r="H3359" i="7"/>
  <c r="H3358" i="7"/>
  <c r="H3357" i="7"/>
  <c r="H3356" i="7"/>
  <c r="H3355" i="7"/>
  <c r="H3354" i="7"/>
  <c r="H3353" i="7"/>
  <c r="H3352" i="7"/>
  <c r="H3351" i="7"/>
  <c r="H3350" i="7"/>
  <c r="H3349" i="7"/>
  <c r="I3348" i="7"/>
  <c r="H3348" i="7" s="1"/>
  <c r="I3347" i="7"/>
  <c r="H3347" i="7" s="1"/>
  <c r="I3346" i="7"/>
  <c r="H3346" i="7" s="1"/>
  <c r="I3345" i="7"/>
  <c r="H3345" i="7" s="1"/>
  <c r="I3344" i="7"/>
  <c r="H3344" i="7" s="1"/>
  <c r="H3343" i="7"/>
  <c r="H3342" i="7"/>
  <c r="H3341" i="7"/>
  <c r="H3340" i="7"/>
  <c r="H3339" i="7"/>
  <c r="H3338" i="7"/>
  <c r="H3337" i="7"/>
  <c r="H3335" i="7"/>
  <c r="H3334" i="7"/>
  <c r="H3329" i="7"/>
  <c r="H3328" i="7"/>
  <c r="H3327" i="7"/>
  <c r="H3326" i="7"/>
  <c r="H3325" i="7"/>
  <c r="H3324" i="7"/>
  <c r="H3313" i="7"/>
  <c r="H3312" i="7"/>
  <c r="H3311" i="7"/>
  <c r="H3310" i="7"/>
  <c r="I3309" i="7"/>
  <c r="H3309" i="7" s="1"/>
  <c r="I3308" i="7"/>
  <c r="H3308" i="7" s="1"/>
  <c r="I3307" i="7"/>
  <c r="H3307" i="7" s="1"/>
  <c r="I3306" i="7"/>
  <c r="H3306" i="7" s="1"/>
  <c r="I3305" i="7"/>
  <c r="H3305" i="7" s="1"/>
  <c r="H3304" i="7"/>
  <c r="H3303" i="7"/>
  <c r="H3302" i="7"/>
  <c r="H3301" i="7"/>
  <c r="H3300" i="7"/>
  <c r="H3299" i="7"/>
  <c r="H3297" i="7"/>
  <c r="H3296" i="7"/>
  <c r="H3291" i="7"/>
  <c r="H3290" i="7"/>
  <c r="H3289" i="7"/>
  <c r="H3288" i="7"/>
  <c r="H3287" i="7"/>
  <c r="H3286" i="7"/>
  <c r="H3275" i="7"/>
  <c r="H3274" i="7"/>
  <c r="H3273" i="7"/>
  <c r="H3272" i="7"/>
  <c r="I3271" i="7"/>
  <c r="H3271" i="7" s="1"/>
  <c r="I3270" i="7"/>
  <c r="H3270" i="7" s="1"/>
  <c r="I3269" i="7"/>
  <c r="H3269" i="7" s="1"/>
  <c r="I3268" i="7"/>
  <c r="H3268" i="7" s="1"/>
  <c r="I3267" i="7"/>
  <c r="H3267" i="7" s="1"/>
  <c r="H3266" i="7"/>
  <c r="H3265" i="7"/>
  <c r="H3264" i="7"/>
  <c r="H3263" i="7"/>
  <c r="H3262" i="7"/>
  <c r="H3261" i="7"/>
  <c r="H3259" i="7"/>
  <c r="H3258" i="7"/>
  <c r="H3253" i="7"/>
  <c r="H3252" i="7"/>
  <c r="H3251" i="7"/>
  <c r="H3250" i="7"/>
  <c r="H3249" i="7"/>
  <c r="H3248" i="7"/>
  <c r="H3247" i="7"/>
  <c r="H3246" i="7"/>
  <c r="H3245" i="7"/>
  <c r="H3244" i="7"/>
  <c r="H3243" i="7"/>
  <c r="I3242" i="7"/>
  <c r="H3242" i="7" s="1"/>
  <c r="I3241" i="7"/>
  <c r="H3241" i="7" s="1"/>
  <c r="I3240" i="7"/>
  <c r="H3240" i="7" s="1"/>
  <c r="I3239" i="7"/>
  <c r="H3239" i="7" s="1"/>
  <c r="I3238" i="7"/>
  <c r="H3238" i="7" s="1"/>
  <c r="H3237" i="7"/>
  <c r="H3236" i="7"/>
  <c r="H3235" i="7"/>
  <c r="H3234" i="7"/>
  <c r="H3233" i="7"/>
  <c r="H3232" i="7"/>
  <c r="H3230" i="7"/>
  <c r="H3229" i="7"/>
  <c r="H3222" i="7"/>
  <c r="H3221" i="7"/>
  <c r="I3220" i="7"/>
  <c r="H3220" i="7" s="1"/>
  <c r="I3219" i="7"/>
  <c r="H3219" i="7" s="1"/>
  <c r="I3218" i="7"/>
  <c r="H3218" i="7" s="1"/>
  <c r="I3217" i="7"/>
  <c r="H3217" i="7" s="1"/>
  <c r="H3216" i="7"/>
  <c r="H3215" i="7"/>
  <c r="H3214" i="7"/>
  <c r="H3213" i="7"/>
  <c r="H3211" i="7"/>
  <c r="H3210" i="7"/>
  <c r="H3204" i="7"/>
  <c r="H3203" i="7"/>
  <c r="H3202" i="7"/>
  <c r="H3201" i="7"/>
  <c r="H3200" i="7"/>
  <c r="H3199" i="7"/>
  <c r="I3198" i="7"/>
  <c r="H3198" i="7" s="1"/>
  <c r="I3197" i="7"/>
  <c r="H3197" i="7" s="1"/>
  <c r="I3196" i="7"/>
  <c r="H3196" i="7" s="1"/>
  <c r="I3195" i="7"/>
  <c r="H3195" i="7" s="1"/>
  <c r="H3194" i="7"/>
  <c r="H3193" i="7"/>
  <c r="H3192" i="7"/>
  <c r="H3190" i="7"/>
  <c r="H3189" i="7"/>
  <c r="H3182" i="7"/>
  <c r="H3181" i="7"/>
  <c r="H3180" i="7"/>
  <c r="I3179" i="7"/>
  <c r="H3179" i="7" s="1"/>
  <c r="I3178" i="7"/>
  <c r="H3178" i="7" s="1"/>
  <c r="I3177" i="7"/>
  <c r="H3177" i="7" s="1"/>
  <c r="I3176" i="7"/>
  <c r="H3176" i="7" s="1"/>
  <c r="I3175" i="7"/>
  <c r="H3175" i="7" s="1"/>
  <c r="I3174" i="7"/>
  <c r="H3174" i="7" s="1"/>
  <c r="H3173" i="7"/>
  <c r="H3172" i="7"/>
  <c r="H3171" i="7"/>
  <c r="H3170" i="7"/>
  <c r="H3169" i="7"/>
  <c r="H3168" i="7"/>
  <c r="H3167" i="7"/>
  <c r="H3166" i="7"/>
  <c r="H3164" i="7"/>
  <c r="H3163" i="7"/>
  <c r="H3156" i="7"/>
  <c r="H3155" i="7"/>
  <c r="H3154" i="7"/>
  <c r="I3153" i="7"/>
  <c r="H3153" i="7" s="1"/>
  <c r="I3152" i="7"/>
  <c r="H3152" i="7" s="1"/>
  <c r="I3151" i="7"/>
  <c r="H3151" i="7" s="1"/>
  <c r="I3150" i="7"/>
  <c r="H3150" i="7" s="1"/>
  <c r="I3149" i="7"/>
  <c r="H3149" i="7" s="1"/>
  <c r="I3148" i="7"/>
  <c r="H3148" i="7" s="1"/>
  <c r="H3147" i="7"/>
  <c r="H3146" i="7"/>
  <c r="H3145" i="7"/>
  <c r="H3144" i="7"/>
  <c r="H3143" i="7"/>
  <c r="H3142" i="7"/>
  <c r="H3141" i="7"/>
  <c r="H3139" i="7"/>
  <c r="H3138" i="7"/>
  <c r="H3121" i="7"/>
  <c r="H3120" i="7"/>
  <c r="H3119" i="7"/>
  <c r="H3118" i="7"/>
  <c r="H3117" i="7"/>
  <c r="H3116" i="7"/>
  <c r="H3115" i="7"/>
  <c r="H3114" i="7"/>
  <c r="H3113" i="7"/>
  <c r="H3112" i="7"/>
  <c r="H3111" i="7"/>
  <c r="H3110" i="7"/>
  <c r="H3109" i="7"/>
  <c r="H3108" i="7"/>
  <c r="H3107" i="7"/>
  <c r="H3106" i="7"/>
  <c r="H3105" i="7"/>
  <c r="H3104" i="7"/>
  <c r="H3103" i="7"/>
  <c r="H3102" i="7"/>
  <c r="H3101" i="7"/>
  <c r="H3100" i="7"/>
  <c r="H3099" i="7"/>
  <c r="H3098" i="7"/>
  <c r="H3097" i="7"/>
  <c r="H3096" i="7"/>
  <c r="H3095" i="7"/>
  <c r="H3093" i="7"/>
  <c r="H3092" i="7"/>
  <c r="H3085" i="7"/>
  <c r="H3084" i="7"/>
  <c r="H3083" i="7"/>
  <c r="H3082" i="7"/>
  <c r="H3081" i="7"/>
  <c r="H3080" i="7"/>
  <c r="H3079" i="7"/>
  <c r="H3078" i="7"/>
  <c r="H3077" i="7"/>
  <c r="H3076" i="7"/>
  <c r="H3075" i="7"/>
  <c r="H3074" i="7"/>
  <c r="H3073" i="7"/>
  <c r="H3072" i="7"/>
  <c r="H3071" i="7"/>
  <c r="H3070" i="7"/>
  <c r="H3069" i="7"/>
  <c r="H3068" i="7"/>
  <c r="H3067" i="7"/>
  <c r="H3066" i="7"/>
  <c r="H3065" i="7"/>
  <c r="H3064" i="7"/>
  <c r="H3063" i="7"/>
  <c r="H3062" i="7"/>
  <c r="H3061" i="7"/>
  <c r="H3060" i="7"/>
  <c r="H3059" i="7"/>
  <c r="H3057" i="7"/>
  <c r="H3056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2" i="7"/>
  <c r="H2551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7" i="7"/>
  <c r="H2516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0" i="7"/>
  <c r="H2479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7" i="7"/>
  <c r="H2446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5" i="7"/>
  <c r="H2324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6" i="7"/>
  <c r="H2295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69" i="7"/>
  <c r="H226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6" i="7"/>
  <c r="H2214" i="7"/>
  <c r="H2213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2" i="7"/>
  <c r="H2120" i="7"/>
  <c r="H2119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3" i="7"/>
  <c r="H1502" i="7"/>
  <c r="H1382" i="7"/>
  <c r="H1381" i="7"/>
  <c r="H1380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6" i="7"/>
  <c r="H1355" i="7"/>
  <c r="H1349" i="7"/>
  <c r="H1348" i="7"/>
  <c r="H1347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3" i="7"/>
  <c r="H1322" i="7"/>
  <c r="H1258" i="7"/>
  <c r="H1256" i="7"/>
  <c r="H1255" i="7"/>
  <c r="H1191" i="7"/>
  <c r="H1189" i="7"/>
  <c r="H1188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7" i="7"/>
  <c r="H926" i="7"/>
  <c r="H3144" i="11"/>
  <c r="H3122" i="11"/>
  <c r="H3101" i="11"/>
  <c r="H3080" i="11"/>
  <c r="H3059" i="11"/>
  <c r="H3058" i="11"/>
  <c r="H3057" i="11"/>
  <c r="H3056" i="11"/>
  <c r="H3055" i="11"/>
  <c r="H3054" i="11"/>
  <c r="H3053" i="11"/>
  <c r="H3052" i="11"/>
  <c r="H3051" i="11"/>
  <c r="H3050" i="11"/>
  <c r="H3049" i="11"/>
  <c r="H3048" i="11"/>
  <c r="H3047" i="11"/>
  <c r="H3046" i="11"/>
  <c r="H3045" i="11"/>
  <c r="H3044" i="11"/>
  <c r="H3043" i="11"/>
  <c r="H3042" i="11"/>
  <c r="H3038" i="11"/>
  <c r="H3037" i="11"/>
  <c r="H2869" i="11"/>
  <c r="H2868" i="11"/>
  <c r="H2867" i="11"/>
  <c r="H2866" i="11"/>
  <c r="H2865" i="11"/>
  <c r="H2864" i="11"/>
  <c r="H2863" i="11"/>
  <c r="H2862" i="11"/>
  <c r="H2861" i="11"/>
  <c r="H2860" i="11"/>
  <c r="H2859" i="11"/>
  <c r="H2858" i="11"/>
  <c r="H2857" i="11"/>
  <c r="H2856" i="11"/>
  <c r="H2855" i="11"/>
  <c r="H2854" i="11"/>
  <c r="H2853" i="11"/>
  <c r="H2852" i="11"/>
  <c r="H2851" i="11"/>
  <c r="H2850" i="11"/>
  <c r="H2849" i="11"/>
  <c r="H2848" i="11"/>
  <c r="H2847" i="11"/>
  <c r="H2846" i="11"/>
  <c r="H2845" i="11"/>
  <c r="H2844" i="11"/>
  <c r="H2843" i="11"/>
  <c r="H2842" i="11"/>
  <c r="H2841" i="11"/>
  <c r="H2840" i="11"/>
  <c r="H2839" i="11"/>
  <c r="H2837" i="11"/>
  <c r="H2836" i="11"/>
  <c r="H2830" i="11"/>
  <c r="H2829" i="11"/>
  <c r="H2828" i="11"/>
  <c r="H2827" i="11"/>
  <c r="H2826" i="11"/>
  <c r="H2824" i="11"/>
  <c r="H2823" i="11"/>
  <c r="H2815" i="11"/>
  <c r="H2814" i="11"/>
  <c r="H2813" i="11"/>
  <c r="H2812" i="11"/>
  <c r="H2811" i="11"/>
  <c r="H2809" i="11"/>
  <c r="H2808" i="11"/>
  <c r="H2799" i="11"/>
  <c r="H2798" i="11"/>
  <c r="H2797" i="11"/>
  <c r="H2796" i="11"/>
  <c r="H2795" i="11"/>
  <c r="H2794" i="11"/>
  <c r="H2793" i="11"/>
  <c r="H2792" i="11"/>
  <c r="H2791" i="11"/>
  <c r="H2790" i="11"/>
  <c r="H2789" i="11"/>
  <c r="H2788" i="11"/>
  <c r="H2787" i="11"/>
  <c r="H2786" i="11"/>
  <c r="H2784" i="11"/>
  <c r="H2783" i="11"/>
  <c r="H2775" i="11"/>
  <c r="H2774" i="11"/>
  <c r="H2773" i="11"/>
  <c r="H2772" i="11"/>
  <c r="H2770" i="11"/>
  <c r="H2769" i="11"/>
  <c r="H2762" i="11"/>
  <c r="H2761" i="11"/>
  <c r="H2760" i="11"/>
  <c r="H2758" i="11"/>
  <c r="H2757" i="11"/>
  <c r="H2749" i="11"/>
  <c r="H2748" i="11"/>
  <c r="H2747" i="11"/>
  <c r="H2746" i="11"/>
  <c r="H2745" i="11"/>
  <c r="H2744" i="11"/>
  <c r="H2743" i="11"/>
  <c r="H2742" i="11"/>
  <c r="H2741" i="11"/>
  <c r="H2740" i="11"/>
  <c r="H2739" i="11"/>
  <c r="H2738" i="11"/>
  <c r="H2737" i="11"/>
  <c r="H2736" i="11"/>
  <c r="H2735" i="11"/>
  <c r="H2734" i="11"/>
  <c r="H2733" i="11"/>
  <c r="H2732" i="11"/>
  <c r="H2731" i="11"/>
  <c r="H2730" i="11"/>
  <c r="H2729" i="11"/>
  <c r="H2728" i="11"/>
  <c r="H2727" i="11"/>
  <c r="H2726" i="11"/>
  <c r="H2725" i="11"/>
  <c r="H2724" i="11"/>
  <c r="H2723" i="11"/>
  <c r="H2722" i="11"/>
  <c r="H2721" i="11"/>
  <c r="H2720" i="11"/>
  <c r="H2719" i="11"/>
  <c r="H2718" i="11"/>
  <c r="H2716" i="11"/>
  <c r="H2715" i="11"/>
  <c r="H2708" i="11"/>
  <c r="H2707" i="11"/>
  <c r="H2706" i="11"/>
  <c r="H2705" i="11"/>
  <c r="H2704" i="11"/>
  <c r="H2703" i="11"/>
  <c r="H2702" i="11"/>
  <c r="H2701" i="11"/>
  <c r="H2700" i="11"/>
  <c r="H2699" i="11"/>
  <c r="H2698" i="11"/>
  <c r="H2697" i="11"/>
  <c r="H2696" i="11"/>
  <c r="H2695" i="11"/>
  <c r="H2694" i="11"/>
  <c r="H2693" i="11"/>
  <c r="H2692" i="11"/>
  <c r="H2691" i="11"/>
  <c r="H2690" i="11"/>
  <c r="H2689" i="11"/>
  <c r="H2688" i="11"/>
  <c r="H2687" i="11"/>
  <c r="H2686" i="11"/>
  <c r="H2685" i="11"/>
  <c r="H2684" i="11"/>
  <c r="H2683" i="11"/>
  <c r="H2682" i="11"/>
  <c r="H2681" i="11"/>
  <c r="H2680" i="11"/>
  <c r="H2678" i="11"/>
  <c r="H2677" i="11"/>
  <c r="H2651" i="11"/>
  <c r="H2636" i="11"/>
  <c r="H2635" i="11"/>
  <c r="H2634" i="11"/>
  <c r="H2633" i="11"/>
  <c r="H2632" i="11"/>
  <c r="H2631" i="11"/>
  <c r="H2630" i="11"/>
  <c r="H2629" i="11"/>
  <c r="H2628" i="11"/>
  <c r="H2627" i="11"/>
  <c r="H2626" i="11"/>
  <c r="H2625" i="11"/>
  <c r="H2624" i="11"/>
  <c r="H2623" i="11"/>
  <c r="H2622" i="11"/>
  <c r="H2621" i="11"/>
  <c r="H2620" i="11"/>
  <c r="H2619" i="11"/>
  <c r="H2618" i="11"/>
  <c r="H2617" i="11"/>
  <c r="H2616" i="11"/>
  <c r="H2615" i="11"/>
  <c r="H2614" i="11"/>
  <c r="H2613" i="11"/>
  <c r="H2612" i="11"/>
  <c r="H2611" i="11"/>
  <c r="H2610" i="11"/>
  <c r="H2609" i="11"/>
  <c r="H2608" i="11"/>
  <c r="H2607" i="11"/>
  <c r="H2606" i="11"/>
  <c r="H2605" i="11"/>
  <c r="H2604" i="11"/>
  <c r="H2603" i="11"/>
  <c r="H2602" i="11"/>
  <c r="H2601" i="11"/>
  <c r="H2600" i="11"/>
  <c r="H2599" i="11"/>
  <c r="H2597" i="11"/>
  <c r="H2596" i="11"/>
  <c r="H2587" i="11"/>
  <c r="H2586" i="11"/>
  <c r="H2585" i="11"/>
  <c r="H2584" i="11"/>
  <c r="H2583" i="11"/>
  <c r="H2582" i="11"/>
  <c r="H2581" i="11"/>
  <c r="H2580" i="11"/>
  <c r="H2579" i="11"/>
  <c r="H2578" i="11"/>
  <c r="H2577" i="11"/>
  <c r="H2576" i="11"/>
  <c r="H2575" i="11"/>
  <c r="H2574" i="11"/>
  <c r="H2573" i="11"/>
  <c r="H2572" i="11"/>
  <c r="H2571" i="11"/>
  <c r="H2570" i="11"/>
  <c r="H2569" i="11"/>
  <c r="H2568" i="11"/>
  <c r="H2567" i="11"/>
  <c r="H2566" i="11"/>
  <c r="H2565" i="11"/>
  <c r="H2564" i="11"/>
  <c r="H2563" i="11"/>
  <c r="H2562" i="11"/>
  <c r="H2561" i="11"/>
  <c r="H2560" i="11"/>
  <c r="H2559" i="11"/>
  <c r="H2558" i="11"/>
  <c r="H2557" i="11"/>
  <c r="H2556" i="11"/>
  <c r="H2555" i="11"/>
  <c r="H2554" i="11"/>
  <c r="H2553" i="11"/>
  <c r="H2552" i="11"/>
  <c r="H2551" i="11"/>
  <c r="H2550" i="11"/>
  <c r="H2549" i="11"/>
  <c r="H2548" i="11"/>
  <c r="H2547" i="11"/>
  <c r="H2546" i="11"/>
  <c r="H2545" i="11"/>
  <c r="H2544" i="11"/>
  <c r="H2543" i="11"/>
  <c r="H2542" i="11"/>
  <c r="H2541" i="11"/>
  <c r="H2540" i="11"/>
  <c r="H2538" i="11"/>
  <c r="H2537" i="11"/>
  <c r="H2529" i="11"/>
  <c r="H2528" i="11"/>
  <c r="H2527" i="11"/>
  <c r="H2526" i="11"/>
  <c r="H2525" i="11"/>
  <c r="H2524" i="11"/>
  <c r="H2523" i="11"/>
  <c r="H2522" i="11"/>
  <c r="H2521" i="11"/>
  <c r="H2520" i="11"/>
  <c r="H2519" i="11"/>
  <c r="H2518" i="11"/>
  <c r="H2517" i="11"/>
  <c r="H2516" i="11"/>
  <c r="H2515" i="11"/>
  <c r="H2514" i="11"/>
  <c r="H2513" i="11"/>
  <c r="H2512" i="11"/>
  <c r="H2511" i="11"/>
  <c r="H2510" i="11"/>
  <c r="H2509" i="11"/>
  <c r="H2508" i="11"/>
  <c r="H2506" i="11"/>
  <c r="H2505" i="11"/>
  <c r="H2500" i="11"/>
  <c r="H2499" i="11"/>
  <c r="H2498" i="11"/>
  <c r="H2497" i="11"/>
  <c r="H2496" i="11"/>
  <c r="H2495" i="11"/>
  <c r="H2494" i="11"/>
  <c r="H2493" i="11"/>
  <c r="H2492" i="11"/>
  <c r="H2491" i="11"/>
  <c r="H2490" i="11"/>
  <c r="H2489" i="11"/>
  <c r="H2488" i="11"/>
  <c r="H2487" i="11"/>
  <c r="H2486" i="11"/>
  <c r="H2485" i="11"/>
  <c r="H2484" i="11"/>
  <c r="H2483" i="11"/>
  <c r="H2482" i="11"/>
  <c r="H2481" i="11"/>
  <c r="H2480" i="11"/>
  <c r="H2479" i="11"/>
  <c r="H2476" i="11"/>
  <c r="H2475" i="11"/>
  <c r="H2470" i="11"/>
  <c r="H2469" i="11"/>
  <c r="H2468" i="11"/>
  <c r="H2467" i="11"/>
  <c r="H2466" i="11"/>
  <c r="H2465" i="11"/>
  <c r="H2464" i="11"/>
  <c r="H2463" i="11"/>
  <c r="H2462" i="11"/>
  <c r="H2461" i="11"/>
  <c r="H2460" i="11"/>
  <c r="H2459" i="11"/>
  <c r="H2458" i="11"/>
  <c r="H2457" i="11"/>
  <c r="H2456" i="11"/>
  <c r="H2455" i="11"/>
  <c r="H2454" i="11"/>
  <c r="H2453" i="11"/>
  <c r="H2452" i="11"/>
  <c r="H2451" i="11"/>
  <c r="H2450" i="11"/>
  <c r="H2449" i="11"/>
  <c r="H2446" i="11"/>
  <c r="H2445" i="11"/>
  <c r="H2439" i="11"/>
  <c r="H2438" i="11"/>
  <c r="H2437" i="11"/>
  <c r="H2436" i="11"/>
  <c r="H2435" i="11"/>
  <c r="H2434" i="11"/>
  <c r="H2433" i="11"/>
  <c r="H2432" i="11"/>
  <c r="H2431" i="11"/>
  <c r="H2430" i="11"/>
  <c r="H2429" i="11"/>
  <c r="I2428" i="11"/>
  <c r="H2428" i="11" s="1"/>
  <c r="I2427" i="11"/>
  <c r="H2427" i="11" s="1"/>
  <c r="I2426" i="11"/>
  <c r="H2426" i="11" s="1"/>
  <c r="I2425" i="11"/>
  <c r="H2425" i="11" s="1"/>
  <c r="I2424" i="11"/>
  <c r="H2424" i="11" s="1"/>
  <c r="H2423" i="11"/>
  <c r="H2422" i="11"/>
  <c r="H2421" i="11"/>
  <c r="H2420" i="11"/>
  <c r="H2419" i="11"/>
  <c r="H2418" i="11"/>
  <c r="H2417" i="11"/>
  <c r="H2415" i="11"/>
  <c r="H2414" i="11"/>
  <c r="H2409" i="11"/>
  <c r="H2408" i="11"/>
  <c r="H2407" i="11"/>
  <c r="H2406" i="11"/>
  <c r="H2405" i="11"/>
  <c r="H2404" i="11"/>
  <c r="H2393" i="11"/>
  <c r="H2392" i="11"/>
  <c r="H2391" i="11"/>
  <c r="H2390" i="11"/>
  <c r="I2389" i="11"/>
  <c r="H2389" i="11" s="1"/>
  <c r="I2388" i="11"/>
  <c r="H2388" i="11" s="1"/>
  <c r="I2387" i="11"/>
  <c r="H2387" i="11" s="1"/>
  <c r="I2386" i="11"/>
  <c r="H2386" i="11" s="1"/>
  <c r="I2385" i="11"/>
  <c r="H2385" i="11" s="1"/>
  <c r="H2384" i="11"/>
  <c r="H2383" i="11"/>
  <c r="H2382" i="11"/>
  <c r="H2381" i="11"/>
  <c r="H2380" i="11"/>
  <c r="H2379" i="11"/>
  <c r="H2377" i="11"/>
  <c r="H2376" i="11"/>
  <c r="H2371" i="11"/>
  <c r="H2370" i="11"/>
  <c r="H2369" i="11"/>
  <c r="H2368" i="11"/>
  <c r="H2367" i="11"/>
  <c r="H2366" i="11"/>
  <c r="H2355" i="11"/>
  <c r="H2354" i="11"/>
  <c r="H2353" i="11"/>
  <c r="H2352" i="11"/>
  <c r="I2351" i="11"/>
  <c r="H2351" i="11" s="1"/>
  <c r="I2350" i="11"/>
  <c r="H2350" i="11" s="1"/>
  <c r="I2349" i="11"/>
  <c r="H2349" i="11" s="1"/>
  <c r="I2348" i="11"/>
  <c r="H2348" i="11" s="1"/>
  <c r="I2347" i="11"/>
  <c r="H2347" i="11" s="1"/>
  <c r="H2346" i="11"/>
  <c r="H2345" i="11"/>
  <c r="H2344" i="11"/>
  <c r="H2343" i="11"/>
  <c r="H2342" i="11"/>
  <c r="H2341" i="11"/>
  <c r="H2339" i="11"/>
  <c r="H2338" i="11"/>
  <c r="H2333" i="11"/>
  <c r="H2332" i="11"/>
  <c r="H2331" i="11"/>
  <c r="H2330" i="11"/>
  <c r="H2329" i="11"/>
  <c r="H2328" i="11"/>
  <c r="H2327" i="11"/>
  <c r="H2326" i="11"/>
  <c r="H2325" i="11"/>
  <c r="H2324" i="11"/>
  <c r="H2323" i="11"/>
  <c r="I2322" i="11"/>
  <c r="H2322" i="11" s="1"/>
  <c r="I2321" i="11"/>
  <c r="H2321" i="11" s="1"/>
  <c r="I2320" i="11"/>
  <c r="H2320" i="11" s="1"/>
  <c r="I2319" i="11"/>
  <c r="H2319" i="11" s="1"/>
  <c r="I2318" i="11"/>
  <c r="H2318" i="11" s="1"/>
  <c r="H2317" i="11"/>
  <c r="H2316" i="11"/>
  <c r="H2315" i="11"/>
  <c r="H2314" i="11"/>
  <c r="H2313" i="11"/>
  <c r="H2312" i="11"/>
  <c r="H2310" i="11"/>
  <c r="H2309" i="11"/>
  <c r="H2302" i="11"/>
  <c r="H2301" i="11"/>
  <c r="I2300" i="11"/>
  <c r="H2300" i="11" s="1"/>
  <c r="I2299" i="11"/>
  <c r="H2299" i="11" s="1"/>
  <c r="I2298" i="11"/>
  <c r="H2298" i="11" s="1"/>
  <c r="I2297" i="11"/>
  <c r="H2297" i="11" s="1"/>
  <c r="H2296" i="11"/>
  <c r="H2295" i="11"/>
  <c r="H2294" i="11"/>
  <c r="H2293" i="11"/>
  <c r="H2291" i="11"/>
  <c r="H2290" i="11"/>
  <c r="H2284" i="11"/>
  <c r="H2283" i="11"/>
  <c r="H2282" i="11"/>
  <c r="H2281" i="11"/>
  <c r="H2280" i="11"/>
  <c r="H2279" i="11"/>
  <c r="I2278" i="11"/>
  <c r="H2278" i="11" s="1"/>
  <c r="I2277" i="11"/>
  <c r="H2277" i="11" s="1"/>
  <c r="I2276" i="11"/>
  <c r="H2276" i="11" s="1"/>
  <c r="I2275" i="11"/>
  <c r="H2275" i="11" s="1"/>
  <c r="H2274" i="11"/>
  <c r="H2273" i="11"/>
  <c r="H2272" i="11"/>
  <c r="H2270" i="11"/>
  <c r="H2269" i="11"/>
  <c r="H2262" i="11"/>
  <c r="H2261" i="11"/>
  <c r="H2260" i="11"/>
  <c r="I2259" i="11"/>
  <c r="H2259" i="11" s="1"/>
  <c r="I2258" i="11"/>
  <c r="H2258" i="11" s="1"/>
  <c r="I2257" i="11"/>
  <c r="H2257" i="11" s="1"/>
  <c r="I2256" i="11"/>
  <c r="H2256" i="11" s="1"/>
  <c r="I2255" i="11"/>
  <c r="H2255" i="11" s="1"/>
  <c r="I2254" i="11"/>
  <c r="H2254" i="11" s="1"/>
  <c r="H2253" i="11"/>
  <c r="H2252" i="11"/>
  <c r="H2251" i="11"/>
  <c r="H2250" i="11"/>
  <c r="H2249" i="11"/>
  <c r="H2248" i="11"/>
  <c r="H2247" i="11"/>
  <c r="H2246" i="11"/>
  <c r="H2244" i="11"/>
  <c r="H2243" i="11"/>
  <c r="H2236" i="11"/>
  <c r="H2235" i="11"/>
  <c r="H2234" i="11"/>
  <c r="I2233" i="11"/>
  <c r="H2233" i="11" s="1"/>
  <c r="I2232" i="11"/>
  <c r="H2232" i="11" s="1"/>
  <c r="I2231" i="11"/>
  <c r="H2231" i="11" s="1"/>
  <c r="I2230" i="11"/>
  <c r="H2230" i="11" s="1"/>
  <c r="I2229" i="11"/>
  <c r="H2229" i="11" s="1"/>
  <c r="I2228" i="11"/>
  <c r="H2228" i="11" s="1"/>
  <c r="H2227" i="11"/>
  <c r="H2226" i="11"/>
  <c r="H2225" i="11"/>
  <c r="H2224" i="11"/>
  <c r="H2223" i="11"/>
  <c r="H2222" i="11"/>
  <c r="H2221" i="11"/>
  <c r="H2219" i="11"/>
  <c r="H2218" i="11"/>
  <c r="H2201" i="11"/>
  <c r="H2200" i="11"/>
  <c r="H2199" i="11"/>
  <c r="H2198" i="11"/>
  <c r="H2197" i="11"/>
  <c r="H2196" i="11"/>
  <c r="H2195" i="11"/>
  <c r="H2194" i="11"/>
  <c r="H2193" i="11"/>
  <c r="H2192" i="11"/>
  <c r="H2191" i="11"/>
  <c r="H2190" i="11"/>
  <c r="H2189" i="11"/>
  <c r="H2188" i="11"/>
  <c r="H2187" i="11"/>
  <c r="H2186" i="11"/>
  <c r="H2185" i="11"/>
  <c r="H2184" i="11"/>
  <c r="H2183" i="11"/>
  <c r="H2182" i="11"/>
  <c r="H2181" i="11"/>
  <c r="H2180" i="11"/>
  <c r="H2179" i="11"/>
  <c r="H2178" i="11"/>
  <c r="H2177" i="11"/>
  <c r="H2176" i="11"/>
  <c r="H2175" i="11"/>
  <c r="H2173" i="11"/>
  <c r="H2172" i="11"/>
  <c r="H2165" i="11"/>
  <c r="H2164" i="11"/>
  <c r="H2163" i="11"/>
  <c r="H2162" i="11"/>
  <c r="H2161" i="11"/>
  <c r="H2160" i="11"/>
  <c r="H2159" i="11"/>
  <c r="H2158" i="11"/>
  <c r="H2157" i="11"/>
  <c r="H2156" i="11"/>
  <c r="H2155" i="11"/>
  <c r="H2154" i="11"/>
  <c r="H2153" i="11"/>
  <c r="H2152" i="11"/>
  <c r="H2151" i="11"/>
  <c r="H2150" i="11"/>
  <c r="H2149" i="11"/>
  <c r="H2148" i="11"/>
  <c r="H2147" i="11"/>
  <c r="H2146" i="11"/>
  <c r="H2145" i="11"/>
  <c r="H2144" i="11"/>
  <c r="H2143" i="11"/>
  <c r="H2142" i="11"/>
  <c r="H2141" i="11"/>
  <c r="H2140" i="11"/>
  <c r="H2139" i="11"/>
  <c r="H2137" i="11"/>
  <c r="H2136" i="11"/>
  <c r="H1663" i="11"/>
  <c r="H1662" i="11"/>
  <c r="H1661" i="11"/>
  <c r="H1660" i="11"/>
  <c r="H1659" i="11"/>
  <c r="H1658" i="11"/>
  <c r="H1657" i="11"/>
  <c r="H1656" i="11"/>
  <c r="H1655" i="11"/>
  <c r="H1654" i="11"/>
  <c r="H1653" i="11"/>
  <c r="H1652" i="11"/>
  <c r="H1651" i="11"/>
  <c r="H1650" i="11"/>
  <c r="H1649" i="11"/>
  <c r="H1648" i="11"/>
  <c r="H1647" i="11"/>
  <c r="H1646" i="11"/>
  <c r="H1645" i="11"/>
  <c r="H1644" i="11"/>
  <c r="H1643" i="11"/>
  <c r="H1642" i="11"/>
  <c r="H1641" i="11"/>
  <c r="H1640" i="11"/>
  <c r="H1639" i="11"/>
  <c r="H1638" i="11"/>
  <c r="H1637" i="11"/>
  <c r="H1636" i="11"/>
  <c r="H1635" i="11"/>
  <c r="H1634" i="11"/>
  <c r="H1632" i="11"/>
  <c r="H1631" i="11"/>
  <c r="H1624" i="11"/>
  <c r="H1623" i="11"/>
  <c r="H1622" i="11"/>
  <c r="H1621" i="11"/>
  <c r="H1620" i="11"/>
  <c r="H1619" i="11"/>
  <c r="H1618" i="11"/>
  <c r="H1617" i="11"/>
  <c r="H1616" i="11"/>
  <c r="H1615" i="11"/>
  <c r="H1614" i="11"/>
  <c r="H1613" i="11"/>
  <c r="H1612" i="11"/>
  <c r="H1611" i="11"/>
  <c r="H1610" i="11"/>
  <c r="H1609" i="11"/>
  <c r="H1608" i="11"/>
  <c r="H1607" i="11"/>
  <c r="H1606" i="11"/>
  <c r="H1605" i="11"/>
  <c r="H1604" i="11"/>
  <c r="H1603" i="11"/>
  <c r="H1602" i="11"/>
  <c r="H1601" i="11"/>
  <c r="H1600" i="11"/>
  <c r="H1599" i="11"/>
  <c r="H1597" i="11"/>
  <c r="H1596" i="11"/>
  <c r="H1591" i="11"/>
  <c r="H1590" i="11"/>
  <c r="H1589" i="11"/>
  <c r="H1588" i="11"/>
  <c r="H1587" i="11"/>
  <c r="H1586" i="11"/>
  <c r="H1585" i="11"/>
  <c r="H1584" i="11"/>
  <c r="H1583" i="11"/>
  <c r="H1582" i="11"/>
  <c r="H1581" i="11"/>
  <c r="H1580" i="11"/>
  <c r="H1579" i="11"/>
  <c r="H1578" i="11"/>
  <c r="H1577" i="11"/>
  <c r="H1576" i="11"/>
  <c r="H1575" i="11"/>
  <c r="H1574" i="11"/>
  <c r="H1573" i="11"/>
  <c r="H1572" i="11"/>
  <c r="H1571" i="11"/>
  <c r="H1570" i="11"/>
  <c r="H1569" i="11"/>
  <c r="H1568" i="11"/>
  <c r="H1567" i="11"/>
  <c r="H1566" i="11"/>
  <c r="H1565" i="11"/>
  <c r="H1564" i="11"/>
  <c r="H1563" i="11"/>
  <c r="H1562" i="11"/>
  <c r="H1560" i="11"/>
  <c r="H1559" i="11"/>
  <c r="H1554" i="11"/>
  <c r="H1553" i="11"/>
  <c r="H1552" i="11"/>
  <c r="H1551" i="11"/>
  <c r="H1550" i="11"/>
  <c r="H1549" i="11"/>
  <c r="H1548" i="11"/>
  <c r="H1547" i="11"/>
  <c r="H1546" i="11"/>
  <c r="H1545" i="11"/>
  <c r="H1544" i="11"/>
  <c r="H1543" i="11"/>
  <c r="H1542" i="11"/>
  <c r="H1541" i="11"/>
  <c r="H1540" i="11"/>
  <c r="H1539" i="11"/>
  <c r="H1538" i="11"/>
  <c r="H1537" i="11"/>
  <c r="H1536" i="11"/>
  <c r="H1535" i="11"/>
  <c r="H1534" i="11"/>
  <c r="H1533" i="11"/>
  <c r="H1532" i="11"/>
  <c r="H1531" i="11"/>
  <c r="H1530" i="11"/>
  <c r="H1529" i="11"/>
  <c r="H1527" i="11"/>
  <c r="H1526" i="11"/>
  <c r="H1431" i="11"/>
  <c r="H1430" i="11"/>
  <c r="H1429" i="11"/>
  <c r="H1428" i="11"/>
  <c r="H1427" i="11"/>
  <c r="H1426" i="11"/>
  <c r="H1425" i="11"/>
  <c r="H1424" i="11"/>
  <c r="H1423" i="11"/>
  <c r="H1422" i="11"/>
  <c r="H1421" i="11"/>
  <c r="H1420" i="11"/>
  <c r="H1419" i="11"/>
  <c r="H1418" i="11"/>
  <c r="H1417" i="11"/>
  <c r="H1416" i="11"/>
  <c r="H1415" i="11"/>
  <c r="H1414" i="11"/>
  <c r="H1413" i="11"/>
  <c r="H1412" i="11"/>
  <c r="H1411" i="11"/>
  <c r="H1410" i="11"/>
  <c r="H1409" i="11"/>
  <c r="H1407" i="11"/>
  <c r="H1406" i="11"/>
  <c r="H1401" i="11"/>
  <c r="H1400" i="11"/>
  <c r="H1399" i="11"/>
  <c r="H1398" i="11"/>
  <c r="H1397" i="11"/>
  <c r="H1396" i="11"/>
  <c r="H1395" i="11"/>
  <c r="H1394" i="11"/>
  <c r="H1393" i="11"/>
  <c r="H1392" i="11"/>
  <c r="H1391" i="11"/>
  <c r="H1390" i="11"/>
  <c r="H1389" i="11"/>
  <c r="H1388" i="11"/>
  <c r="H1387" i="11"/>
  <c r="H1386" i="11"/>
  <c r="H1385" i="11"/>
  <c r="H1384" i="11"/>
  <c r="H1383" i="11"/>
  <c r="H1382" i="11"/>
  <c r="H1381" i="11"/>
  <c r="H1380" i="11"/>
  <c r="H1378" i="11"/>
  <c r="H1377" i="11"/>
  <c r="H1368" i="11"/>
  <c r="H1367" i="11"/>
  <c r="H1366" i="11"/>
  <c r="H1365" i="11"/>
  <c r="H1364" i="11"/>
  <c r="H1363" i="11"/>
  <c r="H1362" i="11"/>
  <c r="H1361" i="11"/>
  <c r="H1360" i="11"/>
  <c r="H1359" i="11"/>
  <c r="H1358" i="11"/>
  <c r="H1357" i="11"/>
  <c r="H1356" i="11"/>
  <c r="H1355" i="11"/>
  <c r="H1354" i="11"/>
  <c r="H1353" i="11"/>
  <c r="H1351" i="11"/>
  <c r="H1350" i="11"/>
  <c r="H1339" i="11"/>
  <c r="H1338" i="11"/>
  <c r="H1337" i="11"/>
  <c r="H1336" i="11"/>
  <c r="H1335" i="11"/>
  <c r="H1334" i="11"/>
  <c r="H1333" i="11"/>
  <c r="H1332" i="11"/>
  <c r="H1331" i="11"/>
  <c r="H1330" i="11"/>
  <c r="H1329" i="11"/>
  <c r="H1328" i="11"/>
  <c r="H1327" i="11"/>
  <c r="H1326" i="11"/>
  <c r="H1325" i="11"/>
  <c r="H1324" i="11"/>
  <c r="H1323" i="11"/>
  <c r="H1322" i="11"/>
  <c r="H1321" i="11"/>
  <c r="H1320" i="11"/>
  <c r="H1319" i="11"/>
  <c r="H1318" i="11"/>
  <c r="H1317" i="11"/>
  <c r="H1316" i="11"/>
  <c r="H1315" i="11"/>
  <c r="H1314" i="11"/>
  <c r="H1313" i="11"/>
  <c r="H1312" i="11"/>
  <c r="H1311" i="11"/>
  <c r="H1310" i="11"/>
  <c r="H1309" i="11"/>
  <c r="H1308" i="11"/>
  <c r="H1307" i="11"/>
  <c r="H1306" i="11"/>
  <c r="H1305" i="11"/>
  <c r="H1304" i="11"/>
  <c r="H1303" i="11"/>
  <c r="H1302" i="11"/>
  <c r="H1301" i="11"/>
  <c r="H1300" i="11"/>
  <c r="H1299" i="11"/>
  <c r="H1297" i="11"/>
  <c r="H1296" i="11"/>
  <c r="H1287" i="11"/>
  <c r="H1286" i="11"/>
  <c r="H1285" i="11"/>
  <c r="H1284" i="11"/>
  <c r="H1283" i="11"/>
  <c r="H1282" i="11"/>
  <c r="H1281" i="11"/>
  <c r="H1280" i="11"/>
  <c r="H1279" i="11"/>
  <c r="H1278" i="11"/>
  <c r="H1277" i="11"/>
  <c r="H1276" i="11"/>
  <c r="H1275" i="11"/>
  <c r="H1274" i="11"/>
  <c r="H1273" i="11"/>
  <c r="H1272" i="11"/>
  <c r="H1271" i="11"/>
  <c r="H1270" i="11"/>
  <c r="H1269" i="11"/>
  <c r="H1268" i="11"/>
  <c r="H1267" i="11"/>
  <c r="H1266" i="11"/>
  <c r="H1265" i="11"/>
  <c r="H1264" i="11"/>
  <c r="H1263" i="11"/>
  <c r="H1262" i="11"/>
  <c r="H1261" i="11"/>
  <c r="H1260" i="11"/>
  <c r="H1259" i="11"/>
  <c r="H1258" i="11"/>
  <c r="H1257" i="11"/>
  <c r="H1256" i="11"/>
  <c r="H1255" i="11"/>
  <c r="H1254" i="11"/>
  <c r="H1253" i="11"/>
  <c r="H1252" i="11"/>
  <c r="H1251" i="11"/>
  <c r="H1250" i="11"/>
  <c r="H1249" i="11"/>
  <c r="H1248" i="11"/>
  <c r="H1247" i="11"/>
  <c r="H1246" i="11"/>
  <c r="H1245" i="11"/>
  <c r="H1244" i="11"/>
  <c r="H1243" i="11"/>
  <c r="H1242" i="11"/>
  <c r="H1241" i="11"/>
  <c r="H1240" i="11"/>
  <c r="H1239" i="11"/>
  <c r="H1238" i="11"/>
  <c r="H1237" i="11"/>
  <c r="H1236" i="11"/>
  <c r="H1235" i="11"/>
  <c r="H1234" i="11"/>
  <c r="H1233" i="11"/>
  <c r="H1232" i="11"/>
  <c r="H1231" i="11"/>
  <c r="H1230" i="11"/>
  <c r="H1229" i="11"/>
  <c r="H1228" i="11"/>
  <c r="H1227" i="11"/>
  <c r="H1226" i="11"/>
  <c r="H1225" i="11"/>
  <c r="H1224" i="11"/>
  <c r="H1223" i="11"/>
  <c r="H1222" i="11"/>
  <c r="H1221" i="11"/>
  <c r="H1220" i="11"/>
  <c r="H1219" i="11"/>
  <c r="H1218" i="11"/>
  <c r="H1217" i="11"/>
  <c r="H1216" i="11"/>
  <c r="H1215" i="11"/>
  <c r="H1214" i="11"/>
  <c r="H1213" i="11"/>
  <c r="H1212" i="11"/>
  <c r="H1211" i="11"/>
  <c r="H1210" i="11"/>
  <c r="H1209" i="11"/>
  <c r="H1208" i="11"/>
  <c r="H1207" i="11"/>
  <c r="H1206" i="11"/>
  <c r="H1204" i="11"/>
  <c r="H1203" i="11"/>
  <c r="H954" i="11"/>
  <c r="H953" i="11"/>
  <c r="H952" i="11"/>
  <c r="H951" i="11"/>
  <c r="H950" i="11"/>
  <c r="H949" i="11"/>
  <c r="H948" i="11"/>
  <c r="H947" i="11"/>
  <c r="H946" i="11"/>
  <c r="H945" i="11"/>
  <c r="H944" i="11"/>
  <c r="H943" i="11"/>
  <c r="H942" i="11"/>
  <c r="H941" i="11"/>
  <c r="H940" i="11"/>
  <c r="H939" i="11"/>
  <c r="H937" i="11"/>
  <c r="H936" i="11"/>
  <c r="H817" i="11"/>
  <c r="H816" i="11"/>
  <c r="H815" i="11"/>
  <c r="H813" i="11"/>
  <c r="H812" i="11"/>
  <c r="H811" i="11"/>
  <c r="H810" i="11"/>
  <c r="H809" i="11"/>
  <c r="H808" i="11"/>
  <c r="H807" i="11"/>
  <c r="H806" i="11"/>
  <c r="H805" i="11"/>
  <c r="H804" i="11"/>
  <c r="H803" i="11"/>
  <c r="H802" i="11"/>
  <c r="H801" i="11"/>
  <c r="H800" i="11"/>
  <c r="H799" i="11"/>
  <c r="H798" i="11"/>
  <c r="H797" i="11"/>
  <c r="H796" i="11"/>
  <c r="H795" i="11"/>
  <c r="H794" i="11"/>
  <c r="H793" i="11"/>
  <c r="H791" i="11"/>
  <c r="H790" i="11"/>
  <c r="H784" i="11"/>
  <c r="H783" i="11"/>
  <c r="H782" i="11"/>
  <c r="H780" i="11"/>
  <c r="H779" i="11"/>
  <c r="H778" i="11"/>
  <c r="H777" i="11"/>
  <c r="H776" i="11"/>
  <c r="H775" i="11"/>
  <c r="H774" i="11"/>
  <c r="H773" i="11"/>
  <c r="H772" i="11"/>
  <c r="H771" i="11"/>
  <c r="H770" i="11"/>
  <c r="H769" i="11"/>
  <c r="H768" i="11"/>
  <c r="H767" i="11"/>
  <c r="H766" i="11"/>
  <c r="H765" i="11"/>
  <c r="H764" i="11"/>
  <c r="H763" i="11"/>
  <c r="H762" i="11"/>
  <c r="H761" i="11"/>
  <c r="H758" i="11"/>
  <c r="H757" i="11"/>
  <c r="H749" i="11"/>
  <c r="H748" i="11"/>
  <c r="H747" i="11"/>
  <c r="H746" i="11"/>
  <c r="H745" i="11"/>
  <c r="H744" i="11"/>
  <c r="H743" i="11"/>
  <c r="H742" i="11"/>
  <c r="H741" i="11"/>
  <c r="H740" i="11"/>
  <c r="H739" i="11"/>
  <c r="H738" i="11"/>
  <c r="H737" i="11"/>
  <c r="H736" i="11"/>
  <c r="H735" i="11"/>
  <c r="H734" i="11"/>
  <c r="H733" i="11"/>
  <c r="H732" i="11"/>
  <c r="H731" i="11"/>
  <c r="H730" i="11"/>
  <c r="H729" i="11"/>
  <c r="H728" i="11"/>
  <c r="H727" i="11"/>
  <c r="H726" i="11"/>
  <c r="H725" i="11"/>
  <c r="H724" i="11"/>
  <c r="H723" i="11"/>
  <c r="H722" i="11"/>
  <c r="H721" i="11"/>
  <c r="H720" i="11"/>
  <c r="H719" i="11"/>
  <c r="H718" i="11"/>
  <c r="H717" i="11"/>
  <c r="H716" i="11"/>
  <c r="H715" i="11"/>
  <c r="H714" i="11"/>
  <c r="H713" i="11"/>
  <c r="H712" i="11"/>
  <c r="H711" i="11"/>
  <c r="H710" i="11"/>
  <c r="H709" i="11"/>
  <c r="H708" i="11"/>
  <c r="H707" i="11"/>
  <c r="H706" i="11"/>
  <c r="H705" i="11"/>
  <c r="H704" i="11"/>
  <c r="H703" i="11"/>
  <c r="H702" i="11"/>
  <c r="H700" i="11"/>
  <c r="H699" i="11"/>
  <c r="H691" i="11"/>
  <c r="H690" i="11"/>
  <c r="H689" i="11"/>
  <c r="H688" i="11"/>
  <c r="H687" i="11"/>
  <c r="H686" i="11"/>
  <c r="H685" i="11"/>
  <c r="H684" i="11"/>
  <c r="H683" i="11"/>
  <c r="H682" i="11"/>
  <c r="H681" i="11"/>
  <c r="H680" i="11"/>
  <c r="H679" i="11"/>
  <c r="H678" i="11"/>
  <c r="H677" i="11"/>
  <c r="H676" i="11"/>
  <c r="H675" i="11"/>
  <c r="H674" i="11"/>
  <c r="H673" i="11"/>
  <c r="H672" i="11"/>
  <c r="H671" i="11"/>
  <c r="H670" i="11"/>
  <c r="H669" i="11"/>
  <c r="H668" i="11"/>
  <c r="H667" i="11"/>
  <c r="H666" i="11"/>
  <c r="H665" i="11"/>
  <c r="H664" i="11"/>
  <c r="H663" i="11"/>
  <c r="H662" i="11"/>
  <c r="H661" i="11"/>
  <c r="H660" i="11"/>
  <c r="H659" i="11"/>
  <c r="H658" i="11"/>
  <c r="H657" i="11"/>
  <c r="H656" i="11"/>
  <c r="H655" i="11"/>
  <c r="H654" i="11"/>
  <c r="H653" i="11"/>
  <c r="H652" i="11"/>
  <c r="H651" i="11"/>
  <c r="H650" i="11"/>
  <c r="H649" i="11"/>
  <c r="H648" i="11"/>
  <c r="H647" i="11"/>
  <c r="H646" i="11"/>
  <c r="H645" i="11"/>
  <c r="H644" i="11"/>
  <c r="H642" i="11"/>
  <c r="H641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0" i="11"/>
  <c r="H379" i="11"/>
</calcChain>
</file>

<file path=xl/sharedStrings.xml><?xml version="1.0" encoding="utf-8"?>
<sst xmlns="http://schemas.openxmlformats.org/spreadsheetml/2006/main" count="29537" uniqueCount="2083">
  <si>
    <t>字段名</t>
  </si>
  <si>
    <t>字段</t>
  </si>
  <si>
    <t>字段类型</t>
  </si>
  <si>
    <t>是否主键</t>
  </si>
  <si>
    <t>字段说明</t>
  </si>
  <si>
    <t>初始化日期</t>
  </si>
  <si>
    <t>机构编号</t>
  </si>
  <si>
    <t>市场编号</t>
  </si>
  <si>
    <t>期初数量</t>
  </si>
  <si>
    <t>当前数量</t>
  </si>
  <si>
    <t>冻结数量</t>
  </si>
  <si>
    <t>解冻数量</t>
  </si>
  <si>
    <t>实现盈亏</t>
  </si>
  <si>
    <t>利息成本金额</t>
  </si>
  <si>
    <t>利息收益</t>
  </si>
  <si>
    <t>索引</t>
  </si>
  <si>
    <t>机构编号</t>
    <phoneticPr fontId="4" type="noConversion"/>
  </si>
  <si>
    <t>产品编码</t>
    <phoneticPr fontId="4" type="noConversion"/>
  </si>
  <si>
    <t>市场编号</t>
    <phoneticPr fontId="4" type="noConversion"/>
  </si>
  <si>
    <t>证券代码</t>
    <phoneticPr fontId="4" type="noConversion"/>
  </si>
  <si>
    <t>成交编号</t>
  </si>
  <si>
    <t>操作员编号</t>
    <phoneticPr fontId="4" type="noConversion"/>
  </si>
  <si>
    <t>初始化日期</t>
    <phoneticPr fontId="4" type="noConversion"/>
  </si>
  <si>
    <t>本币币种</t>
  </si>
  <si>
    <t>期初金额</t>
  </si>
  <si>
    <t>当前金额</t>
  </si>
  <si>
    <t>冻结金额</t>
  </si>
  <si>
    <t>解冻金额</t>
  </si>
  <si>
    <t>Y</t>
  </si>
  <si>
    <t>涨停价</t>
  </si>
  <si>
    <t>跌停价</t>
  </si>
  <si>
    <t>市盈率</t>
  </si>
  <si>
    <t>昨收盘价</t>
  </si>
  <si>
    <t>今开盘价</t>
  </si>
  <si>
    <t>今收盘价</t>
  </si>
  <si>
    <t>最新价</t>
  </si>
  <si>
    <t>今最高价</t>
  </si>
  <si>
    <t>今最低价</t>
  </si>
  <si>
    <t>成交数量</t>
  </si>
  <si>
    <t>成交金额</t>
  </si>
  <si>
    <t>公允价格</t>
  </si>
  <si>
    <t>资产类型</t>
    <phoneticPr fontId="4" type="noConversion"/>
  </si>
  <si>
    <t>买一价</t>
  </si>
  <si>
    <t>买一量</t>
  </si>
  <si>
    <t>买二价</t>
  </si>
  <si>
    <t>买二量</t>
  </si>
  <si>
    <t>买三价</t>
  </si>
  <si>
    <t>买三量</t>
  </si>
  <si>
    <t>买四价</t>
  </si>
  <si>
    <t>买四量</t>
  </si>
  <si>
    <t>买五价</t>
  </si>
  <si>
    <t>买五量</t>
  </si>
  <si>
    <t>卖一价</t>
  </si>
  <si>
    <t>卖一量</t>
  </si>
  <si>
    <t>卖二价</t>
  </si>
  <si>
    <t>卖二量</t>
  </si>
  <si>
    <t>卖三价</t>
  </si>
  <si>
    <t>卖三量</t>
  </si>
  <si>
    <t>卖四价</t>
  </si>
  <si>
    <t>卖四量</t>
  </si>
  <si>
    <t>卖五价</t>
  </si>
  <si>
    <t>卖五量</t>
  </si>
  <si>
    <t>U</t>
    <phoneticPr fontId="4" type="noConversion"/>
  </si>
  <si>
    <t>产品名称</t>
  </si>
  <si>
    <t>产品全称</t>
  </si>
  <si>
    <t>成立日期</t>
  </si>
  <si>
    <t>产品类型</t>
  </si>
  <si>
    <t>备注信息</t>
  </si>
  <si>
    <t>原始金额</t>
  </si>
  <si>
    <t>产品总份额</t>
  </si>
  <si>
    <t>募集币种</t>
  </si>
  <si>
    <t>允许操作证券类型</t>
  </si>
  <si>
    <t>境内托管人全名</t>
  </si>
  <si>
    <t>境内托管账户</t>
  </si>
  <si>
    <t>境内托管账户名</t>
  </si>
  <si>
    <t>产品状态</t>
  </si>
  <si>
    <t>提交质押数量</t>
  </si>
  <si>
    <t>转回质押数量</t>
  </si>
  <si>
    <t>证券类型</t>
  </si>
  <si>
    <t>订单方向</t>
  </si>
  <si>
    <t>开平方向</t>
  </si>
  <si>
    <t>清算处理日期</t>
  </si>
  <si>
    <t>业务类型</t>
  </si>
  <si>
    <t>资产处理日期</t>
  </si>
  <si>
    <t>资产处理时点</t>
  </si>
  <si>
    <t>资金处理方式</t>
  </si>
  <si>
    <t>资金处理日期</t>
  </si>
  <si>
    <t>资金处理时点</t>
  </si>
  <si>
    <t>资金可用日期</t>
  </si>
  <si>
    <t>证券处理方式</t>
  </si>
  <si>
    <t>证券处理日期</t>
  </si>
  <si>
    <t>证券处理时点</t>
  </si>
  <si>
    <t>证券可用日期</t>
  </si>
  <si>
    <t>证券类型</t>
    <phoneticPr fontId="4" type="noConversion"/>
  </si>
  <si>
    <t>订单方向</t>
    <phoneticPr fontId="4" type="noConversion"/>
  </si>
  <si>
    <t>开平方向</t>
    <phoneticPr fontId="4" type="noConversion"/>
  </si>
  <si>
    <t>业务类型</t>
    <phoneticPr fontId="4" type="noConversion"/>
  </si>
  <si>
    <t>申报日期</t>
  </si>
  <si>
    <t>通道编号</t>
  </si>
  <si>
    <t>申报编号</t>
  </si>
  <si>
    <t>成交价格</t>
  </si>
  <si>
    <t>成交日期</t>
  </si>
  <si>
    <t>印花税</t>
  </si>
  <si>
    <t>过户费</t>
  </si>
  <si>
    <t>经手费</t>
  </si>
  <si>
    <t>证管费</t>
  </si>
  <si>
    <t>其他费用</t>
  </si>
  <si>
    <t>交易佣金</t>
  </si>
  <si>
    <t>其他佣金</t>
  </si>
  <si>
    <t>机构编号</t>
    <phoneticPr fontId="4" type="noConversion"/>
  </si>
  <si>
    <t>本币币种</t>
    <phoneticPr fontId="4" type="noConversion"/>
  </si>
  <si>
    <t>产品编号</t>
    <phoneticPr fontId="4" type="noConversion"/>
  </si>
  <si>
    <t>交易组编号</t>
  </si>
  <si>
    <t>资产账户编号</t>
    <phoneticPr fontId="4" type="noConversion"/>
  </si>
  <si>
    <t>股东代码编号</t>
    <phoneticPr fontId="4" type="noConversion"/>
  </si>
  <si>
    <t>证券代码编号</t>
    <phoneticPr fontId="4" type="noConversion"/>
  </si>
  <si>
    <t>成本金额</t>
  </si>
  <si>
    <t>U</t>
    <phoneticPr fontId="4" type="noConversion"/>
  </si>
  <si>
    <t>证券代码编号</t>
    <phoneticPr fontId="4" type="noConversion"/>
  </si>
  <si>
    <t>产品编号</t>
    <phoneticPr fontId="4" type="noConversion"/>
  </si>
  <si>
    <t>资产账户编号</t>
    <phoneticPr fontId="4" type="noConversion"/>
  </si>
  <si>
    <t>资产账户编号</t>
    <phoneticPr fontId="4" type="noConversion"/>
  </si>
  <si>
    <t>机构编号</t>
    <phoneticPr fontId="4" type="noConversion"/>
  </si>
  <si>
    <t>交易组编号</t>
    <phoneticPr fontId="4" type="noConversion"/>
  </si>
  <si>
    <t>多空类型</t>
  </si>
  <si>
    <t>开仓日期</t>
  </si>
  <si>
    <t>开仓时间</t>
  </si>
  <si>
    <t>开仓价格</t>
  </si>
  <si>
    <t>开仓市值</t>
  </si>
  <si>
    <t>开仓费用</t>
  </si>
  <si>
    <t>平仓数量</t>
  </si>
  <si>
    <t>平仓市值</t>
    <phoneticPr fontId="4" type="noConversion"/>
  </si>
  <si>
    <t>平仓费用</t>
    <phoneticPr fontId="4" type="noConversion"/>
  </si>
  <si>
    <t>持仓状态</t>
  </si>
  <si>
    <t>备注信息</t>
    <phoneticPr fontId="4" type="noConversion"/>
  </si>
  <si>
    <t>操作员编号</t>
  </si>
  <si>
    <t>交易限额数量</t>
    <phoneticPr fontId="4" type="noConversion"/>
  </si>
  <si>
    <t>交易释放数量</t>
    <phoneticPr fontId="4" type="noConversion"/>
  </si>
  <si>
    <t>交易占用数量</t>
    <phoneticPr fontId="4" type="noConversion"/>
  </si>
  <si>
    <t>成交释放数量</t>
    <phoneticPr fontId="4" type="noConversion"/>
  </si>
  <si>
    <t>成交占用数量</t>
    <phoneticPr fontId="4" type="noConversion"/>
  </si>
  <si>
    <t>总实现盈亏</t>
    <phoneticPr fontId="4" type="noConversion"/>
  </si>
  <si>
    <t>总开仓费用</t>
    <phoneticPr fontId="4" type="noConversion"/>
  </si>
  <si>
    <t>外部交易释放数量</t>
    <phoneticPr fontId="4" type="noConversion"/>
  </si>
  <si>
    <t>外部交易占用数量</t>
    <phoneticPr fontId="4" type="noConversion"/>
  </si>
  <si>
    <t>外部成交释放数量</t>
    <phoneticPr fontId="4" type="noConversion"/>
  </si>
  <si>
    <t>外部成交占用数量</t>
    <phoneticPr fontId="4" type="noConversion"/>
  </si>
  <si>
    <t>限额设置状态</t>
    <phoneticPr fontId="4" type="noConversion"/>
  </si>
  <si>
    <t>限额设置类型</t>
    <phoneticPr fontId="4" type="noConversion"/>
  </si>
  <si>
    <t>初始化日期</t>
    <phoneticPr fontId="4" type="noConversion"/>
  </si>
  <si>
    <t>持仓数量</t>
    <phoneticPr fontId="4" type="noConversion"/>
  </si>
  <si>
    <t>交易数量</t>
    <phoneticPr fontId="4" type="noConversion"/>
  </si>
  <si>
    <t>全部费用</t>
  </si>
  <si>
    <t>实现盈亏</t>
    <phoneticPr fontId="4" type="noConversion"/>
  </si>
  <si>
    <t>交易组编号</t>
    <phoneticPr fontId="4" type="noConversion"/>
  </si>
  <si>
    <t>券源数量</t>
    <phoneticPr fontId="4" type="noConversion"/>
  </si>
  <si>
    <t>当前数量</t>
    <phoneticPr fontId="4" type="noConversion"/>
  </si>
  <si>
    <t>实现盈亏</t>
    <phoneticPr fontId="4" type="noConversion"/>
  </si>
  <si>
    <t>交易释放数量</t>
    <phoneticPr fontId="4" type="noConversion"/>
  </si>
  <si>
    <t>总平仓费用</t>
    <phoneticPr fontId="4" type="noConversion"/>
  </si>
  <si>
    <t>资产账户编号</t>
    <phoneticPr fontId="4" type="noConversion"/>
  </si>
  <si>
    <t>期初金额</t>
    <phoneticPr fontId="4" type="noConversion"/>
  </si>
  <si>
    <t>持仓市值</t>
  </si>
  <si>
    <t>交易金额</t>
  </si>
  <si>
    <t>交易组编码</t>
    <phoneticPr fontId="4" type="noConversion"/>
  </si>
  <si>
    <t>交易组名称</t>
    <phoneticPr fontId="4" type="noConversion"/>
  </si>
  <si>
    <t>交易组状态</t>
    <phoneticPr fontId="4" type="noConversion"/>
  </si>
  <si>
    <t>默认组标志</t>
    <phoneticPr fontId="4" type="noConversion"/>
  </si>
  <si>
    <t>分配产品资金</t>
    <phoneticPr fontId="4" type="noConversion"/>
  </si>
  <si>
    <t>交易组产品份额</t>
    <phoneticPr fontId="4" type="noConversion"/>
  </si>
  <si>
    <t>允许投资市场</t>
    <phoneticPr fontId="4" type="noConversion"/>
  </si>
  <si>
    <t>业务控制配置串</t>
    <phoneticPr fontId="4" type="noConversion"/>
  </si>
  <si>
    <t>市价冻结浮动比例</t>
    <phoneticPr fontId="4" type="noConversion"/>
  </si>
  <si>
    <t>订单序号</t>
  </si>
  <si>
    <t>交易代码编号</t>
    <phoneticPr fontId="4" type="noConversion"/>
  </si>
  <si>
    <t>累计应收金额</t>
  </si>
  <si>
    <t>累计应付金额</t>
  </si>
  <si>
    <t>实现盈亏</t>
    <phoneticPr fontId="4" type="noConversion"/>
  </si>
  <si>
    <t>利率</t>
    <phoneticPr fontId="4" type="noConversion"/>
  </si>
  <si>
    <t>利息积数</t>
    <phoneticPr fontId="4" type="noConversion"/>
  </si>
  <si>
    <t>待入账利息</t>
    <phoneticPr fontId="4" type="noConversion"/>
  </si>
  <si>
    <t>本币币种</t>
    <phoneticPr fontId="4" type="noConversion"/>
  </si>
  <si>
    <t>本币币种</t>
    <phoneticPr fontId="4" type="noConversion"/>
  </si>
  <si>
    <t>证券名称</t>
    <phoneticPr fontId="4" type="noConversion"/>
  </si>
  <si>
    <t>时间戳</t>
  </si>
  <si>
    <t>证券代码编号</t>
    <phoneticPr fontId="4" type="noConversion"/>
  </si>
  <si>
    <t>证券类型</t>
    <phoneticPr fontId="4" type="noConversion"/>
  </si>
  <si>
    <t>产品编码</t>
    <phoneticPr fontId="4" type="noConversion"/>
  </si>
  <si>
    <t>产品管理人</t>
  </si>
  <si>
    <t>原始资产</t>
    <phoneticPr fontId="4" type="noConversion"/>
  </si>
  <si>
    <t>当前份额</t>
  </si>
  <si>
    <t>昨日份额</t>
    <phoneticPr fontId="4" type="noConversion"/>
  </si>
  <si>
    <t>历史最高单位净值</t>
    <phoneticPr fontId="4" type="noConversion"/>
  </si>
  <si>
    <t>昨日净值</t>
    <phoneticPr fontId="4" type="noConversion"/>
  </si>
  <si>
    <t>产品编号</t>
  </si>
  <si>
    <t>成本计算方式</t>
    <phoneticPr fontId="4" type="noConversion"/>
  </si>
  <si>
    <t>允许投资市场</t>
  </si>
  <si>
    <t>指令审批操作员</t>
    <phoneticPr fontId="4" type="noConversion"/>
  </si>
  <si>
    <t>市价冻结浮动比例</t>
    <phoneticPr fontId="4" type="noConversion"/>
  </si>
  <si>
    <t>禁止订单方向</t>
    <phoneticPr fontId="4" type="noConversion"/>
  </si>
  <si>
    <t>机构编号</t>
    <phoneticPr fontId="4" type="noConversion"/>
  </si>
  <si>
    <t>股东代码编号</t>
    <phoneticPr fontId="4" type="noConversion"/>
  </si>
  <si>
    <t>证券代码编号</t>
    <phoneticPr fontId="4" type="noConversion"/>
  </si>
  <si>
    <t>机构编号</t>
    <phoneticPr fontId="4" type="noConversion"/>
  </si>
  <si>
    <t>资产账户编号</t>
    <phoneticPr fontId="4" type="noConversion"/>
  </si>
  <si>
    <t>U</t>
    <phoneticPr fontId="4" type="noConversion"/>
  </si>
  <si>
    <t>交易限额数量</t>
    <phoneticPr fontId="4" type="noConversion"/>
  </si>
  <si>
    <t>总开仓费用</t>
    <phoneticPr fontId="4" type="noConversion"/>
  </si>
  <si>
    <t>外部交易释放数量</t>
    <phoneticPr fontId="4" type="noConversion"/>
  </si>
  <si>
    <t>外部成交占用数量</t>
    <phoneticPr fontId="4" type="noConversion"/>
  </si>
  <si>
    <t>投资类型</t>
    <phoneticPr fontId="4" type="noConversion"/>
  </si>
  <si>
    <t>int</t>
    <phoneticPr fontId="4" type="noConversion"/>
  </si>
  <si>
    <t>交易代码</t>
    <phoneticPr fontId="4" type="noConversion"/>
  </si>
  <si>
    <t>标的代码</t>
    <phoneticPr fontId="4" type="noConversion"/>
  </si>
  <si>
    <t>标的代码编号</t>
    <phoneticPr fontId="4" type="noConversion"/>
  </si>
  <si>
    <t>发行日期</t>
  </si>
  <si>
    <t>结束日期</t>
  </si>
  <si>
    <t>起息日期</t>
  </si>
  <si>
    <t>下一起息日期</t>
    <phoneticPr fontId="4" type="noConversion"/>
  </si>
  <si>
    <t>上市日期</t>
  </si>
  <si>
    <t>债券期限</t>
  </si>
  <si>
    <t>发行价</t>
  </si>
  <si>
    <t>票面面值</t>
  </si>
  <si>
    <t>年利率</t>
  </si>
  <si>
    <t>计息天数</t>
  </si>
  <si>
    <t>付息间隔</t>
  </si>
  <si>
    <t>债券计提利息</t>
  </si>
  <si>
    <t>债券利率类型</t>
  </si>
  <si>
    <t>间隔天数</t>
    <phoneticPr fontId="4" type="noConversion"/>
  </si>
  <si>
    <t>净价标志</t>
  </si>
  <si>
    <t>最后交易日</t>
  </si>
  <si>
    <t>权益类型</t>
  </si>
  <si>
    <t>转股开始日期</t>
  </si>
  <si>
    <t>转股结束日期</t>
  </si>
  <si>
    <t>行权开始日期</t>
  </si>
  <si>
    <t>行权结束日期</t>
  </si>
  <si>
    <t>质押比例</t>
  </si>
  <si>
    <t>Integer</t>
    <phoneticPr fontId="4" type="noConversion"/>
  </si>
  <si>
    <t>INTEGER</t>
    <phoneticPr fontId="4" type="noConversion"/>
  </si>
  <si>
    <t>证券代码</t>
  </si>
  <si>
    <t>证券名称</t>
  </si>
  <si>
    <t>拼音简称</t>
  </si>
  <si>
    <t>资产类型</t>
  </si>
  <si>
    <t>交易币种</t>
    <phoneticPr fontId="4" type="noConversion"/>
  </si>
  <si>
    <t>类型单位</t>
  </si>
  <si>
    <t>申报单位</t>
  </si>
  <si>
    <t>最小单位</t>
  </si>
  <si>
    <t>最大数量</t>
  </si>
  <si>
    <t>价格上限</t>
  </si>
  <si>
    <t>价格下限</t>
  </si>
  <si>
    <t>最小价差</t>
  </si>
  <si>
    <t>停牌标志</t>
  </si>
  <si>
    <t>总股本</t>
    <phoneticPr fontId="4" type="noConversion"/>
  </si>
  <si>
    <t>流通股本</t>
    <phoneticPr fontId="4" type="noConversion"/>
  </si>
  <si>
    <t>资金回转天数</t>
    <phoneticPr fontId="4" type="noConversion"/>
  </si>
  <si>
    <t>持仓回转天数</t>
    <phoneticPr fontId="4" type="noConversion"/>
  </si>
  <si>
    <t>最小数量</t>
    <phoneticPr fontId="4" type="noConversion"/>
  </si>
  <si>
    <t>区分订单方向标志</t>
    <phoneticPr fontId="4" type="noConversion"/>
  </si>
  <si>
    <t>债券计提利息</t>
    <phoneticPr fontId="4" type="noConversion"/>
  </si>
  <si>
    <t>净价标志</t>
    <phoneticPr fontId="4" type="noConversion"/>
  </si>
  <si>
    <t>外部账号</t>
    <phoneticPr fontId="4" type="noConversion"/>
  </si>
  <si>
    <t>指令序号</t>
    <phoneticPr fontId="4" type="noConversion"/>
  </si>
  <si>
    <t>订单价格</t>
    <phoneticPr fontId="4" type="noConversion"/>
  </si>
  <si>
    <t>全部费用</t>
    <phoneticPr fontId="4" type="noConversion"/>
  </si>
  <si>
    <t>计息天数</t>
    <phoneticPr fontId="4" type="noConversion"/>
  </si>
  <si>
    <t>债券利率类型</t>
    <phoneticPr fontId="4" type="noConversion"/>
  </si>
  <si>
    <t>订单操作方式</t>
    <phoneticPr fontId="4" type="noConversion"/>
  </si>
  <si>
    <t>体外指令标志</t>
    <phoneticPr fontId="4" type="noConversion"/>
  </si>
  <si>
    <t>记录有效标志</t>
    <phoneticPr fontId="4" type="noConversion"/>
  </si>
  <si>
    <t>订单日期</t>
    <phoneticPr fontId="4" type="noConversion"/>
  </si>
  <si>
    <t>指令批号</t>
    <phoneticPr fontId="4" type="noConversion"/>
  </si>
  <si>
    <t>订单时间</t>
    <phoneticPr fontId="4" type="noConversion"/>
  </si>
  <si>
    <t>订单数量</t>
    <phoneticPr fontId="4" type="noConversion"/>
  </si>
  <si>
    <t>票面面值</t>
    <phoneticPr fontId="4" type="noConversion"/>
  </si>
  <si>
    <t>质押比例</t>
    <phoneticPr fontId="4" type="noConversion"/>
  </si>
  <si>
    <t>成交时间</t>
    <phoneticPr fontId="3" type="noConversion"/>
  </si>
  <si>
    <t>成交日期</t>
    <phoneticPr fontId="3" type="noConversion"/>
  </si>
  <si>
    <t>成交金额</t>
    <phoneticPr fontId="3" type="noConversion"/>
  </si>
  <si>
    <t>from t</t>
    <phoneticPr fontId="3" type="noConversion"/>
  </si>
  <si>
    <t>inner join vi_basesedt_stock_code_info a on t.stock_code_no = a.stock_code_no 
left join vi_basesedt_bond_info b on t.stock_code_no = b.stock_code_no ;</t>
    <phoneticPr fontId="3" type="noConversion"/>
  </si>
  <si>
    <t>买入数量</t>
    <phoneticPr fontId="4" type="noConversion"/>
  </si>
  <si>
    <t>卖出数量</t>
    <phoneticPr fontId="4" type="noConversion"/>
  </si>
  <si>
    <t>买入金额</t>
    <phoneticPr fontId="4" type="noConversion"/>
  </si>
  <si>
    <t>as SELECT</t>
    <phoneticPr fontId="3" type="noConversion"/>
  </si>
  <si>
    <t>操作员名称</t>
  </si>
  <si>
    <t>操作员类型</t>
  </si>
  <si>
    <t>操作员密码</t>
  </si>
  <si>
    <t>操作员状态</t>
  </si>
  <si>
    <t>创建者</t>
  </si>
  <si>
    <t>联系地址</t>
  </si>
  <si>
    <t>操作权限</t>
  </si>
  <si>
    <t>电话</t>
  </si>
  <si>
    <t>EMAIL</t>
  </si>
  <si>
    <t>是否交易员</t>
  </si>
  <si>
    <t>交易员编号</t>
    <phoneticPr fontId="4" type="noConversion"/>
  </si>
  <si>
    <t>允许登录方式</t>
    <phoneticPr fontId="4" type="noConversion"/>
  </si>
  <si>
    <t>允许操作IP</t>
    <phoneticPr fontId="4" type="noConversion"/>
  </si>
  <si>
    <t>允许操作MAC</t>
    <phoneticPr fontId="4" type="noConversion"/>
  </si>
  <si>
    <t>U</t>
  </si>
  <si>
    <t>配置编号</t>
  </si>
  <si>
    <t>配置名称</t>
  </si>
  <si>
    <t>配置值</t>
  </si>
  <si>
    <t>期初净资产</t>
  </si>
  <si>
    <t>净资产</t>
  </si>
  <si>
    <t>现金资产</t>
  </si>
  <si>
    <t>股票资产</t>
  </si>
  <si>
    <t>基金资产</t>
  </si>
  <si>
    <t>债券资产</t>
  </si>
  <si>
    <t>期货资产</t>
  </si>
  <si>
    <t>回购资产</t>
  </si>
  <si>
    <t>其他资产</t>
  </si>
  <si>
    <t>未平仓市值</t>
    <phoneticPr fontId="4" type="noConversion"/>
  </si>
  <si>
    <t>期初净资产</t>
    <phoneticPr fontId="4" type="noConversion"/>
  </si>
  <si>
    <t>现金资产</t>
    <phoneticPr fontId="4" type="noConversion"/>
  </si>
  <si>
    <t>回购资产</t>
    <phoneticPr fontId="4" type="noConversion"/>
  </si>
  <si>
    <t>当前金额</t>
    <phoneticPr fontId="4" type="noConversion"/>
  </si>
  <si>
    <t>产品已分配金额</t>
  </si>
  <si>
    <t>产品已授权金额</t>
  </si>
  <si>
    <t>累计派现金额</t>
    <phoneticPr fontId="4" type="noConversion"/>
  </si>
  <si>
    <t>累计计提费用</t>
    <phoneticPr fontId="4" type="noConversion"/>
  </si>
  <si>
    <t>预计利息</t>
    <phoneticPr fontId="4" type="noConversion"/>
  </si>
  <si>
    <t>指令占用金额</t>
  </si>
  <si>
    <t>指令释放金额</t>
  </si>
  <si>
    <t>交易占用金额</t>
  </si>
  <si>
    <t>交易释放金额</t>
  </si>
  <si>
    <t>成交占用金额</t>
  </si>
  <si>
    <t>成交释放金额</t>
  </si>
  <si>
    <t>资产账户编号</t>
  </si>
  <si>
    <t>交易币种</t>
  </si>
  <si>
    <t>资产账户编号</t>
    <phoneticPr fontId="3" type="noConversion"/>
  </si>
  <si>
    <t>交易冻结金额</t>
    <phoneticPr fontId="4" type="noConversion"/>
  </si>
  <si>
    <t>分配金额</t>
    <phoneticPr fontId="4" type="noConversion"/>
  </si>
  <si>
    <t>利息积数</t>
    <phoneticPr fontId="4" type="noConversion"/>
  </si>
  <si>
    <t>回购数量</t>
    <phoneticPr fontId="4" type="noConversion"/>
  </si>
  <si>
    <t>回购金额</t>
    <phoneticPr fontId="4" type="noConversion"/>
  </si>
  <si>
    <t>回购利率</t>
    <phoneticPr fontId="4" type="noConversion"/>
  </si>
  <si>
    <t>回购交易日期</t>
    <phoneticPr fontId="4" type="noConversion"/>
  </si>
  <si>
    <t>回购委托序号</t>
    <phoneticPr fontId="4" type="noConversion"/>
  </si>
  <si>
    <t>回购成交序号</t>
    <phoneticPr fontId="4" type="noConversion"/>
  </si>
  <si>
    <t>回购天数</t>
    <phoneticPr fontId="4" type="noConversion"/>
  </si>
  <si>
    <t>回购实际天数</t>
    <phoneticPr fontId="4" type="noConversion"/>
  </si>
  <si>
    <t>回购到期日期</t>
    <phoneticPr fontId="4" type="noConversion"/>
  </si>
  <si>
    <t>回购购回金额</t>
    <phoneticPr fontId="4" type="noConversion"/>
  </si>
  <si>
    <t>回购购回利息</t>
    <phoneticPr fontId="4" type="noConversion"/>
  </si>
  <si>
    <t>实际回购到期日期</t>
    <phoneticPr fontId="4" type="noConversion"/>
  </si>
  <si>
    <t>回购处理状态</t>
  </si>
  <si>
    <t>回购处理状态</t>
    <phoneticPr fontId="4" type="noConversion"/>
  </si>
  <si>
    <t>BigDecimal</t>
    <phoneticPr fontId="4" type="noConversion"/>
  </si>
  <si>
    <t>DECIMAL</t>
    <phoneticPr fontId="4" type="noConversion"/>
  </si>
  <si>
    <t>double</t>
    <phoneticPr fontId="4" type="noConversion"/>
  </si>
  <si>
    <t>input</t>
    <phoneticPr fontId="4" type="noConversion"/>
  </si>
  <si>
    <t>DECIMAL</t>
    <phoneticPr fontId="4" type="noConversion"/>
  </si>
  <si>
    <t>BigDecimal</t>
    <phoneticPr fontId="4" type="noConversion"/>
  </si>
  <si>
    <t>债券资产</t>
    <phoneticPr fontId="4" type="noConversion"/>
  </si>
  <si>
    <t>String</t>
    <phoneticPr fontId="4" type="noConversion"/>
  </si>
  <si>
    <t>VARCHAR</t>
    <phoneticPr fontId="4" type="noConversion"/>
  </si>
  <si>
    <t>LPCTSTR</t>
    <phoneticPr fontId="4" type="noConversion"/>
  </si>
  <si>
    <t>datepicker</t>
    <phoneticPr fontId="4" type="noConversion"/>
  </si>
  <si>
    <t>Long</t>
    <phoneticPr fontId="4" type="noConversion"/>
  </si>
  <si>
    <t>BIGINT</t>
    <phoneticPr fontId="4" type="noConversion"/>
  </si>
  <si>
    <t>int64</t>
    <phoneticPr fontId="4" type="noConversion"/>
  </si>
  <si>
    <t>ulong</t>
    <phoneticPr fontId="4" type="noConversion"/>
  </si>
  <si>
    <t>单位净值</t>
    <phoneticPr fontId="4" type="noConversion"/>
  </si>
  <si>
    <t>昨日净值</t>
  </si>
  <si>
    <t>净值波动</t>
  </si>
  <si>
    <t>可分配金额</t>
  </si>
  <si>
    <t>select</t>
    <phoneticPr fontId="4" type="noConversion"/>
  </si>
  <si>
    <t>当日盈亏</t>
  </si>
  <si>
    <t>当日收益率</t>
  </si>
  <si>
    <t>累计实现收益</t>
  </si>
  <si>
    <t>累计收益率</t>
  </si>
  <si>
    <t>持股比例</t>
  </si>
  <si>
    <t>初始化日期</t>
    <phoneticPr fontId="4" type="noConversion"/>
  </si>
  <si>
    <t>产品总份额</t>
    <phoneticPr fontId="4" type="noConversion"/>
  </si>
  <si>
    <t>净资产</t>
    <phoneticPr fontId="4" type="noConversion"/>
  </si>
  <si>
    <t>单位净值</t>
  </si>
  <si>
    <t>净值波动</t>
    <phoneticPr fontId="4" type="noConversion"/>
  </si>
  <si>
    <t>股票资产</t>
    <phoneticPr fontId="4" type="noConversion"/>
  </si>
  <si>
    <t>基金资产</t>
    <phoneticPr fontId="4" type="noConversion"/>
  </si>
  <si>
    <t>其他资产</t>
    <phoneticPr fontId="4" type="noConversion"/>
  </si>
  <si>
    <t>可分配金额</t>
    <phoneticPr fontId="4" type="noConversion"/>
  </si>
  <si>
    <t>当日盈亏</t>
    <phoneticPr fontId="4" type="noConversion"/>
  </si>
  <si>
    <t>当日收益率</t>
    <phoneticPr fontId="4" type="noConversion"/>
  </si>
  <si>
    <t>可提现金额</t>
    <phoneticPr fontId="4" type="noConversion"/>
  </si>
  <si>
    <t>股票资产占比</t>
    <phoneticPr fontId="4" type="noConversion"/>
  </si>
  <si>
    <t>证券占比</t>
    <phoneticPr fontId="4" type="noConversion"/>
  </si>
  <si>
    <t>投资类型</t>
  </si>
  <si>
    <t>买入待交割数量</t>
  </si>
  <si>
    <t>卖出待交割数量</t>
  </si>
  <si>
    <t>成本价</t>
  </si>
  <si>
    <t>利率开始日期</t>
  </si>
  <si>
    <t>评级机构</t>
  </si>
  <si>
    <t>债券等级</t>
  </si>
  <si>
    <t>兑付登记日期</t>
    <phoneticPr fontId="4" type="noConversion"/>
  </si>
  <si>
    <t>兑付起始日期</t>
    <phoneticPr fontId="4" type="noConversion"/>
  </si>
  <si>
    <t>兑付截止日期</t>
    <phoneticPr fontId="4" type="noConversion"/>
  </si>
  <si>
    <t>兑付本息和</t>
    <phoneticPr fontId="4" type="noConversion"/>
  </si>
  <si>
    <t>兑付总额</t>
    <phoneticPr fontId="4" type="noConversion"/>
  </si>
  <si>
    <t>兑付手续费</t>
    <phoneticPr fontId="4" type="noConversion"/>
  </si>
  <si>
    <t>期初数量</t>
    <phoneticPr fontId="4" type="noConversion"/>
  </si>
  <si>
    <t>冻结数量</t>
    <phoneticPr fontId="4" type="noConversion"/>
  </si>
  <si>
    <t>解冻数量</t>
    <phoneticPr fontId="4" type="noConversion"/>
  </si>
  <si>
    <t>指令冻结数量</t>
    <phoneticPr fontId="4" type="noConversion"/>
  </si>
  <si>
    <t>指令解冻数量</t>
    <phoneticPr fontId="4" type="noConversion"/>
  </si>
  <si>
    <t>指令占用数量</t>
  </si>
  <si>
    <t>指令释放数量</t>
  </si>
  <si>
    <t>交易冻结数量</t>
    <phoneticPr fontId="4" type="noConversion"/>
  </si>
  <si>
    <t>交易解冻数量</t>
    <phoneticPr fontId="4" type="noConversion"/>
  </si>
  <si>
    <t>交易占用数量</t>
  </si>
  <si>
    <t>交易释放数量</t>
  </si>
  <si>
    <t>成交占用数量</t>
  </si>
  <si>
    <t>成交释放数量</t>
  </si>
  <si>
    <t>成交冻结数量</t>
  </si>
  <si>
    <t>成交解冻数量</t>
    <phoneticPr fontId="4" type="noConversion"/>
  </si>
  <si>
    <t>成本金额</t>
    <phoneticPr fontId="4" type="noConversion"/>
  </si>
  <si>
    <t>当前数量</t>
    <phoneticPr fontId="4" type="noConversion"/>
  </si>
  <si>
    <t>指令冻结数量</t>
    <phoneticPr fontId="4" type="noConversion"/>
  </si>
  <si>
    <t>交易冻结数量</t>
    <phoneticPr fontId="4" type="noConversion"/>
  </si>
  <si>
    <t>指令解冻数量</t>
    <phoneticPr fontId="4" type="noConversion"/>
  </si>
  <si>
    <t>成本金额</t>
    <phoneticPr fontId="4" type="noConversion"/>
  </si>
  <si>
    <t>U</t>
    <phoneticPr fontId="4" type="noConversion"/>
  </si>
  <si>
    <t>vi_tdserp_strike</t>
    <phoneticPr fontId="4" type="noConversion"/>
  </si>
  <si>
    <t>初始化日期</t>
    <phoneticPr fontId="3" type="noConversion"/>
  </si>
  <si>
    <t>int</t>
    <phoneticPr fontId="3" type="noConversion"/>
  </si>
  <si>
    <t>Integer</t>
    <phoneticPr fontId="3" type="noConversion"/>
  </si>
  <si>
    <t>INTEGER</t>
    <phoneticPr fontId="3" type="noConversion"/>
  </si>
  <si>
    <t>机构编号</t>
    <phoneticPr fontId="3" type="noConversion"/>
  </si>
  <si>
    <t>证券代码编号</t>
    <phoneticPr fontId="3" type="noConversion"/>
  </si>
  <si>
    <t>BigDecimal</t>
    <phoneticPr fontId="3" type="noConversion"/>
  </si>
  <si>
    <t>DECIMAL</t>
    <phoneticPr fontId="3" type="noConversion"/>
  </si>
  <si>
    <t>double</t>
    <phoneticPr fontId="3" type="noConversion"/>
  </si>
  <si>
    <t>vi_pdsepo_exgp_posi</t>
    <phoneticPr fontId="4" type="noConversion"/>
  </si>
  <si>
    <t>持仓市值</t>
    <phoneticPr fontId="3" type="noConversion"/>
  </si>
  <si>
    <t>买入数量</t>
    <phoneticPr fontId="3" type="noConversion"/>
  </si>
  <si>
    <t>买入金额</t>
    <phoneticPr fontId="3" type="noConversion"/>
  </si>
  <si>
    <t>买入成交价</t>
    <phoneticPr fontId="3" type="noConversion"/>
  </si>
  <si>
    <t>卖出数量</t>
    <phoneticPr fontId="3" type="noConversion"/>
  </si>
  <si>
    <t>卖出成交价</t>
    <phoneticPr fontId="3" type="noConversion"/>
  </si>
  <si>
    <t>数量差额</t>
    <phoneticPr fontId="3" type="noConversion"/>
  </si>
  <si>
    <t>最新价</t>
    <phoneticPr fontId="4" type="noConversion"/>
  </si>
  <si>
    <t>t</t>
    <phoneticPr fontId="4" type="noConversion"/>
  </si>
  <si>
    <t>a</t>
    <phoneticPr fontId="4" type="noConversion"/>
  </si>
  <si>
    <t>t.curr_qty * (
  CASE
  WHEN a.fair_price &gt; 0 THEN
   a.fair_price
  ELSE
   (
    CASE
    WHEN a.asset_type IN (43) THEN
     100
    WHEN a.asset_type IN (21, 22, 23, 24, 25)
    AND a.net_price_flag = '1' THEN
     a.last_price + a.bond_accr_intrst
    ELSE
     a.last_price
    END
   )
  END
 )</t>
    <phoneticPr fontId="4" type="noConversion"/>
  </si>
  <si>
    <t>持仓市值</t>
    <phoneticPr fontId="4" type="noConversion"/>
  </si>
  <si>
    <t>公允价格</t>
    <phoneticPr fontId="4" type="noConversion"/>
  </si>
  <si>
    <t>浮动盈亏</t>
    <phoneticPr fontId="4" type="noConversion"/>
  </si>
  <si>
    <t>sum(ifnull(t.posi_market_value,0))</t>
    <phoneticPr fontId="4" type="noConversion"/>
  </si>
  <si>
    <t>sum(ifnull(t.cost_amt,0))/sum(ifnull(t.curr_qty,0))</t>
    <phoneticPr fontId="4" type="noConversion"/>
  </si>
  <si>
    <t>sum(ifnull(t.posi_market_value,0)-ifnull(t.cost_amt,0))</t>
  </si>
  <si>
    <t>sum(if(t.order_dir=1,ifnull(t.strike_qty,0),0))</t>
    <phoneticPr fontId="4" type="noConversion"/>
  </si>
  <si>
    <t>sum(if(t.order_dir=1,ifnull(t.strike_amt,0),0))/sum(if(t.order_dir=1,ifnull(t.strike_amt,0),0))</t>
    <phoneticPr fontId="4" type="noConversion"/>
  </si>
  <si>
    <t>sum(if(t.order_dir=1,ifnull(t.strike_amt,0),0))</t>
    <phoneticPr fontId="4" type="noConversion"/>
  </si>
  <si>
    <t>sum(if(t.order_dir=2,ifnull(t.strike_amt,0),0))/sum(if(t.order_dir=2,ifnull(t.strike_amt,0),0))</t>
    <phoneticPr fontId="4" type="noConversion"/>
  </si>
  <si>
    <t>sum(if(t.order_dir=1,1,-1)*ifnull(t.strike_amt,0))</t>
    <phoneticPr fontId="4" type="noConversion"/>
  </si>
  <si>
    <t>b</t>
    <phoneticPr fontId="4" type="noConversion"/>
  </si>
  <si>
    <t>昨日交易组产品份额</t>
  </si>
  <si>
    <t>授权金额</t>
    <phoneticPr fontId="4" type="noConversion"/>
  </si>
  <si>
    <t>实现盈亏</t>
    <phoneticPr fontId="4" type="noConversion"/>
  </si>
  <si>
    <t>交易组编号</t>
    <phoneticPr fontId="3" type="noConversion"/>
  </si>
  <si>
    <t>累计分红金额</t>
    <phoneticPr fontId="4" type="noConversion"/>
  </si>
  <si>
    <t>分配产品资金</t>
    <phoneticPr fontId="4" type="noConversion"/>
  </si>
  <si>
    <t>交易组名称</t>
    <phoneticPr fontId="4" type="noConversion"/>
  </si>
  <si>
    <t>策略类型</t>
    <phoneticPr fontId="3" type="noConversion"/>
  </si>
  <si>
    <t>累计计提费用</t>
    <phoneticPr fontId="3" type="noConversion"/>
  </si>
  <si>
    <t>vi_if_v1_exgp_sum_day_equitiescashoperation_his {业务标志} in ()</t>
    <phoneticPr fontId="4" type="noConversion"/>
  </si>
  <si>
    <t>sum(ifnull(-1*t.occur_amt,0))</t>
    <phoneticPr fontId="3" type="noConversion"/>
  </si>
  <si>
    <t>[视图_数据_交易组_资金_资产]</t>
    <phoneticPr fontId="4" type="noConversion"/>
  </si>
  <si>
    <t>vi_pdsepo_exgp_posi[视图_数据_交易组_持仓]</t>
    <phoneticPr fontId="4" type="noConversion"/>
  </si>
  <si>
    <t>证券占比</t>
  </si>
  <si>
    <t>昨日交易组产品份额</t>
    <phoneticPr fontId="4" type="noConversion"/>
  </si>
  <si>
    <t>净值波动</t>
    <phoneticPr fontId="4" type="noConversion"/>
  </si>
  <si>
    <t>回购资产</t>
    <phoneticPr fontId="4" type="noConversion"/>
  </si>
  <si>
    <t>其他资产</t>
    <phoneticPr fontId="4" type="noConversion"/>
  </si>
  <si>
    <t>可分配金额</t>
    <phoneticPr fontId="4" type="noConversion"/>
  </si>
  <si>
    <t>SELECT</t>
    <phoneticPr fontId="3" type="noConversion"/>
  </si>
  <si>
    <t>交易端可用数量</t>
    <phoneticPr fontId="4" type="noConversion"/>
  </si>
  <si>
    <t>指令端可用数量</t>
    <phoneticPr fontId="4" type="noConversion"/>
  </si>
  <si>
    <t>全价持仓市值</t>
    <phoneticPr fontId="4" type="noConversion"/>
  </si>
  <si>
    <t>记录序号</t>
    <phoneticPr fontId="4" type="noConversion"/>
  </si>
  <si>
    <t>可用数量</t>
    <phoneticPr fontId="4" type="noConversion"/>
  </si>
  <si>
    <t>持仓净值占比</t>
    <phoneticPr fontId="4" type="noConversion"/>
  </si>
  <si>
    <t>债券应收利息</t>
    <phoneticPr fontId="4" type="noConversion"/>
  </si>
  <si>
    <t>质押数量</t>
    <phoneticPr fontId="4" type="noConversion"/>
  </si>
  <si>
    <t>double</t>
    <phoneticPr fontId="4" type="noConversion"/>
  </si>
  <si>
    <t>盈亏比例</t>
    <phoneticPr fontId="4" type="noConversion"/>
  </si>
  <si>
    <t>昨收盘价</t>
    <phoneticPr fontId="4" type="noConversion"/>
  </si>
  <si>
    <t>Integer</t>
    <phoneticPr fontId="4" type="noConversion"/>
  </si>
  <si>
    <t>质押数量</t>
    <phoneticPr fontId="4" type="noConversion"/>
  </si>
  <si>
    <t>汇率</t>
    <phoneticPr fontId="4" type="noConversion"/>
  </si>
  <si>
    <t>回购委托序号</t>
    <phoneticPr fontId="4" type="noConversion"/>
  </si>
  <si>
    <t>静态可用数量</t>
    <phoneticPr fontId="4" type="noConversion"/>
  </si>
  <si>
    <t>当前数量</t>
    <phoneticPr fontId="4" type="noConversion"/>
  </si>
  <si>
    <t>交易币种</t>
    <phoneticPr fontId="3" type="noConversion"/>
  </si>
  <si>
    <t>指令冻结金额</t>
    <phoneticPr fontId="4" type="noConversion"/>
  </si>
  <si>
    <t>指令解冻金额</t>
    <phoneticPr fontId="4" type="noConversion"/>
  </si>
  <si>
    <t>交易解冻金额</t>
    <phoneticPr fontId="4" type="noConversion"/>
  </si>
  <si>
    <t>业务类别</t>
    <phoneticPr fontId="4" type="noConversion"/>
  </si>
  <si>
    <t>业务子类</t>
    <phoneticPr fontId="4" type="noConversion"/>
  </si>
  <si>
    <t>外币币种</t>
    <phoneticPr fontId="4" type="noConversion"/>
  </si>
  <si>
    <t>买入参考汇率</t>
    <phoneticPr fontId="4" type="noConversion"/>
  </si>
  <si>
    <t>卖出参考汇率</t>
    <phoneticPr fontId="4" type="noConversion"/>
  </si>
  <si>
    <t>买入结算汇率</t>
    <phoneticPr fontId="4" type="noConversion"/>
  </si>
  <si>
    <t>卖出结算汇率</t>
    <phoneticPr fontId="4" type="noConversion"/>
  </si>
  <si>
    <t>购汇汇率</t>
    <phoneticPr fontId="4" type="noConversion"/>
  </si>
  <si>
    <t>售汇汇率</t>
    <phoneticPr fontId="4" type="noConversion"/>
  </si>
  <si>
    <t>交易代码</t>
    <phoneticPr fontId="4" type="noConversion"/>
  </si>
  <si>
    <t>股东代码编号</t>
    <phoneticPr fontId="4" type="noConversion"/>
  </si>
  <si>
    <t>初始化日期</t>
    <phoneticPr fontId="4" type="noConversion"/>
  </si>
  <si>
    <t>回购处理状态</t>
    <phoneticPr fontId="4" type="noConversion"/>
  </si>
  <si>
    <t>港股通资产</t>
    <phoneticPr fontId="4" type="noConversion"/>
  </si>
  <si>
    <t>期初金额</t>
    <phoneticPr fontId="4" type="noConversion"/>
  </si>
  <si>
    <t>指令解冻金额</t>
    <phoneticPr fontId="4" type="noConversion"/>
  </si>
  <si>
    <t>昨日份额</t>
  </si>
  <si>
    <t>历史最高单位净值</t>
  </si>
  <si>
    <t>产品状态</t>
    <phoneticPr fontId="4" type="noConversion"/>
  </si>
  <si>
    <t>数据表名</t>
    <phoneticPr fontId="4" type="noConversion"/>
  </si>
  <si>
    <t>买入开始时间</t>
    <phoneticPr fontId="4" type="noConversion"/>
  </si>
  <si>
    <t>买入结束时间</t>
    <phoneticPr fontId="4" type="noConversion"/>
  </si>
  <si>
    <t>卖出开始时间</t>
    <phoneticPr fontId="4" type="noConversion"/>
  </si>
  <si>
    <t>卖出结束时间</t>
    <phoneticPr fontId="4" type="noConversion"/>
  </si>
  <si>
    <t>min(if(t.order_dir=1,t.order_time,NULL))</t>
  </si>
  <si>
    <t>max(if(t.order_dir=1,t.order_time,NULL))</t>
  </si>
  <si>
    <t>min(if(t.order_dir=2,t.order_time,NULL))</t>
  </si>
  <si>
    <t>max(if(t.order_dir=2,t.order_time,NULL))</t>
  </si>
  <si>
    <t>昨日持仓数量</t>
    <phoneticPr fontId="4" type="noConversion"/>
  </si>
  <si>
    <t>当日买入数量</t>
    <phoneticPr fontId="4" type="noConversion"/>
  </si>
  <si>
    <t>当日买入金额</t>
    <phoneticPr fontId="4" type="noConversion"/>
  </si>
  <si>
    <t>当日买入价格</t>
    <phoneticPr fontId="4" type="noConversion"/>
  </si>
  <si>
    <t>当日卖出数量</t>
    <phoneticPr fontId="4" type="noConversion"/>
  </si>
  <si>
    <t>当日卖出金额</t>
    <phoneticPr fontId="4" type="noConversion"/>
  </si>
  <si>
    <t>当日卖出价格</t>
    <phoneticPr fontId="4" type="noConversion"/>
  </si>
  <si>
    <t>今收盘价</t>
    <phoneticPr fontId="4" type="noConversion"/>
  </si>
  <si>
    <t>深市股票市值</t>
    <phoneticPr fontId="4" type="noConversion"/>
  </si>
  <si>
    <t>沪市股票市值</t>
    <phoneticPr fontId="4" type="noConversion"/>
  </si>
  <si>
    <t>SUM(IF (t.exch_no = 1,t.stock_asset_value,0))</t>
  </si>
  <si>
    <t>SUM(IF (t.exch_no = 1 and t.stock_type = 1,t.stock_asset_value,0))</t>
  </si>
  <si>
    <t>SUM(IF (t.exch_no = 2 and t.stock_type = 1,t.stock_asset_value,0))</t>
  </si>
  <si>
    <t>SUM(IF (t.exch_no = 2,t.stock_asset_value,0))</t>
    <phoneticPr fontId="4" type="noConversion"/>
  </si>
  <si>
    <t>当前沪市市值</t>
  </si>
  <si>
    <t>当前深市市值</t>
    <phoneticPr fontId="4" type="noConversion"/>
  </si>
  <si>
    <t>开始日期</t>
    <phoneticPr fontId="4" type="noConversion"/>
  </si>
  <si>
    <t>结束日期</t>
    <phoneticPr fontId="4" type="noConversion"/>
  </si>
  <si>
    <t>区间盈亏</t>
  </si>
  <si>
    <t>资管1.0</t>
    <phoneticPr fontId="3" type="noConversion"/>
  </si>
  <si>
    <t>vi_tdset0_trade_total_his</t>
    <phoneticPr fontId="4" type="noConversion"/>
  </si>
  <si>
    <t>vi_basesedt_bond_info</t>
    <phoneticPr fontId="4" type="noConversion"/>
  </si>
  <si>
    <t>资管1.0、资管2.0的操作员表</t>
    <phoneticPr fontId="4" type="noConversion"/>
  </si>
  <si>
    <t>产品的资产账户每日资产信息</t>
    <phoneticPr fontId="4" type="noConversion"/>
  </si>
  <si>
    <t>vi_pdcapit_pd_asset_his</t>
    <phoneticPr fontId="4" type="noConversion"/>
  </si>
  <si>
    <t>vi_pdseca_asac_asset</t>
    <phoneticPr fontId="4" type="noConversion"/>
  </si>
  <si>
    <t>vi_tdseac_exgp_bond_impawn</t>
    <phoneticPr fontId="4" type="noConversion"/>
  </si>
  <si>
    <t>vi_dt_pd_capit_asset_his</t>
    <phoneticPr fontId="4" type="noConversion"/>
  </si>
  <si>
    <t>vi_dt_exgp_posi_value</t>
    <phoneticPr fontId="4" type="noConversion"/>
  </si>
  <si>
    <t>“交易组持仓表”[产品证券_持仓_交易组持仓表][视图_行情]
字段：持仓市值、浮动盈亏</t>
    <phoneticPr fontId="4" type="noConversion"/>
  </si>
  <si>
    <t>“交易组持仓表”[交易证券_报盘_成交表]</t>
    <phoneticPr fontId="4" type="noConversion"/>
  </si>
  <si>
    <t>vi_sum_pd_stock_strike</t>
    <phoneticPr fontId="4" type="noConversion"/>
  </si>
  <si>
    <t>vi_act_operationconfig</t>
    <phoneticPr fontId="4" type="noConversion"/>
  </si>
  <si>
    <t>vi_pdacco_pd_info_his</t>
    <phoneticPr fontId="4" type="noConversion"/>
  </si>
  <si>
    <t>vi_user_opor_param</t>
    <phoneticPr fontId="4" type="noConversion"/>
  </si>
  <si>
    <t>操作员可操作的产品对应关系</t>
    <phoneticPr fontId="4" type="noConversion"/>
  </si>
  <si>
    <t>实体产品账户的基础信息记录</t>
    <phoneticPr fontId="4" type="noConversion"/>
  </si>
  <si>
    <t>vi_pdseca_asac_capit_his</t>
    <phoneticPr fontId="4" type="noConversion"/>
  </si>
  <si>
    <t>V2:[交易证券_账户_交易组业务资金表] join [产品证券_持仓_资产账户持仓表]</t>
    <phoneticPr fontId="4" type="noConversion"/>
  </si>
  <si>
    <t>数据表</t>
    <phoneticPr fontId="4" type="noConversion"/>
  </si>
  <si>
    <t>vi_tdseac_exgp_busi_capit_his</t>
    <phoneticPr fontId="4" type="noConversion"/>
  </si>
  <si>
    <t>vi_tdseac_exgp_busi_posi</t>
    <phoneticPr fontId="4" type="noConversion"/>
  </si>
  <si>
    <t>所属模块</t>
    <phoneticPr fontId="3" type="noConversion"/>
  </si>
  <si>
    <t>数据表说明</t>
    <phoneticPr fontId="4" type="noConversion"/>
  </si>
  <si>
    <t>所属模块</t>
    <phoneticPr fontId="4" type="noConversion"/>
  </si>
  <si>
    <t>vi_dt_exgp_posi_value_his</t>
    <phoneticPr fontId="4" type="noConversion"/>
  </si>
  <si>
    <t>是否存在历史表</t>
    <phoneticPr fontId="4" type="noConversion"/>
  </si>
  <si>
    <t>字段名</t>
    <phoneticPr fontId="4" type="noConversion"/>
  </si>
  <si>
    <t>字段</t>
    <phoneticPr fontId="4" type="noConversion"/>
  </si>
  <si>
    <t>字段类型</t>
    <phoneticPr fontId="4" type="noConversion"/>
  </si>
  <si>
    <t>业务标志</t>
    <phoneticPr fontId="4" type="noConversion"/>
  </si>
  <si>
    <t>业务名称</t>
    <phoneticPr fontId="4" type="noConversion"/>
  </si>
  <si>
    <t>时间戳</t>
    <phoneticPr fontId="4" type="noConversion"/>
  </si>
  <si>
    <t>索引</t>
    <phoneticPr fontId="4" type="noConversion"/>
  </si>
  <si>
    <t>vi_pdsepo_asac_posi</t>
    <phoneticPr fontId="4" type="noConversion"/>
  </si>
  <si>
    <t>逻辑_平台报表_资管报表_查询交易组资产</t>
  </si>
  <si>
    <t>逻辑_平台报表_资管报表_查询_交易组_证券持仓</t>
  </si>
  <si>
    <t>报表_资管报表_公共-用户-操作员可操作机构表</t>
    <phoneticPr fontId="4" type="noConversion"/>
  </si>
  <si>
    <t>报表_资管报表_公共-用户-操作员所属交易组表</t>
    <phoneticPr fontId="4" type="noConversion"/>
  </si>
  <si>
    <t>报表_资管报表_视图-查询产品资产</t>
    <phoneticPr fontId="3" type="noConversion"/>
  </si>
  <si>
    <t>报表_资管报表_交易证券-账户-历史交易组业务持仓表</t>
    <phoneticPr fontId="4" type="noConversion"/>
  </si>
  <si>
    <t>报表_资管报表_视图-汇总-产品-证券-持仓</t>
    <phoneticPr fontId="4" type="noConversion"/>
  </si>
  <si>
    <t>报表_资管报表_视图-汇总-产品-持仓市值</t>
    <phoneticPr fontId="4" type="noConversion"/>
  </si>
  <si>
    <t>报表_资管报表_视图-汇总-产品-证券-成交</t>
    <phoneticPr fontId="4" type="noConversion"/>
  </si>
  <si>
    <t>报表_资管报表_视图-数据-交易组-成交</t>
    <phoneticPr fontId="4" type="noConversion"/>
  </si>
  <si>
    <t>报表_资管报表_视图-公共-用户-操作员可操作机构表</t>
    <phoneticPr fontId="4" type="noConversion"/>
  </si>
  <si>
    <t>报表_资管报表_视图-公共-用户-操作员可操作产品表</t>
    <phoneticPr fontId="4" type="noConversion"/>
  </si>
  <si>
    <t>报表_资管报表_视图-公共-用户-交易组信息表</t>
    <phoneticPr fontId="4" type="noConversion"/>
  </si>
  <si>
    <t>报表_资管报表_产品证券-资金-历史交易组资产表</t>
    <phoneticPr fontId="4" type="noConversion"/>
  </si>
  <si>
    <t>报表_资管报表_产品-资金-产品资金表</t>
    <phoneticPr fontId="4" type="noConversion"/>
  </si>
  <si>
    <t>报表_资管报表_交易证券-账户-资产账户业务资金表</t>
    <phoneticPr fontId="4" type="noConversion"/>
  </si>
  <si>
    <t>报表_资管报表_交易证券-账户-历史交易组业务资金表</t>
    <phoneticPr fontId="4" type="noConversion"/>
  </si>
  <si>
    <t>报表_资管报表_产品证券-持仓-历史交易组债券质押表</t>
    <phoneticPr fontId="4" type="noConversion"/>
  </si>
  <si>
    <t>报表_资管报表_交易证券-T0-证券持仓明细表</t>
    <phoneticPr fontId="4" type="noConversion"/>
  </si>
  <si>
    <t>报表_资管报表_历史交易证券-T0-操作员券源限额设置表</t>
    <phoneticPr fontId="4" type="noConversion"/>
  </si>
  <si>
    <t>报表_资管报表_历史交易证券-T0-持仓盈亏信息表</t>
    <phoneticPr fontId="4" type="noConversion"/>
  </si>
  <si>
    <t>报表_资管报表_产品-账户-产品信息表</t>
    <phoneticPr fontId="4" type="noConversion"/>
  </si>
  <si>
    <t>报表_资管报表_公共-用户-历史交易组信息表</t>
    <phoneticPr fontId="4" type="noConversion"/>
  </si>
  <si>
    <t>报表_资管报表_公共-用户-操作员配置表</t>
    <phoneticPr fontId="4" type="noConversion"/>
  </si>
  <si>
    <t>报表_资管报表_公共-证券基础数据-债券属性信息表</t>
    <phoneticPr fontId="4" type="noConversion"/>
  </si>
  <si>
    <t>报表_资管报表_视图-公共-用户-操作员信息表</t>
    <phoneticPr fontId="4" type="noConversion"/>
  </si>
  <si>
    <t>报表_资管报表_视图-查询产品资产-历史</t>
    <phoneticPr fontId="4" type="noConversion"/>
  </si>
  <si>
    <t>报表_资管报表_视图-查询-交易组-证券持仓</t>
    <phoneticPr fontId="4" type="noConversion"/>
  </si>
  <si>
    <t>报表_资管报表_公共-证券基础数据-债券利率表</t>
    <phoneticPr fontId="4" type="noConversion"/>
  </si>
  <si>
    <t>报表_资管报表_交易证券-账户-历史资产账户业务持仓表</t>
    <phoneticPr fontId="4" type="noConversion"/>
  </si>
  <si>
    <t>报表_资管报表_产品证券-持仓-资产账户债券质押表</t>
    <phoneticPr fontId="4" type="noConversion"/>
  </si>
  <si>
    <t>报表_资管报表_交易证券-账户-历史交易组债券质押表</t>
    <phoneticPr fontId="4" type="noConversion"/>
  </si>
  <si>
    <t>报表_资管报表_视图-数据-产品-资金-资产-历史</t>
    <phoneticPr fontId="4" type="noConversion"/>
  </si>
  <si>
    <t>报表_资管报表_视图-汇总-交易组-持仓-区间盈亏</t>
    <phoneticPr fontId="4" type="noConversion"/>
  </si>
  <si>
    <t>报表_资管报表_产品证券-资金-历史资产账户资产表</t>
    <phoneticPr fontId="4" type="noConversion"/>
  </si>
  <si>
    <t>报表_资管报表_产品证券-持仓-历史债券回购表</t>
    <phoneticPr fontId="4" type="noConversion"/>
  </si>
  <si>
    <t>资管报表</t>
    <phoneticPr fontId="4" type="noConversion"/>
  </si>
  <si>
    <t>vi_tdset0_stock_posi_detail</t>
    <phoneticPr fontId="4" type="noConversion"/>
  </si>
  <si>
    <t>vi_tdset0_stock_posi_detail_his</t>
    <phoneticPr fontId="4" type="noConversion"/>
  </si>
  <si>
    <t>vi_tdset0_opor_stock_limit</t>
    <phoneticPr fontId="4" type="noConversion"/>
  </si>
  <si>
    <t>vi_tdset0_hold_pandl_his</t>
    <phoneticPr fontId="4" type="noConversion"/>
  </si>
  <si>
    <t>vi_tdset0_source_hold_posi_his</t>
    <phoneticPr fontId="4" type="noConversion"/>
  </si>
  <si>
    <t>vi_tdset0_opor_stock_limit_his</t>
    <phoneticPr fontId="4" type="noConversion"/>
  </si>
  <si>
    <t>tb_base_busiflag</t>
    <phoneticPr fontId="4" type="noConversion"/>
  </si>
  <si>
    <t>tb_base_hk_exch_rate</t>
    <phoneticPr fontId="4" type="noConversion"/>
  </si>
  <si>
    <t>tb_base_co_exch_rate</t>
    <phoneticPr fontId="4" type="noConversion"/>
  </si>
  <si>
    <t>vi_basesedt_stock_code_info</t>
    <phoneticPr fontId="4" type="noConversion"/>
  </si>
  <si>
    <t>vi_basesedt_stock_quot_his</t>
    <phoneticPr fontId="4" type="noConversion"/>
  </si>
  <si>
    <t>vi_basesedt_bond_rate</t>
    <phoneticPr fontId="4" type="noConversion"/>
  </si>
  <si>
    <t>vi_basesedt_bond_rating</t>
    <phoneticPr fontId="4" type="noConversion"/>
  </si>
  <si>
    <t>vi_basesedt_bond_redemption</t>
    <phoneticPr fontId="4" type="noConversion"/>
  </si>
  <si>
    <t>vi_user_opor_info</t>
    <phoneticPr fontId="4" type="noConversion"/>
  </si>
  <si>
    <t>资管1.0、资管2.0的操作员表</t>
  </si>
  <si>
    <t>vi_user_exch_group_info</t>
    <phoneticPr fontId="4" type="noConversion"/>
  </si>
  <si>
    <t>vi_user_exch_group_info_his</t>
    <phoneticPr fontId="4" type="noConversion"/>
  </si>
  <si>
    <t>操作员的配置参数信息</t>
    <phoneticPr fontId="4" type="noConversion"/>
  </si>
  <si>
    <t>vi_user_opor_allow_co</t>
    <phoneticPr fontId="4" type="noConversion"/>
  </si>
  <si>
    <t>操作员可操作的机构对应关系</t>
    <phoneticPr fontId="4" type="noConversion"/>
  </si>
  <si>
    <t>vi_user_opor_allow_prod</t>
    <phoneticPr fontId="4" type="noConversion"/>
  </si>
  <si>
    <t>vi_user_opor_exch_group</t>
    <phoneticPr fontId="4" type="noConversion"/>
  </si>
  <si>
    <t>操作员归属的交易组对应关系</t>
    <phoneticPr fontId="4" type="noConversion"/>
  </si>
  <si>
    <t>vi_pdacco_pd_info</t>
    <phoneticPr fontId="4" type="noConversion"/>
  </si>
  <si>
    <t>vi_pdacco_pd_limit</t>
    <phoneticPr fontId="4" type="noConversion"/>
  </si>
  <si>
    <t>vi_pdcapit_pd_capit</t>
    <phoneticPr fontId="4" type="noConversion"/>
  </si>
  <si>
    <t>vi_pdseca_asac_capit</t>
    <phoneticPr fontId="4" type="noConversion"/>
  </si>
  <si>
    <t>vi_tdseac_asac_busi_capit</t>
    <phoneticPr fontId="4" type="noConversion"/>
  </si>
  <si>
    <t>vi_pdsepo_asac_posi_his</t>
    <phoneticPr fontId="4" type="noConversion"/>
  </si>
  <si>
    <t>vi_tdseac_asac_busi_posi</t>
    <phoneticPr fontId="4" type="noConversion"/>
  </si>
  <si>
    <t>vi_dt_pd_asac_posi</t>
    <phoneticPr fontId="4" type="noConversion"/>
  </si>
  <si>
    <t>数据表名</t>
    <phoneticPr fontId="4" type="noConversion"/>
  </si>
  <si>
    <t>vi_tdseac_asac_busi_posi_his</t>
    <phoneticPr fontId="4" type="noConversion"/>
  </si>
  <si>
    <t>vi_pdcapit_pd_asset</t>
    <phoneticPr fontId="4" type="noConversion"/>
  </si>
  <si>
    <t>vi_pdseca_asac_asset_his</t>
    <phoneticPr fontId="4" type="noConversion"/>
  </si>
  <si>
    <t>vi_pdsepo_asac_bond_pledge</t>
    <phoneticPr fontId="4" type="noConversion"/>
  </si>
  <si>
    <t>vi_pdsepo_asac_bond_pledge_his</t>
    <phoneticPr fontId="4" type="noConversion"/>
  </si>
  <si>
    <t>vi_tdseac_asac_bond_impawn</t>
    <phoneticPr fontId="4" type="noConversion"/>
  </si>
  <si>
    <t>vi_tdseac_asac_bond_impawn_his</t>
    <phoneticPr fontId="4" type="noConversion"/>
  </si>
  <si>
    <t>vi_pdsepo_bond_repo</t>
    <phoneticPr fontId="4" type="noConversion"/>
  </si>
  <si>
    <t>vi_pdsepo_bond_repo_his</t>
    <phoneticPr fontId="4" type="noConversion"/>
  </si>
  <si>
    <t>vi_pdseca_exgp_capit</t>
    <phoneticPr fontId="4" type="noConversion"/>
  </si>
  <si>
    <t>vi_pdseca_exgp_capit_his</t>
    <phoneticPr fontId="4" type="noConversion"/>
  </si>
  <si>
    <t>vi_tdseac_exgp_busi_capit</t>
    <phoneticPr fontId="4" type="noConversion"/>
  </si>
  <si>
    <t>vi_tdseac_exgp_busi_posi_his</t>
    <phoneticPr fontId="4" type="noConversion"/>
  </si>
  <si>
    <t>vi_pdseca_exgp_asset</t>
    <phoneticPr fontId="4" type="noConversion"/>
  </si>
  <si>
    <t>产品的交易组每日资产信息</t>
    <phoneticPr fontId="3" type="noConversion"/>
  </si>
  <si>
    <t>是否存在历史表</t>
    <phoneticPr fontId="3" type="noConversion"/>
  </si>
  <si>
    <t>vi_pdseca_exgp_asset_his</t>
    <phoneticPr fontId="4" type="noConversion"/>
  </si>
  <si>
    <t>产品的交易组每日资产信息</t>
    <phoneticPr fontId="4" type="noConversion"/>
  </si>
  <si>
    <t>vi_pdsepo_exgp_bond_pledge</t>
    <phoneticPr fontId="4" type="noConversion"/>
  </si>
  <si>
    <t>vi_pdsepo_exgp_bond_pledge_his</t>
    <phoneticPr fontId="4" type="noConversion"/>
  </si>
  <si>
    <t>vi_tdseac_exgp_bond_impawn_his</t>
    <phoneticPr fontId="4" type="noConversion"/>
  </si>
  <si>
    <t>vi_basesedt_stock_quot</t>
    <phoneticPr fontId="4" type="noConversion"/>
  </si>
  <si>
    <t xml:space="preserve">关联表:db_dc.tb_basesedt_stock_quot t
inner join db_dc.tb_basesedt_stock_code_info a on t.stock_code_no = a.stock_code_no 
left join db_dc.tb_basesedt_bond_info b on t.stock_code_no = b.stock_code_no </t>
    <phoneticPr fontId="3" type="noConversion"/>
  </si>
  <si>
    <t xml:space="preserve">关联表:db_dc.tb_basesedt_stock_quot_his t
inner join db_dc.tb_basesedt_stock_code_info a on t.stock_code_no = a.stock_code_no 
left join db_dc.tb_basesedt_bond_info b on t.stock_code_no = b.stock_code_no </t>
    <phoneticPr fontId="3" type="noConversion"/>
  </si>
  <si>
    <t>vi_rptasset_qry_pd_asset</t>
    <phoneticPr fontId="4" type="noConversion"/>
  </si>
  <si>
    <t>vi_rptasset_qry_pd_asset_his</t>
    <phoneticPr fontId="4" type="noConversion"/>
  </si>
  <si>
    <t>vi_rptasset_qry_pd_posi</t>
    <phoneticPr fontId="4" type="noConversion"/>
  </si>
  <si>
    <t>vi_rptasset_qry_exgrp_posi</t>
    <phoneticPr fontId="4" type="noConversion"/>
  </si>
  <si>
    <t>vi_rptasset_qry_pd_posi_his</t>
    <phoneticPr fontId="4" type="noConversion"/>
  </si>
  <si>
    <t>vi_rptasset_qry_exgrp_posi_his</t>
    <phoneticPr fontId="4" type="noConversion"/>
  </si>
  <si>
    <t>交易组的基本信息</t>
    <phoneticPr fontId="4" type="noConversion"/>
  </si>
  <si>
    <t>vi_dt_pd_capit_asset</t>
    <phoneticPr fontId="4" type="noConversion"/>
  </si>
  <si>
    <t>V2:[产品_资金_产品资产表] join [产品_资金_产品资金表] join [产品_账户_产品信息表]
字段：份额、净资产、昨日净值、昨日份额、股票资产……</t>
    <phoneticPr fontId="4" type="noConversion"/>
  </si>
  <si>
    <t>V2:[产品_资金_历史产品资产表] join [产品_资金_历史产品资金表] join [产品_账户_历史产品信息表]
字段：份额、净资产、昨日净值、昨日份额、股票资产……</t>
    <phoneticPr fontId="4" type="noConversion"/>
  </si>
  <si>
    <t>vi_dt_exgp_capit_asset</t>
    <phoneticPr fontId="4" type="noConversion"/>
  </si>
  <si>
    <t>[产品证券_持仓_交易组持仓表]+[视图_行情]
字段：持仓市值、最新价</t>
    <phoneticPr fontId="4" type="noConversion"/>
  </si>
  <si>
    <t>vi_dt_exgp_stock_strike</t>
    <phoneticPr fontId="4" type="noConversion"/>
  </si>
  <si>
    <t>[产品证券_持仓_交易组持仓表]+[视图_行情]
字段：</t>
    <phoneticPr fontId="4" type="noConversion"/>
  </si>
  <si>
    <t>vi_calc_pd_capit_asset</t>
    <phoneticPr fontId="4" type="noConversion"/>
  </si>
  <si>
    <t>[视图_数据_产品_资金_资产]
计算：{单位净值},{净值波动},{当日盈亏},{当日收益率},{股票资产占比},{证券占比}</t>
    <phoneticPr fontId="4" type="noConversion"/>
  </si>
  <si>
    <t>vi_sum_co_stock_posi</t>
    <phoneticPr fontId="4" type="noConversion"/>
  </si>
  <si>
    <t>vi_sum_pd_stock_posi</t>
    <phoneticPr fontId="4" type="noConversion"/>
  </si>
  <si>
    <t>vi_sum_pd_stockvalue</t>
    <phoneticPr fontId="4" type="noConversion"/>
  </si>
  <si>
    <t xml:space="preserve">汇总产品的“总”的持仓市值、浮动盈亏、实现盈亏、沪市市值、深市市值、沪市股票市值、深市股票市值。
</t>
    <phoneticPr fontId="4" type="noConversion"/>
  </si>
  <si>
    <t>vi_sum_exgp_stockvalue</t>
    <phoneticPr fontId="4" type="noConversion"/>
  </si>
  <si>
    <t>汇总交易组的“总”的持仓市值、浮动盈亏、实现盈亏</t>
    <phoneticPr fontId="4" type="noConversion"/>
  </si>
  <si>
    <t>vi_sum_exgp_posi_value_inter_pl</t>
    <phoneticPr fontId="4" type="noConversion"/>
  </si>
  <si>
    <t>[视图_数据_交易组_持仓_历史]在“开始日期”与“结束日期”的盈亏
字段：持仓市值、最新价、本期盈亏</t>
    <phoneticPr fontId="4" type="noConversion"/>
  </si>
  <si>
    <t>vi_join_exgp_asset_stockvalue</t>
    <phoneticPr fontId="4" type="noConversion"/>
  </si>
  <si>
    <t>[视图_计算_产品_资金_资产]:{单位净值},{净值波动},{当日盈亏},{当日收益率},{股票资产占比},{证券占比}
[视图_汇总_交易组_持仓市值]:持仓市值、浮动盈亏、实现盈亏</t>
    <phoneticPr fontId="3" type="noConversion"/>
  </si>
  <si>
    <t>vi_logic_exgp_asset_other</t>
    <phoneticPr fontId="4" type="noConversion"/>
  </si>
  <si>
    <t>[视图_连接_交易组_资金_资产_市值]
left [报表_交易组_附加属性表]:策略类型,累计计提费用
left [视图_汇总_交易组_红利红股]:累计分红金额</t>
    <phoneticPr fontId="4" type="noConversion"/>
  </si>
  <si>
    <t>vi_sum_exgp_posi_divi_total</t>
    <phoneticPr fontId="4" type="noConversion"/>
  </si>
  <si>
    <t>汇总交易组持仓历史分红流水所有记录</t>
    <phoneticPr fontId="4" type="noConversion"/>
  </si>
  <si>
    <t>vi_logic_rptasset_sum_stock_value_co</t>
    <phoneticPr fontId="4" type="noConversion"/>
  </si>
  <si>
    <t>vi_logic_rptasset_ReportProductPositionTradeQuery</t>
    <phoneticPr fontId="4" type="noConversion"/>
  </si>
  <si>
    <t>[视图_汇总_机构_证券_持仓]
left join [视图_汇总_机构_证券_成交]</t>
    <phoneticPr fontId="4" type="noConversion"/>
  </si>
  <si>
    <t>销售金额</t>
    <phoneticPr fontId="4" type="noConversion"/>
  </si>
  <si>
    <t>vi_rptasset_qry_exgrp_asset</t>
    <phoneticPr fontId="4" type="noConversion"/>
  </si>
  <si>
    <t>报表_资管报表_视图-查询交易组资产-历史</t>
    <phoneticPr fontId="4" type="noConversion"/>
  </si>
  <si>
    <t>vi_rptasset_qry_exgrp_asset_his</t>
    <phoneticPr fontId="4" type="noConversion"/>
  </si>
  <si>
    <t>vi_tdserp_strike_his</t>
    <phoneticPr fontId="4" type="noConversion"/>
  </si>
  <si>
    <t>报表_资管报表_公共-基础-业务标志表</t>
    <phoneticPr fontId="4" type="noConversion"/>
  </si>
  <si>
    <t>报表_资管报表_公共-基础-港股通汇率表</t>
    <phoneticPr fontId="4" type="noConversion"/>
  </si>
  <si>
    <t>报表_资管报表_交易业务处理配置表</t>
    <phoneticPr fontId="4" type="noConversion"/>
  </si>
  <si>
    <t>报表_资管报表_产品证券-资金-历史资产账户资金表</t>
    <phoneticPr fontId="4" type="noConversion"/>
  </si>
  <si>
    <t>报表_资管报表_产品证券-资金-交易组资金表</t>
    <phoneticPr fontId="4" type="noConversion"/>
  </si>
  <si>
    <t>报表_资管报表_交易证券-账户-交易组业务资金表</t>
    <phoneticPr fontId="4" type="noConversion"/>
  </si>
  <si>
    <t>报表_资管报表_交易证券-报盘-成交表</t>
    <phoneticPr fontId="4" type="noConversion"/>
  </si>
  <si>
    <t>报表_资管报表_交易证券-报盘-成交表-历史</t>
    <phoneticPr fontId="4" type="noConversion"/>
  </si>
  <si>
    <t>报表_资管报表_交易证券-T0-操作员券源限额设置表</t>
    <phoneticPr fontId="4" type="noConversion"/>
  </si>
  <si>
    <t>报表_资管报表_历史交易证券-T0-券源持仓信息表</t>
    <phoneticPr fontId="4" type="noConversion"/>
  </si>
  <si>
    <t>报表_资管报表_历史交易证券-T0-账户交易信息表</t>
    <phoneticPr fontId="4" type="noConversion"/>
  </si>
  <si>
    <t>报表_资管报表_产品-账户-产品限制信息表</t>
    <phoneticPr fontId="4" type="noConversion"/>
  </si>
  <si>
    <t>报表_资管报表_视图-证券基础数据-证券行情表</t>
    <phoneticPr fontId="4" type="noConversion"/>
  </si>
  <si>
    <t>报表_资管报表_视图-查询-产品-证券持仓</t>
    <phoneticPr fontId="4" type="noConversion"/>
  </si>
  <si>
    <t>报表_资管报表_公共-证券基础数据-债券评级信息表</t>
    <phoneticPr fontId="4" type="noConversion"/>
  </si>
  <si>
    <t>报表_资管报表_公共-证券基础数据-债券兑付表</t>
    <phoneticPr fontId="4" type="noConversion"/>
  </si>
  <si>
    <t>报表_资管报表_交易证券-账户-资产账户业务持仓表</t>
    <phoneticPr fontId="4" type="noConversion"/>
  </si>
  <si>
    <t>报表_资管报表_产品证券-持仓-历史资产账户债券质押表</t>
    <phoneticPr fontId="4" type="noConversion"/>
  </si>
  <si>
    <t>报表_资管报表_交易证券-账户-交易组债券质押表</t>
    <phoneticPr fontId="4" type="noConversion"/>
  </si>
  <si>
    <t>报表_资管报表_交易证券-账户-资产账户债券质押表</t>
    <phoneticPr fontId="4" type="noConversion"/>
  </si>
  <si>
    <t>报表_资管报表_交易证券-账户-历史资产账户债券质押表</t>
    <phoneticPr fontId="4" type="noConversion"/>
  </si>
  <si>
    <t>报表_资管报表_视图-计算-产品-资金-资产</t>
    <phoneticPr fontId="4" type="noConversion"/>
  </si>
  <si>
    <t>报表_资管报表_视图-汇总-机构-证券-持仓</t>
    <phoneticPr fontId="4" type="noConversion"/>
  </si>
  <si>
    <t>报表_资管报表_视图-汇总-交易组-持仓市值</t>
    <phoneticPr fontId="4" type="noConversion"/>
  </si>
  <si>
    <t>报表_资管报表_视图-数据-交易组-持仓</t>
    <phoneticPr fontId="4" type="noConversion"/>
  </si>
  <si>
    <t>报表_资管报表_视图-数据-交易组-持仓-历史</t>
    <phoneticPr fontId="4" type="noConversion"/>
  </si>
  <si>
    <t>报表_资管报表_视图-逻辑-交易组-资产-附加信息</t>
    <phoneticPr fontId="4" type="noConversion"/>
  </si>
  <si>
    <t>报表_资管报表_视图-汇总-交易组-红利红股</t>
    <phoneticPr fontId="4" type="noConversion"/>
  </si>
  <si>
    <t>报表_资管报表_视图-证券持仓汇总查询</t>
    <phoneticPr fontId="3" type="noConversion"/>
  </si>
  <si>
    <t>报表_资管报表_产品证券-资金-历史交易组资金表</t>
    <phoneticPr fontId="4" type="noConversion"/>
  </si>
  <si>
    <t>报表_资管报表_视图-报表产品持仓交易汇总查询</t>
    <phoneticPr fontId="4" type="noConversion"/>
  </si>
  <si>
    <t>质押数量</t>
  </si>
  <si>
    <t>全价</t>
    <phoneticPr fontId="4" type="noConversion"/>
  </si>
  <si>
    <t>净价</t>
    <phoneticPr fontId="4" type="noConversion"/>
  </si>
  <si>
    <t>报表_资管报表_视图-汇总-交易组-证券-持仓</t>
    <phoneticPr fontId="3" type="noConversion"/>
  </si>
  <si>
    <t>vi_sum_exgp_stock_posi</t>
    <phoneticPr fontId="4" type="noConversion"/>
  </si>
  <si>
    <t>交易组汇总持仓</t>
    <phoneticPr fontId="4" type="noConversion"/>
  </si>
  <si>
    <t>vi_sum_exgp_stock_posi_his</t>
    <phoneticPr fontId="4" type="noConversion"/>
  </si>
  <si>
    <t>数据表</t>
    <phoneticPr fontId="4" type="noConversion"/>
  </si>
  <si>
    <t>tb_pdfupo_asac_posi</t>
    <phoneticPr fontId="4" type="noConversion"/>
  </si>
  <si>
    <t>数据表名</t>
    <phoneticPr fontId="4" type="noConversion"/>
  </si>
  <si>
    <t>数据表说明</t>
    <phoneticPr fontId="4" type="noConversion"/>
  </si>
  <si>
    <t>产品的期货持仓记录</t>
    <phoneticPr fontId="4" type="noConversion"/>
  </si>
  <si>
    <t>是否存在历史表</t>
    <phoneticPr fontId="4" type="noConversion"/>
  </si>
  <si>
    <t>持仓</t>
    <phoneticPr fontId="4" type="noConversion"/>
  </si>
  <si>
    <t>机构编号</t>
    <phoneticPr fontId="4" type="noConversion"/>
  </si>
  <si>
    <t>产品编号</t>
    <phoneticPr fontId="4" type="noConversion"/>
  </si>
  <si>
    <t>资产账户编号</t>
    <phoneticPr fontId="4" type="noConversion"/>
  </si>
  <si>
    <t>市场编号</t>
    <phoneticPr fontId="4" type="noConversion"/>
  </si>
  <si>
    <t>交易编码编号</t>
    <phoneticPr fontId="4" type="noConversion"/>
  </si>
  <si>
    <t>合约代码编号</t>
    <phoneticPr fontId="4" type="noConversion"/>
  </si>
  <si>
    <t>合约类型</t>
    <phoneticPr fontId="4" type="noConversion"/>
  </si>
  <si>
    <t>合约类型</t>
    <phoneticPr fontId="4" type="noConversion"/>
  </si>
  <si>
    <t>多空类型</t>
    <phoneticPr fontId="4" type="noConversion"/>
  </si>
  <si>
    <t>套保标志</t>
    <phoneticPr fontId="4" type="noConversion"/>
  </si>
  <si>
    <t>组合编码</t>
    <phoneticPr fontId="4" type="noConversion"/>
  </si>
  <si>
    <t>合约乘数</t>
    <phoneticPr fontId="4" type="noConversion"/>
  </si>
  <si>
    <t>期初数量</t>
    <phoneticPr fontId="4" type="noConversion"/>
  </si>
  <si>
    <t>当前数量</t>
    <phoneticPr fontId="4" type="noConversion"/>
  </si>
  <si>
    <t>冻结数量</t>
    <phoneticPr fontId="4" type="noConversion"/>
  </si>
  <si>
    <t>昨结算价</t>
    <phoneticPr fontId="4" type="noConversion"/>
  </si>
  <si>
    <t>昨结算价</t>
    <phoneticPr fontId="4" type="noConversion"/>
  </si>
  <si>
    <t>结算价</t>
    <phoneticPr fontId="4" type="noConversion"/>
  </si>
  <si>
    <t>结算价</t>
    <phoneticPr fontId="4" type="noConversion"/>
  </si>
  <si>
    <t>应收保证金</t>
    <phoneticPr fontId="4" type="noConversion"/>
  </si>
  <si>
    <t>清算结算标志</t>
    <phoneticPr fontId="4" type="noConversion"/>
  </si>
  <si>
    <t>数据表</t>
    <phoneticPr fontId="4" type="noConversion"/>
  </si>
  <si>
    <t>数据表</t>
    <phoneticPr fontId="4" type="noConversion"/>
  </si>
  <si>
    <t>tb_pdfupo_asac_posi_his</t>
    <phoneticPr fontId="4" type="noConversion"/>
  </si>
  <si>
    <t>数据表名</t>
    <phoneticPr fontId="4" type="noConversion"/>
  </si>
  <si>
    <t>数据表说明</t>
    <phoneticPr fontId="4" type="noConversion"/>
  </si>
  <si>
    <t>产品的期货持仓记录的历史快照记录</t>
    <phoneticPr fontId="4" type="noConversion"/>
  </si>
  <si>
    <t>是否存在历史表</t>
    <phoneticPr fontId="4" type="noConversion"/>
  </si>
  <si>
    <t>所属模块</t>
    <phoneticPr fontId="4" type="noConversion"/>
  </si>
  <si>
    <t>产品编号</t>
    <phoneticPr fontId="4" type="noConversion"/>
  </si>
  <si>
    <t>资产账户编号</t>
    <phoneticPr fontId="4" type="noConversion"/>
  </si>
  <si>
    <t>交易编码编号</t>
    <phoneticPr fontId="4" type="noConversion"/>
  </si>
  <si>
    <t>合约代码编号</t>
    <phoneticPr fontId="4" type="noConversion"/>
  </si>
  <si>
    <t>套保标志</t>
    <phoneticPr fontId="4" type="noConversion"/>
  </si>
  <si>
    <t>组合编码</t>
    <phoneticPr fontId="4" type="noConversion"/>
  </si>
  <si>
    <t>合约乘数</t>
    <phoneticPr fontId="4" type="noConversion"/>
  </si>
  <si>
    <t>应收保证金</t>
    <phoneticPr fontId="4" type="noConversion"/>
  </si>
  <si>
    <t>应收保证金</t>
    <phoneticPr fontId="4" type="noConversion"/>
  </si>
  <si>
    <t>U</t>
    <phoneticPr fontId="4" type="noConversion"/>
  </si>
  <si>
    <t>初始化日期</t>
    <phoneticPr fontId="4" type="noConversion"/>
  </si>
  <si>
    <t>资产账户编号</t>
    <phoneticPr fontId="4" type="noConversion"/>
  </si>
  <si>
    <t>合约代码编号</t>
    <phoneticPr fontId="4" type="noConversion"/>
  </si>
  <si>
    <t>初始化日期</t>
    <phoneticPr fontId="4" type="noConversion"/>
  </si>
  <si>
    <t>机构编号</t>
    <phoneticPr fontId="4" type="noConversion"/>
  </si>
  <si>
    <t>产品编号</t>
    <phoneticPr fontId="4" type="noConversion"/>
  </si>
  <si>
    <t>市场编号</t>
    <phoneticPr fontId="4" type="noConversion"/>
  </si>
  <si>
    <t>数据表</t>
    <phoneticPr fontId="4" type="noConversion"/>
  </si>
  <si>
    <t>tb_pdfupo_exgp_posi</t>
    <phoneticPr fontId="4" type="noConversion"/>
  </si>
  <si>
    <t>数据表名</t>
    <phoneticPr fontId="4" type="noConversion"/>
  </si>
  <si>
    <t>数据表说明</t>
    <phoneticPr fontId="4" type="noConversion"/>
  </si>
  <si>
    <t>产品的uq期货持仓记录</t>
    <phoneticPr fontId="4" type="noConversion"/>
  </si>
  <si>
    <t>是否存在历史表</t>
    <phoneticPr fontId="4" type="noConversion"/>
  </si>
  <si>
    <t>所属模块</t>
    <phoneticPr fontId="4" type="noConversion"/>
  </si>
  <si>
    <t>持仓</t>
    <phoneticPr fontId="4" type="noConversion"/>
  </si>
  <si>
    <t>交易编码编号</t>
    <phoneticPr fontId="4" type="noConversion"/>
  </si>
  <si>
    <t>合约代码编号</t>
    <phoneticPr fontId="4" type="noConversion"/>
  </si>
  <si>
    <t>合约类型</t>
  </si>
  <si>
    <t>套保标志</t>
    <phoneticPr fontId="4" type="noConversion"/>
  </si>
  <si>
    <t>合约乘数</t>
    <phoneticPr fontId="4" type="noConversion"/>
  </si>
  <si>
    <t>昨结算价</t>
    <phoneticPr fontId="4" type="noConversion"/>
  </si>
  <si>
    <t>应收保证金</t>
    <phoneticPr fontId="4" type="noConversion"/>
  </si>
  <si>
    <t>清算结算标志</t>
    <phoneticPr fontId="4" type="noConversion"/>
  </si>
  <si>
    <t>U</t>
    <phoneticPr fontId="4" type="noConversion"/>
  </si>
  <si>
    <t>套保标志</t>
  </si>
  <si>
    <t>数据表</t>
    <phoneticPr fontId="4" type="noConversion"/>
  </si>
  <si>
    <t>tb_pdfupo_exgp_posi_his</t>
    <phoneticPr fontId="4" type="noConversion"/>
  </si>
  <si>
    <t>数据表说明</t>
    <phoneticPr fontId="4" type="noConversion"/>
  </si>
  <si>
    <t>产品的期货持仓记录的历史快照记录</t>
    <phoneticPr fontId="4" type="noConversion"/>
  </si>
  <si>
    <t>是否存在历史表</t>
    <phoneticPr fontId="4" type="noConversion"/>
  </si>
  <si>
    <t>是否存在历史表</t>
    <phoneticPr fontId="4" type="noConversion"/>
  </si>
  <si>
    <t>所属模块</t>
    <phoneticPr fontId="4" type="noConversion"/>
  </si>
  <si>
    <t>资产账户编号</t>
    <phoneticPr fontId="4" type="noConversion"/>
  </si>
  <si>
    <t>套保标志</t>
    <phoneticPr fontId="4" type="noConversion"/>
  </si>
  <si>
    <t>组合编码</t>
    <phoneticPr fontId="4" type="noConversion"/>
  </si>
  <si>
    <t>合约乘数</t>
    <phoneticPr fontId="4" type="noConversion"/>
  </si>
  <si>
    <t>结算价</t>
    <phoneticPr fontId="4" type="noConversion"/>
  </si>
  <si>
    <t>应收保证金</t>
    <phoneticPr fontId="4" type="noConversion"/>
  </si>
  <si>
    <t>U</t>
    <phoneticPr fontId="4" type="noConversion"/>
  </si>
  <si>
    <t>交易编码编号</t>
    <phoneticPr fontId="4" type="noConversion"/>
  </si>
  <si>
    <t>产品编号</t>
    <phoneticPr fontId="4" type="noConversion"/>
  </si>
  <si>
    <t>tb_tdfuac_exgp_busi_posi</t>
    <phoneticPr fontId="4" type="noConversion"/>
  </si>
  <si>
    <t>数据表名</t>
    <phoneticPr fontId="4" type="noConversion"/>
  </si>
  <si>
    <t>数据表说明</t>
    <phoneticPr fontId="4" type="noConversion"/>
  </si>
  <si>
    <t>所属模块</t>
    <phoneticPr fontId="4" type="noConversion"/>
  </si>
  <si>
    <t>账户</t>
    <phoneticPr fontId="4" type="noConversion"/>
  </si>
  <si>
    <t>交易组编号</t>
    <phoneticPr fontId="4" type="noConversion"/>
  </si>
  <si>
    <t>资产账户编号</t>
    <phoneticPr fontId="4" type="noConversion"/>
  </si>
  <si>
    <t>市场编号</t>
    <phoneticPr fontId="4" type="noConversion"/>
  </si>
  <si>
    <t>交易编码编号</t>
    <phoneticPr fontId="4" type="noConversion"/>
  </si>
  <si>
    <t>合约代码编号</t>
    <phoneticPr fontId="4" type="noConversion"/>
  </si>
  <si>
    <t>套保标志</t>
    <phoneticPr fontId="4" type="noConversion"/>
  </si>
  <si>
    <t>当前数量</t>
    <phoneticPr fontId="4" type="noConversion"/>
  </si>
  <si>
    <t>冻结数量</t>
    <phoneticPr fontId="4" type="noConversion"/>
  </si>
  <si>
    <t>指令冻结数量</t>
    <phoneticPr fontId="4" type="noConversion"/>
  </si>
  <si>
    <t>指令解冻数量</t>
    <phoneticPr fontId="4" type="noConversion"/>
  </si>
  <si>
    <t>指令占用数量</t>
    <phoneticPr fontId="4" type="noConversion"/>
  </si>
  <si>
    <t>指令释放数量</t>
    <phoneticPr fontId="4" type="noConversion"/>
  </si>
  <si>
    <t>指令释放数量</t>
    <phoneticPr fontId="4" type="noConversion"/>
  </si>
  <si>
    <t>交易冻结数量</t>
    <phoneticPr fontId="4" type="noConversion"/>
  </si>
  <si>
    <t>交易解冻数量</t>
    <phoneticPr fontId="4" type="noConversion"/>
  </si>
  <si>
    <t>交易占用数量</t>
    <phoneticPr fontId="4" type="noConversion"/>
  </si>
  <si>
    <t>老仓指令占用数量</t>
    <phoneticPr fontId="4" type="noConversion"/>
  </si>
  <si>
    <t>今仓指令占用数量</t>
    <phoneticPr fontId="4" type="noConversion"/>
  </si>
  <si>
    <t>老仓交易占用数量</t>
    <phoneticPr fontId="4" type="noConversion"/>
  </si>
  <si>
    <t>老仓交易占用数量</t>
    <phoneticPr fontId="4" type="noConversion"/>
  </si>
  <si>
    <t>今仓交易占用数量</t>
    <phoneticPr fontId="4" type="noConversion"/>
  </si>
  <si>
    <t>老仓成交占用数量</t>
    <phoneticPr fontId="4" type="noConversion"/>
  </si>
  <si>
    <t>老仓成交占用数量</t>
    <phoneticPr fontId="4" type="noConversion"/>
  </si>
  <si>
    <t>今仓成交占用数量</t>
    <phoneticPr fontId="4" type="noConversion"/>
  </si>
  <si>
    <t>平仓盈亏</t>
    <phoneticPr fontId="4" type="noConversion"/>
  </si>
  <si>
    <t>开仓金额</t>
    <phoneticPr fontId="4" type="noConversion"/>
  </si>
  <si>
    <t>U</t>
    <phoneticPr fontId="4" type="noConversion"/>
  </si>
  <si>
    <t>交易组编号</t>
    <phoneticPr fontId="4" type="noConversion"/>
  </si>
  <si>
    <t>交易组编号</t>
    <phoneticPr fontId="4" type="noConversion"/>
  </si>
  <si>
    <t>合约代码编号</t>
    <phoneticPr fontId="4" type="noConversion"/>
  </si>
  <si>
    <t>套保标志</t>
    <phoneticPr fontId="4" type="noConversion"/>
  </si>
  <si>
    <t>产品编号</t>
    <phoneticPr fontId="4" type="noConversion"/>
  </si>
  <si>
    <t>数据表</t>
    <phoneticPr fontId="4" type="noConversion"/>
  </si>
  <si>
    <t>tb_tdfuac_exgp_busi_posi_his</t>
    <phoneticPr fontId="4" type="noConversion"/>
  </si>
  <si>
    <t>是否存在历史表</t>
    <phoneticPr fontId="4" type="noConversion"/>
  </si>
  <si>
    <t>账户</t>
    <phoneticPr fontId="4" type="noConversion"/>
  </si>
  <si>
    <t>机构编号</t>
    <phoneticPr fontId="4" type="noConversion"/>
  </si>
  <si>
    <t>产品编号</t>
    <phoneticPr fontId="4" type="noConversion"/>
  </si>
  <si>
    <t>交易组编号</t>
    <phoneticPr fontId="4" type="noConversion"/>
  </si>
  <si>
    <t>交易币种</t>
    <phoneticPr fontId="4" type="noConversion"/>
  </si>
  <si>
    <t>交易编码编号</t>
    <phoneticPr fontId="4" type="noConversion"/>
  </si>
  <si>
    <t>合约类型</t>
    <phoneticPr fontId="4" type="noConversion"/>
  </si>
  <si>
    <t>合约乘数</t>
    <phoneticPr fontId="4" type="noConversion"/>
  </si>
  <si>
    <t>多空类型</t>
    <phoneticPr fontId="4" type="noConversion"/>
  </si>
  <si>
    <t>解冻数量</t>
    <phoneticPr fontId="4" type="noConversion"/>
  </si>
  <si>
    <t>指令解冻数量</t>
    <phoneticPr fontId="4" type="noConversion"/>
  </si>
  <si>
    <t>指令占用数量</t>
    <phoneticPr fontId="4" type="noConversion"/>
  </si>
  <si>
    <t>交易冻结数量</t>
    <phoneticPr fontId="4" type="noConversion"/>
  </si>
  <si>
    <t>交易解冻数量</t>
    <phoneticPr fontId="4" type="noConversion"/>
  </si>
  <si>
    <t>交易占用数量</t>
    <phoneticPr fontId="4" type="noConversion"/>
  </si>
  <si>
    <t>成交释放数量</t>
    <phoneticPr fontId="4" type="noConversion"/>
  </si>
  <si>
    <t>老仓指令占用数量</t>
    <phoneticPr fontId="4" type="noConversion"/>
  </si>
  <si>
    <t>今仓指令占用数量</t>
    <phoneticPr fontId="4" type="noConversion"/>
  </si>
  <si>
    <t>今仓交易占用数量</t>
    <phoneticPr fontId="4" type="noConversion"/>
  </si>
  <si>
    <t>今仓成交占用数量</t>
    <phoneticPr fontId="4" type="noConversion"/>
  </si>
  <si>
    <t>应收保证金</t>
    <phoneticPr fontId="4" type="noConversion"/>
  </si>
  <si>
    <t>平仓盈亏</t>
    <phoneticPr fontId="4" type="noConversion"/>
  </si>
  <si>
    <t>开仓金额</t>
    <phoneticPr fontId="4" type="noConversion"/>
  </si>
  <si>
    <t>资产账户编号</t>
    <phoneticPr fontId="4" type="noConversion"/>
  </si>
  <si>
    <t>初始化日期</t>
    <phoneticPr fontId="4" type="noConversion"/>
  </si>
  <si>
    <t>机构编号</t>
    <phoneticPr fontId="4" type="noConversion"/>
  </si>
  <si>
    <t>产品编号</t>
    <phoneticPr fontId="4" type="noConversion"/>
  </si>
  <si>
    <t>数据表</t>
    <phoneticPr fontId="4" type="noConversion"/>
  </si>
  <si>
    <t>tb_tdfuac_asac_busi_posi</t>
    <phoneticPr fontId="4" type="noConversion"/>
  </si>
  <si>
    <t>是否存在历史表</t>
    <phoneticPr fontId="4" type="noConversion"/>
  </si>
  <si>
    <t>账户</t>
    <phoneticPr fontId="4" type="noConversion"/>
  </si>
  <si>
    <t>交易编码编号</t>
    <phoneticPr fontId="4" type="noConversion"/>
  </si>
  <si>
    <t>多空类型</t>
    <phoneticPr fontId="3" type="noConversion"/>
  </si>
  <si>
    <t>组合编码</t>
    <phoneticPr fontId="4" type="noConversion"/>
  </si>
  <si>
    <t>指令冻结数量</t>
    <phoneticPr fontId="4" type="noConversion"/>
  </si>
  <si>
    <t>指令占用数量</t>
    <phoneticPr fontId="4" type="noConversion"/>
  </si>
  <si>
    <t>交易冻结数量</t>
    <phoneticPr fontId="4" type="noConversion"/>
  </si>
  <si>
    <t>交易占用数量</t>
    <phoneticPr fontId="4" type="noConversion"/>
  </si>
  <si>
    <t>交易占用数量</t>
    <phoneticPr fontId="4" type="noConversion"/>
  </si>
  <si>
    <t>老仓指令占用数量</t>
    <phoneticPr fontId="4" type="noConversion"/>
  </si>
  <si>
    <t>今仓指令占用数量</t>
    <phoneticPr fontId="4" type="noConversion"/>
  </si>
  <si>
    <t>老仓交易占用数量</t>
    <phoneticPr fontId="4" type="noConversion"/>
  </si>
  <si>
    <t>今仓交易占用数量</t>
    <phoneticPr fontId="4" type="noConversion"/>
  </si>
  <si>
    <t>应收保证金</t>
    <phoneticPr fontId="4" type="noConversion"/>
  </si>
  <si>
    <t>昨结算价</t>
    <phoneticPr fontId="4" type="noConversion"/>
  </si>
  <si>
    <t>平仓盈亏</t>
    <phoneticPr fontId="4" type="noConversion"/>
  </si>
  <si>
    <t>开仓金额</t>
    <phoneticPr fontId="4" type="noConversion"/>
  </si>
  <si>
    <t>tb_tdfuac_asac_busi_posi_his</t>
    <phoneticPr fontId="4" type="noConversion"/>
  </si>
  <si>
    <t>数据表说明</t>
    <phoneticPr fontId="4" type="noConversion"/>
  </si>
  <si>
    <t>是否存在历史表</t>
    <phoneticPr fontId="4" type="noConversion"/>
  </si>
  <si>
    <t>所属模块</t>
    <phoneticPr fontId="4" type="noConversion"/>
  </si>
  <si>
    <t>账户</t>
    <phoneticPr fontId="4" type="noConversion"/>
  </si>
  <si>
    <t>交易占用数量</t>
    <phoneticPr fontId="4" type="noConversion"/>
  </si>
  <si>
    <t>老仓指令占用数量</t>
    <phoneticPr fontId="4" type="noConversion"/>
  </si>
  <si>
    <t>今仓指令占用数量</t>
    <phoneticPr fontId="4" type="noConversion"/>
  </si>
  <si>
    <t>老仓交易占用数量</t>
    <phoneticPr fontId="4" type="noConversion"/>
  </si>
  <si>
    <t>老仓成交占用数量</t>
    <phoneticPr fontId="4" type="noConversion"/>
  </si>
  <si>
    <t>昨结算价</t>
    <phoneticPr fontId="4" type="noConversion"/>
  </si>
  <si>
    <t>平仓盈亏</t>
    <phoneticPr fontId="4" type="noConversion"/>
  </si>
  <si>
    <t>U</t>
    <phoneticPr fontId="4" type="noConversion"/>
  </si>
  <si>
    <t>交易编码编号</t>
    <phoneticPr fontId="4" type="noConversion"/>
  </si>
  <si>
    <t>市场编号</t>
    <phoneticPr fontId="4" type="noConversion"/>
  </si>
  <si>
    <t>tb_basefudt_futu_quot</t>
    <phoneticPr fontId="4" type="noConversion"/>
  </si>
  <si>
    <t>期货基础数据</t>
    <phoneticPr fontId="4" type="noConversion"/>
  </si>
  <si>
    <t>合约代码</t>
    <phoneticPr fontId="4" type="noConversion"/>
  </si>
  <si>
    <t>合约名称</t>
    <phoneticPr fontId="4" type="noConversion"/>
  </si>
  <si>
    <t>结算价</t>
  </si>
  <si>
    <t>持仓量</t>
  </si>
  <si>
    <t>昨持仓量</t>
  </si>
  <si>
    <t>最高买价</t>
  </si>
  <si>
    <t>最低卖价</t>
  </si>
  <si>
    <t>市场总买量</t>
  </si>
  <si>
    <t>市场总卖量</t>
  </si>
  <si>
    <t>合约类型</t>
    <phoneticPr fontId="4" type="noConversion"/>
  </si>
  <si>
    <t>资产类型</t>
    <phoneticPr fontId="4" type="noConversion"/>
  </si>
  <si>
    <t>市场编号</t>
    <phoneticPr fontId="4" type="noConversion"/>
  </si>
  <si>
    <t>合约代码</t>
    <phoneticPr fontId="4" type="noConversion"/>
  </si>
  <si>
    <t>tb_basefudt_futu_quot_his</t>
    <phoneticPr fontId="4" type="noConversion"/>
  </si>
  <si>
    <t>数据表名</t>
    <phoneticPr fontId="4" type="noConversion"/>
  </si>
  <si>
    <t>所属模块</t>
    <phoneticPr fontId="4" type="noConversion"/>
  </si>
  <si>
    <t>期货基础数据</t>
    <phoneticPr fontId="4" type="noConversion"/>
  </si>
  <si>
    <t>合约名称</t>
    <phoneticPr fontId="4" type="noConversion"/>
  </si>
  <si>
    <t>合约类型</t>
    <phoneticPr fontId="4" type="noConversion"/>
  </si>
  <si>
    <t>资产类型</t>
    <phoneticPr fontId="4" type="noConversion"/>
  </si>
  <si>
    <t>初始化日期</t>
    <phoneticPr fontId="4" type="noConversion"/>
  </si>
  <si>
    <t>合约代码</t>
    <phoneticPr fontId="4" type="noConversion"/>
  </si>
  <si>
    <t>tb_tdfuac_exgp_posi_detail</t>
    <phoneticPr fontId="4" type="noConversion"/>
  </si>
  <si>
    <t>所属模块</t>
    <phoneticPr fontId="4" type="noConversion"/>
  </si>
  <si>
    <t>交易编码编号</t>
    <phoneticPr fontId="4" type="noConversion"/>
  </si>
  <si>
    <t>开仓日期</t>
    <phoneticPr fontId="4" type="noConversion"/>
  </si>
  <si>
    <t>开仓数量</t>
    <phoneticPr fontId="4" type="noConversion"/>
  </si>
  <si>
    <t>开仓金额</t>
    <phoneticPr fontId="4" type="noConversion"/>
  </si>
  <si>
    <t>平仓费用</t>
  </si>
  <si>
    <t>成交占用数量</t>
    <phoneticPr fontId="4" type="noConversion"/>
  </si>
  <si>
    <t>盯市结算价格</t>
  </si>
  <si>
    <t>成交编号</t>
    <phoneticPr fontId="4" type="noConversion"/>
  </si>
  <si>
    <t>明细持仓序号</t>
    <phoneticPr fontId="4" type="noConversion"/>
  </si>
  <si>
    <t>盯市盈亏</t>
  </si>
  <si>
    <t>机构编号</t>
    <phoneticPr fontId="4" type="noConversion"/>
  </si>
  <si>
    <t>投资类型</t>
    <phoneticPr fontId="4" type="noConversion"/>
  </si>
  <si>
    <t>投资类型</t>
    <phoneticPr fontId="4" type="noConversion"/>
  </si>
  <si>
    <t>成交编号</t>
    <phoneticPr fontId="4" type="noConversion"/>
  </si>
  <si>
    <t>套保标志</t>
    <phoneticPr fontId="4" type="noConversion"/>
  </si>
  <si>
    <t>产品编号</t>
    <phoneticPr fontId="4" type="noConversion"/>
  </si>
  <si>
    <t>tb_tdfuac_exgp_posi_detail_his</t>
    <phoneticPr fontId="4" type="noConversion"/>
  </si>
  <si>
    <t>数据表名</t>
    <phoneticPr fontId="4" type="noConversion"/>
  </si>
  <si>
    <t>账户</t>
    <phoneticPr fontId="4" type="noConversion"/>
  </si>
  <si>
    <t>合约乘数</t>
    <phoneticPr fontId="4" type="noConversion"/>
  </si>
  <si>
    <t>合约类型</t>
    <phoneticPr fontId="4" type="noConversion"/>
  </si>
  <si>
    <t>开仓日期</t>
    <phoneticPr fontId="4" type="noConversion"/>
  </si>
  <si>
    <t>交易占用数量</t>
    <phoneticPr fontId="4" type="noConversion"/>
  </si>
  <si>
    <t>成交编号</t>
    <phoneticPr fontId="4" type="noConversion"/>
  </si>
  <si>
    <t>明细持仓序号</t>
    <phoneticPr fontId="4" type="noConversion"/>
  </si>
  <si>
    <t>平仓盈亏</t>
    <phoneticPr fontId="4" type="noConversion"/>
  </si>
  <si>
    <t>初始化日期</t>
    <phoneticPr fontId="4" type="noConversion"/>
  </si>
  <si>
    <t>成交编号</t>
    <phoneticPr fontId="4" type="noConversion"/>
  </si>
  <si>
    <t>机构编号</t>
    <phoneticPr fontId="4" type="noConversion"/>
  </si>
  <si>
    <t>报表_资管报表_视图-期货产品持仓</t>
    <phoneticPr fontId="4" type="noConversion"/>
  </si>
  <si>
    <t>vi_futu_qry_pd_posi</t>
  </si>
  <si>
    <t>vi_futu_qry_grp_posi</t>
    <phoneticPr fontId="4" type="noConversion"/>
  </si>
  <si>
    <t>报表_资管报表_视图-期货交易组持仓</t>
    <phoneticPr fontId="4" type="noConversion"/>
  </si>
  <si>
    <t>报表_资管报表_视图-期货交易组持仓-历史</t>
    <phoneticPr fontId="4" type="noConversion"/>
  </si>
  <si>
    <t>vi_futu_qry_grp_posi_his</t>
    <phoneticPr fontId="4" type="noConversion"/>
  </si>
  <si>
    <t>报表_资管报表_视图-期货产品持仓-历史</t>
    <phoneticPr fontId="4" type="noConversion"/>
  </si>
  <si>
    <t>vi_futu_qry_pd_posi_his</t>
    <phoneticPr fontId="4" type="noConversion"/>
  </si>
  <si>
    <t>报表_资管报表_视图-期货交易组持仓明细</t>
    <phoneticPr fontId="4" type="noConversion"/>
  </si>
  <si>
    <t>vi_futu_qry_grp_posi_ detail</t>
    <phoneticPr fontId="4" type="noConversion"/>
  </si>
  <si>
    <t>开仓时间</t>
    <phoneticPr fontId="4" type="noConversion"/>
  </si>
  <si>
    <t>vi_rpt_sum_asset</t>
    <phoneticPr fontId="4" type="noConversion"/>
  </si>
  <si>
    <t>报表_资管报表_视图-机构资产</t>
    <phoneticPr fontId="3" type="noConversion"/>
  </si>
  <si>
    <t>vi_rpt_sum_asset_his</t>
    <phoneticPr fontId="4" type="noConversion"/>
  </si>
  <si>
    <t>报表_资管报表_视图-机构资产-历史</t>
    <phoneticPr fontId="3" type="noConversion"/>
  </si>
  <si>
    <t>报表_资管报表_公共-基础-机构汇率表</t>
    <phoneticPr fontId="4" type="noConversion"/>
  </si>
  <si>
    <t>报表_资管报表_产品-账户-历史产品信息表</t>
    <phoneticPr fontId="4" type="noConversion"/>
  </si>
  <si>
    <t>报表_资管报表_产品-资金-产品资金表</t>
    <phoneticPr fontId="4" type="noConversion"/>
  </si>
  <si>
    <t>报表_资管报表_产品-资金-产品资产表</t>
    <phoneticPr fontId="4" type="noConversion"/>
  </si>
  <si>
    <t>报表_资管报表_产品-资金-历史产品资产表</t>
    <phoneticPr fontId="4" type="noConversion"/>
  </si>
  <si>
    <t>报表_资管报表_产品证券-资金-资产账户资金表</t>
    <phoneticPr fontId="4" type="noConversion"/>
  </si>
  <si>
    <t>报表_资管报表_产品证券-资金-交易组资产表</t>
    <phoneticPr fontId="4" type="noConversion"/>
  </si>
  <si>
    <t>报表_资管报表_产品证券-持仓-资产账户持仓表</t>
    <phoneticPr fontId="4" type="noConversion"/>
  </si>
  <si>
    <t>报表_资管报表_视图-数据-产品-资产账户-持仓</t>
    <phoneticPr fontId="4" type="noConversion"/>
  </si>
  <si>
    <t>报表_资管报表_交易证券-账户-交易组业务持仓表</t>
    <phoneticPr fontId="4" type="noConversion"/>
  </si>
  <si>
    <t>报表_资管报表_产品证券-持仓-交易组持仓表</t>
    <phoneticPr fontId="4" type="noConversion"/>
  </si>
  <si>
    <t>报表_资管报表_产品证券-持仓-交易组债券质押表</t>
    <phoneticPr fontId="4" type="noConversion"/>
  </si>
  <si>
    <t>报表_资管报表_产品证券-持仓-债券回购表</t>
    <phoneticPr fontId="4" type="noConversion"/>
  </si>
  <si>
    <t>报表_资管报表_公共-用户-交易组信息表</t>
    <phoneticPr fontId="4" type="noConversion"/>
  </si>
  <si>
    <t>报表_资管报表_公共-用户-操作员可操作产品表</t>
    <phoneticPr fontId="4" type="noConversion"/>
  </si>
  <si>
    <t>报表_资管报表_公共-证券基础数据-债券属性信息表</t>
    <phoneticPr fontId="4" type="noConversion"/>
  </si>
  <si>
    <t>报表_资管报表_公共-证券基础数据-证券代码信息表</t>
    <phoneticPr fontId="4" type="noConversion"/>
  </si>
  <si>
    <t>报表_资管报表_视图-证券基础数据-历史证券行情表</t>
    <phoneticPr fontId="4" type="noConversion"/>
  </si>
  <si>
    <t>报表_资管报表_视图-查询交易组资产</t>
    <phoneticPr fontId="4" type="noConversion"/>
  </si>
  <si>
    <t>报表_资管报表_视图-查询-产品-证券持仓-历史</t>
    <phoneticPr fontId="4" type="noConversion"/>
  </si>
  <si>
    <t>报表_资管报表_视图-查询-交易组-证券持仓-历史</t>
    <phoneticPr fontId="4" type="noConversion"/>
  </si>
  <si>
    <t>报表_资管报表_产品证券-持仓-历史资产账户持仓表</t>
    <phoneticPr fontId="4" type="noConversion"/>
  </si>
  <si>
    <t>报表_资管报表_视图-数据-产品-资金-资产</t>
    <phoneticPr fontId="4" type="noConversion"/>
  </si>
  <si>
    <t>报表_资管报表_视图-汇总-交易组-证券-持仓-历史</t>
    <phoneticPr fontId="3" type="noConversion"/>
  </si>
  <si>
    <t>报表_资管报表_视图-数据-交易组-资金-资产</t>
    <phoneticPr fontId="4" type="noConversion"/>
  </si>
  <si>
    <t>报表_资管报表_视图-连接-交易组-资金-资产-市值</t>
    <phoneticPr fontId="4" type="noConversion"/>
  </si>
  <si>
    <t>报表_资管报表_产品证券-资金-资产账户资产表</t>
    <phoneticPr fontId="4" type="noConversion"/>
  </si>
  <si>
    <t>报表_资管报表_资产账户持仓表</t>
    <phoneticPr fontId="3" type="noConversion"/>
  </si>
  <si>
    <t>报表_资管报表_历史资产账户持仓表</t>
    <phoneticPr fontId="3" type="noConversion"/>
  </si>
  <si>
    <t>报表_资管报表_交易组持仓表</t>
    <phoneticPr fontId="3" type="noConversion"/>
  </si>
  <si>
    <t>报表_资管报表_历史交易组持仓表</t>
    <phoneticPr fontId="3" type="noConversion"/>
  </si>
  <si>
    <t>报表_资管报表_交易组业务持仓表</t>
    <phoneticPr fontId="4" type="noConversion"/>
  </si>
  <si>
    <t>报表_资管报表_历史交易组业务持仓表</t>
    <phoneticPr fontId="4" type="noConversion"/>
  </si>
  <si>
    <t>报表_资管报表_资产账户业务持仓表</t>
    <phoneticPr fontId="4" type="noConversion"/>
  </si>
  <si>
    <t>报表_资管报表_历史资产账户业务持仓表</t>
    <phoneticPr fontId="3" type="noConversion"/>
  </si>
  <si>
    <t>报表_资管报表_期货行情表</t>
    <phoneticPr fontId="3" type="noConversion"/>
  </si>
  <si>
    <t>报表_资管报表_历史期货行情表</t>
    <phoneticPr fontId="3" type="noConversion"/>
  </si>
  <si>
    <t>报表_资管报表_交易组持仓明细表</t>
    <phoneticPr fontId="4" type="noConversion"/>
  </si>
  <si>
    <t>报表_资管报表_历史交易组持仓明细表</t>
    <phoneticPr fontId="4" type="noConversion"/>
  </si>
  <si>
    <t>报表_资管报表_交易证券-T0-历史证券持仓明细表</t>
    <phoneticPr fontId="3" type="noConversion"/>
  </si>
  <si>
    <t>隔夜盈亏</t>
    <phoneticPr fontId="4" type="noConversion"/>
  </si>
  <si>
    <t>证券代码编号</t>
  </si>
  <si>
    <t>机构编号</t>
    <phoneticPr fontId="4" type="noConversion"/>
  </si>
  <si>
    <t>产品编号</t>
    <phoneticPr fontId="4" type="noConversion"/>
  </si>
  <si>
    <t>期货资产</t>
    <phoneticPr fontId="4" type="noConversion"/>
  </si>
  <si>
    <t>港股通资产</t>
  </si>
  <si>
    <t>可提现金额</t>
  </si>
  <si>
    <t>股票资产占比</t>
  </si>
  <si>
    <t>基金资产占比</t>
  </si>
  <si>
    <t>U</t>
    <phoneticPr fontId="4" type="noConversion"/>
  </si>
  <si>
    <t>U</t>
    <phoneticPr fontId="4" type="noConversion"/>
  </si>
  <si>
    <t>交易组编号</t>
    <phoneticPr fontId="4" type="noConversion"/>
  </si>
  <si>
    <t>交易组产品份额</t>
    <phoneticPr fontId="4" type="noConversion"/>
  </si>
  <si>
    <t>报表_资管报表_交易组资产查询表</t>
  </si>
  <si>
    <t>报表_资管报表_产品资产查询历表</t>
    <phoneticPr fontId="3" type="noConversion"/>
  </si>
  <si>
    <t>报表_资管报表_交易组资产查询历表</t>
    <phoneticPr fontId="4" type="noConversion"/>
  </si>
  <si>
    <t>可用数量</t>
  </si>
  <si>
    <t>全价持仓市值</t>
  </si>
  <si>
    <t>债券应收利息</t>
  </si>
  <si>
    <t>交易组编号</t>
    <phoneticPr fontId="4" type="noConversion"/>
  </si>
  <si>
    <t>报表_资管报表_视图-汇总-机构-证券-成交</t>
    <phoneticPr fontId="4" type="noConversion"/>
  </si>
  <si>
    <t>vi_sum_co_stock_strike</t>
    <phoneticPr fontId="4" type="noConversion"/>
  </si>
  <si>
    <t>持仓净值占比</t>
  </si>
  <si>
    <t>asset_type</t>
    <phoneticPr fontId="3" type="noConversion"/>
  </si>
  <si>
    <t>" "</t>
    <phoneticPr fontId="4" type="noConversion"/>
  </si>
  <si>
    <t>varchar(64)</t>
    <phoneticPr fontId="4" type="noConversion"/>
  </si>
  <si>
    <t>"CNY"</t>
    <phoneticPr fontId="4" type="noConversion"/>
  </si>
  <si>
    <t>up_limit_price</t>
    <phoneticPr fontId="4" type="noConversion"/>
  </si>
  <si>
    <t>last_trade_date</t>
    <phoneticPr fontId="4" type="noConversion"/>
  </si>
  <si>
    <t>系统内唯一的组织机构编号</t>
    <phoneticPr fontId="4" type="noConversion"/>
  </si>
  <si>
    <t>unit_nav</t>
    <phoneticPr fontId="4" type="noConversion"/>
  </si>
  <si>
    <t>posi_nav_ratio</t>
    <phoneticPr fontId="4" type="noConversion"/>
  </si>
  <si>
    <t>账户解冻的数量</t>
    <phoneticPr fontId="4" type="noConversion"/>
  </si>
  <si>
    <t>沪市、深市、郑州商品交易所、大连商品交易所等</t>
    <phoneticPr fontId="4" type="noConversion"/>
  </si>
  <si>
    <t>投机、套保、套利等</t>
    <phoneticPr fontId="4" type="noConversion"/>
  </si>
  <si>
    <t>comm_frozen_qty</t>
    <phoneticPr fontId="4" type="noConversion"/>
  </si>
  <si>
    <t>buy_price_1</t>
    <phoneticPr fontId="4" type="noConversion"/>
  </si>
  <si>
    <t>exch_group_no</t>
    <phoneticPr fontId="3" type="noConversion"/>
  </si>
  <si>
    <t>订单实际成交的数量</t>
    <phoneticPr fontId="4" type="noConversion"/>
  </si>
  <si>
    <t>decimal(18,2)</t>
    <phoneticPr fontId="4" type="noConversion"/>
  </si>
  <si>
    <t>nav_fluct</t>
    <phoneticPr fontId="4" type="noConversion"/>
  </si>
  <si>
    <t>repo_asset</t>
    <phoneticPr fontId="4" type="noConversion"/>
  </si>
  <si>
    <t>close_posi_fee</t>
    <phoneticPr fontId="4" type="noConversion"/>
  </si>
  <si>
    <t>crncy_type</t>
    <phoneticPr fontId="4" type="noConversion"/>
  </si>
  <si>
    <t>varchar(255)</t>
    <phoneticPr fontId="4" type="noConversion"/>
  </si>
  <si>
    <t>co_no</t>
    <phoneticPr fontId="3" type="noConversion"/>
  </si>
  <si>
    <t>crncy_type</t>
    <phoneticPr fontId="3" type="noConversion"/>
  </si>
  <si>
    <t>"CNY"</t>
    <phoneticPr fontId="3" type="noConversion"/>
  </si>
  <si>
    <t>date_format(curdate(),'%Y%m%d')</t>
    <phoneticPr fontId="3" type="noConversion"/>
  </si>
  <si>
    <t>out_order_releas_qty</t>
    <phoneticPr fontId="4" type="noConversion"/>
  </si>
  <si>
    <t>trade_code</t>
    <phoneticPr fontId="4" type="noConversion"/>
  </si>
  <si>
    <t>min_qty</t>
    <phoneticPr fontId="4" type="noConversion"/>
  </si>
  <si>
    <t>buy_price_2</t>
    <phoneticPr fontId="4" type="noConversion"/>
  </si>
  <si>
    <t>报表_资管报表_产品资产查询表</t>
    <phoneticPr fontId="3" type="noConversion"/>
  </si>
  <si>
    <t>昨日份额</t>
    <phoneticPr fontId="4" type="noConversion"/>
  </si>
  <si>
    <t>股东代码编号</t>
    <phoneticPr fontId="4" type="noConversion"/>
  </si>
  <si>
    <t>待交收数量</t>
  </si>
  <si>
    <t>指令冻结数量</t>
  </si>
  <si>
    <t>指令解冻数量</t>
  </si>
  <si>
    <t>交易冻结数量</t>
  </si>
  <si>
    <t>交易解冻数量</t>
  </si>
  <si>
    <t>成交解冻数量</t>
  </si>
  <si>
    <t>contrc_code_no</t>
    <phoneticPr fontId="4" type="noConversion"/>
  </si>
  <si>
    <t>期货持仓按标准应收取的保证金金额</t>
    <phoneticPr fontId="4" type="noConversion"/>
  </si>
  <si>
    <t>pre_close_price</t>
    <phoneticPr fontId="4" type="noConversion"/>
  </si>
  <si>
    <t>today_close_price</t>
    <phoneticPr fontId="4" type="noConversion"/>
  </si>
  <si>
    <t>buy_qty_3</t>
    <phoneticPr fontId="4" type="noConversion"/>
  </si>
  <si>
    <t>intrst_cacl_amt</t>
    <phoneticPr fontId="4" type="noConversion"/>
  </si>
  <si>
    <t>账户期初的资金额</t>
    <phoneticPr fontId="4" type="noConversion"/>
  </si>
  <si>
    <t>comm_frozen_amt</t>
    <phoneticPr fontId="4" type="noConversion"/>
  </si>
  <si>
    <t>put_impawn_qty</t>
    <phoneticPr fontId="4" type="noConversion"/>
  </si>
  <si>
    <t>out_acco</t>
    <phoneticPr fontId="4" type="noConversion"/>
  </si>
  <si>
    <t>order_time</t>
    <phoneticPr fontId="4" type="noConversion"/>
  </si>
  <si>
    <t>market_price_ratio</t>
    <phoneticPr fontId="4" type="noConversion"/>
  </si>
  <si>
    <t>stock_name</t>
    <phoneticPr fontId="4" type="noConversion"/>
  </si>
  <si>
    <t>init_date</t>
    <phoneticPr fontId="3" type="noConversion"/>
  </si>
  <si>
    <t>净价</t>
    <phoneticPr fontId="4" type="noConversion"/>
  </si>
  <si>
    <t>全价</t>
    <phoneticPr fontId="4" type="noConversion"/>
  </si>
  <si>
    <t>pd_all_share</t>
    <phoneticPr fontId="4" type="noConversion"/>
  </si>
  <si>
    <t>init_date</t>
    <phoneticPr fontId="4" type="noConversion"/>
  </si>
  <si>
    <t>fund_asset</t>
    <phoneticPr fontId="4" type="noConversion"/>
  </si>
  <si>
    <t>total_rece_amt</t>
    <phoneticPr fontId="4" type="noConversion"/>
  </si>
  <si>
    <t>assign_avail_amt</t>
    <phoneticPr fontId="4" type="noConversion"/>
  </si>
  <si>
    <t>varchar(3)</t>
    <phoneticPr fontId="4" type="noConversion"/>
  </si>
  <si>
    <t>total_payab_amt</t>
    <phoneticPr fontId="4" type="noConversion"/>
  </si>
  <si>
    <t>exch_group_no</t>
    <phoneticPr fontId="4" type="noConversion"/>
  </si>
  <si>
    <t>pre_settle_qty</t>
    <phoneticPr fontId="4" type="noConversion"/>
  </si>
  <si>
    <t>comm_unfroz_qty</t>
    <phoneticPr fontId="4" type="noConversion"/>
  </si>
  <si>
    <t>trade_unfroz_qty</t>
    <phoneticPr fontId="4" type="noConversion"/>
  </si>
  <si>
    <t>strike_capt_qty</t>
    <phoneticPr fontId="4" type="noConversion"/>
  </si>
  <si>
    <t>strike_releas_qty</t>
    <phoneticPr fontId="4" type="noConversion"/>
  </si>
  <si>
    <t>strike_unfroz_qty</t>
    <phoneticPr fontId="4" type="noConversion"/>
  </si>
  <si>
    <t>open_amount</t>
    <phoneticPr fontId="4" type="noConversion"/>
  </si>
  <si>
    <t>date_format(curdate(),'%Y%m%d')</t>
    <phoneticPr fontId="4" type="noConversion"/>
  </si>
  <si>
    <t>pre_comm_capt_qty</t>
    <phoneticPr fontId="4" type="noConversion"/>
  </si>
  <si>
    <t>realize_pandl</t>
    <phoneticPr fontId="4" type="noConversion"/>
  </si>
  <si>
    <t>账户冻结的数量</t>
    <phoneticPr fontId="4" type="noConversion"/>
  </si>
  <si>
    <t>trade_frozen_qty</t>
    <phoneticPr fontId="4" type="noConversion"/>
  </si>
  <si>
    <t>today_trade_capt_qty</t>
    <phoneticPr fontId="4" type="noConversion"/>
  </si>
  <si>
    <t>futu_acco_no</t>
    <phoneticPr fontId="4" type="noConversion"/>
  </si>
  <si>
    <t>min_sale_price</t>
    <phoneticPr fontId="4" type="noConversion"/>
  </si>
  <si>
    <t>buy_qty_1</t>
    <phoneticPr fontId="4" type="noConversion"/>
  </si>
  <si>
    <t>curr_amt</t>
    <phoneticPr fontId="4" type="noConversion"/>
  </si>
  <si>
    <t>begin_amt</t>
    <phoneticPr fontId="4" type="noConversion"/>
  </si>
  <si>
    <t>frozen_amt</t>
    <phoneticPr fontId="4" type="noConversion"/>
  </si>
  <si>
    <t>trade_unfroz_amt</t>
    <phoneticPr fontId="4" type="noConversion"/>
  </si>
  <si>
    <t>strike_capt_amt</t>
    <phoneticPr fontId="4" type="noConversion"/>
  </si>
  <si>
    <t>stock_acco_no</t>
    <phoneticPr fontId="4" type="noConversion"/>
  </si>
  <si>
    <t>交易端可用数量</t>
  </si>
  <si>
    <t>指令端可用数量</t>
    <phoneticPr fontId="4" type="noConversion"/>
  </si>
  <si>
    <t>静态可用数量</t>
    <phoneticPr fontId="4" type="noConversion"/>
  </si>
  <si>
    <t>tb_rptasset_pd_capit_asset_his</t>
    <phoneticPr fontId="3" type="noConversion"/>
  </si>
  <si>
    <t>tb_rptasset_exgrp_asset_his</t>
    <phoneticPr fontId="3" type="noConversion"/>
  </si>
  <si>
    <t>tb_rptasset_pd_posi</t>
    <phoneticPr fontId="3" type="noConversion"/>
  </si>
  <si>
    <t>订单下单时的系统日期</t>
    <phoneticPr fontId="4" type="noConversion"/>
  </si>
  <si>
    <t>co_no</t>
    <phoneticPr fontId="4" type="noConversion"/>
  </si>
  <si>
    <t>pd_no</t>
    <phoneticPr fontId="4" type="noConversion"/>
  </si>
  <si>
    <t>系统内部流水号，系统内唯一</t>
    <phoneticPr fontId="4" type="noConversion"/>
  </si>
  <si>
    <t>curr_share</t>
    <phoneticPr fontId="4" type="noConversion"/>
  </si>
  <si>
    <t>pre_share</t>
    <phoneticPr fontId="4" type="noConversion"/>
  </si>
  <si>
    <t>begin_NAV</t>
    <phoneticPr fontId="4" type="noConversion"/>
  </si>
  <si>
    <t>decimal(18,4)</t>
    <phoneticPr fontId="4" type="noConversion"/>
  </si>
  <si>
    <t>nav_asset</t>
    <phoneticPr fontId="4" type="noConversion"/>
  </si>
  <si>
    <t>pre_nav</t>
    <phoneticPr fontId="4" type="noConversion"/>
  </si>
  <si>
    <t>decimal(18,12)</t>
    <phoneticPr fontId="4" type="noConversion"/>
  </si>
  <si>
    <t>bond_asset</t>
    <phoneticPr fontId="4" type="noConversion"/>
  </si>
  <si>
    <t>other_asset</t>
    <phoneticPr fontId="4" type="noConversion"/>
  </si>
  <si>
    <t>futu_asset</t>
    <phoneticPr fontId="4" type="noConversion"/>
  </si>
  <si>
    <t>today_pandl</t>
    <phoneticPr fontId="4" type="noConversion"/>
  </si>
  <si>
    <t>daily_pandl_ratio</t>
    <phoneticPr fontId="4" type="noConversion"/>
  </si>
  <si>
    <t>cash_out_amt</t>
    <phoneticPr fontId="4" type="noConversion"/>
  </si>
  <si>
    <t>stock_asset_ratio</t>
    <phoneticPr fontId="4" type="noConversion"/>
  </si>
  <si>
    <t>securities_ratio</t>
    <phoneticPr fontId="4" type="noConversion"/>
  </si>
  <si>
    <t>stock_asset</t>
    <phoneticPr fontId="4" type="noConversion"/>
  </si>
  <si>
    <t>产品的交易小组的编号</t>
    <phoneticPr fontId="4" type="noConversion"/>
  </si>
  <si>
    <t>total_realiz_pandl_ratio</t>
    <phoneticPr fontId="4" type="noConversion"/>
  </si>
  <si>
    <t>posi_ratio</t>
    <phoneticPr fontId="4" type="noConversion"/>
  </si>
  <si>
    <t>cash_asset</t>
    <phoneticPr fontId="4" type="noConversion"/>
  </si>
  <si>
    <t>hk_thrgh_stock_asset</t>
    <phoneticPr fontId="4" type="noConversion"/>
  </si>
  <si>
    <t>asset_acco_no</t>
    <phoneticPr fontId="4" type="noConversion"/>
  </si>
  <si>
    <t>stock_code_no</t>
    <phoneticPr fontId="4" type="noConversion"/>
  </si>
  <si>
    <t>stock_type</t>
    <phoneticPr fontId="4" type="noConversion"/>
  </si>
  <si>
    <t>exch_no</t>
    <phoneticPr fontId="4" type="noConversion"/>
  </si>
  <si>
    <t>invest_type</t>
    <phoneticPr fontId="4" type="noConversion"/>
  </si>
  <si>
    <t>可交易、持有到期</t>
    <phoneticPr fontId="4" type="noConversion"/>
  </si>
  <si>
    <t>begin_qty</t>
    <phoneticPr fontId="4" type="noConversion"/>
  </si>
  <si>
    <t>账户期初的数量</t>
    <phoneticPr fontId="4" type="noConversion"/>
  </si>
  <si>
    <t>curr_qty</t>
    <phoneticPr fontId="4" type="noConversion"/>
  </si>
  <si>
    <t>账户当前的数量</t>
    <phoneticPr fontId="4" type="noConversion"/>
  </si>
  <si>
    <t>frozen_qty</t>
    <phoneticPr fontId="4" type="noConversion"/>
  </si>
  <si>
    <t>unfroz_qty</t>
    <phoneticPr fontId="4" type="noConversion"/>
  </si>
  <si>
    <t>comm_releas_qty</t>
    <phoneticPr fontId="4" type="noConversion"/>
  </si>
  <si>
    <t>trade_capt_qty</t>
    <phoneticPr fontId="4" type="noConversion"/>
  </si>
  <si>
    <t>trade_releas_qty</t>
    <phoneticPr fontId="4" type="noConversion"/>
  </si>
  <si>
    <t>strike_frozen_qty</t>
    <phoneticPr fontId="4" type="noConversion"/>
  </si>
  <si>
    <t>buy_pre_sett_qty</t>
    <phoneticPr fontId="4" type="noConversion"/>
  </si>
  <si>
    <t>sell_pre_sett_qty</t>
    <phoneticPr fontId="4" type="noConversion"/>
  </si>
  <si>
    <t>intrst_cost_amt</t>
    <phoneticPr fontId="4" type="noConversion"/>
  </si>
  <si>
    <t>intrst_pandl</t>
    <phoneticPr fontId="4" type="noConversion"/>
  </si>
  <si>
    <t>avail_qty</t>
    <phoneticPr fontId="4" type="noConversion"/>
  </si>
  <si>
    <t>impawn_qty</t>
    <phoneticPr fontId="4" type="noConversion"/>
  </si>
  <si>
    <t>bond_receivable_amt</t>
    <phoneticPr fontId="4" type="noConversion"/>
  </si>
  <si>
    <t>net_price</t>
    <phoneticPr fontId="4" type="noConversion"/>
  </si>
  <si>
    <t>decimal(16,9)</t>
    <phoneticPr fontId="4" type="noConversion"/>
  </si>
  <si>
    <t>full_price</t>
    <phoneticPr fontId="4" type="noConversion"/>
  </si>
  <si>
    <t>cost_amt</t>
    <phoneticPr fontId="4" type="noConversion"/>
  </si>
  <si>
    <t>posi_market_value</t>
    <phoneticPr fontId="4" type="noConversion"/>
  </si>
  <si>
    <t>contrc_type</t>
    <phoneticPr fontId="4" type="noConversion"/>
  </si>
  <si>
    <t>lngsht_type</t>
    <phoneticPr fontId="4" type="noConversion"/>
  </si>
  <si>
    <t>hedge_type</t>
    <phoneticPr fontId="4" type="noConversion"/>
  </si>
  <si>
    <t>comb_code</t>
    <phoneticPr fontId="4" type="noConversion"/>
  </si>
  <si>
    <t>varchar(6)</t>
    <phoneticPr fontId="4" type="noConversion"/>
  </si>
  <si>
    <t>保证金优惠组合编码</t>
    <phoneticPr fontId="4" type="noConversion"/>
  </si>
  <si>
    <t>contrc_unit</t>
    <phoneticPr fontId="4" type="noConversion"/>
  </si>
  <si>
    <t>pre_settle_price</t>
    <phoneticPr fontId="4" type="noConversion"/>
  </si>
  <si>
    <t>sett_price</t>
    <phoneticPr fontId="4" type="noConversion"/>
  </si>
  <si>
    <t>rece_margin</t>
    <phoneticPr fontId="4" type="noConversion"/>
  </si>
  <si>
    <t>sett_flag</t>
    <phoneticPr fontId="4" type="noConversion"/>
  </si>
  <si>
    <t>标识记录清算处理情况</t>
    <phoneticPr fontId="4" type="noConversion"/>
  </si>
  <si>
    <t>today_comm_capt_qty</t>
    <phoneticPr fontId="4" type="noConversion"/>
  </si>
  <si>
    <t>pre_strike_capt_qty</t>
    <phoneticPr fontId="4" type="noConversion"/>
  </si>
  <si>
    <t>today_strike_capt_qty</t>
    <phoneticPr fontId="4" type="noConversion"/>
  </si>
  <si>
    <t>close_pandl</t>
    <phoneticPr fontId="4" type="noConversion"/>
  </si>
  <si>
    <t>old_trade_capt_qty</t>
    <phoneticPr fontId="4" type="noConversion"/>
  </si>
  <si>
    <t>contrc_code</t>
    <phoneticPr fontId="4" type="noConversion"/>
  </si>
  <si>
    <t>contrc_name</t>
    <phoneticPr fontId="4" type="noConversion"/>
  </si>
  <si>
    <t>hold_qty</t>
    <phoneticPr fontId="4" type="noConversion"/>
  </si>
  <si>
    <t>pre_hold_qty</t>
    <phoneticPr fontId="4" type="noConversion"/>
  </si>
  <si>
    <t>last_price</t>
    <phoneticPr fontId="4" type="noConversion"/>
  </si>
  <si>
    <t>today_open_price</t>
    <phoneticPr fontId="4" type="noConversion"/>
  </si>
  <si>
    <t>max_buy_price</t>
    <phoneticPr fontId="4" type="noConversion"/>
  </si>
  <si>
    <t>total_sale_qty</t>
    <phoneticPr fontId="4" type="noConversion"/>
  </si>
  <si>
    <t>down_limit_price</t>
    <phoneticPr fontId="4" type="noConversion"/>
  </si>
  <si>
    <t>strike_qty</t>
    <phoneticPr fontId="4" type="noConversion"/>
  </si>
  <si>
    <t>strike_amt</t>
    <phoneticPr fontId="4" type="noConversion"/>
  </si>
  <si>
    <t>订单实际成交的成交总金额</t>
    <phoneticPr fontId="4" type="noConversion"/>
  </si>
  <si>
    <t>buy_qty_2</t>
    <phoneticPr fontId="4" type="noConversion"/>
  </si>
  <si>
    <t>buy_price_3</t>
    <phoneticPr fontId="4" type="noConversion"/>
  </si>
  <si>
    <t>buy_qty_4</t>
    <phoneticPr fontId="4" type="noConversion"/>
  </si>
  <si>
    <t>buy_price_5</t>
    <phoneticPr fontId="4" type="noConversion"/>
  </si>
  <si>
    <t>buy_qty_5</t>
    <phoneticPr fontId="4" type="noConversion"/>
  </si>
  <si>
    <t>sell_price_1</t>
    <phoneticPr fontId="4" type="noConversion"/>
  </si>
  <si>
    <t>sell_qty_1</t>
    <phoneticPr fontId="4" type="noConversion"/>
  </si>
  <si>
    <t>sell_price_2</t>
    <phoneticPr fontId="4" type="noConversion"/>
  </si>
  <si>
    <t>sell_qty_2</t>
    <phoneticPr fontId="4" type="noConversion"/>
  </si>
  <si>
    <t>sell_price_3</t>
    <phoneticPr fontId="4" type="noConversion"/>
  </si>
  <si>
    <t>sell_price_4</t>
    <phoneticPr fontId="4" type="noConversion"/>
  </si>
  <si>
    <t>sell_qty_4</t>
    <phoneticPr fontId="4" type="noConversion"/>
  </si>
  <si>
    <t>sell_price_5</t>
    <phoneticPr fontId="4" type="noConversion"/>
  </si>
  <si>
    <t>sell_qty_5</t>
    <phoneticPr fontId="4" type="noConversion"/>
  </si>
  <si>
    <t>asset_type</t>
    <phoneticPr fontId="4" type="noConversion"/>
  </si>
  <si>
    <t>股票、基金、国债、期货等</t>
    <phoneticPr fontId="4" type="noConversion"/>
  </si>
  <si>
    <t>time_stamp</t>
    <phoneticPr fontId="4" type="noConversion"/>
  </si>
  <si>
    <t>unix_timestamp()</t>
    <phoneticPr fontId="4" type="noConversion"/>
  </si>
  <si>
    <t>sell_qty_3</t>
    <phoneticPr fontId="4" type="noConversion"/>
  </si>
  <si>
    <t>open_posi_date</t>
    <phoneticPr fontId="4" type="noConversion"/>
  </si>
  <si>
    <t>open_posi_time</t>
    <phoneticPr fontId="4" type="noConversion"/>
  </si>
  <si>
    <t>date_format(curtime(),'%H%i%s')</t>
    <phoneticPr fontId="4" type="noConversion"/>
  </si>
  <si>
    <t>open_posi_price</t>
    <phoneticPr fontId="4" type="noConversion"/>
  </si>
  <si>
    <t>open_posi_fee</t>
    <phoneticPr fontId="4" type="noConversion"/>
  </si>
  <si>
    <t>marked_sett_price</t>
    <phoneticPr fontId="4" type="noConversion"/>
  </si>
  <si>
    <t>strike_no</t>
    <phoneticPr fontId="4" type="noConversion"/>
  </si>
  <si>
    <t>交易所返回的成交编号，交易市场唯一</t>
    <phoneticPr fontId="4" type="noConversion"/>
  </si>
  <si>
    <t>detail_posi_id</t>
    <phoneticPr fontId="4" type="noConversion"/>
  </si>
  <si>
    <t>marked_pandl</t>
    <phoneticPr fontId="4" type="noConversion"/>
  </si>
  <si>
    <t>busi_flag</t>
    <phoneticPr fontId="4" type="noConversion"/>
  </si>
  <si>
    <t>发生的业务类型标识</t>
    <phoneticPr fontId="4" type="noConversion"/>
  </si>
  <si>
    <t>busi_name</t>
    <phoneticPr fontId="4" type="noConversion"/>
  </si>
  <si>
    <t>for_crncy_type</t>
    <phoneticPr fontId="4" type="noConversion"/>
  </si>
  <si>
    <t>buy_exch_rate</t>
    <phoneticPr fontId="4" type="noConversion"/>
  </si>
  <si>
    <t>order_dir</t>
    <phoneticPr fontId="4" type="noConversion"/>
  </si>
  <si>
    <t>买、卖、融资回购、融券回购等</t>
    <phoneticPr fontId="4" type="noConversion"/>
  </si>
  <si>
    <t>contrc_dir</t>
    <phoneticPr fontId="4" type="noConversion"/>
  </si>
  <si>
    <t>开仓、平仓、平今仓</t>
    <phoneticPr fontId="4" type="noConversion"/>
  </si>
  <si>
    <t>clear_date</t>
    <phoneticPr fontId="4" type="noConversion"/>
  </si>
  <si>
    <t>asset_deal_date_type</t>
    <phoneticPr fontId="4" type="noConversion"/>
  </si>
  <si>
    <t>asset_deal_time_type</t>
    <phoneticPr fontId="4" type="noConversion"/>
  </si>
  <si>
    <t>cash_deal_time_type</t>
    <phoneticPr fontId="4" type="noConversion"/>
  </si>
  <si>
    <t>cash_avail_date_type</t>
    <phoneticPr fontId="4" type="noConversion"/>
  </si>
  <si>
    <t>varchar(32)</t>
    <phoneticPr fontId="4" type="noConversion"/>
  </si>
  <si>
    <t>对外的产品编码，可以自定义，机构内唯一</t>
    <phoneticPr fontId="4" type="noConversion"/>
  </si>
  <si>
    <t>pd_name</t>
    <phoneticPr fontId="4" type="noConversion"/>
  </si>
  <si>
    <t>用户自定义</t>
    <phoneticPr fontId="4" type="noConversion"/>
  </si>
  <si>
    <t>found_date</t>
    <phoneticPr fontId="4" type="noConversion"/>
  </si>
  <si>
    <t>pd_manager</t>
    <phoneticPr fontId="4" type="noConversion"/>
  </si>
  <si>
    <t>pd_type</t>
    <phoneticPr fontId="4" type="noConversion"/>
  </si>
  <si>
    <t>apply_currency</t>
    <phoneticPr fontId="4" type="noConversion"/>
  </si>
  <si>
    <t>产品募集资金的币种</t>
    <phoneticPr fontId="4" type="noConversion"/>
  </si>
  <si>
    <t>first_asset</t>
    <phoneticPr fontId="4" type="noConversion"/>
  </si>
  <si>
    <t>first_amt</t>
    <phoneticPr fontId="4" type="noConversion"/>
  </si>
  <si>
    <t>期初的资金金额</t>
    <phoneticPr fontId="4" type="noConversion"/>
  </si>
  <si>
    <t>his_max_per_nav</t>
    <phoneticPr fontId="4" type="noConversion"/>
  </si>
  <si>
    <t>coust_full_name</t>
    <phoneticPr fontId="4" type="noConversion"/>
  </si>
  <si>
    <t>varchar(16)</t>
    <phoneticPr fontId="4" type="noConversion"/>
  </si>
  <si>
    <t>pd_status</t>
    <phoneticPr fontId="4" type="noConversion"/>
  </si>
  <si>
    <t>"0"</t>
    <phoneticPr fontId="4" type="noConversion"/>
  </si>
  <si>
    <t>业务发生的备注信息</t>
    <phoneticPr fontId="4" type="noConversion"/>
  </si>
  <si>
    <t>pd_dist_amt</t>
    <phoneticPr fontId="4" type="noConversion"/>
  </si>
  <si>
    <t>pd_auth_amt</t>
    <phoneticPr fontId="4" type="noConversion"/>
  </si>
  <si>
    <t>total_cash_divide</t>
    <phoneticPr fontId="4" type="noConversion"/>
  </si>
  <si>
    <t>当前利息积数预算的利息金额</t>
    <phoneticPr fontId="4" type="noConversion"/>
  </si>
  <si>
    <t>pre_entry_intrst_amt</t>
    <phoneticPr fontId="4" type="noConversion"/>
  </si>
  <si>
    <t>结息后还未归入本金的计算利息金额</t>
    <phoneticPr fontId="4" type="noConversion"/>
  </si>
  <si>
    <t>asset_acco_no</t>
    <phoneticPr fontId="3" type="noConversion"/>
  </si>
  <si>
    <t>账户当前的资金额</t>
    <phoneticPr fontId="4" type="noConversion"/>
  </si>
  <si>
    <t>unfroz_amt</t>
    <phoneticPr fontId="4" type="noConversion"/>
  </si>
  <si>
    <t>账户解冻的资金额</t>
    <phoneticPr fontId="4" type="noConversion"/>
  </si>
  <si>
    <t>comm_unfroz_amt</t>
    <phoneticPr fontId="4" type="noConversion"/>
  </si>
  <si>
    <t>comm_capt_amt</t>
    <phoneticPr fontId="4" type="noConversion"/>
  </si>
  <si>
    <t>comm_releas_amt</t>
    <phoneticPr fontId="4" type="noConversion"/>
  </si>
  <si>
    <t>trade_frozen_amt</t>
    <phoneticPr fontId="4" type="noConversion"/>
  </si>
  <si>
    <t>trade_capt_amt</t>
    <phoneticPr fontId="4" type="noConversion"/>
  </si>
  <si>
    <t>trade_releas_amt</t>
    <phoneticPr fontId="4" type="noConversion"/>
  </si>
  <si>
    <t>strike_releas_amt</t>
    <phoneticPr fontId="4" type="noConversion"/>
  </si>
  <si>
    <t>dist_amt</t>
    <phoneticPr fontId="4" type="noConversion"/>
  </si>
  <si>
    <t>账户冻结的资金额</t>
    <phoneticPr fontId="4" type="noConversion"/>
  </si>
  <si>
    <t>intrst_rate</t>
    <phoneticPr fontId="4" type="noConversion"/>
  </si>
  <si>
    <t>intrst_base_amt</t>
    <phoneticPr fontId="4" type="noConversion"/>
  </si>
  <si>
    <t>计算利息所需的按天计息的累计金额</t>
    <phoneticPr fontId="4" type="noConversion"/>
  </si>
  <si>
    <t>系统内唯一的组织机构编号</t>
    <phoneticPr fontId="3" type="noConversion"/>
  </si>
  <si>
    <t>pd_no</t>
    <phoneticPr fontId="3" type="noConversion"/>
  </si>
  <si>
    <t>系统内部流水号，系统内唯一</t>
    <phoneticPr fontId="3" type="noConversion"/>
  </si>
  <si>
    <t>begin_NAV</t>
    <phoneticPr fontId="3" type="noConversion"/>
  </si>
  <si>
    <t>decimal(18,4)</t>
    <phoneticPr fontId="3" type="noConversion"/>
  </si>
  <si>
    <t>nav_asset</t>
    <phoneticPr fontId="3" type="noConversion"/>
  </si>
  <si>
    <t>futu_asset</t>
    <phoneticPr fontId="3" type="noConversion"/>
  </si>
  <si>
    <t>订单下单时的系统日期</t>
    <phoneticPr fontId="3" type="noConversion"/>
  </si>
  <si>
    <t>comm_capt_qty</t>
    <phoneticPr fontId="4" type="noConversion"/>
  </si>
  <si>
    <t>get_impawn_qty</t>
    <phoneticPr fontId="4" type="noConversion"/>
  </si>
  <si>
    <t>stock_code</t>
    <phoneticPr fontId="4" type="noConversion"/>
  </si>
  <si>
    <t>与交易所一致的证券代码</t>
    <phoneticPr fontId="4" type="noConversion"/>
  </si>
  <si>
    <t>target_code_no</t>
    <phoneticPr fontId="4" type="noConversion"/>
  </si>
  <si>
    <t>target_code</t>
    <phoneticPr fontId="4" type="noConversion"/>
  </si>
  <si>
    <t>repo_qty</t>
    <phoneticPr fontId="4" type="noConversion"/>
  </si>
  <si>
    <t>repo_amt</t>
    <phoneticPr fontId="4" type="noConversion"/>
  </si>
  <si>
    <t>repo_trade_date</t>
    <phoneticPr fontId="4" type="noConversion"/>
  </si>
  <si>
    <t>repo_order_id</t>
    <phoneticPr fontId="4" type="noConversion"/>
  </si>
  <si>
    <t>bigint</t>
    <phoneticPr fontId="4" type="noConversion"/>
  </si>
  <si>
    <t>repo_strike_id</t>
    <phoneticPr fontId="4" type="noConversion"/>
  </si>
  <si>
    <t>repo_days</t>
    <phoneticPr fontId="4" type="noConversion"/>
  </si>
  <si>
    <t>repo_cale_days</t>
    <phoneticPr fontId="4" type="noConversion"/>
  </si>
  <si>
    <t>repo_back_date</t>
    <phoneticPr fontId="4" type="noConversion"/>
  </si>
  <si>
    <t>repo_back_amt</t>
    <phoneticPr fontId="4" type="noConversion"/>
  </si>
  <si>
    <t>repo_back_intrst</t>
    <phoneticPr fontId="4" type="noConversion"/>
  </si>
  <si>
    <t>repo_back_trade_date</t>
    <phoneticPr fontId="4" type="noConversion"/>
  </si>
  <si>
    <t>repo_status</t>
    <phoneticPr fontId="4" type="noConversion"/>
  </si>
  <si>
    <t>1'-自动购回;'2'-在途;'3'-手动购回;'4'-异常</t>
    <phoneticPr fontId="4" type="noConversion"/>
  </si>
  <si>
    <t>comm_id</t>
    <phoneticPr fontId="4" type="noConversion"/>
  </si>
  <si>
    <t>系统内按日期唯一的指令表记录号(区分业务表)</t>
    <phoneticPr fontId="4" type="noConversion"/>
  </si>
  <si>
    <t>opor_no</t>
    <phoneticPr fontId="4" type="noConversion"/>
  </si>
  <si>
    <t>操作人员编号</t>
    <phoneticPr fontId="4" type="noConversion"/>
  </si>
  <si>
    <t>pass_no</t>
    <phoneticPr fontId="4" type="noConversion"/>
  </si>
  <si>
    <t>股票、基金、国债、期货等</t>
    <phoneticPr fontId="3" type="noConversion"/>
  </si>
  <si>
    <t>comm_batch_no</t>
    <phoneticPr fontId="4" type="noConversion"/>
  </si>
  <si>
    <t>strike_date</t>
    <phoneticPr fontId="4" type="noConversion"/>
  </si>
  <si>
    <t>成交的券商端日期</t>
    <phoneticPr fontId="4" type="noConversion"/>
  </si>
  <si>
    <t>strike_time</t>
    <phoneticPr fontId="4" type="noConversion"/>
  </si>
  <si>
    <t>成交的券商端时间</t>
    <phoneticPr fontId="4" type="noConversion"/>
  </si>
  <si>
    <t>report_date</t>
    <phoneticPr fontId="4" type="noConversion"/>
  </si>
  <si>
    <t>订单申报时的系统日期</t>
    <phoneticPr fontId="4" type="noConversion"/>
  </si>
  <si>
    <t>订单申报时的编号</t>
    <phoneticPr fontId="4" type="noConversion"/>
  </si>
  <si>
    <t>order_date</t>
    <phoneticPr fontId="4" type="noConversion"/>
  </si>
  <si>
    <t>订单下单时的系统时间</t>
    <phoneticPr fontId="4" type="noConversion"/>
  </si>
  <si>
    <t>order_id</t>
    <phoneticPr fontId="4" type="noConversion"/>
  </si>
  <si>
    <t>order_price</t>
    <phoneticPr fontId="4" type="noConversion"/>
  </si>
  <si>
    <t>订单所填报的交易价格</t>
    <phoneticPr fontId="4" type="noConversion"/>
  </si>
  <si>
    <t>order_qty</t>
    <phoneticPr fontId="4" type="noConversion"/>
  </si>
  <si>
    <t>订单所填报的交易数量</t>
    <phoneticPr fontId="4" type="noConversion"/>
  </si>
  <si>
    <t>strike_price</t>
    <phoneticPr fontId="4" type="noConversion"/>
  </si>
  <si>
    <t>订单实际成交的均价</t>
    <phoneticPr fontId="4" type="noConversion"/>
  </si>
  <si>
    <t>all_fee</t>
    <phoneticPr fontId="4" type="noConversion"/>
  </si>
  <si>
    <t>交易商收取的税费合计</t>
    <phoneticPr fontId="4" type="noConversion"/>
  </si>
  <si>
    <t>stamp_tax</t>
    <phoneticPr fontId="4" type="noConversion"/>
  </si>
  <si>
    <t>市场收取的费用1,印花税</t>
    <phoneticPr fontId="4" type="noConversion"/>
  </si>
  <si>
    <t>trans_fee</t>
    <phoneticPr fontId="4" type="noConversion"/>
  </si>
  <si>
    <t>brkage_fee</t>
    <phoneticPr fontId="4" type="noConversion"/>
  </si>
  <si>
    <t>市场收取的费用3,经手费</t>
    <phoneticPr fontId="4" type="noConversion"/>
  </si>
  <si>
    <t>SEC_charges</t>
    <phoneticPr fontId="4" type="noConversion"/>
  </si>
  <si>
    <t>other_fee</t>
    <phoneticPr fontId="4" type="noConversion"/>
  </si>
  <si>
    <t>市场收取的其他费用</t>
    <phoneticPr fontId="4" type="noConversion"/>
  </si>
  <si>
    <t>trade_commis</t>
    <phoneticPr fontId="4" type="noConversion"/>
  </si>
  <si>
    <t>交易商收取的佣金费用</t>
    <phoneticPr fontId="4" type="noConversion"/>
  </si>
  <si>
    <t>other_commis</t>
    <phoneticPr fontId="4" type="noConversion"/>
  </si>
  <si>
    <t>其他方式计算的佣金费用</t>
    <phoneticPr fontId="4" type="noConversion"/>
  </si>
  <si>
    <t>net_price_flag</t>
    <phoneticPr fontId="4" type="noConversion"/>
  </si>
  <si>
    <t>intrst_days</t>
    <phoneticPr fontId="4" type="noConversion"/>
  </si>
  <si>
    <t>par_value</t>
    <phoneticPr fontId="4" type="noConversion"/>
  </si>
  <si>
    <t>bond_accr_intrst</t>
    <phoneticPr fontId="4" type="noConversion"/>
  </si>
  <si>
    <t>bond_rate_type</t>
    <phoneticPr fontId="4" type="noConversion"/>
  </si>
  <si>
    <t>trade_code_no</t>
    <phoneticPr fontId="4" type="noConversion"/>
  </si>
  <si>
    <t>order_oper_way</t>
    <phoneticPr fontId="4" type="noConversion"/>
  </si>
  <si>
    <t>1：有效；2：无效</t>
    <phoneticPr fontId="4" type="noConversion"/>
  </si>
  <si>
    <t>close_posi_qty</t>
    <phoneticPr fontId="4" type="noConversion"/>
  </si>
  <si>
    <t>close_posi_market_value</t>
    <phoneticPr fontId="4" type="noConversion"/>
  </si>
  <si>
    <t>posi_status</t>
    <phoneticPr fontId="4" type="noConversion"/>
  </si>
  <si>
    <t>varchar(2)</t>
    <phoneticPr fontId="4" type="noConversion"/>
  </si>
  <si>
    <t>1'-未平仓;'2'-已平仓;</t>
    <phoneticPr fontId="4" type="noConversion"/>
  </si>
  <si>
    <t>un_close_marke_value</t>
    <phoneticPr fontId="4" type="noConversion"/>
  </si>
  <si>
    <t>remark_info</t>
    <phoneticPr fontId="4" type="noConversion"/>
  </si>
  <si>
    <t>trade_limit_qty</t>
    <phoneticPr fontId="4" type="noConversion"/>
  </si>
  <si>
    <t>total_realize_pandl</t>
    <phoneticPr fontId="4" type="noConversion"/>
  </si>
  <si>
    <t>total_open_posi_fee</t>
    <phoneticPr fontId="4" type="noConversion"/>
  </si>
  <si>
    <t>total_close_posi_fee</t>
    <phoneticPr fontId="4" type="noConversion"/>
  </si>
  <si>
    <t>out_order_capt_qty</t>
    <phoneticPr fontId="4" type="noConversion"/>
  </si>
  <si>
    <t>out_strike_releas_qty</t>
    <phoneticPr fontId="4" type="noConversion"/>
  </si>
  <si>
    <t>out_strike_capt_qty</t>
    <phoneticPr fontId="4" type="noConversion"/>
  </si>
  <si>
    <t>limit_set_status</t>
    <phoneticPr fontId="4" type="noConversion"/>
  </si>
  <si>
    <t>1：启用；2：暂停；3：停止</t>
    <phoneticPr fontId="4" type="noConversion"/>
  </si>
  <si>
    <t>limit_set_type</t>
    <phoneticPr fontId="4" type="noConversion"/>
  </si>
  <si>
    <t>posi_qty</t>
    <phoneticPr fontId="4" type="noConversion"/>
  </si>
  <si>
    <t>trade_qty</t>
    <phoneticPr fontId="4" type="noConversion"/>
  </si>
  <si>
    <t>trade_amt</t>
    <phoneticPr fontId="4" type="noConversion"/>
  </si>
  <si>
    <t>sell_qty</t>
    <phoneticPr fontId="4" type="noConversion"/>
  </si>
  <si>
    <t>sell_amt</t>
    <phoneticPr fontId="4" type="noConversion"/>
  </si>
  <si>
    <t>pd_code</t>
    <phoneticPr fontId="4" type="noConversion"/>
  </si>
  <si>
    <t>exch_group_code</t>
    <phoneticPr fontId="4" type="noConversion"/>
  </si>
  <si>
    <t>产品的交易小组用户可见编码</t>
    <phoneticPr fontId="4" type="noConversion"/>
  </si>
  <si>
    <t>exch_group_name</t>
    <phoneticPr fontId="4" type="noConversion"/>
  </si>
  <si>
    <t>exch_group_status</t>
    <phoneticPr fontId="4" type="noConversion"/>
  </si>
  <si>
    <t>default_group_flag</t>
    <phoneticPr fontId="4" type="noConversion"/>
  </si>
  <si>
    <t>exch_group_dist_pd_amt</t>
    <phoneticPr fontId="4" type="noConversion"/>
  </si>
  <si>
    <t>pre_exch_group_pd_share</t>
    <phoneticPr fontId="4" type="noConversion"/>
  </si>
  <si>
    <t>allow_exch</t>
    <phoneticPr fontId="4" type="noConversion"/>
  </si>
  <si>
    <t>allow_stock_type</t>
    <phoneticPr fontId="4" type="noConversion"/>
  </si>
  <si>
    <t>varchar(2048)</t>
    <phoneticPr fontId="4" type="noConversion"/>
  </si>
  <si>
    <t>busi_config_str</t>
    <phoneticPr fontId="4" type="noConversion"/>
  </si>
  <si>
    <t>1指令资金校验2指令持仓校验3交易资金校验4交易持仓校验5指令审批设置6审批通过自动下单7市价冻结方式</t>
    <phoneticPr fontId="4" type="noConversion"/>
  </si>
  <si>
    <t>exch_group_pd_share</t>
    <phoneticPr fontId="4" type="noConversion"/>
  </si>
  <si>
    <t>cost_calc_type</t>
    <phoneticPr fontId="4" type="noConversion"/>
  </si>
  <si>
    <t>oper_rights</t>
    <phoneticPr fontId="4" type="noConversion"/>
  </si>
  <si>
    <t>订单交易的标的代码</t>
    <phoneticPr fontId="4" type="noConversion"/>
  </si>
  <si>
    <t>value_date</t>
    <phoneticPr fontId="4" type="noConversion"/>
  </si>
  <si>
    <t>begin_trade_date</t>
    <phoneticPr fontId="4" type="noConversion"/>
  </si>
  <si>
    <t>bond_limit</t>
    <phoneticPr fontId="4" type="noConversion"/>
  </si>
  <si>
    <t>issue_price</t>
    <phoneticPr fontId="4" type="noConversion"/>
  </si>
  <si>
    <t>intrst_ratio</t>
    <phoneticPr fontId="4" type="noConversion"/>
  </si>
  <si>
    <t>pay_inteval</t>
    <phoneticPr fontId="4" type="noConversion"/>
  </si>
  <si>
    <t>inteval_days</t>
    <phoneticPr fontId="4" type="noConversion"/>
  </si>
  <si>
    <t>债券付息到账日与兑息日天数间隔，默认为0</t>
    <phoneticPr fontId="4" type="noConversion"/>
  </si>
  <si>
    <t>trans_end_date</t>
    <phoneticPr fontId="4" type="noConversion"/>
  </si>
  <si>
    <t>exec_begin_date</t>
    <phoneticPr fontId="4" type="noConversion"/>
  </si>
  <si>
    <t>pinyin_short</t>
    <phoneticPr fontId="4" type="noConversion"/>
  </si>
  <si>
    <t>exch_crncy_type</t>
    <phoneticPr fontId="4" type="noConversion"/>
  </si>
  <si>
    <t>total_stock_issue</t>
    <phoneticPr fontId="4" type="noConversion"/>
  </si>
  <si>
    <t>posi_reback_days</t>
    <phoneticPr fontId="4" type="noConversion"/>
  </si>
  <si>
    <t>report_unit</t>
    <phoneticPr fontId="4" type="noConversion"/>
  </si>
  <si>
    <t>min_unit</t>
    <phoneticPr fontId="4" type="noConversion"/>
  </si>
  <si>
    <t>is_order_dir_flag</t>
    <phoneticPr fontId="4" type="noConversion"/>
  </si>
  <si>
    <t>price_up</t>
    <phoneticPr fontId="4" type="noConversion"/>
  </si>
  <si>
    <t>计算最小价差最高区间价格</t>
    <phoneticPr fontId="4" type="noConversion"/>
  </si>
  <si>
    <t>price_down</t>
    <phoneticPr fontId="4" type="noConversion"/>
  </si>
  <si>
    <t>fair_price</t>
    <phoneticPr fontId="4" type="noConversion"/>
  </si>
  <si>
    <t>stop_status</t>
    <phoneticPr fontId="4" type="noConversion"/>
  </si>
  <si>
    <t>1 股2 张 3 份 4 元5 点</t>
    <phoneticPr fontId="4" type="noConversion"/>
  </si>
  <si>
    <t>max_qty</t>
    <phoneticPr fontId="4" type="noConversion"/>
  </si>
  <si>
    <t>today_max_price</t>
    <phoneticPr fontId="4" type="noConversion"/>
  </si>
  <si>
    <t>today_min_price</t>
    <phoneticPr fontId="4" type="noConversion"/>
  </si>
  <si>
    <t>pe_ratio</t>
    <phoneticPr fontId="4" type="noConversion"/>
  </si>
  <si>
    <t>decimal(18,12)</t>
    <phoneticPr fontId="3" type="noConversion"/>
  </si>
  <si>
    <t>opor_name</t>
    <phoneticPr fontId="4" type="noConversion"/>
  </si>
  <si>
    <t>opor_type</t>
    <phoneticPr fontId="4" type="noConversion"/>
  </si>
  <si>
    <t>opor_status</t>
    <phoneticPr fontId="4" type="noConversion"/>
  </si>
  <si>
    <t>phone_number</t>
    <phoneticPr fontId="4" type="noConversion"/>
  </si>
  <si>
    <t>email</t>
    <phoneticPr fontId="4" type="noConversion"/>
  </si>
  <si>
    <t>is_trader</t>
    <phoneticPr fontId="4" type="noConversion"/>
  </si>
  <si>
    <t>trader_no</t>
    <phoneticPr fontId="4" type="noConversion"/>
  </si>
  <si>
    <t>allow_oper_ip_addr</t>
    <phoneticPr fontId="4" type="noConversion"/>
  </si>
  <si>
    <t>total_realiz_pandl</t>
    <phoneticPr fontId="4" type="noConversion"/>
  </si>
  <si>
    <t>row_id</t>
    <phoneticPr fontId="4" type="noConversion"/>
  </si>
  <si>
    <t>cost_price</t>
    <phoneticPr fontId="4" type="noConversion"/>
  </si>
  <si>
    <t>持仓的成本价格</t>
    <phoneticPr fontId="4" type="noConversion"/>
  </si>
  <si>
    <t>float_pandl</t>
    <phoneticPr fontId="4" type="noConversion"/>
  </si>
  <si>
    <t>trade_avail_qty</t>
    <phoneticPr fontId="4" type="noConversion"/>
  </si>
  <si>
    <t>只用在单元证券持仓查询</t>
    <phoneticPr fontId="4" type="noConversion"/>
  </si>
  <si>
    <t>comm_avail_qty</t>
    <phoneticPr fontId="4" type="noConversion"/>
  </si>
  <si>
    <t>pandl_ratio</t>
    <phoneticPr fontId="4" type="noConversion"/>
  </si>
  <si>
    <t>decimal(16,9)</t>
    <phoneticPr fontId="3" type="noConversion"/>
  </si>
  <si>
    <t>bond_level</t>
    <phoneticPr fontId="4" type="noConversion"/>
  </si>
  <si>
    <t>exch_no</t>
    <phoneticPr fontId="3" type="noConversion"/>
  </si>
  <si>
    <t>stock_code_no</t>
    <phoneticPr fontId="3" type="noConversion"/>
  </si>
  <si>
    <t>cost_price</t>
    <phoneticPr fontId="3" type="noConversion"/>
  </si>
  <si>
    <t>posi_market_value</t>
    <phoneticPr fontId="3" type="noConversion"/>
  </si>
  <si>
    <t>float_pandl</t>
    <phoneticPr fontId="3" type="noConversion"/>
  </si>
  <si>
    <t>market_value_sh</t>
    <phoneticPr fontId="4" type="noConversion"/>
  </si>
  <si>
    <t>产品当前的沪市市值</t>
    <phoneticPr fontId="4" type="noConversion"/>
  </si>
  <si>
    <t>market_value_sz</t>
    <phoneticPr fontId="4" type="noConversion"/>
  </si>
  <si>
    <t>产品当前的深市市值</t>
    <phoneticPr fontId="4" type="noConversion"/>
  </si>
  <si>
    <t>stock_market_value_sh</t>
    <phoneticPr fontId="4" type="noConversion"/>
  </si>
  <si>
    <t>stock_market_value_sz</t>
    <phoneticPr fontId="4" type="noConversion"/>
  </si>
  <si>
    <t>buy_qty</t>
    <phoneticPr fontId="3" type="noConversion"/>
  </si>
  <si>
    <t>decimal(18,2)</t>
    <phoneticPr fontId="3" type="noConversion"/>
  </si>
  <si>
    <t>sell_strike_price</t>
    <phoneticPr fontId="3" type="noConversion"/>
  </si>
  <si>
    <t>diff_qty</t>
    <phoneticPr fontId="4" type="noConversion"/>
  </si>
  <si>
    <t>buy_begin_time</t>
    <phoneticPr fontId="4" type="noConversion"/>
  </si>
  <si>
    <t>buy_end_time</t>
    <phoneticPr fontId="4" type="noConversion"/>
  </si>
  <si>
    <t>sell_begin_time</t>
    <phoneticPr fontId="4" type="noConversion"/>
  </si>
  <si>
    <t>沪市、深市、郑州商品交易所、大连商品交易所等</t>
    <phoneticPr fontId="3" type="noConversion"/>
  </si>
  <si>
    <t>持仓的成本价格</t>
    <phoneticPr fontId="3" type="noConversion"/>
  </si>
  <si>
    <t>只用在单元证券持仓查询</t>
    <phoneticPr fontId="3" type="noConversion"/>
  </si>
  <si>
    <t>static_avail_qty</t>
    <phoneticPr fontId="4" type="noConversion"/>
  </si>
  <si>
    <t>auth_amt</t>
    <phoneticPr fontId="4" type="noConversion"/>
  </si>
  <si>
    <t>产品的交易小组的编号</t>
    <phoneticPr fontId="3" type="noConversion"/>
  </si>
  <si>
    <t>pre_holding_qty</t>
    <phoneticPr fontId="4" type="noConversion"/>
  </si>
  <si>
    <t>today_buy_qty</t>
    <phoneticPr fontId="4" type="noConversion"/>
  </si>
  <si>
    <t>today_buy_amt</t>
    <phoneticPr fontId="4" type="noConversion"/>
  </si>
  <si>
    <t>today_sell_qty</t>
    <phoneticPr fontId="4" type="noConversion"/>
  </si>
  <si>
    <t>today_sell_amt</t>
    <phoneticPr fontId="4" type="noConversion"/>
  </si>
  <si>
    <t>today_sell_price</t>
    <phoneticPr fontId="4" type="noConversion"/>
  </si>
  <si>
    <t>open_posi_date</t>
    <phoneticPr fontId="3" type="noConversion"/>
  </si>
  <si>
    <t>报表_资管报表_产品持仓查询表</t>
    <phoneticPr fontId="3" type="noConversion"/>
  </si>
  <si>
    <t>报表_资管报表_交易组持仓查询表</t>
    <phoneticPr fontId="3" type="noConversion"/>
  </si>
  <si>
    <t>报表_资管报表_产品持仓查询历表</t>
    <phoneticPr fontId="3" type="noConversion"/>
  </si>
  <si>
    <t>报表_资管报表_交易组持仓查询历表</t>
    <phoneticPr fontId="3" type="noConversion"/>
  </si>
  <si>
    <t>实现盈亏</t>
    <phoneticPr fontId="4" type="noConversion"/>
  </si>
  <si>
    <t>浮动盈亏</t>
  </si>
  <si>
    <t>盈亏比例</t>
    <phoneticPr fontId="4" type="noConversion"/>
  </si>
  <si>
    <t>tb_rptasset_pd_capit_asset</t>
    <phoneticPr fontId="3" type="noConversion"/>
  </si>
  <si>
    <t>tb_rptasset_exgrp_asset</t>
    <phoneticPr fontId="3" type="noConversion"/>
  </si>
  <si>
    <t>tb_rptasset_pd_posi_his</t>
    <phoneticPr fontId="3" type="noConversion"/>
  </si>
  <si>
    <t>tb_rptasset_exgrp_posi</t>
    <phoneticPr fontId="3" type="noConversion"/>
  </si>
  <si>
    <t>tb_rptasset_exgrp_posi_his</t>
    <phoneticPr fontId="3" type="noConversion"/>
  </si>
  <si>
    <t>fund_asset_ratio</t>
    <phoneticPr fontId="4" type="noConversion"/>
  </si>
  <si>
    <t>full_holding_amt</t>
    <phoneticPr fontId="4" type="noConversion"/>
  </si>
  <si>
    <t>total_buy_qty</t>
    <phoneticPr fontId="4" type="noConversion"/>
  </si>
  <si>
    <t>buy_price_4</t>
    <phoneticPr fontId="4" type="noConversion"/>
  </si>
  <si>
    <t>open_posi_qty</t>
    <phoneticPr fontId="4" type="noConversion"/>
  </si>
  <si>
    <t>busi_type</t>
    <phoneticPr fontId="4" type="noConversion"/>
  </si>
  <si>
    <t>busi_sub_type</t>
    <phoneticPr fontId="4" type="noConversion"/>
  </si>
  <si>
    <t>buy_ref_rate</t>
    <phoneticPr fontId="4" type="noConversion"/>
  </si>
  <si>
    <t>sell_ref_rate</t>
    <phoneticPr fontId="4" type="noConversion"/>
  </si>
  <si>
    <t>settle_buy_rate</t>
    <phoneticPr fontId="4" type="noConversion"/>
  </si>
  <si>
    <t>settle_sell_rate</t>
    <phoneticPr fontId="4" type="noConversion"/>
  </si>
  <si>
    <t>sale_exch_rate</t>
    <phoneticPr fontId="4" type="noConversion"/>
  </si>
  <si>
    <t>oper_type</t>
    <phoneticPr fontId="4" type="noConversion"/>
  </si>
  <si>
    <t>cash_deal_type</t>
    <phoneticPr fontId="4" type="noConversion"/>
  </si>
  <si>
    <t>cash_deal_date_type</t>
    <phoneticPr fontId="4" type="noConversion"/>
  </si>
  <si>
    <t>stock_deal_type</t>
    <phoneticPr fontId="4" type="noConversion"/>
  </si>
  <si>
    <t>stock_deal_date_type</t>
    <phoneticPr fontId="4" type="noConversion"/>
  </si>
  <si>
    <t>stock_deal_time_type</t>
    <phoneticPr fontId="4" type="noConversion"/>
  </si>
  <si>
    <t>stock_avail_date_type</t>
    <phoneticPr fontId="4" type="noConversion"/>
  </si>
  <si>
    <t>pd_flname</t>
    <phoneticPr fontId="4" type="noConversion"/>
  </si>
  <si>
    <t>coust_acco</t>
    <phoneticPr fontId="4" type="noConversion"/>
  </si>
  <si>
    <t>coust_acco_name</t>
    <phoneticPr fontId="4" type="noConversion"/>
  </si>
  <si>
    <t>total_pre_fee</t>
    <phoneticPr fontId="4" type="noConversion"/>
  </si>
  <si>
    <t>varchar(3)</t>
    <phoneticPr fontId="3" type="noConversion"/>
  </si>
  <si>
    <t>cash_asset</t>
    <phoneticPr fontId="3" type="noConversion"/>
  </si>
  <si>
    <t>stock_asset</t>
    <phoneticPr fontId="3" type="noConversion"/>
  </si>
  <si>
    <t>fund_asset</t>
    <phoneticPr fontId="3" type="noConversion"/>
  </si>
  <si>
    <t>bond_asset</t>
    <phoneticPr fontId="3" type="noConversion"/>
  </si>
  <si>
    <t>repo_asset</t>
    <phoneticPr fontId="3" type="noConversion"/>
  </si>
  <si>
    <t>other_asset</t>
    <phoneticPr fontId="3" type="noConversion"/>
  </si>
  <si>
    <t>exch_crncy_type</t>
    <phoneticPr fontId="3" type="noConversion"/>
  </si>
  <si>
    <t>repo_rate</t>
    <phoneticPr fontId="4" type="noConversion"/>
  </si>
  <si>
    <t>exch_rate</t>
    <phoneticPr fontId="4" type="noConversion"/>
  </si>
  <si>
    <t>系统内唯一</t>
    <phoneticPr fontId="4" type="noConversion"/>
  </si>
  <si>
    <t>report_no</t>
    <phoneticPr fontId="4" type="noConversion"/>
  </si>
  <si>
    <t>市场收取的费用4,证管费</t>
    <phoneticPr fontId="4" type="noConversion"/>
  </si>
  <si>
    <t>impawn_ratio</t>
    <phoneticPr fontId="4" type="noConversion"/>
  </si>
  <si>
    <t>exter_comm_flag</t>
    <phoneticPr fontId="4" type="noConversion"/>
  </si>
  <si>
    <t>1：体内；2：体外</t>
    <phoneticPr fontId="4" type="noConversion"/>
  </si>
  <si>
    <t>record_valid_flag</t>
    <phoneticPr fontId="4" type="noConversion"/>
  </si>
  <si>
    <t>open_posi_value</t>
    <phoneticPr fontId="4" type="noConversion"/>
  </si>
  <si>
    <t>over_night_pandl</t>
    <phoneticPr fontId="3" type="noConversion"/>
  </si>
  <si>
    <t>1：外部 2：内部</t>
    <phoneticPr fontId="4" type="noConversion"/>
  </si>
  <si>
    <t>source_stock_qty</t>
    <phoneticPr fontId="4" type="noConversion"/>
  </si>
  <si>
    <t>buy_qty</t>
    <phoneticPr fontId="4" type="noConversion"/>
  </si>
  <si>
    <t>buy_amt</t>
    <phoneticPr fontId="4" type="noConversion"/>
  </si>
  <si>
    <t>comm_appr_oper</t>
    <phoneticPr fontId="4" type="noConversion"/>
  </si>
  <si>
    <t>审批操作员</t>
    <phoneticPr fontId="4" type="noConversion"/>
  </si>
  <si>
    <t>forbid_order_dir</t>
    <phoneticPr fontId="4" type="noConversion"/>
  </si>
  <si>
    <t>config_no</t>
    <phoneticPr fontId="4" type="noConversion"/>
  </si>
  <si>
    <t>config_name</t>
    <phoneticPr fontId="4" type="noConversion"/>
  </si>
  <si>
    <t>config_value</t>
    <phoneticPr fontId="4" type="noConversion"/>
  </si>
  <si>
    <t>issue_date</t>
    <phoneticPr fontId="4" type="noConversion"/>
  </si>
  <si>
    <t>end_date</t>
    <phoneticPr fontId="4" type="noConversion"/>
  </si>
  <si>
    <t>next_value_date</t>
    <phoneticPr fontId="4" type="noConversion"/>
  </si>
  <si>
    <t>rights_type</t>
    <phoneticPr fontId="4" type="noConversion"/>
  </si>
  <si>
    <t>trans_begin_date</t>
    <phoneticPr fontId="4" type="noConversion"/>
  </si>
  <si>
    <t>exec_end_date</t>
    <phoneticPr fontId="4" type="noConversion"/>
  </si>
  <si>
    <t>circl_stock_capit</t>
    <phoneticPr fontId="4" type="noConversion"/>
  </si>
  <si>
    <t>capit_reback_days</t>
    <phoneticPr fontId="4" type="noConversion"/>
  </si>
  <si>
    <t>type_unit</t>
    <phoneticPr fontId="4" type="noConversion"/>
  </si>
  <si>
    <t>1 按股申报2 按手申报</t>
    <phoneticPr fontId="4" type="noConversion"/>
  </si>
  <si>
    <t>用于标识参数是否需要按订单方向区分</t>
    <phoneticPr fontId="4" type="noConversion"/>
  </si>
  <si>
    <t>计算最小价差最低区间价格</t>
    <phoneticPr fontId="4" type="noConversion"/>
  </si>
  <si>
    <t>step_price</t>
    <phoneticPr fontId="4" type="noConversion"/>
  </si>
  <si>
    <t>opor_pwd</t>
    <phoneticPr fontId="4" type="noConversion"/>
  </si>
  <si>
    <t>操作人员的密码</t>
    <phoneticPr fontId="4" type="noConversion"/>
  </si>
  <si>
    <t>create_opor</t>
    <phoneticPr fontId="4" type="noConversion"/>
  </si>
  <si>
    <t>conta_addr</t>
    <phoneticPr fontId="4" type="noConversion"/>
  </si>
  <si>
    <t>allow_login_type</t>
    <phoneticPr fontId="4" type="noConversion"/>
  </si>
  <si>
    <t>allow_oper_mac</t>
    <phoneticPr fontId="4" type="noConversion"/>
  </si>
  <si>
    <t>intrst_begin_date</t>
    <phoneticPr fontId="4" type="noConversion"/>
  </si>
  <si>
    <t>rating_agency</t>
    <phoneticPr fontId="4" type="noConversion"/>
  </si>
  <si>
    <t>redem_record_date</t>
    <phoneticPr fontId="4" type="noConversion"/>
  </si>
  <si>
    <t>redem_start_date</t>
    <phoneticPr fontId="4" type="noConversion"/>
  </si>
  <si>
    <t>redem_end_date</t>
    <phoneticPr fontId="4" type="noConversion"/>
  </si>
  <si>
    <t>redem_pay_price</t>
    <phoneticPr fontId="4" type="noConversion"/>
  </si>
  <si>
    <t>redem_pay_amt</t>
    <phoneticPr fontId="4" type="noConversion"/>
  </si>
  <si>
    <t>redem_commis_ratio</t>
    <phoneticPr fontId="4" type="noConversion"/>
  </si>
  <si>
    <t>buy_amt</t>
    <phoneticPr fontId="3" type="noConversion"/>
  </si>
  <si>
    <t>buy_strike_price</t>
    <phoneticPr fontId="3" type="noConversion"/>
  </si>
  <si>
    <t>sell_end_time</t>
    <phoneticPr fontId="4" type="noConversion"/>
  </si>
  <si>
    <t>begin_date</t>
    <phoneticPr fontId="4" type="noConversion"/>
  </si>
  <si>
    <t>interval_pandl</t>
    <phoneticPr fontId="4" type="noConversion"/>
  </si>
  <si>
    <t>strategy_type</t>
    <phoneticPr fontId="4" type="noConversion"/>
  </si>
  <si>
    <t>total_divi_amt</t>
    <phoneticPr fontId="4" type="noConversion"/>
  </si>
  <si>
    <t>today_buy_price</t>
    <phoneticPr fontId="4" type="noConversion"/>
  </si>
  <si>
    <t>open_posi_time</t>
    <phoneticPr fontId="3" type="noConversion"/>
  </si>
  <si>
    <t>date_format(curtime(),'%H%i%s')</t>
    <phoneticPr fontId="3" type="noConversion"/>
  </si>
  <si>
    <t>Y</t>
    <phoneticPr fontId="4" type="noConversion"/>
  </si>
  <si>
    <t>V</t>
    <phoneticPr fontId="4" type="noConversion"/>
  </si>
  <si>
    <t>V1</t>
    <phoneticPr fontId="4" type="noConversion"/>
  </si>
  <si>
    <t>V</t>
    <phoneticPr fontId="3" type="noConversion"/>
  </si>
  <si>
    <t>Y</t>
    <phoneticPr fontId="3" type="noConversion"/>
  </si>
  <si>
    <t>汇总交易组的证券的持仓市值、浮动盈亏、实现盈亏</t>
    <phoneticPr fontId="4" type="noConversion"/>
  </si>
  <si>
    <t>vi_futu_qry_pd_posi</t>
    <phoneticPr fontId="4" type="noConversion"/>
  </si>
  <si>
    <t>vi_futu_qry_grp_posi_detail</t>
    <phoneticPr fontId="4" type="noConversion"/>
  </si>
  <si>
    <t>报表_资管报表_交易证券-T0-账户交易信息历史表</t>
    <phoneticPr fontId="4" type="noConversion"/>
  </si>
  <si>
    <t>报表_资管报表_交易证券-T0-券源持仓信息历史表</t>
    <phoneticPr fontId="4" type="noConversion"/>
  </si>
  <si>
    <t>报表_资管报表_交易证券-T0-持仓盈亏信息历史表</t>
    <phoneticPr fontId="4" type="noConversion"/>
  </si>
  <si>
    <t>报表_资管报表_交易证券-T0-操作员券源限额设置历史表</t>
    <phoneticPr fontId="4" type="noConversion"/>
  </si>
  <si>
    <t>隔夜盈亏</t>
  </si>
  <si>
    <t>冻结金额</t>
    <phoneticPr fontId="4" type="noConversion"/>
  </si>
  <si>
    <t>操作员预警阈值</t>
    <phoneticPr fontId="4" type="noConversion"/>
  </si>
  <si>
    <t>opor_warn_tshold</t>
    <phoneticPr fontId="4" type="noConversion"/>
  </si>
  <si>
    <t>操作员止损阈值</t>
    <phoneticPr fontId="4" type="noConversion"/>
  </si>
  <si>
    <t>opor_stop_tshold</t>
    <phoneticPr fontId="4" type="noConversion"/>
  </si>
  <si>
    <t>下单限制时间</t>
    <phoneticPr fontId="4" type="noConversion"/>
  </si>
  <si>
    <t>order_limit_time</t>
    <phoneticPr fontId="4" type="noConversion"/>
  </si>
  <si>
    <t>单券持仓比例</t>
    <phoneticPr fontId="4" type="noConversion"/>
  </si>
  <si>
    <t>per_secu_posi_ratio</t>
    <phoneticPr fontId="4" type="noConversion"/>
  </si>
  <si>
    <t>持仓时限</t>
    <phoneticPr fontId="4" type="noConversion"/>
  </si>
  <si>
    <t>posi_limit_time</t>
    <phoneticPr fontId="4" type="noConversion"/>
  </si>
  <si>
    <t>持仓时限（分）；默认5分钟；</t>
    <phoneticPr fontId="4" type="noConversion"/>
  </si>
  <si>
    <t>单笔数量控制</t>
    <phoneticPr fontId="4" type="noConversion"/>
  </si>
  <si>
    <t>order_ctrl_qty</t>
    <phoneticPr fontId="4" type="noConversion"/>
  </si>
  <si>
    <t>单笔金额控制</t>
    <phoneticPr fontId="4" type="noConversion"/>
  </si>
  <si>
    <t>order_ctrl_amt</t>
    <phoneticPr fontId="4" type="noConversion"/>
  </si>
  <si>
    <t>单券预警比例</t>
    <phoneticPr fontId="4" type="noConversion"/>
  </si>
  <si>
    <t>stock_warn_ratio</t>
    <phoneticPr fontId="4" type="noConversion"/>
  </si>
  <si>
    <t>单券止损比例</t>
    <phoneticPr fontId="4" type="noConversion"/>
  </si>
  <si>
    <t>stock_stop_ratio</t>
    <phoneticPr fontId="4" type="noConversion"/>
  </si>
  <si>
    <t>单券预警金额</t>
    <phoneticPr fontId="4" type="noConversion"/>
  </si>
  <si>
    <t>单券止损金额</t>
    <phoneticPr fontId="4" type="noConversion"/>
  </si>
  <si>
    <t>触警操作方式</t>
    <phoneticPr fontId="4" type="noConversion"/>
  </si>
  <si>
    <t>开平仓权限</t>
    <phoneticPr fontId="4" type="noConversion"/>
  </si>
  <si>
    <t>风控监控员</t>
    <phoneticPr fontId="4" type="noConversion"/>
  </si>
  <si>
    <t>费用计算方式</t>
    <phoneticPr fontId="4" type="noConversion"/>
  </si>
  <si>
    <t>允许信用交易</t>
    <phoneticPr fontId="4" type="noConversion"/>
  </si>
  <si>
    <t>permit_margin_trade</t>
    <phoneticPr fontId="4" type="noConversion"/>
  </si>
  <si>
    <t>T0 是否允许信用交易</t>
    <phoneticPr fontId="4" type="noConversion"/>
  </si>
  <si>
    <t>买费率</t>
    <phoneticPr fontId="4" type="noConversion"/>
  </si>
  <si>
    <t>buy_fee_ratio</t>
    <phoneticPr fontId="4" type="noConversion"/>
  </si>
  <si>
    <t>卖费率</t>
    <phoneticPr fontId="4" type="noConversion"/>
  </si>
  <si>
    <t>sell_fee_ratio</t>
    <phoneticPr fontId="4" type="noConversion"/>
  </si>
  <si>
    <t>买最低费用</t>
    <phoneticPr fontId="4" type="noConversion"/>
  </si>
  <si>
    <t>buy_min_fee</t>
    <phoneticPr fontId="4" type="noConversion"/>
  </si>
  <si>
    <t>卖最低费用</t>
    <phoneticPr fontId="4" type="noConversion"/>
  </si>
  <si>
    <t>sell_min_fee</t>
    <phoneticPr fontId="4" type="noConversion"/>
  </si>
  <si>
    <t>交易占用金额</t>
    <phoneticPr fontId="4" type="noConversion"/>
  </si>
  <si>
    <t>交易释放金额</t>
    <phoneticPr fontId="4" type="noConversion"/>
  </si>
  <si>
    <t>成交占用金额</t>
    <phoneticPr fontId="4" type="noConversion"/>
  </si>
  <si>
    <t>成交释放金额</t>
    <phoneticPr fontId="4" type="noConversion"/>
  </si>
  <si>
    <t>累计实现盈亏</t>
    <phoneticPr fontId="4" type="noConversion"/>
  </si>
  <si>
    <t>配置编号</t>
    <phoneticPr fontId="4" type="noConversion"/>
  </si>
  <si>
    <t>配置值</t>
    <phoneticPr fontId="4" type="noConversion"/>
  </si>
  <si>
    <t>配置名称</t>
    <phoneticPr fontId="4" type="noConversion"/>
  </si>
  <si>
    <t>配置说明</t>
    <phoneticPr fontId="4" type="noConversion"/>
  </si>
  <si>
    <t>config_memo</t>
    <phoneticPr fontId="4" type="noConversion"/>
  </si>
  <si>
    <t>平仓数量</t>
    <phoneticPr fontId="4" type="noConversion"/>
  </si>
  <si>
    <t>持仓状态</t>
    <phoneticPr fontId="4" type="noConversion"/>
  </si>
  <si>
    <t>明细持仓序号</t>
  </si>
  <si>
    <t>平仓日期</t>
    <phoneticPr fontId="4" type="noConversion"/>
  </si>
  <si>
    <t>close_posi_date</t>
    <phoneticPr fontId="4" type="noConversion"/>
  </si>
  <si>
    <t>平仓时间</t>
    <phoneticPr fontId="4" type="noConversion"/>
  </si>
  <si>
    <t>close_posi_time</t>
    <phoneticPr fontId="4" type="noConversion"/>
  </si>
  <si>
    <t>平仓价格</t>
    <phoneticPr fontId="4" type="noConversion"/>
  </si>
  <si>
    <t>close_posi_price</t>
    <phoneticPr fontId="4" type="noConversion"/>
  </si>
  <si>
    <t>平仓市值</t>
  </si>
  <si>
    <t>单笔限额数量</t>
    <phoneticPr fontId="4" type="noConversion"/>
  </si>
  <si>
    <t>已分配数量</t>
    <phoneticPr fontId="4" type="noConversion"/>
  </si>
  <si>
    <t>总多头当前数量</t>
    <phoneticPr fontId="4" type="noConversion"/>
  </si>
  <si>
    <t>total_long_curr_qty</t>
    <phoneticPr fontId="4" type="noConversion"/>
  </si>
  <si>
    <t>总空头当前数量</t>
    <phoneticPr fontId="4" type="noConversion"/>
  </si>
  <si>
    <t>total_short_curr_qty</t>
    <phoneticPr fontId="4" type="noConversion"/>
  </si>
  <si>
    <t>总多头开仓市值</t>
    <phoneticPr fontId="4" type="noConversion"/>
  </si>
  <si>
    <t>total_long_open_posi_value</t>
    <phoneticPr fontId="4" type="noConversion"/>
  </si>
  <si>
    <t>总空头开仓市值</t>
  </si>
  <si>
    <t>total_short_open_posi_value</t>
    <phoneticPr fontId="4" type="noConversion"/>
  </si>
  <si>
    <t>总多头开仓费用</t>
    <phoneticPr fontId="4" type="noConversion"/>
  </si>
  <si>
    <t>total_long_open_posi_fee</t>
    <phoneticPr fontId="4" type="noConversion"/>
  </si>
  <si>
    <t>总空头开仓费用</t>
  </si>
  <si>
    <t>total_short_open_posi_fee</t>
    <phoneticPr fontId="4" type="noConversion"/>
  </si>
  <si>
    <t>总多头平仓市值</t>
  </si>
  <si>
    <t>total_long_close_posi_value</t>
    <phoneticPr fontId="4" type="noConversion"/>
  </si>
  <si>
    <t>总空头平仓市值</t>
    <phoneticPr fontId="4" type="noConversion"/>
  </si>
  <si>
    <t>total_short_close_posi_value</t>
    <phoneticPr fontId="4" type="noConversion"/>
  </si>
  <si>
    <t>总多头平仓数量</t>
    <phoneticPr fontId="4" type="noConversion"/>
  </si>
  <si>
    <t>total_long_close_posi_qty</t>
    <phoneticPr fontId="4" type="noConversion"/>
  </si>
  <si>
    <t>总空头平仓数量</t>
    <phoneticPr fontId="4" type="noConversion"/>
  </si>
  <si>
    <t>total_short_close_posi_qty</t>
    <phoneticPr fontId="4" type="noConversion"/>
  </si>
  <si>
    <t>总多头平仓费用</t>
  </si>
  <si>
    <t>total_long_close_posi_fee</t>
    <phoneticPr fontId="4" type="noConversion"/>
  </si>
  <si>
    <t>总空头平仓费用</t>
  </si>
  <si>
    <t>total_short_close_posi_fee</t>
    <phoneticPr fontId="4" type="noConversion"/>
  </si>
  <si>
    <t>多头当前数量</t>
    <phoneticPr fontId="3" type="noConversion"/>
  </si>
  <si>
    <t>long_curr_qty</t>
    <phoneticPr fontId="4" type="noConversion"/>
  </si>
  <si>
    <t>空头当前数量</t>
    <phoneticPr fontId="3" type="noConversion"/>
  </si>
  <si>
    <t>short_curr_qty</t>
    <phoneticPr fontId="4" type="noConversion"/>
  </si>
  <si>
    <t>多头开仓市值</t>
    <phoneticPr fontId="3" type="noConversion"/>
  </si>
  <si>
    <t>long_open_posi_value</t>
    <phoneticPr fontId="4" type="noConversion"/>
  </si>
  <si>
    <t>空头开仓市值</t>
    <phoneticPr fontId="3" type="noConversion"/>
  </si>
  <si>
    <t>short_open_posi_value</t>
    <phoneticPr fontId="4" type="noConversion"/>
  </si>
  <si>
    <t>多头开仓费用</t>
    <phoneticPr fontId="3" type="noConversion"/>
  </si>
  <si>
    <t>long_open_posi_fee</t>
    <phoneticPr fontId="4" type="noConversion"/>
  </si>
  <si>
    <t>空头开仓费用</t>
    <phoneticPr fontId="3" type="noConversion"/>
  </si>
  <si>
    <t>short_open_posi_fee</t>
    <phoneticPr fontId="4" type="noConversion"/>
  </si>
  <si>
    <t>多头平仓数量</t>
    <phoneticPr fontId="3" type="noConversion"/>
  </si>
  <si>
    <t>long_close_posi_qty</t>
    <phoneticPr fontId="4" type="noConversion"/>
  </si>
  <si>
    <t>空头平仓数量</t>
    <phoneticPr fontId="3" type="noConversion"/>
  </si>
  <si>
    <t>short_close_posi_qty</t>
    <phoneticPr fontId="4" type="noConversion"/>
  </si>
  <si>
    <t>多头平仓市值</t>
    <phoneticPr fontId="3" type="noConversion"/>
  </si>
  <si>
    <t>long_close_posi_value</t>
    <phoneticPr fontId="4" type="noConversion"/>
  </si>
  <si>
    <t>空头平仓市值</t>
    <phoneticPr fontId="3" type="noConversion"/>
  </si>
  <si>
    <t>short_close_posi_value</t>
    <phoneticPr fontId="4" type="noConversion"/>
  </si>
  <si>
    <t>多头平仓费用</t>
    <phoneticPr fontId="3" type="noConversion"/>
  </si>
  <si>
    <t>long_close_posi_fee</t>
    <phoneticPr fontId="4" type="noConversion"/>
  </si>
  <si>
    <t>空头平仓费用</t>
    <phoneticPr fontId="3" type="noConversion"/>
  </si>
  <si>
    <t>short_close_posi_fee</t>
    <phoneticPr fontId="4" type="noConversion"/>
  </si>
  <si>
    <t>总多头当前数量</t>
  </si>
  <si>
    <t>总空头当前数量</t>
  </si>
  <si>
    <t>总多头开仓市值</t>
  </si>
  <si>
    <t>总多头开仓费用</t>
  </si>
  <si>
    <t>总空头平仓市值</t>
  </si>
  <si>
    <t>总多头平仓数量</t>
  </si>
  <si>
    <t>总空头平仓数量</t>
  </si>
  <si>
    <t>报表_资管报表_T0_操作员阈值设置表</t>
    <phoneticPr fontId="4" type="noConversion"/>
  </si>
  <si>
    <t>报表_资管报表_T0_操作员参数设置表</t>
    <phoneticPr fontId="4" type="noConversion"/>
  </si>
  <si>
    <t>报表_资管报表_T0_证券持仓明细表</t>
    <phoneticPr fontId="4" type="noConversion"/>
  </si>
  <si>
    <t>报表_资管报表_T0_证券平仓成交明细表</t>
    <phoneticPr fontId="4" type="noConversion"/>
  </si>
  <si>
    <t>报表_资管报表_T0_操作员券源设置表</t>
    <phoneticPr fontId="4" type="noConversion"/>
  </si>
  <si>
    <t>报表_资管报表_T0_证券持仓汇总表</t>
    <phoneticPr fontId="4" type="noConversion"/>
  </si>
  <si>
    <t>报表_资管报表_T0_证券持仓明细表历史</t>
    <phoneticPr fontId="4" type="noConversion"/>
  </si>
  <si>
    <t>报表_资管报表_T0_操作员券源设置表历史</t>
    <phoneticPr fontId="4" type="noConversion"/>
  </si>
  <si>
    <t>报表_资管报表_T0_证券持仓汇总表历史</t>
    <phoneticPr fontId="4" type="noConversion"/>
  </si>
  <si>
    <t>可用资金</t>
    <phoneticPr fontId="4" type="noConversion"/>
  </si>
  <si>
    <t>报表_资管报表_T0_证券平仓成交明细表历史</t>
    <phoneticPr fontId="4" type="noConversion"/>
  </si>
  <si>
    <t>货币基金资产</t>
  </si>
  <si>
    <t>股票成本</t>
  </si>
  <si>
    <t>债券成本</t>
  </si>
  <si>
    <t>基金成本</t>
  </si>
  <si>
    <t>回购成本</t>
  </si>
  <si>
    <t>其他成本</t>
  </si>
  <si>
    <t>期货成本</t>
  </si>
  <si>
    <t>港股通成本</t>
  </si>
  <si>
    <t>货币基金成本</t>
  </si>
  <si>
    <t>单位累计净值</t>
  </si>
  <si>
    <t>单位分红</t>
  </si>
  <si>
    <t>分组序号</t>
  </si>
  <si>
    <t>vi_tdset0_opor_tshold_set</t>
    <phoneticPr fontId="4" type="noConversion"/>
  </si>
  <si>
    <t>vi_tdset0_opor_param_set</t>
    <phoneticPr fontId="4" type="noConversion"/>
  </si>
  <si>
    <t>vi_tdset0_close_posi_strike_detail</t>
    <phoneticPr fontId="4" type="noConversion"/>
  </si>
  <si>
    <t>vi_tdset0_close_posi_strike_detail_his</t>
    <phoneticPr fontId="4" type="noConversion"/>
  </si>
  <si>
    <t>vi_tdset0_opor_stock_source</t>
    <phoneticPr fontId="4" type="noConversion"/>
  </si>
  <si>
    <t>vi_tdset0_opor_stock_source_his</t>
    <phoneticPr fontId="4" type="noConversion"/>
  </si>
  <si>
    <t>vi_tdset0_stock_posi_sum</t>
    <phoneticPr fontId="4" type="noConversion"/>
  </si>
  <si>
    <t>vi_tdset0_stock_posi_sum_his</t>
    <phoneticPr fontId="4" type="noConversion"/>
  </si>
  <si>
    <t>money_fund_asset</t>
    <phoneticPr fontId="4" type="noConversion"/>
  </si>
  <si>
    <t>stock_cost</t>
    <phoneticPr fontId="4" type="noConversion"/>
  </si>
  <si>
    <t>bond_cost</t>
    <phoneticPr fontId="4" type="noConversion"/>
  </si>
  <si>
    <t>fund_cost</t>
    <phoneticPr fontId="4" type="noConversion"/>
  </si>
  <si>
    <t>repo_cost</t>
    <phoneticPr fontId="4" type="noConversion"/>
  </si>
  <si>
    <t>other_cost</t>
    <phoneticPr fontId="4" type="noConversion"/>
  </si>
  <si>
    <t>futu_cost</t>
    <phoneticPr fontId="4" type="noConversion"/>
  </si>
  <si>
    <t>hk_thrgh_stock_cost</t>
    <phoneticPr fontId="4" type="noConversion"/>
  </si>
  <si>
    <t>money_fund_cost</t>
    <phoneticPr fontId="4" type="noConversion"/>
  </si>
  <si>
    <t>unit_nav_total</t>
    <phoneticPr fontId="4" type="noConversion"/>
  </si>
  <si>
    <t>unit_divi_amt</t>
    <phoneticPr fontId="4" type="noConversion"/>
  </si>
  <si>
    <t>avail_cash</t>
    <phoneticPr fontId="4" type="noConversion"/>
  </si>
  <si>
    <t>grp_row</t>
    <phoneticPr fontId="4" type="noConversion"/>
  </si>
  <si>
    <t>上月净值</t>
    <phoneticPr fontId="4" type="noConversion"/>
  </si>
  <si>
    <t>外部账号</t>
  </si>
  <si>
    <t>资金余额</t>
    <phoneticPr fontId="4" type="noConversion"/>
  </si>
  <si>
    <t>可用金额</t>
    <phoneticPr fontId="4" type="noConversion"/>
  </si>
  <si>
    <t>交易证券</t>
    <phoneticPr fontId="4" type="noConversion"/>
  </si>
  <si>
    <t>报表_资管报表_交易证券-T0-历史证券持仓明细表</t>
    <phoneticPr fontId="4" type="noConversion"/>
  </si>
  <si>
    <t>last_month_pd_nav</t>
    <phoneticPr fontId="4" type="noConversion"/>
  </si>
  <si>
    <t>over_night_pandl</t>
    <phoneticPr fontId="4" type="noConversion"/>
  </si>
  <si>
    <t>累计实现收益</t>
    <phoneticPr fontId="4" type="noConversion"/>
  </si>
  <si>
    <t>组合代码</t>
    <phoneticPr fontId="4" type="noConversion"/>
  </si>
  <si>
    <t>成交时间</t>
  </si>
  <si>
    <t>订单批号</t>
    <phoneticPr fontId="4" type="noConversion"/>
  </si>
  <si>
    <t>交易征费</t>
    <phoneticPr fontId="4" type="noConversion"/>
  </si>
  <si>
    <t>交易费</t>
    <phoneticPr fontId="4" type="noConversion"/>
  </si>
  <si>
    <t>交易系统使用费</t>
    <phoneticPr fontId="4" type="noConversion"/>
  </si>
  <si>
    <t>股份交收费</t>
    <phoneticPr fontId="4" type="noConversion"/>
  </si>
  <si>
    <t>成交债券计提利息</t>
    <phoneticPr fontId="4" type="noConversion"/>
  </si>
  <si>
    <t>外部编号</t>
    <phoneticPr fontId="4" type="noConversion"/>
  </si>
  <si>
    <t>order_batch_no</t>
    <phoneticPr fontId="4" type="noConversion"/>
  </si>
  <si>
    <t>外部编号，不唯一</t>
    <phoneticPr fontId="4" type="noConversion"/>
  </si>
  <si>
    <t>trade_tax</t>
    <phoneticPr fontId="4" type="noConversion"/>
  </si>
  <si>
    <t>trade_cost_fee</t>
    <phoneticPr fontId="4" type="noConversion"/>
  </si>
  <si>
    <t>trade_system_use_fee</t>
    <phoneticPr fontId="4" type="noConversion"/>
  </si>
  <si>
    <t>stock_settle_fee</t>
    <phoneticPr fontId="4" type="noConversion"/>
  </si>
  <si>
    <t>strike_bond_accr_intrst</t>
    <phoneticPr fontId="4" type="noConversion"/>
  </si>
  <si>
    <t>external_no</t>
    <phoneticPr fontId="4" type="noConversion"/>
  </si>
  <si>
    <t>外部唯一编号，系统内可依据该请求进行去重判断（待定）</t>
    <phoneticPr fontId="4" type="noConversion"/>
  </si>
  <si>
    <t>capit_bala</t>
    <phoneticPr fontId="4" type="noConversion"/>
  </si>
  <si>
    <t>avail_amt</t>
    <phoneticPr fontId="4" type="noConversion"/>
  </si>
  <si>
    <t>操作员机构编号</t>
    <phoneticPr fontId="4" type="noConversion"/>
  </si>
  <si>
    <t>opor_co_no</t>
    <phoneticPr fontId="4" type="noConversion"/>
  </si>
  <si>
    <t>操作MAC</t>
    <phoneticPr fontId="4" type="noConversion"/>
  </si>
  <si>
    <t>oper_mac</t>
    <phoneticPr fontId="4" type="noConversion"/>
  </si>
  <si>
    <t>操作IP</t>
    <phoneticPr fontId="4" type="noConversion"/>
  </si>
  <si>
    <t>oper_ip_addr</t>
    <phoneticPr fontId="4" type="noConversion"/>
  </si>
  <si>
    <t>操作信息</t>
    <phoneticPr fontId="4" type="noConversion"/>
  </si>
  <si>
    <t>oper_info</t>
    <phoneticPr fontId="4" type="noConversion"/>
  </si>
  <si>
    <t>varchar(1024)</t>
    <phoneticPr fontId="4" type="noConversion"/>
  </si>
  <si>
    <t>操作方式</t>
    <phoneticPr fontId="4" type="noConversion"/>
  </si>
  <si>
    <t>oper_way</t>
    <phoneticPr fontId="4" type="noConversion"/>
  </si>
  <si>
    <t>操作人员进行业务操作时的方式</t>
    <phoneticPr fontId="4" type="noConversion"/>
  </si>
  <si>
    <t>操作功能</t>
    <phoneticPr fontId="4" type="noConversion"/>
  </si>
  <si>
    <t>oper_func_code</t>
    <phoneticPr fontId="4" type="noConversion"/>
  </si>
  <si>
    <t>操作时的功能编码</t>
    <phoneticPr fontId="4" type="noConversion"/>
  </si>
  <si>
    <t>指令日期</t>
    <phoneticPr fontId="4" type="noConversion"/>
  </si>
  <si>
    <t>comm_date</t>
    <phoneticPr fontId="4" type="noConversion"/>
  </si>
  <si>
    <t>生成指令的数据库日期</t>
    <phoneticPr fontId="4" type="noConversion"/>
  </si>
  <si>
    <t>指令时间</t>
  </si>
  <si>
    <t>comm_time</t>
    <phoneticPr fontId="4" type="noConversion"/>
  </si>
  <si>
    <t>生成指令的数据库时间</t>
    <phoneticPr fontId="4" type="noConversion"/>
  </si>
  <si>
    <t>指令批号</t>
  </si>
  <si>
    <t>指令下达人</t>
  </si>
  <si>
    <t>comm_opor</t>
    <phoneticPr fontId="4" type="noConversion"/>
  </si>
  <si>
    <t>生成指令的操作员</t>
    <phoneticPr fontId="4" type="noConversion"/>
  </si>
  <si>
    <t>指令执行人</t>
    <phoneticPr fontId="4" type="noConversion"/>
  </si>
  <si>
    <t>comm_executor</t>
    <phoneticPr fontId="4" type="noConversion"/>
  </si>
  <si>
    <t>执行指令的操作员</t>
    <phoneticPr fontId="4" type="noConversion"/>
  </si>
  <si>
    <t>指令方向</t>
  </si>
  <si>
    <t>comm_dir</t>
    <phoneticPr fontId="4" type="noConversion"/>
  </si>
  <si>
    <t>指令限价</t>
  </si>
  <si>
    <t>comm_limit_price</t>
    <phoneticPr fontId="4" type="noConversion"/>
  </si>
  <si>
    <t>指令的价格范围</t>
    <phoneticPr fontId="4" type="noConversion"/>
  </si>
  <si>
    <t>指令实际限价</t>
    <phoneticPr fontId="4" type="noConversion"/>
  </si>
  <si>
    <t>limit_actual_price</t>
    <phoneticPr fontId="4" type="noConversion"/>
  </si>
  <si>
    <t>指令数量</t>
  </si>
  <si>
    <t>comm_qty</t>
    <phoneticPr fontId="4" type="noConversion"/>
  </si>
  <si>
    <t>指令金额</t>
    <phoneticPr fontId="4" type="noConversion"/>
  </si>
  <si>
    <t>comm_amt</t>
    <phoneticPr fontId="4" type="noConversion"/>
  </si>
  <si>
    <t>订单数量</t>
  </si>
  <si>
    <t>指令撤销数量</t>
  </si>
  <si>
    <t>comm_cancel_qty</t>
    <phoneticPr fontId="4" type="noConversion"/>
  </si>
  <si>
    <t>成交状态</t>
    <phoneticPr fontId="4" type="noConversion"/>
  </si>
  <si>
    <t>strike_status</t>
    <phoneticPr fontId="4" type="noConversion"/>
  </si>
  <si>
    <t>订单的成交状态</t>
    <phoneticPr fontId="4" type="noConversion"/>
  </si>
  <si>
    <t>指令状态</t>
    <phoneticPr fontId="4" type="noConversion"/>
  </si>
  <si>
    <t>comm_status</t>
    <phoneticPr fontId="4" type="noConversion"/>
  </si>
  <si>
    <t>未执行、部分执行、已执行、已撤销</t>
    <phoneticPr fontId="4" type="noConversion"/>
  </si>
  <si>
    <t>指令开始日期</t>
    <phoneticPr fontId="4" type="noConversion"/>
  </si>
  <si>
    <t>comm_begin_date</t>
    <phoneticPr fontId="4" type="noConversion"/>
  </si>
  <si>
    <t>指令有效期</t>
    <phoneticPr fontId="4" type="noConversion"/>
  </si>
  <si>
    <t>指令结束日期</t>
    <phoneticPr fontId="4" type="noConversion"/>
  </si>
  <si>
    <t>comm_end_date</t>
    <phoneticPr fontId="4" type="noConversion"/>
  </si>
  <si>
    <t>指令开始时间</t>
    <phoneticPr fontId="4" type="noConversion"/>
  </si>
  <si>
    <t>comm_begin_time</t>
    <phoneticPr fontId="4" type="noConversion"/>
  </si>
  <si>
    <t>指令结束时间</t>
    <phoneticPr fontId="4" type="noConversion"/>
  </si>
  <si>
    <t>comm_end_time</t>
    <phoneticPr fontId="4" type="noConversion"/>
  </si>
  <si>
    <t>指令完成日期</t>
    <phoneticPr fontId="4" type="noConversion"/>
  </si>
  <si>
    <t>comm_comple_date</t>
    <phoneticPr fontId="4" type="noConversion"/>
  </si>
  <si>
    <t>指令完成时间</t>
    <phoneticPr fontId="4" type="noConversion"/>
  </si>
  <si>
    <t>comm_comple_time</t>
    <phoneticPr fontId="4" type="noConversion"/>
  </si>
  <si>
    <t>指令审批日期</t>
    <phoneticPr fontId="4" type="noConversion"/>
  </si>
  <si>
    <t>comm_appr_date</t>
    <phoneticPr fontId="4" type="noConversion"/>
  </si>
  <si>
    <t>指令审批时间</t>
    <phoneticPr fontId="4" type="noConversion"/>
  </si>
  <si>
    <t>comm_appr_time</t>
    <phoneticPr fontId="4" type="noConversion"/>
  </si>
  <si>
    <t>指令审批状态</t>
    <phoneticPr fontId="4" type="noConversion"/>
  </si>
  <si>
    <t>comm_appr_status</t>
    <phoneticPr fontId="4" type="noConversion"/>
  </si>
  <si>
    <t>指令审批操作员序号</t>
    <phoneticPr fontId="4" type="noConversion"/>
  </si>
  <si>
    <t>comm_appr_oper_no</t>
    <phoneticPr fontId="4" type="noConversion"/>
  </si>
  <si>
    <t>指令审批说明</t>
    <phoneticPr fontId="4" type="noConversion"/>
  </si>
  <si>
    <t>comm_appr_remark</t>
    <phoneticPr fontId="4" type="noConversion"/>
  </si>
  <si>
    <t>篮子序号</t>
    <phoneticPr fontId="4" type="noConversion"/>
  </si>
  <si>
    <t>basket_id</t>
    <phoneticPr fontId="4" type="noConversion"/>
  </si>
  <si>
    <t>指令操作方式</t>
    <phoneticPr fontId="4" type="noConversion"/>
  </si>
  <si>
    <t>comm_oper_way</t>
    <phoneticPr fontId="4" type="noConversion"/>
  </si>
  <si>
    <t>指令完成标志</t>
    <phoneticPr fontId="4" type="noConversion"/>
  </si>
  <si>
    <t>comm_comple_flag</t>
    <phoneticPr fontId="4" type="noConversion"/>
  </si>
  <si>
    <t>1：未完成；2：已完成</t>
    <phoneticPr fontId="4" type="noConversion"/>
  </si>
  <si>
    <t>策略订单数量</t>
    <phoneticPr fontId="4" type="noConversion"/>
  </si>
  <si>
    <t>策略占用数量</t>
    <phoneticPr fontId="4" type="noConversion"/>
  </si>
  <si>
    <t>股东代码</t>
    <phoneticPr fontId="4" type="noConversion"/>
  </si>
  <si>
    <t>stock_acco</t>
    <phoneticPr fontId="4" type="noConversion"/>
  </si>
  <si>
    <t>指令序号</t>
  </si>
  <si>
    <t>指令下达人</t>
    <phoneticPr fontId="4" type="noConversion"/>
  </si>
  <si>
    <t>申报时间</t>
  </si>
  <si>
    <t>report_time</t>
    <phoneticPr fontId="4" type="noConversion"/>
  </si>
  <si>
    <t>订单被报送的数据库时间</t>
    <phoneticPr fontId="4" type="noConversion"/>
  </si>
  <si>
    <t>订单日期</t>
  </si>
  <si>
    <t>订单时间</t>
  </si>
  <si>
    <t>订单批号</t>
  </si>
  <si>
    <t>价格类型</t>
    <phoneticPr fontId="4" type="noConversion"/>
  </si>
  <si>
    <t>price_type</t>
    <phoneticPr fontId="4" type="noConversion"/>
  </si>
  <si>
    <t>限价、市价</t>
    <phoneticPr fontId="4" type="noConversion"/>
  </si>
  <si>
    <t>订单价格</t>
  </si>
  <si>
    <t>订单状态</t>
  </si>
  <si>
    <t>order_status</t>
    <phoneticPr fontId="4" type="noConversion"/>
  </si>
  <si>
    <t>未报、待报、正报、已报、待撤、部撤、部成、已撤、已成等</t>
    <phoneticPr fontId="4" type="noConversion"/>
  </si>
  <si>
    <t>撤单数量</t>
  </si>
  <si>
    <t>wtdraw_qty</t>
    <phoneticPr fontId="4" type="noConversion"/>
  </si>
  <si>
    <t>印花税</t>
    <phoneticPr fontId="4" type="noConversion"/>
  </si>
  <si>
    <t>交易佣金</t>
    <phoneticPr fontId="4" type="noConversion"/>
  </si>
  <si>
    <t>其他佣金</t>
    <phoneticPr fontId="4" type="noConversion"/>
  </si>
  <si>
    <t>订单冻结金额</t>
    <phoneticPr fontId="4" type="noConversion"/>
  </si>
  <si>
    <t>order_frozen_amt</t>
    <phoneticPr fontId="4" type="noConversion"/>
  </si>
  <si>
    <t>订单冻结数量</t>
    <phoneticPr fontId="4" type="noConversion"/>
  </si>
  <si>
    <t>order_frozen_qty</t>
    <phoneticPr fontId="4" type="noConversion"/>
  </si>
  <si>
    <t>订单冻结的持仓总额</t>
    <phoneticPr fontId="4" type="noConversion"/>
  </si>
  <si>
    <t>回报信息</t>
    <phoneticPr fontId="4" type="noConversion"/>
  </si>
  <si>
    <t>rsp_info</t>
    <phoneticPr fontId="4" type="noConversion"/>
  </si>
  <si>
    <t>回报的备注信息</t>
    <phoneticPr fontId="4" type="noConversion"/>
  </si>
  <si>
    <t>合规触警序号</t>
    <phoneticPr fontId="4" type="noConversion"/>
  </si>
  <si>
    <t>compli_trig_id</t>
    <phoneticPr fontId="4" type="noConversion"/>
  </si>
  <si>
    <t>组合持仓序号</t>
    <phoneticPr fontId="4" type="noConversion"/>
  </si>
  <si>
    <t>策略序号</t>
    <phoneticPr fontId="4" type="noConversion"/>
  </si>
  <si>
    <t>通道编号</t>
    <phoneticPr fontId="4" type="noConversion"/>
  </si>
  <si>
    <t>申报编号</t>
    <phoneticPr fontId="4" type="noConversion"/>
  </si>
  <si>
    <t>申报日期</t>
    <phoneticPr fontId="4" type="noConversion"/>
  </si>
  <si>
    <t>订单状态</t>
    <phoneticPr fontId="4" type="noConversion"/>
  </si>
  <si>
    <t>金额差额</t>
    <phoneticPr fontId="4" type="noConversion"/>
  </si>
  <si>
    <t>数量差额</t>
    <phoneticPr fontId="4" type="noConversion"/>
  </si>
  <si>
    <t>vi_tdseap_command</t>
    <phoneticPr fontId="4" type="noConversion"/>
  </si>
  <si>
    <t>vi_tdsetd_order</t>
    <phoneticPr fontId="4" type="noConversion"/>
  </si>
  <si>
    <t>报表_资管报表_指令表</t>
    <phoneticPr fontId="4" type="noConversion"/>
  </si>
  <si>
    <t>报表_资管报表_订单表</t>
    <phoneticPr fontId="4" type="noConversion"/>
  </si>
  <si>
    <t>combo_code</t>
    <phoneticPr fontId="4" type="noConversion"/>
  </si>
  <si>
    <t>stock_warn_amt</t>
    <phoneticPr fontId="4" type="noConversion"/>
  </si>
  <si>
    <t>stock_stop_amt</t>
    <phoneticPr fontId="4" type="noConversion"/>
  </si>
  <si>
    <t>trig_oper_type</t>
    <phoneticPr fontId="4" type="noConversion"/>
  </si>
  <si>
    <t>open_close_permission</t>
    <phoneticPr fontId="4" type="noConversion"/>
  </si>
  <si>
    <t>risk_oper</t>
    <phoneticPr fontId="4" type="noConversion"/>
  </si>
  <si>
    <t>fee_calc_type</t>
    <phoneticPr fontId="4" type="noConversion"/>
  </si>
  <si>
    <t>single_limit_qty</t>
    <phoneticPr fontId="4" type="noConversion"/>
  </si>
  <si>
    <t>assigned_qty</t>
    <phoneticPr fontId="4" type="noConversion"/>
  </si>
  <si>
    <t>报表_资管报表_指令统计表</t>
    <phoneticPr fontId="4" type="noConversion"/>
  </si>
  <si>
    <t>报表_资管报表_交易操作效率表</t>
    <phoneticPr fontId="4" type="noConversion"/>
  </si>
  <si>
    <t>指令笔数</t>
    <phoneticPr fontId="3" type="noConversion"/>
  </si>
  <si>
    <t>订单笔数</t>
    <phoneticPr fontId="3" type="noConversion"/>
  </si>
  <si>
    <t>订单金额</t>
    <phoneticPr fontId="4" type="noConversion"/>
  </si>
  <si>
    <t>未成交金额</t>
  </si>
  <si>
    <t>成交笔数</t>
    <phoneticPr fontId="3" type="noConversion"/>
  </si>
  <si>
    <t>成交数量</t>
    <phoneticPr fontId="3" type="noConversion"/>
  </si>
  <si>
    <t>行情成交数量</t>
    <phoneticPr fontId="3" type="noConversion"/>
  </si>
  <si>
    <t>行情成交金额</t>
    <phoneticPr fontId="3" type="noConversion"/>
  </si>
  <si>
    <t>开始日期</t>
    <phoneticPr fontId="3" type="noConversion"/>
  </si>
  <si>
    <t>结束日期</t>
    <phoneticPr fontId="3" type="noConversion"/>
  </si>
  <si>
    <t>持仓不动收益率</t>
  </si>
  <si>
    <t>绝对操作效率</t>
    <phoneticPr fontId="3" type="noConversion"/>
  </si>
  <si>
    <t>日均净资产</t>
    <phoneticPr fontId="3" type="noConversion"/>
  </si>
  <si>
    <t>卖出金额</t>
    <phoneticPr fontId="3" type="noConversion"/>
  </si>
  <si>
    <t>期初份额累计净值</t>
  </si>
  <si>
    <t>期初单位净值</t>
  </si>
  <si>
    <t>期初份额总额</t>
    <phoneticPr fontId="3" type="noConversion"/>
  </si>
  <si>
    <t>期末净资产</t>
  </si>
  <si>
    <t>期末份额累计净值</t>
  </si>
  <si>
    <t>期末份额总额</t>
  </si>
  <si>
    <t>期末单位净值</t>
  </si>
  <si>
    <t>初始化日期</t>
    <phoneticPr fontId="4" type="noConversion"/>
  </si>
  <si>
    <t>tb_rptstat_trade_oper</t>
    <phoneticPr fontId="4" type="noConversion"/>
  </si>
  <si>
    <t>sum_realize_pandl</t>
    <phoneticPr fontId="4" type="noConversion"/>
  </si>
  <si>
    <t>amt_diff</t>
    <phoneticPr fontId="4" type="noConversion"/>
  </si>
  <si>
    <t>strategy_order_qty</t>
    <phoneticPr fontId="4" type="noConversion"/>
  </si>
  <si>
    <t>strategy_capt_qty</t>
    <phoneticPr fontId="4" type="noConversion"/>
  </si>
  <si>
    <t>combo_posi_id</t>
    <phoneticPr fontId="4" type="noConversion"/>
  </si>
  <si>
    <t>strategy_id</t>
    <phoneticPr fontId="4" type="noConversion"/>
  </si>
  <si>
    <t>红冲蓝补金额</t>
  </si>
  <si>
    <t>tb_rptasset_pd_sum_posi</t>
    <phoneticPr fontId="3" type="noConversion"/>
  </si>
  <si>
    <t>报表_资管报表_产品汇总持仓表</t>
    <phoneticPr fontId="3" type="noConversion"/>
  </si>
  <si>
    <t>tb_rptasset_pd_sum_posi_his</t>
    <phoneticPr fontId="3" type="noConversion"/>
  </si>
  <si>
    <t>total_change_amt</t>
    <phoneticPr fontId="4" type="noConversion"/>
  </si>
  <si>
    <t>commd_cnt</t>
    <phoneticPr fontId="4" type="noConversion"/>
  </si>
  <si>
    <t>order_num</t>
    <phoneticPr fontId="4" type="noConversion"/>
  </si>
  <si>
    <t>order_amt</t>
    <phoneticPr fontId="4" type="noConversion"/>
  </si>
  <si>
    <t>undeal_amt</t>
    <phoneticPr fontId="4" type="noConversion"/>
  </si>
  <si>
    <t>strike_num</t>
    <phoneticPr fontId="4" type="noConversion"/>
  </si>
  <si>
    <t>quot_strike_qty</t>
    <phoneticPr fontId="4" type="noConversion"/>
  </si>
  <si>
    <t>quot_strike_amt</t>
    <phoneticPr fontId="4" type="noConversion"/>
  </si>
  <si>
    <t>posi_yield_rate</t>
    <phoneticPr fontId="4" type="noConversion"/>
  </si>
  <si>
    <t>real_trade_oper_rate</t>
    <phoneticPr fontId="4" type="noConversion"/>
  </si>
  <si>
    <t>avg_nav_asset</t>
    <phoneticPr fontId="4" type="noConversion"/>
  </si>
  <si>
    <t>sellout_amt</t>
    <phoneticPr fontId="4" type="noConversion"/>
  </si>
  <si>
    <t>begin_share_net_total</t>
    <phoneticPr fontId="4" type="noConversion"/>
  </si>
  <si>
    <t>pd_begin_unit_nav</t>
    <phoneticPr fontId="4" type="noConversion"/>
  </si>
  <si>
    <t>begin_net_all</t>
    <phoneticPr fontId="4" type="noConversion"/>
  </si>
  <si>
    <t>end_nav_asset</t>
    <phoneticPr fontId="4" type="noConversion"/>
  </si>
  <si>
    <t>end_share_net_total</t>
    <phoneticPr fontId="4" type="noConversion"/>
  </si>
  <si>
    <t>end_net_all</t>
    <phoneticPr fontId="4" type="noConversion"/>
  </si>
  <si>
    <t>end_unit_nav</t>
    <phoneticPr fontId="4" type="noConversion"/>
  </si>
  <si>
    <t>报表_资管报表_产品汇总持仓历史</t>
    <phoneticPr fontId="3" type="noConversion"/>
  </si>
  <si>
    <t>资产账户</t>
  </si>
  <si>
    <t>asset_acco</t>
    <phoneticPr fontId="3" type="noConversion"/>
  </si>
  <si>
    <t>股东代码</t>
  </si>
  <si>
    <t>stock_acco</t>
    <phoneticPr fontId="3" type="noConversion"/>
  </si>
  <si>
    <t>invest_type</t>
    <phoneticPr fontId="3" type="noConversion"/>
  </si>
  <si>
    <t>stock_type</t>
    <phoneticPr fontId="3" type="noConversion"/>
  </si>
  <si>
    <t>stock_code</t>
    <phoneticPr fontId="3" type="noConversion"/>
  </si>
  <si>
    <t>stock_name</t>
    <phoneticPr fontId="3" type="noConversion"/>
  </si>
  <si>
    <t>order_dir</t>
    <phoneticPr fontId="3" type="noConversion"/>
  </si>
  <si>
    <t>order_price</t>
    <phoneticPr fontId="3" type="noConversion"/>
  </si>
  <si>
    <t>order_qty</t>
    <phoneticPr fontId="3" type="noConversion"/>
  </si>
  <si>
    <t>strike_qty</t>
    <phoneticPr fontId="3" type="noConversion"/>
  </si>
  <si>
    <t>strike_amt</t>
    <phoneticPr fontId="3" type="noConversion"/>
  </si>
  <si>
    <t>all_fee</t>
    <phoneticPr fontId="3" type="noConversion"/>
  </si>
  <si>
    <t>stamp_tax</t>
    <phoneticPr fontId="3" type="noConversion"/>
  </si>
  <si>
    <t>trans_fee</t>
    <phoneticPr fontId="3" type="noConversion"/>
  </si>
  <si>
    <t>brkage_fee</t>
    <phoneticPr fontId="3" type="noConversion"/>
  </si>
  <si>
    <t>SEC_charges</t>
    <phoneticPr fontId="3" type="noConversion"/>
  </si>
  <si>
    <t>other_fee</t>
    <phoneticPr fontId="3" type="noConversion"/>
  </si>
  <si>
    <t>trade_commis</t>
    <phoneticPr fontId="3" type="noConversion"/>
  </si>
  <si>
    <t>other_commis</t>
    <phoneticPr fontId="3" type="noConversion"/>
  </si>
  <si>
    <t>bond_accr_intrst</t>
    <phoneticPr fontId="3" type="noConversion"/>
  </si>
  <si>
    <t>net_price_flag</t>
    <phoneticPr fontId="3" type="noConversion"/>
  </si>
  <si>
    <t>数据来源类型</t>
  </si>
  <si>
    <t>src_data_type</t>
  </si>
  <si>
    <t>成交均价</t>
    <phoneticPr fontId="3" type="noConversion"/>
  </si>
  <si>
    <t>strike_aver_price</t>
    <phoneticPr fontId="3" type="noConversion"/>
  </si>
  <si>
    <t>交易对手</t>
    <phoneticPr fontId="3" type="noConversion"/>
  </si>
  <si>
    <t>bank_ib_member</t>
    <phoneticPr fontId="3" type="noConversion"/>
  </si>
  <si>
    <t>last_price</t>
    <phoneticPr fontId="3" type="noConversion"/>
  </si>
  <si>
    <t>quot_strike_qty</t>
    <phoneticPr fontId="3" type="noConversion"/>
  </si>
  <si>
    <t>quot_strike_amt</t>
    <phoneticPr fontId="3" type="noConversion"/>
  </si>
  <si>
    <t>汇总分组行数</t>
    <phoneticPr fontId="3" type="noConversion"/>
  </si>
  <si>
    <t>sum_grp_cnt</t>
    <phoneticPr fontId="3" type="noConversion"/>
  </si>
  <si>
    <t>汇总分组内容</t>
    <phoneticPr fontId="3" type="noConversion"/>
  </si>
  <si>
    <t>sum_grp_str</t>
    <phoneticPr fontId="3" type="noConversion"/>
  </si>
  <si>
    <t>有效标志</t>
    <phoneticPr fontId="3" type="noConversion"/>
  </si>
  <si>
    <t>valid_flag</t>
    <phoneticPr fontId="3" type="noConversion"/>
  </si>
  <si>
    <t>remark_info</t>
    <phoneticPr fontId="3" type="noConversion"/>
  </si>
  <si>
    <t>报表_资管报表_报表汇总产品证券成交</t>
    <phoneticPr fontId="4" type="noConversion"/>
  </si>
  <si>
    <t>体外指令标志</t>
  </si>
  <si>
    <t>更新次数</t>
  </si>
  <si>
    <t>uint32</t>
    <phoneticPr fontId="4" type="noConversion"/>
  </si>
  <si>
    <t>bytevector</t>
    <phoneticPr fontId="4" type="noConversion"/>
  </si>
  <si>
    <t>uint64</t>
    <phoneticPr fontId="4" type="noConversion"/>
  </si>
  <si>
    <t>tb_rptsum_pd_stock_strike</t>
    <phoneticPr fontId="4" type="noConversion"/>
  </si>
  <si>
    <t>大宗交易持仓市值</t>
    <phoneticPr fontId="4" type="noConversion"/>
  </si>
  <si>
    <t>block_trade_posi_market_value</t>
    <phoneticPr fontId="4" type="noConversion"/>
  </si>
  <si>
    <t>总股本</t>
  </si>
  <si>
    <t>流通股本</t>
  </si>
  <si>
    <t>订单方向</t>
    <phoneticPr fontId="4" type="noConversion"/>
  </si>
  <si>
    <t>期货现金资产</t>
  </si>
  <si>
    <t>期货现金资产</t>
    <phoneticPr fontId="4" type="noConversion"/>
  </si>
  <si>
    <t>总现金资产</t>
    <phoneticPr fontId="4" type="noConversion"/>
  </si>
  <si>
    <t>total_cash_asset</t>
    <phoneticPr fontId="3" type="noConversion"/>
  </si>
  <si>
    <t>证券现金资产</t>
    <phoneticPr fontId="4" type="noConversion"/>
  </si>
  <si>
    <t>stock_cash_asset</t>
    <phoneticPr fontId="3" type="noConversion"/>
  </si>
  <si>
    <t>decimal(18,4)</t>
  </si>
  <si>
    <t>futu_cash_asset</t>
    <phoneticPr fontId="4" type="noConversion"/>
  </si>
  <si>
    <t>order_dir</t>
    <phoneticPr fontId="4" type="noConversion"/>
  </si>
  <si>
    <t>int</t>
    <phoneticPr fontId="4" type="noConversion"/>
  </si>
  <si>
    <t>买、卖、融资回购、融券回购等</t>
    <phoneticPr fontId="4" type="noConversion"/>
  </si>
  <si>
    <t>占用保证金</t>
  </si>
  <si>
    <t>capt_margin</t>
  </si>
  <si>
    <t>资产账户编号</t>
    <phoneticPr fontId="4" type="noConversion"/>
  </si>
  <si>
    <t>asset_acco_no</t>
    <phoneticPr fontId="4" type="noConversion"/>
  </si>
  <si>
    <t>int</t>
    <phoneticPr fontId="4" type="noConversion"/>
  </si>
  <si>
    <t>tb_rptstat_command</t>
    <phoneticPr fontId="4" type="noConversion"/>
  </si>
  <si>
    <t>港股可用金额</t>
    <phoneticPr fontId="4" type="noConversion"/>
  </si>
  <si>
    <t>avail_amt</t>
    <phoneticPr fontId="4" type="noConversion"/>
  </si>
  <si>
    <t>hk_avail_amt</t>
    <phoneticPr fontId="4" type="noConversion"/>
  </si>
  <si>
    <t>货币基金资产</t>
    <phoneticPr fontId="4" type="noConversion"/>
  </si>
  <si>
    <t>money_fund_asset</t>
  </si>
  <si>
    <t>非货币基金资产</t>
    <phoneticPr fontId="4" type="noConversion"/>
  </si>
  <si>
    <t>not_money_fund_asset</t>
  </si>
  <si>
    <t>总融资负债</t>
    <phoneticPr fontId="4" type="noConversion"/>
  </si>
  <si>
    <t>总融券负债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</si>
</sst>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宋体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color rgb="FF000000"/>
      <name val="微软雅黑"/>
      <family val="2"/>
      <charset val="134"/>
    </font>
    <font>
      <sz val="10.5"/>
      <name val="微软雅黑"/>
      <family val="2"/>
      <charset val="134"/>
    </font>
    <font>
      <sz val="11"/>
      <color rgb="FF9C0006"/>
      <name val="宋体"/>
      <family val="2"/>
      <charset val="134"/>
      <scheme val="minor"/>
    </font>
    <font>
      <sz val="10.5"/>
      <color rgb="FF9C0006"/>
      <name val="微软雅黑"/>
      <family val="2"/>
      <charset val="134"/>
    </font>
    <font>
      <sz val="11"/>
      <color rgb="FF9C5700"/>
      <name val="宋体"/>
      <family val="2"/>
      <charset val="134"/>
      <scheme val="minor"/>
    </font>
    <font>
      <sz val="10.5"/>
      <color rgb="FF9C5700"/>
      <name val="微软雅黑"/>
      <family val="2"/>
      <charset val="134"/>
    </font>
    <font>
      <sz val="11"/>
      <color rgb="FF006100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0.5"/>
      <color rgb="FFFA7D00"/>
      <name val="微软雅黑"/>
      <family val="2"/>
      <charset val="134"/>
    </font>
    <font>
      <sz val="10.5"/>
      <color theme="3"/>
      <name val="微软雅黑"/>
      <family val="2"/>
      <charset val="134"/>
    </font>
    <font>
      <sz val="10.5"/>
      <color rgb="FF006100"/>
      <name val="微软雅黑"/>
      <family val="2"/>
      <charset val="134"/>
    </font>
    <font>
      <sz val="10.5"/>
      <color rgb="FF00B050"/>
      <name val="微软雅黑"/>
      <family val="2"/>
      <charset val="134"/>
    </font>
    <font>
      <sz val="10.5"/>
      <color rgb="FF7030A0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color theme="7"/>
      <name val="微软雅黑"/>
      <family val="2"/>
      <charset val="134"/>
    </font>
    <font>
      <sz val="10.5"/>
      <color rgb="FF00B0F0"/>
      <name val="微软雅黑"/>
      <family val="2"/>
      <charset val="134"/>
    </font>
    <font>
      <sz val="10.5"/>
      <color rgb="FFC00000"/>
      <name val="微软雅黑"/>
      <family val="2"/>
      <charset val="134"/>
    </font>
    <font>
      <b/>
      <sz val="11"/>
      <color rgb="FF3F3F3F"/>
      <name val="宋体"/>
      <family val="2"/>
      <charset val="134"/>
      <scheme val="minor"/>
    </font>
    <font>
      <sz val="10.5"/>
      <color rgb="FF3F3F3F"/>
      <name val="微软雅黑"/>
      <family val="2"/>
      <charset val="134"/>
    </font>
    <font>
      <sz val="10.5"/>
      <color theme="4" tint="-0.249977111117893"/>
      <name val="微软雅黑"/>
      <family val="2"/>
      <charset val="134"/>
    </font>
    <font>
      <sz val="10.5"/>
      <color theme="7" tint="-0.499984740745262"/>
      <name val="微软雅黑"/>
      <family val="2"/>
      <charset val="134"/>
    </font>
  </fonts>
  <fills count="25">
    <fill>
      <patternFill patternType="none"/>
    </fill>
    <fill>
      <patternFill patternType="gray125"/>
    </fill>
    <fill>
      <patternFill patternType="solid">
        <fgColor theme="9" tint="0.79934080019531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AEEF3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9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thin">
        <color rgb="FF7F7F7F"/>
      </top>
      <bottom style="thin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/>
      <right style="medium">
        <color auto="1"/>
      </right>
      <top style="thin">
        <color rgb="FF7F7F7F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2" borderId="34" applyNumberFormat="0" applyAlignment="0" applyProtection="0">
      <alignment vertical="center"/>
    </xf>
    <xf numFmtId="0" fontId="2" fillId="0" borderId="0">
      <alignment vertical="center"/>
    </xf>
    <xf numFmtId="0" fontId="22" fillId="12" borderId="49" applyNumberFormat="0" applyAlignment="0" applyProtection="0">
      <alignment vertical="center"/>
    </xf>
  </cellStyleXfs>
  <cellXfs count="35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3" borderId="0" xfId="2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0" fontId="1" fillId="5" borderId="13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1" fillId="5" borderId="19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20" xfId="0" applyFont="1" applyFill="1" applyBorder="1" applyAlignment="1">
      <alignment vertical="center"/>
    </xf>
    <xf numFmtId="0" fontId="1" fillId="5" borderId="21" xfId="0" applyFont="1" applyFill="1" applyBorder="1" applyAlignment="1">
      <alignment vertical="center"/>
    </xf>
    <xf numFmtId="0" fontId="1" fillId="5" borderId="2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5" fillId="7" borderId="13" xfId="0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5" borderId="26" xfId="0" applyFont="1" applyFill="1" applyBorder="1" applyAlignment="1">
      <alignment vertical="center"/>
    </xf>
    <xf numFmtId="0" fontId="1" fillId="5" borderId="27" xfId="0" applyFont="1" applyFill="1" applyBorder="1" applyAlignment="1">
      <alignment vertical="center"/>
    </xf>
    <xf numFmtId="0" fontId="1" fillId="4" borderId="1" xfId="2" applyFont="1" applyFill="1" applyBorder="1" applyAlignment="1">
      <alignment vertical="center"/>
    </xf>
    <xf numFmtId="0" fontId="1" fillId="4" borderId="2" xfId="2" applyFont="1" applyFill="1" applyBorder="1" applyAlignment="1">
      <alignment vertical="center"/>
    </xf>
    <xf numFmtId="0" fontId="1" fillId="5" borderId="3" xfId="2" applyFont="1" applyFill="1" applyBorder="1" applyAlignment="1">
      <alignment vertical="center"/>
    </xf>
    <xf numFmtId="0" fontId="1" fillId="4" borderId="10" xfId="2" applyFont="1" applyFill="1" applyBorder="1" applyAlignment="1">
      <alignment vertical="center"/>
    </xf>
    <xf numFmtId="0" fontId="1" fillId="5" borderId="11" xfId="2" applyFont="1" applyFill="1" applyBorder="1" applyAlignment="1">
      <alignment vertical="center"/>
    </xf>
    <xf numFmtId="0" fontId="1" fillId="4" borderId="11" xfId="2" applyFont="1" applyFill="1" applyBorder="1" applyAlignment="1">
      <alignment vertical="center"/>
    </xf>
    <xf numFmtId="0" fontId="1" fillId="5" borderId="12" xfId="2" applyFont="1" applyFill="1" applyBorder="1" applyAlignment="1">
      <alignment vertical="center"/>
    </xf>
    <xf numFmtId="0" fontId="1" fillId="4" borderId="3" xfId="2" applyFont="1" applyFill="1" applyBorder="1" applyAlignment="1">
      <alignment vertical="center"/>
    </xf>
    <xf numFmtId="0" fontId="1" fillId="5" borderId="13" xfId="2" applyFont="1" applyFill="1" applyBorder="1" applyAlignment="1">
      <alignment vertical="center"/>
    </xf>
    <xf numFmtId="0" fontId="1" fillId="5" borderId="14" xfId="2" applyFont="1" applyFill="1" applyBorder="1" applyAlignment="1">
      <alignment vertical="center"/>
    </xf>
    <xf numFmtId="0" fontId="1" fillId="5" borderId="15" xfId="2" applyFont="1" applyFill="1" applyBorder="1" applyAlignment="1">
      <alignment vertical="center"/>
    </xf>
    <xf numFmtId="0" fontId="1" fillId="5" borderId="13" xfId="1" applyFont="1" applyFill="1" applyBorder="1" applyAlignment="1">
      <alignment vertical="center"/>
    </xf>
    <xf numFmtId="0" fontId="1" fillId="5" borderId="14" xfId="1" applyFont="1" applyFill="1" applyBorder="1" applyAlignment="1">
      <alignment vertical="center"/>
    </xf>
    <xf numFmtId="0" fontId="1" fillId="5" borderId="15" xfId="1" applyFont="1" applyFill="1" applyBorder="1" applyAlignment="1">
      <alignment vertical="center"/>
    </xf>
    <xf numFmtId="0" fontId="1" fillId="5" borderId="4" xfId="2" applyFont="1" applyFill="1" applyBorder="1" applyAlignment="1">
      <alignment vertical="center"/>
    </xf>
    <xf numFmtId="0" fontId="1" fillId="5" borderId="5" xfId="2" applyFont="1" applyFill="1" applyBorder="1" applyAlignment="1">
      <alignment vertical="center"/>
    </xf>
    <xf numFmtId="0" fontId="1" fillId="5" borderId="6" xfId="2" applyFont="1" applyFill="1" applyBorder="1" applyAlignment="1">
      <alignment vertical="center"/>
    </xf>
    <xf numFmtId="0" fontId="1" fillId="0" borderId="0" xfId="0" applyFont="1" applyAlignment="1"/>
    <xf numFmtId="0" fontId="1" fillId="4" borderId="4" xfId="2" applyFont="1" applyFill="1" applyBorder="1" applyAlignment="1">
      <alignment vertical="center"/>
    </xf>
    <xf numFmtId="0" fontId="1" fillId="4" borderId="5" xfId="2" applyFont="1" applyFill="1" applyBorder="1" applyAlignment="1">
      <alignment vertical="center"/>
    </xf>
    <xf numFmtId="0" fontId="1" fillId="4" borderId="7" xfId="2" applyFont="1" applyFill="1" applyBorder="1" applyAlignment="1">
      <alignment vertical="center"/>
    </xf>
    <xf numFmtId="0" fontId="1" fillId="4" borderId="8" xfId="2" applyFont="1" applyFill="1" applyBorder="1" applyAlignment="1">
      <alignment vertical="center"/>
    </xf>
    <xf numFmtId="0" fontId="1" fillId="5" borderId="7" xfId="2" applyFont="1" applyFill="1" applyBorder="1" applyAlignment="1">
      <alignment vertical="center"/>
    </xf>
    <xf numFmtId="0" fontId="1" fillId="5" borderId="8" xfId="2" applyFont="1" applyFill="1" applyBorder="1" applyAlignment="1">
      <alignment vertical="center"/>
    </xf>
    <xf numFmtId="0" fontId="1" fillId="5" borderId="9" xfId="2" applyFont="1" applyFill="1" applyBorder="1" applyAlignment="1">
      <alignment vertical="center"/>
    </xf>
    <xf numFmtId="0" fontId="1" fillId="5" borderId="8" xfId="1" applyFont="1" applyFill="1" applyBorder="1" applyAlignment="1">
      <alignment vertical="center"/>
    </xf>
    <xf numFmtId="0" fontId="1" fillId="5" borderId="9" xfId="1" applyFont="1" applyFill="1" applyBorder="1" applyAlignment="1">
      <alignment vertical="center"/>
    </xf>
    <xf numFmtId="0" fontId="1" fillId="5" borderId="10" xfId="2" applyFont="1" applyFill="1" applyBorder="1" applyAlignment="1">
      <alignment vertical="center"/>
    </xf>
    <xf numFmtId="0" fontId="1" fillId="0" borderId="13" xfId="2" applyFont="1" applyFill="1" applyBorder="1" applyAlignment="1">
      <alignment vertical="center"/>
    </xf>
    <xf numFmtId="0" fontId="1" fillId="5" borderId="10" xfId="1" applyFont="1" applyFill="1" applyBorder="1" applyAlignment="1">
      <alignment vertical="center"/>
    </xf>
    <xf numFmtId="0" fontId="1" fillId="5" borderId="11" xfId="1" applyFont="1" applyFill="1" applyBorder="1" applyAlignment="1">
      <alignment vertical="center"/>
    </xf>
    <xf numFmtId="0" fontId="1" fillId="5" borderId="12" xfId="1" applyFont="1" applyFill="1" applyBorder="1" applyAlignment="1">
      <alignment vertical="center"/>
    </xf>
    <xf numFmtId="0" fontId="6" fillId="3" borderId="0" xfId="2" applyFont="1" applyFill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6" borderId="23" xfId="0" applyFont="1" applyFill="1" applyBorder="1" applyAlignment="1">
      <alignment vertical="center"/>
    </xf>
    <xf numFmtId="0" fontId="6" fillId="7" borderId="18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6" borderId="20" xfId="0" applyFont="1" applyFill="1" applyBorder="1" applyAlignment="1">
      <alignment vertical="center"/>
    </xf>
    <xf numFmtId="0" fontId="6" fillId="7" borderId="28" xfId="0" applyFont="1" applyFill="1" applyBorder="1" applyAlignment="1">
      <alignment vertical="center"/>
    </xf>
    <xf numFmtId="0" fontId="6" fillId="6" borderId="28" xfId="0" applyFont="1" applyFill="1" applyBorder="1" applyAlignment="1">
      <alignment vertical="center"/>
    </xf>
    <xf numFmtId="0" fontId="6" fillId="7" borderId="25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6" fillId="5" borderId="13" xfId="0" applyFont="1" applyFill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7" borderId="14" xfId="0" applyFont="1" applyFill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0" fontId="6" fillId="7" borderId="13" xfId="0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6" fillId="7" borderId="5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7" borderId="10" xfId="0" applyFont="1" applyFill="1" applyBorder="1" applyAlignment="1">
      <alignment vertical="center"/>
    </xf>
    <xf numFmtId="0" fontId="6" fillId="7" borderId="11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6" fillId="7" borderId="29" xfId="0" applyFont="1" applyFill="1" applyBorder="1" applyAlignment="1">
      <alignment vertical="center"/>
    </xf>
    <xf numFmtId="0" fontId="6" fillId="5" borderId="24" xfId="0" applyFont="1" applyFill="1" applyBorder="1" applyAlignment="1">
      <alignment vertical="center"/>
    </xf>
    <xf numFmtId="0" fontId="5" fillId="7" borderId="14" xfId="0" applyFont="1" applyFill="1" applyBorder="1" applyAlignment="1">
      <alignment vertical="center"/>
    </xf>
    <xf numFmtId="0" fontId="5" fillId="7" borderId="8" xfId="0" applyFont="1" applyFill="1" applyBorder="1" applyAlignment="1">
      <alignment vertical="center"/>
    </xf>
    <xf numFmtId="0" fontId="6" fillId="5" borderId="10" xfId="0" applyFont="1" applyFill="1" applyBorder="1" applyAlignment="1">
      <alignment vertical="center"/>
    </xf>
    <xf numFmtId="0" fontId="8" fillId="8" borderId="10" xfId="3" applyFont="1" applyBorder="1" applyAlignment="1">
      <alignment vertical="center"/>
    </xf>
    <xf numFmtId="0" fontId="8" fillId="8" borderId="29" xfId="3" applyFont="1" applyBorder="1" applyAlignment="1">
      <alignment vertical="center"/>
    </xf>
    <xf numFmtId="0" fontId="10" fillId="9" borderId="12" xfId="4" applyFont="1" applyBorder="1" applyAlignment="1">
      <alignment vertical="center"/>
    </xf>
    <xf numFmtId="0" fontId="8" fillId="8" borderId="2" xfId="3" applyFont="1" applyBorder="1" applyAlignment="1">
      <alignment vertical="center"/>
    </xf>
    <xf numFmtId="0" fontId="8" fillId="8" borderId="11" xfId="3" applyFont="1" applyBorder="1" applyAlignment="1">
      <alignment vertical="center"/>
    </xf>
    <xf numFmtId="0" fontId="8" fillId="8" borderId="12" xfId="3" applyFont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5" fillId="7" borderId="29" xfId="0" applyFont="1" applyFill="1" applyBorder="1" applyAlignment="1">
      <alignment vertical="center"/>
    </xf>
    <xf numFmtId="0" fontId="5" fillId="7" borderId="24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6" borderId="23" xfId="0" applyFont="1" applyFill="1" applyBorder="1" applyAlignment="1">
      <alignment vertical="center"/>
    </xf>
    <xf numFmtId="0" fontId="5" fillId="7" borderId="18" xfId="0" applyFont="1" applyFill="1" applyBorder="1" applyAlignment="1">
      <alignment vertical="center"/>
    </xf>
    <xf numFmtId="0" fontId="5" fillId="6" borderId="30" xfId="0" applyFont="1" applyFill="1" applyBorder="1" applyAlignment="1">
      <alignment vertical="center"/>
    </xf>
    <xf numFmtId="0" fontId="5" fillId="7" borderId="31" xfId="0" applyFont="1" applyFill="1" applyBorder="1" applyAlignment="1">
      <alignment vertical="center"/>
    </xf>
    <xf numFmtId="0" fontId="5" fillId="6" borderId="31" xfId="0" applyFont="1" applyFill="1" applyBorder="1" applyAlignment="1">
      <alignment vertical="center"/>
    </xf>
    <xf numFmtId="0" fontId="5" fillId="7" borderId="32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6" borderId="29" xfId="0" applyFont="1" applyFill="1" applyBorder="1" applyAlignment="1">
      <alignment vertical="center"/>
    </xf>
    <xf numFmtId="0" fontId="5" fillId="7" borderId="7" xfId="0" applyFont="1" applyFill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5" fillId="7" borderId="30" xfId="0" applyFont="1" applyFill="1" applyBorder="1" applyAlignment="1">
      <alignment vertical="center"/>
    </xf>
    <xf numFmtId="0" fontId="5" fillId="7" borderId="20" xfId="0" applyFont="1" applyFill="1" applyBorder="1" applyAlignment="1">
      <alignment vertical="center"/>
    </xf>
    <xf numFmtId="0" fontId="5" fillId="7" borderId="28" xfId="0" applyFont="1" applyFill="1" applyBorder="1" applyAlignment="1">
      <alignment vertical="center"/>
    </xf>
    <xf numFmtId="0" fontId="5" fillId="7" borderId="25" xfId="0" applyFont="1" applyFill="1" applyBorder="1" applyAlignment="1">
      <alignment vertical="center"/>
    </xf>
    <xf numFmtId="0" fontId="1" fillId="0" borderId="14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10" borderId="1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0" fontId="1" fillId="10" borderId="10" xfId="0" applyFont="1" applyFill="1" applyBorder="1" applyAlignment="1">
      <alignment vertical="center"/>
    </xf>
    <xf numFmtId="0" fontId="1" fillId="10" borderId="11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10" borderId="3" xfId="0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0" fillId="9" borderId="2" xfId="4" applyFont="1" applyBorder="1" applyAlignment="1">
      <alignment vertical="center"/>
    </xf>
    <xf numFmtId="0" fontId="13" fillId="12" borderId="34" xfId="6" applyFont="1" applyAlignment="1">
      <alignment vertical="center"/>
    </xf>
    <xf numFmtId="0" fontId="14" fillId="9" borderId="2" xfId="4" applyFont="1" applyBorder="1" applyAlignment="1">
      <alignment vertical="center"/>
    </xf>
    <xf numFmtId="0" fontId="15" fillId="11" borderId="2" xfId="5" applyFont="1" applyBorder="1" applyAlignment="1">
      <alignment vertical="center"/>
    </xf>
    <xf numFmtId="0" fontId="15" fillId="11" borderId="23" xfId="5" applyFont="1" applyBorder="1" applyAlignment="1">
      <alignment vertical="center"/>
    </xf>
    <xf numFmtId="0" fontId="16" fillId="12" borderId="34" xfId="6" applyFont="1" applyAlignment="1">
      <alignment vertical="center"/>
    </xf>
    <xf numFmtId="0" fontId="1" fillId="13" borderId="0" xfId="0" applyFont="1" applyFill="1" applyAlignment="1">
      <alignment vertical="center"/>
    </xf>
    <xf numFmtId="0" fontId="10" fillId="9" borderId="13" xfId="4" applyFont="1" applyBorder="1" applyAlignment="1">
      <alignment vertical="center"/>
    </xf>
    <xf numFmtId="0" fontId="10" fillId="9" borderId="14" xfId="4" applyFont="1" applyBorder="1" applyAlignment="1">
      <alignment vertical="center"/>
    </xf>
    <xf numFmtId="0" fontId="10" fillId="9" borderId="15" xfId="4" applyFont="1" applyBorder="1" applyAlignment="1">
      <alignment vertical="center"/>
    </xf>
    <xf numFmtId="0" fontId="10" fillId="9" borderId="4" xfId="4" applyFont="1" applyBorder="1" applyAlignment="1">
      <alignment vertical="center"/>
    </xf>
    <xf numFmtId="0" fontId="10" fillId="9" borderId="5" xfId="4" applyFont="1" applyBorder="1" applyAlignment="1">
      <alignment vertical="center"/>
    </xf>
    <xf numFmtId="0" fontId="10" fillId="9" borderId="6" xfId="4" applyFont="1" applyBorder="1" applyAlignment="1">
      <alignment vertical="center"/>
    </xf>
    <xf numFmtId="0" fontId="5" fillId="14" borderId="7" xfId="0" applyFont="1" applyFill="1" applyBorder="1" applyAlignment="1">
      <alignment vertical="center"/>
    </xf>
    <xf numFmtId="0" fontId="1" fillId="14" borderId="14" xfId="0" applyFont="1" applyFill="1" applyBorder="1" applyAlignment="1">
      <alignment vertical="center"/>
    </xf>
    <xf numFmtId="0" fontId="1" fillId="14" borderId="15" xfId="0" applyFont="1" applyFill="1" applyBorder="1" applyAlignment="1">
      <alignment vertical="center"/>
    </xf>
    <xf numFmtId="0" fontId="1" fillId="14" borderId="13" xfId="0" applyFont="1" applyFill="1" applyBorder="1" applyAlignment="1">
      <alignment vertical="center"/>
    </xf>
    <xf numFmtId="0" fontId="10" fillId="9" borderId="10" xfId="4" applyFont="1" applyBorder="1" applyAlignment="1">
      <alignment vertical="center"/>
    </xf>
    <xf numFmtId="0" fontId="10" fillId="9" borderId="11" xfId="4" applyFont="1" applyBorder="1" applyAlignment="1">
      <alignment vertical="center"/>
    </xf>
    <xf numFmtId="0" fontId="8" fillId="8" borderId="34" xfId="3" applyFont="1" applyBorder="1" applyAlignment="1">
      <alignment vertical="center"/>
    </xf>
    <xf numFmtId="0" fontId="15" fillId="11" borderId="0" xfId="5" applyFont="1" applyAlignment="1">
      <alignment vertical="center"/>
    </xf>
    <xf numFmtId="0" fontId="15" fillId="11" borderId="7" xfId="5" applyFont="1" applyBorder="1" applyAlignment="1">
      <alignment vertical="center"/>
    </xf>
    <xf numFmtId="0" fontId="15" fillId="11" borderId="8" xfId="5" applyFont="1" applyBorder="1" applyAlignment="1">
      <alignment vertical="center"/>
    </xf>
    <xf numFmtId="0" fontId="15" fillId="11" borderId="9" xfId="5" applyFont="1" applyBorder="1" applyAlignment="1">
      <alignment vertical="center"/>
    </xf>
    <xf numFmtId="0" fontId="10" fillId="9" borderId="7" xfId="4" applyFont="1" applyBorder="1" applyAlignment="1">
      <alignment vertical="center"/>
    </xf>
    <xf numFmtId="0" fontId="10" fillId="9" borderId="8" xfId="4" applyFont="1" applyBorder="1" applyAlignment="1">
      <alignment vertical="center"/>
    </xf>
    <xf numFmtId="0" fontId="10" fillId="9" borderId="9" xfId="4" applyFont="1" applyBorder="1" applyAlignment="1">
      <alignment vertical="center"/>
    </xf>
    <xf numFmtId="0" fontId="1" fillId="14" borderId="10" xfId="0" applyFont="1" applyFill="1" applyBorder="1" applyAlignment="1">
      <alignment vertical="center"/>
    </xf>
    <xf numFmtId="0" fontId="1" fillId="14" borderId="7" xfId="0" applyFont="1" applyFill="1" applyBorder="1" applyAlignment="1">
      <alignment vertical="center"/>
    </xf>
    <xf numFmtId="0" fontId="1" fillId="3" borderId="0" xfId="7" applyFont="1" applyFill="1" applyAlignment="1">
      <alignment vertical="center"/>
    </xf>
    <xf numFmtId="0" fontId="15" fillId="11" borderId="34" xfId="5" applyFont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6" fillId="6" borderId="30" xfId="0" applyFont="1" applyFill="1" applyBorder="1" applyAlignment="1">
      <alignment vertical="center"/>
    </xf>
    <xf numFmtId="0" fontId="6" fillId="7" borderId="31" xfId="0" applyFont="1" applyFill="1" applyBorder="1" applyAlignment="1">
      <alignment vertical="center"/>
    </xf>
    <xf numFmtId="0" fontId="6" fillId="6" borderId="31" xfId="0" applyFont="1" applyFill="1" applyBorder="1" applyAlignment="1">
      <alignment vertical="center"/>
    </xf>
    <xf numFmtId="0" fontId="6" fillId="7" borderId="32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6" fillId="6" borderId="29" xfId="0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0" fontId="6" fillId="7" borderId="24" xfId="0" applyFont="1" applyFill="1" applyBorder="1" applyAlignment="1">
      <alignment vertical="center"/>
    </xf>
    <xf numFmtId="0" fontId="6" fillId="7" borderId="30" xfId="0" applyFont="1" applyFill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7" fillId="0" borderId="11" xfId="0" applyFont="1" applyBorder="1" applyAlignment="1">
      <alignment horizontal="right" vertical="center"/>
    </xf>
    <xf numFmtId="0" fontId="14" fillId="15" borderId="34" xfId="6" applyFont="1" applyFill="1" applyAlignment="1">
      <alignment vertical="center"/>
    </xf>
    <xf numFmtId="0" fontId="18" fillId="11" borderId="34" xfId="5" applyFont="1" applyBorder="1" applyAlignment="1">
      <alignment vertical="center"/>
    </xf>
    <xf numFmtId="0" fontId="19" fillId="11" borderId="34" xfId="5" applyFont="1" applyBorder="1" applyAlignment="1">
      <alignment vertical="center"/>
    </xf>
    <xf numFmtId="0" fontId="15" fillId="11" borderId="13" xfId="5" applyFont="1" applyBorder="1" applyAlignment="1">
      <alignment vertical="center"/>
    </xf>
    <xf numFmtId="0" fontId="15" fillId="11" borderId="14" xfId="5" applyFont="1" applyBorder="1" applyAlignment="1">
      <alignment vertical="center"/>
    </xf>
    <xf numFmtId="0" fontId="15" fillId="11" borderId="15" xfId="5" applyFont="1" applyBorder="1" applyAlignment="1">
      <alignment vertical="center"/>
    </xf>
    <xf numFmtId="0" fontId="15" fillId="11" borderId="10" xfId="5" applyFont="1" applyBorder="1" applyAlignment="1">
      <alignment vertical="center"/>
    </xf>
    <xf numFmtId="0" fontId="15" fillId="11" borderId="21" xfId="5" applyFont="1" applyBorder="1" applyAlignment="1">
      <alignment vertical="center"/>
    </xf>
    <xf numFmtId="0" fontId="15" fillId="11" borderId="22" xfId="5" applyFont="1" applyBorder="1" applyAlignment="1">
      <alignment vertical="center"/>
    </xf>
    <xf numFmtId="0" fontId="1" fillId="16" borderId="14" xfId="0" applyFont="1" applyFill="1" applyBorder="1" applyAlignment="1">
      <alignment vertical="center"/>
    </xf>
    <xf numFmtId="0" fontId="1" fillId="16" borderId="15" xfId="0" applyFont="1" applyFill="1" applyBorder="1" applyAlignment="1">
      <alignment vertical="center"/>
    </xf>
    <xf numFmtId="0" fontId="1" fillId="16" borderId="13" xfId="0" applyFont="1" applyFill="1" applyBorder="1" applyAlignment="1">
      <alignment vertical="center"/>
    </xf>
    <xf numFmtId="0" fontId="5" fillId="16" borderId="13" xfId="0" applyFont="1" applyFill="1" applyBorder="1" applyAlignment="1">
      <alignment vertical="center"/>
    </xf>
    <xf numFmtId="0" fontId="20" fillId="16" borderId="7" xfId="0" applyFont="1" applyFill="1" applyBorder="1" applyAlignment="1">
      <alignment vertical="center"/>
    </xf>
    <xf numFmtId="0" fontId="20" fillId="16" borderId="11" xfId="0" applyFont="1" applyFill="1" applyBorder="1" applyAlignment="1">
      <alignment vertical="center"/>
    </xf>
    <xf numFmtId="0" fontId="20" fillId="16" borderId="12" xfId="0" applyFont="1" applyFill="1" applyBorder="1" applyAlignment="1">
      <alignment vertical="center"/>
    </xf>
    <xf numFmtId="0" fontId="20" fillId="16" borderId="13" xfId="0" applyFont="1" applyFill="1" applyBorder="1" applyAlignment="1">
      <alignment vertical="center"/>
    </xf>
    <xf numFmtId="0" fontId="20" fillId="16" borderId="14" xfId="0" applyFont="1" applyFill="1" applyBorder="1" applyAlignment="1">
      <alignment vertical="center"/>
    </xf>
    <xf numFmtId="0" fontId="20" fillId="16" borderId="15" xfId="0" applyFont="1" applyFill="1" applyBorder="1" applyAlignment="1">
      <alignment vertical="center"/>
    </xf>
    <xf numFmtId="0" fontId="20" fillId="16" borderId="10" xfId="0" applyFont="1" applyFill="1" applyBorder="1" applyAlignment="1">
      <alignment vertical="center"/>
    </xf>
    <xf numFmtId="0" fontId="15" fillId="16" borderId="13" xfId="5" applyFont="1" applyFill="1" applyBorder="1" applyAlignment="1">
      <alignment vertical="center"/>
    </xf>
    <xf numFmtId="0" fontId="15" fillId="16" borderId="14" xfId="5" applyFont="1" applyFill="1" applyBorder="1" applyAlignment="1">
      <alignment vertical="center"/>
    </xf>
    <xf numFmtId="0" fontId="15" fillId="16" borderId="15" xfId="5" applyFont="1" applyFill="1" applyBorder="1" applyAlignment="1">
      <alignment vertical="center"/>
    </xf>
    <xf numFmtId="0" fontId="15" fillId="16" borderId="7" xfId="5" applyFont="1" applyFill="1" applyBorder="1" applyAlignment="1">
      <alignment vertical="center"/>
    </xf>
    <xf numFmtId="0" fontId="15" fillId="16" borderId="11" xfId="5" applyFont="1" applyFill="1" applyBorder="1" applyAlignment="1">
      <alignment vertical="center"/>
    </xf>
    <xf numFmtId="0" fontId="15" fillId="16" borderId="12" xfId="5" applyFont="1" applyFill="1" applyBorder="1" applyAlignment="1">
      <alignment vertical="center"/>
    </xf>
    <xf numFmtId="0" fontId="15" fillId="16" borderId="10" xfId="5" applyFont="1" applyFill="1" applyBorder="1" applyAlignment="1">
      <alignment vertical="center"/>
    </xf>
    <xf numFmtId="0" fontId="15" fillId="11" borderId="11" xfId="5" applyFont="1" applyBorder="1" applyAlignment="1">
      <alignment vertical="center"/>
    </xf>
    <xf numFmtId="0" fontId="15" fillId="11" borderId="12" xfId="5" applyFont="1" applyBorder="1" applyAlignment="1">
      <alignment vertical="center"/>
    </xf>
    <xf numFmtId="0" fontId="18" fillId="8" borderId="0" xfId="3" applyFont="1" applyAlignment="1">
      <alignment vertical="center"/>
    </xf>
    <xf numFmtId="0" fontId="21" fillId="11" borderId="7" xfId="5" applyFont="1" applyBorder="1" applyAlignment="1">
      <alignment vertical="center"/>
    </xf>
    <xf numFmtId="0" fontId="21" fillId="11" borderId="8" xfId="5" applyFont="1" applyBorder="1" applyAlignment="1">
      <alignment vertical="center"/>
    </xf>
    <xf numFmtId="0" fontId="21" fillId="11" borderId="9" xfId="5" applyFont="1" applyBorder="1" applyAlignment="1">
      <alignment vertical="center"/>
    </xf>
    <xf numFmtId="0" fontId="15" fillId="11" borderId="20" xfId="5" applyFont="1" applyBorder="1" applyAlignment="1">
      <alignment vertical="center"/>
    </xf>
    <xf numFmtId="0" fontId="18" fillId="12" borderId="34" xfId="6" applyFont="1" applyAlignment="1">
      <alignment vertical="center"/>
    </xf>
    <xf numFmtId="0" fontId="8" fillId="8" borderId="7" xfId="3" applyFont="1" applyBorder="1" applyAlignment="1">
      <alignment vertical="center"/>
    </xf>
    <xf numFmtId="0" fontId="8" fillId="8" borderId="8" xfId="3" applyFont="1" applyBorder="1" applyAlignment="1">
      <alignment vertical="center"/>
    </xf>
    <xf numFmtId="0" fontId="8" fillId="8" borderId="9" xfId="3" applyFont="1" applyBorder="1" applyAlignment="1">
      <alignment vertical="center"/>
    </xf>
    <xf numFmtId="0" fontId="8" fillId="8" borderId="13" xfId="3" applyFont="1" applyBorder="1" applyAlignment="1">
      <alignment vertical="center"/>
    </xf>
    <xf numFmtId="0" fontId="8" fillId="8" borderId="14" xfId="3" applyFont="1" applyBorder="1" applyAlignment="1">
      <alignment vertical="center"/>
    </xf>
    <xf numFmtId="0" fontId="8" fillId="8" borderId="15" xfId="3" applyFont="1" applyBorder="1" applyAlignment="1">
      <alignment vertical="center"/>
    </xf>
    <xf numFmtId="0" fontId="10" fillId="9" borderId="0" xfId="4" applyFont="1" applyBorder="1" applyAlignment="1">
      <alignment vertical="center"/>
    </xf>
    <xf numFmtId="0" fontId="10" fillId="9" borderId="1" xfId="4" applyFont="1" applyBorder="1" applyAlignment="1">
      <alignment vertical="center"/>
    </xf>
    <xf numFmtId="0" fontId="10" fillId="9" borderId="3" xfId="4" applyFont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6" fillId="7" borderId="23" xfId="0" applyFont="1" applyFill="1" applyBorder="1" applyAlignment="1">
      <alignment vertical="center"/>
    </xf>
    <xf numFmtId="0" fontId="6" fillId="6" borderId="24" xfId="0" applyFont="1" applyFill="1" applyBorder="1" applyAlignment="1">
      <alignment vertical="center"/>
    </xf>
    <xf numFmtId="0" fontId="6" fillId="7" borderId="20" xfId="0" applyFont="1" applyFill="1" applyBorder="1" applyAlignment="1">
      <alignment vertical="center"/>
    </xf>
    <xf numFmtId="0" fontId="10" fillId="9" borderId="29" xfId="4" applyFont="1" applyBorder="1" applyAlignment="1">
      <alignment vertical="center"/>
    </xf>
    <xf numFmtId="0" fontId="10" fillId="9" borderId="24" xfId="4" applyFont="1" applyBorder="1" applyAlignment="1">
      <alignment vertical="center"/>
    </xf>
    <xf numFmtId="0" fontId="1" fillId="17" borderId="10" xfId="0" applyFont="1" applyFill="1" applyBorder="1" applyAlignment="1">
      <alignment vertical="center"/>
    </xf>
    <xf numFmtId="0" fontId="15" fillId="11" borderId="29" xfId="5" applyFont="1" applyBorder="1" applyAlignment="1">
      <alignment vertical="center"/>
    </xf>
    <xf numFmtId="0" fontId="15" fillId="11" borderId="24" xfId="5" applyFont="1" applyBorder="1" applyAlignment="1">
      <alignment vertical="center"/>
    </xf>
    <xf numFmtId="0" fontId="8" fillId="8" borderId="24" xfId="3" applyFont="1" applyBorder="1" applyAlignment="1">
      <alignment vertical="center"/>
    </xf>
    <xf numFmtId="0" fontId="10" fillId="9" borderId="34" xfId="4" applyFont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4" borderId="35" xfId="0" applyFont="1" applyFill="1" applyBorder="1" applyAlignment="1">
      <alignment vertical="center"/>
    </xf>
    <xf numFmtId="0" fontId="1" fillId="18" borderId="13" xfId="0" applyFont="1" applyFill="1" applyBorder="1" applyAlignment="1">
      <alignment vertical="center"/>
    </xf>
    <xf numFmtId="0" fontId="1" fillId="18" borderId="14" xfId="0" applyFont="1" applyFill="1" applyBorder="1" applyAlignment="1">
      <alignment vertical="center"/>
    </xf>
    <xf numFmtId="0" fontId="1" fillId="18" borderId="15" xfId="0" applyFont="1" applyFill="1" applyBorder="1" applyAlignment="1">
      <alignment vertical="center"/>
    </xf>
    <xf numFmtId="0" fontId="1" fillId="5" borderId="18" xfId="0" applyFont="1" applyFill="1" applyBorder="1" applyAlignment="1">
      <alignment vertical="center"/>
    </xf>
    <xf numFmtId="0" fontId="1" fillId="5" borderId="39" xfId="0" applyFont="1" applyFill="1" applyBorder="1" applyAlignment="1">
      <alignment vertical="center"/>
    </xf>
    <xf numFmtId="0" fontId="1" fillId="4" borderId="29" xfId="0" applyFont="1" applyFill="1" applyBorder="1" applyAlignment="1">
      <alignment vertical="center"/>
    </xf>
    <xf numFmtId="0" fontId="10" fillId="9" borderId="40" xfId="4" applyFont="1" applyBorder="1" applyAlignment="1">
      <alignment vertical="center"/>
    </xf>
    <xf numFmtId="0" fontId="13" fillId="12" borderId="41" xfId="6" applyFont="1" applyBorder="1" applyAlignment="1">
      <alignment vertical="center"/>
    </xf>
    <xf numFmtId="0" fontId="18" fillId="11" borderId="42" xfId="5" applyFont="1" applyBorder="1" applyAlignment="1">
      <alignment vertical="center"/>
    </xf>
    <xf numFmtId="0" fontId="18" fillId="11" borderId="43" xfId="5" applyFont="1" applyBorder="1" applyAlignment="1">
      <alignment vertical="center"/>
    </xf>
    <xf numFmtId="0" fontId="13" fillId="12" borderId="42" xfId="6" applyFont="1" applyBorder="1" applyAlignment="1">
      <alignment vertical="center"/>
    </xf>
    <xf numFmtId="0" fontId="13" fillId="12" borderId="34" xfId="6" applyFont="1" applyBorder="1" applyAlignment="1">
      <alignment vertical="center"/>
    </xf>
    <xf numFmtId="0" fontId="13" fillId="12" borderId="43" xfId="6" applyFont="1" applyBorder="1" applyAlignment="1">
      <alignment vertical="center"/>
    </xf>
    <xf numFmtId="0" fontId="15" fillId="11" borderId="30" xfId="5" applyFont="1" applyBorder="1" applyAlignment="1">
      <alignment vertical="center"/>
    </xf>
    <xf numFmtId="0" fontId="15" fillId="11" borderId="44" xfId="5" applyFont="1" applyBorder="1" applyAlignment="1">
      <alignment vertical="center"/>
    </xf>
    <xf numFmtId="0" fontId="13" fillId="12" borderId="45" xfId="6" applyFont="1" applyBorder="1" applyAlignment="1">
      <alignment vertical="center"/>
    </xf>
    <xf numFmtId="0" fontId="15" fillId="11" borderId="46" xfId="5" applyFont="1" applyBorder="1" applyAlignment="1">
      <alignment vertical="center"/>
    </xf>
    <xf numFmtId="0" fontId="15" fillId="11" borderId="42" xfId="5" applyFont="1" applyBorder="1" applyAlignment="1">
      <alignment vertical="center"/>
    </xf>
    <xf numFmtId="0" fontId="15" fillId="11" borderId="43" xfId="5" applyFont="1" applyBorder="1" applyAlignment="1">
      <alignment vertical="center"/>
    </xf>
    <xf numFmtId="0" fontId="1" fillId="14" borderId="8" xfId="0" applyFont="1" applyFill="1" applyBorder="1" applyAlignment="1">
      <alignment vertical="center"/>
    </xf>
    <xf numFmtId="0" fontId="1" fillId="14" borderId="9" xfId="0" applyFont="1" applyFill="1" applyBorder="1" applyAlignment="1">
      <alignment vertical="center"/>
    </xf>
    <xf numFmtId="0" fontId="1" fillId="19" borderId="0" xfId="0" applyFont="1" applyFill="1" applyAlignment="1">
      <alignment vertical="center"/>
    </xf>
    <xf numFmtId="0" fontId="6" fillId="6" borderId="18" xfId="0" applyFont="1" applyFill="1" applyBorder="1" applyAlignment="1">
      <alignment vertical="center"/>
    </xf>
    <xf numFmtId="0" fontId="1" fillId="0" borderId="15" xfId="0" applyFont="1" applyFill="1" applyBorder="1" applyAlignment="1">
      <alignment vertical="center"/>
    </xf>
    <xf numFmtId="0" fontId="6" fillId="20" borderId="29" xfId="0" applyFont="1" applyFill="1" applyBorder="1" applyAlignment="1">
      <alignment vertical="center"/>
    </xf>
    <xf numFmtId="0" fontId="6" fillId="20" borderId="14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1" fillId="5" borderId="2" xfId="2" applyFont="1" applyFill="1" applyBorder="1" applyAlignment="1">
      <alignment vertical="center"/>
    </xf>
    <xf numFmtId="0" fontId="1" fillId="5" borderId="7" xfId="1" applyFont="1" applyFill="1" applyBorder="1" applyAlignment="1">
      <alignment vertical="center"/>
    </xf>
    <xf numFmtId="0" fontId="1" fillId="5" borderId="0" xfId="2" applyFont="1" applyFill="1" applyBorder="1" applyAlignment="1">
      <alignment vertical="center"/>
    </xf>
    <xf numFmtId="0" fontId="1" fillId="21" borderId="13" xfId="1" applyFont="1" applyFill="1" applyBorder="1" applyAlignment="1">
      <alignment vertical="center"/>
    </xf>
    <xf numFmtId="0" fontId="1" fillId="21" borderId="14" xfId="2" applyFont="1" applyFill="1" applyBorder="1" applyAlignment="1">
      <alignment vertical="center"/>
    </xf>
    <xf numFmtId="0" fontId="1" fillId="21" borderId="15" xfId="2" applyFont="1" applyFill="1" applyBorder="1" applyAlignment="1">
      <alignment vertical="center"/>
    </xf>
    <xf numFmtId="0" fontId="1" fillId="22" borderId="13" xfId="0" applyFont="1" applyFill="1" applyBorder="1" applyAlignment="1">
      <alignment vertical="center"/>
    </xf>
    <xf numFmtId="0" fontId="1" fillId="22" borderId="14" xfId="2" applyFont="1" applyFill="1" applyBorder="1" applyAlignment="1">
      <alignment vertical="center"/>
    </xf>
    <xf numFmtId="0" fontId="1" fillId="22" borderId="15" xfId="2" applyFont="1" applyFill="1" applyBorder="1" applyAlignment="1">
      <alignment vertical="center"/>
    </xf>
    <xf numFmtId="0" fontId="1" fillId="23" borderId="2" xfId="2" applyFont="1" applyFill="1" applyBorder="1" applyAlignment="1">
      <alignment vertical="center"/>
    </xf>
    <xf numFmtId="0" fontId="6" fillId="7" borderId="47" xfId="0" applyFont="1" applyFill="1" applyBorder="1" applyAlignment="1">
      <alignment vertical="center"/>
    </xf>
    <xf numFmtId="0" fontId="6" fillId="7" borderId="48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" fillId="5" borderId="47" xfId="0" applyFont="1" applyFill="1" applyBorder="1" applyAlignment="1">
      <alignment vertical="center"/>
    </xf>
    <xf numFmtId="0" fontId="1" fillId="5" borderId="47" xfId="2" applyFont="1" applyFill="1" applyBorder="1" applyAlignment="1">
      <alignment vertical="center"/>
    </xf>
    <xf numFmtId="0" fontId="1" fillId="5" borderId="48" xfId="2" applyFont="1" applyFill="1" applyBorder="1" applyAlignment="1">
      <alignment vertical="center"/>
    </xf>
    <xf numFmtId="0" fontId="1" fillId="5" borderId="24" xfId="2" applyFont="1" applyFill="1" applyBorder="1" applyAlignment="1">
      <alignment vertical="center"/>
    </xf>
    <xf numFmtId="0" fontId="1" fillId="5" borderId="25" xfId="2" applyFont="1" applyFill="1" applyBorder="1" applyAlignment="1">
      <alignment vertical="center"/>
    </xf>
    <xf numFmtId="0" fontId="1" fillId="24" borderId="2" xfId="0" applyFont="1" applyFill="1" applyBorder="1" applyAlignment="1">
      <alignment vertical="center"/>
    </xf>
    <xf numFmtId="0" fontId="6" fillId="6" borderId="8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0" fontId="21" fillId="11" borderId="13" xfId="5" applyFont="1" applyBorder="1" applyAlignment="1">
      <alignment vertical="center"/>
    </xf>
    <xf numFmtId="0" fontId="6" fillId="12" borderId="34" xfId="6" applyFont="1" applyAlignment="1"/>
    <xf numFmtId="0" fontId="23" fillId="12" borderId="49" xfId="8" applyFont="1" applyAlignment="1">
      <alignment horizontal="justify" vertical="center"/>
    </xf>
    <xf numFmtId="0" fontId="24" fillId="12" borderId="34" xfId="6" applyFont="1" applyAlignment="1">
      <alignment horizontal="justify" vertical="center"/>
    </xf>
    <xf numFmtId="0" fontId="25" fillId="12" borderId="34" xfId="6" applyFont="1" applyAlignment="1">
      <alignment horizontal="justify" vertical="center"/>
    </xf>
    <xf numFmtId="0" fontId="25" fillId="12" borderId="50" xfId="6" applyFont="1" applyBorder="1" applyAlignment="1">
      <alignment horizontal="justify" vertical="center"/>
    </xf>
    <xf numFmtId="0" fontId="14" fillId="14" borderId="34" xfId="6" applyFont="1" applyFill="1" applyAlignment="1">
      <alignment vertical="center"/>
    </xf>
    <xf numFmtId="0" fontId="1" fillId="14" borderId="11" xfId="0" applyFont="1" applyFill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5" fillId="11" borderId="47" xfId="5" applyFont="1" applyBorder="1" applyAlignment="1">
      <alignment vertical="center"/>
    </xf>
    <xf numFmtId="0" fontId="15" fillId="11" borderId="48" xfId="5" applyFont="1" applyBorder="1" applyAlignment="1">
      <alignment vertical="center"/>
    </xf>
    <xf numFmtId="0" fontId="10" fillId="9" borderId="0" xfId="4" applyFont="1" applyAlignment="1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47" xfId="0" applyFont="1" applyFill="1" applyBorder="1" applyAlignment="1">
      <alignment vertical="center"/>
    </xf>
    <xf numFmtId="0" fontId="1" fillId="0" borderId="48" xfId="0" applyFont="1" applyFill="1" applyBorder="1" applyAlignment="1">
      <alignment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16" xfId="2" applyFont="1" applyFill="1" applyBorder="1" applyAlignment="1">
      <alignment horizontal="center" vertical="center"/>
    </xf>
    <xf numFmtId="0" fontId="1" fillId="4" borderId="17" xfId="2" applyFont="1" applyFill="1" applyBorder="1" applyAlignment="1">
      <alignment horizontal="center" vertical="center"/>
    </xf>
    <xf numFmtId="0" fontId="1" fillId="4" borderId="18" xfId="2" applyFont="1" applyFill="1" applyBorder="1" applyAlignment="1">
      <alignment horizontal="center" vertical="center"/>
    </xf>
    <xf numFmtId="0" fontId="1" fillId="4" borderId="47" xfId="2" applyFont="1" applyFill="1" applyBorder="1" applyAlignment="1">
      <alignment horizontal="center" vertical="center"/>
    </xf>
    <xf numFmtId="0" fontId="1" fillId="4" borderId="48" xfId="2" applyFont="1" applyFill="1" applyBorder="1" applyAlignment="1">
      <alignment horizontal="center" vertical="center"/>
    </xf>
    <xf numFmtId="0" fontId="1" fillId="4" borderId="24" xfId="2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</cellXfs>
  <cellStyles count="9">
    <cellStyle name="差" xfId="3" builtinId="27"/>
    <cellStyle name="常规" xfId="0" builtinId="0"/>
    <cellStyle name="常规 2" xfId="1"/>
    <cellStyle name="常规 3" xfId="2"/>
    <cellStyle name="常规 4" xfId="7"/>
    <cellStyle name="好" xfId="5" builtinId="26"/>
    <cellStyle name="计算" xfId="6" builtinId="22"/>
    <cellStyle name="适中" xfId="4" builtinId="28"/>
    <cellStyle name="输出" xfId="8" builtinId="21"/>
  </cellStyles>
  <dxfs count="5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92"/>
  <sheetViews>
    <sheetView tabSelected="1" topLeftCell="A190" zoomScaleNormal="100" workbookViewId="0">
      <selection activeCell="A215" sqref="A215:XFD216"/>
    </sheetView>
  </sheetViews>
  <sheetFormatPr defaultColWidth="9" defaultRowHeight="17.25" outlineLevelRow="1" x14ac:dyDescent="0.15"/>
  <cols>
    <col min="1" max="1" width="6.75" style="1" customWidth="1"/>
    <col min="2" max="2" width="17.25" style="1" customWidth="1"/>
    <col min="3" max="3" width="29.875" style="1" bestFit="1" customWidth="1"/>
    <col min="4" max="4" width="15.5" style="1" customWidth="1"/>
    <col min="5" max="5" width="48.875" style="1" bestFit="1" customWidth="1"/>
    <col min="6" max="6" width="14.25" style="1" customWidth="1"/>
    <col min="7" max="7" width="60.625" style="1" customWidth="1"/>
    <col min="8" max="8" width="19.375" style="1" customWidth="1"/>
    <col min="9" max="9" width="14.375" style="1" customWidth="1"/>
    <col min="10" max="16384" width="9" style="1"/>
  </cols>
  <sheetData>
    <row r="1" spans="2:7" ht="18" thickBot="1" x14ac:dyDescent="0.2"/>
    <row r="2" spans="2:7" x14ac:dyDescent="0.15">
      <c r="B2" s="72" t="s">
        <v>563</v>
      </c>
      <c r="C2" s="235" t="s">
        <v>1524</v>
      </c>
      <c r="D2" s="74" t="s">
        <v>515</v>
      </c>
      <c r="E2" s="21" t="s">
        <v>1101</v>
      </c>
      <c r="F2" s="74" t="s">
        <v>567</v>
      </c>
      <c r="G2" s="75"/>
    </row>
    <row r="3" spans="2:7" ht="18" outlineLevel="1" thickBot="1" x14ac:dyDescent="0.2">
      <c r="B3" s="178" t="s">
        <v>570</v>
      </c>
      <c r="C3" s="179"/>
      <c r="D3" s="180" t="s">
        <v>568</v>
      </c>
      <c r="E3" s="179" t="s">
        <v>615</v>
      </c>
      <c r="F3" s="180"/>
      <c r="G3" s="181"/>
    </row>
    <row r="4" spans="2:7" outlineLevel="1" x14ac:dyDescent="0.15">
      <c r="B4" s="182" t="s">
        <v>571</v>
      </c>
      <c r="C4" s="183" t="s">
        <v>572</v>
      </c>
      <c r="D4" s="183" t="s">
        <v>573</v>
      </c>
      <c r="E4" s="183"/>
      <c r="F4" s="183" t="s">
        <v>3</v>
      </c>
      <c r="G4" s="237" t="s">
        <v>4</v>
      </c>
    </row>
    <row r="5" spans="2:7" outlineLevel="1" x14ac:dyDescent="0.15">
      <c r="B5" s="184" t="s">
        <v>5</v>
      </c>
      <c r="C5" s="100" t="s">
        <v>1127</v>
      </c>
      <c r="D5" s="100" t="s">
        <v>211</v>
      </c>
      <c r="E5" s="100" t="s">
        <v>1141</v>
      </c>
      <c r="F5" s="100"/>
      <c r="G5" s="185" t="s">
        <v>1162</v>
      </c>
    </row>
    <row r="6" spans="2:7" outlineLevel="1" x14ac:dyDescent="0.15">
      <c r="B6" s="184" t="s">
        <v>1050</v>
      </c>
      <c r="C6" s="272" t="s">
        <v>1163</v>
      </c>
      <c r="D6" s="100" t="s">
        <v>211</v>
      </c>
      <c r="E6" s="100">
        <v>0</v>
      </c>
      <c r="F6" s="100"/>
      <c r="G6" s="185" t="s">
        <v>1077</v>
      </c>
    </row>
    <row r="7" spans="2:7" outlineLevel="1" x14ac:dyDescent="0.15">
      <c r="B7" s="184" t="s">
        <v>1051</v>
      </c>
      <c r="C7" s="272" t="s">
        <v>1164</v>
      </c>
      <c r="D7" s="100" t="s">
        <v>211</v>
      </c>
      <c r="E7" s="100">
        <v>0</v>
      </c>
      <c r="F7" s="100"/>
      <c r="G7" s="185" t="s">
        <v>1165</v>
      </c>
    </row>
    <row r="8" spans="2:7" outlineLevel="1" x14ac:dyDescent="0.15">
      <c r="B8" s="184" t="s">
        <v>69</v>
      </c>
      <c r="C8" s="100" t="s">
        <v>1126</v>
      </c>
      <c r="D8" s="100" t="s">
        <v>1087</v>
      </c>
      <c r="E8" s="100">
        <v>0</v>
      </c>
      <c r="F8" s="100"/>
      <c r="G8" s="185"/>
    </row>
    <row r="9" spans="2:7" outlineLevel="1" x14ac:dyDescent="0.15">
      <c r="B9" s="184" t="s">
        <v>190</v>
      </c>
      <c r="C9" s="100" t="s">
        <v>1166</v>
      </c>
      <c r="D9" s="100" t="s">
        <v>1087</v>
      </c>
      <c r="E9" s="100">
        <v>0</v>
      </c>
      <c r="F9" s="100"/>
      <c r="G9" s="185"/>
    </row>
    <row r="10" spans="2:7" outlineLevel="1" x14ac:dyDescent="0.15">
      <c r="B10" s="184" t="s">
        <v>1102</v>
      </c>
      <c r="C10" s="100" t="s">
        <v>1167</v>
      </c>
      <c r="D10" s="100" t="s">
        <v>1087</v>
      </c>
      <c r="E10" s="100">
        <v>0</v>
      </c>
      <c r="F10" s="100"/>
      <c r="G10" s="185"/>
    </row>
    <row r="11" spans="2:7" outlineLevel="1" x14ac:dyDescent="0.15">
      <c r="B11" s="184" t="s">
        <v>302</v>
      </c>
      <c r="C11" s="100" t="s">
        <v>1168</v>
      </c>
      <c r="D11" s="100" t="s">
        <v>1169</v>
      </c>
      <c r="E11" s="100">
        <v>0</v>
      </c>
      <c r="F11" s="100"/>
      <c r="G11" s="185"/>
    </row>
    <row r="12" spans="2:7" outlineLevel="1" x14ac:dyDescent="0.15">
      <c r="B12" s="184" t="s">
        <v>303</v>
      </c>
      <c r="C12" s="272" t="s">
        <v>1170</v>
      </c>
      <c r="D12" s="100" t="s">
        <v>1169</v>
      </c>
      <c r="E12" s="100">
        <v>0</v>
      </c>
      <c r="F12" s="100"/>
      <c r="G12" s="185"/>
    </row>
    <row r="13" spans="2:7" outlineLevel="1" x14ac:dyDescent="0.15">
      <c r="B13" s="184" t="s">
        <v>375</v>
      </c>
      <c r="C13" s="100" t="s">
        <v>1078</v>
      </c>
      <c r="D13" s="100" t="s">
        <v>1169</v>
      </c>
      <c r="E13" s="100">
        <v>0</v>
      </c>
      <c r="F13" s="100"/>
      <c r="G13" s="185"/>
    </row>
    <row r="14" spans="2:7" outlineLevel="1" x14ac:dyDescent="0.15">
      <c r="B14" s="184" t="s">
        <v>363</v>
      </c>
      <c r="C14" s="100" t="s">
        <v>1171</v>
      </c>
      <c r="D14" s="100" t="s">
        <v>1169</v>
      </c>
      <c r="E14" s="100">
        <v>0</v>
      </c>
      <c r="F14" s="100"/>
      <c r="G14" s="185"/>
    </row>
    <row r="15" spans="2:7" outlineLevel="1" x14ac:dyDescent="0.15">
      <c r="B15" s="184" t="s">
        <v>364</v>
      </c>
      <c r="C15" s="100" t="s">
        <v>1088</v>
      </c>
      <c r="D15" s="100" t="s">
        <v>1172</v>
      </c>
      <c r="E15" s="100">
        <v>0</v>
      </c>
      <c r="F15" s="100"/>
      <c r="G15" s="185"/>
    </row>
    <row r="16" spans="2:7" outlineLevel="1" x14ac:dyDescent="0.15">
      <c r="B16" s="184" t="s">
        <v>304</v>
      </c>
      <c r="C16" s="272" t="s">
        <v>1185</v>
      </c>
      <c r="D16" s="100" t="s">
        <v>1169</v>
      </c>
      <c r="E16" s="100">
        <v>0</v>
      </c>
      <c r="F16" s="100"/>
      <c r="G16" s="185"/>
    </row>
    <row r="17" spans="1:7" outlineLevel="1" x14ac:dyDescent="0.15">
      <c r="B17" s="184" t="s">
        <v>305</v>
      </c>
      <c r="C17" s="272" t="s">
        <v>1181</v>
      </c>
      <c r="D17" s="100" t="s">
        <v>1169</v>
      </c>
      <c r="E17" s="100">
        <v>0</v>
      </c>
      <c r="F17" s="100"/>
      <c r="G17" s="185"/>
    </row>
    <row r="18" spans="1:7" outlineLevel="1" x14ac:dyDescent="0.15">
      <c r="B18" s="84" t="s">
        <v>307</v>
      </c>
      <c r="C18" s="273" t="s">
        <v>1173</v>
      </c>
      <c r="D18" s="86" t="s">
        <v>1169</v>
      </c>
      <c r="E18" s="86">
        <v>0</v>
      </c>
      <c r="F18" s="86"/>
      <c r="G18" s="87"/>
    </row>
    <row r="19" spans="1:7" outlineLevel="1" x14ac:dyDescent="0.15">
      <c r="B19" s="184" t="s">
        <v>306</v>
      </c>
      <c r="C19" s="272" t="s">
        <v>1128</v>
      </c>
      <c r="D19" s="100" t="s">
        <v>1169</v>
      </c>
      <c r="E19" s="100">
        <v>0</v>
      </c>
      <c r="F19" s="100"/>
      <c r="G19" s="185"/>
    </row>
    <row r="20" spans="1:7" s="7" customFormat="1" outlineLevel="1" x14ac:dyDescent="0.15">
      <c r="A20" s="2"/>
      <c r="B20" s="17" t="s">
        <v>2079</v>
      </c>
      <c r="C20" s="18" t="s">
        <v>2080</v>
      </c>
      <c r="D20" s="18" t="s">
        <v>2063</v>
      </c>
      <c r="E20" s="18">
        <v>0</v>
      </c>
      <c r="F20" s="18"/>
      <c r="G20" s="19"/>
    </row>
    <row r="21" spans="1:7" outlineLevel="1" x14ac:dyDescent="0.15">
      <c r="B21" s="184" t="s">
        <v>309</v>
      </c>
      <c r="C21" s="272" t="s">
        <v>1089</v>
      </c>
      <c r="D21" s="100" t="s">
        <v>1169</v>
      </c>
      <c r="E21" s="100">
        <v>0</v>
      </c>
      <c r="F21" s="100"/>
      <c r="G21" s="185"/>
    </row>
    <row r="22" spans="1:7" outlineLevel="1" x14ac:dyDescent="0.15">
      <c r="B22" s="184" t="s">
        <v>310</v>
      </c>
      <c r="C22" s="272" t="s">
        <v>1174</v>
      </c>
      <c r="D22" s="100" t="s">
        <v>1169</v>
      </c>
      <c r="E22" s="100">
        <v>0</v>
      </c>
      <c r="F22" s="100"/>
      <c r="G22" s="185"/>
    </row>
    <row r="23" spans="1:7" outlineLevel="1" x14ac:dyDescent="0.15">
      <c r="B23" s="184" t="s">
        <v>1052</v>
      </c>
      <c r="C23" s="272" t="s">
        <v>1175</v>
      </c>
      <c r="D23" s="100" t="s">
        <v>1169</v>
      </c>
      <c r="E23" s="100">
        <v>0</v>
      </c>
      <c r="F23" s="100"/>
      <c r="G23" s="185"/>
    </row>
    <row r="24" spans="1:7" outlineLevel="1" x14ac:dyDescent="0.15">
      <c r="B24" s="184" t="s">
        <v>1053</v>
      </c>
      <c r="C24" s="272" t="s">
        <v>1186</v>
      </c>
      <c r="D24" s="100" t="s">
        <v>1169</v>
      </c>
      <c r="E24" s="100">
        <v>0</v>
      </c>
      <c r="F24" s="100"/>
      <c r="G24" s="185"/>
    </row>
    <row r="25" spans="1:7" outlineLevel="1" x14ac:dyDescent="0.15">
      <c r="B25" s="184" t="s">
        <v>365</v>
      </c>
      <c r="C25" s="100" t="s">
        <v>1130</v>
      </c>
      <c r="D25" s="100" t="s">
        <v>1169</v>
      </c>
      <c r="E25" s="100">
        <v>0</v>
      </c>
      <c r="F25" s="100"/>
      <c r="G25" s="185"/>
    </row>
    <row r="26" spans="1:7" outlineLevel="1" x14ac:dyDescent="0.15">
      <c r="B26" s="184" t="s">
        <v>23</v>
      </c>
      <c r="C26" s="100" t="s">
        <v>1091</v>
      </c>
      <c r="D26" s="100" t="s">
        <v>1131</v>
      </c>
      <c r="E26" s="100" t="s">
        <v>1074</v>
      </c>
      <c r="F26" s="100"/>
      <c r="G26" s="185"/>
    </row>
    <row r="27" spans="1:7" outlineLevel="1" x14ac:dyDescent="0.15">
      <c r="B27" s="184" t="s">
        <v>367</v>
      </c>
      <c r="C27" s="100" t="s">
        <v>1176</v>
      </c>
      <c r="D27" s="100" t="s">
        <v>1169</v>
      </c>
      <c r="E27" s="100">
        <v>0</v>
      </c>
      <c r="F27" s="100"/>
      <c r="G27" s="185"/>
    </row>
    <row r="28" spans="1:7" outlineLevel="1" x14ac:dyDescent="0.15">
      <c r="B28" s="184" t="s">
        <v>368</v>
      </c>
      <c r="C28" s="100" t="s">
        <v>1177</v>
      </c>
      <c r="D28" s="100" t="s">
        <v>1172</v>
      </c>
      <c r="E28" s="100">
        <v>0</v>
      </c>
      <c r="F28" s="100"/>
      <c r="G28" s="185"/>
    </row>
    <row r="29" spans="1:7" outlineLevel="1" x14ac:dyDescent="0.15">
      <c r="B29" s="184" t="s">
        <v>1054</v>
      </c>
      <c r="C29" s="100" t="s">
        <v>1178</v>
      </c>
      <c r="D29" s="100" t="s">
        <v>1169</v>
      </c>
      <c r="E29" s="100">
        <v>0</v>
      </c>
      <c r="F29" s="100"/>
      <c r="G29" s="185"/>
    </row>
    <row r="30" spans="1:7" outlineLevel="1" x14ac:dyDescent="0.15">
      <c r="B30" s="184" t="s">
        <v>1055</v>
      </c>
      <c r="C30" s="100" t="s">
        <v>1179</v>
      </c>
      <c r="D30" s="100" t="s">
        <v>1172</v>
      </c>
      <c r="E30" s="100">
        <v>0</v>
      </c>
      <c r="F30" s="100"/>
      <c r="G30" s="185"/>
    </row>
    <row r="31" spans="1:7" outlineLevel="1" x14ac:dyDescent="0.15">
      <c r="B31" s="184" t="s">
        <v>1056</v>
      </c>
      <c r="C31" s="100" t="s">
        <v>1529</v>
      </c>
      <c r="D31" s="100" t="s">
        <v>1172</v>
      </c>
      <c r="E31" s="100">
        <v>0</v>
      </c>
      <c r="F31" s="100"/>
      <c r="G31" s="185"/>
    </row>
    <row r="32" spans="1:7" outlineLevel="1" x14ac:dyDescent="0.15">
      <c r="B32" s="184" t="s">
        <v>468</v>
      </c>
      <c r="C32" s="100" t="s">
        <v>1180</v>
      </c>
      <c r="D32" s="100" t="s">
        <v>1172</v>
      </c>
      <c r="E32" s="100">
        <v>0</v>
      </c>
      <c r="F32" s="100"/>
      <c r="G32" s="185"/>
    </row>
    <row r="33" spans="2:7" outlineLevel="1" x14ac:dyDescent="0.15">
      <c r="B33" s="184" t="s">
        <v>175</v>
      </c>
      <c r="C33" s="100" t="s">
        <v>1129</v>
      </c>
      <c r="D33" s="100" t="s">
        <v>1169</v>
      </c>
      <c r="E33" s="100">
        <v>0</v>
      </c>
      <c r="F33" s="100"/>
      <c r="G33" s="185"/>
    </row>
    <row r="34" spans="2:7" outlineLevel="1" x14ac:dyDescent="0.15">
      <c r="B34" s="184" t="s">
        <v>176</v>
      </c>
      <c r="C34" s="100" t="s">
        <v>1132</v>
      </c>
      <c r="D34" s="100" t="s">
        <v>1169</v>
      </c>
      <c r="E34" s="100">
        <v>0</v>
      </c>
      <c r="F34" s="100"/>
      <c r="G34" s="185"/>
    </row>
    <row r="35" spans="2:7" outlineLevel="1" x14ac:dyDescent="0.15">
      <c r="B35" s="153" t="s">
        <v>1756</v>
      </c>
      <c r="C35" s="153" t="s">
        <v>1776</v>
      </c>
      <c r="D35" s="100" t="s">
        <v>1169</v>
      </c>
      <c r="E35" s="100">
        <v>0</v>
      </c>
      <c r="F35" s="100"/>
      <c r="G35" s="185"/>
    </row>
    <row r="36" spans="2:7" outlineLevel="1" x14ac:dyDescent="0.15">
      <c r="B36" s="184" t="s">
        <v>1757</v>
      </c>
      <c r="C36" s="272" t="s">
        <v>1777</v>
      </c>
      <c r="D36" s="100" t="s">
        <v>1169</v>
      </c>
      <c r="E36" s="100">
        <v>0</v>
      </c>
      <c r="F36" s="100"/>
      <c r="G36" s="185"/>
    </row>
    <row r="37" spans="2:7" outlineLevel="1" x14ac:dyDescent="0.15">
      <c r="B37" s="84" t="s">
        <v>1758</v>
      </c>
      <c r="C37" s="273" t="s">
        <v>1778</v>
      </c>
      <c r="D37" s="86" t="s">
        <v>1169</v>
      </c>
      <c r="E37" s="86">
        <v>0</v>
      </c>
      <c r="F37" s="86"/>
      <c r="G37" s="87"/>
    </row>
    <row r="38" spans="2:7" outlineLevel="1" x14ac:dyDescent="0.15">
      <c r="B38" s="184" t="s">
        <v>1759</v>
      </c>
      <c r="C38" s="272" t="s">
        <v>1779</v>
      </c>
      <c r="D38" s="100" t="s">
        <v>1169</v>
      </c>
      <c r="E38" s="100">
        <v>0</v>
      </c>
      <c r="F38" s="100"/>
      <c r="G38" s="185"/>
    </row>
    <row r="39" spans="2:7" outlineLevel="1" x14ac:dyDescent="0.15">
      <c r="B39" s="184" t="s">
        <v>1760</v>
      </c>
      <c r="C39" s="272" t="s">
        <v>1780</v>
      </c>
      <c r="D39" s="100" t="s">
        <v>1169</v>
      </c>
      <c r="E39" s="100">
        <v>0</v>
      </c>
      <c r="F39" s="100"/>
      <c r="G39" s="185"/>
    </row>
    <row r="40" spans="2:7" outlineLevel="1" x14ac:dyDescent="0.15">
      <c r="B40" s="184" t="s">
        <v>1761</v>
      </c>
      <c r="C40" s="272" t="s">
        <v>1781</v>
      </c>
      <c r="D40" s="100" t="s">
        <v>1169</v>
      </c>
      <c r="E40" s="100">
        <v>0</v>
      </c>
      <c r="F40" s="100"/>
      <c r="G40" s="185"/>
    </row>
    <row r="41" spans="2:7" outlineLevel="1" x14ac:dyDescent="0.15">
      <c r="B41" s="184" t="s">
        <v>1762</v>
      </c>
      <c r="C41" s="272" t="s">
        <v>1782</v>
      </c>
      <c r="D41" s="100" t="s">
        <v>1169</v>
      </c>
      <c r="E41" s="100">
        <v>0</v>
      </c>
      <c r="F41" s="100"/>
      <c r="G41" s="185"/>
    </row>
    <row r="42" spans="2:7" outlineLevel="1" x14ac:dyDescent="0.15">
      <c r="B42" s="184" t="s">
        <v>1763</v>
      </c>
      <c r="C42" s="272" t="s">
        <v>1783</v>
      </c>
      <c r="D42" s="100" t="s">
        <v>1169</v>
      </c>
      <c r="E42" s="100">
        <v>0</v>
      </c>
      <c r="F42" s="100"/>
      <c r="G42" s="185"/>
    </row>
    <row r="43" spans="2:7" outlineLevel="1" x14ac:dyDescent="0.15">
      <c r="B43" s="153" t="s">
        <v>1764</v>
      </c>
      <c r="C43" s="153" t="s">
        <v>1784</v>
      </c>
      <c r="D43" s="100" t="s">
        <v>1169</v>
      </c>
      <c r="E43" s="100">
        <v>0</v>
      </c>
      <c r="F43" s="100"/>
      <c r="G43" s="185"/>
    </row>
    <row r="44" spans="2:7" outlineLevel="1" x14ac:dyDescent="0.15">
      <c r="B44" s="229" t="s">
        <v>1765</v>
      </c>
      <c r="C44" s="230" t="s">
        <v>1785</v>
      </c>
      <c r="D44" s="100" t="s">
        <v>1169</v>
      </c>
      <c r="E44" s="100">
        <v>0</v>
      </c>
      <c r="F44" s="100"/>
      <c r="G44" s="185"/>
    </row>
    <row r="45" spans="2:7" outlineLevel="1" x14ac:dyDescent="0.15">
      <c r="B45" s="229" t="s">
        <v>1766</v>
      </c>
      <c r="C45" s="229" t="s">
        <v>1786</v>
      </c>
      <c r="D45" s="100" t="s">
        <v>1169</v>
      </c>
      <c r="E45" s="100">
        <v>0</v>
      </c>
      <c r="F45" s="100"/>
      <c r="G45" s="185"/>
    </row>
    <row r="46" spans="2:7" outlineLevel="1" x14ac:dyDescent="0.15">
      <c r="B46" s="20" t="s">
        <v>1767</v>
      </c>
      <c r="C46" s="20" t="s">
        <v>1788</v>
      </c>
      <c r="D46" s="100" t="s">
        <v>1345</v>
      </c>
      <c r="E46" s="100">
        <v>0</v>
      </c>
      <c r="F46" s="100"/>
      <c r="G46" s="185"/>
    </row>
    <row r="47" spans="2:7" outlineLevel="1" x14ac:dyDescent="0.15">
      <c r="B47" s="184" t="s">
        <v>1789</v>
      </c>
      <c r="C47" s="100" t="s">
        <v>1795</v>
      </c>
      <c r="D47" s="100" t="s">
        <v>1169</v>
      </c>
      <c r="E47" s="100">
        <v>0</v>
      </c>
      <c r="F47" s="100"/>
      <c r="G47" s="185"/>
    </row>
    <row r="48" spans="2:7" outlineLevel="1" x14ac:dyDescent="0.15">
      <c r="B48" s="184" t="s">
        <v>1790</v>
      </c>
      <c r="C48" s="100" t="s">
        <v>1119</v>
      </c>
      <c r="D48" s="100" t="s">
        <v>1287</v>
      </c>
      <c r="E48" s="100" t="s">
        <v>1072</v>
      </c>
      <c r="F48" s="100"/>
      <c r="G48" s="185"/>
    </row>
    <row r="49" spans="1:7" s="7" customFormat="1" outlineLevel="1" x14ac:dyDescent="0.15">
      <c r="B49" s="20" t="s">
        <v>1754</v>
      </c>
      <c r="C49" s="21" t="s">
        <v>1787</v>
      </c>
      <c r="D49" s="21" t="s">
        <v>1169</v>
      </c>
      <c r="E49" s="21">
        <v>0</v>
      </c>
      <c r="F49" s="21"/>
      <c r="G49" s="22"/>
    </row>
    <row r="50" spans="1:7" s="7" customFormat="1" outlineLevel="1" x14ac:dyDescent="0.15">
      <c r="B50" s="20" t="s">
        <v>1791</v>
      </c>
      <c r="C50" s="21" t="s">
        <v>1816</v>
      </c>
      <c r="D50" s="21" t="s">
        <v>1169</v>
      </c>
      <c r="E50" s="21">
        <v>0</v>
      </c>
      <c r="F50" s="21"/>
      <c r="G50" s="22"/>
    </row>
    <row r="51" spans="1:7" s="7" customFormat="1" outlineLevel="1" x14ac:dyDescent="0.15">
      <c r="B51" s="20" t="s">
        <v>1792</v>
      </c>
      <c r="C51" s="21" t="s">
        <v>1817</v>
      </c>
      <c r="D51" s="21" t="s">
        <v>1169</v>
      </c>
      <c r="E51" s="21">
        <v>0</v>
      </c>
      <c r="F51" s="21"/>
      <c r="G51" s="22"/>
    </row>
    <row r="52" spans="1:7" outlineLevel="1" x14ac:dyDescent="0.15">
      <c r="B52" s="184" t="s">
        <v>1982</v>
      </c>
      <c r="C52" s="100" t="s">
        <v>1986</v>
      </c>
      <c r="D52" s="100" t="s">
        <v>1169</v>
      </c>
      <c r="E52" s="100">
        <v>0</v>
      </c>
      <c r="F52" s="100"/>
      <c r="G52" s="185"/>
    </row>
    <row r="53" spans="1:7" outlineLevel="1" x14ac:dyDescent="0.15">
      <c r="B53" s="290" t="s">
        <v>2057</v>
      </c>
      <c r="C53" s="291" t="s">
        <v>2064</v>
      </c>
      <c r="D53" s="291" t="s">
        <v>2063</v>
      </c>
      <c r="E53" s="291">
        <v>0</v>
      </c>
      <c r="F53" s="291"/>
      <c r="G53" s="185"/>
    </row>
    <row r="54" spans="1:7" outlineLevel="1" x14ac:dyDescent="0.15">
      <c r="B54" s="320" t="s">
        <v>2059</v>
      </c>
      <c r="C54" s="321" t="s">
        <v>2060</v>
      </c>
      <c r="D54" s="291" t="s">
        <v>2063</v>
      </c>
      <c r="E54" s="291">
        <v>0</v>
      </c>
      <c r="F54" s="291"/>
      <c r="G54" s="185"/>
    </row>
    <row r="55" spans="1:7" outlineLevel="1" x14ac:dyDescent="0.15">
      <c r="B55" s="320" t="s">
        <v>2061</v>
      </c>
      <c r="C55" s="321" t="s">
        <v>2062</v>
      </c>
      <c r="D55" s="291" t="s">
        <v>2063</v>
      </c>
      <c r="E55" s="291">
        <v>0</v>
      </c>
      <c r="F55" s="291"/>
      <c r="G55" s="185"/>
    </row>
    <row r="56" spans="1:7" outlineLevel="1" x14ac:dyDescent="0.15">
      <c r="B56" s="322" t="s">
        <v>2068</v>
      </c>
      <c r="C56" s="323" t="s">
        <v>2069</v>
      </c>
      <c r="D56" s="291" t="s">
        <v>2063</v>
      </c>
      <c r="E56" s="291">
        <v>0</v>
      </c>
      <c r="F56" s="291"/>
      <c r="G56" s="185"/>
    </row>
    <row r="57" spans="1:7" outlineLevel="1" x14ac:dyDescent="0.15">
      <c r="B57" s="322" t="s">
        <v>2081</v>
      </c>
      <c r="C57" s="323"/>
      <c r="D57" s="291"/>
      <c r="E57" s="291"/>
      <c r="F57" s="291"/>
      <c r="G57" s="185"/>
    </row>
    <row r="58" spans="1:7" outlineLevel="1" x14ac:dyDescent="0.15">
      <c r="B58" s="322" t="s">
        <v>2082</v>
      </c>
      <c r="C58" s="323"/>
      <c r="D58" s="291"/>
      <c r="E58" s="291"/>
      <c r="F58" s="291"/>
      <c r="G58" s="185"/>
    </row>
    <row r="59" spans="1:7" ht="18" outlineLevel="1" thickBot="1" x14ac:dyDescent="0.2">
      <c r="B59" s="290"/>
      <c r="C59" s="291"/>
      <c r="D59" s="291"/>
      <c r="E59" s="291"/>
      <c r="F59" s="291"/>
      <c r="G59" s="185"/>
    </row>
    <row r="60" spans="1:7" outlineLevel="1" x14ac:dyDescent="0.15">
      <c r="B60" s="324" t="s">
        <v>577</v>
      </c>
      <c r="C60" s="325"/>
      <c r="D60" s="325"/>
      <c r="E60" s="325"/>
      <c r="F60" s="325"/>
      <c r="G60" s="326"/>
    </row>
    <row r="61" spans="1:7" outlineLevel="1" x14ac:dyDescent="0.15">
      <c r="A61" s="1" t="s">
        <v>1058</v>
      </c>
      <c r="B61" s="88">
        <v>1</v>
      </c>
      <c r="C61" s="184" t="s">
        <v>1050</v>
      </c>
      <c r="D61" s="184" t="s">
        <v>1051</v>
      </c>
      <c r="E61" s="86"/>
      <c r="F61" s="86"/>
      <c r="G61" s="87"/>
    </row>
    <row r="62" spans="1:7" outlineLevel="1" x14ac:dyDescent="0.15">
      <c r="B62" s="88">
        <v>2</v>
      </c>
      <c r="C62" s="93"/>
      <c r="D62" s="93"/>
      <c r="E62" s="93"/>
      <c r="F62" s="93"/>
      <c r="G62" s="94"/>
    </row>
    <row r="63" spans="1:7" outlineLevel="1" x14ac:dyDescent="0.15">
      <c r="B63" s="88">
        <v>3</v>
      </c>
      <c r="C63" s="93"/>
      <c r="D63" s="93"/>
      <c r="E63" s="93"/>
      <c r="F63" s="93"/>
      <c r="G63" s="94"/>
    </row>
    <row r="64" spans="1:7" ht="18" outlineLevel="1" thickBot="1" x14ac:dyDescent="0.2">
      <c r="B64" s="88">
        <v>4</v>
      </c>
      <c r="C64" s="90"/>
      <c r="D64" s="90"/>
      <c r="E64" s="90"/>
      <c r="F64" s="90"/>
      <c r="G64" s="91"/>
    </row>
    <row r="65" spans="2:7" ht="18" outlineLevel="1" thickBot="1" x14ac:dyDescent="0.2"/>
    <row r="66" spans="2:7" x14ac:dyDescent="0.15">
      <c r="B66" s="72" t="s">
        <v>563</v>
      </c>
      <c r="C66" s="274" t="s">
        <v>1159</v>
      </c>
      <c r="D66" s="74" t="s">
        <v>515</v>
      </c>
      <c r="E66" s="21" t="s">
        <v>1062</v>
      </c>
      <c r="F66" s="74" t="s">
        <v>567</v>
      </c>
      <c r="G66" s="75"/>
    </row>
    <row r="67" spans="2:7" ht="18" outlineLevel="1" thickBot="1" x14ac:dyDescent="0.2">
      <c r="B67" s="178" t="s">
        <v>570</v>
      </c>
      <c r="C67" s="179"/>
      <c r="D67" s="180" t="s">
        <v>568</v>
      </c>
      <c r="E67" s="179" t="s">
        <v>615</v>
      </c>
      <c r="F67" s="180"/>
      <c r="G67" s="181"/>
    </row>
    <row r="68" spans="2:7" outlineLevel="1" x14ac:dyDescent="0.15">
      <c r="B68" s="72" t="s">
        <v>571</v>
      </c>
      <c r="C68" s="74" t="s">
        <v>572</v>
      </c>
      <c r="D68" s="74" t="s">
        <v>573</v>
      </c>
      <c r="E68" s="74"/>
      <c r="F68" s="74" t="s">
        <v>3</v>
      </c>
      <c r="G68" s="270" t="s">
        <v>4</v>
      </c>
    </row>
    <row r="69" spans="2:7" outlineLevel="1" x14ac:dyDescent="0.15">
      <c r="B69" s="184" t="s">
        <v>5</v>
      </c>
      <c r="C69" s="100" t="s">
        <v>1127</v>
      </c>
      <c r="D69" s="100" t="s">
        <v>211</v>
      </c>
      <c r="E69" s="100" t="s">
        <v>1141</v>
      </c>
      <c r="F69" s="100"/>
      <c r="G69" s="185" t="s">
        <v>1162</v>
      </c>
    </row>
    <row r="70" spans="2:7" outlineLevel="1" x14ac:dyDescent="0.15">
      <c r="B70" s="184" t="s">
        <v>16</v>
      </c>
      <c r="C70" s="100" t="s">
        <v>1163</v>
      </c>
      <c r="D70" s="100" t="s">
        <v>211</v>
      </c>
      <c r="E70" s="100">
        <v>0</v>
      </c>
      <c r="F70" s="100"/>
      <c r="G70" s="185" t="s">
        <v>1077</v>
      </c>
    </row>
    <row r="71" spans="2:7" outlineLevel="1" x14ac:dyDescent="0.15">
      <c r="B71" s="184" t="s">
        <v>111</v>
      </c>
      <c r="C71" s="100" t="s">
        <v>1164</v>
      </c>
      <c r="D71" s="100" t="s">
        <v>211</v>
      </c>
      <c r="E71" s="100">
        <v>0</v>
      </c>
      <c r="F71" s="100"/>
      <c r="G71" s="185" t="s">
        <v>1165</v>
      </c>
    </row>
    <row r="72" spans="2:7" outlineLevel="1" x14ac:dyDescent="0.15">
      <c r="B72" s="184" t="s">
        <v>69</v>
      </c>
      <c r="C72" s="100" t="s">
        <v>1126</v>
      </c>
      <c r="D72" s="100" t="s">
        <v>1087</v>
      </c>
      <c r="E72" s="100">
        <v>0</v>
      </c>
      <c r="F72" s="100"/>
      <c r="G72" s="185"/>
    </row>
    <row r="73" spans="2:7" outlineLevel="1" x14ac:dyDescent="0.15">
      <c r="B73" s="184" t="s">
        <v>190</v>
      </c>
      <c r="C73" s="100" t="s">
        <v>1166</v>
      </c>
      <c r="D73" s="100" t="s">
        <v>1087</v>
      </c>
      <c r="E73" s="100">
        <v>0</v>
      </c>
      <c r="F73" s="100"/>
      <c r="G73" s="185"/>
    </row>
    <row r="74" spans="2:7" outlineLevel="1" x14ac:dyDescent="0.15">
      <c r="B74" s="184" t="s">
        <v>191</v>
      </c>
      <c r="C74" s="100" t="s">
        <v>1167</v>
      </c>
      <c r="D74" s="100" t="s">
        <v>1087</v>
      </c>
      <c r="E74" s="100">
        <v>0</v>
      </c>
      <c r="F74" s="100"/>
      <c r="G74" s="185"/>
    </row>
    <row r="75" spans="2:7" outlineLevel="1" x14ac:dyDescent="0.15">
      <c r="B75" s="184" t="s">
        <v>302</v>
      </c>
      <c r="C75" s="100" t="s">
        <v>1168</v>
      </c>
      <c r="D75" s="100" t="s">
        <v>1169</v>
      </c>
      <c r="E75" s="100">
        <v>0</v>
      </c>
      <c r="F75" s="100"/>
      <c r="G75" s="185"/>
    </row>
    <row r="76" spans="2:7" outlineLevel="1" x14ac:dyDescent="0.15">
      <c r="B76" s="184" t="s">
        <v>303</v>
      </c>
      <c r="C76" s="100" t="s">
        <v>1170</v>
      </c>
      <c r="D76" s="100" t="s">
        <v>1169</v>
      </c>
      <c r="E76" s="100">
        <v>0</v>
      </c>
      <c r="F76" s="100"/>
      <c r="G76" s="185"/>
    </row>
    <row r="77" spans="2:7" outlineLevel="1" x14ac:dyDescent="0.15">
      <c r="B77" s="184" t="s">
        <v>375</v>
      </c>
      <c r="C77" s="100" t="s">
        <v>1078</v>
      </c>
      <c r="D77" s="100" t="s">
        <v>1169</v>
      </c>
      <c r="E77" s="100">
        <v>0</v>
      </c>
      <c r="F77" s="100"/>
      <c r="G77" s="185"/>
    </row>
    <row r="78" spans="2:7" outlineLevel="1" x14ac:dyDescent="0.15">
      <c r="B78" s="184" t="s">
        <v>363</v>
      </c>
      <c r="C78" s="100" t="s">
        <v>1171</v>
      </c>
      <c r="D78" s="100" t="s">
        <v>1169</v>
      </c>
      <c r="E78" s="100">
        <v>0</v>
      </c>
      <c r="F78" s="100"/>
      <c r="G78" s="185"/>
    </row>
    <row r="79" spans="2:7" outlineLevel="1" x14ac:dyDescent="0.15">
      <c r="B79" s="184" t="s">
        <v>364</v>
      </c>
      <c r="C79" s="100" t="s">
        <v>1088</v>
      </c>
      <c r="D79" s="100" t="s">
        <v>1172</v>
      </c>
      <c r="E79" s="100">
        <v>0</v>
      </c>
      <c r="F79" s="100"/>
      <c r="G79" s="185"/>
    </row>
    <row r="80" spans="2:7" outlineLevel="1" x14ac:dyDescent="0.15">
      <c r="B80" s="184" t="s">
        <v>304</v>
      </c>
      <c r="C80" s="100" t="s">
        <v>1185</v>
      </c>
      <c r="D80" s="100" t="s">
        <v>1169</v>
      </c>
      <c r="E80" s="100">
        <v>0</v>
      </c>
      <c r="F80" s="100"/>
      <c r="G80" s="185"/>
    </row>
    <row r="81" spans="1:7" outlineLevel="1" x14ac:dyDescent="0.15">
      <c r="B81" s="184" t="s">
        <v>305</v>
      </c>
      <c r="C81" s="100" t="s">
        <v>1181</v>
      </c>
      <c r="D81" s="100" t="s">
        <v>1169</v>
      </c>
      <c r="E81" s="100">
        <v>0</v>
      </c>
      <c r="F81" s="100"/>
      <c r="G81" s="185"/>
    </row>
    <row r="82" spans="1:7" outlineLevel="1" x14ac:dyDescent="0.15">
      <c r="B82" s="84" t="s">
        <v>307</v>
      </c>
      <c r="C82" s="86" t="s">
        <v>1173</v>
      </c>
      <c r="D82" s="86" t="s">
        <v>1169</v>
      </c>
      <c r="E82" s="86">
        <v>0</v>
      </c>
      <c r="F82" s="86"/>
      <c r="G82" s="87"/>
    </row>
    <row r="83" spans="1:7" outlineLevel="1" x14ac:dyDescent="0.15">
      <c r="B83" s="184" t="s">
        <v>306</v>
      </c>
      <c r="C83" s="100" t="s">
        <v>1128</v>
      </c>
      <c r="D83" s="100" t="s">
        <v>1169</v>
      </c>
      <c r="E83" s="100">
        <v>0</v>
      </c>
      <c r="F83" s="100"/>
      <c r="G83" s="185"/>
    </row>
    <row r="84" spans="1:7" s="7" customFormat="1" outlineLevel="1" x14ac:dyDescent="0.15">
      <c r="A84" s="2"/>
      <c r="B84" s="17" t="s">
        <v>2079</v>
      </c>
      <c r="C84" s="18" t="s">
        <v>2080</v>
      </c>
      <c r="D84" s="18" t="s">
        <v>2063</v>
      </c>
      <c r="E84" s="18">
        <v>0</v>
      </c>
      <c r="F84" s="18"/>
      <c r="G84" s="19"/>
    </row>
    <row r="85" spans="1:7" outlineLevel="1" x14ac:dyDescent="0.15">
      <c r="B85" s="184" t="s">
        <v>309</v>
      </c>
      <c r="C85" s="100" t="s">
        <v>1089</v>
      </c>
      <c r="D85" s="100" t="s">
        <v>1169</v>
      </c>
      <c r="E85" s="100">
        <v>0</v>
      </c>
      <c r="F85" s="100"/>
      <c r="G85" s="185"/>
    </row>
    <row r="86" spans="1:7" outlineLevel="1" x14ac:dyDescent="0.15">
      <c r="B86" s="184" t="s">
        <v>310</v>
      </c>
      <c r="C86" s="100" t="s">
        <v>1174</v>
      </c>
      <c r="D86" s="100" t="s">
        <v>1169</v>
      </c>
      <c r="E86" s="100">
        <v>0</v>
      </c>
      <c r="F86" s="100"/>
      <c r="G86" s="185"/>
    </row>
    <row r="87" spans="1:7" outlineLevel="1" x14ac:dyDescent="0.15">
      <c r="B87" s="184" t="s">
        <v>1052</v>
      </c>
      <c r="C87" s="100" t="s">
        <v>1175</v>
      </c>
      <c r="D87" s="100" t="s">
        <v>1169</v>
      </c>
      <c r="E87" s="100">
        <v>0</v>
      </c>
      <c r="F87" s="100"/>
      <c r="G87" s="185"/>
    </row>
    <row r="88" spans="1:7" outlineLevel="1" x14ac:dyDescent="0.15">
      <c r="B88" s="184" t="s">
        <v>1053</v>
      </c>
      <c r="C88" s="100" t="s">
        <v>1186</v>
      </c>
      <c r="D88" s="100" t="s">
        <v>1169</v>
      </c>
      <c r="E88" s="100">
        <v>0</v>
      </c>
      <c r="F88" s="100"/>
      <c r="G88" s="185"/>
    </row>
    <row r="89" spans="1:7" outlineLevel="1" x14ac:dyDescent="0.15">
      <c r="B89" s="184" t="s">
        <v>365</v>
      </c>
      <c r="C89" s="100" t="s">
        <v>1130</v>
      </c>
      <c r="D89" s="100" t="s">
        <v>1169</v>
      </c>
      <c r="E89" s="100">
        <v>0</v>
      </c>
      <c r="F89" s="100"/>
      <c r="G89" s="185"/>
    </row>
    <row r="90" spans="1:7" outlineLevel="1" x14ac:dyDescent="0.15">
      <c r="B90" s="184" t="s">
        <v>23</v>
      </c>
      <c r="C90" s="100" t="s">
        <v>1091</v>
      </c>
      <c r="D90" s="100" t="s">
        <v>1131</v>
      </c>
      <c r="E90" s="100" t="s">
        <v>1074</v>
      </c>
      <c r="F90" s="100"/>
      <c r="G90" s="185"/>
    </row>
    <row r="91" spans="1:7" outlineLevel="1" x14ac:dyDescent="0.15">
      <c r="B91" s="184" t="s">
        <v>367</v>
      </c>
      <c r="C91" s="100" t="s">
        <v>1176</v>
      </c>
      <c r="D91" s="100" t="s">
        <v>1169</v>
      </c>
      <c r="E91" s="100">
        <v>0</v>
      </c>
      <c r="F91" s="100"/>
      <c r="G91" s="185"/>
    </row>
    <row r="92" spans="1:7" outlineLevel="1" x14ac:dyDescent="0.15">
      <c r="B92" s="184" t="s">
        <v>368</v>
      </c>
      <c r="C92" s="100" t="s">
        <v>1177</v>
      </c>
      <c r="D92" s="100" t="s">
        <v>1172</v>
      </c>
      <c r="E92" s="100">
        <v>0</v>
      </c>
      <c r="F92" s="100"/>
      <c r="G92" s="185"/>
    </row>
    <row r="93" spans="1:7" outlineLevel="1" x14ac:dyDescent="0.15">
      <c r="B93" s="184" t="s">
        <v>1054</v>
      </c>
      <c r="C93" s="100" t="s">
        <v>1178</v>
      </c>
      <c r="D93" s="100" t="s">
        <v>1169</v>
      </c>
      <c r="E93" s="100">
        <v>0</v>
      </c>
      <c r="F93" s="100"/>
      <c r="G93" s="185"/>
    </row>
    <row r="94" spans="1:7" outlineLevel="1" x14ac:dyDescent="0.15">
      <c r="B94" s="184" t="s">
        <v>1055</v>
      </c>
      <c r="C94" s="100" t="s">
        <v>1179</v>
      </c>
      <c r="D94" s="100" t="s">
        <v>1172</v>
      </c>
      <c r="E94" s="100">
        <v>0</v>
      </c>
      <c r="F94" s="100"/>
      <c r="G94" s="185"/>
    </row>
    <row r="95" spans="1:7" outlineLevel="1" x14ac:dyDescent="0.15">
      <c r="B95" s="184" t="s">
        <v>1056</v>
      </c>
      <c r="C95" s="100" t="s">
        <v>1529</v>
      </c>
      <c r="D95" s="100" t="s">
        <v>1172</v>
      </c>
      <c r="E95" s="100">
        <v>0</v>
      </c>
      <c r="F95" s="100"/>
      <c r="G95" s="185"/>
    </row>
    <row r="96" spans="1:7" outlineLevel="1" x14ac:dyDescent="0.15">
      <c r="B96" s="184" t="s">
        <v>468</v>
      </c>
      <c r="C96" s="100" t="s">
        <v>1180</v>
      </c>
      <c r="D96" s="100" t="s">
        <v>1172</v>
      </c>
      <c r="E96" s="100">
        <v>0</v>
      </c>
      <c r="F96" s="100"/>
      <c r="G96" s="185"/>
    </row>
    <row r="97" spans="2:7" outlineLevel="1" x14ac:dyDescent="0.15">
      <c r="B97" s="184" t="s">
        <v>175</v>
      </c>
      <c r="C97" s="100" t="s">
        <v>1129</v>
      </c>
      <c r="D97" s="100" t="s">
        <v>1169</v>
      </c>
      <c r="E97" s="100">
        <v>0</v>
      </c>
      <c r="F97" s="100"/>
      <c r="G97" s="185"/>
    </row>
    <row r="98" spans="2:7" outlineLevel="1" x14ac:dyDescent="0.15">
      <c r="B98" s="184" t="s">
        <v>176</v>
      </c>
      <c r="C98" s="100" t="s">
        <v>1132</v>
      </c>
      <c r="D98" s="100" t="s">
        <v>1169</v>
      </c>
      <c r="E98" s="100">
        <v>0</v>
      </c>
      <c r="F98" s="100"/>
      <c r="G98" s="185"/>
    </row>
    <row r="99" spans="2:7" outlineLevel="1" x14ac:dyDescent="0.15">
      <c r="B99" s="153" t="s">
        <v>1756</v>
      </c>
      <c r="C99" s="153" t="s">
        <v>1776</v>
      </c>
      <c r="D99" s="100" t="s">
        <v>1169</v>
      </c>
      <c r="E99" s="100">
        <v>0</v>
      </c>
      <c r="F99" s="100"/>
      <c r="G99" s="185"/>
    </row>
    <row r="100" spans="2:7" outlineLevel="1" x14ac:dyDescent="0.15">
      <c r="B100" s="184" t="s">
        <v>1757</v>
      </c>
      <c r="C100" s="272" t="s">
        <v>1777</v>
      </c>
      <c r="D100" s="100" t="s">
        <v>1169</v>
      </c>
      <c r="E100" s="100">
        <v>0</v>
      </c>
      <c r="F100" s="100"/>
      <c r="G100" s="185"/>
    </row>
    <row r="101" spans="2:7" outlineLevel="1" x14ac:dyDescent="0.15">
      <c r="B101" s="84" t="s">
        <v>1758</v>
      </c>
      <c r="C101" s="273" t="s">
        <v>1778</v>
      </c>
      <c r="D101" s="86" t="s">
        <v>1169</v>
      </c>
      <c r="E101" s="86">
        <v>0</v>
      </c>
      <c r="F101" s="86"/>
      <c r="G101" s="87"/>
    </row>
    <row r="102" spans="2:7" outlineLevel="1" x14ac:dyDescent="0.15">
      <c r="B102" s="184" t="s">
        <v>1759</v>
      </c>
      <c r="C102" s="272" t="s">
        <v>1779</v>
      </c>
      <c r="D102" s="100" t="s">
        <v>1169</v>
      </c>
      <c r="E102" s="100">
        <v>0</v>
      </c>
      <c r="F102" s="100"/>
      <c r="G102" s="185"/>
    </row>
    <row r="103" spans="2:7" outlineLevel="1" x14ac:dyDescent="0.15">
      <c r="B103" s="184" t="s">
        <v>1760</v>
      </c>
      <c r="C103" s="272" t="s">
        <v>1780</v>
      </c>
      <c r="D103" s="100" t="s">
        <v>1169</v>
      </c>
      <c r="E103" s="100">
        <v>0</v>
      </c>
      <c r="F103" s="100"/>
      <c r="G103" s="185"/>
    </row>
    <row r="104" spans="2:7" outlineLevel="1" x14ac:dyDescent="0.15">
      <c r="B104" s="184" t="s">
        <v>1761</v>
      </c>
      <c r="C104" s="272" t="s">
        <v>1781</v>
      </c>
      <c r="D104" s="100" t="s">
        <v>1169</v>
      </c>
      <c r="E104" s="100">
        <v>0</v>
      </c>
      <c r="F104" s="100"/>
      <c r="G104" s="185"/>
    </row>
    <row r="105" spans="2:7" outlineLevel="1" x14ac:dyDescent="0.15">
      <c r="B105" s="184" t="s">
        <v>1762</v>
      </c>
      <c r="C105" s="272" t="s">
        <v>1782</v>
      </c>
      <c r="D105" s="100" t="s">
        <v>1169</v>
      </c>
      <c r="E105" s="100">
        <v>0</v>
      </c>
      <c r="F105" s="100"/>
      <c r="G105" s="185"/>
    </row>
    <row r="106" spans="2:7" outlineLevel="1" x14ac:dyDescent="0.15">
      <c r="B106" s="184" t="s">
        <v>1763</v>
      </c>
      <c r="C106" s="272" t="s">
        <v>1783</v>
      </c>
      <c r="D106" s="100" t="s">
        <v>1169</v>
      </c>
      <c r="E106" s="100">
        <v>0</v>
      </c>
      <c r="F106" s="100"/>
      <c r="G106" s="185"/>
    </row>
    <row r="107" spans="2:7" outlineLevel="1" x14ac:dyDescent="0.15">
      <c r="B107" s="153" t="s">
        <v>1764</v>
      </c>
      <c r="C107" s="153" t="s">
        <v>1784</v>
      </c>
      <c r="D107" s="100" t="s">
        <v>1169</v>
      </c>
      <c r="E107" s="100">
        <v>0</v>
      </c>
      <c r="F107" s="100"/>
      <c r="G107" s="185"/>
    </row>
    <row r="108" spans="2:7" outlineLevel="1" x14ac:dyDescent="0.15">
      <c r="B108" s="229" t="s">
        <v>1765</v>
      </c>
      <c r="C108" s="230" t="s">
        <v>1785</v>
      </c>
      <c r="D108" s="100" t="s">
        <v>1169</v>
      </c>
      <c r="E108" s="100">
        <v>0</v>
      </c>
      <c r="F108" s="100"/>
      <c r="G108" s="185"/>
    </row>
    <row r="109" spans="2:7" outlineLevel="1" x14ac:dyDescent="0.15">
      <c r="B109" s="229" t="s">
        <v>1766</v>
      </c>
      <c r="C109" s="229" t="s">
        <v>1786</v>
      </c>
      <c r="D109" s="100" t="s">
        <v>1169</v>
      </c>
      <c r="E109" s="100">
        <v>0</v>
      </c>
      <c r="F109" s="100"/>
      <c r="G109" s="185"/>
    </row>
    <row r="110" spans="2:7" outlineLevel="1" x14ac:dyDescent="0.15">
      <c r="B110" s="20" t="s">
        <v>1767</v>
      </c>
      <c r="C110" s="20" t="s">
        <v>1788</v>
      </c>
      <c r="D110" s="100" t="s">
        <v>1345</v>
      </c>
      <c r="E110" s="100">
        <v>0</v>
      </c>
      <c r="F110" s="100"/>
      <c r="G110" s="185"/>
    </row>
    <row r="111" spans="2:7" outlineLevel="1" x14ac:dyDescent="0.15">
      <c r="B111" s="184" t="s">
        <v>1789</v>
      </c>
      <c r="C111" s="100" t="s">
        <v>1795</v>
      </c>
      <c r="D111" s="100" t="s">
        <v>1169</v>
      </c>
      <c r="E111" s="100">
        <v>0</v>
      </c>
      <c r="F111" s="100"/>
      <c r="G111" s="185"/>
    </row>
    <row r="112" spans="2:7" outlineLevel="1" x14ac:dyDescent="0.15">
      <c r="B112" s="184" t="s">
        <v>1790</v>
      </c>
      <c r="C112" s="100" t="s">
        <v>1119</v>
      </c>
      <c r="D112" s="100" t="s">
        <v>1287</v>
      </c>
      <c r="E112" s="100" t="s">
        <v>1072</v>
      </c>
      <c r="F112" s="100"/>
      <c r="G112" s="185"/>
    </row>
    <row r="113" spans="1:7" s="7" customFormat="1" outlineLevel="1" x14ac:dyDescent="0.15">
      <c r="B113" s="20" t="s">
        <v>1754</v>
      </c>
      <c r="C113" s="21" t="s">
        <v>1787</v>
      </c>
      <c r="D113" s="21" t="s">
        <v>1169</v>
      </c>
      <c r="E113" s="21">
        <v>0</v>
      </c>
      <c r="F113" s="21"/>
      <c r="G113" s="22"/>
    </row>
    <row r="114" spans="1:7" s="7" customFormat="1" outlineLevel="1" x14ac:dyDescent="0.15">
      <c r="B114" s="20" t="s">
        <v>1791</v>
      </c>
      <c r="C114" s="21" t="s">
        <v>1816</v>
      </c>
      <c r="D114" s="21" t="s">
        <v>1169</v>
      </c>
      <c r="E114" s="21">
        <v>0</v>
      </c>
      <c r="F114" s="21"/>
      <c r="G114" s="22"/>
    </row>
    <row r="115" spans="1:7" s="7" customFormat="1" outlineLevel="1" x14ac:dyDescent="0.15">
      <c r="B115" s="20" t="s">
        <v>1792</v>
      </c>
      <c r="C115" s="21" t="s">
        <v>1817</v>
      </c>
      <c r="D115" s="21" t="s">
        <v>1169</v>
      </c>
      <c r="E115" s="21">
        <v>0</v>
      </c>
      <c r="F115" s="21"/>
      <c r="G115" s="22"/>
    </row>
    <row r="116" spans="1:7" outlineLevel="1" x14ac:dyDescent="0.15">
      <c r="B116" s="184" t="s">
        <v>1982</v>
      </c>
      <c r="C116" s="100" t="s">
        <v>1986</v>
      </c>
      <c r="D116" s="100" t="s">
        <v>1169</v>
      </c>
      <c r="E116" s="100">
        <v>0</v>
      </c>
      <c r="F116" s="100"/>
      <c r="G116" s="185"/>
    </row>
    <row r="117" spans="1:7" outlineLevel="1" x14ac:dyDescent="0.15">
      <c r="B117" s="290" t="s">
        <v>2057</v>
      </c>
      <c r="C117" s="291" t="s">
        <v>2064</v>
      </c>
      <c r="D117" s="291" t="s">
        <v>2063</v>
      </c>
      <c r="E117" s="291">
        <v>0</v>
      </c>
      <c r="F117" s="291"/>
      <c r="G117" s="185"/>
    </row>
    <row r="118" spans="1:7" outlineLevel="1" x14ac:dyDescent="0.15">
      <c r="B118" s="320" t="s">
        <v>2059</v>
      </c>
      <c r="C118" s="321" t="s">
        <v>2060</v>
      </c>
      <c r="D118" s="291" t="s">
        <v>2063</v>
      </c>
      <c r="E118" s="291">
        <v>0</v>
      </c>
      <c r="F118" s="291"/>
      <c r="G118" s="185"/>
    </row>
    <row r="119" spans="1:7" outlineLevel="1" x14ac:dyDescent="0.15">
      <c r="B119" s="320" t="s">
        <v>2061</v>
      </c>
      <c r="C119" s="321" t="s">
        <v>2062</v>
      </c>
      <c r="D119" s="291" t="s">
        <v>2063</v>
      </c>
      <c r="E119" s="291">
        <v>0</v>
      </c>
      <c r="F119" s="291"/>
      <c r="G119" s="185"/>
    </row>
    <row r="120" spans="1:7" outlineLevel="1" x14ac:dyDescent="0.15">
      <c r="B120" s="322" t="s">
        <v>2068</v>
      </c>
      <c r="C120" s="323" t="s">
        <v>2069</v>
      </c>
      <c r="D120" s="291" t="s">
        <v>2063</v>
      </c>
      <c r="E120" s="291">
        <v>0</v>
      </c>
      <c r="F120" s="291"/>
      <c r="G120" s="185"/>
    </row>
    <row r="121" spans="1:7" outlineLevel="1" x14ac:dyDescent="0.15">
      <c r="B121" s="322" t="s">
        <v>2081</v>
      </c>
      <c r="C121" s="323"/>
      <c r="D121" s="291"/>
      <c r="E121" s="291"/>
      <c r="F121" s="291"/>
      <c r="G121" s="185"/>
    </row>
    <row r="122" spans="1:7" ht="18" outlineLevel="1" thickBot="1" x14ac:dyDescent="0.2">
      <c r="B122" s="322" t="s">
        <v>2082</v>
      </c>
      <c r="C122" s="323"/>
      <c r="D122" s="291"/>
      <c r="E122" s="291"/>
      <c r="F122" s="291"/>
      <c r="G122" s="185"/>
    </row>
    <row r="123" spans="1:7" outlineLevel="1" x14ac:dyDescent="0.15">
      <c r="B123" s="324" t="s">
        <v>577</v>
      </c>
      <c r="C123" s="325"/>
      <c r="D123" s="325"/>
      <c r="E123" s="325"/>
      <c r="F123" s="325"/>
      <c r="G123" s="326"/>
    </row>
    <row r="124" spans="1:7" outlineLevel="1" x14ac:dyDescent="0.15">
      <c r="A124" s="1" t="s">
        <v>1057</v>
      </c>
      <c r="B124" s="88">
        <v>1</v>
      </c>
      <c r="C124" s="184" t="s">
        <v>5</v>
      </c>
      <c r="D124" s="184" t="s">
        <v>1050</v>
      </c>
      <c r="E124" s="184" t="s">
        <v>1051</v>
      </c>
      <c r="F124" s="86"/>
      <c r="G124" s="87"/>
    </row>
    <row r="125" spans="1:7" outlineLevel="1" x14ac:dyDescent="0.15">
      <c r="B125" s="88"/>
      <c r="C125" s="93"/>
      <c r="D125" s="93"/>
      <c r="E125" s="93"/>
      <c r="F125" s="93"/>
      <c r="G125" s="94"/>
    </row>
    <row r="126" spans="1:7" outlineLevel="1" x14ac:dyDescent="0.15">
      <c r="B126" s="88"/>
      <c r="C126" s="93"/>
      <c r="D126" s="93"/>
      <c r="E126" s="93"/>
      <c r="F126" s="93"/>
      <c r="G126" s="94"/>
    </row>
    <row r="127" spans="1:7" ht="18" outlineLevel="1" thickBot="1" x14ac:dyDescent="0.2">
      <c r="B127" s="89"/>
      <c r="C127" s="90"/>
      <c r="D127" s="90"/>
      <c r="E127" s="90"/>
      <c r="F127" s="90"/>
      <c r="G127" s="91"/>
    </row>
    <row r="128" spans="1:7" ht="18" outlineLevel="1" thickBot="1" x14ac:dyDescent="0.2"/>
    <row r="129" spans="1:7" x14ac:dyDescent="0.15">
      <c r="B129" s="72" t="s">
        <v>563</v>
      </c>
      <c r="C129" s="275" t="s">
        <v>1525</v>
      </c>
      <c r="D129" s="74" t="s">
        <v>515</v>
      </c>
      <c r="E129" s="4" t="s">
        <v>1061</v>
      </c>
      <c r="F129" s="74" t="s">
        <v>567</v>
      </c>
      <c r="G129" s="75"/>
    </row>
    <row r="130" spans="1:7" ht="18" outlineLevel="1" thickBot="1" x14ac:dyDescent="0.2">
      <c r="B130" s="178" t="s">
        <v>570</v>
      </c>
      <c r="C130" s="179"/>
      <c r="D130" s="180" t="s">
        <v>568</v>
      </c>
      <c r="E130" s="179" t="s">
        <v>615</v>
      </c>
      <c r="F130" s="180"/>
      <c r="G130" s="181"/>
    </row>
    <row r="131" spans="1:7" outlineLevel="1" x14ac:dyDescent="0.15">
      <c r="B131" s="182" t="s">
        <v>571</v>
      </c>
      <c r="C131" s="183" t="s">
        <v>572</v>
      </c>
      <c r="D131" s="183" t="s">
        <v>573</v>
      </c>
      <c r="E131" s="183"/>
      <c r="F131" s="183" t="s">
        <v>3</v>
      </c>
      <c r="G131" s="237" t="s">
        <v>4</v>
      </c>
    </row>
    <row r="132" spans="1:7" outlineLevel="1" x14ac:dyDescent="0.15">
      <c r="A132" s="20"/>
      <c r="B132" s="184" t="s">
        <v>5</v>
      </c>
      <c r="C132" s="100" t="s">
        <v>1127</v>
      </c>
      <c r="D132" s="100" t="s">
        <v>211</v>
      </c>
      <c r="E132" s="100" t="s">
        <v>1141</v>
      </c>
      <c r="F132" s="100"/>
      <c r="G132" s="185" t="s">
        <v>1162</v>
      </c>
    </row>
    <row r="133" spans="1:7" outlineLevel="1" x14ac:dyDescent="0.15">
      <c r="A133" s="20"/>
      <c r="B133" s="184" t="s">
        <v>1050</v>
      </c>
      <c r="C133" s="100" t="s">
        <v>1163</v>
      </c>
      <c r="D133" s="100" t="s">
        <v>211</v>
      </c>
      <c r="E133" s="100">
        <v>0</v>
      </c>
      <c r="F133" s="100"/>
      <c r="G133" s="185" t="s">
        <v>1077</v>
      </c>
    </row>
    <row r="134" spans="1:7" outlineLevel="1" x14ac:dyDescent="0.15">
      <c r="A134" s="20"/>
      <c r="B134" s="184" t="s">
        <v>1051</v>
      </c>
      <c r="C134" s="100" t="s">
        <v>1164</v>
      </c>
      <c r="D134" s="100" t="s">
        <v>211</v>
      </c>
      <c r="E134" s="100">
        <v>0</v>
      </c>
      <c r="F134" s="100"/>
      <c r="G134" s="185" t="s">
        <v>1165</v>
      </c>
    </row>
    <row r="135" spans="1:7" outlineLevel="1" x14ac:dyDescent="0.15">
      <c r="A135" s="20"/>
      <c r="B135" s="184" t="s">
        <v>1059</v>
      </c>
      <c r="C135" s="100" t="s">
        <v>1133</v>
      </c>
      <c r="D135" s="100" t="s">
        <v>211</v>
      </c>
      <c r="E135" s="100">
        <v>0</v>
      </c>
      <c r="F135" s="100"/>
      <c r="G135" s="185" t="s">
        <v>1182</v>
      </c>
    </row>
    <row r="136" spans="1:7" outlineLevel="1" x14ac:dyDescent="0.15">
      <c r="A136" s="20"/>
      <c r="B136" s="184" t="s">
        <v>303</v>
      </c>
      <c r="C136" s="100" t="s">
        <v>1170</v>
      </c>
      <c r="D136" s="100" t="s">
        <v>1169</v>
      </c>
      <c r="E136" s="100">
        <v>0</v>
      </c>
      <c r="F136" s="100"/>
      <c r="G136" s="185"/>
    </row>
    <row r="137" spans="1:7" outlineLevel="1" x14ac:dyDescent="0.15">
      <c r="A137" s="20"/>
      <c r="B137" s="184" t="s">
        <v>1060</v>
      </c>
      <c r="C137" s="100" t="s">
        <v>1435</v>
      </c>
      <c r="D137" s="100" t="s">
        <v>1087</v>
      </c>
      <c r="E137" s="100">
        <v>0</v>
      </c>
      <c r="F137" s="100"/>
      <c r="G137" s="185"/>
    </row>
    <row r="138" spans="1:7" outlineLevel="1" x14ac:dyDescent="0.15">
      <c r="A138" s="20"/>
      <c r="B138" s="184" t="s">
        <v>375</v>
      </c>
      <c r="C138" s="100" t="s">
        <v>1078</v>
      </c>
      <c r="D138" s="100" t="s">
        <v>1169</v>
      </c>
      <c r="E138" s="100">
        <v>0</v>
      </c>
      <c r="F138" s="100"/>
      <c r="G138" s="185"/>
    </row>
    <row r="139" spans="1:7" outlineLevel="1" x14ac:dyDescent="0.15">
      <c r="A139" s="20"/>
      <c r="B139" s="184" t="s">
        <v>363</v>
      </c>
      <c r="C139" s="100" t="s">
        <v>1171</v>
      </c>
      <c r="D139" s="100" t="s">
        <v>1169</v>
      </c>
      <c r="E139" s="100">
        <v>0</v>
      </c>
      <c r="F139" s="100"/>
      <c r="G139" s="185"/>
    </row>
    <row r="140" spans="1:7" outlineLevel="1" x14ac:dyDescent="0.15">
      <c r="A140" s="20"/>
      <c r="B140" s="184" t="s">
        <v>364</v>
      </c>
      <c r="C140" s="100" t="s">
        <v>1088</v>
      </c>
      <c r="D140" s="100" t="s">
        <v>1172</v>
      </c>
      <c r="E140" s="100">
        <v>0</v>
      </c>
      <c r="F140" s="100"/>
      <c r="G140" s="185"/>
    </row>
    <row r="141" spans="1:7" outlineLevel="1" x14ac:dyDescent="0.15">
      <c r="A141" s="20"/>
      <c r="B141" s="184" t="s">
        <v>304</v>
      </c>
      <c r="C141" s="100" t="s">
        <v>1185</v>
      </c>
      <c r="D141" s="100" t="s">
        <v>1169</v>
      </c>
      <c r="E141" s="100">
        <v>0</v>
      </c>
      <c r="F141" s="100"/>
      <c r="G141" s="185"/>
    </row>
    <row r="142" spans="1:7" outlineLevel="1" x14ac:dyDescent="0.15">
      <c r="A142" s="20"/>
      <c r="B142" s="184" t="s">
        <v>305</v>
      </c>
      <c r="C142" s="100" t="s">
        <v>1181</v>
      </c>
      <c r="D142" s="100" t="s">
        <v>1169</v>
      </c>
      <c r="E142" s="100">
        <v>0</v>
      </c>
      <c r="F142" s="100"/>
      <c r="G142" s="185"/>
    </row>
    <row r="143" spans="1:7" outlineLevel="1" x14ac:dyDescent="0.15">
      <c r="A143" s="20"/>
      <c r="B143" s="84" t="s">
        <v>307</v>
      </c>
      <c r="C143" s="86" t="s">
        <v>1173</v>
      </c>
      <c r="D143" s="86" t="s">
        <v>1169</v>
      </c>
      <c r="E143" s="86">
        <v>0</v>
      </c>
      <c r="F143" s="86"/>
      <c r="G143" s="87"/>
    </row>
    <row r="144" spans="1:7" outlineLevel="1" x14ac:dyDescent="0.15">
      <c r="A144" s="20"/>
      <c r="B144" s="184" t="s">
        <v>306</v>
      </c>
      <c r="C144" s="100" t="s">
        <v>1128</v>
      </c>
      <c r="D144" s="100" t="s">
        <v>1169</v>
      </c>
      <c r="E144" s="100">
        <v>0</v>
      </c>
      <c r="F144" s="100"/>
      <c r="G144" s="185"/>
    </row>
    <row r="145" spans="1:7" s="7" customFormat="1" outlineLevel="1" x14ac:dyDescent="0.15">
      <c r="A145" s="2"/>
      <c r="B145" s="17" t="s">
        <v>2077</v>
      </c>
      <c r="C145" s="18" t="s">
        <v>2078</v>
      </c>
      <c r="D145" s="18" t="s">
        <v>2063</v>
      </c>
      <c r="E145" s="18">
        <v>0</v>
      </c>
      <c r="F145" s="18"/>
      <c r="G145" s="19"/>
    </row>
    <row r="146" spans="1:7" s="7" customFormat="1" outlineLevel="1" x14ac:dyDescent="0.15">
      <c r="A146" s="2"/>
      <c r="B146" s="17" t="s">
        <v>2079</v>
      </c>
      <c r="C146" s="18" t="s">
        <v>2080</v>
      </c>
      <c r="D146" s="18" t="s">
        <v>2063</v>
      </c>
      <c r="E146" s="18">
        <v>0</v>
      </c>
      <c r="F146" s="18"/>
      <c r="G146" s="19"/>
    </row>
    <row r="147" spans="1:7" outlineLevel="1" x14ac:dyDescent="0.15">
      <c r="A147" s="20"/>
      <c r="B147" s="184" t="s">
        <v>309</v>
      </c>
      <c r="C147" s="100" t="s">
        <v>1089</v>
      </c>
      <c r="D147" s="100" t="s">
        <v>1169</v>
      </c>
      <c r="E147" s="100">
        <v>0</v>
      </c>
      <c r="F147" s="100"/>
      <c r="G147" s="185"/>
    </row>
    <row r="148" spans="1:7" outlineLevel="1" x14ac:dyDescent="0.15">
      <c r="A148" s="20"/>
      <c r="B148" s="184" t="s">
        <v>310</v>
      </c>
      <c r="C148" s="100" t="s">
        <v>1174</v>
      </c>
      <c r="D148" s="100" t="s">
        <v>1169</v>
      </c>
      <c r="E148" s="100">
        <v>0</v>
      </c>
      <c r="F148" s="100"/>
      <c r="G148" s="185"/>
    </row>
    <row r="149" spans="1:7" outlineLevel="1" x14ac:dyDescent="0.15">
      <c r="A149" s="20"/>
      <c r="B149" s="184" t="s">
        <v>1052</v>
      </c>
      <c r="C149" s="100" t="s">
        <v>1175</v>
      </c>
      <c r="D149" s="100" t="s">
        <v>1169</v>
      </c>
      <c r="E149" s="100">
        <v>0</v>
      </c>
      <c r="F149" s="100"/>
      <c r="G149" s="185"/>
    </row>
    <row r="150" spans="1:7" outlineLevel="1" x14ac:dyDescent="0.15">
      <c r="A150" s="20"/>
      <c r="B150" s="184" t="s">
        <v>1053</v>
      </c>
      <c r="C150" s="100" t="s">
        <v>1186</v>
      </c>
      <c r="D150" s="100" t="s">
        <v>1169</v>
      </c>
      <c r="E150" s="100">
        <v>0</v>
      </c>
      <c r="F150" s="100"/>
      <c r="G150" s="185"/>
    </row>
    <row r="151" spans="1:7" outlineLevel="1" x14ac:dyDescent="0.15">
      <c r="A151" s="20"/>
      <c r="B151" s="184" t="s">
        <v>365</v>
      </c>
      <c r="C151" s="100" t="s">
        <v>1130</v>
      </c>
      <c r="D151" s="100" t="s">
        <v>1169</v>
      </c>
      <c r="E151" s="100">
        <v>0</v>
      </c>
      <c r="F151" s="100"/>
      <c r="G151" s="185"/>
    </row>
    <row r="152" spans="1:7" outlineLevel="1" x14ac:dyDescent="0.15">
      <c r="A152" s="20"/>
      <c r="B152" s="184" t="s">
        <v>23</v>
      </c>
      <c r="C152" s="100" t="s">
        <v>1091</v>
      </c>
      <c r="D152" s="100" t="s">
        <v>1131</v>
      </c>
      <c r="E152" s="100" t="s">
        <v>1074</v>
      </c>
      <c r="F152" s="100"/>
      <c r="G152" s="185"/>
    </row>
    <row r="153" spans="1:7" outlineLevel="1" x14ac:dyDescent="0.15">
      <c r="A153" s="20"/>
      <c r="B153" s="184" t="s">
        <v>367</v>
      </c>
      <c r="C153" s="100" t="s">
        <v>1176</v>
      </c>
      <c r="D153" s="100" t="s">
        <v>1169</v>
      </c>
      <c r="E153" s="100">
        <v>0</v>
      </c>
      <c r="F153" s="100"/>
      <c r="G153" s="185"/>
    </row>
    <row r="154" spans="1:7" outlineLevel="1" x14ac:dyDescent="0.15">
      <c r="A154" s="20"/>
      <c r="B154" s="184" t="s">
        <v>368</v>
      </c>
      <c r="C154" s="100" t="s">
        <v>1177</v>
      </c>
      <c r="D154" s="100" t="s">
        <v>1172</v>
      </c>
      <c r="E154" s="100">
        <v>0</v>
      </c>
      <c r="F154" s="100"/>
      <c r="G154" s="185"/>
    </row>
    <row r="155" spans="1:7" outlineLevel="1" x14ac:dyDescent="0.15">
      <c r="A155" s="20"/>
      <c r="B155" s="20" t="s">
        <v>1797</v>
      </c>
      <c r="C155" s="21" t="s">
        <v>1475</v>
      </c>
      <c r="D155" s="100" t="s">
        <v>1169</v>
      </c>
      <c r="E155" s="100">
        <v>0</v>
      </c>
      <c r="F155" s="100"/>
      <c r="G155" s="185"/>
    </row>
    <row r="156" spans="1:7" outlineLevel="1" x14ac:dyDescent="0.15">
      <c r="A156" s="20"/>
      <c r="B156" s="184" t="s">
        <v>370</v>
      </c>
      <c r="C156" s="100" t="s">
        <v>1183</v>
      </c>
      <c r="D156" s="100" t="s">
        <v>1172</v>
      </c>
      <c r="E156" s="100">
        <v>0</v>
      </c>
      <c r="F156" s="100"/>
      <c r="G156" s="185"/>
    </row>
    <row r="157" spans="1:7" outlineLevel="1" x14ac:dyDescent="0.15">
      <c r="A157" s="20"/>
      <c r="B157" s="184" t="s">
        <v>371</v>
      </c>
      <c r="C157" s="100" t="s">
        <v>1184</v>
      </c>
      <c r="D157" s="100" t="s">
        <v>1172</v>
      </c>
      <c r="E157" s="100">
        <v>0</v>
      </c>
      <c r="F157" s="100"/>
      <c r="G157" s="185"/>
    </row>
    <row r="158" spans="1:7" outlineLevel="1" x14ac:dyDescent="0.15">
      <c r="A158" s="20"/>
      <c r="B158" s="184" t="s">
        <v>175</v>
      </c>
      <c r="C158" s="100" t="s">
        <v>1129</v>
      </c>
      <c r="D158" s="100" t="s">
        <v>1169</v>
      </c>
      <c r="E158" s="100">
        <v>0</v>
      </c>
      <c r="F158" s="100"/>
      <c r="G158" s="185"/>
    </row>
    <row r="159" spans="1:7" s="7" customFormat="1" outlineLevel="1" x14ac:dyDescent="0.15">
      <c r="A159" s="20"/>
      <c r="B159" s="184" t="s">
        <v>176</v>
      </c>
      <c r="C159" s="100" t="s">
        <v>1132</v>
      </c>
      <c r="D159" s="100" t="s">
        <v>1169</v>
      </c>
      <c r="E159" s="100">
        <v>0</v>
      </c>
      <c r="F159" s="100"/>
      <c r="G159" s="185"/>
    </row>
    <row r="160" spans="1:7" s="7" customFormat="1" outlineLevel="1" x14ac:dyDescent="0.15">
      <c r="A160" s="20"/>
      <c r="B160" s="20" t="s">
        <v>1754</v>
      </c>
      <c r="C160" s="21" t="s">
        <v>1787</v>
      </c>
      <c r="D160" s="21" t="s">
        <v>1169</v>
      </c>
      <c r="E160" s="21">
        <v>0</v>
      </c>
      <c r="F160" s="21"/>
      <c r="G160" s="22"/>
    </row>
    <row r="161" spans="1:7" s="7" customFormat="1" outlineLevel="1" x14ac:dyDescent="0.15">
      <c r="A161" s="20"/>
      <c r="B161" s="20" t="s">
        <v>1791</v>
      </c>
      <c r="C161" s="21" t="s">
        <v>1816</v>
      </c>
      <c r="D161" s="21" t="s">
        <v>1169</v>
      </c>
      <c r="E161" s="21">
        <v>0</v>
      </c>
      <c r="F161" s="21"/>
      <c r="G161" s="22"/>
    </row>
    <row r="162" spans="1:7" outlineLevel="1" x14ac:dyDescent="0.15">
      <c r="A162" s="293"/>
      <c r="B162" s="20" t="s">
        <v>1792</v>
      </c>
      <c r="C162" s="21" t="s">
        <v>2075</v>
      </c>
      <c r="D162" s="21" t="s">
        <v>1169</v>
      </c>
      <c r="E162" s="21">
        <v>0</v>
      </c>
      <c r="F162" s="21"/>
      <c r="G162" s="22"/>
    </row>
    <row r="163" spans="1:7" outlineLevel="1" x14ac:dyDescent="0.15">
      <c r="B163" s="184" t="s">
        <v>1982</v>
      </c>
      <c r="C163" s="100" t="s">
        <v>1986</v>
      </c>
      <c r="D163" s="100" t="s">
        <v>1169</v>
      </c>
      <c r="E163" s="100">
        <v>0</v>
      </c>
      <c r="F163" s="100"/>
      <c r="G163" s="185"/>
    </row>
    <row r="164" spans="1:7" outlineLevel="1" x14ac:dyDescent="0.15">
      <c r="B164" s="290" t="s">
        <v>2057</v>
      </c>
      <c r="C164" s="291" t="s">
        <v>2064</v>
      </c>
      <c r="D164" s="291" t="s">
        <v>2063</v>
      </c>
      <c r="E164" s="291">
        <v>0</v>
      </c>
      <c r="F164" s="291"/>
      <c r="G164" s="185"/>
    </row>
    <row r="165" spans="1:7" outlineLevel="1" x14ac:dyDescent="0.15">
      <c r="B165" s="320" t="s">
        <v>2059</v>
      </c>
      <c r="C165" s="321" t="s">
        <v>2060</v>
      </c>
      <c r="D165" s="291" t="s">
        <v>2063</v>
      </c>
      <c r="E165" s="291">
        <v>0</v>
      </c>
      <c r="F165" s="291"/>
      <c r="G165" s="185"/>
    </row>
    <row r="166" spans="1:7" outlineLevel="1" x14ac:dyDescent="0.15">
      <c r="B166" s="320" t="s">
        <v>2061</v>
      </c>
      <c r="C166" s="321" t="s">
        <v>2062</v>
      </c>
      <c r="D166" s="291" t="s">
        <v>2063</v>
      </c>
      <c r="E166" s="291">
        <v>0</v>
      </c>
      <c r="F166" s="291"/>
      <c r="G166" s="185"/>
    </row>
    <row r="167" spans="1:7" outlineLevel="1" x14ac:dyDescent="0.15">
      <c r="B167" s="184" t="s">
        <v>2074</v>
      </c>
      <c r="C167" s="100" t="s">
        <v>2076</v>
      </c>
      <c r="D167" s="291" t="s">
        <v>2063</v>
      </c>
      <c r="E167" s="100">
        <v>0</v>
      </c>
      <c r="F167" s="100"/>
      <c r="G167" s="185"/>
    </row>
    <row r="168" spans="1:7" outlineLevel="1" x14ac:dyDescent="0.15">
      <c r="B168" s="322" t="s">
        <v>2081</v>
      </c>
      <c r="C168" s="323"/>
      <c r="D168" s="291"/>
      <c r="E168" s="291"/>
      <c r="F168" s="291"/>
      <c r="G168" s="185"/>
    </row>
    <row r="169" spans="1:7" ht="18" outlineLevel="1" thickBot="1" x14ac:dyDescent="0.2">
      <c r="B169" s="322" t="s">
        <v>2082</v>
      </c>
      <c r="C169" s="323"/>
      <c r="D169" s="291"/>
      <c r="E169" s="291"/>
      <c r="F169" s="291"/>
      <c r="G169" s="185"/>
    </row>
    <row r="170" spans="1:7" outlineLevel="1" x14ac:dyDescent="0.15">
      <c r="B170" s="324" t="s">
        <v>577</v>
      </c>
      <c r="C170" s="325"/>
      <c r="D170" s="325"/>
      <c r="E170" s="325"/>
      <c r="F170" s="325"/>
      <c r="G170" s="326"/>
    </row>
    <row r="171" spans="1:7" outlineLevel="1" x14ac:dyDescent="0.15">
      <c r="A171" s="1" t="s">
        <v>1058</v>
      </c>
      <c r="B171" s="88">
        <v>1</v>
      </c>
      <c r="C171" s="184" t="s">
        <v>1050</v>
      </c>
      <c r="D171" s="184" t="s">
        <v>1051</v>
      </c>
      <c r="E171" s="184" t="s">
        <v>1059</v>
      </c>
      <c r="F171" s="86"/>
      <c r="G171" s="87"/>
    </row>
    <row r="172" spans="1:7" outlineLevel="1" x14ac:dyDescent="0.15">
      <c r="B172" s="88"/>
      <c r="C172" s="93"/>
      <c r="D172" s="93"/>
      <c r="E172" s="93"/>
      <c r="F172" s="93"/>
      <c r="G172" s="94"/>
    </row>
    <row r="173" spans="1:7" outlineLevel="1" x14ac:dyDescent="0.15">
      <c r="B173" s="88"/>
      <c r="C173" s="93"/>
      <c r="D173" s="93"/>
      <c r="E173" s="93"/>
      <c r="F173" s="93"/>
      <c r="G173" s="94"/>
    </row>
    <row r="174" spans="1:7" ht="18" outlineLevel="1" thickBot="1" x14ac:dyDescent="0.2">
      <c r="B174" s="89"/>
      <c r="C174" s="90"/>
      <c r="D174" s="90"/>
      <c r="E174" s="90"/>
      <c r="F174" s="90"/>
      <c r="G174" s="91"/>
    </row>
    <row r="175" spans="1:7" ht="18" outlineLevel="1" thickBot="1" x14ac:dyDescent="0.2"/>
    <row r="176" spans="1:7" x14ac:dyDescent="0.15">
      <c r="B176" s="72" t="s">
        <v>563</v>
      </c>
      <c r="C176" s="275" t="s">
        <v>1160</v>
      </c>
      <c r="D176" s="74" t="s">
        <v>515</v>
      </c>
      <c r="E176" s="4" t="s">
        <v>1063</v>
      </c>
      <c r="F176" s="74" t="s">
        <v>567</v>
      </c>
      <c r="G176" s="75"/>
    </row>
    <row r="177" spans="1:7" ht="18" outlineLevel="1" thickBot="1" x14ac:dyDescent="0.2">
      <c r="B177" s="178" t="s">
        <v>570</v>
      </c>
      <c r="C177" s="179"/>
      <c r="D177" s="180" t="s">
        <v>568</v>
      </c>
      <c r="E177" s="179" t="s">
        <v>615</v>
      </c>
      <c r="F177" s="180"/>
      <c r="G177" s="181"/>
    </row>
    <row r="178" spans="1:7" outlineLevel="1" x14ac:dyDescent="0.15">
      <c r="B178" s="182" t="s">
        <v>571</v>
      </c>
      <c r="C178" s="183" t="s">
        <v>572</v>
      </c>
      <c r="D178" s="183" t="s">
        <v>573</v>
      </c>
      <c r="E178" s="183"/>
      <c r="F178" s="183" t="s">
        <v>3</v>
      </c>
      <c r="G178" s="237" t="s">
        <v>4</v>
      </c>
    </row>
    <row r="179" spans="1:7" outlineLevel="1" x14ac:dyDescent="0.15">
      <c r="A179" s="20"/>
      <c r="B179" s="184" t="s">
        <v>5</v>
      </c>
      <c r="C179" s="100" t="s">
        <v>1127</v>
      </c>
      <c r="D179" s="100" t="s">
        <v>211</v>
      </c>
      <c r="E179" s="100" t="s">
        <v>1141</v>
      </c>
      <c r="F179" s="100"/>
      <c r="G179" s="185" t="s">
        <v>1162</v>
      </c>
    </row>
    <row r="180" spans="1:7" outlineLevel="1" x14ac:dyDescent="0.15">
      <c r="A180" s="20"/>
      <c r="B180" s="184" t="s">
        <v>16</v>
      </c>
      <c r="C180" s="100" t="s">
        <v>1163</v>
      </c>
      <c r="D180" s="100" t="s">
        <v>211</v>
      </c>
      <c r="E180" s="100">
        <v>0</v>
      </c>
      <c r="F180" s="100"/>
      <c r="G180" s="185" t="s">
        <v>1077</v>
      </c>
    </row>
    <row r="181" spans="1:7" outlineLevel="1" x14ac:dyDescent="0.15">
      <c r="A181" s="20"/>
      <c r="B181" s="184" t="s">
        <v>111</v>
      </c>
      <c r="C181" s="100" t="s">
        <v>1164</v>
      </c>
      <c r="D181" s="100" t="s">
        <v>211</v>
      </c>
      <c r="E181" s="100">
        <v>0</v>
      </c>
      <c r="F181" s="100"/>
      <c r="G181" s="185" t="s">
        <v>1165</v>
      </c>
    </row>
    <row r="182" spans="1:7" outlineLevel="1" x14ac:dyDescent="0.15">
      <c r="A182" s="20"/>
      <c r="B182" s="184" t="s">
        <v>123</v>
      </c>
      <c r="C182" s="100" t="s">
        <v>1133</v>
      </c>
      <c r="D182" s="100" t="s">
        <v>211</v>
      </c>
      <c r="E182" s="100">
        <v>0</v>
      </c>
      <c r="F182" s="100"/>
      <c r="G182" s="185" t="s">
        <v>1182</v>
      </c>
    </row>
    <row r="183" spans="1:7" outlineLevel="1" x14ac:dyDescent="0.15">
      <c r="A183" s="20"/>
      <c r="B183" s="184" t="s">
        <v>303</v>
      </c>
      <c r="C183" s="100" t="s">
        <v>1170</v>
      </c>
      <c r="D183" s="100" t="s">
        <v>1169</v>
      </c>
      <c r="E183" s="100">
        <v>0</v>
      </c>
      <c r="F183" s="100"/>
      <c r="G183" s="185"/>
    </row>
    <row r="184" spans="1:7" outlineLevel="1" x14ac:dyDescent="0.15">
      <c r="A184" s="20"/>
      <c r="B184" s="184" t="s">
        <v>169</v>
      </c>
      <c r="C184" s="100" t="s">
        <v>1435</v>
      </c>
      <c r="D184" s="100" t="s">
        <v>1087</v>
      </c>
      <c r="E184" s="100">
        <v>0</v>
      </c>
      <c r="F184" s="100"/>
      <c r="G184" s="185"/>
    </row>
    <row r="185" spans="1:7" outlineLevel="1" x14ac:dyDescent="0.15">
      <c r="A185" s="20"/>
      <c r="B185" s="184" t="s">
        <v>375</v>
      </c>
      <c r="C185" s="100" t="s">
        <v>1078</v>
      </c>
      <c r="D185" s="100" t="s">
        <v>1169</v>
      </c>
      <c r="E185" s="100">
        <v>0</v>
      </c>
      <c r="F185" s="100"/>
      <c r="G185" s="185"/>
    </row>
    <row r="186" spans="1:7" outlineLevel="1" x14ac:dyDescent="0.15">
      <c r="A186" s="20"/>
      <c r="B186" s="184" t="s">
        <v>363</v>
      </c>
      <c r="C186" s="100" t="s">
        <v>1171</v>
      </c>
      <c r="D186" s="100" t="s">
        <v>1169</v>
      </c>
      <c r="E186" s="100">
        <v>0</v>
      </c>
      <c r="F186" s="100"/>
      <c r="G186" s="185"/>
    </row>
    <row r="187" spans="1:7" outlineLevel="1" x14ac:dyDescent="0.15">
      <c r="A187" s="20"/>
      <c r="B187" s="184" t="s">
        <v>364</v>
      </c>
      <c r="C187" s="100" t="s">
        <v>1088</v>
      </c>
      <c r="D187" s="100" t="s">
        <v>1172</v>
      </c>
      <c r="E187" s="100">
        <v>0</v>
      </c>
      <c r="F187" s="100"/>
      <c r="G187" s="185"/>
    </row>
    <row r="188" spans="1:7" outlineLevel="1" x14ac:dyDescent="0.15">
      <c r="A188" s="20"/>
      <c r="B188" s="184" t="s">
        <v>304</v>
      </c>
      <c r="C188" s="100" t="s">
        <v>1185</v>
      </c>
      <c r="D188" s="100" t="s">
        <v>1169</v>
      </c>
      <c r="E188" s="100">
        <v>0</v>
      </c>
      <c r="F188" s="100"/>
      <c r="G188" s="185"/>
    </row>
    <row r="189" spans="1:7" outlineLevel="1" x14ac:dyDescent="0.15">
      <c r="A189" s="20"/>
      <c r="B189" s="184" t="s">
        <v>305</v>
      </c>
      <c r="C189" s="100" t="s">
        <v>1181</v>
      </c>
      <c r="D189" s="100" t="s">
        <v>1169</v>
      </c>
      <c r="E189" s="100">
        <v>0</v>
      </c>
      <c r="F189" s="100"/>
      <c r="G189" s="185"/>
    </row>
    <row r="190" spans="1:7" outlineLevel="1" x14ac:dyDescent="0.15">
      <c r="A190" s="20"/>
      <c r="B190" s="84" t="s">
        <v>307</v>
      </c>
      <c r="C190" s="86" t="s">
        <v>1173</v>
      </c>
      <c r="D190" s="86" t="s">
        <v>1169</v>
      </c>
      <c r="E190" s="86">
        <v>0</v>
      </c>
      <c r="F190" s="86"/>
      <c r="G190" s="87"/>
    </row>
    <row r="191" spans="1:7" outlineLevel="1" x14ac:dyDescent="0.15">
      <c r="A191" s="20"/>
      <c r="B191" s="184" t="s">
        <v>306</v>
      </c>
      <c r="C191" s="100" t="s">
        <v>1128</v>
      </c>
      <c r="D191" s="100" t="s">
        <v>1169</v>
      </c>
      <c r="E191" s="100">
        <v>0</v>
      </c>
      <c r="F191" s="100"/>
      <c r="G191" s="185"/>
    </row>
    <row r="192" spans="1:7" s="7" customFormat="1" outlineLevel="1" x14ac:dyDescent="0.15">
      <c r="A192" s="2"/>
      <c r="B192" s="17" t="s">
        <v>2077</v>
      </c>
      <c r="C192" s="18" t="s">
        <v>2078</v>
      </c>
      <c r="D192" s="18" t="s">
        <v>2063</v>
      </c>
      <c r="E192" s="18">
        <v>0</v>
      </c>
      <c r="F192" s="18"/>
      <c r="G192" s="19"/>
    </row>
    <row r="193" spans="1:7" s="7" customFormat="1" outlineLevel="1" x14ac:dyDescent="0.15">
      <c r="A193" s="2"/>
      <c r="B193" s="17" t="s">
        <v>2079</v>
      </c>
      <c r="C193" s="18" t="s">
        <v>2080</v>
      </c>
      <c r="D193" s="18" t="s">
        <v>2063</v>
      </c>
      <c r="E193" s="18">
        <v>0</v>
      </c>
      <c r="F193" s="18"/>
      <c r="G193" s="19"/>
    </row>
    <row r="194" spans="1:7" outlineLevel="1" x14ac:dyDescent="0.15">
      <c r="A194" s="20"/>
      <c r="B194" s="184" t="s">
        <v>309</v>
      </c>
      <c r="C194" s="100" t="s">
        <v>1089</v>
      </c>
      <c r="D194" s="100" t="s">
        <v>1169</v>
      </c>
      <c r="E194" s="100">
        <v>0</v>
      </c>
      <c r="F194" s="100"/>
      <c r="G194" s="185"/>
    </row>
    <row r="195" spans="1:7" outlineLevel="1" x14ac:dyDescent="0.15">
      <c r="A195" s="20"/>
      <c r="B195" s="184" t="s">
        <v>310</v>
      </c>
      <c r="C195" s="100" t="s">
        <v>1174</v>
      </c>
      <c r="D195" s="100" t="s">
        <v>1169</v>
      </c>
      <c r="E195" s="100">
        <v>0</v>
      </c>
      <c r="F195" s="100"/>
      <c r="G195" s="185"/>
    </row>
    <row r="196" spans="1:7" outlineLevel="1" x14ac:dyDescent="0.15">
      <c r="A196" s="20"/>
      <c r="B196" s="184" t="s">
        <v>1052</v>
      </c>
      <c r="C196" s="100" t="s">
        <v>1175</v>
      </c>
      <c r="D196" s="100" t="s">
        <v>1169</v>
      </c>
      <c r="E196" s="100">
        <v>0</v>
      </c>
      <c r="F196" s="100"/>
      <c r="G196" s="185"/>
    </row>
    <row r="197" spans="1:7" outlineLevel="1" x14ac:dyDescent="0.15">
      <c r="A197" s="20"/>
      <c r="B197" s="184" t="s">
        <v>1053</v>
      </c>
      <c r="C197" s="100" t="s">
        <v>1186</v>
      </c>
      <c r="D197" s="100" t="s">
        <v>1169</v>
      </c>
      <c r="E197" s="100">
        <v>0</v>
      </c>
      <c r="F197" s="100"/>
      <c r="G197" s="185"/>
    </row>
    <row r="198" spans="1:7" outlineLevel="1" x14ac:dyDescent="0.15">
      <c r="A198" s="20"/>
      <c r="B198" s="184" t="s">
        <v>365</v>
      </c>
      <c r="C198" s="100" t="s">
        <v>1130</v>
      </c>
      <c r="D198" s="100" t="s">
        <v>1169</v>
      </c>
      <c r="E198" s="100">
        <v>0</v>
      </c>
      <c r="F198" s="100"/>
      <c r="G198" s="185"/>
    </row>
    <row r="199" spans="1:7" outlineLevel="1" x14ac:dyDescent="0.15">
      <c r="A199" s="20"/>
      <c r="B199" s="184" t="s">
        <v>23</v>
      </c>
      <c r="C199" s="100" t="s">
        <v>1091</v>
      </c>
      <c r="D199" s="100" t="s">
        <v>1131</v>
      </c>
      <c r="E199" s="100" t="s">
        <v>1074</v>
      </c>
      <c r="F199" s="100"/>
      <c r="G199" s="185"/>
    </row>
    <row r="200" spans="1:7" outlineLevel="1" x14ac:dyDescent="0.15">
      <c r="A200" s="20"/>
      <c r="B200" s="184" t="s">
        <v>367</v>
      </c>
      <c r="C200" s="100" t="s">
        <v>1176</v>
      </c>
      <c r="D200" s="100" t="s">
        <v>1169</v>
      </c>
      <c r="E200" s="100">
        <v>0</v>
      </c>
      <c r="F200" s="100"/>
      <c r="G200" s="185"/>
    </row>
    <row r="201" spans="1:7" outlineLevel="1" x14ac:dyDescent="0.15">
      <c r="A201" s="20"/>
      <c r="B201" s="184" t="s">
        <v>368</v>
      </c>
      <c r="C201" s="100" t="s">
        <v>1177</v>
      </c>
      <c r="D201" s="100" t="s">
        <v>1172</v>
      </c>
      <c r="E201" s="100">
        <v>0</v>
      </c>
      <c r="F201" s="100"/>
      <c r="G201" s="185"/>
    </row>
    <row r="202" spans="1:7" outlineLevel="1" x14ac:dyDescent="0.15">
      <c r="A202" s="20"/>
      <c r="B202" s="20" t="s">
        <v>1797</v>
      </c>
      <c r="C202" s="21" t="s">
        <v>1475</v>
      </c>
      <c r="D202" s="100" t="s">
        <v>1169</v>
      </c>
      <c r="E202" s="100">
        <v>0</v>
      </c>
      <c r="F202" s="100"/>
      <c r="G202" s="185"/>
    </row>
    <row r="203" spans="1:7" outlineLevel="1" x14ac:dyDescent="0.15">
      <c r="A203" s="20"/>
      <c r="B203" s="184" t="s">
        <v>370</v>
      </c>
      <c r="C203" s="100" t="s">
        <v>1183</v>
      </c>
      <c r="D203" s="100" t="s">
        <v>1172</v>
      </c>
      <c r="E203" s="100">
        <v>0</v>
      </c>
      <c r="F203" s="100"/>
      <c r="G203" s="185"/>
    </row>
    <row r="204" spans="1:7" outlineLevel="1" x14ac:dyDescent="0.15">
      <c r="A204" s="20"/>
      <c r="B204" s="184" t="s">
        <v>371</v>
      </c>
      <c r="C204" s="100" t="s">
        <v>1184</v>
      </c>
      <c r="D204" s="100" t="s">
        <v>1172</v>
      </c>
      <c r="E204" s="100">
        <v>0</v>
      </c>
      <c r="F204" s="100"/>
      <c r="G204" s="185"/>
    </row>
    <row r="205" spans="1:7" outlineLevel="1" x14ac:dyDescent="0.15">
      <c r="A205" s="20"/>
      <c r="B205" s="184" t="s">
        <v>175</v>
      </c>
      <c r="C205" s="100" t="s">
        <v>1129</v>
      </c>
      <c r="D205" s="100" t="s">
        <v>1169</v>
      </c>
      <c r="E205" s="100">
        <v>0</v>
      </c>
      <c r="F205" s="100"/>
      <c r="G205" s="185"/>
    </row>
    <row r="206" spans="1:7" s="7" customFormat="1" outlineLevel="1" x14ac:dyDescent="0.15">
      <c r="A206" s="20"/>
      <c r="B206" s="184" t="s">
        <v>176</v>
      </c>
      <c r="C206" s="100" t="s">
        <v>1132</v>
      </c>
      <c r="D206" s="100" t="s">
        <v>1169</v>
      </c>
      <c r="E206" s="100">
        <v>0</v>
      </c>
      <c r="F206" s="100"/>
      <c r="G206" s="185"/>
    </row>
    <row r="207" spans="1:7" s="7" customFormat="1" outlineLevel="1" x14ac:dyDescent="0.15">
      <c r="A207" s="20"/>
      <c r="B207" s="20" t="s">
        <v>1754</v>
      </c>
      <c r="C207" s="21" t="s">
        <v>1787</v>
      </c>
      <c r="D207" s="21" t="s">
        <v>1169</v>
      </c>
      <c r="E207" s="21">
        <v>0</v>
      </c>
      <c r="F207" s="21"/>
      <c r="G207" s="22"/>
    </row>
    <row r="208" spans="1:7" s="7" customFormat="1" outlineLevel="1" x14ac:dyDescent="0.15">
      <c r="A208" s="20"/>
      <c r="B208" s="20" t="s">
        <v>1791</v>
      </c>
      <c r="C208" s="21" t="s">
        <v>1816</v>
      </c>
      <c r="D208" s="21" t="s">
        <v>1169</v>
      </c>
      <c r="E208" s="21">
        <v>0</v>
      </c>
      <c r="F208" s="21"/>
      <c r="G208" s="22"/>
    </row>
    <row r="209" spans="1:7" outlineLevel="1" x14ac:dyDescent="0.15">
      <c r="A209" s="293"/>
      <c r="B209" s="20" t="s">
        <v>1792</v>
      </c>
      <c r="C209" s="21" t="s">
        <v>1817</v>
      </c>
      <c r="D209" s="21" t="s">
        <v>1169</v>
      </c>
      <c r="E209" s="21">
        <v>0</v>
      </c>
      <c r="F209" s="21"/>
      <c r="G209" s="22"/>
    </row>
    <row r="210" spans="1:7" outlineLevel="1" x14ac:dyDescent="0.15">
      <c r="B210" s="184" t="s">
        <v>1982</v>
      </c>
      <c r="C210" s="100" t="s">
        <v>1986</v>
      </c>
      <c r="D210" s="100" t="s">
        <v>1169</v>
      </c>
      <c r="E210" s="100">
        <v>0</v>
      </c>
      <c r="F210" s="100"/>
      <c r="G210" s="185"/>
    </row>
    <row r="211" spans="1:7" outlineLevel="1" x14ac:dyDescent="0.15">
      <c r="B211" s="290" t="s">
        <v>2058</v>
      </c>
      <c r="C211" s="291" t="s">
        <v>2064</v>
      </c>
      <c r="D211" s="291" t="s">
        <v>2063</v>
      </c>
      <c r="E211" s="291">
        <v>0</v>
      </c>
      <c r="F211" s="291"/>
      <c r="G211" s="185"/>
    </row>
    <row r="212" spans="1:7" outlineLevel="1" x14ac:dyDescent="0.15">
      <c r="B212" s="320" t="s">
        <v>2059</v>
      </c>
      <c r="C212" s="321" t="s">
        <v>2060</v>
      </c>
      <c r="D212" s="291" t="s">
        <v>2063</v>
      </c>
      <c r="E212" s="291">
        <v>0</v>
      </c>
      <c r="F212" s="291"/>
      <c r="G212" s="185"/>
    </row>
    <row r="213" spans="1:7" outlineLevel="1" x14ac:dyDescent="0.15">
      <c r="B213" s="320" t="s">
        <v>2061</v>
      </c>
      <c r="C213" s="321" t="s">
        <v>2062</v>
      </c>
      <c r="D213" s="291" t="s">
        <v>2063</v>
      </c>
      <c r="E213" s="291">
        <v>0</v>
      </c>
      <c r="F213" s="291"/>
      <c r="G213" s="185"/>
    </row>
    <row r="214" spans="1:7" outlineLevel="1" x14ac:dyDescent="0.15">
      <c r="B214" s="184" t="s">
        <v>2074</v>
      </c>
      <c r="C214" s="100" t="s">
        <v>2076</v>
      </c>
      <c r="D214" s="291" t="s">
        <v>2063</v>
      </c>
      <c r="E214" s="100">
        <v>0</v>
      </c>
      <c r="F214" s="100"/>
      <c r="G214" s="185"/>
    </row>
    <row r="215" spans="1:7" outlineLevel="1" x14ac:dyDescent="0.15">
      <c r="B215" s="322" t="s">
        <v>2081</v>
      </c>
      <c r="C215" s="323"/>
      <c r="D215" s="291"/>
      <c r="E215" s="291"/>
      <c r="F215" s="291"/>
      <c r="G215" s="185"/>
    </row>
    <row r="216" spans="1:7" ht="18" outlineLevel="1" thickBot="1" x14ac:dyDescent="0.2">
      <c r="B216" s="322" t="s">
        <v>2082</v>
      </c>
      <c r="C216" s="323"/>
      <c r="D216" s="291"/>
      <c r="E216" s="291"/>
      <c r="F216" s="291"/>
      <c r="G216" s="185"/>
    </row>
    <row r="217" spans="1:7" outlineLevel="1" x14ac:dyDescent="0.15">
      <c r="B217" s="324" t="s">
        <v>577</v>
      </c>
      <c r="C217" s="325"/>
      <c r="D217" s="325"/>
      <c r="E217" s="325"/>
      <c r="F217" s="325"/>
      <c r="G217" s="326"/>
    </row>
    <row r="218" spans="1:7" outlineLevel="1" x14ac:dyDescent="0.15">
      <c r="A218" s="1" t="s">
        <v>1058</v>
      </c>
      <c r="B218" s="88">
        <v>1</v>
      </c>
      <c r="C218" s="184" t="s">
        <v>5</v>
      </c>
      <c r="D218" s="184" t="s">
        <v>1050</v>
      </c>
      <c r="E218" s="184" t="s">
        <v>1051</v>
      </c>
      <c r="F218" s="184" t="s">
        <v>1059</v>
      </c>
      <c r="G218" s="87"/>
    </row>
    <row r="219" spans="1:7" outlineLevel="1" x14ac:dyDescent="0.15">
      <c r="B219" s="88"/>
      <c r="C219" s="93"/>
      <c r="D219" s="93"/>
      <c r="E219" s="93"/>
      <c r="F219" s="93"/>
      <c r="G219" s="94"/>
    </row>
    <row r="220" spans="1:7" outlineLevel="1" x14ac:dyDescent="0.15">
      <c r="B220" s="88"/>
      <c r="C220" s="93"/>
      <c r="D220" s="93"/>
      <c r="E220" s="93"/>
      <c r="F220" s="93"/>
      <c r="G220" s="94"/>
    </row>
    <row r="221" spans="1:7" ht="18" outlineLevel="1" thickBot="1" x14ac:dyDescent="0.2">
      <c r="B221" s="89"/>
      <c r="C221" s="90"/>
      <c r="D221" s="90"/>
      <c r="E221" s="90"/>
      <c r="F221" s="90"/>
      <c r="G221" s="91"/>
    </row>
    <row r="222" spans="1:7" ht="18" outlineLevel="1" thickBot="1" x14ac:dyDescent="0.2"/>
    <row r="223" spans="1:7" ht="18" thickBot="1" x14ac:dyDescent="0.2">
      <c r="B223" s="72" t="s">
        <v>563</v>
      </c>
      <c r="C223" s="235" t="s">
        <v>1983</v>
      </c>
      <c r="D223" s="74" t="s">
        <v>515</v>
      </c>
      <c r="E223" s="21" t="s">
        <v>1984</v>
      </c>
      <c r="F223" s="74" t="s">
        <v>567</v>
      </c>
      <c r="G223" s="75"/>
    </row>
    <row r="224" spans="1:7" ht="18" hidden="1" outlineLevel="1" thickBot="1" x14ac:dyDescent="0.2">
      <c r="B224" s="178" t="s">
        <v>570</v>
      </c>
      <c r="C224" s="179"/>
      <c r="D224" s="180" t="s">
        <v>568</v>
      </c>
      <c r="E224" s="179" t="s">
        <v>615</v>
      </c>
      <c r="F224" s="180"/>
      <c r="G224" s="181"/>
    </row>
    <row r="225" spans="2:7" hidden="1" outlineLevel="1" x14ac:dyDescent="0.15">
      <c r="B225" s="182" t="s">
        <v>571</v>
      </c>
      <c r="C225" s="183" t="s">
        <v>572</v>
      </c>
      <c r="D225" s="183" t="s">
        <v>573</v>
      </c>
      <c r="E225" s="183"/>
      <c r="F225" s="183" t="s">
        <v>3</v>
      </c>
      <c r="G225" s="237" t="s">
        <v>4</v>
      </c>
    </row>
    <row r="226" spans="2:7" hidden="1" outlineLevel="1" x14ac:dyDescent="0.15">
      <c r="B226" s="184" t="s">
        <v>5</v>
      </c>
      <c r="C226" s="100" t="s">
        <v>1127</v>
      </c>
      <c r="D226" s="100" t="s">
        <v>211</v>
      </c>
      <c r="E226" s="100" t="s">
        <v>1141</v>
      </c>
      <c r="F226" s="100"/>
      <c r="G226" s="185" t="s">
        <v>1162</v>
      </c>
    </row>
    <row r="227" spans="2:7" hidden="1" outlineLevel="1" x14ac:dyDescent="0.15">
      <c r="B227" s="184" t="s">
        <v>16</v>
      </c>
      <c r="C227" s="100" t="s">
        <v>1163</v>
      </c>
      <c r="D227" s="100" t="s">
        <v>211</v>
      </c>
      <c r="E227" s="100">
        <v>0</v>
      </c>
      <c r="F227" s="100"/>
      <c r="G227" s="185" t="s">
        <v>1077</v>
      </c>
    </row>
    <row r="228" spans="2:7" hidden="1" outlineLevel="1" x14ac:dyDescent="0.15">
      <c r="B228" s="184" t="s">
        <v>111</v>
      </c>
      <c r="C228" s="100" t="s">
        <v>1164</v>
      </c>
      <c r="D228" s="100" t="s">
        <v>211</v>
      </c>
      <c r="E228" s="100">
        <v>0</v>
      </c>
      <c r="F228" s="100"/>
      <c r="G228" s="185" t="s">
        <v>1165</v>
      </c>
    </row>
    <row r="229" spans="2:7" hidden="1" outlineLevel="1" x14ac:dyDescent="0.15">
      <c r="B229" s="184" t="s">
        <v>1049</v>
      </c>
      <c r="C229" s="100" t="s">
        <v>1188</v>
      </c>
      <c r="D229" s="100" t="s">
        <v>211</v>
      </c>
      <c r="E229" s="100">
        <v>0</v>
      </c>
      <c r="F229" s="100"/>
      <c r="G229" s="185"/>
    </row>
    <row r="230" spans="2:7" hidden="1" outlineLevel="1" x14ac:dyDescent="0.15">
      <c r="B230" s="184" t="s">
        <v>386</v>
      </c>
      <c r="C230" s="100" t="s">
        <v>1191</v>
      </c>
      <c r="D230" s="100" t="s">
        <v>211</v>
      </c>
      <c r="E230" s="100">
        <v>0</v>
      </c>
      <c r="F230" s="100"/>
      <c r="G230" s="185" t="s">
        <v>1192</v>
      </c>
    </row>
    <row r="231" spans="2:7" hidden="1" outlineLevel="1" x14ac:dyDescent="0.15">
      <c r="B231" s="184" t="s">
        <v>19</v>
      </c>
      <c r="C231" s="100" t="s">
        <v>1337</v>
      </c>
      <c r="D231" s="100" t="s">
        <v>1219</v>
      </c>
      <c r="E231" s="100" t="s">
        <v>1072</v>
      </c>
      <c r="F231" s="100"/>
      <c r="G231" s="185" t="s">
        <v>1338</v>
      </c>
    </row>
    <row r="232" spans="2:7" hidden="1" outlineLevel="1" x14ac:dyDescent="0.15">
      <c r="B232" s="184" t="s">
        <v>7</v>
      </c>
      <c r="C232" s="100" t="s">
        <v>1190</v>
      </c>
      <c r="D232" s="100" t="s">
        <v>211</v>
      </c>
      <c r="E232" s="100">
        <v>0</v>
      </c>
      <c r="F232" s="100"/>
      <c r="G232" s="185" t="s">
        <v>1081</v>
      </c>
    </row>
    <row r="233" spans="2:7" hidden="1" outlineLevel="1" x14ac:dyDescent="0.15">
      <c r="B233" s="184" t="s">
        <v>78</v>
      </c>
      <c r="C233" s="100" t="s">
        <v>1189</v>
      </c>
      <c r="D233" s="100" t="s">
        <v>211</v>
      </c>
      <c r="E233" s="100">
        <v>0</v>
      </c>
      <c r="F233" s="100"/>
      <c r="G233" s="185"/>
    </row>
    <row r="234" spans="2:7" hidden="1" outlineLevel="1" x14ac:dyDescent="0.15">
      <c r="B234" s="184" t="s">
        <v>8</v>
      </c>
      <c r="C234" s="100" t="s">
        <v>1193</v>
      </c>
      <c r="D234" s="100" t="s">
        <v>1087</v>
      </c>
      <c r="E234" s="100">
        <v>0</v>
      </c>
      <c r="F234" s="100"/>
      <c r="G234" s="185" t="s">
        <v>1194</v>
      </c>
    </row>
    <row r="235" spans="2:7" hidden="1" outlineLevel="1" x14ac:dyDescent="0.15">
      <c r="B235" s="184" t="s">
        <v>9</v>
      </c>
      <c r="C235" s="100" t="s">
        <v>1195</v>
      </c>
      <c r="D235" s="100" t="s">
        <v>1087</v>
      </c>
      <c r="E235" s="100">
        <v>0</v>
      </c>
      <c r="F235" s="100"/>
      <c r="G235" s="185" t="s">
        <v>1196</v>
      </c>
    </row>
    <row r="236" spans="2:7" hidden="1" outlineLevel="1" x14ac:dyDescent="0.15">
      <c r="B236" s="184" t="s">
        <v>162</v>
      </c>
      <c r="C236" s="100" t="s">
        <v>1214</v>
      </c>
      <c r="D236" s="100" t="s">
        <v>1169</v>
      </c>
      <c r="E236" s="100">
        <v>0</v>
      </c>
      <c r="F236" s="100"/>
      <c r="G236" s="185"/>
    </row>
    <row r="237" spans="2:7" hidden="1" outlineLevel="1" x14ac:dyDescent="0.15">
      <c r="B237" s="184" t="s">
        <v>1104</v>
      </c>
      <c r="C237" s="100" t="s">
        <v>1134</v>
      </c>
      <c r="D237" s="100" t="s">
        <v>1087</v>
      </c>
      <c r="E237" s="100">
        <v>0</v>
      </c>
      <c r="F237" s="100"/>
      <c r="G237" s="185"/>
    </row>
    <row r="238" spans="2:7" hidden="1" outlineLevel="1" x14ac:dyDescent="0.15">
      <c r="B238" s="184" t="s">
        <v>10</v>
      </c>
      <c r="C238" s="100" t="s">
        <v>1197</v>
      </c>
      <c r="D238" s="100" t="s">
        <v>1087</v>
      </c>
      <c r="E238" s="100">
        <v>0</v>
      </c>
      <c r="F238" s="100"/>
      <c r="G238" s="185" t="s">
        <v>1144</v>
      </c>
    </row>
    <row r="239" spans="2:7" hidden="1" outlineLevel="1" x14ac:dyDescent="0.15">
      <c r="B239" s="184" t="s">
        <v>11</v>
      </c>
      <c r="C239" s="100" t="s">
        <v>1198</v>
      </c>
      <c r="D239" s="100" t="s">
        <v>1087</v>
      </c>
      <c r="E239" s="100">
        <v>0</v>
      </c>
      <c r="F239" s="100"/>
      <c r="G239" s="185" t="s">
        <v>1080</v>
      </c>
    </row>
    <row r="240" spans="2:7" hidden="1" outlineLevel="1" x14ac:dyDescent="0.15">
      <c r="B240" s="184" t="s">
        <v>1105</v>
      </c>
      <c r="C240" s="100" t="s">
        <v>1083</v>
      </c>
      <c r="D240" s="100" t="s">
        <v>1087</v>
      </c>
      <c r="E240" s="100">
        <v>0</v>
      </c>
      <c r="F240" s="100"/>
      <c r="G240" s="185"/>
    </row>
    <row r="241" spans="2:7" hidden="1" outlineLevel="1" x14ac:dyDescent="0.15">
      <c r="B241" s="184" t="s">
        <v>1106</v>
      </c>
      <c r="C241" s="100" t="s">
        <v>1135</v>
      </c>
      <c r="D241" s="100" t="s">
        <v>1087</v>
      </c>
      <c r="E241" s="100">
        <v>0</v>
      </c>
      <c r="F241" s="100"/>
      <c r="G241" s="185"/>
    </row>
    <row r="242" spans="2:7" hidden="1" outlineLevel="1" x14ac:dyDescent="0.15">
      <c r="B242" s="184" t="s">
        <v>404</v>
      </c>
      <c r="C242" s="100" t="s">
        <v>1335</v>
      </c>
      <c r="D242" s="100" t="s">
        <v>1087</v>
      </c>
      <c r="E242" s="100">
        <v>0</v>
      </c>
      <c r="F242" s="100"/>
      <c r="G242" s="185"/>
    </row>
    <row r="243" spans="2:7" hidden="1" outlineLevel="1" x14ac:dyDescent="0.15">
      <c r="B243" s="184" t="s">
        <v>405</v>
      </c>
      <c r="C243" s="100" t="s">
        <v>1199</v>
      </c>
      <c r="D243" s="100" t="s">
        <v>1087</v>
      </c>
      <c r="E243" s="100">
        <v>0</v>
      </c>
      <c r="F243" s="100"/>
      <c r="G243" s="185"/>
    </row>
    <row r="244" spans="2:7" hidden="1" outlineLevel="1" x14ac:dyDescent="0.15">
      <c r="B244" s="184" t="s">
        <v>1107</v>
      </c>
      <c r="C244" s="100" t="s">
        <v>1145</v>
      </c>
      <c r="D244" s="100" t="s">
        <v>1087</v>
      </c>
      <c r="E244" s="100">
        <v>0</v>
      </c>
      <c r="F244" s="100"/>
      <c r="G244" s="185"/>
    </row>
    <row r="245" spans="2:7" hidden="1" outlineLevel="1" x14ac:dyDescent="0.15">
      <c r="B245" s="184" t="s">
        <v>1108</v>
      </c>
      <c r="C245" s="100" t="s">
        <v>1136</v>
      </c>
      <c r="D245" s="100" t="s">
        <v>1087</v>
      </c>
      <c r="E245" s="100">
        <v>0</v>
      </c>
      <c r="F245" s="100"/>
      <c r="G245" s="185"/>
    </row>
    <row r="246" spans="2:7" hidden="1" outlineLevel="1" x14ac:dyDescent="0.15">
      <c r="B246" s="184" t="s">
        <v>408</v>
      </c>
      <c r="C246" s="100" t="s">
        <v>1200</v>
      </c>
      <c r="D246" s="100" t="s">
        <v>1087</v>
      </c>
      <c r="E246" s="100">
        <v>0</v>
      </c>
      <c r="F246" s="100"/>
      <c r="G246" s="185"/>
    </row>
    <row r="247" spans="2:7" hidden="1" outlineLevel="1" x14ac:dyDescent="0.15">
      <c r="B247" s="184" t="s">
        <v>409</v>
      </c>
      <c r="C247" s="100" t="s">
        <v>1201</v>
      </c>
      <c r="D247" s="100" t="s">
        <v>1087</v>
      </c>
      <c r="E247" s="100">
        <v>0</v>
      </c>
      <c r="F247" s="100"/>
      <c r="G247" s="185"/>
    </row>
    <row r="248" spans="2:7" hidden="1" outlineLevel="1" x14ac:dyDescent="0.15">
      <c r="B248" s="184" t="s">
        <v>410</v>
      </c>
      <c r="C248" s="100" t="s">
        <v>1137</v>
      </c>
      <c r="D248" s="100" t="s">
        <v>1087</v>
      </c>
      <c r="E248" s="100">
        <v>0</v>
      </c>
      <c r="F248" s="100"/>
      <c r="G248" s="185"/>
    </row>
    <row r="249" spans="2:7" hidden="1" outlineLevel="1" x14ac:dyDescent="0.15">
      <c r="B249" s="184" t="s">
        <v>411</v>
      </c>
      <c r="C249" s="100" t="s">
        <v>1138</v>
      </c>
      <c r="D249" s="100" t="s">
        <v>1087</v>
      </c>
      <c r="E249" s="100">
        <v>0</v>
      </c>
      <c r="F249" s="100"/>
      <c r="G249" s="185"/>
    </row>
    <row r="250" spans="2:7" hidden="1" outlineLevel="1" x14ac:dyDescent="0.15">
      <c r="B250" s="184" t="s">
        <v>412</v>
      </c>
      <c r="C250" s="100" t="s">
        <v>1202</v>
      </c>
      <c r="D250" s="100" t="s">
        <v>1087</v>
      </c>
      <c r="E250" s="100">
        <v>0</v>
      </c>
      <c r="F250" s="100"/>
      <c r="G250" s="185"/>
    </row>
    <row r="251" spans="2:7" hidden="1" outlineLevel="1" x14ac:dyDescent="0.15">
      <c r="B251" s="184" t="s">
        <v>1109</v>
      </c>
      <c r="C251" s="100" t="s">
        <v>1139</v>
      </c>
      <c r="D251" s="100" t="s">
        <v>1087</v>
      </c>
      <c r="E251" s="100">
        <v>0</v>
      </c>
      <c r="F251" s="100"/>
      <c r="G251" s="185"/>
    </row>
    <row r="252" spans="2:7" hidden="1" outlineLevel="1" x14ac:dyDescent="0.15">
      <c r="B252" s="184" t="s">
        <v>387</v>
      </c>
      <c r="C252" s="100" t="s">
        <v>1203</v>
      </c>
      <c r="D252" s="100" t="s">
        <v>1087</v>
      </c>
      <c r="E252" s="100">
        <v>0</v>
      </c>
      <c r="F252" s="100"/>
      <c r="G252" s="185"/>
    </row>
    <row r="253" spans="2:7" hidden="1" outlineLevel="1" x14ac:dyDescent="0.15">
      <c r="B253" s="184" t="s">
        <v>388</v>
      </c>
      <c r="C253" s="100" t="s">
        <v>1204</v>
      </c>
      <c r="D253" s="100" t="s">
        <v>1087</v>
      </c>
      <c r="E253" s="100">
        <v>0</v>
      </c>
      <c r="F253" s="100"/>
      <c r="G253" s="185"/>
    </row>
    <row r="254" spans="2:7" hidden="1" outlineLevel="1" x14ac:dyDescent="0.15">
      <c r="B254" s="184" t="s">
        <v>116</v>
      </c>
      <c r="C254" s="100" t="s">
        <v>1213</v>
      </c>
      <c r="D254" s="100" t="s">
        <v>1169</v>
      </c>
      <c r="E254" s="100">
        <v>0</v>
      </c>
      <c r="F254" s="100"/>
      <c r="G254" s="185"/>
    </row>
    <row r="255" spans="2:7" hidden="1" outlineLevel="1" x14ac:dyDescent="0.15">
      <c r="B255" s="184" t="s">
        <v>12</v>
      </c>
      <c r="C255" s="100" t="s">
        <v>1143</v>
      </c>
      <c r="D255" s="100" t="s">
        <v>1169</v>
      </c>
      <c r="E255" s="100">
        <v>0</v>
      </c>
      <c r="F255" s="100"/>
      <c r="G255" s="185"/>
    </row>
    <row r="256" spans="2:7" hidden="1" outlineLevel="1" x14ac:dyDescent="0.15">
      <c r="B256" s="184" t="s">
        <v>13</v>
      </c>
      <c r="C256" s="100" t="s">
        <v>1205</v>
      </c>
      <c r="D256" s="100" t="s">
        <v>1169</v>
      </c>
      <c r="E256" s="100">
        <v>0</v>
      </c>
      <c r="F256" s="100"/>
      <c r="G256" s="185"/>
    </row>
    <row r="257" spans="1:7" hidden="1" outlineLevel="1" x14ac:dyDescent="0.15">
      <c r="B257" s="184" t="s">
        <v>14</v>
      </c>
      <c r="C257" s="100" t="s">
        <v>1206</v>
      </c>
      <c r="D257" s="100" t="s">
        <v>1169</v>
      </c>
      <c r="E257" s="100">
        <v>0</v>
      </c>
      <c r="F257" s="100"/>
      <c r="G257" s="185"/>
    </row>
    <row r="258" spans="1:7" hidden="1" outlineLevel="1" x14ac:dyDescent="0.15">
      <c r="B258" s="184" t="s">
        <v>1064</v>
      </c>
      <c r="C258" s="100" t="s">
        <v>1207</v>
      </c>
      <c r="D258" s="100" t="s">
        <v>1087</v>
      </c>
      <c r="E258" s="100">
        <v>0</v>
      </c>
      <c r="F258" s="100"/>
      <c r="G258" s="185"/>
    </row>
    <row r="259" spans="1:7" hidden="1" outlineLevel="1" x14ac:dyDescent="0.15">
      <c r="B259" s="184" t="s">
        <v>1065</v>
      </c>
      <c r="C259" s="100" t="s">
        <v>1530</v>
      </c>
      <c r="D259" s="100" t="s">
        <v>1169</v>
      </c>
      <c r="E259" s="100">
        <v>0</v>
      </c>
      <c r="F259" s="100"/>
      <c r="G259" s="185"/>
    </row>
    <row r="260" spans="1:7" hidden="1" outlineLevel="1" x14ac:dyDescent="0.15">
      <c r="B260" s="184" t="s">
        <v>303</v>
      </c>
      <c r="C260" s="100" t="s">
        <v>1170</v>
      </c>
      <c r="D260" s="100" t="s">
        <v>1169</v>
      </c>
      <c r="E260" s="100">
        <v>0</v>
      </c>
      <c r="F260" s="100"/>
      <c r="G260" s="185"/>
    </row>
    <row r="261" spans="1:7" hidden="1" outlineLevel="1" x14ac:dyDescent="0.15">
      <c r="B261" s="184" t="s">
        <v>742</v>
      </c>
      <c r="C261" s="100" t="s">
        <v>1208</v>
      </c>
      <c r="D261" s="100" t="s">
        <v>1087</v>
      </c>
      <c r="E261" s="100">
        <v>0</v>
      </c>
      <c r="F261" s="100"/>
      <c r="G261" s="185"/>
    </row>
    <row r="262" spans="1:7" hidden="1" outlineLevel="1" x14ac:dyDescent="0.15">
      <c r="B262" s="184" t="s">
        <v>1066</v>
      </c>
      <c r="C262" s="100" t="s">
        <v>1209</v>
      </c>
      <c r="D262" s="100" t="s">
        <v>1169</v>
      </c>
      <c r="E262" s="100">
        <v>0</v>
      </c>
      <c r="F262" s="100"/>
      <c r="G262" s="185"/>
    </row>
    <row r="263" spans="1:7" hidden="1" outlineLevel="1" x14ac:dyDescent="0.15">
      <c r="B263" s="184" t="s">
        <v>744</v>
      </c>
      <c r="C263" s="100" t="s">
        <v>1210</v>
      </c>
      <c r="D263" s="100" t="s">
        <v>1211</v>
      </c>
      <c r="E263" s="100">
        <v>0</v>
      </c>
      <c r="F263" s="100"/>
      <c r="G263" s="185"/>
    </row>
    <row r="264" spans="1:7" hidden="1" outlineLevel="1" x14ac:dyDescent="0.15">
      <c r="B264" s="184" t="s">
        <v>743</v>
      </c>
      <c r="C264" s="100" t="s">
        <v>1212</v>
      </c>
      <c r="D264" s="100" t="s">
        <v>1211</v>
      </c>
      <c r="E264" s="100">
        <v>0</v>
      </c>
      <c r="F264" s="100"/>
      <c r="G264" s="185"/>
    </row>
    <row r="265" spans="1:7" hidden="1" outlineLevel="1" x14ac:dyDescent="0.15">
      <c r="B265" s="88" t="s">
        <v>35</v>
      </c>
      <c r="C265" s="86" t="s">
        <v>1236</v>
      </c>
      <c r="D265" s="86" t="s">
        <v>1211</v>
      </c>
      <c r="E265" s="86">
        <v>0</v>
      </c>
      <c r="F265" s="86"/>
      <c r="G265" s="87"/>
    </row>
    <row r="266" spans="1:7" hidden="1" outlineLevel="1" x14ac:dyDescent="0.15">
      <c r="B266" s="88" t="s">
        <v>32</v>
      </c>
      <c r="C266" s="86" t="s">
        <v>1112</v>
      </c>
      <c r="D266" s="86" t="s">
        <v>1211</v>
      </c>
      <c r="E266" s="86">
        <v>0</v>
      </c>
      <c r="F266" s="86"/>
      <c r="G266" s="87"/>
    </row>
    <row r="267" spans="1:7" hidden="1" outlineLevel="1" x14ac:dyDescent="0.15">
      <c r="B267" s="88" t="s">
        <v>389</v>
      </c>
      <c r="C267" s="86" t="s">
        <v>1477</v>
      </c>
      <c r="D267" s="86" t="s">
        <v>1211</v>
      </c>
      <c r="E267" s="86">
        <v>0</v>
      </c>
      <c r="F267" s="86"/>
      <c r="G267" s="87" t="s">
        <v>1478</v>
      </c>
    </row>
    <row r="268" spans="1:7" hidden="1" outlineLevel="1" x14ac:dyDescent="0.15">
      <c r="B268" s="184" t="s">
        <v>1070</v>
      </c>
      <c r="C268" s="100" t="s">
        <v>1079</v>
      </c>
      <c r="D268" s="100" t="s">
        <v>1172</v>
      </c>
      <c r="E268" s="100">
        <v>0</v>
      </c>
      <c r="F268" s="100"/>
      <c r="G268" s="185"/>
    </row>
    <row r="269" spans="1:7" ht="18" hidden="1" outlineLevel="1" thickBot="1" x14ac:dyDescent="0.2">
      <c r="B269" s="290"/>
      <c r="C269" s="291"/>
      <c r="D269" s="291"/>
      <c r="E269" s="291"/>
      <c r="F269" s="291"/>
      <c r="G269" s="185"/>
    </row>
    <row r="270" spans="1:7" hidden="1" outlineLevel="1" x14ac:dyDescent="0.15">
      <c r="B270" s="317" t="s">
        <v>577</v>
      </c>
      <c r="C270" s="318"/>
      <c r="D270" s="318"/>
      <c r="E270" s="318"/>
      <c r="F270" s="318"/>
      <c r="G270" s="319"/>
    </row>
    <row r="271" spans="1:7" hidden="1" outlineLevel="1" x14ac:dyDescent="0.15">
      <c r="A271" s="1" t="s">
        <v>62</v>
      </c>
      <c r="B271" s="88">
        <v>1</v>
      </c>
      <c r="C271" s="184" t="s">
        <v>16</v>
      </c>
      <c r="D271" s="184" t="s">
        <v>111</v>
      </c>
      <c r="E271" s="184" t="s">
        <v>1049</v>
      </c>
      <c r="F271" s="184" t="s">
        <v>386</v>
      </c>
      <c r="G271" s="184"/>
    </row>
    <row r="272" spans="1:7" hidden="1" outlineLevel="1" x14ac:dyDescent="0.15">
      <c r="B272" s="88"/>
      <c r="C272" s="93"/>
      <c r="D272" s="93"/>
      <c r="E272" s="93"/>
      <c r="F272" s="184"/>
      <c r="G272" s="94"/>
    </row>
    <row r="273" spans="2:7" hidden="1" outlineLevel="1" x14ac:dyDescent="0.15">
      <c r="B273" s="88"/>
      <c r="C273" s="93"/>
      <c r="D273" s="93"/>
      <c r="E273" s="93"/>
      <c r="F273" s="93"/>
      <c r="G273" s="94"/>
    </row>
    <row r="274" spans="2:7" ht="18" hidden="1" outlineLevel="1" thickBot="1" x14ac:dyDescent="0.2">
      <c r="B274" s="89"/>
      <c r="C274" s="90"/>
      <c r="D274" s="90"/>
      <c r="E274" s="90"/>
      <c r="F274" s="90"/>
      <c r="G274" s="91"/>
    </row>
    <row r="275" spans="2:7" ht="18" hidden="1" outlineLevel="1" thickBot="1" x14ac:dyDescent="0.2"/>
    <row r="276" spans="2:7" ht="18" collapsed="1" thickBot="1" x14ac:dyDescent="0.2">
      <c r="B276" s="72" t="s">
        <v>563</v>
      </c>
      <c r="C276" s="235" t="s">
        <v>1985</v>
      </c>
      <c r="D276" s="74" t="s">
        <v>515</v>
      </c>
      <c r="E276" s="21" t="s">
        <v>2005</v>
      </c>
      <c r="F276" s="74" t="s">
        <v>567</v>
      </c>
      <c r="G276" s="75"/>
    </row>
    <row r="277" spans="2:7" ht="18" hidden="1" outlineLevel="1" thickBot="1" x14ac:dyDescent="0.2">
      <c r="B277" s="178" t="s">
        <v>570</v>
      </c>
      <c r="C277" s="179"/>
      <c r="D277" s="180" t="s">
        <v>568</v>
      </c>
      <c r="E277" s="179" t="s">
        <v>615</v>
      </c>
      <c r="F277" s="180"/>
      <c r="G277" s="181"/>
    </row>
    <row r="278" spans="2:7" hidden="1" outlineLevel="1" x14ac:dyDescent="0.15">
      <c r="B278" s="182" t="s">
        <v>571</v>
      </c>
      <c r="C278" s="183" t="s">
        <v>572</v>
      </c>
      <c r="D278" s="183" t="s">
        <v>573</v>
      </c>
      <c r="E278" s="183"/>
      <c r="F278" s="183" t="s">
        <v>3</v>
      </c>
      <c r="G278" s="237" t="s">
        <v>4</v>
      </c>
    </row>
    <row r="279" spans="2:7" hidden="1" outlineLevel="1" x14ac:dyDescent="0.15">
      <c r="B279" s="184" t="s">
        <v>5</v>
      </c>
      <c r="C279" s="100" t="s">
        <v>1127</v>
      </c>
      <c r="D279" s="100" t="s">
        <v>211</v>
      </c>
      <c r="E279" s="100" t="s">
        <v>1141</v>
      </c>
      <c r="F279" s="100"/>
      <c r="G279" s="185" t="s">
        <v>1162</v>
      </c>
    </row>
    <row r="280" spans="2:7" hidden="1" outlineLevel="1" x14ac:dyDescent="0.15">
      <c r="B280" s="184" t="s">
        <v>16</v>
      </c>
      <c r="C280" s="100" t="s">
        <v>1163</v>
      </c>
      <c r="D280" s="100" t="s">
        <v>211</v>
      </c>
      <c r="E280" s="100">
        <v>0</v>
      </c>
      <c r="F280" s="100"/>
      <c r="G280" s="185" t="s">
        <v>1077</v>
      </c>
    </row>
    <row r="281" spans="2:7" hidden="1" outlineLevel="1" x14ac:dyDescent="0.15">
      <c r="B281" s="184" t="s">
        <v>111</v>
      </c>
      <c r="C281" s="100" t="s">
        <v>1164</v>
      </c>
      <c r="D281" s="100" t="s">
        <v>211</v>
      </c>
      <c r="E281" s="100">
        <v>0</v>
      </c>
      <c r="F281" s="100"/>
      <c r="G281" s="185" t="s">
        <v>1165</v>
      </c>
    </row>
    <row r="282" spans="2:7" hidden="1" outlineLevel="1" x14ac:dyDescent="0.15">
      <c r="B282" s="184" t="s">
        <v>1049</v>
      </c>
      <c r="C282" s="100" t="s">
        <v>1188</v>
      </c>
      <c r="D282" s="100" t="s">
        <v>211</v>
      </c>
      <c r="E282" s="100">
        <v>0</v>
      </c>
      <c r="F282" s="100"/>
      <c r="G282" s="185"/>
    </row>
    <row r="283" spans="2:7" hidden="1" outlineLevel="1" x14ac:dyDescent="0.15">
      <c r="B283" s="184" t="s">
        <v>386</v>
      </c>
      <c r="C283" s="100" t="s">
        <v>1191</v>
      </c>
      <c r="D283" s="100" t="s">
        <v>211</v>
      </c>
      <c r="E283" s="100">
        <v>0</v>
      </c>
      <c r="F283" s="100"/>
      <c r="G283" s="185" t="s">
        <v>1192</v>
      </c>
    </row>
    <row r="284" spans="2:7" hidden="1" outlineLevel="1" x14ac:dyDescent="0.15">
      <c r="B284" s="184" t="s">
        <v>19</v>
      </c>
      <c r="C284" s="100" t="s">
        <v>1337</v>
      </c>
      <c r="D284" s="100" t="s">
        <v>1219</v>
      </c>
      <c r="E284" s="100" t="s">
        <v>1072</v>
      </c>
      <c r="F284" s="100"/>
      <c r="G284" s="185" t="s">
        <v>1338</v>
      </c>
    </row>
    <row r="285" spans="2:7" hidden="1" outlineLevel="1" x14ac:dyDescent="0.15">
      <c r="B285" s="184" t="s">
        <v>7</v>
      </c>
      <c r="C285" s="100" t="s">
        <v>1190</v>
      </c>
      <c r="D285" s="100" t="s">
        <v>211</v>
      </c>
      <c r="E285" s="100">
        <v>0</v>
      </c>
      <c r="F285" s="100"/>
      <c r="G285" s="185" t="s">
        <v>1081</v>
      </c>
    </row>
    <row r="286" spans="2:7" hidden="1" outlineLevel="1" x14ac:dyDescent="0.15">
      <c r="B286" s="184" t="s">
        <v>78</v>
      </c>
      <c r="C286" s="100" t="s">
        <v>1189</v>
      </c>
      <c r="D286" s="100" t="s">
        <v>211</v>
      </c>
      <c r="E286" s="100">
        <v>0</v>
      </c>
      <c r="F286" s="100"/>
      <c r="G286" s="185"/>
    </row>
    <row r="287" spans="2:7" hidden="1" outlineLevel="1" x14ac:dyDescent="0.15">
      <c r="B287" s="184" t="s">
        <v>8</v>
      </c>
      <c r="C287" s="100" t="s">
        <v>1193</v>
      </c>
      <c r="D287" s="100" t="s">
        <v>1087</v>
      </c>
      <c r="E287" s="100">
        <v>0</v>
      </c>
      <c r="F287" s="100"/>
      <c r="G287" s="185" t="s">
        <v>1194</v>
      </c>
    </row>
    <row r="288" spans="2:7" hidden="1" outlineLevel="1" x14ac:dyDescent="0.15">
      <c r="B288" s="184" t="s">
        <v>9</v>
      </c>
      <c r="C288" s="100" t="s">
        <v>1195</v>
      </c>
      <c r="D288" s="100" t="s">
        <v>1087</v>
      </c>
      <c r="E288" s="100">
        <v>0</v>
      </c>
      <c r="F288" s="100"/>
      <c r="G288" s="185" t="s">
        <v>1196</v>
      </c>
    </row>
    <row r="289" spans="2:7" hidden="1" outlineLevel="1" x14ac:dyDescent="0.15">
      <c r="B289" s="184" t="s">
        <v>162</v>
      </c>
      <c r="C289" s="100" t="s">
        <v>1214</v>
      </c>
      <c r="D289" s="100" t="s">
        <v>1169</v>
      </c>
      <c r="E289" s="100">
        <v>0</v>
      </c>
      <c r="F289" s="100"/>
      <c r="G289" s="185"/>
    </row>
    <row r="290" spans="2:7" hidden="1" outlineLevel="1" x14ac:dyDescent="0.15">
      <c r="B290" s="184" t="s">
        <v>1104</v>
      </c>
      <c r="C290" s="100" t="s">
        <v>1134</v>
      </c>
      <c r="D290" s="100" t="s">
        <v>1087</v>
      </c>
      <c r="E290" s="100">
        <v>0</v>
      </c>
      <c r="F290" s="100"/>
      <c r="G290" s="185"/>
    </row>
    <row r="291" spans="2:7" hidden="1" outlineLevel="1" x14ac:dyDescent="0.15">
      <c r="B291" s="184" t="s">
        <v>10</v>
      </c>
      <c r="C291" s="100" t="s">
        <v>1197</v>
      </c>
      <c r="D291" s="100" t="s">
        <v>1087</v>
      </c>
      <c r="E291" s="100">
        <v>0</v>
      </c>
      <c r="F291" s="100"/>
      <c r="G291" s="185" t="s">
        <v>1144</v>
      </c>
    </row>
    <row r="292" spans="2:7" hidden="1" outlineLevel="1" x14ac:dyDescent="0.15">
      <c r="B292" s="184" t="s">
        <v>11</v>
      </c>
      <c r="C292" s="100" t="s">
        <v>1198</v>
      </c>
      <c r="D292" s="100" t="s">
        <v>1087</v>
      </c>
      <c r="E292" s="100">
        <v>0</v>
      </c>
      <c r="F292" s="100"/>
      <c r="G292" s="185" t="s">
        <v>1080</v>
      </c>
    </row>
    <row r="293" spans="2:7" hidden="1" outlineLevel="1" x14ac:dyDescent="0.15">
      <c r="B293" s="184" t="s">
        <v>1105</v>
      </c>
      <c r="C293" s="100" t="s">
        <v>1083</v>
      </c>
      <c r="D293" s="100" t="s">
        <v>1087</v>
      </c>
      <c r="E293" s="100">
        <v>0</v>
      </c>
      <c r="F293" s="100"/>
      <c r="G293" s="185"/>
    </row>
    <row r="294" spans="2:7" hidden="1" outlineLevel="1" x14ac:dyDescent="0.15">
      <c r="B294" s="184" t="s">
        <v>1106</v>
      </c>
      <c r="C294" s="100" t="s">
        <v>1135</v>
      </c>
      <c r="D294" s="100" t="s">
        <v>1087</v>
      </c>
      <c r="E294" s="100">
        <v>0</v>
      </c>
      <c r="F294" s="100"/>
      <c r="G294" s="185"/>
    </row>
    <row r="295" spans="2:7" hidden="1" outlineLevel="1" x14ac:dyDescent="0.15">
      <c r="B295" s="184" t="s">
        <v>404</v>
      </c>
      <c r="C295" s="100" t="s">
        <v>1335</v>
      </c>
      <c r="D295" s="100" t="s">
        <v>1087</v>
      </c>
      <c r="E295" s="100">
        <v>0</v>
      </c>
      <c r="F295" s="100"/>
      <c r="G295" s="185"/>
    </row>
    <row r="296" spans="2:7" hidden="1" outlineLevel="1" x14ac:dyDescent="0.15">
      <c r="B296" s="184" t="s">
        <v>405</v>
      </c>
      <c r="C296" s="100" t="s">
        <v>1199</v>
      </c>
      <c r="D296" s="100" t="s">
        <v>1087</v>
      </c>
      <c r="E296" s="100">
        <v>0</v>
      </c>
      <c r="F296" s="100"/>
      <c r="G296" s="185"/>
    </row>
    <row r="297" spans="2:7" hidden="1" outlineLevel="1" x14ac:dyDescent="0.15">
      <c r="B297" s="184" t="s">
        <v>1107</v>
      </c>
      <c r="C297" s="100" t="s">
        <v>1145</v>
      </c>
      <c r="D297" s="100" t="s">
        <v>1087</v>
      </c>
      <c r="E297" s="100">
        <v>0</v>
      </c>
      <c r="F297" s="100"/>
      <c r="G297" s="185"/>
    </row>
    <row r="298" spans="2:7" hidden="1" outlineLevel="1" x14ac:dyDescent="0.15">
      <c r="B298" s="184" t="s">
        <v>1108</v>
      </c>
      <c r="C298" s="100" t="s">
        <v>1136</v>
      </c>
      <c r="D298" s="100" t="s">
        <v>1087</v>
      </c>
      <c r="E298" s="100">
        <v>0</v>
      </c>
      <c r="F298" s="100"/>
      <c r="G298" s="185"/>
    </row>
    <row r="299" spans="2:7" hidden="1" outlineLevel="1" x14ac:dyDescent="0.15">
      <c r="B299" s="184" t="s">
        <v>408</v>
      </c>
      <c r="C299" s="100" t="s">
        <v>1200</v>
      </c>
      <c r="D299" s="100" t="s">
        <v>1087</v>
      </c>
      <c r="E299" s="100">
        <v>0</v>
      </c>
      <c r="F299" s="100"/>
      <c r="G299" s="185"/>
    </row>
    <row r="300" spans="2:7" hidden="1" outlineLevel="1" x14ac:dyDescent="0.15">
      <c r="B300" s="184" t="s">
        <v>409</v>
      </c>
      <c r="C300" s="100" t="s">
        <v>1201</v>
      </c>
      <c r="D300" s="100" t="s">
        <v>1087</v>
      </c>
      <c r="E300" s="100">
        <v>0</v>
      </c>
      <c r="F300" s="100"/>
      <c r="G300" s="185"/>
    </row>
    <row r="301" spans="2:7" hidden="1" outlineLevel="1" x14ac:dyDescent="0.15">
      <c r="B301" s="184" t="s">
        <v>410</v>
      </c>
      <c r="C301" s="100" t="s">
        <v>1137</v>
      </c>
      <c r="D301" s="100" t="s">
        <v>1087</v>
      </c>
      <c r="E301" s="100">
        <v>0</v>
      </c>
      <c r="F301" s="100"/>
      <c r="G301" s="185"/>
    </row>
    <row r="302" spans="2:7" hidden="1" outlineLevel="1" x14ac:dyDescent="0.15">
      <c r="B302" s="184" t="s">
        <v>411</v>
      </c>
      <c r="C302" s="100" t="s">
        <v>1138</v>
      </c>
      <c r="D302" s="100" t="s">
        <v>1087</v>
      </c>
      <c r="E302" s="100">
        <v>0</v>
      </c>
      <c r="F302" s="100"/>
      <c r="G302" s="185"/>
    </row>
    <row r="303" spans="2:7" hidden="1" outlineLevel="1" x14ac:dyDescent="0.15">
      <c r="B303" s="184" t="s">
        <v>412</v>
      </c>
      <c r="C303" s="100" t="s">
        <v>1202</v>
      </c>
      <c r="D303" s="100" t="s">
        <v>1087</v>
      </c>
      <c r="E303" s="100">
        <v>0</v>
      </c>
      <c r="F303" s="100"/>
      <c r="G303" s="185"/>
    </row>
    <row r="304" spans="2:7" hidden="1" outlineLevel="1" x14ac:dyDescent="0.15">
      <c r="B304" s="184" t="s">
        <v>1109</v>
      </c>
      <c r="C304" s="100" t="s">
        <v>1139</v>
      </c>
      <c r="D304" s="100" t="s">
        <v>1087</v>
      </c>
      <c r="E304" s="100">
        <v>0</v>
      </c>
      <c r="F304" s="100"/>
      <c r="G304" s="185"/>
    </row>
    <row r="305" spans="2:7" hidden="1" outlineLevel="1" x14ac:dyDescent="0.15">
      <c r="B305" s="184" t="s">
        <v>387</v>
      </c>
      <c r="C305" s="100" t="s">
        <v>1203</v>
      </c>
      <c r="D305" s="100" t="s">
        <v>1087</v>
      </c>
      <c r="E305" s="100">
        <v>0</v>
      </c>
      <c r="F305" s="100"/>
      <c r="G305" s="185"/>
    </row>
    <row r="306" spans="2:7" hidden="1" outlineLevel="1" x14ac:dyDescent="0.15">
      <c r="B306" s="184" t="s">
        <v>388</v>
      </c>
      <c r="C306" s="100" t="s">
        <v>1204</v>
      </c>
      <c r="D306" s="100" t="s">
        <v>1087</v>
      </c>
      <c r="E306" s="100">
        <v>0</v>
      </c>
      <c r="F306" s="100"/>
      <c r="G306" s="185"/>
    </row>
    <row r="307" spans="2:7" hidden="1" outlineLevel="1" x14ac:dyDescent="0.15">
      <c r="B307" s="184" t="s">
        <v>116</v>
      </c>
      <c r="C307" s="100" t="s">
        <v>1213</v>
      </c>
      <c r="D307" s="100" t="s">
        <v>1169</v>
      </c>
      <c r="E307" s="100">
        <v>0</v>
      </c>
      <c r="F307" s="100"/>
      <c r="G307" s="185"/>
    </row>
    <row r="308" spans="2:7" hidden="1" outlineLevel="1" x14ac:dyDescent="0.15">
      <c r="B308" s="184" t="s">
        <v>12</v>
      </c>
      <c r="C308" s="100" t="s">
        <v>1143</v>
      </c>
      <c r="D308" s="100" t="s">
        <v>1169</v>
      </c>
      <c r="E308" s="100">
        <v>0</v>
      </c>
      <c r="F308" s="100"/>
      <c r="G308" s="185"/>
    </row>
    <row r="309" spans="2:7" hidden="1" outlineLevel="1" x14ac:dyDescent="0.15">
      <c r="B309" s="184" t="s">
        <v>13</v>
      </c>
      <c r="C309" s="100" t="s">
        <v>1205</v>
      </c>
      <c r="D309" s="100" t="s">
        <v>1169</v>
      </c>
      <c r="E309" s="100">
        <v>0</v>
      </c>
      <c r="F309" s="100"/>
      <c r="G309" s="185"/>
    </row>
    <row r="310" spans="2:7" hidden="1" outlineLevel="1" x14ac:dyDescent="0.15">
      <c r="B310" s="184" t="s">
        <v>14</v>
      </c>
      <c r="C310" s="100" t="s">
        <v>1206</v>
      </c>
      <c r="D310" s="100" t="s">
        <v>1169</v>
      </c>
      <c r="E310" s="100">
        <v>0</v>
      </c>
      <c r="F310" s="100"/>
      <c r="G310" s="185"/>
    </row>
    <row r="311" spans="2:7" hidden="1" outlineLevel="1" x14ac:dyDescent="0.15">
      <c r="B311" s="184" t="s">
        <v>1064</v>
      </c>
      <c r="C311" s="100" t="s">
        <v>1207</v>
      </c>
      <c r="D311" s="100" t="s">
        <v>1087</v>
      </c>
      <c r="E311" s="100">
        <v>0</v>
      </c>
      <c r="F311" s="100"/>
      <c r="G311" s="185"/>
    </row>
    <row r="312" spans="2:7" hidden="1" outlineLevel="1" x14ac:dyDescent="0.15">
      <c r="B312" s="184" t="s">
        <v>1065</v>
      </c>
      <c r="C312" s="100" t="s">
        <v>1530</v>
      </c>
      <c r="D312" s="100" t="s">
        <v>1169</v>
      </c>
      <c r="E312" s="100">
        <v>0</v>
      </c>
      <c r="F312" s="100"/>
      <c r="G312" s="185"/>
    </row>
    <row r="313" spans="2:7" hidden="1" outlineLevel="1" x14ac:dyDescent="0.15">
      <c r="B313" s="184" t="s">
        <v>303</v>
      </c>
      <c r="C313" s="100" t="s">
        <v>1170</v>
      </c>
      <c r="D313" s="100" t="s">
        <v>1169</v>
      </c>
      <c r="E313" s="100">
        <v>0</v>
      </c>
      <c r="F313" s="100"/>
      <c r="G313" s="185"/>
    </row>
    <row r="314" spans="2:7" hidden="1" outlineLevel="1" x14ac:dyDescent="0.15">
      <c r="B314" s="184" t="s">
        <v>742</v>
      </c>
      <c r="C314" s="100" t="s">
        <v>1208</v>
      </c>
      <c r="D314" s="100" t="s">
        <v>1087</v>
      </c>
      <c r="E314" s="100">
        <v>0</v>
      </c>
      <c r="F314" s="100"/>
      <c r="G314" s="185"/>
    </row>
    <row r="315" spans="2:7" hidden="1" outlineLevel="1" x14ac:dyDescent="0.15">
      <c r="B315" s="184" t="s">
        <v>1066</v>
      </c>
      <c r="C315" s="100" t="s">
        <v>1209</v>
      </c>
      <c r="D315" s="100" t="s">
        <v>1169</v>
      </c>
      <c r="E315" s="100">
        <v>0</v>
      </c>
      <c r="F315" s="100"/>
      <c r="G315" s="185"/>
    </row>
    <row r="316" spans="2:7" hidden="1" outlineLevel="1" x14ac:dyDescent="0.15">
      <c r="B316" s="184" t="s">
        <v>744</v>
      </c>
      <c r="C316" s="100" t="s">
        <v>1210</v>
      </c>
      <c r="D316" s="100" t="s">
        <v>1211</v>
      </c>
      <c r="E316" s="100">
        <v>0</v>
      </c>
      <c r="F316" s="100"/>
      <c r="G316" s="185"/>
    </row>
    <row r="317" spans="2:7" hidden="1" outlineLevel="1" x14ac:dyDescent="0.15">
      <c r="B317" s="184" t="s">
        <v>743</v>
      </c>
      <c r="C317" s="100" t="s">
        <v>1212</v>
      </c>
      <c r="D317" s="100" t="s">
        <v>1211</v>
      </c>
      <c r="E317" s="100">
        <v>0</v>
      </c>
      <c r="F317" s="100"/>
      <c r="G317" s="185"/>
    </row>
    <row r="318" spans="2:7" hidden="1" outlineLevel="1" x14ac:dyDescent="0.15">
      <c r="B318" s="88" t="s">
        <v>35</v>
      </c>
      <c r="C318" s="86" t="s">
        <v>1236</v>
      </c>
      <c r="D318" s="86" t="s">
        <v>1211</v>
      </c>
      <c r="E318" s="86">
        <v>0</v>
      </c>
      <c r="F318" s="86"/>
      <c r="G318" s="87"/>
    </row>
    <row r="319" spans="2:7" hidden="1" outlineLevel="1" x14ac:dyDescent="0.15">
      <c r="B319" s="88" t="s">
        <v>32</v>
      </c>
      <c r="C319" s="86" t="s">
        <v>1112</v>
      </c>
      <c r="D319" s="86" t="s">
        <v>1211</v>
      </c>
      <c r="E319" s="86">
        <v>0</v>
      </c>
      <c r="F319" s="86"/>
      <c r="G319" s="87"/>
    </row>
    <row r="320" spans="2:7" hidden="1" outlineLevel="1" x14ac:dyDescent="0.15">
      <c r="B320" s="88" t="s">
        <v>389</v>
      </c>
      <c r="C320" s="86" t="s">
        <v>1477</v>
      </c>
      <c r="D320" s="86" t="s">
        <v>1211</v>
      </c>
      <c r="E320" s="86">
        <v>0</v>
      </c>
      <c r="F320" s="86"/>
      <c r="G320" s="87" t="s">
        <v>1478</v>
      </c>
    </row>
    <row r="321" spans="1:8" hidden="1" outlineLevel="1" x14ac:dyDescent="0.15">
      <c r="B321" s="184" t="s">
        <v>1070</v>
      </c>
      <c r="C321" s="100" t="s">
        <v>1079</v>
      </c>
      <c r="D321" s="100" t="s">
        <v>1172</v>
      </c>
      <c r="E321" s="100">
        <v>0</v>
      </c>
      <c r="F321" s="100"/>
      <c r="G321" s="185"/>
    </row>
    <row r="322" spans="1:8" ht="18" hidden="1" outlineLevel="1" thickBot="1" x14ac:dyDescent="0.2">
      <c r="B322" s="290"/>
      <c r="C322" s="291"/>
      <c r="D322" s="291"/>
      <c r="E322" s="291"/>
      <c r="F322" s="291"/>
      <c r="G322" s="185"/>
    </row>
    <row r="323" spans="1:8" hidden="1" outlineLevel="1" x14ac:dyDescent="0.15">
      <c r="B323" s="317" t="s">
        <v>577</v>
      </c>
      <c r="C323" s="318"/>
      <c r="D323" s="318"/>
      <c r="E323" s="318"/>
      <c r="F323" s="318"/>
      <c r="G323" s="319"/>
    </row>
    <row r="324" spans="1:8" hidden="1" outlineLevel="1" x14ac:dyDescent="0.15">
      <c r="A324" s="1" t="s">
        <v>62</v>
      </c>
      <c r="B324" s="88">
        <v>1</v>
      </c>
      <c r="C324" s="184" t="s">
        <v>5</v>
      </c>
      <c r="D324" s="184" t="s">
        <v>16</v>
      </c>
      <c r="E324" s="184" t="s">
        <v>111</v>
      </c>
      <c r="F324" s="184" t="s">
        <v>1049</v>
      </c>
      <c r="G324" s="184" t="s">
        <v>386</v>
      </c>
      <c r="H324" s="184"/>
    </row>
    <row r="325" spans="1:8" hidden="1" outlineLevel="1" x14ac:dyDescent="0.15">
      <c r="B325" s="88">
        <v>2</v>
      </c>
      <c r="C325" s="184" t="s">
        <v>16</v>
      </c>
      <c r="D325" s="184" t="s">
        <v>111</v>
      </c>
      <c r="E325" s="184" t="s">
        <v>5</v>
      </c>
      <c r="F325" s="184"/>
      <c r="G325" s="94"/>
    </row>
    <row r="326" spans="1:8" hidden="1" outlineLevel="1" x14ac:dyDescent="0.15">
      <c r="B326" s="88"/>
      <c r="C326" s="93"/>
      <c r="D326" s="93"/>
      <c r="E326" s="93"/>
      <c r="F326" s="93"/>
      <c r="G326" s="94"/>
    </row>
    <row r="327" spans="1:8" ht="18" hidden="1" outlineLevel="1" thickBot="1" x14ac:dyDescent="0.2">
      <c r="B327" s="89"/>
      <c r="C327" s="90"/>
      <c r="D327" s="90"/>
      <c r="E327" s="90"/>
      <c r="F327" s="90"/>
      <c r="G327" s="91"/>
    </row>
    <row r="328" spans="1:8" ht="18" hidden="1" outlineLevel="1" thickBot="1" x14ac:dyDescent="0.2"/>
    <row r="329" spans="1:8" ht="18" collapsed="1" thickBot="1" x14ac:dyDescent="0.2">
      <c r="B329" s="72" t="s">
        <v>563</v>
      </c>
      <c r="C329" s="235" t="s">
        <v>1161</v>
      </c>
      <c r="D329" s="74" t="s">
        <v>515</v>
      </c>
      <c r="E329" s="21" t="s">
        <v>1517</v>
      </c>
      <c r="F329" s="74" t="s">
        <v>567</v>
      </c>
      <c r="G329" s="75"/>
    </row>
    <row r="330" spans="1:8" ht="18" hidden="1" outlineLevel="1" thickBot="1" x14ac:dyDescent="0.2">
      <c r="B330" s="178" t="s">
        <v>570</v>
      </c>
      <c r="C330" s="179"/>
      <c r="D330" s="180" t="s">
        <v>568</v>
      </c>
      <c r="E330" s="179" t="s">
        <v>615</v>
      </c>
      <c r="F330" s="180"/>
      <c r="G330" s="181"/>
    </row>
    <row r="331" spans="1:8" hidden="1" outlineLevel="1" x14ac:dyDescent="0.15">
      <c r="B331" s="182" t="s">
        <v>571</v>
      </c>
      <c r="C331" s="183" t="s">
        <v>572</v>
      </c>
      <c r="D331" s="183" t="s">
        <v>573</v>
      </c>
      <c r="E331" s="183"/>
      <c r="F331" s="183" t="s">
        <v>3</v>
      </c>
      <c r="G331" s="237" t="s">
        <v>4</v>
      </c>
    </row>
    <row r="332" spans="1:8" hidden="1" outlineLevel="1" x14ac:dyDescent="0.15">
      <c r="B332" s="184" t="s">
        <v>5</v>
      </c>
      <c r="C332" s="100" t="s">
        <v>1127</v>
      </c>
      <c r="D332" s="100" t="s">
        <v>211</v>
      </c>
      <c r="E332" s="100" t="s">
        <v>1141</v>
      </c>
      <c r="F332" s="100"/>
      <c r="G332" s="185" t="s">
        <v>1162</v>
      </c>
    </row>
    <row r="333" spans="1:8" hidden="1" outlineLevel="1" x14ac:dyDescent="0.15">
      <c r="B333" s="184" t="s">
        <v>16</v>
      </c>
      <c r="C333" s="100" t="s">
        <v>1163</v>
      </c>
      <c r="D333" s="100" t="s">
        <v>211</v>
      </c>
      <c r="E333" s="100">
        <v>0</v>
      </c>
      <c r="F333" s="100"/>
      <c r="G333" s="185" t="s">
        <v>1077</v>
      </c>
    </row>
    <row r="334" spans="1:8" hidden="1" outlineLevel="1" x14ac:dyDescent="0.15">
      <c r="B334" s="184" t="s">
        <v>119</v>
      </c>
      <c r="C334" s="100" t="s">
        <v>1164</v>
      </c>
      <c r="D334" s="100" t="s">
        <v>211</v>
      </c>
      <c r="E334" s="100">
        <v>0</v>
      </c>
      <c r="F334" s="100"/>
      <c r="G334" s="185" t="s">
        <v>1165</v>
      </c>
    </row>
    <row r="335" spans="1:8" hidden="1" outlineLevel="1" x14ac:dyDescent="0.15">
      <c r="B335" s="184" t="s">
        <v>327</v>
      </c>
      <c r="C335" s="100" t="s">
        <v>1187</v>
      </c>
      <c r="D335" s="100" t="s">
        <v>211</v>
      </c>
      <c r="E335" s="100">
        <v>0</v>
      </c>
      <c r="F335" s="100"/>
      <c r="G335" s="185"/>
    </row>
    <row r="336" spans="1:8" hidden="1" outlineLevel="1" x14ac:dyDescent="0.15">
      <c r="B336" s="184" t="s">
        <v>1103</v>
      </c>
      <c r="C336" s="100" t="s">
        <v>1155</v>
      </c>
      <c r="D336" s="100" t="s">
        <v>211</v>
      </c>
      <c r="E336" s="100">
        <v>0</v>
      </c>
      <c r="F336" s="100"/>
      <c r="G336" s="185"/>
    </row>
    <row r="337" spans="2:7" hidden="1" outlineLevel="1" x14ac:dyDescent="0.15">
      <c r="B337" s="184" t="s">
        <v>1049</v>
      </c>
      <c r="C337" s="100" t="s">
        <v>1188</v>
      </c>
      <c r="D337" s="100" t="s">
        <v>211</v>
      </c>
      <c r="E337" s="100">
        <v>0</v>
      </c>
      <c r="F337" s="100"/>
      <c r="G337" s="185"/>
    </row>
    <row r="338" spans="2:7" hidden="1" outlineLevel="1" x14ac:dyDescent="0.15">
      <c r="B338" s="184" t="s">
        <v>78</v>
      </c>
      <c r="C338" s="100" t="s">
        <v>1189</v>
      </c>
      <c r="D338" s="100" t="s">
        <v>211</v>
      </c>
      <c r="E338" s="100">
        <v>0</v>
      </c>
      <c r="F338" s="100"/>
      <c r="G338" s="185"/>
    </row>
    <row r="339" spans="2:7" hidden="1" outlineLevel="1" x14ac:dyDescent="0.15">
      <c r="B339" s="184" t="s">
        <v>7</v>
      </c>
      <c r="C339" s="100" t="s">
        <v>1190</v>
      </c>
      <c r="D339" s="100" t="s">
        <v>211</v>
      </c>
      <c r="E339" s="100">
        <v>0</v>
      </c>
      <c r="F339" s="100"/>
      <c r="G339" s="185" t="s">
        <v>1081</v>
      </c>
    </row>
    <row r="340" spans="2:7" hidden="1" outlineLevel="1" x14ac:dyDescent="0.15">
      <c r="B340" s="184" t="s">
        <v>386</v>
      </c>
      <c r="C340" s="100" t="s">
        <v>1191</v>
      </c>
      <c r="D340" s="100" t="s">
        <v>211</v>
      </c>
      <c r="E340" s="100">
        <v>0</v>
      </c>
      <c r="F340" s="100"/>
      <c r="G340" s="185" t="s">
        <v>1192</v>
      </c>
    </row>
    <row r="341" spans="2:7" hidden="1" outlineLevel="1" x14ac:dyDescent="0.15">
      <c r="B341" s="147" t="s">
        <v>8</v>
      </c>
      <c r="C341" s="147" t="s">
        <v>1193</v>
      </c>
      <c r="D341" s="100" t="s">
        <v>1087</v>
      </c>
      <c r="E341" s="100">
        <v>0</v>
      </c>
      <c r="F341" s="100"/>
      <c r="G341" s="185" t="s">
        <v>1194</v>
      </c>
    </row>
    <row r="342" spans="2:7" hidden="1" outlineLevel="1" x14ac:dyDescent="0.15">
      <c r="B342" s="147" t="s">
        <v>9</v>
      </c>
      <c r="C342" s="147" t="s">
        <v>1195</v>
      </c>
      <c r="D342" s="100" t="s">
        <v>1087</v>
      </c>
      <c r="E342" s="100">
        <v>0</v>
      </c>
      <c r="F342" s="100"/>
      <c r="G342" s="185" t="s">
        <v>1196</v>
      </c>
    </row>
    <row r="343" spans="2:7" hidden="1" outlineLevel="1" x14ac:dyDescent="0.15">
      <c r="B343" s="147" t="s">
        <v>1104</v>
      </c>
      <c r="C343" s="147" t="s">
        <v>1134</v>
      </c>
      <c r="D343" s="100" t="s">
        <v>1087</v>
      </c>
      <c r="E343" s="100">
        <v>0</v>
      </c>
      <c r="F343" s="100"/>
      <c r="G343" s="185"/>
    </row>
    <row r="344" spans="2:7" hidden="1" outlineLevel="1" x14ac:dyDescent="0.15">
      <c r="B344" s="147" t="s">
        <v>10</v>
      </c>
      <c r="C344" s="147" t="s">
        <v>1197</v>
      </c>
      <c r="D344" s="100" t="s">
        <v>1087</v>
      </c>
      <c r="E344" s="100">
        <v>0</v>
      </c>
      <c r="F344" s="100"/>
      <c r="G344" s="185" t="s">
        <v>1144</v>
      </c>
    </row>
    <row r="345" spans="2:7" hidden="1" outlineLevel="1" x14ac:dyDescent="0.15">
      <c r="B345" s="147" t="s">
        <v>11</v>
      </c>
      <c r="C345" s="147" t="s">
        <v>1198</v>
      </c>
      <c r="D345" s="100" t="s">
        <v>1087</v>
      </c>
      <c r="E345" s="100">
        <v>0</v>
      </c>
      <c r="F345" s="100"/>
      <c r="G345" s="185" t="s">
        <v>1080</v>
      </c>
    </row>
    <row r="346" spans="2:7" hidden="1" outlineLevel="1" x14ac:dyDescent="0.15">
      <c r="B346" s="147" t="s">
        <v>1105</v>
      </c>
      <c r="C346" s="147" t="s">
        <v>1083</v>
      </c>
      <c r="D346" s="100" t="s">
        <v>1087</v>
      </c>
      <c r="E346" s="100">
        <v>0</v>
      </c>
      <c r="F346" s="100"/>
      <c r="G346" s="185"/>
    </row>
    <row r="347" spans="2:7" hidden="1" outlineLevel="1" x14ac:dyDescent="0.15">
      <c r="B347" s="147" t="s">
        <v>1106</v>
      </c>
      <c r="C347" s="147" t="s">
        <v>1135</v>
      </c>
      <c r="D347" s="100" t="s">
        <v>1087</v>
      </c>
      <c r="E347" s="100">
        <v>0</v>
      </c>
      <c r="F347" s="100"/>
      <c r="G347" s="185"/>
    </row>
    <row r="348" spans="2:7" hidden="1" outlineLevel="1" x14ac:dyDescent="0.15">
      <c r="B348" s="147" t="s">
        <v>404</v>
      </c>
      <c r="C348" s="147" t="s">
        <v>1335</v>
      </c>
      <c r="D348" s="100" t="s">
        <v>1087</v>
      </c>
      <c r="E348" s="100">
        <v>0</v>
      </c>
      <c r="F348" s="100"/>
      <c r="G348" s="185"/>
    </row>
    <row r="349" spans="2:7" hidden="1" outlineLevel="1" x14ac:dyDescent="0.15">
      <c r="B349" s="147" t="s">
        <v>405</v>
      </c>
      <c r="C349" s="147" t="s">
        <v>1199</v>
      </c>
      <c r="D349" s="100" t="s">
        <v>1087</v>
      </c>
      <c r="E349" s="100">
        <v>0</v>
      </c>
      <c r="F349" s="100"/>
      <c r="G349" s="185"/>
    </row>
    <row r="350" spans="2:7" hidden="1" outlineLevel="1" x14ac:dyDescent="0.15">
      <c r="B350" s="147" t="s">
        <v>1107</v>
      </c>
      <c r="C350" s="147" t="s">
        <v>1145</v>
      </c>
      <c r="D350" s="100" t="s">
        <v>1087</v>
      </c>
      <c r="E350" s="100">
        <v>0</v>
      </c>
      <c r="F350" s="100"/>
      <c r="G350" s="185"/>
    </row>
    <row r="351" spans="2:7" hidden="1" outlineLevel="1" x14ac:dyDescent="0.15">
      <c r="B351" s="147" t="s">
        <v>1108</v>
      </c>
      <c r="C351" s="147" t="s">
        <v>1136</v>
      </c>
      <c r="D351" s="100" t="s">
        <v>1087</v>
      </c>
      <c r="E351" s="100">
        <v>0</v>
      </c>
      <c r="F351" s="100"/>
      <c r="G351" s="185"/>
    </row>
    <row r="352" spans="2:7" hidden="1" outlineLevel="1" x14ac:dyDescent="0.15">
      <c r="B352" s="147" t="s">
        <v>408</v>
      </c>
      <c r="C352" s="147" t="s">
        <v>1200</v>
      </c>
      <c r="D352" s="100" t="s">
        <v>1087</v>
      </c>
      <c r="E352" s="100">
        <v>0</v>
      </c>
      <c r="F352" s="100"/>
      <c r="G352" s="185"/>
    </row>
    <row r="353" spans="2:7" hidden="1" outlineLevel="1" x14ac:dyDescent="0.15">
      <c r="B353" s="147" t="s">
        <v>409</v>
      </c>
      <c r="C353" s="147" t="s">
        <v>1201</v>
      </c>
      <c r="D353" s="100" t="s">
        <v>1087</v>
      </c>
      <c r="E353" s="100">
        <v>0</v>
      </c>
      <c r="F353" s="100"/>
      <c r="G353" s="185"/>
    </row>
    <row r="354" spans="2:7" hidden="1" outlineLevel="1" x14ac:dyDescent="0.15">
      <c r="B354" s="147" t="s">
        <v>410</v>
      </c>
      <c r="C354" s="147" t="s">
        <v>1137</v>
      </c>
      <c r="D354" s="100" t="s">
        <v>1087</v>
      </c>
      <c r="E354" s="100">
        <v>0</v>
      </c>
      <c r="F354" s="100"/>
      <c r="G354" s="185"/>
    </row>
    <row r="355" spans="2:7" hidden="1" outlineLevel="1" x14ac:dyDescent="0.15">
      <c r="B355" s="147" t="s">
        <v>411</v>
      </c>
      <c r="C355" s="147" t="s">
        <v>1138</v>
      </c>
      <c r="D355" s="100" t="s">
        <v>1087</v>
      </c>
      <c r="E355" s="100">
        <v>0</v>
      </c>
      <c r="F355" s="100"/>
      <c r="G355" s="185"/>
    </row>
    <row r="356" spans="2:7" hidden="1" outlineLevel="1" x14ac:dyDescent="0.15">
      <c r="B356" s="147" t="s">
        <v>412</v>
      </c>
      <c r="C356" s="147" t="s">
        <v>1202</v>
      </c>
      <c r="D356" s="100" t="s">
        <v>1087</v>
      </c>
      <c r="E356" s="100">
        <v>0</v>
      </c>
      <c r="F356" s="100"/>
      <c r="G356" s="185"/>
    </row>
    <row r="357" spans="2:7" hidden="1" outlineLevel="1" x14ac:dyDescent="0.15">
      <c r="B357" s="147" t="s">
        <v>1109</v>
      </c>
      <c r="C357" s="147" t="s">
        <v>1139</v>
      </c>
      <c r="D357" s="100" t="s">
        <v>1087</v>
      </c>
      <c r="E357" s="100">
        <v>0</v>
      </c>
      <c r="F357" s="100"/>
      <c r="G357" s="185"/>
    </row>
    <row r="358" spans="2:7" hidden="1" outlineLevel="1" x14ac:dyDescent="0.15">
      <c r="B358" s="147" t="s">
        <v>387</v>
      </c>
      <c r="C358" s="147" t="s">
        <v>1203</v>
      </c>
      <c r="D358" s="100" t="s">
        <v>1087</v>
      </c>
      <c r="E358" s="100">
        <v>0</v>
      </c>
      <c r="F358" s="100"/>
      <c r="G358" s="185"/>
    </row>
    <row r="359" spans="2:7" hidden="1" outlineLevel="1" x14ac:dyDescent="0.15">
      <c r="B359" s="147" t="s">
        <v>388</v>
      </c>
      <c r="C359" s="147" t="s">
        <v>1204</v>
      </c>
      <c r="D359" s="100" t="s">
        <v>1087</v>
      </c>
      <c r="E359" s="100">
        <v>0</v>
      </c>
      <c r="F359" s="100"/>
      <c r="G359" s="185"/>
    </row>
    <row r="360" spans="2:7" hidden="1" outlineLevel="1" x14ac:dyDescent="0.15">
      <c r="B360" s="147" t="s">
        <v>116</v>
      </c>
      <c r="C360" s="147" t="s">
        <v>1213</v>
      </c>
      <c r="D360" s="100" t="s">
        <v>1169</v>
      </c>
      <c r="E360" s="100">
        <v>0</v>
      </c>
      <c r="F360" s="100"/>
      <c r="G360" s="185"/>
    </row>
    <row r="361" spans="2:7" hidden="1" outlineLevel="1" x14ac:dyDescent="0.15">
      <c r="B361" s="147" t="s">
        <v>12</v>
      </c>
      <c r="C361" s="147" t="s">
        <v>1143</v>
      </c>
      <c r="D361" s="100" t="s">
        <v>1169</v>
      </c>
      <c r="E361" s="100">
        <v>0</v>
      </c>
      <c r="F361" s="100"/>
      <c r="G361" s="185"/>
    </row>
    <row r="362" spans="2:7" hidden="1" outlineLevel="1" x14ac:dyDescent="0.15">
      <c r="B362" s="147" t="s">
        <v>13</v>
      </c>
      <c r="C362" s="147" t="s">
        <v>1205</v>
      </c>
      <c r="D362" s="100" t="s">
        <v>1169</v>
      </c>
      <c r="E362" s="100">
        <v>0</v>
      </c>
      <c r="F362" s="100"/>
      <c r="G362" s="185"/>
    </row>
    <row r="363" spans="2:7" hidden="1" outlineLevel="1" x14ac:dyDescent="0.15">
      <c r="B363" s="147" t="s">
        <v>14</v>
      </c>
      <c r="C363" s="147" t="s">
        <v>1206</v>
      </c>
      <c r="D363" s="100" t="s">
        <v>1169</v>
      </c>
      <c r="E363" s="100">
        <v>0</v>
      </c>
      <c r="F363" s="100"/>
      <c r="G363" s="185"/>
    </row>
    <row r="364" spans="2:7" hidden="1" outlineLevel="1" x14ac:dyDescent="0.15">
      <c r="B364" s="147" t="s">
        <v>1064</v>
      </c>
      <c r="C364" s="147" t="s">
        <v>1207</v>
      </c>
      <c r="D364" s="100" t="s">
        <v>1087</v>
      </c>
      <c r="E364" s="100">
        <v>0</v>
      </c>
      <c r="F364" s="100"/>
      <c r="G364" s="185"/>
    </row>
    <row r="365" spans="2:7" hidden="1" outlineLevel="1" x14ac:dyDescent="0.15">
      <c r="B365" s="147" t="s">
        <v>742</v>
      </c>
      <c r="C365" s="147" t="s">
        <v>1208</v>
      </c>
      <c r="D365" s="100" t="s">
        <v>1087</v>
      </c>
      <c r="E365" s="100">
        <v>0</v>
      </c>
      <c r="F365" s="100"/>
      <c r="G365" s="185"/>
    </row>
    <row r="366" spans="2:7" hidden="1" outlineLevel="1" x14ac:dyDescent="0.15">
      <c r="B366" s="88" t="s">
        <v>2052</v>
      </c>
      <c r="C366" s="86" t="s">
        <v>2053</v>
      </c>
      <c r="D366" s="86" t="s">
        <v>1169</v>
      </c>
      <c r="E366" s="86">
        <v>0</v>
      </c>
      <c r="F366" s="86"/>
      <c r="G366" s="87"/>
    </row>
    <row r="367" spans="2:7" hidden="1" outlineLevel="1" x14ac:dyDescent="0.15">
      <c r="B367" s="194" t="s">
        <v>41</v>
      </c>
      <c r="C367" s="195" t="s">
        <v>1258</v>
      </c>
      <c r="D367" s="195" t="s">
        <v>211</v>
      </c>
      <c r="E367" s="195">
        <v>0</v>
      </c>
      <c r="F367" s="195"/>
      <c r="G367" s="196" t="s">
        <v>1259</v>
      </c>
    </row>
    <row r="368" spans="2:7" hidden="1" outlineLevel="1" x14ac:dyDescent="0.15">
      <c r="B368" s="194" t="s">
        <v>40</v>
      </c>
      <c r="C368" s="195" t="s">
        <v>1459</v>
      </c>
      <c r="D368" s="195" t="s">
        <v>1211</v>
      </c>
      <c r="E368" s="195">
        <v>0</v>
      </c>
      <c r="F368" s="195"/>
      <c r="G368" s="196"/>
    </row>
    <row r="369" spans="1:13" s="76" customFormat="1" hidden="1" outlineLevel="1" x14ac:dyDescent="0.15">
      <c r="A369" s="71"/>
      <c r="B369" s="194" t="s">
        <v>226</v>
      </c>
      <c r="C369" s="195" t="s">
        <v>1395</v>
      </c>
      <c r="D369" s="195" t="s">
        <v>1172</v>
      </c>
      <c r="E369" s="195">
        <v>0</v>
      </c>
      <c r="F369" s="195"/>
      <c r="G369" s="196"/>
      <c r="H369" s="1"/>
    </row>
    <row r="370" spans="1:13" s="76" customFormat="1" hidden="1" outlineLevel="1" x14ac:dyDescent="0.15">
      <c r="A370" s="71"/>
      <c r="B370" s="194" t="s">
        <v>227</v>
      </c>
      <c r="C370" s="195" t="s">
        <v>1396</v>
      </c>
      <c r="D370" s="195" t="s">
        <v>211</v>
      </c>
      <c r="E370" s="195">
        <v>0</v>
      </c>
      <c r="F370" s="195"/>
      <c r="G370" s="196"/>
      <c r="H370" s="1"/>
    </row>
    <row r="371" spans="1:13" s="76" customFormat="1" hidden="1" outlineLevel="1" x14ac:dyDescent="0.15">
      <c r="A371" s="71"/>
      <c r="B371" s="194" t="s">
        <v>229</v>
      </c>
      <c r="C371" s="195" t="s">
        <v>1392</v>
      </c>
      <c r="D371" s="195" t="s">
        <v>211</v>
      </c>
      <c r="E371" s="195">
        <v>0</v>
      </c>
      <c r="F371" s="195"/>
      <c r="G371" s="196"/>
      <c r="H371" s="1"/>
    </row>
    <row r="372" spans="1:13" s="7" customFormat="1" hidden="1" outlineLevel="1" x14ac:dyDescent="0.15">
      <c r="A372" s="71"/>
      <c r="B372" s="194" t="s">
        <v>236</v>
      </c>
      <c r="C372" s="195" t="s">
        <v>1565</v>
      </c>
      <c r="D372" s="195" t="s">
        <v>1172</v>
      </c>
      <c r="E372" s="195">
        <v>0</v>
      </c>
      <c r="F372" s="195"/>
      <c r="G372" s="196"/>
      <c r="H372" s="1"/>
      <c r="I372" s="7" t="s">
        <v>238</v>
      </c>
      <c r="J372" s="7" t="s">
        <v>211</v>
      </c>
      <c r="K372" s="7" t="s">
        <v>211</v>
      </c>
    </row>
    <row r="373" spans="1:13" s="7" customFormat="1" hidden="1" outlineLevel="1" x14ac:dyDescent="0.15">
      <c r="A373" s="71"/>
      <c r="B373" s="153" t="s">
        <v>2054</v>
      </c>
      <c r="C373" s="154" t="s">
        <v>1451</v>
      </c>
      <c r="D373" s="154" t="s">
        <v>1087</v>
      </c>
      <c r="E373" s="154">
        <v>0</v>
      </c>
      <c r="F373" s="154"/>
      <c r="G373" s="155"/>
      <c r="H373" s="1"/>
    </row>
    <row r="374" spans="1:13" s="56" customFormat="1" ht="17.25" hidden="1" customHeight="1" outlineLevel="1" x14ac:dyDescent="0.35">
      <c r="A374" s="175"/>
      <c r="B374" s="154" t="s">
        <v>2055</v>
      </c>
      <c r="C374" s="154" t="s">
        <v>1587</v>
      </c>
      <c r="D374" s="154" t="s">
        <v>1087</v>
      </c>
      <c r="E374" s="154">
        <v>0</v>
      </c>
      <c r="F374" s="313"/>
      <c r="G374" s="155"/>
      <c r="H374" s="175"/>
      <c r="I374" s="175"/>
      <c r="J374" s="175"/>
      <c r="K374" s="175"/>
      <c r="L374" s="175"/>
      <c r="M374" s="175"/>
    </row>
    <row r="375" spans="1:13" s="7" customFormat="1" hidden="1" outlineLevel="1" x14ac:dyDescent="0.15">
      <c r="A375" s="71"/>
      <c r="B375" s="311"/>
      <c r="C375" s="312"/>
      <c r="D375" s="312"/>
      <c r="E375" s="312"/>
      <c r="F375" s="312"/>
      <c r="G375" s="243"/>
      <c r="H375" s="1"/>
    </row>
    <row r="376" spans="1:13" ht="18" hidden="1" outlineLevel="1" thickBot="1" x14ac:dyDescent="0.2">
      <c r="B376" s="290"/>
      <c r="C376" s="291"/>
      <c r="D376" s="291"/>
      <c r="E376" s="291"/>
      <c r="F376" s="291"/>
      <c r="G376" s="185"/>
    </row>
    <row r="377" spans="1:13" hidden="1" outlineLevel="1" x14ac:dyDescent="0.15">
      <c r="B377" s="317" t="s">
        <v>577</v>
      </c>
      <c r="C377" s="318"/>
      <c r="D377" s="318"/>
      <c r="E377" s="318"/>
      <c r="F377" s="318"/>
      <c r="G377" s="319"/>
    </row>
    <row r="378" spans="1:13" hidden="1" outlineLevel="1" x14ac:dyDescent="0.15">
      <c r="A378" s="1" t="s">
        <v>117</v>
      </c>
      <c r="B378" s="88">
        <v>1</v>
      </c>
      <c r="C378" s="184" t="s">
        <v>16</v>
      </c>
      <c r="D378" s="184" t="s">
        <v>119</v>
      </c>
      <c r="E378" s="184" t="s">
        <v>327</v>
      </c>
      <c r="F378" s="184" t="s">
        <v>114</v>
      </c>
      <c r="G378" s="184" t="s">
        <v>1049</v>
      </c>
      <c r="H378" s="184" t="s">
        <v>386</v>
      </c>
    </row>
    <row r="379" spans="1:13" hidden="1" outlineLevel="1" x14ac:dyDescent="0.15">
      <c r="B379" s="88"/>
      <c r="C379" s="93"/>
      <c r="D379" s="93"/>
      <c r="E379" s="93"/>
      <c r="F379" s="184"/>
      <c r="G379" s="94"/>
    </row>
    <row r="380" spans="1:13" hidden="1" outlineLevel="1" x14ac:dyDescent="0.15">
      <c r="B380" s="88"/>
      <c r="C380" s="93"/>
      <c r="D380" s="93"/>
      <c r="E380" s="93"/>
      <c r="F380" s="93"/>
      <c r="G380" s="94"/>
    </row>
    <row r="381" spans="1:13" ht="18" hidden="1" outlineLevel="1" thickBot="1" x14ac:dyDescent="0.2">
      <c r="B381" s="89"/>
      <c r="C381" s="90"/>
      <c r="D381" s="90"/>
      <c r="E381" s="90"/>
      <c r="F381" s="90"/>
      <c r="G381" s="91"/>
    </row>
    <row r="382" spans="1:13" ht="18" hidden="1" outlineLevel="1" thickBot="1" x14ac:dyDescent="0.2"/>
    <row r="383" spans="1:13" ht="18" collapsed="1" thickBot="1" x14ac:dyDescent="0.2">
      <c r="B383" s="72" t="s">
        <v>563</v>
      </c>
      <c r="C383" s="235" t="s">
        <v>1526</v>
      </c>
      <c r="D383" s="74" t="s">
        <v>515</v>
      </c>
      <c r="E383" s="21" t="s">
        <v>1519</v>
      </c>
      <c r="F383" s="74" t="s">
        <v>567</v>
      </c>
      <c r="G383" s="75"/>
    </row>
    <row r="384" spans="1:13" ht="18" hidden="1" outlineLevel="1" thickBot="1" x14ac:dyDescent="0.2">
      <c r="B384" s="178" t="s">
        <v>570</v>
      </c>
      <c r="C384" s="179"/>
      <c r="D384" s="180" t="s">
        <v>568</v>
      </c>
      <c r="E384" s="179" t="s">
        <v>615</v>
      </c>
      <c r="F384" s="180"/>
      <c r="G384" s="181"/>
    </row>
    <row r="385" spans="2:7" hidden="1" outlineLevel="1" x14ac:dyDescent="0.15">
      <c r="B385" s="182" t="s">
        <v>571</v>
      </c>
      <c r="C385" s="183" t="s">
        <v>572</v>
      </c>
      <c r="D385" s="183" t="s">
        <v>573</v>
      </c>
      <c r="E385" s="183"/>
      <c r="F385" s="183" t="s">
        <v>3</v>
      </c>
      <c r="G385" s="237" t="s">
        <v>4</v>
      </c>
    </row>
    <row r="386" spans="2:7" hidden="1" outlineLevel="1" x14ac:dyDescent="0.15">
      <c r="B386" s="184" t="s">
        <v>5</v>
      </c>
      <c r="C386" s="100" t="s">
        <v>1127</v>
      </c>
      <c r="D386" s="100" t="s">
        <v>211</v>
      </c>
      <c r="E386" s="100" t="s">
        <v>1141</v>
      </c>
      <c r="F386" s="100"/>
      <c r="G386" s="185" t="s">
        <v>1162</v>
      </c>
    </row>
    <row r="387" spans="2:7" hidden="1" outlineLevel="1" x14ac:dyDescent="0.15">
      <c r="B387" s="184" t="s">
        <v>16</v>
      </c>
      <c r="C387" s="100" t="s">
        <v>1163</v>
      </c>
      <c r="D387" s="100" t="s">
        <v>211</v>
      </c>
      <c r="E387" s="100">
        <v>0</v>
      </c>
      <c r="F387" s="100"/>
      <c r="G387" s="185" t="s">
        <v>1077</v>
      </c>
    </row>
    <row r="388" spans="2:7" hidden="1" outlineLevel="1" x14ac:dyDescent="0.15">
      <c r="B388" s="184" t="s">
        <v>111</v>
      </c>
      <c r="C388" s="100" t="s">
        <v>1164</v>
      </c>
      <c r="D388" s="100" t="s">
        <v>211</v>
      </c>
      <c r="E388" s="100">
        <v>0</v>
      </c>
      <c r="F388" s="100"/>
      <c r="G388" s="185" t="s">
        <v>1165</v>
      </c>
    </row>
    <row r="389" spans="2:7" hidden="1" outlineLevel="1" x14ac:dyDescent="0.15">
      <c r="B389" s="184" t="s">
        <v>327</v>
      </c>
      <c r="C389" s="100" t="s">
        <v>1187</v>
      </c>
      <c r="D389" s="100" t="s">
        <v>211</v>
      </c>
      <c r="E389" s="100">
        <v>0</v>
      </c>
      <c r="F389" s="100"/>
      <c r="G389" s="185"/>
    </row>
    <row r="390" spans="2:7" hidden="1" outlineLevel="1" x14ac:dyDescent="0.15">
      <c r="B390" s="184" t="s">
        <v>1103</v>
      </c>
      <c r="C390" s="100" t="s">
        <v>1155</v>
      </c>
      <c r="D390" s="100" t="s">
        <v>211</v>
      </c>
      <c r="E390" s="100">
        <v>0</v>
      </c>
      <c r="F390" s="100"/>
      <c r="G390" s="185"/>
    </row>
    <row r="391" spans="2:7" hidden="1" outlineLevel="1" x14ac:dyDescent="0.15">
      <c r="B391" s="184" t="s">
        <v>1049</v>
      </c>
      <c r="C391" s="100" t="s">
        <v>1188</v>
      </c>
      <c r="D391" s="100" t="s">
        <v>211</v>
      </c>
      <c r="E391" s="100">
        <v>0</v>
      </c>
      <c r="F391" s="100"/>
      <c r="G391" s="185"/>
    </row>
    <row r="392" spans="2:7" hidden="1" outlineLevel="1" x14ac:dyDescent="0.15">
      <c r="B392" s="184" t="s">
        <v>78</v>
      </c>
      <c r="C392" s="100" t="s">
        <v>1189</v>
      </c>
      <c r="D392" s="100" t="s">
        <v>211</v>
      </c>
      <c r="E392" s="100">
        <v>0</v>
      </c>
      <c r="F392" s="100"/>
      <c r="G392" s="185"/>
    </row>
    <row r="393" spans="2:7" hidden="1" outlineLevel="1" x14ac:dyDescent="0.15">
      <c r="B393" s="184" t="s">
        <v>7</v>
      </c>
      <c r="C393" s="100" t="s">
        <v>1190</v>
      </c>
      <c r="D393" s="100" t="s">
        <v>211</v>
      </c>
      <c r="E393" s="100">
        <v>0</v>
      </c>
      <c r="F393" s="100"/>
      <c r="G393" s="185" t="s">
        <v>1081</v>
      </c>
    </row>
    <row r="394" spans="2:7" hidden="1" outlineLevel="1" x14ac:dyDescent="0.15">
      <c r="B394" s="184" t="s">
        <v>162</v>
      </c>
      <c r="C394" s="100" t="s">
        <v>1214</v>
      </c>
      <c r="D394" s="100" t="s">
        <v>1169</v>
      </c>
      <c r="E394" s="100">
        <v>0</v>
      </c>
      <c r="F394" s="100"/>
      <c r="G394" s="185"/>
    </row>
    <row r="395" spans="2:7" hidden="1" outlineLevel="1" x14ac:dyDescent="0.15">
      <c r="B395" s="184" t="s">
        <v>1070</v>
      </c>
      <c r="C395" s="100" t="s">
        <v>1079</v>
      </c>
      <c r="D395" s="100" t="s">
        <v>1172</v>
      </c>
      <c r="E395" s="100">
        <v>0</v>
      </c>
      <c r="F395" s="100"/>
      <c r="G395" s="185"/>
    </row>
    <row r="396" spans="2:7" hidden="1" outlineLevel="1" x14ac:dyDescent="0.15">
      <c r="B396" s="184" t="s">
        <v>386</v>
      </c>
      <c r="C396" s="100" t="s">
        <v>1191</v>
      </c>
      <c r="D396" s="100" t="s">
        <v>211</v>
      </c>
      <c r="E396" s="100">
        <v>0</v>
      </c>
      <c r="F396" s="100"/>
      <c r="G396" s="185" t="s">
        <v>1192</v>
      </c>
    </row>
    <row r="397" spans="2:7" hidden="1" outlineLevel="1" x14ac:dyDescent="0.15">
      <c r="B397" s="184" t="s">
        <v>8</v>
      </c>
      <c r="C397" s="100" t="s">
        <v>1193</v>
      </c>
      <c r="D397" s="100" t="s">
        <v>1087</v>
      </c>
      <c r="E397" s="100">
        <v>0</v>
      </c>
      <c r="F397" s="100"/>
      <c r="G397" s="185" t="s">
        <v>1194</v>
      </c>
    </row>
    <row r="398" spans="2:7" hidden="1" outlineLevel="1" x14ac:dyDescent="0.15">
      <c r="B398" s="184" t="s">
        <v>9</v>
      </c>
      <c r="C398" s="100" t="s">
        <v>1195</v>
      </c>
      <c r="D398" s="100" t="s">
        <v>1087</v>
      </c>
      <c r="E398" s="100">
        <v>0</v>
      </c>
      <c r="F398" s="100"/>
      <c r="G398" s="185" t="s">
        <v>1196</v>
      </c>
    </row>
    <row r="399" spans="2:7" hidden="1" outlineLevel="1" x14ac:dyDescent="0.15">
      <c r="B399" s="184" t="s">
        <v>1104</v>
      </c>
      <c r="C399" s="100" t="s">
        <v>1134</v>
      </c>
      <c r="D399" s="100" t="s">
        <v>1087</v>
      </c>
      <c r="E399" s="100">
        <v>0</v>
      </c>
      <c r="F399" s="100"/>
      <c r="G399" s="185"/>
    </row>
    <row r="400" spans="2:7" hidden="1" outlineLevel="1" x14ac:dyDescent="0.15">
      <c r="B400" s="184" t="s">
        <v>10</v>
      </c>
      <c r="C400" s="100" t="s">
        <v>1197</v>
      </c>
      <c r="D400" s="100" t="s">
        <v>1087</v>
      </c>
      <c r="E400" s="100">
        <v>0</v>
      </c>
      <c r="F400" s="100"/>
      <c r="G400" s="185" t="s">
        <v>1144</v>
      </c>
    </row>
    <row r="401" spans="2:7" hidden="1" outlineLevel="1" x14ac:dyDescent="0.15">
      <c r="B401" s="184" t="s">
        <v>11</v>
      </c>
      <c r="C401" s="100" t="s">
        <v>1198</v>
      </c>
      <c r="D401" s="100" t="s">
        <v>1087</v>
      </c>
      <c r="E401" s="100">
        <v>0</v>
      </c>
      <c r="F401" s="100"/>
      <c r="G401" s="185" t="s">
        <v>1080</v>
      </c>
    </row>
    <row r="402" spans="2:7" hidden="1" outlineLevel="1" x14ac:dyDescent="0.15">
      <c r="B402" s="184" t="s">
        <v>387</v>
      </c>
      <c r="C402" s="100" t="s">
        <v>1203</v>
      </c>
      <c r="D402" s="100" t="s">
        <v>1087</v>
      </c>
      <c r="E402" s="100">
        <v>0</v>
      </c>
      <c r="F402" s="100"/>
      <c r="G402" s="185"/>
    </row>
    <row r="403" spans="2:7" hidden="1" outlineLevel="1" x14ac:dyDescent="0.15">
      <c r="B403" s="184" t="s">
        <v>388</v>
      </c>
      <c r="C403" s="100" t="s">
        <v>1204</v>
      </c>
      <c r="D403" s="100" t="s">
        <v>1087</v>
      </c>
      <c r="E403" s="100">
        <v>0</v>
      </c>
      <c r="F403" s="100"/>
      <c r="G403" s="185"/>
    </row>
    <row r="404" spans="2:7" hidden="1" outlineLevel="1" x14ac:dyDescent="0.15">
      <c r="B404" s="184" t="s">
        <v>116</v>
      </c>
      <c r="C404" s="100" t="s">
        <v>1213</v>
      </c>
      <c r="D404" s="100" t="s">
        <v>1169</v>
      </c>
      <c r="E404" s="100">
        <v>0</v>
      </c>
      <c r="F404" s="100"/>
      <c r="G404" s="185"/>
    </row>
    <row r="405" spans="2:7" hidden="1" outlineLevel="1" x14ac:dyDescent="0.15">
      <c r="B405" s="184" t="s">
        <v>1521</v>
      </c>
      <c r="C405" s="100" t="s">
        <v>1143</v>
      </c>
      <c r="D405" s="100" t="s">
        <v>1169</v>
      </c>
      <c r="E405" s="100">
        <v>0</v>
      </c>
      <c r="F405" s="100"/>
      <c r="G405" s="185"/>
    </row>
    <row r="406" spans="2:7" hidden="1" outlineLevel="1" x14ac:dyDescent="0.15">
      <c r="B406" s="184" t="s">
        <v>13</v>
      </c>
      <c r="C406" s="100" t="s">
        <v>1205</v>
      </c>
      <c r="D406" s="100" t="s">
        <v>1169</v>
      </c>
      <c r="E406" s="100">
        <v>0</v>
      </c>
      <c r="F406" s="100"/>
      <c r="G406" s="185"/>
    </row>
    <row r="407" spans="2:7" hidden="1" outlineLevel="1" x14ac:dyDescent="0.15">
      <c r="B407" s="184" t="s">
        <v>14</v>
      </c>
      <c r="C407" s="100" t="s">
        <v>1206</v>
      </c>
      <c r="D407" s="100" t="s">
        <v>1169</v>
      </c>
      <c r="E407" s="100">
        <v>0</v>
      </c>
      <c r="F407" s="100"/>
      <c r="G407" s="185"/>
    </row>
    <row r="408" spans="2:7" hidden="1" outlineLevel="1" x14ac:dyDescent="0.15">
      <c r="B408" s="184" t="s">
        <v>1064</v>
      </c>
      <c r="C408" s="100" t="s">
        <v>1207</v>
      </c>
      <c r="D408" s="100" t="s">
        <v>1087</v>
      </c>
      <c r="E408" s="100">
        <v>0</v>
      </c>
      <c r="F408" s="100"/>
      <c r="G408" s="185"/>
    </row>
    <row r="409" spans="2:7" hidden="1" outlineLevel="1" x14ac:dyDescent="0.15">
      <c r="B409" s="184" t="s">
        <v>1065</v>
      </c>
      <c r="C409" s="100" t="s">
        <v>1530</v>
      </c>
      <c r="D409" s="100" t="s">
        <v>1169</v>
      </c>
      <c r="E409" s="100">
        <v>0</v>
      </c>
      <c r="F409" s="100"/>
      <c r="G409" s="185"/>
    </row>
    <row r="410" spans="2:7" hidden="1" outlineLevel="1" x14ac:dyDescent="0.15">
      <c r="B410" s="184" t="s">
        <v>303</v>
      </c>
      <c r="C410" s="100" t="s">
        <v>1170</v>
      </c>
      <c r="D410" s="100" t="s">
        <v>1169</v>
      </c>
      <c r="E410" s="100">
        <v>0</v>
      </c>
      <c r="F410" s="100"/>
      <c r="G410" s="185"/>
    </row>
    <row r="411" spans="2:7" hidden="1" outlineLevel="1" x14ac:dyDescent="0.15">
      <c r="B411" s="184" t="s">
        <v>742</v>
      </c>
      <c r="C411" s="100" t="s">
        <v>1208</v>
      </c>
      <c r="D411" s="100" t="s">
        <v>1087</v>
      </c>
      <c r="E411" s="100">
        <v>0</v>
      </c>
      <c r="F411" s="100"/>
      <c r="G411" s="185"/>
    </row>
    <row r="412" spans="2:7" hidden="1" outlineLevel="1" x14ac:dyDescent="0.15">
      <c r="B412" s="184" t="s">
        <v>1066</v>
      </c>
      <c r="C412" s="100" t="s">
        <v>1209</v>
      </c>
      <c r="D412" s="100" t="s">
        <v>1169</v>
      </c>
      <c r="E412" s="100">
        <v>0</v>
      </c>
      <c r="F412" s="100"/>
      <c r="G412" s="185"/>
    </row>
    <row r="413" spans="2:7" hidden="1" outlineLevel="1" x14ac:dyDescent="0.15">
      <c r="B413" s="184" t="s">
        <v>1124</v>
      </c>
      <c r="C413" s="100" t="s">
        <v>1210</v>
      </c>
      <c r="D413" s="100" t="s">
        <v>1211</v>
      </c>
      <c r="E413" s="100">
        <v>0</v>
      </c>
      <c r="F413" s="100"/>
      <c r="G413" s="185"/>
    </row>
    <row r="414" spans="2:7" hidden="1" outlineLevel="1" x14ac:dyDescent="0.15">
      <c r="B414" s="184" t="s">
        <v>1125</v>
      </c>
      <c r="C414" s="100" t="s">
        <v>1212</v>
      </c>
      <c r="D414" s="100" t="s">
        <v>1211</v>
      </c>
      <c r="E414" s="100">
        <v>0</v>
      </c>
      <c r="F414" s="100"/>
      <c r="G414" s="185"/>
    </row>
    <row r="415" spans="2:7" hidden="1" outlineLevel="1" x14ac:dyDescent="0.15">
      <c r="B415" s="88" t="s">
        <v>35</v>
      </c>
      <c r="C415" s="86" t="s">
        <v>1236</v>
      </c>
      <c r="D415" s="86" t="s">
        <v>1211</v>
      </c>
      <c r="E415" s="86">
        <v>0</v>
      </c>
      <c r="F415" s="86"/>
      <c r="G415" s="87"/>
    </row>
    <row r="416" spans="2:7" hidden="1" outlineLevel="1" x14ac:dyDescent="0.15">
      <c r="B416" s="88" t="s">
        <v>32</v>
      </c>
      <c r="C416" s="86" t="s">
        <v>1112</v>
      </c>
      <c r="D416" s="86" t="s">
        <v>1211</v>
      </c>
      <c r="E416" s="86">
        <v>0</v>
      </c>
      <c r="F416" s="86"/>
      <c r="G416" s="87"/>
    </row>
    <row r="417" spans="1:13" hidden="1" outlineLevel="1" x14ac:dyDescent="0.15">
      <c r="B417" s="88" t="s">
        <v>389</v>
      </c>
      <c r="C417" s="86" t="s">
        <v>1477</v>
      </c>
      <c r="D417" s="86" t="s">
        <v>1211</v>
      </c>
      <c r="E417" s="86">
        <v>0</v>
      </c>
      <c r="F417" s="86"/>
      <c r="G417" s="87" t="s">
        <v>1478</v>
      </c>
    </row>
    <row r="418" spans="1:13" hidden="1" outlineLevel="1" x14ac:dyDescent="0.15">
      <c r="B418" s="194" t="s">
        <v>41</v>
      </c>
      <c r="C418" s="195" t="s">
        <v>1258</v>
      </c>
      <c r="D418" s="195" t="s">
        <v>211</v>
      </c>
      <c r="E418" s="195">
        <v>0</v>
      </c>
      <c r="F418" s="195"/>
      <c r="G418" s="196" t="s">
        <v>1259</v>
      </c>
    </row>
    <row r="419" spans="1:13" hidden="1" outlineLevel="1" x14ac:dyDescent="0.15">
      <c r="B419" s="194" t="s">
        <v>40</v>
      </c>
      <c r="C419" s="195" t="s">
        <v>1459</v>
      </c>
      <c r="D419" s="195" t="s">
        <v>1211</v>
      </c>
      <c r="E419" s="195">
        <v>0</v>
      </c>
      <c r="F419" s="195"/>
      <c r="G419" s="196"/>
    </row>
    <row r="420" spans="1:13" s="76" customFormat="1" hidden="1" outlineLevel="1" x14ac:dyDescent="0.15">
      <c r="A420" s="71"/>
      <c r="B420" s="194" t="s">
        <v>226</v>
      </c>
      <c r="C420" s="195" t="s">
        <v>1395</v>
      </c>
      <c r="D420" s="195" t="s">
        <v>1172</v>
      </c>
      <c r="E420" s="195">
        <v>0</v>
      </c>
      <c r="F420" s="195"/>
      <c r="G420" s="196"/>
    </row>
    <row r="421" spans="1:13" s="76" customFormat="1" hidden="1" outlineLevel="1" x14ac:dyDescent="0.15">
      <c r="A421" s="71"/>
      <c r="B421" s="194" t="s">
        <v>227</v>
      </c>
      <c r="C421" s="195" t="s">
        <v>1396</v>
      </c>
      <c r="D421" s="195" t="s">
        <v>211</v>
      </c>
      <c r="E421" s="195">
        <v>0</v>
      </c>
      <c r="F421" s="195"/>
      <c r="G421" s="196"/>
    </row>
    <row r="422" spans="1:13" s="76" customFormat="1" hidden="1" outlineLevel="1" x14ac:dyDescent="0.15">
      <c r="A422" s="71"/>
      <c r="B422" s="194" t="s">
        <v>229</v>
      </c>
      <c r="C422" s="195" t="s">
        <v>1392</v>
      </c>
      <c r="D422" s="195" t="s">
        <v>211</v>
      </c>
      <c r="E422" s="195">
        <v>0</v>
      </c>
      <c r="F422" s="195"/>
      <c r="G422" s="196"/>
    </row>
    <row r="423" spans="1:13" s="7" customFormat="1" hidden="1" outlineLevel="1" x14ac:dyDescent="0.15">
      <c r="A423" s="71"/>
      <c r="B423" s="194" t="s">
        <v>236</v>
      </c>
      <c r="C423" s="195" t="s">
        <v>1565</v>
      </c>
      <c r="D423" s="195" t="s">
        <v>1172</v>
      </c>
      <c r="E423" s="195">
        <v>0</v>
      </c>
      <c r="F423" s="195"/>
      <c r="G423" s="196"/>
      <c r="H423" s="7" t="s">
        <v>237</v>
      </c>
      <c r="I423" s="7" t="s">
        <v>238</v>
      </c>
      <c r="J423" s="7" t="s">
        <v>211</v>
      </c>
      <c r="K423" s="7" t="s">
        <v>211</v>
      </c>
    </row>
    <row r="424" spans="1:13" s="7" customFormat="1" hidden="1" outlineLevel="1" x14ac:dyDescent="0.15">
      <c r="A424" s="71"/>
      <c r="B424" s="153" t="s">
        <v>2054</v>
      </c>
      <c r="C424" s="154" t="s">
        <v>1451</v>
      </c>
      <c r="D424" s="154" t="s">
        <v>1087</v>
      </c>
      <c r="E424" s="154">
        <v>0</v>
      </c>
      <c r="F424" s="154"/>
      <c r="G424" s="155"/>
      <c r="H424" s="1"/>
    </row>
    <row r="425" spans="1:13" s="56" customFormat="1" ht="17.25" hidden="1" customHeight="1" outlineLevel="1" x14ac:dyDescent="0.35">
      <c r="A425" s="175"/>
      <c r="B425" s="154" t="s">
        <v>2055</v>
      </c>
      <c r="C425" s="154" t="s">
        <v>1587</v>
      </c>
      <c r="D425" s="154" t="s">
        <v>1087</v>
      </c>
      <c r="E425" s="154">
        <v>0</v>
      </c>
      <c r="F425" s="313"/>
      <c r="G425" s="155"/>
      <c r="H425" s="175"/>
      <c r="I425" s="175"/>
      <c r="J425" s="175"/>
      <c r="K425" s="175"/>
      <c r="L425" s="175"/>
      <c r="M425" s="175"/>
    </row>
    <row r="426" spans="1:13" ht="18" hidden="1" outlineLevel="1" thickBot="1" x14ac:dyDescent="0.2">
      <c r="B426" s="184"/>
      <c r="C426" s="100"/>
      <c r="D426" s="100"/>
      <c r="E426" s="100"/>
      <c r="F426" s="100"/>
      <c r="G426" s="185"/>
    </row>
    <row r="427" spans="1:13" hidden="1" outlineLevel="1" x14ac:dyDescent="0.15">
      <c r="B427" s="317" t="s">
        <v>577</v>
      </c>
      <c r="C427" s="318"/>
      <c r="D427" s="318"/>
      <c r="E427" s="318"/>
      <c r="F427" s="318"/>
      <c r="G427" s="319"/>
      <c r="H427" s="184"/>
    </row>
    <row r="428" spans="1:13" hidden="1" outlineLevel="1" x14ac:dyDescent="0.15">
      <c r="A428" s="1" t="s">
        <v>117</v>
      </c>
      <c r="B428" s="88">
        <v>1</v>
      </c>
      <c r="C428" s="93" t="s">
        <v>372</v>
      </c>
      <c r="D428" s="184" t="s">
        <v>16</v>
      </c>
      <c r="E428" s="184" t="s">
        <v>119</v>
      </c>
      <c r="F428" s="184" t="s">
        <v>114</v>
      </c>
      <c r="G428" s="184" t="s">
        <v>327</v>
      </c>
      <c r="H428" s="184" t="s">
        <v>386</v>
      </c>
    </row>
    <row r="429" spans="1:13" hidden="1" outlineLevel="1" x14ac:dyDescent="0.15">
      <c r="B429" s="88">
        <v>2</v>
      </c>
      <c r="C429" s="184" t="s">
        <v>16</v>
      </c>
      <c r="D429" s="184" t="s">
        <v>111</v>
      </c>
      <c r="E429" s="93" t="s">
        <v>22</v>
      </c>
      <c r="F429" s="93"/>
      <c r="G429" s="94"/>
    </row>
    <row r="430" spans="1:13" hidden="1" outlineLevel="1" x14ac:dyDescent="0.15">
      <c r="B430" s="88"/>
      <c r="C430" s="93"/>
      <c r="D430" s="93"/>
      <c r="E430" s="93"/>
      <c r="F430" s="93"/>
      <c r="G430" s="94"/>
    </row>
    <row r="431" spans="1:13" ht="18" hidden="1" outlineLevel="1" thickBot="1" x14ac:dyDescent="0.2">
      <c r="B431" s="89"/>
      <c r="C431" s="90"/>
      <c r="D431" s="90"/>
      <c r="E431" s="90"/>
      <c r="F431" s="90"/>
      <c r="G431" s="91"/>
    </row>
    <row r="432" spans="1:13" ht="18" hidden="1" outlineLevel="1" thickBot="1" x14ac:dyDescent="0.2"/>
    <row r="433" spans="2:7" ht="18" collapsed="1" thickBot="1" x14ac:dyDescent="0.2">
      <c r="B433" s="72" t="s">
        <v>563</v>
      </c>
      <c r="C433" s="271" t="s">
        <v>1527</v>
      </c>
      <c r="D433" s="74" t="s">
        <v>515</v>
      </c>
      <c r="E433" s="21" t="s">
        <v>1518</v>
      </c>
      <c r="F433" s="74" t="s">
        <v>567</v>
      </c>
      <c r="G433" s="75"/>
    </row>
    <row r="434" spans="2:7" ht="18" hidden="1" outlineLevel="1" thickBot="1" x14ac:dyDescent="0.2">
      <c r="B434" s="78" t="s">
        <v>570</v>
      </c>
      <c r="C434" s="79"/>
      <c r="D434" s="80" t="s">
        <v>568</v>
      </c>
      <c r="E434" s="79" t="s">
        <v>615</v>
      </c>
      <c r="F434" s="80"/>
      <c r="G434" s="81"/>
    </row>
    <row r="435" spans="2:7" hidden="1" outlineLevel="1" x14ac:dyDescent="0.15">
      <c r="B435" s="72" t="s">
        <v>571</v>
      </c>
      <c r="C435" s="82" t="s">
        <v>572</v>
      </c>
      <c r="D435" s="82" t="s">
        <v>573</v>
      </c>
      <c r="E435" s="82"/>
      <c r="F435" s="82" t="s">
        <v>3</v>
      </c>
      <c r="G435" s="83" t="s">
        <v>4</v>
      </c>
    </row>
    <row r="436" spans="2:7" hidden="1" outlineLevel="1" x14ac:dyDescent="0.15">
      <c r="B436" s="88" t="s">
        <v>5</v>
      </c>
      <c r="C436" s="86" t="s">
        <v>1127</v>
      </c>
      <c r="D436" s="86" t="s">
        <v>211</v>
      </c>
      <c r="E436" s="86" t="s">
        <v>1141</v>
      </c>
      <c r="F436" s="86"/>
      <c r="G436" s="87" t="s">
        <v>1162</v>
      </c>
    </row>
    <row r="437" spans="2:7" hidden="1" outlineLevel="1" x14ac:dyDescent="0.15">
      <c r="B437" s="88" t="s">
        <v>16</v>
      </c>
      <c r="C437" s="86" t="s">
        <v>1163</v>
      </c>
      <c r="D437" s="86" t="s">
        <v>211</v>
      </c>
      <c r="E437" s="86">
        <v>0</v>
      </c>
      <c r="F437" s="86"/>
      <c r="G437" s="87" t="s">
        <v>1077</v>
      </c>
    </row>
    <row r="438" spans="2:7" hidden="1" outlineLevel="1" x14ac:dyDescent="0.15">
      <c r="B438" s="88" t="s">
        <v>111</v>
      </c>
      <c r="C438" s="86" t="s">
        <v>1164</v>
      </c>
      <c r="D438" s="86" t="s">
        <v>211</v>
      </c>
      <c r="E438" s="86">
        <v>0</v>
      </c>
      <c r="F438" s="86"/>
      <c r="G438" s="87" t="s">
        <v>1165</v>
      </c>
    </row>
    <row r="439" spans="2:7" hidden="1" outlineLevel="1" x14ac:dyDescent="0.15">
      <c r="B439" s="88" t="s">
        <v>1067</v>
      </c>
      <c r="C439" s="86" t="s">
        <v>1133</v>
      </c>
      <c r="D439" s="86" t="s">
        <v>211</v>
      </c>
      <c r="E439" s="86">
        <v>0</v>
      </c>
      <c r="F439" s="86"/>
      <c r="G439" s="87" t="s">
        <v>1182</v>
      </c>
    </row>
    <row r="440" spans="2:7" hidden="1" outlineLevel="1" x14ac:dyDescent="0.15">
      <c r="B440" s="88" t="s">
        <v>327</v>
      </c>
      <c r="C440" s="86" t="s">
        <v>1187</v>
      </c>
      <c r="D440" s="86" t="s">
        <v>211</v>
      </c>
      <c r="E440" s="86">
        <v>0</v>
      </c>
      <c r="F440" s="86"/>
      <c r="G440" s="87"/>
    </row>
    <row r="441" spans="2:7" hidden="1" outlineLevel="1" x14ac:dyDescent="0.15">
      <c r="B441" s="88" t="s">
        <v>114</v>
      </c>
      <c r="C441" s="86" t="s">
        <v>1155</v>
      </c>
      <c r="D441" s="86" t="s">
        <v>211</v>
      </c>
      <c r="E441" s="86">
        <v>0</v>
      </c>
      <c r="F441" s="86"/>
      <c r="G441" s="87"/>
    </row>
    <row r="442" spans="2:7" hidden="1" outlineLevel="1" x14ac:dyDescent="0.15">
      <c r="B442" s="88" t="s">
        <v>1049</v>
      </c>
      <c r="C442" s="86" t="s">
        <v>1188</v>
      </c>
      <c r="D442" s="86" t="s">
        <v>211</v>
      </c>
      <c r="E442" s="86">
        <v>0</v>
      </c>
      <c r="F442" s="86"/>
      <c r="G442" s="87"/>
    </row>
    <row r="443" spans="2:7" hidden="1" outlineLevel="1" x14ac:dyDescent="0.15">
      <c r="B443" s="88" t="s">
        <v>78</v>
      </c>
      <c r="C443" s="86" t="s">
        <v>1189</v>
      </c>
      <c r="D443" s="86" t="s">
        <v>211</v>
      </c>
      <c r="E443" s="86">
        <v>0</v>
      </c>
      <c r="F443" s="86"/>
      <c r="G443" s="87"/>
    </row>
    <row r="444" spans="2:7" hidden="1" outlineLevel="1" x14ac:dyDescent="0.15">
      <c r="B444" s="88" t="s">
        <v>7</v>
      </c>
      <c r="C444" s="86" t="s">
        <v>1190</v>
      </c>
      <c r="D444" s="86" t="s">
        <v>211</v>
      </c>
      <c r="E444" s="86">
        <v>0</v>
      </c>
      <c r="F444" s="86"/>
      <c r="G444" s="87" t="s">
        <v>1081</v>
      </c>
    </row>
    <row r="445" spans="2:7" hidden="1" outlineLevel="1" x14ac:dyDescent="0.15">
      <c r="B445" s="88" t="s">
        <v>386</v>
      </c>
      <c r="C445" s="86" t="s">
        <v>1191</v>
      </c>
      <c r="D445" s="86" t="s">
        <v>211</v>
      </c>
      <c r="E445" s="86">
        <v>0</v>
      </c>
      <c r="F445" s="86"/>
      <c r="G445" s="87" t="s">
        <v>1192</v>
      </c>
    </row>
    <row r="446" spans="2:7" hidden="1" outlineLevel="1" x14ac:dyDescent="0.15">
      <c r="B446" s="88" t="s">
        <v>8</v>
      </c>
      <c r="C446" s="86" t="s">
        <v>1193</v>
      </c>
      <c r="D446" s="86" t="s">
        <v>1087</v>
      </c>
      <c r="E446" s="86">
        <v>0</v>
      </c>
      <c r="F446" s="86"/>
      <c r="G446" s="87" t="s">
        <v>1194</v>
      </c>
    </row>
    <row r="447" spans="2:7" hidden="1" outlineLevel="1" x14ac:dyDescent="0.15">
      <c r="B447" s="88" t="s">
        <v>9</v>
      </c>
      <c r="C447" s="86" t="s">
        <v>1195</v>
      </c>
      <c r="D447" s="86" t="s">
        <v>1087</v>
      </c>
      <c r="E447" s="86">
        <v>0</v>
      </c>
      <c r="F447" s="86"/>
      <c r="G447" s="87" t="s">
        <v>1196</v>
      </c>
    </row>
    <row r="448" spans="2:7" hidden="1" outlineLevel="1" x14ac:dyDescent="0.15">
      <c r="B448" s="88" t="s">
        <v>1104</v>
      </c>
      <c r="C448" s="86" t="s">
        <v>1134</v>
      </c>
      <c r="D448" s="86" t="s">
        <v>1087</v>
      </c>
      <c r="E448" s="86">
        <v>0</v>
      </c>
      <c r="F448" s="86"/>
      <c r="G448" s="87"/>
    </row>
    <row r="449" spans="2:7" hidden="1" outlineLevel="1" x14ac:dyDescent="0.15">
      <c r="B449" s="88" t="s">
        <v>10</v>
      </c>
      <c r="C449" s="86" t="s">
        <v>1197</v>
      </c>
      <c r="D449" s="86" t="s">
        <v>1087</v>
      </c>
      <c r="E449" s="86">
        <v>0</v>
      </c>
      <c r="F449" s="86"/>
      <c r="G449" s="87" t="s">
        <v>1144</v>
      </c>
    </row>
    <row r="450" spans="2:7" hidden="1" outlineLevel="1" x14ac:dyDescent="0.15">
      <c r="B450" s="88" t="s">
        <v>11</v>
      </c>
      <c r="C450" s="86" t="s">
        <v>1198</v>
      </c>
      <c r="D450" s="86" t="s">
        <v>1087</v>
      </c>
      <c r="E450" s="86">
        <v>0</v>
      </c>
      <c r="F450" s="86"/>
      <c r="G450" s="87" t="s">
        <v>1080</v>
      </c>
    </row>
    <row r="451" spans="2:7" hidden="1" outlineLevel="1" x14ac:dyDescent="0.15">
      <c r="B451" s="88" t="s">
        <v>1105</v>
      </c>
      <c r="C451" s="86" t="s">
        <v>1083</v>
      </c>
      <c r="D451" s="86" t="s">
        <v>1087</v>
      </c>
      <c r="E451" s="86">
        <v>0</v>
      </c>
      <c r="F451" s="86"/>
      <c r="G451" s="87"/>
    </row>
    <row r="452" spans="2:7" hidden="1" outlineLevel="1" x14ac:dyDescent="0.15">
      <c r="B452" s="88" t="s">
        <v>1106</v>
      </c>
      <c r="C452" s="86" t="s">
        <v>1135</v>
      </c>
      <c r="D452" s="86" t="s">
        <v>1087</v>
      </c>
      <c r="E452" s="86">
        <v>0</v>
      </c>
      <c r="F452" s="86"/>
      <c r="G452" s="87"/>
    </row>
    <row r="453" spans="2:7" hidden="1" outlineLevel="1" x14ac:dyDescent="0.15">
      <c r="B453" s="88" t="s">
        <v>404</v>
      </c>
      <c r="C453" s="86" t="s">
        <v>1335</v>
      </c>
      <c r="D453" s="86" t="s">
        <v>1087</v>
      </c>
      <c r="E453" s="86">
        <v>0</v>
      </c>
      <c r="F453" s="86"/>
      <c r="G453" s="87"/>
    </row>
    <row r="454" spans="2:7" hidden="1" outlineLevel="1" x14ac:dyDescent="0.15">
      <c r="B454" s="88" t="s">
        <v>405</v>
      </c>
      <c r="C454" s="86" t="s">
        <v>1199</v>
      </c>
      <c r="D454" s="86" t="s">
        <v>1087</v>
      </c>
      <c r="E454" s="86">
        <v>0</v>
      </c>
      <c r="F454" s="86"/>
      <c r="G454" s="87"/>
    </row>
    <row r="455" spans="2:7" hidden="1" outlineLevel="1" x14ac:dyDescent="0.15">
      <c r="B455" s="88" t="s">
        <v>1107</v>
      </c>
      <c r="C455" s="86" t="s">
        <v>1145</v>
      </c>
      <c r="D455" s="86" t="s">
        <v>1087</v>
      </c>
      <c r="E455" s="86">
        <v>0</v>
      </c>
      <c r="F455" s="86"/>
      <c r="G455" s="87"/>
    </row>
    <row r="456" spans="2:7" hidden="1" outlineLevel="1" x14ac:dyDescent="0.15">
      <c r="B456" s="88" t="s">
        <v>1108</v>
      </c>
      <c r="C456" s="86" t="s">
        <v>1136</v>
      </c>
      <c r="D456" s="86" t="s">
        <v>1087</v>
      </c>
      <c r="E456" s="86">
        <v>0</v>
      </c>
      <c r="F456" s="86"/>
      <c r="G456" s="87"/>
    </row>
    <row r="457" spans="2:7" hidden="1" outlineLevel="1" x14ac:dyDescent="0.15">
      <c r="B457" s="88" t="s">
        <v>408</v>
      </c>
      <c r="C457" s="86" t="s">
        <v>1200</v>
      </c>
      <c r="D457" s="86" t="s">
        <v>1087</v>
      </c>
      <c r="E457" s="86">
        <v>0</v>
      </c>
      <c r="F457" s="86"/>
      <c r="G457" s="87"/>
    </row>
    <row r="458" spans="2:7" hidden="1" outlineLevel="1" x14ac:dyDescent="0.15">
      <c r="B458" s="88" t="s">
        <v>409</v>
      </c>
      <c r="C458" s="86" t="s">
        <v>1201</v>
      </c>
      <c r="D458" s="86" t="s">
        <v>1087</v>
      </c>
      <c r="E458" s="86">
        <v>0</v>
      </c>
      <c r="F458" s="86"/>
      <c r="G458" s="87"/>
    </row>
    <row r="459" spans="2:7" hidden="1" outlineLevel="1" x14ac:dyDescent="0.15">
      <c r="B459" s="88" t="s">
        <v>410</v>
      </c>
      <c r="C459" s="86" t="s">
        <v>1137</v>
      </c>
      <c r="D459" s="86" t="s">
        <v>1087</v>
      </c>
      <c r="E459" s="86">
        <v>0</v>
      </c>
      <c r="F459" s="86"/>
      <c r="G459" s="87"/>
    </row>
    <row r="460" spans="2:7" hidden="1" outlineLevel="1" x14ac:dyDescent="0.15">
      <c r="B460" s="88" t="s">
        <v>411</v>
      </c>
      <c r="C460" s="86" t="s">
        <v>1138</v>
      </c>
      <c r="D460" s="86" t="s">
        <v>1087</v>
      </c>
      <c r="E460" s="86">
        <v>0</v>
      </c>
      <c r="F460" s="86"/>
      <c r="G460" s="87"/>
    </row>
    <row r="461" spans="2:7" hidden="1" outlineLevel="1" x14ac:dyDescent="0.15">
      <c r="B461" s="88" t="s">
        <v>412</v>
      </c>
      <c r="C461" s="86" t="s">
        <v>1202</v>
      </c>
      <c r="D461" s="86" t="s">
        <v>1087</v>
      </c>
      <c r="E461" s="86">
        <v>0</v>
      </c>
      <c r="F461" s="86"/>
      <c r="G461" s="87"/>
    </row>
    <row r="462" spans="2:7" hidden="1" outlineLevel="1" x14ac:dyDescent="0.15">
      <c r="B462" s="88" t="s">
        <v>1109</v>
      </c>
      <c r="C462" s="86" t="s">
        <v>1139</v>
      </c>
      <c r="D462" s="86" t="s">
        <v>1087</v>
      </c>
      <c r="E462" s="86">
        <v>0</v>
      </c>
      <c r="F462" s="86"/>
      <c r="G462" s="87"/>
    </row>
    <row r="463" spans="2:7" hidden="1" outlineLevel="1" x14ac:dyDescent="0.15">
      <c r="B463" s="88" t="s">
        <v>387</v>
      </c>
      <c r="C463" s="86" t="s">
        <v>1203</v>
      </c>
      <c r="D463" s="86" t="s">
        <v>1087</v>
      </c>
      <c r="E463" s="86">
        <v>0</v>
      </c>
      <c r="F463" s="86"/>
      <c r="G463" s="87"/>
    </row>
    <row r="464" spans="2:7" hidden="1" outlineLevel="1" x14ac:dyDescent="0.15">
      <c r="B464" s="88" t="s">
        <v>388</v>
      </c>
      <c r="C464" s="86" t="s">
        <v>1204</v>
      </c>
      <c r="D464" s="86" t="s">
        <v>1087</v>
      </c>
      <c r="E464" s="86">
        <v>0</v>
      </c>
      <c r="F464" s="86"/>
      <c r="G464" s="87"/>
    </row>
    <row r="465" spans="2:7" hidden="1" outlineLevel="1" x14ac:dyDescent="0.15">
      <c r="B465" s="88" t="s">
        <v>116</v>
      </c>
      <c r="C465" s="86" t="s">
        <v>1213</v>
      </c>
      <c r="D465" s="86" t="s">
        <v>1169</v>
      </c>
      <c r="E465" s="86">
        <v>0</v>
      </c>
      <c r="F465" s="86"/>
      <c r="G465" s="87"/>
    </row>
    <row r="466" spans="2:7" hidden="1" outlineLevel="1" x14ac:dyDescent="0.15">
      <c r="B466" s="88" t="s">
        <v>12</v>
      </c>
      <c r="C466" s="86" t="s">
        <v>1143</v>
      </c>
      <c r="D466" s="86" t="s">
        <v>1169</v>
      </c>
      <c r="E466" s="86">
        <v>0</v>
      </c>
      <c r="F466" s="86"/>
      <c r="G466" s="87"/>
    </row>
    <row r="467" spans="2:7" hidden="1" outlineLevel="1" x14ac:dyDescent="0.15">
      <c r="B467" s="88" t="s">
        <v>13</v>
      </c>
      <c r="C467" s="86" t="s">
        <v>1205</v>
      </c>
      <c r="D467" s="86" t="s">
        <v>1169</v>
      </c>
      <c r="E467" s="86">
        <v>0</v>
      </c>
      <c r="F467" s="86"/>
      <c r="G467" s="87"/>
    </row>
    <row r="468" spans="2:7" hidden="1" outlineLevel="1" x14ac:dyDescent="0.15">
      <c r="B468" s="88" t="s">
        <v>14</v>
      </c>
      <c r="C468" s="86" t="s">
        <v>1206</v>
      </c>
      <c r="D468" s="86" t="s">
        <v>1169</v>
      </c>
      <c r="E468" s="86">
        <v>0</v>
      </c>
      <c r="F468" s="86"/>
      <c r="G468" s="87"/>
    </row>
    <row r="469" spans="2:7" hidden="1" outlineLevel="1" x14ac:dyDescent="0.15">
      <c r="B469" s="88" t="s">
        <v>742</v>
      </c>
      <c r="C469" s="86" t="s">
        <v>1208</v>
      </c>
      <c r="D469" s="86" t="s">
        <v>1087</v>
      </c>
      <c r="E469" s="86">
        <v>0</v>
      </c>
      <c r="F469" s="86"/>
      <c r="G469" s="87"/>
    </row>
    <row r="470" spans="2:7" hidden="1" outlineLevel="1" x14ac:dyDescent="0.15">
      <c r="B470" s="88" t="s">
        <v>1066</v>
      </c>
      <c r="C470" s="86" t="s">
        <v>1209</v>
      </c>
      <c r="D470" s="86" t="s">
        <v>1169</v>
      </c>
      <c r="E470" s="86">
        <v>0</v>
      </c>
      <c r="F470" s="86"/>
      <c r="G470" s="87"/>
    </row>
    <row r="471" spans="2:7" s="310" customFormat="1" hidden="1" outlineLevel="1" x14ac:dyDescent="0.15">
      <c r="B471" s="153" t="s">
        <v>744</v>
      </c>
      <c r="C471" s="154" t="s">
        <v>1210</v>
      </c>
      <c r="D471" s="154" t="s">
        <v>1211</v>
      </c>
      <c r="E471" s="154">
        <v>0</v>
      </c>
      <c r="F471" s="154"/>
      <c r="G471" s="155"/>
    </row>
    <row r="472" spans="2:7" hidden="1" outlineLevel="1" x14ac:dyDescent="0.15">
      <c r="B472" s="153" t="s">
        <v>1125</v>
      </c>
      <c r="C472" s="154" t="s">
        <v>1212</v>
      </c>
      <c r="D472" s="154" t="s">
        <v>1211</v>
      </c>
      <c r="E472" s="154">
        <v>0</v>
      </c>
      <c r="F472" s="154"/>
      <c r="G472" s="155"/>
    </row>
    <row r="473" spans="2:7" hidden="1" outlineLevel="1" x14ac:dyDescent="0.15">
      <c r="B473" s="153" t="s">
        <v>35</v>
      </c>
      <c r="C473" s="154" t="s">
        <v>1236</v>
      </c>
      <c r="D473" s="154" t="s">
        <v>1211</v>
      </c>
      <c r="E473" s="154">
        <v>0</v>
      </c>
      <c r="F473" s="154"/>
      <c r="G473" s="155"/>
    </row>
    <row r="474" spans="2:7" hidden="1" outlineLevel="1" x14ac:dyDescent="0.15">
      <c r="B474" s="153" t="s">
        <v>485</v>
      </c>
      <c r="C474" s="154" t="s">
        <v>1112</v>
      </c>
      <c r="D474" s="154" t="s">
        <v>1211</v>
      </c>
      <c r="E474" s="154">
        <v>0</v>
      </c>
      <c r="F474" s="154"/>
      <c r="G474" s="155"/>
    </row>
    <row r="475" spans="2:7" hidden="1" outlineLevel="1" x14ac:dyDescent="0.15">
      <c r="B475" s="153" t="s">
        <v>162</v>
      </c>
      <c r="C475" s="154" t="s">
        <v>1214</v>
      </c>
      <c r="D475" s="154" t="s">
        <v>1169</v>
      </c>
      <c r="E475" s="154">
        <v>0</v>
      </c>
      <c r="F475" s="154"/>
      <c r="G475" s="155"/>
    </row>
    <row r="476" spans="2:7" hidden="1" outlineLevel="1" x14ac:dyDescent="0.15">
      <c r="B476" s="153" t="s">
        <v>1065</v>
      </c>
      <c r="C476" s="154" t="s">
        <v>1530</v>
      </c>
      <c r="D476" s="154" t="s">
        <v>1169</v>
      </c>
      <c r="E476" s="154">
        <v>0</v>
      </c>
      <c r="F476" s="154"/>
      <c r="G476" s="155"/>
    </row>
    <row r="477" spans="2:7" hidden="1" outlineLevel="1" x14ac:dyDescent="0.15">
      <c r="B477" s="88" t="s">
        <v>1156</v>
      </c>
      <c r="C477" s="86" t="s">
        <v>1480</v>
      </c>
      <c r="D477" s="86" t="s">
        <v>1087</v>
      </c>
      <c r="E477" s="86">
        <v>0</v>
      </c>
      <c r="F477" s="86"/>
      <c r="G477" s="87" t="s">
        <v>1481</v>
      </c>
    </row>
    <row r="478" spans="2:7" hidden="1" outlineLevel="1" x14ac:dyDescent="0.15">
      <c r="B478" s="88" t="s">
        <v>1157</v>
      </c>
      <c r="C478" s="86" t="s">
        <v>1482</v>
      </c>
      <c r="D478" s="86" t="s">
        <v>1087</v>
      </c>
      <c r="E478" s="86">
        <v>0</v>
      </c>
      <c r="F478" s="86"/>
      <c r="G478" s="87" t="s">
        <v>1481</v>
      </c>
    </row>
    <row r="479" spans="2:7" hidden="1" outlineLevel="1" x14ac:dyDescent="0.15">
      <c r="B479" s="88" t="s">
        <v>1158</v>
      </c>
      <c r="C479" s="86" t="s">
        <v>1507</v>
      </c>
      <c r="D479" s="86" t="s">
        <v>1087</v>
      </c>
      <c r="E479" s="86">
        <v>0</v>
      </c>
      <c r="F479" s="86"/>
      <c r="G479" s="87"/>
    </row>
    <row r="480" spans="2:7" hidden="1" outlineLevel="1" x14ac:dyDescent="0.15">
      <c r="B480" s="88" t="s">
        <v>2052</v>
      </c>
      <c r="C480" s="86" t="s">
        <v>2053</v>
      </c>
      <c r="D480" s="86" t="s">
        <v>1169</v>
      </c>
      <c r="E480" s="86">
        <v>0</v>
      </c>
      <c r="F480" s="86"/>
      <c r="G480" s="87"/>
    </row>
    <row r="481" spans="1:11" hidden="1" outlineLevel="1" x14ac:dyDescent="0.15">
      <c r="B481" s="194" t="s">
        <v>41</v>
      </c>
      <c r="C481" s="195" t="s">
        <v>1258</v>
      </c>
      <c r="D481" s="195" t="s">
        <v>211</v>
      </c>
      <c r="E481" s="195">
        <v>0</v>
      </c>
      <c r="F481" s="195"/>
      <c r="G481" s="196" t="s">
        <v>1259</v>
      </c>
    </row>
    <row r="482" spans="1:11" hidden="1" outlineLevel="1" x14ac:dyDescent="0.15">
      <c r="B482" s="194" t="s">
        <v>40</v>
      </c>
      <c r="C482" s="195" t="s">
        <v>1459</v>
      </c>
      <c r="D482" s="195" t="s">
        <v>1211</v>
      </c>
      <c r="E482" s="195">
        <v>0</v>
      </c>
      <c r="F482" s="195"/>
      <c r="G482" s="196"/>
    </row>
    <row r="483" spans="1:11" s="76" customFormat="1" hidden="1" outlineLevel="1" x14ac:dyDescent="0.15">
      <c r="A483" s="71"/>
      <c r="B483" s="194" t="s">
        <v>226</v>
      </c>
      <c r="C483" s="195" t="s">
        <v>1395</v>
      </c>
      <c r="D483" s="195" t="s">
        <v>1172</v>
      </c>
      <c r="E483" s="195">
        <v>0</v>
      </c>
      <c r="F483" s="195"/>
      <c r="G483" s="196"/>
    </row>
    <row r="484" spans="1:11" s="76" customFormat="1" hidden="1" outlineLevel="1" x14ac:dyDescent="0.15">
      <c r="A484" s="71"/>
      <c r="B484" s="194" t="s">
        <v>227</v>
      </c>
      <c r="C484" s="195" t="s">
        <v>1396</v>
      </c>
      <c r="D484" s="195" t="s">
        <v>211</v>
      </c>
      <c r="E484" s="195">
        <v>0</v>
      </c>
      <c r="F484" s="195"/>
      <c r="G484" s="196"/>
    </row>
    <row r="485" spans="1:11" s="76" customFormat="1" hidden="1" outlineLevel="1" x14ac:dyDescent="0.15">
      <c r="A485" s="71"/>
      <c r="B485" s="194" t="s">
        <v>229</v>
      </c>
      <c r="C485" s="195" t="s">
        <v>1392</v>
      </c>
      <c r="D485" s="195" t="s">
        <v>211</v>
      </c>
      <c r="E485" s="195">
        <v>0</v>
      </c>
      <c r="F485" s="195"/>
      <c r="G485" s="196"/>
    </row>
    <row r="486" spans="1:11" s="7" customFormat="1" hidden="1" outlineLevel="1" x14ac:dyDescent="0.15">
      <c r="A486" s="71"/>
      <c r="B486" s="194" t="s">
        <v>236</v>
      </c>
      <c r="C486" s="195" t="s">
        <v>1565</v>
      </c>
      <c r="D486" s="195" t="s">
        <v>1172</v>
      </c>
      <c r="E486" s="195">
        <v>0</v>
      </c>
      <c r="F486" s="195"/>
      <c r="G486" s="196"/>
      <c r="H486" s="7" t="s">
        <v>237</v>
      </c>
      <c r="I486" s="7" t="s">
        <v>238</v>
      </c>
      <c r="J486" s="7" t="s">
        <v>211</v>
      </c>
      <c r="K486" s="7" t="s">
        <v>211</v>
      </c>
    </row>
    <row r="487" spans="1:11" hidden="1" outlineLevel="1" x14ac:dyDescent="0.15">
      <c r="B487" s="88"/>
      <c r="C487" s="86"/>
      <c r="D487" s="86"/>
      <c r="E487" s="86"/>
      <c r="F487" s="86"/>
      <c r="G487" s="87"/>
    </row>
    <row r="488" spans="1:11" hidden="1" outlineLevel="1" x14ac:dyDescent="0.15">
      <c r="B488" s="278" t="s">
        <v>577</v>
      </c>
      <c r="C488" s="277"/>
      <c r="D488" s="277"/>
      <c r="E488" s="277"/>
      <c r="F488" s="277"/>
      <c r="G488" s="279"/>
      <c r="H488" s="100"/>
    </row>
    <row r="489" spans="1:11" hidden="1" outlineLevel="1" x14ac:dyDescent="0.15">
      <c r="A489" s="1" t="s">
        <v>117</v>
      </c>
      <c r="B489" s="88">
        <v>1</v>
      </c>
      <c r="C489" s="86" t="s">
        <v>16</v>
      </c>
      <c r="D489" s="86" t="s">
        <v>119</v>
      </c>
      <c r="E489" s="86" t="s">
        <v>112</v>
      </c>
      <c r="F489" s="86" t="s">
        <v>327</v>
      </c>
      <c r="G489" s="87" t="s">
        <v>114</v>
      </c>
      <c r="H489" s="184" t="s">
        <v>386</v>
      </c>
    </row>
    <row r="490" spans="1:11" hidden="1" outlineLevel="1" x14ac:dyDescent="0.15">
      <c r="B490" s="88"/>
      <c r="C490" s="86"/>
      <c r="D490" s="86"/>
      <c r="E490" s="86"/>
      <c r="F490" s="86"/>
      <c r="G490" s="87"/>
    </row>
    <row r="491" spans="1:11" hidden="1" outlineLevel="1" x14ac:dyDescent="0.15">
      <c r="B491" s="88"/>
      <c r="C491" s="86"/>
      <c r="D491" s="86"/>
      <c r="E491" s="86"/>
      <c r="F491" s="86"/>
      <c r="G491" s="87"/>
    </row>
    <row r="492" spans="1:11" ht="18" hidden="1" outlineLevel="1" thickBot="1" x14ac:dyDescent="0.2">
      <c r="B492" s="89"/>
      <c r="C492" s="90"/>
      <c r="D492" s="90"/>
      <c r="E492" s="90"/>
      <c r="F492" s="90"/>
      <c r="G492" s="91"/>
    </row>
    <row r="493" spans="1:11" ht="18" hidden="1" outlineLevel="1" thickBot="1" x14ac:dyDescent="0.2"/>
    <row r="494" spans="1:11" ht="18" collapsed="1" thickBot="1" x14ac:dyDescent="0.2">
      <c r="B494" s="72" t="s">
        <v>563</v>
      </c>
      <c r="C494" s="276" t="s">
        <v>1528</v>
      </c>
      <c r="D494" s="74" t="s">
        <v>515</v>
      </c>
      <c r="E494" s="4" t="s">
        <v>1520</v>
      </c>
      <c r="F494" s="74" t="s">
        <v>567</v>
      </c>
      <c r="G494" s="75"/>
    </row>
    <row r="495" spans="1:11" ht="18" hidden="1" outlineLevel="1" thickBot="1" x14ac:dyDescent="0.2">
      <c r="B495" s="178" t="s">
        <v>570</v>
      </c>
      <c r="C495" s="179"/>
      <c r="D495" s="180" t="s">
        <v>568</v>
      </c>
      <c r="E495" s="179" t="s">
        <v>615</v>
      </c>
      <c r="F495" s="180"/>
      <c r="G495" s="181"/>
    </row>
    <row r="496" spans="1:11" hidden="1" outlineLevel="1" x14ac:dyDescent="0.15">
      <c r="B496" s="182" t="s">
        <v>571</v>
      </c>
      <c r="C496" s="183" t="s">
        <v>572</v>
      </c>
      <c r="D496" s="183" t="s">
        <v>573</v>
      </c>
      <c r="E496" s="183"/>
      <c r="F496" s="183" t="s">
        <v>3</v>
      </c>
      <c r="G496" s="237" t="s">
        <v>4</v>
      </c>
    </row>
    <row r="497" spans="2:7" hidden="1" outlineLevel="1" x14ac:dyDescent="0.15">
      <c r="B497" s="184" t="s">
        <v>5</v>
      </c>
      <c r="C497" s="100" t="s">
        <v>1127</v>
      </c>
      <c r="D497" s="100" t="s">
        <v>211</v>
      </c>
      <c r="E497" s="100" t="s">
        <v>1141</v>
      </c>
      <c r="F497" s="100"/>
      <c r="G497" s="185" t="s">
        <v>1162</v>
      </c>
    </row>
    <row r="498" spans="2:7" hidden="1" outlineLevel="1" x14ac:dyDescent="0.15">
      <c r="B498" s="184" t="s">
        <v>16</v>
      </c>
      <c r="C498" s="100" t="s">
        <v>1163</v>
      </c>
      <c r="D498" s="100" t="s">
        <v>211</v>
      </c>
      <c r="E498" s="100">
        <v>0</v>
      </c>
      <c r="F498" s="100"/>
      <c r="G498" s="185" t="s">
        <v>1077</v>
      </c>
    </row>
    <row r="499" spans="2:7" hidden="1" outlineLevel="1" x14ac:dyDescent="0.15">
      <c r="B499" s="184" t="s">
        <v>111</v>
      </c>
      <c r="C499" s="100" t="s">
        <v>1164</v>
      </c>
      <c r="D499" s="100" t="s">
        <v>211</v>
      </c>
      <c r="E499" s="100">
        <v>0</v>
      </c>
      <c r="F499" s="100"/>
      <c r="G499" s="185" t="s">
        <v>1165</v>
      </c>
    </row>
    <row r="500" spans="2:7" hidden="1" outlineLevel="1" x14ac:dyDescent="0.15">
      <c r="B500" s="184" t="s">
        <v>123</v>
      </c>
      <c r="C500" s="100" t="s">
        <v>1133</v>
      </c>
      <c r="D500" s="100" t="s">
        <v>211</v>
      </c>
      <c r="E500" s="100">
        <v>0</v>
      </c>
      <c r="F500" s="100"/>
      <c r="G500" s="185" t="s">
        <v>1182</v>
      </c>
    </row>
    <row r="501" spans="2:7" hidden="1" outlineLevel="1" x14ac:dyDescent="0.15">
      <c r="B501" s="184" t="s">
        <v>327</v>
      </c>
      <c r="C501" s="100" t="s">
        <v>1187</v>
      </c>
      <c r="D501" s="100" t="s">
        <v>211</v>
      </c>
      <c r="E501" s="100">
        <v>0</v>
      </c>
      <c r="F501" s="100"/>
      <c r="G501" s="185"/>
    </row>
    <row r="502" spans="2:7" hidden="1" outlineLevel="1" x14ac:dyDescent="0.15">
      <c r="B502" s="184" t="s">
        <v>114</v>
      </c>
      <c r="C502" s="100" t="s">
        <v>1155</v>
      </c>
      <c r="D502" s="100" t="s">
        <v>211</v>
      </c>
      <c r="E502" s="100">
        <v>0</v>
      </c>
      <c r="F502" s="100"/>
      <c r="G502" s="185"/>
    </row>
    <row r="503" spans="2:7" hidden="1" outlineLevel="1" x14ac:dyDescent="0.15">
      <c r="B503" s="184" t="s">
        <v>1049</v>
      </c>
      <c r="C503" s="100" t="s">
        <v>1188</v>
      </c>
      <c r="D503" s="100" t="s">
        <v>211</v>
      </c>
      <c r="E503" s="100">
        <v>0</v>
      </c>
      <c r="F503" s="100"/>
      <c r="G503" s="185"/>
    </row>
    <row r="504" spans="2:7" hidden="1" outlineLevel="1" x14ac:dyDescent="0.15">
      <c r="B504" s="184" t="s">
        <v>78</v>
      </c>
      <c r="C504" s="100" t="s">
        <v>1189</v>
      </c>
      <c r="D504" s="100" t="s">
        <v>211</v>
      </c>
      <c r="E504" s="100">
        <v>0</v>
      </c>
      <c r="F504" s="100"/>
      <c r="G504" s="185"/>
    </row>
    <row r="505" spans="2:7" hidden="1" outlineLevel="1" x14ac:dyDescent="0.15">
      <c r="B505" s="184" t="s">
        <v>7</v>
      </c>
      <c r="C505" s="100" t="s">
        <v>1190</v>
      </c>
      <c r="D505" s="100" t="s">
        <v>211</v>
      </c>
      <c r="E505" s="100">
        <v>0</v>
      </c>
      <c r="F505" s="100"/>
      <c r="G505" s="185" t="s">
        <v>1081</v>
      </c>
    </row>
    <row r="506" spans="2:7" hidden="1" outlineLevel="1" x14ac:dyDescent="0.15">
      <c r="B506" s="184" t="s">
        <v>162</v>
      </c>
      <c r="C506" s="100" t="s">
        <v>1214</v>
      </c>
      <c r="D506" s="100" t="s">
        <v>1169</v>
      </c>
      <c r="E506" s="100">
        <v>0</v>
      </c>
      <c r="F506" s="100"/>
      <c r="G506" s="185"/>
    </row>
    <row r="507" spans="2:7" hidden="1" outlineLevel="1" x14ac:dyDescent="0.15">
      <c r="B507" s="184" t="s">
        <v>1070</v>
      </c>
      <c r="C507" s="100" t="s">
        <v>1079</v>
      </c>
      <c r="D507" s="100" t="s">
        <v>1172</v>
      </c>
      <c r="E507" s="100">
        <v>0</v>
      </c>
      <c r="F507" s="100"/>
      <c r="G507" s="185"/>
    </row>
    <row r="508" spans="2:7" hidden="1" outlineLevel="1" x14ac:dyDescent="0.15">
      <c r="B508" s="184" t="s">
        <v>386</v>
      </c>
      <c r="C508" s="100" t="s">
        <v>1191</v>
      </c>
      <c r="D508" s="100" t="s">
        <v>211</v>
      </c>
      <c r="E508" s="100">
        <v>0</v>
      </c>
      <c r="F508" s="100"/>
      <c r="G508" s="185" t="s">
        <v>1192</v>
      </c>
    </row>
    <row r="509" spans="2:7" hidden="1" outlineLevel="1" x14ac:dyDescent="0.15">
      <c r="B509" s="184" t="s">
        <v>8</v>
      </c>
      <c r="C509" s="100" t="s">
        <v>1193</v>
      </c>
      <c r="D509" s="100" t="s">
        <v>1087</v>
      </c>
      <c r="E509" s="100">
        <v>0</v>
      </c>
      <c r="F509" s="100"/>
      <c r="G509" s="185" t="s">
        <v>1194</v>
      </c>
    </row>
    <row r="510" spans="2:7" hidden="1" outlineLevel="1" x14ac:dyDescent="0.15">
      <c r="B510" s="184" t="s">
        <v>9</v>
      </c>
      <c r="C510" s="100" t="s">
        <v>1195</v>
      </c>
      <c r="D510" s="100" t="s">
        <v>1087</v>
      </c>
      <c r="E510" s="100">
        <v>0</v>
      </c>
      <c r="F510" s="100"/>
      <c r="G510" s="185" t="s">
        <v>1196</v>
      </c>
    </row>
    <row r="511" spans="2:7" hidden="1" outlineLevel="1" x14ac:dyDescent="0.15">
      <c r="B511" s="184" t="s">
        <v>1104</v>
      </c>
      <c r="C511" s="100" t="s">
        <v>1134</v>
      </c>
      <c r="D511" s="100" t="s">
        <v>1087</v>
      </c>
      <c r="E511" s="100">
        <v>0</v>
      </c>
      <c r="F511" s="100"/>
      <c r="G511" s="185"/>
    </row>
    <row r="512" spans="2:7" hidden="1" outlineLevel="1" x14ac:dyDescent="0.15">
      <c r="B512" s="184" t="s">
        <v>10</v>
      </c>
      <c r="C512" s="100" t="s">
        <v>1197</v>
      </c>
      <c r="D512" s="100" t="s">
        <v>1087</v>
      </c>
      <c r="E512" s="100">
        <v>0</v>
      </c>
      <c r="F512" s="100"/>
      <c r="G512" s="185" t="s">
        <v>1144</v>
      </c>
    </row>
    <row r="513" spans="2:7" hidden="1" outlineLevel="1" x14ac:dyDescent="0.15">
      <c r="B513" s="184" t="s">
        <v>11</v>
      </c>
      <c r="C513" s="100" t="s">
        <v>1198</v>
      </c>
      <c r="D513" s="100" t="s">
        <v>1087</v>
      </c>
      <c r="E513" s="100">
        <v>0</v>
      </c>
      <c r="F513" s="100"/>
      <c r="G513" s="185" t="s">
        <v>1080</v>
      </c>
    </row>
    <row r="514" spans="2:7" hidden="1" outlineLevel="1" x14ac:dyDescent="0.15">
      <c r="B514" s="184" t="s">
        <v>387</v>
      </c>
      <c r="C514" s="100" t="s">
        <v>1203</v>
      </c>
      <c r="D514" s="100" t="s">
        <v>1087</v>
      </c>
      <c r="E514" s="100">
        <v>0</v>
      </c>
      <c r="F514" s="100"/>
      <c r="G514" s="185"/>
    </row>
    <row r="515" spans="2:7" hidden="1" outlineLevel="1" x14ac:dyDescent="0.15">
      <c r="B515" s="184" t="s">
        <v>388</v>
      </c>
      <c r="C515" s="100" t="s">
        <v>1204</v>
      </c>
      <c r="D515" s="100" t="s">
        <v>1087</v>
      </c>
      <c r="E515" s="100">
        <v>0</v>
      </c>
      <c r="F515" s="100"/>
      <c r="G515" s="185"/>
    </row>
    <row r="516" spans="2:7" hidden="1" outlineLevel="1" x14ac:dyDescent="0.15">
      <c r="B516" s="184" t="s">
        <v>116</v>
      </c>
      <c r="C516" s="100" t="s">
        <v>1213</v>
      </c>
      <c r="D516" s="100" t="s">
        <v>1169</v>
      </c>
      <c r="E516" s="100">
        <v>0</v>
      </c>
      <c r="F516" s="100"/>
      <c r="G516" s="185"/>
    </row>
    <row r="517" spans="2:7" hidden="1" outlineLevel="1" x14ac:dyDescent="0.15">
      <c r="B517" s="184" t="s">
        <v>12</v>
      </c>
      <c r="C517" s="100" t="s">
        <v>1143</v>
      </c>
      <c r="D517" s="100" t="s">
        <v>1169</v>
      </c>
      <c r="E517" s="100">
        <v>0</v>
      </c>
      <c r="F517" s="100"/>
      <c r="G517" s="185"/>
    </row>
    <row r="518" spans="2:7" hidden="1" outlineLevel="1" x14ac:dyDescent="0.15">
      <c r="B518" s="184" t="s">
        <v>13</v>
      </c>
      <c r="C518" s="100" t="s">
        <v>1205</v>
      </c>
      <c r="D518" s="100" t="s">
        <v>1169</v>
      </c>
      <c r="E518" s="100">
        <v>0</v>
      </c>
      <c r="F518" s="100"/>
      <c r="G518" s="185"/>
    </row>
    <row r="519" spans="2:7" hidden="1" outlineLevel="1" x14ac:dyDescent="0.15">
      <c r="B519" s="184" t="s">
        <v>14</v>
      </c>
      <c r="C519" s="100" t="s">
        <v>1206</v>
      </c>
      <c r="D519" s="100" t="s">
        <v>1169</v>
      </c>
      <c r="E519" s="100">
        <v>0</v>
      </c>
      <c r="F519" s="100"/>
      <c r="G519" s="185"/>
    </row>
    <row r="520" spans="2:7" hidden="1" outlineLevel="1" x14ac:dyDescent="0.15">
      <c r="B520" s="184" t="s">
        <v>1065</v>
      </c>
      <c r="C520" s="100" t="s">
        <v>1530</v>
      </c>
      <c r="D520" s="100" t="s">
        <v>1169</v>
      </c>
      <c r="E520" s="100">
        <v>0</v>
      </c>
      <c r="F520" s="100"/>
      <c r="G520" s="185"/>
    </row>
    <row r="521" spans="2:7" hidden="1" outlineLevel="1" x14ac:dyDescent="0.15">
      <c r="B521" s="184" t="s">
        <v>303</v>
      </c>
      <c r="C521" s="100" t="s">
        <v>1170</v>
      </c>
      <c r="D521" s="100" t="s">
        <v>1169</v>
      </c>
      <c r="E521" s="100">
        <v>0</v>
      </c>
      <c r="F521" s="100"/>
      <c r="G521" s="185"/>
    </row>
    <row r="522" spans="2:7" hidden="1" outlineLevel="1" x14ac:dyDescent="0.15">
      <c r="B522" s="184" t="s">
        <v>742</v>
      </c>
      <c r="C522" s="100" t="s">
        <v>1208</v>
      </c>
      <c r="D522" s="100" t="s">
        <v>1087</v>
      </c>
      <c r="E522" s="100">
        <v>0</v>
      </c>
      <c r="F522" s="100"/>
      <c r="G522" s="185"/>
    </row>
    <row r="523" spans="2:7" hidden="1" outlineLevel="1" x14ac:dyDescent="0.15">
      <c r="B523" s="184" t="s">
        <v>1066</v>
      </c>
      <c r="C523" s="100" t="s">
        <v>1209</v>
      </c>
      <c r="D523" s="100" t="s">
        <v>1169</v>
      </c>
      <c r="E523" s="100">
        <v>0</v>
      </c>
      <c r="F523" s="100"/>
      <c r="G523" s="185"/>
    </row>
    <row r="524" spans="2:7" hidden="1" outlineLevel="1" x14ac:dyDescent="0.15">
      <c r="B524" s="184" t="s">
        <v>1124</v>
      </c>
      <c r="C524" s="100" t="s">
        <v>1210</v>
      </c>
      <c r="D524" s="100" t="s">
        <v>1211</v>
      </c>
      <c r="E524" s="100">
        <v>0</v>
      </c>
      <c r="F524" s="100"/>
      <c r="G524" s="185"/>
    </row>
    <row r="525" spans="2:7" hidden="1" outlineLevel="1" x14ac:dyDescent="0.15">
      <c r="B525" s="184" t="s">
        <v>1125</v>
      </c>
      <c r="C525" s="100" t="s">
        <v>1212</v>
      </c>
      <c r="D525" s="100" t="s">
        <v>1211</v>
      </c>
      <c r="E525" s="100">
        <v>0</v>
      </c>
      <c r="F525" s="100"/>
      <c r="G525" s="185"/>
    </row>
    <row r="526" spans="2:7" hidden="1" outlineLevel="1" x14ac:dyDescent="0.15">
      <c r="B526" s="184" t="s">
        <v>35</v>
      </c>
      <c r="C526" s="100" t="s">
        <v>1236</v>
      </c>
      <c r="D526" s="100" t="s">
        <v>1211</v>
      </c>
      <c r="E526" s="100">
        <v>0</v>
      </c>
      <c r="F526" s="100"/>
      <c r="G526" s="185"/>
    </row>
    <row r="527" spans="2:7" hidden="1" outlineLevel="1" x14ac:dyDescent="0.15">
      <c r="B527" s="184" t="s">
        <v>32</v>
      </c>
      <c r="C527" s="100" t="s">
        <v>1112</v>
      </c>
      <c r="D527" s="100" t="s">
        <v>1211</v>
      </c>
      <c r="E527" s="100">
        <v>0</v>
      </c>
      <c r="F527" s="100"/>
      <c r="G527" s="185"/>
    </row>
    <row r="528" spans="2:7" hidden="1" outlineLevel="1" x14ac:dyDescent="0.15">
      <c r="B528" s="184" t="s">
        <v>389</v>
      </c>
      <c r="C528" s="100" t="s">
        <v>1477</v>
      </c>
      <c r="D528" s="100" t="s">
        <v>1211</v>
      </c>
      <c r="E528" s="100">
        <v>0</v>
      </c>
      <c r="F528" s="100"/>
      <c r="G528" s="185" t="s">
        <v>1478</v>
      </c>
    </row>
    <row r="529" spans="1:11" hidden="1" outlineLevel="1" x14ac:dyDescent="0.15">
      <c r="B529" s="184" t="s">
        <v>1156</v>
      </c>
      <c r="C529" s="100" t="s">
        <v>1480</v>
      </c>
      <c r="D529" s="100" t="s">
        <v>1087</v>
      </c>
      <c r="E529" s="100">
        <v>0</v>
      </c>
      <c r="F529" s="100"/>
      <c r="G529" s="185" t="s">
        <v>1481</v>
      </c>
    </row>
    <row r="530" spans="1:11" hidden="1" outlineLevel="1" x14ac:dyDescent="0.15">
      <c r="B530" s="184" t="s">
        <v>1157</v>
      </c>
      <c r="C530" s="100" t="s">
        <v>1482</v>
      </c>
      <c r="D530" s="100" t="s">
        <v>1087</v>
      </c>
      <c r="E530" s="100">
        <v>0</v>
      </c>
      <c r="F530" s="100"/>
      <c r="G530" s="185" t="s">
        <v>1481</v>
      </c>
    </row>
    <row r="531" spans="1:11" hidden="1" outlineLevel="1" x14ac:dyDescent="0.15">
      <c r="B531" s="184" t="s">
        <v>1158</v>
      </c>
      <c r="C531" s="100" t="s">
        <v>1507</v>
      </c>
      <c r="D531" s="100" t="s">
        <v>1087</v>
      </c>
      <c r="E531" s="100">
        <v>0</v>
      </c>
      <c r="F531" s="100"/>
      <c r="G531" s="185"/>
    </row>
    <row r="532" spans="1:11" hidden="1" outlineLevel="1" x14ac:dyDescent="0.15">
      <c r="B532" s="184" t="s">
        <v>1522</v>
      </c>
      <c r="C532" s="100" t="s">
        <v>1479</v>
      </c>
      <c r="D532" s="100" t="s">
        <v>1169</v>
      </c>
      <c r="E532" s="100">
        <v>0</v>
      </c>
      <c r="F532" s="100"/>
      <c r="G532" s="185"/>
    </row>
    <row r="533" spans="1:11" hidden="1" outlineLevel="1" x14ac:dyDescent="0.15">
      <c r="B533" s="184" t="s">
        <v>1523</v>
      </c>
      <c r="C533" s="100" t="s">
        <v>1483</v>
      </c>
      <c r="D533" s="100" t="s">
        <v>1172</v>
      </c>
      <c r="E533" s="100">
        <v>0</v>
      </c>
      <c r="F533" s="100"/>
      <c r="G533" s="185"/>
    </row>
    <row r="534" spans="1:11" hidden="1" outlineLevel="1" x14ac:dyDescent="0.15">
      <c r="B534" s="194" t="s">
        <v>41</v>
      </c>
      <c r="C534" s="195" t="s">
        <v>1258</v>
      </c>
      <c r="D534" s="195" t="s">
        <v>211</v>
      </c>
      <c r="E534" s="195">
        <v>0</v>
      </c>
      <c r="F534" s="195"/>
      <c r="G534" s="196" t="s">
        <v>1259</v>
      </c>
    </row>
    <row r="535" spans="1:11" hidden="1" outlineLevel="1" x14ac:dyDescent="0.15">
      <c r="B535" s="194" t="s">
        <v>40</v>
      </c>
      <c r="C535" s="195" t="s">
        <v>1459</v>
      </c>
      <c r="D535" s="195" t="s">
        <v>1211</v>
      </c>
      <c r="E535" s="195">
        <v>0</v>
      </c>
      <c r="F535" s="195"/>
      <c r="G535" s="196"/>
    </row>
    <row r="536" spans="1:11" s="76" customFormat="1" hidden="1" outlineLevel="1" x14ac:dyDescent="0.15">
      <c r="A536" s="71"/>
      <c r="B536" s="194" t="s">
        <v>226</v>
      </c>
      <c r="C536" s="195" t="s">
        <v>1395</v>
      </c>
      <c r="D536" s="195" t="s">
        <v>1172</v>
      </c>
      <c r="E536" s="195">
        <v>0</v>
      </c>
      <c r="F536" s="195"/>
      <c r="G536" s="196"/>
    </row>
    <row r="537" spans="1:11" s="76" customFormat="1" hidden="1" outlineLevel="1" x14ac:dyDescent="0.15">
      <c r="A537" s="71"/>
      <c r="B537" s="194" t="s">
        <v>227</v>
      </c>
      <c r="C537" s="195" t="s">
        <v>1396</v>
      </c>
      <c r="D537" s="195" t="s">
        <v>211</v>
      </c>
      <c r="E537" s="195">
        <v>0</v>
      </c>
      <c r="F537" s="195"/>
      <c r="G537" s="196"/>
    </row>
    <row r="538" spans="1:11" s="76" customFormat="1" hidden="1" outlineLevel="1" x14ac:dyDescent="0.15">
      <c r="A538" s="71"/>
      <c r="B538" s="194" t="s">
        <v>229</v>
      </c>
      <c r="C538" s="195" t="s">
        <v>1392</v>
      </c>
      <c r="D538" s="195" t="s">
        <v>211</v>
      </c>
      <c r="E538" s="195">
        <v>0</v>
      </c>
      <c r="F538" s="195"/>
      <c r="G538" s="196"/>
    </row>
    <row r="539" spans="1:11" s="7" customFormat="1" hidden="1" outlineLevel="1" x14ac:dyDescent="0.15">
      <c r="A539" s="71"/>
      <c r="B539" s="194" t="s">
        <v>236</v>
      </c>
      <c r="C539" s="195" t="s">
        <v>1565</v>
      </c>
      <c r="D539" s="195" t="s">
        <v>1172</v>
      </c>
      <c r="E539" s="195">
        <v>0</v>
      </c>
      <c r="F539" s="195"/>
      <c r="G539" s="196"/>
      <c r="H539" s="7" t="s">
        <v>237</v>
      </c>
      <c r="I539" s="7" t="s">
        <v>238</v>
      </c>
      <c r="J539" s="7" t="s">
        <v>211</v>
      </c>
      <c r="K539" s="7" t="s">
        <v>211</v>
      </c>
    </row>
    <row r="540" spans="1:11" hidden="1" outlineLevel="1" x14ac:dyDescent="0.15">
      <c r="B540" s="184"/>
      <c r="C540" s="100"/>
      <c r="D540" s="100"/>
      <c r="E540" s="100"/>
      <c r="F540" s="100"/>
      <c r="G540" s="185"/>
    </row>
    <row r="541" spans="1:11" ht="18" hidden="1" outlineLevel="1" thickBot="1" x14ac:dyDescent="0.2">
      <c r="B541" s="184"/>
      <c r="C541" s="100"/>
      <c r="D541" s="100"/>
      <c r="E541" s="100"/>
      <c r="F541" s="100"/>
      <c r="G541" s="185"/>
    </row>
    <row r="542" spans="1:11" hidden="1" outlineLevel="1" x14ac:dyDescent="0.15">
      <c r="B542" s="317" t="s">
        <v>577</v>
      </c>
      <c r="C542" s="318"/>
      <c r="D542" s="318"/>
      <c r="E542" s="318"/>
      <c r="F542" s="318"/>
      <c r="G542" s="319"/>
      <c r="H542" s="100"/>
      <c r="I542" s="184"/>
    </row>
    <row r="543" spans="1:11" hidden="1" outlineLevel="1" x14ac:dyDescent="0.15">
      <c r="A543" s="1" t="s">
        <v>62</v>
      </c>
      <c r="B543" s="88">
        <v>1</v>
      </c>
      <c r="C543" s="86" t="s">
        <v>5</v>
      </c>
      <c r="D543" s="86" t="s">
        <v>16</v>
      </c>
      <c r="E543" s="86" t="s">
        <v>111</v>
      </c>
      <c r="F543" s="86" t="s">
        <v>112</v>
      </c>
      <c r="G543" s="87" t="s">
        <v>327</v>
      </c>
      <c r="H543" s="184" t="s">
        <v>386</v>
      </c>
    </row>
    <row r="544" spans="1:11" hidden="1" outlineLevel="1" x14ac:dyDescent="0.15">
      <c r="B544" s="88">
        <v>2</v>
      </c>
      <c r="C544" s="86" t="s">
        <v>16</v>
      </c>
      <c r="D544" s="86" t="s">
        <v>111</v>
      </c>
      <c r="E544" s="86" t="s">
        <v>5</v>
      </c>
      <c r="F544" s="93"/>
      <c r="G544" s="94"/>
    </row>
    <row r="545" spans="1:7" hidden="1" outlineLevel="1" x14ac:dyDescent="0.15">
      <c r="B545" s="88"/>
      <c r="C545" s="93"/>
      <c r="D545" s="93"/>
      <c r="E545" s="93"/>
      <c r="F545" s="93"/>
      <c r="G545" s="94"/>
    </row>
    <row r="546" spans="1:7" ht="18" hidden="1" outlineLevel="1" thickBot="1" x14ac:dyDescent="0.2">
      <c r="B546" s="89"/>
      <c r="C546" s="90"/>
      <c r="D546" s="90"/>
      <c r="E546" s="90"/>
      <c r="F546" s="90"/>
      <c r="G546" s="91"/>
    </row>
    <row r="547" spans="1:7" hidden="1" outlineLevel="1" x14ac:dyDescent="0.15"/>
    <row r="548" spans="1:7" hidden="1" outlineLevel="1" x14ac:dyDescent="0.15"/>
    <row r="549" spans="1:7" s="76" customFormat="1" ht="18" hidden="1" outlineLevel="1" thickBot="1" x14ac:dyDescent="0.2">
      <c r="A549" s="1"/>
      <c r="B549" s="1"/>
      <c r="C549" s="1"/>
      <c r="D549" s="1"/>
      <c r="E549" s="1"/>
      <c r="F549" s="1"/>
      <c r="G549" s="1"/>
    </row>
    <row r="550" spans="1:7" s="76" customFormat="1" ht="18" collapsed="1" thickBot="1" x14ac:dyDescent="0.2">
      <c r="A550" s="71"/>
      <c r="B550" s="72" t="s">
        <v>563</v>
      </c>
      <c r="C550" s="73" t="s">
        <v>622</v>
      </c>
      <c r="D550" s="74" t="s">
        <v>515</v>
      </c>
      <c r="E550" s="236" t="s">
        <v>711</v>
      </c>
      <c r="F550" s="74" t="s">
        <v>567</v>
      </c>
      <c r="G550" s="75"/>
    </row>
    <row r="551" spans="1:7" s="76" customFormat="1" ht="18" hidden="1" outlineLevel="1" thickBot="1" x14ac:dyDescent="0.2">
      <c r="A551" s="71"/>
      <c r="B551" s="178" t="s">
        <v>570</v>
      </c>
      <c r="C551" s="179"/>
      <c r="D551" s="180" t="s">
        <v>568</v>
      </c>
      <c r="E551" s="179" t="s">
        <v>615</v>
      </c>
      <c r="F551" s="180"/>
      <c r="G551" s="181"/>
    </row>
    <row r="552" spans="1:7" s="76" customFormat="1" hidden="1" outlineLevel="1" x14ac:dyDescent="0.15">
      <c r="A552" s="71"/>
      <c r="B552" s="182" t="s">
        <v>571</v>
      </c>
      <c r="C552" s="183" t="s">
        <v>572</v>
      </c>
      <c r="D552" s="183" t="s">
        <v>573</v>
      </c>
      <c r="E552" s="183"/>
      <c r="F552" s="183" t="s">
        <v>3</v>
      </c>
      <c r="G552" s="237" t="s">
        <v>4</v>
      </c>
    </row>
    <row r="553" spans="1:7" s="76" customFormat="1" hidden="1" outlineLevel="1" x14ac:dyDescent="0.15">
      <c r="A553" s="71"/>
      <c r="B553" s="184" t="s">
        <v>496</v>
      </c>
      <c r="C553" s="100" t="s">
        <v>1534</v>
      </c>
      <c r="D553" s="100" t="s">
        <v>211</v>
      </c>
      <c r="E553" s="100">
        <v>0</v>
      </c>
      <c r="F553" s="100"/>
      <c r="G553" s="185"/>
    </row>
    <row r="554" spans="1:7" s="76" customFormat="1" hidden="1" outlineLevel="1" x14ac:dyDescent="0.15">
      <c r="A554" s="71"/>
      <c r="B554" s="184" t="s">
        <v>497</v>
      </c>
      <c r="C554" s="100" t="s">
        <v>1535</v>
      </c>
      <c r="D554" s="100" t="s">
        <v>211</v>
      </c>
      <c r="E554" s="100">
        <v>0</v>
      </c>
      <c r="F554" s="100"/>
      <c r="G554" s="185"/>
    </row>
    <row r="555" spans="1:7" s="76" customFormat="1" hidden="1" outlineLevel="1" x14ac:dyDescent="0.15">
      <c r="A555" s="71"/>
      <c r="B555" s="184" t="s">
        <v>574</v>
      </c>
      <c r="C555" s="100" t="s">
        <v>1273</v>
      </c>
      <c r="D555" s="100" t="s">
        <v>211</v>
      </c>
      <c r="E555" s="100">
        <v>0</v>
      </c>
      <c r="F555" s="100"/>
      <c r="G555" s="185" t="s">
        <v>1274</v>
      </c>
    </row>
    <row r="556" spans="1:7" s="76" customFormat="1" hidden="1" outlineLevel="1" x14ac:dyDescent="0.15">
      <c r="A556" s="71"/>
      <c r="B556" s="184" t="s">
        <v>575</v>
      </c>
      <c r="C556" s="100" t="s">
        <v>1275</v>
      </c>
      <c r="D556" s="100" t="s">
        <v>1073</v>
      </c>
      <c r="E556" s="100" t="s">
        <v>1072</v>
      </c>
      <c r="F556" s="100"/>
      <c r="G556" s="185"/>
    </row>
    <row r="557" spans="1:7" s="76" customFormat="1" hidden="1" outlineLevel="1" x14ac:dyDescent="0.15">
      <c r="A557" s="71"/>
      <c r="B557" s="84" t="s">
        <v>576</v>
      </c>
      <c r="C557" s="86" t="s">
        <v>1260</v>
      </c>
      <c r="D557" s="86" t="s">
        <v>211</v>
      </c>
      <c r="E557" s="86" t="s">
        <v>1261</v>
      </c>
      <c r="F557" s="86"/>
      <c r="G557" s="87"/>
    </row>
    <row r="558" spans="1:7" s="76" customFormat="1" ht="18" hidden="1" outlineLevel="1" thickBot="1" x14ac:dyDescent="0.2">
      <c r="A558" s="71"/>
      <c r="B558" s="238"/>
      <c r="C558" s="79"/>
      <c r="D558" s="79"/>
      <c r="E558" s="79"/>
      <c r="F558" s="79"/>
      <c r="G558" s="81"/>
    </row>
    <row r="559" spans="1:7" s="76" customFormat="1" hidden="1" outlineLevel="1" x14ac:dyDescent="0.15">
      <c r="A559" s="71"/>
      <c r="B559" s="324" t="s">
        <v>577</v>
      </c>
      <c r="C559" s="325"/>
      <c r="D559" s="325"/>
      <c r="E559" s="325"/>
      <c r="F559" s="325"/>
      <c r="G559" s="326"/>
    </row>
    <row r="560" spans="1:7" s="76" customFormat="1" hidden="1" outlineLevel="1" x14ac:dyDescent="0.15">
      <c r="A560" s="71" t="s">
        <v>298</v>
      </c>
      <c r="B560" s="88">
        <v>1</v>
      </c>
      <c r="C560" s="86" t="s">
        <v>574</v>
      </c>
      <c r="D560" s="86"/>
      <c r="E560" s="86"/>
      <c r="F560" s="86"/>
      <c r="G560" s="87"/>
    </row>
    <row r="561" spans="1:7" s="76" customFormat="1" hidden="1" outlineLevel="1" x14ac:dyDescent="0.15">
      <c r="A561" s="71"/>
      <c r="B561" s="92">
        <v>2</v>
      </c>
      <c r="C561" s="93" t="s">
        <v>496</v>
      </c>
      <c r="D561" s="93" t="s">
        <v>497</v>
      </c>
      <c r="E561" s="93"/>
      <c r="F561" s="93"/>
      <c r="G561" s="94"/>
    </row>
    <row r="562" spans="1:7" s="76" customFormat="1" hidden="1" outlineLevel="1" x14ac:dyDescent="0.15">
      <c r="A562" s="71"/>
      <c r="B562" s="92">
        <v>3</v>
      </c>
      <c r="C562" s="93" t="s">
        <v>576</v>
      </c>
      <c r="D562" s="93"/>
      <c r="E562" s="93"/>
      <c r="F562" s="93"/>
      <c r="G562" s="94"/>
    </row>
    <row r="563" spans="1:7" s="7" customFormat="1" ht="18" hidden="1" outlineLevel="1" thickBot="1" x14ac:dyDescent="0.2">
      <c r="A563" s="71"/>
      <c r="B563" s="89"/>
      <c r="C563" s="90"/>
      <c r="D563" s="90"/>
      <c r="E563" s="90"/>
      <c r="F563" s="90"/>
      <c r="G563" s="91"/>
    </row>
    <row r="564" spans="1:7" s="7" customFormat="1" hidden="1" outlineLevel="1" x14ac:dyDescent="0.15"/>
    <row r="565" spans="1:7" s="7" customFormat="1" ht="18" hidden="1" outlineLevel="1" thickBot="1" x14ac:dyDescent="0.2"/>
    <row r="566" spans="1:7" s="7" customFormat="1" ht="18" collapsed="1" thickBot="1" x14ac:dyDescent="0.2">
      <c r="A566" s="2"/>
      <c r="B566" s="3" t="s">
        <v>563</v>
      </c>
      <c r="C566" s="4" t="s">
        <v>623</v>
      </c>
      <c r="D566" s="5" t="s">
        <v>515</v>
      </c>
      <c r="E566" s="4" t="s">
        <v>712</v>
      </c>
      <c r="F566" s="5" t="s">
        <v>567</v>
      </c>
      <c r="G566" s="6"/>
    </row>
    <row r="567" spans="1:7" s="7" customFormat="1" ht="18" hidden="1" outlineLevel="1" thickBot="1" x14ac:dyDescent="0.2">
      <c r="A567" s="2"/>
      <c r="B567" s="8" t="s">
        <v>570</v>
      </c>
      <c r="C567" s="9"/>
      <c r="D567" s="10" t="s">
        <v>568</v>
      </c>
      <c r="E567" s="9" t="s">
        <v>615</v>
      </c>
      <c r="F567" s="10"/>
      <c r="G567" s="11"/>
    </row>
    <row r="568" spans="1:7" s="7" customFormat="1" hidden="1" outlineLevel="1" x14ac:dyDescent="0.15">
      <c r="A568" s="2"/>
      <c r="B568" s="12" t="s">
        <v>0</v>
      </c>
      <c r="C568" s="13" t="s">
        <v>1</v>
      </c>
      <c r="D568" s="13" t="s">
        <v>2</v>
      </c>
      <c r="E568" s="13"/>
      <c r="F568" s="13" t="s">
        <v>3</v>
      </c>
      <c r="G568" s="13" t="s">
        <v>4</v>
      </c>
    </row>
    <row r="569" spans="1:7" s="7" customFormat="1" hidden="1" outlineLevel="1" x14ac:dyDescent="0.15">
      <c r="A569" s="2"/>
      <c r="B569" s="33" t="s">
        <v>22</v>
      </c>
      <c r="C569" s="18" t="s">
        <v>1127</v>
      </c>
      <c r="D569" s="18" t="s">
        <v>211</v>
      </c>
      <c r="E569" s="18" t="s">
        <v>1141</v>
      </c>
      <c r="F569" s="18"/>
      <c r="G569" s="19" t="s">
        <v>1162</v>
      </c>
    </row>
    <row r="570" spans="1:7" s="7" customFormat="1" hidden="1" outlineLevel="1" x14ac:dyDescent="0.15">
      <c r="A570" s="2"/>
      <c r="B570" s="33" t="s">
        <v>18</v>
      </c>
      <c r="C570" s="18" t="s">
        <v>1190</v>
      </c>
      <c r="D570" s="18" t="s">
        <v>211</v>
      </c>
      <c r="E570" s="18">
        <v>0</v>
      </c>
      <c r="F570" s="18"/>
      <c r="G570" s="19" t="s">
        <v>1081</v>
      </c>
    </row>
    <row r="571" spans="1:7" s="7" customFormat="1" hidden="1" outlineLevel="1" x14ac:dyDescent="0.15">
      <c r="A571" s="2"/>
      <c r="B571" s="142" t="s">
        <v>498</v>
      </c>
      <c r="C571" s="18" t="s">
        <v>1276</v>
      </c>
      <c r="D571" s="18" t="s">
        <v>1131</v>
      </c>
      <c r="E571" s="18" t="s">
        <v>1074</v>
      </c>
      <c r="F571" s="18"/>
      <c r="G571" s="19"/>
    </row>
    <row r="572" spans="1:7" s="7" customFormat="1" hidden="1" outlineLevel="1" x14ac:dyDescent="0.15">
      <c r="A572" s="2"/>
      <c r="B572" s="142" t="s">
        <v>110</v>
      </c>
      <c r="C572" s="18" t="s">
        <v>1091</v>
      </c>
      <c r="D572" s="18" t="s">
        <v>1131</v>
      </c>
      <c r="E572" s="18" t="s">
        <v>1074</v>
      </c>
      <c r="F572" s="18"/>
      <c r="G572" s="19"/>
    </row>
    <row r="573" spans="1:7" s="7" customFormat="1" hidden="1" outlineLevel="1" x14ac:dyDescent="0.15">
      <c r="A573" s="2"/>
      <c r="B573" s="142" t="s">
        <v>499</v>
      </c>
      <c r="C573" s="18" t="s">
        <v>1536</v>
      </c>
      <c r="D573" s="18" t="s">
        <v>1172</v>
      </c>
      <c r="E573" s="18">
        <v>0</v>
      </c>
      <c r="F573" s="18"/>
      <c r="G573" s="19"/>
    </row>
    <row r="574" spans="1:7" s="7" customFormat="1" hidden="1" outlineLevel="1" x14ac:dyDescent="0.15">
      <c r="A574" s="2"/>
      <c r="B574" s="142" t="s">
        <v>500</v>
      </c>
      <c r="C574" s="18" t="s">
        <v>1537</v>
      </c>
      <c r="D574" s="18" t="s">
        <v>1172</v>
      </c>
      <c r="E574" s="18">
        <v>0</v>
      </c>
      <c r="F574" s="18"/>
      <c r="G574" s="19"/>
    </row>
    <row r="575" spans="1:7" s="7" customFormat="1" hidden="1" outlineLevel="1" x14ac:dyDescent="0.15">
      <c r="A575" s="2"/>
      <c r="B575" s="142" t="s">
        <v>501</v>
      </c>
      <c r="C575" s="18" t="s">
        <v>1538</v>
      </c>
      <c r="D575" s="18" t="s">
        <v>1172</v>
      </c>
      <c r="E575" s="18">
        <v>0</v>
      </c>
      <c r="F575" s="18"/>
      <c r="G575" s="19"/>
    </row>
    <row r="576" spans="1:7" s="7" customFormat="1" hidden="1" outlineLevel="1" x14ac:dyDescent="0.15">
      <c r="A576" s="2"/>
      <c r="B576" s="142" t="s">
        <v>502</v>
      </c>
      <c r="C576" s="18" t="s">
        <v>1539</v>
      </c>
      <c r="D576" s="18" t="s">
        <v>1172</v>
      </c>
      <c r="E576" s="18">
        <v>0</v>
      </c>
      <c r="F576" s="18"/>
      <c r="G576" s="19"/>
    </row>
    <row r="577" spans="1:7" s="7" customFormat="1" ht="19.5" hidden="1" customHeight="1" outlineLevel="1" thickBot="1" x14ac:dyDescent="0.2">
      <c r="A577" s="2"/>
      <c r="B577" s="20"/>
      <c r="C577" s="21"/>
      <c r="D577" s="21"/>
      <c r="E577" s="21"/>
      <c r="F577" s="21"/>
      <c r="G577" s="22"/>
    </row>
    <row r="578" spans="1:7" s="7" customFormat="1" hidden="1" outlineLevel="1" x14ac:dyDescent="0.15">
      <c r="A578" s="2"/>
      <c r="B578" s="314" t="s">
        <v>15</v>
      </c>
      <c r="C578" s="315"/>
      <c r="D578" s="315"/>
      <c r="E578" s="315"/>
      <c r="F578" s="315"/>
      <c r="G578" s="316"/>
    </row>
    <row r="579" spans="1:7" s="7" customFormat="1" hidden="1" outlineLevel="1" x14ac:dyDescent="0.15">
      <c r="A579" s="2" t="s">
        <v>62</v>
      </c>
      <c r="B579" s="20">
        <v>1</v>
      </c>
      <c r="C579" s="21" t="s">
        <v>22</v>
      </c>
      <c r="D579" s="21" t="s">
        <v>18</v>
      </c>
      <c r="E579" s="21"/>
      <c r="F579" s="21"/>
      <c r="G579" s="22"/>
    </row>
    <row r="580" spans="1:7" s="7" customFormat="1" ht="18" hidden="1" outlineLevel="1" thickBot="1" x14ac:dyDescent="0.2">
      <c r="A580" s="2"/>
      <c r="B580" s="24"/>
      <c r="C580" s="9"/>
      <c r="D580" s="9"/>
      <c r="E580" s="9"/>
      <c r="F580" s="9"/>
      <c r="G580" s="11"/>
    </row>
    <row r="581" spans="1:7" s="7" customFormat="1" hidden="1" outlineLevel="1" x14ac:dyDescent="0.15"/>
    <row r="582" spans="1:7" s="7" customFormat="1" hidden="1" outlineLevel="1" x14ac:dyDescent="0.15">
      <c r="A582" s="2"/>
    </row>
    <row r="583" spans="1:7" s="7" customFormat="1" ht="18" hidden="1" outlineLevel="1" thickBot="1" x14ac:dyDescent="0.2"/>
    <row r="584" spans="1:7" s="7" customFormat="1" ht="18" collapsed="1" thickBot="1" x14ac:dyDescent="0.2">
      <c r="A584" s="2"/>
      <c r="B584" s="3" t="s">
        <v>563</v>
      </c>
      <c r="C584" s="4" t="s">
        <v>624</v>
      </c>
      <c r="D584" s="5" t="s">
        <v>515</v>
      </c>
      <c r="E584" s="4" t="s">
        <v>1008</v>
      </c>
      <c r="F584" s="5" t="s">
        <v>567</v>
      </c>
      <c r="G584" s="6"/>
    </row>
    <row r="585" spans="1:7" s="7" customFormat="1" ht="18" hidden="1" outlineLevel="1" thickBot="1" x14ac:dyDescent="0.2">
      <c r="A585" s="2"/>
      <c r="B585" s="8" t="s">
        <v>570</v>
      </c>
      <c r="C585" s="9"/>
      <c r="D585" s="10" t="s">
        <v>568</v>
      </c>
      <c r="E585" s="9" t="s">
        <v>615</v>
      </c>
      <c r="F585" s="10"/>
      <c r="G585" s="11"/>
    </row>
    <row r="586" spans="1:7" s="7" customFormat="1" hidden="1" outlineLevel="1" x14ac:dyDescent="0.15">
      <c r="A586" s="2"/>
      <c r="B586" s="12" t="s">
        <v>0</v>
      </c>
      <c r="C586" s="13" t="s">
        <v>1</v>
      </c>
      <c r="D586" s="13" t="s">
        <v>2</v>
      </c>
      <c r="E586" s="13"/>
      <c r="F586" s="13" t="s">
        <v>3</v>
      </c>
      <c r="G586" s="13" t="s">
        <v>4</v>
      </c>
    </row>
    <row r="587" spans="1:7" s="7" customFormat="1" hidden="1" outlineLevel="1" x14ac:dyDescent="0.15">
      <c r="A587" s="2"/>
      <c r="B587" s="33" t="s">
        <v>109</v>
      </c>
      <c r="C587" s="18" t="s">
        <v>1163</v>
      </c>
      <c r="D587" s="18" t="s">
        <v>211</v>
      </c>
      <c r="E587" s="18">
        <v>0</v>
      </c>
      <c r="F587" s="18"/>
      <c r="G587" s="19" t="s">
        <v>1077</v>
      </c>
    </row>
    <row r="588" spans="1:7" s="7" customFormat="1" hidden="1" outlineLevel="1" x14ac:dyDescent="0.15">
      <c r="A588" s="2"/>
      <c r="B588" s="142" t="s">
        <v>498</v>
      </c>
      <c r="C588" s="18" t="s">
        <v>1276</v>
      </c>
      <c r="D588" s="18" t="s">
        <v>1131</v>
      </c>
      <c r="E588" s="18" t="s">
        <v>1074</v>
      </c>
      <c r="F588" s="18"/>
      <c r="G588" s="19"/>
    </row>
    <row r="589" spans="1:7" s="7" customFormat="1" hidden="1" outlineLevel="1" x14ac:dyDescent="0.15">
      <c r="A589" s="2"/>
      <c r="B589" s="142" t="s">
        <v>110</v>
      </c>
      <c r="C589" s="18" t="s">
        <v>1091</v>
      </c>
      <c r="D589" s="18" t="s">
        <v>1131</v>
      </c>
      <c r="E589" s="18" t="s">
        <v>1074</v>
      </c>
      <c r="F589" s="18"/>
      <c r="G589" s="19"/>
    </row>
    <row r="590" spans="1:7" s="7" customFormat="1" hidden="1" outlineLevel="1" x14ac:dyDescent="0.15">
      <c r="A590" s="2"/>
      <c r="B590" s="142" t="s">
        <v>503</v>
      </c>
      <c r="C590" s="18" t="s">
        <v>1277</v>
      </c>
      <c r="D590" s="18" t="s">
        <v>1172</v>
      </c>
      <c r="E590" s="18">
        <v>0</v>
      </c>
      <c r="F590" s="18"/>
      <c r="G590" s="19"/>
    </row>
    <row r="591" spans="1:7" s="7" customFormat="1" hidden="1" outlineLevel="1" x14ac:dyDescent="0.15">
      <c r="A591" s="2"/>
      <c r="B591" s="142" t="s">
        <v>504</v>
      </c>
      <c r="C591" s="18" t="s">
        <v>1540</v>
      </c>
      <c r="D591" s="18" t="s">
        <v>1172</v>
      </c>
      <c r="E591" s="18">
        <v>0</v>
      </c>
      <c r="F591" s="18"/>
      <c r="G591" s="19"/>
    </row>
    <row r="592" spans="1:7" s="7" customFormat="1" hidden="1" outlineLevel="1" x14ac:dyDescent="0.15">
      <c r="A592" s="2"/>
      <c r="B592" s="142"/>
      <c r="C592" s="18"/>
      <c r="D592" s="18"/>
      <c r="E592" s="18"/>
      <c r="F592" s="18"/>
      <c r="G592" s="19"/>
    </row>
    <row r="593" spans="1:7" s="7" customFormat="1" ht="19.5" hidden="1" customHeight="1" outlineLevel="1" thickBot="1" x14ac:dyDescent="0.2">
      <c r="A593" s="2"/>
      <c r="B593" s="20"/>
      <c r="C593" s="21"/>
      <c r="D593" s="21"/>
      <c r="E593" s="21"/>
      <c r="F593" s="21"/>
      <c r="G593" s="22"/>
    </row>
    <row r="594" spans="1:7" s="7" customFormat="1" hidden="1" outlineLevel="1" x14ac:dyDescent="0.15">
      <c r="A594" s="2"/>
      <c r="B594" s="314" t="s">
        <v>15</v>
      </c>
      <c r="C594" s="315"/>
      <c r="D594" s="315"/>
      <c r="E594" s="315"/>
      <c r="F594" s="315"/>
      <c r="G594" s="316"/>
    </row>
    <row r="595" spans="1:7" s="7" customFormat="1" hidden="1" outlineLevel="1" x14ac:dyDescent="0.15">
      <c r="A595" s="2" t="s">
        <v>62</v>
      </c>
      <c r="B595" s="20">
        <v>1</v>
      </c>
      <c r="C595" s="21" t="s">
        <v>109</v>
      </c>
      <c r="D595" s="21" t="s">
        <v>498</v>
      </c>
      <c r="E595" s="21" t="s">
        <v>110</v>
      </c>
      <c r="F595" s="21"/>
      <c r="G595" s="22"/>
    </row>
    <row r="596" spans="1:7" s="7" customFormat="1" ht="18" hidden="1" outlineLevel="1" thickBot="1" x14ac:dyDescent="0.2">
      <c r="A596" s="2"/>
      <c r="B596" s="24"/>
      <c r="C596" s="9"/>
      <c r="D596" s="9"/>
      <c r="E596" s="9"/>
      <c r="F596" s="9"/>
      <c r="G596" s="11"/>
    </row>
    <row r="597" spans="1:7" s="7" customFormat="1" ht="18" hidden="1" outlineLevel="1" thickBot="1" x14ac:dyDescent="0.2"/>
    <row r="598" spans="1:7" s="7" customFormat="1" ht="18" collapsed="1" thickBot="1" x14ac:dyDescent="0.2">
      <c r="A598" s="2"/>
      <c r="B598" s="3" t="s">
        <v>563</v>
      </c>
      <c r="C598" s="4" t="s">
        <v>556</v>
      </c>
      <c r="D598" s="5" t="s">
        <v>515</v>
      </c>
      <c r="E598" s="4" t="s">
        <v>713</v>
      </c>
      <c r="F598" s="5" t="s">
        <v>567</v>
      </c>
      <c r="G598" s="6" t="s">
        <v>543</v>
      </c>
    </row>
    <row r="599" spans="1:7" s="7" customFormat="1" ht="18" hidden="1" outlineLevel="1" thickBot="1" x14ac:dyDescent="0.2">
      <c r="A599" s="2"/>
      <c r="B599" s="8" t="s">
        <v>570</v>
      </c>
      <c r="C599" s="9"/>
      <c r="D599" s="10" t="s">
        <v>568</v>
      </c>
      <c r="E599" s="9" t="s">
        <v>615</v>
      </c>
      <c r="F599" s="10"/>
      <c r="G599" s="11"/>
    </row>
    <row r="600" spans="1:7" s="7" customFormat="1" hidden="1" outlineLevel="1" x14ac:dyDescent="0.15">
      <c r="A600" s="2"/>
      <c r="B600" s="12" t="s">
        <v>0</v>
      </c>
      <c r="C600" s="13" t="s">
        <v>1</v>
      </c>
      <c r="D600" s="13" t="s">
        <v>2</v>
      </c>
      <c r="E600" s="13"/>
      <c r="F600" s="13" t="s">
        <v>3</v>
      </c>
      <c r="G600" s="13" t="s">
        <v>4</v>
      </c>
    </row>
    <row r="601" spans="1:7" s="7" customFormat="1" hidden="1" outlineLevel="1" x14ac:dyDescent="0.15">
      <c r="A601" s="2"/>
      <c r="B601" s="14" t="s">
        <v>7</v>
      </c>
      <c r="C601" s="15" t="s">
        <v>1190</v>
      </c>
      <c r="D601" s="15" t="s">
        <v>211</v>
      </c>
      <c r="E601" s="15">
        <v>0</v>
      </c>
      <c r="F601" s="15"/>
      <c r="G601" s="16" t="s">
        <v>1081</v>
      </c>
    </row>
    <row r="602" spans="1:7" s="7" customFormat="1" hidden="1" outlineLevel="1" x14ac:dyDescent="0.15">
      <c r="A602" s="2"/>
      <c r="B602" s="14" t="s">
        <v>78</v>
      </c>
      <c r="C602" s="15" t="s">
        <v>1189</v>
      </c>
      <c r="D602" s="15" t="s">
        <v>211</v>
      </c>
      <c r="E602" s="15">
        <v>0</v>
      </c>
      <c r="F602" s="15"/>
      <c r="G602" s="16"/>
    </row>
    <row r="603" spans="1:7" s="7" customFormat="1" hidden="1" outlineLevel="1" x14ac:dyDescent="0.15">
      <c r="A603" s="2"/>
      <c r="B603" s="14" t="s">
        <v>79</v>
      </c>
      <c r="C603" s="15" t="s">
        <v>1278</v>
      </c>
      <c r="D603" s="15" t="s">
        <v>211</v>
      </c>
      <c r="E603" s="15">
        <v>0</v>
      </c>
      <c r="F603" s="15"/>
      <c r="G603" s="16" t="s">
        <v>1279</v>
      </c>
    </row>
    <row r="604" spans="1:7" s="7" customFormat="1" hidden="1" outlineLevel="1" x14ac:dyDescent="0.15">
      <c r="A604" s="2"/>
      <c r="B604" s="14" t="s">
        <v>80</v>
      </c>
      <c r="C604" s="15" t="s">
        <v>1280</v>
      </c>
      <c r="D604" s="15" t="s">
        <v>211</v>
      </c>
      <c r="E604" s="15">
        <v>0</v>
      </c>
      <c r="F604" s="15"/>
      <c r="G604" s="16" t="s">
        <v>1281</v>
      </c>
    </row>
    <row r="605" spans="1:7" s="7" customFormat="1" hidden="1" outlineLevel="1" x14ac:dyDescent="0.15">
      <c r="A605" s="2"/>
      <c r="B605" s="14" t="s">
        <v>81</v>
      </c>
      <c r="C605" s="15" t="s">
        <v>1282</v>
      </c>
      <c r="D605" s="15" t="s">
        <v>211</v>
      </c>
      <c r="E605" s="15" t="s">
        <v>1141</v>
      </c>
      <c r="F605" s="15"/>
      <c r="G605" s="16"/>
    </row>
    <row r="606" spans="1:7" s="7" customFormat="1" hidden="1" outlineLevel="1" x14ac:dyDescent="0.15">
      <c r="A606" s="2"/>
      <c r="B606" s="25" t="s">
        <v>82</v>
      </c>
      <c r="C606" s="26" t="s">
        <v>1541</v>
      </c>
      <c r="D606" s="26" t="s">
        <v>211</v>
      </c>
      <c r="E606" s="26">
        <v>0</v>
      </c>
      <c r="F606" s="26"/>
      <c r="G606" s="27"/>
    </row>
    <row r="607" spans="1:7" s="7" customFormat="1" hidden="1" outlineLevel="1" x14ac:dyDescent="0.15">
      <c r="A607" s="2"/>
      <c r="B607" s="17" t="s">
        <v>83</v>
      </c>
      <c r="C607" s="18" t="s">
        <v>1283</v>
      </c>
      <c r="D607" s="18" t="s">
        <v>211</v>
      </c>
      <c r="E607" s="18">
        <v>0</v>
      </c>
      <c r="F607" s="18"/>
      <c r="G607" s="19"/>
    </row>
    <row r="608" spans="1:7" s="7" customFormat="1" hidden="1" outlineLevel="1" x14ac:dyDescent="0.15">
      <c r="A608" s="2"/>
      <c r="B608" s="17" t="s">
        <v>84</v>
      </c>
      <c r="C608" s="18" t="s">
        <v>1284</v>
      </c>
      <c r="D608" s="18" t="s">
        <v>211</v>
      </c>
      <c r="E608" s="18">
        <v>0</v>
      </c>
      <c r="F608" s="18"/>
      <c r="G608" s="19"/>
    </row>
    <row r="609" spans="1:7" s="7" customFormat="1" hidden="1" outlineLevel="1" x14ac:dyDescent="0.15">
      <c r="A609" s="2"/>
      <c r="B609" s="17" t="s">
        <v>85</v>
      </c>
      <c r="C609" s="18" t="s">
        <v>1542</v>
      </c>
      <c r="D609" s="18" t="s">
        <v>211</v>
      </c>
      <c r="E609" s="18">
        <v>0</v>
      </c>
      <c r="F609" s="18"/>
      <c r="G609" s="19"/>
    </row>
    <row r="610" spans="1:7" s="7" customFormat="1" hidden="1" outlineLevel="1" x14ac:dyDescent="0.15">
      <c r="A610" s="2"/>
      <c r="B610" s="20" t="s">
        <v>86</v>
      </c>
      <c r="C610" s="21" t="s">
        <v>1543</v>
      </c>
      <c r="D610" s="21" t="s">
        <v>211</v>
      </c>
      <c r="E610" s="21">
        <v>0</v>
      </c>
      <c r="F610" s="21"/>
      <c r="G610" s="19"/>
    </row>
    <row r="611" spans="1:7" s="7" customFormat="1" hidden="1" outlineLevel="1" x14ac:dyDescent="0.15">
      <c r="A611" s="2"/>
      <c r="B611" s="20" t="s">
        <v>87</v>
      </c>
      <c r="C611" s="21" t="s">
        <v>1285</v>
      </c>
      <c r="D611" s="21" t="s">
        <v>211</v>
      </c>
      <c r="E611" s="21">
        <v>0</v>
      </c>
      <c r="F611" s="21"/>
      <c r="G611" s="19"/>
    </row>
    <row r="612" spans="1:7" s="7" customFormat="1" hidden="1" outlineLevel="1" x14ac:dyDescent="0.15">
      <c r="A612" s="2"/>
      <c r="B612" s="20" t="s">
        <v>88</v>
      </c>
      <c r="C612" s="21" t="s">
        <v>1286</v>
      </c>
      <c r="D612" s="21" t="s">
        <v>211</v>
      </c>
      <c r="E612" s="21">
        <v>0</v>
      </c>
      <c r="F612" s="21"/>
      <c r="G612" s="19"/>
    </row>
    <row r="613" spans="1:7" s="7" customFormat="1" hidden="1" outlineLevel="1" x14ac:dyDescent="0.15">
      <c r="A613" s="2"/>
      <c r="B613" s="20" t="s">
        <v>89</v>
      </c>
      <c r="C613" s="21" t="s">
        <v>1544</v>
      </c>
      <c r="D613" s="21" t="s">
        <v>211</v>
      </c>
      <c r="E613" s="21">
        <v>0</v>
      </c>
      <c r="F613" s="21"/>
      <c r="G613" s="19"/>
    </row>
    <row r="614" spans="1:7" s="7" customFormat="1" hidden="1" outlineLevel="1" x14ac:dyDescent="0.15">
      <c r="A614" s="2"/>
      <c r="B614" s="20" t="s">
        <v>90</v>
      </c>
      <c r="C614" s="21" t="s">
        <v>1545</v>
      </c>
      <c r="D614" s="21" t="s">
        <v>211</v>
      </c>
      <c r="E614" s="21">
        <v>0</v>
      </c>
      <c r="F614" s="21"/>
      <c r="G614" s="19"/>
    </row>
    <row r="615" spans="1:7" s="7" customFormat="1" hidden="1" outlineLevel="1" x14ac:dyDescent="0.15">
      <c r="A615" s="2"/>
      <c r="B615" s="17" t="s">
        <v>91</v>
      </c>
      <c r="C615" s="18" t="s">
        <v>1546</v>
      </c>
      <c r="D615" s="18" t="s">
        <v>211</v>
      </c>
      <c r="E615" s="18">
        <v>0</v>
      </c>
      <c r="F615" s="18"/>
      <c r="G615" s="19"/>
    </row>
    <row r="616" spans="1:7" s="7" customFormat="1" hidden="1" outlineLevel="1" x14ac:dyDescent="0.15">
      <c r="A616" s="2"/>
      <c r="B616" s="17" t="s">
        <v>92</v>
      </c>
      <c r="C616" s="18" t="s">
        <v>1547</v>
      </c>
      <c r="D616" s="18" t="s">
        <v>211</v>
      </c>
      <c r="E616" s="18">
        <v>0</v>
      </c>
      <c r="F616" s="18"/>
      <c r="G616" s="19"/>
    </row>
    <row r="617" spans="1:7" s="7" customFormat="1" hidden="1" outlineLevel="1" x14ac:dyDescent="0.15">
      <c r="A617" s="2"/>
      <c r="B617" s="17"/>
      <c r="C617" s="18"/>
      <c r="D617" s="18"/>
      <c r="E617" s="18"/>
      <c r="F617" s="18"/>
      <c r="G617" s="19"/>
    </row>
    <row r="618" spans="1:7" s="7" customFormat="1" ht="18" hidden="1" outlineLevel="1" thickBot="1" x14ac:dyDescent="0.2">
      <c r="A618" s="2"/>
      <c r="B618" s="17"/>
      <c r="C618" s="18"/>
      <c r="D618" s="18"/>
      <c r="E618" s="18"/>
      <c r="F618" s="18"/>
      <c r="G618" s="19"/>
    </row>
    <row r="619" spans="1:7" s="7" customFormat="1" hidden="1" outlineLevel="1" x14ac:dyDescent="0.15">
      <c r="A619" s="2"/>
      <c r="B619" s="327" t="s">
        <v>15</v>
      </c>
      <c r="C619" s="328"/>
      <c r="D619" s="328"/>
      <c r="E619" s="328"/>
      <c r="F619" s="328"/>
      <c r="G619" s="329"/>
    </row>
    <row r="620" spans="1:7" s="7" customFormat="1" hidden="1" outlineLevel="1" x14ac:dyDescent="0.15">
      <c r="A620" s="2" t="s">
        <v>62</v>
      </c>
      <c r="B620" s="20">
        <v>1</v>
      </c>
      <c r="C620" s="21" t="s">
        <v>18</v>
      </c>
      <c r="D620" s="21" t="s">
        <v>93</v>
      </c>
      <c r="E620" s="21" t="s">
        <v>94</v>
      </c>
      <c r="F620" s="21" t="s">
        <v>95</v>
      </c>
      <c r="G620" s="22" t="s">
        <v>96</v>
      </c>
    </row>
    <row r="621" spans="1:7" s="7" customFormat="1" hidden="1" outlineLevel="1" x14ac:dyDescent="0.15">
      <c r="A621" s="2"/>
      <c r="B621" s="20"/>
      <c r="C621" s="21"/>
      <c r="D621" s="21"/>
      <c r="E621" s="21"/>
      <c r="F621" s="21"/>
      <c r="G621" s="22"/>
    </row>
    <row r="622" spans="1:7" ht="18" hidden="1" outlineLevel="1" thickBot="1" x14ac:dyDescent="0.2">
      <c r="A622" s="2"/>
      <c r="B622" s="24"/>
      <c r="C622" s="9"/>
      <c r="D622" s="9"/>
      <c r="E622" s="9"/>
      <c r="F622" s="9"/>
      <c r="G622" s="11"/>
    </row>
    <row r="623" spans="1:7" hidden="1" outlineLevel="1" x14ac:dyDescent="0.15"/>
    <row r="624" spans="1:7" s="7" customFormat="1" ht="18" hidden="1" outlineLevel="1" thickBot="1" x14ac:dyDescent="0.2">
      <c r="A624" s="1"/>
      <c r="B624" s="1"/>
      <c r="C624" s="1"/>
      <c r="D624" s="1"/>
      <c r="E624" s="1"/>
      <c r="F624" s="1"/>
      <c r="G624" s="1"/>
    </row>
    <row r="625" spans="1:7" s="7" customFormat="1" ht="18" collapsed="1" thickBot="1" x14ac:dyDescent="0.2">
      <c r="A625" s="2"/>
      <c r="B625" s="3" t="s">
        <v>563</v>
      </c>
      <c r="C625" s="4" t="s">
        <v>557</v>
      </c>
      <c r="D625" s="5" t="s">
        <v>515</v>
      </c>
      <c r="E625" s="4" t="s">
        <v>1009</v>
      </c>
      <c r="F625" s="5" t="s">
        <v>567</v>
      </c>
      <c r="G625" s="6" t="s">
        <v>1619</v>
      </c>
    </row>
    <row r="626" spans="1:7" s="7" customFormat="1" ht="18" hidden="1" outlineLevel="1" thickBot="1" x14ac:dyDescent="0.2">
      <c r="A626" s="2"/>
      <c r="B626" s="8" t="s">
        <v>570</v>
      </c>
      <c r="C626" s="9"/>
      <c r="D626" s="10" t="s">
        <v>568</v>
      </c>
      <c r="E626" s="9" t="s">
        <v>615</v>
      </c>
      <c r="F626" s="10"/>
      <c r="G626" s="11"/>
    </row>
    <row r="627" spans="1:7" s="7" customFormat="1" hidden="1" outlineLevel="1" x14ac:dyDescent="0.15">
      <c r="A627" s="2"/>
      <c r="B627" s="12" t="s">
        <v>0</v>
      </c>
      <c r="C627" s="13" t="s">
        <v>1</v>
      </c>
      <c r="D627" s="13" t="s">
        <v>2</v>
      </c>
      <c r="E627" s="13"/>
      <c r="F627" s="13" t="s">
        <v>3</v>
      </c>
      <c r="G627" s="13" t="s">
        <v>4</v>
      </c>
    </row>
    <row r="628" spans="1:7" s="7" customFormat="1" hidden="1" outlineLevel="1" x14ac:dyDescent="0.15">
      <c r="A628" s="2"/>
      <c r="B628" s="14" t="s">
        <v>5</v>
      </c>
      <c r="C628" s="15" t="s">
        <v>1127</v>
      </c>
      <c r="D628" s="15" t="s">
        <v>211</v>
      </c>
      <c r="E628" s="15" t="s">
        <v>1141</v>
      </c>
      <c r="F628" s="15"/>
      <c r="G628" s="16" t="s">
        <v>1162</v>
      </c>
    </row>
    <row r="629" spans="1:7" s="7" customFormat="1" hidden="1" outlineLevel="1" x14ac:dyDescent="0.15">
      <c r="A629" s="2"/>
      <c r="B629" s="14" t="s">
        <v>111</v>
      </c>
      <c r="C629" s="15" t="s">
        <v>1164</v>
      </c>
      <c r="D629" s="15" t="s">
        <v>211</v>
      </c>
      <c r="E629" s="15">
        <v>0</v>
      </c>
      <c r="F629" s="15"/>
      <c r="G629" s="16" t="s">
        <v>1165</v>
      </c>
    </row>
    <row r="630" spans="1:7" s="7" customFormat="1" hidden="1" outlineLevel="1" x14ac:dyDescent="0.15">
      <c r="A630" s="2"/>
      <c r="B630" s="14" t="s">
        <v>6</v>
      </c>
      <c r="C630" s="15" t="s">
        <v>1163</v>
      </c>
      <c r="D630" s="15" t="s">
        <v>211</v>
      </c>
      <c r="E630" s="15">
        <v>0</v>
      </c>
      <c r="F630" s="15"/>
      <c r="G630" s="16" t="s">
        <v>1077</v>
      </c>
    </row>
    <row r="631" spans="1:7" s="7" customFormat="1" hidden="1" outlineLevel="1" x14ac:dyDescent="0.15">
      <c r="A631" s="2"/>
      <c r="B631" s="31" t="s">
        <v>17</v>
      </c>
      <c r="C631" s="15" t="s">
        <v>1422</v>
      </c>
      <c r="D631" s="15" t="s">
        <v>1287</v>
      </c>
      <c r="E631" s="15" t="s">
        <v>1072</v>
      </c>
      <c r="F631" s="15"/>
      <c r="G631" s="16" t="s">
        <v>1288</v>
      </c>
    </row>
    <row r="632" spans="1:7" s="7" customFormat="1" hidden="1" outlineLevel="1" x14ac:dyDescent="0.15">
      <c r="A632" s="2"/>
      <c r="B632" s="32" t="s">
        <v>63</v>
      </c>
      <c r="C632" s="15" t="s">
        <v>1289</v>
      </c>
      <c r="D632" s="15" t="s">
        <v>1073</v>
      </c>
      <c r="E632" s="15" t="s">
        <v>1072</v>
      </c>
      <c r="F632" s="15"/>
      <c r="G632" s="16" t="s">
        <v>1290</v>
      </c>
    </row>
    <row r="633" spans="1:7" s="7" customFormat="1" hidden="1" outlineLevel="1" x14ac:dyDescent="0.15">
      <c r="A633" s="2"/>
      <c r="B633" s="32" t="s">
        <v>64</v>
      </c>
      <c r="C633" s="15" t="s">
        <v>1548</v>
      </c>
      <c r="D633" s="15" t="s">
        <v>1092</v>
      </c>
      <c r="E633" s="15" t="s">
        <v>1072</v>
      </c>
      <c r="F633" s="15"/>
      <c r="G633" s="16"/>
    </row>
    <row r="634" spans="1:7" s="7" customFormat="1" hidden="1" outlineLevel="1" x14ac:dyDescent="0.15">
      <c r="A634" s="2"/>
      <c r="B634" s="32" t="s">
        <v>65</v>
      </c>
      <c r="C634" s="18" t="s">
        <v>1291</v>
      </c>
      <c r="D634" s="18" t="s">
        <v>211</v>
      </c>
      <c r="E634" s="18" t="s">
        <v>1141</v>
      </c>
      <c r="F634" s="18"/>
      <c r="G634" s="19"/>
    </row>
    <row r="635" spans="1:7" s="7" customFormat="1" hidden="1" outlineLevel="1" x14ac:dyDescent="0.15">
      <c r="A635" s="2"/>
      <c r="B635" s="33" t="s">
        <v>188</v>
      </c>
      <c r="C635" s="18" t="s">
        <v>1292</v>
      </c>
      <c r="D635" s="18" t="s">
        <v>1287</v>
      </c>
      <c r="E635" s="18" t="s">
        <v>1072</v>
      </c>
      <c r="F635" s="18"/>
      <c r="G635" s="19"/>
    </row>
    <row r="636" spans="1:7" s="7" customFormat="1" hidden="1" outlineLevel="1" x14ac:dyDescent="0.15">
      <c r="A636" s="2"/>
      <c r="B636" s="32" t="s">
        <v>66</v>
      </c>
      <c r="C636" s="18" t="s">
        <v>1293</v>
      </c>
      <c r="D636" s="18" t="s">
        <v>211</v>
      </c>
      <c r="E636" s="18">
        <v>0</v>
      </c>
      <c r="F636" s="18"/>
      <c r="G636" s="19"/>
    </row>
    <row r="637" spans="1:7" s="7" customFormat="1" hidden="1" outlineLevel="1" x14ac:dyDescent="0.15">
      <c r="A637" s="2"/>
      <c r="B637" s="32" t="s">
        <v>70</v>
      </c>
      <c r="C637" s="21" t="s">
        <v>1294</v>
      </c>
      <c r="D637" s="21" t="s">
        <v>1131</v>
      </c>
      <c r="E637" s="21" t="s">
        <v>1074</v>
      </c>
      <c r="F637" s="21"/>
      <c r="G637" s="22" t="s">
        <v>1295</v>
      </c>
    </row>
    <row r="638" spans="1:7" s="7" customFormat="1" hidden="1" outlineLevel="1" x14ac:dyDescent="0.15">
      <c r="A638" s="2"/>
      <c r="B638" s="32" t="s">
        <v>23</v>
      </c>
      <c r="C638" s="21" t="s">
        <v>1091</v>
      </c>
      <c r="D638" s="21" t="s">
        <v>1131</v>
      </c>
      <c r="E638" s="21" t="s">
        <v>1074</v>
      </c>
      <c r="F638" s="21"/>
      <c r="G638" s="22"/>
    </row>
    <row r="639" spans="1:7" s="7" customFormat="1" hidden="1" outlineLevel="1" x14ac:dyDescent="0.15">
      <c r="A639" s="2"/>
      <c r="B639" s="32" t="s">
        <v>189</v>
      </c>
      <c r="C639" s="18" t="s">
        <v>1296</v>
      </c>
      <c r="D639" s="18" t="s">
        <v>1169</v>
      </c>
      <c r="E639" s="18">
        <v>0</v>
      </c>
      <c r="F639" s="18"/>
      <c r="G639" s="19"/>
    </row>
    <row r="640" spans="1:7" s="7" customFormat="1" hidden="1" outlineLevel="1" x14ac:dyDescent="0.15">
      <c r="A640" s="2"/>
      <c r="B640" s="32" t="s">
        <v>68</v>
      </c>
      <c r="C640" s="21" t="s">
        <v>1297</v>
      </c>
      <c r="D640" s="21" t="s">
        <v>1169</v>
      </c>
      <c r="E640" s="21">
        <v>0</v>
      </c>
      <c r="F640" s="21"/>
      <c r="G640" s="22" t="s">
        <v>1298</v>
      </c>
    </row>
    <row r="641" spans="1:7" s="7" customFormat="1" hidden="1" outlineLevel="1" x14ac:dyDescent="0.15">
      <c r="A641" s="2"/>
      <c r="B641" s="32" t="s">
        <v>69</v>
      </c>
      <c r="C641" s="21" t="s">
        <v>1126</v>
      </c>
      <c r="D641" s="21" t="s">
        <v>1087</v>
      </c>
      <c r="E641" s="21">
        <v>0</v>
      </c>
      <c r="F641" s="21"/>
      <c r="G641" s="22"/>
    </row>
    <row r="642" spans="1:7" s="7" customFormat="1" hidden="1" outlineLevel="1" x14ac:dyDescent="0.15">
      <c r="A642" s="2"/>
      <c r="B642" s="32" t="s">
        <v>190</v>
      </c>
      <c r="C642" s="18" t="s">
        <v>1166</v>
      </c>
      <c r="D642" s="18" t="s">
        <v>1087</v>
      </c>
      <c r="E642" s="18">
        <v>0</v>
      </c>
      <c r="F642" s="18"/>
      <c r="G642" s="19"/>
    </row>
    <row r="643" spans="1:7" s="7" customFormat="1" hidden="1" outlineLevel="1" x14ac:dyDescent="0.15">
      <c r="A643" s="2"/>
      <c r="B643" s="32" t="s">
        <v>512</v>
      </c>
      <c r="C643" s="18" t="s">
        <v>1167</v>
      </c>
      <c r="D643" s="18" t="s">
        <v>1087</v>
      </c>
      <c r="E643" s="18">
        <v>0</v>
      </c>
      <c r="F643" s="18"/>
      <c r="G643" s="19"/>
    </row>
    <row r="644" spans="1:7" s="7" customFormat="1" hidden="1" outlineLevel="1" x14ac:dyDescent="0.15">
      <c r="A644" s="2"/>
      <c r="B644" s="32" t="s">
        <v>513</v>
      </c>
      <c r="C644" s="18" t="s">
        <v>1299</v>
      </c>
      <c r="D644" s="18" t="s">
        <v>1169</v>
      </c>
      <c r="E644" s="18">
        <v>0</v>
      </c>
      <c r="F644" s="18"/>
      <c r="G644" s="19"/>
    </row>
    <row r="645" spans="1:7" s="7" customFormat="1" ht="15" hidden="1" customHeight="1" outlineLevel="1" x14ac:dyDescent="0.15">
      <c r="A645" s="2"/>
      <c r="B645" s="32" t="s">
        <v>363</v>
      </c>
      <c r="C645" s="18" t="s">
        <v>1171</v>
      </c>
      <c r="D645" s="18" t="s">
        <v>1169</v>
      </c>
      <c r="E645" s="18">
        <v>0</v>
      </c>
      <c r="F645" s="18"/>
      <c r="G645" s="19"/>
    </row>
    <row r="646" spans="1:7" s="7" customFormat="1" hidden="1" outlineLevel="1" x14ac:dyDescent="0.15">
      <c r="A646" s="2"/>
      <c r="B646" s="14" t="s">
        <v>312</v>
      </c>
      <c r="C646" s="18" t="s">
        <v>1168</v>
      </c>
      <c r="D646" s="18" t="s">
        <v>1169</v>
      </c>
      <c r="E646" s="18">
        <v>0</v>
      </c>
      <c r="F646" s="18"/>
      <c r="G646" s="19"/>
    </row>
    <row r="647" spans="1:7" s="7" customFormat="1" hidden="1" outlineLevel="1" x14ac:dyDescent="0.15">
      <c r="A647" s="2"/>
      <c r="B647" s="32" t="s">
        <v>72</v>
      </c>
      <c r="C647" s="18" t="s">
        <v>1300</v>
      </c>
      <c r="D647" s="18" t="s">
        <v>1092</v>
      </c>
      <c r="E647" s="18" t="s">
        <v>1072</v>
      </c>
      <c r="F647" s="18"/>
      <c r="G647" s="19"/>
    </row>
    <row r="648" spans="1:7" s="7" customFormat="1" hidden="1" outlineLevel="1" x14ac:dyDescent="0.15">
      <c r="A648" s="2"/>
      <c r="B648" s="32" t="s">
        <v>73</v>
      </c>
      <c r="C648" s="18" t="s">
        <v>1549</v>
      </c>
      <c r="D648" s="18" t="s">
        <v>1301</v>
      </c>
      <c r="E648" s="18" t="s">
        <v>1072</v>
      </c>
      <c r="F648" s="18"/>
      <c r="G648" s="19"/>
    </row>
    <row r="649" spans="1:7" s="7" customFormat="1" hidden="1" outlineLevel="1" x14ac:dyDescent="0.15">
      <c r="A649" s="2"/>
      <c r="B649" s="32" t="s">
        <v>74</v>
      </c>
      <c r="C649" s="18" t="s">
        <v>1550</v>
      </c>
      <c r="D649" s="18" t="s">
        <v>1073</v>
      </c>
      <c r="E649" s="18" t="s">
        <v>1072</v>
      </c>
      <c r="F649" s="18"/>
      <c r="G649" s="19"/>
    </row>
    <row r="650" spans="1:7" s="7" customFormat="1" hidden="1" outlineLevel="1" x14ac:dyDescent="0.15">
      <c r="A650" s="2"/>
      <c r="B650" s="32" t="s">
        <v>514</v>
      </c>
      <c r="C650" s="18" t="s">
        <v>1302</v>
      </c>
      <c r="D650" s="18" t="s">
        <v>1403</v>
      </c>
      <c r="E650" s="18" t="s">
        <v>1303</v>
      </c>
      <c r="F650" s="18"/>
      <c r="G650" s="19"/>
    </row>
    <row r="651" spans="1:7" s="7" customFormat="1" hidden="1" outlineLevel="1" x14ac:dyDescent="0.15">
      <c r="B651" s="32" t="s">
        <v>67</v>
      </c>
      <c r="C651" s="18" t="s">
        <v>1406</v>
      </c>
      <c r="D651" s="18" t="s">
        <v>1092</v>
      </c>
      <c r="E651" s="18" t="s">
        <v>1072</v>
      </c>
      <c r="F651" s="18"/>
      <c r="G651" s="19" t="s">
        <v>1304</v>
      </c>
    </row>
    <row r="652" spans="1:7" s="7" customFormat="1" ht="18" hidden="1" outlineLevel="1" thickBot="1" x14ac:dyDescent="0.2">
      <c r="B652" s="17"/>
      <c r="C652" s="18"/>
      <c r="D652" s="18"/>
      <c r="E652" s="18"/>
      <c r="F652" s="18"/>
      <c r="G652" s="19"/>
    </row>
    <row r="653" spans="1:7" s="7" customFormat="1" hidden="1" outlineLevel="1" x14ac:dyDescent="0.15">
      <c r="B653" s="327" t="s">
        <v>15</v>
      </c>
      <c r="C653" s="328"/>
      <c r="D653" s="328"/>
      <c r="E653" s="328"/>
      <c r="F653" s="328"/>
      <c r="G653" s="329"/>
    </row>
    <row r="654" spans="1:7" s="7" customFormat="1" hidden="1" outlineLevel="1" x14ac:dyDescent="0.15">
      <c r="A654" s="7" t="s">
        <v>62</v>
      </c>
      <c r="B654" s="20">
        <v>1</v>
      </c>
      <c r="C654" s="21" t="s">
        <v>22</v>
      </c>
      <c r="D654" s="21" t="s">
        <v>16</v>
      </c>
      <c r="E654" s="21" t="s">
        <v>17</v>
      </c>
      <c r="F654" s="21"/>
      <c r="G654" s="22"/>
    </row>
    <row r="655" spans="1:7" s="7" customFormat="1" hidden="1" outlineLevel="1" x14ac:dyDescent="0.15">
      <c r="A655" s="2"/>
      <c r="B655" s="17">
        <v>2</v>
      </c>
      <c r="C655" s="21" t="s">
        <v>22</v>
      </c>
      <c r="D655" s="18" t="s">
        <v>111</v>
      </c>
      <c r="E655" s="18"/>
      <c r="F655" s="18"/>
      <c r="G655" s="19"/>
    </row>
    <row r="656" spans="1:7" s="7" customFormat="1" ht="18" hidden="1" outlineLevel="1" thickBot="1" x14ac:dyDescent="0.2">
      <c r="A656" s="2"/>
      <c r="B656" s="24"/>
      <c r="C656" s="9"/>
      <c r="D656" s="9"/>
      <c r="E656" s="9"/>
      <c r="F656" s="9"/>
      <c r="G656" s="11"/>
    </row>
    <row r="657" spans="1:7" s="7" customFormat="1" ht="18" hidden="1" outlineLevel="1" thickBot="1" x14ac:dyDescent="0.2">
      <c r="A657" s="2"/>
    </row>
    <row r="658" spans="1:7" s="7" customFormat="1" ht="18" collapsed="1" thickBot="1" x14ac:dyDescent="0.2">
      <c r="A658" s="2"/>
      <c r="B658" s="3" t="s">
        <v>563</v>
      </c>
      <c r="C658" s="4" t="s">
        <v>642</v>
      </c>
      <c r="D658" s="5" t="s">
        <v>515</v>
      </c>
      <c r="E658" s="21" t="s">
        <v>593</v>
      </c>
      <c r="F658" s="5" t="s">
        <v>567</v>
      </c>
      <c r="G658" s="6" t="s">
        <v>1619</v>
      </c>
    </row>
    <row r="659" spans="1:7" s="7" customFormat="1" ht="18" hidden="1" outlineLevel="1" thickBot="1" x14ac:dyDescent="0.2">
      <c r="A659" s="2"/>
      <c r="B659" s="8" t="s">
        <v>570</v>
      </c>
      <c r="C659" s="9"/>
      <c r="D659" s="10" t="s">
        <v>568</v>
      </c>
      <c r="E659" s="9" t="s">
        <v>615</v>
      </c>
      <c r="F659" s="10"/>
      <c r="G659" s="11"/>
    </row>
    <row r="660" spans="1:7" s="7" customFormat="1" hidden="1" outlineLevel="1" x14ac:dyDescent="0.15">
      <c r="A660" s="2"/>
      <c r="B660" s="12" t="s">
        <v>0</v>
      </c>
      <c r="C660" s="13" t="s">
        <v>1</v>
      </c>
      <c r="D660" s="13" t="s">
        <v>2</v>
      </c>
      <c r="E660" s="13"/>
      <c r="F660" s="13" t="s">
        <v>3</v>
      </c>
      <c r="G660" s="13" t="s">
        <v>4</v>
      </c>
    </row>
    <row r="661" spans="1:7" s="7" customFormat="1" hidden="1" outlineLevel="1" x14ac:dyDescent="0.15">
      <c r="A661" s="2"/>
      <c r="B661" s="14" t="s">
        <v>6</v>
      </c>
      <c r="C661" s="15" t="s">
        <v>1163</v>
      </c>
      <c r="D661" s="15" t="s">
        <v>211</v>
      </c>
      <c r="E661" s="15">
        <v>0</v>
      </c>
      <c r="F661" s="15"/>
      <c r="G661" s="16" t="s">
        <v>1077</v>
      </c>
    </row>
    <row r="662" spans="1:7" s="7" customFormat="1" hidden="1" outlineLevel="1" x14ac:dyDescent="0.15">
      <c r="A662" s="2"/>
      <c r="B662" s="31" t="s">
        <v>194</v>
      </c>
      <c r="C662" s="15" t="s">
        <v>1164</v>
      </c>
      <c r="D662" s="15" t="s">
        <v>211</v>
      </c>
      <c r="E662" s="15">
        <v>0</v>
      </c>
      <c r="F662" s="15"/>
      <c r="G662" s="16" t="s">
        <v>1165</v>
      </c>
    </row>
    <row r="663" spans="1:7" s="7" customFormat="1" hidden="1" outlineLevel="1" x14ac:dyDescent="0.15">
      <c r="A663" s="2"/>
      <c r="B663" s="14" t="s">
        <v>23</v>
      </c>
      <c r="C663" s="15" t="s">
        <v>1091</v>
      </c>
      <c r="D663" s="15" t="s">
        <v>1131</v>
      </c>
      <c r="E663" s="15" t="s">
        <v>1074</v>
      </c>
      <c r="F663" s="15"/>
      <c r="G663" s="16"/>
    </row>
    <row r="664" spans="1:7" s="7" customFormat="1" hidden="1" outlineLevel="1" x14ac:dyDescent="0.15">
      <c r="A664" s="2"/>
      <c r="B664" s="14" t="s">
        <v>68</v>
      </c>
      <c r="C664" s="15" t="s">
        <v>1297</v>
      </c>
      <c r="D664" s="15" t="s">
        <v>1169</v>
      </c>
      <c r="E664" s="15">
        <v>0</v>
      </c>
      <c r="F664" s="15"/>
      <c r="G664" s="16" t="s">
        <v>1298</v>
      </c>
    </row>
    <row r="665" spans="1:7" s="7" customFormat="1" hidden="1" outlineLevel="1" x14ac:dyDescent="0.15">
      <c r="A665" s="2"/>
      <c r="B665" s="14" t="s">
        <v>315</v>
      </c>
      <c r="C665" s="15" t="s">
        <v>1150</v>
      </c>
      <c r="D665" s="15" t="s">
        <v>1169</v>
      </c>
      <c r="E665" s="15">
        <v>0</v>
      </c>
      <c r="F665" s="15"/>
      <c r="G665" s="16" t="s">
        <v>1312</v>
      </c>
    </row>
    <row r="666" spans="1:7" s="7" customFormat="1" hidden="1" outlineLevel="1" x14ac:dyDescent="0.15">
      <c r="A666" s="2"/>
      <c r="B666" s="20" t="s">
        <v>316</v>
      </c>
      <c r="C666" s="21" t="s">
        <v>1305</v>
      </c>
      <c r="D666" s="21" t="s">
        <v>1169</v>
      </c>
      <c r="E666" s="21">
        <v>0</v>
      </c>
      <c r="F666" s="21"/>
      <c r="G666" s="22"/>
    </row>
    <row r="667" spans="1:7" s="7" customFormat="1" hidden="1" outlineLevel="1" x14ac:dyDescent="0.15">
      <c r="A667" s="2"/>
      <c r="B667" s="20" t="s">
        <v>317</v>
      </c>
      <c r="C667" s="21" t="s">
        <v>1306</v>
      </c>
      <c r="D667" s="21" t="s">
        <v>1169</v>
      </c>
      <c r="E667" s="21">
        <v>0</v>
      </c>
      <c r="F667" s="21"/>
      <c r="G667" s="22"/>
    </row>
    <row r="668" spans="1:7" s="7" customFormat="1" hidden="1" outlineLevel="1" x14ac:dyDescent="0.15">
      <c r="B668" s="20" t="s">
        <v>318</v>
      </c>
      <c r="C668" s="21" t="s">
        <v>1307</v>
      </c>
      <c r="D668" s="21" t="s">
        <v>1169</v>
      </c>
      <c r="E668" s="21">
        <v>0</v>
      </c>
      <c r="F668" s="21"/>
      <c r="G668" s="22"/>
    </row>
    <row r="669" spans="1:7" s="7" customFormat="1" hidden="1" outlineLevel="1" x14ac:dyDescent="0.15">
      <c r="B669" s="20" t="s">
        <v>319</v>
      </c>
      <c r="C669" s="21" t="s">
        <v>1551</v>
      </c>
      <c r="D669" s="21" t="s">
        <v>1169</v>
      </c>
      <c r="E669" s="21">
        <v>0</v>
      </c>
      <c r="F669" s="21"/>
      <c r="G669" s="22"/>
    </row>
    <row r="670" spans="1:7" s="7" customFormat="1" hidden="1" outlineLevel="1" x14ac:dyDescent="0.15">
      <c r="A670" s="2"/>
      <c r="B670" s="17" t="s">
        <v>175</v>
      </c>
      <c r="C670" s="18" t="s">
        <v>1129</v>
      </c>
      <c r="D670" s="18" t="s">
        <v>1169</v>
      </c>
      <c r="E670" s="18">
        <v>0</v>
      </c>
      <c r="F670" s="18"/>
      <c r="G670" s="19"/>
    </row>
    <row r="671" spans="1:7" s="7" customFormat="1" hidden="1" outlineLevel="1" x14ac:dyDescent="0.15">
      <c r="A671" s="2"/>
      <c r="B671" s="17" t="s">
        <v>176</v>
      </c>
      <c r="C671" s="18" t="s">
        <v>1132</v>
      </c>
      <c r="D671" s="18" t="s">
        <v>1169</v>
      </c>
      <c r="E671" s="18">
        <v>0</v>
      </c>
      <c r="F671" s="18"/>
      <c r="G671" s="19"/>
    </row>
    <row r="672" spans="1:7" s="7" customFormat="1" hidden="1" outlineLevel="1" x14ac:dyDescent="0.15">
      <c r="B672" s="17" t="s">
        <v>320</v>
      </c>
      <c r="C672" s="18" t="s">
        <v>1115</v>
      </c>
      <c r="D672" s="18" t="s">
        <v>1169</v>
      </c>
      <c r="E672" s="18">
        <v>0</v>
      </c>
      <c r="F672" s="18"/>
      <c r="G672" s="19" t="s">
        <v>1308</v>
      </c>
    </row>
    <row r="673" spans="1:7" s="7" customFormat="1" hidden="1" outlineLevel="1" x14ac:dyDescent="0.15">
      <c r="B673" s="17" t="s">
        <v>180</v>
      </c>
      <c r="C673" s="18" t="s">
        <v>1309</v>
      </c>
      <c r="D673" s="18" t="s">
        <v>1169</v>
      </c>
      <c r="E673" s="18">
        <v>0</v>
      </c>
      <c r="F673" s="18"/>
      <c r="G673" s="19" t="s">
        <v>1310</v>
      </c>
    </row>
    <row r="674" spans="1:7" s="7" customFormat="1" ht="18" hidden="1" outlineLevel="1" thickBot="1" x14ac:dyDescent="0.2">
      <c r="A674" s="2"/>
      <c r="B674" s="17"/>
      <c r="C674" s="18"/>
      <c r="D674" s="18"/>
      <c r="E674" s="18"/>
      <c r="F674" s="18"/>
      <c r="G674" s="19"/>
    </row>
    <row r="675" spans="1:7" s="7" customFormat="1" hidden="1" outlineLevel="1" x14ac:dyDescent="0.15">
      <c r="A675" s="2"/>
      <c r="B675" s="327" t="s">
        <v>15</v>
      </c>
      <c r="C675" s="328"/>
      <c r="D675" s="328"/>
      <c r="E675" s="328"/>
      <c r="F675" s="328"/>
      <c r="G675" s="329"/>
    </row>
    <row r="676" spans="1:7" s="7" customFormat="1" hidden="1" outlineLevel="1" x14ac:dyDescent="0.15">
      <c r="A676" s="2" t="s">
        <v>62</v>
      </c>
      <c r="B676" s="20">
        <v>1</v>
      </c>
      <c r="C676" s="21" t="s">
        <v>194</v>
      </c>
      <c r="D676" s="21" t="s">
        <v>110</v>
      </c>
      <c r="E676" s="21"/>
      <c r="F676" s="21"/>
      <c r="G676" s="22"/>
    </row>
    <row r="677" spans="1:7" s="7" customFormat="1" hidden="1" outlineLevel="1" x14ac:dyDescent="0.15">
      <c r="A677" s="2"/>
      <c r="B677" s="17">
        <v>2</v>
      </c>
      <c r="C677" s="18" t="s">
        <v>16</v>
      </c>
      <c r="D677" s="18" t="s">
        <v>194</v>
      </c>
      <c r="E677" s="18"/>
      <c r="F677" s="18"/>
      <c r="G677" s="19"/>
    </row>
    <row r="678" spans="1:7" s="7" customFormat="1" ht="18" hidden="1" outlineLevel="1" thickBot="1" x14ac:dyDescent="0.2">
      <c r="A678" s="2"/>
      <c r="B678" s="24"/>
      <c r="C678" s="9"/>
      <c r="D678" s="9"/>
      <c r="E678" s="9"/>
      <c r="F678" s="9"/>
      <c r="G678" s="11"/>
    </row>
    <row r="679" spans="1:7" s="7" customFormat="1" hidden="1" outlineLevel="1" x14ac:dyDescent="0.15">
      <c r="A679" s="2"/>
    </row>
    <row r="680" spans="1:7" s="7" customFormat="1" ht="18" hidden="1" outlineLevel="1" thickBot="1" x14ac:dyDescent="0.2">
      <c r="A680" s="2"/>
    </row>
    <row r="681" spans="1:7" s="7" customFormat="1" ht="18" collapsed="1" thickBot="1" x14ac:dyDescent="0.2">
      <c r="A681" s="2"/>
      <c r="B681" s="3" t="s">
        <v>563</v>
      </c>
      <c r="C681" s="4" t="s">
        <v>642</v>
      </c>
      <c r="D681" s="5" t="s">
        <v>515</v>
      </c>
      <c r="E681" s="21" t="s">
        <v>593</v>
      </c>
      <c r="F681" s="5" t="s">
        <v>567</v>
      </c>
      <c r="G681" s="6" t="s">
        <v>1619</v>
      </c>
    </row>
    <row r="682" spans="1:7" s="7" customFormat="1" ht="18" hidden="1" outlineLevel="1" thickBot="1" x14ac:dyDescent="0.2">
      <c r="A682" s="2"/>
      <c r="B682" s="8" t="s">
        <v>570</v>
      </c>
      <c r="C682" s="9"/>
      <c r="D682" s="10" t="s">
        <v>568</v>
      </c>
      <c r="E682" s="9" t="s">
        <v>615</v>
      </c>
      <c r="F682" s="10"/>
      <c r="G682" s="11"/>
    </row>
    <row r="683" spans="1:7" s="7" customFormat="1" hidden="1" outlineLevel="1" x14ac:dyDescent="0.15">
      <c r="A683" s="2"/>
      <c r="B683" s="12" t="s">
        <v>0</v>
      </c>
      <c r="C683" s="13" t="s">
        <v>1</v>
      </c>
      <c r="D683" s="13" t="s">
        <v>2</v>
      </c>
      <c r="E683" s="13"/>
      <c r="F683" s="13" t="s">
        <v>3</v>
      </c>
      <c r="G683" s="13" t="s">
        <v>4</v>
      </c>
    </row>
    <row r="684" spans="1:7" s="7" customFormat="1" hidden="1" outlineLevel="1" x14ac:dyDescent="0.15">
      <c r="B684" s="14" t="s">
        <v>22</v>
      </c>
      <c r="C684" s="15" t="s">
        <v>1127</v>
      </c>
      <c r="D684" s="15" t="s">
        <v>211</v>
      </c>
      <c r="E684" s="15" t="s">
        <v>1141</v>
      </c>
      <c r="F684" s="15"/>
      <c r="G684" s="16" t="s">
        <v>1162</v>
      </c>
    </row>
    <row r="685" spans="1:7" s="7" customFormat="1" hidden="1" outlineLevel="1" x14ac:dyDescent="0.15">
      <c r="A685" s="2"/>
      <c r="B685" s="14" t="s">
        <v>6</v>
      </c>
      <c r="C685" s="15" t="s">
        <v>1163</v>
      </c>
      <c r="D685" s="15" t="s">
        <v>211</v>
      </c>
      <c r="E685" s="15">
        <v>0</v>
      </c>
      <c r="F685" s="15"/>
      <c r="G685" s="16" t="s">
        <v>1077</v>
      </c>
    </row>
    <row r="686" spans="1:7" s="7" customFormat="1" hidden="1" outlineLevel="1" x14ac:dyDescent="0.15">
      <c r="A686" s="2"/>
      <c r="B686" s="31" t="s">
        <v>194</v>
      </c>
      <c r="C686" s="15" t="s">
        <v>1164</v>
      </c>
      <c r="D686" s="15" t="s">
        <v>211</v>
      </c>
      <c r="E686" s="15">
        <v>0</v>
      </c>
      <c r="F686" s="15"/>
      <c r="G686" s="16" t="s">
        <v>1165</v>
      </c>
    </row>
    <row r="687" spans="1:7" s="7" customFormat="1" hidden="1" outlineLevel="1" x14ac:dyDescent="0.15">
      <c r="A687" s="2"/>
      <c r="B687" s="14" t="s">
        <v>23</v>
      </c>
      <c r="C687" s="15" t="s">
        <v>1091</v>
      </c>
      <c r="D687" s="15" t="s">
        <v>1131</v>
      </c>
      <c r="E687" s="15" t="s">
        <v>1074</v>
      </c>
      <c r="F687" s="15"/>
      <c r="G687" s="16"/>
    </row>
    <row r="688" spans="1:7" s="7" customFormat="1" hidden="1" outlineLevel="1" x14ac:dyDescent="0.15">
      <c r="A688" s="2"/>
      <c r="B688" s="14" t="s">
        <v>68</v>
      </c>
      <c r="C688" s="15" t="s">
        <v>1297</v>
      </c>
      <c r="D688" s="15" t="s">
        <v>1169</v>
      </c>
      <c r="E688" s="15">
        <v>0</v>
      </c>
      <c r="F688" s="15"/>
      <c r="G688" s="16" t="s">
        <v>1298</v>
      </c>
    </row>
    <row r="689" spans="1:7" s="7" customFormat="1" hidden="1" outlineLevel="1" x14ac:dyDescent="0.15">
      <c r="A689" s="2"/>
      <c r="B689" s="14" t="s">
        <v>315</v>
      </c>
      <c r="C689" s="15" t="s">
        <v>1150</v>
      </c>
      <c r="D689" s="15" t="s">
        <v>1169</v>
      </c>
      <c r="E689" s="15">
        <v>0</v>
      </c>
      <c r="F689" s="15"/>
      <c r="G689" s="16" t="s">
        <v>1312</v>
      </c>
    </row>
    <row r="690" spans="1:7" s="7" customFormat="1" hidden="1" outlineLevel="1" x14ac:dyDescent="0.15">
      <c r="A690" s="2"/>
      <c r="B690" s="20" t="s">
        <v>316</v>
      </c>
      <c r="C690" s="21" t="s">
        <v>1305</v>
      </c>
      <c r="D690" s="21" t="s">
        <v>1169</v>
      </c>
      <c r="E690" s="21">
        <v>0</v>
      </c>
      <c r="F690" s="21"/>
      <c r="G690" s="22"/>
    </row>
    <row r="691" spans="1:7" s="7" customFormat="1" hidden="1" outlineLevel="1" x14ac:dyDescent="0.15">
      <c r="A691" s="2"/>
      <c r="B691" s="20" t="s">
        <v>317</v>
      </c>
      <c r="C691" s="21" t="s">
        <v>1306</v>
      </c>
      <c r="D691" s="21" t="s">
        <v>1169</v>
      </c>
      <c r="E691" s="21">
        <v>0</v>
      </c>
      <c r="F691" s="21"/>
      <c r="G691" s="22"/>
    </row>
    <row r="692" spans="1:7" s="7" customFormat="1" hidden="1" outlineLevel="1" x14ac:dyDescent="0.15">
      <c r="B692" s="20" t="s">
        <v>318</v>
      </c>
      <c r="C692" s="21" t="s">
        <v>1307</v>
      </c>
      <c r="D692" s="21" t="s">
        <v>1169</v>
      </c>
      <c r="E692" s="21">
        <v>0</v>
      </c>
      <c r="F692" s="21"/>
      <c r="G692" s="22"/>
    </row>
    <row r="693" spans="1:7" s="7" customFormat="1" hidden="1" outlineLevel="1" x14ac:dyDescent="0.15">
      <c r="B693" s="20" t="s">
        <v>319</v>
      </c>
      <c r="C693" s="21" t="s">
        <v>1551</v>
      </c>
      <c r="D693" s="21" t="s">
        <v>1169</v>
      </c>
      <c r="E693" s="21">
        <v>0</v>
      </c>
      <c r="F693" s="21"/>
      <c r="G693" s="22"/>
    </row>
    <row r="694" spans="1:7" s="7" customFormat="1" hidden="1" outlineLevel="1" x14ac:dyDescent="0.15">
      <c r="A694" s="2"/>
      <c r="B694" s="17" t="s">
        <v>175</v>
      </c>
      <c r="C694" s="18" t="s">
        <v>1129</v>
      </c>
      <c r="D694" s="18" t="s">
        <v>1169</v>
      </c>
      <c r="E694" s="18">
        <v>0</v>
      </c>
      <c r="F694" s="18"/>
      <c r="G694" s="19"/>
    </row>
    <row r="695" spans="1:7" s="7" customFormat="1" hidden="1" outlineLevel="1" x14ac:dyDescent="0.15">
      <c r="A695" s="2"/>
      <c r="B695" s="17" t="s">
        <v>176</v>
      </c>
      <c r="C695" s="18" t="s">
        <v>1132</v>
      </c>
      <c r="D695" s="18" t="s">
        <v>1169</v>
      </c>
      <c r="E695" s="18">
        <v>0</v>
      </c>
      <c r="F695" s="18"/>
      <c r="G695" s="19"/>
    </row>
    <row r="696" spans="1:7" s="7" customFormat="1" hidden="1" outlineLevel="1" x14ac:dyDescent="0.15">
      <c r="B696" s="17" t="s">
        <v>320</v>
      </c>
      <c r="C696" s="18" t="s">
        <v>1115</v>
      </c>
      <c r="D696" s="18" t="s">
        <v>1169</v>
      </c>
      <c r="E696" s="18">
        <v>0</v>
      </c>
      <c r="F696" s="18"/>
      <c r="G696" s="19" t="s">
        <v>1308</v>
      </c>
    </row>
    <row r="697" spans="1:7" s="7" customFormat="1" hidden="1" outlineLevel="1" x14ac:dyDescent="0.15">
      <c r="B697" s="17" t="s">
        <v>180</v>
      </c>
      <c r="C697" s="18" t="s">
        <v>1309</v>
      </c>
      <c r="D697" s="18" t="s">
        <v>1169</v>
      </c>
      <c r="E697" s="18">
        <v>0</v>
      </c>
      <c r="F697" s="18"/>
      <c r="G697" s="19" t="s">
        <v>1310</v>
      </c>
    </row>
    <row r="698" spans="1:7" s="7" customFormat="1" ht="18" hidden="1" outlineLevel="1" thickBot="1" x14ac:dyDescent="0.2">
      <c r="A698" s="2"/>
      <c r="B698" s="17"/>
      <c r="C698" s="18"/>
      <c r="D698" s="18"/>
      <c r="E698" s="18"/>
      <c r="F698" s="18"/>
      <c r="G698" s="19"/>
    </row>
    <row r="699" spans="1:7" s="7" customFormat="1" hidden="1" outlineLevel="1" x14ac:dyDescent="0.15">
      <c r="A699" s="2"/>
      <c r="B699" s="327" t="s">
        <v>15</v>
      </c>
      <c r="C699" s="328"/>
      <c r="D699" s="328"/>
      <c r="E699" s="328"/>
      <c r="F699" s="328"/>
      <c r="G699" s="329"/>
    </row>
    <row r="700" spans="1:7" s="7" customFormat="1" hidden="1" outlineLevel="1" x14ac:dyDescent="0.15">
      <c r="A700" s="2" t="s">
        <v>62</v>
      </c>
      <c r="B700" s="20">
        <v>1</v>
      </c>
      <c r="C700" s="21" t="s">
        <v>22</v>
      </c>
      <c r="D700" s="21" t="s">
        <v>194</v>
      </c>
      <c r="E700" s="21" t="s">
        <v>110</v>
      </c>
      <c r="F700" s="21"/>
      <c r="G700" s="22"/>
    </row>
    <row r="701" spans="1:7" s="7" customFormat="1" hidden="1" outlineLevel="1" x14ac:dyDescent="0.15">
      <c r="A701" s="2"/>
      <c r="B701" s="17">
        <v>2</v>
      </c>
      <c r="C701" s="21" t="s">
        <v>22</v>
      </c>
      <c r="D701" s="18" t="s">
        <v>109</v>
      </c>
      <c r="E701" s="18" t="s">
        <v>194</v>
      </c>
      <c r="F701" s="18"/>
      <c r="G701" s="19"/>
    </row>
    <row r="702" spans="1:7" s="7" customFormat="1" ht="18" hidden="1" outlineLevel="1" thickBot="1" x14ac:dyDescent="0.2">
      <c r="A702" s="2"/>
      <c r="B702" s="24"/>
      <c r="C702" s="9"/>
      <c r="D702" s="9"/>
      <c r="E702" s="9"/>
      <c r="F702" s="9"/>
      <c r="G702" s="11"/>
    </row>
    <row r="703" spans="1:7" s="7" customFormat="1" hidden="1" outlineLevel="1" x14ac:dyDescent="0.15">
      <c r="A703" s="2"/>
    </row>
    <row r="704" spans="1:7" hidden="1" outlineLevel="1" x14ac:dyDescent="0.15">
      <c r="A704" s="2"/>
      <c r="B704" s="7"/>
      <c r="C704" s="7"/>
      <c r="D704" s="7"/>
      <c r="E704" s="7"/>
      <c r="F704" s="7"/>
      <c r="G704" s="7"/>
    </row>
    <row r="705" spans="1:7" s="7" customFormat="1" ht="18" hidden="1" outlineLevel="1" thickBot="1" x14ac:dyDescent="0.2">
      <c r="A705" s="1"/>
      <c r="B705" s="1"/>
      <c r="C705" s="1"/>
      <c r="D705" s="1"/>
      <c r="E705" s="1"/>
      <c r="F705" s="1"/>
      <c r="G705" s="1"/>
    </row>
    <row r="706" spans="1:7" s="7" customFormat="1" ht="18" collapsed="1" thickBot="1" x14ac:dyDescent="0.2">
      <c r="A706" s="2"/>
      <c r="B706" s="3" t="s">
        <v>563</v>
      </c>
      <c r="C706" s="4" t="s">
        <v>644</v>
      </c>
      <c r="D706" s="5" t="s">
        <v>515</v>
      </c>
      <c r="E706" s="21" t="s">
        <v>594</v>
      </c>
      <c r="F706" s="5" t="s">
        <v>567</v>
      </c>
      <c r="G706" s="6" t="s">
        <v>1619</v>
      </c>
    </row>
    <row r="707" spans="1:7" s="7" customFormat="1" ht="18" hidden="1" outlineLevel="1" thickBot="1" x14ac:dyDescent="0.2">
      <c r="A707" s="2"/>
      <c r="B707" s="8" t="s">
        <v>570</v>
      </c>
      <c r="C707" s="9"/>
      <c r="D707" s="10" t="s">
        <v>568</v>
      </c>
      <c r="E707" s="9" t="s">
        <v>615</v>
      </c>
      <c r="F707" s="10"/>
      <c r="G707" s="11"/>
    </row>
    <row r="708" spans="1:7" s="7" customFormat="1" hidden="1" outlineLevel="1" x14ac:dyDescent="0.15">
      <c r="A708" s="2"/>
      <c r="B708" s="12" t="s">
        <v>0</v>
      </c>
      <c r="C708" s="13" t="s">
        <v>1</v>
      </c>
      <c r="D708" s="13" t="s">
        <v>2</v>
      </c>
      <c r="E708" s="13"/>
      <c r="F708" s="13" t="s">
        <v>3</v>
      </c>
      <c r="G708" s="13" t="s">
        <v>4</v>
      </c>
    </row>
    <row r="709" spans="1:7" s="7" customFormat="1" hidden="1" outlineLevel="1" x14ac:dyDescent="0.15">
      <c r="A709" s="2"/>
      <c r="B709" s="14" t="s">
        <v>6</v>
      </c>
      <c r="C709" s="15" t="s">
        <v>1163</v>
      </c>
      <c r="D709" s="15" t="s">
        <v>211</v>
      </c>
      <c r="E709" s="15">
        <v>0</v>
      </c>
      <c r="F709" s="15"/>
      <c r="G709" s="16" t="s">
        <v>1077</v>
      </c>
    </row>
    <row r="710" spans="1:7" s="7" customFormat="1" hidden="1" outlineLevel="1" x14ac:dyDescent="0.15">
      <c r="A710" s="2"/>
      <c r="B710" s="14" t="s">
        <v>111</v>
      </c>
      <c r="C710" s="15" t="s">
        <v>1164</v>
      </c>
      <c r="D710" s="15" t="s">
        <v>211</v>
      </c>
      <c r="E710" s="15">
        <v>0</v>
      </c>
      <c r="F710" s="15"/>
      <c r="G710" s="16" t="s">
        <v>1165</v>
      </c>
    </row>
    <row r="711" spans="1:7" s="7" customFormat="1" hidden="1" outlineLevel="1" x14ac:dyDescent="0.15">
      <c r="A711" s="2"/>
      <c r="B711" s="114" t="s">
        <v>329</v>
      </c>
      <c r="C711" s="235" t="s">
        <v>1311</v>
      </c>
      <c r="D711" s="235" t="s">
        <v>211</v>
      </c>
      <c r="E711" s="15">
        <v>0</v>
      </c>
      <c r="F711" s="15"/>
      <c r="G711" s="16"/>
    </row>
    <row r="712" spans="1:7" s="7" customFormat="1" hidden="1" outlineLevel="1" x14ac:dyDescent="0.15">
      <c r="A712" s="2"/>
      <c r="B712" s="25" t="s">
        <v>328</v>
      </c>
      <c r="C712" s="26" t="s">
        <v>1450</v>
      </c>
      <c r="D712" s="26" t="s">
        <v>1131</v>
      </c>
      <c r="E712" s="26" t="s">
        <v>1074</v>
      </c>
      <c r="F712" s="26"/>
      <c r="G712" s="27"/>
    </row>
    <row r="713" spans="1:7" s="7" customFormat="1" hidden="1" outlineLevel="1" x14ac:dyDescent="0.15">
      <c r="A713" s="2"/>
      <c r="B713" s="17" t="s">
        <v>24</v>
      </c>
      <c r="C713" s="18" t="s">
        <v>1151</v>
      </c>
      <c r="D713" s="18" t="s">
        <v>1169</v>
      </c>
      <c r="E713" s="18">
        <v>0</v>
      </c>
      <c r="F713" s="18"/>
      <c r="G713" s="19" t="s">
        <v>1116</v>
      </c>
    </row>
    <row r="714" spans="1:7" s="7" customFormat="1" hidden="1" outlineLevel="1" x14ac:dyDescent="0.15">
      <c r="A714" s="2"/>
      <c r="B714" s="17" t="s">
        <v>25</v>
      </c>
      <c r="C714" s="18" t="s">
        <v>1150</v>
      </c>
      <c r="D714" s="18" t="s">
        <v>1169</v>
      </c>
      <c r="E714" s="18">
        <v>0</v>
      </c>
      <c r="F714" s="18"/>
      <c r="G714" s="19" t="s">
        <v>1312</v>
      </c>
    </row>
    <row r="715" spans="1:7" s="7" customFormat="1" hidden="1" outlineLevel="1" x14ac:dyDescent="0.15">
      <c r="A715" s="2"/>
      <c r="B715" s="17" t="s">
        <v>26</v>
      </c>
      <c r="C715" s="18" t="s">
        <v>1152</v>
      </c>
      <c r="D715" s="18" t="s">
        <v>1169</v>
      </c>
      <c r="E715" s="18">
        <v>0</v>
      </c>
      <c r="F715" s="18"/>
      <c r="G715" s="19" t="s">
        <v>1323</v>
      </c>
    </row>
    <row r="716" spans="1:7" s="7" customFormat="1" hidden="1" outlineLevel="1" x14ac:dyDescent="0.15">
      <c r="A716" s="2"/>
      <c r="B716" s="20" t="s">
        <v>27</v>
      </c>
      <c r="C716" s="21" t="s">
        <v>1313</v>
      </c>
      <c r="D716" s="21" t="s">
        <v>1169</v>
      </c>
      <c r="E716" s="21">
        <v>0</v>
      </c>
      <c r="F716" s="21"/>
      <c r="G716" s="22" t="s">
        <v>1314</v>
      </c>
    </row>
    <row r="717" spans="1:7" s="7" customFormat="1" hidden="1" outlineLevel="1" x14ac:dyDescent="0.15">
      <c r="A717" s="2"/>
      <c r="B717" s="20" t="s">
        <v>493</v>
      </c>
      <c r="C717" s="21" t="s">
        <v>1117</v>
      </c>
      <c r="D717" s="21" t="s">
        <v>1169</v>
      </c>
      <c r="E717" s="21">
        <v>0</v>
      </c>
      <c r="F717" s="21"/>
      <c r="G717" s="22"/>
    </row>
    <row r="718" spans="1:7" s="7" customFormat="1" hidden="1" outlineLevel="1" x14ac:dyDescent="0.15">
      <c r="A718" s="2"/>
      <c r="B718" s="20" t="s">
        <v>494</v>
      </c>
      <c r="C718" s="21" t="s">
        <v>1315</v>
      </c>
      <c r="D718" s="21" t="s">
        <v>1169</v>
      </c>
      <c r="E718" s="21">
        <v>0</v>
      </c>
      <c r="F718" s="21"/>
      <c r="G718" s="22"/>
    </row>
    <row r="719" spans="1:7" s="7" customFormat="1" hidden="1" outlineLevel="1" x14ac:dyDescent="0.15">
      <c r="A719" s="2"/>
      <c r="B719" s="20" t="s">
        <v>321</v>
      </c>
      <c r="C719" s="21" t="s">
        <v>1316</v>
      </c>
      <c r="D719" s="21" t="s">
        <v>1169</v>
      </c>
      <c r="E719" s="21">
        <v>0</v>
      </c>
      <c r="F719" s="21"/>
      <c r="G719" s="22"/>
    </row>
    <row r="720" spans="1:7" s="7" customFormat="1" hidden="1" outlineLevel="1" x14ac:dyDescent="0.15">
      <c r="A720" s="2"/>
      <c r="B720" s="20" t="s">
        <v>322</v>
      </c>
      <c r="C720" s="21" t="s">
        <v>1317</v>
      </c>
      <c r="D720" s="21" t="s">
        <v>1169</v>
      </c>
      <c r="E720" s="21">
        <v>0</v>
      </c>
      <c r="F720" s="21"/>
      <c r="G720" s="22"/>
    </row>
    <row r="721" spans="1:7" s="7" customFormat="1" hidden="1" outlineLevel="1" x14ac:dyDescent="0.15">
      <c r="A721" s="2"/>
      <c r="B721" s="20" t="s">
        <v>330</v>
      </c>
      <c r="C721" s="21" t="s">
        <v>1318</v>
      </c>
      <c r="D721" s="21" t="s">
        <v>1169</v>
      </c>
      <c r="E721" s="21">
        <v>0</v>
      </c>
      <c r="F721" s="21"/>
      <c r="G721" s="22"/>
    </row>
    <row r="722" spans="1:7" s="7" customFormat="1" hidden="1" outlineLevel="1" x14ac:dyDescent="0.15">
      <c r="A722" s="2"/>
      <c r="B722" s="20" t="s">
        <v>495</v>
      </c>
      <c r="C722" s="21" t="s">
        <v>1153</v>
      </c>
      <c r="D722" s="21" t="s">
        <v>1169</v>
      </c>
      <c r="E722" s="21">
        <v>0</v>
      </c>
      <c r="F722" s="21"/>
      <c r="G722" s="22"/>
    </row>
    <row r="723" spans="1:7" s="7" customFormat="1" hidden="1" outlineLevel="1" x14ac:dyDescent="0.15">
      <c r="A723" s="2"/>
      <c r="B723" s="20" t="s">
        <v>323</v>
      </c>
      <c r="C723" s="21" t="s">
        <v>1319</v>
      </c>
      <c r="D723" s="21" t="s">
        <v>1169</v>
      </c>
      <c r="E723" s="21">
        <v>0</v>
      </c>
      <c r="F723" s="21"/>
      <c r="G723" s="22"/>
    </row>
    <row r="724" spans="1:7" s="7" customFormat="1" hidden="1" outlineLevel="1" x14ac:dyDescent="0.15">
      <c r="A724" s="2"/>
      <c r="B724" s="20" t="s">
        <v>324</v>
      </c>
      <c r="C724" s="21" t="s">
        <v>1320</v>
      </c>
      <c r="D724" s="21" t="s">
        <v>1169</v>
      </c>
      <c r="E724" s="21">
        <v>0</v>
      </c>
      <c r="F724" s="21"/>
      <c r="G724" s="22"/>
    </row>
    <row r="725" spans="1:7" s="7" customFormat="1" hidden="1" outlineLevel="1" x14ac:dyDescent="0.15">
      <c r="A725" s="2"/>
      <c r="B725" s="20" t="s">
        <v>325</v>
      </c>
      <c r="C725" s="21" t="s">
        <v>1154</v>
      </c>
      <c r="D725" s="21" t="s">
        <v>1169</v>
      </c>
      <c r="E725" s="21">
        <v>0</v>
      </c>
      <c r="F725" s="21"/>
      <c r="G725" s="22"/>
    </row>
    <row r="726" spans="1:7" s="7" customFormat="1" hidden="1" outlineLevel="1" x14ac:dyDescent="0.15">
      <c r="A726" s="2"/>
      <c r="B726" s="20" t="s">
        <v>326</v>
      </c>
      <c r="C726" s="21" t="s">
        <v>1321</v>
      </c>
      <c r="D726" s="21" t="s">
        <v>1169</v>
      </c>
      <c r="E726" s="21">
        <v>0</v>
      </c>
      <c r="F726" s="21"/>
      <c r="G726" s="22"/>
    </row>
    <row r="727" spans="1:7" s="7" customFormat="1" ht="18" hidden="1" outlineLevel="1" thickBot="1" x14ac:dyDescent="0.2">
      <c r="A727" s="2"/>
      <c r="B727" s="20"/>
      <c r="C727" s="21"/>
      <c r="D727" s="21"/>
      <c r="E727" s="21"/>
      <c r="F727" s="21"/>
      <c r="G727" s="22"/>
    </row>
    <row r="728" spans="1:7" s="7" customFormat="1" hidden="1" outlineLevel="1" x14ac:dyDescent="0.15">
      <c r="A728" s="2"/>
      <c r="B728" s="327" t="s">
        <v>15</v>
      </c>
      <c r="C728" s="328"/>
      <c r="D728" s="328"/>
      <c r="E728" s="328"/>
      <c r="F728" s="328"/>
      <c r="G728" s="329"/>
    </row>
    <row r="729" spans="1:7" s="7" customFormat="1" hidden="1" outlineLevel="1" x14ac:dyDescent="0.15">
      <c r="A729" s="2" t="s">
        <v>62</v>
      </c>
      <c r="B729" s="20">
        <v>1</v>
      </c>
      <c r="C729" s="21" t="s">
        <v>113</v>
      </c>
      <c r="D729" s="21" t="s">
        <v>328</v>
      </c>
      <c r="E729" s="21"/>
      <c r="F729" s="21"/>
      <c r="G729" s="22"/>
    </row>
    <row r="730" spans="1:7" s="7" customFormat="1" hidden="1" outlineLevel="1" x14ac:dyDescent="0.15">
      <c r="A730" s="2"/>
      <c r="B730" s="20">
        <v>2</v>
      </c>
      <c r="C730" s="21" t="s">
        <v>109</v>
      </c>
      <c r="D730" s="21" t="s">
        <v>111</v>
      </c>
      <c r="E730" s="21" t="s">
        <v>328</v>
      </c>
      <c r="F730" s="21"/>
      <c r="G730" s="21"/>
    </row>
    <row r="731" spans="1:7" s="7" customFormat="1" ht="18" hidden="1" outlineLevel="1" thickBot="1" x14ac:dyDescent="0.2">
      <c r="A731" s="2"/>
      <c r="B731" s="24"/>
      <c r="C731" s="9"/>
      <c r="D731" s="9"/>
      <c r="E731" s="9"/>
      <c r="F731" s="9"/>
      <c r="G731" s="11"/>
    </row>
    <row r="732" spans="1:7" s="7" customFormat="1" hidden="1" outlineLevel="1" x14ac:dyDescent="0.15">
      <c r="A732" s="2"/>
    </row>
    <row r="733" spans="1:7" s="7" customFormat="1" ht="18" hidden="1" outlineLevel="1" thickBot="1" x14ac:dyDescent="0.2">
      <c r="A733" s="2"/>
    </row>
    <row r="734" spans="1:7" s="7" customFormat="1" ht="18" collapsed="1" thickBot="1" x14ac:dyDescent="0.2">
      <c r="A734" s="2"/>
      <c r="B734" s="3" t="s">
        <v>563</v>
      </c>
      <c r="C734" s="165" t="s">
        <v>650</v>
      </c>
      <c r="D734" s="165" t="s">
        <v>515</v>
      </c>
      <c r="E734" s="21" t="s">
        <v>1011</v>
      </c>
      <c r="F734" s="5" t="s">
        <v>567</v>
      </c>
      <c r="G734" s="6" t="s">
        <v>1619</v>
      </c>
    </row>
    <row r="735" spans="1:7" s="7" customFormat="1" ht="18" hidden="1" outlineLevel="1" thickBot="1" x14ac:dyDescent="0.2">
      <c r="A735" s="2"/>
      <c r="B735" s="34" t="s">
        <v>570</v>
      </c>
      <c r="C735" s="18"/>
      <c r="D735" s="35" t="s">
        <v>568</v>
      </c>
      <c r="E735" s="18" t="s">
        <v>615</v>
      </c>
      <c r="F735" s="35"/>
      <c r="G735" s="19"/>
    </row>
    <row r="736" spans="1:7" s="7" customFormat="1" hidden="1" outlineLevel="1" x14ac:dyDescent="0.15">
      <c r="A736" s="2"/>
      <c r="B736" s="3" t="s">
        <v>0</v>
      </c>
      <c r="C736" s="5" t="s">
        <v>1</v>
      </c>
      <c r="D736" s="5" t="s">
        <v>2</v>
      </c>
      <c r="E736" s="5"/>
      <c r="F736" s="5" t="s">
        <v>3</v>
      </c>
      <c r="G736" s="36" t="s">
        <v>4</v>
      </c>
    </row>
    <row r="737" spans="1:7" s="7" customFormat="1" hidden="1" outlineLevel="1" x14ac:dyDescent="0.15">
      <c r="A737" s="2"/>
      <c r="B737" s="20" t="s">
        <v>109</v>
      </c>
      <c r="C737" s="21" t="s">
        <v>1163</v>
      </c>
      <c r="D737" s="21" t="s">
        <v>211</v>
      </c>
      <c r="E737" s="21">
        <v>0</v>
      </c>
      <c r="F737" s="21"/>
      <c r="G737" s="22" t="s">
        <v>1077</v>
      </c>
    </row>
    <row r="738" spans="1:7" s="7" customFormat="1" hidden="1" outlineLevel="1" x14ac:dyDescent="0.15">
      <c r="A738" s="2"/>
      <c r="B738" s="20" t="s">
        <v>111</v>
      </c>
      <c r="C738" s="21" t="s">
        <v>1164</v>
      </c>
      <c r="D738" s="21" t="s">
        <v>211</v>
      </c>
      <c r="E738" s="21">
        <v>0</v>
      </c>
      <c r="F738" s="21"/>
      <c r="G738" s="22" t="s">
        <v>1165</v>
      </c>
    </row>
    <row r="739" spans="1:7" s="7" customFormat="1" hidden="1" outlineLevel="1" x14ac:dyDescent="0.15">
      <c r="A739" s="2"/>
      <c r="B739" s="20" t="s">
        <v>23</v>
      </c>
      <c r="C739" s="21" t="s">
        <v>1091</v>
      </c>
      <c r="D739" s="21" t="s">
        <v>1131</v>
      </c>
      <c r="E739" s="21" t="s">
        <v>1074</v>
      </c>
      <c r="F739" s="21"/>
      <c r="G739" s="22"/>
    </row>
    <row r="740" spans="1:7" s="7" customFormat="1" hidden="1" outlineLevel="1" x14ac:dyDescent="0.15">
      <c r="A740" s="2"/>
      <c r="B740" s="17" t="s">
        <v>312</v>
      </c>
      <c r="C740" s="18" t="s">
        <v>1168</v>
      </c>
      <c r="D740" s="18" t="s">
        <v>1169</v>
      </c>
      <c r="E740" s="18">
        <v>0</v>
      </c>
      <c r="F740" s="18"/>
      <c r="G740" s="19"/>
    </row>
    <row r="741" spans="1:7" s="7" customFormat="1" hidden="1" outlineLevel="1" x14ac:dyDescent="0.15">
      <c r="A741" s="2"/>
      <c r="B741" s="17" t="s">
        <v>303</v>
      </c>
      <c r="C741" s="18" t="s">
        <v>1170</v>
      </c>
      <c r="D741" s="18" t="s">
        <v>1169</v>
      </c>
      <c r="E741" s="18">
        <v>0</v>
      </c>
      <c r="F741" s="18"/>
      <c r="G741" s="19"/>
    </row>
    <row r="742" spans="1:7" s="7" customFormat="1" hidden="1" outlineLevel="1" x14ac:dyDescent="0.15">
      <c r="A742" s="2"/>
      <c r="B742" s="20" t="s">
        <v>313</v>
      </c>
      <c r="C742" s="21" t="s">
        <v>1185</v>
      </c>
      <c r="D742" s="21" t="s">
        <v>1169</v>
      </c>
      <c r="E742" s="21">
        <v>0</v>
      </c>
      <c r="F742" s="21"/>
      <c r="G742" s="22"/>
    </row>
    <row r="743" spans="1:7" s="7" customFormat="1" hidden="1" outlineLevel="1" x14ac:dyDescent="0.15">
      <c r="A743" s="2"/>
      <c r="B743" s="20" t="s">
        <v>305</v>
      </c>
      <c r="C743" s="21" t="s">
        <v>1181</v>
      </c>
      <c r="D743" s="21" t="s">
        <v>1169</v>
      </c>
      <c r="E743" s="21">
        <v>0</v>
      </c>
      <c r="F743" s="21"/>
      <c r="G743" s="22"/>
    </row>
    <row r="744" spans="1:7" s="7" customFormat="1" hidden="1" outlineLevel="1" x14ac:dyDescent="0.15">
      <c r="A744" s="2"/>
      <c r="B744" s="20" t="s">
        <v>306</v>
      </c>
      <c r="C744" s="21" t="s">
        <v>1128</v>
      </c>
      <c r="D744" s="21" t="s">
        <v>1169</v>
      </c>
      <c r="E744" s="21">
        <v>0</v>
      </c>
      <c r="F744" s="21"/>
      <c r="G744" s="22"/>
    </row>
    <row r="745" spans="1:7" s="7" customFormat="1" hidden="1" outlineLevel="1" x14ac:dyDescent="0.15">
      <c r="A745" s="2"/>
      <c r="B745" s="17" t="s">
        <v>307</v>
      </c>
      <c r="C745" s="18" t="s">
        <v>1173</v>
      </c>
      <c r="D745" s="18" t="s">
        <v>1169</v>
      </c>
      <c r="E745" s="18">
        <v>0</v>
      </c>
      <c r="F745" s="18"/>
      <c r="G745" s="19"/>
    </row>
    <row r="746" spans="1:7" s="7" customFormat="1" hidden="1" outlineLevel="1" x14ac:dyDescent="0.15">
      <c r="A746" s="2"/>
      <c r="B746" s="17" t="s">
        <v>308</v>
      </c>
      <c r="C746" s="18" t="s">
        <v>1175</v>
      </c>
      <c r="D746" s="18" t="s">
        <v>1169</v>
      </c>
      <c r="E746" s="18">
        <v>0</v>
      </c>
      <c r="F746" s="18"/>
      <c r="G746" s="19"/>
    </row>
    <row r="747" spans="1:7" s="7" customFormat="1" hidden="1" outlineLevel="1" x14ac:dyDescent="0.15">
      <c r="A747" s="2"/>
      <c r="B747" s="17" t="s">
        <v>314</v>
      </c>
      <c r="C747" s="18" t="s">
        <v>1089</v>
      </c>
      <c r="D747" s="18" t="s">
        <v>1169</v>
      </c>
      <c r="E747" s="18">
        <v>0</v>
      </c>
      <c r="F747" s="18"/>
      <c r="G747" s="19"/>
    </row>
    <row r="748" spans="1:7" s="7" customFormat="1" hidden="1" outlineLevel="1" x14ac:dyDescent="0.15">
      <c r="A748" s="2"/>
      <c r="B748" s="17" t="s">
        <v>310</v>
      </c>
      <c r="C748" s="18" t="s">
        <v>1174</v>
      </c>
      <c r="D748" s="18" t="s">
        <v>1169</v>
      </c>
      <c r="E748" s="18">
        <v>0</v>
      </c>
      <c r="F748" s="18"/>
      <c r="G748" s="19"/>
    </row>
    <row r="749" spans="1:7" s="7" customFormat="1" hidden="1" outlineLevel="1" x14ac:dyDescent="0.15">
      <c r="A749" s="2"/>
      <c r="B749" s="20"/>
      <c r="C749" s="21"/>
      <c r="D749" s="21"/>
      <c r="E749" s="21"/>
      <c r="F749" s="21"/>
      <c r="G749" s="22"/>
    </row>
    <row r="750" spans="1:7" s="7" customFormat="1" hidden="1" outlineLevel="1" x14ac:dyDescent="0.15">
      <c r="A750" s="2"/>
      <c r="B750" s="20"/>
      <c r="C750" s="21"/>
      <c r="D750" s="21"/>
      <c r="E750" s="21"/>
      <c r="F750" s="21"/>
      <c r="G750" s="22"/>
    </row>
    <row r="751" spans="1:7" s="7" customFormat="1" ht="18" hidden="1" outlineLevel="1" thickBot="1" x14ac:dyDescent="0.2">
      <c r="A751" s="2"/>
      <c r="B751" s="24"/>
      <c r="C751" s="9"/>
      <c r="D751" s="9"/>
      <c r="E751" s="9"/>
      <c r="F751" s="9"/>
      <c r="G751" s="11"/>
    </row>
    <row r="752" spans="1:7" s="7" customFormat="1" hidden="1" outlineLevel="1" x14ac:dyDescent="0.15">
      <c r="A752" s="2"/>
      <c r="B752" s="327" t="s">
        <v>15</v>
      </c>
      <c r="C752" s="328"/>
      <c r="D752" s="328"/>
      <c r="E752" s="328"/>
      <c r="F752" s="328"/>
      <c r="G752" s="329"/>
    </row>
    <row r="753" spans="1:7" s="7" customFormat="1" hidden="1" outlineLevel="1" x14ac:dyDescent="0.15">
      <c r="A753" s="2" t="s">
        <v>62</v>
      </c>
      <c r="B753" s="20">
        <v>1</v>
      </c>
      <c r="C753" s="21" t="s">
        <v>111</v>
      </c>
      <c r="D753" s="21" t="s">
        <v>23</v>
      </c>
      <c r="E753" s="21"/>
      <c r="F753" s="21"/>
      <c r="G753" s="22"/>
    </row>
    <row r="754" spans="1:7" s="7" customFormat="1" ht="18" hidden="1" outlineLevel="1" thickBot="1" x14ac:dyDescent="0.2">
      <c r="A754" s="2"/>
      <c r="B754" s="24"/>
      <c r="C754" s="9"/>
      <c r="D754" s="9"/>
      <c r="E754" s="9"/>
      <c r="F754" s="9"/>
      <c r="G754" s="11"/>
    </row>
    <row r="755" spans="1:7" s="7" customFormat="1" ht="18" hidden="1" outlineLevel="1" thickBot="1" x14ac:dyDescent="0.2">
      <c r="A755" s="2"/>
    </row>
    <row r="756" spans="1:7" s="7" customFormat="1" ht="18" collapsed="1" thickBot="1" x14ac:dyDescent="0.2">
      <c r="A756" s="2"/>
      <c r="B756" s="3" t="s">
        <v>563</v>
      </c>
      <c r="C756" s="4" t="s">
        <v>548</v>
      </c>
      <c r="D756" s="5" t="s">
        <v>515</v>
      </c>
      <c r="E756" s="21" t="s">
        <v>1012</v>
      </c>
      <c r="F756" s="5" t="s">
        <v>567</v>
      </c>
      <c r="G756" s="6" t="s">
        <v>1619</v>
      </c>
    </row>
    <row r="757" spans="1:7" s="7" customFormat="1" ht="18" hidden="1" outlineLevel="1" thickBot="1" x14ac:dyDescent="0.2">
      <c r="A757" s="2"/>
      <c r="B757" s="34" t="s">
        <v>570</v>
      </c>
      <c r="C757" s="18"/>
      <c r="D757" s="35" t="s">
        <v>568</v>
      </c>
      <c r="E757" s="18" t="s">
        <v>615</v>
      </c>
      <c r="F757" s="35"/>
      <c r="G757" s="19"/>
    </row>
    <row r="758" spans="1:7" s="7" customFormat="1" hidden="1" outlineLevel="1" x14ac:dyDescent="0.15">
      <c r="A758" s="2"/>
      <c r="B758" s="3" t="s">
        <v>0</v>
      </c>
      <c r="C758" s="5" t="s">
        <v>1</v>
      </c>
      <c r="D758" s="5" t="s">
        <v>2</v>
      </c>
      <c r="E758" s="5"/>
      <c r="F758" s="5" t="s">
        <v>3</v>
      </c>
      <c r="G758" s="36" t="s">
        <v>4</v>
      </c>
    </row>
    <row r="759" spans="1:7" s="7" customFormat="1" hidden="1" outlineLevel="1" x14ac:dyDescent="0.15">
      <c r="B759" s="14" t="s">
        <v>22</v>
      </c>
      <c r="C759" s="15" t="s">
        <v>1127</v>
      </c>
      <c r="D759" s="15" t="s">
        <v>211</v>
      </c>
      <c r="E759" s="15" t="s">
        <v>1141</v>
      </c>
      <c r="F759" s="15"/>
      <c r="G759" s="16" t="s">
        <v>1162</v>
      </c>
    </row>
    <row r="760" spans="1:7" s="7" customFormat="1" hidden="1" outlineLevel="1" x14ac:dyDescent="0.15">
      <c r="A760" s="2"/>
      <c r="B760" s="20" t="s">
        <v>6</v>
      </c>
      <c r="C760" s="21" t="s">
        <v>1163</v>
      </c>
      <c r="D760" s="21" t="s">
        <v>211</v>
      </c>
      <c r="E760" s="21">
        <v>0</v>
      </c>
      <c r="F760" s="21"/>
      <c r="G760" s="22" t="s">
        <v>1077</v>
      </c>
    </row>
    <row r="761" spans="1:7" s="7" customFormat="1" hidden="1" outlineLevel="1" x14ac:dyDescent="0.15">
      <c r="A761" s="2"/>
      <c r="B761" s="20" t="s">
        <v>111</v>
      </c>
      <c r="C761" s="21" t="s">
        <v>1164</v>
      </c>
      <c r="D761" s="21" t="s">
        <v>211</v>
      </c>
      <c r="E761" s="21">
        <v>0</v>
      </c>
      <c r="F761" s="21"/>
      <c r="G761" s="22" t="s">
        <v>1165</v>
      </c>
    </row>
    <row r="762" spans="1:7" s="7" customFormat="1" hidden="1" outlineLevel="1" x14ac:dyDescent="0.15">
      <c r="A762" s="2"/>
      <c r="B762" s="20" t="s">
        <v>23</v>
      </c>
      <c r="C762" s="21" t="s">
        <v>1091</v>
      </c>
      <c r="D762" s="21" t="s">
        <v>1131</v>
      </c>
      <c r="E762" s="21" t="s">
        <v>1074</v>
      </c>
      <c r="F762" s="21"/>
      <c r="G762" s="22"/>
    </row>
    <row r="763" spans="1:7" s="7" customFormat="1" hidden="1" outlineLevel="1" x14ac:dyDescent="0.15">
      <c r="A763" s="2"/>
      <c r="B763" s="17" t="s">
        <v>312</v>
      </c>
      <c r="C763" s="18" t="s">
        <v>1168</v>
      </c>
      <c r="D763" s="18" t="s">
        <v>1169</v>
      </c>
      <c r="E763" s="18">
        <v>0</v>
      </c>
      <c r="F763" s="18"/>
      <c r="G763" s="19"/>
    </row>
    <row r="764" spans="1:7" s="7" customFormat="1" hidden="1" outlineLevel="1" x14ac:dyDescent="0.15">
      <c r="A764" s="2"/>
      <c r="B764" s="17" t="s">
        <v>303</v>
      </c>
      <c r="C764" s="18" t="s">
        <v>1170</v>
      </c>
      <c r="D764" s="18" t="s">
        <v>1169</v>
      </c>
      <c r="E764" s="18">
        <v>0</v>
      </c>
      <c r="F764" s="18"/>
      <c r="G764" s="19"/>
    </row>
    <row r="765" spans="1:7" s="7" customFormat="1" hidden="1" outlineLevel="1" x14ac:dyDescent="0.15">
      <c r="A765" s="2"/>
      <c r="B765" s="20" t="s">
        <v>313</v>
      </c>
      <c r="C765" s="21" t="s">
        <v>1185</v>
      </c>
      <c r="D765" s="21" t="s">
        <v>1169</v>
      </c>
      <c r="E765" s="21">
        <v>0</v>
      </c>
      <c r="F765" s="21"/>
      <c r="G765" s="22"/>
    </row>
    <row r="766" spans="1:7" s="7" customFormat="1" hidden="1" outlineLevel="1" x14ac:dyDescent="0.15">
      <c r="A766" s="2"/>
      <c r="B766" s="20" t="s">
        <v>305</v>
      </c>
      <c r="C766" s="21" t="s">
        <v>1181</v>
      </c>
      <c r="D766" s="21" t="s">
        <v>1169</v>
      </c>
      <c r="E766" s="21">
        <v>0</v>
      </c>
      <c r="F766" s="21"/>
      <c r="G766" s="22"/>
    </row>
    <row r="767" spans="1:7" s="7" customFormat="1" hidden="1" outlineLevel="1" x14ac:dyDescent="0.15">
      <c r="A767" s="2"/>
      <c r="B767" s="20" t="s">
        <v>306</v>
      </c>
      <c r="C767" s="21" t="s">
        <v>1128</v>
      </c>
      <c r="D767" s="21" t="s">
        <v>1169</v>
      </c>
      <c r="E767" s="21">
        <v>0</v>
      </c>
      <c r="F767" s="21"/>
      <c r="G767" s="22"/>
    </row>
    <row r="768" spans="1:7" s="7" customFormat="1" hidden="1" outlineLevel="1" x14ac:dyDescent="0.15">
      <c r="A768" s="2"/>
      <c r="B768" s="17" t="s">
        <v>307</v>
      </c>
      <c r="C768" s="18" t="s">
        <v>1173</v>
      </c>
      <c r="D768" s="18" t="s">
        <v>1169</v>
      </c>
      <c r="E768" s="18">
        <v>0</v>
      </c>
      <c r="F768" s="18"/>
      <c r="G768" s="19"/>
    </row>
    <row r="769" spans="1:7" s="7" customFormat="1" hidden="1" outlineLevel="1" x14ac:dyDescent="0.15">
      <c r="A769" s="2"/>
      <c r="B769" s="17" t="s">
        <v>308</v>
      </c>
      <c r="C769" s="18" t="s">
        <v>1175</v>
      </c>
      <c r="D769" s="18" t="s">
        <v>1169</v>
      </c>
      <c r="E769" s="18">
        <v>0</v>
      </c>
      <c r="F769" s="18"/>
      <c r="G769" s="19"/>
    </row>
    <row r="770" spans="1:7" s="7" customFormat="1" hidden="1" outlineLevel="1" x14ac:dyDescent="0.15">
      <c r="A770" s="2"/>
      <c r="B770" s="17" t="s">
        <v>314</v>
      </c>
      <c r="C770" s="18" t="s">
        <v>1089</v>
      </c>
      <c r="D770" s="18" t="s">
        <v>1169</v>
      </c>
      <c r="E770" s="18">
        <v>0</v>
      </c>
      <c r="F770" s="18"/>
      <c r="G770" s="19"/>
    </row>
    <row r="771" spans="1:7" s="7" customFormat="1" hidden="1" outlineLevel="1" x14ac:dyDescent="0.15">
      <c r="A771" s="2"/>
      <c r="B771" s="17" t="s">
        <v>310</v>
      </c>
      <c r="C771" s="18" t="s">
        <v>1174</v>
      </c>
      <c r="D771" s="18" t="s">
        <v>1169</v>
      </c>
      <c r="E771" s="18">
        <v>0</v>
      </c>
      <c r="F771" s="18"/>
      <c r="G771" s="19"/>
    </row>
    <row r="772" spans="1:7" s="7" customFormat="1" ht="18" hidden="1" outlineLevel="1" thickBot="1" x14ac:dyDescent="0.2">
      <c r="A772" s="2"/>
      <c r="B772" s="24"/>
      <c r="C772" s="9"/>
      <c r="D772" s="9"/>
      <c r="E772" s="9"/>
      <c r="F772" s="9"/>
      <c r="G772" s="11"/>
    </row>
    <row r="773" spans="1:7" s="7" customFormat="1" hidden="1" outlineLevel="1" x14ac:dyDescent="0.15">
      <c r="A773" s="2"/>
      <c r="B773" s="327" t="s">
        <v>15</v>
      </c>
      <c r="C773" s="328"/>
      <c r="D773" s="328"/>
      <c r="E773" s="328"/>
      <c r="F773" s="328"/>
      <c r="G773" s="329"/>
    </row>
    <row r="774" spans="1:7" s="7" customFormat="1" hidden="1" outlineLevel="1" x14ac:dyDescent="0.15">
      <c r="A774" s="2" t="s">
        <v>62</v>
      </c>
      <c r="B774" s="20">
        <v>1</v>
      </c>
      <c r="C774" s="21" t="s">
        <v>22</v>
      </c>
      <c r="D774" s="21" t="s">
        <v>111</v>
      </c>
      <c r="E774" s="21" t="s">
        <v>23</v>
      </c>
      <c r="F774" s="21"/>
      <c r="G774" s="22"/>
    </row>
    <row r="775" spans="1:7" ht="18" hidden="1" outlineLevel="1" thickBot="1" x14ac:dyDescent="0.2">
      <c r="A775" s="2"/>
      <c r="B775" s="24"/>
      <c r="C775" s="9"/>
      <c r="D775" s="9"/>
      <c r="E775" s="9"/>
      <c r="F775" s="9"/>
      <c r="G775" s="11"/>
    </row>
    <row r="776" spans="1:7" s="7" customFormat="1" ht="18" hidden="1" outlineLevel="1" thickBot="1" x14ac:dyDescent="0.2">
      <c r="A776" s="1"/>
      <c r="B776" s="1"/>
      <c r="C776" s="1"/>
      <c r="D776" s="1"/>
      <c r="E776" s="1"/>
      <c r="F776" s="1"/>
      <c r="G776" s="1"/>
    </row>
    <row r="777" spans="1:7" s="7" customFormat="1" ht="18" collapsed="1" thickBot="1" x14ac:dyDescent="0.2">
      <c r="A777" s="2"/>
      <c r="B777" s="3" t="s">
        <v>563</v>
      </c>
      <c r="C777" s="4" t="s">
        <v>643</v>
      </c>
      <c r="D777" s="5" t="s">
        <v>515</v>
      </c>
      <c r="E777" s="4" t="s">
        <v>1013</v>
      </c>
      <c r="F777" s="5" t="s">
        <v>567</v>
      </c>
      <c r="G777" s="6" t="s">
        <v>1620</v>
      </c>
    </row>
    <row r="778" spans="1:7" s="7" customFormat="1" ht="18" hidden="1" outlineLevel="1" thickBot="1" x14ac:dyDescent="0.2">
      <c r="A778" s="2"/>
      <c r="B778" s="8" t="s">
        <v>570</v>
      </c>
      <c r="C778" s="9"/>
      <c r="D778" s="10" t="s">
        <v>568</v>
      </c>
      <c r="E778" s="9" t="s">
        <v>615</v>
      </c>
      <c r="F778" s="10"/>
      <c r="G778" s="11"/>
    </row>
    <row r="779" spans="1:7" s="7" customFormat="1" hidden="1" outlineLevel="1" x14ac:dyDescent="0.15">
      <c r="A779" s="2"/>
      <c r="B779" s="12" t="s">
        <v>0</v>
      </c>
      <c r="C779" s="13" t="s">
        <v>1</v>
      </c>
      <c r="D779" s="13" t="s">
        <v>2</v>
      </c>
      <c r="E779" s="13"/>
      <c r="F779" s="13" t="s">
        <v>3</v>
      </c>
      <c r="G779" s="13" t="s">
        <v>4</v>
      </c>
    </row>
    <row r="780" spans="1:7" s="7" customFormat="1" hidden="1" outlineLevel="1" x14ac:dyDescent="0.15">
      <c r="A780" s="2"/>
      <c r="B780" s="14" t="s">
        <v>6</v>
      </c>
      <c r="C780" s="15" t="s">
        <v>1163</v>
      </c>
      <c r="D780" s="15" t="s">
        <v>211</v>
      </c>
      <c r="E780" s="15">
        <v>0</v>
      </c>
      <c r="F780" s="15"/>
      <c r="G780" s="16" t="s">
        <v>1077</v>
      </c>
    </row>
    <row r="781" spans="1:7" s="7" customFormat="1" hidden="1" outlineLevel="1" x14ac:dyDescent="0.15">
      <c r="A781" s="2"/>
      <c r="B781" s="14" t="s">
        <v>111</v>
      </c>
      <c r="C781" s="15" t="s">
        <v>1164</v>
      </c>
      <c r="D781" s="15" t="s">
        <v>211</v>
      </c>
      <c r="E781" s="15">
        <v>0</v>
      </c>
      <c r="F781" s="15"/>
      <c r="G781" s="16" t="s">
        <v>1165</v>
      </c>
    </row>
    <row r="782" spans="1:7" s="7" customFormat="1" hidden="1" outlineLevel="1" x14ac:dyDescent="0.15">
      <c r="A782" s="2"/>
      <c r="B782" s="14" t="s">
        <v>113</v>
      </c>
      <c r="C782" s="15" t="s">
        <v>1187</v>
      </c>
      <c r="D782" s="15" t="s">
        <v>211</v>
      </c>
      <c r="E782" s="15">
        <v>0</v>
      </c>
      <c r="F782" s="15"/>
      <c r="G782" s="16"/>
    </row>
    <row r="783" spans="1:7" s="7" customFormat="1" hidden="1" outlineLevel="1" x14ac:dyDescent="0.15">
      <c r="A783" s="2"/>
      <c r="B783" s="14" t="s">
        <v>23</v>
      </c>
      <c r="C783" s="15" t="s">
        <v>1091</v>
      </c>
      <c r="D783" s="15" t="s">
        <v>1131</v>
      </c>
      <c r="E783" s="15" t="s">
        <v>1074</v>
      </c>
      <c r="F783" s="15"/>
      <c r="G783" s="16"/>
    </row>
    <row r="784" spans="1:7" s="7" customFormat="1" hidden="1" outlineLevel="1" x14ac:dyDescent="0.15">
      <c r="A784" s="2"/>
      <c r="B784" s="25" t="s">
        <v>331</v>
      </c>
      <c r="C784" s="26" t="s">
        <v>1322</v>
      </c>
      <c r="D784" s="26" t="s">
        <v>1169</v>
      </c>
      <c r="E784" s="26">
        <v>0</v>
      </c>
      <c r="F784" s="26"/>
      <c r="G784" s="27"/>
    </row>
    <row r="785" spans="1:7" s="7" customFormat="1" hidden="1" outlineLevel="1" x14ac:dyDescent="0.15">
      <c r="A785" s="2"/>
      <c r="B785" s="17" t="s">
        <v>24</v>
      </c>
      <c r="C785" s="18" t="s">
        <v>1151</v>
      </c>
      <c r="D785" s="18" t="s">
        <v>1169</v>
      </c>
      <c r="E785" s="18">
        <v>0</v>
      </c>
      <c r="F785" s="18"/>
      <c r="G785" s="19" t="s">
        <v>1116</v>
      </c>
    </row>
    <row r="786" spans="1:7" s="7" customFormat="1" hidden="1" outlineLevel="1" x14ac:dyDescent="0.15">
      <c r="A786" s="2"/>
      <c r="B786" s="17" t="s">
        <v>25</v>
      </c>
      <c r="C786" s="18" t="s">
        <v>1150</v>
      </c>
      <c r="D786" s="18" t="s">
        <v>1169</v>
      </c>
      <c r="E786" s="18">
        <v>0</v>
      </c>
      <c r="F786" s="18"/>
      <c r="G786" s="19" t="s">
        <v>1312</v>
      </c>
    </row>
    <row r="787" spans="1:7" s="7" customFormat="1" hidden="1" outlineLevel="1" x14ac:dyDescent="0.15">
      <c r="A787" s="2"/>
      <c r="B787" s="20" t="s">
        <v>26</v>
      </c>
      <c r="C787" s="21" t="s">
        <v>1152</v>
      </c>
      <c r="D787" s="21" t="s">
        <v>1169</v>
      </c>
      <c r="E787" s="21">
        <v>0</v>
      </c>
      <c r="F787" s="21"/>
      <c r="G787" s="22" t="s">
        <v>1323</v>
      </c>
    </row>
    <row r="788" spans="1:7" s="7" customFormat="1" hidden="1" outlineLevel="1" x14ac:dyDescent="0.15">
      <c r="A788" s="2"/>
      <c r="B788" s="20" t="s">
        <v>27</v>
      </c>
      <c r="C788" s="21" t="s">
        <v>1313</v>
      </c>
      <c r="D788" s="21" t="s">
        <v>1169</v>
      </c>
      <c r="E788" s="21">
        <v>0</v>
      </c>
      <c r="F788" s="21"/>
      <c r="G788" s="22" t="s">
        <v>1314</v>
      </c>
    </row>
    <row r="789" spans="1:7" s="7" customFormat="1" hidden="1" outlineLevel="1" x14ac:dyDescent="0.15">
      <c r="A789" s="2"/>
      <c r="B789" s="17" t="s">
        <v>175</v>
      </c>
      <c r="C789" s="18" t="s">
        <v>1129</v>
      </c>
      <c r="D789" s="18" t="s">
        <v>1169</v>
      </c>
      <c r="E789" s="18">
        <v>0</v>
      </c>
      <c r="F789" s="18"/>
      <c r="G789" s="19"/>
    </row>
    <row r="790" spans="1:7" s="7" customFormat="1" hidden="1" outlineLevel="1" x14ac:dyDescent="0.15">
      <c r="A790" s="2"/>
      <c r="B790" s="17" t="s">
        <v>176</v>
      </c>
      <c r="C790" s="18" t="s">
        <v>1132</v>
      </c>
      <c r="D790" s="18" t="s">
        <v>1169</v>
      </c>
      <c r="E790" s="18">
        <v>0</v>
      </c>
      <c r="F790" s="18"/>
      <c r="G790" s="19"/>
    </row>
    <row r="791" spans="1:7" s="7" customFormat="1" hidden="1" outlineLevel="1" x14ac:dyDescent="0.15">
      <c r="B791" s="17" t="s">
        <v>153</v>
      </c>
      <c r="C791" s="18" t="s">
        <v>1143</v>
      </c>
      <c r="D791" s="18" t="s">
        <v>1169</v>
      </c>
      <c r="E791" s="18">
        <v>0</v>
      </c>
      <c r="F791" s="18"/>
      <c r="G791" s="19"/>
    </row>
    <row r="792" spans="1:7" s="7" customFormat="1" hidden="1" outlineLevel="1" x14ac:dyDescent="0.15">
      <c r="A792" s="2"/>
      <c r="B792" s="17" t="s">
        <v>178</v>
      </c>
      <c r="C792" s="18" t="s">
        <v>1324</v>
      </c>
      <c r="D792" s="18" t="s">
        <v>1172</v>
      </c>
      <c r="E792" s="18">
        <v>0</v>
      </c>
      <c r="F792" s="18"/>
      <c r="G792" s="19"/>
    </row>
    <row r="793" spans="1:7" s="7" customFormat="1" hidden="1" outlineLevel="1" x14ac:dyDescent="0.15">
      <c r="B793" s="17" t="s">
        <v>179</v>
      </c>
      <c r="C793" s="18" t="s">
        <v>1325</v>
      </c>
      <c r="D793" s="18" t="s">
        <v>1169</v>
      </c>
      <c r="E793" s="18">
        <v>0</v>
      </c>
      <c r="F793" s="18"/>
      <c r="G793" s="19" t="s">
        <v>1326</v>
      </c>
    </row>
    <row r="794" spans="1:7" s="7" customFormat="1" hidden="1" outlineLevel="1" x14ac:dyDescent="0.15">
      <c r="B794" s="17" t="s">
        <v>180</v>
      </c>
      <c r="C794" s="18" t="s">
        <v>1309</v>
      </c>
      <c r="D794" s="18" t="s">
        <v>1169</v>
      </c>
      <c r="E794" s="18">
        <v>0</v>
      </c>
      <c r="F794" s="18"/>
      <c r="G794" s="19" t="s">
        <v>1310</v>
      </c>
    </row>
    <row r="795" spans="1:7" s="7" customFormat="1" ht="18" hidden="1" outlineLevel="1" thickBot="1" x14ac:dyDescent="0.2">
      <c r="A795" s="2"/>
      <c r="B795" s="17"/>
      <c r="C795" s="18"/>
      <c r="D795" s="18"/>
      <c r="E795" s="18"/>
      <c r="F795" s="18"/>
      <c r="G795" s="19"/>
    </row>
    <row r="796" spans="1:7" s="7" customFormat="1" hidden="1" outlineLevel="1" x14ac:dyDescent="0.15">
      <c r="A796" s="2"/>
      <c r="B796" s="327" t="s">
        <v>15</v>
      </c>
      <c r="C796" s="328"/>
      <c r="D796" s="328"/>
      <c r="E796" s="328"/>
      <c r="F796" s="328"/>
      <c r="G796" s="329"/>
    </row>
    <row r="797" spans="1:7" s="7" customFormat="1" hidden="1" outlineLevel="1" x14ac:dyDescent="0.15">
      <c r="A797" s="2" t="s">
        <v>62</v>
      </c>
      <c r="B797" s="20">
        <v>1</v>
      </c>
      <c r="C797" s="21" t="s">
        <v>113</v>
      </c>
      <c r="D797" s="21" t="s">
        <v>110</v>
      </c>
      <c r="E797" s="21"/>
      <c r="F797" s="21"/>
      <c r="G797" s="22"/>
    </row>
    <row r="798" spans="1:7" s="7" customFormat="1" hidden="1" outlineLevel="1" x14ac:dyDescent="0.15">
      <c r="A798" s="2"/>
      <c r="B798" s="17">
        <v>2</v>
      </c>
      <c r="C798" s="18" t="s">
        <v>109</v>
      </c>
      <c r="D798" s="18" t="s">
        <v>111</v>
      </c>
      <c r="E798" s="21" t="s">
        <v>110</v>
      </c>
      <c r="F798" s="18"/>
      <c r="G798" s="19"/>
    </row>
    <row r="799" spans="1:7" s="7" customFormat="1" ht="18" hidden="1" outlineLevel="1" thickBot="1" x14ac:dyDescent="0.2">
      <c r="A799" s="2"/>
      <c r="B799" s="24"/>
      <c r="C799" s="9"/>
      <c r="D799" s="9"/>
      <c r="E799" s="9"/>
      <c r="F799" s="9"/>
      <c r="G799" s="11"/>
    </row>
    <row r="800" spans="1:7" s="7" customFormat="1" ht="18" hidden="1" outlineLevel="1" thickBot="1" x14ac:dyDescent="0.2">
      <c r="A800" s="2"/>
    </row>
    <row r="801" spans="1:7" s="7" customFormat="1" ht="18" collapsed="1" thickBot="1" x14ac:dyDescent="0.2">
      <c r="A801" s="2"/>
      <c r="B801" s="3" t="s">
        <v>563</v>
      </c>
      <c r="C801" s="4" t="s">
        <v>561</v>
      </c>
      <c r="D801" s="5" t="s">
        <v>515</v>
      </c>
      <c r="E801" s="21" t="s">
        <v>714</v>
      </c>
      <c r="F801" s="5" t="s">
        <v>567</v>
      </c>
      <c r="G801" s="6" t="s">
        <v>1620</v>
      </c>
    </row>
    <row r="802" spans="1:7" s="7" customFormat="1" ht="18" hidden="1" outlineLevel="1" thickBot="1" x14ac:dyDescent="0.2">
      <c r="A802" s="2"/>
      <c r="B802" s="8" t="s">
        <v>570</v>
      </c>
      <c r="C802" s="9"/>
      <c r="D802" s="10" t="s">
        <v>568</v>
      </c>
      <c r="E802" s="9" t="s">
        <v>615</v>
      </c>
      <c r="F802" s="10"/>
      <c r="G802" s="11"/>
    </row>
    <row r="803" spans="1:7" s="7" customFormat="1" hidden="1" outlineLevel="1" x14ac:dyDescent="0.15">
      <c r="A803" s="2"/>
      <c r="B803" s="12" t="s">
        <v>0</v>
      </c>
      <c r="C803" s="13" t="s">
        <v>1</v>
      </c>
      <c r="D803" s="13" t="s">
        <v>2</v>
      </c>
      <c r="E803" s="13"/>
      <c r="F803" s="13" t="s">
        <v>3</v>
      </c>
      <c r="G803" s="13" t="s">
        <v>4</v>
      </c>
    </row>
    <row r="804" spans="1:7" s="7" customFormat="1" hidden="1" outlineLevel="1" x14ac:dyDescent="0.15">
      <c r="A804" s="2"/>
      <c r="B804" s="14" t="s">
        <v>5</v>
      </c>
      <c r="C804" s="15" t="s">
        <v>1127</v>
      </c>
      <c r="D804" s="15" t="s">
        <v>211</v>
      </c>
      <c r="E804" s="15" t="s">
        <v>1141</v>
      </c>
      <c r="F804" s="15"/>
      <c r="G804" s="16" t="s">
        <v>1162</v>
      </c>
    </row>
    <row r="805" spans="1:7" s="7" customFormat="1" hidden="1" outlineLevel="1" x14ac:dyDescent="0.15">
      <c r="A805" s="2"/>
      <c r="B805" s="14" t="s">
        <v>6</v>
      </c>
      <c r="C805" s="15" t="s">
        <v>1163</v>
      </c>
      <c r="D805" s="15" t="s">
        <v>211</v>
      </c>
      <c r="E805" s="15">
        <v>0</v>
      </c>
      <c r="F805" s="15"/>
      <c r="G805" s="16" t="s">
        <v>1077</v>
      </c>
    </row>
    <row r="806" spans="1:7" s="7" customFormat="1" hidden="1" outlineLevel="1" x14ac:dyDescent="0.15">
      <c r="A806" s="2"/>
      <c r="B806" s="14" t="s">
        <v>111</v>
      </c>
      <c r="C806" s="15" t="s">
        <v>1164</v>
      </c>
      <c r="D806" s="15" t="s">
        <v>211</v>
      </c>
      <c r="E806" s="15">
        <v>0</v>
      </c>
      <c r="F806" s="15"/>
      <c r="G806" s="16" t="s">
        <v>1165</v>
      </c>
    </row>
    <row r="807" spans="1:7" s="7" customFormat="1" hidden="1" outlineLevel="1" x14ac:dyDescent="0.15">
      <c r="A807" s="2"/>
      <c r="B807" s="14" t="s">
        <v>113</v>
      </c>
      <c r="C807" s="15" t="s">
        <v>1187</v>
      </c>
      <c r="D807" s="15" t="s">
        <v>211</v>
      </c>
      <c r="E807" s="15">
        <v>0</v>
      </c>
      <c r="F807" s="15"/>
      <c r="G807" s="16"/>
    </row>
    <row r="808" spans="1:7" s="7" customFormat="1" hidden="1" outlineLevel="1" x14ac:dyDescent="0.15">
      <c r="A808" s="2"/>
      <c r="B808" s="14" t="s">
        <v>23</v>
      </c>
      <c r="C808" s="15" t="s">
        <v>1091</v>
      </c>
      <c r="D808" s="15" t="s">
        <v>1131</v>
      </c>
      <c r="E808" s="15" t="s">
        <v>1074</v>
      </c>
      <c r="F808" s="15"/>
      <c r="G808" s="16"/>
    </row>
    <row r="809" spans="1:7" s="7" customFormat="1" hidden="1" outlineLevel="1" x14ac:dyDescent="0.15">
      <c r="A809" s="2"/>
      <c r="B809" s="25" t="s">
        <v>331</v>
      </c>
      <c r="C809" s="26" t="s">
        <v>1322</v>
      </c>
      <c r="D809" s="26" t="s">
        <v>1169</v>
      </c>
      <c r="E809" s="26">
        <v>0</v>
      </c>
      <c r="F809" s="26"/>
      <c r="G809" s="27"/>
    </row>
    <row r="810" spans="1:7" s="7" customFormat="1" hidden="1" outlineLevel="1" x14ac:dyDescent="0.15">
      <c r="A810" s="2"/>
      <c r="B810" s="17" t="s">
        <v>24</v>
      </c>
      <c r="C810" s="18" t="s">
        <v>1151</v>
      </c>
      <c r="D810" s="18" t="s">
        <v>1169</v>
      </c>
      <c r="E810" s="18">
        <v>0</v>
      </c>
      <c r="F810" s="18"/>
      <c r="G810" s="19" t="s">
        <v>1116</v>
      </c>
    </row>
    <row r="811" spans="1:7" s="7" customFormat="1" hidden="1" outlineLevel="1" x14ac:dyDescent="0.15">
      <c r="A811" s="2"/>
      <c r="B811" s="17" t="s">
        <v>25</v>
      </c>
      <c r="C811" s="18" t="s">
        <v>1150</v>
      </c>
      <c r="D811" s="18" t="s">
        <v>1169</v>
      </c>
      <c r="E811" s="18">
        <v>0</v>
      </c>
      <c r="F811" s="18"/>
      <c r="G811" s="19" t="s">
        <v>1312</v>
      </c>
    </row>
    <row r="812" spans="1:7" s="7" customFormat="1" hidden="1" outlineLevel="1" x14ac:dyDescent="0.15">
      <c r="A812" s="2"/>
      <c r="B812" s="20" t="s">
        <v>26</v>
      </c>
      <c r="C812" s="21" t="s">
        <v>1152</v>
      </c>
      <c r="D812" s="21" t="s">
        <v>1169</v>
      </c>
      <c r="E812" s="21">
        <v>0</v>
      </c>
      <c r="F812" s="21"/>
      <c r="G812" s="22" t="s">
        <v>1323</v>
      </c>
    </row>
    <row r="813" spans="1:7" s="7" customFormat="1" hidden="1" outlineLevel="1" x14ac:dyDescent="0.15">
      <c r="A813" s="2"/>
      <c r="B813" s="20" t="s">
        <v>27</v>
      </c>
      <c r="C813" s="21" t="s">
        <v>1313</v>
      </c>
      <c r="D813" s="21" t="s">
        <v>1169</v>
      </c>
      <c r="E813" s="21">
        <v>0</v>
      </c>
      <c r="F813" s="21"/>
      <c r="G813" s="22" t="s">
        <v>1314</v>
      </c>
    </row>
    <row r="814" spans="1:7" s="7" customFormat="1" hidden="1" outlineLevel="1" x14ac:dyDescent="0.15">
      <c r="A814" s="2"/>
      <c r="B814" s="17" t="s">
        <v>175</v>
      </c>
      <c r="C814" s="18" t="s">
        <v>1129</v>
      </c>
      <c r="D814" s="18" t="s">
        <v>1169</v>
      </c>
      <c r="E814" s="18">
        <v>0</v>
      </c>
      <c r="F814" s="18"/>
      <c r="G814" s="19"/>
    </row>
    <row r="815" spans="1:7" s="7" customFormat="1" hidden="1" outlineLevel="1" x14ac:dyDescent="0.15">
      <c r="A815" s="2"/>
      <c r="B815" s="17" t="s">
        <v>176</v>
      </c>
      <c r="C815" s="18" t="s">
        <v>1132</v>
      </c>
      <c r="D815" s="18" t="s">
        <v>1169</v>
      </c>
      <c r="E815" s="18">
        <v>0</v>
      </c>
      <c r="F815" s="18"/>
      <c r="G815" s="19"/>
    </row>
    <row r="816" spans="1:7" s="7" customFormat="1" hidden="1" outlineLevel="1" x14ac:dyDescent="0.15">
      <c r="B816" s="17" t="s">
        <v>153</v>
      </c>
      <c r="C816" s="18" t="s">
        <v>1143</v>
      </c>
      <c r="D816" s="18" t="s">
        <v>1169</v>
      </c>
      <c r="E816" s="18">
        <v>0</v>
      </c>
      <c r="F816" s="18"/>
      <c r="G816" s="19"/>
    </row>
    <row r="817" spans="1:7" s="7" customFormat="1" hidden="1" outlineLevel="1" x14ac:dyDescent="0.15">
      <c r="A817" s="2"/>
      <c r="B817" s="17" t="s">
        <v>178</v>
      </c>
      <c r="C817" s="18" t="s">
        <v>1324</v>
      </c>
      <c r="D817" s="18" t="s">
        <v>1172</v>
      </c>
      <c r="E817" s="18">
        <v>0</v>
      </c>
      <c r="F817" s="18"/>
      <c r="G817" s="19"/>
    </row>
    <row r="818" spans="1:7" s="7" customFormat="1" hidden="1" outlineLevel="1" x14ac:dyDescent="0.15">
      <c r="B818" s="17" t="s">
        <v>179</v>
      </c>
      <c r="C818" s="18" t="s">
        <v>1325</v>
      </c>
      <c r="D818" s="18" t="s">
        <v>1169</v>
      </c>
      <c r="E818" s="18">
        <v>0</v>
      </c>
      <c r="F818" s="18"/>
      <c r="G818" s="19" t="s">
        <v>1326</v>
      </c>
    </row>
    <row r="819" spans="1:7" s="7" customFormat="1" hidden="1" outlineLevel="1" x14ac:dyDescent="0.15">
      <c r="B819" s="17" t="s">
        <v>180</v>
      </c>
      <c r="C819" s="18" t="s">
        <v>1309</v>
      </c>
      <c r="D819" s="18" t="s">
        <v>1169</v>
      </c>
      <c r="E819" s="18">
        <v>0</v>
      </c>
      <c r="F819" s="18"/>
      <c r="G819" s="19" t="s">
        <v>1310</v>
      </c>
    </row>
    <row r="820" spans="1:7" s="7" customFormat="1" ht="18" hidden="1" outlineLevel="1" thickBot="1" x14ac:dyDescent="0.2">
      <c r="A820" s="2"/>
      <c r="B820" s="17"/>
      <c r="C820" s="18"/>
      <c r="D820" s="18"/>
      <c r="E820" s="18"/>
      <c r="F820" s="18"/>
      <c r="G820" s="19"/>
    </row>
    <row r="821" spans="1:7" s="7" customFormat="1" hidden="1" outlineLevel="1" x14ac:dyDescent="0.15">
      <c r="A821" s="2"/>
      <c r="B821" s="327" t="s">
        <v>15</v>
      </c>
      <c r="C821" s="328"/>
      <c r="D821" s="328"/>
      <c r="E821" s="328"/>
      <c r="F821" s="328"/>
      <c r="G821" s="329"/>
    </row>
    <row r="822" spans="1:7" s="7" customFormat="1" hidden="1" outlineLevel="1" x14ac:dyDescent="0.15">
      <c r="A822" s="2" t="s">
        <v>62</v>
      </c>
      <c r="B822" s="20">
        <v>1</v>
      </c>
      <c r="C822" s="21" t="s">
        <v>22</v>
      </c>
      <c r="D822" s="21" t="s">
        <v>113</v>
      </c>
      <c r="E822" s="21" t="s">
        <v>110</v>
      </c>
      <c r="F822" s="21"/>
      <c r="G822" s="22"/>
    </row>
    <row r="823" spans="1:7" s="7" customFormat="1" hidden="1" outlineLevel="1" x14ac:dyDescent="0.15">
      <c r="A823" s="2"/>
      <c r="B823" s="20">
        <v>2</v>
      </c>
      <c r="C823" s="21" t="s">
        <v>22</v>
      </c>
      <c r="D823" s="21" t="s">
        <v>16</v>
      </c>
      <c r="E823" s="21" t="s">
        <v>111</v>
      </c>
      <c r="F823" s="21" t="s">
        <v>110</v>
      </c>
      <c r="G823" s="22"/>
    </row>
    <row r="824" spans="1:7" s="7" customFormat="1" ht="18" hidden="1" outlineLevel="1" thickBot="1" x14ac:dyDescent="0.2">
      <c r="A824" s="2"/>
      <c r="B824" s="24"/>
      <c r="C824" s="9"/>
      <c r="D824" s="9"/>
      <c r="E824" s="9"/>
      <c r="F824" s="9"/>
      <c r="G824" s="11"/>
    </row>
    <row r="825" spans="1:7" s="7" customFormat="1" hidden="1" outlineLevel="1" x14ac:dyDescent="0.15">
      <c r="A825" s="2"/>
    </row>
    <row r="826" spans="1:7" hidden="1" outlineLevel="1" x14ac:dyDescent="0.15">
      <c r="A826" s="2"/>
      <c r="B826" s="7"/>
      <c r="C826" s="7"/>
      <c r="D826" s="7"/>
      <c r="E826" s="7"/>
      <c r="F826" s="7"/>
      <c r="G826" s="7"/>
    </row>
    <row r="827" spans="1:7" s="7" customFormat="1" ht="18" hidden="1" outlineLevel="1" thickBot="1" x14ac:dyDescent="0.2">
      <c r="A827" s="1"/>
      <c r="B827" s="1"/>
      <c r="C827" s="1"/>
      <c r="D827" s="1"/>
      <c r="E827" s="1"/>
      <c r="F827" s="1"/>
      <c r="G827" s="1"/>
    </row>
    <row r="828" spans="1:7" ht="18" collapsed="1" thickBot="1" x14ac:dyDescent="0.2">
      <c r="A828" s="2"/>
      <c r="B828" s="3" t="s">
        <v>563</v>
      </c>
      <c r="C828" s="4" t="s">
        <v>662</v>
      </c>
      <c r="D828" s="5" t="s">
        <v>515</v>
      </c>
      <c r="E828" s="21" t="s">
        <v>1014</v>
      </c>
      <c r="F828" s="5" t="s">
        <v>567</v>
      </c>
      <c r="G828" s="6" t="s">
        <v>1621</v>
      </c>
    </row>
    <row r="829" spans="1:7" ht="18" hidden="1" outlineLevel="1" thickBot="1" x14ac:dyDescent="0.2">
      <c r="B829" s="137" t="s">
        <v>664</v>
      </c>
      <c r="C829" s="113"/>
      <c r="D829" s="138" t="s">
        <v>566</v>
      </c>
      <c r="E829" s="113" t="s">
        <v>615</v>
      </c>
      <c r="F829" s="138"/>
      <c r="G829" s="139"/>
    </row>
    <row r="830" spans="1:7" hidden="1" outlineLevel="1" x14ac:dyDescent="0.15">
      <c r="B830" s="135" t="s">
        <v>0</v>
      </c>
      <c r="C830" s="136" t="s">
        <v>1</v>
      </c>
      <c r="D830" s="136" t="s">
        <v>2</v>
      </c>
      <c r="E830" s="136"/>
      <c r="F830" s="136" t="s">
        <v>3</v>
      </c>
      <c r="G830" s="140" t="s">
        <v>4</v>
      </c>
    </row>
    <row r="831" spans="1:7" hidden="1" outlineLevel="1" x14ac:dyDescent="0.15">
      <c r="B831" s="33" t="s">
        <v>6</v>
      </c>
      <c r="C831" s="29" t="s">
        <v>1093</v>
      </c>
      <c r="D831" s="29" t="s">
        <v>423</v>
      </c>
      <c r="E831" s="132">
        <v>0</v>
      </c>
      <c r="F831" s="29"/>
      <c r="G831" s="141" t="s">
        <v>1327</v>
      </c>
    </row>
    <row r="832" spans="1:7" hidden="1" outlineLevel="1" x14ac:dyDescent="0.15">
      <c r="B832" s="33" t="s">
        <v>194</v>
      </c>
      <c r="C832" s="29" t="s">
        <v>1328</v>
      </c>
      <c r="D832" s="29" t="s">
        <v>423</v>
      </c>
      <c r="E832" s="132">
        <v>0</v>
      </c>
      <c r="F832" s="29"/>
      <c r="G832" s="141" t="s">
        <v>1329</v>
      </c>
    </row>
    <row r="833" spans="1:7" hidden="1" outlineLevel="1" x14ac:dyDescent="0.15">
      <c r="B833" s="33" t="s">
        <v>112</v>
      </c>
      <c r="C833" s="29" t="s">
        <v>1085</v>
      </c>
      <c r="D833" s="29" t="s">
        <v>423</v>
      </c>
      <c r="E833" s="132">
        <v>0</v>
      </c>
      <c r="F833" s="29"/>
      <c r="G833" s="141" t="s">
        <v>1509</v>
      </c>
    </row>
    <row r="834" spans="1:7" hidden="1" outlineLevel="1" x14ac:dyDescent="0.15">
      <c r="B834" s="33" t="s">
        <v>23</v>
      </c>
      <c r="C834" s="29" t="s">
        <v>1094</v>
      </c>
      <c r="D834" s="29" t="s">
        <v>1552</v>
      </c>
      <c r="E834" s="29" t="s">
        <v>1095</v>
      </c>
      <c r="F834" s="29"/>
      <c r="G834" s="141"/>
    </row>
    <row r="835" spans="1:7" hidden="1" outlineLevel="1" x14ac:dyDescent="0.15">
      <c r="B835" s="188" t="s">
        <v>302</v>
      </c>
      <c r="C835" s="189" t="s">
        <v>1330</v>
      </c>
      <c r="D835" s="189" t="s">
        <v>1331</v>
      </c>
      <c r="E835" s="190">
        <v>0</v>
      </c>
      <c r="F835" s="189"/>
      <c r="G835" s="139"/>
    </row>
    <row r="836" spans="1:7" hidden="1" outlineLevel="1" x14ac:dyDescent="0.15">
      <c r="B836" s="142" t="s">
        <v>303</v>
      </c>
      <c r="C836" s="113" t="s">
        <v>1332</v>
      </c>
      <c r="D836" s="113" t="s">
        <v>1331</v>
      </c>
      <c r="E836" s="133">
        <v>0</v>
      </c>
      <c r="F836" s="113"/>
      <c r="G836" s="139"/>
    </row>
    <row r="837" spans="1:7" hidden="1" outlineLevel="1" x14ac:dyDescent="0.15">
      <c r="B837" s="33" t="s">
        <v>304</v>
      </c>
      <c r="C837" s="29" t="s">
        <v>1553</v>
      </c>
      <c r="D837" s="29" t="s">
        <v>1331</v>
      </c>
      <c r="E837" s="132">
        <v>0</v>
      </c>
      <c r="F837" s="29"/>
      <c r="G837" s="141"/>
    </row>
    <row r="838" spans="1:7" hidden="1" outlineLevel="1" x14ac:dyDescent="0.15">
      <c r="B838" s="33" t="s">
        <v>305</v>
      </c>
      <c r="C838" s="29" t="s">
        <v>1554</v>
      </c>
      <c r="D838" s="29" t="s">
        <v>1331</v>
      </c>
      <c r="E838" s="132">
        <v>0</v>
      </c>
      <c r="F838" s="29"/>
      <c r="G838" s="141"/>
    </row>
    <row r="839" spans="1:7" hidden="1" outlineLevel="1" x14ac:dyDescent="0.15">
      <c r="B839" s="33" t="s">
        <v>306</v>
      </c>
      <c r="C839" s="29" t="s">
        <v>1555</v>
      </c>
      <c r="D839" s="29" t="s">
        <v>1331</v>
      </c>
      <c r="E839" s="132">
        <v>0</v>
      </c>
      <c r="F839" s="29"/>
      <c r="G839" s="141"/>
    </row>
    <row r="840" spans="1:7" hidden="1" outlineLevel="1" x14ac:dyDescent="0.15">
      <c r="B840" s="142" t="s">
        <v>307</v>
      </c>
      <c r="C840" s="113" t="s">
        <v>1556</v>
      </c>
      <c r="D840" s="113" t="s">
        <v>1331</v>
      </c>
      <c r="E840" s="133">
        <v>0</v>
      </c>
      <c r="F840" s="113"/>
      <c r="G840" s="139"/>
    </row>
    <row r="841" spans="1:7" hidden="1" outlineLevel="1" x14ac:dyDescent="0.15">
      <c r="B841" s="142" t="s">
        <v>308</v>
      </c>
      <c r="C841" s="113" t="s">
        <v>1333</v>
      </c>
      <c r="D841" s="113" t="s">
        <v>1331</v>
      </c>
      <c r="E841" s="133">
        <v>0</v>
      </c>
      <c r="F841" s="113"/>
      <c r="G841" s="139"/>
    </row>
    <row r="842" spans="1:7" hidden="1" outlineLevel="1" x14ac:dyDescent="0.15">
      <c r="B842" s="142" t="s">
        <v>309</v>
      </c>
      <c r="C842" s="113" t="s">
        <v>1557</v>
      </c>
      <c r="D842" s="113" t="s">
        <v>1331</v>
      </c>
      <c r="E842" s="133">
        <v>0</v>
      </c>
      <c r="F842" s="113"/>
      <c r="G842" s="139"/>
    </row>
    <row r="843" spans="1:7" hidden="1" outlineLevel="1" x14ac:dyDescent="0.15">
      <c r="B843" s="142" t="s">
        <v>310</v>
      </c>
      <c r="C843" s="113" t="s">
        <v>1558</v>
      </c>
      <c r="D843" s="113" t="s">
        <v>1331</v>
      </c>
      <c r="E843" s="133">
        <v>0</v>
      </c>
      <c r="F843" s="113"/>
      <c r="G843" s="139"/>
    </row>
    <row r="844" spans="1:7" ht="18" hidden="1" outlineLevel="1" thickBot="1" x14ac:dyDescent="0.2">
      <c r="B844" s="143"/>
      <c r="C844" s="144"/>
      <c r="D844" s="144"/>
      <c r="E844" s="144"/>
      <c r="F844" s="144"/>
      <c r="G844" s="145"/>
    </row>
    <row r="845" spans="1:7" hidden="1" outlineLevel="1" x14ac:dyDescent="0.15">
      <c r="B845" s="349" t="s">
        <v>15</v>
      </c>
      <c r="C845" s="350"/>
      <c r="D845" s="350"/>
      <c r="E845" s="350"/>
      <c r="F845" s="350"/>
      <c r="G845" s="350"/>
    </row>
    <row r="846" spans="1:7" hidden="1" outlineLevel="1" x14ac:dyDescent="0.15">
      <c r="B846" s="134">
        <v>1</v>
      </c>
      <c r="C846" s="29" t="s">
        <v>112</v>
      </c>
      <c r="D846" s="29" t="s">
        <v>23</v>
      </c>
      <c r="E846" s="29"/>
      <c r="F846" s="29"/>
      <c r="G846" s="141"/>
    </row>
    <row r="847" spans="1:7" ht="18" hidden="1" outlineLevel="1" thickBot="1" x14ac:dyDescent="0.2">
      <c r="B847" s="143"/>
      <c r="C847" s="144"/>
      <c r="D847" s="144"/>
      <c r="E847" s="144"/>
      <c r="F847" s="144"/>
      <c r="G847" s="145"/>
    </row>
    <row r="848" spans="1:7" s="7" customFormat="1" ht="18" hidden="1" outlineLevel="1" thickBot="1" x14ac:dyDescent="0.2">
      <c r="A848" s="1"/>
      <c r="B848" s="1"/>
      <c r="C848" s="1"/>
      <c r="D848" s="1"/>
      <c r="E848" s="1"/>
      <c r="F848" s="1"/>
      <c r="G848" s="1"/>
    </row>
    <row r="849" spans="1:7" s="7" customFormat="1" ht="18" collapsed="1" thickBot="1" x14ac:dyDescent="0.2">
      <c r="A849" s="2"/>
      <c r="B849" s="3" t="s">
        <v>563</v>
      </c>
      <c r="C849" s="4" t="s">
        <v>658</v>
      </c>
      <c r="D849" s="5" t="s">
        <v>515</v>
      </c>
      <c r="E849" s="21" t="s">
        <v>715</v>
      </c>
      <c r="F849" s="5" t="s">
        <v>567</v>
      </c>
      <c r="G849" s="6" t="s">
        <v>1618</v>
      </c>
    </row>
    <row r="850" spans="1:7" s="7" customFormat="1" ht="18" hidden="1" outlineLevel="1" thickBot="1" x14ac:dyDescent="0.2">
      <c r="A850" s="2"/>
      <c r="B850" s="8" t="s">
        <v>570</v>
      </c>
      <c r="C850" s="9"/>
      <c r="D850" s="10" t="s">
        <v>568</v>
      </c>
      <c r="E850" s="9" t="s">
        <v>615</v>
      </c>
      <c r="F850" s="10"/>
      <c r="G850" s="11"/>
    </row>
    <row r="851" spans="1:7" s="7" customFormat="1" hidden="1" outlineLevel="1" x14ac:dyDescent="0.15">
      <c r="A851" s="2"/>
      <c r="B851" s="12" t="s">
        <v>0</v>
      </c>
      <c r="C851" s="13" t="s">
        <v>1</v>
      </c>
      <c r="D851" s="13" t="s">
        <v>2</v>
      </c>
      <c r="E851" s="13"/>
      <c r="F851" s="13" t="s">
        <v>3</v>
      </c>
      <c r="G851" s="13" t="s">
        <v>4</v>
      </c>
    </row>
    <row r="852" spans="1:7" s="7" customFormat="1" ht="14.25" hidden="1" customHeight="1" outlineLevel="1" x14ac:dyDescent="0.15">
      <c r="A852" s="2"/>
      <c r="B852" s="14" t="s">
        <v>6</v>
      </c>
      <c r="C852" s="15" t="s">
        <v>1163</v>
      </c>
      <c r="D852" s="15" t="s">
        <v>211</v>
      </c>
      <c r="E852" s="15">
        <v>0</v>
      </c>
      <c r="F852" s="15"/>
      <c r="G852" s="16" t="s">
        <v>1077</v>
      </c>
    </row>
    <row r="853" spans="1:7" s="7" customFormat="1" hidden="1" outlineLevel="1" x14ac:dyDescent="0.15">
      <c r="A853" s="2"/>
      <c r="B853" s="14" t="s">
        <v>111</v>
      </c>
      <c r="C853" s="15" t="s">
        <v>1164</v>
      </c>
      <c r="D853" s="15" t="s">
        <v>211</v>
      </c>
      <c r="E853" s="15">
        <v>0</v>
      </c>
      <c r="F853" s="15"/>
      <c r="G853" s="16" t="s">
        <v>1165</v>
      </c>
    </row>
    <row r="854" spans="1:7" s="7" customFormat="1" hidden="1" outlineLevel="1" x14ac:dyDescent="0.15">
      <c r="A854" s="2"/>
      <c r="B854" s="14" t="s">
        <v>113</v>
      </c>
      <c r="C854" s="15" t="s">
        <v>1187</v>
      </c>
      <c r="D854" s="15" t="s">
        <v>211</v>
      </c>
      <c r="E854" s="15">
        <v>0</v>
      </c>
      <c r="F854" s="15"/>
      <c r="G854" s="16"/>
    </row>
    <row r="855" spans="1:7" s="7" customFormat="1" hidden="1" outlineLevel="1" x14ac:dyDescent="0.15">
      <c r="A855" s="2"/>
      <c r="B855" s="14" t="s">
        <v>123</v>
      </c>
      <c r="C855" s="15" t="s">
        <v>1133</v>
      </c>
      <c r="D855" s="15" t="s">
        <v>211</v>
      </c>
      <c r="E855" s="15">
        <v>0</v>
      </c>
      <c r="F855" s="15"/>
      <c r="G855" s="16" t="s">
        <v>1182</v>
      </c>
    </row>
    <row r="856" spans="1:7" s="7" customFormat="1" hidden="1" outlineLevel="1" x14ac:dyDescent="0.15">
      <c r="A856" s="2"/>
      <c r="B856" s="14" t="s">
        <v>23</v>
      </c>
      <c r="C856" s="15" t="s">
        <v>1091</v>
      </c>
      <c r="D856" s="15" t="s">
        <v>1131</v>
      </c>
      <c r="E856" s="15" t="s">
        <v>1074</v>
      </c>
      <c r="F856" s="15"/>
      <c r="G856" s="16"/>
    </row>
    <row r="857" spans="1:7" s="7" customFormat="1" hidden="1" outlineLevel="1" x14ac:dyDescent="0.15">
      <c r="A857" s="2"/>
      <c r="B857" s="17" t="s">
        <v>24</v>
      </c>
      <c r="C857" s="18" t="s">
        <v>1151</v>
      </c>
      <c r="D857" s="18" t="s">
        <v>1169</v>
      </c>
      <c r="E857" s="18">
        <v>0</v>
      </c>
      <c r="F857" s="18"/>
      <c r="G857" s="19" t="s">
        <v>1116</v>
      </c>
    </row>
    <row r="858" spans="1:7" s="7" customFormat="1" hidden="1" outlineLevel="1" x14ac:dyDescent="0.15">
      <c r="A858" s="2"/>
      <c r="B858" s="163" t="s">
        <v>25</v>
      </c>
      <c r="C858" s="164" t="s">
        <v>1150</v>
      </c>
      <c r="D858" s="164" t="s">
        <v>1169</v>
      </c>
      <c r="E858" s="164">
        <v>0</v>
      </c>
      <c r="F858" s="164"/>
      <c r="G858" s="107" t="s">
        <v>1312</v>
      </c>
    </row>
    <row r="859" spans="1:7" s="7" customFormat="1" hidden="1" outlineLevel="1" x14ac:dyDescent="0.15">
      <c r="A859" s="2"/>
      <c r="B859" s="153" t="s">
        <v>26</v>
      </c>
      <c r="C859" s="154" t="s">
        <v>1152</v>
      </c>
      <c r="D859" s="154" t="s">
        <v>1169</v>
      </c>
      <c r="E859" s="154">
        <v>0</v>
      </c>
      <c r="F859" s="154"/>
      <c r="G859" s="155" t="s">
        <v>1323</v>
      </c>
    </row>
    <row r="860" spans="1:7" s="7" customFormat="1" hidden="1" outlineLevel="1" x14ac:dyDescent="0.15">
      <c r="A860" s="2"/>
      <c r="B860" s="20" t="s">
        <v>27</v>
      </c>
      <c r="C860" s="21" t="s">
        <v>1313</v>
      </c>
      <c r="D860" s="21" t="s">
        <v>1169</v>
      </c>
      <c r="E860" s="21">
        <v>0</v>
      </c>
      <c r="F860" s="21"/>
      <c r="G860" s="22" t="s">
        <v>1314</v>
      </c>
    </row>
    <row r="861" spans="1:7" s="7" customFormat="1" hidden="1" outlineLevel="1" x14ac:dyDescent="0.15">
      <c r="A861" s="2"/>
      <c r="B861" s="17" t="s">
        <v>175</v>
      </c>
      <c r="C861" s="18" t="s">
        <v>1129</v>
      </c>
      <c r="D861" s="18" t="s">
        <v>1169</v>
      </c>
      <c r="E861" s="18">
        <v>0</v>
      </c>
      <c r="F861" s="18"/>
      <c r="G861" s="19"/>
    </row>
    <row r="862" spans="1:7" s="7" customFormat="1" hidden="1" outlineLevel="1" x14ac:dyDescent="0.15">
      <c r="A862" s="2"/>
      <c r="B862" s="17" t="s">
        <v>176</v>
      </c>
      <c r="C862" s="18" t="s">
        <v>1132</v>
      </c>
      <c r="D862" s="18" t="s">
        <v>1169</v>
      </c>
      <c r="E862" s="18">
        <v>0</v>
      </c>
      <c r="F862" s="18"/>
      <c r="G862" s="19"/>
    </row>
    <row r="863" spans="1:7" s="7" customFormat="1" hidden="1" outlineLevel="1" x14ac:dyDescent="0.15">
      <c r="B863" s="17" t="s">
        <v>153</v>
      </c>
      <c r="C863" s="18" t="s">
        <v>1143</v>
      </c>
      <c r="D863" s="18" t="s">
        <v>1169</v>
      </c>
      <c r="E863" s="18">
        <v>0</v>
      </c>
      <c r="F863" s="18"/>
      <c r="G863" s="19"/>
    </row>
    <row r="864" spans="1:7" s="7" customFormat="1" hidden="1" outlineLevel="1" x14ac:dyDescent="0.15">
      <c r="A864" s="2"/>
      <c r="B864" s="17" t="s">
        <v>178</v>
      </c>
      <c r="C864" s="18" t="s">
        <v>1324</v>
      </c>
      <c r="D864" s="18" t="s">
        <v>1172</v>
      </c>
      <c r="E864" s="18">
        <v>0</v>
      </c>
      <c r="F864" s="18"/>
      <c r="G864" s="19"/>
    </row>
    <row r="865" spans="1:7" s="7" customFormat="1" hidden="1" outlineLevel="1" x14ac:dyDescent="0.15">
      <c r="B865" s="17" t="s">
        <v>179</v>
      </c>
      <c r="C865" s="18" t="s">
        <v>1325</v>
      </c>
      <c r="D865" s="18" t="s">
        <v>1169</v>
      </c>
      <c r="E865" s="18">
        <v>0</v>
      </c>
      <c r="F865" s="18"/>
      <c r="G865" s="19" t="s">
        <v>1326</v>
      </c>
    </row>
    <row r="866" spans="1:7" s="7" customFormat="1" hidden="1" outlineLevel="1" x14ac:dyDescent="0.15">
      <c r="B866" s="17" t="s">
        <v>180</v>
      </c>
      <c r="C866" s="18" t="s">
        <v>1309</v>
      </c>
      <c r="D866" s="18" t="s">
        <v>1169</v>
      </c>
      <c r="E866" s="18">
        <v>0</v>
      </c>
      <c r="F866" s="18"/>
      <c r="G866" s="19" t="s">
        <v>1310</v>
      </c>
    </row>
    <row r="867" spans="1:7" s="7" customFormat="1" ht="18" hidden="1" outlineLevel="1" thickBot="1" x14ac:dyDescent="0.2">
      <c r="A867" s="2"/>
      <c r="B867" s="17"/>
      <c r="C867" s="18"/>
      <c r="D867" s="18"/>
      <c r="E867" s="18"/>
      <c r="F867" s="18"/>
      <c r="G867" s="19"/>
    </row>
    <row r="868" spans="1:7" s="7" customFormat="1" hidden="1" outlineLevel="1" x14ac:dyDescent="0.15">
      <c r="A868" s="2"/>
      <c r="B868" s="327" t="s">
        <v>15</v>
      </c>
      <c r="C868" s="328"/>
      <c r="D868" s="328"/>
      <c r="E868" s="328"/>
      <c r="F868" s="328"/>
      <c r="G868" s="329"/>
    </row>
    <row r="869" spans="1:7" s="7" customFormat="1" hidden="1" outlineLevel="1" x14ac:dyDescent="0.15">
      <c r="A869" s="2" t="s">
        <v>62</v>
      </c>
      <c r="B869" s="20">
        <v>1</v>
      </c>
      <c r="C869" s="21" t="s">
        <v>112</v>
      </c>
      <c r="D869" s="21" t="s">
        <v>113</v>
      </c>
      <c r="E869" s="21" t="s">
        <v>110</v>
      </c>
      <c r="F869" s="21"/>
      <c r="G869" s="22"/>
    </row>
    <row r="870" spans="1:7" s="7" customFormat="1" hidden="1" outlineLevel="1" x14ac:dyDescent="0.15">
      <c r="A870" s="2"/>
      <c r="B870" s="17">
        <v>2</v>
      </c>
      <c r="C870" s="18" t="s">
        <v>109</v>
      </c>
      <c r="D870" s="18" t="s">
        <v>111</v>
      </c>
      <c r="E870" s="21" t="s">
        <v>110</v>
      </c>
      <c r="F870" s="18"/>
      <c r="G870" s="19"/>
    </row>
    <row r="871" spans="1:7" ht="18" hidden="1" outlineLevel="1" thickBot="1" x14ac:dyDescent="0.2">
      <c r="A871" s="2"/>
      <c r="B871" s="24"/>
      <c r="C871" s="9"/>
      <c r="D871" s="9"/>
      <c r="E871" s="9"/>
      <c r="F871" s="9"/>
      <c r="G871" s="11"/>
    </row>
    <row r="872" spans="1:7" s="7" customFormat="1" ht="18" hidden="1" outlineLevel="1" thickBot="1" x14ac:dyDescent="0.2">
      <c r="A872" s="1"/>
      <c r="B872" s="1"/>
      <c r="C872" s="1"/>
      <c r="D872" s="1"/>
      <c r="E872" s="1"/>
      <c r="F872" s="1"/>
      <c r="G872" s="1"/>
    </row>
    <row r="873" spans="1:7" s="7" customFormat="1" ht="18" collapsed="1" thickBot="1" x14ac:dyDescent="0.2">
      <c r="A873" s="2"/>
      <c r="B873" s="3" t="s">
        <v>563</v>
      </c>
      <c r="C873" s="4" t="s">
        <v>660</v>
      </c>
      <c r="D873" s="5" t="s">
        <v>515</v>
      </c>
      <c r="E873" s="21" t="s">
        <v>716</v>
      </c>
      <c r="F873" s="5" t="s">
        <v>567</v>
      </c>
      <c r="G873" s="6" t="s">
        <v>1620</v>
      </c>
    </row>
    <row r="874" spans="1:7" s="7" customFormat="1" ht="18" hidden="1" outlineLevel="1" thickBot="1" x14ac:dyDescent="0.2">
      <c r="A874" s="2"/>
      <c r="B874" s="8" t="s">
        <v>570</v>
      </c>
      <c r="C874" s="9"/>
      <c r="D874" s="10" t="s">
        <v>568</v>
      </c>
      <c r="E874" s="9" t="s">
        <v>615</v>
      </c>
      <c r="F874" s="10"/>
      <c r="G874" s="11"/>
    </row>
    <row r="875" spans="1:7" s="7" customFormat="1" hidden="1" outlineLevel="1" x14ac:dyDescent="0.15">
      <c r="A875" s="2"/>
      <c r="B875" s="12" t="s">
        <v>0</v>
      </c>
      <c r="C875" s="13" t="s">
        <v>1</v>
      </c>
      <c r="D875" s="13" t="s">
        <v>2</v>
      </c>
      <c r="E875" s="13"/>
      <c r="F875" s="13" t="s">
        <v>3</v>
      </c>
      <c r="G875" s="13" t="s">
        <v>4</v>
      </c>
    </row>
    <row r="876" spans="1:7" s="7" customFormat="1" hidden="1" outlineLevel="1" x14ac:dyDescent="0.15">
      <c r="A876" s="2"/>
      <c r="B876" s="14" t="s">
        <v>6</v>
      </c>
      <c r="C876" s="15" t="s">
        <v>1163</v>
      </c>
      <c r="D876" s="15" t="s">
        <v>211</v>
      </c>
      <c r="E876" s="15">
        <v>0</v>
      </c>
      <c r="F876" s="15"/>
      <c r="G876" s="16" t="s">
        <v>1077</v>
      </c>
    </row>
    <row r="877" spans="1:7" s="7" customFormat="1" hidden="1" outlineLevel="1" x14ac:dyDescent="0.15">
      <c r="A877" s="2"/>
      <c r="B877" s="14" t="s">
        <v>111</v>
      </c>
      <c r="C877" s="15" t="s">
        <v>1164</v>
      </c>
      <c r="D877" s="15" t="s">
        <v>211</v>
      </c>
      <c r="E877" s="15">
        <v>0</v>
      </c>
      <c r="F877" s="15"/>
      <c r="G877" s="16" t="s">
        <v>1165</v>
      </c>
    </row>
    <row r="878" spans="1:7" s="7" customFormat="1" hidden="1" outlineLevel="1" x14ac:dyDescent="0.15">
      <c r="A878" s="2"/>
      <c r="B878" s="114" t="s">
        <v>458</v>
      </c>
      <c r="C878" s="235" t="s">
        <v>1085</v>
      </c>
      <c r="D878" s="235" t="s">
        <v>211</v>
      </c>
      <c r="E878" s="15">
        <v>0</v>
      </c>
      <c r="F878" s="15"/>
      <c r="G878" s="16" t="s">
        <v>1182</v>
      </c>
    </row>
    <row r="879" spans="1:7" s="7" customFormat="1" hidden="1" outlineLevel="1" x14ac:dyDescent="0.15">
      <c r="A879" s="2"/>
      <c r="B879" s="114" t="s">
        <v>329</v>
      </c>
      <c r="C879" s="235" t="s">
        <v>1187</v>
      </c>
      <c r="D879" s="235" t="s">
        <v>211</v>
      </c>
      <c r="E879" s="15">
        <v>0</v>
      </c>
      <c r="F879" s="15"/>
      <c r="G879" s="16"/>
    </row>
    <row r="880" spans="1:7" s="7" customFormat="1" hidden="1" outlineLevel="1" x14ac:dyDescent="0.15">
      <c r="A880" s="2"/>
      <c r="B880" s="114" t="s">
        <v>492</v>
      </c>
      <c r="C880" s="235" t="s">
        <v>1559</v>
      </c>
      <c r="D880" s="235" t="s">
        <v>1131</v>
      </c>
      <c r="E880" s="15" t="s">
        <v>1074</v>
      </c>
      <c r="F880" s="15"/>
      <c r="G880" s="16"/>
    </row>
    <row r="881" spans="1:7" s="7" customFormat="1" hidden="1" outlineLevel="1" x14ac:dyDescent="0.15">
      <c r="A881" s="2"/>
      <c r="B881" s="17" t="s">
        <v>24</v>
      </c>
      <c r="C881" s="18" t="s">
        <v>1151</v>
      </c>
      <c r="D881" s="18" t="s">
        <v>1169</v>
      </c>
      <c r="E881" s="18">
        <v>0</v>
      </c>
      <c r="F881" s="18"/>
      <c r="G881" s="19" t="s">
        <v>1116</v>
      </c>
    </row>
    <row r="882" spans="1:7" s="7" customFormat="1" hidden="1" outlineLevel="1" x14ac:dyDescent="0.15">
      <c r="A882" s="2"/>
      <c r="B882" s="17" t="s">
        <v>25</v>
      </c>
      <c r="C882" s="18" t="s">
        <v>1150</v>
      </c>
      <c r="D882" s="18" t="s">
        <v>1169</v>
      </c>
      <c r="E882" s="18">
        <v>0</v>
      </c>
      <c r="F882" s="18"/>
      <c r="G882" s="19" t="s">
        <v>1312</v>
      </c>
    </row>
    <row r="883" spans="1:7" s="7" customFormat="1" hidden="1" outlineLevel="1" x14ac:dyDescent="0.15">
      <c r="A883" s="2"/>
      <c r="B883" s="17" t="s">
        <v>26</v>
      </c>
      <c r="C883" s="18" t="s">
        <v>1152</v>
      </c>
      <c r="D883" s="18" t="s">
        <v>1169</v>
      </c>
      <c r="E883" s="18">
        <v>0</v>
      </c>
      <c r="F883" s="18"/>
      <c r="G883" s="19" t="s">
        <v>1323</v>
      </c>
    </row>
    <row r="884" spans="1:7" s="7" customFormat="1" hidden="1" outlineLevel="1" x14ac:dyDescent="0.15">
      <c r="A884" s="2"/>
      <c r="B884" s="20" t="s">
        <v>27</v>
      </c>
      <c r="C884" s="21" t="s">
        <v>1313</v>
      </c>
      <c r="D884" s="21" t="s">
        <v>1169</v>
      </c>
      <c r="E884" s="21">
        <v>0</v>
      </c>
      <c r="F884" s="21"/>
      <c r="G884" s="22" t="s">
        <v>1314</v>
      </c>
    </row>
    <row r="885" spans="1:7" s="7" customFormat="1" hidden="1" outlineLevel="1" x14ac:dyDescent="0.15">
      <c r="A885" s="2"/>
      <c r="B885" s="20" t="s">
        <v>493</v>
      </c>
      <c r="C885" s="21" t="s">
        <v>1117</v>
      </c>
      <c r="D885" s="21" t="s">
        <v>1169</v>
      </c>
      <c r="E885" s="21">
        <v>0</v>
      </c>
      <c r="F885" s="21"/>
      <c r="G885" s="22"/>
    </row>
    <row r="886" spans="1:7" s="7" customFormat="1" hidden="1" outlineLevel="1" x14ac:dyDescent="0.15">
      <c r="A886" s="2"/>
      <c r="B886" s="20" t="s">
        <v>494</v>
      </c>
      <c r="C886" s="21" t="s">
        <v>1315</v>
      </c>
      <c r="D886" s="21" t="s">
        <v>1169</v>
      </c>
      <c r="E886" s="21">
        <v>0</v>
      </c>
      <c r="F886" s="21"/>
      <c r="G886" s="22"/>
    </row>
    <row r="887" spans="1:7" s="7" customFormat="1" hidden="1" outlineLevel="1" x14ac:dyDescent="0.15">
      <c r="A887" s="2"/>
      <c r="B887" s="20" t="s">
        <v>321</v>
      </c>
      <c r="C887" s="21" t="s">
        <v>1316</v>
      </c>
      <c r="D887" s="21" t="s">
        <v>1169</v>
      </c>
      <c r="E887" s="21">
        <v>0</v>
      </c>
      <c r="F887" s="21"/>
      <c r="G887" s="22"/>
    </row>
    <row r="888" spans="1:7" s="7" customFormat="1" hidden="1" outlineLevel="1" x14ac:dyDescent="0.15">
      <c r="A888" s="2"/>
      <c r="B888" s="20" t="s">
        <v>322</v>
      </c>
      <c r="C888" s="21" t="s">
        <v>1317</v>
      </c>
      <c r="D888" s="21" t="s">
        <v>1169</v>
      </c>
      <c r="E888" s="21">
        <v>0</v>
      </c>
      <c r="F888" s="21"/>
      <c r="G888" s="22"/>
    </row>
    <row r="889" spans="1:7" s="7" customFormat="1" hidden="1" outlineLevel="1" x14ac:dyDescent="0.15">
      <c r="A889" s="2"/>
      <c r="B889" s="20" t="s">
        <v>330</v>
      </c>
      <c r="C889" s="21" t="s">
        <v>1318</v>
      </c>
      <c r="D889" s="21" t="s">
        <v>1169</v>
      </c>
      <c r="E889" s="21">
        <v>0</v>
      </c>
      <c r="F889" s="21"/>
      <c r="G889" s="22"/>
    </row>
    <row r="890" spans="1:7" s="7" customFormat="1" hidden="1" outlineLevel="1" x14ac:dyDescent="0.15">
      <c r="A890" s="2"/>
      <c r="B890" s="20" t="s">
        <v>495</v>
      </c>
      <c r="C890" s="21" t="s">
        <v>1153</v>
      </c>
      <c r="D890" s="21" t="s">
        <v>1169</v>
      </c>
      <c r="E890" s="21">
        <v>0</v>
      </c>
      <c r="F890" s="21"/>
      <c r="G890" s="22"/>
    </row>
    <row r="891" spans="1:7" s="7" customFormat="1" hidden="1" outlineLevel="1" x14ac:dyDescent="0.15">
      <c r="A891" s="2"/>
      <c r="B891" s="20" t="s">
        <v>323</v>
      </c>
      <c r="C891" s="21" t="s">
        <v>1319</v>
      </c>
      <c r="D891" s="21" t="s">
        <v>1169</v>
      </c>
      <c r="E891" s="21">
        <v>0</v>
      </c>
      <c r="F891" s="21"/>
      <c r="G891" s="22"/>
    </row>
    <row r="892" spans="1:7" s="7" customFormat="1" hidden="1" outlineLevel="1" x14ac:dyDescent="0.15">
      <c r="A892" s="2"/>
      <c r="B892" s="20" t="s">
        <v>324</v>
      </c>
      <c r="C892" s="21" t="s">
        <v>1320</v>
      </c>
      <c r="D892" s="21" t="s">
        <v>1169</v>
      </c>
      <c r="E892" s="21">
        <v>0</v>
      </c>
      <c r="F892" s="21"/>
      <c r="G892" s="22"/>
    </row>
    <row r="893" spans="1:7" s="7" customFormat="1" hidden="1" outlineLevel="1" x14ac:dyDescent="0.15">
      <c r="A893" s="2"/>
      <c r="B893" s="20" t="s">
        <v>325</v>
      </c>
      <c r="C893" s="21" t="s">
        <v>1154</v>
      </c>
      <c r="D893" s="21" t="s">
        <v>1169</v>
      </c>
      <c r="E893" s="21">
        <v>0</v>
      </c>
      <c r="F893" s="21"/>
      <c r="G893" s="22"/>
    </row>
    <row r="894" spans="1:7" s="7" customFormat="1" hidden="1" outlineLevel="1" x14ac:dyDescent="0.15">
      <c r="A894" s="2"/>
      <c r="B894" s="20" t="s">
        <v>326</v>
      </c>
      <c r="C894" s="21" t="s">
        <v>1321</v>
      </c>
      <c r="D894" s="21" t="s">
        <v>1169</v>
      </c>
      <c r="E894" s="21">
        <v>0</v>
      </c>
      <c r="F894" s="21"/>
      <c r="G894" s="22"/>
    </row>
    <row r="895" spans="1:7" s="7" customFormat="1" ht="18" hidden="1" outlineLevel="1" thickBot="1" x14ac:dyDescent="0.2">
      <c r="A895" s="2"/>
      <c r="B895" s="20"/>
      <c r="C895" s="21"/>
      <c r="D895" s="21"/>
      <c r="E895" s="21"/>
      <c r="F895" s="21"/>
      <c r="G895" s="22"/>
    </row>
    <row r="896" spans="1:7" s="7" customFormat="1" hidden="1" outlineLevel="1" x14ac:dyDescent="0.15">
      <c r="A896" s="2"/>
      <c r="B896" s="327" t="s">
        <v>15</v>
      </c>
      <c r="C896" s="328"/>
      <c r="D896" s="328"/>
      <c r="E896" s="328"/>
      <c r="F896" s="328"/>
      <c r="G896" s="329"/>
    </row>
    <row r="897" spans="1:7" s="7" customFormat="1" hidden="1" outlineLevel="1" x14ac:dyDescent="0.15">
      <c r="A897" s="2" t="s">
        <v>62</v>
      </c>
      <c r="B897" s="20">
        <v>1</v>
      </c>
      <c r="C897" s="21" t="s">
        <v>123</v>
      </c>
      <c r="D897" s="21" t="s">
        <v>327</v>
      </c>
      <c r="E897" s="21" t="s">
        <v>243</v>
      </c>
      <c r="F897" s="21"/>
      <c r="G897" s="22"/>
    </row>
    <row r="898" spans="1:7" s="7" customFormat="1" hidden="1" outlineLevel="1" x14ac:dyDescent="0.15">
      <c r="A898" s="2"/>
      <c r="B898" s="20">
        <v>2</v>
      </c>
      <c r="C898" s="21" t="s">
        <v>109</v>
      </c>
      <c r="D898" s="21" t="s">
        <v>111</v>
      </c>
      <c r="E898" s="21" t="s">
        <v>328</v>
      </c>
      <c r="F898" s="21"/>
      <c r="G898" s="21"/>
    </row>
    <row r="899" spans="1:7" s="7" customFormat="1" ht="18" hidden="1" outlineLevel="1" thickBot="1" x14ac:dyDescent="0.2">
      <c r="A899" s="2"/>
      <c r="B899" s="24"/>
      <c r="C899" s="9"/>
      <c r="D899" s="9"/>
      <c r="E899" s="9"/>
      <c r="F899" s="9"/>
      <c r="G899" s="11"/>
    </row>
    <row r="900" spans="1:7" s="7" customFormat="1" hidden="1" outlineLevel="1" x14ac:dyDescent="0.15">
      <c r="A900" s="2"/>
    </row>
    <row r="901" spans="1:7" s="7" customFormat="1" ht="18" hidden="1" outlineLevel="1" thickBot="1" x14ac:dyDescent="0.2">
      <c r="A901" s="2"/>
    </row>
    <row r="902" spans="1:7" s="7" customFormat="1" ht="18" collapsed="1" thickBot="1" x14ac:dyDescent="0.2">
      <c r="A902" s="2"/>
      <c r="B902" s="3" t="s">
        <v>563</v>
      </c>
      <c r="C902" s="4" t="s">
        <v>578</v>
      </c>
      <c r="D902" s="5" t="s">
        <v>515</v>
      </c>
      <c r="E902" s="21" t="s">
        <v>1015</v>
      </c>
      <c r="F902" s="5" t="s">
        <v>567</v>
      </c>
      <c r="G902" s="6" t="s">
        <v>1619</v>
      </c>
    </row>
    <row r="903" spans="1:7" s="7" customFormat="1" ht="18" hidden="1" outlineLevel="1" thickBot="1" x14ac:dyDescent="0.2">
      <c r="A903" s="2"/>
      <c r="B903" s="34" t="s">
        <v>570</v>
      </c>
      <c r="C903" s="18"/>
      <c r="D903" s="35" t="s">
        <v>568</v>
      </c>
      <c r="E903" s="18" t="s">
        <v>615</v>
      </c>
      <c r="F903" s="35"/>
      <c r="G903" s="19"/>
    </row>
    <row r="904" spans="1:7" s="7" customFormat="1" hidden="1" outlineLevel="1" x14ac:dyDescent="0.15">
      <c r="A904" s="2"/>
      <c r="B904" s="3" t="s">
        <v>0</v>
      </c>
      <c r="C904" s="5" t="s">
        <v>1</v>
      </c>
      <c r="D904" s="5" t="s">
        <v>2</v>
      </c>
      <c r="E904" s="5"/>
      <c r="F904" s="5" t="s">
        <v>3</v>
      </c>
      <c r="G904" s="36" t="s">
        <v>4</v>
      </c>
    </row>
    <row r="905" spans="1:7" s="7" customFormat="1" hidden="1" outlineLevel="1" x14ac:dyDescent="0.15">
      <c r="A905" s="2"/>
      <c r="B905" s="20" t="s">
        <v>6</v>
      </c>
      <c r="C905" s="21" t="s">
        <v>1163</v>
      </c>
      <c r="D905" s="21" t="s">
        <v>211</v>
      </c>
      <c r="E905" s="21">
        <v>0</v>
      </c>
      <c r="F905" s="21"/>
      <c r="G905" s="22" t="s">
        <v>1077</v>
      </c>
    </row>
    <row r="906" spans="1:7" s="7" customFormat="1" hidden="1" outlineLevel="1" x14ac:dyDescent="0.15">
      <c r="A906" s="2"/>
      <c r="B906" s="20" t="s">
        <v>111</v>
      </c>
      <c r="C906" s="21" t="s">
        <v>1164</v>
      </c>
      <c r="D906" s="21" t="s">
        <v>211</v>
      </c>
      <c r="E906" s="21">
        <v>0</v>
      </c>
      <c r="F906" s="21"/>
      <c r="G906" s="22" t="s">
        <v>1165</v>
      </c>
    </row>
    <row r="907" spans="1:7" s="7" customFormat="1" hidden="1" outlineLevel="1" x14ac:dyDescent="0.15">
      <c r="A907" s="2"/>
      <c r="B907" s="20" t="s">
        <v>113</v>
      </c>
      <c r="C907" s="21" t="s">
        <v>1187</v>
      </c>
      <c r="D907" s="21" t="s">
        <v>211</v>
      </c>
      <c r="E907" s="21">
        <v>0</v>
      </c>
      <c r="F907" s="21"/>
      <c r="G907" s="22"/>
    </row>
    <row r="908" spans="1:7" s="7" customFormat="1" hidden="1" outlineLevel="1" x14ac:dyDescent="0.15">
      <c r="A908" s="2"/>
      <c r="B908" s="20" t="s">
        <v>7</v>
      </c>
      <c r="C908" s="21" t="s">
        <v>1190</v>
      </c>
      <c r="D908" s="21" t="s">
        <v>211</v>
      </c>
      <c r="E908" s="21">
        <v>0</v>
      </c>
      <c r="F908" s="21"/>
      <c r="G908" s="22" t="s">
        <v>1081</v>
      </c>
    </row>
    <row r="909" spans="1:7" s="7" customFormat="1" hidden="1" outlineLevel="1" x14ac:dyDescent="0.15">
      <c r="A909" s="2"/>
      <c r="B909" s="20" t="s">
        <v>114</v>
      </c>
      <c r="C909" s="21" t="s">
        <v>1155</v>
      </c>
      <c r="D909" s="21" t="s">
        <v>211</v>
      </c>
      <c r="E909" s="21">
        <v>0</v>
      </c>
      <c r="F909" s="21"/>
      <c r="G909" s="22"/>
    </row>
    <row r="910" spans="1:7" s="7" customFormat="1" hidden="1" outlineLevel="1" x14ac:dyDescent="0.15">
      <c r="A910" s="2"/>
      <c r="B910" s="20" t="s">
        <v>118</v>
      </c>
      <c r="C910" s="21" t="s">
        <v>1188</v>
      </c>
      <c r="D910" s="21" t="s">
        <v>211</v>
      </c>
      <c r="E910" s="21">
        <v>0</v>
      </c>
      <c r="F910" s="21"/>
      <c r="G910" s="22"/>
    </row>
    <row r="911" spans="1:7" s="7" customFormat="1" hidden="1" outlineLevel="1" x14ac:dyDescent="0.15">
      <c r="A911" s="2"/>
      <c r="B911" s="20" t="s">
        <v>93</v>
      </c>
      <c r="C911" s="21" t="s">
        <v>1189</v>
      </c>
      <c r="D911" s="21" t="s">
        <v>211</v>
      </c>
      <c r="E911" s="21">
        <v>0</v>
      </c>
      <c r="F911" s="21"/>
      <c r="G911" s="22"/>
    </row>
    <row r="912" spans="1:7" s="7" customFormat="1" hidden="1" outlineLevel="1" x14ac:dyDescent="0.15">
      <c r="A912" s="2"/>
      <c r="B912" s="20" t="s">
        <v>41</v>
      </c>
      <c r="C912" s="21" t="s">
        <v>1258</v>
      </c>
      <c r="D912" s="21" t="s">
        <v>211</v>
      </c>
      <c r="E912" s="21">
        <v>0</v>
      </c>
      <c r="F912" s="21"/>
      <c r="G912" s="22" t="s">
        <v>1259</v>
      </c>
    </row>
    <row r="913" spans="1:8" s="7" customFormat="1" hidden="1" outlineLevel="1" x14ac:dyDescent="0.15">
      <c r="A913" s="2"/>
      <c r="B913" s="20" t="s">
        <v>8</v>
      </c>
      <c r="C913" s="21" t="s">
        <v>1193</v>
      </c>
      <c r="D913" s="21" t="s">
        <v>1087</v>
      </c>
      <c r="E913" s="21">
        <v>0</v>
      </c>
      <c r="F913" s="21"/>
      <c r="G913" s="22" t="s">
        <v>1194</v>
      </c>
    </row>
    <row r="914" spans="1:8" s="7" customFormat="1" hidden="1" outlineLevel="1" x14ac:dyDescent="0.15">
      <c r="A914" s="2"/>
      <c r="B914" s="20" t="s">
        <v>9</v>
      </c>
      <c r="C914" s="21" t="s">
        <v>1195</v>
      </c>
      <c r="D914" s="21" t="s">
        <v>1087</v>
      </c>
      <c r="E914" s="21">
        <v>0</v>
      </c>
      <c r="F914" s="21"/>
      <c r="G914" s="22" t="s">
        <v>1196</v>
      </c>
    </row>
    <row r="915" spans="1:8" s="7" customFormat="1" hidden="1" outlineLevel="1" x14ac:dyDescent="0.15">
      <c r="A915" s="2"/>
      <c r="B915" s="20" t="s">
        <v>10</v>
      </c>
      <c r="C915" s="21" t="s">
        <v>1197</v>
      </c>
      <c r="D915" s="21" t="s">
        <v>1087</v>
      </c>
      <c r="E915" s="21">
        <v>0</v>
      </c>
      <c r="F915" s="21"/>
      <c r="G915" s="22" t="s">
        <v>1144</v>
      </c>
    </row>
    <row r="916" spans="1:8" s="7" customFormat="1" hidden="1" outlineLevel="1" x14ac:dyDescent="0.15">
      <c r="A916" s="2"/>
      <c r="B916" s="20" t="s">
        <v>11</v>
      </c>
      <c r="C916" s="21" t="s">
        <v>1198</v>
      </c>
      <c r="D916" s="21" t="s">
        <v>1087</v>
      </c>
      <c r="E916" s="21">
        <v>0</v>
      </c>
      <c r="F916" s="21"/>
      <c r="G916" s="22" t="s">
        <v>1080</v>
      </c>
    </row>
    <row r="917" spans="1:8" s="7" customFormat="1" hidden="1" outlineLevel="1" x14ac:dyDescent="0.15">
      <c r="A917" s="2"/>
      <c r="B917" s="20" t="s">
        <v>116</v>
      </c>
      <c r="C917" s="21" t="s">
        <v>1213</v>
      </c>
      <c r="D917" s="21" t="s">
        <v>1169</v>
      </c>
      <c r="E917" s="21">
        <v>0</v>
      </c>
      <c r="F917" s="21"/>
      <c r="G917" s="22"/>
    </row>
    <row r="918" spans="1:8" s="7" customFormat="1" hidden="1" outlineLevel="1" x14ac:dyDescent="0.15">
      <c r="A918" s="2"/>
      <c r="B918" s="20" t="s">
        <v>12</v>
      </c>
      <c r="C918" s="21" t="s">
        <v>1143</v>
      </c>
      <c r="D918" s="21" t="s">
        <v>1169</v>
      </c>
      <c r="E918" s="21">
        <v>0</v>
      </c>
      <c r="F918" s="21"/>
      <c r="G918" s="22"/>
    </row>
    <row r="919" spans="1:8" s="7" customFormat="1" hidden="1" outlineLevel="1" x14ac:dyDescent="0.15">
      <c r="A919" s="2"/>
      <c r="B919" s="20" t="s">
        <v>13</v>
      </c>
      <c r="C919" s="21" t="s">
        <v>1205</v>
      </c>
      <c r="D919" s="21" t="s">
        <v>1169</v>
      </c>
      <c r="E919" s="21">
        <v>0</v>
      </c>
      <c r="F919" s="21"/>
      <c r="G919" s="22"/>
    </row>
    <row r="920" spans="1:8" s="7" customFormat="1" hidden="1" outlineLevel="1" x14ac:dyDescent="0.15">
      <c r="A920" s="2"/>
      <c r="B920" s="20" t="s">
        <v>14</v>
      </c>
      <c r="C920" s="21" t="s">
        <v>1206</v>
      </c>
      <c r="D920" s="21" t="s">
        <v>1169</v>
      </c>
      <c r="E920" s="21">
        <v>0</v>
      </c>
      <c r="F920" s="21"/>
      <c r="G920" s="22"/>
    </row>
    <row r="921" spans="1:8" s="7" customFormat="1" ht="18" hidden="1" outlineLevel="1" thickBot="1" x14ac:dyDescent="0.2">
      <c r="A921" s="2"/>
      <c r="B921" s="24"/>
      <c r="C921" s="9"/>
      <c r="D921" s="9"/>
      <c r="E921" s="9"/>
      <c r="F921" s="9"/>
      <c r="G921" s="11"/>
    </row>
    <row r="922" spans="1:8" s="7" customFormat="1" hidden="1" outlineLevel="1" x14ac:dyDescent="0.15">
      <c r="A922" s="2"/>
      <c r="B922" s="327" t="s">
        <v>15</v>
      </c>
      <c r="C922" s="328"/>
      <c r="D922" s="328"/>
      <c r="E922" s="328"/>
      <c r="F922" s="328"/>
      <c r="G922" s="329"/>
    </row>
    <row r="923" spans="1:8" s="7" customFormat="1" hidden="1" outlineLevel="1" x14ac:dyDescent="0.15">
      <c r="A923" s="2" t="s">
        <v>62</v>
      </c>
      <c r="B923" s="20">
        <v>1</v>
      </c>
      <c r="C923" s="23" t="s">
        <v>113</v>
      </c>
      <c r="D923" s="21" t="s">
        <v>114</v>
      </c>
      <c r="E923" s="21" t="s">
        <v>118</v>
      </c>
      <c r="F923" s="21"/>
      <c r="G923" s="21"/>
    </row>
    <row r="924" spans="1:8" s="7" customFormat="1" hidden="1" outlineLevel="1" x14ac:dyDescent="0.15">
      <c r="A924" s="2"/>
      <c r="B924" s="17">
        <v>2</v>
      </c>
      <c r="C924" s="37" t="s">
        <v>16</v>
      </c>
      <c r="D924" s="18" t="s">
        <v>111</v>
      </c>
      <c r="E924" s="18" t="s">
        <v>18</v>
      </c>
      <c r="F924" s="18"/>
      <c r="G924" s="38"/>
    </row>
    <row r="925" spans="1:8" ht="18" hidden="1" outlineLevel="1" thickBot="1" x14ac:dyDescent="0.2">
      <c r="A925" s="2"/>
      <c r="B925" s="24"/>
      <c r="C925" s="9"/>
      <c r="D925" s="9"/>
      <c r="E925" s="9"/>
      <c r="F925" s="9"/>
      <c r="G925" s="11"/>
    </row>
    <row r="926" spans="1:8" s="7" customFormat="1" ht="18" hidden="1" outlineLevel="1" thickBot="1" x14ac:dyDescent="0.2">
      <c r="A926" s="1"/>
      <c r="B926" s="1"/>
      <c r="C926" s="1"/>
      <c r="D926" s="1"/>
      <c r="E926" s="1"/>
      <c r="F926" s="1"/>
      <c r="G926" s="1"/>
      <c r="H926" s="7" t="str">
        <f>"create or replace view "&amp;C927</f>
        <v>create or replace view vi_dt_pd_asac_posi</v>
      </c>
    </row>
    <row r="927" spans="1:8" s="7" customFormat="1" ht="18" collapsed="1" thickBot="1" x14ac:dyDescent="0.2">
      <c r="A927" s="2"/>
      <c r="B927" s="3" t="s">
        <v>563</v>
      </c>
      <c r="C927" s="4" t="s">
        <v>647</v>
      </c>
      <c r="D927" s="5" t="s">
        <v>515</v>
      </c>
      <c r="E927" s="21" t="s">
        <v>1016</v>
      </c>
      <c r="F927" s="5" t="s">
        <v>567</v>
      </c>
      <c r="G927" s="6" t="s">
        <v>562</v>
      </c>
      <c r="H927" s="11" t="str">
        <f>"/* "&amp;E927&amp;"*/  as "</f>
        <v xml:space="preserve">/* 报表_资管报表_视图-数据-产品-资产账户-持仓*/  as </v>
      </c>
    </row>
    <row r="928" spans="1:8" s="7" customFormat="1" ht="18" hidden="1" outlineLevel="1" thickBot="1" x14ac:dyDescent="0.2">
      <c r="B928" s="34" t="s">
        <v>570</v>
      </c>
      <c r="C928" s="18"/>
      <c r="D928" s="35" t="s">
        <v>568</v>
      </c>
      <c r="E928" s="18" t="s">
        <v>615</v>
      </c>
      <c r="F928" s="35"/>
      <c r="G928" s="19"/>
      <c r="H928" s="13" t="s">
        <v>474</v>
      </c>
    </row>
    <row r="929" spans="1:8" s="7" customFormat="1" hidden="1" outlineLevel="1" x14ac:dyDescent="0.15">
      <c r="B929" s="3" t="s">
        <v>0</v>
      </c>
      <c r="C929" s="5" t="s">
        <v>572</v>
      </c>
      <c r="D929" s="5" t="s">
        <v>2</v>
      </c>
      <c r="E929" s="5"/>
      <c r="F929" s="5" t="s">
        <v>3</v>
      </c>
      <c r="G929" s="36" t="s">
        <v>4</v>
      </c>
      <c r="H929" s="247"/>
    </row>
    <row r="930" spans="1:8" s="7" customFormat="1" hidden="1" outlineLevel="1" x14ac:dyDescent="0.15">
      <c r="B930" s="194" t="s">
        <v>22</v>
      </c>
      <c r="C930" s="195" t="s">
        <v>1127</v>
      </c>
      <c r="D930" s="13" t="s">
        <v>211</v>
      </c>
      <c r="E930" s="13" t="s">
        <v>1096</v>
      </c>
      <c r="F930" s="13"/>
      <c r="G930" s="111" t="s">
        <v>1334</v>
      </c>
      <c r="H930" s="107" t="str">
        <f t="shared" ref="H930:H955" si="0">"ifnull("&amp;IF(I930&lt;&gt;"",I930,IF(F931&lt;&gt;"",F931,"t")&amp;"."&amp;C931)&amp;","&amp;E931&amp;") as "&amp;C931&amp;",/*"&amp;B931&amp;"*/"</f>
        <v>ifnull(t.co_no,0) as co_no,/*机构编号*/</v>
      </c>
    </row>
    <row r="931" spans="1:8" s="7" customFormat="1" hidden="1" outlineLevel="1" x14ac:dyDescent="0.15">
      <c r="A931" s="2"/>
      <c r="B931" s="194" t="s">
        <v>6</v>
      </c>
      <c r="C931" s="195" t="s">
        <v>1163</v>
      </c>
      <c r="D931" s="195" t="s">
        <v>211</v>
      </c>
      <c r="E931" s="195">
        <v>0</v>
      </c>
      <c r="F931" s="195"/>
      <c r="G931" s="196" t="s">
        <v>1077</v>
      </c>
      <c r="H931" s="107" t="str">
        <f t="shared" si="0"/>
        <v>ifnull(t.pd_no,0) as pd_no,/*产品编号*/</v>
      </c>
    </row>
    <row r="932" spans="1:8" s="7" customFormat="1" hidden="1" outlineLevel="1" x14ac:dyDescent="0.15">
      <c r="A932" s="2"/>
      <c r="B932" s="194" t="s">
        <v>111</v>
      </c>
      <c r="C932" s="195" t="s">
        <v>1164</v>
      </c>
      <c r="D932" s="195" t="s">
        <v>211</v>
      </c>
      <c r="E932" s="195">
        <v>0</v>
      </c>
      <c r="F932" s="195"/>
      <c r="G932" s="196" t="s">
        <v>1165</v>
      </c>
      <c r="H932" s="107" t="str">
        <f t="shared" si="0"/>
        <v>ifnull(t.asset_acco_no,0) as asset_acco_no,/*资产账户编号*/</v>
      </c>
    </row>
    <row r="933" spans="1:8" s="7" customFormat="1" hidden="1" outlineLevel="1" x14ac:dyDescent="0.15">
      <c r="A933" s="2"/>
      <c r="B933" s="194" t="s">
        <v>113</v>
      </c>
      <c r="C933" s="195" t="s">
        <v>1187</v>
      </c>
      <c r="D933" s="195" t="s">
        <v>211</v>
      </c>
      <c r="E933" s="195">
        <v>0</v>
      </c>
      <c r="F933" s="195"/>
      <c r="G933" s="196"/>
      <c r="H933" s="107" t="str">
        <f t="shared" si="0"/>
        <v>ifnull(t.exch_no,0) as exch_no,/*市场编号*/</v>
      </c>
    </row>
    <row r="934" spans="1:8" s="7" customFormat="1" hidden="1" outlineLevel="1" x14ac:dyDescent="0.15">
      <c r="B934" s="194" t="s">
        <v>7</v>
      </c>
      <c r="C934" s="195" t="s">
        <v>1190</v>
      </c>
      <c r="D934" s="195" t="s">
        <v>211</v>
      </c>
      <c r="E934" s="195">
        <v>0</v>
      </c>
      <c r="F934" s="195"/>
      <c r="G934" s="196" t="s">
        <v>1081</v>
      </c>
      <c r="H934" s="107" t="str">
        <f t="shared" si="0"/>
        <v>ifnull(t.stock_acco_no,0) as stock_acco_no,/*股东代码编号*/</v>
      </c>
    </row>
    <row r="935" spans="1:8" s="7" customFormat="1" hidden="1" outlineLevel="1" x14ac:dyDescent="0.15">
      <c r="B935" s="194" t="s">
        <v>114</v>
      </c>
      <c r="C935" s="195" t="s">
        <v>1155</v>
      </c>
      <c r="D935" s="195" t="s">
        <v>211</v>
      </c>
      <c r="E935" s="195">
        <v>0</v>
      </c>
      <c r="F935" s="195"/>
      <c r="G935" s="196"/>
      <c r="H935" s="107" t="str">
        <f t="shared" si="0"/>
        <v>ifnull(t.stock_code_no,0) as stock_code_no,/*证券代码编号*/</v>
      </c>
    </row>
    <row r="936" spans="1:8" s="7" customFormat="1" hidden="1" outlineLevel="1" x14ac:dyDescent="0.15">
      <c r="B936" s="194" t="s">
        <v>118</v>
      </c>
      <c r="C936" s="195" t="s">
        <v>1188</v>
      </c>
      <c r="D936" s="195" t="s">
        <v>211</v>
      </c>
      <c r="E936" s="195">
        <v>0</v>
      </c>
      <c r="F936" s="195"/>
      <c r="G936" s="196"/>
      <c r="H936" s="107" t="str">
        <f t="shared" si="0"/>
        <v>ifnull(t.begin_qty,0) as begin_qty,/*期初数量*/</v>
      </c>
    </row>
    <row r="937" spans="1:8" s="7" customFormat="1" hidden="1" outlineLevel="1" x14ac:dyDescent="0.15">
      <c r="A937" s="2"/>
      <c r="B937" s="20" t="s">
        <v>399</v>
      </c>
      <c r="C937" s="21" t="s">
        <v>1193</v>
      </c>
      <c r="D937" s="21" t="s">
        <v>1087</v>
      </c>
      <c r="E937" s="21">
        <v>0</v>
      </c>
      <c r="F937" s="21"/>
      <c r="G937" s="22" t="s">
        <v>1194</v>
      </c>
      <c r="H937" s="107" t="str">
        <f t="shared" si="0"/>
        <v>ifnull(t.curr_qty,0) as curr_qty,/*当前数量*/</v>
      </c>
    </row>
    <row r="938" spans="1:8" s="7" customFormat="1" hidden="1" outlineLevel="1" x14ac:dyDescent="0.15">
      <c r="A938" s="2"/>
      <c r="B938" s="20" t="s">
        <v>156</v>
      </c>
      <c r="C938" s="21" t="s">
        <v>1195</v>
      </c>
      <c r="D938" s="21" t="s">
        <v>1087</v>
      </c>
      <c r="E938" s="21">
        <v>0</v>
      </c>
      <c r="F938" s="21"/>
      <c r="G938" s="22" t="s">
        <v>1196</v>
      </c>
      <c r="H938" s="107" t="str">
        <f t="shared" si="0"/>
        <v>ifnull(t.frozen_qty,0) as frozen_qty,/*冻结数量*/</v>
      </c>
    </row>
    <row r="939" spans="1:8" s="7" customFormat="1" hidden="1" outlineLevel="1" x14ac:dyDescent="0.15">
      <c r="B939" s="20" t="s">
        <v>400</v>
      </c>
      <c r="C939" s="21" t="s">
        <v>1197</v>
      </c>
      <c r="D939" s="21" t="s">
        <v>1087</v>
      </c>
      <c r="E939" s="21">
        <v>0</v>
      </c>
      <c r="F939" s="21"/>
      <c r="G939" s="22" t="s">
        <v>1144</v>
      </c>
      <c r="H939" s="107" t="str">
        <f t="shared" si="0"/>
        <v>ifnull(t.unfroz_qty,0) as unfroz_qty,/*解冻数量*/</v>
      </c>
    </row>
    <row r="940" spans="1:8" s="7" customFormat="1" hidden="1" outlineLevel="1" x14ac:dyDescent="0.15">
      <c r="B940" s="20" t="s">
        <v>401</v>
      </c>
      <c r="C940" s="21" t="s">
        <v>1198</v>
      </c>
      <c r="D940" s="21" t="s">
        <v>1087</v>
      </c>
      <c r="E940" s="21">
        <v>0</v>
      </c>
      <c r="F940" s="21"/>
      <c r="G940" s="22" t="s">
        <v>1080</v>
      </c>
      <c r="H940" s="107" t="str">
        <f t="shared" si="0"/>
        <v>ifnull(t.comm_frozen_qty,0) as comm_frozen_qty,/*指令冻结数量*/</v>
      </c>
    </row>
    <row r="941" spans="1:8" s="7" customFormat="1" hidden="1" outlineLevel="1" x14ac:dyDescent="0.15">
      <c r="B941" s="20" t="s">
        <v>402</v>
      </c>
      <c r="C941" s="21" t="s">
        <v>1083</v>
      </c>
      <c r="D941" s="21" t="s">
        <v>1087</v>
      </c>
      <c r="E941" s="21">
        <v>0</v>
      </c>
      <c r="F941" s="21"/>
      <c r="G941" s="22"/>
      <c r="H941" s="107" t="str">
        <f t="shared" si="0"/>
        <v>ifnull(t.comm_unfroz_qty,0) as comm_unfroz_qty,/*指令解冻数量*/</v>
      </c>
    </row>
    <row r="942" spans="1:8" s="7" customFormat="1" hidden="1" outlineLevel="1" x14ac:dyDescent="0.15">
      <c r="B942" s="20" t="s">
        <v>403</v>
      </c>
      <c r="C942" s="21" t="s">
        <v>1135</v>
      </c>
      <c r="D942" s="21" t="s">
        <v>1087</v>
      </c>
      <c r="E942" s="21">
        <v>0</v>
      </c>
      <c r="F942" s="21"/>
      <c r="G942" s="22"/>
      <c r="H942" s="107" t="str">
        <f t="shared" si="0"/>
        <v>ifnull(t.comm_capt_qty,0) as comm_capt_qty,/*指令占用数量*/</v>
      </c>
    </row>
    <row r="943" spans="1:8" s="7" customFormat="1" hidden="1" outlineLevel="1" x14ac:dyDescent="0.15">
      <c r="B943" s="20" t="s">
        <v>404</v>
      </c>
      <c r="C943" s="21" t="s">
        <v>1335</v>
      </c>
      <c r="D943" s="21" t="s">
        <v>1087</v>
      </c>
      <c r="E943" s="21">
        <v>0</v>
      </c>
      <c r="F943" s="21"/>
      <c r="G943" s="22"/>
      <c r="H943" s="107" t="str">
        <f t="shared" si="0"/>
        <v>ifnull(t.comm_releas_qty,0) as comm_releas_qty,/*指令释放数量*/</v>
      </c>
    </row>
    <row r="944" spans="1:8" s="7" customFormat="1" hidden="1" outlineLevel="1" x14ac:dyDescent="0.15">
      <c r="B944" s="20" t="s">
        <v>405</v>
      </c>
      <c r="C944" s="21" t="s">
        <v>1199</v>
      </c>
      <c r="D944" s="21" t="s">
        <v>1087</v>
      </c>
      <c r="E944" s="21">
        <v>0</v>
      </c>
      <c r="F944" s="21"/>
      <c r="G944" s="22"/>
      <c r="H944" s="107" t="str">
        <f t="shared" si="0"/>
        <v>ifnull(t.trade_frozen_qty,0) as trade_frozen_qty,/*交易冻结数量*/</v>
      </c>
    </row>
    <row r="945" spans="1:8" s="7" customFormat="1" hidden="1" outlineLevel="1" x14ac:dyDescent="0.15">
      <c r="B945" s="20" t="s">
        <v>406</v>
      </c>
      <c r="C945" s="21" t="s">
        <v>1145</v>
      </c>
      <c r="D945" s="21" t="s">
        <v>1087</v>
      </c>
      <c r="E945" s="21">
        <v>0</v>
      </c>
      <c r="F945" s="21"/>
      <c r="G945" s="22"/>
      <c r="H945" s="107" t="str">
        <f t="shared" si="0"/>
        <v>ifnull(t.trade_unfroz_qty,0) as trade_unfroz_qty,/*交易解冻数量*/</v>
      </c>
    </row>
    <row r="946" spans="1:8" s="7" customFormat="1" hidden="1" outlineLevel="1" x14ac:dyDescent="0.15">
      <c r="B946" s="20" t="s">
        <v>407</v>
      </c>
      <c r="C946" s="21" t="s">
        <v>1136</v>
      </c>
      <c r="D946" s="21" t="s">
        <v>1087</v>
      </c>
      <c r="E946" s="21">
        <v>0</v>
      </c>
      <c r="F946" s="21"/>
      <c r="G946" s="22"/>
      <c r="H946" s="107" t="str">
        <f t="shared" si="0"/>
        <v>ifnull(t.trade_capt_qty,0) as trade_capt_qty,/*交易占用数量*/</v>
      </c>
    </row>
    <row r="947" spans="1:8" s="7" customFormat="1" hidden="1" outlineLevel="1" x14ac:dyDescent="0.15">
      <c r="B947" s="20" t="s">
        <v>408</v>
      </c>
      <c r="C947" s="21" t="s">
        <v>1200</v>
      </c>
      <c r="D947" s="21" t="s">
        <v>1087</v>
      </c>
      <c r="E947" s="21">
        <v>0</v>
      </c>
      <c r="F947" s="21"/>
      <c r="G947" s="22"/>
      <c r="H947" s="107" t="str">
        <f t="shared" si="0"/>
        <v>ifnull(t.trade_releas_qty,0) as trade_releas_qty,/*交易释放数量*/</v>
      </c>
    </row>
    <row r="948" spans="1:8" s="7" customFormat="1" hidden="1" outlineLevel="1" x14ac:dyDescent="0.15">
      <c r="B948" s="20" t="s">
        <v>409</v>
      </c>
      <c r="C948" s="21" t="s">
        <v>1201</v>
      </c>
      <c r="D948" s="21" t="s">
        <v>1087</v>
      </c>
      <c r="E948" s="21">
        <v>0</v>
      </c>
      <c r="F948" s="21"/>
      <c r="G948" s="22"/>
      <c r="H948" s="107" t="str">
        <f t="shared" si="0"/>
        <v>ifnull(t.strike_capt_qty,0) as strike_capt_qty,/*成交占用数量*/</v>
      </c>
    </row>
    <row r="949" spans="1:8" s="7" customFormat="1" hidden="1" outlineLevel="1" x14ac:dyDescent="0.15">
      <c r="B949" s="248" t="s">
        <v>140</v>
      </c>
      <c r="C949" s="249" t="s">
        <v>1137</v>
      </c>
      <c r="D949" s="249" t="s">
        <v>1087</v>
      </c>
      <c r="E949" s="249">
        <v>0</v>
      </c>
      <c r="F949" s="249"/>
      <c r="G949" s="250"/>
      <c r="H949" s="107" t="str">
        <f t="shared" si="0"/>
        <v>ifnull(t.strike_releas_qty,0) as strike_releas_qty,/*成交释放数量*/</v>
      </c>
    </row>
    <row r="950" spans="1:8" s="7" customFormat="1" hidden="1" outlineLevel="1" x14ac:dyDescent="0.15">
      <c r="B950" s="248" t="s">
        <v>139</v>
      </c>
      <c r="C950" s="249" t="s">
        <v>1138</v>
      </c>
      <c r="D950" s="249" t="s">
        <v>1087</v>
      </c>
      <c r="E950" s="249">
        <v>0</v>
      </c>
      <c r="F950" s="249"/>
      <c r="G950" s="250"/>
      <c r="H950" s="107" t="str">
        <f t="shared" si="0"/>
        <v>ifnull(t.strike_frozen_qty,0) as strike_frozen_qty,/*成交冻结数量*/</v>
      </c>
    </row>
    <row r="951" spans="1:8" s="7" customFormat="1" hidden="1" outlineLevel="1" x14ac:dyDescent="0.15">
      <c r="B951" s="20" t="s">
        <v>412</v>
      </c>
      <c r="C951" s="21" t="s">
        <v>1202</v>
      </c>
      <c r="D951" s="21" t="s">
        <v>1087</v>
      </c>
      <c r="E951" s="21">
        <v>0</v>
      </c>
      <c r="F951" s="21"/>
      <c r="G951" s="22"/>
      <c r="H951" s="107" t="str">
        <f t="shared" si="0"/>
        <v>ifnull(t.strike_unfroz_qty,0) as strike_unfroz_qty,/*成交解冻数量*/</v>
      </c>
    </row>
    <row r="952" spans="1:8" s="7" customFormat="1" hidden="1" outlineLevel="1" x14ac:dyDescent="0.15">
      <c r="B952" s="20" t="s">
        <v>413</v>
      </c>
      <c r="C952" s="21" t="s">
        <v>1139</v>
      </c>
      <c r="D952" s="21" t="s">
        <v>1087</v>
      </c>
      <c r="E952" s="21">
        <v>0</v>
      </c>
      <c r="F952" s="21"/>
      <c r="G952" s="22"/>
      <c r="H952" s="107" t="str">
        <f t="shared" si="0"/>
        <v>ifnull(t.realize_pandl,0) as realize_pandl,/*实现盈亏*/</v>
      </c>
    </row>
    <row r="953" spans="1:8" s="7" customFormat="1" hidden="1" outlineLevel="1" x14ac:dyDescent="0.15">
      <c r="B953" s="20" t="s">
        <v>153</v>
      </c>
      <c r="C953" s="15" t="s">
        <v>1143</v>
      </c>
      <c r="D953" s="15" t="s">
        <v>1169</v>
      </c>
      <c r="E953" s="15">
        <v>0</v>
      </c>
      <c r="F953" s="15"/>
      <c r="G953" s="16"/>
      <c r="H953" s="107" t="str">
        <f t="shared" si="0"/>
        <v>ifnull(t.cost_amt,0) as cost_amt,/*成本金额*/</v>
      </c>
    </row>
    <row r="954" spans="1:8" s="7" customFormat="1" hidden="1" outlineLevel="1" x14ac:dyDescent="0.15">
      <c r="B954" s="20" t="s">
        <v>414</v>
      </c>
      <c r="C954" s="15" t="s">
        <v>1213</v>
      </c>
      <c r="D954" s="15" t="s">
        <v>1169</v>
      </c>
      <c r="E954" s="15">
        <v>0</v>
      </c>
      <c r="F954" s="15"/>
      <c r="G954" s="16"/>
      <c r="H954" s="107" t="str">
        <f t="shared" si="0"/>
        <v>ifnull(t.intrst_cost_amt,0) as intrst_cost_amt,/*利息成本金额*/</v>
      </c>
    </row>
    <row r="955" spans="1:8" s="7" customFormat="1" hidden="1" outlineLevel="1" x14ac:dyDescent="0.15">
      <c r="B955" s="20" t="s">
        <v>13</v>
      </c>
      <c r="C955" s="15" t="s">
        <v>1205</v>
      </c>
      <c r="D955" s="15" t="s">
        <v>1169</v>
      </c>
      <c r="E955" s="15">
        <v>0</v>
      </c>
      <c r="F955" s="15"/>
      <c r="G955" s="16"/>
      <c r="H955" s="107" t="str">
        <f t="shared" si="0"/>
        <v>ifnull(t.intrst_pandl,0) as intrst_pandl,/*利息收益*/</v>
      </c>
    </row>
    <row r="956" spans="1:8" s="7" customFormat="1" hidden="1" outlineLevel="1" x14ac:dyDescent="0.15">
      <c r="B956" s="20" t="s">
        <v>14</v>
      </c>
      <c r="C956" s="15" t="s">
        <v>1206</v>
      </c>
      <c r="D956" s="15" t="s">
        <v>1169</v>
      </c>
      <c r="E956" s="15">
        <v>0</v>
      </c>
      <c r="F956" s="15"/>
      <c r="G956" s="16"/>
    </row>
    <row r="957" spans="1:8" s="7" customFormat="1" ht="18" hidden="1" outlineLevel="1" thickBot="1" x14ac:dyDescent="0.2">
      <c r="B957" s="14"/>
      <c r="C957" s="15"/>
      <c r="D957" s="15"/>
      <c r="E957" s="15"/>
      <c r="F957" s="15"/>
      <c r="G957" s="16"/>
    </row>
    <row r="958" spans="1:8" s="7" customFormat="1" hidden="1" outlineLevel="1" x14ac:dyDescent="0.15">
      <c r="B958" s="327" t="s">
        <v>15</v>
      </c>
      <c r="C958" s="328"/>
      <c r="D958" s="328"/>
      <c r="E958" s="328"/>
      <c r="F958" s="328"/>
      <c r="G958" s="329"/>
    </row>
    <row r="959" spans="1:8" s="7" customFormat="1" hidden="1" outlineLevel="1" x14ac:dyDescent="0.15">
      <c r="A959" s="7" t="s">
        <v>62</v>
      </c>
      <c r="B959" s="20">
        <v>1</v>
      </c>
      <c r="C959" s="21" t="s">
        <v>113</v>
      </c>
      <c r="D959" s="21" t="s">
        <v>114</v>
      </c>
      <c r="E959" s="21" t="s">
        <v>118</v>
      </c>
      <c r="F959" s="29"/>
      <c r="G959" s="141"/>
    </row>
    <row r="960" spans="1:8" s="7" customFormat="1" hidden="1" outlineLevel="1" x14ac:dyDescent="0.15">
      <c r="B960" s="20">
        <v>2</v>
      </c>
      <c r="C960" s="21" t="s">
        <v>109</v>
      </c>
      <c r="D960" s="21" t="s">
        <v>111</v>
      </c>
      <c r="E960" s="21"/>
      <c r="F960" s="29"/>
      <c r="G960" s="141"/>
    </row>
    <row r="961" spans="1:7" s="7" customFormat="1" ht="18" hidden="1" outlineLevel="1" thickBot="1" x14ac:dyDescent="0.2">
      <c r="B961" s="24"/>
      <c r="C961" s="9"/>
      <c r="D961" s="9"/>
      <c r="E961" s="9"/>
      <c r="F961" s="9"/>
      <c r="G961" s="11"/>
    </row>
    <row r="962" spans="1:7" s="7" customFormat="1" hidden="1" outlineLevel="1" x14ac:dyDescent="0.15"/>
    <row r="963" spans="1:7" s="7" customFormat="1" ht="18" hidden="1" outlineLevel="1" thickBot="1" x14ac:dyDescent="0.2"/>
    <row r="964" spans="1:7" s="7" customFormat="1" ht="18" collapsed="1" thickBot="1" x14ac:dyDescent="0.2">
      <c r="A964" s="2"/>
      <c r="B964" s="3" t="s">
        <v>563</v>
      </c>
      <c r="C964" s="147" t="s">
        <v>578</v>
      </c>
      <c r="D964" s="147" t="s">
        <v>515</v>
      </c>
      <c r="E964" s="21" t="s">
        <v>1015</v>
      </c>
      <c r="F964" s="5" t="s">
        <v>567</v>
      </c>
      <c r="G964" s="6" t="s">
        <v>1619</v>
      </c>
    </row>
    <row r="965" spans="1:7" s="7" customFormat="1" ht="18" hidden="1" outlineLevel="1" thickBot="1" x14ac:dyDescent="0.2">
      <c r="A965" s="2"/>
      <c r="B965" s="34" t="s">
        <v>570</v>
      </c>
      <c r="C965" s="18"/>
      <c r="D965" s="35" t="s">
        <v>568</v>
      </c>
      <c r="E965" s="18" t="s">
        <v>615</v>
      </c>
      <c r="F965" s="35"/>
      <c r="G965" s="19"/>
    </row>
    <row r="966" spans="1:7" s="7" customFormat="1" hidden="1" outlineLevel="1" x14ac:dyDescent="0.15">
      <c r="A966" s="2"/>
      <c r="B966" s="3" t="s">
        <v>0</v>
      </c>
      <c r="C966" s="5" t="s">
        <v>1</v>
      </c>
      <c r="D966" s="5" t="s">
        <v>2</v>
      </c>
      <c r="E966" s="5"/>
      <c r="F966" s="5" t="s">
        <v>3</v>
      </c>
      <c r="G966" s="36" t="s">
        <v>4</v>
      </c>
    </row>
    <row r="967" spans="1:7" s="7" customFormat="1" hidden="1" outlineLevel="1" x14ac:dyDescent="0.15">
      <c r="A967" s="2"/>
      <c r="B967" s="20" t="s">
        <v>6</v>
      </c>
      <c r="C967" s="21" t="s">
        <v>1163</v>
      </c>
      <c r="D967" s="21" t="s">
        <v>211</v>
      </c>
      <c r="E967" s="21">
        <v>0</v>
      </c>
      <c r="F967" s="21"/>
      <c r="G967" s="22" t="s">
        <v>1077</v>
      </c>
    </row>
    <row r="968" spans="1:7" s="7" customFormat="1" hidden="1" outlineLevel="1" x14ac:dyDescent="0.15">
      <c r="A968" s="2"/>
      <c r="B968" s="20" t="s">
        <v>111</v>
      </c>
      <c r="C968" s="21" t="s">
        <v>1164</v>
      </c>
      <c r="D968" s="21" t="s">
        <v>211</v>
      </c>
      <c r="E968" s="21">
        <v>0</v>
      </c>
      <c r="F968" s="21"/>
      <c r="G968" s="22" t="s">
        <v>1165</v>
      </c>
    </row>
    <row r="969" spans="1:7" s="7" customFormat="1" hidden="1" outlineLevel="1" x14ac:dyDescent="0.15">
      <c r="A969" s="2"/>
      <c r="B969" s="20" t="s">
        <v>113</v>
      </c>
      <c r="C969" s="21" t="s">
        <v>1187</v>
      </c>
      <c r="D969" s="21" t="s">
        <v>211</v>
      </c>
      <c r="E969" s="21">
        <v>0</v>
      </c>
      <c r="F969" s="21"/>
      <c r="G969" s="22"/>
    </row>
    <row r="970" spans="1:7" s="7" customFormat="1" hidden="1" outlineLevel="1" x14ac:dyDescent="0.15">
      <c r="A970" s="2"/>
      <c r="B970" s="20" t="s">
        <v>7</v>
      </c>
      <c r="C970" s="21" t="s">
        <v>1190</v>
      </c>
      <c r="D970" s="21" t="s">
        <v>211</v>
      </c>
      <c r="E970" s="21">
        <v>0</v>
      </c>
      <c r="F970" s="21"/>
      <c r="G970" s="22" t="s">
        <v>1081</v>
      </c>
    </row>
    <row r="971" spans="1:7" s="7" customFormat="1" hidden="1" outlineLevel="1" x14ac:dyDescent="0.15">
      <c r="A971" s="2"/>
      <c r="B971" s="20" t="s">
        <v>114</v>
      </c>
      <c r="C971" s="21" t="s">
        <v>1155</v>
      </c>
      <c r="D971" s="21" t="s">
        <v>211</v>
      </c>
      <c r="E971" s="21">
        <v>0</v>
      </c>
      <c r="F971" s="21"/>
      <c r="G971" s="22"/>
    </row>
    <row r="972" spans="1:7" s="7" customFormat="1" hidden="1" outlineLevel="1" x14ac:dyDescent="0.15">
      <c r="A972" s="2"/>
      <c r="B972" s="20" t="s">
        <v>115</v>
      </c>
      <c r="C972" s="21" t="s">
        <v>1188</v>
      </c>
      <c r="D972" s="21" t="s">
        <v>211</v>
      </c>
      <c r="E972" s="21">
        <v>0</v>
      </c>
      <c r="F972" s="21"/>
      <c r="G972" s="22"/>
    </row>
    <row r="973" spans="1:7" s="7" customFormat="1" hidden="1" outlineLevel="1" x14ac:dyDescent="0.15">
      <c r="A973" s="2"/>
      <c r="B973" s="20" t="s">
        <v>93</v>
      </c>
      <c r="C973" s="21" t="s">
        <v>1189</v>
      </c>
      <c r="D973" s="21" t="s">
        <v>211</v>
      </c>
      <c r="E973" s="21">
        <v>0</v>
      </c>
      <c r="F973" s="21"/>
      <c r="G973" s="22"/>
    </row>
    <row r="974" spans="1:7" s="7" customFormat="1" hidden="1" outlineLevel="1" x14ac:dyDescent="0.15">
      <c r="A974" s="2"/>
      <c r="B974" s="20" t="s">
        <v>41</v>
      </c>
      <c r="C974" s="21" t="s">
        <v>1258</v>
      </c>
      <c r="D974" s="21" t="s">
        <v>211</v>
      </c>
      <c r="E974" s="21">
        <v>0</v>
      </c>
      <c r="F974" s="21"/>
      <c r="G974" s="22" t="s">
        <v>1259</v>
      </c>
    </row>
    <row r="975" spans="1:7" s="7" customFormat="1" hidden="1" outlineLevel="1" x14ac:dyDescent="0.15">
      <c r="A975" s="2"/>
      <c r="B975" s="20" t="s">
        <v>8</v>
      </c>
      <c r="C975" s="21" t="s">
        <v>1193</v>
      </c>
      <c r="D975" s="21" t="s">
        <v>1087</v>
      </c>
      <c r="E975" s="21">
        <v>0</v>
      </c>
      <c r="F975" s="21"/>
      <c r="G975" s="22" t="s">
        <v>1194</v>
      </c>
    </row>
    <row r="976" spans="1:7" s="7" customFormat="1" hidden="1" outlineLevel="1" x14ac:dyDescent="0.15">
      <c r="A976" s="2"/>
      <c r="B976" s="20" t="s">
        <v>9</v>
      </c>
      <c r="C976" s="21" t="s">
        <v>1195</v>
      </c>
      <c r="D976" s="21" t="s">
        <v>1087</v>
      </c>
      <c r="E976" s="21">
        <v>0</v>
      </c>
      <c r="F976" s="21"/>
      <c r="G976" s="22" t="s">
        <v>1196</v>
      </c>
    </row>
    <row r="977" spans="1:7" s="7" customFormat="1" hidden="1" outlineLevel="1" x14ac:dyDescent="0.15">
      <c r="A977" s="2"/>
      <c r="B977" s="20" t="s">
        <v>10</v>
      </c>
      <c r="C977" s="21" t="s">
        <v>1197</v>
      </c>
      <c r="D977" s="21" t="s">
        <v>1087</v>
      </c>
      <c r="E977" s="21">
        <v>0</v>
      </c>
      <c r="F977" s="21"/>
      <c r="G977" s="22" t="s">
        <v>1144</v>
      </c>
    </row>
    <row r="978" spans="1:7" s="7" customFormat="1" hidden="1" outlineLevel="1" x14ac:dyDescent="0.15">
      <c r="A978" s="2"/>
      <c r="B978" s="20" t="s">
        <v>11</v>
      </c>
      <c r="C978" s="21" t="s">
        <v>1198</v>
      </c>
      <c r="D978" s="21" t="s">
        <v>1087</v>
      </c>
      <c r="E978" s="21">
        <v>0</v>
      </c>
      <c r="F978" s="21"/>
      <c r="G978" s="22" t="s">
        <v>1080</v>
      </c>
    </row>
    <row r="979" spans="1:7" s="7" customFormat="1" hidden="1" outlineLevel="1" x14ac:dyDescent="0.15">
      <c r="A979" s="2"/>
      <c r="B979" s="20" t="s">
        <v>116</v>
      </c>
      <c r="C979" s="21" t="s">
        <v>1213</v>
      </c>
      <c r="D979" s="21" t="s">
        <v>1169</v>
      </c>
      <c r="E979" s="21">
        <v>0</v>
      </c>
      <c r="F979" s="21"/>
      <c r="G979" s="22"/>
    </row>
    <row r="980" spans="1:7" s="7" customFormat="1" hidden="1" outlineLevel="1" x14ac:dyDescent="0.15">
      <c r="A980" s="2"/>
      <c r="B980" s="20" t="s">
        <v>12</v>
      </c>
      <c r="C980" s="21" t="s">
        <v>1143</v>
      </c>
      <c r="D980" s="21" t="s">
        <v>1169</v>
      </c>
      <c r="E980" s="21">
        <v>0</v>
      </c>
      <c r="F980" s="21"/>
      <c r="G980" s="22"/>
    </row>
    <row r="981" spans="1:7" s="7" customFormat="1" hidden="1" outlineLevel="1" x14ac:dyDescent="0.15">
      <c r="A981" s="2"/>
      <c r="B981" s="20" t="s">
        <v>13</v>
      </c>
      <c r="C981" s="21" t="s">
        <v>1205</v>
      </c>
      <c r="D981" s="21" t="s">
        <v>1169</v>
      </c>
      <c r="E981" s="21">
        <v>0</v>
      </c>
      <c r="F981" s="21"/>
      <c r="G981" s="22"/>
    </row>
    <row r="982" spans="1:7" s="7" customFormat="1" hidden="1" outlineLevel="1" x14ac:dyDescent="0.15">
      <c r="A982" s="2"/>
      <c r="B982" s="20" t="s">
        <v>14</v>
      </c>
      <c r="C982" s="21" t="s">
        <v>1206</v>
      </c>
      <c r="D982" s="21" t="s">
        <v>1169</v>
      </c>
      <c r="E982" s="21">
        <v>0</v>
      </c>
      <c r="F982" s="21"/>
      <c r="G982" s="22"/>
    </row>
    <row r="983" spans="1:7" s="7" customFormat="1" ht="18" hidden="1" outlineLevel="1" thickBot="1" x14ac:dyDescent="0.2">
      <c r="A983" s="2"/>
      <c r="B983" s="24"/>
      <c r="C983" s="9"/>
      <c r="D983" s="9"/>
      <c r="E983" s="9"/>
      <c r="F983" s="9"/>
      <c r="G983" s="11"/>
    </row>
    <row r="984" spans="1:7" s="7" customFormat="1" hidden="1" outlineLevel="1" x14ac:dyDescent="0.15">
      <c r="A984" s="2"/>
      <c r="B984" s="327" t="s">
        <v>15</v>
      </c>
      <c r="C984" s="328"/>
      <c r="D984" s="328"/>
      <c r="E984" s="328"/>
      <c r="F984" s="328"/>
      <c r="G984" s="329"/>
    </row>
    <row r="985" spans="1:7" s="7" customFormat="1" hidden="1" outlineLevel="1" x14ac:dyDescent="0.15">
      <c r="A985" s="2" t="s">
        <v>62</v>
      </c>
      <c r="B985" s="20">
        <v>1</v>
      </c>
      <c r="C985" s="23" t="s">
        <v>113</v>
      </c>
      <c r="D985" s="21" t="s">
        <v>114</v>
      </c>
      <c r="E985" s="21" t="s">
        <v>115</v>
      </c>
      <c r="F985" s="21"/>
      <c r="G985" s="21"/>
    </row>
    <row r="986" spans="1:7" s="7" customFormat="1" hidden="1" outlineLevel="1" x14ac:dyDescent="0.15">
      <c r="A986" s="2"/>
      <c r="B986" s="17">
        <v>2</v>
      </c>
      <c r="C986" s="37" t="s">
        <v>16</v>
      </c>
      <c r="D986" s="18" t="s">
        <v>111</v>
      </c>
      <c r="E986" s="18" t="s">
        <v>18</v>
      </c>
      <c r="F986" s="18"/>
      <c r="G986" s="38"/>
    </row>
    <row r="987" spans="1:7" ht="18" hidden="1" outlineLevel="1" thickBot="1" x14ac:dyDescent="0.2">
      <c r="A987" s="2"/>
      <c r="B987" s="24"/>
      <c r="C987" s="9"/>
      <c r="D987" s="9"/>
      <c r="E987" s="9"/>
      <c r="F987" s="9"/>
      <c r="G987" s="11"/>
    </row>
    <row r="988" spans="1:7" s="7" customFormat="1" ht="18" hidden="1" outlineLevel="1" thickBot="1" x14ac:dyDescent="0.2">
      <c r="A988" s="1"/>
      <c r="B988" s="1"/>
      <c r="C988" s="1"/>
      <c r="D988" s="1"/>
      <c r="E988" s="1"/>
      <c r="F988" s="1"/>
      <c r="G988" s="1"/>
    </row>
    <row r="989" spans="1:7" s="7" customFormat="1" ht="18" collapsed="1" thickBot="1" x14ac:dyDescent="0.2">
      <c r="A989" s="2"/>
      <c r="B989" s="3" t="s">
        <v>563</v>
      </c>
      <c r="C989" s="147" t="s">
        <v>564</v>
      </c>
      <c r="D989" s="147" t="s">
        <v>515</v>
      </c>
      <c r="E989" s="21" t="s">
        <v>595</v>
      </c>
      <c r="F989" s="5" t="s">
        <v>567</v>
      </c>
      <c r="G989" s="6" t="s">
        <v>1620</v>
      </c>
    </row>
    <row r="990" spans="1:7" s="7" customFormat="1" ht="18" hidden="1" outlineLevel="1" thickBot="1" x14ac:dyDescent="0.2">
      <c r="A990" s="2"/>
      <c r="B990" s="34" t="s">
        <v>570</v>
      </c>
      <c r="C990" s="18"/>
      <c r="D990" s="35" t="s">
        <v>568</v>
      </c>
      <c r="E990" s="18" t="s">
        <v>615</v>
      </c>
      <c r="F990" s="35"/>
      <c r="G990" s="19"/>
    </row>
    <row r="991" spans="1:7" s="7" customFormat="1" hidden="1" outlineLevel="1" x14ac:dyDescent="0.15">
      <c r="A991" s="2"/>
      <c r="B991" s="3" t="s">
        <v>0</v>
      </c>
      <c r="C991" s="5" t="s">
        <v>1</v>
      </c>
      <c r="D991" s="5" t="s">
        <v>2</v>
      </c>
      <c r="E991" s="5"/>
      <c r="F991" s="5" t="s">
        <v>3</v>
      </c>
      <c r="G991" s="36" t="s">
        <v>4</v>
      </c>
    </row>
    <row r="992" spans="1:7" s="7" customFormat="1" hidden="1" outlineLevel="1" x14ac:dyDescent="0.15">
      <c r="A992" s="2"/>
      <c r="B992" s="20" t="s">
        <v>6</v>
      </c>
      <c r="C992" s="21" t="s">
        <v>1163</v>
      </c>
      <c r="D992" s="21" t="s">
        <v>211</v>
      </c>
      <c r="E992" s="21">
        <v>0</v>
      </c>
      <c r="F992" s="21"/>
      <c r="G992" s="22" t="s">
        <v>1077</v>
      </c>
    </row>
    <row r="993" spans="1:7" s="7" customFormat="1" hidden="1" outlineLevel="1" x14ac:dyDescent="0.15">
      <c r="A993" s="2"/>
      <c r="B993" s="20" t="s">
        <v>111</v>
      </c>
      <c r="C993" s="21" t="s">
        <v>1164</v>
      </c>
      <c r="D993" s="21" t="s">
        <v>211</v>
      </c>
      <c r="E993" s="21">
        <v>0</v>
      </c>
      <c r="F993" s="21"/>
      <c r="G993" s="22" t="s">
        <v>1165</v>
      </c>
    </row>
    <row r="994" spans="1:7" s="7" customFormat="1" hidden="1" outlineLevel="1" x14ac:dyDescent="0.15">
      <c r="A994" s="2"/>
      <c r="B994" s="20" t="s">
        <v>112</v>
      </c>
      <c r="C994" s="21" t="s">
        <v>1133</v>
      </c>
      <c r="D994" s="21" t="s">
        <v>211</v>
      </c>
      <c r="E994" s="21">
        <v>0</v>
      </c>
      <c r="F994" s="21"/>
      <c r="G994" s="22" t="s">
        <v>1182</v>
      </c>
    </row>
    <row r="995" spans="1:7" s="7" customFormat="1" hidden="1" outlineLevel="1" x14ac:dyDescent="0.15">
      <c r="A995" s="2"/>
      <c r="B995" s="20" t="s">
        <v>113</v>
      </c>
      <c r="C995" s="21" t="s">
        <v>1187</v>
      </c>
      <c r="D995" s="21" t="s">
        <v>211</v>
      </c>
      <c r="E995" s="21">
        <v>0</v>
      </c>
      <c r="F995" s="21"/>
      <c r="G995" s="22"/>
    </row>
    <row r="996" spans="1:7" s="7" customFormat="1" hidden="1" outlineLevel="1" x14ac:dyDescent="0.15">
      <c r="A996" s="2"/>
      <c r="B996" s="20" t="s">
        <v>7</v>
      </c>
      <c r="C996" s="21" t="s">
        <v>1190</v>
      </c>
      <c r="D996" s="21" t="s">
        <v>211</v>
      </c>
      <c r="E996" s="21">
        <v>0</v>
      </c>
      <c r="F996" s="21"/>
      <c r="G996" s="22" t="s">
        <v>1081</v>
      </c>
    </row>
    <row r="997" spans="1:7" s="7" customFormat="1" hidden="1" outlineLevel="1" x14ac:dyDescent="0.15">
      <c r="A997" s="2"/>
      <c r="B997" s="20" t="s">
        <v>114</v>
      </c>
      <c r="C997" s="21" t="s">
        <v>1155</v>
      </c>
      <c r="D997" s="21" t="s">
        <v>211</v>
      </c>
      <c r="E997" s="21">
        <v>0</v>
      </c>
      <c r="F997" s="21"/>
      <c r="G997" s="22"/>
    </row>
    <row r="998" spans="1:7" s="7" customFormat="1" hidden="1" outlineLevel="1" x14ac:dyDescent="0.15">
      <c r="A998" s="2"/>
      <c r="B998" s="20" t="s">
        <v>115</v>
      </c>
      <c r="C998" s="21" t="s">
        <v>1188</v>
      </c>
      <c r="D998" s="21" t="s">
        <v>211</v>
      </c>
      <c r="E998" s="21">
        <v>0</v>
      </c>
      <c r="F998" s="21"/>
      <c r="G998" s="22"/>
    </row>
    <row r="999" spans="1:7" s="7" customFormat="1" hidden="1" outlineLevel="1" x14ac:dyDescent="0.15">
      <c r="A999" s="2"/>
      <c r="B999" s="20" t="s">
        <v>93</v>
      </c>
      <c r="C999" s="21" t="s">
        <v>1189</v>
      </c>
      <c r="D999" s="21" t="s">
        <v>211</v>
      </c>
      <c r="E999" s="21">
        <v>0</v>
      </c>
      <c r="F999" s="21"/>
      <c r="G999" s="22"/>
    </row>
    <row r="1000" spans="1:7" s="7" customFormat="1" hidden="1" outlineLevel="1" x14ac:dyDescent="0.15">
      <c r="A1000" s="2"/>
      <c r="B1000" s="20" t="s">
        <v>41</v>
      </c>
      <c r="C1000" s="21" t="s">
        <v>1258</v>
      </c>
      <c r="D1000" s="21" t="s">
        <v>211</v>
      </c>
      <c r="E1000" s="21">
        <v>0</v>
      </c>
      <c r="F1000" s="21"/>
      <c r="G1000" s="22" t="s">
        <v>1259</v>
      </c>
    </row>
    <row r="1001" spans="1:7" s="7" customFormat="1" hidden="1" outlineLevel="1" x14ac:dyDescent="0.15">
      <c r="A1001" s="2"/>
      <c r="B1001" s="20" t="s">
        <v>8</v>
      </c>
      <c r="C1001" s="21" t="s">
        <v>1193</v>
      </c>
      <c r="D1001" s="21" t="s">
        <v>1087</v>
      </c>
      <c r="E1001" s="21">
        <v>0</v>
      </c>
      <c r="F1001" s="21"/>
      <c r="G1001" s="22" t="s">
        <v>1194</v>
      </c>
    </row>
    <row r="1002" spans="1:7" s="7" customFormat="1" hidden="1" outlineLevel="1" x14ac:dyDescent="0.15">
      <c r="A1002" s="2"/>
      <c r="B1002" s="20" t="s">
        <v>9</v>
      </c>
      <c r="C1002" s="21" t="s">
        <v>1195</v>
      </c>
      <c r="D1002" s="21" t="s">
        <v>1087</v>
      </c>
      <c r="E1002" s="21">
        <v>0</v>
      </c>
      <c r="F1002" s="21"/>
      <c r="G1002" s="22" t="s">
        <v>1196</v>
      </c>
    </row>
    <row r="1003" spans="1:7" s="7" customFormat="1" hidden="1" outlineLevel="1" x14ac:dyDescent="0.15">
      <c r="A1003" s="2"/>
      <c r="B1003" s="20" t="s">
        <v>10</v>
      </c>
      <c r="C1003" s="21" t="s">
        <v>1197</v>
      </c>
      <c r="D1003" s="21" t="s">
        <v>1087</v>
      </c>
      <c r="E1003" s="21">
        <v>0</v>
      </c>
      <c r="F1003" s="21"/>
      <c r="G1003" s="22" t="s">
        <v>1144</v>
      </c>
    </row>
    <row r="1004" spans="1:7" s="7" customFormat="1" hidden="1" outlineLevel="1" x14ac:dyDescent="0.15">
      <c r="A1004" s="2"/>
      <c r="B1004" s="20" t="s">
        <v>11</v>
      </c>
      <c r="C1004" s="21" t="s">
        <v>1198</v>
      </c>
      <c r="D1004" s="21" t="s">
        <v>1087</v>
      </c>
      <c r="E1004" s="21">
        <v>0</v>
      </c>
      <c r="F1004" s="21"/>
      <c r="G1004" s="22" t="s">
        <v>1080</v>
      </c>
    </row>
    <row r="1005" spans="1:7" s="7" customFormat="1" hidden="1" outlineLevel="1" x14ac:dyDescent="0.15">
      <c r="A1005" s="2"/>
      <c r="B1005" s="20" t="s">
        <v>116</v>
      </c>
      <c r="C1005" s="21" t="s">
        <v>1213</v>
      </c>
      <c r="D1005" s="21" t="s">
        <v>1169</v>
      </c>
      <c r="E1005" s="21">
        <v>0</v>
      </c>
      <c r="F1005" s="21"/>
      <c r="G1005" s="22"/>
    </row>
    <row r="1006" spans="1:7" s="7" customFormat="1" hidden="1" outlineLevel="1" x14ac:dyDescent="0.15">
      <c r="A1006" s="2"/>
      <c r="B1006" s="20" t="s">
        <v>12</v>
      </c>
      <c r="C1006" s="21" t="s">
        <v>1143</v>
      </c>
      <c r="D1006" s="21" t="s">
        <v>1169</v>
      </c>
      <c r="E1006" s="21">
        <v>0</v>
      </c>
      <c r="F1006" s="21"/>
      <c r="G1006" s="22"/>
    </row>
    <row r="1007" spans="1:7" s="7" customFormat="1" hidden="1" outlineLevel="1" x14ac:dyDescent="0.15">
      <c r="A1007" s="2"/>
      <c r="B1007" s="20" t="s">
        <v>13</v>
      </c>
      <c r="C1007" s="21" t="s">
        <v>1205</v>
      </c>
      <c r="D1007" s="21" t="s">
        <v>1169</v>
      </c>
      <c r="E1007" s="21">
        <v>0</v>
      </c>
      <c r="F1007" s="21"/>
      <c r="G1007" s="22"/>
    </row>
    <row r="1008" spans="1:7" s="7" customFormat="1" hidden="1" outlineLevel="1" x14ac:dyDescent="0.15">
      <c r="A1008" s="2"/>
      <c r="B1008" s="20" t="s">
        <v>14</v>
      </c>
      <c r="C1008" s="21" t="s">
        <v>1206</v>
      </c>
      <c r="D1008" s="21" t="s">
        <v>1169</v>
      </c>
      <c r="E1008" s="21">
        <v>0</v>
      </c>
      <c r="F1008" s="21"/>
      <c r="G1008" s="22"/>
    </row>
    <row r="1009" spans="1:7" s="7" customFormat="1" ht="18" hidden="1" outlineLevel="1" thickBot="1" x14ac:dyDescent="0.2">
      <c r="A1009" s="2"/>
      <c r="B1009" s="24"/>
      <c r="C1009" s="9"/>
      <c r="D1009" s="9"/>
      <c r="E1009" s="9"/>
      <c r="F1009" s="9"/>
      <c r="G1009" s="11"/>
    </row>
    <row r="1010" spans="1:7" s="7" customFormat="1" hidden="1" outlineLevel="1" x14ac:dyDescent="0.15">
      <c r="A1010" s="2"/>
      <c r="B1010" s="327" t="s">
        <v>15</v>
      </c>
      <c r="C1010" s="328"/>
      <c r="D1010" s="328"/>
      <c r="E1010" s="328"/>
      <c r="F1010" s="328"/>
      <c r="G1010" s="329"/>
    </row>
    <row r="1011" spans="1:7" s="7" customFormat="1" hidden="1" outlineLevel="1" x14ac:dyDescent="0.15">
      <c r="A1011" s="2" t="s">
        <v>62</v>
      </c>
      <c r="B1011" s="20">
        <v>1</v>
      </c>
      <c r="C1011" s="23" t="s">
        <v>112</v>
      </c>
      <c r="D1011" s="21" t="s">
        <v>113</v>
      </c>
      <c r="E1011" s="21" t="s">
        <v>114</v>
      </c>
      <c r="F1011" s="21" t="s">
        <v>118</v>
      </c>
      <c r="G1011" s="21"/>
    </row>
    <row r="1012" spans="1:7" s="7" customFormat="1" hidden="1" outlineLevel="1" x14ac:dyDescent="0.15">
      <c r="A1012" s="2"/>
      <c r="B1012" s="17">
        <v>2</v>
      </c>
      <c r="C1012" s="37" t="s">
        <v>109</v>
      </c>
      <c r="D1012" s="18" t="s">
        <v>111</v>
      </c>
      <c r="E1012" s="18" t="s">
        <v>18</v>
      </c>
      <c r="F1012" s="18"/>
      <c r="G1012" s="38"/>
    </row>
    <row r="1013" spans="1:7" ht="18" hidden="1" outlineLevel="1" thickBot="1" x14ac:dyDescent="0.2">
      <c r="A1013" s="2"/>
      <c r="B1013" s="24"/>
      <c r="C1013" s="9"/>
      <c r="D1013" s="9"/>
      <c r="E1013" s="9"/>
      <c r="F1013" s="9"/>
      <c r="G1013" s="11"/>
    </row>
    <row r="1014" spans="1:7" s="7" customFormat="1" ht="18" hidden="1" outlineLevel="1" thickBot="1" x14ac:dyDescent="0.2">
      <c r="A1014" s="1"/>
      <c r="B1014" s="1"/>
      <c r="C1014" s="1"/>
      <c r="D1014" s="1"/>
      <c r="E1014" s="1"/>
      <c r="F1014" s="1"/>
      <c r="G1014" s="1"/>
    </row>
    <row r="1015" spans="1:7" s="7" customFormat="1" ht="18" collapsed="1" thickBot="1" x14ac:dyDescent="0.2">
      <c r="B1015" s="3" t="s">
        <v>563</v>
      </c>
      <c r="C1015" s="4" t="s">
        <v>565</v>
      </c>
      <c r="D1015" s="5" t="s">
        <v>515</v>
      </c>
      <c r="E1015" s="21" t="s">
        <v>1017</v>
      </c>
      <c r="F1015" s="5" t="s">
        <v>567</v>
      </c>
      <c r="G1015" s="6" t="s">
        <v>1618</v>
      </c>
    </row>
    <row r="1016" spans="1:7" s="7" customFormat="1" ht="18" hidden="1" outlineLevel="1" thickBot="1" x14ac:dyDescent="0.2">
      <c r="B1016" s="34" t="s">
        <v>570</v>
      </c>
      <c r="C1016" s="18"/>
      <c r="D1016" s="35" t="s">
        <v>568</v>
      </c>
      <c r="E1016" s="18" t="s">
        <v>615</v>
      </c>
      <c r="F1016" s="35"/>
      <c r="G1016" s="19"/>
    </row>
    <row r="1017" spans="1:7" s="7" customFormat="1" hidden="1" outlineLevel="1" x14ac:dyDescent="0.15">
      <c r="B1017" s="3" t="s">
        <v>0</v>
      </c>
      <c r="C1017" s="5" t="s">
        <v>1</v>
      </c>
      <c r="D1017" s="5" t="s">
        <v>2</v>
      </c>
      <c r="E1017" s="5"/>
      <c r="F1017" s="5" t="s">
        <v>3</v>
      </c>
      <c r="G1017" s="36" t="s">
        <v>4</v>
      </c>
    </row>
    <row r="1018" spans="1:7" s="7" customFormat="1" hidden="1" outlineLevel="1" x14ac:dyDescent="0.15">
      <c r="A1018" s="2"/>
      <c r="B1018" s="20" t="s">
        <v>6</v>
      </c>
      <c r="C1018" s="21" t="s">
        <v>1163</v>
      </c>
      <c r="D1018" s="21" t="s">
        <v>211</v>
      </c>
      <c r="E1018" s="21">
        <v>0</v>
      </c>
      <c r="F1018" s="21"/>
      <c r="G1018" s="22" t="s">
        <v>1077</v>
      </c>
    </row>
    <row r="1019" spans="1:7" s="7" customFormat="1" hidden="1" outlineLevel="1" x14ac:dyDescent="0.15">
      <c r="A1019" s="2"/>
      <c r="B1019" s="20" t="s">
        <v>111</v>
      </c>
      <c r="C1019" s="21" t="s">
        <v>1164</v>
      </c>
      <c r="D1019" s="21" t="s">
        <v>211</v>
      </c>
      <c r="E1019" s="21">
        <v>0</v>
      </c>
      <c r="F1019" s="21"/>
      <c r="G1019" s="22" t="s">
        <v>1165</v>
      </c>
    </row>
    <row r="1020" spans="1:7" s="7" customFormat="1" hidden="1" outlineLevel="1" x14ac:dyDescent="0.15">
      <c r="A1020" s="2"/>
      <c r="B1020" s="20" t="s">
        <v>123</v>
      </c>
      <c r="C1020" s="21" t="s">
        <v>1133</v>
      </c>
      <c r="D1020" s="21" t="s">
        <v>211</v>
      </c>
      <c r="E1020" s="21">
        <v>0</v>
      </c>
      <c r="F1020" s="21"/>
      <c r="G1020" s="22" t="s">
        <v>1182</v>
      </c>
    </row>
    <row r="1021" spans="1:7" s="7" customFormat="1" hidden="1" outlineLevel="1" x14ac:dyDescent="0.15">
      <c r="A1021" s="2"/>
      <c r="B1021" s="20" t="s">
        <v>113</v>
      </c>
      <c r="C1021" s="21" t="s">
        <v>1187</v>
      </c>
      <c r="D1021" s="21" t="s">
        <v>211</v>
      </c>
      <c r="E1021" s="21">
        <v>0</v>
      </c>
      <c r="F1021" s="21"/>
      <c r="G1021" s="22"/>
    </row>
    <row r="1022" spans="1:7" s="7" customFormat="1" hidden="1" outlineLevel="1" x14ac:dyDescent="0.15">
      <c r="B1022" s="20" t="s">
        <v>7</v>
      </c>
      <c r="C1022" s="21" t="s">
        <v>1190</v>
      </c>
      <c r="D1022" s="21" t="s">
        <v>211</v>
      </c>
      <c r="E1022" s="21">
        <v>0</v>
      </c>
      <c r="F1022" s="21"/>
      <c r="G1022" s="22" t="s">
        <v>1081</v>
      </c>
    </row>
    <row r="1023" spans="1:7" s="7" customFormat="1" hidden="1" outlineLevel="1" x14ac:dyDescent="0.15">
      <c r="B1023" s="20" t="s">
        <v>114</v>
      </c>
      <c r="C1023" s="21" t="s">
        <v>1155</v>
      </c>
      <c r="D1023" s="21" t="s">
        <v>211</v>
      </c>
      <c r="E1023" s="21">
        <v>0</v>
      </c>
      <c r="F1023" s="21"/>
      <c r="G1023" s="22"/>
    </row>
    <row r="1024" spans="1:7" s="7" customFormat="1" hidden="1" outlineLevel="1" x14ac:dyDescent="0.15">
      <c r="B1024" s="20" t="s">
        <v>118</v>
      </c>
      <c r="C1024" s="21" t="s">
        <v>1188</v>
      </c>
      <c r="D1024" s="21" t="s">
        <v>211</v>
      </c>
      <c r="E1024" s="21">
        <v>0</v>
      </c>
      <c r="F1024" s="21"/>
      <c r="G1024" s="22"/>
    </row>
    <row r="1025" spans="1:7" s="7" customFormat="1" hidden="1" outlineLevel="1" x14ac:dyDescent="0.15">
      <c r="A1025" s="2"/>
      <c r="B1025" s="20" t="s">
        <v>399</v>
      </c>
      <c r="C1025" s="21" t="s">
        <v>1193</v>
      </c>
      <c r="D1025" s="21" t="s">
        <v>1087</v>
      </c>
      <c r="E1025" s="21">
        <v>0</v>
      </c>
      <c r="F1025" s="21"/>
      <c r="G1025" s="22" t="s">
        <v>1194</v>
      </c>
    </row>
    <row r="1026" spans="1:7" s="7" customFormat="1" hidden="1" outlineLevel="1" x14ac:dyDescent="0.15">
      <c r="A1026" s="2"/>
      <c r="B1026" s="20" t="s">
        <v>156</v>
      </c>
      <c r="C1026" s="21" t="s">
        <v>1195</v>
      </c>
      <c r="D1026" s="21" t="s">
        <v>1087</v>
      </c>
      <c r="E1026" s="21">
        <v>0</v>
      </c>
      <c r="F1026" s="21"/>
      <c r="G1026" s="22" t="s">
        <v>1196</v>
      </c>
    </row>
    <row r="1027" spans="1:7" s="7" customFormat="1" hidden="1" outlineLevel="1" x14ac:dyDescent="0.15">
      <c r="B1027" s="20" t="s">
        <v>400</v>
      </c>
      <c r="C1027" s="21" t="s">
        <v>1197</v>
      </c>
      <c r="D1027" s="21" t="s">
        <v>1087</v>
      </c>
      <c r="E1027" s="21">
        <v>0</v>
      </c>
      <c r="F1027" s="21"/>
      <c r="G1027" s="22" t="s">
        <v>1144</v>
      </c>
    </row>
    <row r="1028" spans="1:7" s="7" customFormat="1" hidden="1" outlineLevel="1" x14ac:dyDescent="0.15">
      <c r="B1028" s="20" t="s">
        <v>401</v>
      </c>
      <c r="C1028" s="21" t="s">
        <v>1198</v>
      </c>
      <c r="D1028" s="21" t="s">
        <v>1087</v>
      </c>
      <c r="E1028" s="21">
        <v>0</v>
      </c>
      <c r="F1028" s="21"/>
      <c r="G1028" s="22" t="s">
        <v>1080</v>
      </c>
    </row>
    <row r="1029" spans="1:7" s="7" customFormat="1" hidden="1" outlineLevel="1" x14ac:dyDescent="0.15">
      <c r="B1029" s="20" t="s">
        <v>402</v>
      </c>
      <c r="C1029" s="21" t="s">
        <v>1083</v>
      </c>
      <c r="D1029" s="21" t="s">
        <v>1087</v>
      </c>
      <c r="E1029" s="21">
        <v>0</v>
      </c>
      <c r="F1029" s="21"/>
      <c r="G1029" s="22"/>
    </row>
    <row r="1030" spans="1:7" s="7" customFormat="1" hidden="1" outlineLevel="1" x14ac:dyDescent="0.15">
      <c r="B1030" s="20" t="s">
        <v>403</v>
      </c>
      <c r="C1030" s="21" t="s">
        <v>1135</v>
      </c>
      <c r="D1030" s="21" t="s">
        <v>1087</v>
      </c>
      <c r="E1030" s="21">
        <v>0</v>
      </c>
      <c r="F1030" s="21"/>
      <c r="G1030" s="22"/>
    </row>
    <row r="1031" spans="1:7" s="7" customFormat="1" hidden="1" outlineLevel="1" x14ac:dyDescent="0.15">
      <c r="B1031" s="20" t="s">
        <v>404</v>
      </c>
      <c r="C1031" s="21" t="s">
        <v>1335</v>
      </c>
      <c r="D1031" s="21" t="s">
        <v>1087</v>
      </c>
      <c r="E1031" s="21">
        <v>0</v>
      </c>
      <c r="F1031" s="21"/>
      <c r="G1031" s="22"/>
    </row>
    <row r="1032" spans="1:7" s="7" customFormat="1" hidden="1" outlineLevel="1" x14ac:dyDescent="0.15">
      <c r="B1032" s="20" t="s">
        <v>405</v>
      </c>
      <c r="C1032" s="21" t="s">
        <v>1199</v>
      </c>
      <c r="D1032" s="21" t="s">
        <v>1087</v>
      </c>
      <c r="E1032" s="21">
        <v>0</v>
      </c>
      <c r="F1032" s="21"/>
      <c r="G1032" s="22"/>
    </row>
    <row r="1033" spans="1:7" s="7" customFormat="1" hidden="1" outlineLevel="1" x14ac:dyDescent="0.15">
      <c r="B1033" s="20" t="s">
        <v>406</v>
      </c>
      <c r="C1033" s="21" t="s">
        <v>1145</v>
      </c>
      <c r="D1033" s="21" t="s">
        <v>1087</v>
      </c>
      <c r="E1033" s="21">
        <v>0</v>
      </c>
      <c r="F1033" s="21"/>
      <c r="G1033" s="22"/>
    </row>
    <row r="1034" spans="1:7" s="7" customFormat="1" hidden="1" outlineLevel="1" x14ac:dyDescent="0.15">
      <c r="B1034" s="20" t="s">
        <v>407</v>
      </c>
      <c r="C1034" s="21" t="s">
        <v>1136</v>
      </c>
      <c r="D1034" s="21" t="s">
        <v>1087</v>
      </c>
      <c r="E1034" s="21">
        <v>0</v>
      </c>
      <c r="F1034" s="21"/>
      <c r="G1034" s="22"/>
    </row>
    <row r="1035" spans="1:7" s="7" customFormat="1" hidden="1" outlineLevel="1" x14ac:dyDescent="0.15">
      <c r="B1035" s="20" t="s">
        <v>138</v>
      </c>
      <c r="C1035" s="21" t="s">
        <v>1200</v>
      </c>
      <c r="D1035" s="21" t="s">
        <v>1087</v>
      </c>
      <c r="E1035" s="21">
        <v>0</v>
      </c>
      <c r="F1035" s="21"/>
      <c r="G1035" s="22"/>
    </row>
    <row r="1036" spans="1:7" s="7" customFormat="1" hidden="1" outlineLevel="1" x14ac:dyDescent="0.15">
      <c r="B1036" s="20" t="s">
        <v>409</v>
      </c>
      <c r="C1036" s="21" t="s">
        <v>1201</v>
      </c>
      <c r="D1036" s="21" t="s">
        <v>1087</v>
      </c>
      <c r="E1036" s="21">
        <v>0</v>
      </c>
      <c r="F1036" s="21"/>
      <c r="G1036" s="22"/>
    </row>
    <row r="1037" spans="1:7" s="7" customFormat="1" hidden="1" outlineLevel="1" x14ac:dyDescent="0.15">
      <c r="B1037" s="20" t="s">
        <v>410</v>
      </c>
      <c r="C1037" s="21" t="s">
        <v>1137</v>
      </c>
      <c r="D1037" s="21" t="s">
        <v>1087</v>
      </c>
      <c r="E1037" s="21">
        <v>0</v>
      </c>
      <c r="F1037" s="21"/>
      <c r="G1037" s="22"/>
    </row>
    <row r="1038" spans="1:7" s="7" customFormat="1" hidden="1" outlineLevel="1" x14ac:dyDescent="0.15">
      <c r="B1038" s="20" t="s">
        <v>411</v>
      </c>
      <c r="C1038" s="21" t="s">
        <v>1138</v>
      </c>
      <c r="D1038" s="21" t="s">
        <v>1087</v>
      </c>
      <c r="E1038" s="21">
        <v>0</v>
      </c>
      <c r="F1038" s="21"/>
      <c r="G1038" s="22"/>
    </row>
    <row r="1039" spans="1:7" s="7" customFormat="1" hidden="1" outlineLevel="1" x14ac:dyDescent="0.15">
      <c r="B1039" s="20" t="s">
        <v>412</v>
      </c>
      <c r="C1039" s="21" t="s">
        <v>1202</v>
      </c>
      <c r="D1039" s="21" t="s">
        <v>1087</v>
      </c>
      <c r="E1039" s="21">
        <v>0</v>
      </c>
      <c r="F1039" s="21"/>
      <c r="G1039" s="22"/>
    </row>
    <row r="1040" spans="1:7" s="7" customFormat="1" hidden="1" outlineLevel="1" x14ac:dyDescent="0.15">
      <c r="B1040" s="20" t="s">
        <v>413</v>
      </c>
      <c r="C1040" s="21" t="s">
        <v>1139</v>
      </c>
      <c r="D1040" s="21" t="s">
        <v>1087</v>
      </c>
      <c r="E1040" s="21">
        <v>0</v>
      </c>
      <c r="F1040" s="21"/>
      <c r="G1040" s="22"/>
    </row>
    <row r="1041" spans="1:7" s="7" customFormat="1" hidden="1" outlineLevel="1" x14ac:dyDescent="0.15">
      <c r="B1041" s="20" t="s">
        <v>153</v>
      </c>
      <c r="C1041" s="15" t="s">
        <v>1143</v>
      </c>
      <c r="D1041" s="15" t="s">
        <v>1169</v>
      </c>
      <c r="E1041" s="15">
        <v>0</v>
      </c>
      <c r="F1041" s="15"/>
      <c r="G1041" s="16"/>
    </row>
    <row r="1042" spans="1:7" s="7" customFormat="1" hidden="1" outlineLevel="1" x14ac:dyDescent="0.15">
      <c r="B1042" s="20" t="s">
        <v>414</v>
      </c>
      <c r="C1042" s="15" t="s">
        <v>1213</v>
      </c>
      <c r="D1042" s="15" t="s">
        <v>1169</v>
      </c>
      <c r="E1042" s="15">
        <v>0</v>
      </c>
      <c r="F1042" s="15"/>
      <c r="G1042" s="16"/>
    </row>
    <row r="1043" spans="1:7" s="7" customFormat="1" hidden="1" outlineLevel="1" x14ac:dyDescent="0.15">
      <c r="B1043" s="20" t="s">
        <v>13</v>
      </c>
      <c r="C1043" s="15" t="s">
        <v>1205</v>
      </c>
      <c r="D1043" s="15" t="s">
        <v>1169</v>
      </c>
      <c r="E1043" s="15">
        <v>0</v>
      </c>
      <c r="F1043" s="15"/>
      <c r="G1043" s="16"/>
    </row>
    <row r="1044" spans="1:7" s="7" customFormat="1" hidden="1" outlineLevel="1" x14ac:dyDescent="0.15">
      <c r="B1044" s="20" t="s">
        <v>14</v>
      </c>
      <c r="C1044" s="15" t="s">
        <v>1206</v>
      </c>
      <c r="D1044" s="15" t="s">
        <v>1169</v>
      </c>
      <c r="E1044" s="15">
        <v>0</v>
      </c>
      <c r="F1044" s="15"/>
      <c r="G1044" s="16"/>
    </row>
    <row r="1045" spans="1:7" s="7" customFormat="1" ht="18" hidden="1" outlineLevel="1" thickBot="1" x14ac:dyDescent="0.2">
      <c r="B1045" s="20"/>
      <c r="C1045" s="15"/>
      <c r="D1045" s="15"/>
      <c r="E1045" s="15"/>
      <c r="F1045" s="15"/>
      <c r="G1045" s="16"/>
    </row>
    <row r="1046" spans="1:7" s="7" customFormat="1" hidden="1" outlineLevel="1" x14ac:dyDescent="0.15">
      <c r="B1046" s="327" t="s">
        <v>15</v>
      </c>
      <c r="C1046" s="328"/>
      <c r="D1046" s="328"/>
      <c r="E1046" s="328"/>
      <c r="F1046" s="328"/>
      <c r="G1046" s="329"/>
    </row>
    <row r="1047" spans="1:7" s="7" customFormat="1" hidden="1" outlineLevel="1" x14ac:dyDescent="0.15">
      <c r="A1047" s="7" t="s">
        <v>62</v>
      </c>
      <c r="B1047" s="20">
        <v>1</v>
      </c>
      <c r="C1047" s="21" t="s">
        <v>123</v>
      </c>
      <c r="D1047" s="21" t="s">
        <v>113</v>
      </c>
      <c r="E1047" s="21" t="s">
        <v>114</v>
      </c>
      <c r="F1047" s="21" t="s">
        <v>118</v>
      </c>
      <c r="G1047" s="29"/>
    </row>
    <row r="1048" spans="1:7" s="7" customFormat="1" hidden="1" outlineLevel="1" x14ac:dyDescent="0.15">
      <c r="B1048" s="20">
        <v>2</v>
      </c>
      <c r="C1048" s="21" t="s">
        <v>109</v>
      </c>
      <c r="D1048" s="21" t="s">
        <v>111</v>
      </c>
      <c r="E1048" s="21"/>
      <c r="F1048" s="29"/>
      <c r="G1048" s="141"/>
    </row>
    <row r="1049" spans="1:7" s="7" customFormat="1" ht="18" hidden="1" outlineLevel="1" thickBot="1" x14ac:dyDescent="0.2">
      <c r="B1049" s="24"/>
      <c r="C1049" s="9"/>
      <c r="D1049" s="9"/>
      <c r="E1049" s="9"/>
      <c r="F1049" s="9"/>
      <c r="G1049" s="11"/>
    </row>
    <row r="1050" spans="1:7" s="7" customFormat="1" hidden="1" outlineLevel="1" x14ac:dyDescent="0.15"/>
    <row r="1051" spans="1:7" s="7" customFormat="1" ht="18" hidden="1" outlineLevel="1" thickBot="1" x14ac:dyDescent="0.2"/>
    <row r="1052" spans="1:7" s="7" customFormat="1" ht="18" collapsed="1" thickBot="1" x14ac:dyDescent="0.2">
      <c r="A1052" s="2"/>
      <c r="B1052" s="3" t="s">
        <v>563</v>
      </c>
      <c r="C1052" s="151" t="s">
        <v>431</v>
      </c>
      <c r="D1052" s="151" t="s">
        <v>515</v>
      </c>
      <c r="E1052" s="21" t="s">
        <v>1018</v>
      </c>
      <c r="F1052" s="5" t="s">
        <v>567</v>
      </c>
      <c r="G1052" s="6" t="s">
        <v>1618</v>
      </c>
    </row>
    <row r="1053" spans="1:7" s="7" customFormat="1" ht="18" hidden="1" outlineLevel="1" thickBot="1" x14ac:dyDescent="0.2">
      <c r="A1053" s="2"/>
      <c r="B1053" s="34" t="s">
        <v>570</v>
      </c>
      <c r="C1053" s="18"/>
      <c r="D1053" s="35" t="s">
        <v>568</v>
      </c>
      <c r="E1053" s="18" t="s">
        <v>615</v>
      </c>
      <c r="F1053" s="35"/>
      <c r="G1053" s="19"/>
    </row>
    <row r="1054" spans="1:7" s="7" customFormat="1" hidden="1" outlineLevel="1" x14ac:dyDescent="0.15">
      <c r="A1054" s="2"/>
      <c r="B1054" s="3" t="s">
        <v>0</v>
      </c>
      <c r="C1054" s="5" t="s">
        <v>1</v>
      </c>
      <c r="D1054" s="5" t="s">
        <v>2</v>
      </c>
      <c r="E1054" s="5"/>
      <c r="F1054" s="5" t="s">
        <v>3</v>
      </c>
      <c r="G1054" s="36" t="s">
        <v>4</v>
      </c>
    </row>
    <row r="1055" spans="1:7" s="7" customFormat="1" hidden="1" outlineLevel="1" x14ac:dyDescent="0.15">
      <c r="A1055" s="2"/>
      <c r="B1055" s="14" t="s">
        <v>5</v>
      </c>
      <c r="C1055" s="15" t="s">
        <v>1127</v>
      </c>
      <c r="D1055" s="15" t="s">
        <v>211</v>
      </c>
      <c r="E1055" s="15" t="s">
        <v>1141</v>
      </c>
      <c r="F1055" s="15"/>
      <c r="G1055" s="16" t="s">
        <v>1162</v>
      </c>
    </row>
    <row r="1056" spans="1:7" s="7" customFormat="1" hidden="1" outlineLevel="1" x14ac:dyDescent="0.15">
      <c r="A1056" s="2"/>
      <c r="B1056" s="20" t="s">
        <v>6</v>
      </c>
      <c r="C1056" s="21" t="s">
        <v>1163</v>
      </c>
      <c r="D1056" s="21" t="s">
        <v>211</v>
      </c>
      <c r="E1056" s="21">
        <v>0</v>
      </c>
      <c r="F1056" s="21"/>
      <c r="G1056" s="22" t="s">
        <v>1077</v>
      </c>
    </row>
    <row r="1057" spans="1:7" s="7" customFormat="1" hidden="1" outlineLevel="1" x14ac:dyDescent="0.15">
      <c r="A1057" s="2"/>
      <c r="B1057" s="20" t="s">
        <v>111</v>
      </c>
      <c r="C1057" s="21" t="s">
        <v>1164</v>
      </c>
      <c r="D1057" s="21" t="s">
        <v>211</v>
      </c>
      <c r="E1057" s="21">
        <v>0</v>
      </c>
      <c r="F1057" s="21"/>
      <c r="G1057" s="22" t="s">
        <v>1165</v>
      </c>
    </row>
    <row r="1058" spans="1:7" s="7" customFormat="1" hidden="1" outlineLevel="1" x14ac:dyDescent="0.15">
      <c r="A1058" s="2"/>
      <c r="B1058" s="20" t="s">
        <v>112</v>
      </c>
      <c r="C1058" s="21" t="s">
        <v>1133</v>
      </c>
      <c r="D1058" s="21" t="s">
        <v>211</v>
      </c>
      <c r="E1058" s="21">
        <v>0</v>
      </c>
      <c r="F1058" s="21"/>
      <c r="G1058" s="22" t="s">
        <v>1182</v>
      </c>
    </row>
    <row r="1059" spans="1:7" s="7" customFormat="1" hidden="1" outlineLevel="1" x14ac:dyDescent="0.15">
      <c r="A1059" s="2"/>
      <c r="B1059" s="20" t="s">
        <v>113</v>
      </c>
      <c r="C1059" s="21" t="s">
        <v>1187</v>
      </c>
      <c r="D1059" s="21" t="s">
        <v>211</v>
      </c>
      <c r="E1059" s="21">
        <v>0</v>
      </c>
      <c r="F1059" s="21"/>
      <c r="G1059" s="22"/>
    </row>
    <row r="1060" spans="1:7" s="7" customFormat="1" hidden="1" outlineLevel="1" x14ac:dyDescent="0.15">
      <c r="A1060" s="2"/>
      <c r="B1060" s="20" t="s">
        <v>7</v>
      </c>
      <c r="C1060" s="21" t="s">
        <v>1190</v>
      </c>
      <c r="D1060" s="21" t="s">
        <v>211</v>
      </c>
      <c r="E1060" s="21">
        <v>0</v>
      </c>
      <c r="F1060" s="21"/>
      <c r="G1060" s="22" t="s">
        <v>1081</v>
      </c>
    </row>
    <row r="1061" spans="1:7" s="7" customFormat="1" hidden="1" outlineLevel="1" x14ac:dyDescent="0.15">
      <c r="A1061" s="2"/>
      <c r="B1061" s="20" t="s">
        <v>114</v>
      </c>
      <c r="C1061" s="21" t="s">
        <v>1155</v>
      </c>
      <c r="D1061" s="21" t="s">
        <v>211</v>
      </c>
      <c r="E1061" s="21">
        <v>0</v>
      </c>
      <c r="F1061" s="21"/>
      <c r="G1061" s="22"/>
    </row>
    <row r="1062" spans="1:7" s="7" customFormat="1" hidden="1" outlineLevel="1" x14ac:dyDescent="0.15">
      <c r="A1062" s="2"/>
      <c r="B1062" s="20" t="s">
        <v>118</v>
      </c>
      <c r="C1062" s="21" t="s">
        <v>1188</v>
      </c>
      <c r="D1062" s="21" t="s">
        <v>211</v>
      </c>
      <c r="E1062" s="21">
        <v>0</v>
      </c>
      <c r="F1062" s="21"/>
      <c r="G1062" s="22"/>
    </row>
    <row r="1063" spans="1:7" s="7" customFormat="1" hidden="1" outlineLevel="1" x14ac:dyDescent="0.15">
      <c r="A1063" s="2"/>
      <c r="B1063" s="20" t="s">
        <v>93</v>
      </c>
      <c r="C1063" s="21" t="s">
        <v>1189</v>
      </c>
      <c r="D1063" s="21" t="s">
        <v>211</v>
      </c>
      <c r="E1063" s="21">
        <v>0</v>
      </c>
      <c r="F1063" s="21"/>
      <c r="G1063" s="22"/>
    </row>
    <row r="1064" spans="1:7" s="7" customFormat="1" hidden="1" outlineLevel="1" x14ac:dyDescent="0.15">
      <c r="A1064" s="2"/>
      <c r="B1064" s="20" t="s">
        <v>41</v>
      </c>
      <c r="C1064" s="21" t="s">
        <v>1258</v>
      </c>
      <c r="D1064" s="21" t="s">
        <v>211</v>
      </c>
      <c r="E1064" s="21">
        <v>0</v>
      </c>
      <c r="F1064" s="21"/>
      <c r="G1064" s="22" t="s">
        <v>1259</v>
      </c>
    </row>
    <row r="1065" spans="1:7" s="7" customFormat="1" hidden="1" outlineLevel="1" x14ac:dyDescent="0.15">
      <c r="A1065" s="2"/>
      <c r="B1065" s="20" t="s">
        <v>8</v>
      </c>
      <c r="C1065" s="21" t="s">
        <v>1193</v>
      </c>
      <c r="D1065" s="21" t="s">
        <v>1087</v>
      </c>
      <c r="E1065" s="21">
        <v>0</v>
      </c>
      <c r="F1065" s="21"/>
      <c r="G1065" s="22" t="s">
        <v>1194</v>
      </c>
    </row>
    <row r="1066" spans="1:7" s="7" customFormat="1" hidden="1" outlineLevel="1" x14ac:dyDescent="0.15">
      <c r="A1066" s="2"/>
      <c r="B1066" s="20" t="s">
        <v>9</v>
      </c>
      <c r="C1066" s="21" t="s">
        <v>1195</v>
      </c>
      <c r="D1066" s="21" t="s">
        <v>1087</v>
      </c>
      <c r="E1066" s="21">
        <v>0</v>
      </c>
      <c r="F1066" s="21"/>
      <c r="G1066" s="22" t="s">
        <v>1196</v>
      </c>
    </row>
    <row r="1067" spans="1:7" s="7" customFormat="1" hidden="1" outlineLevel="1" x14ac:dyDescent="0.15">
      <c r="A1067" s="2"/>
      <c r="B1067" s="20" t="s">
        <v>10</v>
      </c>
      <c r="C1067" s="21" t="s">
        <v>1197</v>
      </c>
      <c r="D1067" s="21" t="s">
        <v>1087</v>
      </c>
      <c r="E1067" s="21">
        <v>0</v>
      </c>
      <c r="F1067" s="21"/>
      <c r="G1067" s="22" t="s">
        <v>1144</v>
      </c>
    </row>
    <row r="1068" spans="1:7" s="7" customFormat="1" hidden="1" outlineLevel="1" x14ac:dyDescent="0.15">
      <c r="A1068" s="2"/>
      <c r="B1068" s="20" t="s">
        <v>11</v>
      </c>
      <c r="C1068" s="21" t="s">
        <v>1198</v>
      </c>
      <c r="D1068" s="21" t="s">
        <v>1087</v>
      </c>
      <c r="E1068" s="21">
        <v>0</v>
      </c>
      <c r="F1068" s="21"/>
      <c r="G1068" s="22" t="s">
        <v>1080</v>
      </c>
    </row>
    <row r="1069" spans="1:7" s="7" customFormat="1" hidden="1" outlineLevel="1" x14ac:dyDescent="0.15">
      <c r="A1069" s="2"/>
      <c r="B1069" s="20" t="s">
        <v>116</v>
      </c>
      <c r="C1069" s="21" t="s">
        <v>1213</v>
      </c>
      <c r="D1069" s="21" t="s">
        <v>1169</v>
      </c>
      <c r="E1069" s="21">
        <v>0</v>
      </c>
      <c r="F1069" s="21"/>
      <c r="G1069" s="22"/>
    </row>
    <row r="1070" spans="1:7" s="7" customFormat="1" hidden="1" outlineLevel="1" x14ac:dyDescent="0.15">
      <c r="A1070" s="2"/>
      <c r="B1070" s="20" t="s">
        <v>12</v>
      </c>
      <c r="C1070" s="21" t="s">
        <v>1143</v>
      </c>
      <c r="D1070" s="21" t="s">
        <v>1169</v>
      </c>
      <c r="E1070" s="21">
        <v>0</v>
      </c>
      <c r="F1070" s="21"/>
      <c r="G1070" s="22"/>
    </row>
    <row r="1071" spans="1:7" s="7" customFormat="1" hidden="1" outlineLevel="1" x14ac:dyDescent="0.15">
      <c r="A1071" s="2"/>
      <c r="B1071" s="20" t="s">
        <v>13</v>
      </c>
      <c r="C1071" s="21" t="s">
        <v>1205</v>
      </c>
      <c r="D1071" s="21" t="s">
        <v>1169</v>
      </c>
      <c r="E1071" s="21">
        <v>0</v>
      </c>
      <c r="F1071" s="21"/>
      <c r="G1071" s="22"/>
    </row>
    <row r="1072" spans="1:7" s="7" customFormat="1" hidden="1" outlineLevel="1" x14ac:dyDescent="0.15">
      <c r="A1072" s="2"/>
      <c r="B1072" s="20" t="s">
        <v>14</v>
      </c>
      <c r="C1072" s="21" t="s">
        <v>1206</v>
      </c>
      <c r="D1072" s="21" t="s">
        <v>1169</v>
      </c>
      <c r="E1072" s="21">
        <v>0</v>
      </c>
      <c r="F1072" s="21"/>
      <c r="G1072" s="22"/>
    </row>
    <row r="1073" spans="1:7" s="7" customFormat="1" ht="18" hidden="1" outlineLevel="1" thickBot="1" x14ac:dyDescent="0.2">
      <c r="A1073" s="2"/>
      <c r="B1073" s="24"/>
      <c r="C1073" s="9"/>
      <c r="D1073" s="9"/>
      <c r="E1073" s="9"/>
      <c r="F1073" s="9"/>
      <c r="G1073" s="11"/>
    </row>
    <row r="1074" spans="1:7" s="7" customFormat="1" hidden="1" outlineLevel="1" x14ac:dyDescent="0.15">
      <c r="A1074" s="2"/>
      <c r="B1074" s="327" t="s">
        <v>15</v>
      </c>
      <c r="C1074" s="328"/>
      <c r="D1074" s="328"/>
      <c r="E1074" s="328"/>
      <c r="F1074" s="328"/>
      <c r="G1074" s="329"/>
    </row>
    <row r="1075" spans="1:7" s="7" customFormat="1" hidden="1" outlineLevel="1" x14ac:dyDescent="0.15">
      <c r="A1075" s="2" t="s">
        <v>62</v>
      </c>
      <c r="B1075" s="20">
        <v>1</v>
      </c>
      <c r="C1075" s="23" t="s">
        <v>22</v>
      </c>
      <c r="D1075" s="23" t="s">
        <v>112</v>
      </c>
      <c r="E1075" s="21" t="s">
        <v>113</v>
      </c>
      <c r="F1075" s="21" t="s">
        <v>114</v>
      </c>
      <c r="G1075" s="21" t="s">
        <v>118</v>
      </c>
    </row>
    <row r="1076" spans="1:7" s="7" customFormat="1" hidden="1" outlineLevel="1" x14ac:dyDescent="0.15">
      <c r="A1076" s="2"/>
      <c r="B1076" s="17">
        <v>2</v>
      </c>
      <c r="C1076" s="23" t="s">
        <v>22</v>
      </c>
      <c r="D1076" s="37" t="s">
        <v>122</v>
      </c>
      <c r="E1076" s="18" t="s">
        <v>111</v>
      </c>
      <c r="F1076" s="18" t="s">
        <v>18</v>
      </c>
      <c r="G1076" s="38"/>
    </row>
    <row r="1077" spans="1:7" ht="18" hidden="1" outlineLevel="1" thickBot="1" x14ac:dyDescent="0.2">
      <c r="A1077" s="2"/>
      <c r="B1077" s="24"/>
      <c r="C1077" s="9"/>
      <c r="D1077" s="9"/>
      <c r="E1077" s="9"/>
      <c r="F1077" s="9"/>
      <c r="G1077" s="11"/>
    </row>
    <row r="1078" spans="1:7" s="7" customFormat="1" ht="18" hidden="1" outlineLevel="1" thickBot="1" x14ac:dyDescent="0.2">
      <c r="A1078" s="1"/>
      <c r="B1078" s="1"/>
      <c r="C1078" s="1"/>
      <c r="D1078" s="1"/>
      <c r="E1078" s="1"/>
      <c r="F1078" s="1"/>
      <c r="G1078" s="1"/>
    </row>
    <row r="1079" spans="1:7" s="7" customFormat="1" ht="18" collapsed="1" thickBot="1" x14ac:dyDescent="0.2">
      <c r="A1079" s="2"/>
      <c r="B1079" s="3" t="s">
        <v>563</v>
      </c>
      <c r="C1079" s="147" t="s">
        <v>667</v>
      </c>
      <c r="D1079" s="147" t="s">
        <v>515</v>
      </c>
      <c r="E1079" s="21" t="s">
        <v>1019</v>
      </c>
      <c r="F1079" s="5" t="s">
        <v>567</v>
      </c>
      <c r="G1079" s="6" t="s">
        <v>1618</v>
      </c>
    </row>
    <row r="1080" spans="1:7" s="7" customFormat="1" ht="18" hidden="1" outlineLevel="1" thickBot="1" x14ac:dyDescent="0.2">
      <c r="A1080" s="2"/>
      <c r="B1080" s="34" t="s">
        <v>570</v>
      </c>
      <c r="C1080" s="18"/>
      <c r="D1080" s="35" t="s">
        <v>568</v>
      </c>
      <c r="E1080" s="18" t="s">
        <v>615</v>
      </c>
      <c r="F1080" s="35"/>
      <c r="G1080" s="19"/>
    </row>
    <row r="1081" spans="1:7" s="7" customFormat="1" hidden="1" outlineLevel="1" x14ac:dyDescent="0.15">
      <c r="A1081" s="2"/>
      <c r="B1081" s="3" t="s">
        <v>0</v>
      </c>
      <c r="C1081" s="5" t="s">
        <v>1</v>
      </c>
      <c r="D1081" s="5" t="s">
        <v>2</v>
      </c>
      <c r="E1081" s="5"/>
      <c r="F1081" s="5" t="s">
        <v>3</v>
      </c>
      <c r="G1081" s="36" t="s">
        <v>4</v>
      </c>
    </row>
    <row r="1082" spans="1:7" s="7" customFormat="1" hidden="1" outlineLevel="1" x14ac:dyDescent="0.15">
      <c r="A1082" s="2"/>
      <c r="B1082" s="20" t="s">
        <v>122</v>
      </c>
      <c r="C1082" s="21" t="s">
        <v>1163</v>
      </c>
      <c r="D1082" s="21" t="s">
        <v>211</v>
      </c>
      <c r="E1082" s="21">
        <v>0</v>
      </c>
      <c r="F1082" s="21"/>
      <c r="G1082" s="22" t="s">
        <v>1077</v>
      </c>
    </row>
    <row r="1083" spans="1:7" s="7" customFormat="1" hidden="1" outlineLevel="1" x14ac:dyDescent="0.15">
      <c r="A1083" s="2"/>
      <c r="B1083" s="20" t="s">
        <v>111</v>
      </c>
      <c r="C1083" s="21" t="s">
        <v>1164</v>
      </c>
      <c r="D1083" s="21" t="s">
        <v>211</v>
      </c>
      <c r="E1083" s="21">
        <v>0</v>
      </c>
      <c r="F1083" s="21"/>
      <c r="G1083" s="22" t="s">
        <v>1165</v>
      </c>
    </row>
    <row r="1084" spans="1:7" s="7" customFormat="1" hidden="1" outlineLevel="1" x14ac:dyDescent="0.15">
      <c r="A1084" s="2"/>
      <c r="B1084" s="20" t="s">
        <v>123</v>
      </c>
      <c r="C1084" s="21" t="s">
        <v>1133</v>
      </c>
      <c r="D1084" s="21" t="s">
        <v>211</v>
      </c>
      <c r="E1084" s="21">
        <v>0</v>
      </c>
      <c r="F1084" s="21"/>
      <c r="G1084" s="22" t="s">
        <v>1182</v>
      </c>
    </row>
    <row r="1085" spans="1:7" s="7" customFormat="1" hidden="1" outlineLevel="1" x14ac:dyDescent="0.15">
      <c r="A1085" s="2"/>
      <c r="B1085" s="20" t="s">
        <v>113</v>
      </c>
      <c r="C1085" s="21" t="s">
        <v>1187</v>
      </c>
      <c r="D1085" s="21" t="s">
        <v>211</v>
      </c>
      <c r="E1085" s="21">
        <v>0</v>
      </c>
      <c r="F1085" s="21"/>
      <c r="G1085" s="22"/>
    </row>
    <row r="1086" spans="1:7" s="7" customFormat="1" hidden="1" outlineLevel="1" x14ac:dyDescent="0.15">
      <c r="A1086" s="2"/>
      <c r="B1086" s="20" t="s">
        <v>7</v>
      </c>
      <c r="C1086" s="21" t="s">
        <v>1190</v>
      </c>
      <c r="D1086" s="21" t="s">
        <v>211</v>
      </c>
      <c r="E1086" s="21">
        <v>0</v>
      </c>
      <c r="F1086" s="21"/>
      <c r="G1086" s="22" t="s">
        <v>1081</v>
      </c>
    </row>
    <row r="1087" spans="1:7" s="7" customFormat="1" hidden="1" outlineLevel="1" x14ac:dyDescent="0.15">
      <c r="A1087" s="2"/>
      <c r="B1087" s="20" t="s">
        <v>201</v>
      </c>
      <c r="C1087" s="21" t="s">
        <v>1155</v>
      </c>
      <c r="D1087" s="21" t="s">
        <v>211</v>
      </c>
      <c r="E1087" s="21">
        <v>0</v>
      </c>
      <c r="F1087" s="21"/>
      <c r="G1087" s="22"/>
    </row>
    <row r="1088" spans="1:7" s="7" customFormat="1" hidden="1" outlineLevel="1" x14ac:dyDescent="0.15">
      <c r="A1088" s="2"/>
      <c r="B1088" s="20" t="s">
        <v>118</v>
      </c>
      <c r="C1088" s="21" t="s">
        <v>1188</v>
      </c>
      <c r="D1088" s="21" t="s">
        <v>211</v>
      </c>
      <c r="E1088" s="21">
        <v>0</v>
      </c>
      <c r="F1088" s="21"/>
      <c r="G1088" s="22"/>
    </row>
    <row r="1089" spans="1:7" s="7" customFormat="1" hidden="1" outlineLevel="1" x14ac:dyDescent="0.15">
      <c r="A1089" s="2"/>
      <c r="B1089" s="20" t="s">
        <v>8</v>
      </c>
      <c r="C1089" s="21" t="s">
        <v>1193</v>
      </c>
      <c r="D1089" s="21" t="s">
        <v>1087</v>
      </c>
      <c r="E1089" s="21">
        <v>0</v>
      </c>
      <c r="F1089" s="21"/>
      <c r="G1089" s="22" t="s">
        <v>1194</v>
      </c>
    </row>
    <row r="1090" spans="1:7" s="7" customFormat="1" hidden="1" outlineLevel="1" x14ac:dyDescent="0.15">
      <c r="A1090" s="2"/>
      <c r="B1090" s="20" t="s">
        <v>9</v>
      </c>
      <c r="C1090" s="21" t="s">
        <v>1195</v>
      </c>
      <c r="D1090" s="21" t="s">
        <v>1087</v>
      </c>
      <c r="E1090" s="21">
        <v>0</v>
      </c>
      <c r="F1090" s="21"/>
      <c r="G1090" s="22" t="s">
        <v>1196</v>
      </c>
    </row>
    <row r="1091" spans="1:7" s="7" customFormat="1" hidden="1" outlineLevel="1" x14ac:dyDescent="0.15">
      <c r="A1091" s="2"/>
      <c r="B1091" s="20" t="s">
        <v>76</v>
      </c>
      <c r="C1091" s="21" t="s">
        <v>1118</v>
      </c>
      <c r="D1091" s="21" t="s">
        <v>1087</v>
      </c>
      <c r="E1091" s="21">
        <v>0</v>
      </c>
      <c r="F1091" s="21"/>
      <c r="G1091" s="22"/>
    </row>
    <row r="1092" spans="1:7" s="7" customFormat="1" hidden="1" outlineLevel="1" x14ac:dyDescent="0.15">
      <c r="A1092" s="2"/>
      <c r="B1092" s="20" t="s">
        <v>77</v>
      </c>
      <c r="C1092" s="21" t="s">
        <v>1336</v>
      </c>
      <c r="D1092" s="21" t="s">
        <v>1087</v>
      </c>
      <c r="E1092" s="21">
        <v>0</v>
      </c>
      <c r="F1092" s="21"/>
      <c r="G1092" s="22"/>
    </row>
    <row r="1093" spans="1:7" s="7" customFormat="1" ht="18.75" hidden="1" customHeight="1" outlineLevel="1" thickBot="1" x14ac:dyDescent="0.2">
      <c r="A1093" s="2"/>
      <c r="B1093" s="24"/>
      <c r="C1093" s="9"/>
      <c r="D1093" s="9"/>
      <c r="E1093" s="9"/>
      <c r="F1093" s="9"/>
      <c r="G1093" s="11"/>
    </row>
    <row r="1094" spans="1:7" s="7" customFormat="1" hidden="1" outlineLevel="1" x14ac:dyDescent="0.15">
      <c r="A1094" s="2"/>
      <c r="B1094" s="327" t="s">
        <v>15</v>
      </c>
      <c r="C1094" s="328"/>
      <c r="D1094" s="328"/>
      <c r="E1094" s="328"/>
      <c r="F1094" s="328"/>
      <c r="G1094" s="329"/>
    </row>
    <row r="1095" spans="1:7" s="7" customFormat="1" hidden="1" outlineLevel="1" x14ac:dyDescent="0.15">
      <c r="A1095" s="2" t="s">
        <v>62</v>
      </c>
      <c r="B1095" s="20">
        <v>1</v>
      </c>
      <c r="C1095" s="21" t="s">
        <v>123</v>
      </c>
      <c r="D1095" s="21" t="s">
        <v>113</v>
      </c>
      <c r="E1095" s="21" t="s">
        <v>201</v>
      </c>
      <c r="F1095" s="21" t="s">
        <v>118</v>
      </c>
      <c r="G1095" s="22"/>
    </row>
    <row r="1096" spans="1:7" s="2" customFormat="1" hidden="1" outlineLevel="1" x14ac:dyDescent="0.15">
      <c r="B1096" s="20"/>
      <c r="C1096" s="23"/>
      <c r="D1096" s="21"/>
      <c r="E1096" s="21"/>
      <c r="F1096" s="21"/>
      <c r="G1096" s="22"/>
    </row>
    <row r="1097" spans="1:7" s="7" customFormat="1" ht="18" hidden="1" outlineLevel="1" thickBot="1" x14ac:dyDescent="0.2">
      <c r="A1097" s="2"/>
      <c r="B1097" s="2"/>
      <c r="C1097" s="2"/>
      <c r="D1097" s="2"/>
      <c r="E1097" s="2"/>
      <c r="F1097" s="2"/>
      <c r="G1097" s="2"/>
    </row>
    <row r="1098" spans="1:7" s="7" customFormat="1" ht="18" collapsed="1" thickBot="1" x14ac:dyDescent="0.2">
      <c r="A1098" s="2"/>
      <c r="B1098" s="3" t="s">
        <v>563</v>
      </c>
      <c r="C1098" s="147" t="s">
        <v>668</v>
      </c>
      <c r="D1098" s="147" t="s">
        <v>515</v>
      </c>
      <c r="E1098" s="21" t="s">
        <v>596</v>
      </c>
      <c r="F1098" s="5" t="s">
        <v>567</v>
      </c>
      <c r="G1098" s="6" t="s">
        <v>1618</v>
      </c>
    </row>
    <row r="1099" spans="1:7" s="7" customFormat="1" ht="18" hidden="1" outlineLevel="1" thickBot="1" x14ac:dyDescent="0.2">
      <c r="A1099" s="2"/>
      <c r="B1099" s="8" t="s">
        <v>570</v>
      </c>
      <c r="C1099" s="9"/>
      <c r="D1099" s="10" t="s">
        <v>568</v>
      </c>
      <c r="E1099" s="9" t="s">
        <v>615</v>
      </c>
      <c r="F1099" s="10"/>
      <c r="G1099" s="11"/>
    </row>
    <row r="1100" spans="1:7" s="7" customFormat="1" hidden="1" outlineLevel="1" x14ac:dyDescent="0.15">
      <c r="A1100" s="2"/>
      <c r="B1100" s="12" t="s">
        <v>0</v>
      </c>
      <c r="C1100" s="13" t="s">
        <v>1</v>
      </c>
      <c r="D1100" s="13" t="s">
        <v>2</v>
      </c>
      <c r="E1100" s="13"/>
      <c r="F1100" s="13" t="s">
        <v>3</v>
      </c>
      <c r="G1100" s="13" t="s">
        <v>4</v>
      </c>
    </row>
    <row r="1101" spans="1:7" s="7" customFormat="1" hidden="1" outlineLevel="1" x14ac:dyDescent="0.15">
      <c r="A1101" s="2"/>
      <c r="B1101" s="14" t="s">
        <v>5</v>
      </c>
      <c r="C1101" s="15" t="s">
        <v>1127</v>
      </c>
      <c r="D1101" s="15" t="s">
        <v>211</v>
      </c>
      <c r="E1101" s="15" t="s">
        <v>1141</v>
      </c>
      <c r="F1101" s="15"/>
      <c r="G1101" s="16" t="s">
        <v>1162</v>
      </c>
    </row>
    <row r="1102" spans="1:7" s="7" customFormat="1" hidden="1" outlineLevel="1" x14ac:dyDescent="0.15">
      <c r="A1102" s="2"/>
      <c r="B1102" s="20" t="s">
        <v>16</v>
      </c>
      <c r="C1102" s="21" t="s">
        <v>1163</v>
      </c>
      <c r="D1102" s="21" t="s">
        <v>211</v>
      </c>
      <c r="E1102" s="21">
        <v>0</v>
      </c>
      <c r="F1102" s="21"/>
      <c r="G1102" s="22" t="s">
        <v>1077</v>
      </c>
    </row>
    <row r="1103" spans="1:7" s="7" customFormat="1" hidden="1" outlineLevel="1" x14ac:dyDescent="0.15">
      <c r="A1103" s="2"/>
      <c r="B1103" s="20" t="s">
        <v>111</v>
      </c>
      <c r="C1103" s="21" t="s">
        <v>1164</v>
      </c>
      <c r="D1103" s="21" t="s">
        <v>211</v>
      </c>
      <c r="E1103" s="21">
        <v>0</v>
      </c>
      <c r="F1103" s="21"/>
      <c r="G1103" s="22" t="s">
        <v>1165</v>
      </c>
    </row>
    <row r="1104" spans="1:7" s="7" customFormat="1" hidden="1" outlineLevel="1" x14ac:dyDescent="0.15">
      <c r="A1104" s="2"/>
      <c r="B1104" s="20" t="s">
        <v>123</v>
      </c>
      <c r="C1104" s="21" t="s">
        <v>1133</v>
      </c>
      <c r="D1104" s="21" t="s">
        <v>211</v>
      </c>
      <c r="E1104" s="21">
        <v>0</v>
      </c>
      <c r="F1104" s="21"/>
      <c r="G1104" s="22" t="s">
        <v>1182</v>
      </c>
    </row>
    <row r="1105" spans="1:7" s="7" customFormat="1" hidden="1" outlineLevel="1" x14ac:dyDescent="0.15">
      <c r="A1105" s="2"/>
      <c r="B1105" s="20" t="s">
        <v>113</v>
      </c>
      <c r="C1105" s="21" t="s">
        <v>1187</v>
      </c>
      <c r="D1105" s="21" t="s">
        <v>211</v>
      </c>
      <c r="E1105" s="21">
        <v>0</v>
      </c>
      <c r="F1105" s="21"/>
      <c r="G1105" s="22"/>
    </row>
    <row r="1106" spans="1:7" s="7" customFormat="1" hidden="1" outlineLevel="1" x14ac:dyDescent="0.15">
      <c r="A1106" s="2"/>
      <c r="B1106" s="20" t="s">
        <v>7</v>
      </c>
      <c r="C1106" s="21" t="s">
        <v>1190</v>
      </c>
      <c r="D1106" s="21" t="s">
        <v>211</v>
      </c>
      <c r="E1106" s="21">
        <v>0</v>
      </c>
      <c r="F1106" s="21"/>
      <c r="G1106" s="22" t="s">
        <v>1081</v>
      </c>
    </row>
    <row r="1107" spans="1:7" s="7" customFormat="1" hidden="1" outlineLevel="1" x14ac:dyDescent="0.15">
      <c r="A1107" s="2"/>
      <c r="B1107" s="20" t="s">
        <v>114</v>
      </c>
      <c r="C1107" s="21" t="s">
        <v>1155</v>
      </c>
      <c r="D1107" s="21" t="s">
        <v>211</v>
      </c>
      <c r="E1107" s="21">
        <v>0</v>
      </c>
      <c r="F1107" s="21"/>
      <c r="G1107" s="22"/>
    </row>
    <row r="1108" spans="1:7" s="7" customFormat="1" hidden="1" outlineLevel="1" x14ac:dyDescent="0.15">
      <c r="A1108" s="2"/>
      <c r="B1108" s="20" t="s">
        <v>118</v>
      </c>
      <c r="C1108" s="21" t="s">
        <v>1188</v>
      </c>
      <c r="D1108" s="21" t="s">
        <v>211</v>
      </c>
      <c r="E1108" s="21">
        <v>0</v>
      </c>
      <c r="F1108" s="21"/>
      <c r="G1108" s="22"/>
    </row>
    <row r="1109" spans="1:7" s="7" customFormat="1" hidden="1" outlineLevel="1" x14ac:dyDescent="0.15">
      <c r="A1109" s="2"/>
      <c r="B1109" s="20" t="s">
        <v>8</v>
      </c>
      <c r="C1109" s="21" t="s">
        <v>1193</v>
      </c>
      <c r="D1109" s="21" t="s">
        <v>1087</v>
      </c>
      <c r="E1109" s="21">
        <v>0</v>
      </c>
      <c r="F1109" s="21"/>
      <c r="G1109" s="22" t="s">
        <v>1194</v>
      </c>
    </row>
    <row r="1110" spans="1:7" s="7" customFormat="1" hidden="1" outlineLevel="1" x14ac:dyDescent="0.15">
      <c r="A1110" s="2"/>
      <c r="B1110" s="20" t="s">
        <v>9</v>
      </c>
      <c r="C1110" s="21" t="s">
        <v>1195</v>
      </c>
      <c r="D1110" s="21" t="s">
        <v>1087</v>
      </c>
      <c r="E1110" s="21">
        <v>0</v>
      </c>
      <c r="F1110" s="21"/>
      <c r="G1110" s="22" t="s">
        <v>1196</v>
      </c>
    </row>
    <row r="1111" spans="1:7" s="7" customFormat="1" hidden="1" outlineLevel="1" x14ac:dyDescent="0.15">
      <c r="A1111" s="2"/>
      <c r="B1111" s="20" t="s">
        <v>76</v>
      </c>
      <c r="C1111" s="21" t="s">
        <v>1118</v>
      </c>
      <c r="D1111" s="21" t="s">
        <v>1087</v>
      </c>
      <c r="E1111" s="21">
        <v>0</v>
      </c>
      <c r="F1111" s="21"/>
      <c r="G1111" s="22"/>
    </row>
    <row r="1112" spans="1:7" s="7" customFormat="1" hidden="1" outlineLevel="1" x14ac:dyDescent="0.15">
      <c r="A1112" s="2"/>
      <c r="B1112" s="20" t="s">
        <v>77</v>
      </c>
      <c r="C1112" s="21" t="s">
        <v>1336</v>
      </c>
      <c r="D1112" s="21" t="s">
        <v>1087</v>
      </c>
      <c r="E1112" s="21">
        <v>0</v>
      </c>
      <c r="F1112" s="21"/>
      <c r="G1112" s="22"/>
    </row>
    <row r="1113" spans="1:7" s="7" customFormat="1" ht="18" hidden="1" outlineLevel="1" thickBot="1" x14ac:dyDescent="0.2">
      <c r="A1113" s="2"/>
      <c r="B1113" s="17"/>
      <c r="C1113" s="18"/>
      <c r="D1113" s="18"/>
      <c r="E1113" s="18"/>
      <c r="F1113" s="18"/>
      <c r="G1113" s="19"/>
    </row>
    <row r="1114" spans="1:7" s="7" customFormat="1" hidden="1" outlineLevel="1" x14ac:dyDescent="0.15">
      <c r="A1114" s="2"/>
      <c r="B1114" s="327" t="s">
        <v>15</v>
      </c>
      <c r="C1114" s="328"/>
      <c r="D1114" s="328"/>
      <c r="E1114" s="328"/>
      <c r="F1114" s="328"/>
      <c r="G1114" s="329"/>
    </row>
    <row r="1115" spans="1:7" s="7" customFormat="1" hidden="1" outlineLevel="1" x14ac:dyDescent="0.15">
      <c r="A1115" s="2" t="s">
        <v>205</v>
      </c>
      <c r="B1115" s="20">
        <v>1</v>
      </c>
      <c r="C1115" s="21" t="s">
        <v>22</v>
      </c>
      <c r="D1115" s="21" t="s">
        <v>123</v>
      </c>
      <c r="E1115" s="21" t="s">
        <v>113</v>
      </c>
      <c r="F1115" s="21" t="s">
        <v>114</v>
      </c>
      <c r="G1115" s="21" t="s">
        <v>118</v>
      </c>
    </row>
    <row r="1116" spans="1:7" hidden="1" outlineLevel="1" x14ac:dyDescent="0.15">
      <c r="A1116" s="2"/>
      <c r="B1116" s="20"/>
      <c r="C1116" s="23"/>
      <c r="D1116" s="21"/>
      <c r="E1116" s="21"/>
      <c r="F1116" s="21"/>
      <c r="G1116" s="22"/>
    </row>
    <row r="1117" spans="1:7" s="7" customFormat="1" ht="18" hidden="1" outlineLevel="1" thickBot="1" x14ac:dyDescent="0.2">
      <c r="A1117" s="1"/>
      <c r="B1117" s="1"/>
      <c r="C1117" s="1"/>
      <c r="D1117" s="1"/>
      <c r="E1117" s="1"/>
      <c r="F1117" s="1"/>
      <c r="G1117" s="1"/>
    </row>
    <row r="1118" spans="1:7" s="7" customFormat="1" ht="18" collapsed="1" thickBot="1" x14ac:dyDescent="0.2">
      <c r="A1118" s="2"/>
      <c r="B1118" s="3" t="s">
        <v>563</v>
      </c>
      <c r="C1118" s="4" t="s">
        <v>656</v>
      </c>
      <c r="D1118" s="5" t="s">
        <v>515</v>
      </c>
      <c r="E1118" s="21" t="s">
        <v>1020</v>
      </c>
      <c r="F1118" s="5" t="s">
        <v>567</v>
      </c>
      <c r="G1118" s="6" t="s">
        <v>1619</v>
      </c>
    </row>
    <row r="1119" spans="1:7" s="7" customFormat="1" ht="18" hidden="1" outlineLevel="1" thickBot="1" x14ac:dyDescent="0.2">
      <c r="A1119" s="2"/>
      <c r="B1119" s="34" t="s">
        <v>570</v>
      </c>
      <c r="C1119" s="18"/>
      <c r="D1119" s="35" t="s">
        <v>568</v>
      </c>
      <c r="E1119" s="18" t="s">
        <v>615</v>
      </c>
      <c r="F1119" s="35"/>
      <c r="G1119" s="19"/>
    </row>
    <row r="1120" spans="1:7" s="7" customFormat="1" hidden="1" outlineLevel="1" x14ac:dyDescent="0.15">
      <c r="A1120" s="2"/>
      <c r="B1120" s="3" t="s">
        <v>0</v>
      </c>
      <c r="C1120" s="5" t="s">
        <v>1</v>
      </c>
      <c r="D1120" s="5" t="s">
        <v>2</v>
      </c>
      <c r="E1120" s="5"/>
      <c r="F1120" s="5" t="s">
        <v>3</v>
      </c>
      <c r="G1120" s="36" t="s">
        <v>4</v>
      </c>
    </row>
    <row r="1121" spans="1:7" s="7" customFormat="1" hidden="1" outlineLevel="1" x14ac:dyDescent="0.15">
      <c r="A1121" s="2"/>
      <c r="B1121" s="20" t="s">
        <v>6</v>
      </c>
      <c r="C1121" s="21" t="s">
        <v>1163</v>
      </c>
      <c r="D1121" s="21" t="s">
        <v>211</v>
      </c>
      <c r="E1121" s="21">
        <v>0</v>
      </c>
      <c r="F1121" s="21"/>
      <c r="G1121" s="22" t="s">
        <v>1077</v>
      </c>
    </row>
    <row r="1122" spans="1:7" s="7" customFormat="1" hidden="1" outlineLevel="1" x14ac:dyDescent="0.15">
      <c r="A1122" s="2"/>
      <c r="B1122" s="20" t="s">
        <v>111</v>
      </c>
      <c r="C1122" s="21" t="s">
        <v>1164</v>
      </c>
      <c r="D1122" s="21" t="s">
        <v>211</v>
      </c>
      <c r="E1122" s="21">
        <v>0</v>
      </c>
      <c r="F1122" s="21"/>
      <c r="G1122" s="22" t="s">
        <v>1165</v>
      </c>
    </row>
    <row r="1123" spans="1:7" s="7" customFormat="1" hidden="1" outlineLevel="1" x14ac:dyDescent="0.15">
      <c r="A1123" s="2"/>
      <c r="B1123" s="20" t="s">
        <v>123</v>
      </c>
      <c r="C1123" s="21" t="s">
        <v>1133</v>
      </c>
      <c r="D1123" s="21" t="s">
        <v>211</v>
      </c>
      <c r="E1123" s="21">
        <v>0</v>
      </c>
      <c r="F1123" s="21"/>
      <c r="G1123" s="22" t="s">
        <v>1182</v>
      </c>
    </row>
    <row r="1124" spans="1:7" s="7" customFormat="1" hidden="1" outlineLevel="1" x14ac:dyDescent="0.15">
      <c r="A1124" s="2"/>
      <c r="B1124" s="20" t="s">
        <v>113</v>
      </c>
      <c r="C1124" s="21" t="s">
        <v>1187</v>
      </c>
      <c r="D1124" s="21" t="s">
        <v>211</v>
      </c>
      <c r="E1124" s="21">
        <v>0</v>
      </c>
      <c r="F1124" s="21"/>
      <c r="G1124" s="22"/>
    </row>
    <row r="1125" spans="1:7" s="7" customFormat="1" hidden="1" outlineLevel="1" x14ac:dyDescent="0.15">
      <c r="A1125" s="2"/>
      <c r="B1125" s="20" t="s">
        <v>7</v>
      </c>
      <c r="C1125" s="21" t="s">
        <v>1190</v>
      </c>
      <c r="D1125" s="21" t="s">
        <v>211</v>
      </c>
      <c r="E1125" s="21">
        <v>0</v>
      </c>
      <c r="F1125" s="21"/>
      <c r="G1125" s="22" t="s">
        <v>1081</v>
      </c>
    </row>
    <row r="1126" spans="1:7" s="7" customFormat="1" hidden="1" outlineLevel="1" x14ac:dyDescent="0.15">
      <c r="A1126" s="2"/>
      <c r="B1126" s="20" t="s">
        <v>114</v>
      </c>
      <c r="C1126" s="21" t="s">
        <v>1155</v>
      </c>
      <c r="D1126" s="21" t="s">
        <v>211</v>
      </c>
      <c r="E1126" s="21">
        <v>0</v>
      </c>
      <c r="F1126" s="21"/>
      <c r="G1126" s="22"/>
    </row>
    <row r="1127" spans="1:7" s="7" customFormat="1" hidden="1" outlineLevel="1" x14ac:dyDescent="0.15">
      <c r="A1127" s="2"/>
      <c r="B1127" s="20" t="s">
        <v>118</v>
      </c>
      <c r="C1127" s="21" t="s">
        <v>1188</v>
      </c>
      <c r="D1127" s="21" t="s">
        <v>211</v>
      </c>
      <c r="E1127" s="21">
        <v>0</v>
      </c>
      <c r="F1127" s="21"/>
      <c r="G1127" s="22"/>
    </row>
    <row r="1128" spans="1:7" s="7" customFormat="1" hidden="1" outlineLevel="1" x14ac:dyDescent="0.15">
      <c r="A1128" s="2"/>
      <c r="B1128" s="20" t="s">
        <v>19</v>
      </c>
      <c r="C1128" s="21" t="s">
        <v>1337</v>
      </c>
      <c r="D1128" s="21" t="s">
        <v>1219</v>
      </c>
      <c r="E1128" s="21" t="s">
        <v>1072</v>
      </c>
      <c r="F1128" s="21"/>
      <c r="G1128" s="22" t="s">
        <v>1338</v>
      </c>
    </row>
    <row r="1129" spans="1:7" s="7" customFormat="1" hidden="1" outlineLevel="1" x14ac:dyDescent="0.15">
      <c r="A1129" s="2"/>
      <c r="B1129" s="20" t="s">
        <v>214</v>
      </c>
      <c r="C1129" s="21" t="s">
        <v>1339</v>
      </c>
      <c r="D1129" s="21" t="s">
        <v>211</v>
      </c>
      <c r="E1129" s="21">
        <v>0</v>
      </c>
      <c r="F1129" s="21"/>
      <c r="G1129" s="22"/>
    </row>
    <row r="1130" spans="1:7" s="7" customFormat="1" hidden="1" outlineLevel="1" x14ac:dyDescent="0.15">
      <c r="A1130" s="2"/>
      <c r="B1130" s="20" t="s">
        <v>213</v>
      </c>
      <c r="C1130" s="21" t="s">
        <v>1340</v>
      </c>
      <c r="D1130" s="21" t="s">
        <v>1219</v>
      </c>
      <c r="E1130" s="21" t="s">
        <v>1072</v>
      </c>
      <c r="F1130" s="21"/>
      <c r="G1130" s="22"/>
    </row>
    <row r="1131" spans="1:7" s="7" customFormat="1" hidden="1" outlineLevel="1" x14ac:dyDescent="0.15">
      <c r="A1131" s="2"/>
      <c r="B1131" s="20" t="s">
        <v>94</v>
      </c>
      <c r="C1131" s="21" t="s">
        <v>1278</v>
      </c>
      <c r="D1131" s="21" t="s">
        <v>211</v>
      </c>
      <c r="E1131" s="21">
        <v>0</v>
      </c>
      <c r="F1131" s="21"/>
      <c r="G1131" s="22" t="s">
        <v>1279</v>
      </c>
    </row>
    <row r="1132" spans="1:7" s="7" customFormat="1" hidden="1" outlineLevel="1" x14ac:dyDescent="0.15">
      <c r="A1132" s="2"/>
      <c r="B1132" s="20" t="s">
        <v>333</v>
      </c>
      <c r="C1132" s="21" t="s">
        <v>1341</v>
      </c>
      <c r="D1132" s="21" t="s">
        <v>1087</v>
      </c>
      <c r="E1132" s="21">
        <v>0</v>
      </c>
      <c r="F1132" s="21"/>
      <c r="G1132" s="22"/>
    </row>
    <row r="1133" spans="1:7" s="7" customFormat="1" hidden="1" outlineLevel="1" x14ac:dyDescent="0.15">
      <c r="A1133" s="2"/>
      <c r="B1133" s="20" t="s">
        <v>334</v>
      </c>
      <c r="C1133" s="21" t="s">
        <v>1342</v>
      </c>
      <c r="D1133" s="21" t="s">
        <v>1169</v>
      </c>
      <c r="E1133" s="21">
        <v>0</v>
      </c>
      <c r="F1133" s="21"/>
      <c r="G1133" s="22"/>
    </row>
    <row r="1134" spans="1:7" s="7" customFormat="1" hidden="1" outlineLevel="1" x14ac:dyDescent="0.15">
      <c r="A1134" s="2"/>
      <c r="B1134" s="20" t="s">
        <v>335</v>
      </c>
      <c r="C1134" s="21" t="s">
        <v>1560</v>
      </c>
      <c r="D1134" s="21" t="s">
        <v>1172</v>
      </c>
      <c r="E1134" s="21">
        <v>0</v>
      </c>
      <c r="F1134" s="21"/>
      <c r="G1134" s="22"/>
    </row>
    <row r="1135" spans="1:7" s="7" customFormat="1" hidden="1" outlineLevel="1" x14ac:dyDescent="0.15">
      <c r="A1135" s="2"/>
      <c r="B1135" s="20" t="s">
        <v>336</v>
      </c>
      <c r="C1135" s="21" t="s">
        <v>1343</v>
      </c>
      <c r="D1135" s="21" t="s">
        <v>211</v>
      </c>
      <c r="E1135" s="21" t="s">
        <v>1141</v>
      </c>
      <c r="F1135" s="21"/>
      <c r="G1135" s="22"/>
    </row>
    <row r="1136" spans="1:7" s="7" customFormat="1" hidden="1" outlineLevel="1" x14ac:dyDescent="0.15">
      <c r="A1136" s="2"/>
      <c r="B1136" s="20" t="s">
        <v>337</v>
      </c>
      <c r="C1136" s="21" t="s">
        <v>1344</v>
      </c>
      <c r="D1136" s="21" t="s">
        <v>1345</v>
      </c>
      <c r="E1136" s="21">
        <v>0</v>
      </c>
      <c r="F1136" s="21"/>
      <c r="G1136" s="22"/>
    </row>
    <row r="1137" spans="1:7" s="7" customFormat="1" hidden="1" outlineLevel="1" x14ac:dyDescent="0.15">
      <c r="A1137" s="2"/>
      <c r="B1137" s="20" t="s">
        <v>338</v>
      </c>
      <c r="C1137" s="21" t="s">
        <v>1346</v>
      </c>
      <c r="D1137" s="21" t="s">
        <v>1345</v>
      </c>
      <c r="E1137" s="21">
        <v>0</v>
      </c>
      <c r="F1137" s="21"/>
      <c r="G1137" s="22"/>
    </row>
    <row r="1138" spans="1:7" s="7" customFormat="1" hidden="1" outlineLevel="1" x14ac:dyDescent="0.15">
      <c r="A1138" s="2"/>
      <c r="B1138" s="20" t="s">
        <v>339</v>
      </c>
      <c r="C1138" s="21" t="s">
        <v>1347</v>
      </c>
      <c r="D1138" s="21" t="s">
        <v>211</v>
      </c>
      <c r="E1138" s="21">
        <v>0</v>
      </c>
      <c r="F1138" s="21"/>
      <c r="G1138" s="22"/>
    </row>
    <row r="1139" spans="1:7" s="7" customFormat="1" hidden="1" outlineLevel="1" x14ac:dyDescent="0.15">
      <c r="A1139" s="2"/>
      <c r="B1139" s="20" t="s">
        <v>340</v>
      </c>
      <c r="C1139" s="21" t="s">
        <v>1348</v>
      </c>
      <c r="D1139" s="21" t="s">
        <v>211</v>
      </c>
      <c r="E1139" s="21">
        <v>0</v>
      </c>
      <c r="F1139" s="21"/>
      <c r="G1139" s="22"/>
    </row>
    <row r="1140" spans="1:7" s="7" customFormat="1" hidden="1" outlineLevel="1" x14ac:dyDescent="0.15">
      <c r="A1140" s="2"/>
      <c r="B1140" s="20" t="s">
        <v>341</v>
      </c>
      <c r="C1140" s="21" t="s">
        <v>1349</v>
      </c>
      <c r="D1140" s="21" t="s">
        <v>211</v>
      </c>
      <c r="E1140" s="21">
        <v>0</v>
      </c>
      <c r="F1140" s="21"/>
      <c r="G1140" s="22"/>
    </row>
    <row r="1141" spans="1:7" s="7" customFormat="1" hidden="1" outlineLevel="1" x14ac:dyDescent="0.15">
      <c r="A1141" s="2"/>
      <c r="B1141" s="20" t="s">
        <v>342</v>
      </c>
      <c r="C1141" s="21" t="s">
        <v>1350</v>
      </c>
      <c r="D1141" s="21" t="s">
        <v>1169</v>
      </c>
      <c r="E1141" s="21">
        <v>0</v>
      </c>
      <c r="F1141" s="21"/>
      <c r="G1141" s="22"/>
    </row>
    <row r="1142" spans="1:7" s="7" customFormat="1" hidden="1" outlineLevel="1" x14ac:dyDescent="0.15">
      <c r="A1142" s="2"/>
      <c r="B1142" s="20" t="s">
        <v>343</v>
      </c>
      <c r="C1142" s="21" t="s">
        <v>1351</v>
      </c>
      <c r="D1142" s="21" t="s">
        <v>1169</v>
      </c>
      <c r="E1142" s="21">
        <v>0</v>
      </c>
      <c r="F1142" s="21"/>
      <c r="G1142" s="22"/>
    </row>
    <row r="1143" spans="1:7" s="7" customFormat="1" hidden="1" outlineLevel="1" x14ac:dyDescent="0.15">
      <c r="A1143" s="2"/>
      <c r="B1143" s="20" t="s">
        <v>344</v>
      </c>
      <c r="C1143" s="21" t="s">
        <v>1352</v>
      </c>
      <c r="D1143" s="21" t="s">
        <v>211</v>
      </c>
      <c r="E1143" s="21">
        <v>0</v>
      </c>
      <c r="F1143" s="21"/>
      <c r="G1143" s="22"/>
    </row>
    <row r="1144" spans="1:7" s="7" customFormat="1" hidden="1" outlineLevel="1" x14ac:dyDescent="0.15">
      <c r="A1144" s="2"/>
      <c r="B1144" s="20" t="s">
        <v>345</v>
      </c>
      <c r="C1144" s="21" t="s">
        <v>1353</v>
      </c>
      <c r="D1144" s="21" t="s">
        <v>1403</v>
      </c>
      <c r="E1144" s="21" t="s">
        <v>1303</v>
      </c>
      <c r="F1144" s="21"/>
      <c r="G1144" s="22" t="s">
        <v>1354</v>
      </c>
    </row>
    <row r="1145" spans="1:7" s="7" customFormat="1" ht="18" hidden="1" outlineLevel="1" thickBot="1" x14ac:dyDescent="0.2">
      <c r="A1145" s="2"/>
      <c r="B1145" s="24"/>
      <c r="C1145" s="9"/>
      <c r="D1145" s="9"/>
      <c r="E1145" s="9"/>
      <c r="F1145" s="9"/>
      <c r="G1145" s="11"/>
    </row>
    <row r="1146" spans="1:7" s="7" customFormat="1" hidden="1" outlineLevel="1" x14ac:dyDescent="0.15">
      <c r="A1146" s="2"/>
      <c r="B1146" s="327" t="s">
        <v>15</v>
      </c>
      <c r="C1146" s="328"/>
      <c r="D1146" s="328"/>
      <c r="E1146" s="328"/>
      <c r="F1146" s="328"/>
      <c r="G1146" s="329"/>
    </row>
    <row r="1147" spans="1:7" s="7" customFormat="1" hidden="1" outlineLevel="1" x14ac:dyDescent="0.15">
      <c r="A1147" s="2"/>
      <c r="B1147" s="20">
        <v>1</v>
      </c>
      <c r="C1147" s="21" t="s">
        <v>113</v>
      </c>
      <c r="D1147" s="21" t="s">
        <v>114</v>
      </c>
      <c r="E1147" s="21" t="s">
        <v>118</v>
      </c>
      <c r="F1147" s="22" t="s">
        <v>94</v>
      </c>
      <c r="G1147" s="22"/>
    </row>
    <row r="1148" spans="1:7" s="7" customFormat="1" hidden="1" outlineLevel="1" x14ac:dyDescent="0.15">
      <c r="A1148" s="2"/>
      <c r="B1148" s="20">
        <v>2</v>
      </c>
      <c r="C1148" s="21" t="s">
        <v>16</v>
      </c>
      <c r="D1148" s="21" t="s">
        <v>111</v>
      </c>
      <c r="E1148" s="21" t="s">
        <v>123</v>
      </c>
      <c r="F1148" s="21"/>
      <c r="G1148" s="21"/>
    </row>
    <row r="1149" spans="1:7" s="7" customFormat="1" hidden="1" outlineLevel="1" x14ac:dyDescent="0.15">
      <c r="A1149" s="2"/>
      <c r="B1149" s="17">
        <v>3</v>
      </c>
      <c r="C1149" s="18" t="s">
        <v>344</v>
      </c>
      <c r="D1149" s="18" t="s">
        <v>346</v>
      </c>
      <c r="E1149" s="18"/>
      <c r="F1149" s="18"/>
      <c r="G1149" s="18"/>
    </row>
    <row r="1150" spans="1:7" s="7" customFormat="1" ht="18" hidden="1" outlineLevel="1" thickBot="1" x14ac:dyDescent="0.2">
      <c r="A1150" s="2"/>
      <c r="B1150" s="24"/>
      <c r="C1150" s="9"/>
      <c r="D1150" s="9"/>
      <c r="E1150" s="9"/>
      <c r="F1150" s="9"/>
      <c r="G1150" s="11"/>
    </row>
    <row r="1151" spans="1:7" s="7" customFormat="1" ht="18" hidden="1" outlineLevel="1" thickBot="1" x14ac:dyDescent="0.2">
      <c r="A1151" s="2"/>
    </row>
    <row r="1152" spans="1:7" s="7" customFormat="1" ht="18" collapsed="1" thickBot="1" x14ac:dyDescent="0.2">
      <c r="A1152" s="2"/>
      <c r="B1152" s="3" t="s">
        <v>563</v>
      </c>
      <c r="C1152" s="4" t="s">
        <v>657</v>
      </c>
      <c r="D1152" s="5" t="s">
        <v>515</v>
      </c>
      <c r="E1152" s="21" t="s">
        <v>614</v>
      </c>
      <c r="F1152" s="5" t="s">
        <v>567</v>
      </c>
      <c r="G1152" s="6" t="s">
        <v>1619</v>
      </c>
    </row>
    <row r="1153" spans="1:7" s="7" customFormat="1" ht="18" hidden="1" outlineLevel="1" thickBot="1" x14ac:dyDescent="0.2">
      <c r="A1153" s="2"/>
      <c r="B1153" s="34" t="s">
        <v>570</v>
      </c>
      <c r="C1153" s="18"/>
      <c r="D1153" s="35" t="s">
        <v>568</v>
      </c>
      <c r="E1153" s="18" t="s">
        <v>615</v>
      </c>
      <c r="F1153" s="35"/>
      <c r="G1153" s="19"/>
    </row>
    <row r="1154" spans="1:7" s="7" customFormat="1" hidden="1" outlineLevel="1" x14ac:dyDescent="0.15">
      <c r="A1154" s="2"/>
      <c r="B1154" s="3" t="s">
        <v>0</v>
      </c>
      <c r="C1154" s="5" t="s">
        <v>1</v>
      </c>
      <c r="D1154" s="5" t="s">
        <v>2</v>
      </c>
      <c r="E1154" s="5"/>
      <c r="F1154" s="5" t="s">
        <v>3</v>
      </c>
      <c r="G1154" s="36" t="s">
        <v>4</v>
      </c>
    </row>
    <row r="1155" spans="1:7" s="7" customFormat="1" hidden="1" outlineLevel="1" x14ac:dyDescent="0.15">
      <c r="A1155" s="2"/>
      <c r="B1155" s="20" t="s">
        <v>5</v>
      </c>
      <c r="C1155" s="21" t="s">
        <v>1127</v>
      </c>
      <c r="D1155" s="21" t="s">
        <v>211</v>
      </c>
      <c r="E1155" s="21" t="s">
        <v>1141</v>
      </c>
      <c r="F1155" s="21"/>
      <c r="G1155" s="22" t="s">
        <v>1162</v>
      </c>
    </row>
    <row r="1156" spans="1:7" s="7" customFormat="1" hidden="1" outlineLevel="1" x14ac:dyDescent="0.15">
      <c r="A1156" s="2"/>
      <c r="B1156" s="20" t="s">
        <v>6</v>
      </c>
      <c r="C1156" s="21" t="s">
        <v>1163</v>
      </c>
      <c r="D1156" s="21" t="s">
        <v>211</v>
      </c>
      <c r="E1156" s="21">
        <v>0</v>
      </c>
      <c r="F1156" s="21"/>
      <c r="G1156" s="22" t="s">
        <v>1077</v>
      </c>
    </row>
    <row r="1157" spans="1:7" s="7" customFormat="1" hidden="1" outlineLevel="1" x14ac:dyDescent="0.15">
      <c r="A1157" s="2"/>
      <c r="B1157" s="20" t="s">
        <v>111</v>
      </c>
      <c r="C1157" s="21" t="s">
        <v>1164</v>
      </c>
      <c r="D1157" s="21" t="s">
        <v>211</v>
      </c>
      <c r="E1157" s="21">
        <v>0</v>
      </c>
      <c r="F1157" s="21"/>
      <c r="G1157" s="22" t="s">
        <v>1165</v>
      </c>
    </row>
    <row r="1158" spans="1:7" s="7" customFormat="1" hidden="1" outlineLevel="1" x14ac:dyDescent="0.15">
      <c r="A1158" s="2"/>
      <c r="B1158" s="20" t="s">
        <v>123</v>
      </c>
      <c r="C1158" s="21" t="s">
        <v>1133</v>
      </c>
      <c r="D1158" s="21" t="s">
        <v>211</v>
      </c>
      <c r="E1158" s="21">
        <v>0</v>
      </c>
      <c r="F1158" s="21"/>
      <c r="G1158" s="22" t="s">
        <v>1182</v>
      </c>
    </row>
    <row r="1159" spans="1:7" s="7" customFormat="1" hidden="1" outlineLevel="1" x14ac:dyDescent="0.15">
      <c r="A1159" s="2"/>
      <c r="B1159" s="20" t="s">
        <v>113</v>
      </c>
      <c r="C1159" s="21" t="s">
        <v>1187</v>
      </c>
      <c r="D1159" s="21" t="s">
        <v>211</v>
      </c>
      <c r="E1159" s="21">
        <v>0</v>
      </c>
      <c r="F1159" s="21"/>
      <c r="G1159" s="22"/>
    </row>
    <row r="1160" spans="1:7" s="7" customFormat="1" hidden="1" outlineLevel="1" x14ac:dyDescent="0.15">
      <c r="A1160" s="2"/>
      <c r="B1160" s="20" t="s">
        <v>110</v>
      </c>
      <c r="C1160" s="21" t="s">
        <v>1091</v>
      </c>
      <c r="D1160" s="21" t="s">
        <v>1131</v>
      </c>
      <c r="E1160" s="21" t="s">
        <v>1074</v>
      </c>
      <c r="F1160" s="21"/>
      <c r="G1160" s="22"/>
    </row>
    <row r="1161" spans="1:7" s="7" customFormat="1" hidden="1" outlineLevel="1" x14ac:dyDescent="0.15">
      <c r="A1161" s="2"/>
      <c r="B1161" s="20" t="s">
        <v>243</v>
      </c>
      <c r="C1161" s="21" t="s">
        <v>1450</v>
      </c>
      <c r="D1161" s="21" t="s">
        <v>1131</v>
      </c>
      <c r="E1161" s="21" t="s">
        <v>1074</v>
      </c>
      <c r="F1161" s="21"/>
      <c r="G1161" s="22"/>
    </row>
    <row r="1162" spans="1:7" s="7" customFormat="1" hidden="1" outlineLevel="1" x14ac:dyDescent="0.15">
      <c r="A1162" s="2"/>
      <c r="B1162" s="20" t="s">
        <v>488</v>
      </c>
      <c r="C1162" s="21" t="s">
        <v>1561</v>
      </c>
      <c r="D1162" s="21" t="s">
        <v>1172</v>
      </c>
      <c r="E1162" s="21">
        <v>0</v>
      </c>
      <c r="F1162" s="21"/>
      <c r="G1162" s="22"/>
    </row>
    <row r="1163" spans="1:7" s="7" customFormat="1" hidden="1" outlineLevel="1" x14ac:dyDescent="0.15">
      <c r="A1163" s="2"/>
      <c r="B1163" s="20" t="s">
        <v>7</v>
      </c>
      <c r="C1163" s="21" t="s">
        <v>1190</v>
      </c>
      <c r="D1163" s="21" t="s">
        <v>211</v>
      </c>
      <c r="E1163" s="21">
        <v>0</v>
      </c>
      <c r="F1163" s="21"/>
      <c r="G1163" s="22" t="s">
        <v>1081</v>
      </c>
    </row>
    <row r="1164" spans="1:7" s="7" customFormat="1" hidden="1" outlineLevel="1" x14ac:dyDescent="0.15">
      <c r="A1164" s="2"/>
      <c r="B1164" s="20" t="s">
        <v>114</v>
      </c>
      <c r="C1164" s="21" t="s">
        <v>1155</v>
      </c>
      <c r="D1164" s="21" t="s">
        <v>211</v>
      </c>
      <c r="E1164" s="21">
        <v>0</v>
      </c>
      <c r="F1164" s="21"/>
      <c r="G1164" s="22"/>
    </row>
    <row r="1165" spans="1:7" s="7" customFormat="1" hidden="1" outlineLevel="1" x14ac:dyDescent="0.15">
      <c r="A1165" s="2"/>
      <c r="B1165" s="20" t="s">
        <v>118</v>
      </c>
      <c r="C1165" s="21" t="s">
        <v>1188</v>
      </c>
      <c r="D1165" s="21" t="s">
        <v>211</v>
      </c>
      <c r="E1165" s="21">
        <v>0</v>
      </c>
      <c r="F1165" s="21"/>
      <c r="G1165" s="22"/>
    </row>
    <row r="1166" spans="1:7" s="7" customFormat="1" hidden="1" outlineLevel="1" x14ac:dyDescent="0.15">
      <c r="A1166" s="2"/>
      <c r="B1166" s="20" t="s">
        <v>214</v>
      </c>
      <c r="C1166" s="21" t="s">
        <v>1339</v>
      </c>
      <c r="D1166" s="21" t="s">
        <v>211</v>
      </c>
      <c r="E1166" s="21">
        <v>0</v>
      </c>
      <c r="F1166" s="21"/>
      <c r="G1166" s="22"/>
    </row>
    <row r="1167" spans="1:7" s="7" customFormat="1" hidden="1" outlineLevel="1" x14ac:dyDescent="0.15">
      <c r="A1167" s="2"/>
      <c r="B1167" s="20" t="s">
        <v>261</v>
      </c>
      <c r="C1167" s="21" t="s">
        <v>1355</v>
      </c>
      <c r="D1167" s="21" t="s">
        <v>1345</v>
      </c>
      <c r="E1167" s="21">
        <v>0</v>
      </c>
      <c r="F1167" s="21"/>
      <c r="G1167" s="22" t="s">
        <v>1356</v>
      </c>
    </row>
    <row r="1168" spans="1:7" s="7" customFormat="1" hidden="1" outlineLevel="1" x14ac:dyDescent="0.15">
      <c r="A1168" s="2"/>
      <c r="B1168" s="20" t="s">
        <v>94</v>
      </c>
      <c r="C1168" s="21" t="s">
        <v>1278</v>
      </c>
      <c r="D1168" s="21" t="s">
        <v>211</v>
      </c>
      <c r="E1168" s="21">
        <v>0</v>
      </c>
      <c r="F1168" s="21"/>
      <c r="G1168" s="22" t="s">
        <v>1279</v>
      </c>
    </row>
    <row r="1169" spans="1:7" s="7" customFormat="1" hidden="1" outlineLevel="1" x14ac:dyDescent="0.15">
      <c r="A1169" s="2"/>
      <c r="B1169" s="20" t="s">
        <v>333</v>
      </c>
      <c r="C1169" s="21" t="s">
        <v>1341</v>
      </c>
      <c r="D1169" s="21" t="s">
        <v>1087</v>
      </c>
      <c r="E1169" s="21">
        <v>0</v>
      </c>
      <c r="F1169" s="21"/>
      <c r="G1169" s="22"/>
    </row>
    <row r="1170" spans="1:7" s="7" customFormat="1" hidden="1" outlineLevel="1" x14ac:dyDescent="0.15">
      <c r="A1170" s="2"/>
      <c r="B1170" s="20" t="s">
        <v>334</v>
      </c>
      <c r="C1170" s="21" t="s">
        <v>1342</v>
      </c>
      <c r="D1170" s="21" t="s">
        <v>1169</v>
      </c>
      <c r="E1170" s="21">
        <v>0</v>
      </c>
      <c r="F1170" s="21"/>
      <c r="G1170" s="22"/>
    </row>
    <row r="1171" spans="1:7" s="7" customFormat="1" hidden="1" outlineLevel="1" x14ac:dyDescent="0.15">
      <c r="A1171" s="2"/>
      <c r="B1171" s="20" t="s">
        <v>335</v>
      </c>
      <c r="C1171" s="21" t="s">
        <v>1560</v>
      </c>
      <c r="D1171" s="21" t="s">
        <v>1172</v>
      </c>
      <c r="E1171" s="21">
        <v>0</v>
      </c>
      <c r="F1171" s="21"/>
      <c r="G1171" s="22"/>
    </row>
    <row r="1172" spans="1:7" s="7" customFormat="1" hidden="1" outlineLevel="1" x14ac:dyDescent="0.15">
      <c r="A1172" s="2"/>
      <c r="B1172" s="20" t="s">
        <v>336</v>
      </c>
      <c r="C1172" s="21" t="s">
        <v>1343</v>
      </c>
      <c r="D1172" s="21" t="s">
        <v>211</v>
      </c>
      <c r="E1172" s="21" t="s">
        <v>1141</v>
      </c>
      <c r="F1172" s="21"/>
      <c r="G1172" s="22"/>
    </row>
    <row r="1173" spans="1:7" s="7" customFormat="1" hidden="1" outlineLevel="1" x14ac:dyDescent="0.15">
      <c r="A1173" s="2"/>
      <c r="B1173" s="20" t="s">
        <v>337</v>
      </c>
      <c r="C1173" s="21" t="s">
        <v>1344</v>
      </c>
      <c r="D1173" s="21" t="s">
        <v>1345</v>
      </c>
      <c r="E1173" s="21">
        <v>0</v>
      </c>
      <c r="F1173" s="21"/>
      <c r="G1173" s="22"/>
    </row>
    <row r="1174" spans="1:7" s="7" customFormat="1" hidden="1" outlineLevel="1" x14ac:dyDescent="0.15">
      <c r="A1174" s="2"/>
      <c r="B1174" s="20" t="s">
        <v>338</v>
      </c>
      <c r="C1174" s="21" t="s">
        <v>1346</v>
      </c>
      <c r="D1174" s="21" t="s">
        <v>1345</v>
      </c>
      <c r="E1174" s="21">
        <v>0</v>
      </c>
      <c r="F1174" s="21"/>
      <c r="G1174" s="22"/>
    </row>
    <row r="1175" spans="1:7" s="7" customFormat="1" hidden="1" outlineLevel="1" x14ac:dyDescent="0.15">
      <c r="A1175" s="2"/>
      <c r="B1175" s="20" t="s">
        <v>339</v>
      </c>
      <c r="C1175" s="21" t="s">
        <v>1347</v>
      </c>
      <c r="D1175" s="21" t="s">
        <v>211</v>
      </c>
      <c r="E1175" s="21">
        <v>0</v>
      </c>
      <c r="F1175" s="21"/>
      <c r="G1175" s="22"/>
    </row>
    <row r="1176" spans="1:7" s="7" customFormat="1" hidden="1" outlineLevel="1" x14ac:dyDescent="0.15">
      <c r="A1176" s="2"/>
      <c r="B1176" s="20" t="s">
        <v>340</v>
      </c>
      <c r="C1176" s="21" t="s">
        <v>1348</v>
      </c>
      <c r="D1176" s="21" t="s">
        <v>211</v>
      </c>
      <c r="E1176" s="21">
        <v>0</v>
      </c>
      <c r="F1176" s="21"/>
      <c r="G1176" s="22"/>
    </row>
    <row r="1177" spans="1:7" s="7" customFormat="1" hidden="1" outlineLevel="1" x14ac:dyDescent="0.15">
      <c r="A1177" s="2"/>
      <c r="B1177" s="20" t="s">
        <v>341</v>
      </c>
      <c r="C1177" s="21" t="s">
        <v>1349</v>
      </c>
      <c r="D1177" s="21" t="s">
        <v>211</v>
      </c>
      <c r="E1177" s="21">
        <v>0</v>
      </c>
      <c r="F1177" s="21"/>
      <c r="G1177" s="22"/>
    </row>
    <row r="1178" spans="1:7" s="7" customFormat="1" hidden="1" outlineLevel="1" x14ac:dyDescent="0.15">
      <c r="A1178" s="2"/>
      <c r="B1178" s="20" t="s">
        <v>342</v>
      </c>
      <c r="C1178" s="21" t="s">
        <v>1350</v>
      </c>
      <c r="D1178" s="21" t="s">
        <v>1169</v>
      </c>
      <c r="E1178" s="21">
        <v>0</v>
      </c>
      <c r="F1178" s="21"/>
      <c r="G1178" s="22"/>
    </row>
    <row r="1179" spans="1:7" s="7" customFormat="1" hidden="1" outlineLevel="1" x14ac:dyDescent="0.15">
      <c r="A1179" s="2"/>
      <c r="B1179" s="20" t="s">
        <v>343</v>
      </c>
      <c r="C1179" s="21" t="s">
        <v>1351</v>
      </c>
      <c r="D1179" s="21" t="s">
        <v>1169</v>
      </c>
      <c r="E1179" s="21">
        <v>0</v>
      </c>
      <c r="F1179" s="21"/>
      <c r="G1179" s="22"/>
    </row>
    <row r="1180" spans="1:7" s="7" customFormat="1" hidden="1" outlineLevel="1" x14ac:dyDescent="0.15">
      <c r="A1180" s="2"/>
      <c r="B1180" s="20" t="s">
        <v>344</v>
      </c>
      <c r="C1180" s="21" t="s">
        <v>1352</v>
      </c>
      <c r="D1180" s="21" t="s">
        <v>211</v>
      </c>
      <c r="E1180" s="21">
        <v>0</v>
      </c>
      <c r="F1180" s="21"/>
      <c r="G1180" s="22"/>
    </row>
    <row r="1181" spans="1:7" s="7" customFormat="1" hidden="1" outlineLevel="1" x14ac:dyDescent="0.15">
      <c r="A1181" s="2"/>
      <c r="B1181" s="20" t="s">
        <v>345</v>
      </c>
      <c r="C1181" s="21" t="s">
        <v>1353</v>
      </c>
      <c r="D1181" s="21" t="s">
        <v>1403</v>
      </c>
      <c r="E1181" s="21" t="s">
        <v>1303</v>
      </c>
      <c r="F1181" s="21"/>
      <c r="G1181" s="22" t="s">
        <v>1354</v>
      </c>
    </row>
    <row r="1182" spans="1:7" s="7" customFormat="1" ht="18" hidden="1" outlineLevel="1" thickBot="1" x14ac:dyDescent="0.2">
      <c r="A1182" s="2"/>
      <c r="B1182" s="24"/>
      <c r="C1182" s="9"/>
      <c r="D1182" s="9"/>
      <c r="E1182" s="9"/>
      <c r="F1182" s="9"/>
      <c r="G1182" s="11"/>
    </row>
    <row r="1183" spans="1:7" s="7" customFormat="1" hidden="1" outlineLevel="1" x14ac:dyDescent="0.15">
      <c r="A1183" s="2"/>
      <c r="B1183" s="327" t="s">
        <v>15</v>
      </c>
      <c r="C1183" s="328"/>
      <c r="D1183" s="328"/>
      <c r="E1183" s="328"/>
      <c r="F1183" s="328"/>
      <c r="G1183" s="329"/>
    </row>
    <row r="1184" spans="1:7" s="7" customFormat="1" hidden="1" outlineLevel="1" x14ac:dyDescent="0.15">
      <c r="A1184" s="2"/>
      <c r="B1184" s="20">
        <v>1</v>
      </c>
      <c r="C1184" s="21" t="s">
        <v>22</v>
      </c>
      <c r="D1184" s="21" t="s">
        <v>113</v>
      </c>
      <c r="E1184" s="21" t="s">
        <v>114</v>
      </c>
      <c r="F1184" s="21" t="s">
        <v>118</v>
      </c>
      <c r="G1184" s="22" t="s">
        <v>94</v>
      </c>
    </row>
    <row r="1185" spans="1:8" s="7" customFormat="1" hidden="1" outlineLevel="1" x14ac:dyDescent="0.15">
      <c r="A1185" s="2"/>
      <c r="B1185" s="20">
        <v>2</v>
      </c>
      <c r="C1185" s="21" t="s">
        <v>22</v>
      </c>
      <c r="D1185" s="21" t="s">
        <v>109</v>
      </c>
      <c r="E1185" s="21" t="s">
        <v>111</v>
      </c>
      <c r="F1185" s="21" t="s">
        <v>123</v>
      </c>
      <c r="G1185" s="22"/>
    </row>
    <row r="1186" spans="1:8" s="7" customFormat="1" hidden="1" outlineLevel="1" x14ac:dyDescent="0.15">
      <c r="A1186" s="2"/>
      <c r="B1186" s="17">
        <v>3</v>
      </c>
      <c r="C1186" s="18" t="s">
        <v>344</v>
      </c>
      <c r="D1186" s="18" t="s">
        <v>346</v>
      </c>
      <c r="E1186" s="18"/>
      <c r="F1186" s="18"/>
      <c r="G1186" s="19"/>
    </row>
    <row r="1187" spans="1:8" s="7" customFormat="1" ht="18" hidden="1" outlineLevel="1" thickBot="1" x14ac:dyDescent="0.2">
      <c r="A1187" s="2"/>
      <c r="B1187" s="24"/>
      <c r="C1187" s="9"/>
      <c r="D1187" s="9"/>
      <c r="E1187" s="9"/>
      <c r="F1187" s="9"/>
      <c r="G1187" s="11"/>
    </row>
    <row r="1188" spans="1:8" s="7" customFormat="1" ht="18" hidden="1" outlineLevel="1" thickBot="1" x14ac:dyDescent="0.2">
      <c r="A1188" s="2"/>
      <c r="H1188" s="6" t="str">
        <f>"create or replace view "&amp;C1189</f>
        <v>create or replace view vi_tdserp_strike</v>
      </c>
    </row>
    <row r="1189" spans="1:8" s="7" customFormat="1" ht="18" collapsed="1" thickBot="1" x14ac:dyDescent="0.2">
      <c r="B1189" s="3" t="s">
        <v>563</v>
      </c>
      <c r="C1189" s="147" t="s">
        <v>421</v>
      </c>
      <c r="D1189" s="147" t="s">
        <v>515</v>
      </c>
      <c r="E1189" s="21" t="s">
        <v>717</v>
      </c>
      <c r="F1189" s="5" t="s">
        <v>567</v>
      </c>
      <c r="G1189" s="6" t="s">
        <v>1618</v>
      </c>
      <c r="H1189" s="11" t="str">
        <f>"/* "&amp;E1189&amp;"*/  as "</f>
        <v xml:space="preserve">/* 报表_资管报表_交易证券-报盘-成交表*/  as </v>
      </c>
    </row>
    <row r="1190" spans="1:8" s="7" customFormat="1" ht="18" hidden="1" outlineLevel="1" thickBot="1" x14ac:dyDescent="0.2">
      <c r="B1190" s="34" t="s">
        <v>570</v>
      </c>
      <c r="C1190" s="18"/>
      <c r="D1190" s="35" t="s">
        <v>568</v>
      </c>
      <c r="E1190" s="18" t="s">
        <v>615</v>
      </c>
      <c r="F1190" s="35"/>
      <c r="G1190" s="19"/>
      <c r="H1190" s="13" t="s">
        <v>474</v>
      </c>
    </row>
    <row r="1191" spans="1:8" s="7" customFormat="1" hidden="1" outlineLevel="1" x14ac:dyDescent="0.15">
      <c r="B1191" s="3" t="s">
        <v>0</v>
      </c>
      <c r="C1191" s="5" t="s">
        <v>1</v>
      </c>
      <c r="D1191" s="5" t="s">
        <v>2</v>
      </c>
      <c r="E1191" s="5"/>
      <c r="F1191" s="5" t="s">
        <v>3</v>
      </c>
      <c r="G1191" s="36" t="s">
        <v>4</v>
      </c>
      <c r="H1191" s="107" t="e">
        <f>"ifnull("&amp;IF(I1191&lt;&gt;"",I1191,IF(#REF!&lt;&gt;"",#REF!,"t")&amp;"."&amp;#REF!)&amp;","&amp;#REF!&amp;") as "&amp;#REF!&amp;",/*"&amp;#REF!&amp;"*/"</f>
        <v>#REF!</v>
      </c>
    </row>
    <row r="1192" spans="1:8" s="7" customFormat="1" hidden="1" outlineLevel="1" x14ac:dyDescent="0.15">
      <c r="B1192" s="20" t="s">
        <v>21</v>
      </c>
      <c r="C1192" s="21" t="s">
        <v>1357</v>
      </c>
      <c r="D1192" s="21" t="s">
        <v>211</v>
      </c>
      <c r="E1192" s="21">
        <v>0</v>
      </c>
      <c r="F1192" s="21"/>
      <c r="G1192" s="22" t="s">
        <v>1358</v>
      </c>
    </row>
    <row r="1193" spans="1:8" s="7" customFormat="1" hidden="1" outlineLevel="1" x14ac:dyDescent="0.15">
      <c r="B1193" s="20" t="s">
        <v>22</v>
      </c>
      <c r="C1193" s="21" t="s">
        <v>1127</v>
      </c>
      <c r="D1193" s="21" t="s">
        <v>211</v>
      </c>
      <c r="E1193" s="21" t="s">
        <v>1141</v>
      </c>
      <c r="F1193" s="21"/>
      <c r="G1193" s="22" t="s">
        <v>1162</v>
      </c>
    </row>
    <row r="1194" spans="1:8" s="7" customFormat="1" hidden="1" outlineLevel="1" x14ac:dyDescent="0.15">
      <c r="B1194" s="20" t="s">
        <v>6</v>
      </c>
      <c r="C1194" s="21" t="s">
        <v>1163</v>
      </c>
      <c r="D1194" s="21" t="s">
        <v>211</v>
      </c>
      <c r="E1194" s="21">
        <v>0</v>
      </c>
      <c r="F1194" s="21"/>
      <c r="G1194" s="22" t="s">
        <v>1077</v>
      </c>
    </row>
    <row r="1195" spans="1:8" s="7" customFormat="1" hidden="1" outlineLevel="1" x14ac:dyDescent="0.15">
      <c r="B1195" s="20" t="s">
        <v>111</v>
      </c>
      <c r="C1195" s="21" t="s">
        <v>1164</v>
      </c>
      <c r="D1195" s="21" t="s">
        <v>211</v>
      </c>
      <c r="E1195" s="21">
        <v>0</v>
      </c>
      <c r="F1195" s="21"/>
      <c r="G1195" s="22" t="s">
        <v>1165</v>
      </c>
    </row>
    <row r="1196" spans="1:8" s="7" customFormat="1" hidden="1" outlineLevel="1" x14ac:dyDescent="0.15">
      <c r="B1196" s="20" t="s">
        <v>123</v>
      </c>
      <c r="C1196" s="21" t="s">
        <v>1133</v>
      </c>
      <c r="D1196" s="21" t="s">
        <v>211</v>
      </c>
      <c r="E1196" s="21">
        <v>0</v>
      </c>
      <c r="F1196" s="21"/>
      <c r="G1196" s="22" t="s">
        <v>1182</v>
      </c>
    </row>
    <row r="1197" spans="1:8" s="7" customFormat="1" hidden="1" outlineLevel="1" x14ac:dyDescent="0.15">
      <c r="B1197" s="20" t="s">
        <v>113</v>
      </c>
      <c r="C1197" s="21" t="s">
        <v>1187</v>
      </c>
      <c r="D1197" s="21" t="s">
        <v>211</v>
      </c>
      <c r="E1197" s="21">
        <v>0</v>
      </c>
      <c r="F1197" s="21"/>
      <c r="G1197" s="22"/>
    </row>
    <row r="1198" spans="1:8" s="7" customFormat="1" hidden="1" outlineLevel="1" x14ac:dyDescent="0.15">
      <c r="B1198" s="20" t="s">
        <v>98</v>
      </c>
      <c r="C1198" s="21" t="s">
        <v>1359</v>
      </c>
      <c r="D1198" s="21" t="s">
        <v>211</v>
      </c>
      <c r="E1198" s="21">
        <v>0</v>
      </c>
      <c r="F1198" s="21"/>
      <c r="G1198" s="22" t="s">
        <v>1562</v>
      </c>
    </row>
    <row r="1199" spans="1:8" s="7" customFormat="1" hidden="1" outlineLevel="1" x14ac:dyDescent="0.15">
      <c r="B1199" s="20" t="s">
        <v>260</v>
      </c>
      <c r="C1199" s="21" t="s">
        <v>1119</v>
      </c>
      <c r="D1199" s="21" t="s">
        <v>1287</v>
      </c>
      <c r="E1199" s="21" t="s">
        <v>1072</v>
      </c>
      <c r="F1199" s="21"/>
      <c r="G1199" s="22"/>
    </row>
    <row r="1200" spans="1:8" s="7" customFormat="1" hidden="1" outlineLevel="1" x14ac:dyDescent="0.15">
      <c r="B1200" s="20" t="s">
        <v>7</v>
      </c>
      <c r="C1200" s="21" t="s">
        <v>1190</v>
      </c>
      <c r="D1200" s="21" t="s">
        <v>211</v>
      </c>
      <c r="E1200" s="21">
        <v>0</v>
      </c>
      <c r="F1200" s="21" t="s">
        <v>28</v>
      </c>
      <c r="G1200" s="22" t="s">
        <v>1081</v>
      </c>
    </row>
    <row r="1201" spans="2:7" s="7" customFormat="1" hidden="1" outlineLevel="1" x14ac:dyDescent="0.15">
      <c r="B1201" s="20" t="s">
        <v>114</v>
      </c>
      <c r="C1201" s="21" t="s">
        <v>1155</v>
      </c>
      <c r="D1201" s="21" t="s">
        <v>211</v>
      </c>
      <c r="E1201" s="21">
        <v>0</v>
      </c>
      <c r="F1201" s="21"/>
      <c r="G1201" s="22"/>
    </row>
    <row r="1202" spans="2:7" s="7" customFormat="1" hidden="1" outlineLevel="1" x14ac:dyDescent="0.15">
      <c r="B1202" s="20" t="s">
        <v>19</v>
      </c>
      <c r="C1202" s="21" t="s">
        <v>1337</v>
      </c>
      <c r="D1202" s="21" t="s">
        <v>1219</v>
      </c>
      <c r="E1202" s="21" t="s">
        <v>1072</v>
      </c>
      <c r="F1202" s="21"/>
      <c r="G1202" s="22" t="s">
        <v>1338</v>
      </c>
    </row>
    <row r="1203" spans="2:7" s="7" customFormat="1" hidden="1" outlineLevel="1" x14ac:dyDescent="0.15">
      <c r="B1203" s="20" t="s">
        <v>115</v>
      </c>
      <c r="C1203" s="21" t="s">
        <v>1188</v>
      </c>
      <c r="D1203" s="21" t="s">
        <v>211</v>
      </c>
      <c r="E1203" s="21">
        <v>0</v>
      </c>
      <c r="F1203" s="21"/>
      <c r="G1203" s="22"/>
    </row>
    <row r="1204" spans="2:7" s="7" customFormat="1" hidden="1" outlineLevel="1" x14ac:dyDescent="0.15">
      <c r="B1204" s="20" t="s">
        <v>78</v>
      </c>
      <c r="C1204" s="21" t="s">
        <v>1189</v>
      </c>
      <c r="D1204" s="21" t="s">
        <v>211</v>
      </c>
      <c r="E1204" s="21">
        <v>0</v>
      </c>
      <c r="F1204" s="21"/>
      <c r="G1204" s="22"/>
    </row>
    <row r="1205" spans="2:7" s="7" customFormat="1" hidden="1" outlineLevel="1" x14ac:dyDescent="0.15">
      <c r="B1205" s="20" t="s">
        <v>41</v>
      </c>
      <c r="C1205" s="21" t="s">
        <v>1258</v>
      </c>
      <c r="D1205" s="21" t="s">
        <v>211</v>
      </c>
      <c r="E1205" s="21">
        <v>0</v>
      </c>
      <c r="F1205" s="21"/>
      <c r="G1205" s="22" t="s">
        <v>1259</v>
      </c>
    </row>
    <row r="1206" spans="2:7" s="7" customFormat="1" hidden="1" outlineLevel="1" x14ac:dyDescent="0.15">
      <c r="B1206" s="20" t="s">
        <v>261</v>
      </c>
      <c r="C1206" s="21" t="s">
        <v>1355</v>
      </c>
      <c r="D1206" s="21" t="s">
        <v>1345</v>
      </c>
      <c r="E1206" s="21">
        <v>0</v>
      </c>
      <c r="F1206" s="21"/>
      <c r="G1206" s="22" t="s">
        <v>1356</v>
      </c>
    </row>
    <row r="1207" spans="2:7" s="7" customFormat="1" hidden="1" outlineLevel="1" x14ac:dyDescent="0.15">
      <c r="B1207" s="20" t="s">
        <v>270</v>
      </c>
      <c r="C1207" s="21" t="s">
        <v>1361</v>
      </c>
      <c r="D1207" s="21" t="s">
        <v>211</v>
      </c>
      <c r="E1207" s="21">
        <v>0</v>
      </c>
      <c r="F1207" s="21"/>
      <c r="G1207" s="22"/>
    </row>
    <row r="1208" spans="2:7" s="7" customFormat="1" hidden="1" outlineLevel="1" x14ac:dyDescent="0.15">
      <c r="B1208" s="20" t="s">
        <v>101</v>
      </c>
      <c r="C1208" s="21" t="s">
        <v>1362</v>
      </c>
      <c r="D1208" s="21" t="s">
        <v>211</v>
      </c>
      <c r="E1208" s="21" t="s">
        <v>1141</v>
      </c>
      <c r="F1208" s="21"/>
      <c r="G1208" s="22" t="s">
        <v>1363</v>
      </c>
    </row>
    <row r="1209" spans="2:7" s="7" customFormat="1" hidden="1" outlineLevel="1" x14ac:dyDescent="0.15">
      <c r="B1209" s="20" t="s">
        <v>1799</v>
      </c>
      <c r="C1209" s="21" t="s">
        <v>1364</v>
      </c>
      <c r="D1209" s="21" t="s">
        <v>211</v>
      </c>
      <c r="E1209" s="21" t="s">
        <v>1265</v>
      </c>
      <c r="F1209" s="21"/>
      <c r="G1209" s="22" t="s">
        <v>1365</v>
      </c>
    </row>
    <row r="1210" spans="2:7" s="7" customFormat="1" hidden="1" outlineLevel="1" x14ac:dyDescent="0.15">
      <c r="B1210" s="20" t="s">
        <v>20</v>
      </c>
      <c r="C1210" s="21" t="s">
        <v>1269</v>
      </c>
      <c r="D1210" s="21" t="s">
        <v>1073</v>
      </c>
      <c r="E1210" s="21" t="s">
        <v>1072</v>
      </c>
      <c r="F1210" s="21" t="s">
        <v>28</v>
      </c>
      <c r="G1210" s="22" t="s">
        <v>1270</v>
      </c>
    </row>
    <row r="1211" spans="2:7" s="7" customFormat="1" hidden="1" outlineLevel="1" x14ac:dyDescent="0.15">
      <c r="B1211" s="20" t="s">
        <v>97</v>
      </c>
      <c r="C1211" s="21" t="s">
        <v>1366</v>
      </c>
      <c r="D1211" s="21" t="s">
        <v>211</v>
      </c>
      <c r="E1211" s="21" t="s">
        <v>1141</v>
      </c>
      <c r="F1211" s="21"/>
      <c r="G1211" s="22" t="s">
        <v>1367</v>
      </c>
    </row>
    <row r="1212" spans="2:7" s="7" customFormat="1" hidden="1" outlineLevel="1" x14ac:dyDescent="0.15">
      <c r="B1212" s="20" t="s">
        <v>99</v>
      </c>
      <c r="C1212" s="21" t="s">
        <v>1563</v>
      </c>
      <c r="D1212" s="21" t="s">
        <v>1287</v>
      </c>
      <c r="E1212" s="21" t="s">
        <v>1072</v>
      </c>
      <c r="F1212" s="21"/>
      <c r="G1212" s="22" t="s">
        <v>1368</v>
      </c>
    </row>
    <row r="1213" spans="2:7" s="7" customFormat="1" hidden="1" outlineLevel="1" x14ac:dyDescent="0.15">
      <c r="B1213" s="20" t="s">
        <v>269</v>
      </c>
      <c r="C1213" s="21" t="s">
        <v>1369</v>
      </c>
      <c r="D1213" s="21" t="s">
        <v>211</v>
      </c>
      <c r="E1213" s="21" t="s">
        <v>1141</v>
      </c>
      <c r="F1213" s="21"/>
      <c r="G1213" s="22" t="s">
        <v>1162</v>
      </c>
    </row>
    <row r="1214" spans="2:7" s="7" customFormat="1" hidden="1" outlineLevel="1" x14ac:dyDescent="0.15">
      <c r="B1214" s="20" t="s">
        <v>271</v>
      </c>
      <c r="C1214" s="21" t="s">
        <v>1120</v>
      </c>
      <c r="D1214" s="21" t="s">
        <v>211</v>
      </c>
      <c r="E1214" s="21" t="s">
        <v>1265</v>
      </c>
      <c r="F1214" s="21"/>
      <c r="G1214" s="22" t="s">
        <v>1370</v>
      </c>
    </row>
    <row r="1215" spans="2:7" s="7" customFormat="1" hidden="1" outlineLevel="1" x14ac:dyDescent="0.15">
      <c r="B1215" s="20" t="s">
        <v>1800</v>
      </c>
      <c r="C1215" s="21" t="s">
        <v>1807</v>
      </c>
      <c r="D1215" s="21" t="s">
        <v>211</v>
      </c>
      <c r="E1215" s="21">
        <v>0</v>
      </c>
      <c r="F1215" s="21"/>
      <c r="G1215" s="22" t="s">
        <v>1808</v>
      </c>
    </row>
    <row r="1216" spans="2:7" s="7" customFormat="1" hidden="1" outlineLevel="1" x14ac:dyDescent="0.15">
      <c r="B1216" s="20" t="s">
        <v>173</v>
      </c>
      <c r="C1216" s="21" t="s">
        <v>1371</v>
      </c>
      <c r="D1216" s="21" t="s">
        <v>1345</v>
      </c>
      <c r="E1216" s="21">
        <v>0</v>
      </c>
      <c r="F1216" s="21"/>
      <c r="G1216" s="22"/>
    </row>
    <row r="1217" spans="2:7" s="7" customFormat="1" hidden="1" outlineLevel="1" x14ac:dyDescent="0.15">
      <c r="B1217" s="20" t="s">
        <v>94</v>
      </c>
      <c r="C1217" s="21" t="s">
        <v>1278</v>
      </c>
      <c r="D1217" s="21" t="s">
        <v>211</v>
      </c>
      <c r="E1217" s="21">
        <v>0</v>
      </c>
      <c r="F1217" s="21"/>
      <c r="G1217" s="22" t="s">
        <v>1279</v>
      </c>
    </row>
    <row r="1218" spans="2:7" s="7" customFormat="1" hidden="1" outlineLevel="1" x14ac:dyDescent="0.15">
      <c r="B1218" s="20" t="s">
        <v>262</v>
      </c>
      <c r="C1218" s="21" t="s">
        <v>1372</v>
      </c>
      <c r="D1218" s="21" t="s">
        <v>1211</v>
      </c>
      <c r="E1218" s="21">
        <v>0</v>
      </c>
      <c r="F1218" s="21"/>
      <c r="G1218" s="22" t="s">
        <v>1373</v>
      </c>
    </row>
    <row r="1219" spans="2:7" s="7" customFormat="1" hidden="1" outlineLevel="1" x14ac:dyDescent="0.15">
      <c r="B1219" s="20" t="s">
        <v>272</v>
      </c>
      <c r="C1219" s="21" t="s">
        <v>1374</v>
      </c>
      <c r="D1219" s="21" t="s">
        <v>1087</v>
      </c>
      <c r="E1219" s="21">
        <v>0</v>
      </c>
      <c r="F1219" s="21"/>
      <c r="G1219" s="22" t="s">
        <v>1375</v>
      </c>
    </row>
    <row r="1220" spans="2:7" s="7" customFormat="1" hidden="1" outlineLevel="1" x14ac:dyDescent="0.15">
      <c r="B1220" s="20" t="s">
        <v>38</v>
      </c>
      <c r="C1220" s="21" t="s">
        <v>1241</v>
      </c>
      <c r="D1220" s="21" t="s">
        <v>1087</v>
      </c>
      <c r="E1220" s="21">
        <v>0</v>
      </c>
      <c r="F1220" s="21"/>
      <c r="G1220" s="22" t="s">
        <v>1086</v>
      </c>
    </row>
    <row r="1221" spans="2:7" s="7" customFormat="1" hidden="1" outlineLevel="1" x14ac:dyDescent="0.15">
      <c r="B1221" s="20" t="s">
        <v>100</v>
      </c>
      <c r="C1221" s="21" t="s">
        <v>1376</v>
      </c>
      <c r="D1221" s="21" t="s">
        <v>1211</v>
      </c>
      <c r="E1221" s="21">
        <v>0</v>
      </c>
      <c r="F1221" s="21"/>
      <c r="G1221" s="22" t="s">
        <v>1377</v>
      </c>
    </row>
    <row r="1222" spans="2:7" s="7" customFormat="1" hidden="1" outlineLevel="1" x14ac:dyDescent="0.15">
      <c r="B1222" s="20" t="s">
        <v>39</v>
      </c>
      <c r="C1222" s="21" t="s">
        <v>1242</v>
      </c>
      <c r="D1222" s="21" t="s">
        <v>1169</v>
      </c>
      <c r="E1222" s="21">
        <v>0</v>
      </c>
      <c r="F1222" s="21"/>
      <c r="G1222" s="22" t="s">
        <v>1243</v>
      </c>
    </row>
    <row r="1223" spans="2:7" s="7" customFormat="1" hidden="1" outlineLevel="1" x14ac:dyDescent="0.15">
      <c r="B1223" s="20" t="s">
        <v>263</v>
      </c>
      <c r="C1223" s="21" t="s">
        <v>1378</v>
      </c>
      <c r="D1223" s="21" t="s">
        <v>1169</v>
      </c>
      <c r="E1223" s="21">
        <v>0</v>
      </c>
      <c r="F1223" s="21"/>
      <c r="G1223" s="22" t="s">
        <v>1379</v>
      </c>
    </row>
    <row r="1224" spans="2:7" s="7" customFormat="1" hidden="1" outlineLevel="1" x14ac:dyDescent="0.15">
      <c r="B1224" s="20" t="s">
        <v>102</v>
      </c>
      <c r="C1224" s="21" t="s">
        <v>1380</v>
      </c>
      <c r="D1224" s="21" t="s">
        <v>1169</v>
      </c>
      <c r="E1224" s="21">
        <v>0</v>
      </c>
      <c r="F1224" s="21"/>
      <c r="G1224" s="22" t="s">
        <v>1381</v>
      </c>
    </row>
    <row r="1225" spans="2:7" s="7" customFormat="1" hidden="1" outlineLevel="1" x14ac:dyDescent="0.15">
      <c r="B1225" s="20" t="s">
        <v>103</v>
      </c>
      <c r="C1225" s="21" t="s">
        <v>1382</v>
      </c>
      <c r="D1225" s="21" t="s">
        <v>1169</v>
      </c>
      <c r="E1225" s="21">
        <v>0</v>
      </c>
      <c r="F1225" s="21"/>
      <c r="G1225" s="22"/>
    </row>
    <row r="1226" spans="2:7" s="7" customFormat="1" hidden="1" outlineLevel="1" x14ac:dyDescent="0.15">
      <c r="B1226" s="20" t="s">
        <v>104</v>
      </c>
      <c r="C1226" s="21" t="s">
        <v>1383</v>
      </c>
      <c r="D1226" s="21" t="s">
        <v>1169</v>
      </c>
      <c r="E1226" s="21">
        <v>0</v>
      </c>
      <c r="F1226" s="21"/>
      <c r="G1226" s="22" t="s">
        <v>1384</v>
      </c>
    </row>
    <row r="1227" spans="2:7" s="7" customFormat="1" hidden="1" outlineLevel="1" x14ac:dyDescent="0.15">
      <c r="B1227" s="20" t="s">
        <v>105</v>
      </c>
      <c r="C1227" s="21" t="s">
        <v>1385</v>
      </c>
      <c r="D1227" s="21" t="s">
        <v>1169</v>
      </c>
      <c r="E1227" s="21">
        <v>0</v>
      </c>
      <c r="F1227" s="21"/>
      <c r="G1227" s="22" t="s">
        <v>1564</v>
      </c>
    </row>
    <row r="1228" spans="2:7" s="7" customFormat="1" hidden="1" outlineLevel="1" x14ac:dyDescent="0.15">
      <c r="B1228" s="20" t="s">
        <v>106</v>
      </c>
      <c r="C1228" s="21" t="s">
        <v>1386</v>
      </c>
      <c r="D1228" s="21" t="s">
        <v>1169</v>
      </c>
      <c r="E1228" s="21">
        <v>0</v>
      </c>
      <c r="F1228" s="21"/>
      <c r="G1228" s="22" t="s">
        <v>1387</v>
      </c>
    </row>
    <row r="1229" spans="2:7" s="7" customFormat="1" hidden="1" outlineLevel="1" x14ac:dyDescent="0.15">
      <c r="B1229" s="20" t="s">
        <v>107</v>
      </c>
      <c r="C1229" s="21" t="s">
        <v>1388</v>
      </c>
      <c r="D1229" s="21" t="s">
        <v>1169</v>
      </c>
      <c r="E1229" s="21">
        <v>0</v>
      </c>
      <c r="F1229" s="21"/>
      <c r="G1229" s="22" t="s">
        <v>1389</v>
      </c>
    </row>
    <row r="1230" spans="2:7" s="7" customFormat="1" hidden="1" outlineLevel="1" x14ac:dyDescent="0.15">
      <c r="B1230" s="20" t="s">
        <v>108</v>
      </c>
      <c r="C1230" s="21" t="s">
        <v>1390</v>
      </c>
      <c r="D1230" s="21" t="s">
        <v>1169</v>
      </c>
      <c r="E1230" s="21">
        <v>0</v>
      </c>
      <c r="F1230" s="21"/>
      <c r="G1230" s="22" t="s">
        <v>1391</v>
      </c>
    </row>
    <row r="1231" spans="2:7" s="7" customFormat="1" hidden="1" outlineLevel="1" x14ac:dyDescent="0.15">
      <c r="B1231" s="20" t="s">
        <v>1801</v>
      </c>
      <c r="C1231" s="21" t="s">
        <v>1809</v>
      </c>
      <c r="D1231" s="21" t="s">
        <v>1169</v>
      </c>
      <c r="E1231" s="21">
        <v>0</v>
      </c>
      <c r="F1231" s="21"/>
      <c r="G1231" s="22"/>
    </row>
    <row r="1232" spans="2:7" s="7" customFormat="1" hidden="1" outlineLevel="1" x14ac:dyDescent="0.15">
      <c r="B1232" s="20" t="s">
        <v>1802</v>
      </c>
      <c r="C1232" s="21" t="s">
        <v>1810</v>
      </c>
      <c r="D1232" s="21" t="s">
        <v>1169</v>
      </c>
      <c r="E1232" s="21">
        <v>0</v>
      </c>
      <c r="F1232" s="21"/>
      <c r="G1232" s="22"/>
    </row>
    <row r="1233" spans="2:7" s="7" customFormat="1" hidden="1" outlineLevel="1" x14ac:dyDescent="0.15">
      <c r="B1233" s="20" t="s">
        <v>1803</v>
      </c>
      <c r="C1233" s="21" t="s">
        <v>1811</v>
      </c>
      <c r="D1233" s="21" t="s">
        <v>1169</v>
      </c>
      <c r="E1233" s="21">
        <v>0</v>
      </c>
      <c r="F1233" s="21"/>
      <c r="G1233" s="22"/>
    </row>
    <row r="1234" spans="2:7" s="7" customFormat="1" hidden="1" outlineLevel="1" x14ac:dyDescent="0.15">
      <c r="B1234" s="20" t="s">
        <v>1804</v>
      </c>
      <c r="C1234" s="21" t="s">
        <v>1812</v>
      </c>
      <c r="D1234" s="21" t="s">
        <v>1169</v>
      </c>
      <c r="E1234" s="21">
        <v>0</v>
      </c>
      <c r="F1234" s="21"/>
      <c r="G1234" s="22"/>
    </row>
    <row r="1235" spans="2:7" s="7" customFormat="1" hidden="1" outlineLevel="1" x14ac:dyDescent="0.15">
      <c r="B1235" s="20" t="s">
        <v>259</v>
      </c>
      <c r="C1235" s="21" t="s">
        <v>1392</v>
      </c>
      <c r="D1235" s="21" t="s">
        <v>211</v>
      </c>
      <c r="E1235" s="21">
        <v>0</v>
      </c>
      <c r="F1235" s="21"/>
      <c r="G1235" s="22"/>
    </row>
    <row r="1236" spans="2:7" s="7" customFormat="1" hidden="1" outlineLevel="1" x14ac:dyDescent="0.15">
      <c r="B1236" s="20" t="s">
        <v>264</v>
      </c>
      <c r="C1236" s="21" t="s">
        <v>1393</v>
      </c>
      <c r="D1236" s="21" t="s">
        <v>211</v>
      </c>
      <c r="E1236" s="21">
        <v>0</v>
      </c>
      <c r="F1236" s="21"/>
      <c r="G1236" s="22"/>
    </row>
    <row r="1237" spans="2:7" s="7" customFormat="1" hidden="1" outlineLevel="1" x14ac:dyDescent="0.15">
      <c r="B1237" s="20" t="s">
        <v>273</v>
      </c>
      <c r="C1237" s="21" t="s">
        <v>1394</v>
      </c>
      <c r="D1237" s="21" t="s">
        <v>1211</v>
      </c>
      <c r="E1237" s="21">
        <v>0</v>
      </c>
      <c r="F1237" s="21"/>
      <c r="G1237" s="22"/>
    </row>
    <row r="1238" spans="2:7" s="7" customFormat="1" hidden="1" outlineLevel="1" x14ac:dyDescent="0.15">
      <c r="B1238" s="20" t="s">
        <v>258</v>
      </c>
      <c r="C1238" s="21" t="s">
        <v>1395</v>
      </c>
      <c r="D1238" s="21" t="s">
        <v>1172</v>
      </c>
      <c r="E1238" s="21">
        <v>0</v>
      </c>
      <c r="F1238" s="21"/>
      <c r="G1238" s="22"/>
    </row>
    <row r="1239" spans="2:7" s="7" customFormat="1" hidden="1" outlineLevel="1" x14ac:dyDescent="0.15">
      <c r="B1239" s="20" t="s">
        <v>265</v>
      </c>
      <c r="C1239" s="21" t="s">
        <v>1396</v>
      </c>
      <c r="D1239" s="21" t="s">
        <v>211</v>
      </c>
      <c r="E1239" s="21">
        <v>0</v>
      </c>
      <c r="F1239" s="21"/>
      <c r="G1239" s="22"/>
    </row>
    <row r="1240" spans="2:7" s="7" customFormat="1" hidden="1" outlineLevel="1" x14ac:dyDescent="0.15">
      <c r="B1240" s="20" t="s">
        <v>274</v>
      </c>
      <c r="C1240" s="21" t="s">
        <v>1565</v>
      </c>
      <c r="D1240" s="21" t="s">
        <v>1172</v>
      </c>
      <c r="E1240" s="21">
        <v>0</v>
      </c>
      <c r="F1240" s="21"/>
      <c r="G1240" s="22"/>
    </row>
    <row r="1241" spans="2:7" s="7" customFormat="1" hidden="1" outlineLevel="1" x14ac:dyDescent="0.15">
      <c r="B1241" s="20" t="s">
        <v>1805</v>
      </c>
      <c r="C1241" s="21" t="s">
        <v>1813</v>
      </c>
      <c r="D1241" s="21" t="s">
        <v>1169</v>
      </c>
      <c r="E1241" s="21">
        <v>0</v>
      </c>
      <c r="F1241" s="21"/>
      <c r="G1241" s="22"/>
    </row>
    <row r="1242" spans="2:7" s="7" customFormat="1" hidden="1" outlineLevel="1" x14ac:dyDescent="0.15">
      <c r="B1242" s="20" t="s">
        <v>174</v>
      </c>
      <c r="C1242" s="21" t="s">
        <v>1397</v>
      </c>
      <c r="D1242" s="21" t="s">
        <v>211</v>
      </c>
      <c r="E1242" s="21">
        <v>0</v>
      </c>
      <c r="F1242" s="21"/>
      <c r="G1242" s="22"/>
    </row>
    <row r="1243" spans="2:7" s="7" customFormat="1" hidden="1" outlineLevel="1" x14ac:dyDescent="0.15">
      <c r="B1243" s="20" t="s">
        <v>214</v>
      </c>
      <c r="C1243" s="21" t="s">
        <v>1339</v>
      </c>
      <c r="D1243" s="21" t="s">
        <v>211</v>
      </c>
      <c r="E1243" s="21">
        <v>0</v>
      </c>
      <c r="F1243" s="21"/>
      <c r="G1243" s="22"/>
    </row>
    <row r="1244" spans="2:7" s="7" customFormat="1" hidden="1" outlineLevel="1" x14ac:dyDescent="0.15">
      <c r="B1244" s="20" t="s">
        <v>266</v>
      </c>
      <c r="C1244" s="21" t="s">
        <v>1398</v>
      </c>
      <c r="D1244" s="21" t="s">
        <v>1403</v>
      </c>
      <c r="E1244" s="21" t="s">
        <v>1072</v>
      </c>
      <c r="F1244" s="21"/>
      <c r="G1244" s="22"/>
    </row>
    <row r="1245" spans="2:7" s="7" customFormat="1" hidden="1" outlineLevel="1" x14ac:dyDescent="0.15">
      <c r="B1245" s="20" t="s">
        <v>267</v>
      </c>
      <c r="C1245" s="21" t="s">
        <v>1566</v>
      </c>
      <c r="D1245" s="21" t="s">
        <v>211</v>
      </c>
      <c r="E1245" s="21">
        <v>0</v>
      </c>
      <c r="F1245" s="21"/>
      <c r="G1245" s="22" t="s">
        <v>1567</v>
      </c>
    </row>
    <row r="1246" spans="2:7" s="7" customFormat="1" hidden="1" outlineLevel="1" x14ac:dyDescent="0.15">
      <c r="B1246" s="20" t="s">
        <v>268</v>
      </c>
      <c r="C1246" s="21" t="s">
        <v>1568</v>
      </c>
      <c r="D1246" s="21" t="s">
        <v>211</v>
      </c>
      <c r="E1246" s="21">
        <v>0</v>
      </c>
      <c r="F1246" s="21"/>
      <c r="G1246" s="22" t="s">
        <v>1399</v>
      </c>
    </row>
    <row r="1247" spans="2:7" s="7" customFormat="1" hidden="1" outlineLevel="1" x14ac:dyDescent="0.15">
      <c r="B1247" s="20" t="s">
        <v>1806</v>
      </c>
      <c r="C1247" s="21" t="s">
        <v>1814</v>
      </c>
      <c r="D1247" s="21" t="s">
        <v>1345</v>
      </c>
      <c r="E1247" s="21">
        <v>0</v>
      </c>
      <c r="F1247" s="21"/>
      <c r="G1247" s="22" t="s">
        <v>1815</v>
      </c>
    </row>
    <row r="1248" spans="2:7" s="7" customFormat="1" hidden="1" outlineLevel="1" x14ac:dyDescent="0.15">
      <c r="B1248" s="20" t="s">
        <v>1798</v>
      </c>
      <c r="C1248" s="21" t="s">
        <v>1942</v>
      </c>
      <c r="D1248" s="21" t="s">
        <v>1287</v>
      </c>
      <c r="E1248" s="21" t="s">
        <v>1072</v>
      </c>
      <c r="F1248" s="21"/>
      <c r="G1248" s="22"/>
    </row>
    <row r="1249" spans="1:8" s="7" customFormat="1" ht="18" hidden="1" outlineLevel="1" thickBot="1" x14ac:dyDescent="0.2">
      <c r="A1249" s="20"/>
      <c r="B1249" s="20"/>
      <c r="C1249" s="21"/>
      <c r="D1249" s="21"/>
      <c r="E1249" s="21"/>
      <c r="F1249" s="21"/>
      <c r="G1249" s="22"/>
    </row>
    <row r="1250" spans="1:8" s="7" customFormat="1" hidden="1" outlineLevel="1" x14ac:dyDescent="0.15">
      <c r="A1250" s="20"/>
      <c r="B1250" s="327" t="s">
        <v>15</v>
      </c>
      <c r="C1250" s="328"/>
      <c r="D1250" s="328"/>
      <c r="E1250" s="328"/>
      <c r="F1250" s="328"/>
      <c r="G1250" s="329"/>
      <c r="H1250" s="7" t="s">
        <v>79</v>
      </c>
    </row>
    <row r="1251" spans="1:8" s="7" customFormat="1" hidden="1" outlineLevel="1" x14ac:dyDescent="0.15">
      <c r="A1251" s="20"/>
      <c r="B1251" s="20">
        <v>1</v>
      </c>
      <c r="C1251" s="21" t="s">
        <v>98</v>
      </c>
      <c r="D1251" s="21" t="s">
        <v>260</v>
      </c>
      <c r="E1251" s="21" t="s">
        <v>7</v>
      </c>
      <c r="F1251" s="21" t="s">
        <v>101</v>
      </c>
      <c r="G1251" s="22" t="s">
        <v>20</v>
      </c>
    </row>
    <row r="1252" spans="1:8" s="7" customFormat="1" hidden="1" outlineLevel="1" x14ac:dyDescent="0.15">
      <c r="A1252" s="20"/>
      <c r="B1252" s="20">
        <v>2</v>
      </c>
      <c r="C1252" s="21" t="s">
        <v>22</v>
      </c>
      <c r="D1252" s="21" t="s">
        <v>109</v>
      </c>
      <c r="E1252" s="21" t="s">
        <v>111</v>
      </c>
      <c r="F1252" s="21" t="s">
        <v>123</v>
      </c>
      <c r="G1252" s="22"/>
    </row>
    <row r="1253" spans="1:8" s="7" customFormat="1" hidden="1" outlineLevel="1" x14ac:dyDescent="0.15">
      <c r="A1253" s="20"/>
      <c r="B1253" s="17">
        <v>3</v>
      </c>
      <c r="C1253" s="18" t="s">
        <v>269</v>
      </c>
      <c r="D1253" s="18"/>
      <c r="E1253" s="18"/>
      <c r="F1253" s="18"/>
      <c r="G1253" s="19"/>
    </row>
    <row r="1254" spans="1:8" ht="18" hidden="1" outlineLevel="1" thickBot="1" x14ac:dyDescent="0.2">
      <c r="A1254" s="17"/>
      <c r="B1254" s="24">
        <v>4</v>
      </c>
      <c r="C1254" s="9" t="s">
        <v>267</v>
      </c>
      <c r="D1254" s="9" t="s">
        <v>268</v>
      </c>
      <c r="E1254" s="9"/>
      <c r="F1254" s="9"/>
      <c r="G1254" s="11"/>
    </row>
    <row r="1255" spans="1:8" s="7" customFormat="1" ht="18" hidden="1" outlineLevel="1" thickBot="1" x14ac:dyDescent="0.2">
      <c r="A1255" s="25"/>
      <c r="B1255" s="1"/>
      <c r="C1255" s="1"/>
      <c r="D1255" s="1"/>
      <c r="E1255" s="1"/>
      <c r="F1255" s="1"/>
      <c r="G1255" s="1"/>
      <c r="H1255" s="6" t="str">
        <f>"create or replace view "&amp;C1256</f>
        <v>create or replace view vi_tdserp_strike_his</v>
      </c>
    </row>
    <row r="1256" spans="1:8" s="7" customFormat="1" ht="18" collapsed="1" thickBot="1" x14ac:dyDescent="0.2">
      <c r="A1256" s="25"/>
      <c r="B1256" s="3" t="s">
        <v>563</v>
      </c>
      <c r="C1256" s="147" t="s">
        <v>710</v>
      </c>
      <c r="D1256" s="147" t="s">
        <v>515</v>
      </c>
      <c r="E1256" s="21" t="s">
        <v>718</v>
      </c>
      <c r="F1256" s="5" t="s">
        <v>567</v>
      </c>
      <c r="G1256" s="6" t="s">
        <v>1618</v>
      </c>
      <c r="H1256" s="11" t="str">
        <f>"/* "&amp;E1256&amp;"*/  as "</f>
        <v xml:space="preserve">/* 报表_资管报表_交易证券-报盘-成交表-历史*/  as </v>
      </c>
    </row>
    <row r="1257" spans="1:8" s="7" customFormat="1" ht="18" hidden="1" outlineLevel="1" thickBot="1" x14ac:dyDescent="0.2">
      <c r="B1257" s="34" t="s">
        <v>570</v>
      </c>
      <c r="C1257" s="18"/>
      <c r="D1257" s="35" t="s">
        <v>568</v>
      </c>
      <c r="E1257" s="18" t="s">
        <v>615</v>
      </c>
      <c r="F1257" s="35"/>
      <c r="G1257" s="19"/>
      <c r="H1257" s="13" t="s">
        <v>474</v>
      </c>
    </row>
    <row r="1258" spans="1:8" s="7" customFormat="1" hidden="1" outlineLevel="1" x14ac:dyDescent="0.15">
      <c r="B1258" s="3" t="s">
        <v>0</v>
      </c>
      <c r="C1258" s="5" t="s">
        <v>1</v>
      </c>
      <c r="D1258" s="5" t="s">
        <v>2</v>
      </c>
      <c r="E1258" s="5"/>
      <c r="F1258" s="5" t="s">
        <v>3</v>
      </c>
      <c r="G1258" s="36" t="s">
        <v>4</v>
      </c>
      <c r="H1258" s="107" t="e">
        <f>"ifnull("&amp;IF(I1258&lt;&gt;"",I1258,IF(#REF!&lt;&gt;"",#REF!,"t")&amp;"."&amp;#REF!)&amp;","&amp;#REF!&amp;") as "&amp;#REF!&amp;",/*"&amp;#REF!&amp;"*/"</f>
        <v>#REF!</v>
      </c>
    </row>
    <row r="1259" spans="1:8" s="7" customFormat="1" hidden="1" outlineLevel="1" x14ac:dyDescent="0.15">
      <c r="B1259" s="20" t="s">
        <v>21</v>
      </c>
      <c r="C1259" s="21" t="s">
        <v>1357</v>
      </c>
      <c r="D1259" s="21" t="s">
        <v>211</v>
      </c>
      <c r="E1259" s="21">
        <v>0</v>
      </c>
      <c r="F1259" s="21"/>
      <c r="G1259" s="22" t="s">
        <v>1358</v>
      </c>
    </row>
    <row r="1260" spans="1:8" s="7" customFormat="1" hidden="1" outlineLevel="1" x14ac:dyDescent="0.15">
      <c r="B1260" s="20" t="s">
        <v>22</v>
      </c>
      <c r="C1260" s="21" t="s">
        <v>1127</v>
      </c>
      <c r="D1260" s="21" t="s">
        <v>211</v>
      </c>
      <c r="E1260" s="21" t="s">
        <v>1141</v>
      </c>
      <c r="F1260" s="21"/>
      <c r="G1260" s="22" t="s">
        <v>1162</v>
      </c>
    </row>
    <row r="1261" spans="1:8" s="7" customFormat="1" hidden="1" outlineLevel="1" x14ac:dyDescent="0.15">
      <c r="B1261" s="20" t="s">
        <v>6</v>
      </c>
      <c r="C1261" s="21" t="s">
        <v>1163</v>
      </c>
      <c r="D1261" s="21" t="s">
        <v>211</v>
      </c>
      <c r="E1261" s="21">
        <v>0</v>
      </c>
      <c r="F1261" s="21"/>
      <c r="G1261" s="22" t="s">
        <v>1077</v>
      </c>
    </row>
    <row r="1262" spans="1:8" s="7" customFormat="1" hidden="1" outlineLevel="1" x14ac:dyDescent="0.15">
      <c r="B1262" s="20" t="s">
        <v>111</v>
      </c>
      <c r="C1262" s="21" t="s">
        <v>1164</v>
      </c>
      <c r="D1262" s="21" t="s">
        <v>211</v>
      </c>
      <c r="E1262" s="21">
        <v>0</v>
      </c>
      <c r="F1262" s="21"/>
      <c r="G1262" s="22" t="s">
        <v>1165</v>
      </c>
    </row>
    <row r="1263" spans="1:8" s="7" customFormat="1" hidden="1" outlineLevel="1" x14ac:dyDescent="0.15">
      <c r="B1263" s="20" t="s">
        <v>123</v>
      </c>
      <c r="C1263" s="21" t="s">
        <v>1133</v>
      </c>
      <c r="D1263" s="21" t="s">
        <v>211</v>
      </c>
      <c r="E1263" s="21">
        <v>0</v>
      </c>
      <c r="F1263" s="21"/>
      <c r="G1263" s="22" t="s">
        <v>1182</v>
      </c>
    </row>
    <row r="1264" spans="1:8" s="7" customFormat="1" hidden="1" outlineLevel="1" x14ac:dyDescent="0.15">
      <c r="B1264" s="20" t="s">
        <v>113</v>
      </c>
      <c r="C1264" s="21" t="s">
        <v>1187</v>
      </c>
      <c r="D1264" s="21" t="s">
        <v>211</v>
      </c>
      <c r="E1264" s="21">
        <v>0</v>
      </c>
      <c r="F1264" s="21"/>
      <c r="G1264" s="22"/>
    </row>
    <row r="1265" spans="2:7" s="7" customFormat="1" hidden="1" outlineLevel="1" x14ac:dyDescent="0.15">
      <c r="B1265" s="20" t="s">
        <v>98</v>
      </c>
      <c r="C1265" s="21" t="s">
        <v>1359</v>
      </c>
      <c r="D1265" s="21" t="s">
        <v>211</v>
      </c>
      <c r="E1265" s="21">
        <v>0</v>
      </c>
      <c r="F1265" s="21"/>
      <c r="G1265" s="22" t="s">
        <v>1562</v>
      </c>
    </row>
    <row r="1266" spans="2:7" s="7" customFormat="1" hidden="1" outlineLevel="1" x14ac:dyDescent="0.15">
      <c r="B1266" s="20" t="s">
        <v>260</v>
      </c>
      <c r="C1266" s="21" t="s">
        <v>1119</v>
      </c>
      <c r="D1266" s="21" t="s">
        <v>1287</v>
      </c>
      <c r="E1266" s="21" t="s">
        <v>1072</v>
      </c>
      <c r="F1266" s="21"/>
      <c r="G1266" s="22"/>
    </row>
    <row r="1267" spans="2:7" s="7" customFormat="1" hidden="1" outlineLevel="1" x14ac:dyDescent="0.15">
      <c r="B1267" s="20" t="s">
        <v>7</v>
      </c>
      <c r="C1267" s="21" t="s">
        <v>1190</v>
      </c>
      <c r="D1267" s="21" t="s">
        <v>211</v>
      </c>
      <c r="E1267" s="21">
        <v>0</v>
      </c>
      <c r="F1267" s="21" t="s">
        <v>28</v>
      </c>
      <c r="G1267" s="22" t="s">
        <v>1081</v>
      </c>
    </row>
    <row r="1268" spans="2:7" s="7" customFormat="1" hidden="1" outlineLevel="1" x14ac:dyDescent="0.15">
      <c r="B1268" s="20" t="s">
        <v>114</v>
      </c>
      <c r="C1268" s="21" t="s">
        <v>1155</v>
      </c>
      <c r="D1268" s="21" t="s">
        <v>211</v>
      </c>
      <c r="E1268" s="21">
        <v>0</v>
      </c>
      <c r="F1268" s="21"/>
      <c r="G1268" s="22"/>
    </row>
    <row r="1269" spans="2:7" s="7" customFormat="1" hidden="1" outlineLevel="1" x14ac:dyDescent="0.15">
      <c r="B1269" s="20" t="s">
        <v>19</v>
      </c>
      <c r="C1269" s="21" t="s">
        <v>1337</v>
      </c>
      <c r="D1269" s="21" t="s">
        <v>1219</v>
      </c>
      <c r="E1269" s="21" t="s">
        <v>1072</v>
      </c>
      <c r="F1269" s="21"/>
      <c r="G1269" s="22" t="s">
        <v>1338</v>
      </c>
    </row>
    <row r="1270" spans="2:7" s="7" customFormat="1" hidden="1" outlineLevel="1" x14ac:dyDescent="0.15">
      <c r="B1270" s="20" t="s">
        <v>115</v>
      </c>
      <c r="C1270" s="21" t="s">
        <v>1188</v>
      </c>
      <c r="D1270" s="21" t="s">
        <v>211</v>
      </c>
      <c r="E1270" s="21">
        <v>0</v>
      </c>
      <c r="F1270" s="21"/>
      <c r="G1270" s="22"/>
    </row>
    <row r="1271" spans="2:7" s="7" customFormat="1" hidden="1" outlineLevel="1" x14ac:dyDescent="0.15">
      <c r="B1271" s="20" t="s">
        <v>78</v>
      </c>
      <c r="C1271" s="21" t="s">
        <v>1189</v>
      </c>
      <c r="D1271" s="21" t="s">
        <v>211</v>
      </c>
      <c r="E1271" s="21">
        <v>0</v>
      </c>
      <c r="F1271" s="21"/>
      <c r="G1271" s="22"/>
    </row>
    <row r="1272" spans="2:7" s="7" customFormat="1" hidden="1" outlineLevel="1" x14ac:dyDescent="0.15">
      <c r="B1272" s="20" t="s">
        <v>41</v>
      </c>
      <c r="C1272" s="21" t="s">
        <v>1258</v>
      </c>
      <c r="D1272" s="21" t="s">
        <v>211</v>
      </c>
      <c r="E1272" s="21">
        <v>0</v>
      </c>
      <c r="F1272" s="21"/>
      <c r="G1272" s="22" t="s">
        <v>1259</v>
      </c>
    </row>
    <row r="1273" spans="2:7" s="7" customFormat="1" hidden="1" outlineLevel="1" x14ac:dyDescent="0.15">
      <c r="B1273" s="20" t="s">
        <v>261</v>
      </c>
      <c r="C1273" s="21" t="s">
        <v>1355</v>
      </c>
      <c r="D1273" s="21" t="s">
        <v>1345</v>
      </c>
      <c r="E1273" s="21">
        <v>0</v>
      </c>
      <c r="F1273" s="21"/>
      <c r="G1273" s="22" t="s">
        <v>1356</v>
      </c>
    </row>
    <row r="1274" spans="2:7" s="7" customFormat="1" hidden="1" outlineLevel="1" x14ac:dyDescent="0.15">
      <c r="B1274" s="20" t="s">
        <v>270</v>
      </c>
      <c r="C1274" s="21" t="s">
        <v>1361</v>
      </c>
      <c r="D1274" s="21" t="s">
        <v>211</v>
      </c>
      <c r="E1274" s="21">
        <v>0</v>
      </c>
      <c r="F1274" s="21"/>
      <c r="G1274" s="22"/>
    </row>
    <row r="1275" spans="2:7" s="7" customFormat="1" hidden="1" outlineLevel="1" x14ac:dyDescent="0.15">
      <c r="B1275" s="20" t="s">
        <v>101</v>
      </c>
      <c r="C1275" s="21" t="s">
        <v>1362</v>
      </c>
      <c r="D1275" s="21" t="s">
        <v>211</v>
      </c>
      <c r="E1275" s="21" t="s">
        <v>1141</v>
      </c>
      <c r="F1275" s="21"/>
      <c r="G1275" s="22" t="s">
        <v>1363</v>
      </c>
    </row>
    <row r="1276" spans="2:7" s="7" customFormat="1" hidden="1" outlineLevel="1" x14ac:dyDescent="0.15">
      <c r="B1276" s="20" t="s">
        <v>1799</v>
      </c>
      <c r="C1276" s="21" t="s">
        <v>1364</v>
      </c>
      <c r="D1276" s="21" t="s">
        <v>211</v>
      </c>
      <c r="E1276" s="21" t="s">
        <v>1265</v>
      </c>
      <c r="F1276" s="21"/>
      <c r="G1276" s="22" t="s">
        <v>1365</v>
      </c>
    </row>
    <row r="1277" spans="2:7" s="7" customFormat="1" hidden="1" outlineLevel="1" x14ac:dyDescent="0.15">
      <c r="B1277" s="20" t="s">
        <v>20</v>
      </c>
      <c r="C1277" s="21" t="s">
        <v>1269</v>
      </c>
      <c r="D1277" s="21" t="s">
        <v>1073</v>
      </c>
      <c r="E1277" s="21" t="s">
        <v>1072</v>
      </c>
      <c r="F1277" s="21" t="s">
        <v>28</v>
      </c>
      <c r="G1277" s="22" t="s">
        <v>1270</v>
      </c>
    </row>
    <row r="1278" spans="2:7" s="7" customFormat="1" hidden="1" outlineLevel="1" x14ac:dyDescent="0.15">
      <c r="B1278" s="20" t="s">
        <v>97</v>
      </c>
      <c r="C1278" s="21" t="s">
        <v>1366</v>
      </c>
      <c r="D1278" s="21" t="s">
        <v>211</v>
      </c>
      <c r="E1278" s="21" t="s">
        <v>1141</v>
      </c>
      <c r="F1278" s="21"/>
      <c r="G1278" s="22" t="s">
        <v>1367</v>
      </c>
    </row>
    <row r="1279" spans="2:7" s="7" customFormat="1" hidden="1" outlineLevel="1" x14ac:dyDescent="0.15">
      <c r="B1279" s="20" t="s">
        <v>99</v>
      </c>
      <c r="C1279" s="21" t="s">
        <v>1563</v>
      </c>
      <c r="D1279" s="21" t="s">
        <v>1287</v>
      </c>
      <c r="E1279" s="21" t="s">
        <v>1072</v>
      </c>
      <c r="F1279" s="21"/>
      <c r="G1279" s="22" t="s">
        <v>1368</v>
      </c>
    </row>
    <row r="1280" spans="2:7" s="7" customFormat="1" hidden="1" outlineLevel="1" x14ac:dyDescent="0.15">
      <c r="B1280" s="20" t="s">
        <v>269</v>
      </c>
      <c r="C1280" s="21" t="s">
        <v>1369</v>
      </c>
      <c r="D1280" s="21" t="s">
        <v>211</v>
      </c>
      <c r="E1280" s="21" t="s">
        <v>1141</v>
      </c>
      <c r="F1280" s="21"/>
      <c r="G1280" s="22" t="s">
        <v>1162</v>
      </c>
    </row>
    <row r="1281" spans="2:7" s="7" customFormat="1" hidden="1" outlineLevel="1" x14ac:dyDescent="0.15">
      <c r="B1281" s="20" t="s">
        <v>271</v>
      </c>
      <c r="C1281" s="21" t="s">
        <v>1120</v>
      </c>
      <c r="D1281" s="21" t="s">
        <v>211</v>
      </c>
      <c r="E1281" s="21" t="s">
        <v>1265</v>
      </c>
      <c r="F1281" s="21"/>
      <c r="G1281" s="22" t="s">
        <v>1370</v>
      </c>
    </row>
    <row r="1282" spans="2:7" s="7" customFormat="1" hidden="1" outlineLevel="1" x14ac:dyDescent="0.15">
      <c r="B1282" s="20" t="s">
        <v>1800</v>
      </c>
      <c r="C1282" s="21" t="s">
        <v>1807</v>
      </c>
      <c r="D1282" s="21" t="s">
        <v>211</v>
      </c>
      <c r="E1282" s="21">
        <v>0</v>
      </c>
      <c r="F1282" s="21"/>
      <c r="G1282" s="22" t="s">
        <v>1808</v>
      </c>
    </row>
    <row r="1283" spans="2:7" s="7" customFormat="1" hidden="1" outlineLevel="1" x14ac:dyDescent="0.15">
      <c r="B1283" s="20" t="s">
        <v>173</v>
      </c>
      <c r="C1283" s="21" t="s">
        <v>1371</v>
      </c>
      <c r="D1283" s="21" t="s">
        <v>1345</v>
      </c>
      <c r="E1283" s="21">
        <v>0</v>
      </c>
      <c r="F1283" s="21"/>
      <c r="G1283" s="22"/>
    </row>
    <row r="1284" spans="2:7" s="7" customFormat="1" hidden="1" outlineLevel="1" x14ac:dyDescent="0.15">
      <c r="B1284" s="20" t="s">
        <v>94</v>
      </c>
      <c r="C1284" s="21" t="s">
        <v>1278</v>
      </c>
      <c r="D1284" s="21" t="s">
        <v>211</v>
      </c>
      <c r="E1284" s="21">
        <v>0</v>
      </c>
      <c r="F1284" s="21"/>
      <c r="G1284" s="22" t="s">
        <v>1279</v>
      </c>
    </row>
    <row r="1285" spans="2:7" s="7" customFormat="1" hidden="1" outlineLevel="1" x14ac:dyDescent="0.15">
      <c r="B1285" s="20" t="s">
        <v>262</v>
      </c>
      <c r="C1285" s="21" t="s">
        <v>1372</v>
      </c>
      <c r="D1285" s="21" t="s">
        <v>1211</v>
      </c>
      <c r="E1285" s="21">
        <v>0</v>
      </c>
      <c r="F1285" s="21"/>
      <c r="G1285" s="22" t="s">
        <v>1373</v>
      </c>
    </row>
    <row r="1286" spans="2:7" s="7" customFormat="1" hidden="1" outlineLevel="1" x14ac:dyDescent="0.15">
      <c r="B1286" s="20" t="s">
        <v>272</v>
      </c>
      <c r="C1286" s="21" t="s">
        <v>1374</v>
      </c>
      <c r="D1286" s="21" t="s">
        <v>1087</v>
      </c>
      <c r="E1286" s="21">
        <v>0</v>
      </c>
      <c r="F1286" s="21"/>
      <c r="G1286" s="22" t="s">
        <v>1375</v>
      </c>
    </row>
    <row r="1287" spans="2:7" s="7" customFormat="1" hidden="1" outlineLevel="1" x14ac:dyDescent="0.15">
      <c r="B1287" s="20" t="s">
        <v>38</v>
      </c>
      <c r="C1287" s="21" t="s">
        <v>1241</v>
      </c>
      <c r="D1287" s="21" t="s">
        <v>1087</v>
      </c>
      <c r="E1287" s="21">
        <v>0</v>
      </c>
      <c r="F1287" s="21"/>
      <c r="G1287" s="22" t="s">
        <v>1086</v>
      </c>
    </row>
    <row r="1288" spans="2:7" s="7" customFormat="1" hidden="1" outlineLevel="1" x14ac:dyDescent="0.15">
      <c r="B1288" s="20" t="s">
        <v>100</v>
      </c>
      <c r="C1288" s="21" t="s">
        <v>1376</v>
      </c>
      <c r="D1288" s="21" t="s">
        <v>1211</v>
      </c>
      <c r="E1288" s="21">
        <v>0</v>
      </c>
      <c r="F1288" s="21"/>
      <c r="G1288" s="22" t="s">
        <v>1377</v>
      </c>
    </row>
    <row r="1289" spans="2:7" s="7" customFormat="1" hidden="1" outlineLevel="1" x14ac:dyDescent="0.15">
      <c r="B1289" s="20" t="s">
        <v>39</v>
      </c>
      <c r="C1289" s="21" t="s">
        <v>1242</v>
      </c>
      <c r="D1289" s="21" t="s">
        <v>1169</v>
      </c>
      <c r="E1289" s="21">
        <v>0</v>
      </c>
      <c r="F1289" s="21"/>
      <c r="G1289" s="22" t="s">
        <v>1243</v>
      </c>
    </row>
    <row r="1290" spans="2:7" s="7" customFormat="1" hidden="1" outlineLevel="1" x14ac:dyDescent="0.15">
      <c r="B1290" s="20" t="s">
        <v>263</v>
      </c>
      <c r="C1290" s="21" t="s">
        <v>1378</v>
      </c>
      <c r="D1290" s="21" t="s">
        <v>1169</v>
      </c>
      <c r="E1290" s="21">
        <v>0</v>
      </c>
      <c r="F1290" s="21"/>
      <c r="G1290" s="22" t="s">
        <v>1379</v>
      </c>
    </row>
    <row r="1291" spans="2:7" s="7" customFormat="1" hidden="1" outlineLevel="1" x14ac:dyDescent="0.15">
      <c r="B1291" s="20" t="s">
        <v>102</v>
      </c>
      <c r="C1291" s="21" t="s">
        <v>1380</v>
      </c>
      <c r="D1291" s="21" t="s">
        <v>1169</v>
      </c>
      <c r="E1291" s="21">
        <v>0</v>
      </c>
      <c r="F1291" s="21"/>
      <c r="G1291" s="22" t="s">
        <v>1381</v>
      </c>
    </row>
    <row r="1292" spans="2:7" s="7" customFormat="1" hidden="1" outlineLevel="1" x14ac:dyDescent="0.15">
      <c r="B1292" s="20" t="s">
        <v>103</v>
      </c>
      <c r="C1292" s="21" t="s">
        <v>1382</v>
      </c>
      <c r="D1292" s="21" t="s">
        <v>1169</v>
      </c>
      <c r="E1292" s="21">
        <v>0</v>
      </c>
      <c r="F1292" s="21"/>
      <c r="G1292" s="22"/>
    </row>
    <row r="1293" spans="2:7" s="7" customFormat="1" hidden="1" outlineLevel="1" x14ac:dyDescent="0.15">
      <c r="B1293" s="20" t="s">
        <v>104</v>
      </c>
      <c r="C1293" s="21" t="s">
        <v>1383</v>
      </c>
      <c r="D1293" s="21" t="s">
        <v>1169</v>
      </c>
      <c r="E1293" s="21">
        <v>0</v>
      </c>
      <c r="F1293" s="21"/>
      <c r="G1293" s="22" t="s">
        <v>1384</v>
      </c>
    </row>
    <row r="1294" spans="2:7" s="7" customFormat="1" hidden="1" outlineLevel="1" x14ac:dyDescent="0.15">
      <c r="B1294" s="20" t="s">
        <v>105</v>
      </c>
      <c r="C1294" s="21" t="s">
        <v>1385</v>
      </c>
      <c r="D1294" s="21" t="s">
        <v>1169</v>
      </c>
      <c r="E1294" s="21">
        <v>0</v>
      </c>
      <c r="F1294" s="21"/>
      <c r="G1294" s="22" t="s">
        <v>1564</v>
      </c>
    </row>
    <row r="1295" spans="2:7" s="7" customFormat="1" hidden="1" outlineLevel="1" x14ac:dyDescent="0.15">
      <c r="B1295" s="20" t="s">
        <v>106</v>
      </c>
      <c r="C1295" s="21" t="s">
        <v>1386</v>
      </c>
      <c r="D1295" s="21" t="s">
        <v>1169</v>
      </c>
      <c r="E1295" s="21">
        <v>0</v>
      </c>
      <c r="F1295" s="21"/>
      <c r="G1295" s="22" t="s">
        <v>1387</v>
      </c>
    </row>
    <row r="1296" spans="2:7" s="7" customFormat="1" hidden="1" outlineLevel="1" x14ac:dyDescent="0.15">
      <c r="B1296" s="20" t="s">
        <v>107</v>
      </c>
      <c r="C1296" s="21" t="s">
        <v>1388</v>
      </c>
      <c r="D1296" s="21" t="s">
        <v>1169</v>
      </c>
      <c r="E1296" s="21">
        <v>0</v>
      </c>
      <c r="F1296" s="21"/>
      <c r="G1296" s="22" t="s">
        <v>1389</v>
      </c>
    </row>
    <row r="1297" spans="2:7" s="7" customFormat="1" hidden="1" outlineLevel="1" x14ac:dyDescent="0.15">
      <c r="B1297" s="20" t="s">
        <v>108</v>
      </c>
      <c r="C1297" s="21" t="s">
        <v>1390</v>
      </c>
      <c r="D1297" s="21" t="s">
        <v>1169</v>
      </c>
      <c r="E1297" s="21">
        <v>0</v>
      </c>
      <c r="F1297" s="21"/>
      <c r="G1297" s="22" t="s">
        <v>1391</v>
      </c>
    </row>
    <row r="1298" spans="2:7" s="7" customFormat="1" hidden="1" outlineLevel="1" x14ac:dyDescent="0.15">
      <c r="B1298" s="20" t="s">
        <v>1801</v>
      </c>
      <c r="C1298" s="21" t="s">
        <v>1809</v>
      </c>
      <c r="D1298" s="21" t="s">
        <v>1169</v>
      </c>
      <c r="E1298" s="21">
        <v>0</v>
      </c>
      <c r="F1298" s="21"/>
      <c r="G1298" s="22"/>
    </row>
    <row r="1299" spans="2:7" s="7" customFormat="1" hidden="1" outlineLevel="1" x14ac:dyDescent="0.15">
      <c r="B1299" s="20" t="s">
        <v>1802</v>
      </c>
      <c r="C1299" s="21" t="s">
        <v>1810</v>
      </c>
      <c r="D1299" s="21" t="s">
        <v>1169</v>
      </c>
      <c r="E1299" s="21">
        <v>0</v>
      </c>
      <c r="F1299" s="21"/>
      <c r="G1299" s="22"/>
    </row>
    <row r="1300" spans="2:7" s="7" customFormat="1" hidden="1" outlineLevel="1" x14ac:dyDescent="0.15">
      <c r="B1300" s="20" t="s">
        <v>1803</v>
      </c>
      <c r="C1300" s="21" t="s">
        <v>1811</v>
      </c>
      <c r="D1300" s="21" t="s">
        <v>1169</v>
      </c>
      <c r="E1300" s="21">
        <v>0</v>
      </c>
      <c r="F1300" s="21"/>
      <c r="G1300" s="22"/>
    </row>
    <row r="1301" spans="2:7" s="7" customFormat="1" hidden="1" outlineLevel="1" x14ac:dyDescent="0.15">
      <c r="B1301" s="20" t="s">
        <v>1804</v>
      </c>
      <c r="C1301" s="21" t="s">
        <v>1812</v>
      </c>
      <c r="D1301" s="21" t="s">
        <v>1169</v>
      </c>
      <c r="E1301" s="21">
        <v>0</v>
      </c>
      <c r="F1301" s="21"/>
      <c r="G1301" s="22"/>
    </row>
    <row r="1302" spans="2:7" s="7" customFormat="1" hidden="1" outlineLevel="1" x14ac:dyDescent="0.15">
      <c r="B1302" s="20" t="s">
        <v>259</v>
      </c>
      <c r="C1302" s="21" t="s">
        <v>1392</v>
      </c>
      <c r="D1302" s="21" t="s">
        <v>211</v>
      </c>
      <c r="E1302" s="21">
        <v>0</v>
      </c>
      <c r="F1302" s="21"/>
      <c r="G1302" s="22"/>
    </row>
    <row r="1303" spans="2:7" s="7" customFormat="1" hidden="1" outlineLevel="1" x14ac:dyDescent="0.15">
      <c r="B1303" s="20" t="s">
        <v>264</v>
      </c>
      <c r="C1303" s="21" t="s">
        <v>1393</v>
      </c>
      <c r="D1303" s="21" t="s">
        <v>211</v>
      </c>
      <c r="E1303" s="21">
        <v>0</v>
      </c>
      <c r="F1303" s="21"/>
      <c r="G1303" s="22"/>
    </row>
    <row r="1304" spans="2:7" s="7" customFormat="1" hidden="1" outlineLevel="1" x14ac:dyDescent="0.15">
      <c r="B1304" s="20" t="s">
        <v>273</v>
      </c>
      <c r="C1304" s="21" t="s">
        <v>1394</v>
      </c>
      <c r="D1304" s="21" t="s">
        <v>1211</v>
      </c>
      <c r="E1304" s="21">
        <v>0</v>
      </c>
      <c r="F1304" s="21"/>
      <c r="G1304" s="22"/>
    </row>
    <row r="1305" spans="2:7" s="7" customFormat="1" hidden="1" outlineLevel="1" x14ac:dyDescent="0.15">
      <c r="B1305" s="20" t="s">
        <v>258</v>
      </c>
      <c r="C1305" s="21" t="s">
        <v>1395</v>
      </c>
      <c r="D1305" s="21" t="s">
        <v>1172</v>
      </c>
      <c r="E1305" s="21">
        <v>0</v>
      </c>
      <c r="F1305" s="21"/>
      <c r="G1305" s="22"/>
    </row>
    <row r="1306" spans="2:7" s="7" customFormat="1" hidden="1" outlineLevel="1" x14ac:dyDescent="0.15">
      <c r="B1306" s="20" t="s">
        <v>265</v>
      </c>
      <c r="C1306" s="21" t="s">
        <v>1396</v>
      </c>
      <c r="D1306" s="21" t="s">
        <v>211</v>
      </c>
      <c r="E1306" s="21">
        <v>0</v>
      </c>
      <c r="F1306" s="21"/>
      <c r="G1306" s="22"/>
    </row>
    <row r="1307" spans="2:7" s="7" customFormat="1" hidden="1" outlineLevel="1" x14ac:dyDescent="0.15">
      <c r="B1307" s="20" t="s">
        <v>274</v>
      </c>
      <c r="C1307" s="21" t="s">
        <v>1565</v>
      </c>
      <c r="D1307" s="21" t="s">
        <v>1172</v>
      </c>
      <c r="E1307" s="21">
        <v>0</v>
      </c>
      <c r="F1307" s="21"/>
      <c r="G1307" s="22"/>
    </row>
    <row r="1308" spans="2:7" s="7" customFormat="1" hidden="1" outlineLevel="1" x14ac:dyDescent="0.15">
      <c r="B1308" s="20" t="s">
        <v>1805</v>
      </c>
      <c r="C1308" s="21" t="s">
        <v>1813</v>
      </c>
      <c r="D1308" s="21" t="s">
        <v>1169</v>
      </c>
      <c r="E1308" s="21">
        <v>0</v>
      </c>
      <c r="F1308" s="21"/>
      <c r="G1308" s="22"/>
    </row>
    <row r="1309" spans="2:7" s="7" customFormat="1" hidden="1" outlineLevel="1" x14ac:dyDescent="0.15">
      <c r="B1309" s="20" t="s">
        <v>174</v>
      </c>
      <c r="C1309" s="21" t="s">
        <v>1397</v>
      </c>
      <c r="D1309" s="21" t="s">
        <v>211</v>
      </c>
      <c r="E1309" s="21">
        <v>0</v>
      </c>
      <c r="F1309" s="21"/>
      <c r="G1309" s="22"/>
    </row>
    <row r="1310" spans="2:7" s="7" customFormat="1" hidden="1" outlineLevel="1" x14ac:dyDescent="0.15">
      <c r="B1310" s="20" t="s">
        <v>214</v>
      </c>
      <c r="C1310" s="21" t="s">
        <v>1339</v>
      </c>
      <c r="D1310" s="21" t="s">
        <v>211</v>
      </c>
      <c r="E1310" s="21">
        <v>0</v>
      </c>
      <c r="F1310" s="21"/>
      <c r="G1310" s="22"/>
    </row>
    <row r="1311" spans="2:7" s="7" customFormat="1" hidden="1" outlineLevel="1" x14ac:dyDescent="0.15">
      <c r="B1311" s="20" t="s">
        <v>266</v>
      </c>
      <c r="C1311" s="21" t="s">
        <v>1398</v>
      </c>
      <c r="D1311" s="21" t="s">
        <v>1403</v>
      </c>
      <c r="E1311" s="21" t="s">
        <v>1072</v>
      </c>
      <c r="F1311" s="21"/>
      <c r="G1311" s="22"/>
    </row>
    <row r="1312" spans="2:7" s="7" customFormat="1" hidden="1" outlineLevel="1" x14ac:dyDescent="0.15">
      <c r="B1312" s="20" t="s">
        <v>267</v>
      </c>
      <c r="C1312" s="21" t="s">
        <v>1566</v>
      </c>
      <c r="D1312" s="21" t="s">
        <v>211</v>
      </c>
      <c r="E1312" s="21">
        <v>0</v>
      </c>
      <c r="F1312" s="21"/>
      <c r="G1312" s="22" t="s">
        <v>1567</v>
      </c>
    </row>
    <row r="1313" spans="1:8" s="7" customFormat="1" hidden="1" outlineLevel="1" x14ac:dyDescent="0.15">
      <c r="B1313" s="20" t="s">
        <v>268</v>
      </c>
      <c r="C1313" s="21" t="s">
        <v>1568</v>
      </c>
      <c r="D1313" s="21" t="s">
        <v>211</v>
      </c>
      <c r="E1313" s="21">
        <v>0</v>
      </c>
      <c r="F1313" s="21"/>
      <c r="G1313" s="22" t="s">
        <v>1399</v>
      </c>
    </row>
    <row r="1314" spans="1:8" s="7" customFormat="1" hidden="1" outlineLevel="1" x14ac:dyDescent="0.15">
      <c r="B1314" s="20" t="s">
        <v>1806</v>
      </c>
      <c r="C1314" s="21" t="s">
        <v>1814</v>
      </c>
      <c r="D1314" s="21" t="s">
        <v>1345</v>
      </c>
      <c r="E1314" s="21">
        <v>0</v>
      </c>
      <c r="F1314" s="21"/>
      <c r="G1314" s="22" t="s">
        <v>1815</v>
      </c>
    </row>
    <row r="1315" spans="1:8" s="7" customFormat="1" hidden="1" outlineLevel="1" x14ac:dyDescent="0.15">
      <c r="B1315" s="20" t="s">
        <v>1798</v>
      </c>
      <c r="C1315" s="21" t="s">
        <v>1942</v>
      </c>
      <c r="D1315" s="21" t="s">
        <v>1287</v>
      </c>
      <c r="E1315" s="21" t="s">
        <v>1072</v>
      </c>
      <c r="F1315" s="21"/>
      <c r="G1315" s="22"/>
    </row>
    <row r="1316" spans="1:8" s="7" customFormat="1" ht="18" hidden="1" outlineLevel="1" thickBot="1" x14ac:dyDescent="0.2">
      <c r="B1316" s="20"/>
      <c r="C1316" s="21"/>
      <c r="D1316" s="21"/>
      <c r="E1316" s="21"/>
      <c r="F1316" s="21"/>
      <c r="G1316" s="22"/>
    </row>
    <row r="1317" spans="1:8" s="7" customFormat="1" hidden="1" outlineLevel="1" x14ac:dyDescent="0.15">
      <c r="B1317" s="327" t="s">
        <v>15</v>
      </c>
      <c r="C1317" s="328"/>
      <c r="D1317" s="328"/>
      <c r="E1317" s="328"/>
      <c r="F1317" s="328"/>
      <c r="G1317" s="329"/>
      <c r="H1317" s="7" t="s">
        <v>79</v>
      </c>
    </row>
    <row r="1318" spans="1:8" s="7" customFormat="1" hidden="1" outlineLevel="1" x14ac:dyDescent="0.15">
      <c r="A1318" s="7" t="s">
        <v>62</v>
      </c>
      <c r="B1318" s="20">
        <v>1</v>
      </c>
      <c r="C1318" s="21" t="s">
        <v>98</v>
      </c>
      <c r="D1318" s="21" t="s">
        <v>260</v>
      </c>
      <c r="E1318" s="21" t="s">
        <v>7</v>
      </c>
      <c r="F1318" s="21" t="s">
        <v>101</v>
      </c>
      <c r="G1318" s="22" t="s">
        <v>20</v>
      </c>
    </row>
    <row r="1319" spans="1:8" s="7" customFormat="1" hidden="1" outlineLevel="1" x14ac:dyDescent="0.15">
      <c r="B1319" s="20">
        <v>2</v>
      </c>
      <c r="C1319" s="21" t="s">
        <v>22</v>
      </c>
      <c r="D1319" s="21" t="s">
        <v>109</v>
      </c>
      <c r="E1319" s="21" t="s">
        <v>111</v>
      </c>
      <c r="F1319" s="21" t="s">
        <v>123</v>
      </c>
      <c r="G1319" s="22"/>
    </row>
    <row r="1320" spans="1:8" s="7" customFormat="1" hidden="1" outlineLevel="1" x14ac:dyDescent="0.15">
      <c r="B1320" s="17">
        <v>3</v>
      </c>
      <c r="C1320" s="18" t="s">
        <v>269</v>
      </c>
      <c r="D1320" s="18"/>
      <c r="E1320" s="18"/>
      <c r="F1320" s="18"/>
      <c r="G1320" s="19"/>
    </row>
    <row r="1321" spans="1:8" ht="18" hidden="1" outlineLevel="1" thickBot="1" x14ac:dyDescent="0.2">
      <c r="A1321" s="7"/>
      <c r="B1321" s="24">
        <v>4</v>
      </c>
      <c r="C1321" s="9" t="s">
        <v>267</v>
      </c>
      <c r="D1321" s="9" t="s">
        <v>268</v>
      </c>
      <c r="E1321" s="9"/>
      <c r="F1321" s="9"/>
      <c r="G1321" s="11"/>
    </row>
    <row r="1322" spans="1:8" s="7" customFormat="1" ht="18" hidden="1" outlineLevel="1" thickBot="1" x14ac:dyDescent="0.2">
      <c r="A1322" s="1"/>
      <c r="B1322" s="1"/>
      <c r="C1322" s="1"/>
      <c r="D1322" s="1"/>
      <c r="E1322" s="1"/>
      <c r="F1322" s="1"/>
      <c r="G1322" s="1"/>
      <c r="H1322" s="6" t="str">
        <f>"create or replace view "&amp;C1323</f>
        <v>create or replace view vi_tdset0_stock_posi_detail</v>
      </c>
    </row>
    <row r="1323" spans="1:8" s="7" customFormat="1" ht="18" collapsed="1" thickBot="1" x14ac:dyDescent="0.2">
      <c r="A1323" s="2"/>
      <c r="B1323" s="39" t="s">
        <v>563</v>
      </c>
      <c r="C1323" s="108" t="s">
        <v>616</v>
      </c>
      <c r="D1323" s="40" t="s">
        <v>515</v>
      </c>
      <c r="E1323" s="21" t="s">
        <v>597</v>
      </c>
      <c r="F1323" s="40" t="s">
        <v>567</v>
      </c>
      <c r="G1323" s="41"/>
      <c r="H1323" s="11" t="str">
        <f>"# "&amp;E1323</f>
        <v># 报表_资管报表_交易证券-T0-证券持仓明细表</v>
      </c>
    </row>
    <row r="1324" spans="1:8" s="7" customFormat="1" ht="18" hidden="1" outlineLevel="1" thickBot="1" x14ac:dyDescent="0.2">
      <c r="A1324" s="2"/>
      <c r="B1324" s="42" t="s">
        <v>570</v>
      </c>
      <c r="C1324" s="43"/>
      <c r="D1324" s="44" t="s">
        <v>568</v>
      </c>
      <c r="E1324" s="43" t="s">
        <v>615</v>
      </c>
      <c r="F1324" s="44"/>
      <c r="G1324" s="45"/>
      <c r="H1324" s="13" t="s">
        <v>283</v>
      </c>
    </row>
    <row r="1325" spans="1:8" s="152" customFormat="1" hidden="1" outlineLevel="1" x14ac:dyDescent="0.15">
      <c r="A1325" s="2"/>
      <c r="B1325" s="39" t="s">
        <v>0</v>
      </c>
      <c r="C1325" s="40" t="s">
        <v>1</v>
      </c>
      <c r="D1325" s="40" t="s">
        <v>2</v>
      </c>
      <c r="E1325" s="40"/>
      <c r="F1325" s="40" t="s">
        <v>3</v>
      </c>
      <c r="G1325" s="46" t="s">
        <v>4</v>
      </c>
      <c r="H1325" s="107"/>
    </row>
    <row r="1326" spans="1:8" s="7" customFormat="1" hidden="1" outlineLevel="1" x14ac:dyDescent="0.15">
      <c r="A1326" s="152"/>
      <c r="B1326" s="153" t="s">
        <v>22</v>
      </c>
      <c r="C1326" s="154" t="s">
        <v>1127</v>
      </c>
      <c r="D1326" s="154" t="s">
        <v>211</v>
      </c>
      <c r="E1326" s="154" t="s">
        <v>1141</v>
      </c>
      <c r="F1326" s="154"/>
      <c r="G1326" s="155" t="s">
        <v>1162</v>
      </c>
      <c r="H1326" s="107" t="str">
        <f t="shared" ref="H1326:H1345" si="1">IF(F1327&lt;&gt;"",F1327,"t."&amp;C1327)&amp;" as "&amp;C1327&amp;",/*"&amp;B1327&amp;"*/"</f>
        <v>t.opor_no as opor_no,/*操作员编号*/</v>
      </c>
    </row>
    <row r="1327" spans="1:8" s="7" customFormat="1" hidden="1" outlineLevel="1" x14ac:dyDescent="0.15">
      <c r="A1327" s="2"/>
      <c r="B1327" s="47" t="s">
        <v>21</v>
      </c>
      <c r="C1327" s="48" t="s">
        <v>1357</v>
      </c>
      <c r="D1327" s="48" t="s">
        <v>211</v>
      </c>
      <c r="E1327" s="48">
        <v>0</v>
      </c>
      <c r="F1327" s="48"/>
      <c r="G1327" s="49" t="s">
        <v>1358</v>
      </c>
      <c r="H1327" s="107" t="str">
        <f t="shared" si="1"/>
        <v>t.co_no as co_no,/*机构编号*/</v>
      </c>
    </row>
    <row r="1328" spans="1:8" s="7" customFormat="1" hidden="1" outlineLevel="1" x14ac:dyDescent="0.15">
      <c r="A1328" s="2"/>
      <c r="B1328" s="47" t="s">
        <v>6</v>
      </c>
      <c r="C1328" s="48" t="s">
        <v>1163</v>
      </c>
      <c r="D1328" s="48" t="s">
        <v>211</v>
      </c>
      <c r="E1328" s="48">
        <v>0</v>
      </c>
      <c r="F1328" s="48"/>
      <c r="G1328" s="49" t="s">
        <v>1077</v>
      </c>
      <c r="H1328" s="107" t="str">
        <f t="shared" si="1"/>
        <v>t.pd_no as pd_no,/*产品编号*/</v>
      </c>
    </row>
    <row r="1329" spans="1:8" s="7" customFormat="1" hidden="1" outlineLevel="1" x14ac:dyDescent="0.15">
      <c r="A1329" s="2"/>
      <c r="B1329" s="47" t="s">
        <v>111</v>
      </c>
      <c r="C1329" s="48" t="s">
        <v>1164</v>
      </c>
      <c r="D1329" s="48" t="s">
        <v>211</v>
      </c>
      <c r="E1329" s="48">
        <v>0</v>
      </c>
      <c r="F1329" s="48"/>
      <c r="G1329" s="49" t="s">
        <v>1165</v>
      </c>
      <c r="H1329" s="107" t="str">
        <f t="shared" si="1"/>
        <v>t.exch_group_no as exch_group_no,/*交易组编号*/</v>
      </c>
    </row>
    <row r="1330" spans="1:8" s="7" customFormat="1" hidden="1" outlineLevel="1" x14ac:dyDescent="0.15">
      <c r="A1330" s="2"/>
      <c r="B1330" s="47" t="s">
        <v>123</v>
      </c>
      <c r="C1330" s="48" t="s">
        <v>1133</v>
      </c>
      <c r="D1330" s="48" t="s">
        <v>211</v>
      </c>
      <c r="E1330" s="48">
        <v>0</v>
      </c>
      <c r="F1330" s="48"/>
      <c r="G1330" s="49" t="s">
        <v>1182</v>
      </c>
      <c r="H1330" s="107" t="str">
        <f t="shared" si="1"/>
        <v>t.asset_acco_no as asset_acco_no,/*资产账户编号*/</v>
      </c>
    </row>
    <row r="1331" spans="1:8" s="7" customFormat="1" hidden="1" outlineLevel="1" x14ac:dyDescent="0.15">
      <c r="A1331" s="2"/>
      <c r="B1331" s="50" t="s">
        <v>113</v>
      </c>
      <c r="C1331" s="51" t="s">
        <v>1187</v>
      </c>
      <c r="D1331" s="51" t="s">
        <v>211</v>
      </c>
      <c r="E1331" s="51">
        <v>0</v>
      </c>
      <c r="F1331" s="51"/>
      <c r="G1331" s="52"/>
      <c r="H1331" s="107" t="str">
        <f t="shared" si="1"/>
        <v>t.exch_no as exch_no,/*市场编号*/</v>
      </c>
    </row>
    <row r="1332" spans="1:8" s="7" customFormat="1" hidden="1" outlineLevel="1" x14ac:dyDescent="0.15">
      <c r="A1332" s="2"/>
      <c r="B1332" s="47" t="s">
        <v>7</v>
      </c>
      <c r="C1332" s="48" t="s">
        <v>1190</v>
      </c>
      <c r="D1332" s="48" t="s">
        <v>211</v>
      </c>
      <c r="E1332" s="48">
        <v>0</v>
      </c>
      <c r="F1332" s="48"/>
      <c r="G1332" s="49" t="s">
        <v>1081</v>
      </c>
      <c r="H1332" s="107" t="str">
        <f t="shared" si="1"/>
        <v>t.stock_acco_no as stock_acco_no,/*股东代码编号*/</v>
      </c>
    </row>
    <row r="1333" spans="1:8" s="7" customFormat="1" hidden="1" outlineLevel="1" x14ac:dyDescent="0.15">
      <c r="A1333" s="2"/>
      <c r="B1333" s="50" t="s">
        <v>114</v>
      </c>
      <c r="C1333" s="51" t="s">
        <v>1155</v>
      </c>
      <c r="D1333" s="51" t="s">
        <v>211</v>
      </c>
      <c r="E1333" s="51">
        <v>0</v>
      </c>
      <c r="F1333" s="51"/>
      <c r="G1333" s="52"/>
      <c r="H1333" s="107" t="str">
        <f t="shared" si="1"/>
        <v>t.stock_code_no as stock_code_no,/*证券代码编号*/</v>
      </c>
    </row>
    <row r="1334" spans="1:8" s="7" customFormat="1" hidden="1" outlineLevel="1" x14ac:dyDescent="0.15">
      <c r="A1334" s="2"/>
      <c r="B1334" s="50" t="s">
        <v>118</v>
      </c>
      <c r="C1334" s="51" t="s">
        <v>1188</v>
      </c>
      <c r="D1334" s="51" t="s">
        <v>211</v>
      </c>
      <c r="E1334" s="51">
        <v>0</v>
      </c>
      <c r="F1334" s="51"/>
      <c r="G1334" s="52"/>
      <c r="H1334" s="107" t="str">
        <f t="shared" si="1"/>
        <v>t.lngsht_type as lngsht_type,/*多空类型*/</v>
      </c>
    </row>
    <row r="1335" spans="1:8" s="7" customFormat="1" hidden="1" outlineLevel="1" x14ac:dyDescent="0.15">
      <c r="A1335" s="2"/>
      <c r="B1335" s="47" t="s">
        <v>124</v>
      </c>
      <c r="C1335" s="48" t="s">
        <v>1216</v>
      </c>
      <c r="D1335" s="48" t="s">
        <v>211</v>
      </c>
      <c r="E1335" s="48">
        <v>0</v>
      </c>
      <c r="F1335" s="48"/>
      <c r="G1335" s="49"/>
      <c r="H1335" s="107" t="str">
        <f t="shared" si="1"/>
        <v>t.curr_qty as curr_qty,/*当前数量*/</v>
      </c>
    </row>
    <row r="1336" spans="1:8" s="7" customFormat="1" hidden="1" outlineLevel="1" x14ac:dyDescent="0.15">
      <c r="A1336" s="2"/>
      <c r="B1336" s="47" t="s">
        <v>9</v>
      </c>
      <c r="C1336" s="48" t="s">
        <v>1195</v>
      </c>
      <c r="D1336" s="48" t="s">
        <v>1087</v>
      </c>
      <c r="E1336" s="48">
        <v>0</v>
      </c>
      <c r="F1336" s="48"/>
      <c r="G1336" s="49" t="s">
        <v>1196</v>
      </c>
      <c r="H1336" s="107" t="str">
        <f t="shared" si="1"/>
        <v>t.open_posi_date as open_posi_date,/*开仓日期*/</v>
      </c>
    </row>
    <row r="1337" spans="1:8" s="7" customFormat="1" hidden="1" outlineLevel="1" x14ac:dyDescent="0.15">
      <c r="A1337" s="2"/>
      <c r="B1337" s="47" t="s">
        <v>125</v>
      </c>
      <c r="C1337" s="48" t="s">
        <v>1263</v>
      </c>
      <c r="D1337" s="48" t="s">
        <v>211</v>
      </c>
      <c r="E1337" s="48" t="s">
        <v>1141</v>
      </c>
      <c r="F1337" s="48"/>
      <c r="G1337" s="49"/>
      <c r="H1337" s="107" t="str">
        <f t="shared" si="1"/>
        <v>t.open_posi_time as open_posi_time,/*开仓时间*/</v>
      </c>
    </row>
    <row r="1338" spans="1:8" s="7" customFormat="1" hidden="1" outlineLevel="1" x14ac:dyDescent="0.15">
      <c r="A1338" s="2"/>
      <c r="B1338" s="47" t="s">
        <v>126</v>
      </c>
      <c r="C1338" s="48" t="s">
        <v>1264</v>
      </c>
      <c r="D1338" s="48" t="s">
        <v>211</v>
      </c>
      <c r="E1338" s="48" t="s">
        <v>1265</v>
      </c>
      <c r="F1338" s="48"/>
      <c r="G1338" s="49"/>
      <c r="H1338" s="107" t="str">
        <f t="shared" si="1"/>
        <v>t.open_posi_price as open_posi_price,/*开仓价格*/</v>
      </c>
    </row>
    <row r="1339" spans="1:8" s="7" customFormat="1" hidden="1" outlineLevel="1" x14ac:dyDescent="0.15">
      <c r="A1339" s="2"/>
      <c r="B1339" s="47" t="s">
        <v>127</v>
      </c>
      <c r="C1339" s="48" t="s">
        <v>1266</v>
      </c>
      <c r="D1339" s="48" t="s">
        <v>1211</v>
      </c>
      <c r="E1339" s="48">
        <v>0</v>
      </c>
      <c r="F1339" s="48"/>
      <c r="G1339" s="49"/>
      <c r="H1339" s="107" t="str">
        <f t="shared" si="1"/>
        <v>t.open_posi_value as open_posi_value,/*开仓市值*/</v>
      </c>
    </row>
    <row r="1340" spans="1:8" s="7" customFormat="1" hidden="1" outlineLevel="1" x14ac:dyDescent="0.15">
      <c r="A1340" s="2"/>
      <c r="B1340" s="47" t="s">
        <v>128</v>
      </c>
      <c r="C1340" s="48" t="s">
        <v>1569</v>
      </c>
      <c r="D1340" s="48" t="s">
        <v>1169</v>
      </c>
      <c r="E1340" s="48">
        <v>0</v>
      </c>
      <c r="F1340" s="48"/>
      <c r="G1340" s="49"/>
      <c r="H1340" s="107" t="str">
        <f t="shared" si="1"/>
        <v>t.open_posi_fee as open_posi_fee,/*开仓费用*/</v>
      </c>
    </row>
    <row r="1341" spans="1:8" s="7" customFormat="1" hidden="1" outlineLevel="1" x14ac:dyDescent="0.15">
      <c r="A1341" s="2"/>
      <c r="B1341" s="47" t="s">
        <v>129</v>
      </c>
      <c r="C1341" s="48" t="s">
        <v>1267</v>
      </c>
      <c r="D1341" s="48" t="s">
        <v>1169</v>
      </c>
      <c r="E1341" s="48">
        <v>0</v>
      </c>
      <c r="F1341" s="48"/>
      <c r="G1341" s="49"/>
      <c r="H1341" s="107" t="str">
        <f t="shared" si="1"/>
        <v>t.close_posi_qty as close_posi_qty,/*平仓数量*/</v>
      </c>
    </row>
    <row r="1342" spans="1:8" s="7" customFormat="1" hidden="1" outlineLevel="1" x14ac:dyDescent="0.15">
      <c r="A1342" s="2"/>
      <c r="B1342" s="47" t="s">
        <v>130</v>
      </c>
      <c r="C1342" s="48" t="s">
        <v>1400</v>
      </c>
      <c r="D1342" s="48" t="s">
        <v>1087</v>
      </c>
      <c r="E1342" s="48">
        <v>0</v>
      </c>
      <c r="F1342" s="48"/>
      <c r="G1342" s="49"/>
      <c r="H1342" s="107" t="str">
        <f t="shared" si="1"/>
        <v>t.close_posi_market_value as close_posi_market_value,/*平仓市值*/</v>
      </c>
    </row>
    <row r="1343" spans="1:8" s="7" customFormat="1" hidden="1" outlineLevel="1" x14ac:dyDescent="0.15">
      <c r="A1343" s="2"/>
      <c r="B1343" s="47" t="s">
        <v>131</v>
      </c>
      <c r="C1343" s="48" t="s">
        <v>1401</v>
      </c>
      <c r="D1343" s="48" t="s">
        <v>1169</v>
      </c>
      <c r="E1343" s="48">
        <v>0</v>
      </c>
      <c r="F1343" s="48"/>
      <c r="G1343" s="49"/>
      <c r="H1343" s="107" t="str">
        <f t="shared" si="1"/>
        <v>t.close_posi_fee as close_posi_fee,/*平仓费用*/</v>
      </c>
    </row>
    <row r="1344" spans="1:8" s="7" customFormat="1" hidden="1" outlineLevel="1" x14ac:dyDescent="0.15">
      <c r="A1344" s="2"/>
      <c r="B1344" s="47" t="s">
        <v>132</v>
      </c>
      <c r="C1344" s="48" t="s">
        <v>1090</v>
      </c>
      <c r="D1344" s="48" t="s">
        <v>1169</v>
      </c>
      <c r="E1344" s="48">
        <v>0</v>
      </c>
      <c r="F1344" s="48"/>
      <c r="G1344" s="49"/>
      <c r="H1344" s="107" t="str">
        <f t="shared" si="1"/>
        <v>t.strike_no as strike_no,/*成交编号*/</v>
      </c>
    </row>
    <row r="1345" spans="1:15" s="7" customFormat="1" hidden="1" outlineLevel="1" x14ac:dyDescent="0.15">
      <c r="A1345" s="2"/>
      <c r="B1345" s="47" t="s">
        <v>20</v>
      </c>
      <c r="C1345" s="48" t="s">
        <v>1269</v>
      </c>
      <c r="D1345" s="48" t="s">
        <v>1073</v>
      </c>
      <c r="E1345" s="48" t="s">
        <v>1072</v>
      </c>
      <c r="F1345" s="48"/>
      <c r="G1345" s="49" t="s">
        <v>1270</v>
      </c>
      <c r="H1345" s="107" t="str">
        <f t="shared" si="1"/>
        <v>t.realize_pandl as realize_pandl,/*实现盈亏*/</v>
      </c>
    </row>
    <row r="1346" spans="1:15" s="7" customFormat="1" hidden="1" outlineLevel="1" x14ac:dyDescent="0.15">
      <c r="A1346" s="2"/>
      <c r="B1346" s="47" t="s">
        <v>12</v>
      </c>
      <c r="C1346" s="48" t="s">
        <v>1143</v>
      </c>
      <c r="D1346" s="48" t="s">
        <v>1331</v>
      </c>
      <c r="E1346" s="48">
        <v>0</v>
      </c>
      <c r="F1346" s="48"/>
      <c r="G1346" s="49"/>
      <c r="H1346" s="107"/>
    </row>
    <row r="1347" spans="1:15" s="7" customFormat="1" hidden="1" outlineLevel="1" x14ac:dyDescent="0.15">
      <c r="A1347" s="2"/>
      <c r="B1347" s="47" t="s">
        <v>1048</v>
      </c>
      <c r="C1347" s="48" t="s">
        <v>1570</v>
      </c>
      <c r="D1347" s="48" t="s">
        <v>1331</v>
      </c>
      <c r="E1347" s="48">
        <v>0</v>
      </c>
      <c r="F1347" s="48"/>
      <c r="G1347" s="49"/>
      <c r="H1347" s="107" t="str">
        <f>IF(F1348&lt;&gt;"",F1348,"t."&amp;C1348)&amp;" as "&amp;C1348&amp;",/*"&amp;B1348&amp;"*/"</f>
        <v>t.posi_status as posi_status,/*持仓状态*/</v>
      </c>
    </row>
    <row r="1348" spans="1:15" s="7" customFormat="1" hidden="1" outlineLevel="1" x14ac:dyDescent="0.15">
      <c r="A1348" s="2"/>
      <c r="B1348" s="47" t="s">
        <v>133</v>
      </c>
      <c r="C1348" s="48" t="s">
        <v>1402</v>
      </c>
      <c r="D1348" s="48" t="s">
        <v>1403</v>
      </c>
      <c r="E1348" s="48" t="s">
        <v>1303</v>
      </c>
      <c r="F1348" s="48"/>
      <c r="G1348" s="49" t="s">
        <v>1404</v>
      </c>
      <c r="H1348" s="107" t="str">
        <f>IF(F1349&lt;&gt;"",F1349,"t."&amp;C1349)&amp;" as "&amp;C1349&amp;",/*"&amp;B1349&amp;"*/"</f>
        <v>t.remark_info as remark_info,/*备注信息*/</v>
      </c>
    </row>
    <row r="1349" spans="1:15" s="7" customFormat="1" ht="18" hidden="1" outlineLevel="1" thickBot="1" x14ac:dyDescent="0.2">
      <c r="A1349" s="2"/>
      <c r="B1349" s="53" t="s">
        <v>134</v>
      </c>
      <c r="C1349" s="54" t="s">
        <v>1406</v>
      </c>
      <c r="D1349" s="54" t="s">
        <v>1092</v>
      </c>
      <c r="E1349" s="54" t="s">
        <v>1072</v>
      </c>
      <c r="F1349" s="54"/>
      <c r="G1349" s="55" t="s">
        <v>1304</v>
      </c>
      <c r="H1349" s="107" t="str">
        <f>IF(F1350&lt;&gt;"",F1350,"t."&amp;C1350)&amp;" as "&amp;C1350&amp;",/*"&amp;B1350&amp;"*/"</f>
        <v>t.un_close_marke_value as un_close_marke_value,/*未平仓市值*/</v>
      </c>
    </row>
    <row r="1350" spans="1:15" s="7" customFormat="1" ht="18" hidden="1" outlineLevel="1" thickBot="1" x14ac:dyDescent="0.2">
      <c r="A1350" s="2"/>
      <c r="B1350" s="156" t="s">
        <v>311</v>
      </c>
      <c r="C1350" s="157" t="s">
        <v>1405</v>
      </c>
      <c r="D1350" s="157" t="s">
        <v>1169</v>
      </c>
      <c r="E1350" s="157">
        <v>0</v>
      </c>
      <c r="F1350" s="157"/>
      <c r="G1350" s="158"/>
      <c r="H1350" s="107"/>
    </row>
    <row r="1351" spans="1:15" s="56" customFormat="1" hidden="1" outlineLevel="1" x14ac:dyDescent="0.35">
      <c r="A1351" s="2"/>
      <c r="B1351" s="340" t="s">
        <v>15</v>
      </c>
      <c r="C1351" s="341"/>
      <c r="D1351" s="341"/>
      <c r="E1351" s="341"/>
      <c r="F1351" s="341"/>
      <c r="G1351" s="342"/>
      <c r="H1351" s="107"/>
      <c r="I1351" s="7"/>
      <c r="J1351" s="7"/>
      <c r="K1351" s="7"/>
      <c r="L1351" s="7"/>
      <c r="M1351" s="7"/>
      <c r="N1351" s="7"/>
      <c r="O1351" s="7"/>
    </row>
    <row r="1352" spans="1:15" s="56" customFormat="1" hidden="1" outlineLevel="1" x14ac:dyDescent="0.35">
      <c r="A1352" s="2"/>
      <c r="B1352" s="47">
        <v>1</v>
      </c>
      <c r="C1352" s="48" t="s">
        <v>135</v>
      </c>
      <c r="D1352" s="48" t="s">
        <v>123</v>
      </c>
      <c r="E1352" s="48" t="s">
        <v>113</v>
      </c>
      <c r="F1352" s="48" t="s">
        <v>114</v>
      </c>
      <c r="G1352" s="48" t="s">
        <v>118</v>
      </c>
      <c r="H1352" s="107"/>
      <c r="I1352" s="7"/>
      <c r="J1352" s="7"/>
      <c r="K1352" s="7"/>
      <c r="L1352" s="7"/>
      <c r="M1352" s="7"/>
      <c r="N1352" s="7"/>
      <c r="O1352" s="7"/>
    </row>
    <row r="1353" spans="1:15" s="7" customFormat="1" hidden="1" outlineLevel="1" x14ac:dyDescent="0.15">
      <c r="A1353" s="2"/>
      <c r="B1353" s="47">
        <v>2</v>
      </c>
      <c r="C1353" s="48" t="s">
        <v>109</v>
      </c>
      <c r="D1353" s="48" t="s">
        <v>111</v>
      </c>
      <c r="E1353" s="48" t="s">
        <v>123</v>
      </c>
      <c r="F1353" s="48"/>
      <c r="G1353" s="49"/>
    </row>
    <row r="1354" spans="1:15" ht="18" hidden="1" outlineLevel="1" thickBot="1" x14ac:dyDescent="0.2">
      <c r="A1354" s="2"/>
      <c r="B1354" s="53"/>
      <c r="C1354" s="54"/>
      <c r="D1354" s="54"/>
      <c r="E1354" s="54"/>
      <c r="F1354" s="54"/>
      <c r="G1354" s="55"/>
    </row>
    <row r="1355" spans="1:15" s="7" customFormat="1" ht="18" hidden="1" outlineLevel="1" thickBot="1" x14ac:dyDescent="0.2">
      <c r="A1355" s="1"/>
      <c r="B1355" s="1"/>
      <c r="C1355" s="1"/>
      <c r="D1355" s="1"/>
      <c r="E1355" s="1"/>
      <c r="F1355" s="1"/>
      <c r="G1355" s="1"/>
      <c r="H1355" s="6" t="str">
        <f>"create or replace view "&amp;C1356</f>
        <v>create or replace view vi_tdset0_stock_posi_detail_his</v>
      </c>
    </row>
    <row r="1356" spans="1:15" s="7" customFormat="1" ht="18" collapsed="1" thickBot="1" x14ac:dyDescent="0.2">
      <c r="A1356" s="2"/>
      <c r="B1356" s="39" t="s">
        <v>563</v>
      </c>
      <c r="C1356" s="108" t="s">
        <v>617</v>
      </c>
      <c r="D1356" s="40" t="s">
        <v>515</v>
      </c>
      <c r="E1356" s="21" t="s">
        <v>1047</v>
      </c>
      <c r="F1356" s="40" t="s">
        <v>567</v>
      </c>
      <c r="G1356" s="41"/>
      <c r="H1356" s="11" t="str">
        <f>"# "&amp;E1356</f>
        <v># 报表_资管报表_交易证券-T0-历史证券持仓明细表</v>
      </c>
    </row>
    <row r="1357" spans="1:15" s="7" customFormat="1" ht="18" hidden="1" outlineLevel="1" thickBot="1" x14ac:dyDescent="0.2">
      <c r="A1357" s="2"/>
      <c r="B1357" s="42" t="s">
        <v>570</v>
      </c>
      <c r="C1357" s="43"/>
      <c r="D1357" s="44" t="s">
        <v>568</v>
      </c>
      <c r="E1357" s="43" t="s">
        <v>615</v>
      </c>
      <c r="F1357" s="44"/>
      <c r="G1357" s="45"/>
      <c r="H1357" s="13" t="s">
        <v>283</v>
      </c>
    </row>
    <row r="1358" spans="1:15" s="56" customFormat="1" hidden="1" outlineLevel="1" x14ac:dyDescent="0.35">
      <c r="A1358" s="2"/>
      <c r="B1358" s="39" t="s">
        <v>0</v>
      </c>
      <c r="C1358" s="40" t="s">
        <v>1</v>
      </c>
      <c r="D1358" s="40" t="s">
        <v>2</v>
      </c>
      <c r="E1358" s="40"/>
      <c r="F1358" s="40" t="s">
        <v>3</v>
      </c>
      <c r="G1358" s="46" t="s">
        <v>4</v>
      </c>
      <c r="H1358" s="107" t="str">
        <f t="shared" ref="H1358:H1378" si="2">IF(F1359&lt;&gt;"",F1359,"t."&amp;C1359)&amp;" as "&amp;C1359&amp;",/*"&amp;B1359&amp;"*/"</f>
        <v>t.init_date as init_date,/*初始化日期*/</v>
      </c>
      <c r="I1358" s="7"/>
      <c r="J1358" s="7"/>
      <c r="K1358" s="7"/>
      <c r="L1358" s="7"/>
      <c r="M1358" s="7"/>
      <c r="N1358" s="7"/>
      <c r="O1358" s="7"/>
    </row>
    <row r="1359" spans="1:15" s="7" customFormat="1" hidden="1" outlineLevel="1" x14ac:dyDescent="0.15">
      <c r="A1359" s="2"/>
      <c r="B1359" s="47" t="s">
        <v>22</v>
      </c>
      <c r="C1359" s="48" t="s">
        <v>1127</v>
      </c>
      <c r="D1359" s="48" t="s">
        <v>211</v>
      </c>
      <c r="E1359" s="48" t="s">
        <v>1141</v>
      </c>
      <c r="F1359" s="48"/>
      <c r="G1359" s="49" t="s">
        <v>1162</v>
      </c>
      <c r="H1359" s="107" t="str">
        <f t="shared" si="2"/>
        <v>t.opor_no as opor_no,/*操作员编号*/</v>
      </c>
    </row>
    <row r="1360" spans="1:15" s="7" customFormat="1" hidden="1" outlineLevel="1" x14ac:dyDescent="0.15">
      <c r="A1360" s="2"/>
      <c r="B1360" s="47" t="s">
        <v>21</v>
      </c>
      <c r="C1360" s="48" t="s">
        <v>1357</v>
      </c>
      <c r="D1360" s="48" t="s">
        <v>211</v>
      </c>
      <c r="E1360" s="48">
        <v>0</v>
      </c>
      <c r="F1360" s="48"/>
      <c r="G1360" s="49" t="s">
        <v>1358</v>
      </c>
      <c r="H1360" s="107" t="str">
        <f t="shared" si="2"/>
        <v>t.co_no as co_no,/*机构编号*/</v>
      </c>
    </row>
    <row r="1361" spans="1:8" s="7" customFormat="1" hidden="1" outlineLevel="1" x14ac:dyDescent="0.15">
      <c r="A1361" s="2"/>
      <c r="B1361" s="47" t="s">
        <v>6</v>
      </c>
      <c r="C1361" s="48" t="s">
        <v>1163</v>
      </c>
      <c r="D1361" s="48" t="s">
        <v>211</v>
      </c>
      <c r="E1361" s="48">
        <v>0</v>
      </c>
      <c r="F1361" s="48"/>
      <c r="G1361" s="49" t="s">
        <v>1077</v>
      </c>
      <c r="H1361" s="107" t="str">
        <f t="shared" si="2"/>
        <v>t.pd_no as pd_no,/*产品编号*/</v>
      </c>
    </row>
    <row r="1362" spans="1:8" s="7" customFormat="1" hidden="1" outlineLevel="1" x14ac:dyDescent="0.15">
      <c r="A1362" s="2"/>
      <c r="B1362" s="47" t="s">
        <v>111</v>
      </c>
      <c r="C1362" s="48" t="s">
        <v>1164</v>
      </c>
      <c r="D1362" s="48" t="s">
        <v>211</v>
      </c>
      <c r="E1362" s="48">
        <v>0</v>
      </c>
      <c r="F1362" s="48"/>
      <c r="G1362" s="49" t="s">
        <v>1165</v>
      </c>
      <c r="H1362" s="107" t="str">
        <f t="shared" si="2"/>
        <v>t.exch_group_no as exch_group_no,/*交易组编号*/</v>
      </c>
    </row>
    <row r="1363" spans="1:8" s="7" customFormat="1" hidden="1" outlineLevel="1" x14ac:dyDescent="0.15">
      <c r="A1363" s="2"/>
      <c r="B1363" s="47" t="s">
        <v>123</v>
      </c>
      <c r="C1363" s="48" t="s">
        <v>1133</v>
      </c>
      <c r="D1363" s="48" t="s">
        <v>211</v>
      </c>
      <c r="E1363" s="48">
        <v>0</v>
      </c>
      <c r="F1363" s="48"/>
      <c r="G1363" s="49" t="s">
        <v>1182</v>
      </c>
      <c r="H1363" s="107" t="str">
        <f t="shared" si="2"/>
        <v>t.asset_acco_no as asset_acco_no,/*资产账户编号*/</v>
      </c>
    </row>
    <row r="1364" spans="1:8" s="7" customFormat="1" hidden="1" outlineLevel="1" x14ac:dyDescent="0.15">
      <c r="A1364" s="2"/>
      <c r="B1364" s="50" t="s">
        <v>113</v>
      </c>
      <c r="C1364" s="51" t="s">
        <v>1187</v>
      </c>
      <c r="D1364" s="51" t="s">
        <v>211</v>
      </c>
      <c r="E1364" s="51">
        <v>0</v>
      </c>
      <c r="F1364" s="51"/>
      <c r="G1364" s="52"/>
      <c r="H1364" s="107" t="str">
        <f t="shared" si="2"/>
        <v>t.exch_no as exch_no,/*市场编号*/</v>
      </c>
    </row>
    <row r="1365" spans="1:8" s="7" customFormat="1" hidden="1" outlineLevel="1" x14ac:dyDescent="0.15">
      <c r="A1365" s="2"/>
      <c r="B1365" s="47" t="s">
        <v>7</v>
      </c>
      <c r="C1365" s="48" t="s">
        <v>1190</v>
      </c>
      <c r="D1365" s="48" t="s">
        <v>211</v>
      </c>
      <c r="E1365" s="48">
        <v>0</v>
      </c>
      <c r="F1365" s="48"/>
      <c r="G1365" s="49" t="s">
        <v>1081</v>
      </c>
      <c r="H1365" s="107" t="str">
        <f t="shared" si="2"/>
        <v>t.stock_acco_no as stock_acco_no,/*股东代码编号*/</v>
      </c>
    </row>
    <row r="1366" spans="1:8" s="7" customFormat="1" hidden="1" outlineLevel="1" x14ac:dyDescent="0.15">
      <c r="A1366" s="2"/>
      <c r="B1366" s="50" t="s">
        <v>114</v>
      </c>
      <c r="C1366" s="51" t="s">
        <v>1155</v>
      </c>
      <c r="D1366" s="51" t="s">
        <v>211</v>
      </c>
      <c r="E1366" s="51">
        <v>0</v>
      </c>
      <c r="F1366" s="51"/>
      <c r="G1366" s="52"/>
      <c r="H1366" s="107" t="str">
        <f t="shared" si="2"/>
        <v>t.stock_code_no as stock_code_no,/*证券代码编号*/</v>
      </c>
    </row>
    <row r="1367" spans="1:8" s="7" customFormat="1" hidden="1" outlineLevel="1" x14ac:dyDescent="0.15">
      <c r="A1367" s="2"/>
      <c r="B1367" s="50" t="s">
        <v>118</v>
      </c>
      <c r="C1367" s="51" t="s">
        <v>1188</v>
      </c>
      <c r="D1367" s="51" t="s">
        <v>211</v>
      </c>
      <c r="E1367" s="51">
        <v>0</v>
      </c>
      <c r="F1367" s="51"/>
      <c r="G1367" s="52"/>
      <c r="H1367" s="107" t="str">
        <f t="shared" si="2"/>
        <v>t.lngsht_type as lngsht_type,/*多空类型*/</v>
      </c>
    </row>
    <row r="1368" spans="1:8" s="7" customFormat="1" hidden="1" outlineLevel="1" x14ac:dyDescent="0.15">
      <c r="A1368" s="2"/>
      <c r="B1368" s="47" t="s">
        <v>124</v>
      </c>
      <c r="C1368" s="48" t="s">
        <v>1216</v>
      </c>
      <c r="D1368" s="48" t="s">
        <v>211</v>
      </c>
      <c r="E1368" s="48">
        <v>0</v>
      </c>
      <c r="F1368" s="48"/>
      <c r="G1368" s="49"/>
      <c r="H1368" s="107" t="str">
        <f t="shared" si="2"/>
        <v>t.curr_qty as curr_qty,/*当前数量*/</v>
      </c>
    </row>
    <row r="1369" spans="1:8" s="7" customFormat="1" hidden="1" outlineLevel="1" x14ac:dyDescent="0.15">
      <c r="A1369" s="2"/>
      <c r="B1369" s="47" t="s">
        <v>9</v>
      </c>
      <c r="C1369" s="48" t="s">
        <v>1195</v>
      </c>
      <c r="D1369" s="48" t="s">
        <v>1087</v>
      </c>
      <c r="E1369" s="48">
        <v>0</v>
      </c>
      <c r="F1369" s="48"/>
      <c r="G1369" s="49" t="s">
        <v>1196</v>
      </c>
      <c r="H1369" s="107" t="str">
        <f t="shared" si="2"/>
        <v>t.open_posi_date as open_posi_date,/*开仓日期*/</v>
      </c>
    </row>
    <row r="1370" spans="1:8" s="7" customFormat="1" hidden="1" outlineLevel="1" x14ac:dyDescent="0.15">
      <c r="A1370" s="2"/>
      <c r="B1370" s="47" t="s">
        <v>125</v>
      </c>
      <c r="C1370" s="48" t="s">
        <v>1263</v>
      </c>
      <c r="D1370" s="48" t="s">
        <v>211</v>
      </c>
      <c r="E1370" s="48" t="s">
        <v>1141</v>
      </c>
      <c r="F1370" s="48"/>
      <c r="G1370" s="49"/>
      <c r="H1370" s="107" t="str">
        <f t="shared" si="2"/>
        <v>t.open_posi_time as open_posi_time,/*开仓时间*/</v>
      </c>
    </row>
    <row r="1371" spans="1:8" s="7" customFormat="1" hidden="1" outlineLevel="1" x14ac:dyDescent="0.15">
      <c r="A1371" s="2"/>
      <c r="B1371" s="47" t="s">
        <v>126</v>
      </c>
      <c r="C1371" s="48" t="s">
        <v>1264</v>
      </c>
      <c r="D1371" s="48" t="s">
        <v>211</v>
      </c>
      <c r="E1371" s="48" t="s">
        <v>1265</v>
      </c>
      <c r="F1371" s="48"/>
      <c r="G1371" s="49"/>
      <c r="H1371" s="107" t="str">
        <f t="shared" si="2"/>
        <v>t.open_posi_price as open_posi_price,/*开仓价格*/</v>
      </c>
    </row>
    <row r="1372" spans="1:8" s="7" customFormat="1" hidden="1" outlineLevel="1" x14ac:dyDescent="0.15">
      <c r="A1372" s="2"/>
      <c r="B1372" s="47" t="s">
        <v>127</v>
      </c>
      <c r="C1372" s="48" t="s">
        <v>1266</v>
      </c>
      <c r="D1372" s="48" t="s">
        <v>1211</v>
      </c>
      <c r="E1372" s="48">
        <v>0</v>
      </c>
      <c r="F1372" s="48"/>
      <c r="G1372" s="49"/>
      <c r="H1372" s="107" t="str">
        <f t="shared" si="2"/>
        <v>t.open_posi_value as open_posi_value,/*开仓市值*/</v>
      </c>
    </row>
    <row r="1373" spans="1:8" s="7" customFormat="1" hidden="1" outlineLevel="1" x14ac:dyDescent="0.15">
      <c r="A1373" s="2"/>
      <c r="B1373" s="47" t="s">
        <v>128</v>
      </c>
      <c r="C1373" s="48" t="s">
        <v>1569</v>
      </c>
      <c r="D1373" s="48" t="s">
        <v>1169</v>
      </c>
      <c r="E1373" s="48">
        <v>0</v>
      </c>
      <c r="F1373" s="48"/>
      <c r="G1373" s="49"/>
      <c r="H1373" s="107" t="str">
        <f t="shared" si="2"/>
        <v>t.open_posi_fee as open_posi_fee,/*开仓费用*/</v>
      </c>
    </row>
    <row r="1374" spans="1:8" s="7" customFormat="1" hidden="1" outlineLevel="1" x14ac:dyDescent="0.15">
      <c r="A1374" s="2"/>
      <c r="B1374" s="47" t="s">
        <v>129</v>
      </c>
      <c r="C1374" s="48" t="s">
        <v>1267</v>
      </c>
      <c r="D1374" s="48" t="s">
        <v>1169</v>
      </c>
      <c r="E1374" s="48">
        <v>0</v>
      </c>
      <c r="F1374" s="48"/>
      <c r="G1374" s="49"/>
      <c r="H1374" s="107" t="str">
        <f t="shared" si="2"/>
        <v>t.close_posi_qty as close_posi_qty,/*平仓数量*/</v>
      </c>
    </row>
    <row r="1375" spans="1:8" s="7" customFormat="1" hidden="1" outlineLevel="1" x14ac:dyDescent="0.15">
      <c r="A1375" s="2"/>
      <c r="B1375" s="47" t="s">
        <v>130</v>
      </c>
      <c r="C1375" s="48" t="s">
        <v>1400</v>
      </c>
      <c r="D1375" s="48" t="s">
        <v>1087</v>
      </c>
      <c r="E1375" s="48">
        <v>0</v>
      </c>
      <c r="F1375" s="48"/>
      <c r="G1375" s="49"/>
      <c r="H1375" s="107" t="str">
        <f t="shared" si="2"/>
        <v>t.close_posi_market_value as close_posi_market_value,/*平仓市值*/</v>
      </c>
    </row>
    <row r="1376" spans="1:8" s="7" customFormat="1" hidden="1" outlineLevel="1" x14ac:dyDescent="0.15">
      <c r="A1376" s="2"/>
      <c r="B1376" s="47" t="s">
        <v>131</v>
      </c>
      <c r="C1376" s="48" t="s">
        <v>1401</v>
      </c>
      <c r="D1376" s="48" t="s">
        <v>1169</v>
      </c>
      <c r="E1376" s="48">
        <v>0</v>
      </c>
      <c r="F1376" s="48"/>
      <c r="G1376" s="49"/>
      <c r="H1376" s="107" t="str">
        <f t="shared" si="2"/>
        <v>t.close_posi_fee as close_posi_fee,/*平仓费用*/</v>
      </c>
    </row>
    <row r="1377" spans="1:15" s="7" customFormat="1" hidden="1" outlineLevel="1" x14ac:dyDescent="0.15">
      <c r="A1377" s="2"/>
      <c r="B1377" s="47" t="s">
        <v>132</v>
      </c>
      <c r="C1377" s="48" t="s">
        <v>1090</v>
      </c>
      <c r="D1377" s="48" t="s">
        <v>1169</v>
      </c>
      <c r="E1377" s="48">
        <v>0</v>
      </c>
      <c r="F1377" s="48"/>
      <c r="G1377" s="49"/>
      <c r="H1377" s="107" t="str">
        <f t="shared" si="2"/>
        <v>t.strike_no as strike_no,/*成交编号*/</v>
      </c>
    </row>
    <row r="1378" spans="1:15" s="7" customFormat="1" hidden="1" outlineLevel="1" x14ac:dyDescent="0.15">
      <c r="A1378" s="2"/>
      <c r="B1378" s="47" t="s">
        <v>20</v>
      </c>
      <c r="C1378" s="48" t="s">
        <v>1269</v>
      </c>
      <c r="D1378" s="48" t="s">
        <v>1073</v>
      </c>
      <c r="E1378" s="48" t="s">
        <v>1072</v>
      </c>
      <c r="F1378" s="48"/>
      <c r="G1378" s="49" t="s">
        <v>1270</v>
      </c>
      <c r="H1378" s="107" t="str">
        <f t="shared" si="2"/>
        <v>t.realize_pandl as realize_pandl,/*实现盈亏*/</v>
      </c>
    </row>
    <row r="1379" spans="1:15" s="7" customFormat="1" hidden="1" outlineLevel="1" x14ac:dyDescent="0.15">
      <c r="A1379" s="2"/>
      <c r="B1379" s="47" t="s">
        <v>12</v>
      </c>
      <c r="C1379" s="48" t="s">
        <v>1143</v>
      </c>
      <c r="D1379" s="48" t="s">
        <v>1169</v>
      </c>
      <c r="E1379" s="48">
        <v>0</v>
      </c>
      <c r="F1379" s="48"/>
      <c r="G1379" s="49"/>
      <c r="H1379" s="107"/>
    </row>
    <row r="1380" spans="1:15" s="7" customFormat="1" hidden="1" outlineLevel="1" x14ac:dyDescent="0.15">
      <c r="A1380" s="2"/>
      <c r="B1380" s="47" t="s">
        <v>1048</v>
      </c>
      <c r="C1380" s="48" t="s">
        <v>1570</v>
      </c>
      <c r="D1380" s="48" t="s">
        <v>1331</v>
      </c>
      <c r="E1380" s="48">
        <v>0</v>
      </c>
      <c r="F1380" s="48"/>
      <c r="G1380" s="49"/>
      <c r="H1380" s="107" t="str">
        <f>IF(F1381&lt;&gt;"",F1381,"t."&amp;C1381)&amp;" as "&amp;C1381&amp;",/*"&amp;B1381&amp;"*/"</f>
        <v>t.posi_status as posi_status,/*持仓状态*/</v>
      </c>
    </row>
    <row r="1381" spans="1:15" s="7" customFormat="1" hidden="1" outlineLevel="1" x14ac:dyDescent="0.15">
      <c r="A1381" s="2"/>
      <c r="B1381" s="47" t="s">
        <v>133</v>
      </c>
      <c r="C1381" s="48" t="s">
        <v>1402</v>
      </c>
      <c r="D1381" s="48" t="s">
        <v>1403</v>
      </c>
      <c r="E1381" s="48" t="s">
        <v>1303</v>
      </c>
      <c r="F1381" s="48"/>
      <c r="G1381" s="49" t="s">
        <v>1404</v>
      </c>
      <c r="H1381" s="107" t="str">
        <f>IF(F1382&lt;&gt;"",F1382,"t."&amp;C1382)&amp;" as "&amp;C1382&amp;",/*"&amp;B1382&amp;"*/"</f>
        <v>t.remark_info as remark_info,/*备注信息*/</v>
      </c>
    </row>
    <row r="1382" spans="1:15" s="7" customFormat="1" ht="18" hidden="1" outlineLevel="1" thickBot="1" x14ac:dyDescent="0.2">
      <c r="A1382" s="2"/>
      <c r="B1382" s="53" t="s">
        <v>134</v>
      </c>
      <c r="C1382" s="54" t="s">
        <v>1406</v>
      </c>
      <c r="D1382" s="54" t="s">
        <v>1092</v>
      </c>
      <c r="E1382" s="54" t="s">
        <v>1072</v>
      </c>
      <c r="F1382" s="54"/>
      <c r="G1382" s="55" t="s">
        <v>1304</v>
      </c>
      <c r="H1382" s="107" t="str">
        <f>IF(F1383&lt;&gt;"",F1383,"t."&amp;C1383)&amp;" as "&amp;C1383&amp;",/*"&amp;B1383&amp;"*/"</f>
        <v>t.un_close_marke_value as un_close_marke_value,/*未平仓市值*/</v>
      </c>
    </row>
    <row r="1383" spans="1:15" s="7" customFormat="1" ht="18" hidden="1" outlineLevel="1" thickBot="1" x14ac:dyDescent="0.2">
      <c r="A1383" s="2"/>
      <c r="B1383" s="156" t="s">
        <v>311</v>
      </c>
      <c r="C1383" s="157" t="s">
        <v>1405</v>
      </c>
      <c r="D1383" s="157" t="s">
        <v>1169</v>
      </c>
      <c r="E1383" s="157">
        <v>0</v>
      </c>
      <c r="F1383" s="157"/>
      <c r="G1383" s="158"/>
    </row>
    <row r="1384" spans="1:15" s="56" customFormat="1" hidden="1" outlineLevel="1" x14ac:dyDescent="0.35">
      <c r="A1384" s="2"/>
      <c r="B1384" s="340" t="s">
        <v>15</v>
      </c>
      <c r="C1384" s="341"/>
      <c r="D1384" s="341"/>
      <c r="E1384" s="341"/>
      <c r="F1384" s="341"/>
      <c r="G1384" s="342"/>
      <c r="H1384" s="7"/>
      <c r="I1384" s="7"/>
      <c r="J1384" s="7"/>
      <c r="K1384" s="7"/>
      <c r="L1384" s="7"/>
      <c r="M1384" s="7"/>
      <c r="N1384" s="7"/>
      <c r="O1384" s="7"/>
    </row>
    <row r="1385" spans="1:15" s="56" customFormat="1" hidden="1" outlineLevel="1" x14ac:dyDescent="0.35">
      <c r="A1385" s="2"/>
      <c r="B1385" s="47">
        <v>1</v>
      </c>
      <c r="C1385" s="48" t="s">
        <v>135</v>
      </c>
      <c r="D1385" s="48" t="s">
        <v>123</v>
      </c>
      <c r="E1385" s="48" t="s">
        <v>113</v>
      </c>
      <c r="F1385" s="48" t="s">
        <v>114</v>
      </c>
      <c r="G1385" s="48" t="s">
        <v>118</v>
      </c>
      <c r="H1385" s="7"/>
      <c r="I1385" s="7"/>
      <c r="J1385" s="7"/>
      <c r="K1385" s="7"/>
      <c r="L1385" s="7"/>
      <c r="M1385" s="7"/>
      <c r="N1385" s="7"/>
      <c r="O1385" s="7"/>
    </row>
    <row r="1386" spans="1:15" s="7" customFormat="1" hidden="1" outlineLevel="1" x14ac:dyDescent="0.15">
      <c r="A1386" s="2"/>
      <c r="B1386" s="47">
        <v>2</v>
      </c>
      <c r="C1386" s="48" t="s">
        <v>109</v>
      </c>
      <c r="D1386" s="48" t="s">
        <v>111</v>
      </c>
      <c r="E1386" s="48" t="s">
        <v>123</v>
      </c>
      <c r="F1386" s="48"/>
      <c r="G1386" s="49"/>
    </row>
    <row r="1387" spans="1:15" ht="18" hidden="1" outlineLevel="1" thickBot="1" x14ac:dyDescent="0.2">
      <c r="A1387" s="2"/>
      <c r="B1387" s="53"/>
      <c r="C1387" s="54"/>
      <c r="D1387" s="54"/>
      <c r="E1387" s="54"/>
      <c r="F1387" s="54"/>
      <c r="G1387" s="55"/>
    </row>
    <row r="1388" spans="1:15" hidden="1" outlineLevel="1" x14ac:dyDescent="0.15"/>
    <row r="1389" spans="1:15" hidden="1" outlineLevel="1" x14ac:dyDescent="0.15"/>
    <row r="1390" spans="1:15" s="7" customFormat="1" ht="18" hidden="1" outlineLevel="1" thickBot="1" x14ac:dyDescent="0.2">
      <c r="A1390" s="1"/>
      <c r="B1390" s="1"/>
      <c r="C1390" s="1"/>
      <c r="D1390" s="1"/>
      <c r="E1390" s="1"/>
      <c r="F1390" s="1"/>
      <c r="G1390" s="1"/>
    </row>
    <row r="1391" spans="1:15" s="7" customFormat="1" ht="18" collapsed="1" thickBot="1" x14ac:dyDescent="0.2">
      <c r="A1391" s="2"/>
      <c r="B1391" s="39" t="s">
        <v>563</v>
      </c>
      <c r="C1391" s="108" t="s">
        <v>618</v>
      </c>
      <c r="D1391" s="40" t="s">
        <v>515</v>
      </c>
      <c r="E1391" s="21" t="s">
        <v>719</v>
      </c>
      <c r="F1391" s="40" t="s">
        <v>567</v>
      </c>
      <c r="G1391" s="41"/>
    </row>
    <row r="1392" spans="1:15" s="7" customFormat="1" ht="18" hidden="1" outlineLevel="1" thickBot="1" x14ac:dyDescent="0.2">
      <c r="A1392" s="2"/>
      <c r="B1392" s="57" t="s">
        <v>570</v>
      </c>
      <c r="C1392" s="54"/>
      <c r="D1392" s="58" t="s">
        <v>568</v>
      </c>
      <c r="E1392" s="54" t="s">
        <v>615</v>
      </c>
      <c r="F1392" s="58"/>
      <c r="G1392" s="55"/>
    </row>
    <row r="1393" spans="1:7" s="7" customFormat="1" hidden="1" outlineLevel="1" x14ac:dyDescent="0.15">
      <c r="A1393" s="2"/>
      <c r="B1393" s="59" t="s">
        <v>0</v>
      </c>
      <c r="C1393" s="60" t="s">
        <v>1</v>
      </c>
      <c r="D1393" s="60" t="s">
        <v>2</v>
      </c>
      <c r="E1393" s="60"/>
      <c r="F1393" s="60" t="s">
        <v>3</v>
      </c>
      <c r="G1393" s="60" t="s">
        <v>4</v>
      </c>
    </row>
    <row r="1394" spans="1:7" s="7" customFormat="1" hidden="1" outlineLevel="1" x14ac:dyDescent="0.15">
      <c r="A1394" s="2"/>
      <c r="B1394" s="61" t="s">
        <v>16</v>
      </c>
      <c r="C1394" s="62" t="s">
        <v>1163</v>
      </c>
      <c r="D1394" s="62" t="s">
        <v>211</v>
      </c>
      <c r="E1394" s="62">
        <v>0</v>
      </c>
      <c r="F1394" s="62"/>
      <c r="G1394" s="63" t="s">
        <v>1077</v>
      </c>
    </row>
    <row r="1395" spans="1:7" s="7" customFormat="1" hidden="1" outlineLevel="1" x14ac:dyDescent="0.15">
      <c r="A1395" s="2"/>
      <c r="B1395" s="61" t="s">
        <v>21</v>
      </c>
      <c r="C1395" s="62" t="s">
        <v>1357</v>
      </c>
      <c r="D1395" s="62" t="s">
        <v>211</v>
      </c>
      <c r="E1395" s="62">
        <v>0</v>
      </c>
      <c r="F1395" s="62"/>
      <c r="G1395" s="63" t="s">
        <v>1358</v>
      </c>
    </row>
    <row r="1396" spans="1:7" s="7" customFormat="1" hidden="1" outlineLevel="1" x14ac:dyDescent="0.15">
      <c r="A1396" s="2"/>
      <c r="B1396" s="47" t="s">
        <v>111</v>
      </c>
      <c r="C1396" s="62" t="s">
        <v>1164</v>
      </c>
      <c r="D1396" s="62" t="s">
        <v>211</v>
      </c>
      <c r="E1396" s="62">
        <v>0</v>
      </c>
      <c r="F1396" s="62"/>
      <c r="G1396" s="63" t="s">
        <v>1165</v>
      </c>
    </row>
    <row r="1397" spans="1:7" s="7" customFormat="1" hidden="1" outlineLevel="1" x14ac:dyDescent="0.15">
      <c r="A1397" s="2"/>
      <c r="B1397" s="47" t="s">
        <v>123</v>
      </c>
      <c r="C1397" s="62" t="s">
        <v>1133</v>
      </c>
      <c r="D1397" s="62" t="s">
        <v>211</v>
      </c>
      <c r="E1397" s="62">
        <v>0</v>
      </c>
      <c r="F1397" s="62"/>
      <c r="G1397" s="63" t="s">
        <v>1182</v>
      </c>
    </row>
    <row r="1398" spans="1:7" s="7" customFormat="1" hidden="1" outlineLevel="1" x14ac:dyDescent="0.15">
      <c r="A1398" s="2"/>
      <c r="B1398" s="50" t="s">
        <v>113</v>
      </c>
      <c r="C1398" s="62" t="s">
        <v>1187</v>
      </c>
      <c r="D1398" s="62" t="s">
        <v>211</v>
      </c>
      <c r="E1398" s="62">
        <v>0</v>
      </c>
      <c r="F1398" s="62"/>
      <c r="G1398" s="63"/>
    </row>
    <row r="1399" spans="1:7" s="7" customFormat="1" hidden="1" outlineLevel="1" x14ac:dyDescent="0.15">
      <c r="A1399" s="2"/>
      <c r="B1399" s="50" t="s">
        <v>114</v>
      </c>
      <c r="C1399" s="62" t="s">
        <v>1155</v>
      </c>
      <c r="D1399" s="62" t="s">
        <v>211</v>
      </c>
      <c r="E1399" s="62">
        <v>0</v>
      </c>
      <c r="F1399" s="62"/>
      <c r="G1399" s="63"/>
    </row>
    <row r="1400" spans="1:7" s="7" customFormat="1" hidden="1" outlineLevel="1" x14ac:dyDescent="0.15">
      <c r="A1400" s="2"/>
      <c r="B1400" s="50" t="s">
        <v>115</v>
      </c>
      <c r="C1400" s="64" t="s">
        <v>1188</v>
      </c>
      <c r="D1400" s="64" t="s">
        <v>211</v>
      </c>
      <c r="E1400" s="64">
        <v>0</v>
      </c>
      <c r="F1400" s="64"/>
      <c r="G1400" s="65"/>
    </row>
    <row r="1401" spans="1:7" s="7" customFormat="1" hidden="1" outlineLevel="1" x14ac:dyDescent="0.15">
      <c r="A1401" s="2"/>
      <c r="B1401" s="61" t="s">
        <v>18</v>
      </c>
      <c r="C1401" s="62" t="s">
        <v>1190</v>
      </c>
      <c r="D1401" s="62" t="s">
        <v>211</v>
      </c>
      <c r="E1401" s="62">
        <v>0</v>
      </c>
      <c r="F1401" s="62"/>
      <c r="G1401" s="63" t="s">
        <v>1081</v>
      </c>
    </row>
    <row r="1402" spans="1:7" s="7" customFormat="1" hidden="1" outlineLevel="1" x14ac:dyDescent="0.15">
      <c r="A1402" s="2"/>
      <c r="B1402" s="47" t="s">
        <v>136</v>
      </c>
      <c r="C1402" s="48" t="s">
        <v>1407</v>
      </c>
      <c r="D1402" s="48" t="s">
        <v>1087</v>
      </c>
      <c r="E1402" s="48">
        <v>0</v>
      </c>
      <c r="F1402" s="48"/>
      <c r="G1402" s="49"/>
    </row>
    <row r="1403" spans="1:7" s="7" customFormat="1" hidden="1" outlineLevel="1" x14ac:dyDescent="0.15">
      <c r="A1403" s="2"/>
      <c r="B1403" s="66" t="s">
        <v>158</v>
      </c>
      <c r="C1403" s="43" t="s">
        <v>1201</v>
      </c>
      <c r="D1403" s="43" t="s">
        <v>1087</v>
      </c>
      <c r="E1403" s="43">
        <v>0</v>
      </c>
      <c r="F1403" s="43"/>
      <c r="G1403" s="45"/>
    </row>
    <row r="1404" spans="1:7" s="7" customFormat="1" hidden="1" outlineLevel="1" x14ac:dyDescent="0.15">
      <c r="A1404" s="2"/>
      <c r="B1404" s="66" t="s">
        <v>138</v>
      </c>
      <c r="C1404" s="43" t="s">
        <v>1200</v>
      </c>
      <c r="D1404" s="43" t="s">
        <v>1087</v>
      </c>
      <c r="E1404" s="43">
        <v>0</v>
      </c>
      <c r="F1404" s="43"/>
      <c r="G1404" s="45"/>
    </row>
    <row r="1405" spans="1:7" s="7" customFormat="1" hidden="1" outlineLevel="1" x14ac:dyDescent="0.15">
      <c r="A1405" s="2"/>
      <c r="B1405" s="66" t="s">
        <v>139</v>
      </c>
      <c r="C1405" s="43" t="s">
        <v>1138</v>
      </c>
      <c r="D1405" s="43" t="s">
        <v>1087</v>
      </c>
      <c r="E1405" s="43">
        <v>0</v>
      </c>
      <c r="F1405" s="43"/>
      <c r="G1405" s="45"/>
    </row>
    <row r="1406" spans="1:7" s="7" customFormat="1" hidden="1" outlineLevel="1" x14ac:dyDescent="0.15">
      <c r="A1406" s="2"/>
      <c r="B1406" s="66" t="s">
        <v>140</v>
      </c>
      <c r="C1406" s="43" t="s">
        <v>1137</v>
      </c>
      <c r="D1406" s="43" t="s">
        <v>1087</v>
      </c>
      <c r="E1406" s="43">
        <v>0</v>
      </c>
      <c r="F1406" s="43"/>
      <c r="G1406" s="45"/>
    </row>
    <row r="1407" spans="1:7" s="7" customFormat="1" hidden="1" outlineLevel="1" x14ac:dyDescent="0.15">
      <c r="A1407" s="2"/>
      <c r="B1407" s="66" t="s">
        <v>141</v>
      </c>
      <c r="C1407" s="43" t="s">
        <v>1408</v>
      </c>
      <c r="D1407" s="43" t="s">
        <v>1169</v>
      </c>
      <c r="E1407" s="43">
        <v>0</v>
      </c>
      <c r="F1407" s="43"/>
      <c r="G1407" s="45"/>
    </row>
    <row r="1408" spans="1:7" s="7" customFormat="1" hidden="1" outlineLevel="1" x14ac:dyDescent="0.15">
      <c r="A1408" s="2"/>
      <c r="B1408" s="66" t="s">
        <v>142</v>
      </c>
      <c r="C1408" s="43" t="s">
        <v>1409</v>
      </c>
      <c r="D1408" s="43" t="s">
        <v>1169</v>
      </c>
      <c r="E1408" s="43">
        <v>0</v>
      </c>
      <c r="F1408" s="43"/>
      <c r="G1408" s="45"/>
    </row>
    <row r="1409" spans="1:7" s="7" customFormat="1" hidden="1" outlineLevel="1" x14ac:dyDescent="0.15">
      <c r="A1409" s="2"/>
      <c r="B1409" s="66" t="s">
        <v>159</v>
      </c>
      <c r="C1409" s="43" t="s">
        <v>1410</v>
      </c>
      <c r="D1409" s="43" t="s">
        <v>1169</v>
      </c>
      <c r="E1409" s="43">
        <v>0</v>
      </c>
      <c r="F1409" s="43"/>
      <c r="G1409" s="45"/>
    </row>
    <row r="1410" spans="1:7" s="7" customFormat="1" hidden="1" outlineLevel="1" x14ac:dyDescent="0.15">
      <c r="A1410" s="2"/>
      <c r="B1410" s="66" t="s">
        <v>143</v>
      </c>
      <c r="C1410" s="43" t="s">
        <v>1097</v>
      </c>
      <c r="D1410" s="43" t="s">
        <v>1087</v>
      </c>
      <c r="E1410" s="43">
        <v>0</v>
      </c>
      <c r="F1410" s="43"/>
      <c r="G1410" s="45"/>
    </row>
    <row r="1411" spans="1:7" s="7" customFormat="1" hidden="1" outlineLevel="1" x14ac:dyDescent="0.15">
      <c r="A1411" s="2"/>
      <c r="B1411" s="66" t="s">
        <v>144</v>
      </c>
      <c r="C1411" s="43" t="s">
        <v>1411</v>
      </c>
      <c r="D1411" s="43" t="s">
        <v>1087</v>
      </c>
      <c r="E1411" s="43">
        <v>0</v>
      </c>
      <c r="F1411" s="43"/>
      <c r="G1411" s="45"/>
    </row>
    <row r="1412" spans="1:7" s="7" customFormat="1" hidden="1" outlineLevel="1" x14ac:dyDescent="0.15">
      <c r="A1412" s="2"/>
      <c r="B1412" s="66" t="s">
        <v>145</v>
      </c>
      <c r="C1412" s="43" t="s">
        <v>1412</v>
      </c>
      <c r="D1412" s="43" t="s">
        <v>1087</v>
      </c>
      <c r="E1412" s="43">
        <v>0</v>
      </c>
      <c r="F1412" s="43"/>
      <c r="G1412" s="45"/>
    </row>
    <row r="1413" spans="1:7" s="7" customFormat="1" hidden="1" outlineLevel="1" x14ac:dyDescent="0.15">
      <c r="A1413" s="2"/>
      <c r="B1413" s="66" t="s">
        <v>146</v>
      </c>
      <c r="C1413" s="43" t="s">
        <v>1413</v>
      </c>
      <c r="D1413" s="43" t="s">
        <v>1087</v>
      </c>
      <c r="E1413" s="43">
        <v>0</v>
      </c>
      <c r="F1413" s="43"/>
      <c r="G1413" s="45"/>
    </row>
    <row r="1414" spans="1:7" s="7" customFormat="1" hidden="1" outlineLevel="1" x14ac:dyDescent="0.15">
      <c r="A1414" s="2"/>
      <c r="B1414" s="66" t="s">
        <v>147</v>
      </c>
      <c r="C1414" s="43" t="s">
        <v>1414</v>
      </c>
      <c r="D1414" s="43" t="s">
        <v>1403</v>
      </c>
      <c r="E1414" s="43" t="s">
        <v>1072</v>
      </c>
      <c r="F1414" s="43"/>
      <c r="G1414" s="45" t="s">
        <v>1415</v>
      </c>
    </row>
    <row r="1415" spans="1:7" s="7" customFormat="1" hidden="1" outlineLevel="1" x14ac:dyDescent="0.15">
      <c r="A1415" s="2"/>
      <c r="B1415" s="66" t="s">
        <v>148</v>
      </c>
      <c r="C1415" s="43" t="s">
        <v>1416</v>
      </c>
      <c r="D1415" s="43" t="s">
        <v>211</v>
      </c>
      <c r="E1415" s="43">
        <v>0</v>
      </c>
      <c r="F1415" s="43"/>
      <c r="G1415" s="45" t="s">
        <v>1571</v>
      </c>
    </row>
    <row r="1416" spans="1:7" s="7" customFormat="1" ht="18" hidden="1" outlineLevel="1" thickBot="1" x14ac:dyDescent="0.2">
      <c r="A1416" s="2"/>
      <c r="B1416" s="66" t="s">
        <v>134</v>
      </c>
      <c r="C1416" s="43" t="s">
        <v>1406</v>
      </c>
      <c r="D1416" s="43" t="s">
        <v>1092</v>
      </c>
      <c r="E1416" s="43" t="s">
        <v>1072</v>
      </c>
      <c r="F1416" s="43"/>
      <c r="G1416" s="45" t="s">
        <v>1304</v>
      </c>
    </row>
    <row r="1417" spans="1:7" s="7" customFormat="1" hidden="1" outlineLevel="1" x14ac:dyDescent="0.15">
      <c r="A1417" s="2"/>
      <c r="B1417" s="340" t="s">
        <v>15</v>
      </c>
      <c r="C1417" s="341"/>
      <c r="D1417" s="341"/>
      <c r="E1417" s="341"/>
      <c r="F1417" s="341"/>
      <c r="G1417" s="342"/>
    </row>
    <row r="1418" spans="1:7" s="7" customFormat="1" hidden="1" outlineLevel="1" x14ac:dyDescent="0.15">
      <c r="A1418" s="2"/>
      <c r="B1418" s="47"/>
      <c r="C1418" s="48"/>
      <c r="D1418" s="48"/>
      <c r="E1418" s="48"/>
      <c r="F1418" s="48"/>
      <c r="G1418" s="49"/>
    </row>
    <row r="1419" spans="1:7" s="7" customFormat="1" hidden="1" outlineLevel="1" x14ac:dyDescent="0.15">
      <c r="A1419" s="2" t="s">
        <v>62</v>
      </c>
      <c r="B1419" s="47">
        <v>1</v>
      </c>
      <c r="C1419" s="48" t="s">
        <v>21</v>
      </c>
      <c r="D1419" s="48" t="s">
        <v>123</v>
      </c>
      <c r="E1419" s="48" t="s">
        <v>113</v>
      </c>
      <c r="F1419" s="48" t="s">
        <v>115</v>
      </c>
      <c r="G1419" s="48" t="s">
        <v>114</v>
      </c>
    </row>
    <row r="1420" spans="1:7" s="7" customFormat="1" hidden="1" outlineLevel="1" x14ac:dyDescent="0.15">
      <c r="A1420" s="2"/>
      <c r="B1420" s="66">
        <v>2</v>
      </c>
      <c r="C1420" s="61" t="s">
        <v>109</v>
      </c>
      <c r="D1420" s="47" t="s">
        <v>111</v>
      </c>
      <c r="E1420" s="43"/>
      <c r="F1420" s="43"/>
      <c r="G1420" s="45"/>
    </row>
    <row r="1421" spans="1:7" ht="18" hidden="1" outlineLevel="1" thickBot="1" x14ac:dyDescent="0.2">
      <c r="A1421" s="2"/>
      <c r="B1421" s="66">
        <v>3</v>
      </c>
      <c r="C1421" s="43" t="s">
        <v>147</v>
      </c>
      <c r="D1421" s="43" t="s">
        <v>148</v>
      </c>
      <c r="E1421" s="54"/>
      <c r="F1421" s="54"/>
      <c r="G1421" s="55"/>
    </row>
    <row r="1422" spans="1:7" s="7" customFormat="1" ht="18" hidden="1" outlineLevel="1" thickBot="1" x14ac:dyDescent="0.2">
      <c r="A1422" s="1"/>
      <c r="B1422" s="1"/>
      <c r="C1422" s="1"/>
      <c r="D1422" s="1"/>
      <c r="E1422" s="1"/>
      <c r="F1422" s="1"/>
      <c r="G1422" s="1"/>
    </row>
    <row r="1423" spans="1:7" s="7" customFormat="1" ht="18" collapsed="1" thickBot="1" x14ac:dyDescent="0.2">
      <c r="A1423" s="2"/>
      <c r="B1423" s="39" t="s">
        <v>563</v>
      </c>
      <c r="C1423" s="108" t="s">
        <v>621</v>
      </c>
      <c r="D1423" s="40" t="s">
        <v>515</v>
      </c>
      <c r="E1423" s="21" t="s">
        <v>1629</v>
      </c>
      <c r="F1423" s="40" t="s">
        <v>567</v>
      </c>
      <c r="G1423" s="41"/>
    </row>
    <row r="1424" spans="1:7" s="7" customFormat="1" ht="18" hidden="1" outlineLevel="1" thickBot="1" x14ac:dyDescent="0.2">
      <c r="A1424" s="2"/>
      <c r="B1424" s="57" t="s">
        <v>570</v>
      </c>
      <c r="C1424" s="54"/>
      <c r="D1424" s="58" t="s">
        <v>568</v>
      </c>
      <c r="E1424" s="54" t="s">
        <v>615</v>
      </c>
      <c r="F1424" s="58"/>
      <c r="G1424" s="55"/>
    </row>
    <row r="1425" spans="1:7" s="7" customFormat="1" hidden="1" outlineLevel="1" x14ac:dyDescent="0.15">
      <c r="A1425" s="2"/>
      <c r="B1425" s="59" t="s">
        <v>0</v>
      </c>
      <c r="C1425" s="60" t="s">
        <v>1</v>
      </c>
      <c r="D1425" s="60" t="s">
        <v>2</v>
      </c>
      <c r="E1425" s="60"/>
      <c r="F1425" s="60" t="s">
        <v>3</v>
      </c>
      <c r="G1425" s="60" t="s">
        <v>4</v>
      </c>
    </row>
    <row r="1426" spans="1:7" s="7" customFormat="1" hidden="1" outlineLevel="1" x14ac:dyDescent="0.15">
      <c r="A1426" s="2"/>
      <c r="B1426" s="61" t="s">
        <v>22</v>
      </c>
      <c r="C1426" s="62" t="s">
        <v>1127</v>
      </c>
      <c r="D1426" s="62" t="s">
        <v>211</v>
      </c>
      <c r="E1426" s="62" t="s">
        <v>1141</v>
      </c>
      <c r="F1426" s="62"/>
      <c r="G1426" s="63" t="s">
        <v>1162</v>
      </c>
    </row>
    <row r="1427" spans="1:7" s="7" customFormat="1" hidden="1" outlineLevel="1" x14ac:dyDescent="0.15">
      <c r="A1427" s="2"/>
      <c r="B1427" s="61" t="s">
        <v>122</v>
      </c>
      <c r="C1427" s="62" t="s">
        <v>1163</v>
      </c>
      <c r="D1427" s="62" t="s">
        <v>211</v>
      </c>
      <c r="E1427" s="62">
        <v>0</v>
      </c>
      <c r="F1427" s="62"/>
      <c r="G1427" s="63" t="s">
        <v>1077</v>
      </c>
    </row>
    <row r="1428" spans="1:7" s="7" customFormat="1" hidden="1" outlineLevel="1" x14ac:dyDescent="0.15">
      <c r="A1428" s="2"/>
      <c r="B1428" s="61" t="s">
        <v>21</v>
      </c>
      <c r="C1428" s="62" t="s">
        <v>1357</v>
      </c>
      <c r="D1428" s="62" t="s">
        <v>211</v>
      </c>
      <c r="E1428" s="62">
        <v>0</v>
      </c>
      <c r="F1428" s="62"/>
      <c r="G1428" s="63" t="s">
        <v>1358</v>
      </c>
    </row>
    <row r="1429" spans="1:7" s="7" customFormat="1" hidden="1" outlineLevel="1" x14ac:dyDescent="0.15">
      <c r="A1429" s="2"/>
      <c r="B1429" s="47" t="s">
        <v>111</v>
      </c>
      <c r="C1429" s="62" t="s">
        <v>1164</v>
      </c>
      <c r="D1429" s="62" t="s">
        <v>211</v>
      </c>
      <c r="E1429" s="62">
        <v>0</v>
      </c>
      <c r="F1429" s="62"/>
      <c r="G1429" s="63" t="s">
        <v>1165</v>
      </c>
    </row>
    <row r="1430" spans="1:7" s="7" customFormat="1" hidden="1" outlineLevel="1" x14ac:dyDescent="0.15">
      <c r="A1430" s="2"/>
      <c r="B1430" s="47" t="s">
        <v>123</v>
      </c>
      <c r="C1430" s="62" t="s">
        <v>1133</v>
      </c>
      <c r="D1430" s="62" t="s">
        <v>211</v>
      </c>
      <c r="E1430" s="62">
        <v>0</v>
      </c>
      <c r="F1430" s="62"/>
      <c r="G1430" s="63" t="s">
        <v>1182</v>
      </c>
    </row>
    <row r="1431" spans="1:7" s="7" customFormat="1" hidden="1" outlineLevel="1" x14ac:dyDescent="0.15">
      <c r="A1431" s="2"/>
      <c r="B1431" s="50" t="s">
        <v>113</v>
      </c>
      <c r="C1431" s="62" t="s">
        <v>1187</v>
      </c>
      <c r="D1431" s="62" t="s">
        <v>211</v>
      </c>
      <c r="E1431" s="62">
        <v>0</v>
      </c>
      <c r="F1431" s="62"/>
      <c r="G1431" s="63"/>
    </row>
    <row r="1432" spans="1:7" s="7" customFormat="1" hidden="1" outlineLevel="1" x14ac:dyDescent="0.15">
      <c r="A1432" s="2"/>
      <c r="B1432" s="50" t="s">
        <v>114</v>
      </c>
      <c r="C1432" s="62" t="s">
        <v>1155</v>
      </c>
      <c r="D1432" s="62" t="s">
        <v>211</v>
      </c>
      <c r="E1432" s="62">
        <v>0</v>
      </c>
      <c r="F1432" s="62"/>
      <c r="G1432" s="63"/>
    </row>
    <row r="1433" spans="1:7" s="7" customFormat="1" hidden="1" outlineLevel="1" x14ac:dyDescent="0.15">
      <c r="A1433" s="2"/>
      <c r="B1433" s="61" t="s">
        <v>210</v>
      </c>
      <c r="C1433" s="62" t="s">
        <v>1191</v>
      </c>
      <c r="D1433" s="62" t="s">
        <v>211</v>
      </c>
      <c r="E1433" s="62">
        <v>0</v>
      </c>
      <c r="F1433" s="62"/>
      <c r="G1433" s="63" t="s">
        <v>1192</v>
      </c>
    </row>
    <row r="1434" spans="1:7" s="7" customFormat="1" hidden="1" outlineLevel="1" x14ac:dyDescent="0.15">
      <c r="A1434" s="2"/>
      <c r="B1434" s="50" t="s">
        <v>115</v>
      </c>
      <c r="C1434" s="62" t="s">
        <v>1188</v>
      </c>
      <c r="D1434" s="62" t="s">
        <v>211</v>
      </c>
      <c r="E1434" s="62">
        <v>0</v>
      </c>
      <c r="F1434" s="62"/>
      <c r="G1434" s="63"/>
    </row>
    <row r="1435" spans="1:7" s="7" customFormat="1" hidden="1" outlineLevel="1" x14ac:dyDescent="0.15">
      <c r="A1435" s="2"/>
      <c r="B1435" s="61" t="s">
        <v>18</v>
      </c>
      <c r="C1435" s="62" t="s">
        <v>1190</v>
      </c>
      <c r="D1435" s="62" t="s">
        <v>211</v>
      </c>
      <c r="E1435" s="62">
        <v>0</v>
      </c>
      <c r="F1435" s="62"/>
      <c r="G1435" s="63" t="s">
        <v>1081</v>
      </c>
    </row>
    <row r="1436" spans="1:7" s="7" customFormat="1" hidden="1" outlineLevel="1" x14ac:dyDescent="0.15">
      <c r="A1436" s="2"/>
      <c r="B1436" s="47" t="s">
        <v>136</v>
      </c>
      <c r="C1436" s="64" t="s">
        <v>1407</v>
      </c>
      <c r="D1436" s="64" t="s">
        <v>1087</v>
      </c>
      <c r="E1436" s="64">
        <v>0</v>
      </c>
      <c r="F1436" s="64"/>
      <c r="G1436" s="65"/>
    </row>
    <row r="1437" spans="1:7" s="7" customFormat="1" hidden="1" outlineLevel="1" x14ac:dyDescent="0.15">
      <c r="A1437" s="2"/>
      <c r="B1437" s="66" t="s">
        <v>137</v>
      </c>
      <c r="C1437" s="62" t="s">
        <v>1201</v>
      </c>
      <c r="D1437" s="62" t="s">
        <v>1087</v>
      </c>
      <c r="E1437" s="62">
        <v>0</v>
      </c>
      <c r="F1437" s="62"/>
      <c r="G1437" s="63"/>
    </row>
    <row r="1438" spans="1:7" s="7" customFormat="1" hidden="1" outlineLevel="1" x14ac:dyDescent="0.15">
      <c r="A1438" s="2"/>
      <c r="B1438" s="66" t="s">
        <v>138</v>
      </c>
      <c r="C1438" s="48" t="s">
        <v>1200</v>
      </c>
      <c r="D1438" s="48" t="s">
        <v>1087</v>
      </c>
      <c r="E1438" s="48">
        <v>0</v>
      </c>
      <c r="F1438" s="48"/>
      <c r="G1438" s="49"/>
    </row>
    <row r="1439" spans="1:7" s="7" customFormat="1" hidden="1" outlineLevel="1" x14ac:dyDescent="0.15">
      <c r="A1439" s="2"/>
      <c r="B1439" s="66" t="s">
        <v>139</v>
      </c>
      <c r="C1439" s="43" t="s">
        <v>1138</v>
      </c>
      <c r="D1439" s="43" t="s">
        <v>1087</v>
      </c>
      <c r="E1439" s="43">
        <v>0</v>
      </c>
      <c r="F1439" s="43"/>
      <c r="G1439" s="45"/>
    </row>
    <row r="1440" spans="1:7" s="7" customFormat="1" hidden="1" outlineLevel="1" x14ac:dyDescent="0.15">
      <c r="A1440" s="2"/>
      <c r="B1440" s="66" t="s">
        <v>140</v>
      </c>
      <c r="C1440" s="43" t="s">
        <v>1137</v>
      </c>
      <c r="D1440" s="43" t="s">
        <v>1087</v>
      </c>
      <c r="E1440" s="43">
        <v>0</v>
      </c>
      <c r="F1440" s="43"/>
      <c r="G1440" s="45"/>
    </row>
    <row r="1441" spans="1:15" s="7" customFormat="1" hidden="1" outlineLevel="1" x14ac:dyDescent="0.15">
      <c r="A1441" s="2"/>
      <c r="B1441" s="66" t="s">
        <v>141</v>
      </c>
      <c r="C1441" s="43" t="s">
        <v>1408</v>
      </c>
      <c r="D1441" s="43" t="s">
        <v>1169</v>
      </c>
      <c r="E1441" s="43">
        <v>0</v>
      </c>
      <c r="F1441" s="43"/>
      <c r="G1441" s="45"/>
    </row>
    <row r="1442" spans="1:15" s="7" customFormat="1" hidden="1" outlineLevel="1" x14ac:dyDescent="0.15">
      <c r="A1442" s="2"/>
      <c r="B1442" s="66" t="s">
        <v>142</v>
      </c>
      <c r="C1442" s="43" t="s">
        <v>1409</v>
      </c>
      <c r="D1442" s="43" t="s">
        <v>1169</v>
      </c>
      <c r="E1442" s="43">
        <v>0</v>
      </c>
      <c r="F1442" s="43"/>
      <c r="G1442" s="45"/>
    </row>
    <row r="1443" spans="1:15" s="7" customFormat="1" hidden="1" outlineLevel="1" x14ac:dyDescent="0.15">
      <c r="A1443" s="2"/>
      <c r="B1443" s="66" t="s">
        <v>159</v>
      </c>
      <c r="C1443" s="43" t="s">
        <v>1410</v>
      </c>
      <c r="D1443" s="43" t="s">
        <v>1169</v>
      </c>
      <c r="E1443" s="43">
        <v>0</v>
      </c>
      <c r="F1443" s="43"/>
      <c r="G1443" s="45"/>
    </row>
    <row r="1444" spans="1:15" s="7" customFormat="1" hidden="1" outlineLevel="1" x14ac:dyDescent="0.15">
      <c r="A1444" s="2"/>
      <c r="B1444" s="66" t="s">
        <v>143</v>
      </c>
      <c r="C1444" s="43" t="s">
        <v>1097</v>
      </c>
      <c r="D1444" s="43" t="s">
        <v>1087</v>
      </c>
      <c r="E1444" s="43">
        <v>0</v>
      </c>
      <c r="F1444" s="43"/>
      <c r="G1444" s="45"/>
    </row>
    <row r="1445" spans="1:15" s="7" customFormat="1" hidden="1" outlineLevel="1" x14ac:dyDescent="0.15">
      <c r="A1445" s="2"/>
      <c r="B1445" s="66" t="s">
        <v>144</v>
      </c>
      <c r="C1445" s="43" t="s">
        <v>1411</v>
      </c>
      <c r="D1445" s="43" t="s">
        <v>1087</v>
      </c>
      <c r="E1445" s="43">
        <v>0</v>
      </c>
      <c r="F1445" s="43"/>
      <c r="G1445" s="45"/>
    </row>
    <row r="1446" spans="1:15" s="7" customFormat="1" hidden="1" outlineLevel="1" x14ac:dyDescent="0.15">
      <c r="A1446" s="2"/>
      <c r="B1446" s="66" t="s">
        <v>145</v>
      </c>
      <c r="C1446" s="43" t="s">
        <v>1412</v>
      </c>
      <c r="D1446" s="43" t="s">
        <v>1087</v>
      </c>
      <c r="E1446" s="43">
        <v>0</v>
      </c>
      <c r="F1446" s="43"/>
      <c r="G1446" s="45"/>
    </row>
    <row r="1447" spans="1:15" s="7" customFormat="1" hidden="1" outlineLevel="1" x14ac:dyDescent="0.15">
      <c r="A1447" s="2"/>
      <c r="B1447" s="66" t="s">
        <v>146</v>
      </c>
      <c r="C1447" s="43" t="s">
        <v>1413</v>
      </c>
      <c r="D1447" s="43" t="s">
        <v>1087</v>
      </c>
      <c r="E1447" s="43">
        <v>0</v>
      </c>
      <c r="F1447" s="43"/>
      <c r="G1447" s="45"/>
    </row>
    <row r="1448" spans="1:15" s="7" customFormat="1" hidden="1" outlineLevel="1" x14ac:dyDescent="0.15">
      <c r="A1448" s="2"/>
      <c r="B1448" s="66" t="s">
        <v>147</v>
      </c>
      <c r="C1448" s="43" t="s">
        <v>1414</v>
      </c>
      <c r="D1448" s="43" t="s">
        <v>1403</v>
      </c>
      <c r="E1448" s="43" t="s">
        <v>1072</v>
      </c>
      <c r="F1448" s="43"/>
      <c r="G1448" s="45" t="s">
        <v>1415</v>
      </c>
    </row>
    <row r="1449" spans="1:15" s="7" customFormat="1" hidden="1" outlineLevel="1" x14ac:dyDescent="0.15">
      <c r="A1449" s="2"/>
      <c r="B1449" s="66" t="s">
        <v>148</v>
      </c>
      <c r="C1449" s="43" t="s">
        <v>1416</v>
      </c>
      <c r="D1449" s="43" t="s">
        <v>211</v>
      </c>
      <c r="E1449" s="43">
        <v>0</v>
      </c>
      <c r="F1449" s="43"/>
      <c r="G1449" s="45" t="s">
        <v>1571</v>
      </c>
    </row>
    <row r="1450" spans="1:15" s="7" customFormat="1" ht="18" hidden="1" outlineLevel="1" thickBot="1" x14ac:dyDescent="0.2">
      <c r="A1450" s="2"/>
      <c r="B1450" s="66" t="s">
        <v>134</v>
      </c>
      <c r="C1450" s="43" t="s">
        <v>1406</v>
      </c>
      <c r="D1450" s="43" t="s">
        <v>1092</v>
      </c>
      <c r="E1450" s="43" t="s">
        <v>1072</v>
      </c>
      <c r="F1450" s="43"/>
      <c r="G1450" s="45" t="s">
        <v>1304</v>
      </c>
    </row>
    <row r="1451" spans="1:15" s="7" customFormat="1" hidden="1" outlineLevel="1" x14ac:dyDescent="0.15">
      <c r="A1451" s="2"/>
      <c r="B1451" s="340" t="s">
        <v>15</v>
      </c>
      <c r="C1451" s="341"/>
      <c r="D1451" s="341"/>
      <c r="E1451" s="341"/>
      <c r="F1451" s="341"/>
      <c r="G1451" s="342"/>
      <c r="H1451" s="50" t="s">
        <v>114</v>
      </c>
    </row>
    <row r="1452" spans="1:15" s="7" customFormat="1" hidden="1" outlineLevel="1" x14ac:dyDescent="0.15">
      <c r="A1452" s="2" t="s">
        <v>62</v>
      </c>
      <c r="B1452" s="47">
        <v>1</v>
      </c>
      <c r="C1452" s="48" t="s">
        <v>22</v>
      </c>
      <c r="D1452" s="48" t="s">
        <v>21</v>
      </c>
      <c r="E1452" s="48" t="s">
        <v>123</v>
      </c>
      <c r="F1452" s="43" t="s">
        <v>113</v>
      </c>
      <c r="G1452" s="43" t="s">
        <v>115</v>
      </c>
    </row>
    <row r="1453" spans="1:15" s="7" customFormat="1" hidden="1" outlineLevel="1" x14ac:dyDescent="0.15">
      <c r="A1453" s="2"/>
      <c r="B1453" s="66">
        <v>2</v>
      </c>
      <c r="C1453" s="43" t="s">
        <v>147</v>
      </c>
      <c r="D1453" s="43" t="s">
        <v>148</v>
      </c>
      <c r="E1453" s="43"/>
      <c r="F1453" s="43"/>
      <c r="G1453" s="45"/>
    </row>
    <row r="1454" spans="1:15" ht="18" hidden="1" outlineLevel="1" thickBot="1" x14ac:dyDescent="0.2">
      <c r="A1454" s="2"/>
      <c r="B1454" s="53"/>
      <c r="C1454" s="54"/>
      <c r="D1454" s="54"/>
      <c r="E1454" s="54"/>
      <c r="F1454" s="54"/>
      <c r="G1454" s="55"/>
    </row>
    <row r="1455" spans="1:15" hidden="1" outlineLevel="1" x14ac:dyDescent="0.15"/>
    <row r="1456" spans="1:15" s="56" customFormat="1" ht="18" hidden="1" outlineLevel="1" thickBot="1" x14ac:dyDescent="0.4">
      <c r="A1456" s="1"/>
      <c r="B1456" s="1"/>
      <c r="C1456" s="1"/>
      <c r="D1456" s="1"/>
      <c r="E1456" s="1"/>
      <c r="F1456" s="1"/>
      <c r="G1456" s="1"/>
      <c r="H1456" s="7"/>
      <c r="I1456" s="7"/>
      <c r="J1456" s="7"/>
      <c r="K1456" s="7"/>
      <c r="L1456" s="7"/>
      <c r="M1456" s="7"/>
      <c r="N1456" s="7"/>
      <c r="O1456" s="7"/>
    </row>
    <row r="1457" spans="1:15" s="56" customFormat="1" ht="18" collapsed="1" thickBot="1" x14ac:dyDescent="0.4">
      <c r="A1457" s="2"/>
      <c r="B1457" s="39" t="s">
        <v>563</v>
      </c>
      <c r="C1457" s="108" t="s">
        <v>619</v>
      </c>
      <c r="D1457" s="40" t="s">
        <v>515</v>
      </c>
      <c r="E1457" s="21" t="s">
        <v>1628</v>
      </c>
      <c r="F1457" s="40" t="s">
        <v>567</v>
      </c>
      <c r="G1457" s="41"/>
      <c r="H1457" s="7"/>
      <c r="I1457" s="7"/>
      <c r="J1457" s="7"/>
      <c r="K1457" s="7"/>
      <c r="L1457" s="7"/>
      <c r="M1457" s="7"/>
      <c r="N1457" s="7"/>
      <c r="O1457" s="7"/>
    </row>
    <row r="1458" spans="1:15" s="56" customFormat="1" ht="18" hidden="1" outlineLevel="1" thickBot="1" x14ac:dyDescent="0.4">
      <c r="A1458" s="2"/>
      <c r="B1458" s="42" t="s">
        <v>570</v>
      </c>
      <c r="C1458" s="43"/>
      <c r="D1458" s="44" t="s">
        <v>568</v>
      </c>
      <c r="E1458" s="43" t="s">
        <v>615</v>
      </c>
      <c r="F1458" s="44"/>
      <c r="G1458" s="45"/>
      <c r="H1458" s="7"/>
      <c r="I1458" s="7"/>
      <c r="J1458" s="7"/>
      <c r="K1458" s="7"/>
      <c r="L1458" s="7"/>
      <c r="M1458" s="7"/>
      <c r="N1458" s="7"/>
      <c r="O1458" s="7"/>
    </row>
    <row r="1459" spans="1:15" s="56" customFormat="1" hidden="1" outlineLevel="1" x14ac:dyDescent="0.35">
      <c r="A1459" s="2"/>
      <c r="B1459" s="39" t="s">
        <v>0</v>
      </c>
      <c r="C1459" s="40" t="s">
        <v>1</v>
      </c>
      <c r="D1459" s="40" t="s">
        <v>2</v>
      </c>
      <c r="E1459" s="40"/>
      <c r="F1459" s="40" t="s">
        <v>3</v>
      </c>
      <c r="G1459" s="46" t="s">
        <v>4</v>
      </c>
      <c r="H1459" s="7"/>
      <c r="I1459" s="7"/>
      <c r="J1459" s="7"/>
      <c r="K1459" s="7"/>
      <c r="L1459" s="7"/>
      <c r="M1459" s="7"/>
      <c r="N1459" s="7"/>
      <c r="O1459" s="7"/>
    </row>
    <row r="1460" spans="1:15" s="56" customFormat="1" hidden="1" outlineLevel="1" x14ac:dyDescent="0.35">
      <c r="A1460" s="2"/>
      <c r="B1460" s="67" t="s">
        <v>22</v>
      </c>
      <c r="C1460" s="48" t="s">
        <v>1127</v>
      </c>
      <c r="D1460" s="48" t="s">
        <v>211</v>
      </c>
      <c r="E1460" s="48" t="s">
        <v>1141</v>
      </c>
      <c r="F1460" s="48"/>
      <c r="G1460" s="49" t="s">
        <v>1162</v>
      </c>
      <c r="H1460" s="7"/>
      <c r="I1460" s="7"/>
      <c r="J1460" s="7"/>
      <c r="K1460" s="7"/>
      <c r="L1460" s="7"/>
      <c r="M1460" s="7"/>
      <c r="N1460" s="7"/>
      <c r="O1460" s="7"/>
    </row>
    <row r="1461" spans="1:15" s="56" customFormat="1" hidden="1" outlineLevel="1" x14ac:dyDescent="0.35">
      <c r="A1461" s="2"/>
      <c r="B1461" s="67" t="s">
        <v>21</v>
      </c>
      <c r="C1461" s="48" t="s">
        <v>1357</v>
      </c>
      <c r="D1461" s="48" t="s">
        <v>211</v>
      </c>
      <c r="E1461" s="48">
        <v>0</v>
      </c>
      <c r="F1461" s="48"/>
      <c r="G1461" s="49" t="s">
        <v>1358</v>
      </c>
      <c r="H1461" s="7"/>
      <c r="I1461" s="7"/>
      <c r="J1461" s="7"/>
      <c r="K1461" s="7"/>
      <c r="L1461" s="7"/>
      <c r="M1461" s="7"/>
      <c r="N1461" s="7"/>
      <c r="O1461" s="7"/>
    </row>
    <row r="1462" spans="1:15" s="56" customFormat="1" hidden="1" outlineLevel="1" x14ac:dyDescent="0.35">
      <c r="A1462" s="2"/>
      <c r="B1462" s="47" t="s">
        <v>6</v>
      </c>
      <c r="C1462" s="48" t="s">
        <v>1163</v>
      </c>
      <c r="D1462" s="48" t="s">
        <v>211</v>
      </c>
      <c r="E1462" s="48">
        <v>0</v>
      </c>
      <c r="F1462" s="48"/>
      <c r="G1462" s="49" t="s">
        <v>1077</v>
      </c>
      <c r="H1462" s="7"/>
      <c r="I1462" s="7"/>
      <c r="J1462" s="7"/>
      <c r="K1462" s="7"/>
      <c r="L1462" s="7"/>
      <c r="M1462" s="7"/>
      <c r="N1462" s="7"/>
      <c r="O1462" s="7"/>
    </row>
    <row r="1463" spans="1:15" s="56" customFormat="1" hidden="1" outlineLevel="1" x14ac:dyDescent="0.35">
      <c r="A1463" s="2"/>
      <c r="B1463" s="47" t="s">
        <v>111</v>
      </c>
      <c r="C1463" s="48" t="s">
        <v>1164</v>
      </c>
      <c r="D1463" s="48" t="s">
        <v>211</v>
      </c>
      <c r="E1463" s="48">
        <v>0</v>
      </c>
      <c r="F1463" s="48"/>
      <c r="G1463" s="49" t="s">
        <v>1165</v>
      </c>
      <c r="H1463" s="7"/>
      <c r="I1463" s="7"/>
      <c r="J1463" s="7"/>
      <c r="K1463" s="7"/>
      <c r="L1463" s="7"/>
      <c r="M1463" s="7"/>
      <c r="N1463" s="7"/>
      <c r="O1463" s="7"/>
    </row>
    <row r="1464" spans="1:15" s="56" customFormat="1" hidden="1" outlineLevel="1" x14ac:dyDescent="0.35">
      <c r="A1464" s="2"/>
      <c r="B1464" s="47" t="s">
        <v>123</v>
      </c>
      <c r="C1464" s="48" t="s">
        <v>1133</v>
      </c>
      <c r="D1464" s="48" t="s">
        <v>211</v>
      </c>
      <c r="E1464" s="48">
        <v>0</v>
      </c>
      <c r="F1464" s="48"/>
      <c r="G1464" s="49" t="s">
        <v>1182</v>
      </c>
      <c r="H1464" s="7"/>
      <c r="I1464" s="7"/>
      <c r="J1464" s="7"/>
      <c r="K1464" s="7"/>
      <c r="L1464" s="7"/>
      <c r="M1464" s="7"/>
      <c r="N1464" s="7"/>
      <c r="O1464" s="7"/>
    </row>
    <row r="1465" spans="1:15" s="56" customFormat="1" hidden="1" outlineLevel="1" x14ac:dyDescent="0.35">
      <c r="A1465" s="2"/>
      <c r="B1465" s="50" t="s">
        <v>113</v>
      </c>
      <c r="C1465" s="51" t="s">
        <v>1187</v>
      </c>
      <c r="D1465" s="51" t="s">
        <v>211</v>
      </c>
      <c r="E1465" s="51">
        <v>0</v>
      </c>
      <c r="F1465" s="51"/>
      <c r="G1465" s="52"/>
      <c r="H1465" s="7"/>
      <c r="I1465" s="7"/>
      <c r="J1465" s="7"/>
      <c r="K1465" s="7"/>
      <c r="L1465" s="7"/>
      <c r="M1465" s="7"/>
      <c r="N1465" s="7"/>
      <c r="O1465" s="7"/>
    </row>
    <row r="1466" spans="1:15" s="56" customFormat="1" hidden="1" outlineLevel="1" x14ac:dyDescent="0.35">
      <c r="A1466" s="2"/>
      <c r="B1466" s="47" t="s">
        <v>18</v>
      </c>
      <c r="C1466" s="48" t="s">
        <v>1190</v>
      </c>
      <c r="D1466" s="48" t="s">
        <v>211</v>
      </c>
      <c r="E1466" s="48">
        <v>0</v>
      </c>
      <c r="F1466" s="48"/>
      <c r="G1466" s="49" t="s">
        <v>1081</v>
      </c>
      <c r="H1466" s="7"/>
      <c r="I1466" s="7"/>
      <c r="J1466" s="7"/>
      <c r="K1466" s="7"/>
      <c r="L1466" s="7"/>
      <c r="M1466" s="7"/>
      <c r="N1466" s="7"/>
      <c r="O1466" s="7"/>
    </row>
    <row r="1467" spans="1:15" s="56" customFormat="1" hidden="1" outlineLevel="1" x14ac:dyDescent="0.35">
      <c r="A1467" s="2"/>
      <c r="B1467" s="50" t="s">
        <v>114</v>
      </c>
      <c r="C1467" s="51" t="s">
        <v>1155</v>
      </c>
      <c r="D1467" s="51" t="s">
        <v>211</v>
      </c>
      <c r="E1467" s="51">
        <v>0</v>
      </c>
      <c r="F1467" s="51"/>
      <c r="G1467" s="52"/>
      <c r="H1467" s="7"/>
      <c r="I1467" s="7"/>
      <c r="J1467" s="7"/>
      <c r="K1467" s="7"/>
      <c r="L1467" s="7"/>
      <c r="M1467" s="7"/>
      <c r="N1467" s="7"/>
      <c r="O1467" s="7"/>
    </row>
    <row r="1468" spans="1:15" s="56" customFormat="1" hidden="1" outlineLevel="1" x14ac:dyDescent="0.35">
      <c r="A1468" s="2"/>
      <c r="B1468" s="50" t="s">
        <v>118</v>
      </c>
      <c r="C1468" s="51" t="s">
        <v>1188</v>
      </c>
      <c r="D1468" s="51" t="s">
        <v>211</v>
      </c>
      <c r="E1468" s="51">
        <v>0</v>
      </c>
      <c r="F1468" s="51"/>
      <c r="G1468" s="52"/>
      <c r="H1468" s="7"/>
      <c r="I1468" s="7"/>
      <c r="J1468" s="7"/>
      <c r="K1468" s="7"/>
      <c r="L1468" s="7"/>
      <c r="M1468" s="7"/>
      <c r="N1468" s="7"/>
      <c r="O1468" s="7"/>
    </row>
    <row r="1469" spans="1:15" s="56" customFormat="1" hidden="1" outlineLevel="1" x14ac:dyDescent="0.35">
      <c r="A1469" s="2"/>
      <c r="B1469" s="47" t="s">
        <v>150</v>
      </c>
      <c r="C1469" s="48" t="s">
        <v>1417</v>
      </c>
      <c r="D1469" s="48" t="s">
        <v>1087</v>
      </c>
      <c r="E1469" s="48">
        <v>0</v>
      </c>
      <c r="F1469" s="48"/>
      <c r="G1469" s="49"/>
      <c r="H1469" s="7"/>
      <c r="I1469" s="7"/>
      <c r="J1469" s="7"/>
      <c r="K1469" s="7"/>
      <c r="L1469" s="7"/>
      <c r="M1469" s="7"/>
      <c r="N1469" s="7"/>
      <c r="O1469" s="7"/>
    </row>
    <row r="1470" spans="1:15" s="56" customFormat="1" hidden="1" outlineLevel="1" x14ac:dyDescent="0.35">
      <c r="A1470" s="2"/>
      <c r="B1470" s="47" t="s">
        <v>151</v>
      </c>
      <c r="C1470" s="48" t="s">
        <v>1418</v>
      </c>
      <c r="D1470" s="48" t="s">
        <v>1087</v>
      </c>
      <c r="E1470" s="48">
        <v>0</v>
      </c>
      <c r="F1470" s="48"/>
      <c r="G1470" s="49"/>
      <c r="H1470" s="7"/>
      <c r="I1470" s="7"/>
      <c r="J1470" s="7"/>
      <c r="K1470" s="7"/>
      <c r="L1470" s="7"/>
      <c r="M1470" s="7"/>
      <c r="N1470" s="7"/>
      <c r="O1470" s="7"/>
    </row>
    <row r="1471" spans="1:15" s="56" customFormat="1" hidden="1" outlineLevel="1" x14ac:dyDescent="0.35">
      <c r="A1471" s="2"/>
      <c r="B1471" s="47" t="s">
        <v>152</v>
      </c>
      <c r="C1471" s="48" t="s">
        <v>1378</v>
      </c>
      <c r="D1471" s="48" t="s">
        <v>1169</v>
      </c>
      <c r="E1471" s="48">
        <v>0</v>
      </c>
      <c r="F1471" s="48"/>
      <c r="G1471" s="49" t="s">
        <v>1379</v>
      </c>
      <c r="H1471" s="7"/>
      <c r="I1471" s="7"/>
      <c r="J1471" s="7"/>
      <c r="K1471" s="7"/>
      <c r="L1471" s="7"/>
      <c r="M1471" s="7"/>
      <c r="N1471" s="7"/>
      <c r="O1471" s="7"/>
    </row>
    <row r="1472" spans="1:15" s="56" customFormat="1" hidden="1" outlineLevel="1" x14ac:dyDescent="0.35">
      <c r="A1472" s="2"/>
      <c r="B1472" s="47" t="s">
        <v>131</v>
      </c>
      <c r="C1472" s="48" t="s">
        <v>1401</v>
      </c>
      <c r="D1472" s="48" t="s">
        <v>1169</v>
      </c>
      <c r="E1472" s="48">
        <v>0</v>
      </c>
      <c r="F1472" s="48"/>
      <c r="G1472" s="49"/>
      <c r="H1472" s="7"/>
      <c r="I1472" s="7"/>
      <c r="J1472" s="7"/>
      <c r="K1472" s="7"/>
      <c r="L1472" s="7"/>
      <c r="M1472" s="7"/>
      <c r="N1472" s="7"/>
      <c r="O1472" s="7"/>
    </row>
    <row r="1473" spans="1:15" s="7" customFormat="1" hidden="1" outlineLevel="1" x14ac:dyDescent="0.15">
      <c r="A1473" s="2"/>
      <c r="B1473" s="47" t="s">
        <v>153</v>
      </c>
      <c r="C1473" s="48" t="s">
        <v>1143</v>
      </c>
      <c r="D1473" s="48" t="s">
        <v>1169</v>
      </c>
      <c r="E1473" s="48">
        <v>0</v>
      </c>
      <c r="F1473" s="48"/>
      <c r="G1473" s="49"/>
    </row>
    <row r="1474" spans="1:15" s="56" customFormat="1" hidden="1" outlineLevel="1" x14ac:dyDescent="0.35">
      <c r="A1474" s="2"/>
      <c r="B1474" s="47" t="s">
        <v>1630</v>
      </c>
      <c r="C1474" s="48" t="s">
        <v>1796</v>
      </c>
      <c r="D1474" s="48" t="s">
        <v>1169</v>
      </c>
      <c r="E1474" s="48">
        <v>0</v>
      </c>
      <c r="F1474" s="48"/>
      <c r="G1474" s="49"/>
      <c r="H1474" s="7"/>
      <c r="I1474" s="7"/>
      <c r="J1474" s="7"/>
      <c r="K1474" s="7"/>
      <c r="L1474" s="7"/>
      <c r="M1474" s="7"/>
      <c r="N1474" s="7"/>
      <c r="O1474" s="7"/>
    </row>
    <row r="1475" spans="1:15" s="56" customFormat="1" ht="18" hidden="1" outlineLevel="1" thickBot="1" x14ac:dyDescent="0.4">
      <c r="A1475" s="2"/>
      <c r="B1475" s="53"/>
      <c r="C1475" s="54"/>
      <c r="D1475" s="54"/>
      <c r="E1475" s="54"/>
      <c r="F1475" s="54"/>
      <c r="G1475" s="55"/>
      <c r="H1475" s="7"/>
      <c r="I1475" s="7"/>
      <c r="J1475" s="7"/>
      <c r="K1475" s="7"/>
      <c r="L1475" s="7"/>
      <c r="M1475" s="7"/>
      <c r="N1475" s="7"/>
      <c r="O1475" s="7"/>
    </row>
    <row r="1476" spans="1:15" s="56" customFormat="1" hidden="1" outlineLevel="1" x14ac:dyDescent="0.35">
      <c r="A1476" s="2"/>
      <c r="B1476" s="340" t="s">
        <v>15</v>
      </c>
      <c r="C1476" s="341"/>
      <c r="D1476" s="341"/>
      <c r="E1476" s="341"/>
      <c r="F1476" s="341"/>
      <c r="G1476" s="342"/>
      <c r="H1476" s="7"/>
      <c r="I1476" s="7"/>
      <c r="J1476" s="7"/>
      <c r="K1476" s="7"/>
      <c r="L1476" s="7"/>
      <c r="M1476" s="7"/>
      <c r="N1476" s="7"/>
      <c r="O1476" s="7"/>
    </row>
    <row r="1477" spans="1:15" s="56" customFormat="1" hidden="1" outlineLevel="1" x14ac:dyDescent="0.35">
      <c r="A1477" s="2"/>
      <c r="B1477" s="47">
        <v>1</v>
      </c>
      <c r="C1477" s="48" t="s">
        <v>22</v>
      </c>
      <c r="D1477" s="48" t="s">
        <v>113</v>
      </c>
      <c r="E1477" s="48" t="s">
        <v>114</v>
      </c>
      <c r="F1477" s="48" t="s">
        <v>118</v>
      </c>
      <c r="G1477" s="49"/>
      <c r="H1477" s="7"/>
      <c r="I1477" s="7"/>
      <c r="J1477" s="7"/>
      <c r="K1477" s="7"/>
      <c r="L1477" s="7"/>
      <c r="M1477" s="7"/>
      <c r="N1477" s="7"/>
      <c r="O1477" s="7"/>
    </row>
    <row r="1478" spans="1:15" s="56" customFormat="1" hidden="1" outlineLevel="1" x14ac:dyDescent="0.35">
      <c r="A1478" s="2"/>
      <c r="B1478" s="47">
        <v>2</v>
      </c>
      <c r="C1478" s="48" t="s">
        <v>22</v>
      </c>
      <c r="D1478" s="48" t="s">
        <v>109</v>
      </c>
      <c r="E1478" s="48" t="s">
        <v>111</v>
      </c>
      <c r="F1478" s="48" t="s">
        <v>123</v>
      </c>
      <c r="G1478" s="49"/>
      <c r="H1478" s="7"/>
      <c r="I1478" s="7"/>
      <c r="J1478" s="7"/>
      <c r="K1478" s="7"/>
      <c r="L1478" s="7"/>
      <c r="M1478" s="7"/>
      <c r="N1478" s="7"/>
      <c r="O1478" s="7"/>
    </row>
    <row r="1479" spans="1:15" ht="18" hidden="1" outlineLevel="1" thickBot="1" x14ac:dyDescent="0.2">
      <c r="A1479" s="2"/>
      <c r="B1479" s="53"/>
      <c r="C1479" s="54"/>
      <c r="D1479" s="54"/>
      <c r="E1479" s="54"/>
      <c r="F1479" s="54"/>
      <c r="G1479" s="55"/>
    </row>
    <row r="1480" spans="1:15" s="56" customFormat="1" ht="18" hidden="1" outlineLevel="1" thickBot="1" x14ac:dyDescent="0.4">
      <c r="A1480" s="1"/>
      <c r="B1480" s="1"/>
      <c r="C1480" s="1"/>
      <c r="D1480" s="1"/>
      <c r="E1480" s="1"/>
      <c r="F1480" s="1"/>
      <c r="G1480" s="1"/>
      <c r="H1480" s="7"/>
      <c r="I1480" s="7"/>
      <c r="J1480" s="7"/>
      <c r="K1480" s="7"/>
      <c r="L1480" s="7"/>
      <c r="M1480" s="7"/>
      <c r="N1480" s="7"/>
      <c r="O1480" s="7"/>
    </row>
    <row r="1481" spans="1:15" s="56" customFormat="1" ht="18" collapsed="1" thickBot="1" x14ac:dyDescent="0.4">
      <c r="A1481" s="2"/>
      <c r="B1481" s="39" t="s">
        <v>563</v>
      </c>
      <c r="C1481" s="108" t="s">
        <v>620</v>
      </c>
      <c r="D1481" s="40" t="s">
        <v>515</v>
      </c>
      <c r="E1481" s="21" t="s">
        <v>1627</v>
      </c>
      <c r="F1481" s="40" t="s">
        <v>567</v>
      </c>
      <c r="G1481" s="41"/>
      <c r="H1481" s="7"/>
      <c r="I1481" s="7"/>
      <c r="J1481" s="7"/>
      <c r="K1481" s="7"/>
      <c r="L1481" s="7"/>
      <c r="M1481" s="7"/>
      <c r="N1481" s="7"/>
      <c r="O1481" s="7"/>
    </row>
    <row r="1482" spans="1:15" s="56" customFormat="1" ht="18" hidden="1" outlineLevel="1" thickBot="1" x14ac:dyDescent="0.4">
      <c r="A1482" s="2"/>
      <c r="B1482" s="42" t="s">
        <v>570</v>
      </c>
      <c r="C1482" s="43"/>
      <c r="D1482" s="44" t="s">
        <v>568</v>
      </c>
      <c r="E1482" s="43" t="s">
        <v>615</v>
      </c>
      <c r="F1482" s="44"/>
      <c r="G1482" s="45"/>
      <c r="H1482" s="7"/>
      <c r="I1482" s="7"/>
      <c r="J1482" s="7"/>
      <c r="K1482" s="7"/>
      <c r="L1482" s="7"/>
      <c r="M1482" s="7"/>
      <c r="N1482" s="7"/>
      <c r="O1482" s="7"/>
    </row>
    <row r="1483" spans="1:15" s="56" customFormat="1" hidden="1" outlineLevel="1" x14ac:dyDescent="0.35">
      <c r="A1483" s="2"/>
      <c r="B1483" s="39" t="s">
        <v>0</v>
      </c>
      <c r="C1483" s="40" t="s">
        <v>1</v>
      </c>
      <c r="D1483" s="40" t="s">
        <v>2</v>
      </c>
      <c r="E1483" s="40"/>
      <c r="F1483" s="40" t="s">
        <v>3</v>
      </c>
      <c r="G1483" s="46" t="s">
        <v>4</v>
      </c>
      <c r="H1483" s="7"/>
      <c r="I1483" s="7"/>
      <c r="J1483" s="7"/>
      <c r="K1483" s="7"/>
      <c r="L1483" s="7"/>
      <c r="M1483" s="7"/>
      <c r="N1483" s="7"/>
      <c r="O1483" s="7"/>
    </row>
    <row r="1484" spans="1:15" s="56" customFormat="1" hidden="1" outlineLevel="1" x14ac:dyDescent="0.35">
      <c r="A1484" s="2"/>
      <c r="B1484" s="47" t="s">
        <v>22</v>
      </c>
      <c r="C1484" s="48" t="s">
        <v>1127</v>
      </c>
      <c r="D1484" s="48" t="s">
        <v>211</v>
      </c>
      <c r="E1484" s="48" t="s">
        <v>1141</v>
      </c>
      <c r="F1484" s="48"/>
      <c r="G1484" s="49" t="s">
        <v>1162</v>
      </c>
      <c r="H1484" s="7"/>
      <c r="I1484" s="7"/>
      <c r="J1484" s="7"/>
      <c r="K1484" s="7"/>
      <c r="L1484" s="7"/>
      <c r="M1484" s="7"/>
      <c r="N1484" s="7"/>
      <c r="O1484" s="7"/>
    </row>
    <row r="1485" spans="1:15" s="56" customFormat="1" hidden="1" outlineLevel="1" x14ac:dyDescent="0.35">
      <c r="A1485" s="2"/>
      <c r="B1485" s="47" t="s">
        <v>21</v>
      </c>
      <c r="C1485" s="48" t="s">
        <v>1357</v>
      </c>
      <c r="D1485" s="48" t="s">
        <v>211</v>
      </c>
      <c r="E1485" s="48">
        <v>0</v>
      </c>
      <c r="F1485" s="48"/>
      <c r="G1485" s="49" t="s">
        <v>1358</v>
      </c>
      <c r="H1485" s="7"/>
      <c r="I1485" s="7"/>
      <c r="J1485" s="7"/>
      <c r="K1485" s="7"/>
      <c r="L1485" s="7"/>
      <c r="M1485" s="7"/>
      <c r="N1485" s="7"/>
      <c r="O1485" s="7"/>
    </row>
    <row r="1486" spans="1:15" s="56" customFormat="1" hidden="1" outlineLevel="1" x14ac:dyDescent="0.35">
      <c r="A1486" s="2"/>
      <c r="B1486" s="47" t="s">
        <v>6</v>
      </c>
      <c r="C1486" s="48" t="s">
        <v>1163</v>
      </c>
      <c r="D1486" s="48" t="s">
        <v>211</v>
      </c>
      <c r="E1486" s="48">
        <v>0</v>
      </c>
      <c r="F1486" s="48"/>
      <c r="G1486" s="49" t="s">
        <v>1077</v>
      </c>
      <c r="H1486" s="7"/>
      <c r="I1486" s="7"/>
      <c r="J1486" s="7"/>
      <c r="K1486" s="7"/>
      <c r="L1486" s="7"/>
      <c r="M1486" s="7"/>
      <c r="N1486" s="7"/>
      <c r="O1486" s="7"/>
    </row>
    <row r="1487" spans="1:15" s="56" customFormat="1" hidden="1" outlineLevel="1" x14ac:dyDescent="0.35">
      <c r="A1487" s="2"/>
      <c r="B1487" s="47" t="s">
        <v>111</v>
      </c>
      <c r="C1487" s="48" t="s">
        <v>1164</v>
      </c>
      <c r="D1487" s="48" t="s">
        <v>211</v>
      </c>
      <c r="E1487" s="48">
        <v>0</v>
      </c>
      <c r="F1487" s="48"/>
      <c r="G1487" s="49" t="s">
        <v>1165</v>
      </c>
      <c r="H1487" s="7"/>
      <c r="I1487" s="7"/>
      <c r="J1487" s="7"/>
      <c r="K1487" s="7"/>
      <c r="L1487" s="7"/>
      <c r="M1487" s="7"/>
      <c r="N1487" s="7"/>
      <c r="O1487" s="7"/>
    </row>
    <row r="1488" spans="1:15" s="56" customFormat="1" hidden="1" outlineLevel="1" x14ac:dyDescent="0.35">
      <c r="A1488" s="2"/>
      <c r="B1488" s="47" t="s">
        <v>123</v>
      </c>
      <c r="C1488" s="48" t="s">
        <v>1133</v>
      </c>
      <c r="D1488" s="48" t="s">
        <v>211</v>
      </c>
      <c r="E1488" s="48">
        <v>0</v>
      </c>
      <c r="F1488" s="48"/>
      <c r="G1488" s="49" t="s">
        <v>1182</v>
      </c>
      <c r="H1488" s="7"/>
      <c r="I1488" s="7"/>
      <c r="J1488" s="7"/>
      <c r="K1488" s="7"/>
      <c r="L1488" s="7"/>
      <c r="M1488" s="7"/>
      <c r="N1488" s="7"/>
      <c r="O1488" s="7"/>
    </row>
    <row r="1489" spans="1:15" s="56" customFormat="1" hidden="1" outlineLevel="1" x14ac:dyDescent="0.35">
      <c r="A1489" s="2"/>
      <c r="B1489" s="50" t="s">
        <v>113</v>
      </c>
      <c r="C1489" s="51" t="s">
        <v>1187</v>
      </c>
      <c r="D1489" s="51" t="s">
        <v>211</v>
      </c>
      <c r="E1489" s="51">
        <v>0</v>
      </c>
      <c r="F1489" s="51"/>
      <c r="G1489" s="52"/>
      <c r="H1489" s="7"/>
      <c r="I1489" s="7"/>
      <c r="J1489" s="7"/>
      <c r="K1489" s="7"/>
      <c r="L1489" s="7"/>
      <c r="M1489" s="7"/>
      <c r="N1489" s="7"/>
      <c r="O1489" s="7"/>
    </row>
    <row r="1490" spans="1:15" s="56" customFormat="1" hidden="1" outlineLevel="1" x14ac:dyDescent="0.35">
      <c r="A1490" s="2"/>
      <c r="B1490" s="47" t="s">
        <v>18</v>
      </c>
      <c r="C1490" s="48" t="s">
        <v>1190</v>
      </c>
      <c r="D1490" s="48" t="s">
        <v>211</v>
      </c>
      <c r="E1490" s="48">
        <v>0</v>
      </c>
      <c r="F1490" s="48"/>
      <c r="G1490" s="49" t="s">
        <v>1081</v>
      </c>
      <c r="H1490" s="7"/>
      <c r="I1490" s="7"/>
      <c r="J1490" s="7"/>
      <c r="K1490" s="7"/>
      <c r="L1490" s="7"/>
      <c r="M1490" s="7"/>
      <c r="N1490" s="7"/>
      <c r="O1490" s="7"/>
    </row>
    <row r="1491" spans="1:15" s="56" customFormat="1" hidden="1" outlineLevel="1" x14ac:dyDescent="0.35">
      <c r="A1491" s="2"/>
      <c r="B1491" s="50" t="s">
        <v>114</v>
      </c>
      <c r="C1491" s="51" t="s">
        <v>1155</v>
      </c>
      <c r="D1491" s="51" t="s">
        <v>211</v>
      </c>
      <c r="E1491" s="51">
        <v>0</v>
      </c>
      <c r="F1491" s="51"/>
      <c r="G1491" s="52"/>
      <c r="H1491" s="7"/>
      <c r="I1491" s="7"/>
      <c r="J1491" s="7"/>
      <c r="K1491" s="7"/>
      <c r="L1491" s="7"/>
      <c r="M1491" s="7"/>
      <c r="N1491" s="7"/>
      <c r="O1491" s="7"/>
    </row>
    <row r="1492" spans="1:15" s="56" customFormat="1" hidden="1" outlineLevel="1" x14ac:dyDescent="0.35">
      <c r="A1492" s="2"/>
      <c r="B1492" s="50" t="s">
        <v>118</v>
      </c>
      <c r="C1492" s="51" t="s">
        <v>1188</v>
      </c>
      <c r="D1492" s="51" t="s">
        <v>211</v>
      </c>
      <c r="E1492" s="51">
        <v>0</v>
      </c>
      <c r="F1492" s="51"/>
      <c r="G1492" s="52"/>
      <c r="H1492" s="7"/>
      <c r="I1492" s="7"/>
      <c r="J1492" s="7"/>
      <c r="K1492" s="7"/>
      <c r="L1492" s="7"/>
      <c r="M1492" s="7"/>
      <c r="N1492" s="7"/>
      <c r="O1492" s="7"/>
    </row>
    <row r="1493" spans="1:15" s="56" customFormat="1" hidden="1" outlineLevel="1" x14ac:dyDescent="0.35">
      <c r="A1493" s="2"/>
      <c r="B1493" s="47" t="s">
        <v>155</v>
      </c>
      <c r="C1493" s="48" t="s">
        <v>1572</v>
      </c>
      <c r="D1493" s="48" t="s">
        <v>1087</v>
      </c>
      <c r="E1493" s="48">
        <v>0</v>
      </c>
      <c r="F1493" s="48"/>
      <c r="G1493" s="49"/>
      <c r="H1493" s="7"/>
      <c r="I1493" s="7"/>
      <c r="J1493" s="7"/>
      <c r="K1493" s="7"/>
      <c r="L1493" s="7"/>
      <c r="M1493" s="7"/>
      <c r="N1493" s="7"/>
      <c r="O1493" s="7"/>
    </row>
    <row r="1494" spans="1:15" s="56" customFormat="1" hidden="1" outlineLevel="1" x14ac:dyDescent="0.35">
      <c r="A1494" s="2"/>
      <c r="B1494" s="47" t="s">
        <v>156</v>
      </c>
      <c r="C1494" s="48" t="s">
        <v>1195</v>
      </c>
      <c r="D1494" s="48" t="s">
        <v>1087</v>
      </c>
      <c r="E1494" s="48">
        <v>0</v>
      </c>
      <c r="F1494" s="48"/>
      <c r="G1494" s="49" t="s">
        <v>1196</v>
      </c>
      <c r="H1494" s="7"/>
      <c r="I1494" s="7"/>
      <c r="J1494" s="7"/>
      <c r="K1494" s="7"/>
      <c r="L1494" s="7"/>
      <c r="M1494" s="7"/>
      <c r="N1494" s="7"/>
      <c r="O1494" s="7"/>
    </row>
    <row r="1495" spans="1:15" s="56" customFormat="1" hidden="1" outlineLevel="1" x14ac:dyDescent="0.35">
      <c r="A1495" s="2"/>
      <c r="B1495" s="47" t="s">
        <v>152</v>
      </c>
      <c r="C1495" s="48" t="s">
        <v>1378</v>
      </c>
      <c r="D1495" s="48" t="s">
        <v>1169</v>
      </c>
      <c r="E1495" s="48">
        <v>0</v>
      </c>
      <c r="F1495" s="48"/>
      <c r="G1495" s="49" t="s">
        <v>1379</v>
      </c>
      <c r="H1495" s="7"/>
      <c r="I1495" s="7"/>
      <c r="J1495" s="7"/>
      <c r="K1495" s="7"/>
      <c r="L1495" s="7"/>
      <c r="M1495" s="7"/>
      <c r="N1495" s="7"/>
      <c r="O1495" s="7"/>
    </row>
    <row r="1496" spans="1:15" s="56" customFormat="1" hidden="1" outlineLevel="1" x14ac:dyDescent="0.35">
      <c r="A1496" s="2"/>
      <c r="B1496" s="47" t="s">
        <v>153</v>
      </c>
      <c r="C1496" s="48" t="s">
        <v>1143</v>
      </c>
      <c r="D1496" s="48" t="s">
        <v>1169</v>
      </c>
      <c r="E1496" s="48">
        <v>0</v>
      </c>
      <c r="F1496" s="48"/>
      <c r="G1496" s="49"/>
      <c r="H1496" s="7"/>
      <c r="I1496" s="7"/>
      <c r="J1496" s="7"/>
      <c r="K1496" s="7"/>
      <c r="L1496" s="7"/>
      <c r="M1496" s="7"/>
      <c r="N1496" s="7"/>
      <c r="O1496" s="7"/>
    </row>
    <row r="1497" spans="1:15" s="56" customFormat="1" ht="18" hidden="1" outlineLevel="1" thickBot="1" x14ac:dyDescent="0.4">
      <c r="A1497" s="2"/>
      <c r="B1497" s="53"/>
      <c r="C1497" s="54"/>
      <c r="D1497" s="54"/>
      <c r="E1497" s="54"/>
      <c r="F1497" s="54"/>
      <c r="G1497" s="55"/>
      <c r="H1497" s="7"/>
      <c r="I1497" s="7"/>
      <c r="J1497" s="7"/>
      <c r="K1497" s="7"/>
      <c r="L1497" s="7"/>
      <c r="M1497" s="7"/>
      <c r="N1497" s="7"/>
      <c r="O1497" s="7"/>
    </row>
    <row r="1498" spans="1:15" s="56" customFormat="1" hidden="1" outlineLevel="1" x14ac:dyDescent="0.35">
      <c r="A1498" s="2"/>
      <c r="B1498" s="340" t="s">
        <v>15</v>
      </c>
      <c r="C1498" s="341"/>
      <c r="D1498" s="341"/>
      <c r="E1498" s="341"/>
      <c r="F1498" s="341"/>
      <c r="G1498" s="342"/>
      <c r="H1498" s="7"/>
      <c r="I1498" s="7"/>
      <c r="J1498" s="7"/>
      <c r="K1498" s="7"/>
      <c r="L1498" s="7"/>
      <c r="M1498" s="7"/>
      <c r="N1498" s="7"/>
      <c r="O1498" s="7"/>
    </row>
    <row r="1499" spans="1:15" s="56" customFormat="1" hidden="1" outlineLevel="1" x14ac:dyDescent="0.35">
      <c r="A1499" s="2"/>
      <c r="B1499" s="47">
        <v>1</v>
      </c>
      <c r="C1499" s="48" t="s">
        <v>22</v>
      </c>
      <c r="D1499" s="48" t="s">
        <v>113</v>
      </c>
      <c r="E1499" s="48" t="s">
        <v>114</v>
      </c>
      <c r="F1499" s="48" t="s">
        <v>118</v>
      </c>
      <c r="G1499" s="49"/>
      <c r="H1499" s="7"/>
      <c r="I1499" s="7"/>
      <c r="J1499" s="7"/>
      <c r="K1499" s="7"/>
      <c r="L1499" s="7"/>
      <c r="M1499" s="7"/>
      <c r="N1499" s="7"/>
      <c r="O1499" s="7"/>
    </row>
    <row r="1500" spans="1:15" s="56" customFormat="1" hidden="1" outlineLevel="1" x14ac:dyDescent="0.35">
      <c r="A1500" s="2"/>
      <c r="B1500" s="47">
        <v>2</v>
      </c>
      <c r="C1500" s="48" t="s">
        <v>22</v>
      </c>
      <c r="D1500" s="48" t="s">
        <v>16</v>
      </c>
      <c r="E1500" s="48" t="s">
        <v>111</v>
      </c>
      <c r="F1500" s="48" t="s">
        <v>123</v>
      </c>
      <c r="G1500" s="49"/>
      <c r="H1500" s="7"/>
      <c r="I1500" s="7"/>
      <c r="J1500" s="7"/>
      <c r="K1500" s="7"/>
      <c r="L1500" s="7"/>
      <c r="M1500" s="7"/>
      <c r="N1500" s="7"/>
      <c r="O1500" s="7"/>
    </row>
    <row r="1501" spans="1:15" ht="18" hidden="1" outlineLevel="1" thickBot="1" x14ac:dyDescent="0.2">
      <c r="A1501" s="2"/>
      <c r="B1501" s="53"/>
      <c r="C1501" s="54"/>
      <c r="D1501" s="54"/>
      <c r="E1501" s="54"/>
      <c r="F1501" s="54"/>
      <c r="G1501" s="55"/>
    </row>
    <row r="1502" spans="1:15" s="56" customFormat="1" ht="18" hidden="1" outlineLevel="1" thickBot="1" x14ac:dyDescent="0.4">
      <c r="A1502" s="1"/>
      <c r="B1502" s="1"/>
      <c r="C1502" s="1"/>
      <c r="D1502" s="1"/>
      <c r="E1502" s="1"/>
      <c r="F1502" s="1"/>
      <c r="G1502" s="1"/>
      <c r="H1502" s="6" t="str">
        <f>"create or replace view "&amp;C1503</f>
        <v>create or replace view vi_tdset0_trade_total_his</v>
      </c>
      <c r="I1502" s="7"/>
      <c r="J1502" s="7"/>
      <c r="K1502" s="7"/>
      <c r="L1502" s="7"/>
      <c r="M1502" s="7"/>
      <c r="N1502" s="7"/>
      <c r="O1502" s="7"/>
    </row>
    <row r="1503" spans="1:15" s="56" customFormat="1" ht="18" collapsed="1" thickBot="1" x14ac:dyDescent="0.4">
      <c r="A1503" s="2"/>
      <c r="B1503" s="39" t="s">
        <v>563</v>
      </c>
      <c r="C1503" s="108" t="s">
        <v>544</v>
      </c>
      <c r="D1503" s="40" t="s">
        <v>515</v>
      </c>
      <c r="E1503" s="21" t="s">
        <v>1626</v>
      </c>
      <c r="F1503" s="40" t="s">
        <v>567</v>
      </c>
      <c r="G1503" s="41"/>
      <c r="H1503" s="11" t="str">
        <f>"# "&amp;E1503</f>
        <v># 报表_资管报表_交易证券-T0-账户交易信息历史表</v>
      </c>
      <c r="I1503" s="7"/>
      <c r="J1503" s="7"/>
      <c r="K1503" s="7"/>
      <c r="L1503" s="7"/>
      <c r="M1503" s="7"/>
      <c r="N1503" s="7"/>
      <c r="O1503" s="7"/>
    </row>
    <row r="1504" spans="1:15" s="56" customFormat="1" ht="18" hidden="1" outlineLevel="1" thickBot="1" x14ac:dyDescent="0.4">
      <c r="A1504" s="2"/>
      <c r="B1504" s="57" t="s">
        <v>570</v>
      </c>
      <c r="C1504" s="54"/>
      <c r="D1504" s="58" t="s">
        <v>568</v>
      </c>
      <c r="E1504" s="54" t="s">
        <v>615</v>
      </c>
      <c r="F1504" s="58"/>
      <c r="G1504" s="55"/>
      <c r="H1504" s="13" t="s">
        <v>283</v>
      </c>
      <c r="I1504" s="7"/>
      <c r="J1504" s="7"/>
      <c r="K1504" s="7"/>
      <c r="L1504" s="7"/>
      <c r="M1504" s="7"/>
      <c r="N1504" s="7"/>
      <c r="O1504" s="7"/>
    </row>
    <row r="1505" spans="1:15" s="56" customFormat="1" hidden="1" outlineLevel="1" x14ac:dyDescent="0.35">
      <c r="A1505" s="2"/>
      <c r="B1505" s="59" t="s">
        <v>0</v>
      </c>
      <c r="C1505" s="60" t="s">
        <v>1</v>
      </c>
      <c r="D1505" s="60" t="s">
        <v>2</v>
      </c>
      <c r="E1505" s="60"/>
      <c r="F1505" s="60" t="s">
        <v>3</v>
      </c>
      <c r="G1505" s="60" t="s">
        <v>4</v>
      </c>
      <c r="H1505" s="107" t="str">
        <f t="shared" ref="H1505:H1520" si="3">IF(F1506&lt;&gt;"",F1506,"t."&amp;C1506)&amp;" as "&amp;C1506&amp;",/*"&amp;B1506&amp;"*/"</f>
        <v>t.opor_no as opor_no,/*操作员编号*/</v>
      </c>
      <c r="I1505" s="7"/>
      <c r="J1505" s="7"/>
      <c r="K1505" s="7"/>
      <c r="L1505" s="7"/>
      <c r="M1505" s="7"/>
      <c r="N1505" s="7"/>
      <c r="O1505" s="7"/>
    </row>
    <row r="1506" spans="1:15" s="56" customFormat="1" hidden="1" outlineLevel="1" x14ac:dyDescent="0.35">
      <c r="A1506" s="2"/>
      <c r="B1506" s="61" t="s">
        <v>21</v>
      </c>
      <c r="C1506" s="62" t="s">
        <v>1357</v>
      </c>
      <c r="D1506" s="62" t="s">
        <v>211</v>
      </c>
      <c r="E1506" s="62">
        <v>0</v>
      </c>
      <c r="F1506" s="62"/>
      <c r="G1506" s="63" t="s">
        <v>1358</v>
      </c>
      <c r="H1506" s="107" t="str">
        <f t="shared" si="3"/>
        <v>t.init_date as init_date,/*初始化日期*/</v>
      </c>
      <c r="I1506" s="7"/>
      <c r="J1506" s="7"/>
      <c r="K1506" s="7"/>
      <c r="L1506" s="7"/>
      <c r="M1506" s="7"/>
      <c r="N1506" s="7"/>
      <c r="O1506" s="7"/>
    </row>
    <row r="1507" spans="1:15" s="56" customFormat="1" hidden="1" outlineLevel="1" x14ac:dyDescent="0.35">
      <c r="A1507" s="2"/>
      <c r="B1507" s="61" t="s">
        <v>5</v>
      </c>
      <c r="C1507" s="62" t="s">
        <v>1127</v>
      </c>
      <c r="D1507" s="62" t="s">
        <v>211</v>
      </c>
      <c r="E1507" s="62" t="s">
        <v>1141</v>
      </c>
      <c r="F1507" s="62"/>
      <c r="G1507" s="63" t="s">
        <v>1162</v>
      </c>
      <c r="H1507" s="107" t="str">
        <f t="shared" si="3"/>
        <v>t.co_no as co_no,/*机构编号*/</v>
      </c>
      <c r="I1507" s="7"/>
      <c r="J1507" s="7"/>
      <c r="K1507" s="7"/>
      <c r="L1507" s="7"/>
      <c r="M1507" s="7"/>
      <c r="N1507" s="7"/>
      <c r="O1507" s="7"/>
    </row>
    <row r="1508" spans="1:15" s="56" customFormat="1" hidden="1" outlineLevel="1" x14ac:dyDescent="0.35">
      <c r="A1508" s="2"/>
      <c r="B1508" s="61" t="s">
        <v>6</v>
      </c>
      <c r="C1508" s="62" t="s">
        <v>1163</v>
      </c>
      <c r="D1508" s="62" t="s">
        <v>211</v>
      </c>
      <c r="E1508" s="62">
        <v>0</v>
      </c>
      <c r="F1508" s="62"/>
      <c r="G1508" s="63" t="s">
        <v>1077</v>
      </c>
      <c r="H1508" s="107" t="str">
        <f t="shared" si="3"/>
        <v>t.pd_no as pd_no,/*产品编号*/</v>
      </c>
      <c r="I1508" s="7"/>
      <c r="J1508" s="7"/>
      <c r="K1508" s="7"/>
      <c r="L1508" s="7"/>
      <c r="M1508" s="7"/>
      <c r="N1508" s="7"/>
      <c r="O1508" s="7"/>
    </row>
    <row r="1509" spans="1:15" s="56" customFormat="1" hidden="1" outlineLevel="1" x14ac:dyDescent="0.35">
      <c r="A1509" s="2"/>
      <c r="B1509" s="61" t="s">
        <v>111</v>
      </c>
      <c r="C1509" s="62" t="s">
        <v>1164</v>
      </c>
      <c r="D1509" s="62" t="s">
        <v>211</v>
      </c>
      <c r="E1509" s="62">
        <v>0</v>
      </c>
      <c r="F1509" s="62"/>
      <c r="G1509" s="63" t="s">
        <v>1165</v>
      </c>
      <c r="H1509" s="107" t="str">
        <f t="shared" si="3"/>
        <v>t.exch_group_no as exch_group_no,/*交易组编号*/</v>
      </c>
      <c r="I1509" s="7"/>
      <c r="J1509" s="7"/>
      <c r="K1509" s="7"/>
      <c r="L1509" s="7"/>
      <c r="M1509" s="7"/>
      <c r="N1509" s="7"/>
      <c r="O1509" s="7"/>
    </row>
    <row r="1510" spans="1:15" s="56" customFormat="1" hidden="1" outlineLevel="1" x14ac:dyDescent="0.35">
      <c r="A1510" s="2"/>
      <c r="B1510" s="61" t="s">
        <v>123</v>
      </c>
      <c r="C1510" s="62" t="s">
        <v>1133</v>
      </c>
      <c r="D1510" s="62" t="s">
        <v>211</v>
      </c>
      <c r="E1510" s="62">
        <v>0</v>
      </c>
      <c r="F1510" s="62"/>
      <c r="G1510" s="63" t="s">
        <v>1182</v>
      </c>
      <c r="H1510" s="107" t="str">
        <f t="shared" si="3"/>
        <v>t.asset_acco_no as asset_acco_no,/*资产账户编号*/</v>
      </c>
      <c r="I1510" s="7"/>
      <c r="J1510" s="7"/>
      <c r="K1510" s="7"/>
      <c r="L1510" s="7"/>
      <c r="M1510" s="7"/>
      <c r="N1510" s="7"/>
      <c r="O1510" s="7"/>
    </row>
    <row r="1511" spans="1:15" s="56" customFormat="1" hidden="1" outlineLevel="1" x14ac:dyDescent="0.35">
      <c r="A1511" s="2"/>
      <c r="B1511" s="68" t="s">
        <v>113</v>
      </c>
      <c r="C1511" s="69" t="s">
        <v>1187</v>
      </c>
      <c r="D1511" s="69" t="s">
        <v>211</v>
      </c>
      <c r="E1511" s="69">
        <v>0</v>
      </c>
      <c r="F1511" s="69"/>
      <c r="G1511" s="70"/>
      <c r="H1511" s="107" t="str">
        <f t="shared" si="3"/>
        <v>t.begin_amt as begin_amt,/*期初金额*/</v>
      </c>
      <c r="I1511" s="7"/>
      <c r="J1511" s="7"/>
      <c r="K1511" s="7"/>
      <c r="L1511" s="7"/>
      <c r="M1511" s="7"/>
      <c r="N1511" s="7"/>
      <c r="O1511" s="7"/>
    </row>
    <row r="1512" spans="1:15" s="56" customFormat="1" hidden="1" outlineLevel="1" x14ac:dyDescent="0.35">
      <c r="A1512" s="2"/>
      <c r="B1512" s="66" t="s">
        <v>161</v>
      </c>
      <c r="C1512" s="43" t="s">
        <v>1151</v>
      </c>
      <c r="D1512" s="43" t="s">
        <v>1169</v>
      </c>
      <c r="E1512" s="43">
        <v>0</v>
      </c>
      <c r="F1512" s="43"/>
      <c r="G1512" s="45" t="s">
        <v>1116</v>
      </c>
      <c r="H1512" s="107" t="str">
        <f t="shared" si="3"/>
        <v>t.posi_market_value as posi_market_value,/*持仓市值*/</v>
      </c>
      <c r="I1512" s="7"/>
      <c r="J1512" s="7"/>
      <c r="K1512" s="7"/>
      <c r="L1512" s="7"/>
      <c r="M1512" s="7"/>
      <c r="N1512" s="7"/>
      <c r="O1512" s="7"/>
    </row>
    <row r="1513" spans="1:15" s="56" customFormat="1" hidden="1" outlineLevel="1" x14ac:dyDescent="0.35">
      <c r="A1513" s="2"/>
      <c r="B1513" s="66" t="s">
        <v>162</v>
      </c>
      <c r="C1513" s="43" t="s">
        <v>1214</v>
      </c>
      <c r="D1513" s="43" t="s">
        <v>1169</v>
      </c>
      <c r="E1513" s="43">
        <v>0</v>
      </c>
      <c r="F1513" s="43"/>
      <c r="G1513" s="45"/>
      <c r="H1513" s="107" t="str">
        <f t="shared" si="3"/>
        <v>t.trade_amt as trade_amt,/*交易金额*/</v>
      </c>
      <c r="I1513" s="7"/>
      <c r="J1513" s="7"/>
      <c r="K1513" s="7"/>
      <c r="L1513" s="7"/>
      <c r="M1513" s="7"/>
      <c r="N1513" s="7"/>
      <c r="O1513" s="7"/>
    </row>
    <row r="1514" spans="1:15" s="56" customFormat="1" hidden="1" outlineLevel="1" x14ac:dyDescent="0.35">
      <c r="A1514" s="2"/>
      <c r="B1514" s="66" t="s">
        <v>163</v>
      </c>
      <c r="C1514" s="43" t="s">
        <v>1419</v>
      </c>
      <c r="D1514" s="43" t="s">
        <v>1169</v>
      </c>
      <c r="E1514" s="43">
        <v>0</v>
      </c>
      <c r="F1514" s="43"/>
      <c r="G1514" s="45"/>
      <c r="H1514" s="107" t="str">
        <f t="shared" si="3"/>
        <v>t.all_fee as all_fee,/*全部费用*/</v>
      </c>
      <c r="I1514" s="7"/>
      <c r="J1514" s="7"/>
      <c r="K1514" s="7"/>
      <c r="L1514" s="7"/>
      <c r="M1514" s="7"/>
      <c r="N1514" s="7"/>
      <c r="O1514" s="7"/>
    </row>
    <row r="1515" spans="1:15" s="56" customFormat="1" hidden="1" outlineLevel="1" x14ac:dyDescent="0.35">
      <c r="A1515" s="2"/>
      <c r="B1515" s="47" t="s">
        <v>152</v>
      </c>
      <c r="C1515" s="48" t="s">
        <v>1378</v>
      </c>
      <c r="D1515" s="48" t="s">
        <v>1169</v>
      </c>
      <c r="E1515" s="48">
        <v>0</v>
      </c>
      <c r="F1515" s="48"/>
      <c r="G1515" s="49" t="s">
        <v>1379</v>
      </c>
      <c r="H1515" s="107" t="str">
        <f t="shared" si="3"/>
        <v>t.close_posi_market_value as close_posi_market_value,/*平仓市值*/</v>
      </c>
      <c r="I1515" s="7"/>
      <c r="J1515" s="7"/>
      <c r="K1515" s="7"/>
      <c r="L1515" s="7"/>
      <c r="M1515" s="7"/>
      <c r="N1515" s="7"/>
      <c r="O1515" s="7"/>
    </row>
    <row r="1516" spans="1:15" s="56" customFormat="1" hidden="1" outlineLevel="1" x14ac:dyDescent="0.35">
      <c r="A1516" s="2"/>
      <c r="B1516" s="66" t="s">
        <v>131</v>
      </c>
      <c r="C1516" s="43" t="s">
        <v>1401</v>
      </c>
      <c r="D1516" s="43" t="s">
        <v>1169</v>
      </c>
      <c r="E1516" s="43">
        <v>0</v>
      </c>
      <c r="F1516" s="43"/>
      <c r="G1516" s="45"/>
      <c r="H1516" s="107" t="str">
        <f t="shared" si="3"/>
        <v>t.realize_pandl as realize_pandl,/*实现盈亏*/</v>
      </c>
      <c r="I1516" s="7"/>
      <c r="J1516" s="7"/>
      <c r="K1516" s="7"/>
      <c r="L1516" s="7"/>
      <c r="M1516" s="7"/>
      <c r="N1516" s="7"/>
      <c r="O1516" s="7"/>
    </row>
    <row r="1517" spans="1:15" s="56" customFormat="1" hidden="1" outlineLevel="1" x14ac:dyDescent="0.35">
      <c r="A1517" s="2"/>
      <c r="B1517" s="66" t="s">
        <v>153</v>
      </c>
      <c r="C1517" s="43" t="s">
        <v>1143</v>
      </c>
      <c r="D1517" s="43" t="s">
        <v>1169</v>
      </c>
      <c r="E1517" s="43">
        <v>0</v>
      </c>
      <c r="F1517" s="43"/>
      <c r="G1517" s="45"/>
      <c r="H1517" s="107" t="str">
        <f t="shared" si="3"/>
        <v>t.buy_qty as buy_qty,/*买入数量*/</v>
      </c>
      <c r="I1517" s="7"/>
      <c r="J1517" s="7"/>
      <c r="K1517" s="7"/>
      <c r="L1517" s="7"/>
      <c r="M1517" s="7"/>
      <c r="N1517" s="7"/>
      <c r="O1517" s="7"/>
    </row>
    <row r="1518" spans="1:15" s="56" customFormat="1" hidden="1" outlineLevel="1" x14ac:dyDescent="0.35">
      <c r="A1518" s="2"/>
      <c r="B1518" s="105" t="s">
        <v>280</v>
      </c>
      <c r="C1518" s="109" t="s">
        <v>1573</v>
      </c>
      <c r="D1518" s="109" t="s">
        <v>1087</v>
      </c>
      <c r="E1518" s="109">
        <v>0</v>
      </c>
      <c r="F1518" s="109"/>
      <c r="G1518" s="110"/>
      <c r="H1518" s="107" t="str">
        <f t="shared" si="3"/>
        <v>t.sell_qty as sell_qty,/*卖出数量*/</v>
      </c>
      <c r="I1518" s="7"/>
      <c r="J1518" s="7"/>
      <c r="K1518" s="7"/>
      <c r="L1518" s="7"/>
      <c r="M1518" s="7"/>
      <c r="N1518" s="7"/>
      <c r="O1518" s="7"/>
    </row>
    <row r="1519" spans="1:15" s="56" customFormat="1" hidden="1" outlineLevel="1" x14ac:dyDescent="0.35">
      <c r="A1519" s="2"/>
      <c r="B1519" s="105" t="s">
        <v>281</v>
      </c>
      <c r="C1519" s="109" t="s">
        <v>1420</v>
      </c>
      <c r="D1519" s="109" t="s">
        <v>1087</v>
      </c>
      <c r="E1519" s="109">
        <v>0</v>
      </c>
      <c r="F1519" s="109"/>
      <c r="G1519" s="110"/>
      <c r="H1519" s="107" t="str">
        <f t="shared" si="3"/>
        <v>t.buy_amt as buy_amt,/*买入金额*/</v>
      </c>
      <c r="I1519" s="7"/>
      <c r="J1519" s="7"/>
      <c r="K1519" s="7"/>
      <c r="L1519" s="7"/>
      <c r="M1519" s="7"/>
      <c r="N1519" s="7"/>
      <c r="O1519" s="7"/>
    </row>
    <row r="1520" spans="1:15" s="56" customFormat="1" hidden="1" outlineLevel="1" x14ac:dyDescent="0.35">
      <c r="A1520" s="2"/>
      <c r="B1520" s="105" t="s">
        <v>282</v>
      </c>
      <c r="C1520" s="109" t="s">
        <v>1574</v>
      </c>
      <c r="D1520" s="109" t="s">
        <v>1169</v>
      </c>
      <c r="E1520" s="109">
        <v>0</v>
      </c>
      <c r="F1520" s="109"/>
      <c r="G1520" s="110"/>
      <c r="H1520" s="107" t="str">
        <f t="shared" si="3"/>
        <v>t.sell_amt as sell_amt,/*销售金额*/</v>
      </c>
      <c r="I1520" s="7"/>
      <c r="J1520" s="7"/>
      <c r="K1520" s="7"/>
      <c r="L1520" s="7"/>
      <c r="M1520" s="7"/>
      <c r="N1520" s="7"/>
      <c r="O1520" s="7"/>
    </row>
    <row r="1521" spans="1:15" s="56" customFormat="1" hidden="1" outlineLevel="1" x14ac:dyDescent="0.35">
      <c r="A1521" s="2"/>
      <c r="B1521" s="105" t="s">
        <v>706</v>
      </c>
      <c r="C1521" s="109" t="s">
        <v>1421</v>
      </c>
      <c r="D1521" s="109" t="s">
        <v>1169</v>
      </c>
      <c r="E1521" s="109">
        <v>0</v>
      </c>
      <c r="F1521" s="109"/>
      <c r="G1521" s="110"/>
      <c r="H1521" s="7"/>
      <c r="I1521" s="7"/>
      <c r="J1521" s="7"/>
      <c r="K1521" s="7"/>
      <c r="L1521" s="7"/>
      <c r="M1521" s="7"/>
      <c r="N1521" s="7"/>
      <c r="O1521" s="7"/>
    </row>
    <row r="1522" spans="1:15" s="56" customFormat="1" ht="18" hidden="1" outlineLevel="1" thickBot="1" x14ac:dyDescent="0.4">
      <c r="A1522" s="2"/>
      <c r="B1522" s="66"/>
      <c r="C1522" s="43"/>
      <c r="D1522" s="43"/>
      <c r="E1522" s="43"/>
      <c r="F1522" s="43"/>
      <c r="G1522" s="45"/>
      <c r="H1522" s="7"/>
      <c r="I1522" s="7"/>
      <c r="J1522" s="7"/>
      <c r="K1522" s="7"/>
      <c r="L1522" s="7"/>
      <c r="M1522" s="7"/>
      <c r="N1522" s="7"/>
      <c r="O1522" s="7"/>
    </row>
    <row r="1523" spans="1:15" s="56" customFormat="1" hidden="1" outlineLevel="1" x14ac:dyDescent="0.35">
      <c r="A1523" s="2"/>
      <c r="B1523" s="340" t="s">
        <v>15</v>
      </c>
      <c r="C1523" s="341"/>
      <c r="D1523" s="341"/>
      <c r="E1523" s="341"/>
      <c r="F1523" s="341"/>
      <c r="G1523" s="342"/>
      <c r="H1523" s="7"/>
      <c r="I1523" s="7"/>
      <c r="J1523" s="7"/>
      <c r="K1523" s="7"/>
      <c r="L1523" s="7"/>
      <c r="M1523" s="7"/>
      <c r="N1523" s="7"/>
      <c r="O1523" s="7"/>
    </row>
    <row r="1524" spans="1:15" s="56" customFormat="1" hidden="1" outlineLevel="1" x14ac:dyDescent="0.35">
      <c r="A1524" s="2"/>
      <c r="B1524" s="47">
        <v>1</v>
      </c>
      <c r="C1524" s="48" t="s">
        <v>22</v>
      </c>
      <c r="D1524" s="48" t="s">
        <v>113</v>
      </c>
      <c r="E1524" s="48"/>
      <c r="F1524" s="48"/>
      <c r="G1524" s="49"/>
      <c r="H1524" s="7"/>
      <c r="I1524" s="7"/>
      <c r="J1524" s="7"/>
      <c r="K1524" s="7"/>
      <c r="L1524" s="7"/>
      <c r="M1524" s="7"/>
      <c r="N1524" s="7"/>
      <c r="O1524" s="7"/>
    </row>
    <row r="1525" spans="1:15" s="56" customFormat="1" hidden="1" outlineLevel="1" x14ac:dyDescent="0.35">
      <c r="A1525" s="2"/>
      <c r="B1525" s="47">
        <v>2</v>
      </c>
      <c r="C1525" s="48" t="s">
        <v>22</v>
      </c>
      <c r="D1525" s="48" t="s">
        <v>16</v>
      </c>
      <c r="E1525" s="61" t="s">
        <v>111</v>
      </c>
      <c r="F1525" s="61" t="s">
        <v>123</v>
      </c>
      <c r="G1525" s="68" t="s">
        <v>113</v>
      </c>
      <c r="H1525" s="7"/>
      <c r="I1525" s="7"/>
      <c r="J1525" s="7"/>
      <c r="K1525" s="7"/>
      <c r="L1525" s="7"/>
      <c r="M1525" s="7"/>
      <c r="N1525" s="7"/>
      <c r="O1525" s="7"/>
    </row>
    <row r="1526" spans="1:15" ht="18" hidden="1" outlineLevel="1" thickBot="1" x14ac:dyDescent="0.2">
      <c r="A1526" s="2"/>
      <c r="B1526" s="53"/>
      <c r="C1526" s="54"/>
      <c r="D1526" s="54"/>
      <c r="E1526" s="54"/>
      <c r="F1526" s="54"/>
      <c r="G1526" s="55"/>
    </row>
    <row r="1527" spans="1:15" hidden="1" outlineLevel="1" x14ac:dyDescent="0.15"/>
    <row r="1528" spans="1:15" s="56" customFormat="1" ht="18" hidden="1" outlineLevel="1" thickBot="1" x14ac:dyDescent="0.4">
      <c r="A1528" s="1"/>
      <c r="B1528" s="1"/>
      <c r="C1528" s="1"/>
      <c r="D1528" s="1"/>
      <c r="E1528" s="1"/>
      <c r="F1528" s="1"/>
      <c r="G1528" s="1"/>
      <c r="H1528" s="7"/>
      <c r="I1528" s="7"/>
      <c r="J1528" s="7"/>
      <c r="K1528" s="7"/>
      <c r="L1528" s="7"/>
      <c r="M1528" s="7"/>
      <c r="N1528" s="7"/>
      <c r="O1528" s="7"/>
    </row>
    <row r="1529" spans="1:15" s="56" customFormat="1" ht="18" collapsed="1" thickBot="1" x14ac:dyDescent="0.4">
      <c r="A1529" s="2"/>
      <c r="B1529" s="39" t="s">
        <v>563</v>
      </c>
      <c r="C1529" s="280" t="s">
        <v>1768</v>
      </c>
      <c r="D1529" s="40" t="s">
        <v>515</v>
      </c>
      <c r="E1529" s="289" t="s">
        <v>1745</v>
      </c>
      <c r="F1529" s="40" t="s">
        <v>567</v>
      </c>
      <c r="G1529" s="41" t="s">
        <v>1793</v>
      </c>
      <c r="H1529" s="7"/>
      <c r="I1529" s="7"/>
      <c r="J1529" s="7"/>
      <c r="K1529" s="7"/>
      <c r="L1529" s="7"/>
      <c r="M1529" s="7"/>
      <c r="N1529" s="7"/>
      <c r="O1529" s="7"/>
    </row>
    <row r="1530" spans="1:15" s="56" customFormat="1" ht="33" hidden="1" customHeight="1" outlineLevel="1" thickBot="1" x14ac:dyDescent="0.4">
      <c r="A1530" s="2"/>
      <c r="B1530" s="57" t="s">
        <v>570</v>
      </c>
      <c r="C1530" s="54"/>
      <c r="D1530" s="58" t="s">
        <v>568</v>
      </c>
      <c r="E1530" s="54" t="s">
        <v>615</v>
      </c>
      <c r="F1530" s="58"/>
      <c r="G1530" s="55"/>
      <c r="H1530" s="7"/>
      <c r="I1530" s="7"/>
      <c r="J1530" s="7"/>
      <c r="K1530" s="7"/>
      <c r="L1530" s="7"/>
      <c r="M1530" s="7"/>
      <c r="N1530" s="7"/>
      <c r="O1530" s="7"/>
    </row>
    <row r="1531" spans="1:15" s="56" customFormat="1" hidden="1" outlineLevel="1" x14ac:dyDescent="0.35">
      <c r="A1531" s="2"/>
      <c r="B1531" s="59" t="s">
        <v>0</v>
      </c>
      <c r="C1531" s="60" t="s">
        <v>1</v>
      </c>
      <c r="D1531" s="60" t="s">
        <v>2</v>
      </c>
      <c r="E1531" s="60"/>
      <c r="F1531" s="60" t="s">
        <v>3</v>
      </c>
      <c r="G1531" s="60" t="s">
        <v>4</v>
      </c>
      <c r="H1531" s="7"/>
      <c r="I1531" s="7"/>
      <c r="J1531" s="7"/>
      <c r="K1531" s="7"/>
      <c r="L1531" s="7"/>
      <c r="M1531" s="7"/>
      <c r="N1531" s="7"/>
      <c r="O1531" s="7"/>
    </row>
    <row r="1532" spans="1:15" s="56" customFormat="1" hidden="1" outlineLevel="1" x14ac:dyDescent="0.35">
      <c r="A1532" s="2"/>
      <c r="B1532" s="47" t="s">
        <v>16</v>
      </c>
      <c r="C1532" s="48" t="s">
        <v>1163</v>
      </c>
      <c r="D1532" s="48" t="s">
        <v>211</v>
      </c>
      <c r="E1532" s="48">
        <v>0</v>
      </c>
      <c r="F1532" s="48"/>
      <c r="G1532" s="49" t="s">
        <v>1077</v>
      </c>
      <c r="H1532" s="7"/>
      <c r="I1532" s="7"/>
      <c r="J1532" s="7"/>
      <c r="K1532" s="7"/>
      <c r="L1532" s="7"/>
      <c r="M1532" s="7"/>
      <c r="N1532" s="7"/>
      <c r="O1532" s="7"/>
    </row>
    <row r="1533" spans="1:15" s="56" customFormat="1" hidden="1" outlineLevel="1" x14ac:dyDescent="0.35">
      <c r="A1533" s="2"/>
      <c r="B1533" s="47" t="s">
        <v>21</v>
      </c>
      <c r="C1533" s="48" t="s">
        <v>1357</v>
      </c>
      <c r="D1533" s="48" t="s">
        <v>211</v>
      </c>
      <c r="E1533" s="48">
        <v>0</v>
      </c>
      <c r="F1533" s="48"/>
      <c r="G1533" s="49" t="s">
        <v>1358</v>
      </c>
      <c r="H1533" s="7"/>
      <c r="I1533" s="7"/>
      <c r="J1533" s="7"/>
      <c r="K1533" s="7"/>
      <c r="L1533" s="7"/>
      <c r="M1533" s="7"/>
      <c r="N1533" s="7"/>
      <c r="O1533" s="7"/>
    </row>
    <row r="1534" spans="1:15" s="56" customFormat="1" hidden="1" outlineLevel="1" x14ac:dyDescent="0.35">
      <c r="A1534" s="2"/>
      <c r="B1534" s="47" t="s">
        <v>161</v>
      </c>
      <c r="C1534" s="48" t="s">
        <v>1151</v>
      </c>
      <c r="D1534" s="48" t="s">
        <v>1169</v>
      </c>
      <c r="E1534" s="48">
        <v>0</v>
      </c>
      <c r="F1534" s="48"/>
      <c r="G1534" s="49" t="s">
        <v>1116</v>
      </c>
      <c r="H1534" s="7"/>
      <c r="I1534" s="7"/>
      <c r="J1534" s="7"/>
      <c r="K1534" s="7"/>
      <c r="L1534" s="7"/>
      <c r="M1534" s="7"/>
      <c r="N1534" s="7"/>
      <c r="O1534" s="7"/>
    </row>
    <row r="1535" spans="1:15" s="56" customFormat="1" hidden="1" outlineLevel="1" x14ac:dyDescent="0.35">
      <c r="A1535" s="2"/>
      <c r="B1535" s="47" t="s">
        <v>315</v>
      </c>
      <c r="C1535" s="48" t="s">
        <v>1150</v>
      </c>
      <c r="D1535" s="48" t="s">
        <v>1169</v>
      </c>
      <c r="E1535" s="48">
        <v>0</v>
      </c>
      <c r="F1535" s="48"/>
      <c r="G1535" s="49" t="s">
        <v>1312</v>
      </c>
      <c r="H1535" s="7"/>
      <c r="I1535" s="7"/>
      <c r="J1535" s="7"/>
      <c r="K1535" s="7"/>
      <c r="L1535" s="7"/>
      <c r="M1535" s="7"/>
      <c r="N1535" s="7"/>
      <c r="O1535" s="7"/>
    </row>
    <row r="1536" spans="1:15" s="56" customFormat="1" hidden="1" outlineLevel="1" x14ac:dyDescent="0.35">
      <c r="A1536" s="2"/>
      <c r="B1536" s="47" t="s">
        <v>1631</v>
      </c>
      <c r="C1536" s="48" t="s">
        <v>1152</v>
      </c>
      <c r="D1536" s="48" t="s">
        <v>1169</v>
      </c>
      <c r="E1536" s="48">
        <v>0</v>
      </c>
      <c r="F1536" s="48"/>
      <c r="G1536" s="49" t="s">
        <v>1323</v>
      </c>
      <c r="H1536" s="7"/>
      <c r="I1536" s="7"/>
      <c r="J1536" s="7"/>
      <c r="K1536" s="7"/>
      <c r="L1536" s="7"/>
      <c r="M1536" s="7"/>
      <c r="N1536" s="7"/>
      <c r="O1536" s="7"/>
    </row>
    <row r="1537" spans="1:15" s="56" customFormat="1" hidden="1" outlineLevel="1" x14ac:dyDescent="0.35">
      <c r="A1537" s="2"/>
      <c r="B1537" s="47" t="s">
        <v>1632</v>
      </c>
      <c r="C1537" s="48" t="s">
        <v>1633</v>
      </c>
      <c r="D1537" s="48" t="s">
        <v>1169</v>
      </c>
      <c r="E1537" s="48">
        <v>0</v>
      </c>
      <c r="F1537" s="48"/>
      <c r="G1537" s="49"/>
      <c r="H1537" s="7"/>
      <c r="I1537" s="7"/>
      <c r="J1537" s="7"/>
      <c r="K1537" s="7"/>
      <c r="L1537" s="7"/>
      <c r="M1537" s="7"/>
      <c r="N1537" s="7"/>
      <c r="O1537" s="7"/>
    </row>
    <row r="1538" spans="1:15" s="56" customFormat="1" hidden="1" outlineLevel="1" x14ac:dyDescent="0.35">
      <c r="A1538" s="2"/>
      <c r="B1538" s="47" t="s">
        <v>1634</v>
      </c>
      <c r="C1538" s="48" t="s">
        <v>1635</v>
      </c>
      <c r="D1538" s="48" t="s">
        <v>1169</v>
      </c>
      <c r="E1538" s="48">
        <v>0</v>
      </c>
      <c r="F1538" s="48"/>
      <c r="G1538" s="49"/>
      <c r="H1538" s="7"/>
      <c r="I1538" s="7"/>
      <c r="J1538" s="7"/>
      <c r="K1538" s="7"/>
      <c r="L1538" s="7"/>
      <c r="M1538" s="7"/>
      <c r="N1538" s="7"/>
      <c r="O1538" s="7"/>
    </row>
    <row r="1539" spans="1:15" s="56" customFormat="1" hidden="1" outlineLevel="1" x14ac:dyDescent="0.35">
      <c r="A1539" s="2"/>
      <c r="B1539" s="47" t="s">
        <v>1636</v>
      </c>
      <c r="C1539" s="48" t="s">
        <v>1637</v>
      </c>
      <c r="D1539" s="48" t="s">
        <v>211</v>
      </c>
      <c r="E1539" s="48">
        <v>0</v>
      </c>
      <c r="F1539" s="48"/>
      <c r="G1539" s="49"/>
      <c r="H1539" s="7"/>
      <c r="I1539" s="7"/>
      <c r="J1539" s="7"/>
      <c r="K1539" s="7"/>
      <c r="L1539" s="7"/>
      <c r="M1539" s="7"/>
      <c r="N1539" s="7"/>
      <c r="O1539" s="7"/>
    </row>
    <row r="1540" spans="1:15" s="56" customFormat="1" hidden="1" outlineLevel="1" x14ac:dyDescent="0.35">
      <c r="A1540" s="2"/>
      <c r="B1540" s="47" t="s">
        <v>1638</v>
      </c>
      <c r="C1540" s="48" t="s">
        <v>1639</v>
      </c>
      <c r="D1540" s="48" t="s">
        <v>1172</v>
      </c>
      <c r="E1540" s="48">
        <v>0</v>
      </c>
      <c r="F1540" s="48"/>
      <c r="G1540" s="49"/>
      <c r="H1540" s="7"/>
      <c r="I1540" s="7"/>
      <c r="J1540" s="7"/>
      <c r="K1540" s="7"/>
      <c r="L1540" s="7"/>
      <c r="M1540" s="7"/>
      <c r="N1540" s="7"/>
      <c r="O1540" s="7"/>
    </row>
    <row r="1541" spans="1:15" s="56" customFormat="1" hidden="1" outlineLevel="1" x14ac:dyDescent="0.35">
      <c r="A1541" s="2"/>
      <c r="B1541" s="47" t="s">
        <v>1640</v>
      </c>
      <c r="C1541" s="48" t="s">
        <v>1641</v>
      </c>
      <c r="D1541" s="48" t="s">
        <v>211</v>
      </c>
      <c r="E1541" s="48">
        <v>5</v>
      </c>
      <c r="F1541" s="48"/>
      <c r="G1541" s="49" t="s">
        <v>1642</v>
      </c>
      <c r="H1541" s="7"/>
      <c r="I1541" s="7"/>
      <c r="J1541" s="7"/>
      <c r="K1541" s="7"/>
      <c r="L1541" s="7"/>
      <c r="M1541" s="7"/>
      <c r="N1541" s="7"/>
      <c r="O1541" s="7"/>
    </row>
    <row r="1542" spans="1:15" s="56" customFormat="1" hidden="1" outlineLevel="1" x14ac:dyDescent="0.35">
      <c r="A1542" s="2"/>
      <c r="B1542" s="47" t="s">
        <v>1643</v>
      </c>
      <c r="C1542" s="48" t="s">
        <v>1644</v>
      </c>
      <c r="D1542" s="48" t="s">
        <v>1087</v>
      </c>
      <c r="E1542" s="48">
        <v>0</v>
      </c>
      <c r="F1542" s="48"/>
      <c r="G1542" s="49"/>
      <c r="H1542" s="7"/>
      <c r="I1542" s="7"/>
      <c r="J1542" s="7"/>
      <c r="K1542" s="7"/>
      <c r="L1542" s="7"/>
      <c r="M1542" s="7"/>
      <c r="N1542" s="7"/>
      <c r="O1542" s="7"/>
    </row>
    <row r="1543" spans="1:15" s="56" customFormat="1" hidden="1" outlineLevel="1" x14ac:dyDescent="0.35">
      <c r="A1543" s="2"/>
      <c r="B1543" s="47" t="s">
        <v>1645</v>
      </c>
      <c r="C1543" s="48" t="s">
        <v>1646</v>
      </c>
      <c r="D1543" s="48" t="s">
        <v>1169</v>
      </c>
      <c r="E1543" s="48">
        <v>0</v>
      </c>
      <c r="F1543" s="48"/>
      <c r="G1543" s="49"/>
      <c r="H1543" s="7"/>
      <c r="I1543" s="7"/>
      <c r="J1543" s="7"/>
      <c r="K1543" s="7"/>
      <c r="L1543" s="7"/>
      <c r="M1543" s="7"/>
      <c r="N1543" s="7"/>
      <c r="O1543" s="7"/>
    </row>
    <row r="1544" spans="1:15" s="56" customFormat="1" hidden="1" outlineLevel="1" x14ac:dyDescent="0.35">
      <c r="A1544" s="2"/>
      <c r="B1544" s="47" t="s">
        <v>1647</v>
      </c>
      <c r="C1544" s="48" t="s">
        <v>1648</v>
      </c>
      <c r="D1544" s="48" t="s">
        <v>1172</v>
      </c>
      <c r="E1544" s="48">
        <v>0</v>
      </c>
      <c r="F1544" s="48"/>
      <c r="G1544" s="49"/>
      <c r="H1544" s="7"/>
      <c r="I1544" s="7"/>
      <c r="J1544" s="7"/>
      <c r="K1544" s="7"/>
      <c r="L1544" s="7"/>
      <c r="M1544" s="7"/>
      <c r="N1544" s="7"/>
      <c r="O1544" s="7"/>
    </row>
    <row r="1545" spans="1:15" s="56" customFormat="1" hidden="1" outlineLevel="1" x14ac:dyDescent="0.35">
      <c r="A1545" s="2"/>
      <c r="B1545" s="47" t="s">
        <v>1649</v>
      </c>
      <c r="C1545" s="48" t="s">
        <v>1650</v>
      </c>
      <c r="D1545" s="48" t="s">
        <v>1172</v>
      </c>
      <c r="E1545" s="48">
        <v>0</v>
      </c>
      <c r="F1545" s="48"/>
      <c r="G1545" s="49"/>
      <c r="H1545" s="7"/>
      <c r="I1545" s="7"/>
      <c r="J1545" s="7"/>
      <c r="K1545" s="7"/>
      <c r="L1545" s="7"/>
      <c r="M1545" s="7"/>
      <c r="N1545" s="7"/>
      <c r="O1545" s="7"/>
    </row>
    <row r="1546" spans="1:15" s="56" customFormat="1" hidden="1" outlineLevel="1" x14ac:dyDescent="0.35">
      <c r="A1546" s="2"/>
      <c r="B1546" s="47" t="s">
        <v>1651</v>
      </c>
      <c r="C1546" s="48" t="s">
        <v>1943</v>
      </c>
      <c r="D1546" s="48" t="s">
        <v>1169</v>
      </c>
      <c r="E1546" s="48">
        <v>0</v>
      </c>
      <c r="F1546" s="48"/>
      <c r="G1546" s="49"/>
      <c r="H1546" s="7"/>
      <c r="I1546" s="7"/>
      <c r="J1546" s="7"/>
      <c r="K1546" s="7"/>
      <c r="L1546" s="7"/>
      <c r="M1546" s="7"/>
      <c r="N1546" s="7"/>
      <c r="O1546" s="7"/>
    </row>
    <row r="1547" spans="1:15" s="56" customFormat="1" hidden="1" outlineLevel="1" x14ac:dyDescent="0.35">
      <c r="A1547" s="2"/>
      <c r="B1547" s="47" t="s">
        <v>1652</v>
      </c>
      <c r="C1547" s="48" t="s">
        <v>1944</v>
      </c>
      <c r="D1547" s="48" t="s">
        <v>1169</v>
      </c>
      <c r="E1547" s="48">
        <v>0</v>
      </c>
      <c r="F1547" s="48"/>
      <c r="G1547" s="49"/>
      <c r="H1547" s="7"/>
      <c r="I1547" s="7"/>
      <c r="J1547" s="7"/>
      <c r="K1547" s="7"/>
      <c r="L1547" s="7"/>
      <c r="M1547" s="7"/>
      <c r="N1547" s="7"/>
      <c r="O1547" s="7"/>
    </row>
    <row r="1548" spans="1:15" s="56" customFormat="1" hidden="1" outlineLevel="1" x14ac:dyDescent="0.35">
      <c r="A1548" s="2"/>
      <c r="B1548" s="47" t="s">
        <v>1653</v>
      </c>
      <c r="C1548" s="48" t="s">
        <v>1945</v>
      </c>
      <c r="D1548" s="48" t="s">
        <v>211</v>
      </c>
      <c r="E1548" s="48">
        <v>0</v>
      </c>
      <c r="F1548" s="48"/>
      <c r="G1548" s="49"/>
      <c r="H1548" s="7"/>
      <c r="I1548" s="7"/>
      <c r="J1548" s="7"/>
      <c r="K1548" s="7"/>
      <c r="L1548" s="7"/>
      <c r="M1548" s="7"/>
      <c r="N1548" s="7"/>
      <c r="O1548" s="7"/>
    </row>
    <row r="1549" spans="1:15" s="56" customFormat="1" hidden="1" outlineLevel="1" x14ac:dyDescent="0.35">
      <c r="A1549" s="2"/>
      <c r="B1549" s="47" t="s">
        <v>1654</v>
      </c>
      <c r="C1549" s="48" t="s">
        <v>1946</v>
      </c>
      <c r="D1549" s="48" t="s">
        <v>211</v>
      </c>
      <c r="E1549" s="48">
        <v>0</v>
      </c>
      <c r="F1549" s="48"/>
      <c r="G1549" s="49"/>
      <c r="H1549" s="7"/>
      <c r="I1549" s="7"/>
      <c r="J1549" s="7"/>
      <c r="K1549" s="7"/>
      <c r="L1549" s="7"/>
      <c r="M1549" s="7"/>
      <c r="N1549" s="7"/>
      <c r="O1549" s="7"/>
    </row>
    <row r="1550" spans="1:15" s="56" customFormat="1" hidden="1" outlineLevel="1" x14ac:dyDescent="0.35">
      <c r="A1550" s="2"/>
      <c r="B1550" s="47" t="s">
        <v>1655</v>
      </c>
      <c r="C1550" s="48" t="s">
        <v>1947</v>
      </c>
      <c r="D1550" s="48" t="s">
        <v>211</v>
      </c>
      <c r="E1550" s="48">
        <v>0</v>
      </c>
      <c r="F1550" s="48"/>
      <c r="G1550" s="49"/>
      <c r="H1550" s="7"/>
      <c r="I1550" s="7"/>
      <c r="J1550" s="7"/>
      <c r="K1550" s="7"/>
      <c r="L1550" s="7"/>
      <c r="M1550" s="7"/>
      <c r="N1550" s="7"/>
      <c r="O1550" s="7"/>
    </row>
    <row r="1551" spans="1:15" s="56" customFormat="1" hidden="1" outlineLevel="1" x14ac:dyDescent="0.35">
      <c r="A1551" s="2"/>
      <c r="B1551" s="47" t="s">
        <v>1656</v>
      </c>
      <c r="C1551" s="48" t="s">
        <v>1948</v>
      </c>
      <c r="D1551" s="48" t="s">
        <v>211</v>
      </c>
      <c r="E1551" s="48">
        <v>0</v>
      </c>
      <c r="F1551" s="48"/>
      <c r="G1551" s="49"/>
      <c r="H1551" s="7"/>
      <c r="I1551" s="7"/>
      <c r="J1551" s="7"/>
      <c r="K1551" s="7"/>
      <c r="L1551" s="7"/>
      <c r="M1551" s="7"/>
      <c r="N1551" s="7"/>
      <c r="O1551" s="7"/>
    </row>
    <row r="1552" spans="1:15" s="56" customFormat="1" hidden="1" outlineLevel="1" x14ac:dyDescent="0.35">
      <c r="A1552" s="2"/>
      <c r="B1552" s="47" t="s">
        <v>1657</v>
      </c>
      <c r="C1552" s="48" t="s">
        <v>1658</v>
      </c>
      <c r="D1552" s="48" t="s">
        <v>211</v>
      </c>
      <c r="E1552" s="48">
        <v>0</v>
      </c>
      <c r="F1552" s="48"/>
      <c r="G1552" s="49" t="s">
        <v>1659</v>
      </c>
      <c r="H1552" s="7"/>
      <c r="I1552" s="7"/>
      <c r="J1552" s="7"/>
      <c r="K1552" s="7"/>
      <c r="L1552" s="7"/>
      <c r="M1552" s="7"/>
      <c r="N1552" s="7"/>
      <c r="O1552" s="7"/>
    </row>
    <row r="1553" spans="1:15" s="56" customFormat="1" hidden="1" outlineLevel="1" x14ac:dyDescent="0.35">
      <c r="A1553" s="2"/>
      <c r="B1553" s="61" t="s">
        <v>1660</v>
      </c>
      <c r="C1553" s="48" t="s">
        <v>1661</v>
      </c>
      <c r="D1553" s="48" t="s">
        <v>1172</v>
      </c>
      <c r="E1553" s="48">
        <v>0</v>
      </c>
      <c r="F1553" s="48"/>
      <c r="G1553" s="49"/>
      <c r="H1553" s="7"/>
      <c r="I1553" s="7"/>
      <c r="J1553" s="7"/>
      <c r="K1553" s="7"/>
      <c r="L1553" s="7"/>
      <c r="M1553" s="7"/>
      <c r="N1553" s="7"/>
      <c r="O1553" s="7"/>
    </row>
    <row r="1554" spans="1:15" s="56" customFormat="1" hidden="1" outlineLevel="1" x14ac:dyDescent="0.35">
      <c r="A1554" s="2"/>
      <c r="B1554" s="47" t="s">
        <v>1662</v>
      </c>
      <c r="C1554" s="48" t="s">
        <v>1663</v>
      </c>
      <c r="D1554" s="48" t="s">
        <v>1172</v>
      </c>
      <c r="E1554" s="48">
        <v>0</v>
      </c>
      <c r="F1554" s="48"/>
      <c r="G1554" s="49"/>
      <c r="H1554" s="7"/>
      <c r="I1554" s="7"/>
      <c r="J1554" s="7"/>
      <c r="K1554" s="7"/>
      <c r="L1554" s="7"/>
      <c r="M1554" s="7"/>
      <c r="N1554" s="7"/>
      <c r="O1554" s="7"/>
    </row>
    <row r="1555" spans="1:15" s="56" customFormat="1" hidden="1" outlineLevel="1" x14ac:dyDescent="0.35">
      <c r="A1555" s="2"/>
      <c r="B1555" s="47" t="s">
        <v>1664</v>
      </c>
      <c r="C1555" s="48" t="s">
        <v>1665</v>
      </c>
      <c r="D1555" s="48" t="s">
        <v>1169</v>
      </c>
      <c r="E1555" s="48">
        <v>0</v>
      </c>
      <c r="F1555" s="48"/>
      <c r="G1555" s="49"/>
      <c r="H1555" s="7"/>
      <c r="I1555" s="7"/>
      <c r="J1555" s="7"/>
      <c r="K1555" s="7"/>
      <c r="L1555" s="7"/>
      <c r="M1555" s="7"/>
      <c r="N1555" s="7"/>
      <c r="O1555" s="7"/>
    </row>
    <row r="1556" spans="1:15" s="56" customFormat="1" hidden="1" outlineLevel="1" x14ac:dyDescent="0.35">
      <c r="A1556" s="2"/>
      <c r="B1556" s="47" t="s">
        <v>1666</v>
      </c>
      <c r="C1556" s="48" t="s">
        <v>1667</v>
      </c>
      <c r="D1556" s="48" t="s">
        <v>1169</v>
      </c>
      <c r="E1556" s="48">
        <v>0</v>
      </c>
      <c r="F1556" s="48"/>
      <c r="G1556" s="49"/>
      <c r="H1556" s="7"/>
      <c r="I1556" s="7"/>
      <c r="J1556" s="7"/>
      <c r="K1556" s="7"/>
      <c r="L1556" s="7"/>
      <c r="M1556" s="7"/>
      <c r="N1556" s="7"/>
      <c r="O1556" s="7"/>
    </row>
    <row r="1557" spans="1:15" s="56" customFormat="1" hidden="1" outlineLevel="1" x14ac:dyDescent="0.35">
      <c r="A1557" s="2"/>
      <c r="B1557" s="47" t="s">
        <v>1668</v>
      </c>
      <c r="C1557" s="48" t="s">
        <v>1319</v>
      </c>
      <c r="D1557" s="48" t="s">
        <v>1169</v>
      </c>
      <c r="E1557" s="48">
        <v>0</v>
      </c>
      <c r="F1557" s="48"/>
      <c r="G1557" s="49"/>
      <c r="H1557" s="7"/>
      <c r="I1557" s="7"/>
      <c r="J1557" s="7"/>
      <c r="K1557" s="7"/>
      <c r="L1557" s="7"/>
      <c r="M1557" s="7"/>
      <c r="N1557" s="7"/>
      <c r="O1557" s="7"/>
    </row>
    <row r="1558" spans="1:15" s="56" customFormat="1" hidden="1" outlineLevel="1" x14ac:dyDescent="0.35">
      <c r="A1558" s="2"/>
      <c r="B1558" s="47" t="s">
        <v>1669</v>
      </c>
      <c r="C1558" s="48" t="s">
        <v>1320</v>
      </c>
      <c r="D1558" s="48" t="s">
        <v>1169</v>
      </c>
      <c r="E1558" s="48">
        <v>0</v>
      </c>
      <c r="F1558" s="48"/>
      <c r="G1558" s="49"/>
      <c r="H1558" s="7"/>
      <c r="I1558" s="7"/>
      <c r="J1558" s="7"/>
      <c r="K1558" s="7"/>
      <c r="L1558" s="7"/>
      <c r="M1558" s="7"/>
      <c r="N1558" s="7"/>
      <c r="O1558" s="7"/>
    </row>
    <row r="1559" spans="1:15" s="56" customFormat="1" hidden="1" outlineLevel="1" x14ac:dyDescent="0.35">
      <c r="A1559" s="2"/>
      <c r="B1559" s="47" t="s">
        <v>1670</v>
      </c>
      <c r="C1559" s="48" t="s">
        <v>1154</v>
      </c>
      <c r="D1559" s="48" t="s">
        <v>1169</v>
      </c>
      <c r="E1559" s="48">
        <v>0</v>
      </c>
      <c r="F1559" s="48"/>
      <c r="G1559" s="49"/>
      <c r="H1559" s="7"/>
      <c r="I1559" s="7"/>
      <c r="J1559" s="7"/>
      <c r="K1559" s="7"/>
      <c r="L1559" s="7"/>
      <c r="M1559" s="7"/>
      <c r="N1559" s="7"/>
      <c r="O1559" s="7"/>
    </row>
    <row r="1560" spans="1:15" s="56" customFormat="1" hidden="1" outlineLevel="1" x14ac:dyDescent="0.35">
      <c r="A1560" s="2"/>
      <c r="B1560" s="47" t="s">
        <v>1671</v>
      </c>
      <c r="C1560" s="48" t="s">
        <v>1321</v>
      </c>
      <c r="D1560" s="48" t="s">
        <v>1169</v>
      </c>
      <c r="E1560" s="48">
        <v>0</v>
      </c>
      <c r="F1560" s="48"/>
      <c r="G1560" s="49"/>
      <c r="H1560" s="7"/>
      <c r="I1560" s="7"/>
      <c r="J1560" s="7"/>
      <c r="K1560" s="7"/>
      <c r="L1560" s="7"/>
      <c r="M1560" s="7"/>
      <c r="N1560" s="7"/>
      <c r="O1560" s="7"/>
    </row>
    <row r="1561" spans="1:15" s="56" customFormat="1" hidden="1" outlineLevel="1" x14ac:dyDescent="0.35">
      <c r="A1561" s="2"/>
      <c r="B1561" s="47" t="s">
        <v>1672</v>
      </c>
      <c r="C1561" s="48" t="s">
        <v>1976</v>
      </c>
      <c r="D1561" s="48" t="s">
        <v>1169</v>
      </c>
      <c r="E1561" s="48">
        <v>0</v>
      </c>
      <c r="F1561" s="48"/>
      <c r="G1561" s="49"/>
      <c r="H1561" s="7"/>
      <c r="I1561" s="7"/>
      <c r="J1561" s="7"/>
      <c r="K1561" s="7"/>
      <c r="L1561" s="7"/>
      <c r="M1561" s="7"/>
      <c r="N1561" s="7"/>
      <c r="O1561" s="7"/>
    </row>
    <row r="1562" spans="1:15" s="56" customFormat="1" ht="18" hidden="1" outlineLevel="1" thickBot="1" x14ac:dyDescent="0.4">
      <c r="A1562" s="2"/>
      <c r="B1562" s="294" t="s">
        <v>1936</v>
      </c>
      <c r="C1562" s="295" t="s">
        <v>1977</v>
      </c>
      <c r="D1562" s="295" t="s">
        <v>1169</v>
      </c>
      <c r="E1562" s="295">
        <v>0</v>
      </c>
      <c r="F1562" s="295"/>
      <c r="G1562" s="296"/>
      <c r="H1562" s="7"/>
      <c r="I1562" s="7"/>
      <c r="J1562" s="7"/>
      <c r="K1562" s="7"/>
      <c r="L1562" s="7"/>
      <c r="M1562" s="7"/>
      <c r="N1562" s="7"/>
      <c r="O1562" s="7"/>
    </row>
    <row r="1563" spans="1:15" s="56" customFormat="1" hidden="1" outlineLevel="1" x14ac:dyDescent="0.35">
      <c r="A1563" s="2"/>
      <c r="B1563" s="340" t="s">
        <v>15</v>
      </c>
      <c r="C1563" s="341"/>
      <c r="D1563" s="341"/>
      <c r="E1563" s="341"/>
      <c r="F1563" s="341"/>
      <c r="G1563" s="342"/>
      <c r="H1563" s="7"/>
      <c r="I1563" s="7"/>
      <c r="J1563" s="7"/>
      <c r="K1563" s="7"/>
      <c r="L1563" s="7"/>
      <c r="M1563" s="7"/>
      <c r="N1563" s="7"/>
      <c r="O1563" s="7"/>
    </row>
    <row r="1564" spans="1:15" s="56" customFormat="1" hidden="1" outlineLevel="1" x14ac:dyDescent="0.35">
      <c r="A1564" s="2"/>
      <c r="B1564" s="47"/>
      <c r="C1564" s="48"/>
      <c r="D1564" s="48"/>
      <c r="E1564" s="48"/>
      <c r="F1564" s="48"/>
      <c r="G1564" s="49"/>
      <c r="H1564" s="7"/>
      <c r="I1564" s="7"/>
      <c r="J1564" s="7"/>
      <c r="K1564" s="7"/>
      <c r="L1564" s="7"/>
      <c r="M1564" s="7"/>
      <c r="N1564" s="7"/>
      <c r="O1564" s="7"/>
    </row>
    <row r="1565" spans="1:15" s="56" customFormat="1" hidden="1" outlineLevel="1" x14ac:dyDescent="0.35">
      <c r="A1565" s="2" t="s">
        <v>62</v>
      </c>
      <c r="B1565" s="47">
        <v>1</v>
      </c>
      <c r="C1565" s="48" t="s">
        <v>21</v>
      </c>
      <c r="D1565" s="48"/>
      <c r="E1565" s="48"/>
      <c r="F1565" s="48"/>
      <c r="G1565" s="49"/>
      <c r="H1565" s="7"/>
      <c r="I1565" s="7"/>
      <c r="J1565" s="7"/>
      <c r="K1565" s="7"/>
      <c r="L1565" s="7"/>
      <c r="M1565" s="7"/>
      <c r="N1565" s="7"/>
      <c r="O1565" s="7"/>
    </row>
    <row r="1566" spans="1:15" s="56" customFormat="1" hidden="1" outlineLevel="1" x14ac:dyDescent="0.35">
      <c r="A1566" s="2"/>
      <c r="B1566" s="66"/>
      <c r="C1566" s="43"/>
      <c r="D1566" s="43"/>
      <c r="E1566" s="43"/>
      <c r="F1566" s="43"/>
      <c r="G1566" s="45"/>
      <c r="H1566" s="7"/>
      <c r="I1566" s="7"/>
      <c r="J1566" s="7"/>
      <c r="K1566" s="7"/>
      <c r="L1566" s="7"/>
      <c r="M1566" s="7"/>
      <c r="N1566" s="7"/>
      <c r="O1566" s="7"/>
    </row>
    <row r="1567" spans="1:15" s="7" customFormat="1" ht="18" hidden="1" outlineLevel="1" thickBot="1" x14ac:dyDescent="0.2">
      <c r="A1567" s="2"/>
      <c r="B1567" s="53"/>
      <c r="C1567" s="54"/>
      <c r="D1567" s="54"/>
      <c r="E1567" s="54"/>
      <c r="F1567" s="54"/>
      <c r="G1567" s="55"/>
    </row>
    <row r="1568" spans="1:15" s="7" customFormat="1" hidden="1" outlineLevel="1" x14ac:dyDescent="0.15">
      <c r="A1568" s="2"/>
    </row>
    <row r="1569" spans="1:15" s="56" customFormat="1" ht="18" hidden="1" outlineLevel="1" thickBot="1" x14ac:dyDescent="0.4">
      <c r="A1569" s="2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</row>
    <row r="1570" spans="1:15" s="56" customFormat="1" ht="18" collapsed="1" thickBot="1" x14ac:dyDescent="0.4">
      <c r="A1570" s="2"/>
      <c r="B1570" s="39" t="s">
        <v>563</v>
      </c>
      <c r="C1570" s="280" t="s">
        <v>1769</v>
      </c>
      <c r="D1570" s="40" t="s">
        <v>515</v>
      </c>
      <c r="E1570" s="289" t="s">
        <v>1746</v>
      </c>
      <c r="F1570" s="40" t="s">
        <v>567</v>
      </c>
      <c r="G1570" s="41"/>
      <c r="H1570" s="7"/>
      <c r="I1570" s="7"/>
      <c r="J1570" s="7"/>
      <c r="K1570" s="7"/>
      <c r="L1570" s="7"/>
      <c r="M1570" s="7"/>
      <c r="N1570" s="7"/>
      <c r="O1570" s="7"/>
    </row>
    <row r="1571" spans="1:15" s="56" customFormat="1" ht="18" hidden="1" outlineLevel="1" thickBot="1" x14ac:dyDescent="0.4">
      <c r="A1571" s="2"/>
      <c r="B1571" s="57" t="s">
        <v>570</v>
      </c>
      <c r="C1571" s="54"/>
      <c r="D1571" s="58" t="s">
        <v>568</v>
      </c>
      <c r="E1571" s="54" t="s">
        <v>615</v>
      </c>
      <c r="F1571" s="58"/>
      <c r="G1571" s="55"/>
      <c r="H1571" s="7"/>
      <c r="I1571" s="7"/>
      <c r="J1571" s="7"/>
      <c r="K1571" s="7"/>
      <c r="L1571" s="7"/>
      <c r="M1571" s="7"/>
      <c r="N1571" s="7"/>
      <c r="O1571" s="7"/>
    </row>
    <row r="1572" spans="1:15" s="56" customFormat="1" hidden="1" outlineLevel="1" x14ac:dyDescent="0.35">
      <c r="A1572" s="2"/>
      <c r="B1572" s="59" t="s">
        <v>0</v>
      </c>
      <c r="C1572" s="60" t="s">
        <v>1</v>
      </c>
      <c r="D1572" s="60" t="s">
        <v>2</v>
      </c>
      <c r="E1572" s="60"/>
      <c r="F1572" s="60" t="s">
        <v>3</v>
      </c>
      <c r="G1572" s="60" t="s">
        <v>4</v>
      </c>
      <c r="H1572" s="7"/>
      <c r="I1572" s="7"/>
      <c r="J1572" s="7"/>
      <c r="K1572" s="7"/>
      <c r="L1572" s="7"/>
      <c r="M1572" s="7"/>
      <c r="N1572" s="7"/>
      <c r="O1572" s="7"/>
    </row>
    <row r="1573" spans="1:15" s="56" customFormat="1" hidden="1" outlineLevel="1" x14ac:dyDescent="0.35">
      <c r="A1573" s="2"/>
      <c r="B1573" s="61" t="s">
        <v>16</v>
      </c>
      <c r="C1573" s="62" t="s">
        <v>1163</v>
      </c>
      <c r="D1573" s="62" t="s">
        <v>211</v>
      </c>
      <c r="E1573" s="62">
        <v>0</v>
      </c>
      <c r="F1573" s="62"/>
      <c r="G1573" s="63" t="s">
        <v>1077</v>
      </c>
      <c r="H1573" s="7"/>
      <c r="I1573" s="7"/>
      <c r="J1573" s="7"/>
      <c r="K1573" s="7"/>
      <c r="L1573" s="7"/>
      <c r="M1573" s="7"/>
      <c r="N1573" s="7"/>
      <c r="O1573" s="7"/>
    </row>
    <row r="1574" spans="1:15" s="56" customFormat="1" hidden="1" outlineLevel="1" x14ac:dyDescent="0.35">
      <c r="A1574" s="2"/>
      <c r="B1574" s="61" t="s">
        <v>21</v>
      </c>
      <c r="C1574" s="62" t="s">
        <v>1357</v>
      </c>
      <c r="D1574" s="62" t="s">
        <v>211</v>
      </c>
      <c r="E1574" s="62">
        <v>0</v>
      </c>
      <c r="F1574" s="62"/>
      <c r="G1574" s="63" t="s">
        <v>1358</v>
      </c>
      <c r="H1574" s="7"/>
      <c r="I1574" s="7"/>
      <c r="J1574" s="7"/>
      <c r="K1574" s="7"/>
      <c r="L1574" s="7"/>
      <c r="M1574" s="7"/>
      <c r="N1574" s="7"/>
      <c r="O1574" s="7"/>
    </row>
    <row r="1575" spans="1:15" s="56" customFormat="1" hidden="1" outlineLevel="1" x14ac:dyDescent="0.35">
      <c r="A1575" s="2"/>
      <c r="B1575" s="61" t="s">
        <v>1673</v>
      </c>
      <c r="C1575" s="62" t="s">
        <v>1578</v>
      </c>
      <c r="D1575" s="62" t="s">
        <v>1345</v>
      </c>
      <c r="E1575" s="62">
        <v>0</v>
      </c>
      <c r="F1575" s="62"/>
      <c r="G1575" s="63"/>
      <c r="H1575" s="7"/>
      <c r="I1575" s="7"/>
      <c r="J1575" s="7"/>
      <c r="K1575" s="7"/>
      <c r="L1575" s="7"/>
      <c r="M1575" s="7"/>
      <c r="N1575" s="7"/>
      <c r="O1575" s="7"/>
    </row>
    <row r="1576" spans="1:15" s="56" customFormat="1" hidden="1" outlineLevel="1" x14ac:dyDescent="0.35">
      <c r="A1576" s="2"/>
      <c r="B1576" s="61" t="s">
        <v>1674</v>
      </c>
      <c r="C1576" s="62" t="s">
        <v>1580</v>
      </c>
      <c r="D1576" s="62" t="s">
        <v>1432</v>
      </c>
      <c r="E1576" s="62" t="s">
        <v>1072</v>
      </c>
      <c r="F1576" s="62"/>
      <c r="G1576" s="63"/>
      <c r="H1576" s="7"/>
      <c r="I1576" s="7"/>
      <c r="J1576" s="7"/>
      <c r="K1576" s="7"/>
      <c r="L1576" s="7"/>
      <c r="M1576" s="7"/>
      <c r="N1576" s="7"/>
      <c r="O1576" s="7"/>
    </row>
    <row r="1577" spans="1:15" s="56" customFormat="1" hidden="1" outlineLevel="1" x14ac:dyDescent="0.35">
      <c r="A1577" s="2"/>
      <c r="B1577" s="66" t="s">
        <v>1675</v>
      </c>
      <c r="C1577" s="43" t="s">
        <v>1579</v>
      </c>
      <c r="D1577" s="43" t="s">
        <v>1073</v>
      </c>
      <c r="E1577" s="43" t="s">
        <v>1072</v>
      </c>
      <c r="F1577" s="43"/>
      <c r="G1577" s="45"/>
      <c r="H1577" s="7"/>
      <c r="I1577" s="7"/>
      <c r="J1577" s="7"/>
      <c r="K1577" s="7"/>
      <c r="L1577" s="7"/>
      <c r="M1577" s="7"/>
      <c r="N1577" s="7"/>
      <c r="O1577" s="7"/>
    </row>
    <row r="1578" spans="1:15" s="56" customFormat="1" hidden="1" outlineLevel="1" x14ac:dyDescent="0.35">
      <c r="A1578" s="2"/>
      <c r="B1578" s="47" t="s">
        <v>1676</v>
      </c>
      <c r="C1578" s="48" t="s">
        <v>1677</v>
      </c>
      <c r="D1578" s="48" t="s">
        <v>1092</v>
      </c>
      <c r="E1578" s="48" t="s">
        <v>1072</v>
      </c>
      <c r="F1578" s="48"/>
      <c r="G1578" s="49"/>
      <c r="H1578" s="7"/>
      <c r="I1578" s="7"/>
      <c r="J1578" s="7"/>
      <c r="K1578" s="7"/>
      <c r="L1578" s="7"/>
      <c r="M1578" s="7"/>
      <c r="N1578" s="7"/>
      <c r="O1578" s="7"/>
    </row>
    <row r="1579" spans="1:15" s="56" customFormat="1" ht="18" hidden="1" outlineLevel="1" thickBot="1" x14ac:dyDescent="0.4">
      <c r="A1579" s="2"/>
      <c r="B1579" s="47"/>
      <c r="C1579" s="43"/>
      <c r="D1579" s="43"/>
      <c r="E1579" s="43"/>
      <c r="F1579" s="43"/>
      <c r="G1579" s="45"/>
      <c r="H1579" s="7"/>
      <c r="I1579" s="7"/>
      <c r="J1579" s="7"/>
      <c r="K1579" s="7"/>
      <c r="L1579" s="7"/>
      <c r="M1579" s="7"/>
      <c r="N1579" s="7"/>
      <c r="O1579" s="7"/>
    </row>
    <row r="1580" spans="1:15" s="56" customFormat="1" hidden="1" outlineLevel="1" x14ac:dyDescent="0.35">
      <c r="A1580" s="2"/>
      <c r="B1580" s="340" t="s">
        <v>15</v>
      </c>
      <c r="C1580" s="341"/>
      <c r="D1580" s="341"/>
      <c r="E1580" s="341"/>
      <c r="F1580" s="341"/>
      <c r="G1580" s="342"/>
      <c r="H1580" s="7"/>
      <c r="I1580" s="7"/>
      <c r="J1580" s="7"/>
      <c r="K1580" s="7"/>
      <c r="L1580" s="7"/>
      <c r="M1580" s="7"/>
      <c r="N1580" s="7"/>
      <c r="O1580" s="7"/>
    </row>
    <row r="1581" spans="1:15" s="56" customFormat="1" hidden="1" outlineLevel="1" x14ac:dyDescent="0.35">
      <c r="A1581" s="2"/>
      <c r="B1581" s="47"/>
      <c r="C1581" s="48"/>
      <c r="D1581" s="48"/>
      <c r="E1581" s="48"/>
      <c r="F1581" s="48"/>
      <c r="G1581" s="49"/>
      <c r="H1581" s="7"/>
      <c r="I1581" s="7"/>
      <c r="J1581" s="7"/>
      <c r="K1581" s="7"/>
      <c r="L1581" s="7"/>
      <c r="M1581" s="7"/>
      <c r="N1581" s="7"/>
      <c r="O1581" s="7"/>
    </row>
    <row r="1582" spans="1:15" s="56" customFormat="1" hidden="1" outlineLevel="1" x14ac:dyDescent="0.35">
      <c r="A1582" s="2" t="s">
        <v>62</v>
      </c>
      <c r="B1582" s="47">
        <v>1</v>
      </c>
      <c r="C1582" s="48" t="s">
        <v>16</v>
      </c>
      <c r="D1582" s="48" t="s">
        <v>21</v>
      </c>
      <c r="E1582" s="61" t="s">
        <v>1673</v>
      </c>
      <c r="F1582" s="48"/>
      <c r="G1582" s="49"/>
      <c r="H1582" s="7"/>
      <c r="I1582" s="7"/>
      <c r="J1582" s="7"/>
      <c r="K1582" s="7"/>
      <c r="L1582" s="7"/>
      <c r="M1582" s="7"/>
      <c r="N1582" s="7"/>
      <c r="O1582" s="7"/>
    </row>
    <row r="1583" spans="1:15" s="56" customFormat="1" hidden="1" outlineLevel="1" x14ac:dyDescent="0.35">
      <c r="A1583" s="2"/>
      <c r="B1583" s="66"/>
      <c r="C1583" s="43"/>
      <c r="D1583" s="43"/>
      <c r="E1583" s="43"/>
      <c r="F1583" s="43"/>
      <c r="G1583" s="45"/>
      <c r="H1583" s="7"/>
      <c r="I1583" s="7"/>
      <c r="J1583" s="7"/>
      <c r="K1583" s="7"/>
      <c r="L1583" s="7"/>
      <c r="M1583" s="7"/>
      <c r="N1583" s="7"/>
      <c r="O1583" s="7"/>
    </row>
    <row r="1584" spans="1:15" s="7" customFormat="1" ht="18" hidden="1" outlineLevel="1" thickBot="1" x14ac:dyDescent="0.2">
      <c r="A1584" s="2"/>
      <c r="B1584" s="53"/>
      <c r="C1584" s="54"/>
      <c r="D1584" s="54"/>
      <c r="E1584" s="54"/>
      <c r="F1584" s="54"/>
      <c r="G1584" s="55"/>
    </row>
    <row r="1585" spans="1:15" s="7" customFormat="1" hidden="1" outlineLevel="1" x14ac:dyDescent="0.15">
      <c r="A1585" s="2"/>
    </row>
    <row r="1586" spans="1:15" s="2" customFormat="1" hidden="1" outlineLevel="1" x14ac:dyDescent="0.15"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</row>
    <row r="1587" spans="1:15" s="7" customFormat="1" ht="18" hidden="1" outlineLevel="1" thickBot="1" x14ac:dyDescent="0.2">
      <c r="A1587" s="2"/>
      <c r="B1587" s="2"/>
      <c r="C1587" s="2"/>
      <c r="D1587" s="2"/>
      <c r="E1587" s="2"/>
      <c r="F1587" s="2"/>
      <c r="G1587" s="2"/>
    </row>
    <row r="1588" spans="1:15" s="7" customFormat="1" ht="18" collapsed="1" thickBot="1" x14ac:dyDescent="0.2">
      <c r="A1588" s="2"/>
      <c r="B1588" s="39" t="s">
        <v>563</v>
      </c>
      <c r="C1588" s="280" t="s">
        <v>616</v>
      </c>
      <c r="D1588" s="40" t="s">
        <v>515</v>
      </c>
      <c r="E1588" s="289" t="s">
        <v>1747</v>
      </c>
      <c r="F1588" s="40" t="s">
        <v>567</v>
      </c>
      <c r="G1588" s="41" t="s">
        <v>597</v>
      </c>
    </row>
    <row r="1589" spans="1:15" s="7" customFormat="1" ht="18" hidden="1" outlineLevel="1" thickBot="1" x14ac:dyDescent="0.2">
      <c r="A1589" s="2"/>
      <c r="B1589" s="42" t="s">
        <v>570</v>
      </c>
      <c r="C1589" s="43"/>
      <c r="D1589" s="44" t="s">
        <v>568</v>
      </c>
      <c r="E1589" s="43" t="s">
        <v>615</v>
      </c>
      <c r="F1589" s="44"/>
      <c r="G1589" s="45"/>
    </row>
    <row r="1590" spans="1:15" s="7" customFormat="1" hidden="1" outlineLevel="1" x14ac:dyDescent="0.15">
      <c r="A1590" s="2"/>
      <c r="B1590" s="39" t="s">
        <v>0</v>
      </c>
      <c r="C1590" s="40" t="s">
        <v>1</v>
      </c>
      <c r="D1590" s="40" t="s">
        <v>2</v>
      </c>
      <c r="E1590" s="40"/>
      <c r="F1590" s="40" t="s">
        <v>3</v>
      </c>
      <c r="G1590" s="46" t="s">
        <v>4</v>
      </c>
    </row>
    <row r="1591" spans="1:15" s="7" customFormat="1" hidden="1" outlineLevel="1" x14ac:dyDescent="0.15">
      <c r="A1591" s="2"/>
      <c r="B1591" s="47" t="s">
        <v>21</v>
      </c>
      <c r="C1591" s="48" t="s">
        <v>1357</v>
      </c>
      <c r="D1591" s="48" t="s">
        <v>211</v>
      </c>
      <c r="E1591" s="48">
        <v>0</v>
      </c>
      <c r="F1591" s="48"/>
      <c r="G1591" s="49" t="s">
        <v>1358</v>
      </c>
    </row>
    <row r="1592" spans="1:15" s="7" customFormat="1" hidden="1" outlineLevel="1" x14ac:dyDescent="0.15">
      <c r="A1592" s="2"/>
      <c r="B1592" s="47" t="s">
        <v>6</v>
      </c>
      <c r="C1592" s="48" t="s">
        <v>1163</v>
      </c>
      <c r="D1592" s="48" t="s">
        <v>211</v>
      </c>
      <c r="E1592" s="48">
        <v>0</v>
      </c>
      <c r="F1592" s="48"/>
      <c r="G1592" s="49" t="s">
        <v>1077</v>
      </c>
    </row>
    <row r="1593" spans="1:15" s="7" customFormat="1" hidden="1" outlineLevel="1" x14ac:dyDescent="0.15">
      <c r="A1593" s="2"/>
      <c r="B1593" s="47" t="s">
        <v>111</v>
      </c>
      <c r="C1593" s="48" t="s">
        <v>1164</v>
      </c>
      <c r="D1593" s="48" t="s">
        <v>211</v>
      </c>
      <c r="E1593" s="48">
        <v>0</v>
      </c>
      <c r="F1593" s="48"/>
      <c r="G1593" s="49" t="s">
        <v>1165</v>
      </c>
    </row>
    <row r="1594" spans="1:15" s="7" customFormat="1" hidden="1" outlineLevel="1" x14ac:dyDescent="0.15">
      <c r="A1594" s="2"/>
      <c r="B1594" s="47" t="s">
        <v>123</v>
      </c>
      <c r="C1594" s="48" t="s">
        <v>1133</v>
      </c>
      <c r="D1594" s="48" t="s">
        <v>211</v>
      </c>
      <c r="E1594" s="48">
        <v>0</v>
      </c>
      <c r="F1594" s="48"/>
      <c r="G1594" s="49" t="s">
        <v>1182</v>
      </c>
    </row>
    <row r="1595" spans="1:15" s="7" customFormat="1" hidden="1" outlineLevel="1" x14ac:dyDescent="0.15">
      <c r="A1595" s="2"/>
      <c r="B1595" s="50" t="s">
        <v>113</v>
      </c>
      <c r="C1595" s="51" t="s">
        <v>1187</v>
      </c>
      <c r="D1595" s="51" t="s">
        <v>211</v>
      </c>
      <c r="E1595" s="51">
        <v>0</v>
      </c>
      <c r="F1595" s="51"/>
      <c r="G1595" s="52"/>
    </row>
    <row r="1596" spans="1:15" s="7" customFormat="1" hidden="1" outlineLevel="1" x14ac:dyDescent="0.15">
      <c r="A1596" s="2"/>
      <c r="B1596" s="47" t="s">
        <v>7</v>
      </c>
      <c r="C1596" s="48" t="s">
        <v>1190</v>
      </c>
      <c r="D1596" s="48" t="s">
        <v>211</v>
      </c>
      <c r="E1596" s="48">
        <v>0</v>
      </c>
      <c r="F1596" s="48"/>
      <c r="G1596" s="49" t="s">
        <v>1081</v>
      </c>
    </row>
    <row r="1597" spans="1:15" s="7" customFormat="1" hidden="1" outlineLevel="1" x14ac:dyDescent="0.15">
      <c r="A1597" s="2"/>
      <c r="B1597" s="47" t="s">
        <v>19</v>
      </c>
      <c r="C1597" s="48" t="s">
        <v>1337</v>
      </c>
      <c r="D1597" s="48" t="s">
        <v>1219</v>
      </c>
      <c r="E1597" s="48" t="s">
        <v>1072</v>
      </c>
      <c r="F1597" s="48"/>
      <c r="G1597" s="49" t="s">
        <v>1338</v>
      </c>
    </row>
    <row r="1598" spans="1:15" s="7" customFormat="1" hidden="1" outlineLevel="1" x14ac:dyDescent="0.15">
      <c r="A1598" s="2"/>
      <c r="B1598" s="50" t="s">
        <v>114</v>
      </c>
      <c r="C1598" s="51" t="s">
        <v>1155</v>
      </c>
      <c r="D1598" s="51" t="s">
        <v>211</v>
      </c>
      <c r="E1598" s="51">
        <v>0</v>
      </c>
      <c r="F1598" s="51"/>
      <c r="G1598" s="52"/>
    </row>
    <row r="1599" spans="1:15" s="7" customFormat="1" hidden="1" outlineLevel="1" x14ac:dyDescent="0.15">
      <c r="A1599" s="2"/>
      <c r="B1599" s="50" t="s">
        <v>115</v>
      </c>
      <c r="C1599" s="51" t="s">
        <v>1188</v>
      </c>
      <c r="D1599" s="51" t="s">
        <v>211</v>
      </c>
      <c r="E1599" s="51">
        <v>0</v>
      </c>
      <c r="F1599" s="51"/>
      <c r="G1599" s="52"/>
    </row>
    <row r="1600" spans="1:15" s="7" customFormat="1" hidden="1" outlineLevel="1" x14ac:dyDescent="0.15">
      <c r="A1600" s="2"/>
      <c r="B1600" s="47" t="s">
        <v>124</v>
      </c>
      <c r="C1600" s="48" t="s">
        <v>1216</v>
      </c>
      <c r="D1600" s="48" t="s">
        <v>211</v>
      </c>
      <c r="E1600" s="48">
        <v>0</v>
      </c>
      <c r="F1600" s="48"/>
      <c r="G1600" s="49"/>
    </row>
    <row r="1601" spans="1:15" s="7" customFormat="1" hidden="1" outlineLevel="1" x14ac:dyDescent="0.15">
      <c r="A1601" s="2"/>
      <c r="B1601" s="47" t="s">
        <v>156</v>
      </c>
      <c r="C1601" s="48" t="s">
        <v>1195</v>
      </c>
      <c r="D1601" s="48" t="s">
        <v>1087</v>
      </c>
      <c r="E1601" s="48">
        <v>0</v>
      </c>
      <c r="F1601" s="48"/>
      <c r="G1601" s="49" t="s">
        <v>1196</v>
      </c>
    </row>
    <row r="1602" spans="1:15" s="7" customFormat="1" hidden="1" outlineLevel="1" x14ac:dyDescent="0.15">
      <c r="A1602" s="2"/>
      <c r="B1602" s="47" t="s">
        <v>965</v>
      </c>
      <c r="C1602" s="48" t="s">
        <v>1263</v>
      </c>
      <c r="D1602" s="48" t="s">
        <v>211</v>
      </c>
      <c r="E1602" s="48" t="s">
        <v>1141</v>
      </c>
      <c r="F1602" s="48"/>
      <c r="G1602" s="49"/>
    </row>
    <row r="1603" spans="1:15" s="7" customFormat="1" hidden="1" outlineLevel="1" x14ac:dyDescent="0.15">
      <c r="A1603" s="2"/>
      <c r="B1603" s="47" t="s">
        <v>126</v>
      </c>
      <c r="C1603" s="48" t="s">
        <v>1264</v>
      </c>
      <c r="D1603" s="48" t="s">
        <v>211</v>
      </c>
      <c r="E1603" s="48" t="s">
        <v>1265</v>
      </c>
      <c r="F1603" s="48"/>
      <c r="G1603" s="49"/>
    </row>
    <row r="1604" spans="1:15" s="7" customFormat="1" hidden="1" outlineLevel="1" x14ac:dyDescent="0.15">
      <c r="A1604" s="2"/>
      <c r="B1604" s="47" t="s">
        <v>127</v>
      </c>
      <c r="C1604" s="48" t="s">
        <v>1266</v>
      </c>
      <c r="D1604" s="48" t="s">
        <v>1211</v>
      </c>
      <c r="E1604" s="48">
        <v>0</v>
      </c>
      <c r="F1604" s="48"/>
      <c r="G1604" s="49"/>
    </row>
    <row r="1605" spans="1:15" s="7" customFormat="1" hidden="1" outlineLevel="1" x14ac:dyDescent="0.15">
      <c r="A1605" s="2"/>
      <c r="B1605" s="47" t="s">
        <v>128</v>
      </c>
      <c r="C1605" s="48" t="s">
        <v>1569</v>
      </c>
      <c r="D1605" s="48" t="s">
        <v>1169</v>
      </c>
      <c r="E1605" s="48">
        <v>0</v>
      </c>
      <c r="F1605" s="48"/>
      <c r="G1605" s="49"/>
    </row>
    <row r="1606" spans="1:15" s="7" customFormat="1" hidden="1" outlineLevel="1" x14ac:dyDescent="0.15">
      <c r="A1606" s="2"/>
      <c r="B1606" s="47" t="s">
        <v>129</v>
      </c>
      <c r="C1606" s="48" t="s">
        <v>1267</v>
      </c>
      <c r="D1606" s="48" t="s">
        <v>1169</v>
      </c>
      <c r="E1606" s="48">
        <v>0</v>
      </c>
      <c r="F1606" s="48"/>
      <c r="G1606" s="49"/>
    </row>
    <row r="1607" spans="1:15" s="7" customFormat="1" hidden="1" outlineLevel="1" x14ac:dyDescent="0.15">
      <c r="A1607" s="2"/>
      <c r="B1607" s="47" t="s">
        <v>1678</v>
      </c>
      <c r="C1607" s="48" t="s">
        <v>1400</v>
      </c>
      <c r="D1607" s="48" t="s">
        <v>1087</v>
      </c>
      <c r="E1607" s="48">
        <v>0</v>
      </c>
      <c r="F1607" s="48"/>
      <c r="G1607" s="49"/>
    </row>
    <row r="1608" spans="1:15" s="7" customFormat="1" hidden="1" outlineLevel="1" x14ac:dyDescent="0.15">
      <c r="A1608" s="2"/>
      <c r="B1608" s="47" t="s">
        <v>131</v>
      </c>
      <c r="C1608" s="48" t="s">
        <v>1401</v>
      </c>
      <c r="D1608" s="48" t="s">
        <v>1169</v>
      </c>
      <c r="E1608" s="48">
        <v>0</v>
      </c>
      <c r="F1608" s="48"/>
      <c r="G1608" s="49"/>
    </row>
    <row r="1609" spans="1:15" s="7" customFormat="1" hidden="1" outlineLevel="1" x14ac:dyDescent="0.15">
      <c r="A1609" s="2"/>
      <c r="B1609" s="47" t="s">
        <v>132</v>
      </c>
      <c r="C1609" s="48" t="s">
        <v>1090</v>
      </c>
      <c r="D1609" s="48" t="s">
        <v>1169</v>
      </c>
      <c r="E1609" s="48">
        <v>0</v>
      </c>
      <c r="F1609" s="48"/>
      <c r="G1609" s="49"/>
    </row>
    <row r="1610" spans="1:15" s="7" customFormat="1" hidden="1" outlineLevel="1" x14ac:dyDescent="0.15">
      <c r="A1610" s="2"/>
      <c r="B1610" s="47" t="s">
        <v>20</v>
      </c>
      <c r="C1610" s="48" t="s">
        <v>1269</v>
      </c>
      <c r="D1610" s="48" t="s">
        <v>1073</v>
      </c>
      <c r="E1610" s="48" t="s">
        <v>1072</v>
      </c>
      <c r="F1610" s="48"/>
      <c r="G1610" s="49" t="s">
        <v>1270</v>
      </c>
    </row>
    <row r="1611" spans="1:15" s="7" customFormat="1" hidden="1" outlineLevel="1" x14ac:dyDescent="0.15">
      <c r="A1611" s="2"/>
      <c r="B1611" s="47" t="s">
        <v>12</v>
      </c>
      <c r="C1611" s="48" t="s">
        <v>1143</v>
      </c>
      <c r="D1611" s="48" t="s">
        <v>1169</v>
      </c>
      <c r="E1611" s="48">
        <v>0</v>
      </c>
      <c r="F1611" s="48"/>
      <c r="G1611" s="49"/>
    </row>
    <row r="1612" spans="1:15" s="7" customFormat="1" hidden="1" outlineLevel="1" x14ac:dyDescent="0.15">
      <c r="A1612" s="2"/>
      <c r="B1612" s="47" t="s">
        <v>1630</v>
      </c>
      <c r="C1612" s="48" t="s">
        <v>1796</v>
      </c>
      <c r="D1612" s="48" t="s">
        <v>1169</v>
      </c>
      <c r="E1612" s="48">
        <v>0</v>
      </c>
      <c r="F1612" s="48"/>
      <c r="G1612" s="49"/>
    </row>
    <row r="1613" spans="1:15" s="7" customFormat="1" hidden="1" outlineLevel="1" x14ac:dyDescent="0.15">
      <c r="A1613" s="2"/>
      <c r="B1613" s="47" t="s">
        <v>1679</v>
      </c>
      <c r="C1613" s="48" t="s">
        <v>1402</v>
      </c>
      <c r="D1613" s="48" t="s">
        <v>1403</v>
      </c>
      <c r="E1613" s="48" t="s">
        <v>1303</v>
      </c>
      <c r="F1613" s="48"/>
      <c r="G1613" s="49" t="s">
        <v>1404</v>
      </c>
    </row>
    <row r="1614" spans="1:15" s="7" customFormat="1" ht="18" hidden="1" outlineLevel="1" thickBot="1" x14ac:dyDescent="0.2">
      <c r="A1614" s="2"/>
      <c r="B1614" s="53" t="s">
        <v>134</v>
      </c>
      <c r="C1614" s="54" t="s">
        <v>1406</v>
      </c>
      <c r="D1614" s="54" t="s">
        <v>1092</v>
      </c>
      <c r="E1614" s="54" t="s">
        <v>1072</v>
      </c>
      <c r="F1614" s="54"/>
      <c r="G1614" s="55" t="s">
        <v>1304</v>
      </c>
    </row>
    <row r="1615" spans="1:15" s="56" customFormat="1" hidden="1" outlineLevel="1" x14ac:dyDescent="0.35">
      <c r="A1615" s="2"/>
      <c r="B1615" s="343" t="s">
        <v>15</v>
      </c>
      <c r="C1615" s="344"/>
      <c r="D1615" s="344"/>
      <c r="E1615" s="344"/>
      <c r="F1615" s="344"/>
      <c r="G1615" s="345"/>
      <c r="H1615" s="7"/>
      <c r="I1615" s="7"/>
      <c r="J1615" s="7"/>
      <c r="K1615" s="7"/>
      <c r="L1615" s="7"/>
      <c r="M1615" s="7"/>
      <c r="N1615" s="7"/>
      <c r="O1615" s="7"/>
    </row>
    <row r="1616" spans="1:15" s="56" customFormat="1" hidden="1" outlineLevel="1" x14ac:dyDescent="0.35">
      <c r="A1616" s="2"/>
      <c r="B1616" s="47">
        <v>1</v>
      </c>
      <c r="C1616" s="48" t="s">
        <v>135</v>
      </c>
      <c r="D1616" s="48" t="s">
        <v>123</v>
      </c>
      <c r="E1616" s="48" t="s">
        <v>113</v>
      </c>
      <c r="F1616" s="48" t="s">
        <v>114</v>
      </c>
      <c r="G1616" s="48" t="s">
        <v>115</v>
      </c>
      <c r="H1616" s="7"/>
      <c r="I1616" s="7"/>
      <c r="J1616" s="7"/>
      <c r="K1616" s="7"/>
      <c r="L1616" s="7"/>
      <c r="M1616" s="7"/>
      <c r="N1616" s="7"/>
      <c r="O1616" s="7"/>
    </row>
    <row r="1617" spans="1:7" s="7" customFormat="1" hidden="1" outlineLevel="1" x14ac:dyDescent="0.15">
      <c r="A1617" s="2"/>
      <c r="B1617" s="47">
        <v>2</v>
      </c>
      <c r="C1617" s="48" t="s">
        <v>16</v>
      </c>
      <c r="D1617" s="48" t="s">
        <v>111</v>
      </c>
      <c r="E1617" s="48" t="s">
        <v>123</v>
      </c>
      <c r="F1617" s="48"/>
      <c r="G1617" s="49"/>
    </row>
    <row r="1618" spans="1:7" s="7" customFormat="1" ht="18" hidden="1" outlineLevel="1" thickBot="1" x14ac:dyDescent="0.2">
      <c r="A1618" s="2"/>
      <c r="B1618" s="53">
        <v>3</v>
      </c>
      <c r="C1618" s="54" t="s">
        <v>1679</v>
      </c>
      <c r="D1618" s="54"/>
      <c r="E1618" s="54"/>
      <c r="F1618" s="54"/>
      <c r="G1618" s="55"/>
    </row>
    <row r="1619" spans="1:7" s="7" customFormat="1" hidden="1" outlineLevel="1" x14ac:dyDescent="0.15">
      <c r="A1619" s="2"/>
    </row>
    <row r="1620" spans="1:7" s="7" customFormat="1" ht="18" hidden="1" outlineLevel="1" thickBot="1" x14ac:dyDescent="0.2">
      <c r="A1620" s="2"/>
    </row>
    <row r="1621" spans="1:7" s="7" customFormat="1" ht="18" collapsed="1" thickBot="1" x14ac:dyDescent="0.2">
      <c r="A1621" s="2"/>
      <c r="B1621" s="39" t="s">
        <v>563</v>
      </c>
      <c r="C1621" s="280" t="s">
        <v>617</v>
      </c>
      <c r="D1621" s="40" t="s">
        <v>515</v>
      </c>
      <c r="E1621" s="289" t="s">
        <v>1751</v>
      </c>
      <c r="F1621" s="40" t="s">
        <v>567</v>
      </c>
      <c r="G1621" s="41" t="s">
        <v>1794</v>
      </c>
    </row>
    <row r="1622" spans="1:7" s="7" customFormat="1" ht="18" hidden="1" outlineLevel="1" thickBot="1" x14ac:dyDescent="0.2">
      <c r="A1622" s="2"/>
      <c r="B1622" s="57" t="s">
        <v>570</v>
      </c>
      <c r="C1622" s="54"/>
      <c r="D1622" s="58" t="s">
        <v>568</v>
      </c>
      <c r="E1622" s="54" t="s">
        <v>615</v>
      </c>
      <c r="F1622" s="58"/>
      <c r="G1622" s="55"/>
    </row>
    <row r="1623" spans="1:7" s="7" customFormat="1" hidden="1" outlineLevel="1" x14ac:dyDescent="0.15">
      <c r="A1623" s="2"/>
      <c r="B1623" s="59" t="s">
        <v>0</v>
      </c>
      <c r="C1623" s="60" t="s">
        <v>1</v>
      </c>
      <c r="D1623" s="60" t="s">
        <v>2</v>
      </c>
      <c r="E1623" s="60"/>
      <c r="F1623" s="60" t="s">
        <v>3</v>
      </c>
      <c r="G1623" s="60" t="s">
        <v>4</v>
      </c>
    </row>
    <row r="1624" spans="1:7" s="7" customFormat="1" hidden="1" outlineLevel="1" x14ac:dyDescent="0.15">
      <c r="A1624" s="2"/>
      <c r="B1624" s="47" t="s">
        <v>22</v>
      </c>
      <c r="C1624" s="48" t="s">
        <v>1127</v>
      </c>
      <c r="D1624" s="48" t="s">
        <v>211</v>
      </c>
      <c r="E1624" s="48" t="s">
        <v>1141</v>
      </c>
      <c r="F1624" s="48"/>
      <c r="G1624" s="49" t="s">
        <v>1162</v>
      </c>
    </row>
    <row r="1625" spans="1:7" s="7" customFormat="1" hidden="1" outlineLevel="1" x14ac:dyDescent="0.15">
      <c r="A1625" s="2"/>
      <c r="B1625" s="47" t="s">
        <v>21</v>
      </c>
      <c r="C1625" s="48" t="s">
        <v>1357</v>
      </c>
      <c r="D1625" s="48" t="s">
        <v>211</v>
      </c>
      <c r="E1625" s="48">
        <v>0</v>
      </c>
      <c r="F1625" s="48"/>
      <c r="G1625" s="49" t="s">
        <v>1358</v>
      </c>
    </row>
    <row r="1626" spans="1:7" s="7" customFormat="1" hidden="1" outlineLevel="1" x14ac:dyDescent="0.15">
      <c r="A1626" s="2"/>
      <c r="B1626" s="47" t="s">
        <v>6</v>
      </c>
      <c r="C1626" s="48" t="s">
        <v>1163</v>
      </c>
      <c r="D1626" s="48" t="s">
        <v>211</v>
      </c>
      <c r="E1626" s="48">
        <v>0</v>
      </c>
      <c r="F1626" s="48"/>
      <c r="G1626" s="49" t="s">
        <v>1077</v>
      </c>
    </row>
    <row r="1627" spans="1:7" s="7" customFormat="1" hidden="1" outlineLevel="1" x14ac:dyDescent="0.15">
      <c r="A1627" s="2"/>
      <c r="B1627" s="47" t="s">
        <v>111</v>
      </c>
      <c r="C1627" s="48" t="s">
        <v>1164</v>
      </c>
      <c r="D1627" s="48" t="s">
        <v>211</v>
      </c>
      <c r="E1627" s="48">
        <v>0</v>
      </c>
      <c r="F1627" s="48"/>
      <c r="G1627" s="49" t="s">
        <v>1165</v>
      </c>
    </row>
    <row r="1628" spans="1:7" s="7" customFormat="1" hidden="1" outlineLevel="1" x14ac:dyDescent="0.15">
      <c r="A1628" s="2"/>
      <c r="B1628" s="47" t="s">
        <v>123</v>
      </c>
      <c r="C1628" s="48" t="s">
        <v>1133</v>
      </c>
      <c r="D1628" s="48" t="s">
        <v>211</v>
      </c>
      <c r="E1628" s="48">
        <v>0</v>
      </c>
      <c r="F1628" s="48"/>
      <c r="G1628" s="49" t="s">
        <v>1182</v>
      </c>
    </row>
    <row r="1629" spans="1:7" s="7" customFormat="1" hidden="1" outlineLevel="1" x14ac:dyDescent="0.15">
      <c r="A1629" s="2"/>
      <c r="B1629" s="50" t="s">
        <v>113</v>
      </c>
      <c r="C1629" s="51" t="s">
        <v>1187</v>
      </c>
      <c r="D1629" s="51" t="s">
        <v>211</v>
      </c>
      <c r="E1629" s="51">
        <v>0</v>
      </c>
      <c r="F1629" s="51"/>
      <c r="G1629" s="52"/>
    </row>
    <row r="1630" spans="1:7" s="7" customFormat="1" hidden="1" outlineLevel="1" x14ac:dyDescent="0.15">
      <c r="A1630" s="2"/>
      <c r="B1630" s="50" t="s">
        <v>19</v>
      </c>
      <c r="C1630" s="51" t="s">
        <v>1337</v>
      </c>
      <c r="D1630" s="51" t="s">
        <v>1219</v>
      </c>
      <c r="E1630" s="51" t="s">
        <v>1072</v>
      </c>
      <c r="F1630" s="51"/>
      <c r="G1630" s="52" t="s">
        <v>1338</v>
      </c>
    </row>
    <row r="1631" spans="1:7" s="7" customFormat="1" hidden="1" outlineLevel="1" x14ac:dyDescent="0.15">
      <c r="A1631" s="2"/>
      <c r="B1631" s="47" t="s">
        <v>7</v>
      </c>
      <c r="C1631" s="48" t="s">
        <v>1190</v>
      </c>
      <c r="D1631" s="48" t="s">
        <v>211</v>
      </c>
      <c r="E1631" s="48">
        <v>0</v>
      </c>
      <c r="F1631" s="48"/>
      <c r="G1631" s="49" t="s">
        <v>1081</v>
      </c>
    </row>
    <row r="1632" spans="1:7" s="7" customFormat="1" hidden="1" outlineLevel="1" x14ac:dyDescent="0.15">
      <c r="A1632" s="2"/>
      <c r="B1632" s="50" t="s">
        <v>114</v>
      </c>
      <c r="C1632" s="51" t="s">
        <v>1155</v>
      </c>
      <c r="D1632" s="51" t="s">
        <v>211</v>
      </c>
      <c r="E1632" s="51">
        <v>0</v>
      </c>
      <c r="F1632" s="51"/>
      <c r="G1632" s="52"/>
    </row>
    <row r="1633" spans="1:7" s="7" customFormat="1" hidden="1" outlineLevel="1" x14ac:dyDescent="0.15">
      <c r="A1633" s="2"/>
      <c r="B1633" s="50" t="s">
        <v>115</v>
      </c>
      <c r="C1633" s="51" t="s">
        <v>1188</v>
      </c>
      <c r="D1633" s="51" t="s">
        <v>211</v>
      </c>
      <c r="E1633" s="51">
        <v>0</v>
      </c>
      <c r="F1633" s="51"/>
      <c r="G1633" s="52"/>
    </row>
    <row r="1634" spans="1:7" s="7" customFormat="1" hidden="1" outlineLevel="1" x14ac:dyDescent="0.15">
      <c r="A1634" s="2"/>
      <c r="B1634" s="47" t="s">
        <v>124</v>
      </c>
      <c r="C1634" s="48" t="s">
        <v>1216</v>
      </c>
      <c r="D1634" s="48" t="s">
        <v>211</v>
      </c>
      <c r="E1634" s="48">
        <v>0</v>
      </c>
      <c r="F1634" s="48"/>
      <c r="G1634" s="49"/>
    </row>
    <row r="1635" spans="1:7" s="7" customFormat="1" hidden="1" outlineLevel="1" x14ac:dyDescent="0.15">
      <c r="A1635" s="2"/>
      <c r="B1635" s="47" t="s">
        <v>9</v>
      </c>
      <c r="C1635" s="48" t="s">
        <v>1195</v>
      </c>
      <c r="D1635" s="48" t="s">
        <v>1087</v>
      </c>
      <c r="E1635" s="48">
        <v>0</v>
      </c>
      <c r="F1635" s="48"/>
      <c r="G1635" s="49" t="s">
        <v>1196</v>
      </c>
    </row>
    <row r="1636" spans="1:7" s="7" customFormat="1" hidden="1" outlineLevel="1" x14ac:dyDescent="0.15">
      <c r="A1636" s="2"/>
      <c r="B1636" s="47" t="s">
        <v>125</v>
      </c>
      <c r="C1636" s="48" t="s">
        <v>1263</v>
      </c>
      <c r="D1636" s="48" t="s">
        <v>211</v>
      </c>
      <c r="E1636" s="48" t="s">
        <v>1141</v>
      </c>
      <c r="F1636" s="48"/>
      <c r="G1636" s="49"/>
    </row>
    <row r="1637" spans="1:7" s="7" customFormat="1" hidden="1" outlineLevel="1" x14ac:dyDescent="0.15">
      <c r="A1637" s="2"/>
      <c r="B1637" s="47" t="s">
        <v>126</v>
      </c>
      <c r="C1637" s="48" t="s">
        <v>1264</v>
      </c>
      <c r="D1637" s="48" t="s">
        <v>211</v>
      </c>
      <c r="E1637" s="48" t="s">
        <v>1265</v>
      </c>
      <c r="F1637" s="48"/>
      <c r="G1637" s="49"/>
    </row>
    <row r="1638" spans="1:7" s="7" customFormat="1" hidden="1" outlineLevel="1" x14ac:dyDescent="0.15">
      <c r="A1638" s="2"/>
      <c r="B1638" s="47" t="s">
        <v>127</v>
      </c>
      <c r="C1638" s="48" t="s">
        <v>1266</v>
      </c>
      <c r="D1638" s="48" t="s">
        <v>1211</v>
      </c>
      <c r="E1638" s="48">
        <v>0</v>
      </c>
      <c r="F1638" s="48"/>
      <c r="G1638" s="49"/>
    </row>
    <row r="1639" spans="1:7" s="7" customFormat="1" hidden="1" outlineLevel="1" x14ac:dyDescent="0.15">
      <c r="A1639" s="2"/>
      <c r="B1639" s="47" t="s">
        <v>128</v>
      </c>
      <c r="C1639" s="48" t="s">
        <v>1569</v>
      </c>
      <c r="D1639" s="48" t="s">
        <v>1169</v>
      </c>
      <c r="E1639" s="48">
        <v>0</v>
      </c>
      <c r="F1639" s="48"/>
      <c r="G1639" s="49"/>
    </row>
    <row r="1640" spans="1:7" s="7" customFormat="1" hidden="1" outlineLevel="1" x14ac:dyDescent="0.15">
      <c r="A1640" s="2"/>
      <c r="B1640" s="47" t="s">
        <v>129</v>
      </c>
      <c r="C1640" s="48" t="s">
        <v>1267</v>
      </c>
      <c r="D1640" s="48" t="s">
        <v>1169</v>
      </c>
      <c r="E1640" s="48">
        <v>0</v>
      </c>
      <c r="F1640" s="48"/>
      <c r="G1640" s="49"/>
    </row>
    <row r="1641" spans="1:7" s="7" customFormat="1" hidden="1" outlineLevel="1" x14ac:dyDescent="0.15">
      <c r="A1641" s="2"/>
      <c r="B1641" s="47" t="s">
        <v>130</v>
      </c>
      <c r="C1641" s="48" t="s">
        <v>1400</v>
      </c>
      <c r="D1641" s="48" t="s">
        <v>1087</v>
      </c>
      <c r="E1641" s="48">
        <v>0</v>
      </c>
      <c r="F1641" s="48"/>
      <c r="G1641" s="49"/>
    </row>
    <row r="1642" spans="1:7" s="7" customFormat="1" hidden="1" outlineLevel="1" x14ac:dyDescent="0.15">
      <c r="A1642" s="2"/>
      <c r="B1642" s="47" t="s">
        <v>131</v>
      </c>
      <c r="C1642" s="48" t="s">
        <v>1401</v>
      </c>
      <c r="D1642" s="48" t="s">
        <v>1169</v>
      </c>
      <c r="E1642" s="48">
        <v>0</v>
      </c>
      <c r="F1642" s="48"/>
      <c r="G1642" s="49"/>
    </row>
    <row r="1643" spans="1:7" s="7" customFormat="1" hidden="1" outlineLevel="1" x14ac:dyDescent="0.15">
      <c r="A1643" s="2"/>
      <c r="B1643" s="47" t="s">
        <v>132</v>
      </c>
      <c r="C1643" s="48" t="s">
        <v>1090</v>
      </c>
      <c r="D1643" s="48" t="s">
        <v>1169</v>
      </c>
      <c r="E1643" s="48">
        <v>0</v>
      </c>
      <c r="F1643" s="48"/>
      <c r="G1643" s="49"/>
    </row>
    <row r="1644" spans="1:7" s="7" customFormat="1" hidden="1" outlineLevel="1" x14ac:dyDescent="0.15">
      <c r="A1644" s="2"/>
      <c r="B1644" s="47" t="s">
        <v>20</v>
      </c>
      <c r="C1644" s="48" t="s">
        <v>1269</v>
      </c>
      <c r="D1644" s="48" t="s">
        <v>1073</v>
      </c>
      <c r="E1644" s="48" t="s">
        <v>1072</v>
      </c>
      <c r="F1644" s="48"/>
      <c r="G1644" s="49" t="s">
        <v>1270</v>
      </c>
    </row>
    <row r="1645" spans="1:7" s="7" customFormat="1" hidden="1" outlineLevel="1" x14ac:dyDescent="0.15">
      <c r="A1645" s="2"/>
      <c r="B1645" s="47" t="s">
        <v>12</v>
      </c>
      <c r="C1645" s="48" t="s">
        <v>1143</v>
      </c>
      <c r="D1645" s="48" t="s">
        <v>1169</v>
      </c>
      <c r="E1645" s="48">
        <v>0</v>
      </c>
      <c r="F1645" s="48"/>
      <c r="G1645" s="49"/>
    </row>
    <row r="1646" spans="1:7" s="7" customFormat="1" hidden="1" outlineLevel="1" x14ac:dyDescent="0.15">
      <c r="A1646" s="2"/>
      <c r="B1646" s="47" t="s">
        <v>1630</v>
      </c>
      <c r="C1646" s="48" t="s">
        <v>1796</v>
      </c>
      <c r="D1646" s="48" t="s">
        <v>1169</v>
      </c>
      <c r="E1646" s="48">
        <v>0</v>
      </c>
      <c r="F1646" s="48"/>
      <c r="G1646" s="49"/>
    </row>
    <row r="1647" spans="1:7" s="7" customFormat="1" hidden="1" outlineLevel="1" x14ac:dyDescent="0.15">
      <c r="A1647" s="2"/>
      <c r="B1647" s="47" t="s">
        <v>1679</v>
      </c>
      <c r="C1647" s="48" t="s">
        <v>1402</v>
      </c>
      <c r="D1647" s="48" t="s">
        <v>1403</v>
      </c>
      <c r="E1647" s="48" t="s">
        <v>1303</v>
      </c>
      <c r="F1647" s="48"/>
      <c r="G1647" s="49" t="s">
        <v>1404</v>
      </c>
    </row>
    <row r="1648" spans="1:7" s="7" customFormat="1" ht="18" hidden="1" outlineLevel="1" thickBot="1" x14ac:dyDescent="0.2">
      <c r="A1648" s="2"/>
      <c r="B1648" s="53" t="s">
        <v>134</v>
      </c>
      <c r="C1648" s="54" t="s">
        <v>1406</v>
      </c>
      <c r="D1648" s="54" t="s">
        <v>1092</v>
      </c>
      <c r="E1648" s="54" t="s">
        <v>1072</v>
      </c>
      <c r="F1648" s="54"/>
      <c r="G1648" s="55" t="s">
        <v>1304</v>
      </c>
    </row>
    <row r="1649" spans="1:15" s="56" customFormat="1" hidden="1" outlineLevel="1" x14ac:dyDescent="0.35">
      <c r="A1649" s="2"/>
      <c r="B1649" s="340" t="s">
        <v>15</v>
      </c>
      <c r="C1649" s="341"/>
      <c r="D1649" s="341"/>
      <c r="E1649" s="341"/>
      <c r="F1649" s="341"/>
      <c r="G1649" s="342"/>
      <c r="H1649" s="48" t="s">
        <v>115</v>
      </c>
      <c r="I1649" s="7"/>
      <c r="J1649" s="7"/>
      <c r="K1649" s="7"/>
      <c r="L1649" s="7"/>
      <c r="M1649" s="7"/>
      <c r="N1649" s="7"/>
      <c r="O1649" s="7"/>
    </row>
    <row r="1650" spans="1:15" s="56" customFormat="1" hidden="1" outlineLevel="1" x14ac:dyDescent="0.35">
      <c r="A1650" s="2"/>
      <c r="B1650" s="47">
        <v>1</v>
      </c>
      <c r="C1650" s="48" t="s">
        <v>22</v>
      </c>
      <c r="D1650" s="47" t="s">
        <v>21</v>
      </c>
      <c r="E1650" s="48" t="s">
        <v>123</v>
      </c>
      <c r="F1650" s="48" t="s">
        <v>113</v>
      </c>
      <c r="G1650" s="48" t="s">
        <v>114</v>
      </c>
      <c r="H1650" s="7"/>
      <c r="I1650" s="7"/>
      <c r="J1650" s="7"/>
      <c r="K1650" s="7"/>
      <c r="L1650" s="7"/>
      <c r="M1650" s="7"/>
      <c r="N1650" s="7"/>
      <c r="O1650" s="7"/>
    </row>
    <row r="1651" spans="1:15" s="7" customFormat="1" hidden="1" outlineLevel="1" x14ac:dyDescent="0.15">
      <c r="A1651" s="2"/>
      <c r="B1651" s="47">
        <v>2</v>
      </c>
      <c r="C1651" s="48" t="s">
        <v>22</v>
      </c>
      <c r="D1651" s="48" t="s">
        <v>16</v>
      </c>
      <c r="E1651" s="48" t="s">
        <v>111</v>
      </c>
      <c r="F1651" s="48" t="s">
        <v>123</v>
      </c>
      <c r="G1651" s="49"/>
    </row>
    <row r="1652" spans="1:15" s="7" customFormat="1" ht="18" hidden="1" outlineLevel="1" thickBot="1" x14ac:dyDescent="0.2">
      <c r="A1652" s="2"/>
      <c r="B1652" s="53">
        <v>3</v>
      </c>
      <c r="C1652" s="54" t="s">
        <v>1679</v>
      </c>
      <c r="D1652" s="54"/>
      <c r="E1652" s="54"/>
      <c r="F1652" s="54"/>
      <c r="G1652" s="55"/>
    </row>
    <row r="1653" spans="1:15" s="7" customFormat="1" hidden="1" outlineLevel="1" x14ac:dyDescent="0.15">
      <c r="A1653" s="2"/>
    </row>
    <row r="1654" spans="1:15" s="7" customFormat="1" ht="18" hidden="1" outlineLevel="1" thickBot="1" x14ac:dyDescent="0.2">
      <c r="A1654" s="2"/>
    </row>
    <row r="1655" spans="1:15" s="7" customFormat="1" ht="18" collapsed="1" thickBot="1" x14ac:dyDescent="0.2">
      <c r="A1655" s="2"/>
      <c r="B1655" s="39" t="s">
        <v>563</v>
      </c>
      <c r="C1655" s="280" t="s">
        <v>1770</v>
      </c>
      <c r="D1655" s="40" t="s">
        <v>515</v>
      </c>
      <c r="E1655" s="289" t="s">
        <v>1748</v>
      </c>
      <c r="F1655" s="40" t="s">
        <v>567</v>
      </c>
      <c r="G1655" s="41" t="s">
        <v>1626</v>
      </c>
    </row>
    <row r="1656" spans="1:15" s="7" customFormat="1" ht="18" hidden="1" outlineLevel="1" thickBot="1" x14ac:dyDescent="0.2">
      <c r="A1656" s="2"/>
      <c r="B1656" s="42" t="s">
        <v>570</v>
      </c>
      <c r="C1656" s="43"/>
      <c r="D1656" s="44" t="s">
        <v>568</v>
      </c>
      <c r="E1656" s="43" t="s">
        <v>615</v>
      </c>
      <c r="F1656" s="44"/>
      <c r="G1656" s="45"/>
    </row>
    <row r="1657" spans="1:15" s="7" customFormat="1" hidden="1" outlineLevel="1" x14ac:dyDescent="0.15">
      <c r="A1657" s="2"/>
      <c r="B1657" s="39" t="s">
        <v>0</v>
      </c>
      <c r="C1657" s="40" t="s">
        <v>1</v>
      </c>
      <c r="D1657" s="40" t="s">
        <v>2</v>
      </c>
      <c r="E1657" s="40"/>
      <c r="F1657" s="40" t="s">
        <v>3</v>
      </c>
      <c r="G1657" s="46" t="s">
        <v>4</v>
      </c>
    </row>
    <row r="1658" spans="1:15" s="7" customFormat="1" hidden="1" outlineLevel="1" x14ac:dyDescent="0.15">
      <c r="A1658" s="2"/>
      <c r="B1658" s="47" t="s">
        <v>21</v>
      </c>
      <c r="C1658" s="48" t="s">
        <v>1357</v>
      </c>
      <c r="D1658" s="48" t="s">
        <v>211</v>
      </c>
      <c r="E1658" s="48">
        <v>0</v>
      </c>
      <c r="F1658" s="48"/>
      <c r="G1658" s="49" t="s">
        <v>1358</v>
      </c>
    </row>
    <row r="1659" spans="1:15" s="7" customFormat="1" hidden="1" outlineLevel="1" x14ac:dyDescent="0.15">
      <c r="A1659" s="2"/>
      <c r="B1659" s="47" t="s">
        <v>5</v>
      </c>
      <c r="C1659" s="48" t="s">
        <v>1127</v>
      </c>
      <c r="D1659" s="48" t="s">
        <v>211</v>
      </c>
      <c r="E1659" s="48" t="s">
        <v>1141</v>
      </c>
      <c r="F1659" s="48"/>
      <c r="G1659" s="49" t="s">
        <v>1162</v>
      </c>
    </row>
    <row r="1660" spans="1:15" s="7" customFormat="1" hidden="1" outlineLevel="1" x14ac:dyDescent="0.15">
      <c r="A1660" s="2"/>
      <c r="B1660" s="47" t="s">
        <v>6</v>
      </c>
      <c r="C1660" s="48" t="s">
        <v>1163</v>
      </c>
      <c r="D1660" s="48" t="s">
        <v>211</v>
      </c>
      <c r="E1660" s="48">
        <v>0</v>
      </c>
      <c r="F1660" s="48"/>
      <c r="G1660" s="49" t="s">
        <v>1077</v>
      </c>
    </row>
    <row r="1661" spans="1:15" s="7" customFormat="1" hidden="1" outlineLevel="1" x14ac:dyDescent="0.15">
      <c r="A1661" s="2"/>
      <c r="B1661" s="47" t="s">
        <v>111</v>
      </c>
      <c r="C1661" s="48" t="s">
        <v>1164</v>
      </c>
      <c r="D1661" s="48" t="s">
        <v>211</v>
      </c>
      <c r="E1661" s="48">
        <v>0</v>
      </c>
      <c r="F1661" s="48"/>
      <c r="G1661" s="49" t="s">
        <v>1165</v>
      </c>
    </row>
    <row r="1662" spans="1:15" s="7" customFormat="1" hidden="1" outlineLevel="1" x14ac:dyDescent="0.15">
      <c r="A1662" s="2"/>
      <c r="B1662" s="47" t="s">
        <v>123</v>
      </c>
      <c r="C1662" s="48" t="s">
        <v>1133</v>
      </c>
      <c r="D1662" s="48" t="s">
        <v>211</v>
      </c>
      <c r="E1662" s="48">
        <v>0</v>
      </c>
      <c r="F1662" s="48"/>
      <c r="G1662" s="49" t="s">
        <v>1182</v>
      </c>
    </row>
    <row r="1663" spans="1:15" s="7" customFormat="1" hidden="1" outlineLevel="1" x14ac:dyDescent="0.15">
      <c r="A1663" s="2"/>
      <c r="B1663" s="50" t="s">
        <v>113</v>
      </c>
      <c r="C1663" s="51" t="s">
        <v>1187</v>
      </c>
      <c r="D1663" s="51" t="s">
        <v>211</v>
      </c>
      <c r="E1663" s="51">
        <v>0</v>
      </c>
      <c r="F1663" s="51"/>
      <c r="G1663" s="52"/>
    </row>
    <row r="1664" spans="1:15" s="7" customFormat="1" hidden="1" outlineLevel="1" x14ac:dyDescent="0.15">
      <c r="A1664" s="2"/>
      <c r="B1664" s="47" t="s">
        <v>7</v>
      </c>
      <c r="C1664" s="48" t="s">
        <v>1190</v>
      </c>
      <c r="D1664" s="48" t="s">
        <v>211</v>
      </c>
      <c r="E1664" s="48">
        <v>0</v>
      </c>
      <c r="F1664" s="48"/>
      <c r="G1664" s="49" t="s">
        <v>1081</v>
      </c>
    </row>
    <row r="1665" spans="1:15" s="7" customFormat="1" hidden="1" outlineLevel="1" x14ac:dyDescent="0.15">
      <c r="A1665" s="2"/>
      <c r="B1665" s="50" t="s">
        <v>114</v>
      </c>
      <c r="C1665" s="51" t="s">
        <v>1155</v>
      </c>
      <c r="D1665" s="51" t="s">
        <v>211</v>
      </c>
      <c r="E1665" s="51">
        <v>0</v>
      </c>
      <c r="F1665" s="51"/>
      <c r="G1665" s="52"/>
    </row>
    <row r="1666" spans="1:15" s="7" customFormat="1" hidden="1" outlineLevel="1" x14ac:dyDescent="0.15">
      <c r="A1666" s="2"/>
      <c r="B1666" s="50" t="s">
        <v>115</v>
      </c>
      <c r="C1666" s="51" t="s">
        <v>1188</v>
      </c>
      <c r="D1666" s="51" t="s">
        <v>211</v>
      </c>
      <c r="E1666" s="51">
        <v>0</v>
      </c>
      <c r="F1666" s="51"/>
      <c r="G1666" s="52"/>
    </row>
    <row r="1667" spans="1:15" s="7" customFormat="1" hidden="1" outlineLevel="1" x14ac:dyDescent="0.15">
      <c r="A1667" s="2"/>
      <c r="B1667" s="47" t="s">
        <v>124</v>
      </c>
      <c r="C1667" s="48" t="s">
        <v>1216</v>
      </c>
      <c r="D1667" s="48" t="s">
        <v>211</v>
      </c>
      <c r="E1667" s="48">
        <v>0</v>
      </c>
      <c r="F1667" s="48"/>
      <c r="G1667" s="49"/>
    </row>
    <row r="1668" spans="1:15" s="7" customFormat="1" hidden="1" outlineLevel="1" x14ac:dyDescent="0.15">
      <c r="A1668" s="2"/>
      <c r="B1668" s="47" t="s">
        <v>1680</v>
      </c>
      <c r="C1668" s="48" t="s">
        <v>1271</v>
      </c>
      <c r="D1668" s="48" t="s">
        <v>1345</v>
      </c>
      <c r="E1668" s="48">
        <v>0</v>
      </c>
      <c r="F1668" s="48"/>
      <c r="G1668" s="49"/>
    </row>
    <row r="1669" spans="1:15" s="7" customFormat="1" hidden="1" outlineLevel="1" x14ac:dyDescent="0.15">
      <c r="A1669" s="2"/>
      <c r="B1669" s="47" t="s">
        <v>20</v>
      </c>
      <c r="C1669" s="48" t="s">
        <v>1269</v>
      </c>
      <c r="D1669" s="48" t="s">
        <v>1073</v>
      </c>
      <c r="E1669" s="48" t="s">
        <v>1072</v>
      </c>
      <c r="F1669" s="48"/>
      <c r="G1669" s="49" t="s">
        <v>1270</v>
      </c>
    </row>
    <row r="1670" spans="1:15" s="7" customFormat="1" hidden="1" outlineLevel="1" x14ac:dyDescent="0.15">
      <c r="A1670" s="2"/>
      <c r="B1670" s="47" t="s">
        <v>1681</v>
      </c>
      <c r="C1670" s="48" t="s">
        <v>1682</v>
      </c>
      <c r="D1670" s="48" t="s">
        <v>211</v>
      </c>
      <c r="E1670" s="48" t="s">
        <v>1141</v>
      </c>
      <c r="F1670" s="48"/>
      <c r="G1670" s="49"/>
    </row>
    <row r="1671" spans="1:15" s="7" customFormat="1" hidden="1" outlineLevel="1" x14ac:dyDescent="0.15">
      <c r="A1671" s="2"/>
      <c r="B1671" s="47" t="s">
        <v>1683</v>
      </c>
      <c r="C1671" s="48" t="s">
        <v>1684</v>
      </c>
      <c r="D1671" s="48" t="s">
        <v>211</v>
      </c>
      <c r="E1671" s="48" t="s">
        <v>1265</v>
      </c>
      <c r="F1671" s="48"/>
      <c r="G1671" s="49"/>
    </row>
    <row r="1672" spans="1:15" s="7" customFormat="1" hidden="1" outlineLevel="1" x14ac:dyDescent="0.15">
      <c r="A1672" s="2"/>
      <c r="B1672" s="47" t="s">
        <v>1685</v>
      </c>
      <c r="C1672" s="48" t="s">
        <v>1686</v>
      </c>
      <c r="D1672" s="48" t="s">
        <v>1211</v>
      </c>
      <c r="E1672" s="48">
        <v>0</v>
      </c>
      <c r="F1672" s="48"/>
      <c r="G1672" s="49"/>
    </row>
    <row r="1673" spans="1:15" s="7" customFormat="1" hidden="1" outlineLevel="1" x14ac:dyDescent="0.15">
      <c r="A1673" s="2"/>
      <c r="B1673" s="47" t="s">
        <v>130</v>
      </c>
      <c r="C1673" s="48" t="s">
        <v>1400</v>
      </c>
      <c r="D1673" s="48" t="s">
        <v>1087</v>
      </c>
      <c r="E1673" s="48">
        <v>0</v>
      </c>
      <c r="F1673" s="48"/>
      <c r="G1673" s="49"/>
    </row>
    <row r="1674" spans="1:15" s="7" customFormat="1" hidden="1" outlineLevel="1" x14ac:dyDescent="0.15">
      <c r="A1674" s="2"/>
      <c r="B1674" s="47" t="s">
        <v>1687</v>
      </c>
      <c r="C1674" s="48" t="s">
        <v>1401</v>
      </c>
      <c r="D1674" s="48" t="s">
        <v>1169</v>
      </c>
      <c r="E1674" s="48">
        <v>0</v>
      </c>
      <c r="F1674" s="48"/>
      <c r="G1674" s="49"/>
    </row>
    <row r="1675" spans="1:15" s="7" customFormat="1" hidden="1" outlineLevel="1" x14ac:dyDescent="0.15">
      <c r="A1675" s="2"/>
      <c r="B1675" s="47" t="s">
        <v>968</v>
      </c>
      <c r="C1675" s="48" t="s">
        <v>1090</v>
      </c>
      <c r="D1675" s="48" t="s">
        <v>1169</v>
      </c>
      <c r="E1675" s="48">
        <v>0</v>
      </c>
      <c r="F1675" s="48"/>
      <c r="G1675" s="49"/>
    </row>
    <row r="1676" spans="1:15" s="7" customFormat="1" hidden="1" outlineLevel="1" x14ac:dyDescent="0.15">
      <c r="A1676" s="2"/>
      <c r="B1676" s="47" t="s">
        <v>12</v>
      </c>
      <c r="C1676" s="48" t="s">
        <v>1143</v>
      </c>
      <c r="D1676" s="48" t="s">
        <v>1169</v>
      </c>
      <c r="E1676" s="48">
        <v>0</v>
      </c>
      <c r="F1676" s="48"/>
      <c r="G1676" s="49"/>
    </row>
    <row r="1677" spans="1:15" s="7" customFormat="1" ht="18" hidden="1" outlineLevel="1" thickBot="1" x14ac:dyDescent="0.2">
      <c r="A1677" s="2"/>
      <c r="B1677" s="53"/>
      <c r="C1677" s="54"/>
      <c r="D1677" s="54"/>
      <c r="E1677" s="54"/>
      <c r="F1677" s="54"/>
      <c r="G1677" s="55"/>
    </row>
    <row r="1678" spans="1:15" s="56" customFormat="1" hidden="1" outlineLevel="1" x14ac:dyDescent="0.35">
      <c r="A1678" s="2"/>
      <c r="B1678" s="343" t="s">
        <v>15</v>
      </c>
      <c r="C1678" s="344"/>
      <c r="D1678" s="344"/>
      <c r="E1678" s="344"/>
      <c r="F1678" s="344"/>
      <c r="G1678" s="345"/>
      <c r="H1678" s="7"/>
      <c r="I1678" s="7"/>
      <c r="J1678" s="7"/>
      <c r="K1678" s="7"/>
      <c r="L1678" s="7"/>
      <c r="M1678" s="7"/>
      <c r="N1678" s="7"/>
      <c r="O1678" s="7"/>
    </row>
    <row r="1679" spans="1:15" s="7" customFormat="1" hidden="1" outlineLevel="1" x14ac:dyDescent="0.15">
      <c r="A1679" s="2" t="s">
        <v>62</v>
      </c>
      <c r="B1679" s="66">
        <v>1</v>
      </c>
      <c r="C1679" s="43" t="s">
        <v>22</v>
      </c>
      <c r="D1679" s="43" t="s">
        <v>972</v>
      </c>
      <c r="E1679" s="43" t="s">
        <v>971</v>
      </c>
      <c r="F1679" s="43"/>
      <c r="G1679" s="45"/>
    </row>
    <row r="1680" spans="1:15" s="7" customFormat="1" ht="18" hidden="1" outlineLevel="1" thickBot="1" x14ac:dyDescent="0.2">
      <c r="A1680" s="2"/>
      <c r="B1680" s="53"/>
      <c r="C1680" s="54"/>
      <c r="D1680" s="54"/>
      <c r="E1680" s="54"/>
      <c r="F1680" s="54"/>
      <c r="G1680" s="55"/>
    </row>
    <row r="1681" spans="1:7" s="7" customFormat="1" ht="18" hidden="1" outlineLevel="1" thickBot="1" x14ac:dyDescent="0.2">
      <c r="A1681" s="2"/>
    </row>
    <row r="1682" spans="1:7" s="7" customFormat="1" ht="18" collapsed="1" thickBot="1" x14ac:dyDescent="0.2">
      <c r="A1682" s="2"/>
      <c r="B1682" s="39" t="s">
        <v>563</v>
      </c>
      <c r="C1682" s="280" t="s">
        <v>1771</v>
      </c>
      <c r="D1682" s="40" t="s">
        <v>515</v>
      </c>
      <c r="E1682" s="289" t="s">
        <v>1755</v>
      </c>
      <c r="F1682" s="40" t="s">
        <v>567</v>
      </c>
      <c r="G1682" s="41" t="s">
        <v>1755</v>
      </c>
    </row>
    <row r="1683" spans="1:7" s="7" customFormat="1" ht="18" hidden="1" outlineLevel="1" thickBot="1" x14ac:dyDescent="0.2">
      <c r="A1683" s="2"/>
      <c r="B1683" s="42" t="s">
        <v>570</v>
      </c>
      <c r="C1683" s="43"/>
      <c r="D1683" s="44" t="s">
        <v>568</v>
      </c>
      <c r="E1683" s="43" t="s">
        <v>615</v>
      </c>
      <c r="F1683" s="44"/>
      <c r="G1683" s="45"/>
    </row>
    <row r="1684" spans="1:7" s="7" customFormat="1" hidden="1" outlineLevel="1" x14ac:dyDescent="0.15">
      <c r="A1684" s="2"/>
      <c r="B1684" s="39" t="s">
        <v>0</v>
      </c>
      <c r="C1684" s="40" t="s">
        <v>1</v>
      </c>
      <c r="D1684" s="40" t="s">
        <v>2</v>
      </c>
      <c r="E1684" s="40"/>
      <c r="F1684" s="40" t="s">
        <v>3</v>
      </c>
      <c r="G1684" s="46" t="s">
        <v>4</v>
      </c>
    </row>
    <row r="1685" spans="1:7" s="7" customFormat="1" hidden="1" outlineLevel="1" x14ac:dyDescent="0.15">
      <c r="A1685" s="2"/>
      <c r="B1685" s="47" t="s">
        <v>21</v>
      </c>
      <c r="C1685" s="48" t="s">
        <v>1357</v>
      </c>
      <c r="D1685" s="48" t="s">
        <v>211</v>
      </c>
      <c r="E1685" s="48">
        <v>0</v>
      </c>
      <c r="F1685" s="48"/>
      <c r="G1685" s="49" t="s">
        <v>1358</v>
      </c>
    </row>
    <row r="1686" spans="1:7" s="7" customFormat="1" hidden="1" outlineLevel="1" x14ac:dyDescent="0.15">
      <c r="A1686" s="2"/>
      <c r="B1686" s="47" t="s">
        <v>5</v>
      </c>
      <c r="C1686" s="48" t="s">
        <v>1127</v>
      </c>
      <c r="D1686" s="48" t="s">
        <v>211</v>
      </c>
      <c r="E1686" s="48" t="s">
        <v>1141</v>
      </c>
      <c r="F1686" s="48"/>
      <c r="G1686" s="49" t="s">
        <v>1162</v>
      </c>
    </row>
    <row r="1687" spans="1:7" s="7" customFormat="1" hidden="1" outlineLevel="1" x14ac:dyDescent="0.15">
      <c r="A1687" s="2"/>
      <c r="B1687" s="47" t="s">
        <v>6</v>
      </c>
      <c r="C1687" s="48" t="s">
        <v>1163</v>
      </c>
      <c r="D1687" s="48" t="s">
        <v>211</v>
      </c>
      <c r="E1687" s="48">
        <v>0</v>
      </c>
      <c r="F1687" s="48"/>
      <c r="G1687" s="49" t="s">
        <v>1077</v>
      </c>
    </row>
    <row r="1688" spans="1:7" s="7" customFormat="1" hidden="1" outlineLevel="1" x14ac:dyDescent="0.15">
      <c r="A1688" s="2"/>
      <c r="B1688" s="47" t="s">
        <v>111</v>
      </c>
      <c r="C1688" s="48" t="s">
        <v>1164</v>
      </c>
      <c r="D1688" s="48" t="s">
        <v>211</v>
      </c>
      <c r="E1688" s="48">
        <v>0</v>
      </c>
      <c r="F1688" s="48"/>
      <c r="G1688" s="49" t="s">
        <v>1165</v>
      </c>
    </row>
    <row r="1689" spans="1:7" s="7" customFormat="1" hidden="1" outlineLevel="1" x14ac:dyDescent="0.15">
      <c r="A1689" s="2"/>
      <c r="B1689" s="47" t="s">
        <v>123</v>
      </c>
      <c r="C1689" s="48" t="s">
        <v>1133</v>
      </c>
      <c r="D1689" s="48" t="s">
        <v>211</v>
      </c>
      <c r="E1689" s="48">
        <v>0</v>
      </c>
      <c r="F1689" s="48"/>
      <c r="G1689" s="49" t="s">
        <v>1182</v>
      </c>
    </row>
    <row r="1690" spans="1:7" s="7" customFormat="1" hidden="1" outlineLevel="1" x14ac:dyDescent="0.15">
      <c r="A1690" s="2"/>
      <c r="B1690" s="50" t="s">
        <v>113</v>
      </c>
      <c r="C1690" s="51" t="s">
        <v>1187</v>
      </c>
      <c r="D1690" s="51" t="s">
        <v>211</v>
      </c>
      <c r="E1690" s="51">
        <v>0</v>
      </c>
      <c r="F1690" s="51"/>
      <c r="G1690" s="52"/>
    </row>
    <row r="1691" spans="1:7" s="7" customFormat="1" hidden="1" outlineLevel="1" x14ac:dyDescent="0.15">
      <c r="A1691" s="2"/>
      <c r="B1691" s="47" t="s">
        <v>7</v>
      </c>
      <c r="C1691" s="48" t="s">
        <v>1190</v>
      </c>
      <c r="D1691" s="48" t="s">
        <v>211</v>
      </c>
      <c r="E1691" s="48">
        <v>0</v>
      </c>
      <c r="F1691" s="48"/>
      <c r="G1691" s="49" t="s">
        <v>1081</v>
      </c>
    </row>
    <row r="1692" spans="1:7" s="7" customFormat="1" hidden="1" outlineLevel="1" x14ac:dyDescent="0.15">
      <c r="A1692" s="2"/>
      <c r="B1692" s="50" t="s">
        <v>114</v>
      </c>
      <c r="C1692" s="51" t="s">
        <v>1155</v>
      </c>
      <c r="D1692" s="51" t="s">
        <v>211</v>
      </c>
      <c r="E1692" s="51">
        <v>0</v>
      </c>
      <c r="F1692" s="51"/>
      <c r="G1692" s="52"/>
    </row>
    <row r="1693" spans="1:7" s="7" customFormat="1" hidden="1" outlineLevel="1" x14ac:dyDescent="0.15">
      <c r="A1693" s="2"/>
      <c r="B1693" s="50" t="s">
        <v>115</v>
      </c>
      <c r="C1693" s="51" t="s">
        <v>1188</v>
      </c>
      <c r="D1693" s="51" t="s">
        <v>211</v>
      </c>
      <c r="E1693" s="51">
        <v>0</v>
      </c>
      <c r="F1693" s="51"/>
      <c r="G1693" s="52"/>
    </row>
    <row r="1694" spans="1:7" s="7" customFormat="1" hidden="1" outlineLevel="1" x14ac:dyDescent="0.15">
      <c r="A1694" s="2"/>
      <c r="B1694" s="47" t="s">
        <v>124</v>
      </c>
      <c r="C1694" s="48" t="s">
        <v>1216</v>
      </c>
      <c r="D1694" s="48" t="s">
        <v>211</v>
      </c>
      <c r="E1694" s="48">
        <v>0</v>
      </c>
      <c r="F1694" s="48"/>
      <c r="G1694" s="49"/>
    </row>
    <row r="1695" spans="1:7" s="7" customFormat="1" hidden="1" outlineLevel="1" x14ac:dyDescent="0.15">
      <c r="A1695" s="2"/>
      <c r="B1695" s="47" t="s">
        <v>1680</v>
      </c>
      <c r="C1695" s="48" t="s">
        <v>1271</v>
      </c>
      <c r="D1695" s="48" t="s">
        <v>1345</v>
      </c>
      <c r="E1695" s="48">
        <v>0</v>
      </c>
      <c r="F1695" s="48"/>
      <c r="G1695" s="49"/>
    </row>
    <row r="1696" spans="1:7" s="7" customFormat="1" hidden="1" outlineLevel="1" x14ac:dyDescent="0.15">
      <c r="A1696" s="2"/>
      <c r="B1696" s="47" t="s">
        <v>20</v>
      </c>
      <c r="C1696" s="48" t="s">
        <v>1269</v>
      </c>
      <c r="D1696" s="48" t="s">
        <v>1073</v>
      </c>
      <c r="E1696" s="48" t="s">
        <v>1072</v>
      </c>
      <c r="F1696" s="48"/>
      <c r="G1696" s="49" t="s">
        <v>1270</v>
      </c>
    </row>
    <row r="1697" spans="1:15" s="7" customFormat="1" hidden="1" outlineLevel="1" x14ac:dyDescent="0.15">
      <c r="A1697" s="2"/>
      <c r="B1697" s="47" t="s">
        <v>1681</v>
      </c>
      <c r="C1697" s="48" t="s">
        <v>1682</v>
      </c>
      <c r="D1697" s="48" t="s">
        <v>211</v>
      </c>
      <c r="E1697" s="48" t="s">
        <v>1141</v>
      </c>
      <c r="F1697" s="48"/>
      <c r="G1697" s="49"/>
    </row>
    <row r="1698" spans="1:15" s="7" customFormat="1" hidden="1" outlineLevel="1" x14ac:dyDescent="0.15">
      <c r="A1698" s="2"/>
      <c r="B1698" s="47" t="s">
        <v>1683</v>
      </c>
      <c r="C1698" s="48" t="s">
        <v>1684</v>
      </c>
      <c r="D1698" s="48" t="s">
        <v>211</v>
      </c>
      <c r="E1698" s="48" t="s">
        <v>1265</v>
      </c>
      <c r="F1698" s="48"/>
      <c r="G1698" s="49"/>
    </row>
    <row r="1699" spans="1:15" s="7" customFormat="1" hidden="1" outlineLevel="1" x14ac:dyDescent="0.15">
      <c r="A1699" s="2"/>
      <c r="B1699" s="47" t="s">
        <v>1685</v>
      </c>
      <c r="C1699" s="48" t="s">
        <v>1686</v>
      </c>
      <c r="D1699" s="48" t="s">
        <v>1211</v>
      </c>
      <c r="E1699" s="48">
        <v>0</v>
      </c>
      <c r="F1699" s="48"/>
      <c r="G1699" s="49"/>
    </row>
    <row r="1700" spans="1:15" s="7" customFormat="1" hidden="1" outlineLevel="1" x14ac:dyDescent="0.15">
      <c r="A1700" s="2"/>
      <c r="B1700" s="47" t="s">
        <v>130</v>
      </c>
      <c r="C1700" s="48" t="s">
        <v>1400</v>
      </c>
      <c r="D1700" s="48" t="s">
        <v>1087</v>
      </c>
      <c r="E1700" s="48">
        <v>0</v>
      </c>
      <c r="F1700" s="48"/>
      <c r="G1700" s="49"/>
    </row>
    <row r="1701" spans="1:15" s="7" customFormat="1" hidden="1" outlineLevel="1" x14ac:dyDescent="0.15">
      <c r="A1701" s="2"/>
      <c r="B1701" s="47" t="s">
        <v>1687</v>
      </c>
      <c r="C1701" s="48" t="s">
        <v>1401</v>
      </c>
      <c r="D1701" s="48" t="s">
        <v>1169</v>
      </c>
      <c r="E1701" s="48">
        <v>0</v>
      </c>
      <c r="F1701" s="48"/>
      <c r="G1701" s="49"/>
    </row>
    <row r="1702" spans="1:15" s="7" customFormat="1" hidden="1" outlineLevel="1" x14ac:dyDescent="0.15">
      <c r="A1702" s="2"/>
      <c r="B1702" s="47" t="s">
        <v>968</v>
      </c>
      <c r="C1702" s="48" t="s">
        <v>1090</v>
      </c>
      <c r="D1702" s="48" t="s">
        <v>1169</v>
      </c>
      <c r="E1702" s="48">
        <v>0</v>
      </c>
      <c r="F1702" s="48"/>
      <c r="G1702" s="49"/>
    </row>
    <row r="1703" spans="1:15" s="7" customFormat="1" hidden="1" outlineLevel="1" x14ac:dyDescent="0.15">
      <c r="A1703" s="2"/>
      <c r="B1703" s="47" t="s">
        <v>12</v>
      </c>
      <c r="C1703" s="48" t="s">
        <v>1143</v>
      </c>
      <c r="D1703" s="48" t="s">
        <v>1169</v>
      </c>
      <c r="E1703" s="48">
        <v>0</v>
      </c>
      <c r="F1703" s="48"/>
      <c r="G1703" s="49"/>
    </row>
    <row r="1704" spans="1:15" s="7" customFormat="1" ht="18" hidden="1" outlineLevel="1" thickBot="1" x14ac:dyDescent="0.2">
      <c r="A1704" s="2"/>
      <c r="B1704" s="53"/>
      <c r="C1704" s="54"/>
      <c r="D1704" s="54"/>
      <c r="E1704" s="54"/>
      <c r="F1704" s="54"/>
      <c r="G1704" s="55"/>
    </row>
    <row r="1705" spans="1:15" s="56" customFormat="1" hidden="1" outlineLevel="1" x14ac:dyDescent="0.35">
      <c r="A1705" s="2"/>
      <c r="B1705" s="343" t="s">
        <v>15</v>
      </c>
      <c r="C1705" s="344"/>
      <c r="D1705" s="344"/>
      <c r="E1705" s="344"/>
      <c r="F1705" s="344"/>
      <c r="G1705" s="345"/>
      <c r="H1705" s="7"/>
      <c r="I1705" s="7"/>
      <c r="J1705" s="7"/>
      <c r="K1705" s="7"/>
      <c r="L1705" s="7"/>
      <c r="M1705" s="7"/>
      <c r="N1705" s="7"/>
      <c r="O1705" s="7"/>
    </row>
    <row r="1706" spans="1:15" s="7" customFormat="1" hidden="1" outlineLevel="1" x14ac:dyDescent="0.15">
      <c r="A1706" s="2" t="s">
        <v>62</v>
      </c>
      <c r="B1706" s="66">
        <v>1</v>
      </c>
      <c r="C1706" s="43" t="s">
        <v>22</v>
      </c>
      <c r="D1706" s="43" t="s">
        <v>972</v>
      </c>
      <c r="E1706" s="43" t="s">
        <v>971</v>
      </c>
      <c r="F1706" s="43"/>
      <c r="G1706" s="45"/>
    </row>
    <row r="1707" spans="1:15" s="7" customFormat="1" ht="18" hidden="1" outlineLevel="1" thickBot="1" x14ac:dyDescent="0.2">
      <c r="A1707" s="2"/>
      <c r="B1707" s="53"/>
      <c r="C1707" s="54"/>
      <c r="D1707" s="54"/>
      <c r="E1707" s="54"/>
      <c r="F1707" s="54"/>
      <c r="G1707" s="55"/>
    </row>
    <row r="1708" spans="1:15" s="7" customFormat="1" hidden="1" outlineLevel="1" x14ac:dyDescent="0.15">
      <c r="A1708" s="2"/>
    </row>
    <row r="1709" spans="1:15" s="7" customFormat="1" ht="18" hidden="1" outlineLevel="1" thickBot="1" x14ac:dyDescent="0.2">
      <c r="A1709" s="2"/>
    </row>
    <row r="1710" spans="1:15" s="7" customFormat="1" ht="18" collapsed="1" thickBot="1" x14ac:dyDescent="0.2">
      <c r="A1710" s="2"/>
      <c r="B1710" s="39" t="s">
        <v>563</v>
      </c>
      <c r="C1710" s="280" t="s">
        <v>1772</v>
      </c>
      <c r="D1710" s="40" t="s">
        <v>515</v>
      </c>
      <c r="E1710" s="289" t="s">
        <v>1749</v>
      </c>
      <c r="F1710" s="40" t="s">
        <v>567</v>
      </c>
      <c r="G1710" s="41" t="s">
        <v>719</v>
      </c>
    </row>
    <row r="1711" spans="1:15" s="7" customFormat="1" ht="18" hidden="1" outlineLevel="1" thickBot="1" x14ac:dyDescent="0.2">
      <c r="A1711" s="2"/>
      <c r="B1711" s="57" t="s">
        <v>570</v>
      </c>
      <c r="C1711" s="54"/>
      <c r="D1711" s="58" t="s">
        <v>568</v>
      </c>
      <c r="E1711" s="54" t="s">
        <v>615</v>
      </c>
      <c r="F1711" s="58"/>
      <c r="G1711" s="55"/>
    </row>
    <row r="1712" spans="1:15" s="7" customFormat="1" hidden="1" outlineLevel="1" x14ac:dyDescent="0.15">
      <c r="A1712" s="2"/>
      <c r="B1712" s="59" t="s">
        <v>0</v>
      </c>
      <c r="C1712" s="60" t="s">
        <v>1</v>
      </c>
      <c r="D1712" s="60" t="s">
        <v>2</v>
      </c>
      <c r="E1712" s="60"/>
      <c r="F1712" s="60" t="s">
        <v>3</v>
      </c>
      <c r="G1712" s="60" t="s">
        <v>4</v>
      </c>
    </row>
    <row r="1713" spans="1:7" s="7" customFormat="1" hidden="1" outlineLevel="1" x14ac:dyDescent="0.15">
      <c r="A1713" s="2"/>
      <c r="B1713" s="61" t="s">
        <v>16</v>
      </c>
      <c r="C1713" s="62" t="s">
        <v>1163</v>
      </c>
      <c r="D1713" s="62" t="s">
        <v>211</v>
      </c>
      <c r="E1713" s="62">
        <v>0</v>
      </c>
      <c r="F1713" s="62"/>
      <c r="G1713" s="63" t="s">
        <v>1077</v>
      </c>
    </row>
    <row r="1714" spans="1:7" s="7" customFormat="1" hidden="1" outlineLevel="1" x14ac:dyDescent="0.15">
      <c r="A1714" s="2"/>
      <c r="B1714" s="61" t="s">
        <v>21</v>
      </c>
      <c r="C1714" s="62" t="s">
        <v>1357</v>
      </c>
      <c r="D1714" s="62" t="s">
        <v>211</v>
      </c>
      <c r="E1714" s="62">
        <v>0</v>
      </c>
      <c r="F1714" s="62"/>
      <c r="G1714" s="63" t="s">
        <v>1358</v>
      </c>
    </row>
    <row r="1715" spans="1:7" s="7" customFormat="1" hidden="1" outlineLevel="1" x14ac:dyDescent="0.15">
      <c r="A1715" s="2"/>
      <c r="B1715" s="47" t="s">
        <v>111</v>
      </c>
      <c r="C1715" s="62" t="s">
        <v>1164</v>
      </c>
      <c r="D1715" s="62" t="s">
        <v>211</v>
      </c>
      <c r="E1715" s="62">
        <v>0</v>
      </c>
      <c r="F1715" s="62"/>
      <c r="G1715" s="63" t="s">
        <v>1165</v>
      </c>
    </row>
    <row r="1716" spans="1:7" s="7" customFormat="1" hidden="1" outlineLevel="1" x14ac:dyDescent="0.15">
      <c r="A1716" s="2"/>
      <c r="B1716" s="47" t="s">
        <v>123</v>
      </c>
      <c r="C1716" s="62" t="s">
        <v>1133</v>
      </c>
      <c r="D1716" s="62" t="s">
        <v>211</v>
      </c>
      <c r="E1716" s="62">
        <v>0</v>
      </c>
      <c r="F1716" s="62"/>
      <c r="G1716" s="63" t="s">
        <v>1182</v>
      </c>
    </row>
    <row r="1717" spans="1:7" s="7" customFormat="1" hidden="1" outlineLevel="1" x14ac:dyDescent="0.15">
      <c r="A1717" s="2"/>
      <c r="B1717" s="50" t="s">
        <v>113</v>
      </c>
      <c r="C1717" s="62" t="s">
        <v>1187</v>
      </c>
      <c r="D1717" s="62" t="s">
        <v>211</v>
      </c>
      <c r="E1717" s="62">
        <v>0</v>
      </c>
      <c r="F1717" s="62"/>
      <c r="G1717" s="63"/>
    </row>
    <row r="1718" spans="1:7" s="7" customFormat="1" hidden="1" outlineLevel="1" x14ac:dyDescent="0.15">
      <c r="A1718" s="2"/>
      <c r="B1718" s="50" t="s">
        <v>114</v>
      </c>
      <c r="C1718" s="62" t="s">
        <v>1155</v>
      </c>
      <c r="D1718" s="62" t="s">
        <v>211</v>
      </c>
      <c r="E1718" s="62">
        <v>0</v>
      </c>
      <c r="F1718" s="62"/>
      <c r="G1718" s="63"/>
    </row>
    <row r="1719" spans="1:7" s="7" customFormat="1" hidden="1" outlineLevel="1" x14ac:dyDescent="0.15">
      <c r="A1719" s="2"/>
      <c r="B1719" s="50" t="s">
        <v>115</v>
      </c>
      <c r="C1719" s="64" t="s">
        <v>1188</v>
      </c>
      <c r="D1719" s="64" t="s">
        <v>211</v>
      </c>
      <c r="E1719" s="64">
        <v>0</v>
      </c>
      <c r="F1719" s="64"/>
      <c r="G1719" s="65"/>
    </row>
    <row r="1720" spans="1:7" s="7" customFormat="1" hidden="1" outlineLevel="1" x14ac:dyDescent="0.15">
      <c r="A1720" s="2"/>
      <c r="B1720" s="281" t="s">
        <v>19</v>
      </c>
      <c r="C1720" s="64" t="s">
        <v>1337</v>
      </c>
      <c r="D1720" s="64" t="s">
        <v>1219</v>
      </c>
      <c r="E1720" s="64" t="s">
        <v>1072</v>
      </c>
      <c r="F1720" s="64"/>
      <c r="G1720" s="65" t="s">
        <v>1338</v>
      </c>
    </row>
    <row r="1721" spans="1:7" s="7" customFormat="1" hidden="1" outlineLevel="1" x14ac:dyDescent="0.15">
      <c r="A1721" s="2"/>
      <c r="B1721" s="61" t="s">
        <v>18</v>
      </c>
      <c r="C1721" s="62" t="s">
        <v>1190</v>
      </c>
      <c r="D1721" s="62" t="s">
        <v>211</v>
      </c>
      <c r="E1721" s="62">
        <v>0</v>
      </c>
      <c r="F1721" s="62"/>
      <c r="G1721" s="63" t="s">
        <v>1081</v>
      </c>
    </row>
    <row r="1722" spans="1:7" s="7" customFormat="1" hidden="1" outlineLevel="1" x14ac:dyDescent="0.15">
      <c r="A1722" s="2"/>
      <c r="B1722" s="61" t="s">
        <v>399</v>
      </c>
      <c r="C1722" s="62" t="s">
        <v>1193</v>
      </c>
      <c r="D1722" s="62" t="s">
        <v>1087</v>
      </c>
      <c r="E1722" s="62">
        <v>0</v>
      </c>
      <c r="F1722" s="62"/>
      <c r="G1722" s="63" t="s">
        <v>1194</v>
      </c>
    </row>
    <row r="1723" spans="1:7" s="7" customFormat="1" hidden="1" outlineLevel="1" x14ac:dyDescent="0.15">
      <c r="A1723" s="2"/>
      <c r="B1723" s="47" t="s">
        <v>155</v>
      </c>
      <c r="C1723" s="48" t="s">
        <v>1572</v>
      </c>
      <c r="D1723" s="48" t="s">
        <v>1087</v>
      </c>
      <c r="E1723" s="48">
        <v>0</v>
      </c>
      <c r="F1723" s="48"/>
      <c r="G1723" s="49"/>
    </row>
    <row r="1724" spans="1:7" s="7" customFormat="1" hidden="1" outlineLevel="1" x14ac:dyDescent="0.15">
      <c r="A1724" s="2"/>
      <c r="B1724" s="66" t="s">
        <v>1688</v>
      </c>
      <c r="C1724" s="43" t="s">
        <v>1949</v>
      </c>
      <c r="D1724" s="43" t="s">
        <v>1087</v>
      </c>
      <c r="E1724" s="43">
        <v>0</v>
      </c>
      <c r="F1724" s="43"/>
      <c r="G1724" s="45"/>
    </row>
    <row r="1725" spans="1:7" s="7" customFormat="1" hidden="1" outlineLevel="1" x14ac:dyDescent="0.15">
      <c r="A1725" s="2"/>
      <c r="B1725" s="66" t="s">
        <v>1689</v>
      </c>
      <c r="C1725" s="43" t="s">
        <v>1950</v>
      </c>
      <c r="D1725" s="43" t="s">
        <v>1087</v>
      </c>
      <c r="E1725" s="43">
        <v>0</v>
      </c>
      <c r="F1725" s="43"/>
      <c r="G1725" s="45"/>
    </row>
    <row r="1726" spans="1:7" s="7" customFormat="1" hidden="1" outlineLevel="1" x14ac:dyDescent="0.15">
      <c r="A1726" s="2"/>
      <c r="B1726" s="66" t="s">
        <v>137</v>
      </c>
      <c r="C1726" s="43" t="s">
        <v>1201</v>
      </c>
      <c r="D1726" s="43" t="s">
        <v>1087</v>
      </c>
      <c r="E1726" s="43">
        <v>0</v>
      </c>
      <c r="F1726" s="43"/>
      <c r="G1726" s="45"/>
    </row>
    <row r="1727" spans="1:7" s="7" customFormat="1" hidden="1" outlineLevel="1" x14ac:dyDescent="0.15">
      <c r="A1727" s="2"/>
      <c r="B1727" s="66" t="s">
        <v>138</v>
      </c>
      <c r="C1727" s="43" t="s">
        <v>1200</v>
      </c>
      <c r="D1727" s="43" t="s">
        <v>1087</v>
      </c>
      <c r="E1727" s="43">
        <v>0</v>
      </c>
      <c r="F1727" s="43"/>
      <c r="G1727" s="45"/>
    </row>
    <row r="1728" spans="1:7" s="7" customFormat="1" hidden="1" outlineLevel="1" x14ac:dyDescent="0.15">
      <c r="A1728" s="2"/>
      <c r="B1728" s="66" t="s">
        <v>139</v>
      </c>
      <c r="C1728" s="43" t="s">
        <v>1138</v>
      </c>
      <c r="D1728" s="43" t="s">
        <v>1087</v>
      </c>
      <c r="E1728" s="43">
        <v>0</v>
      </c>
      <c r="F1728" s="43"/>
      <c r="G1728" s="45"/>
    </row>
    <row r="1729" spans="1:7" s="7" customFormat="1" hidden="1" outlineLevel="1" x14ac:dyDescent="0.15">
      <c r="A1729" s="2"/>
      <c r="B1729" s="66" t="s">
        <v>140</v>
      </c>
      <c r="C1729" s="43" t="s">
        <v>1137</v>
      </c>
      <c r="D1729" s="43" t="s">
        <v>1087</v>
      </c>
      <c r="E1729" s="43">
        <v>0</v>
      </c>
      <c r="F1729" s="43"/>
      <c r="G1729" s="45"/>
    </row>
    <row r="1730" spans="1:7" s="7" customFormat="1" hidden="1" outlineLevel="1" x14ac:dyDescent="0.15">
      <c r="A1730" s="2"/>
      <c r="B1730" s="66" t="s">
        <v>141</v>
      </c>
      <c r="C1730" s="43" t="s">
        <v>1408</v>
      </c>
      <c r="D1730" s="43" t="s">
        <v>1169</v>
      </c>
      <c r="E1730" s="43">
        <v>0</v>
      </c>
      <c r="F1730" s="43"/>
      <c r="G1730" s="45"/>
    </row>
    <row r="1731" spans="1:7" s="7" customFormat="1" hidden="1" outlineLevel="1" x14ac:dyDescent="0.15">
      <c r="A1731" s="2"/>
      <c r="B1731" s="66" t="s">
        <v>1630</v>
      </c>
      <c r="C1731" s="43" t="s">
        <v>1796</v>
      </c>
      <c r="D1731" s="43" t="s">
        <v>1169</v>
      </c>
      <c r="E1731" s="43">
        <v>0</v>
      </c>
      <c r="F1731" s="43"/>
      <c r="G1731" s="45"/>
    </row>
    <row r="1732" spans="1:7" s="7" customFormat="1" hidden="1" outlineLevel="1" x14ac:dyDescent="0.15">
      <c r="A1732" s="2"/>
      <c r="B1732" s="66" t="s">
        <v>1672</v>
      </c>
      <c r="C1732" s="43" t="s">
        <v>1976</v>
      </c>
      <c r="D1732" s="43" t="s">
        <v>1169</v>
      </c>
      <c r="E1732" s="43">
        <v>0</v>
      </c>
      <c r="F1732" s="43"/>
      <c r="G1732" s="45"/>
    </row>
    <row r="1733" spans="1:7" s="7" customFormat="1" hidden="1" outlineLevel="1" x14ac:dyDescent="0.15">
      <c r="A1733" s="2"/>
      <c r="B1733" s="66" t="s">
        <v>142</v>
      </c>
      <c r="C1733" s="43" t="s">
        <v>1409</v>
      </c>
      <c r="D1733" s="43" t="s">
        <v>1169</v>
      </c>
      <c r="E1733" s="43">
        <v>0</v>
      </c>
      <c r="F1733" s="43"/>
      <c r="G1733" s="45"/>
    </row>
    <row r="1734" spans="1:7" s="7" customFormat="1" hidden="1" outlineLevel="1" x14ac:dyDescent="0.15">
      <c r="A1734" s="2"/>
      <c r="B1734" s="66" t="s">
        <v>159</v>
      </c>
      <c r="C1734" s="43" t="s">
        <v>1410</v>
      </c>
      <c r="D1734" s="43" t="s">
        <v>1169</v>
      </c>
      <c r="E1734" s="43">
        <v>0</v>
      </c>
      <c r="F1734" s="43"/>
      <c r="G1734" s="45"/>
    </row>
    <row r="1735" spans="1:7" s="7" customFormat="1" hidden="1" outlineLevel="1" x14ac:dyDescent="0.15">
      <c r="A1735" s="2"/>
      <c r="B1735" s="66" t="s">
        <v>143</v>
      </c>
      <c r="C1735" s="43" t="s">
        <v>1097</v>
      </c>
      <c r="D1735" s="43" t="s">
        <v>1087</v>
      </c>
      <c r="E1735" s="43">
        <v>0</v>
      </c>
      <c r="F1735" s="43"/>
      <c r="G1735" s="45"/>
    </row>
    <row r="1736" spans="1:7" s="7" customFormat="1" hidden="1" outlineLevel="1" x14ac:dyDescent="0.15">
      <c r="A1736" s="2"/>
      <c r="B1736" s="66" t="s">
        <v>144</v>
      </c>
      <c r="C1736" s="43" t="s">
        <v>1411</v>
      </c>
      <c r="D1736" s="43" t="s">
        <v>1087</v>
      </c>
      <c r="E1736" s="43">
        <v>0</v>
      </c>
      <c r="F1736" s="43"/>
      <c r="G1736" s="45"/>
    </row>
    <row r="1737" spans="1:7" s="7" customFormat="1" hidden="1" outlineLevel="1" x14ac:dyDescent="0.15">
      <c r="A1737" s="2"/>
      <c r="B1737" s="66" t="s">
        <v>145</v>
      </c>
      <c r="C1737" s="43" t="s">
        <v>1412</v>
      </c>
      <c r="D1737" s="43" t="s">
        <v>1087</v>
      </c>
      <c r="E1737" s="43">
        <v>0</v>
      </c>
      <c r="F1737" s="43"/>
      <c r="G1737" s="45"/>
    </row>
    <row r="1738" spans="1:7" s="7" customFormat="1" hidden="1" outlineLevel="1" x14ac:dyDescent="0.15">
      <c r="A1738" s="2"/>
      <c r="B1738" s="66" t="s">
        <v>146</v>
      </c>
      <c r="C1738" s="43" t="s">
        <v>1413</v>
      </c>
      <c r="D1738" s="43" t="s">
        <v>1087</v>
      </c>
      <c r="E1738" s="43">
        <v>0</v>
      </c>
      <c r="F1738" s="43"/>
      <c r="G1738" s="45"/>
    </row>
    <row r="1739" spans="1:7" s="7" customFormat="1" hidden="1" outlineLevel="1" x14ac:dyDescent="0.15">
      <c r="A1739" s="2"/>
      <c r="B1739" s="66" t="s">
        <v>1937</v>
      </c>
      <c r="C1739" s="43" t="s">
        <v>1500</v>
      </c>
      <c r="D1739" s="43" t="s">
        <v>1087</v>
      </c>
      <c r="E1739" s="43">
        <v>0</v>
      </c>
      <c r="F1739" s="43"/>
      <c r="G1739" s="45"/>
    </row>
    <row r="1740" spans="1:7" s="7" customFormat="1" ht="18" hidden="1" outlineLevel="1" thickBot="1" x14ac:dyDescent="0.2">
      <c r="A1740" s="2"/>
      <c r="B1740" s="66" t="s">
        <v>134</v>
      </c>
      <c r="C1740" s="43" t="s">
        <v>1406</v>
      </c>
      <c r="D1740" s="43" t="s">
        <v>1092</v>
      </c>
      <c r="E1740" s="43" t="s">
        <v>1072</v>
      </c>
      <c r="F1740" s="43"/>
      <c r="G1740" s="45" t="s">
        <v>1304</v>
      </c>
    </row>
    <row r="1741" spans="1:7" s="7" customFormat="1" hidden="1" outlineLevel="1" x14ac:dyDescent="0.15">
      <c r="A1741" s="2"/>
      <c r="B1741" s="340" t="s">
        <v>15</v>
      </c>
      <c r="C1741" s="341"/>
      <c r="D1741" s="341"/>
      <c r="E1741" s="341"/>
      <c r="F1741" s="341"/>
      <c r="G1741" s="342"/>
    </row>
    <row r="1742" spans="1:7" s="7" customFormat="1" hidden="1" outlineLevel="1" x14ac:dyDescent="0.15">
      <c r="A1742" s="2"/>
      <c r="B1742" s="47"/>
      <c r="C1742" s="48"/>
      <c r="D1742" s="48"/>
      <c r="E1742" s="48"/>
      <c r="F1742" s="48"/>
      <c r="G1742" s="49"/>
    </row>
    <row r="1743" spans="1:7" s="7" customFormat="1" hidden="1" outlineLevel="1" x14ac:dyDescent="0.15">
      <c r="A1743" s="2" t="s">
        <v>62</v>
      </c>
      <c r="B1743" s="47">
        <v>1</v>
      </c>
      <c r="C1743" s="48" t="s">
        <v>21</v>
      </c>
      <c r="D1743" s="48" t="s">
        <v>123</v>
      </c>
      <c r="E1743" s="48" t="s">
        <v>113</v>
      </c>
      <c r="F1743" s="48" t="s">
        <v>115</v>
      </c>
      <c r="G1743" s="48" t="s">
        <v>114</v>
      </c>
    </row>
    <row r="1744" spans="1:7" s="7" customFormat="1" hidden="1" outlineLevel="1" x14ac:dyDescent="0.15">
      <c r="A1744" s="2"/>
      <c r="B1744" s="66">
        <v>2</v>
      </c>
      <c r="C1744" s="61" t="s">
        <v>16</v>
      </c>
      <c r="D1744" s="47" t="s">
        <v>111</v>
      </c>
      <c r="E1744" s="43"/>
      <c r="F1744" s="43"/>
      <c r="G1744" s="45"/>
    </row>
    <row r="1745" spans="1:7" s="7" customFormat="1" hidden="1" outlineLevel="1" x14ac:dyDescent="0.15">
      <c r="A1745" s="2"/>
      <c r="B1745" s="282">
        <v>3</v>
      </c>
      <c r="C1745" s="48" t="s">
        <v>123</v>
      </c>
      <c r="D1745" s="48" t="s">
        <v>113</v>
      </c>
      <c r="E1745" s="48" t="s">
        <v>115</v>
      </c>
      <c r="F1745" s="48" t="s">
        <v>114</v>
      </c>
      <c r="G1745" s="282"/>
    </row>
    <row r="1746" spans="1:7" s="7" customFormat="1" ht="18" hidden="1" outlineLevel="1" thickBot="1" x14ac:dyDescent="0.2">
      <c r="A1746" s="2"/>
    </row>
    <row r="1747" spans="1:7" s="7" customFormat="1" ht="18" collapsed="1" thickBot="1" x14ac:dyDescent="0.2">
      <c r="A1747" s="2"/>
      <c r="B1747" s="39" t="s">
        <v>563</v>
      </c>
      <c r="C1747" s="280" t="s">
        <v>1773</v>
      </c>
      <c r="D1747" s="40" t="s">
        <v>515</v>
      </c>
      <c r="E1747" s="289" t="s">
        <v>1752</v>
      </c>
      <c r="F1747" s="40" t="s">
        <v>567</v>
      </c>
      <c r="G1747" s="41" t="s">
        <v>1629</v>
      </c>
    </row>
    <row r="1748" spans="1:7" s="7" customFormat="1" ht="18" hidden="1" outlineLevel="1" thickBot="1" x14ac:dyDescent="0.2">
      <c r="A1748" s="2"/>
      <c r="B1748" s="57" t="s">
        <v>570</v>
      </c>
      <c r="C1748" s="54"/>
      <c r="D1748" s="58" t="s">
        <v>568</v>
      </c>
      <c r="E1748" s="54" t="s">
        <v>615</v>
      </c>
      <c r="F1748" s="58"/>
      <c r="G1748" s="55"/>
    </row>
    <row r="1749" spans="1:7" s="7" customFormat="1" hidden="1" outlineLevel="1" x14ac:dyDescent="0.15">
      <c r="A1749" s="2"/>
      <c r="B1749" s="59" t="s">
        <v>0</v>
      </c>
      <c r="C1749" s="60" t="s">
        <v>1</v>
      </c>
      <c r="D1749" s="60" t="s">
        <v>2</v>
      </c>
      <c r="E1749" s="60"/>
      <c r="F1749" s="60" t="s">
        <v>3</v>
      </c>
      <c r="G1749" s="60" t="s">
        <v>4</v>
      </c>
    </row>
    <row r="1750" spans="1:7" s="7" customFormat="1" hidden="1" outlineLevel="1" x14ac:dyDescent="0.15">
      <c r="A1750" s="2"/>
      <c r="B1750" s="47" t="s">
        <v>22</v>
      </c>
      <c r="C1750" s="48" t="s">
        <v>1127</v>
      </c>
      <c r="D1750" s="48" t="s">
        <v>211</v>
      </c>
      <c r="E1750" s="48" t="s">
        <v>1141</v>
      </c>
      <c r="F1750" s="48"/>
      <c r="G1750" s="49" t="s">
        <v>1162</v>
      </c>
    </row>
    <row r="1751" spans="1:7" s="7" customFormat="1" hidden="1" outlineLevel="1" x14ac:dyDescent="0.15">
      <c r="A1751" s="2"/>
      <c r="B1751" s="61" t="s">
        <v>16</v>
      </c>
      <c r="C1751" s="62" t="s">
        <v>1163</v>
      </c>
      <c r="D1751" s="62" t="s">
        <v>211</v>
      </c>
      <c r="E1751" s="62">
        <v>0</v>
      </c>
      <c r="F1751" s="62"/>
      <c r="G1751" s="63" t="s">
        <v>1077</v>
      </c>
    </row>
    <row r="1752" spans="1:7" s="7" customFormat="1" hidden="1" outlineLevel="1" x14ac:dyDescent="0.15">
      <c r="A1752" s="2"/>
      <c r="B1752" s="61" t="s">
        <v>21</v>
      </c>
      <c r="C1752" s="62" t="s">
        <v>1357</v>
      </c>
      <c r="D1752" s="62" t="s">
        <v>211</v>
      </c>
      <c r="E1752" s="62">
        <v>0</v>
      </c>
      <c r="F1752" s="62"/>
      <c r="G1752" s="63" t="s">
        <v>1358</v>
      </c>
    </row>
    <row r="1753" spans="1:7" s="7" customFormat="1" hidden="1" outlineLevel="1" x14ac:dyDescent="0.15">
      <c r="A1753" s="2"/>
      <c r="B1753" s="47" t="s">
        <v>111</v>
      </c>
      <c r="C1753" s="62" t="s">
        <v>1164</v>
      </c>
      <c r="D1753" s="62" t="s">
        <v>211</v>
      </c>
      <c r="E1753" s="62">
        <v>0</v>
      </c>
      <c r="F1753" s="62"/>
      <c r="G1753" s="63" t="s">
        <v>1165</v>
      </c>
    </row>
    <row r="1754" spans="1:7" s="7" customFormat="1" hidden="1" outlineLevel="1" x14ac:dyDescent="0.15">
      <c r="A1754" s="2"/>
      <c r="B1754" s="47" t="s">
        <v>123</v>
      </c>
      <c r="C1754" s="62" t="s">
        <v>1133</v>
      </c>
      <c r="D1754" s="62" t="s">
        <v>211</v>
      </c>
      <c r="E1754" s="62">
        <v>0</v>
      </c>
      <c r="F1754" s="62"/>
      <c r="G1754" s="63" t="s">
        <v>1182</v>
      </c>
    </row>
    <row r="1755" spans="1:7" s="7" customFormat="1" hidden="1" outlineLevel="1" x14ac:dyDescent="0.15">
      <c r="A1755" s="2"/>
      <c r="B1755" s="50" t="s">
        <v>113</v>
      </c>
      <c r="C1755" s="62" t="s">
        <v>1187</v>
      </c>
      <c r="D1755" s="62" t="s">
        <v>211</v>
      </c>
      <c r="E1755" s="62">
        <v>0</v>
      </c>
      <c r="F1755" s="62"/>
      <c r="G1755" s="63"/>
    </row>
    <row r="1756" spans="1:7" s="7" customFormat="1" hidden="1" outlineLevel="1" x14ac:dyDescent="0.15">
      <c r="A1756" s="2"/>
      <c r="B1756" s="50" t="s">
        <v>114</v>
      </c>
      <c r="C1756" s="62" t="s">
        <v>1155</v>
      </c>
      <c r="D1756" s="62" t="s">
        <v>211</v>
      </c>
      <c r="E1756" s="62">
        <v>0</v>
      </c>
      <c r="F1756" s="62"/>
      <c r="G1756" s="63"/>
    </row>
    <row r="1757" spans="1:7" s="7" customFormat="1" hidden="1" outlineLevel="1" x14ac:dyDescent="0.15">
      <c r="A1757" s="2"/>
      <c r="B1757" s="50" t="s">
        <v>115</v>
      </c>
      <c r="C1757" s="62" t="s">
        <v>1188</v>
      </c>
      <c r="D1757" s="62" t="s">
        <v>211</v>
      </c>
      <c r="E1757" s="62">
        <v>0</v>
      </c>
      <c r="F1757" s="62"/>
      <c r="G1757" s="63"/>
    </row>
    <row r="1758" spans="1:7" s="7" customFormat="1" hidden="1" outlineLevel="1" x14ac:dyDescent="0.15">
      <c r="A1758" s="2"/>
      <c r="B1758" s="281" t="s">
        <v>19</v>
      </c>
      <c r="C1758" s="62" t="s">
        <v>1337</v>
      </c>
      <c r="D1758" s="62" t="s">
        <v>1219</v>
      </c>
      <c r="E1758" s="62" t="s">
        <v>1072</v>
      </c>
      <c r="F1758" s="62"/>
      <c r="G1758" s="63" t="s">
        <v>1338</v>
      </c>
    </row>
    <row r="1759" spans="1:7" s="7" customFormat="1" hidden="1" outlineLevel="1" x14ac:dyDescent="0.15">
      <c r="A1759" s="2"/>
      <c r="B1759" s="61" t="s">
        <v>18</v>
      </c>
      <c r="C1759" s="62" t="s">
        <v>1190</v>
      </c>
      <c r="D1759" s="62" t="s">
        <v>211</v>
      </c>
      <c r="E1759" s="62">
        <v>0</v>
      </c>
      <c r="F1759" s="62"/>
      <c r="G1759" s="63" t="s">
        <v>1081</v>
      </c>
    </row>
    <row r="1760" spans="1:7" s="7" customFormat="1" hidden="1" outlineLevel="1" x14ac:dyDescent="0.15">
      <c r="A1760" s="2"/>
      <c r="B1760" s="61" t="s">
        <v>399</v>
      </c>
      <c r="C1760" s="62" t="s">
        <v>1193</v>
      </c>
      <c r="D1760" s="62" t="s">
        <v>1087</v>
      </c>
      <c r="E1760" s="62">
        <v>0</v>
      </c>
      <c r="F1760" s="62"/>
      <c r="G1760" s="63" t="s">
        <v>1194</v>
      </c>
    </row>
    <row r="1761" spans="1:7" s="7" customFormat="1" hidden="1" outlineLevel="1" x14ac:dyDescent="0.15">
      <c r="A1761" s="2"/>
      <c r="B1761" s="47" t="s">
        <v>155</v>
      </c>
      <c r="C1761" s="64" t="s">
        <v>1572</v>
      </c>
      <c r="D1761" s="64" t="s">
        <v>1087</v>
      </c>
      <c r="E1761" s="64">
        <v>0</v>
      </c>
      <c r="F1761" s="64"/>
      <c r="G1761" s="65"/>
    </row>
    <row r="1762" spans="1:7" s="7" customFormat="1" hidden="1" outlineLevel="1" x14ac:dyDescent="0.15">
      <c r="A1762" s="2"/>
      <c r="B1762" s="66" t="s">
        <v>1688</v>
      </c>
      <c r="C1762" s="64" t="s">
        <v>1949</v>
      </c>
      <c r="D1762" s="64" t="s">
        <v>1087</v>
      </c>
      <c r="E1762" s="64">
        <v>0</v>
      </c>
      <c r="F1762" s="64"/>
      <c r="G1762" s="65"/>
    </row>
    <row r="1763" spans="1:7" s="7" customFormat="1" hidden="1" outlineLevel="1" x14ac:dyDescent="0.15">
      <c r="A1763" s="2"/>
      <c r="B1763" s="66" t="s">
        <v>1689</v>
      </c>
      <c r="C1763" s="64" t="s">
        <v>1950</v>
      </c>
      <c r="D1763" s="64" t="s">
        <v>1087</v>
      </c>
      <c r="E1763" s="64">
        <v>0</v>
      </c>
      <c r="F1763" s="64"/>
      <c r="G1763" s="65"/>
    </row>
    <row r="1764" spans="1:7" s="7" customFormat="1" hidden="1" outlineLevel="1" x14ac:dyDescent="0.15">
      <c r="A1764" s="2"/>
      <c r="B1764" s="66" t="s">
        <v>137</v>
      </c>
      <c r="C1764" s="62" t="s">
        <v>1201</v>
      </c>
      <c r="D1764" s="62" t="s">
        <v>1087</v>
      </c>
      <c r="E1764" s="62">
        <v>0</v>
      </c>
      <c r="F1764" s="62"/>
      <c r="G1764" s="63"/>
    </row>
    <row r="1765" spans="1:7" s="7" customFormat="1" hidden="1" outlineLevel="1" x14ac:dyDescent="0.15">
      <c r="A1765" s="2"/>
      <c r="B1765" s="66" t="s">
        <v>138</v>
      </c>
      <c r="C1765" s="48" t="s">
        <v>1200</v>
      </c>
      <c r="D1765" s="48" t="s">
        <v>1087</v>
      </c>
      <c r="E1765" s="48">
        <v>0</v>
      </c>
      <c r="F1765" s="48"/>
      <c r="G1765" s="49"/>
    </row>
    <row r="1766" spans="1:7" s="7" customFormat="1" hidden="1" outlineLevel="1" x14ac:dyDescent="0.15">
      <c r="A1766" s="2"/>
      <c r="B1766" s="66" t="s">
        <v>139</v>
      </c>
      <c r="C1766" s="43" t="s">
        <v>1138</v>
      </c>
      <c r="D1766" s="43" t="s">
        <v>1087</v>
      </c>
      <c r="E1766" s="43">
        <v>0</v>
      </c>
      <c r="F1766" s="43"/>
      <c r="G1766" s="45"/>
    </row>
    <row r="1767" spans="1:7" s="7" customFormat="1" hidden="1" outlineLevel="1" x14ac:dyDescent="0.15">
      <c r="A1767" s="2"/>
      <c r="B1767" s="66" t="s">
        <v>140</v>
      </c>
      <c r="C1767" s="43" t="s">
        <v>1137</v>
      </c>
      <c r="D1767" s="43" t="s">
        <v>1087</v>
      </c>
      <c r="E1767" s="43">
        <v>0</v>
      </c>
      <c r="F1767" s="43"/>
      <c r="G1767" s="45"/>
    </row>
    <row r="1768" spans="1:7" s="7" customFormat="1" hidden="1" outlineLevel="1" x14ac:dyDescent="0.15">
      <c r="A1768" s="2"/>
      <c r="B1768" s="66" t="s">
        <v>141</v>
      </c>
      <c r="C1768" s="43" t="s">
        <v>1408</v>
      </c>
      <c r="D1768" s="43" t="s">
        <v>1169</v>
      </c>
      <c r="E1768" s="43">
        <v>0</v>
      </c>
      <c r="F1768" s="43"/>
      <c r="G1768" s="45"/>
    </row>
    <row r="1769" spans="1:7" s="7" customFormat="1" hidden="1" outlineLevel="1" x14ac:dyDescent="0.15">
      <c r="A1769" s="2"/>
      <c r="B1769" s="66" t="s">
        <v>1630</v>
      </c>
      <c r="C1769" s="43" t="s">
        <v>1796</v>
      </c>
      <c r="D1769" s="43" t="s">
        <v>1169</v>
      </c>
      <c r="E1769" s="43">
        <v>0</v>
      </c>
      <c r="F1769" s="43"/>
      <c r="G1769" s="45"/>
    </row>
    <row r="1770" spans="1:7" s="7" customFormat="1" hidden="1" outlineLevel="1" x14ac:dyDescent="0.15">
      <c r="A1770" s="2"/>
      <c r="B1770" s="66" t="s">
        <v>1672</v>
      </c>
      <c r="C1770" s="43" t="s">
        <v>1976</v>
      </c>
      <c r="D1770" s="43" t="s">
        <v>1169</v>
      </c>
      <c r="E1770" s="43">
        <v>0</v>
      </c>
      <c r="F1770" s="43"/>
      <c r="G1770" s="45"/>
    </row>
    <row r="1771" spans="1:7" s="7" customFormat="1" hidden="1" outlineLevel="1" x14ac:dyDescent="0.15">
      <c r="A1771" s="2"/>
      <c r="B1771" s="66" t="s">
        <v>142</v>
      </c>
      <c r="C1771" s="43" t="s">
        <v>1409</v>
      </c>
      <c r="D1771" s="43" t="s">
        <v>1169</v>
      </c>
      <c r="E1771" s="43">
        <v>0</v>
      </c>
      <c r="F1771" s="43"/>
      <c r="G1771" s="45"/>
    </row>
    <row r="1772" spans="1:7" s="7" customFormat="1" hidden="1" outlineLevel="1" x14ac:dyDescent="0.15">
      <c r="A1772" s="2"/>
      <c r="B1772" s="66" t="s">
        <v>159</v>
      </c>
      <c r="C1772" s="43" t="s">
        <v>1410</v>
      </c>
      <c r="D1772" s="43" t="s">
        <v>1169</v>
      </c>
      <c r="E1772" s="43">
        <v>0</v>
      </c>
      <c r="F1772" s="43"/>
      <c r="G1772" s="45"/>
    </row>
    <row r="1773" spans="1:7" s="7" customFormat="1" hidden="1" outlineLevel="1" x14ac:dyDescent="0.15">
      <c r="A1773" s="2"/>
      <c r="B1773" s="66" t="s">
        <v>143</v>
      </c>
      <c r="C1773" s="43" t="s">
        <v>1097</v>
      </c>
      <c r="D1773" s="43" t="s">
        <v>1087</v>
      </c>
      <c r="E1773" s="43">
        <v>0</v>
      </c>
      <c r="F1773" s="43"/>
      <c r="G1773" s="45"/>
    </row>
    <row r="1774" spans="1:7" s="7" customFormat="1" hidden="1" outlineLevel="1" x14ac:dyDescent="0.15">
      <c r="A1774" s="2"/>
      <c r="B1774" s="66" t="s">
        <v>144</v>
      </c>
      <c r="C1774" s="43" t="s">
        <v>1411</v>
      </c>
      <c r="D1774" s="43" t="s">
        <v>1087</v>
      </c>
      <c r="E1774" s="43">
        <v>0</v>
      </c>
      <c r="F1774" s="43"/>
      <c r="G1774" s="45"/>
    </row>
    <row r="1775" spans="1:7" s="7" customFormat="1" hidden="1" outlineLevel="1" x14ac:dyDescent="0.15">
      <c r="A1775" s="2"/>
      <c r="B1775" s="66" t="s">
        <v>145</v>
      </c>
      <c r="C1775" s="43" t="s">
        <v>1412</v>
      </c>
      <c r="D1775" s="43" t="s">
        <v>1087</v>
      </c>
      <c r="E1775" s="43">
        <v>0</v>
      </c>
      <c r="F1775" s="43"/>
      <c r="G1775" s="45"/>
    </row>
    <row r="1776" spans="1:7" s="7" customFormat="1" hidden="1" outlineLevel="1" x14ac:dyDescent="0.15">
      <c r="A1776" s="2"/>
      <c r="B1776" s="66" t="s">
        <v>146</v>
      </c>
      <c r="C1776" s="43" t="s">
        <v>1413</v>
      </c>
      <c r="D1776" s="43" t="s">
        <v>1087</v>
      </c>
      <c r="E1776" s="43">
        <v>0</v>
      </c>
      <c r="F1776" s="43"/>
      <c r="G1776" s="45"/>
    </row>
    <row r="1777" spans="1:8" s="7" customFormat="1" hidden="1" outlineLevel="1" x14ac:dyDescent="0.15">
      <c r="A1777" s="2"/>
      <c r="B1777" s="66" t="s">
        <v>134</v>
      </c>
      <c r="C1777" s="43" t="s">
        <v>1406</v>
      </c>
      <c r="D1777" s="43" t="s">
        <v>1092</v>
      </c>
      <c r="E1777" s="43" t="s">
        <v>1072</v>
      </c>
      <c r="F1777" s="43"/>
      <c r="G1777" s="45" t="s">
        <v>1304</v>
      </c>
    </row>
    <row r="1778" spans="1:8" s="7" customFormat="1" ht="18" hidden="1" outlineLevel="1" thickBot="1" x14ac:dyDescent="0.2">
      <c r="A1778" s="2"/>
      <c r="B1778" s="66" t="s">
        <v>1937</v>
      </c>
      <c r="C1778" s="282" t="s">
        <v>1500</v>
      </c>
      <c r="D1778" s="282" t="s">
        <v>1087</v>
      </c>
      <c r="E1778" s="282">
        <v>0</v>
      </c>
      <c r="F1778" s="282"/>
      <c r="G1778" s="297"/>
    </row>
    <row r="1779" spans="1:8" s="7" customFormat="1" hidden="1" outlineLevel="1" x14ac:dyDescent="0.15">
      <c r="A1779" s="2"/>
      <c r="B1779" s="340" t="s">
        <v>15</v>
      </c>
      <c r="C1779" s="341"/>
      <c r="D1779" s="341"/>
      <c r="E1779" s="341"/>
      <c r="F1779" s="341"/>
      <c r="G1779" s="342"/>
    </row>
    <row r="1780" spans="1:8" s="7" customFormat="1" hidden="1" outlineLevel="1" x14ac:dyDescent="0.15">
      <c r="A1780" s="2"/>
      <c r="B1780" s="47"/>
      <c r="C1780" s="48"/>
      <c r="D1780" s="48"/>
      <c r="E1780" s="48"/>
      <c r="F1780" s="48"/>
      <c r="G1780" s="49"/>
      <c r="H1780" s="50" t="s">
        <v>114</v>
      </c>
    </row>
    <row r="1781" spans="1:8" s="7" customFormat="1" hidden="1" outlineLevel="1" x14ac:dyDescent="0.15">
      <c r="A1781" s="2" t="s">
        <v>62</v>
      </c>
      <c r="B1781" s="47">
        <v>1</v>
      </c>
      <c r="C1781" s="48" t="s">
        <v>22</v>
      </c>
      <c r="D1781" s="48" t="s">
        <v>21</v>
      </c>
      <c r="E1781" s="48" t="s">
        <v>123</v>
      </c>
      <c r="F1781" s="43" t="s">
        <v>113</v>
      </c>
      <c r="G1781" s="43" t="s">
        <v>115</v>
      </c>
    </row>
    <row r="1782" spans="1:8" s="7" customFormat="1" ht="18" hidden="1" outlineLevel="1" thickBot="1" x14ac:dyDescent="0.2">
      <c r="A1782" s="2"/>
      <c r="B1782" s="53"/>
      <c r="C1782" s="54"/>
      <c r="D1782" s="54"/>
      <c r="E1782" s="54"/>
      <c r="F1782" s="54"/>
      <c r="G1782" s="55"/>
    </row>
    <row r="1783" spans="1:8" s="7" customFormat="1" ht="18" hidden="1" outlineLevel="1" thickBot="1" x14ac:dyDescent="0.2">
      <c r="A1783" s="2"/>
    </row>
    <row r="1784" spans="1:8" s="7" customFormat="1" ht="18" collapsed="1" thickBot="1" x14ac:dyDescent="0.2">
      <c r="A1784" s="2"/>
      <c r="B1784" s="39" t="s">
        <v>563</v>
      </c>
      <c r="C1784" s="280" t="s">
        <v>1774</v>
      </c>
      <c r="D1784" s="40" t="s">
        <v>515</v>
      </c>
      <c r="E1784" s="289" t="s">
        <v>1750</v>
      </c>
      <c r="F1784" s="40" t="s">
        <v>567</v>
      </c>
      <c r="G1784" s="41"/>
    </row>
    <row r="1785" spans="1:8" s="7" customFormat="1" ht="18" hidden="1" outlineLevel="1" thickBot="1" x14ac:dyDescent="0.2">
      <c r="A1785" s="2"/>
      <c r="B1785" s="42" t="s">
        <v>570</v>
      </c>
      <c r="C1785" s="43"/>
      <c r="D1785" s="44" t="s">
        <v>568</v>
      </c>
      <c r="E1785" s="43" t="s">
        <v>615</v>
      </c>
      <c r="F1785" s="44"/>
      <c r="G1785" s="45"/>
    </row>
    <row r="1786" spans="1:8" s="7" customFormat="1" hidden="1" outlineLevel="1" x14ac:dyDescent="0.15">
      <c r="A1786" s="2"/>
      <c r="B1786" s="39" t="s">
        <v>0</v>
      </c>
      <c r="C1786" s="40" t="s">
        <v>1</v>
      </c>
      <c r="D1786" s="40" t="s">
        <v>2</v>
      </c>
      <c r="E1786" s="40"/>
      <c r="F1786" s="40" t="s">
        <v>3</v>
      </c>
      <c r="G1786" s="46" t="s">
        <v>4</v>
      </c>
    </row>
    <row r="1787" spans="1:8" s="7" customFormat="1" hidden="1" outlineLevel="1" x14ac:dyDescent="0.15">
      <c r="A1787" s="2"/>
      <c r="B1787" s="47" t="s">
        <v>21</v>
      </c>
      <c r="C1787" s="48" t="s">
        <v>1357</v>
      </c>
      <c r="D1787" s="48" t="s">
        <v>211</v>
      </c>
      <c r="E1787" s="48">
        <v>0</v>
      </c>
      <c r="F1787" s="48"/>
      <c r="G1787" s="49" t="s">
        <v>1358</v>
      </c>
    </row>
    <row r="1788" spans="1:8" s="7" customFormat="1" hidden="1" outlineLevel="1" x14ac:dyDescent="0.15">
      <c r="A1788" s="2"/>
      <c r="B1788" s="47" t="s">
        <v>6</v>
      </c>
      <c r="C1788" s="48" t="s">
        <v>1163</v>
      </c>
      <c r="D1788" s="48" t="s">
        <v>211</v>
      </c>
      <c r="E1788" s="48">
        <v>0</v>
      </c>
      <c r="F1788" s="48"/>
      <c r="G1788" s="49" t="s">
        <v>1077</v>
      </c>
    </row>
    <row r="1789" spans="1:8" s="7" customFormat="1" hidden="1" outlineLevel="1" x14ac:dyDescent="0.15">
      <c r="A1789" s="2"/>
      <c r="B1789" s="47" t="s">
        <v>111</v>
      </c>
      <c r="C1789" s="48" t="s">
        <v>1164</v>
      </c>
      <c r="D1789" s="48" t="s">
        <v>211</v>
      </c>
      <c r="E1789" s="48">
        <v>0</v>
      </c>
      <c r="F1789" s="48"/>
      <c r="G1789" s="49" t="s">
        <v>1165</v>
      </c>
    </row>
    <row r="1790" spans="1:8" s="7" customFormat="1" hidden="1" outlineLevel="1" x14ac:dyDescent="0.15">
      <c r="A1790" s="2"/>
      <c r="B1790" s="47" t="s">
        <v>123</v>
      </c>
      <c r="C1790" s="48" t="s">
        <v>1133</v>
      </c>
      <c r="D1790" s="48" t="s">
        <v>211</v>
      </c>
      <c r="E1790" s="48">
        <v>0</v>
      </c>
      <c r="F1790" s="48"/>
      <c r="G1790" s="49" t="s">
        <v>1182</v>
      </c>
    </row>
    <row r="1791" spans="1:8" s="7" customFormat="1" hidden="1" outlineLevel="1" x14ac:dyDescent="0.15">
      <c r="A1791" s="2"/>
      <c r="B1791" s="50" t="s">
        <v>113</v>
      </c>
      <c r="C1791" s="51" t="s">
        <v>1187</v>
      </c>
      <c r="D1791" s="51" t="s">
        <v>211</v>
      </c>
      <c r="E1791" s="51">
        <v>0</v>
      </c>
      <c r="F1791" s="51"/>
      <c r="G1791" s="52"/>
    </row>
    <row r="1792" spans="1:8" s="7" customFormat="1" hidden="1" outlineLevel="1" x14ac:dyDescent="0.15">
      <c r="A1792" s="2"/>
      <c r="B1792" s="47" t="s">
        <v>7</v>
      </c>
      <c r="C1792" s="48" t="s">
        <v>1190</v>
      </c>
      <c r="D1792" s="48" t="s">
        <v>211</v>
      </c>
      <c r="E1792" s="48">
        <v>0</v>
      </c>
      <c r="F1792" s="48"/>
      <c r="G1792" s="49" t="s">
        <v>1081</v>
      </c>
    </row>
    <row r="1793" spans="1:7" s="7" customFormat="1" hidden="1" outlineLevel="1" x14ac:dyDescent="0.15">
      <c r="A1793" s="2"/>
      <c r="B1793" s="47" t="s">
        <v>19</v>
      </c>
      <c r="C1793" s="48" t="s">
        <v>1337</v>
      </c>
      <c r="D1793" s="48" t="s">
        <v>1219</v>
      </c>
      <c r="E1793" s="48" t="s">
        <v>1072</v>
      </c>
      <c r="F1793" s="48"/>
      <c r="G1793" s="49" t="s">
        <v>1338</v>
      </c>
    </row>
    <row r="1794" spans="1:7" s="7" customFormat="1" hidden="1" outlineLevel="1" x14ac:dyDescent="0.15">
      <c r="A1794" s="2"/>
      <c r="B1794" s="50" t="s">
        <v>114</v>
      </c>
      <c r="C1794" s="51" t="s">
        <v>1155</v>
      </c>
      <c r="D1794" s="51" t="s">
        <v>211</v>
      </c>
      <c r="E1794" s="51">
        <v>0</v>
      </c>
      <c r="F1794" s="51"/>
      <c r="G1794" s="52"/>
    </row>
    <row r="1795" spans="1:7" s="7" customFormat="1" hidden="1" outlineLevel="1" x14ac:dyDescent="0.15">
      <c r="A1795" s="2"/>
      <c r="B1795" s="50" t="s">
        <v>115</v>
      </c>
      <c r="C1795" s="51" t="s">
        <v>1188</v>
      </c>
      <c r="D1795" s="51" t="s">
        <v>211</v>
      </c>
      <c r="E1795" s="51">
        <v>0</v>
      </c>
      <c r="F1795" s="51"/>
      <c r="G1795" s="52"/>
    </row>
    <row r="1796" spans="1:7" s="7" customFormat="1" ht="16.5" hidden="1" customHeight="1" outlineLevel="1" x14ac:dyDescent="0.15">
      <c r="A1796" s="2"/>
      <c r="B1796" s="283" t="s">
        <v>1690</v>
      </c>
      <c r="C1796" s="284" t="s">
        <v>1691</v>
      </c>
      <c r="D1796" s="284" t="s">
        <v>1087</v>
      </c>
      <c r="E1796" s="284">
        <v>0</v>
      </c>
      <c r="F1796" s="284"/>
      <c r="G1796" s="285"/>
    </row>
    <row r="1797" spans="1:7" s="7" customFormat="1" hidden="1" outlineLevel="1" x14ac:dyDescent="0.15">
      <c r="A1797" s="2"/>
      <c r="B1797" s="283" t="s">
        <v>1692</v>
      </c>
      <c r="C1797" s="284" t="s">
        <v>1693</v>
      </c>
      <c r="D1797" s="284" t="s">
        <v>1087</v>
      </c>
      <c r="E1797" s="284">
        <v>0</v>
      </c>
      <c r="F1797" s="284"/>
      <c r="G1797" s="285"/>
    </row>
    <row r="1798" spans="1:7" s="7" customFormat="1" hidden="1" outlineLevel="1" x14ac:dyDescent="0.15">
      <c r="A1798" s="2"/>
      <c r="B1798" s="283" t="s">
        <v>1694</v>
      </c>
      <c r="C1798" s="284" t="s">
        <v>1695</v>
      </c>
      <c r="D1798" s="284" t="s">
        <v>1169</v>
      </c>
      <c r="E1798" s="284">
        <v>0</v>
      </c>
      <c r="F1798" s="284"/>
      <c r="G1798" s="285"/>
    </row>
    <row r="1799" spans="1:7" s="7" customFormat="1" hidden="1" outlineLevel="1" x14ac:dyDescent="0.15">
      <c r="A1799" s="2"/>
      <c r="B1799" s="283" t="s">
        <v>1696</v>
      </c>
      <c r="C1799" s="284" t="s">
        <v>1697</v>
      </c>
      <c r="D1799" s="284" t="s">
        <v>1169</v>
      </c>
      <c r="E1799" s="284">
        <v>0</v>
      </c>
      <c r="F1799" s="284"/>
      <c r="G1799" s="285"/>
    </row>
    <row r="1800" spans="1:7" s="7" customFormat="1" hidden="1" outlineLevel="1" x14ac:dyDescent="0.15">
      <c r="A1800" s="2"/>
      <c r="B1800" s="283" t="s">
        <v>1698</v>
      </c>
      <c r="C1800" s="284" t="s">
        <v>1699</v>
      </c>
      <c r="D1800" s="284" t="s">
        <v>1169</v>
      </c>
      <c r="E1800" s="284">
        <v>0</v>
      </c>
      <c r="F1800" s="284"/>
      <c r="G1800" s="285"/>
    </row>
    <row r="1801" spans="1:7" s="7" customFormat="1" hidden="1" outlineLevel="1" x14ac:dyDescent="0.15">
      <c r="A1801" s="2"/>
      <c r="B1801" s="283" t="s">
        <v>1700</v>
      </c>
      <c r="C1801" s="284" t="s">
        <v>1701</v>
      </c>
      <c r="D1801" s="284" t="s">
        <v>1169</v>
      </c>
      <c r="E1801" s="284">
        <v>0</v>
      </c>
      <c r="F1801" s="284"/>
      <c r="G1801" s="285"/>
    </row>
    <row r="1802" spans="1:7" s="7" customFormat="1" hidden="1" outlineLevel="1" x14ac:dyDescent="0.15">
      <c r="A1802" s="2"/>
      <c r="B1802" s="283" t="s">
        <v>1702</v>
      </c>
      <c r="C1802" s="284" t="s">
        <v>1703</v>
      </c>
      <c r="D1802" s="284" t="s">
        <v>1169</v>
      </c>
      <c r="E1802" s="284">
        <v>0</v>
      </c>
      <c r="F1802" s="284"/>
      <c r="G1802" s="285"/>
    </row>
    <row r="1803" spans="1:7" s="7" customFormat="1" hidden="1" outlineLevel="1" x14ac:dyDescent="0.15">
      <c r="A1803" s="2"/>
      <c r="B1803" s="283" t="s">
        <v>1704</v>
      </c>
      <c r="C1803" s="284" t="s">
        <v>1705</v>
      </c>
      <c r="D1803" s="284" t="s">
        <v>1169</v>
      </c>
      <c r="E1803" s="284">
        <v>0</v>
      </c>
      <c r="F1803" s="284"/>
      <c r="G1803" s="285"/>
    </row>
    <row r="1804" spans="1:7" s="7" customFormat="1" hidden="1" outlineLevel="1" x14ac:dyDescent="0.15">
      <c r="A1804" s="2"/>
      <c r="B1804" s="283" t="s">
        <v>1706</v>
      </c>
      <c r="C1804" s="284" t="s">
        <v>1707</v>
      </c>
      <c r="D1804" s="284" t="s">
        <v>1087</v>
      </c>
      <c r="E1804" s="284">
        <v>0</v>
      </c>
      <c r="F1804" s="284"/>
      <c r="G1804" s="285"/>
    </row>
    <row r="1805" spans="1:7" s="7" customFormat="1" hidden="1" outlineLevel="1" x14ac:dyDescent="0.15">
      <c r="A1805" s="2"/>
      <c r="B1805" s="283" t="s">
        <v>1708</v>
      </c>
      <c r="C1805" s="284" t="s">
        <v>1709</v>
      </c>
      <c r="D1805" s="284" t="s">
        <v>1087</v>
      </c>
      <c r="E1805" s="284">
        <v>0</v>
      </c>
      <c r="F1805" s="284"/>
      <c r="G1805" s="285"/>
    </row>
    <row r="1806" spans="1:7" s="7" customFormat="1" hidden="1" outlineLevel="1" x14ac:dyDescent="0.15">
      <c r="A1806" s="2"/>
      <c r="B1806" s="283" t="s">
        <v>1710</v>
      </c>
      <c r="C1806" s="284" t="s">
        <v>1711</v>
      </c>
      <c r="D1806" s="284" t="s">
        <v>1169</v>
      </c>
      <c r="E1806" s="284">
        <v>0</v>
      </c>
      <c r="F1806" s="284"/>
      <c r="G1806" s="285"/>
    </row>
    <row r="1807" spans="1:7" s="7" customFormat="1" hidden="1" outlineLevel="1" x14ac:dyDescent="0.15">
      <c r="A1807" s="2"/>
      <c r="B1807" s="283" t="s">
        <v>1712</v>
      </c>
      <c r="C1807" s="284" t="s">
        <v>1713</v>
      </c>
      <c r="D1807" s="284" t="s">
        <v>1169</v>
      </c>
      <c r="E1807" s="284">
        <v>0</v>
      </c>
      <c r="F1807" s="284"/>
      <c r="G1807" s="285"/>
    </row>
    <row r="1808" spans="1:7" s="7" customFormat="1" hidden="1" outlineLevel="1" x14ac:dyDescent="0.15">
      <c r="A1808" s="2"/>
      <c r="B1808" s="283" t="s">
        <v>141</v>
      </c>
      <c r="C1808" s="284" t="s">
        <v>1408</v>
      </c>
      <c r="D1808" s="284" t="s">
        <v>1169</v>
      </c>
      <c r="E1808" s="284">
        <v>0</v>
      </c>
      <c r="F1808" s="284"/>
      <c r="G1808" s="285"/>
    </row>
    <row r="1809" spans="1:7" s="7" customFormat="1" hidden="1" outlineLevel="1" x14ac:dyDescent="0.15">
      <c r="A1809" s="2"/>
      <c r="B1809" s="286" t="s">
        <v>1714</v>
      </c>
      <c r="C1809" s="287" t="s">
        <v>1715</v>
      </c>
      <c r="D1809" s="287" t="s">
        <v>1087</v>
      </c>
      <c r="E1809" s="287">
        <v>0</v>
      </c>
      <c r="F1809" s="287"/>
      <c r="G1809" s="288"/>
    </row>
    <row r="1810" spans="1:7" s="7" customFormat="1" hidden="1" outlineLevel="1" x14ac:dyDescent="0.15">
      <c r="A1810" s="2"/>
      <c r="B1810" s="286" t="s">
        <v>1716</v>
      </c>
      <c r="C1810" s="287" t="s">
        <v>1717</v>
      </c>
      <c r="D1810" s="287" t="s">
        <v>1087</v>
      </c>
      <c r="E1810" s="287">
        <v>0</v>
      </c>
      <c r="F1810" s="287"/>
      <c r="G1810" s="288"/>
    </row>
    <row r="1811" spans="1:7" s="7" customFormat="1" hidden="1" outlineLevel="1" x14ac:dyDescent="0.15">
      <c r="A1811" s="2"/>
      <c r="B1811" s="286" t="s">
        <v>1718</v>
      </c>
      <c r="C1811" s="287" t="s">
        <v>1719</v>
      </c>
      <c r="D1811" s="287" t="s">
        <v>1169</v>
      </c>
      <c r="E1811" s="287">
        <v>0</v>
      </c>
      <c r="F1811" s="287"/>
      <c r="G1811" s="288"/>
    </row>
    <row r="1812" spans="1:7" s="7" customFormat="1" hidden="1" outlineLevel="1" x14ac:dyDescent="0.15">
      <c r="A1812" s="2"/>
      <c r="B1812" s="286" t="s">
        <v>1720</v>
      </c>
      <c r="C1812" s="287" t="s">
        <v>1721</v>
      </c>
      <c r="D1812" s="287" t="s">
        <v>1169</v>
      </c>
      <c r="E1812" s="287">
        <v>0</v>
      </c>
      <c r="F1812" s="287"/>
      <c r="G1812" s="288"/>
    </row>
    <row r="1813" spans="1:7" s="7" customFormat="1" hidden="1" outlineLevel="1" x14ac:dyDescent="0.15">
      <c r="A1813" s="2"/>
      <c r="B1813" s="286" t="s">
        <v>1722</v>
      </c>
      <c r="C1813" s="287" t="s">
        <v>1723</v>
      </c>
      <c r="D1813" s="287" t="s">
        <v>1169</v>
      </c>
      <c r="E1813" s="287">
        <v>0</v>
      </c>
      <c r="F1813" s="287"/>
      <c r="G1813" s="288"/>
    </row>
    <row r="1814" spans="1:7" s="7" customFormat="1" hidden="1" outlineLevel="1" x14ac:dyDescent="0.15">
      <c r="A1814" s="2"/>
      <c r="B1814" s="286" t="s">
        <v>1724</v>
      </c>
      <c r="C1814" s="287" t="s">
        <v>1725</v>
      </c>
      <c r="D1814" s="287" t="s">
        <v>1169</v>
      </c>
      <c r="E1814" s="287">
        <v>0</v>
      </c>
      <c r="F1814" s="287"/>
      <c r="G1814" s="288"/>
    </row>
    <row r="1815" spans="1:7" s="7" customFormat="1" hidden="1" outlineLevel="1" x14ac:dyDescent="0.15">
      <c r="A1815" s="2"/>
      <c r="B1815" s="286" t="s">
        <v>1726</v>
      </c>
      <c r="C1815" s="287" t="s">
        <v>1727</v>
      </c>
      <c r="D1815" s="287" t="s">
        <v>1087</v>
      </c>
      <c r="E1815" s="287">
        <v>0</v>
      </c>
      <c r="F1815" s="287"/>
      <c r="G1815" s="288"/>
    </row>
    <row r="1816" spans="1:7" s="7" customFormat="1" hidden="1" outlineLevel="1" x14ac:dyDescent="0.15">
      <c r="A1816" s="2"/>
      <c r="B1816" s="286" t="s">
        <v>1728</v>
      </c>
      <c r="C1816" s="287" t="s">
        <v>1729</v>
      </c>
      <c r="D1816" s="287" t="s">
        <v>1087</v>
      </c>
      <c r="E1816" s="287">
        <v>0</v>
      </c>
      <c r="F1816" s="287"/>
      <c r="G1816" s="288"/>
    </row>
    <row r="1817" spans="1:7" s="7" customFormat="1" hidden="1" outlineLevel="1" x14ac:dyDescent="0.15">
      <c r="A1817" s="2"/>
      <c r="B1817" s="286" t="s">
        <v>1730</v>
      </c>
      <c r="C1817" s="287" t="s">
        <v>1731</v>
      </c>
      <c r="D1817" s="287" t="s">
        <v>1169</v>
      </c>
      <c r="E1817" s="287">
        <v>0</v>
      </c>
      <c r="F1817" s="287"/>
      <c r="G1817" s="288"/>
    </row>
    <row r="1818" spans="1:7" s="7" customFormat="1" hidden="1" outlineLevel="1" x14ac:dyDescent="0.15">
      <c r="A1818" s="2"/>
      <c r="B1818" s="286" t="s">
        <v>1732</v>
      </c>
      <c r="C1818" s="287" t="s">
        <v>1733</v>
      </c>
      <c r="D1818" s="287" t="s">
        <v>1169</v>
      </c>
      <c r="E1818" s="287">
        <v>0</v>
      </c>
      <c r="F1818" s="287"/>
      <c r="G1818" s="288"/>
    </row>
    <row r="1819" spans="1:7" s="7" customFormat="1" hidden="1" outlineLevel="1" x14ac:dyDescent="0.15">
      <c r="A1819" s="2"/>
      <c r="B1819" s="286" t="s">
        <v>1734</v>
      </c>
      <c r="C1819" s="287" t="s">
        <v>1735</v>
      </c>
      <c r="D1819" s="287" t="s">
        <v>1169</v>
      </c>
      <c r="E1819" s="287">
        <v>0</v>
      </c>
      <c r="F1819" s="287"/>
      <c r="G1819" s="288"/>
    </row>
    <row r="1820" spans="1:7" s="7" customFormat="1" hidden="1" outlineLevel="1" x14ac:dyDescent="0.15">
      <c r="A1820" s="2"/>
      <c r="B1820" s="286" t="s">
        <v>1736</v>
      </c>
      <c r="C1820" s="287" t="s">
        <v>1737</v>
      </c>
      <c r="D1820" s="287" t="s">
        <v>1169</v>
      </c>
      <c r="E1820" s="287">
        <v>0</v>
      </c>
      <c r="F1820" s="287"/>
      <c r="G1820" s="288"/>
    </row>
    <row r="1821" spans="1:7" s="7" customFormat="1" hidden="1" outlineLevel="1" x14ac:dyDescent="0.15">
      <c r="A1821" s="2"/>
      <c r="B1821" s="47" t="s">
        <v>153</v>
      </c>
      <c r="C1821" s="48" t="s">
        <v>1143</v>
      </c>
      <c r="D1821" s="48" t="s">
        <v>1169</v>
      </c>
      <c r="E1821" s="48">
        <v>0</v>
      </c>
      <c r="F1821" s="48"/>
      <c r="G1821" s="49"/>
    </row>
    <row r="1822" spans="1:7" s="7" customFormat="1" hidden="1" outlineLevel="1" x14ac:dyDescent="0.15">
      <c r="A1822" s="2"/>
      <c r="B1822" s="47" t="s">
        <v>1630</v>
      </c>
      <c r="C1822" s="48" t="s">
        <v>1796</v>
      </c>
      <c r="D1822" s="48" t="s">
        <v>1169</v>
      </c>
      <c r="E1822" s="48">
        <v>0</v>
      </c>
      <c r="F1822" s="48"/>
      <c r="G1822" s="49"/>
    </row>
    <row r="1823" spans="1:7" s="7" customFormat="1" hidden="1" outlineLevel="1" x14ac:dyDescent="0.15">
      <c r="A1823" s="2"/>
      <c r="B1823" s="47" t="s">
        <v>965</v>
      </c>
      <c r="C1823" s="48" t="s">
        <v>1263</v>
      </c>
      <c r="D1823" s="48" t="s">
        <v>211</v>
      </c>
      <c r="E1823" s="48" t="s">
        <v>1141</v>
      </c>
      <c r="F1823" s="48"/>
      <c r="G1823" s="49"/>
    </row>
    <row r="1824" spans="1:7" s="7" customFormat="1" hidden="1" outlineLevel="1" x14ac:dyDescent="0.15">
      <c r="A1824" s="2"/>
      <c r="B1824" s="47" t="s">
        <v>126</v>
      </c>
      <c r="C1824" s="48" t="s">
        <v>1264</v>
      </c>
      <c r="D1824" s="48" t="s">
        <v>211</v>
      </c>
      <c r="E1824" s="48" t="s">
        <v>1265</v>
      </c>
      <c r="F1824" s="48"/>
      <c r="G1824" s="49"/>
    </row>
    <row r="1825" spans="1:15" s="7" customFormat="1" ht="18" hidden="1" outlineLevel="1" thickBot="1" x14ac:dyDescent="0.2">
      <c r="A1825" s="2"/>
      <c r="B1825" s="53"/>
      <c r="C1825" s="54"/>
      <c r="D1825" s="54"/>
      <c r="E1825" s="54"/>
      <c r="F1825" s="54"/>
      <c r="G1825" s="55"/>
    </row>
    <row r="1826" spans="1:15" s="56" customFormat="1" hidden="1" outlineLevel="1" x14ac:dyDescent="0.35">
      <c r="A1826" s="2"/>
      <c r="B1826" s="343" t="s">
        <v>15</v>
      </c>
      <c r="C1826" s="344"/>
      <c r="D1826" s="344"/>
      <c r="E1826" s="344"/>
      <c r="F1826" s="344"/>
      <c r="G1826" s="345"/>
      <c r="H1826" s="7"/>
      <c r="I1826" s="7"/>
      <c r="J1826" s="7"/>
      <c r="K1826" s="7"/>
      <c r="L1826" s="7"/>
      <c r="M1826" s="7"/>
      <c r="N1826" s="7"/>
      <c r="O1826" s="7"/>
    </row>
    <row r="1827" spans="1:15" s="56" customFormat="1" hidden="1" outlineLevel="1" x14ac:dyDescent="0.35">
      <c r="A1827" s="2" t="s">
        <v>62</v>
      </c>
      <c r="B1827" s="47">
        <v>1</v>
      </c>
      <c r="C1827" s="48" t="s">
        <v>21</v>
      </c>
      <c r="D1827" s="48" t="s">
        <v>123</v>
      </c>
      <c r="E1827" s="48" t="s">
        <v>113</v>
      </c>
      <c r="F1827" s="48" t="s">
        <v>114</v>
      </c>
      <c r="G1827" s="48" t="s">
        <v>115</v>
      </c>
      <c r="H1827" s="7"/>
      <c r="I1827" s="7"/>
      <c r="J1827" s="7"/>
      <c r="K1827" s="7"/>
      <c r="L1827" s="7"/>
      <c r="M1827" s="7"/>
      <c r="N1827" s="7"/>
      <c r="O1827" s="7"/>
    </row>
    <row r="1828" spans="1:15" s="7" customFormat="1" hidden="1" outlineLevel="1" x14ac:dyDescent="0.15">
      <c r="A1828" s="2"/>
      <c r="B1828" s="47">
        <v>2</v>
      </c>
      <c r="C1828" s="48" t="s">
        <v>16</v>
      </c>
      <c r="D1828" s="48" t="s">
        <v>111</v>
      </c>
      <c r="E1828" s="48" t="s">
        <v>123</v>
      </c>
      <c r="F1828" s="48"/>
      <c r="G1828" s="49"/>
    </row>
    <row r="1829" spans="1:15" s="7" customFormat="1" ht="18" hidden="1" outlineLevel="1" thickBot="1" x14ac:dyDescent="0.2">
      <c r="A1829" s="2"/>
      <c r="B1829" s="53"/>
      <c r="C1829" s="54"/>
      <c r="D1829" s="54"/>
      <c r="E1829" s="54"/>
      <c r="F1829" s="54"/>
      <c r="G1829" s="55"/>
    </row>
    <row r="1830" spans="1:15" s="7" customFormat="1" ht="18" hidden="1" outlineLevel="1" thickBot="1" x14ac:dyDescent="0.2">
      <c r="A1830" s="2"/>
    </row>
    <row r="1831" spans="1:15" s="7" customFormat="1" ht="18" collapsed="1" thickBot="1" x14ac:dyDescent="0.2">
      <c r="A1831" s="2"/>
      <c r="B1831" s="39" t="s">
        <v>563</v>
      </c>
      <c r="C1831" s="280" t="s">
        <v>1775</v>
      </c>
      <c r="D1831" s="40" t="s">
        <v>515</v>
      </c>
      <c r="E1831" s="289" t="s">
        <v>1753</v>
      </c>
      <c r="F1831" s="40" t="s">
        <v>567</v>
      </c>
      <c r="G1831" s="41" t="s">
        <v>1628</v>
      </c>
    </row>
    <row r="1832" spans="1:15" s="7" customFormat="1" ht="18" hidden="1" outlineLevel="1" thickBot="1" x14ac:dyDescent="0.2">
      <c r="A1832" s="2"/>
      <c r="B1832" s="42" t="s">
        <v>570</v>
      </c>
      <c r="C1832" s="43"/>
      <c r="D1832" s="44" t="s">
        <v>568</v>
      </c>
      <c r="E1832" s="43" t="s">
        <v>615</v>
      </c>
      <c r="F1832" s="44"/>
      <c r="G1832" s="45"/>
    </row>
    <row r="1833" spans="1:15" s="7" customFormat="1" hidden="1" outlineLevel="1" x14ac:dyDescent="0.15">
      <c r="A1833" s="2"/>
      <c r="B1833" s="39" t="s">
        <v>0</v>
      </c>
      <c r="C1833" s="40" t="s">
        <v>1</v>
      </c>
      <c r="D1833" s="40" t="s">
        <v>2</v>
      </c>
      <c r="E1833" s="40"/>
      <c r="F1833" s="40" t="s">
        <v>3</v>
      </c>
      <c r="G1833" s="46" t="s">
        <v>4</v>
      </c>
    </row>
    <row r="1834" spans="1:15" s="7" customFormat="1" hidden="1" outlineLevel="1" x14ac:dyDescent="0.15">
      <c r="A1834" s="2"/>
      <c r="B1834" s="47" t="s">
        <v>22</v>
      </c>
      <c r="C1834" s="48" t="s">
        <v>1127</v>
      </c>
      <c r="D1834" s="48" t="s">
        <v>211</v>
      </c>
      <c r="E1834" s="48" t="s">
        <v>1141</v>
      </c>
      <c r="F1834" s="48"/>
      <c r="G1834" s="49" t="s">
        <v>1162</v>
      </c>
    </row>
    <row r="1835" spans="1:15" s="7" customFormat="1" hidden="1" outlineLevel="1" x14ac:dyDescent="0.15">
      <c r="A1835" s="2"/>
      <c r="B1835" s="47" t="s">
        <v>21</v>
      </c>
      <c r="C1835" s="48" t="s">
        <v>1357</v>
      </c>
      <c r="D1835" s="48" t="s">
        <v>211</v>
      </c>
      <c r="E1835" s="48">
        <v>0</v>
      </c>
      <c r="F1835" s="48"/>
      <c r="G1835" s="49" t="s">
        <v>1358</v>
      </c>
    </row>
    <row r="1836" spans="1:15" s="7" customFormat="1" hidden="1" outlineLevel="1" x14ac:dyDescent="0.15">
      <c r="A1836" s="2"/>
      <c r="B1836" s="47" t="s">
        <v>6</v>
      </c>
      <c r="C1836" s="48" t="s">
        <v>1163</v>
      </c>
      <c r="D1836" s="48" t="s">
        <v>211</v>
      </c>
      <c r="E1836" s="48">
        <v>0</v>
      </c>
      <c r="F1836" s="48"/>
      <c r="G1836" s="49" t="s">
        <v>1077</v>
      </c>
    </row>
    <row r="1837" spans="1:15" s="7" customFormat="1" hidden="1" outlineLevel="1" x14ac:dyDescent="0.15">
      <c r="A1837" s="2"/>
      <c r="B1837" s="47" t="s">
        <v>111</v>
      </c>
      <c r="C1837" s="48" t="s">
        <v>1164</v>
      </c>
      <c r="D1837" s="48" t="s">
        <v>211</v>
      </c>
      <c r="E1837" s="48">
        <v>0</v>
      </c>
      <c r="F1837" s="48"/>
      <c r="G1837" s="49" t="s">
        <v>1165</v>
      </c>
    </row>
    <row r="1838" spans="1:15" s="7" customFormat="1" hidden="1" outlineLevel="1" x14ac:dyDescent="0.15">
      <c r="A1838" s="2"/>
      <c r="B1838" s="47" t="s">
        <v>123</v>
      </c>
      <c r="C1838" s="48" t="s">
        <v>1133</v>
      </c>
      <c r="D1838" s="48" t="s">
        <v>211</v>
      </c>
      <c r="E1838" s="48">
        <v>0</v>
      </c>
      <c r="F1838" s="48"/>
      <c r="G1838" s="49" t="s">
        <v>1182</v>
      </c>
    </row>
    <row r="1839" spans="1:15" s="7" customFormat="1" hidden="1" outlineLevel="1" x14ac:dyDescent="0.15">
      <c r="A1839" s="2"/>
      <c r="B1839" s="50" t="s">
        <v>113</v>
      </c>
      <c r="C1839" s="51" t="s">
        <v>1187</v>
      </c>
      <c r="D1839" s="51" t="s">
        <v>211</v>
      </c>
      <c r="E1839" s="51">
        <v>0</v>
      </c>
      <c r="F1839" s="51"/>
      <c r="G1839" s="52"/>
    </row>
    <row r="1840" spans="1:15" s="7" customFormat="1" hidden="1" outlineLevel="1" x14ac:dyDescent="0.15">
      <c r="A1840" s="2"/>
      <c r="B1840" s="47" t="s">
        <v>7</v>
      </c>
      <c r="C1840" s="48" t="s">
        <v>1190</v>
      </c>
      <c r="D1840" s="48" t="s">
        <v>211</v>
      </c>
      <c r="E1840" s="48">
        <v>0</v>
      </c>
      <c r="F1840" s="48"/>
      <c r="G1840" s="49" t="s">
        <v>1081</v>
      </c>
    </row>
    <row r="1841" spans="1:7" s="7" customFormat="1" hidden="1" outlineLevel="1" x14ac:dyDescent="0.15">
      <c r="A1841" s="2"/>
      <c r="B1841" s="47" t="s">
        <v>19</v>
      </c>
      <c r="C1841" s="48" t="s">
        <v>1337</v>
      </c>
      <c r="D1841" s="48" t="s">
        <v>1219</v>
      </c>
      <c r="E1841" s="48" t="s">
        <v>1072</v>
      </c>
      <c r="F1841" s="48"/>
      <c r="G1841" s="49" t="s">
        <v>1338</v>
      </c>
    </row>
    <row r="1842" spans="1:7" s="7" customFormat="1" hidden="1" outlineLevel="1" x14ac:dyDescent="0.15">
      <c r="A1842" s="2"/>
      <c r="B1842" s="50" t="s">
        <v>114</v>
      </c>
      <c r="C1842" s="51" t="s">
        <v>1155</v>
      </c>
      <c r="D1842" s="51" t="s">
        <v>211</v>
      </c>
      <c r="E1842" s="51">
        <v>0</v>
      </c>
      <c r="F1842" s="51"/>
      <c r="G1842" s="52"/>
    </row>
    <row r="1843" spans="1:7" s="7" customFormat="1" hidden="1" outlineLevel="1" x14ac:dyDescent="0.15">
      <c r="A1843" s="2"/>
      <c r="B1843" s="50" t="s">
        <v>115</v>
      </c>
      <c r="C1843" s="51" t="s">
        <v>1188</v>
      </c>
      <c r="D1843" s="51" t="s">
        <v>211</v>
      </c>
      <c r="E1843" s="51">
        <v>0</v>
      </c>
      <c r="F1843" s="51"/>
      <c r="G1843" s="52"/>
    </row>
    <row r="1844" spans="1:7" s="7" customFormat="1" hidden="1" outlineLevel="1" x14ac:dyDescent="0.15">
      <c r="A1844" s="2"/>
      <c r="B1844" s="50" t="s">
        <v>1738</v>
      </c>
      <c r="C1844" s="51" t="s">
        <v>1691</v>
      </c>
      <c r="D1844" s="51" t="s">
        <v>1087</v>
      </c>
      <c r="E1844" s="51">
        <v>0</v>
      </c>
      <c r="F1844" s="51"/>
      <c r="G1844" s="52"/>
    </row>
    <row r="1845" spans="1:7" s="7" customFormat="1" hidden="1" outlineLevel="1" x14ac:dyDescent="0.15">
      <c r="A1845" s="2"/>
      <c r="B1845" s="50" t="s">
        <v>1739</v>
      </c>
      <c r="C1845" s="51" t="s">
        <v>1693</v>
      </c>
      <c r="D1845" s="51" t="s">
        <v>1087</v>
      </c>
      <c r="E1845" s="51">
        <v>0</v>
      </c>
      <c r="F1845" s="51"/>
      <c r="G1845" s="52"/>
    </row>
    <row r="1846" spans="1:7" s="7" customFormat="1" hidden="1" outlineLevel="1" x14ac:dyDescent="0.15">
      <c r="A1846" s="2"/>
      <c r="B1846" s="50" t="s">
        <v>1740</v>
      </c>
      <c r="C1846" s="51" t="s">
        <v>1695</v>
      </c>
      <c r="D1846" s="51" t="s">
        <v>1169</v>
      </c>
      <c r="E1846" s="51">
        <v>0</v>
      </c>
      <c r="F1846" s="51"/>
      <c r="G1846" s="52"/>
    </row>
    <row r="1847" spans="1:7" s="7" customFormat="1" hidden="1" outlineLevel="1" x14ac:dyDescent="0.15">
      <c r="A1847" s="2"/>
      <c r="B1847" s="50" t="s">
        <v>1696</v>
      </c>
      <c r="C1847" s="51" t="s">
        <v>1697</v>
      </c>
      <c r="D1847" s="51" t="s">
        <v>1169</v>
      </c>
      <c r="E1847" s="51">
        <v>0</v>
      </c>
      <c r="F1847" s="51"/>
      <c r="G1847" s="52"/>
    </row>
    <row r="1848" spans="1:7" s="7" customFormat="1" hidden="1" outlineLevel="1" x14ac:dyDescent="0.15">
      <c r="A1848" s="2"/>
      <c r="B1848" s="50" t="s">
        <v>1741</v>
      </c>
      <c r="C1848" s="51" t="s">
        <v>1699</v>
      </c>
      <c r="D1848" s="51" t="s">
        <v>1169</v>
      </c>
      <c r="E1848" s="51">
        <v>0</v>
      </c>
      <c r="F1848" s="51"/>
      <c r="G1848" s="52"/>
    </row>
    <row r="1849" spans="1:7" s="7" customFormat="1" hidden="1" outlineLevel="1" x14ac:dyDescent="0.15">
      <c r="A1849" s="2"/>
      <c r="B1849" s="50" t="s">
        <v>1700</v>
      </c>
      <c r="C1849" s="51" t="s">
        <v>1701</v>
      </c>
      <c r="D1849" s="51" t="s">
        <v>1169</v>
      </c>
      <c r="E1849" s="51">
        <v>0</v>
      </c>
      <c r="F1849" s="51"/>
      <c r="G1849" s="52"/>
    </row>
    <row r="1850" spans="1:7" s="7" customFormat="1" hidden="1" outlineLevel="1" x14ac:dyDescent="0.15">
      <c r="A1850" s="2"/>
      <c r="B1850" s="50" t="s">
        <v>1702</v>
      </c>
      <c r="C1850" s="51" t="s">
        <v>1703</v>
      </c>
      <c r="D1850" s="51" t="s">
        <v>1169</v>
      </c>
      <c r="E1850" s="51">
        <v>0</v>
      </c>
      <c r="F1850" s="51"/>
      <c r="G1850" s="52"/>
    </row>
    <row r="1851" spans="1:7" s="7" customFormat="1" hidden="1" outlineLevel="1" x14ac:dyDescent="0.15">
      <c r="A1851" s="2"/>
      <c r="B1851" s="50" t="s">
        <v>1742</v>
      </c>
      <c r="C1851" s="51" t="s">
        <v>1705</v>
      </c>
      <c r="D1851" s="51" t="s">
        <v>1169</v>
      </c>
      <c r="E1851" s="51">
        <v>0</v>
      </c>
      <c r="F1851" s="51"/>
      <c r="G1851" s="52"/>
    </row>
    <row r="1852" spans="1:7" s="7" customFormat="1" hidden="1" outlineLevel="1" x14ac:dyDescent="0.15">
      <c r="A1852" s="2"/>
      <c r="B1852" s="50" t="s">
        <v>1743</v>
      </c>
      <c r="C1852" s="51" t="s">
        <v>1707</v>
      </c>
      <c r="D1852" s="51" t="s">
        <v>1087</v>
      </c>
      <c r="E1852" s="51">
        <v>0</v>
      </c>
      <c r="F1852" s="51"/>
      <c r="G1852" s="52"/>
    </row>
    <row r="1853" spans="1:7" s="7" customFormat="1" hidden="1" outlineLevel="1" x14ac:dyDescent="0.15">
      <c r="A1853" s="2"/>
      <c r="B1853" s="50" t="s">
        <v>1744</v>
      </c>
      <c r="C1853" s="51" t="s">
        <v>1709</v>
      </c>
      <c r="D1853" s="51" t="s">
        <v>1087</v>
      </c>
      <c r="E1853" s="51">
        <v>0</v>
      </c>
      <c r="F1853" s="51"/>
      <c r="G1853" s="52"/>
    </row>
    <row r="1854" spans="1:7" s="7" customFormat="1" hidden="1" outlineLevel="1" x14ac:dyDescent="0.15">
      <c r="A1854" s="2"/>
      <c r="B1854" s="50" t="s">
        <v>1710</v>
      </c>
      <c r="C1854" s="51" t="s">
        <v>1711</v>
      </c>
      <c r="D1854" s="51" t="s">
        <v>1169</v>
      </c>
      <c r="E1854" s="51">
        <v>0</v>
      </c>
      <c r="F1854" s="51"/>
      <c r="G1854" s="52"/>
    </row>
    <row r="1855" spans="1:7" s="7" customFormat="1" hidden="1" outlineLevel="1" x14ac:dyDescent="0.15">
      <c r="A1855" s="2"/>
      <c r="B1855" s="50" t="s">
        <v>1712</v>
      </c>
      <c r="C1855" s="51" t="s">
        <v>1713</v>
      </c>
      <c r="D1855" s="51" t="s">
        <v>1169</v>
      </c>
      <c r="E1855" s="51">
        <v>0</v>
      </c>
      <c r="F1855" s="51"/>
      <c r="G1855" s="52"/>
    </row>
    <row r="1856" spans="1:7" s="7" customFormat="1" hidden="1" outlineLevel="1" x14ac:dyDescent="0.15">
      <c r="A1856" s="2"/>
      <c r="B1856" s="50" t="s">
        <v>141</v>
      </c>
      <c r="C1856" s="51" t="s">
        <v>1408</v>
      </c>
      <c r="D1856" s="51" t="s">
        <v>1169</v>
      </c>
      <c r="E1856" s="51">
        <v>0</v>
      </c>
      <c r="F1856" s="51"/>
      <c r="G1856" s="52"/>
    </row>
    <row r="1857" spans="1:7" s="7" customFormat="1" hidden="1" outlineLevel="1" x14ac:dyDescent="0.15">
      <c r="A1857" s="2"/>
      <c r="B1857" s="20" t="s">
        <v>1714</v>
      </c>
      <c r="C1857" s="51" t="s">
        <v>1715</v>
      </c>
      <c r="D1857" s="51" t="s">
        <v>1087</v>
      </c>
      <c r="E1857" s="51">
        <v>0</v>
      </c>
      <c r="F1857" s="51"/>
      <c r="G1857" s="52"/>
    </row>
    <row r="1858" spans="1:7" s="7" customFormat="1" hidden="1" outlineLevel="1" x14ac:dyDescent="0.15">
      <c r="A1858" s="2"/>
      <c r="B1858" s="20" t="s">
        <v>1716</v>
      </c>
      <c r="C1858" s="51" t="s">
        <v>1717</v>
      </c>
      <c r="D1858" s="51" t="s">
        <v>1087</v>
      </c>
      <c r="E1858" s="51">
        <v>0</v>
      </c>
      <c r="F1858" s="51"/>
      <c r="G1858" s="52"/>
    </row>
    <row r="1859" spans="1:7" s="7" customFormat="1" hidden="1" outlineLevel="1" x14ac:dyDescent="0.15">
      <c r="A1859" s="2"/>
      <c r="B1859" s="20" t="s">
        <v>1718</v>
      </c>
      <c r="C1859" s="51" t="s">
        <v>1719</v>
      </c>
      <c r="D1859" s="51" t="s">
        <v>1169</v>
      </c>
      <c r="E1859" s="51">
        <v>0</v>
      </c>
      <c r="F1859" s="51"/>
      <c r="G1859" s="52"/>
    </row>
    <row r="1860" spans="1:7" s="7" customFormat="1" hidden="1" outlineLevel="1" x14ac:dyDescent="0.15">
      <c r="A1860" s="2"/>
      <c r="B1860" s="20" t="s">
        <v>1720</v>
      </c>
      <c r="C1860" s="51" t="s">
        <v>1721</v>
      </c>
      <c r="D1860" s="51" t="s">
        <v>1169</v>
      </c>
      <c r="E1860" s="51">
        <v>0</v>
      </c>
      <c r="F1860" s="51"/>
      <c r="G1860" s="52"/>
    </row>
    <row r="1861" spans="1:7" s="7" customFormat="1" hidden="1" outlineLevel="1" x14ac:dyDescent="0.15">
      <c r="A1861" s="2"/>
      <c r="B1861" s="20" t="s">
        <v>1722</v>
      </c>
      <c r="C1861" s="51" t="s">
        <v>1723</v>
      </c>
      <c r="D1861" s="51" t="s">
        <v>1169</v>
      </c>
      <c r="E1861" s="51">
        <v>0</v>
      </c>
      <c r="F1861" s="51"/>
      <c r="G1861" s="52"/>
    </row>
    <row r="1862" spans="1:7" s="7" customFormat="1" hidden="1" outlineLevel="1" x14ac:dyDescent="0.15">
      <c r="A1862" s="2"/>
      <c r="B1862" s="20" t="s">
        <v>1724</v>
      </c>
      <c r="C1862" s="51" t="s">
        <v>1725</v>
      </c>
      <c r="D1862" s="51" t="s">
        <v>1169</v>
      </c>
      <c r="E1862" s="51">
        <v>0</v>
      </c>
      <c r="F1862" s="51"/>
      <c r="G1862" s="52"/>
    </row>
    <row r="1863" spans="1:7" s="7" customFormat="1" hidden="1" outlineLevel="1" x14ac:dyDescent="0.15">
      <c r="A1863" s="2"/>
      <c r="B1863" s="20" t="s">
        <v>1726</v>
      </c>
      <c r="C1863" s="48" t="s">
        <v>1727</v>
      </c>
      <c r="D1863" s="48" t="s">
        <v>1087</v>
      </c>
      <c r="E1863" s="48">
        <v>0</v>
      </c>
      <c r="F1863" s="48"/>
      <c r="G1863" s="49"/>
    </row>
    <row r="1864" spans="1:7" s="7" customFormat="1" hidden="1" outlineLevel="1" x14ac:dyDescent="0.15">
      <c r="A1864" s="2"/>
      <c r="B1864" s="20" t="s">
        <v>1728</v>
      </c>
      <c r="C1864" s="48" t="s">
        <v>1729</v>
      </c>
      <c r="D1864" s="48" t="s">
        <v>1087</v>
      </c>
      <c r="E1864" s="48">
        <v>0</v>
      </c>
      <c r="F1864" s="48"/>
      <c r="G1864" s="49"/>
    </row>
    <row r="1865" spans="1:7" s="7" customFormat="1" hidden="1" outlineLevel="1" x14ac:dyDescent="0.15">
      <c r="A1865" s="2"/>
      <c r="B1865" s="20" t="s">
        <v>1730</v>
      </c>
      <c r="C1865" s="48" t="s">
        <v>1731</v>
      </c>
      <c r="D1865" s="48" t="s">
        <v>1169</v>
      </c>
      <c r="E1865" s="48">
        <v>0</v>
      </c>
      <c r="F1865" s="48"/>
      <c r="G1865" s="49"/>
    </row>
    <row r="1866" spans="1:7" s="7" customFormat="1" hidden="1" outlineLevel="1" x14ac:dyDescent="0.15">
      <c r="A1866" s="2"/>
      <c r="B1866" s="20" t="s">
        <v>1732</v>
      </c>
      <c r="C1866" s="48" t="s">
        <v>1733</v>
      </c>
      <c r="D1866" s="48" t="s">
        <v>1169</v>
      </c>
      <c r="E1866" s="48">
        <v>0</v>
      </c>
      <c r="F1866" s="48"/>
      <c r="G1866" s="49"/>
    </row>
    <row r="1867" spans="1:7" s="7" customFormat="1" hidden="1" outlineLevel="1" x14ac:dyDescent="0.15">
      <c r="A1867" s="2"/>
      <c r="B1867" s="20" t="s">
        <v>1734</v>
      </c>
      <c r="C1867" s="48" t="s">
        <v>1735</v>
      </c>
      <c r="D1867" s="48" t="s">
        <v>1169</v>
      </c>
      <c r="E1867" s="48">
        <v>0</v>
      </c>
      <c r="F1867" s="48"/>
      <c r="G1867" s="49"/>
    </row>
    <row r="1868" spans="1:7" s="7" customFormat="1" hidden="1" outlineLevel="1" x14ac:dyDescent="0.15">
      <c r="A1868" s="2"/>
      <c r="B1868" s="20" t="s">
        <v>1736</v>
      </c>
      <c r="C1868" s="48" t="s">
        <v>1737</v>
      </c>
      <c r="D1868" s="48" t="s">
        <v>1169</v>
      </c>
      <c r="E1868" s="48">
        <v>0</v>
      </c>
      <c r="F1868" s="48"/>
      <c r="G1868" s="49"/>
    </row>
    <row r="1869" spans="1:7" s="7" customFormat="1" hidden="1" outlineLevel="1" x14ac:dyDescent="0.15">
      <c r="A1869" s="2"/>
      <c r="B1869" s="47" t="s">
        <v>153</v>
      </c>
      <c r="C1869" s="48" t="s">
        <v>1143</v>
      </c>
      <c r="D1869" s="48" t="s">
        <v>1169</v>
      </c>
      <c r="E1869" s="48">
        <v>0</v>
      </c>
      <c r="F1869" s="48"/>
      <c r="G1869" s="49"/>
    </row>
    <row r="1870" spans="1:7" s="7" customFormat="1" hidden="1" outlineLevel="1" x14ac:dyDescent="0.15">
      <c r="A1870" s="2"/>
      <c r="B1870" s="50" t="s">
        <v>1048</v>
      </c>
      <c r="C1870" s="51" t="s">
        <v>1796</v>
      </c>
      <c r="D1870" s="51" t="s">
        <v>1169</v>
      </c>
      <c r="E1870" s="51">
        <v>0</v>
      </c>
      <c r="F1870" s="51"/>
      <c r="G1870" s="52"/>
    </row>
    <row r="1871" spans="1:7" s="7" customFormat="1" hidden="1" outlineLevel="1" x14ac:dyDescent="0.15">
      <c r="A1871" s="2"/>
      <c r="B1871" s="47" t="s">
        <v>965</v>
      </c>
      <c r="C1871" s="48" t="s">
        <v>1263</v>
      </c>
      <c r="D1871" s="48" t="s">
        <v>211</v>
      </c>
      <c r="E1871" s="48" t="s">
        <v>1141</v>
      </c>
      <c r="F1871" s="48"/>
      <c r="G1871" s="49"/>
    </row>
    <row r="1872" spans="1:7" s="7" customFormat="1" hidden="1" outlineLevel="1" x14ac:dyDescent="0.15">
      <c r="A1872" s="2"/>
      <c r="B1872" s="47" t="s">
        <v>126</v>
      </c>
      <c r="C1872" s="48" t="s">
        <v>1264</v>
      </c>
      <c r="D1872" s="48" t="s">
        <v>211</v>
      </c>
      <c r="E1872" s="48" t="s">
        <v>1265</v>
      </c>
      <c r="F1872" s="48"/>
      <c r="G1872" s="49"/>
    </row>
    <row r="1873" spans="1:15" s="7" customFormat="1" ht="18" hidden="1" outlineLevel="1" thickBot="1" x14ac:dyDescent="0.2">
      <c r="A1873" s="2"/>
      <c r="B1873" s="53"/>
      <c r="C1873" s="54"/>
      <c r="D1873" s="54"/>
      <c r="E1873" s="54"/>
      <c r="F1873" s="54"/>
      <c r="G1873" s="55"/>
    </row>
    <row r="1874" spans="1:15" s="56" customFormat="1" hidden="1" outlineLevel="1" x14ac:dyDescent="0.35">
      <c r="A1874" s="2"/>
      <c r="B1874" s="343" t="s">
        <v>15</v>
      </c>
      <c r="C1874" s="344"/>
      <c r="D1874" s="344"/>
      <c r="E1874" s="344"/>
      <c r="F1874" s="344"/>
      <c r="G1874" s="345"/>
      <c r="H1874" s="48" t="s">
        <v>115</v>
      </c>
      <c r="I1874" s="7"/>
      <c r="J1874" s="7"/>
      <c r="K1874" s="7"/>
      <c r="L1874" s="7"/>
      <c r="M1874" s="7"/>
      <c r="N1874" s="7"/>
      <c r="O1874" s="7"/>
    </row>
    <row r="1875" spans="1:15" s="56" customFormat="1" hidden="1" outlineLevel="1" x14ac:dyDescent="0.35">
      <c r="A1875" s="2"/>
      <c r="B1875" s="47">
        <v>1</v>
      </c>
      <c r="C1875" s="48" t="s">
        <v>22</v>
      </c>
      <c r="D1875" s="48" t="s">
        <v>21</v>
      </c>
      <c r="E1875" s="48" t="s">
        <v>123</v>
      </c>
      <c r="F1875" s="48" t="s">
        <v>113</v>
      </c>
      <c r="G1875" s="48" t="s">
        <v>114</v>
      </c>
      <c r="H1875" s="7"/>
      <c r="I1875" s="7"/>
      <c r="J1875" s="7"/>
      <c r="K1875" s="7"/>
      <c r="L1875" s="7"/>
      <c r="M1875" s="7"/>
      <c r="N1875" s="7"/>
      <c r="O1875" s="7"/>
    </row>
    <row r="1876" spans="1:15" s="7" customFormat="1" hidden="1" outlineLevel="1" x14ac:dyDescent="0.15">
      <c r="A1876" s="2"/>
      <c r="B1876" s="47">
        <v>2</v>
      </c>
      <c r="C1876" s="48" t="s">
        <v>22</v>
      </c>
      <c r="D1876" s="48" t="s">
        <v>16</v>
      </c>
      <c r="E1876" s="48" t="s">
        <v>111</v>
      </c>
      <c r="F1876" s="48" t="s">
        <v>123</v>
      </c>
      <c r="G1876" s="49"/>
    </row>
    <row r="1877" spans="1:15" s="7" customFormat="1" ht="18" hidden="1" outlineLevel="1" thickBot="1" x14ac:dyDescent="0.2">
      <c r="A1877" s="2"/>
      <c r="B1877" s="53"/>
      <c r="C1877" s="54"/>
      <c r="D1877" s="54"/>
      <c r="E1877" s="54"/>
      <c r="F1877" s="54"/>
      <c r="G1877" s="55"/>
    </row>
    <row r="1878" spans="1:15" s="7" customFormat="1" ht="18" hidden="1" outlineLevel="1" thickBot="1" x14ac:dyDescent="0.2"/>
    <row r="1879" spans="1:15" s="7" customFormat="1" ht="15.75" customHeight="1" collapsed="1" thickBot="1" x14ac:dyDescent="0.2">
      <c r="A1879" s="2"/>
      <c r="B1879" s="3" t="s">
        <v>563</v>
      </c>
      <c r="C1879" s="146" t="s">
        <v>640</v>
      </c>
      <c r="D1879" s="146" t="s">
        <v>515</v>
      </c>
      <c r="E1879" s="146" t="s">
        <v>600</v>
      </c>
      <c r="F1879" s="5" t="s">
        <v>567</v>
      </c>
      <c r="G1879" s="6" t="s">
        <v>1618</v>
      </c>
    </row>
    <row r="1880" spans="1:15" s="7" customFormat="1" ht="15" hidden="1" customHeight="1" outlineLevel="1" thickBot="1" x14ac:dyDescent="0.2">
      <c r="A1880" s="2"/>
      <c r="B1880" s="8" t="s">
        <v>570</v>
      </c>
      <c r="C1880" s="9"/>
      <c r="D1880" s="10" t="s">
        <v>568</v>
      </c>
      <c r="E1880" s="9" t="s">
        <v>615</v>
      </c>
      <c r="F1880" s="10"/>
      <c r="G1880" s="11"/>
    </row>
    <row r="1881" spans="1:15" s="7" customFormat="1" ht="15" hidden="1" customHeight="1" outlineLevel="1" x14ac:dyDescent="0.15">
      <c r="A1881" s="2"/>
      <c r="B1881" s="12" t="s">
        <v>0</v>
      </c>
      <c r="C1881" s="13" t="s">
        <v>1</v>
      </c>
      <c r="D1881" s="13" t="s">
        <v>2</v>
      </c>
      <c r="E1881" s="13"/>
      <c r="F1881" s="13" t="s">
        <v>3</v>
      </c>
      <c r="G1881" s="13" t="s">
        <v>4</v>
      </c>
    </row>
    <row r="1882" spans="1:15" s="7" customFormat="1" ht="15" hidden="1" customHeight="1" outlineLevel="1" x14ac:dyDescent="0.15">
      <c r="A1882" s="2"/>
      <c r="B1882" s="14" t="s">
        <v>111</v>
      </c>
      <c r="C1882" s="15" t="s">
        <v>1164</v>
      </c>
      <c r="D1882" s="15" t="s">
        <v>211</v>
      </c>
      <c r="E1882" s="15">
        <v>0</v>
      </c>
      <c r="F1882" s="15"/>
      <c r="G1882" s="16" t="s">
        <v>1165</v>
      </c>
    </row>
    <row r="1883" spans="1:15" s="7" customFormat="1" ht="15" hidden="1" customHeight="1" outlineLevel="1" x14ac:dyDescent="0.15">
      <c r="A1883" s="2"/>
      <c r="B1883" s="14" t="s">
        <v>6</v>
      </c>
      <c r="C1883" s="15" t="s">
        <v>1163</v>
      </c>
      <c r="D1883" s="15" t="s">
        <v>211</v>
      </c>
      <c r="E1883" s="15">
        <v>0</v>
      </c>
      <c r="F1883" s="15"/>
      <c r="G1883" s="16" t="s">
        <v>1077</v>
      </c>
    </row>
    <row r="1884" spans="1:15" s="7" customFormat="1" ht="15" hidden="1" customHeight="1" outlineLevel="1" x14ac:dyDescent="0.15">
      <c r="A1884" s="2"/>
      <c r="B1884" s="31" t="s">
        <v>187</v>
      </c>
      <c r="C1884" s="15" t="s">
        <v>1422</v>
      </c>
      <c r="D1884" s="15" t="s">
        <v>1287</v>
      </c>
      <c r="E1884" s="15" t="s">
        <v>1072</v>
      </c>
      <c r="F1884" s="15"/>
      <c r="G1884" s="16" t="s">
        <v>1288</v>
      </c>
    </row>
    <row r="1885" spans="1:15" s="7" customFormat="1" ht="15" hidden="1" customHeight="1" outlineLevel="1" x14ac:dyDescent="0.15">
      <c r="A1885" s="2"/>
      <c r="B1885" s="32" t="s">
        <v>63</v>
      </c>
      <c r="C1885" s="15" t="s">
        <v>1289</v>
      </c>
      <c r="D1885" s="15" t="s">
        <v>1073</v>
      </c>
      <c r="E1885" s="15" t="s">
        <v>1072</v>
      </c>
      <c r="F1885" s="15"/>
      <c r="G1885" s="16" t="s">
        <v>1290</v>
      </c>
    </row>
    <row r="1886" spans="1:15" s="7" customFormat="1" ht="15" hidden="1" customHeight="1" outlineLevel="1" x14ac:dyDescent="0.15">
      <c r="A1886" s="2"/>
      <c r="B1886" s="32" t="s">
        <v>64</v>
      </c>
      <c r="C1886" s="15" t="s">
        <v>1548</v>
      </c>
      <c r="D1886" s="15" t="s">
        <v>1092</v>
      </c>
      <c r="E1886" s="15" t="s">
        <v>1072</v>
      </c>
      <c r="F1886" s="15"/>
      <c r="G1886" s="16"/>
    </row>
    <row r="1887" spans="1:15" s="7" customFormat="1" ht="15" hidden="1" customHeight="1" outlineLevel="1" x14ac:dyDescent="0.15">
      <c r="A1887" s="2"/>
      <c r="B1887" s="33" t="s">
        <v>188</v>
      </c>
      <c r="C1887" s="18" t="s">
        <v>1292</v>
      </c>
      <c r="D1887" s="18" t="s">
        <v>1287</v>
      </c>
      <c r="E1887" s="18" t="s">
        <v>1072</v>
      </c>
      <c r="F1887" s="18"/>
      <c r="G1887" s="19"/>
    </row>
    <row r="1888" spans="1:15" s="7" customFormat="1" ht="15" hidden="1" customHeight="1" outlineLevel="1" x14ac:dyDescent="0.15">
      <c r="A1888" s="2"/>
      <c r="B1888" s="32" t="s">
        <v>65</v>
      </c>
      <c r="C1888" s="18" t="s">
        <v>1291</v>
      </c>
      <c r="D1888" s="18" t="s">
        <v>211</v>
      </c>
      <c r="E1888" s="18" t="s">
        <v>1141</v>
      </c>
      <c r="F1888" s="18"/>
      <c r="G1888" s="19"/>
    </row>
    <row r="1889" spans="1:7" s="7" customFormat="1" ht="15" hidden="1" customHeight="1" outlineLevel="1" x14ac:dyDescent="0.15">
      <c r="A1889" s="2"/>
      <c r="B1889" s="32" t="s">
        <v>66</v>
      </c>
      <c r="C1889" s="18" t="s">
        <v>1293</v>
      </c>
      <c r="D1889" s="18" t="s">
        <v>211</v>
      </c>
      <c r="E1889" s="18">
        <v>0</v>
      </c>
      <c r="F1889" s="18"/>
      <c r="G1889" s="19"/>
    </row>
    <row r="1890" spans="1:7" s="7" customFormat="1" ht="15" hidden="1" customHeight="1" outlineLevel="1" x14ac:dyDescent="0.15">
      <c r="A1890" s="2"/>
      <c r="B1890" s="32" t="s">
        <v>70</v>
      </c>
      <c r="C1890" s="21" t="s">
        <v>1294</v>
      </c>
      <c r="D1890" s="21" t="s">
        <v>1131</v>
      </c>
      <c r="E1890" s="21" t="s">
        <v>1074</v>
      </c>
      <c r="F1890" s="21"/>
      <c r="G1890" s="22" t="s">
        <v>1295</v>
      </c>
    </row>
    <row r="1891" spans="1:7" s="7" customFormat="1" ht="15" hidden="1" customHeight="1" outlineLevel="1" x14ac:dyDescent="0.15">
      <c r="A1891" s="2"/>
      <c r="B1891" s="32" t="s">
        <v>23</v>
      </c>
      <c r="C1891" s="21" t="s">
        <v>1091</v>
      </c>
      <c r="D1891" s="21" t="s">
        <v>1131</v>
      </c>
      <c r="E1891" s="21" t="s">
        <v>1074</v>
      </c>
      <c r="F1891" s="21"/>
      <c r="G1891" s="22"/>
    </row>
    <row r="1892" spans="1:7" s="7" customFormat="1" ht="15" hidden="1" customHeight="1" outlineLevel="1" x14ac:dyDescent="0.15">
      <c r="A1892" s="2"/>
      <c r="B1892" s="32" t="s">
        <v>189</v>
      </c>
      <c r="C1892" s="18" t="s">
        <v>1296</v>
      </c>
      <c r="D1892" s="18" t="s">
        <v>1169</v>
      </c>
      <c r="E1892" s="18">
        <v>0</v>
      </c>
      <c r="F1892" s="18"/>
      <c r="G1892" s="19"/>
    </row>
    <row r="1893" spans="1:7" s="7" customFormat="1" ht="15" hidden="1" customHeight="1" outlineLevel="1" x14ac:dyDescent="0.15">
      <c r="A1893" s="2"/>
      <c r="B1893" s="32" t="s">
        <v>68</v>
      </c>
      <c r="C1893" s="21" t="s">
        <v>1297</v>
      </c>
      <c r="D1893" s="21" t="s">
        <v>1169</v>
      </c>
      <c r="E1893" s="21">
        <v>0</v>
      </c>
      <c r="F1893" s="21"/>
      <c r="G1893" s="22" t="s">
        <v>1298</v>
      </c>
    </row>
    <row r="1894" spans="1:7" s="7" customFormat="1" ht="15" hidden="1" customHeight="1" outlineLevel="1" x14ac:dyDescent="0.15">
      <c r="A1894" s="2"/>
      <c r="B1894" s="159" t="s">
        <v>69</v>
      </c>
      <c r="C1894" s="160" t="s">
        <v>1126</v>
      </c>
      <c r="D1894" s="160" t="s">
        <v>1087</v>
      </c>
      <c r="E1894" s="160">
        <v>0</v>
      </c>
      <c r="F1894" s="160"/>
      <c r="G1894" s="161"/>
    </row>
    <row r="1895" spans="1:7" s="7" customFormat="1" ht="15" hidden="1" customHeight="1" outlineLevel="1" x14ac:dyDescent="0.15">
      <c r="A1895" s="2"/>
      <c r="B1895" s="17" t="s">
        <v>190</v>
      </c>
      <c r="C1895" s="18" t="s">
        <v>1166</v>
      </c>
      <c r="D1895" s="18" t="s">
        <v>1087</v>
      </c>
      <c r="E1895" s="18">
        <v>0</v>
      </c>
      <c r="F1895" s="18"/>
      <c r="G1895" s="19"/>
    </row>
    <row r="1896" spans="1:7" s="7" customFormat="1" ht="15" hidden="1" customHeight="1" outlineLevel="1" x14ac:dyDescent="0.15">
      <c r="A1896" s="2"/>
      <c r="B1896" s="163" t="s">
        <v>191</v>
      </c>
      <c r="C1896" s="164" t="s">
        <v>1167</v>
      </c>
      <c r="D1896" s="164" t="s">
        <v>1087</v>
      </c>
      <c r="E1896" s="164">
        <v>0</v>
      </c>
      <c r="F1896" s="164"/>
      <c r="G1896" s="107"/>
    </row>
    <row r="1897" spans="1:7" s="7" customFormat="1" ht="15" hidden="1" customHeight="1" outlineLevel="1" x14ac:dyDescent="0.15">
      <c r="A1897" s="2"/>
      <c r="B1897" s="163" t="s">
        <v>192</v>
      </c>
      <c r="C1897" s="164" t="s">
        <v>1299</v>
      </c>
      <c r="D1897" s="164" t="s">
        <v>1169</v>
      </c>
      <c r="E1897" s="164">
        <v>0</v>
      </c>
      <c r="F1897" s="164"/>
      <c r="G1897" s="107"/>
    </row>
    <row r="1898" spans="1:7" s="7" customFormat="1" ht="15" hidden="1" customHeight="1" outlineLevel="1" x14ac:dyDescent="0.15">
      <c r="A1898" s="2"/>
      <c r="B1898" s="153" t="s">
        <v>193</v>
      </c>
      <c r="C1898" s="154" t="s">
        <v>1171</v>
      </c>
      <c r="D1898" s="154" t="s">
        <v>1169</v>
      </c>
      <c r="E1898" s="154">
        <v>0</v>
      </c>
      <c r="F1898" s="154"/>
      <c r="G1898" s="155"/>
    </row>
    <row r="1899" spans="1:7" s="7" customFormat="1" ht="15" hidden="1" customHeight="1" outlineLevel="1" x14ac:dyDescent="0.15">
      <c r="A1899" s="2"/>
      <c r="B1899" s="32" t="s">
        <v>72</v>
      </c>
      <c r="C1899" s="18" t="s">
        <v>1300</v>
      </c>
      <c r="D1899" s="18" t="s">
        <v>1092</v>
      </c>
      <c r="E1899" s="18" t="s">
        <v>1072</v>
      </c>
      <c r="F1899" s="18"/>
      <c r="G1899" s="19"/>
    </row>
    <row r="1900" spans="1:7" s="7" customFormat="1" ht="15" hidden="1" customHeight="1" outlineLevel="1" x14ac:dyDescent="0.15">
      <c r="A1900" s="2"/>
      <c r="B1900" s="32" t="s">
        <v>73</v>
      </c>
      <c r="C1900" s="18" t="s">
        <v>1549</v>
      </c>
      <c r="D1900" s="18" t="s">
        <v>1301</v>
      </c>
      <c r="E1900" s="18" t="s">
        <v>1072</v>
      </c>
      <c r="F1900" s="18"/>
      <c r="G1900" s="19"/>
    </row>
    <row r="1901" spans="1:7" s="7" customFormat="1" ht="15" hidden="1" customHeight="1" outlineLevel="1" x14ac:dyDescent="0.15">
      <c r="A1901" s="2"/>
      <c r="B1901" s="32" t="s">
        <v>74</v>
      </c>
      <c r="C1901" s="18" t="s">
        <v>1550</v>
      </c>
      <c r="D1901" s="18" t="s">
        <v>1073</v>
      </c>
      <c r="E1901" s="18" t="s">
        <v>1072</v>
      </c>
      <c r="F1901" s="18"/>
      <c r="G1901" s="19"/>
    </row>
    <row r="1902" spans="1:7" s="7" customFormat="1" ht="15.75" hidden="1" customHeight="1" outlineLevel="1" x14ac:dyDescent="0.15">
      <c r="A1902" s="2"/>
      <c r="B1902" s="32" t="s">
        <v>67</v>
      </c>
      <c r="C1902" s="18" t="s">
        <v>1406</v>
      </c>
      <c r="D1902" s="18" t="s">
        <v>1092</v>
      </c>
      <c r="E1902" s="18" t="s">
        <v>1072</v>
      </c>
      <c r="F1902" s="18"/>
      <c r="G1902" s="19" t="s">
        <v>1304</v>
      </c>
    </row>
    <row r="1903" spans="1:7" s="7" customFormat="1" ht="15" hidden="1" customHeight="1" outlineLevel="1" thickBot="1" x14ac:dyDescent="0.2">
      <c r="A1903" s="2"/>
      <c r="B1903" s="17"/>
      <c r="C1903" s="18"/>
      <c r="D1903" s="18"/>
      <c r="E1903" s="18"/>
      <c r="F1903" s="18"/>
      <c r="G1903" s="19"/>
    </row>
    <row r="1904" spans="1:7" s="7" customFormat="1" ht="15" hidden="1" customHeight="1" outlineLevel="1" x14ac:dyDescent="0.15">
      <c r="A1904" s="2"/>
      <c r="B1904" s="327" t="s">
        <v>15</v>
      </c>
      <c r="C1904" s="328"/>
      <c r="D1904" s="328"/>
      <c r="E1904" s="328"/>
      <c r="F1904" s="328"/>
      <c r="G1904" s="329"/>
    </row>
    <row r="1905" spans="1:7" s="7" customFormat="1" ht="15" hidden="1" customHeight="1" outlineLevel="1" x14ac:dyDescent="0.15">
      <c r="A1905" s="2" t="s">
        <v>62</v>
      </c>
      <c r="B1905" s="20">
        <v>1</v>
      </c>
      <c r="C1905" s="21" t="s">
        <v>109</v>
      </c>
      <c r="D1905" s="21" t="s">
        <v>17</v>
      </c>
      <c r="E1905" s="21"/>
      <c r="F1905" s="21"/>
      <c r="G1905" s="22"/>
    </row>
    <row r="1906" spans="1:7" s="7" customFormat="1" ht="15.75" hidden="1" customHeight="1" outlineLevel="1" x14ac:dyDescent="0.15">
      <c r="A1906" s="2"/>
      <c r="B1906" s="17">
        <v>2</v>
      </c>
      <c r="C1906" s="18" t="s">
        <v>111</v>
      </c>
      <c r="D1906" s="18"/>
      <c r="E1906" s="18"/>
      <c r="F1906" s="18"/>
      <c r="G1906" s="19"/>
    </row>
    <row r="1907" spans="1:7" ht="18" hidden="1" outlineLevel="1" thickBot="1" x14ac:dyDescent="0.2">
      <c r="A1907" s="2"/>
      <c r="B1907" s="24"/>
      <c r="C1907" s="9"/>
      <c r="D1907" s="9"/>
      <c r="E1907" s="9"/>
      <c r="F1907" s="9"/>
      <c r="G1907" s="11"/>
    </row>
    <row r="1908" spans="1:7" s="7" customFormat="1" ht="18" hidden="1" outlineLevel="1" thickBot="1" x14ac:dyDescent="0.2">
      <c r="A1908" s="1"/>
      <c r="B1908" s="1"/>
      <c r="C1908" s="1"/>
      <c r="D1908" s="1"/>
      <c r="E1908" s="1"/>
      <c r="F1908" s="1"/>
      <c r="G1908" s="1"/>
    </row>
    <row r="1909" spans="1:7" s="7" customFormat="1" ht="18" collapsed="1" thickBot="1" x14ac:dyDescent="0.2">
      <c r="B1909" s="3" t="s">
        <v>563</v>
      </c>
      <c r="C1909" s="146" t="s">
        <v>632</v>
      </c>
      <c r="D1909" s="146" t="s">
        <v>515</v>
      </c>
      <c r="E1909" s="21" t="s">
        <v>1021</v>
      </c>
      <c r="F1909" s="5" t="s">
        <v>567</v>
      </c>
      <c r="G1909" s="6" t="s">
        <v>1618</v>
      </c>
    </row>
    <row r="1910" spans="1:7" s="7" customFormat="1" ht="18" hidden="1" outlineLevel="1" thickBot="1" x14ac:dyDescent="0.2">
      <c r="B1910" s="34" t="s">
        <v>570</v>
      </c>
      <c r="C1910" s="18"/>
      <c r="D1910" s="35" t="s">
        <v>568</v>
      </c>
      <c r="E1910" s="18" t="s">
        <v>615</v>
      </c>
      <c r="F1910" s="35"/>
      <c r="G1910" s="19"/>
    </row>
    <row r="1911" spans="1:7" s="7" customFormat="1" hidden="1" outlineLevel="1" x14ac:dyDescent="0.15">
      <c r="B1911" s="3" t="s">
        <v>0</v>
      </c>
      <c r="C1911" s="5" t="s">
        <v>1</v>
      </c>
      <c r="D1911" s="5" t="s">
        <v>2</v>
      </c>
      <c r="E1911" s="5"/>
      <c r="F1911" s="5" t="s">
        <v>3</v>
      </c>
      <c r="G1911" s="36" t="s">
        <v>4</v>
      </c>
    </row>
    <row r="1912" spans="1:7" s="7" customFormat="1" hidden="1" outlineLevel="1" x14ac:dyDescent="0.15">
      <c r="B1912" s="20" t="s">
        <v>123</v>
      </c>
      <c r="C1912" s="21" t="s">
        <v>1133</v>
      </c>
      <c r="D1912" s="21" t="s">
        <v>211</v>
      </c>
      <c r="E1912" s="21">
        <v>0</v>
      </c>
      <c r="F1912" s="21"/>
      <c r="G1912" s="22" t="s">
        <v>1182</v>
      </c>
    </row>
    <row r="1913" spans="1:7" s="7" customFormat="1" hidden="1" outlineLevel="1" x14ac:dyDescent="0.15">
      <c r="B1913" s="20" t="s">
        <v>6</v>
      </c>
      <c r="C1913" s="21" t="s">
        <v>1163</v>
      </c>
      <c r="D1913" s="21" t="s">
        <v>211</v>
      </c>
      <c r="E1913" s="21">
        <v>0</v>
      </c>
      <c r="F1913" s="21"/>
      <c r="G1913" s="22" t="s">
        <v>1077</v>
      </c>
    </row>
    <row r="1914" spans="1:7" s="7" customFormat="1" hidden="1" outlineLevel="1" x14ac:dyDescent="0.15">
      <c r="B1914" s="33" t="s">
        <v>164</v>
      </c>
      <c r="C1914" s="21" t="s">
        <v>1423</v>
      </c>
      <c r="D1914" s="21" t="s">
        <v>1287</v>
      </c>
      <c r="E1914" s="21" t="s">
        <v>1072</v>
      </c>
      <c r="F1914" s="21"/>
      <c r="G1914" s="22" t="s">
        <v>1424</v>
      </c>
    </row>
    <row r="1915" spans="1:7" s="7" customFormat="1" hidden="1" outlineLevel="1" x14ac:dyDescent="0.15">
      <c r="B1915" s="33" t="s">
        <v>165</v>
      </c>
      <c r="C1915" s="21" t="s">
        <v>1425</v>
      </c>
      <c r="D1915" s="21" t="s">
        <v>1073</v>
      </c>
      <c r="E1915" s="21" t="s">
        <v>1072</v>
      </c>
      <c r="F1915" s="21"/>
      <c r="G1915" s="22"/>
    </row>
    <row r="1916" spans="1:7" s="7" customFormat="1" hidden="1" outlineLevel="1" x14ac:dyDescent="0.15">
      <c r="B1916" s="33" t="s">
        <v>166</v>
      </c>
      <c r="C1916" s="21" t="s">
        <v>1426</v>
      </c>
      <c r="D1916" s="21" t="s">
        <v>1403</v>
      </c>
      <c r="E1916" s="21" t="s">
        <v>1303</v>
      </c>
      <c r="F1916" s="21"/>
      <c r="G1916" s="22"/>
    </row>
    <row r="1917" spans="1:7" s="7" customFormat="1" hidden="1" outlineLevel="1" x14ac:dyDescent="0.15">
      <c r="B1917" s="33" t="s">
        <v>167</v>
      </c>
      <c r="C1917" s="21" t="s">
        <v>1427</v>
      </c>
      <c r="D1917" s="21" t="s">
        <v>211</v>
      </c>
      <c r="E1917" s="21">
        <v>0</v>
      </c>
      <c r="F1917" s="21"/>
      <c r="G1917" s="22"/>
    </row>
    <row r="1918" spans="1:7" s="7" customFormat="1" ht="15" hidden="1" customHeight="1" outlineLevel="1" x14ac:dyDescent="0.15">
      <c r="B1918" s="33" t="s">
        <v>111</v>
      </c>
      <c r="C1918" s="21" t="s">
        <v>1164</v>
      </c>
      <c r="D1918" s="21" t="s">
        <v>211</v>
      </c>
      <c r="E1918" s="21">
        <v>0</v>
      </c>
      <c r="F1918" s="21"/>
      <c r="G1918" s="22" t="s">
        <v>1165</v>
      </c>
    </row>
    <row r="1919" spans="1:7" s="7" customFormat="1" hidden="1" outlineLevel="1" x14ac:dyDescent="0.15">
      <c r="A1919" s="2"/>
      <c r="B1919" s="32" t="s">
        <v>189</v>
      </c>
      <c r="C1919" s="18" t="s">
        <v>1296</v>
      </c>
      <c r="D1919" s="18" t="s">
        <v>1169</v>
      </c>
      <c r="E1919" s="18">
        <v>0</v>
      </c>
      <c r="F1919" s="18"/>
      <c r="G1919" s="19"/>
    </row>
    <row r="1920" spans="1:7" s="7" customFormat="1" hidden="1" outlineLevel="1" x14ac:dyDescent="0.15">
      <c r="B1920" s="33" t="s">
        <v>168</v>
      </c>
      <c r="C1920" s="21" t="s">
        <v>1428</v>
      </c>
      <c r="D1920" s="21" t="s">
        <v>1169</v>
      </c>
      <c r="E1920" s="21">
        <v>0</v>
      </c>
      <c r="F1920" s="21"/>
      <c r="G1920" s="22"/>
    </row>
    <row r="1921" spans="1:7" s="7" customFormat="1" ht="15" hidden="1" customHeight="1" outlineLevel="1" x14ac:dyDescent="0.15">
      <c r="B1921" s="33" t="s">
        <v>169</v>
      </c>
      <c r="C1921" s="21" t="s">
        <v>1435</v>
      </c>
      <c r="D1921" s="21" t="s">
        <v>1087</v>
      </c>
      <c r="E1921" s="21">
        <v>0</v>
      </c>
      <c r="F1921" s="21"/>
      <c r="G1921" s="22"/>
    </row>
    <row r="1922" spans="1:7" s="7" customFormat="1" ht="15" hidden="1" customHeight="1" outlineLevel="1" x14ac:dyDescent="0.15">
      <c r="A1922" s="2"/>
      <c r="B1922" s="17" t="s">
        <v>455</v>
      </c>
      <c r="C1922" s="18" t="s">
        <v>1429</v>
      </c>
      <c r="D1922" s="18" t="s">
        <v>1087</v>
      </c>
      <c r="E1922" s="18">
        <v>0</v>
      </c>
      <c r="F1922" s="18"/>
      <c r="G1922" s="19"/>
    </row>
    <row r="1923" spans="1:7" s="7" customFormat="1" hidden="1" outlineLevel="1" x14ac:dyDescent="0.15">
      <c r="A1923" s="2"/>
      <c r="B1923" s="20" t="s">
        <v>193</v>
      </c>
      <c r="C1923" s="21" t="s">
        <v>1171</v>
      </c>
      <c r="D1923" s="21" t="s">
        <v>1169</v>
      </c>
      <c r="E1923" s="21">
        <v>0</v>
      </c>
      <c r="F1923" s="21"/>
      <c r="G1923" s="22"/>
    </row>
    <row r="1924" spans="1:7" s="7" customFormat="1" hidden="1" outlineLevel="1" x14ac:dyDescent="0.15">
      <c r="B1924" s="31" t="s">
        <v>170</v>
      </c>
      <c r="C1924" s="21" t="s">
        <v>1430</v>
      </c>
      <c r="D1924" s="21" t="s">
        <v>1073</v>
      </c>
      <c r="E1924" s="21" t="s">
        <v>1072</v>
      </c>
      <c r="F1924" s="21"/>
      <c r="G1924" s="22"/>
    </row>
    <row r="1925" spans="1:7" s="7" customFormat="1" hidden="1" outlineLevel="1" x14ac:dyDescent="0.15">
      <c r="B1925" s="31" t="s">
        <v>71</v>
      </c>
      <c r="C1925" s="21" t="s">
        <v>1431</v>
      </c>
      <c r="D1925" s="21" t="s">
        <v>1432</v>
      </c>
      <c r="E1925" s="21" t="s">
        <v>1072</v>
      </c>
      <c r="F1925" s="21"/>
      <c r="G1925" s="22"/>
    </row>
    <row r="1926" spans="1:7" s="7" customFormat="1" hidden="1" outlineLevel="1" x14ac:dyDescent="0.15">
      <c r="B1926" s="20" t="s">
        <v>171</v>
      </c>
      <c r="C1926" s="29" t="s">
        <v>1433</v>
      </c>
      <c r="D1926" s="21" t="s">
        <v>1073</v>
      </c>
      <c r="E1926" s="21" t="s">
        <v>1072</v>
      </c>
      <c r="F1926" s="21"/>
      <c r="G1926" s="22" t="s">
        <v>1434</v>
      </c>
    </row>
    <row r="1927" spans="1:7" s="7" customFormat="1" hidden="1" outlineLevel="1" x14ac:dyDescent="0.15">
      <c r="B1927" s="20" t="s">
        <v>172</v>
      </c>
      <c r="C1927" s="21" t="s">
        <v>1121</v>
      </c>
      <c r="D1927" s="21" t="s">
        <v>1172</v>
      </c>
      <c r="E1927" s="21">
        <v>0</v>
      </c>
      <c r="F1927" s="21"/>
      <c r="G1927" s="22"/>
    </row>
    <row r="1928" spans="1:7" s="7" customFormat="1" hidden="1" outlineLevel="1" x14ac:dyDescent="0.15">
      <c r="B1928" s="33" t="s">
        <v>67</v>
      </c>
      <c r="C1928" s="21" t="s">
        <v>1406</v>
      </c>
      <c r="D1928" s="21" t="s">
        <v>1092</v>
      </c>
      <c r="E1928" s="21" t="s">
        <v>1072</v>
      </c>
      <c r="F1928" s="21"/>
      <c r="G1928" s="22" t="s">
        <v>1304</v>
      </c>
    </row>
    <row r="1929" spans="1:7" s="7" customFormat="1" ht="18" hidden="1" outlineLevel="1" thickBot="1" x14ac:dyDescent="0.2">
      <c r="B1929" s="24"/>
      <c r="C1929" s="9"/>
      <c r="D1929" s="9"/>
      <c r="E1929" s="9"/>
      <c r="F1929" s="9"/>
      <c r="G1929" s="11"/>
    </row>
    <row r="1930" spans="1:7" s="7" customFormat="1" hidden="1" outlineLevel="1" x14ac:dyDescent="0.15">
      <c r="B1930" s="327" t="s">
        <v>15</v>
      </c>
      <c r="C1930" s="328"/>
      <c r="D1930" s="328"/>
      <c r="E1930" s="328"/>
      <c r="F1930" s="328"/>
      <c r="G1930" s="329"/>
    </row>
    <row r="1931" spans="1:7" s="7" customFormat="1" hidden="1" outlineLevel="1" x14ac:dyDescent="0.15">
      <c r="A1931" s="7" t="s">
        <v>62</v>
      </c>
      <c r="B1931" s="20">
        <v>1</v>
      </c>
      <c r="C1931" s="21" t="s">
        <v>109</v>
      </c>
      <c r="D1931" s="21" t="s">
        <v>164</v>
      </c>
      <c r="E1931" s="21"/>
      <c r="F1931" s="21"/>
      <c r="G1931" s="22"/>
    </row>
    <row r="1932" spans="1:7" s="7" customFormat="1" hidden="1" outlineLevel="1" x14ac:dyDescent="0.15">
      <c r="B1932" s="20">
        <v>2</v>
      </c>
      <c r="C1932" s="21" t="s">
        <v>123</v>
      </c>
      <c r="D1932" s="21"/>
      <c r="E1932" s="21"/>
      <c r="F1932" s="21"/>
      <c r="G1932" s="22"/>
    </row>
    <row r="1933" spans="1:7" s="7" customFormat="1" hidden="1" outlineLevel="1" x14ac:dyDescent="0.15">
      <c r="B1933" s="20">
        <v>3</v>
      </c>
      <c r="C1933" s="21" t="s">
        <v>111</v>
      </c>
      <c r="D1933" s="21"/>
      <c r="E1933" s="21"/>
      <c r="F1933" s="21"/>
      <c r="G1933" s="22"/>
    </row>
    <row r="1934" spans="1:7" ht="18" hidden="1" outlineLevel="1" thickBot="1" x14ac:dyDescent="0.2">
      <c r="A1934" s="7"/>
      <c r="B1934" s="24"/>
      <c r="C1934" s="9"/>
      <c r="D1934" s="9"/>
      <c r="E1934" s="9"/>
      <c r="F1934" s="9"/>
      <c r="G1934" s="11"/>
    </row>
    <row r="1935" spans="1:7" s="7" customFormat="1" ht="18" hidden="1" outlineLevel="1" thickBot="1" x14ac:dyDescent="0.2">
      <c r="A1935" s="1"/>
      <c r="B1935" s="1"/>
      <c r="C1935" s="1"/>
      <c r="D1935" s="1"/>
      <c r="E1935" s="1"/>
      <c r="F1935" s="1"/>
      <c r="G1935" s="1"/>
    </row>
    <row r="1936" spans="1:7" s="7" customFormat="1" ht="18" collapsed="1" thickBot="1" x14ac:dyDescent="0.2">
      <c r="B1936" s="3" t="s">
        <v>563</v>
      </c>
      <c r="C1936" s="4" t="s">
        <v>633</v>
      </c>
      <c r="D1936" s="5" t="s">
        <v>515</v>
      </c>
      <c r="E1936" s="21" t="s">
        <v>601</v>
      </c>
      <c r="F1936" s="5" t="s">
        <v>567</v>
      </c>
      <c r="G1936" s="6"/>
    </row>
    <row r="1937" spans="1:7" s="7" customFormat="1" ht="18" hidden="1" outlineLevel="1" thickBot="1" x14ac:dyDescent="0.2">
      <c r="B1937" s="34" t="s">
        <v>570</v>
      </c>
      <c r="C1937" s="18"/>
      <c r="D1937" s="35" t="s">
        <v>568</v>
      </c>
      <c r="E1937" s="18" t="s">
        <v>615</v>
      </c>
      <c r="F1937" s="35"/>
      <c r="G1937" s="19"/>
    </row>
    <row r="1938" spans="1:7" s="7" customFormat="1" hidden="1" outlineLevel="1" x14ac:dyDescent="0.15">
      <c r="B1938" s="3" t="s">
        <v>0</v>
      </c>
      <c r="C1938" s="5" t="s">
        <v>1</v>
      </c>
      <c r="D1938" s="5" t="s">
        <v>2</v>
      </c>
      <c r="E1938" s="5"/>
      <c r="F1938" s="5" t="s">
        <v>3</v>
      </c>
      <c r="G1938" s="36" t="s">
        <v>4</v>
      </c>
    </row>
    <row r="1939" spans="1:7" s="7" customFormat="1" hidden="1" outlineLevel="1" x14ac:dyDescent="0.15">
      <c r="A1939" s="2"/>
      <c r="B1939" s="14" t="s">
        <v>5</v>
      </c>
      <c r="C1939" s="15" t="s">
        <v>1127</v>
      </c>
      <c r="D1939" s="15" t="s">
        <v>211</v>
      </c>
      <c r="E1939" s="15" t="s">
        <v>1141</v>
      </c>
      <c r="F1939" s="15"/>
      <c r="G1939" s="16" t="s">
        <v>1162</v>
      </c>
    </row>
    <row r="1940" spans="1:7" s="7" customFormat="1" hidden="1" outlineLevel="1" x14ac:dyDescent="0.15">
      <c r="B1940" s="20" t="s">
        <v>123</v>
      </c>
      <c r="C1940" s="21" t="s">
        <v>1133</v>
      </c>
      <c r="D1940" s="21" t="s">
        <v>211</v>
      </c>
      <c r="E1940" s="21">
        <v>0</v>
      </c>
      <c r="F1940" s="21"/>
      <c r="G1940" s="22" t="s">
        <v>1182</v>
      </c>
    </row>
    <row r="1941" spans="1:7" s="7" customFormat="1" hidden="1" outlineLevel="1" x14ac:dyDescent="0.15">
      <c r="B1941" s="20" t="s">
        <v>6</v>
      </c>
      <c r="C1941" s="21" t="s">
        <v>1163</v>
      </c>
      <c r="D1941" s="21" t="s">
        <v>211</v>
      </c>
      <c r="E1941" s="21">
        <v>0</v>
      </c>
      <c r="F1941" s="21"/>
      <c r="G1941" s="22" t="s">
        <v>1077</v>
      </c>
    </row>
    <row r="1942" spans="1:7" s="7" customFormat="1" hidden="1" outlineLevel="1" x14ac:dyDescent="0.15">
      <c r="B1942" s="33" t="s">
        <v>164</v>
      </c>
      <c r="C1942" s="21" t="s">
        <v>1423</v>
      </c>
      <c r="D1942" s="21" t="s">
        <v>1287</v>
      </c>
      <c r="E1942" s="21" t="s">
        <v>1072</v>
      </c>
      <c r="F1942" s="21"/>
      <c r="G1942" s="22" t="s">
        <v>1424</v>
      </c>
    </row>
    <row r="1943" spans="1:7" s="7" customFormat="1" hidden="1" outlineLevel="1" x14ac:dyDescent="0.15">
      <c r="B1943" s="33" t="s">
        <v>165</v>
      </c>
      <c r="C1943" s="21" t="s">
        <v>1425</v>
      </c>
      <c r="D1943" s="21" t="s">
        <v>1073</v>
      </c>
      <c r="E1943" s="21" t="s">
        <v>1072</v>
      </c>
      <c r="F1943" s="21"/>
      <c r="G1943" s="22"/>
    </row>
    <row r="1944" spans="1:7" s="7" customFormat="1" hidden="1" outlineLevel="1" x14ac:dyDescent="0.15">
      <c r="B1944" s="33" t="s">
        <v>166</v>
      </c>
      <c r="C1944" s="21" t="s">
        <v>1426</v>
      </c>
      <c r="D1944" s="21" t="s">
        <v>1403</v>
      </c>
      <c r="E1944" s="21" t="s">
        <v>1303</v>
      </c>
      <c r="F1944" s="21"/>
      <c r="G1944" s="22"/>
    </row>
    <row r="1945" spans="1:7" s="7" customFormat="1" hidden="1" outlineLevel="1" x14ac:dyDescent="0.15">
      <c r="B1945" s="33" t="s">
        <v>167</v>
      </c>
      <c r="C1945" s="21" t="s">
        <v>1427</v>
      </c>
      <c r="D1945" s="21" t="s">
        <v>211</v>
      </c>
      <c r="E1945" s="21">
        <v>0</v>
      </c>
      <c r="F1945" s="21"/>
      <c r="G1945" s="22"/>
    </row>
    <row r="1946" spans="1:7" s="7" customFormat="1" ht="15" hidden="1" customHeight="1" outlineLevel="1" x14ac:dyDescent="0.15">
      <c r="B1946" s="33" t="s">
        <v>111</v>
      </c>
      <c r="C1946" s="21" t="s">
        <v>1164</v>
      </c>
      <c r="D1946" s="21" t="s">
        <v>211</v>
      </c>
      <c r="E1946" s="21">
        <v>0</v>
      </c>
      <c r="F1946" s="21"/>
      <c r="G1946" s="22" t="s">
        <v>1165</v>
      </c>
    </row>
    <row r="1947" spans="1:7" s="7" customFormat="1" hidden="1" outlineLevel="1" x14ac:dyDescent="0.15">
      <c r="A1947" s="2"/>
      <c r="B1947" s="32" t="s">
        <v>189</v>
      </c>
      <c r="C1947" s="18" t="s">
        <v>1296</v>
      </c>
      <c r="D1947" s="18" t="s">
        <v>1169</v>
      </c>
      <c r="E1947" s="18">
        <v>0</v>
      </c>
      <c r="F1947" s="18"/>
      <c r="G1947" s="19"/>
    </row>
    <row r="1948" spans="1:7" s="7" customFormat="1" hidden="1" outlineLevel="1" x14ac:dyDescent="0.15">
      <c r="B1948" s="33" t="s">
        <v>168</v>
      </c>
      <c r="C1948" s="21" t="s">
        <v>1428</v>
      </c>
      <c r="D1948" s="21" t="s">
        <v>1169</v>
      </c>
      <c r="E1948" s="21">
        <v>0</v>
      </c>
      <c r="F1948" s="21"/>
      <c r="G1948" s="22"/>
    </row>
    <row r="1949" spans="1:7" s="7" customFormat="1" ht="15" hidden="1" customHeight="1" outlineLevel="1" x14ac:dyDescent="0.15">
      <c r="B1949" s="33" t="s">
        <v>169</v>
      </c>
      <c r="C1949" s="21" t="s">
        <v>1435</v>
      </c>
      <c r="D1949" s="21" t="s">
        <v>1087</v>
      </c>
      <c r="E1949" s="21">
        <v>0</v>
      </c>
      <c r="F1949" s="21"/>
      <c r="G1949" s="22"/>
    </row>
    <row r="1950" spans="1:7" s="7" customFormat="1" ht="15" hidden="1" customHeight="1" outlineLevel="1" x14ac:dyDescent="0.15">
      <c r="A1950" s="2"/>
      <c r="B1950" s="17" t="s">
        <v>455</v>
      </c>
      <c r="C1950" s="18" t="s">
        <v>1429</v>
      </c>
      <c r="D1950" s="18" t="s">
        <v>1087</v>
      </c>
      <c r="E1950" s="18">
        <v>0</v>
      </c>
      <c r="F1950" s="18"/>
      <c r="G1950" s="19"/>
    </row>
    <row r="1951" spans="1:7" s="7" customFormat="1" ht="15" hidden="1" customHeight="1" outlineLevel="1" x14ac:dyDescent="0.15">
      <c r="A1951" s="2"/>
      <c r="B1951" s="20" t="s">
        <v>193</v>
      </c>
      <c r="C1951" s="21" t="s">
        <v>1171</v>
      </c>
      <c r="D1951" s="21" t="s">
        <v>1169</v>
      </c>
      <c r="E1951" s="21">
        <v>0</v>
      </c>
      <c r="F1951" s="21"/>
      <c r="G1951" s="22"/>
    </row>
    <row r="1952" spans="1:7" s="7" customFormat="1" hidden="1" outlineLevel="1" x14ac:dyDescent="0.15">
      <c r="A1952" s="2"/>
      <c r="B1952" s="20" t="s">
        <v>312</v>
      </c>
      <c r="C1952" s="21" t="s">
        <v>1168</v>
      </c>
      <c r="D1952" s="21" t="s">
        <v>1169</v>
      </c>
      <c r="E1952" s="21">
        <v>0</v>
      </c>
      <c r="F1952" s="21"/>
      <c r="G1952" s="22"/>
    </row>
    <row r="1953" spans="1:7" s="7" customFormat="1" hidden="1" outlineLevel="1" x14ac:dyDescent="0.15">
      <c r="B1953" s="31" t="s">
        <v>170</v>
      </c>
      <c r="C1953" s="21" t="s">
        <v>1430</v>
      </c>
      <c r="D1953" s="21" t="s">
        <v>1073</v>
      </c>
      <c r="E1953" s="21" t="s">
        <v>1072</v>
      </c>
      <c r="F1953" s="21"/>
      <c r="G1953" s="22"/>
    </row>
    <row r="1954" spans="1:7" s="7" customFormat="1" hidden="1" outlineLevel="1" x14ac:dyDescent="0.15">
      <c r="B1954" s="31" t="s">
        <v>71</v>
      </c>
      <c r="C1954" s="21" t="s">
        <v>1431</v>
      </c>
      <c r="D1954" s="21" t="s">
        <v>1432</v>
      </c>
      <c r="E1954" s="21" t="s">
        <v>1072</v>
      </c>
      <c r="F1954" s="21"/>
      <c r="G1954" s="22"/>
    </row>
    <row r="1955" spans="1:7" s="7" customFormat="1" hidden="1" outlineLevel="1" x14ac:dyDescent="0.15">
      <c r="B1955" s="20" t="s">
        <v>171</v>
      </c>
      <c r="C1955" s="29" t="s">
        <v>1433</v>
      </c>
      <c r="D1955" s="21" t="s">
        <v>1073</v>
      </c>
      <c r="E1955" s="21" t="s">
        <v>1072</v>
      </c>
      <c r="F1955" s="21"/>
      <c r="G1955" s="22" t="s">
        <v>1434</v>
      </c>
    </row>
    <row r="1956" spans="1:7" s="7" customFormat="1" hidden="1" outlineLevel="1" x14ac:dyDescent="0.15">
      <c r="B1956" s="20" t="s">
        <v>172</v>
      </c>
      <c r="C1956" s="21" t="s">
        <v>1121</v>
      </c>
      <c r="D1956" s="21" t="s">
        <v>1172</v>
      </c>
      <c r="E1956" s="21">
        <v>0</v>
      </c>
      <c r="F1956" s="21"/>
      <c r="G1956" s="22"/>
    </row>
    <row r="1957" spans="1:7" s="7" customFormat="1" hidden="1" outlineLevel="1" x14ac:dyDescent="0.15">
      <c r="B1957" s="33" t="s">
        <v>67</v>
      </c>
      <c r="C1957" s="21" t="s">
        <v>1406</v>
      </c>
      <c r="D1957" s="21" t="s">
        <v>1092</v>
      </c>
      <c r="E1957" s="21" t="s">
        <v>1072</v>
      </c>
      <c r="F1957" s="21"/>
      <c r="G1957" s="22" t="s">
        <v>1304</v>
      </c>
    </row>
    <row r="1958" spans="1:7" s="7" customFormat="1" ht="18" hidden="1" outlineLevel="1" thickBot="1" x14ac:dyDescent="0.2">
      <c r="B1958" s="24"/>
      <c r="C1958" s="9"/>
      <c r="D1958" s="9"/>
      <c r="E1958" s="9"/>
      <c r="F1958" s="9"/>
      <c r="G1958" s="11"/>
    </row>
    <row r="1959" spans="1:7" s="7" customFormat="1" hidden="1" outlineLevel="1" x14ac:dyDescent="0.15">
      <c r="B1959" s="327" t="s">
        <v>15</v>
      </c>
      <c r="C1959" s="328"/>
      <c r="D1959" s="328"/>
      <c r="E1959" s="328"/>
      <c r="F1959" s="328"/>
      <c r="G1959" s="329"/>
    </row>
    <row r="1960" spans="1:7" s="7" customFormat="1" hidden="1" outlineLevel="1" x14ac:dyDescent="0.15">
      <c r="A1960" s="7" t="s">
        <v>62</v>
      </c>
      <c r="B1960" s="20">
        <v>1</v>
      </c>
      <c r="C1960" s="21" t="s">
        <v>22</v>
      </c>
      <c r="D1960" s="21" t="s">
        <v>16</v>
      </c>
      <c r="E1960" s="21" t="s">
        <v>164</v>
      </c>
      <c r="F1960" s="21"/>
      <c r="G1960" s="22"/>
    </row>
    <row r="1961" spans="1:7" s="7" customFormat="1" hidden="1" outlineLevel="1" x14ac:dyDescent="0.15">
      <c r="B1961" s="20">
        <v>2</v>
      </c>
      <c r="C1961" s="21" t="s">
        <v>22</v>
      </c>
      <c r="D1961" s="21" t="s">
        <v>123</v>
      </c>
      <c r="E1961" s="21"/>
      <c r="F1961" s="21"/>
      <c r="G1961" s="22"/>
    </row>
    <row r="1962" spans="1:7" s="7" customFormat="1" hidden="1" outlineLevel="1" x14ac:dyDescent="0.15">
      <c r="B1962" s="20">
        <v>3</v>
      </c>
      <c r="C1962" s="21" t="s">
        <v>22</v>
      </c>
      <c r="D1962" s="21" t="s">
        <v>111</v>
      </c>
      <c r="E1962" s="21"/>
      <c r="F1962" s="21"/>
      <c r="G1962" s="22"/>
    </row>
    <row r="1963" spans="1:7" s="7" customFormat="1" ht="18" hidden="1" outlineLevel="1" thickBot="1" x14ac:dyDescent="0.2">
      <c r="B1963" s="24"/>
      <c r="C1963" s="9"/>
      <c r="D1963" s="9"/>
      <c r="E1963" s="9"/>
      <c r="F1963" s="9"/>
      <c r="G1963" s="11"/>
    </row>
    <row r="1964" spans="1:7" s="7" customFormat="1" ht="18" hidden="1" outlineLevel="1" thickBot="1" x14ac:dyDescent="0.2"/>
    <row r="1965" spans="1:7" s="7" customFormat="1" ht="15.75" customHeight="1" collapsed="1" thickBot="1" x14ac:dyDescent="0.2">
      <c r="A1965" s="2"/>
      <c r="B1965" s="3" t="s">
        <v>563</v>
      </c>
      <c r="C1965" s="148" t="s">
        <v>641</v>
      </c>
      <c r="D1965" s="40" t="s">
        <v>515</v>
      </c>
      <c r="E1965" s="21" t="s">
        <v>722</v>
      </c>
      <c r="F1965" s="5" t="s">
        <v>567</v>
      </c>
      <c r="G1965" s="6" t="s">
        <v>1620</v>
      </c>
    </row>
    <row r="1966" spans="1:7" s="7" customFormat="1" ht="15" hidden="1" customHeight="1" outlineLevel="1" thickBot="1" x14ac:dyDescent="0.2">
      <c r="A1966" s="2"/>
      <c r="B1966" s="34" t="s">
        <v>570</v>
      </c>
      <c r="C1966" s="18"/>
      <c r="D1966" s="35" t="s">
        <v>568</v>
      </c>
      <c r="E1966" s="18" t="s">
        <v>615</v>
      </c>
      <c r="F1966" s="35"/>
      <c r="G1966" s="19"/>
    </row>
    <row r="1967" spans="1:7" s="7" customFormat="1" ht="15" hidden="1" customHeight="1" outlineLevel="1" x14ac:dyDescent="0.15">
      <c r="A1967" s="2"/>
      <c r="B1967" s="3" t="s">
        <v>0</v>
      </c>
      <c r="C1967" s="5" t="s">
        <v>1</v>
      </c>
      <c r="D1967" s="5" t="s">
        <v>2</v>
      </c>
      <c r="E1967" s="5"/>
      <c r="F1967" s="5" t="s">
        <v>3</v>
      </c>
      <c r="G1967" s="36" t="s">
        <v>4</v>
      </c>
    </row>
    <row r="1968" spans="1:7" s="7" customFormat="1" ht="15" hidden="1" customHeight="1" outlineLevel="1" x14ac:dyDescent="0.15">
      <c r="A1968" s="2"/>
      <c r="B1968" s="20" t="s">
        <v>6</v>
      </c>
      <c r="C1968" s="21" t="s">
        <v>1163</v>
      </c>
      <c r="D1968" s="21" t="s">
        <v>211</v>
      </c>
      <c r="E1968" s="21">
        <v>0</v>
      </c>
      <c r="F1968" s="21"/>
      <c r="G1968" s="22" t="s">
        <v>1077</v>
      </c>
    </row>
    <row r="1969" spans="1:7" s="7" customFormat="1" ht="15" hidden="1" customHeight="1" outlineLevel="1" x14ac:dyDescent="0.15">
      <c r="A1969" s="2"/>
      <c r="B1969" s="31" t="s">
        <v>194</v>
      </c>
      <c r="C1969" s="21" t="s">
        <v>1164</v>
      </c>
      <c r="D1969" s="21" t="s">
        <v>211</v>
      </c>
      <c r="E1969" s="21">
        <v>0</v>
      </c>
      <c r="F1969" s="21"/>
      <c r="G1969" s="22" t="s">
        <v>1165</v>
      </c>
    </row>
    <row r="1970" spans="1:7" s="7" customFormat="1" ht="15" hidden="1" customHeight="1" outlineLevel="1" x14ac:dyDescent="0.15">
      <c r="A1970" s="2"/>
      <c r="B1970" s="20" t="s">
        <v>195</v>
      </c>
      <c r="C1970" s="21" t="s">
        <v>1436</v>
      </c>
      <c r="D1970" s="21" t="s">
        <v>211</v>
      </c>
      <c r="E1970" s="21">
        <v>0</v>
      </c>
      <c r="F1970" s="21"/>
      <c r="G1970" s="22"/>
    </row>
    <row r="1971" spans="1:7" s="7" customFormat="1" ht="15" hidden="1" customHeight="1" outlineLevel="1" x14ac:dyDescent="0.15">
      <c r="A1971" s="2"/>
      <c r="B1971" s="31" t="s">
        <v>196</v>
      </c>
      <c r="C1971" s="21" t="s">
        <v>1430</v>
      </c>
      <c r="D1971" s="21" t="s">
        <v>1073</v>
      </c>
      <c r="E1971" s="21" t="s">
        <v>1072</v>
      </c>
      <c r="F1971" s="21"/>
      <c r="G1971" s="22"/>
    </row>
    <row r="1972" spans="1:7" s="7" customFormat="1" ht="15" hidden="1" customHeight="1" outlineLevel="1" x14ac:dyDescent="0.15">
      <c r="A1972" s="2"/>
      <c r="B1972" s="31" t="s">
        <v>71</v>
      </c>
      <c r="C1972" s="21" t="s">
        <v>1431</v>
      </c>
      <c r="D1972" s="21" t="s">
        <v>1432</v>
      </c>
      <c r="E1972" s="21" t="s">
        <v>1072</v>
      </c>
      <c r="F1972" s="21"/>
      <c r="G1972" s="22"/>
    </row>
    <row r="1973" spans="1:7" s="7" customFormat="1" ht="15" hidden="1" customHeight="1" outlineLevel="1" x14ac:dyDescent="0.15">
      <c r="B1973" s="20" t="s">
        <v>171</v>
      </c>
      <c r="C1973" s="29" t="s">
        <v>1433</v>
      </c>
      <c r="D1973" s="21" t="s">
        <v>1073</v>
      </c>
      <c r="E1973" s="21" t="s">
        <v>1072</v>
      </c>
      <c r="F1973" s="21"/>
      <c r="G1973" s="22" t="s">
        <v>1434</v>
      </c>
    </row>
    <row r="1974" spans="1:7" s="7" customFormat="1" ht="15" hidden="1" customHeight="1" outlineLevel="1" x14ac:dyDescent="0.15">
      <c r="B1974" s="20" t="s">
        <v>197</v>
      </c>
      <c r="C1974" s="21" t="s">
        <v>1575</v>
      </c>
      <c r="D1974" s="21" t="s">
        <v>211</v>
      </c>
      <c r="E1974" s="21">
        <v>0</v>
      </c>
      <c r="F1974" s="21"/>
      <c r="G1974" s="22" t="s">
        <v>1576</v>
      </c>
    </row>
    <row r="1975" spans="1:7" s="7" customFormat="1" ht="15" hidden="1" customHeight="1" outlineLevel="1" x14ac:dyDescent="0.15">
      <c r="B1975" s="20" t="s">
        <v>172</v>
      </c>
      <c r="C1975" s="21" t="s">
        <v>1121</v>
      </c>
      <c r="D1975" s="21" t="s">
        <v>1172</v>
      </c>
      <c r="E1975" s="21">
        <v>0</v>
      </c>
      <c r="F1975" s="21"/>
      <c r="G1975" s="22"/>
    </row>
    <row r="1976" spans="1:7" s="7" customFormat="1" ht="15" hidden="1" customHeight="1" outlineLevel="1" x14ac:dyDescent="0.15">
      <c r="B1976" s="20" t="s">
        <v>199</v>
      </c>
      <c r="C1976" s="18" t="s">
        <v>1577</v>
      </c>
      <c r="D1976" s="18" t="s">
        <v>1073</v>
      </c>
      <c r="E1976" s="18" t="s">
        <v>1072</v>
      </c>
      <c r="F1976" s="18"/>
      <c r="G1976" s="19"/>
    </row>
    <row r="1977" spans="1:7" s="7" customFormat="1" ht="15.75" hidden="1" customHeight="1" outlineLevel="1" x14ac:dyDescent="0.15">
      <c r="A1977" s="2"/>
      <c r="B1977" s="20" t="s">
        <v>75</v>
      </c>
      <c r="C1977" s="18" t="s">
        <v>1302</v>
      </c>
      <c r="D1977" s="18" t="s">
        <v>1403</v>
      </c>
      <c r="E1977" s="18" t="s">
        <v>1303</v>
      </c>
      <c r="F1977" s="18"/>
      <c r="G1977" s="19"/>
    </row>
    <row r="1978" spans="1:7" s="7" customFormat="1" ht="15" hidden="1" customHeight="1" outlineLevel="1" thickBot="1" x14ac:dyDescent="0.2">
      <c r="A1978" s="2"/>
      <c r="B1978" s="24"/>
      <c r="C1978" s="9"/>
      <c r="D1978" s="9"/>
      <c r="E1978" s="9"/>
      <c r="F1978" s="9"/>
      <c r="G1978" s="11"/>
    </row>
    <row r="1979" spans="1:7" s="7" customFormat="1" ht="15" hidden="1" customHeight="1" outlineLevel="1" x14ac:dyDescent="0.15">
      <c r="A1979" s="2"/>
      <c r="B1979" s="327" t="s">
        <v>15</v>
      </c>
      <c r="C1979" s="328"/>
      <c r="D1979" s="328"/>
      <c r="E1979" s="328"/>
      <c r="F1979" s="328"/>
      <c r="G1979" s="329"/>
    </row>
    <row r="1980" spans="1:7" s="7" customFormat="1" ht="15" hidden="1" customHeight="1" outlineLevel="1" x14ac:dyDescent="0.15">
      <c r="A1980" s="2" t="s">
        <v>62</v>
      </c>
      <c r="B1980" s="20">
        <v>1</v>
      </c>
      <c r="C1980" s="21" t="s">
        <v>194</v>
      </c>
      <c r="D1980" s="21"/>
      <c r="E1980" s="21"/>
      <c r="F1980" s="21"/>
      <c r="G1980" s="22"/>
    </row>
    <row r="1981" spans="1:7" s="7" customFormat="1" ht="15.75" hidden="1" customHeight="1" outlineLevel="1" x14ac:dyDescent="0.15">
      <c r="A1981" s="2"/>
      <c r="B1981" s="17">
        <v>2</v>
      </c>
      <c r="C1981" s="18" t="s">
        <v>16</v>
      </c>
      <c r="D1981" s="18"/>
      <c r="E1981" s="18"/>
      <c r="F1981" s="18"/>
      <c r="G1981" s="19"/>
    </row>
    <row r="1982" spans="1:7" ht="18" hidden="1" outlineLevel="1" thickBot="1" x14ac:dyDescent="0.2">
      <c r="A1982" s="2"/>
      <c r="B1982" s="24"/>
      <c r="C1982" s="9"/>
      <c r="D1982" s="9"/>
      <c r="E1982" s="9"/>
      <c r="F1982" s="9"/>
      <c r="G1982" s="11"/>
    </row>
    <row r="1983" spans="1:7" s="7" customFormat="1" ht="18" hidden="1" outlineLevel="1" thickBot="1" x14ac:dyDescent="0.2">
      <c r="A1983" s="1"/>
      <c r="B1983" s="1"/>
      <c r="C1983" s="1"/>
      <c r="D1983" s="1"/>
      <c r="E1983" s="1"/>
      <c r="F1983" s="1"/>
      <c r="G1983" s="1"/>
    </row>
    <row r="1984" spans="1:7" s="7" customFormat="1" ht="18" collapsed="1" thickBot="1" x14ac:dyDescent="0.2">
      <c r="B1984" s="3" t="s">
        <v>563</v>
      </c>
      <c r="C1984" s="21" t="s">
        <v>558</v>
      </c>
      <c r="D1984" s="5" t="s">
        <v>515</v>
      </c>
      <c r="E1984" s="21" t="s">
        <v>602</v>
      </c>
      <c r="F1984" s="5" t="s">
        <v>567</v>
      </c>
      <c r="G1984" s="6"/>
    </row>
    <row r="1985" spans="1:7" s="7" customFormat="1" ht="18" hidden="1" outlineLevel="1" thickBot="1" x14ac:dyDescent="0.2">
      <c r="B1985" s="8" t="s">
        <v>570</v>
      </c>
      <c r="C1985" s="9"/>
      <c r="D1985" s="10" t="s">
        <v>568</v>
      </c>
      <c r="E1985" s="9" t="s">
        <v>615</v>
      </c>
      <c r="F1985" s="10"/>
      <c r="G1985" s="11"/>
    </row>
    <row r="1986" spans="1:7" s="7" customFormat="1" hidden="1" outlineLevel="1" x14ac:dyDescent="0.15">
      <c r="B1986" s="12" t="s">
        <v>0</v>
      </c>
      <c r="C1986" s="13" t="s">
        <v>1</v>
      </c>
      <c r="D1986" s="13" t="s">
        <v>2</v>
      </c>
      <c r="E1986" s="13"/>
      <c r="F1986" s="13" t="s">
        <v>3</v>
      </c>
      <c r="G1986" s="13" t="s">
        <v>4</v>
      </c>
    </row>
    <row r="1987" spans="1:7" s="7" customFormat="1" hidden="1" outlineLevel="1" x14ac:dyDescent="0.15">
      <c r="B1987" s="14" t="s">
        <v>16</v>
      </c>
      <c r="C1987" s="15" t="s">
        <v>1163</v>
      </c>
      <c r="D1987" s="15" t="s">
        <v>211</v>
      </c>
      <c r="E1987" s="15">
        <v>0</v>
      </c>
      <c r="F1987" s="15"/>
      <c r="G1987" s="16" t="s">
        <v>1077</v>
      </c>
    </row>
    <row r="1988" spans="1:7" s="7" customFormat="1" hidden="1" outlineLevel="1" x14ac:dyDescent="0.15">
      <c r="B1988" s="14" t="s">
        <v>135</v>
      </c>
      <c r="C1988" s="15" t="s">
        <v>1357</v>
      </c>
      <c r="D1988" s="15" t="s">
        <v>211</v>
      </c>
      <c r="E1988" s="15">
        <v>0</v>
      </c>
      <c r="F1988" s="15"/>
      <c r="G1988" s="16" t="s">
        <v>1358</v>
      </c>
    </row>
    <row r="1989" spans="1:7" s="7" customFormat="1" hidden="1" outlineLevel="1" x14ac:dyDescent="0.15">
      <c r="B1989" s="14" t="s">
        <v>299</v>
      </c>
      <c r="C1989" s="102" t="s">
        <v>1578</v>
      </c>
      <c r="D1989" s="15" t="s">
        <v>1345</v>
      </c>
      <c r="E1989" s="15">
        <v>0</v>
      </c>
      <c r="F1989" s="15"/>
      <c r="G1989" s="16"/>
    </row>
    <row r="1990" spans="1:7" s="7" customFormat="1" hidden="1" outlineLevel="1" x14ac:dyDescent="0.15">
      <c r="B1990" s="20" t="s">
        <v>300</v>
      </c>
      <c r="C1990" s="115" t="s">
        <v>1579</v>
      </c>
      <c r="D1990" s="115" t="s">
        <v>1073</v>
      </c>
      <c r="E1990" s="115" t="s">
        <v>1072</v>
      </c>
      <c r="F1990" s="115" t="s">
        <v>28</v>
      </c>
      <c r="G1990" s="116"/>
    </row>
    <row r="1991" spans="1:7" s="7" customFormat="1" hidden="1" outlineLevel="1" x14ac:dyDescent="0.15">
      <c r="B1991" s="17" t="s">
        <v>301</v>
      </c>
      <c r="C1991" s="29" t="s">
        <v>1580</v>
      </c>
      <c r="D1991" s="29" t="s">
        <v>1432</v>
      </c>
      <c r="E1991" s="115" t="s">
        <v>1072</v>
      </c>
      <c r="F1991" s="115"/>
      <c r="G1991" s="116"/>
    </row>
    <row r="1992" spans="1:7" s="7" customFormat="1" ht="18" hidden="1" outlineLevel="1" thickBot="1" x14ac:dyDescent="0.2">
      <c r="B1992" s="14"/>
      <c r="C1992" s="15"/>
      <c r="D1992" s="15"/>
      <c r="E1992" s="15"/>
      <c r="F1992" s="15"/>
      <c r="G1992" s="16"/>
    </row>
    <row r="1993" spans="1:7" s="7" customFormat="1" hidden="1" outlineLevel="1" x14ac:dyDescent="0.15">
      <c r="B1993" s="327" t="s">
        <v>15</v>
      </c>
      <c r="C1993" s="328"/>
      <c r="D1993" s="328"/>
      <c r="E1993" s="328"/>
      <c r="F1993" s="328"/>
      <c r="G1993" s="329"/>
    </row>
    <row r="1994" spans="1:7" s="7" customFormat="1" hidden="1" outlineLevel="1" x14ac:dyDescent="0.15">
      <c r="A1994" s="7" t="s">
        <v>298</v>
      </c>
      <c r="B1994" s="14">
        <v>1</v>
      </c>
      <c r="C1994" s="21" t="s">
        <v>135</v>
      </c>
      <c r="D1994" s="21" t="s">
        <v>299</v>
      </c>
      <c r="E1994" s="28"/>
      <c r="F1994" s="15"/>
      <c r="G1994" s="16"/>
    </row>
    <row r="1995" spans="1:7" s="7" customFormat="1" hidden="1" outlineLevel="1" x14ac:dyDescent="0.15">
      <c r="B1995" s="17">
        <v>2</v>
      </c>
      <c r="C1995" s="18" t="s">
        <v>16</v>
      </c>
      <c r="D1995" s="18"/>
      <c r="E1995" s="18"/>
      <c r="F1995" s="18"/>
      <c r="G1995" s="19"/>
    </row>
    <row r="1996" spans="1:7" s="7" customFormat="1" ht="18" hidden="1" outlineLevel="1" thickBot="1" x14ac:dyDescent="0.2">
      <c r="B1996" s="24"/>
      <c r="C1996" s="9"/>
      <c r="D1996" s="9"/>
      <c r="E1996" s="9"/>
      <c r="F1996" s="9"/>
      <c r="G1996" s="11"/>
    </row>
    <row r="1997" spans="1:7" s="7" customFormat="1" hidden="1" outlineLevel="1" x14ac:dyDescent="0.15"/>
    <row r="1998" spans="1:7" s="7" customFormat="1" ht="18" hidden="1" outlineLevel="1" thickBot="1" x14ac:dyDescent="0.2"/>
    <row r="1999" spans="1:7" s="7" customFormat="1" ht="18" collapsed="1" thickBot="1" x14ac:dyDescent="0.2">
      <c r="B1999" s="117" t="s">
        <v>563</v>
      </c>
      <c r="C1999" s="21" t="s">
        <v>635</v>
      </c>
      <c r="D1999" s="118" t="s">
        <v>515</v>
      </c>
      <c r="E1999" s="21" t="s">
        <v>581</v>
      </c>
      <c r="F1999" s="118" t="s">
        <v>567</v>
      </c>
      <c r="G1999" s="119" t="s">
        <v>1619</v>
      </c>
    </row>
    <row r="2000" spans="1:7" s="7" customFormat="1" ht="18" hidden="1" outlineLevel="1" thickBot="1" x14ac:dyDescent="0.2">
      <c r="B2000" s="120" t="s">
        <v>570</v>
      </c>
      <c r="C2000" s="121"/>
      <c r="D2000" s="122" t="s">
        <v>568</v>
      </c>
      <c r="E2000" s="121" t="s">
        <v>615</v>
      </c>
      <c r="F2000" s="122"/>
      <c r="G2000" s="123"/>
    </row>
    <row r="2001" spans="1:7" s="7" customFormat="1" hidden="1" outlineLevel="1" x14ac:dyDescent="0.15">
      <c r="B2001" s="124" t="s">
        <v>0</v>
      </c>
      <c r="C2001" s="125" t="s">
        <v>1</v>
      </c>
      <c r="D2001" s="125" t="s">
        <v>2</v>
      </c>
      <c r="E2001" s="125"/>
      <c r="F2001" s="125" t="s">
        <v>3</v>
      </c>
      <c r="G2001" s="125" t="s">
        <v>4</v>
      </c>
    </row>
    <row r="2002" spans="1:7" s="7" customFormat="1" hidden="1" outlineLevel="1" x14ac:dyDescent="0.15">
      <c r="B2002" s="126" t="s">
        <v>135</v>
      </c>
      <c r="C2002" s="29" t="s">
        <v>1357</v>
      </c>
      <c r="D2002" s="115" t="s">
        <v>211</v>
      </c>
      <c r="E2002" s="115">
        <v>0</v>
      </c>
      <c r="F2002" s="115" t="s">
        <v>28</v>
      </c>
      <c r="G2002" s="116" t="s">
        <v>1358</v>
      </c>
    </row>
    <row r="2003" spans="1:7" s="7" customFormat="1" hidden="1" outlineLevel="1" x14ac:dyDescent="0.15">
      <c r="B2003" s="126" t="s">
        <v>6</v>
      </c>
      <c r="C2003" s="29" t="s">
        <v>1163</v>
      </c>
      <c r="D2003" s="115" t="s">
        <v>211</v>
      </c>
      <c r="E2003" s="115">
        <v>0</v>
      </c>
      <c r="F2003" s="115" t="s">
        <v>28</v>
      </c>
      <c r="G2003" s="116" t="s">
        <v>1077</v>
      </c>
    </row>
    <row r="2004" spans="1:7" s="7" customFormat="1" hidden="1" outlineLevel="1" x14ac:dyDescent="0.15">
      <c r="B2004" s="126" t="s">
        <v>290</v>
      </c>
      <c r="C2004" s="127" t="s">
        <v>1437</v>
      </c>
      <c r="D2004" s="115" t="s">
        <v>211</v>
      </c>
      <c r="E2004" s="115">
        <v>0</v>
      </c>
      <c r="F2004" s="115"/>
      <c r="G2004" s="116"/>
    </row>
    <row r="2005" spans="1:7" s="7" customFormat="1" ht="18" hidden="1" outlineLevel="1" thickBot="1" x14ac:dyDescent="0.2">
      <c r="B2005" s="126"/>
      <c r="C2005" s="115"/>
      <c r="D2005" s="115"/>
      <c r="E2005" s="115"/>
      <c r="F2005" s="115"/>
      <c r="G2005" s="116"/>
    </row>
    <row r="2006" spans="1:7" s="7" customFormat="1" hidden="1" outlineLevel="1" x14ac:dyDescent="0.15">
      <c r="B2006" s="333" t="s">
        <v>15</v>
      </c>
      <c r="C2006" s="334"/>
      <c r="D2006" s="334"/>
      <c r="E2006" s="334"/>
      <c r="F2006" s="334"/>
      <c r="G2006" s="335"/>
    </row>
    <row r="2007" spans="1:7" s="7" customFormat="1" hidden="1" outlineLevel="1" x14ac:dyDescent="0.15">
      <c r="A2007" s="7" t="s">
        <v>298</v>
      </c>
      <c r="B2007" s="126">
        <v>1</v>
      </c>
      <c r="C2007" s="115" t="s">
        <v>135</v>
      </c>
      <c r="D2007" s="115" t="s">
        <v>6</v>
      </c>
      <c r="E2007" s="115"/>
      <c r="F2007" s="115"/>
      <c r="G2007" s="116"/>
    </row>
    <row r="2008" spans="1:7" s="7" customFormat="1" ht="18" hidden="1" outlineLevel="1" thickBot="1" x14ac:dyDescent="0.2">
      <c r="B2008" s="128"/>
      <c r="C2008" s="121"/>
      <c r="D2008" s="121"/>
      <c r="E2008" s="121"/>
      <c r="F2008" s="121"/>
      <c r="G2008" s="123"/>
    </row>
    <row r="2009" spans="1:7" s="7" customFormat="1" hidden="1" outlineLevel="1" x14ac:dyDescent="0.15"/>
    <row r="2010" spans="1:7" s="7" customFormat="1" ht="18" hidden="1" outlineLevel="1" thickBot="1" x14ac:dyDescent="0.2"/>
    <row r="2011" spans="1:7" s="7" customFormat="1" ht="18" collapsed="1" thickBot="1" x14ac:dyDescent="0.2">
      <c r="B2011" s="117" t="s">
        <v>563</v>
      </c>
      <c r="C2011" s="21" t="s">
        <v>637</v>
      </c>
      <c r="D2011" s="118" t="s">
        <v>515</v>
      </c>
      <c r="E2011" s="21" t="s">
        <v>1022</v>
      </c>
      <c r="F2011" s="118" t="s">
        <v>567</v>
      </c>
      <c r="G2011" s="119" t="s">
        <v>1618</v>
      </c>
    </row>
    <row r="2012" spans="1:7" s="7" customFormat="1" ht="18" hidden="1" outlineLevel="1" thickBot="1" x14ac:dyDescent="0.2">
      <c r="B2012" s="120" t="s">
        <v>570</v>
      </c>
      <c r="C2012" s="121"/>
      <c r="D2012" s="122" t="s">
        <v>568</v>
      </c>
      <c r="E2012" s="121" t="s">
        <v>615</v>
      </c>
      <c r="F2012" s="122"/>
      <c r="G2012" s="123"/>
    </row>
    <row r="2013" spans="1:7" s="7" customFormat="1" hidden="1" outlineLevel="1" x14ac:dyDescent="0.15">
      <c r="B2013" s="124" t="s">
        <v>0</v>
      </c>
      <c r="C2013" s="125" t="s">
        <v>1</v>
      </c>
      <c r="D2013" s="125" t="s">
        <v>2</v>
      </c>
      <c r="E2013" s="125"/>
      <c r="F2013" s="125" t="s">
        <v>3</v>
      </c>
      <c r="G2013" s="125" t="s">
        <v>4</v>
      </c>
    </row>
    <row r="2014" spans="1:7" s="7" customFormat="1" hidden="1" outlineLevel="1" x14ac:dyDescent="0.15">
      <c r="B2014" s="126" t="s">
        <v>135</v>
      </c>
      <c r="C2014" s="29" t="s">
        <v>1357</v>
      </c>
      <c r="D2014" s="115" t="s">
        <v>211</v>
      </c>
      <c r="E2014" s="115">
        <v>0</v>
      </c>
      <c r="F2014" s="115" t="s">
        <v>28</v>
      </c>
      <c r="G2014" s="116" t="s">
        <v>1358</v>
      </c>
    </row>
    <row r="2015" spans="1:7" s="7" customFormat="1" hidden="1" outlineLevel="1" x14ac:dyDescent="0.15">
      <c r="B2015" s="126" t="s">
        <v>16</v>
      </c>
      <c r="C2015" s="127" t="s">
        <v>1163</v>
      </c>
      <c r="D2015" s="115" t="s">
        <v>211</v>
      </c>
      <c r="E2015" s="115">
        <v>0</v>
      </c>
      <c r="F2015" s="115"/>
      <c r="G2015" s="116" t="s">
        <v>1077</v>
      </c>
    </row>
    <row r="2016" spans="1:7" s="7" customFormat="1" hidden="1" outlineLevel="1" x14ac:dyDescent="0.15">
      <c r="B2016" s="126" t="s">
        <v>111</v>
      </c>
      <c r="C2016" s="127" t="s">
        <v>1164</v>
      </c>
      <c r="D2016" s="115" t="s">
        <v>211</v>
      </c>
      <c r="E2016" s="115">
        <v>0</v>
      </c>
      <c r="F2016" s="115"/>
      <c r="G2016" s="116" t="s">
        <v>1165</v>
      </c>
    </row>
    <row r="2017" spans="1:7" s="7" customFormat="1" hidden="1" outlineLevel="1" x14ac:dyDescent="0.15">
      <c r="B2017" s="126" t="s">
        <v>290</v>
      </c>
      <c r="C2017" s="127" t="s">
        <v>1437</v>
      </c>
      <c r="D2017" s="115" t="s">
        <v>211</v>
      </c>
      <c r="E2017" s="115">
        <v>0</v>
      </c>
      <c r="F2017" s="115"/>
      <c r="G2017" s="116"/>
    </row>
    <row r="2018" spans="1:7" s="7" customFormat="1" ht="18" hidden="1" outlineLevel="1" thickBot="1" x14ac:dyDescent="0.2">
      <c r="B2018" s="126"/>
      <c r="C2018" s="115"/>
      <c r="D2018" s="115"/>
      <c r="E2018" s="115"/>
      <c r="F2018" s="115"/>
      <c r="G2018" s="116"/>
    </row>
    <row r="2019" spans="1:7" s="7" customFormat="1" hidden="1" outlineLevel="1" x14ac:dyDescent="0.15">
      <c r="B2019" s="333" t="s">
        <v>15</v>
      </c>
      <c r="C2019" s="334"/>
      <c r="D2019" s="334"/>
      <c r="E2019" s="334"/>
      <c r="F2019" s="334"/>
      <c r="G2019" s="335"/>
    </row>
    <row r="2020" spans="1:7" s="7" customFormat="1" hidden="1" outlineLevel="1" x14ac:dyDescent="0.15">
      <c r="A2020" s="7" t="s">
        <v>298</v>
      </c>
      <c r="B2020" s="126">
        <v>1</v>
      </c>
      <c r="C2020" s="115" t="s">
        <v>21</v>
      </c>
      <c r="D2020" s="115" t="s">
        <v>111</v>
      </c>
      <c r="E2020" s="115"/>
      <c r="F2020" s="115"/>
      <c r="G2020" s="116"/>
    </row>
    <row r="2021" spans="1:7" s="7" customFormat="1" hidden="1" outlineLevel="1" x14ac:dyDescent="0.15">
      <c r="B2021" s="129">
        <v>2</v>
      </c>
      <c r="C2021" s="130" t="s">
        <v>16</v>
      </c>
      <c r="D2021" s="130" t="s">
        <v>21</v>
      </c>
      <c r="E2021" s="115" t="s">
        <v>111</v>
      </c>
      <c r="F2021" s="130"/>
      <c r="G2021" s="131"/>
    </row>
    <row r="2022" spans="1:7" s="7" customFormat="1" ht="18" hidden="1" outlineLevel="1" thickBot="1" x14ac:dyDescent="0.2">
      <c r="B2022" s="128"/>
      <c r="C2022" s="121"/>
      <c r="D2022" s="121"/>
      <c r="E2022" s="121"/>
      <c r="F2022" s="121"/>
      <c r="G2022" s="123"/>
    </row>
    <row r="2023" spans="1:7" s="7" customFormat="1" hidden="1" outlineLevel="1" x14ac:dyDescent="0.15"/>
    <row r="2024" spans="1:7" s="7" customFormat="1" ht="18" hidden="1" outlineLevel="1" thickBot="1" x14ac:dyDescent="0.2"/>
    <row r="2025" spans="1:7" s="7" customFormat="1" ht="18" collapsed="1" thickBot="1" x14ac:dyDescent="0.2">
      <c r="B2025" s="117" t="s">
        <v>563</v>
      </c>
      <c r="C2025" s="21" t="s">
        <v>638</v>
      </c>
      <c r="D2025" s="118" t="s">
        <v>515</v>
      </c>
      <c r="E2025" s="21" t="s">
        <v>582</v>
      </c>
      <c r="F2025" s="118" t="s">
        <v>567</v>
      </c>
      <c r="G2025" s="119" t="s">
        <v>1618</v>
      </c>
    </row>
    <row r="2026" spans="1:7" s="7" customFormat="1" ht="18" hidden="1" outlineLevel="1" thickBot="1" x14ac:dyDescent="0.2">
      <c r="B2026" s="120" t="s">
        <v>570</v>
      </c>
      <c r="C2026" s="121"/>
      <c r="D2026" s="122" t="s">
        <v>568</v>
      </c>
      <c r="E2026" s="121" t="s">
        <v>615</v>
      </c>
      <c r="F2026" s="122"/>
      <c r="G2026" s="123"/>
    </row>
    <row r="2027" spans="1:7" s="7" customFormat="1" hidden="1" outlineLevel="1" x14ac:dyDescent="0.15">
      <c r="B2027" s="124" t="s">
        <v>0</v>
      </c>
      <c r="C2027" s="125" t="s">
        <v>1</v>
      </c>
      <c r="D2027" s="125" t="s">
        <v>2</v>
      </c>
      <c r="E2027" s="125"/>
      <c r="F2027" s="125" t="s">
        <v>3</v>
      </c>
      <c r="G2027" s="125" t="s">
        <v>4</v>
      </c>
    </row>
    <row r="2028" spans="1:7" s="7" customFormat="1" hidden="1" outlineLevel="1" x14ac:dyDescent="0.15">
      <c r="B2028" s="126" t="s">
        <v>135</v>
      </c>
      <c r="C2028" s="29" t="s">
        <v>1357</v>
      </c>
      <c r="D2028" s="115" t="s">
        <v>211</v>
      </c>
      <c r="E2028" s="115">
        <v>0</v>
      </c>
      <c r="F2028" s="115" t="s">
        <v>28</v>
      </c>
      <c r="G2028" s="116" t="s">
        <v>1358</v>
      </c>
    </row>
    <row r="2029" spans="1:7" s="7" customFormat="1" hidden="1" outlineLevel="1" x14ac:dyDescent="0.15">
      <c r="B2029" s="126" t="s">
        <v>16</v>
      </c>
      <c r="C2029" s="29" t="s">
        <v>1163</v>
      </c>
      <c r="D2029" s="115" t="s">
        <v>211</v>
      </c>
      <c r="E2029" s="115">
        <v>0</v>
      </c>
      <c r="F2029" s="115"/>
      <c r="G2029" s="116" t="s">
        <v>1077</v>
      </c>
    </row>
    <row r="2030" spans="1:7" s="7" customFormat="1" hidden="1" outlineLevel="1" x14ac:dyDescent="0.15">
      <c r="B2030" s="126" t="s">
        <v>111</v>
      </c>
      <c r="C2030" s="29" t="s">
        <v>1164</v>
      </c>
      <c r="D2030" s="115" t="s">
        <v>211</v>
      </c>
      <c r="E2030" s="115">
        <v>0</v>
      </c>
      <c r="F2030" s="115"/>
      <c r="G2030" s="116" t="s">
        <v>1165</v>
      </c>
    </row>
    <row r="2031" spans="1:7" s="7" customFormat="1" hidden="1" outlineLevel="1" x14ac:dyDescent="0.15">
      <c r="B2031" s="126" t="s">
        <v>123</v>
      </c>
      <c r="C2031" s="29" t="s">
        <v>1133</v>
      </c>
      <c r="D2031" s="115" t="s">
        <v>211</v>
      </c>
      <c r="E2031" s="115">
        <v>0</v>
      </c>
      <c r="F2031" s="115"/>
      <c r="G2031" s="116" t="s">
        <v>1182</v>
      </c>
    </row>
    <row r="2032" spans="1:7" s="7" customFormat="1" hidden="1" outlineLevel="1" x14ac:dyDescent="0.15">
      <c r="B2032" s="126" t="s">
        <v>290</v>
      </c>
      <c r="C2032" s="127" t="s">
        <v>1437</v>
      </c>
      <c r="D2032" s="115" t="s">
        <v>211</v>
      </c>
      <c r="E2032" s="115">
        <v>0</v>
      </c>
      <c r="F2032" s="115"/>
      <c r="G2032" s="116"/>
    </row>
    <row r="2033" spans="1:13" s="7" customFormat="1" ht="18" hidden="1" outlineLevel="1" thickBot="1" x14ac:dyDescent="0.2">
      <c r="B2033" s="126"/>
      <c r="C2033" s="115"/>
      <c r="D2033" s="115"/>
      <c r="E2033" s="115"/>
      <c r="F2033" s="115"/>
      <c r="G2033" s="116"/>
    </row>
    <row r="2034" spans="1:13" s="7" customFormat="1" hidden="1" outlineLevel="1" x14ac:dyDescent="0.15">
      <c r="B2034" s="333" t="s">
        <v>15</v>
      </c>
      <c r="C2034" s="334"/>
      <c r="D2034" s="334"/>
      <c r="E2034" s="334"/>
      <c r="F2034" s="334"/>
      <c r="G2034" s="335"/>
    </row>
    <row r="2035" spans="1:13" s="7" customFormat="1" hidden="1" outlineLevel="1" x14ac:dyDescent="0.15">
      <c r="A2035" s="7" t="s">
        <v>298</v>
      </c>
      <c r="B2035" s="126">
        <v>1</v>
      </c>
      <c r="C2035" s="115" t="s">
        <v>135</v>
      </c>
      <c r="D2035" s="115" t="s">
        <v>123</v>
      </c>
      <c r="E2035" s="115"/>
      <c r="F2035" s="115"/>
      <c r="G2035" s="116"/>
    </row>
    <row r="2036" spans="1:13" s="7" customFormat="1" hidden="1" outlineLevel="1" x14ac:dyDescent="0.15">
      <c r="B2036" s="129">
        <v>2</v>
      </c>
      <c r="C2036" s="130" t="s">
        <v>6</v>
      </c>
      <c r="D2036" s="130" t="s">
        <v>21</v>
      </c>
      <c r="E2036" s="130" t="s">
        <v>111</v>
      </c>
      <c r="F2036" s="130" t="s">
        <v>123</v>
      </c>
      <c r="G2036" s="131"/>
    </row>
    <row r="2037" spans="1:13" ht="18" hidden="1" outlineLevel="1" thickBot="1" x14ac:dyDescent="0.2">
      <c r="A2037" s="7"/>
      <c r="B2037" s="128"/>
      <c r="C2037" s="121"/>
      <c r="D2037" s="121"/>
      <c r="E2037" s="121"/>
      <c r="F2037" s="121"/>
      <c r="G2037" s="123"/>
    </row>
    <row r="2038" spans="1:13" s="76" customFormat="1" ht="18" hidden="1" outlineLevel="1" thickBot="1" x14ac:dyDescent="0.2">
      <c r="A2038" s="1"/>
      <c r="B2038" s="1"/>
      <c r="C2038" s="1"/>
      <c r="D2038" s="1"/>
      <c r="E2038" s="1"/>
      <c r="F2038" s="1"/>
      <c r="G2038" s="1"/>
    </row>
    <row r="2039" spans="1:13" s="76" customFormat="1" ht="18" collapsed="1" thickBot="1" x14ac:dyDescent="0.2">
      <c r="A2039" s="71"/>
      <c r="B2039" s="72" t="s">
        <v>563</v>
      </c>
      <c r="C2039" s="149" t="s">
        <v>545</v>
      </c>
      <c r="D2039" s="150" t="s">
        <v>515</v>
      </c>
      <c r="E2039" s="21" t="s">
        <v>603</v>
      </c>
      <c r="F2039" s="74" t="s">
        <v>567</v>
      </c>
      <c r="G2039" s="75" t="s">
        <v>1619</v>
      </c>
    </row>
    <row r="2040" spans="1:13" s="76" customFormat="1" ht="18" hidden="1" outlineLevel="1" thickBot="1" x14ac:dyDescent="0.2">
      <c r="A2040" s="71"/>
      <c r="B2040" s="78" t="s">
        <v>570</v>
      </c>
      <c r="C2040" s="79"/>
      <c r="D2040" s="80" t="s">
        <v>568</v>
      </c>
      <c r="E2040" s="79" t="s">
        <v>615</v>
      </c>
      <c r="F2040" s="80"/>
      <c r="G2040" s="81"/>
    </row>
    <row r="2041" spans="1:13" s="76" customFormat="1" hidden="1" outlineLevel="1" x14ac:dyDescent="0.15">
      <c r="A2041" s="71"/>
      <c r="B2041" s="72" t="s">
        <v>0</v>
      </c>
      <c r="C2041" s="82" t="s">
        <v>1</v>
      </c>
      <c r="D2041" s="82" t="s">
        <v>2</v>
      </c>
      <c r="E2041" s="82"/>
      <c r="F2041" s="82" t="s">
        <v>3</v>
      </c>
      <c r="G2041" s="83" t="s">
        <v>4</v>
      </c>
    </row>
    <row r="2042" spans="1:13" s="76" customFormat="1" hidden="1" outlineLevel="1" x14ac:dyDescent="0.15">
      <c r="A2042" s="71"/>
      <c r="B2042" s="84" t="s">
        <v>7</v>
      </c>
      <c r="C2042" s="85" t="s">
        <v>1190</v>
      </c>
      <c r="D2042" s="85" t="s">
        <v>211</v>
      </c>
      <c r="E2042" s="86">
        <v>0</v>
      </c>
      <c r="F2042" s="86"/>
      <c r="G2042" s="95" t="s">
        <v>1081</v>
      </c>
    </row>
    <row r="2043" spans="1:13" s="76" customFormat="1" hidden="1" outlineLevel="1" x14ac:dyDescent="0.15">
      <c r="A2043" s="71"/>
      <c r="B2043" s="84" t="s">
        <v>19</v>
      </c>
      <c r="C2043" s="85" t="s">
        <v>1337</v>
      </c>
      <c r="D2043" s="86" t="s">
        <v>1219</v>
      </c>
      <c r="E2043" s="86" t="s">
        <v>1072</v>
      </c>
      <c r="F2043" s="86"/>
      <c r="G2043" s="87" t="s">
        <v>1338</v>
      </c>
    </row>
    <row r="2044" spans="1:13" s="76" customFormat="1" hidden="1" outlineLevel="1" x14ac:dyDescent="0.15">
      <c r="A2044" s="71"/>
      <c r="B2044" s="84" t="s">
        <v>212</v>
      </c>
      <c r="C2044" s="85" t="s">
        <v>1098</v>
      </c>
      <c r="D2044" s="86" t="s">
        <v>1219</v>
      </c>
      <c r="E2044" s="86" t="s">
        <v>1072</v>
      </c>
      <c r="F2044" s="86"/>
      <c r="G2044" s="87" t="s">
        <v>1438</v>
      </c>
    </row>
    <row r="2045" spans="1:13" s="77" customFormat="1" hidden="1" outlineLevel="1" x14ac:dyDescent="0.15">
      <c r="A2045" s="71"/>
      <c r="B2045" s="84" t="s">
        <v>213</v>
      </c>
      <c r="C2045" s="85" t="s">
        <v>1340</v>
      </c>
      <c r="D2045" s="86" t="s">
        <v>1219</v>
      </c>
      <c r="E2045" s="86" t="s">
        <v>1072</v>
      </c>
      <c r="F2045" s="86"/>
      <c r="G2045" s="87"/>
      <c r="H2045" s="76"/>
      <c r="I2045" s="76"/>
      <c r="J2045" s="76"/>
      <c r="K2045" s="76"/>
      <c r="L2045" s="76"/>
      <c r="M2045" s="76"/>
    </row>
    <row r="2046" spans="1:13" s="76" customFormat="1" hidden="1" outlineLevel="1" x14ac:dyDescent="0.15">
      <c r="A2046" s="71"/>
      <c r="B2046" s="84" t="s">
        <v>118</v>
      </c>
      <c r="C2046" s="85" t="s">
        <v>1188</v>
      </c>
      <c r="D2046" s="86" t="s">
        <v>211</v>
      </c>
      <c r="E2046" s="86">
        <v>0</v>
      </c>
      <c r="F2046" s="86"/>
      <c r="G2046" s="87"/>
    </row>
    <row r="2047" spans="1:13" s="76" customFormat="1" hidden="1" outlineLevel="1" x14ac:dyDescent="0.15">
      <c r="A2047" s="71"/>
      <c r="B2047" s="84" t="s">
        <v>174</v>
      </c>
      <c r="C2047" s="85" t="s">
        <v>1397</v>
      </c>
      <c r="D2047" s="86" t="s">
        <v>211</v>
      </c>
      <c r="E2047" s="86">
        <v>0</v>
      </c>
      <c r="F2047" s="86"/>
      <c r="G2047" s="87"/>
    </row>
    <row r="2048" spans="1:13" s="76" customFormat="1" hidden="1" outlineLevel="1" x14ac:dyDescent="0.15">
      <c r="A2048" s="71"/>
      <c r="B2048" s="84" t="s">
        <v>214</v>
      </c>
      <c r="C2048" s="85" t="s">
        <v>1339</v>
      </c>
      <c r="D2048" s="86" t="s">
        <v>211</v>
      </c>
      <c r="E2048" s="86">
        <v>0</v>
      </c>
      <c r="F2048" s="86"/>
      <c r="G2048" s="87"/>
    </row>
    <row r="2049" spans="1:7" s="76" customFormat="1" hidden="1" outlineLevel="1" x14ac:dyDescent="0.15">
      <c r="A2049" s="71"/>
      <c r="B2049" s="84" t="s">
        <v>183</v>
      </c>
      <c r="C2049" s="85" t="s">
        <v>1122</v>
      </c>
      <c r="D2049" s="86" t="s">
        <v>1073</v>
      </c>
      <c r="E2049" s="86" t="s">
        <v>1072</v>
      </c>
      <c r="F2049" s="86"/>
      <c r="G2049" s="95"/>
    </row>
    <row r="2050" spans="1:7" s="76" customFormat="1" hidden="1" outlineLevel="1" x14ac:dyDescent="0.15">
      <c r="A2050" s="71"/>
      <c r="B2050" s="96" t="s">
        <v>215</v>
      </c>
      <c r="C2050" s="97" t="s">
        <v>1581</v>
      </c>
      <c r="D2050" s="97" t="s">
        <v>211</v>
      </c>
      <c r="E2050" s="97" t="s">
        <v>1141</v>
      </c>
      <c r="F2050" s="97"/>
      <c r="G2050" s="98"/>
    </row>
    <row r="2051" spans="1:7" s="76" customFormat="1" hidden="1" outlineLevel="1" x14ac:dyDescent="0.15">
      <c r="A2051" s="71"/>
      <c r="B2051" s="96" t="s">
        <v>216</v>
      </c>
      <c r="C2051" s="97" t="s">
        <v>1582</v>
      </c>
      <c r="D2051" s="97" t="s">
        <v>211</v>
      </c>
      <c r="E2051" s="97" t="s">
        <v>1141</v>
      </c>
      <c r="F2051" s="97"/>
      <c r="G2051" s="98"/>
    </row>
    <row r="2052" spans="1:7" s="76" customFormat="1" hidden="1" outlineLevel="1" x14ac:dyDescent="0.15">
      <c r="A2052" s="71"/>
      <c r="B2052" s="96" t="s">
        <v>217</v>
      </c>
      <c r="C2052" s="97" t="s">
        <v>1439</v>
      </c>
      <c r="D2052" s="97" t="s">
        <v>211</v>
      </c>
      <c r="E2052" s="97" t="s">
        <v>1141</v>
      </c>
      <c r="F2052" s="97"/>
      <c r="G2052" s="98"/>
    </row>
    <row r="2053" spans="1:7" s="76" customFormat="1" hidden="1" outlineLevel="1" x14ac:dyDescent="0.15">
      <c r="A2053" s="71"/>
      <c r="B2053" s="96" t="s">
        <v>218</v>
      </c>
      <c r="C2053" s="97" t="s">
        <v>1583</v>
      </c>
      <c r="D2053" s="97" t="s">
        <v>211</v>
      </c>
      <c r="E2053" s="97" t="s">
        <v>1141</v>
      </c>
      <c r="F2053" s="97"/>
      <c r="G2053" s="98"/>
    </row>
    <row r="2054" spans="1:7" s="76" customFormat="1" hidden="1" outlineLevel="1" x14ac:dyDescent="0.15">
      <c r="A2054" s="71"/>
      <c r="B2054" s="96" t="s">
        <v>219</v>
      </c>
      <c r="C2054" s="97" t="s">
        <v>1440</v>
      </c>
      <c r="D2054" s="97" t="s">
        <v>211</v>
      </c>
      <c r="E2054" s="97" t="s">
        <v>1141</v>
      </c>
      <c r="F2054" s="97"/>
      <c r="G2054" s="98"/>
    </row>
    <row r="2055" spans="1:7" s="76" customFormat="1" hidden="1" outlineLevel="1" x14ac:dyDescent="0.15">
      <c r="A2055" s="71"/>
      <c r="B2055" s="96" t="s">
        <v>220</v>
      </c>
      <c r="C2055" s="97" t="s">
        <v>1441</v>
      </c>
      <c r="D2055" s="97" t="s">
        <v>1087</v>
      </c>
      <c r="E2055" s="97">
        <v>0</v>
      </c>
      <c r="F2055" s="97"/>
      <c r="G2055" s="98"/>
    </row>
    <row r="2056" spans="1:7" s="76" customFormat="1" hidden="1" outlineLevel="1" x14ac:dyDescent="0.15">
      <c r="A2056" s="71"/>
      <c r="B2056" s="96" t="s">
        <v>221</v>
      </c>
      <c r="C2056" s="97" t="s">
        <v>1442</v>
      </c>
      <c r="D2056" s="97" t="s">
        <v>1211</v>
      </c>
      <c r="E2056" s="97">
        <v>0</v>
      </c>
      <c r="F2056" s="97"/>
      <c r="G2056" s="98"/>
    </row>
    <row r="2057" spans="1:7" s="76" customFormat="1" hidden="1" outlineLevel="1" x14ac:dyDescent="0.15">
      <c r="A2057" s="71"/>
      <c r="B2057" s="96" t="s">
        <v>222</v>
      </c>
      <c r="C2057" s="97" t="s">
        <v>1394</v>
      </c>
      <c r="D2057" s="97" t="s">
        <v>1211</v>
      </c>
      <c r="E2057" s="97">
        <v>0</v>
      </c>
      <c r="F2057" s="97"/>
      <c r="G2057" s="98"/>
    </row>
    <row r="2058" spans="1:7" s="76" customFormat="1" hidden="1" outlineLevel="1" x14ac:dyDescent="0.15">
      <c r="A2058" s="71"/>
      <c r="B2058" s="96" t="s">
        <v>223</v>
      </c>
      <c r="C2058" s="97" t="s">
        <v>1443</v>
      </c>
      <c r="D2058" s="97" t="s">
        <v>1172</v>
      </c>
      <c r="E2058" s="97">
        <v>0</v>
      </c>
      <c r="F2058" s="97"/>
      <c r="G2058" s="98"/>
    </row>
    <row r="2059" spans="1:7" s="76" customFormat="1" hidden="1" outlineLevel="1" x14ac:dyDescent="0.15">
      <c r="A2059" s="71"/>
      <c r="B2059" s="96" t="s">
        <v>224</v>
      </c>
      <c r="C2059" s="97" t="s">
        <v>1393</v>
      </c>
      <c r="D2059" s="97" t="s">
        <v>211</v>
      </c>
      <c r="E2059" s="97">
        <v>0</v>
      </c>
      <c r="F2059" s="97"/>
      <c r="G2059" s="98"/>
    </row>
    <row r="2060" spans="1:7" s="76" customFormat="1" hidden="1" outlineLevel="1" x14ac:dyDescent="0.15">
      <c r="A2060" s="71"/>
      <c r="B2060" s="96" t="s">
        <v>225</v>
      </c>
      <c r="C2060" s="97" t="s">
        <v>1444</v>
      </c>
      <c r="D2060" s="97" t="s">
        <v>211</v>
      </c>
      <c r="E2060" s="97">
        <v>0</v>
      </c>
      <c r="F2060" s="97"/>
      <c r="G2060" s="98"/>
    </row>
    <row r="2061" spans="1:7" s="76" customFormat="1" hidden="1" outlineLevel="1" x14ac:dyDescent="0.15">
      <c r="A2061" s="71"/>
      <c r="B2061" s="96" t="s">
        <v>226</v>
      </c>
      <c r="C2061" s="97" t="s">
        <v>1395</v>
      </c>
      <c r="D2061" s="97" t="s">
        <v>1172</v>
      </c>
      <c r="E2061" s="97">
        <v>0</v>
      </c>
      <c r="F2061" s="97"/>
      <c r="G2061" s="98"/>
    </row>
    <row r="2062" spans="1:7" s="76" customFormat="1" hidden="1" outlineLevel="1" x14ac:dyDescent="0.15">
      <c r="A2062" s="71"/>
      <c r="B2062" s="96" t="s">
        <v>227</v>
      </c>
      <c r="C2062" s="97" t="s">
        <v>1396</v>
      </c>
      <c r="D2062" s="97" t="s">
        <v>211</v>
      </c>
      <c r="E2062" s="97">
        <v>0</v>
      </c>
      <c r="F2062" s="97"/>
      <c r="G2062" s="98"/>
    </row>
    <row r="2063" spans="1:7" s="76" customFormat="1" hidden="1" outlineLevel="1" x14ac:dyDescent="0.15">
      <c r="A2063" s="71"/>
      <c r="B2063" s="96" t="s">
        <v>228</v>
      </c>
      <c r="C2063" s="97" t="s">
        <v>1445</v>
      </c>
      <c r="D2063" s="97" t="s">
        <v>211</v>
      </c>
      <c r="E2063" s="97">
        <v>0</v>
      </c>
      <c r="F2063" s="97"/>
      <c r="G2063" s="98" t="s">
        <v>1446</v>
      </c>
    </row>
    <row r="2064" spans="1:7" s="76" customFormat="1" hidden="1" outlineLevel="1" x14ac:dyDescent="0.15">
      <c r="A2064" s="71"/>
      <c r="B2064" s="96" t="s">
        <v>229</v>
      </c>
      <c r="C2064" s="97" t="s">
        <v>1392</v>
      </c>
      <c r="D2064" s="97" t="s">
        <v>211</v>
      </c>
      <c r="E2064" s="97">
        <v>0</v>
      </c>
      <c r="F2064" s="97"/>
      <c r="G2064" s="98"/>
    </row>
    <row r="2065" spans="1:11" s="76" customFormat="1" hidden="1" outlineLevel="1" x14ac:dyDescent="0.15">
      <c r="A2065" s="71"/>
      <c r="B2065" s="84" t="s">
        <v>230</v>
      </c>
      <c r="C2065" s="86" t="s">
        <v>1076</v>
      </c>
      <c r="D2065" s="86" t="s">
        <v>211</v>
      </c>
      <c r="E2065" s="86" t="s">
        <v>1141</v>
      </c>
      <c r="F2065" s="86"/>
      <c r="G2065" s="95"/>
    </row>
    <row r="2066" spans="1:11" s="76" customFormat="1" hidden="1" outlineLevel="1" x14ac:dyDescent="0.15">
      <c r="A2066" s="71"/>
      <c r="B2066" s="88" t="s">
        <v>231</v>
      </c>
      <c r="C2066" s="86" t="s">
        <v>1584</v>
      </c>
      <c r="D2066" s="86" t="s">
        <v>211</v>
      </c>
      <c r="E2066" s="86">
        <v>0</v>
      </c>
      <c r="F2066" s="86"/>
      <c r="G2066" s="87"/>
    </row>
    <row r="2067" spans="1:11" s="76" customFormat="1" hidden="1" outlineLevel="1" x14ac:dyDescent="0.15">
      <c r="A2067" s="71"/>
      <c r="B2067" s="88" t="s">
        <v>232</v>
      </c>
      <c r="C2067" s="86" t="s">
        <v>1585</v>
      </c>
      <c r="D2067" s="86" t="s">
        <v>211</v>
      </c>
      <c r="E2067" s="86" t="s">
        <v>1141</v>
      </c>
      <c r="F2067" s="86"/>
      <c r="G2067" s="87"/>
    </row>
    <row r="2068" spans="1:11" s="76" customFormat="1" hidden="1" outlineLevel="1" x14ac:dyDescent="0.15">
      <c r="A2068" s="71"/>
      <c r="B2068" s="88" t="s">
        <v>233</v>
      </c>
      <c r="C2068" s="86" t="s">
        <v>1447</v>
      </c>
      <c r="D2068" s="86" t="s">
        <v>211</v>
      </c>
      <c r="E2068" s="86" t="s">
        <v>1141</v>
      </c>
      <c r="F2068" s="86"/>
      <c r="G2068" s="87"/>
    </row>
    <row r="2069" spans="1:11" s="76" customFormat="1" hidden="1" outlineLevel="1" x14ac:dyDescent="0.15">
      <c r="A2069" s="71"/>
      <c r="B2069" s="88" t="s">
        <v>234</v>
      </c>
      <c r="C2069" s="86" t="s">
        <v>1448</v>
      </c>
      <c r="D2069" s="86" t="s">
        <v>211</v>
      </c>
      <c r="E2069" s="86" t="s">
        <v>1141</v>
      </c>
      <c r="F2069" s="86"/>
      <c r="G2069" s="87"/>
    </row>
    <row r="2070" spans="1:11" s="76" customFormat="1" hidden="1" outlineLevel="1" x14ac:dyDescent="0.15">
      <c r="A2070" s="71"/>
      <c r="B2070" s="88" t="s">
        <v>235</v>
      </c>
      <c r="C2070" s="86" t="s">
        <v>1586</v>
      </c>
      <c r="D2070" s="86" t="s">
        <v>211</v>
      </c>
      <c r="E2070" s="86" t="s">
        <v>1141</v>
      </c>
      <c r="F2070" s="86"/>
      <c r="G2070" s="87"/>
    </row>
    <row r="2071" spans="1:11" s="7" customFormat="1" hidden="1" outlineLevel="1" x14ac:dyDescent="0.15">
      <c r="A2071" s="71"/>
      <c r="B2071" s="88" t="s">
        <v>236</v>
      </c>
      <c r="C2071" s="86" t="s">
        <v>1565</v>
      </c>
      <c r="D2071" s="86" t="s">
        <v>1172</v>
      </c>
      <c r="E2071" s="86">
        <v>0</v>
      </c>
      <c r="F2071" s="86"/>
      <c r="G2071" s="87"/>
      <c r="H2071" s="7" t="s">
        <v>237</v>
      </c>
      <c r="I2071" s="7" t="s">
        <v>238</v>
      </c>
      <c r="J2071" s="7" t="s">
        <v>211</v>
      </c>
      <c r="K2071" s="7" t="s">
        <v>211</v>
      </c>
    </row>
    <row r="2072" spans="1:11" s="76" customFormat="1" hidden="1" outlineLevel="1" x14ac:dyDescent="0.15">
      <c r="A2072" s="71"/>
      <c r="B2072" s="30" t="s">
        <v>184</v>
      </c>
      <c r="C2072" s="21" t="s">
        <v>1260</v>
      </c>
      <c r="D2072" s="21" t="s">
        <v>211</v>
      </c>
      <c r="E2072" s="21" t="s">
        <v>1261</v>
      </c>
      <c r="F2072" s="21"/>
      <c r="G2072" s="22"/>
    </row>
    <row r="2073" spans="1:11" s="76" customFormat="1" ht="18" hidden="1" outlineLevel="1" thickBot="1" x14ac:dyDescent="0.2">
      <c r="A2073" s="71"/>
      <c r="B2073" s="92"/>
      <c r="C2073" s="93"/>
      <c r="D2073" s="93"/>
      <c r="E2073" s="93"/>
      <c r="F2073" s="93"/>
      <c r="G2073" s="94"/>
    </row>
    <row r="2074" spans="1:11" s="76" customFormat="1" hidden="1" outlineLevel="1" x14ac:dyDescent="0.15">
      <c r="A2074" s="71"/>
      <c r="B2074" s="324" t="s">
        <v>15</v>
      </c>
      <c r="C2074" s="325"/>
      <c r="D2074" s="325"/>
      <c r="E2074" s="325"/>
      <c r="F2074" s="325"/>
      <c r="G2074" s="326"/>
    </row>
    <row r="2075" spans="1:11" s="76" customFormat="1" hidden="1" outlineLevel="1" x14ac:dyDescent="0.15">
      <c r="A2075" s="71" t="s">
        <v>62</v>
      </c>
      <c r="B2075" s="88">
        <v>1</v>
      </c>
      <c r="C2075" s="86" t="s">
        <v>18</v>
      </c>
      <c r="D2075" s="86" t="s">
        <v>19</v>
      </c>
      <c r="E2075" s="86"/>
      <c r="F2075" s="86"/>
      <c r="G2075" s="87"/>
    </row>
    <row r="2076" spans="1:11" s="76" customFormat="1" hidden="1" outlineLevel="1" x14ac:dyDescent="0.15">
      <c r="A2076" s="71"/>
      <c r="B2076" s="88">
        <v>2</v>
      </c>
      <c r="C2076" s="86" t="s">
        <v>118</v>
      </c>
      <c r="D2076" s="86"/>
      <c r="E2076" s="86"/>
      <c r="F2076" s="86"/>
      <c r="G2076" s="87"/>
    </row>
    <row r="2077" spans="1:11" s="76" customFormat="1" hidden="1" outlineLevel="1" x14ac:dyDescent="0.15">
      <c r="A2077" s="71"/>
      <c r="B2077" s="88">
        <v>3</v>
      </c>
      <c r="C2077" s="86" t="s">
        <v>174</v>
      </c>
      <c r="D2077" s="86"/>
      <c r="E2077" s="86"/>
      <c r="F2077" s="86"/>
      <c r="G2077" s="87"/>
    </row>
    <row r="2078" spans="1:11" s="76" customFormat="1" hidden="1" outlineLevel="1" x14ac:dyDescent="0.15">
      <c r="A2078" s="71"/>
      <c r="B2078" s="88">
        <v>4</v>
      </c>
      <c r="C2078" s="86" t="s">
        <v>184</v>
      </c>
      <c r="D2078" s="86"/>
      <c r="E2078" s="86"/>
      <c r="F2078" s="86"/>
      <c r="G2078" s="87"/>
    </row>
    <row r="2079" spans="1:11" ht="18" hidden="1" outlineLevel="1" thickBot="1" x14ac:dyDescent="0.2">
      <c r="A2079" s="71"/>
      <c r="B2079" s="89"/>
      <c r="C2079" s="90"/>
      <c r="D2079" s="90"/>
      <c r="E2079" s="90"/>
      <c r="F2079" s="90"/>
      <c r="G2079" s="91"/>
    </row>
    <row r="2080" spans="1:11" ht="18" hidden="1" outlineLevel="1" thickBot="1" x14ac:dyDescent="0.2"/>
    <row r="2081" spans="2:7" collapsed="1" x14ac:dyDescent="0.15">
      <c r="B2081" s="72" t="s">
        <v>563</v>
      </c>
      <c r="C2081" s="149" t="s">
        <v>625</v>
      </c>
      <c r="D2081" s="150" t="s">
        <v>515</v>
      </c>
      <c r="E2081" s="21" t="s">
        <v>1024</v>
      </c>
      <c r="F2081" s="74" t="s">
        <v>567</v>
      </c>
      <c r="G2081" s="75" t="s">
        <v>1618</v>
      </c>
    </row>
    <row r="2082" spans="2:7" ht="18" hidden="1" outlineLevel="1" thickBot="1" x14ac:dyDescent="0.2">
      <c r="B2082" s="78" t="s">
        <v>570</v>
      </c>
      <c r="C2082" s="79"/>
      <c r="D2082" s="80" t="s">
        <v>568</v>
      </c>
      <c r="E2082" s="79" t="s">
        <v>615</v>
      </c>
      <c r="F2082" s="80"/>
      <c r="G2082" s="81"/>
    </row>
    <row r="2083" spans="2:7" hidden="1" outlineLevel="1" x14ac:dyDescent="0.15">
      <c r="B2083" s="72" t="s">
        <v>0</v>
      </c>
      <c r="C2083" s="82" t="s">
        <v>1</v>
      </c>
      <c r="D2083" s="82" t="s">
        <v>2</v>
      </c>
      <c r="E2083" s="82"/>
      <c r="F2083" s="82" t="s">
        <v>3</v>
      </c>
      <c r="G2083" s="83" t="s">
        <v>4</v>
      </c>
    </row>
    <row r="2084" spans="2:7" hidden="1" outlineLevel="1" x14ac:dyDescent="0.15">
      <c r="B2084" s="84" t="s">
        <v>118</v>
      </c>
      <c r="C2084" s="85" t="s">
        <v>1188</v>
      </c>
      <c r="D2084" s="86" t="s">
        <v>211</v>
      </c>
      <c r="E2084" s="86">
        <v>0</v>
      </c>
      <c r="F2084" s="86"/>
      <c r="G2084" s="87"/>
    </row>
    <row r="2085" spans="2:7" hidden="1" outlineLevel="1" x14ac:dyDescent="0.15">
      <c r="B2085" s="84" t="s">
        <v>7</v>
      </c>
      <c r="C2085" s="85" t="s">
        <v>1190</v>
      </c>
      <c r="D2085" s="85" t="s">
        <v>211</v>
      </c>
      <c r="E2085" s="86">
        <v>0</v>
      </c>
      <c r="F2085" s="86"/>
      <c r="G2085" s="87" t="s">
        <v>1081</v>
      </c>
    </row>
    <row r="2086" spans="2:7" hidden="1" outlineLevel="1" x14ac:dyDescent="0.15">
      <c r="B2086" s="84" t="s">
        <v>239</v>
      </c>
      <c r="C2086" s="85" t="s">
        <v>1337</v>
      </c>
      <c r="D2086" s="86" t="s">
        <v>1219</v>
      </c>
      <c r="E2086" s="86" t="s">
        <v>1072</v>
      </c>
      <c r="F2086" s="86"/>
      <c r="G2086" s="87" t="s">
        <v>1338</v>
      </c>
    </row>
    <row r="2087" spans="2:7" hidden="1" outlineLevel="1" x14ac:dyDescent="0.15">
      <c r="B2087" s="84" t="s">
        <v>240</v>
      </c>
      <c r="C2087" s="86" t="s">
        <v>1122</v>
      </c>
      <c r="D2087" s="86" t="s">
        <v>1073</v>
      </c>
      <c r="E2087" s="86" t="s">
        <v>1072</v>
      </c>
      <c r="F2087" s="86"/>
      <c r="G2087" s="87"/>
    </row>
    <row r="2088" spans="2:7" hidden="1" outlineLevel="1" x14ac:dyDescent="0.15">
      <c r="B2088" s="84" t="s">
        <v>241</v>
      </c>
      <c r="C2088" s="85" t="s">
        <v>1449</v>
      </c>
      <c r="D2088" s="85" t="s">
        <v>1301</v>
      </c>
      <c r="E2088" s="86" t="s">
        <v>1072</v>
      </c>
      <c r="F2088" s="86"/>
      <c r="G2088" s="87"/>
    </row>
    <row r="2089" spans="2:7" hidden="1" outlineLevel="1" x14ac:dyDescent="0.15">
      <c r="B2089" s="84" t="s">
        <v>78</v>
      </c>
      <c r="C2089" s="85" t="s">
        <v>1189</v>
      </c>
      <c r="D2089" s="86" t="s">
        <v>211</v>
      </c>
      <c r="E2089" s="86">
        <v>0</v>
      </c>
      <c r="F2089" s="86"/>
      <c r="G2089" s="87"/>
    </row>
    <row r="2090" spans="2:7" hidden="1" outlineLevel="1" x14ac:dyDescent="0.15">
      <c r="B2090" s="84" t="s">
        <v>242</v>
      </c>
      <c r="C2090" s="85" t="s">
        <v>1258</v>
      </c>
      <c r="D2090" s="86" t="s">
        <v>211</v>
      </c>
      <c r="E2090" s="86">
        <v>0</v>
      </c>
      <c r="F2090" s="86"/>
      <c r="G2090" s="87" t="s">
        <v>1259</v>
      </c>
    </row>
    <row r="2091" spans="2:7" hidden="1" outlineLevel="1" x14ac:dyDescent="0.15">
      <c r="B2091" s="84" t="s">
        <v>222</v>
      </c>
      <c r="C2091" s="86" t="s">
        <v>1394</v>
      </c>
      <c r="D2091" s="86" t="s">
        <v>1211</v>
      </c>
      <c r="E2091" s="86">
        <v>0</v>
      </c>
      <c r="F2091" s="86"/>
      <c r="G2091" s="87"/>
    </row>
    <row r="2092" spans="2:7" hidden="1" outlineLevel="1" x14ac:dyDescent="0.15">
      <c r="B2092" s="88" t="s">
        <v>23</v>
      </c>
      <c r="C2092" s="86" t="s">
        <v>1091</v>
      </c>
      <c r="D2092" s="86" t="s">
        <v>1131</v>
      </c>
      <c r="E2092" s="86" t="s">
        <v>1074</v>
      </c>
      <c r="F2092" s="86"/>
      <c r="G2092" s="87"/>
    </row>
    <row r="2093" spans="2:7" hidden="1" outlineLevel="1" x14ac:dyDescent="0.15">
      <c r="B2093" s="99" t="s">
        <v>243</v>
      </c>
      <c r="C2093" s="100" t="s">
        <v>1450</v>
      </c>
      <c r="D2093" s="100" t="s">
        <v>1131</v>
      </c>
      <c r="E2093" s="100" t="s">
        <v>1074</v>
      </c>
      <c r="F2093" s="100"/>
      <c r="G2093" s="101"/>
    </row>
    <row r="2094" spans="2:7" hidden="1" outlineLevel="1" x14ac:dyDescent="0.15">
      <c r="B2094" s="99" t="s">
        <v>252</v>
      </c>
      <c r="C2094" s="100" t="s">
        <v>1451</v>
      </c>
      <c r="D2094" s="100" t="s">
        <v>1087</v>
      </c>
      <c r="E2094" s="100">
        <v>0</v>
      </c>
      <c r="F2094" s="100"/>
      <c r="G2094" s="101"/>
    </row>
    <row r="2095" spans="2:7" hidden="1" outlineLevel="1" x14ac:dyDescent="0.15">
      <c r="B2095" s="99" t="s">
        <v>253</v>
      </c>
      <c r="C2095" s="100" t="s">
        <v>1587</v>
      </c>
      <c r="D2095" s="100" t="s">
        <v>1087</v>
      </c>
      <c r="E2095" s="100">
        <v>0</v>
      </c>
      <c r="F2095" s="100"/>
      <c r="G2095" s="101"/>
    </row>
    <row r="2096" spans="2:7" hidden="1" outlineLevel="1" x14ac:dyDescent="0.15">
      <c r="B2096" s="170" t="s">
        <v>254</v>
      </c>
      <c r="C2096" s="239" t="s">
        <v>1588</v>
      </c>
      <c r="D2096" s="239" t="s">
        <v>211</v>
      </c>
      <c r="E2096" s="239">
        <v>0</v>
      </c>
      <c r="F2096" s="239"/>
      <c r="G2096" s="240"/>
    </row>
    <row r="2097" spans="2:7" hidden="1" outlineLevel="1" x14ac:dyDescent="0.15">
      <c r="B2097" s="170" t="s">
        <v>255</v>
      </c>
      <c r="C2097" s="239" t="s">
        <v>1452</v>
      </c>
      <c r="D2097" s="239" t="s">
        <v>211</v>
      </c>
      <c r="E2097" s="239">
        <v>0</v>
      </c>
      <c r="F2097" s="239"/>
      <c r="G2097" s="240"/>
    </row>
    <row r="2098" spans="2:7" hidden="1" outlineLevel="1" x14ac:dyDescent="0.15">
      <c r="B2098" s="84" t="s">
        <v>244</v>
      </c>
      <c r="C2098" s="86" t="s">
        <v>1589</v>
      </c>
      <c r="D2098" s="86" t="s">
        <v>211</v>
      </c>
      <c r="E2098" s="86">
        <v>0</v>
      </c>
      <c r="F2098" s="86"/>
      <c r="G2098" s="95" t="s">
        <v>1461</v>
      </c>
    </row>
    <row r="2099" spans="2:7" hidden="1" outlineLevel="1" x14ac:dyDescent="0.15">
      <c r="B2099" s="84" t="s">
        <v>245</v>
      </c>
      <c r="C2099" s="86" t="s">
        <v>1453</v>
      </c>
      <c r="D2099" s="86" t="s">
        <v>211</v>
      </c>
      <c r="E2099" s="86">
        <v>0</v>
      </c>
      <c r="F2099" s="86"/>
      <c r="G2099" s="95" t="s">
        <v>1590</v>
      </c>
    </row>
    <row r="2100" spans="2:7" hidden="1" outlineLevel="1" x14ac:dyDescent="0.15">
      <c r="B2100" s="20" t="s">
        <v>246</v>
      </c>
      <c r="C2100" s="102" t="s">
        <v>1454</v>
      </c>
      <c r="D2100" s="102" t="s">
        <v>211</v>
      </c>
      <c r="E2100" s="102">
        <v>0</v>
      </c>
      <c r="F2100" s="102"/>
      <c r="G2100" s="22"/>
    </row>
    <row r="2101" spans="2:7" hidden="1" outlineLevel="1" x14ac:dyDescent="0.15">
      <c r="B2101" s="20" t="s">
        <v>247</v>
      </c>
      <c r="C2101" s="102" t="s">
        <v>1462</v>
      </c>
      <c r="D2101" s="102" t="s">
        <v>1087</v>
      </c>
      <c r="E2101" s="102">
        <v>0</v>
      </c>
      <c r="F2101" s="102"/>
      <c r="G2101" s="22"/>
    </row>
    <row r="2102" spans="2:7" hidden="1" outlineLevel="1" x14ac:dyDescent="0.15">
      <c r="B2102" s="20" t="s">
        <v>256</v>
      </c>
      <c r="C2102" s="102" t="s">
        <v>1099</v>
      </c>
      <c r="D2102" s="102" t="s">
        <v>1087</v>
      </c>
      <c r="E2102" s="102">
        <v>0</v>
      </c>
      <c r="F2102" s="102"/>
      <c r="G2102" s="22"/>
    </row>
    <row r="2103" spans="2:7" hidden="1" outlineLevel="1" x14ac:dyDescent="0.15">
      <c r="B2103" s="99" t="s">
        <v>257</v>
      </c>
      <c r="C2103" s="100" t="s">
        <v>1455</v>
      </c>
      <c r="D2103" s="100" t="s">
        <v>211</v>
      </c>
      <c r="E2103" s="100">
        <v>0</v>
      </c>
      <c r="F2103" s="100"/>
      <c r="G2103" s="101" t="s">
        <v>1591</v>
      </c>
    </row>
    <row r="2104" spans="2:7" hidden="1" outlineLevel="1" x14ac:dyDescent="0.15">
      <c r="B2104" s="14" t="s">
        <v>248</v>
      </c>
      <c r="C2104" s="103" t="s">
        <v>1456</v>
      </c>
      <c r="D2104" s="15" t="s">
        <v>1211</v>
      </c>
      <c r="E2104" s="15">
        <v>0</v>
      </c>
      <c r="F2104" s="15" t="s">
        <v>28</v>
      </c>
      <c r="G2104" s="16" t="s">
        <v>1457</v>
      </c>
    </row>
    <row r="2105" spans="2:7" hidden="1" outlineLevel="1" x14ac:dyDescent="0.15">
      <c r="B2105" s="14" t="s">
        <v>249</v>
      </c>
      <c r="C2105" s="103" t="s">
        <v>1458</v>
      </c>
      <c r="D2105" s="15" t="s">
        <v>1211</v>
      </c>
      <c r="E2105" s="15">
        <v>0</v>
      </c>
      <c r="F2105" s="15" t="s">
        <v>28</v>
      </c>
      <c r="G2105" s="16" t="s">
        <v>1592</v>
      </c>
    </row>
    <row r="2106" spans="2:7" hidden="1" outlineLevel="1" x14ac:dyDescent="0.15">
      <c r="B2106" s="14" t="s">
        <v>250</v>
      </c>
      <c r="C2106" s="103" t="s">
        <v>1593</v>
      </c>
      <c r="D2106" s="15" t="s">
        <v>1211</v>
      </c>
      <c r="E2106" s="15">
        <v>0</v>
      </c>
      <c r="F2106" s="15"/>
      <c r="G2106" s="16"/>
    </row>
    <row r="2107" spans="2:7" hidden="1" outlineLevel="1" x14ac:dyDescent="0.15">
      <c r="B2107" s="84" t="s">
        <v>29</v>
      </c>
      <c r="C2107" s="86" t="s">
        <v>1075</v>
      </c>
      <c r="D2107" s="86" t="s">
        <v>1211</v>
      </c>
      <c r="E2107" s="86">
        <v>0</v>
      </c>
      <c r="F2107" s="86"/>
      <c r="G2107" s="87"/>
    </row>
    <row r="2108" spans="2:7" hidden="1" outlineLevel="1" x14ac:dyDescent="0.15">
      <c r="B2108" s="84" t="s">
        <v>30</v>
      </c>
      <c r="C2108" s="86" t="s">
        <v>1240</v>
      </c>
      <c r="D2108" s="86" t="s">
        <v>1211</v>
      </c>
      <c r="E2108" s="86">
        <v>0</v>
      </c>
      <c r="F2108" s="86"/>
      <c r="G2108" s="87"/>
    </row>
    <row r="2109" spans="2:7" hidden="1" outlineLevel="1" x14ac:dyDescent="0.15">
      <c r="B2109" s="84" t="s">
        <v>32</v>
      </c>
      <c r="C2109" s="86" t="s">
        <v>1112</v>
      </c>
      <c r="D2109" s="86" t="s">
        <v>1211</v>
      </c>
      <c r="E2109" s="86">
        <v>0</v>
      </c>
      <c r="F2109" s="86"/>
      <c r="G2109" s="87"/>
    </row>
    <row r="2110" spans="2:7" hidden="1" outlineLevel="1" x14ac:dyDescent="0.15">
      <c r="B2110" s="84" t="s">
        <v>40</v>
      </c>
      <c r="C2110" s="86" t="s">
        <v>1459</v>
      </c>
      <c r="D2110" s="86" t="s">
        <v>1211</v>
      </c>
      <c r="E2110" s="86">
        <v>0</v>
      </c>
      <c r="F2110" s="86"/>
      <c r="G2110" s="87"/>
    </row>
    <row r="2111" spans="2:7" hidden="1" outlineLevel="1" x14ac:dyDescent="0.15">
      <c r="B2111" s="84" t="s">
        <v>251</v>
      </c>
      <c r="C2111" s="86" t="s">
        <v>1460</v>
      </c>
      <c r="D2111" s="86" t="s">
        <v>1403</v>
      </c>
      <c r="E2111" s="86" t="s">
        <v>1303</v>
      </c>
      <c r="F2111" s="86"/>
      <c r="G2111" s="87"/>
    </row>
    <row r="2112" spans="2:7" hidden="1" outlineLevel="1" x14ac:dyDescent="0.15">
      <c r="B2112" s="84" t="s">
        <v>184</v>
      </c>
      <c r="C2112" s="86" t="s">
        <v>1260</v>
      </c>
      <c r="D2112" s="86" t="s">
        <v>211</v>
      </c>
      <c r="E2112" s="86" t="s">
        <v>1261</v>
      </c>
      <c r="F2112" s="86"/>
      <c r="G2112" s="87"/>
    </row>
    <row r="2113" spans="1:8" ht="18" hidden="1" outlineLevel="1" thickBot="1" x14ac:dyDescent="0.2">
      <c r="B2113" s="92"/>
      <c r="C2113" s="93"/>
      <c r="D2113" s="93"/>
      <c r="E2113" s="93"/>
      <c r="F2113" s="93"/>
      <c r="G2113" s="94"/>
    </row>
    <row r="2114" spans="1:8" hidden="1" outlineLevel="1" x14ac:dyDescent="0.15">
      <c r="B2114" s="324" t="s">
        <v>15</v>
      </c>
      <c r="C2114" s="325"/>
      <c r="D2114" s="325"/>
      <c r="E2114" s="325"/>
      <c r="F2114" s="325"/>
      <c r="G2114" s="326"/>
    </row>
    <row r="2115" spans="1:8" hidden="1" outlineLevel="1" x14ac:dyDescent="0.15">
      <c r="B2115" s="88">
        <v>1</v>
      </c>
      <c r="C2115" s="86" t="s">
        <v>7</v>
      </c>
      <c r="D2115" s="86" t="s">
        <v>239</v>
      </c>
      <c r="E2115" s="86"/>
      <c r="F2115" s="86"/>
      <c r="G2115" s="87"/>
    </row>
    <row r="2116" spans="1:8" hidden="1" outlineLevel="1" x14ac:dyDescent="0.15">
      <c r="B2116" s="88">
        <v>2</v>
      </c>
      <c r="C2116" s="86" t="s">
        <v>118</v>
      </c>
      <c r="D2116" s="86"/>
      <c r="E2116" s="86"/>
      <c r="F2116" s="86"/>
      <c r="G2116" s="87"/>
    </row>
    <row r="2117" spans="1:8" hidden="1" outlineLevel="1" x14ac:dyDescent="0.15">
      <c r="B2117" s="88">
        <v>3</v>
      </c>
      <c r="C2117" s="86" t="s">
        <v>184</v>
      </c>
      <c r="D2117" s="86"/>
      <c r="E2117" s="86"/>
      <c r="F2117" s="86"/>
      <c r="G2117" s="87"/>
    </row>
    <row r="2118" spans="1:8" ht="18" hidden="1" outlineLevel="1" thickBot="1" x14ac:dyDescent="0.2">
      <c r="B2118" s="89"/>
      <c r="C2118" s="90"/>
      <c r="D2118" s="90"/>
      <c r="E2118" s="90"/>
      <c r="F2118" s="90"/>
      <c r="G2118" s="91"/>
    </row>
    <row r="2119" spans="1:8" hidden="1" outlineLevel="1" x14ac:dyDescent="0.15">
      <c r="H2119" s="6" t="str">
        <f>"create or replace view "&amp;C2120</f>
        <v>create or replace view vi_basesedt_stock_quot</v>
      </c>
    </row>
    <row r="2120" spans="1:8" ht="18" collapsed="1" thickBot="1" x14ac:dyDescent="0.2">
      <c r="B2120" s="147" t="s">
        <v>563</v>
      </c>
      <c r="C2120" s="147" t="s">
        <v>670</v>
      </c>
      <c r="D2120" s="147" t="s">
        <v>515</v>
      </c>
      <c r="E2120" s="21" t="s">
        <v>723</v>
      </c>
      <c r="F2120" s="147" t="s">
        <v>567</v>
      </c>
      <c r="G2120" s="147" t="s">
        <v>1622</v>
      </c>
      <c r="H2120" s="11" t="str">
        <f>"/* "&amp;E2120&amp;"*/  as "</f>
        <v xml:space="preserve">/* 报表_资管报表_视图-证券基础数据-证券行情表*/  as </v>
      </c>
    </row>
    <row r="2121" spans="1:8" ht="18" hidden="1" outlineLevel="1" thickBot="1" x14ac:dyDescent="0.2">
      <c r="B2121" s="78" t="s">
        <v>570</v>
      </c>
      <c r="C2121" s="79"/>
      <c r="D2121" s="80" t="s">
        <v>568</v>
      </c>
      <c r="E2121" s="79" t="s">
        <v>615</v>
      </c>
      <c r="F2121" s="80"/>
      <c r="G2121" s="81"/>
      <c r="H2121" s="13" t="s">
        <v>474</v>
      </c>
    </row>
    <row r="2122" spans="1:8" s="76" customFormat="1" hidden="1" outlineLevel="1" x14ac:dyDescent="0.15">
      <c r="A2122" s="1"/>
      <c r="B2122" s="72" t="s">
        <v>0</v>
      </c>
      <c r="C2122" s="82" t="s">
        <v>1</v>
      </c>
      <c r="D2122" s="82" t="s">
        <v>2</v>
      </c>
      <c r="E2122" s="82"/>
      <c r="F2122" s="82" t="s">
        <v>3</v>
      </c>
      <c r="G2122" s="83" t="s">
        <v>4</v>
      </c>
      <c r="H2122" s="107" t="str">
        <f>"ifnull("&amp;IF(I2122&lt;&gt;"",I2122,IF(F2124&lt;&gt;"",F2124,"t")&amp;"."&amp;C2124)&amp;","&amp;E2124&amp;") as "&amp;C2124&amp;",/*"&amp;B2124&amp;"*/"</f>
        <v>ifnull(t.stock_code_no,0) as stock_code_no,/*证券代码编号*/</v>
      </c>
    </row>
    <row r="2123" spans="1:8" s="76" customFormat="1" hidden="1" outlineLevel="1" x14ac:dyDescent="0.15">
      <c r="A2123" s="1"/>
      <c r="B2123" s="182" t="s">
        <v>1974</v>
      </c>
      <c r="C2123" s="299" t="s">
        <v>1127</v>
      </c>
      <c r="D2123" s="299" t="s">
        <v>211</v>
      </c>
      <c r="E2123" s="299" t="s">
        <v>1141</v>
      </c>
      <c r="F2123" s="299"/>
      <c r="G2123" s="300" t="s">
        <v>1162</v>
      </c>
      <c r="H2123" s="107"/>
    </row>
    <row r="2124" spans="1:8" s="76" customFormat="1" hidden="1" outlineLevel="1" x14ac:dyDescent="0.15">
      <c r="A2124" s="71"/>
      <c r="B2124" s="194" t="s">
        <v>118</v>
      </c>
      <c r="C2124" s="195" t="s">
        <v>1188</v>
      </c>
      <c r="D2124" s="195" t="s">
        <v>211</v>
      </c>
      <c r="E2124" s="195">
        <v>0</v>
      </c>
      <c r="F2124" s="195" t="s">
        <v>440</v>
      </c>
      <c r="G2124" s="196"/>
      <c r="H2124" s="107" t="str">
        <f t="shared" ref="H2124:H2154" si="4">"ifnull("&amp;IF(I2124&lt;&gt;"",I2124,IF(F2125&lt;&gt;"",F2125,"t")&amp;"."&amp;C2125)&amp;","&amp;E2125&amp;") as "&amp;C2125&amp;",/*"&amp;B2125&amp;"*/"</f>
        <v>ifnull(t.exch_no,0) as exch_no,/*市场编号*/</v>
      </c>
    </row>
    <row r="2125" spans="1:8" s="76" customFormat="1" hidden="1" outlineLevel="1" x14ac:dyDescent="0.15">
      <c r="A2125" s="71"/>
      <c r="B2125" s="194" t="s">
        <v>7</v>
      </c>
      <c r="C2125" s="195" t="s">
        <v>1190</v>
      </c>
      <c r="D2125" s="195" t="s">
        <v>211</v>
      </c>
      <c r="E2125" s="195">
        <v>0</v>
      </c>
      <c r="F2125" s="195" t="s">
        <v>440</v>
      </c>
      <c r="G2125" s="196" t="s">
        <v>1081</v>
      </c>
      <c r="H2125" s="107" t="str">
        <f t="shared" si="4"/>
        <v>ifnull(t.stock_code," ") as stock_code,/*证券代码*/</v>
      </c>
    </row>
    <row r="2126" spans="1:8" s="76" customFormat="1" hidden="1" outlineLevel="1" x14ac:dyDescent="0.15">
      <c r="A2126" s="71"/>
      <c r="B2126" s="194" t="s">
        <v>239</v>
      </c>
      <c r="C2126" s="195" t="s">
        <v>1337</v>
      </c>
      <c r="D2126" s="195" t="s">
        <v>1219</v>
      </c>
      <c r="E2126" s="195" t="s">
        <v>1072</v>
      </c>
      <c r="F2126" s="195" t="s">
        <v>440</v>
      </c>
      <c r="G2126" s="196" t="s">
        <v>1338</v>
      </c>
      <c r="H2126" s="107" t="str">
        <f t="shared" si="4"/>
        <v>ifnull(t.stock_name," ") as stock_name,/*证券名称*/</v>
      </c>
    </row>
    <row r="2127" spans="1:8" s="76" customFormat="1" hidden="1" outlineLevel="1" x14ac:dyDescent="0.15">
      <c r="A2127" s="71"/>
      <c r="B2127" s="194" t="s">
        <v>240</v>
      </c>
      <c r="C2127" s="195" t="s">
        <v>1122</v>
      </c>
      <c r="D2127" s="195" t="s">
        <v>1073</v>
      </c>
      <c r="E2127" s="195" t="s">
        <v>1072</v>
      </c>
      <c r="F2127" s="195" t="s">
        <v>440</v>
      </c>
      <c r="G2127" s="196"/>
      <c r="H2127" s="107" t="str">
        <f t="shared" si="4"/>
        <v>ifnull(t.pinyin_short," ") as pinyin_short,/*拼音简称*/</v>
      </c>
    </row>
    <row r="2128" spans="1:8" s="76" customFormat="1" hidden="1" outlineLevel="1" x14ac:dyDescent="0.15">
      <c r="A2128" s="71"/>
      <c r="B2128" s="194" t="s">
        <v>241</v>
      </c>
      <c r="C2128" s="195" t="s">
        <v>1449</v>
      </c>
      <c r="D2128" s="195" t="s">
        <v>1301</v>
      </c>
      <c r="E2128" s="195" t="s">
        <v>1072</v>
      </c>
      <c r="F2128" s="195" t="s">
        <v>440</v>
      </c>
      <c r="G2128" s="196"/>
      <c r="H2128" s="107" t="str">
        <f t="shared" si="4"/>
        <v>ifnull(t.stock_type,0) as stock_type,/*证券类型*/</v>
      </c>
    </row>
    <row r="2129" spans="1:17" s="76" customFormat="1" hidden="1" outlineLevel="1" x14ac:dyDescent="0.15">
      <c r="A2129" s="71"/>
      <c r="B2129" s="194" t="s">
        <v>78</v>
      </c>
      <c r="C2129" s="195" t="s">
        <v>1189</v>
      </c>
      <c r="D2129" s="195" t="s">
        <v>211</v>
      </c>
      <c r="E2129" s="195">
        <v>0</v>
      </c>
      <c r="F2129" s="195" t="s">
        <v>440</v>
      </c>
      <c r="G2129" s="196"/>
      <c r="H2129" s="107" t="str">
        <f t="shared" si="4"/>
        <v>ifnull(t.asset_type,0) as asset_type,/*资产类型*/</v>
      </c>
    </row>
    <row r="2130" spans="1:17" s="76" customFormat="1" hidden="1" outlineLevel="1" x14ac:dyDescent="0.15">
      <c r="A2130" s="71"/>
      <c r="B2130" s="194" t="s">
        <v>242</v>
      </c>
      <c r="C2130" s="195" t="s">
        <v>1258</v>
      </c>
      <c r="D2130" s="195" t="s">
        <v>211</v>
      </c>
      <c r="E2130" s="195">
        <v>0</v>
      </c>
      <c r="F2130" s="195" t="s">
        <v>440</v>
      </c>
      <c r="G2130" s="196" t="s">
        <v>1259</v>
      </c>
      <c r="H2130" s="107" t="str">
        <f t="shared" si="4"/>
        <v>ifnull(t.par_value,0) as par_value,/*票面面值*/</v>
      </c>
    </row>
    <row r="2131" spans="1:17" s="76" customFormat="1" hidden="1" outlineLevel="1" x14ac:dyDescent="0.15">
      <c r="A2131" s="71"/>
      <c r="B2131" s="194" t="s">
        <v>222</v>
      </c>
      <c r="C2131" s="195" t="s">
        <v>1394</v>
      </c>
      <c r="D2131" s="195" t="s">
        <v>1211</v>
      </c>
      <c r="E2131" s="195">
        <v>0</v>
      </c>
      <c r="F2131" s="195" t="s">
        <v>440</v>
      </c>
      <c r="G2131" s="196"/>
      <c r="H2131" s="107" t="str">
        <f t="shared" si="4"/>
        <v>ifnull(t.crncy_type,"CNY") as crncy_type,/*本币币种*/</v>
      </c>
    </row>
    <row r="2132" spans="1:17" s="76" customFormat="1" hidden="1" outlineLevel="1" x14ac:dyDescent="0.15">
      <c r="A2132" s="71"/>
      <c r="B2132" s="194" t="s">
        <v>23</v>
      </c>
      <c r="C2132" s="195" t="s">
        <v>1091</v>
      </c>
      <c r="D2132" s="195" t="s">
        <v>1131</v>
      </c>
      <c r="E2132" s="195" t="s">
        <v>1074</v>
      </c>
      <c r="F2132" s="195" t="s">
        <v>440</v>
      </c>
      <c r="G2132" s="196"/>
      <c r="H2132" s="107" t="str">
        <f t="shared" si="4"/>
        <v>ifnull(t.exch_crncy_type,"CNY") as exch_crncy_type,/*交易币种*/</v>
      </c>
    </row>
    <row r="2133" spans="1:17" s="76" customFormat="1" hidden="1" outlineLevel="1" x14ac:dyDescent="0.15">
      <c r="A2133" s="71"/>
      <c r="B2133" s="167" t="s">
        <v>243</v>
      </c>
      <c r="C2133" s="242" t="s">
        <v>1450</v>
      </c>
      <c r="D2133" s="242" t="s">
        <v>1131</v>
      </c>
      <c r="E2133" s="242" t="s">
        <v>1074</v>
      </c>
      <c r="F2133" s="195" t="s">
        <v>440</v>
      </c>
      <c r="G2133" s="243"/>
      <c r="H2133" s="107" t="str">
        <f t="shared" si="4"/>
        <v>ifnull(t.total_stock_issue,0) as total_stock_issue,/*总股本*/</v>
      </c>
    </row>
    <row r="2134" spans="1:17" s="76" customFormat="1" hidden="1" outlineLevel="1" x14ac:dyDescent="0.15">
      <c r="A2134" s="71"/>
      <c r="B2134" s="167" t="s">
        <v>252</v>
      </c>
      <c r="C2134" s="242" t="s">
        <v>1451</v>
      </c>
      <c r="D2134" s="242" t="s">
        <v>1087</v>
      </c>
      <c r="E2134" s="242">
        <v>0</v>
      </c>
      <c r="F2134" s="195" t="s">
        <v>440</v>
      </c>
      <c r="G2134" s="243"/>
      <c r="H2134" s="107" t="str">
        <f t="shared" si="4"/>
        <v>ifnull(t.circl_stock_capit,0) as circl_stock_capit,/*流通股本*/</v>
      </c>
    </row>
    <row r="2135" spans="1:17" s="76" customFormat="1" hidden="1" outlineLevel="1" x14ac:dyDescent="0.15">
      <c r="A2135" s="71"/>
      <c r="B2135" s="167" t="s">
        <v>253</v>
      </c>
      <c r="C2135" s="242" t="s">
        <v>1587</v>
      </c>
      <c r="D2135" s="242" t="s">
        <v>1087</v>
      </c>
      <c r="E2135" s="242">
        <v>0</v>
      </c>
      <c r="F2135" s="195" t="s">
        <v>440</v>
      </c>
      <c r="G2135" s="243"/>
      <c r="H2135" s="107" t="str">
        <f t="shared" si="4"/>
        <v>ifnull(t.capit_reback_days,0) as capit_reback_days,/*资金回转天数*/</v>
      </c>
    </row>
    <row r="2136" spans="1:17" s="76" customFormat="1" hidden="1" outlineLevel="1" x14ac:dyDescent="0.15">
      <c r="A2136" s="71"/>
      <c r="B2136" s="226" t="s">
        <v>254</v>
      </c>
      <c r="C2136" s="106" t="s">
        <v>1588</v>
      </c>
      <c r="D2136" s="106" t="s">
        <v>211</v>
      </c>
      <c r="E2136" s="106">
        <v>0</v>
      </c>
      <c r="F2136" s="230" t="s">
        <v>440</v>
      </c>
      <c r="G2136" s="244"/>
      <c r="H2136" s="107" t="str">
        <f t="shared" si="4"/>
        <v>ifnull(t.posi_reback_days,0) as posi_reback_days,/*持仓回转天数*/</v>
      </c>
    </row>
    <row r="2137" spans="1:17" s="76" customFormat="1" hidden="1" outlineLevel="1" x14ac:dyDescent="0.15">
      <c r="A2137" s="71"/>
      <c r="B2137" s="226" t="s">
        <v>255</v>
      </c>
      <c r="C2137" s="106" t="s">
        <v>1452</v>
      </c>
      <c r="D2137" s="106" t="s">
        <v>211</v>
      </c>
      <c r="E2137" s="106">
        <v>0</v>
      </c>
      <c r="F2137" s="230" t="s">
        <v>440</v>
      </c>
      <c r="G2137" s="244"/>
      <c r="H2137" s="107" t="str">
        <f t="shared" si="4"/>
        <v>ifnull(t.type_unit,0) as type_unit,/*类型单位*/</v>
      </c>
    </row>
    <row r="2138" spans="1:17" s="76" customFormat="1" hidden="1" outlineLevel="1" x14ac:dyDescent="0.15">
      <c r="A2138" s="71"/>
      <c r="B2138" s="194" t="s">
        <v>244</v>
      </c>
      <c r="C2138" s="195" t="s">
        <v>1589</v>
      </c>
      <c r="D2138" s="195" t="s">
        <v>211</v>
      </c>
      <c r="E2138" s="195">
        <v>0</v>
      </c>
      <c r="F2138" s="195" t="s">
        <v>440</v>
      </c>
      <c r="G2138" s="196" t="s">
        <v>1461</v>
      </c>
      <c r="H2138" s="107" t="str">
        <f t="shared" si="4"/>
        <v>ifnull(t.report_unit,0) as report_unit,/*申报单位*/</v>
      </c>
    </row>
    <row r="2139" spans="1:17" s="28" customFormat="1" hidden="1" outlineLevel="1" x14ac:dyDescent="0.15">
      <c r="A2139" s="71"/>
      <c r="B2139" s="194" t="s">
        <v>245</v>
      </c>
      <c r="C2139" s="195" t="s">
        <v>1453</v>
      </c>
      <c r="D2139" s="195" t="s">
        <v>211</v>
      </c>
      <c r="E2139" s="195">
        <v>0</v>
      </c>
      <c r="F2139" s="195" t="s">
        <v>440</v>
      </c>
      <c r="G2139" s="196" t="s">
        <v>1590</v>
      </c>
      <c r="H2139" s="107" t="str">
        <f t="shared" si="4"/>
        <v>ifnull(t.min_unit,0) as min_unit,/*最小单位*/</v>
      </c>
      <c r="I2139" s="7"/>
      <c r="J2139" s="7"/>
      <c r="K2139" s="7"/>
      <c r="L2139" s="7"/>
      <c r="M2139" s="7"/>
      <c r="N2139" s="7"/>
      <c r="O2139" s="7"/>
      <c r="P2139" s="7"/>
      <c r="Q2139" s="7"/>
    </row>
    <row r="2140" spans="1:17" s="28" customFormat="1" hidden="1" outlineLevel="1" x14ac:dyDescent="0.15">
      <c r="A2140" s="71"/>
      <c r="B2140" s="194" t="s">
        <v>246</v>
      </c>
      <c r="C2140" s="195" t="s">
        <v>1454</v>
      </c>
      <c r="D2140" s="195" t="s">
        <v>211</v>
      </c>
      <c r="E2140" s="195">
        <v>0</v>
      </c>
      <c r="F2140" s="195" t="s">
        <v>440</v>
      </c>
      <c r="G2140" s="196"/>
      <c r="H2140" s="107" t="str">
        <f t="shared" si="4"/>
        <v>ifnull(t.max_qty,0) as max_qty,/*最大数量*/</v>
      </c>
      <c r="I2140" s="7"/>
      <c r="J2140" s="7"/>
      <c r="K2140" s="7"/>
      <c r="L2140" s="7"/>
      <c r="M2140" s="7"/>
      <c r="N2140" s="7"/>
      <c r="O2140" s="7"/>
      <c r="P2140" s="7"/>
      <c r="Q2140" s="7"/>
    </row>
    <row r="2141" spans="1:17" s="28" customFormat="1" hidden="1" outlineLevel="1" x14ac:dyDescent="0.15">
      <c r="A2141" s="71"/>
      <c r="B2141" s="194" t="s">
        <v>247</v>
      </c>
      <c r="C2141" s="195" t="s">
        <v>1462</v>
      </c>
      <c r="D2141" s="195" t="s">
        <v>1087</v>
      </c>
      <c r="E2141" s="195">
        <v>0</v>
      </c>
      <c r="F2141" s="195" t="s">
        <v>440</v>
      </c>
      <c r="G2141" s="196"/>
      <c r="H2141" s="107" t="str">
        <f t="shared" si="4"/>
        <v>ifnull(t.min_qty,0) as min_qty,/*最小数量*/</v>
      </c>
      <c r="I2141" s="7"/>
      <c r="J2141" s="7"/>
      <c r="K2141" s="7"/>
      <c r="L2141" s="7"/>
      <c r="M2141" s="7"/>
      <c r="N2141" s="7"/>
      <c r="O2141" s="7"/>
      <c r="P2141" s="7"/>
      <c r="Q2141" s="7"/>
    </row>
    <row r="2142" spans="1:17" s="76" customFormat="1" hidden="1" outlineLevel="1" x14ac:dyDescent="0.15">
      <c r="A2142" s="71"/>
      <c r="B2142" s="194" t="s">
        <v>256</v>
      </c>
      <c r="C2142" s="195" t="s">
        <v>1099</v>
      </c>
      <c r="D2142" s="195" t="s">
        <v>1087</v>
      </c>
      <c r="E2142" s="195">
        <v>0</v>
      </c>
      <c r="F2142" s="195" t="s">
        <v>440</v>
      </c>
      <c r="G2142" s="196"/>
      <c r="H2142" s="107" t="str">
        <f t="shared" si="4"/>
        <v>ifnull(t.is_order_dir_flag,0) as is_order_dir_flag,/*区分订单方向标志*/</v>
      </c>
    </row>
    <row r="2143" spans="1:17" s="28" customFormat="1" hidden="1" outlineLevel="1" x14ac:dyDescent="0.15">
      <c r="A2143" s="71"/>
      <c r="B2143" s="167" t="s">
        <v>257</v>
      </c>
      <c r="C2143" s="242" t="s">
        <v>1455</v>
      </c>
      <c r="D2143" s="242" t="s">
        <v>211</v>
      </c>
      <c r="E2143" s="242">
        <v>0</v>
      </c>
      <c r="F2143" s="195" t="s">
        <v>440</v>
      </c>
      <c r="G2143" s="243" t="s">
        <v>1591</v>
      </c>
      <c r="H2143" s="107" t="str">
        <f t="shared" si="4"/>
        <v>ifnull(t.price_up,0) as price_up,/*价格上限*/</v>
      </c>
    </row>
    <row r="2144" spans="1:17" s="28" customFormat="1" hidden="1" outlineLevel="1" x14ac:dyDescent="0.15">
      <c r="A2144" s="71"/>
      <c r="B2144" s="167" t="s">
        <v>248</v>
      </c>
      <c r="C2144" s="168" t="s">
        <v>1456</v>
      </c>
      <c r="D2144" s="168" t="s">
        <v>1211</v>
      </c>
      <c r="E2144" s="168">
        <v>0</v>
      </c>
      <c r="F2144" s="195" t="s">
        <v>440</v>
      </c>
      <c r="G2144" s="169" t="s">
        <v>1457</v>
      </c>
      <c r="H2144" s="107" t="str">
        <f t="shared" si="4"/>
        <v>ifnull(t.price_down,0) as price_down,/*价格下限*/</v>
      </c>
    </row>
    <row r="2145" spans="1:13" s="28" customFormat="1" hidden="1" outlineLevel="1" x14ac:dyDescent="0.15">
      <c r="A2145" s="71"/>
      <c r="B2145" s="167" t="s">
        <v>249</v>
      </c>
      <c r="C2145" s="168" t="s">
        <v>1458</v>
      </c>
      <c r="D2145" s="168" t="s">
        <v>1211</v>
      </c>
      <c r="E2145" s="168">
        <v>0</v>
      </c>
      <c r="F2145" s="195" t="s">
        <v>440</v>
      </c>
      <c r="G2145" s="169" t="s">
        <v>1592</v>
      </c>
      <c r="H2145" s="107" t="str">
        <f t="shared" si="4"/>
        <v>ifnull(t.step_price,0) as step_price,/*最小价差*/</v>
      </c>
    </row>
    <row r="2146" spans="1:13" s="77" customFormat="1" hidden="1" outlineLevel="1" x14ac:dyDescent="0.15">
      <c r="A2146" s="71"/>
      <c r="B2146" s="167" t="s">
        <v>250</v>
      </c>
      <c r="C2146" s="168" t="s">
        <v>1593</v>
      </c>
      <c r="D2146" s="168" t="s">
        <v>1211</v>
      </c>
      <c r="E2146" s="168">
        <v>0</v>
      </c>
      <c r="F2146" s="195" t="s">
        <v>440</v>
      </c>
      <c r="G2146" s="169"/>
      <c r="H2146" s="107" t="str">
        <f t="shared" si="4"/>
        <v>ifnull(t.up_limit_price,0) as up_limit_price,/*涨停价*/</v>
      </c>
      <c r="I2146" s="76"/>
      <c r="J2146" s="76"/>
      <c r="K2146" s="76"/>
      <c r="L2146" s="76"/>
      <c r="M2146" s="76"/>
    </row>
    <row r="2147" spans="1:13" s="77" customFormat="1" hidden="1" outlineLevel="1" x14ac:dyDescent="0.15">
      <c r="A2147" s="71"/>
      <c r="B2147" s="194" t="s">
        <v>29</v>
      </c>
      <c r="C2147" s="195" t="s">
        <v>1075</v>
      </c>
      <c r="D2147" s="195" t="s">
        <v>1211</v>
      </c>
      <c r="E2147" s="195">
        <v>0</v>
      </c>
      <c r="F2147" s="195" t="s">
        <v>440</v>
      </c>
      <c r="G2147" s="196"/>
      <c r="H2147" s="107" t="str">
        <f t="shared" si="4"/>
        <v>ifnull(t.down_limit_price,0) as down_limit_price,/*跌停价*/</v>
      </c>
      <c r="I2147" s="76"/>
      <c r="J2147" s="76"/>
      <c r="K2147" s="76"/>
      <c r="L2147" s="76"/>
      <c r="M2147" s="76"/>
    </row>
    <row r="2148" spans="1:13" s="28" customFormat="1" hidden="1" outlineLevel="1" x14ac:dyDescent="0.15">
      <c r="A2148" s="71"/>
      <c r="B2148" s="194" t="s">
        <v>30</v>
      </c>
      <c r="C2148" s="195" t="s">
        <v>1240</v>
      </c>
      <c r="D2148" s="195" t="s">
        <v>1211</v>
      </c>
      <c r="E2148" s="195">
        <v>0</v>
      </c>
      <c r="F2148" s="195" t="s">
        <v>440</v>
      </c>
      <c r="G2148" s="196"/>
      <c r="H2148" s="107" t="str">
        <f t="shared" si="4"/>
        <v>ifnull(t.pre_close_price,0) as pre_close_price,/*昨收盘价*/</v>
      </c>
      <c r="I2148" s="7"/>
      <c r="J2148" s="7"/>
      <c r="K2148" s="7"/>
      <c r="L2148" s="7"/>
      <c r="M2148" s="7"/>
    </row>
    <row r="2149" spans="1:13" s="76" customFormat="1" hidden="1" outlineLevel="1" x14ac:dyDescent="0.15">
      <c r="A2149" s="71"/>
      <c r="B2149" s="194" t="s">
        <v>32</v>
      </c>
      <c r="C2149" s="195" t="s">
        <v>1112</v>
      </c>
      <c r="D2149" s="195" t="s">
        <v>1211</v>
      </c>
      <c r="E2149" s="195">
        <v>0</v>
      </c>
      <c r="F2149" s="195" t="s">
        <v>440</v>
      </c>
      <c r="G2149" s="196"/>
      <c r="H2149" s="107" t="str">
        <f t="shared" si="4"/>
        <v>ifnull(t.fair_price,0) as fair_price,/*公允价格*/</v>
      </c>
    </row>
    <row r="2150" spans="1:13" s="76" customFormat="1" hidden="1" outlineLevel="1" x14ac:dyDescent="0.15">
      <c r="A2150" s="71"/>
      <c r="B2150" s="194" t="s">
        <v>40</v>
      </c>
      <c r="C2150" s="195" t="s">
        <v>1459</v>
      </c>
      <c r="D2150" s="195" t="s">
        <v>1211</v>
      </c>
      <c r="E2150" s="195">
        <v>0</v>
      </c>
      <c r="F2150" s="195" t="s">
        <v>440</v>
      </c>
      <c r="G2150" s="196"/>
      <c r="H2150" s="107" t="str">
        <f t="shared" si="4"/>
        <v>ifnull(t.stop_status,"0") as stop_status,/*停牌标志*/</v>
      </c>
    </row>
    <row r="2151" spans="1:13" s="28" customFormat="1" hidden="1" outlineLevel="1" x14ac:dyDescent="0.15">
      <c r="A2151" s="71"/>
      <c r="B2151" s="194" t="s">
        <v>251</v>
      </c>
      <c r="C2151" s="195" t="s">
        <v>1460</v>
      </c>
      <c r="D2151" s="195" t="s">
        <v>1403</v>
      </c>
      <c r="E2151" s="195" t="s">
        <v>1303</v>
      </c>
      <c r="F2151" s="195" t="s">
        <v>440</v>
      </c>
      <c r="G2151" s="196"/>
      <c r="H2151" s="107" t="str">
        <f t="shared" si="4"/>
        <v>ifnull(a.last_price,0) as last_price,/*最新价*/</v>
      </c>
      <c r="I2151" s="7"/>
      <c r="J2151" s="7"/>
      <c r="K2151" s="7"/>
      <c r="L2151" s="7"/>
      <c r="M2151" s="7"/>
    </row>
    <row r="2152" spans="1:13" s="28" customFormat="1" hidden="1" outlineLevel="1" x14ac:dyDescent="0.15">
      <c r="A2152" s="71"/>
      <c r="B2152" s="153" t="s">
        <v>35</v>
      </c>
      <c r="C2152" s="154" t="s">
        <v>1236</v>
      </c>
      <c r="D2152" s="154" t="s">
        <v>1211</v>
      </c>
      <c r="E2152" s="154">
        <v>0</v>
      </c>
      <c r="F2152" s="154" t="s">
        <v>441</v>
      </c>
      <c r="G2152" s="155"/>
      <c r="H2152" s="107" t="str">
        <f t="shared" si="4"/>
        <v>ifnull(a.today_open_price,0) as today_open_price,/*今开盘价*/</v>
      </c>
      <c r="I2152" s="7"/>
      <c r="J2152" s="7"/>
      <c r="K2152" s="7"/>
      <c r="L2152" s="7"/>
      <c r="M2152" s="7"/>
    </row>
    <row r="2153" spans="1:13" s="28" customFormat="1" hidden="1" outlineLevel="1" x14ac:dyDescent="0.15">
      <c r="A2153" s="71"/>
      <c r="B2153" s="153" t="s">
        <v>33</v>
      </c>
      <c r="C2153" s="154" t="s">
        <v>1237</v>
      </c>
      <c r="D2153" s="154" t="s">
        <v>1211</v>
      </c>
      <c r="E2153" s="154">
        <v>0</v>
      </c>
      <c r="F2153" s="154" t="s">
        <v>441</v>
      </c>
      <c r="G2153" s="155"/>
      <c r="H2153" s="107" t="str">
        <f t="shared" si="4"/>
        <v>ifnull(a.today_close_price,0) as today_close_price,/*今收盘价*/</v>
      </c>
      <c r="I2153" s="7"/>
      <c r="J2153" s="7"/>
      <c r="K2153" s="7"/>
      <c r="L2153" s="7"/>
      <c r="M2153" s="7"/>
    </row>
    <row r="2154" spans="1:13" s="28" customFormat="1" hidden="1" outlineLevel="1" x14ac:dyDescent="0.15">
      <c r="A2154" s="71"/>
      <c r="B2154" s="153" t="s">
        <v>34</v>
      </c>
      <c r="C2154" s="154" t="s">
        <v>1113</v>
      </c>
      <c r="D2154" s="154" t="s">
        <v>1211</v>
      </c>
      <c r="E2154" s="154">
        <v>0</v>
      </c>
      <c r="F2154" s="154" t="s">
        <v>441</v>
      </c>
      <c r="G2154" s="155"/>
      <c r="H2154" s="107" t="str">
        <f t="shared" si="4"/>
        <v>ifnull(a.today_max_price,0) as today_max_price,/*今最高价*/</v>
      </c>
      <c r="I2154" s="7"/>
      <c r="J2154" s="7"/>
      <c r="K2154" s="7"/>
      <c r="L2154" s="7"/>
      <c r="M2154" s="7"/>
    </row>
    <row r="2155" spans="1:13" s="28" customFormat="1" hidden="1" outlineLevel="1" x14ac:dyDescent="0.15">
      <c r="A2155" s="71"/>
      <c r="B2155" s="153" t="s">
        <v>36</v>
      </c>
      <c r="C2155" s="154" t="s">
        <v>1463</v>
      </c>
      <c r="D2155" s="154" t="s">
        <v>1211</v>
      </c>
      <c r="E2155" s="154">
        <v>0</v>
      </c>
      <c r="F2155" s="154" t="s">
        <v>441</v>
      </c>
      <c r="G2155" s="155"/>
      <c r="H2155" s="107" t="str">
        <f t="shared" ref="H2155:H2186" si="5">"ifnull("&amp;IF(I2155&lt;&gt;"",I2155,IF(F2156&lt;&gt;"",F2156,"t")&amp;"."&amp;C2156)&amp;","&amp;E2156&amp;") as "&amp;C2156&amp;",/*"&amp;B2156&amp;"*/"</f>
        <v>ifnull(a.today_min_price,0) as today_min_price,/*今最低价*/</v>
      </c>
      <c r="I2155" s="7"/>
      <c r="J2155" s="7"/>
      <c r="K2155" s="7"/>
      <c r="L2155" s="7"/>
      <c r="M2155" s="7"/>
    </row>
    <row r="2156" spans="1:13" s="28" customFormat="1" hidden="1" outlineLevel="1" x14ac:dyDescent="0.15">
      <c r="A2156" s="71"/>
      <c r="B2156" s="153" t="s">
        <v>37</v>
      </c>
      <c r="C2156" s="154" t="s">
        <v>1464</v>
      </c>
      <c r="D2156" s="154" t="s">
        <v>1211</v>
      </c>
      <c r="E2156" s="154">
        <v>0</v>
      </c>
      <c r="F2156" s="154" t="s">
        <v>441</v>
      </c>
      <c r="G2156" s="155"/>
      <c r="H2156" s="107" t="str">
        <f t="shared" si="5"/>
        <v>ifnull(a.buy_price_1,0) as buy_price_1,/*买一价*/</v>
      </c>
      <c r="I2156" s="7"/>
      <c r="J2156" s="7"/>
      <c r="K2156" s="7"/>
      <c r="L2156" s="7"/>
      <c r="M2156" s="7"/>
    </row>
    <row r="2157" spans="1:13" s="28" customFormat="1" hidden="1" outlineLevel="1" x14ac:dyDescent="0.15">
      <c r="A2157" s="71"/>
      <c r="B2157" s="153" t="s">
        <v>42</v>
      </c>
      <c r="C2157" s="154" t="s">
        <v>1084</v>
      </c>
      <c r="D2157" s="154" t="s">
        <v>1211</v>
      </c>
      <c r="E2157" s="154">
        <v>0</v>
      </c>
      <c r="F2157" s="154" t="s">
        <v>441</v>
      </c>
      <c r="G2157" s="155"/>
      <c r="H2157" s="107" t="str">
        <f t="shared" si="5"/>
        <v>ifnull(a.buy_qty_1,0) as buy_qty_1,/*买一量*/</v>
      </c>
      <c r="I2157" s="7"/>
      <c r="J2157" s="7"/>
      <c r="K2157" s="7"/>
      <c r="L2157" s="7"/>
      <c r="M2157" s="7"/>
    </row>
    <row r="2158" spans="1:13" s="28" customFormat="1" hidden="1" outlineLevel="1" x14ac:dyDescent="0.15">
      <c r="A2158" s="71"/>
      <c r="B2158" s="153" t="s">
        <v>43</v>
      </c>
      <c r="C2158" s="154" t="s">
        <v>1149</v>
      </c>
      <c r="D2158" s="154" t="s">
        <v>1087</v>
      </c>
      <c r="E2158" s="154">
        <v>0</v>
      </c>
      <c r="F2158" s="154" t="s">
        <v>441</v>
      </c>
      <c r="G2158" s="155"/>
      <c r="H2158" s="107" t="str">
        <f t="shared" si="5"/>
        <v>ifnull(a.buy_price_2,0) as buy_price_2,/*买二价*/</v>
      </c>
      <c r="I2158" s="7"/>
      <c r="J2158" s="7"/>
      <c r="K2158" s="7"/>
      <c r="L2158" s="7"/>
      <c r="M2158" s="7"/>
    </row>
    <row r="2159" spans="1:13" s="28" customFormat="1" hidden="1" outlineLevel="1" x14ac:dyDescent="0.15">
      <c r="A2159" s="71"/>
      <c r="B2159" s="153" t="s">
        <v>44</v>
      </c>
      <c r="C2159" s="154" t="s">
        <v>1100</v>
      </c>
      <c r="D2159" s="154" t="s">
        <v>1211</v>
      </c>
      <c r="E2159" s="154">
        <v>0</v>
      </c>
      <c r="F2159" s="154" t="s">
        <v>441</v>
      </c>
      <c r="G2159" s="155"/>
      <c r="H2159" s="107" t="str">
        <f t="shared" si="5"/>
        <v>ifnull(a.buy_qty_2,0) as buy_qty_2,/*买二量*/</v>
      </c>
      <c r="I2159" s="7"/>
      <c r="J2159" s="7"/>
      <c r="K2159" s="7"/>
      <c r="L2159" s="7"/>
      <c r="M2159" s="7"/>
    </row>
    <row r="2160" spans="1:13" s="28" customFormat="1" hidden="1" outlineLevel="1" x14ac:dyDescent="0.15">
      <c r="A2160" s="71"/>
      <c r="B2160" s="153" t="s">
        <v>45</v>
      </c>
      <c r="C2160" s="154" t="s">
        <v>1244</v>
      </c>
      <c r="D2160" s="154" t="s">
        <v>1087</v>
      </c>
      <c r="E2160" s="154">
        <v>0</v>
      </c>
      <c r="F2160" s="154" t="s">
        <v>441</v>
      </c>
      <c r="G2160" s="155"/>
      <c r="H2160" s="107" t="str">
        <f t="shared" si="5"/>
        <v>ifnull(a.buy_price_3,0) as buy_price_3,/*买三价*/</v>
      </c>
      <c r="I2160" s="7"/>
      <c r="J2160" s="7"/>
      <c r="K2160" s="7"/>
      <c r="L2160" s="7"/>
      <c r="M2160" s="7"/>
    </row>
    <row r="2161" spans="1:13" s="28" customFormat="1" hidden="1" outlineLevel="1" x14ac:dyDescent="0.15">
      <c r="A2161" s="71"/>
      <c r="B2161" s="153" t="s">
        <v>46</v>
      </c>
      <c r="C2161" s="154" t="s">
        <v>1245</v>
      </c>
      <c r="D2161" s="154" t="s">
        <v>1211</v>
      </c>
      <c r="E2161" s="154">
        <v>0</v>
      </c>
      <c r="F2161" s="154" t="s">
        <v>441</v>
      </c>
      <c r="G2161" s="155"/>
      <c r="H2161" s="107" t="str">
        <f t="shared" si="5"/>
        <v>ifnull(a.buy_qty_3,0) as buy_qty_3,/*买三量*/</v>
      </c>
      <c r="I2161" s="7"/>
      <c r="J2161" s="7"/>
      <c r="K2161" s="7"/>
      <c r="L2161" s="7"/>
      <c r="M2161" s="7"/>
    </row>
    <row r="2162" spans="1:13" s="28" customFormat="1" hidden="1" outlineLevel="1" x14ac:dyDescent="0.15">
      <c r="A2162" s="71"/>
      <c r="B2162" s="153" t="s">
        <v>47</v>
      </c>
      <c r="C2162" s="154" t="s">
        <v>1114</v>
      </c>
      <c r="D2162" s="154" t="s">
        <v>1087</v>
      </c>
      <c r="E2162" s="154">
        <v>0</v>
      </c>
      <c r="F2162" s="154" t="s">
        <v>441</v>
      </c>
      <c r="G2162" s="155"/>
      <c r="H2162" s="107" t="str">
        <f t="shared" si="5"/>
        <v>ifnull(a.buy_price_4,0) as buy_price_4,/*买四价*/</v>
      </c>
      <c r="I2162" s="7"/>
      <c r="J2162" s="7"/>
      <c r="K2162" s="7"/>
      <c r="L2162" s="7"/>
      <c r="M2162" s="7"/>
    </row>
    <row r="2163" spans="1:13" s="28" customFormat="1" hidden="1" outlineLevel="1" x14ac:dyDescent="0.15">
      <c r="A2163" s="71"/>
      <c r="B2163" s="153" t="s">
        <v>48</v>
      </c>
      <c r="C2163" s="154" t="s">
        <v>1532</v>
      </c>
      <c r="D2163" s="154" t="s">
        <v>1211</v>
      </c>
      <c r="E2163" s="154">
        <v>0</v>
      </c>
      <c r="F2163" s="154" t="s">
        <v>441</v>
      </c>
      <c r="G2163" s="155"/>
      <c r="H2163" s="107" t="str">
        <f t="shared" si="5"/>
        <v>ifnull(a.buy_qty_4,0) as buy_qty_4,/*买四量*/</v>
      </c>
      <c r="I2163" s="7"/>
      <c r="J2163" s="7"/>
      <c r="K2163" s="7"/>
      <c r="L2163" s="7"/>
      <c r="M2163" s="7"/>
    </row>
    <row r="2164" spans="1:13" s="28" customFormat="1" hidden="1" outlineLevel="1" x14ac:dyDescent="0.15">
      <c r="A2164" s="71"/>
      <c r="B2164" s="153" t="s">
        <v>49</v>
      </c>
      <c r="C2164" s="154" t="s">
        <v>1246</v>
      </c>
      <c r="D2164" s="154" t="s">
        <v>1087</v>
      </c>
      <c r="E2164" s="154">
        <v>0</v>
      </c>
      <c r="F2164" s="154" t="s">
        <v>441</v>
      </c>
      <c r="G2164" s="155"/>
      <c r="H2164" s="107" t="str">
        <f t="shared" si="5"/>
        <v>ifnull(a.buy_price_5,0) as buy_price_5,/*买五价*/</v>
      </c>
      <c r="I2164" s="7"/>
      <c r="J2164" s="7"/>
      <c r="K2164" s="7"/>
      <c r="L2164" s="7"/>
      <c r="M2164" s="7"/>
    </row>
    <row r="2165" spans="1:13" s="28" customFormat="1" hidden="1" outlineLevel="1" x14ac:dyDescent="0.15">
      <c r="A2165" s="71"/>
      <c r="B2165" s="153" t="s">
        <v>50</v>
      </c>
      <c r="C2165" s="154" t="s">
        <v>1247</v>
      </c>
      <c r="D2165" s="154" t="s">
        <v>1211</v>
      </c>
      <c r="E2165" s="154">
        <v>0</v>
      </c>
      <c r="F2165" s="154" t="s">
        <v>441</v>
      </c>
      <c r="G2165" s="155"/>
      <c r="H2165" s="107" t="str">
        <f t="shared" si="5"/>
        <v>ifnull(a.buy_qty_5,0) as buy_qty_5,/*买五量*/</v>
      </c>
      <c r="I2165" s="7"/>
      <c r="J2165" s="7"/>
      <c r="K2165" s="7"/>
      <c r="L2165" s="7"/>
      <c r="M2165" s="7"/>
    </row>
    <row r="2166" spans="1:13" s="28" customFormat="1" hidden="1" outlineLevel="1" x14ac:dyDescent="0.15">
      <c r="A2166" s="71"/>
      <c r="B2166" s="153" t="s">
        <v>51</v>
      </c>
      <c r="C2166" s="154" t="s">
        <v>1248</v>
      </c>
      <c r="D2166" s="154" t="s">
        <v>1087</v>
      </c>
      <c r="E2166" s="154">
        <v>0</v>
      </c>
      <c r="F2166" s="154" t="s">
        <v>441</v>
      </c>
      <c r="G2166" s="155"/>
      <c r="H2166" s="107" t="str">
        <f t="shared" si="5"/>
        <v>ifnull(a.sell_price_1,0) as sell_price_1,/*卖一价*/</v>
      </c>
      <c r="I2166" s="7"/>
      <c r="J2166" s="7"/>
      <c r="K2166" s="7"/>
      <c r="L2166" s="7"/>
      <c r="M2166" s="7"/>
    </row>
    <row r="2167" spans="1:13" s="28" customFormat="1" hidden="1" outlineLevel="1" x14ac:dyDescent="0.15">
      <c r="A2167" s="71"/>
      <c r="B2167" s="153" t="s">
        <v>52</v>
      </c>
      <c r="C2167" s="154" t="s">
        <v>1249</v>
      </c>
      <c r="D2167" s="154" t="s">
        <v>1211</v>
      </c>
      <c r="E2167" s="154">
        <v>0</v>
      </c>
      <c r="F2167" s="154" t="s">
        <v>441</v>
      </c>
      <c r="G2167" s="155"/>
      <c r="H2167" s="107" t="str">
        <f t="shared" si="5"/>
        <v>ifnull(a.sell_qty_1,0) as sell_qty_1,/*卖一量*/</v>
      </c>
      <c r="I2167" s="7"/>
      <c r="J2167" s="7"/>
      <c r="K2167" s="7"/>
      <c r="L2167" s="7"/>
      <c r="M2167" s="7"/>
    </row>
    <row r="2168" spans="1:13" s="28" customFormat="1" hidden="1" outlineLevel="1" x14ac:dyDescent="0.15">
      <c r="A2168" s="71"/>
      <c r="B2168" s="153" t="s">
        <v>53</v>
      </c>
      <c r="C2168" s="154" t="s">
        <v>1250</v>
      </c>
      <c r="D2168" s="154" t="s">
        <v>1087</v>
      </c>
      <c r="E2168" s="154">
        <v>0</v>
      </c>
      <c r="F2168" s="154" t="s">
        <v>441</v>
      </c>
      <c r="G2168" s="155"/>
      <c r="H2168" s="107" t="str">
        <f t="shared" si="5"/>
        <v>ifnull(a.sell_price_2,0) as sell_price_2,/*卖二价*/</v>
      </c>
      <c r="I2168" s="7"/>
      <c r="J2168" s="7"/>
      <c r="K2168" s="7"/>
      <c r="L2168" s="7"/>
      <c r="M2168" s="7"/>
    </row>
    <row r="2169" spans="1:13" s="28" customFormat="1" hidden="1" outlineLevel="1" x14ac:dyDescent="0.15">
      <c r="A2169" s="71"/>
      <c r="B2169" s="153" t="s">
        <v>54</v>
      </c>
      <c r="C2169" s="154" t="s">
        <v>1251</v>
      </c>
      <c r="D2169" s="154" t="s">
        <v>1211</v>
      </c>
      <c r="E2169" s="154">
        <v>0</v>
      </c>
      <c r="F2169" s="154" t="s">
        <v>441</v>
      </c>
      <c r="G2169" s="155"/>
      <c r="H2169" s="107" t="str">
        <f t="shared" si="5"/>
        <v>ifnull(a.sell_qty_2,0) as sell_qty_2,/*卖二量*/</v>
      </c>
      <c r="I2169" s="7"/>
      <c r="J2169" s="7"/>
      <c r="K2169" s="7"/>
      <c r="L2169" s="7"/>
      <c r="M2169" s="7"/>
    </row>
    <row r="2170" spans="1:13" s="28" customFormat="1" hidden="1" outlineLevel="1" x14ac:dyDescent="0.15">
      <c r="A2170" s="71"/>
      <c r="B2170" s="153" t="s">
        <v>55</v>
      </c>
      <c r="C2170" s="154" t="s">
        <v>1252</v>
      </c>
      <c r="D2170" s="154" t="s">
        <v>1087</v>
      </c>
      <c r="E2170" s="154">
        <v>0</v>
      </c>
      <c r="F2170" s="154" t="s">
        <v>441</v>
      </c>
      <c r="G2170" s="155"/>
      <c r="H2170" s="107" t="str">
        <f t="shared" si="5"/>
        <v>ifnull(a.sell_price_3,0) as sell_price_3,/*卖三价*/</v>
      </c>
      <c r="I2170" s="7"/>
      <c r="J2170" s="7"/>
      <c r="K2170" s="7"/>
      <c r="L2170" s="7"/>
      <c r="M2170" s="7"/>
    </row>
    <row r="2171" spans="1:13" s="28" customFormat="1" hidden="1" outlineLevel="1" x14ac:dyDescent="0.15">
      <c r="A2171" s="71"/>
      <c r="B2171" s="153" t="s">
        <v>56</v>
      </c>
      <c r="C2171" s="154" t="s">
        <v>1253</v>
      </c>
      <c r="D2171" s="154" t="s">
        <v>1211</v>
      </c>
      <c r="E2171" s="154">
        <v>0</v>
      </c>
      <c r="F2171" s="154" t="s">
        <v>441</v>
      </c>
      <c r="G2171" s="155"/>
      <c r="H2171" s="107" t="str">
        <f t="shared" si="5"/>
        <v>ifnull(a.sell_qty_3,0) as sell_qty_3,/*卖三量*/</v>
      </c>
      <c r="I2171" s="7"/>
      <c r="J2171" s="7"/>
      <c r="K2171" s="7"/>
      <c r="L2171" s="7"/>
      <c r="M2171" s="7"/>
    </row>
    <row r="2172" spans="1:13" s="28" customFormat="1" hidden="1" outlineLevel="1" x14ac:dyDescent="0.15">
      <c r="A2172" s="71"/>
      <c r="B2172" s="153" t="s">
        <v>57</v>
      </c>
      <c r="C2172" s="154" t="s">
        <v>1262</v>
      </c>
      <c r="D2172" s="154" t="s">
        <v>1087</v>
      </c>
      <c r="E2172" s="154">
        <v>0</v>
      </c>
      <c r="F2172" s="154" t="s">
        <v>441</v>
      </c>
      <c r="G2172" s="155"/>
      <c r="H2172" s="107" t="str">
        <f t="shared" si="5"/>
        <v>ifnull(a.sell_price_4,0) as sell_price_4,/*卖四价*/</v>
      </c>
      <c r="I2172" s="7"/>
      <c r="J2172" s="7"/>
      <c r="K2172" s="7"/>
      <c r="L2172" s="7"/>
      <c r="M2172" s="7"/>
    </row>
    <row r="2173" spans="1:13" s="28" customFormat="1" hidden="1" outlineLevel="1" x14ac:dyDescent="0.15">
      <c r="A2173" s="71"/>
      <c r="B2173" s="153" t="s">
        <v>58</v>
      </c>
      <c r="C2173" s="154" t="s">
        <v>1254</v>
      </c>
      <c r="D2173" s="154" t="s">
        <v>1211</v>
      </c>
      <c r="E2173" s="154">
        <v>0</v>
      </c>
      <c r="F2173" s="154" t="s">
        <v>441</v>
      </c>
      <c r="G2173" s="155"/>
      <c r="H2173" s="107" t="str">
        <f t="shared" si="5"/>
        <v>ifnull(a.sell_qty_4,0) as sell_qty_4,/*卖四量*/</v>
      </c>
      <c r="I2173" s="7"/>
      <c r="J2173" s="7"/>
      <c r="K2173" s="7"/>
      <c r="L2173" s="7"/>
      <c r="M2173" s="7"/>
    </row>
    <row r="2174" spans="1:13" s="28" customFormat="1" hidden="1" outlineLevel="1" x14ac:dyDescent="0.15">
      <c r="A2174" s="71"/>
      <c r="B2174" s="153" t="s">
        <v>59</v>
      </c>
      <c r="C2174" s="154" t="s">
        <v>1255</v>
      </c>
      <c r="D2174" s="154" t="s">
        <v>1087</v>
      </c>
      <c r="E2174" s="154">
        <v>0</v>
      </c>
      <c r="F2174" s="154" t="s">
        <v>441</v>
      </c>
      <c r="G2174" s="155"/>
      <c r="H2174" s="107" t="str">
        <f t="shared" si="5"/>
        <v>ifnull(a.sell_price_5,0) as sell_price_5,/*卖五价*/</v>
      </c>
      <c r="I2174" s="7"/>
      <c r="J2174" s="7"/>
      <c r="K2174" s="7"/>
      <c r="L2174" s="7"/>
      <c r="M2174" s="7"/>
    </row>
    <row r="2175" spans="1:13" s="28" customFormat="1" hidden="1" outlineLevel="1" x14ac:dyDescent="0.15">
      <c r="A2175" s="71"/>
      <c r="B2175" s="153" t="s">
        <v>60</v>
      </c>
      <c r="C2175" s="154" t="s">
        <v>1256</v>
      </c>
      <c r="D2175" s="154" t="s">
        <v>1211</v>
      </c>
      <c r="E2175" s="154">
        <v>0</v>
      </c>
      <c r="F2175" s="154" t="s">
        <v>441</v>
      </c>
      <c r="G2175" s="155"/>
      <c r="H2175" s="107" t="str">
        <f t="shared" si="5"/>
        <v>ifnull(a.sell_qty_5,0) as sell_qty_5,/*卖五量*/</v>
      </c>
      <c r="I2175" s="7"/>
      <c r="J2175" s="7"/>
      <c r="K2175" s="7"/>
      <c r="L2175" s="7"/>
      <c r="M2175" s="7"/>
    </row>
    <row r="2176" spans="1:13" s="28" customFormat="1" hidden="1" outlineLevel="1" x14ac:dyDescent="0.15">
      <c r="A2176" s="71"/>
      <c r="B2176" s="153" t="s">
        <v>61</v>
      </c>
      <c r="C2176" s="154" t="s">
        <v>1257</v>
      </c>
      <c r="D2176" s="154" t="s">
        <v>1087</v>
      </c>
      <c r="E2176" s="154">
        <v>0</v>
      </c>
      <c r="F2176" s="154" t="s">
        <v>441</v>
      </c>
      <c r="G2176" s="155"/>
      <c r="H2176" s="107" t="str">
        <f t="shared" si="5"/>
        <v>ifnull(a.strike_qty,0) as strike_qty,/*成交数量*/</v>
      </c>
      <c r="I2176" s="7"/>
      <c r="J2176" s="7"/>
      <c r="K2176" s="7"/>
      <c r="L2176" s="7"/>
      <c r="M2176" s="7"/>
    </row>
    <row r="2177" spans="1:13" s="28" customFormat="1" hidden="1" outlineLevel="1" x14ac:dyDescent="0.15">
      <c r="A2177" s="71"/>
      <c r="B2177" s="153" t="s">
        <v>38</v>
      </c>
      <c r="C2177" s="154" t="s">
        <v>1241</v>
      </c>
      <c r="D2177" s="154" t="s">
        <v>1087</v>
      </c>
      <c r="E2177" s="154">
        <v>0</v>
      </c>
      <c r="F2177" s="154" t="s">
        <v>441</v>
      </c>
      <c r="G2177" s="155" t="s">
        <v>1086</v>
      </c>
      <c r="H2177" s="107" t="str">
        <f t="shared" si="5"/>
        <v>ifnull(a.strike_amt,0) as strike_amt,/*成交金额*/</v>
      </c>
      <c r="I2177" s="7"/>
      <c r="J2177" s="7"/>
      <c r="K2177" s="7"/>
      <c r="L2177" s="7"/>
      <c r="M2177" s="7"/>
    </row>
    <row r="2178" spans="1:13" s="28" customFormat="1" hidden="1" outlineLevel="1" x14ac:dyDescent="0.15">
      <c r="A2178" s="71"/>
      <c r="B2178" s="153" t="s">
        <v>39</v>
      </c>
      <c r="C2178" s="154" t="s">
        <v>1242</v>
      </c>
      <c r="D2178" s="154" t="s">
        <v>1169</v>
      </c>
      <c r="E2178" s="154">
        <v>0</v>
      </c>
      <c r="F2178" s="154" t="s">
        <v>441</v>
      </c>
      <c r="G2178" s="155" t="s">
        <v>1243</v>
      </c>
      <c r="H2178" s="107" t="str">
        <f t="shared" si="5"/>
        <v>ifnull(a.pe_ratio,0) as pe_ratio,/*市盈率*/</v>
      </c>
      <c r="I2178" s="7"/>
      <c r="J2178" s="7"/>
      <c r="K2178" s="7"/>
      <c r="L2178" s="7"/>
      <c r="M2178" s="7"/>
    </row>
    <row r="2179" spans="1:13" s="76" customFormat="1" hidden="1" outlineLevel="1" x14ac:dyDescent="0.15">
      <c r="A2179" s="71"/>
      <c r="B2179" s="153" t="s">
        <v>31</v>
      </c>
      <c r="C2179" s="154" t="s">
        <v>1465</v>
      </c>
      <c r="D2179" s="154" t="s">
        <v>1172</v>
      </c>
      <c r="E2179" s="154">
        <v>0</v>
      </c>
      <c r="F2179" s="154" t="s">
        <v>441</v>
      </c>
      <c r="G2179" s="155"/>
      <c r="H2179" s="107" t="str">
        <f t="shared" si="5"/>
        <v>ifnull(a.time_stamp,unix_timestamp()) as time_stamp,/*时间戳*/</v>
      </c>
    </row>
    <row r="2180" spans="1:13" s="76" customFormat="1" hidden="1" outlineLevel="1" x14ac:dyDescent="0.15">
      <c r="A2180" s="71"/>
      <c r="B2180" s="153" t="s">
        <v>184</v>
      </c>
      <c r="C2180" s="154" t="s">
        <v>1260</v>
      </c>
      <c r="D2180" s="154" t="s">
        <v>211</v>
      </c>
      <c r="E2180" s="154" t="s">
        <v>1261</v>
      </c>
      <c r="F2180" s="154" t="s">
        <v>441</v>
      </c>
      <c r="G2180" s="155"/>
      <c r="H2180" s="107" t="str">
        <f t="shared" si="5"/>
        <v>ifnull(b.trade_code," ") as trade_code,/*交易代码*/</v>
      </c>
    </row>
    <row r="2181" spans="1:13" s="76" customFormat="1" hidden="1" outlineLevel="1" x14ac:dyDescent="0.15">
      <c r="A2181" s="17" t="s">
        <v>7</v>
      </c>
      <c r="B2181" s="147" t="s">
        <v>212</v>
      </c>
      <c r="C2181" s="147" t="s">
        <v>1098</v>
      </c>
      <c r="D2181" s="147" t="s">
        <v>1219</v>
      </c>
      <c r="E2181" s="147" t="s">
        <v>1072</v>
      </c>
      <c r="F2181" s="147" t="s">
        <v>454</v>
      </c>
      <c r="G2181" s="147" t="s">
        <v>1438</v>
      </c>
      <c r="H2181" s="107" t="str">
        <f t="shared" si="5"/>
        <v>ifnull(b.target_code," ") as target_code,/*标的代码*/</v>
      </c>
    </row>
    <row r="2182" spans="1:13" s="76" customFormat="1" hidden="1" outlineLevel="1" x14ac:dyDescent="0.15">
      <c r="A2182" s="71"/>
      <c r="B2182" s="147" t="s">
        <v>213</v>
      </c>
      <c r="C2182" s="147" t="s">
        <v>1340</v>
      </c>
      <c r="D2182" s="147" t="s">
        <v>1219</v>
      </c>
      <c r="E2182" s="147" t="s">
        <v>1072</v>
      </c>
      <c r="F2182" s="147" t="s">
        <v>454</v>
      </c>
      <c r="G2182" s="147"/>
      <c r="H2182" s="107" t="str">
        <f t="shared" si="5"/>
        <v>ifnull(b.trade_code_no,0) as trade_code_no,/*交易代码编号*/</v>
      </c>
    </row>
    <row r="2183" spans="1:13" s="76" customFormat="1" hidden="1" outlineLevel="1" x14ac:dyDescent="0.15">
      <c r="A2183" s="71"/>
      <c r="B2183" s="147" t="s">
        <v>174</v>
      </c>
      <c r="C2183" s="147" t="s">
        <v>1397</v>
      </c>
      <c r="D2183" s="147" t="s">
        <v>211</v>
      </c>
      <c r="E2183" s="147">
        <v>0</v>
      </c>
      <c r="F2183" s="147" t="s">
        <v>454</v>
      </c>
      <c r="G2183" s="147"/>
      <c r="H2183" s="107" t="str">
        <f t="shared" si="5"/>
        <v>ifnull(b.target_code_no,0) as target_code_no,/*标的代码编号*/</v>
      </c>
    </row>
    <row r="2184" spans="1:13" s="76" customFormat="1" hidden="1" outlineLevel="1" x14ac:dyDescent="0.15">
      <c r="A2184" s="71"/>
      <c r="B2184" s="147" t="s">
        <v>214</v>
      </c>
      <c r="C2184" s="147" t="s">
        <v>1339</v>
      </c>
      <c r="D2184" s="147" t="s">
        <v>211</v>
      </c>
      <c r="E2184" s="147">
        <v>0</v>
      </c>
      <c r="F2184" s="147" t="s">
        <v>454</v>
      </c>
      <c r="G2184" s="147"/>
      <c r="H2184" s="107" t="str">
        <f t="shared" si="5"/>
        <v>ifnull(b.issue_date,date_format(curdate(),'%Y%m%d')) as issue_date,/*发行日期*/</v>
      </c>
    </row>
    <row r="2185" spans="1:13" s="76" customFormat="1" hidden="1" outlineLevel="1" x14ac:dyDescent="0.15">
      <c r="A2185" s="241" t="s">
        <v>215</v>
      </c>
      <c r="B2185" s="147" t="s">
        <v>215</v>
      </c>
      <c r="C2185" s="147" t="s">
        <v>1581</v>
      </c>
      <c r="D2185" s="147" t="s">
        <v>211</v>
      </c>
      <c r="E2185" s="147" t="s">
        <v>1141</v>
      </c>
      <c r="F2185" s="147" t="s">
        <v>454</v>
      </c>
      <c r="G2185" s="147"/>
      <c r="H2185" s="107" t="str">
        <f t="shared" si="5"/>
        <v>ifnull(b.end_date,date_format(curdate(),'%Y%m%d')) as end_date,/*结束日期*/</v>
      </c>
    </row>
    <row r="2186" spans="1:13" s="76" customFormat="1" hidden="1" outlineLevel="1" x14ac:dyDescent="0.15">
      <c r="A2186" s="241" t="s">
        <v>216</v>
      </c>
      <c r="B2186" s="147" t="s">
        <v>216</v>
      </c>
      <c r="C2186" s="147" t="s">
        <v>1582</v>
      </c>
      <c r="D2186" s="147" t="s">
        <v>211</v>
      </c>
      <c r="E2186" s="147" t="s">
        <v>1141</v>
      </c>
      <c r="F2186" s="147" t="s">
        <v>454</v>
      </c>
      <c r="G2186" s="147"/>
      <c r="H2186" s="107" t="str">
        <f t="shared" si="5"/>
        <v>ifnull(b.value_date,date_format(curdate(),'%Y%m%d')) as value_date,/*起息日期*/</v>
      </c>
    </row>
    <row r="2187" spans="1:13" s="76" customFormat="1" hidden="1" outlineLevel="1" x14ac:dyDescent="0.15">
      <c r="A2187" s="241" t="s">
        <v>217</v>
      </c>
      <c r="B2187" s="147" t="s">
        <v>217</v>
      </c>
      <c r="C2187" s="147" t="s">
        <v>1439</v>
      </c>
      <c r="D2187" s="147" t="s">
        <v>211</v>
      </c>
      <c r="E2187" s="147" t="s">
        <v>1141</v>
      </c>
      <c r="F2187" s="147" t="s">
        <v>454</v>
      </c>
      <c r="G2187" s="147"/>
      <c r="H2187" s="107" t="str">
        <f t="shared" ref="H2187:H2204" si="6">"ifnull("&amp;IF(I2187&lt;&gt;"",I2187,IF(F2188&lt;&gt;"",F2188,"t")&amp;"."&amp;C2188)&amp;","&amp;E2188&amp;") as "&amp;C2188&amp;",/*"&amp;B2188&amp;"*/"</f>
        <v>ifnull(b.next_value_date,date_format(curdate(),'%Y%m%d')) as next_value_date,/*下一起息日期*/</v>
      </c>
    </row>
    <row r="2188" spans="1:13" s="76" customFormat="1" hidden="1" outlineLevel="1" x14ac:dyDescent="0.15">
      <c r="A2188" s="241" t="s">
        <v>218</v>
      </c>
      <c r="B2188" s="147" t="s">
        <v>218</v>
      </c>
      <c r="C2188" s="147" t="s">
        <v>1583</v>
      </c>
      <c r="D2188" s="147" t="s">
        <v>211</v>
      </c>
      <c r="E2188" s="147" t="s">
        <v>1141</v>
      </c>
      <c r="F2188" s="147" t="s">
        <v>454</v>
      </c>
      <c r="G2188" s="147"/>
      <c r="H2188" s="107" t="str">
        <f t="shared" si="6"/>
        <v>ifnull(b.begin_trade_date,date_format(curdate(),'%Y%m%d')) as begin_trade_date,/*上市日期*/</v>
      </c>
    </row>
    <row r="2189" spans="1:13" s="76" customFormat="1" hidden="1" outlineLevel="1" x14ac:dyDescent="0.15">
      <c r="A2189" s="241" t="s">
        <v>219</v>
      </c>
      <c r="B2189" s="147" t="s">
        <v>219</v>
      </c>
      <c r="C2189" s="147" t="s">
        <v>1440</v>
      </c>
      <c r="D2189" s="147" t="s">
        <v>211</v>
      </c>
      <c r="E2189" s="147" t="s">
        <v>1141</v>
      </c>
      <c r="F2189" s="147" t="s">
        <v>454</v>
      </c>
      <c r="G2189" s="147"/>
      <c r="H2189" s="107" t="str">
        <f t="shared" si="6"/>
        <v>ifnull(b.bond_limit,0) as bond_limit,/*债券期限*/</v>
      </c>
    </row>
    <row r="2190" spans="1:13" s="76" customFormat="1" hidden="1" outlineLevel="1" x14ac:dyDescent="0.15">
      <c r="A2190" s="241" t="s">
        <v>220</v>
      </c>
      <c r="B2190" s="147" t="s">
        <v>220</v>
      </c>
      <c r="C2190" s="147" t="s">
        <v>1441</v>
      </c>
      <c r="D2190" s="147" t="s">
        <v>1087</v>
      </c>
      <c r="E2190" s="147">
        <v>0</v>
      </c>
      <c r="F2190" s="147" t="s">
        <v>454</v>
      </c>
      <c r="G2190" s="147"/>
      <c r="H2190" s="107" t="str">
        <f t="shared" si="6"/>
        <v>ifnull(b.issue_price,0) as issue_price,/*发行价*/</v>
      </c>
    </row>
    <row r="2191" spans="1:13" s="76" customFormat="1" hidden="1" outlineLevel="1" x14ac:dyDescent="0.15">
      <c r="A2191" s="241" t="s">
        <v>221</v>
      </c>
      <c r="B2191" s="147" t="s">
        <v>221</v>
      </c>
      <c r="C2191" s="147" t="s">
        <v>1442</v>
      </c>
      <c r="D2191" s="147" t="s">
        <v>1211</v>
      </c>
      <c r="E2191" s="147">
        <v>0</v>
      </c>
      <c r="F2191" s="147" t="s">
        <v>454</v>
      </c>
      <c r="G2191" s="147"/>
      <c r="H2191" s="107" t="str">
        <f t="shared" si="6"/>
        <v>ifnull(b.intrst_ratio,0) as intrst_ratio,/*年利率*/</v>
      </c>
    </row>
    <row r="2192" spans="1:13" s="76" customFormat="1" hidden="1" outlineLevel="1" x14ac:dyDescent="0.15">
      <c r="A2192" s="241" t="s">
        <v>223</v>
      </c>
      <c r="B2192" s="147" t="s">
        <v>223</v>
      </c>
      <c r="C2192" s="147" t="s">
        <v>1443</v>
      </c>
      <c r="D2192" s="147" t="s">
        <v>1172</v>
      </c>
      <c r="E2192" s="147">
        <v>0</v>
      </c>
      <c r="F2192" s="147" t="s">
        <v>454</v>
      </c>
      <c r="G2192" s="147"/>
      <c r="H2192" s="107" t="str">
        <f t="shared" si="6"/>
        <v>ifnull(b.intrst_days,0) as intrst_days,/*计息天数*/</v>
      </c>
    </row>
    <row r="2193" spans="1:8" s="76" customFormat="1" hidden="1" outlineLevel="1" x14ac:dyDescent="0.15">
      <c r="A2193" s="241" t="s">
        <v>224</v>
      </c>
      <c r="B2193" s="147" t="s">
        <v>224</v>
      </c>
      <c r="C2193" s="147" t="s">
        <v>1393</v>
      </c>
      <c r="D2193" s="147" t="s">
        <v>211</v>
      </c>
      <c r="E2193" s="147">
        <v>0</v>
      </c>
      <c r="F2193" s="147" t="s">
        <v>454</v>
      </c>
      <c r="G2193" s="147"/>
      <c r="H2193" s="107" t="str">
        <f t="shared" si="6"/>
        <v>ifnull(b.pay_inteval,0) as pay_inteval,/*付息间隔*/</v>
      </c>
    </row>
    <row r="2194" spans="1:8" s="76" customFormat="1" hidden="1" outlineLevel="1" x14ac:dyDescent="0.15">
      <c r="A2194" s="241" t="s">
        <v>225</v>
      </c>
      <c r="B2194" s="147" t="s">
        <v>225</v>
      </c>
      <c r="C2194" s="147" t="s">
        <v>1444</v>
      </c>
      <c r="D2194" s="147" t="s">
        <v>211</v>
      </c>
      <c r="E2194" s="147">
        <v>0</v>
      </c>
      <c r="F2194" s="147" t="s">
        <v>454</v>
      </c>
      <c r="G2194" s="147"/>
      <c r="H2194" s="107" t="str">
        <f t="shared" si="6"/>
        <v>ifnull(b.bond_accr_intrst,0) as bond_accr_intrst,/*债券计提利息*/</v>
      </c>
    </row>
    <row r="2195" spans="1:8" s="76" customFormat="1" hidden="1" outlineLevel="1" x14ac:dyDescent="0.15">
      <c r="A2195" s="17" t="s">
        <v>226</v>
      </c>
      <c r="B2195" s="147" t="s">
        <v>226</v>
      </c>
      <c r="C2195" s="147" t="s">
        <v>1395</v>
      </c>
      <c r="D2195" s="147" t="s">
        <v>1172</v>
      </c>
      <c r="E2195" s="147">
        <v>0</v>
      </c>
      <c r="F2195" s="147" t="s">
        <v>454</v>
      </c>
      <c r="G2195" s="147"/>
      <c r="H2195" s="107" t="str">
        <f t="shared" si="6"/>
        <v>ifnull(b.bond_rate_type,0) as bond_rate_type,/*债券利率类型*/</v>
      </c>
    </row>
    <row r="2196" spans="1:8" s="76" customFormat="1" hidden="1" outlineLevel="1" x14ac:dyDescent="0.15">
      <c r="A2196" s="241" t="s">
        <v>227</v>
      </c>
      <c r="B2196" s="147" t="s">
        <v>227</v>
      </c>
      <c r="C2196" s="147" t="s">
        <v>1396</v>
      </c>
      <c r="D2196" s="147" t="s">
        <v>211</v>
      </c>
      <c r="E2196" s="147">
        <v>0</v>
      </c>
      <c r="F2196" s="147" t="s">
        <v>454</v>
      </c>
      <c r="G2196" s="147"/>
      <c r="H2196" s="107" t="str">
        <f t="shared" si="6"/>
        <v>ifnull(b.inteval_days,0) as inteval_days,/*间隔天数*/</v>
      </c>
    </row>
    <row r="2197" spans="1:8" s="76" customFormat="1" hidden="1" outlineLevel="1" x14ac:dyDescent="0.15">
      <c r="A2197" s="241" t="s">
        <v>228</v>
      </c>
      <c r="B2197" s="147" t="s">
        <v>228</v>
      </c>
      <c r="C2197" s="147" t="s">
        <v>1445</v>
      </c>
      <c r="D2197" s="147" t="s">
        <v>211</v>
      </c>
      <c r="E2197" s="147">
        <v>0</v>
      </c>
      <c r="F2197" s="147" t="s">
        <v>454</v>
      </c>
      <c r="G2197" s="147" t="s">
        <v>1446</v>
      </c>
      <c r="H2197" s="107" t="str">
        <f t="shared" si="6"/>
        <v>ifnull(b.net_price_flag,0) as net_price_flag,/*净价标志*/</v>
      </c>
    </row>
    <row r="2198" spans="1:8" s="76" customFormat="1" hidden="1" outlineLevel="1" x14ac:dyDescent="0.15">
      <c r="A2198" s="241" t="s">
        <v>229</v>
      </c>
      <c r="B2198" s="147" t="s">
        <v>229</v>
      </c>
      <c r="C2198" s="147" t="s">
        <v>1392</v>
      </c>
      <c r="D2198" s="147" t="s">
        <v>211</v>
      </c>
      <c r="E2198" s="147">
        <v>0</v>
      </c>
      <c r="F2198" s="147" t="s">
        <v>454</v>
      </c>
      <c r="G2198" s="147"/>
      <c r="H2198" s="107" t="str">
        <f t="shared" si="6"/>
        <v>ifnull(b.last_trade_date,date_format(curdate(),'%Y%m%d')) as last_trade_date,/*最后交易日*/</v>
      </c>
    </row>
    <row r="2199" spans="1:8" s="76" customFormat="1" hidden="1" outlineLevel="1" x14ac:dyDescent="0.15">
      <c r="A2199" s="17" t="s">
        <v>230</v>
      </c>
      <c r="B2199" s="147" t="s">
        <v>230</v>
      </c>
      <c r="C2199" s="147" t="s">
        <v>1076</v>
      </c>
      <c r="D2199" s="147" t="s">
        <v>211</v>
      </c>
      <c r="E2199" s="147" t="s">
        <v>1141</v>
      </c>
      <c r="F2199" s="147" t="s">
        <v>454</v>
      </c>
      <c r="G2199" s="147"/>
      <c r="H2199" s="107" t="str">
        <f t="shared" si="6"/>
        <v>ifnull(b.rights_type,0) as rights_type,/*权益类型*/</v>
      </c>
    </row>
    <row r="2200" spans="1:8" s="76" customFormat="1" hidden="1" outlineLevel="1" x14ac:dyDescent="0.15">
      <c r="A2200" s="30" t="s">
        <v>231</v>
      </c>
      <c r="B2200" s="147" t="s">
        <v>231</v>
      </c>
      <c r="C2200" s="147" t="s">
        <v>1584</v>
      </c>
      <c r="D2200" s="147" t="s">
        <v>211</v>
      </c>
      <c r="E2200" s="147">
        <v>0</v>
      </c>
      <c r="F2200" s="147" t="s">
        <v>454</v>
      </c>
      <c r="G2200" s="147"/>
      <c r="H2200" s="107" t="str">
        <f t="shared" si="6"/>
        <v>ifnull(b.trans_begin_date,date_format(curdate(),'%Y%m%d')) as trans_begin_date,/*转股开始日期*/</v>
      </c>
    </row>
    <row r="2201" spans="1:8" s="76" customFormat="1" hidden="1" outlineLevel="1" x14ac:dyDescent="0.15">
      <c r="A2201" s="126" t="s">
        <v>232</v>
      </c>
      <c r="B2201" s="147" t="s">
        <v>232</v>
      </c>
      <c r="C2201" s="147" t="s">
        <v>1585</v>
      </c>
      <c r="D2201" s="147" t="s">
        <v>211</v>
      </c>
      <c r="E2201" s="147" t="s">
        <v>1141</v>
      </c>
      <c r="F2201" s="147" t="s">
        <v>454</v>
      </c>
      <c r="G2201" s="147"/>
      <c r="H2201" s="107" t="str">
        <f t="shared" si="6"/>
        <v>ifnull(b.trans_end_date,date_format(curdate(),'%Y%m%d')) as trans_end_date,/*转股结束日期*/</v>
      </c>
    </row>
    <row r="2202" spans="1:8" s="76" customFormat="1" hidden="1" outlineLevel="1" x14ac:dyDescent="0.15">
      <c r="A2202" s="126" t="s">
        <v>233</v>
      </c>
      <c r="B2202" s="147" t="s">
        <v>233</v>
      </c>
      <c r="C2202" s="147" t="s">
        <v>1447</v>
      </c>
      <c r="D2202" s="147" t="s">
        <v>211</v>
      </c>
      <c r="E2202" s="147" t="s">
        <v>1141</v>
      </c>
      <c r="F2202" s="147" t="s">
        <v>454</v>
      </c>
      <c r="G2202" s="147"/>
      <c r="H2202" s="107" t="str">
        <f t="shared" si="6"/>
        <v>ifnull(b.exec_begin_date,date_format(curdate(),'%Y%m%d')) as exec_begin_date,/*行权开始日期*/</v>
      </c>
    </row>
    <row r="2203" spans="1:8" s="76" customFormat="1" hidden="1" outlineLevel="1" x14ac:dyDescent="0.15">
      <c r="A2203" s="126" t="s">
        <v>234</v>
      </c>
      <c r="B2203" s="147" t="s">
        <v>234</v>
      </c>
      <c r="C2203" s="147" t="s">
        <v>1448</v>
      </c>
      <c r="D2203" s="147" t="s">
        <v>211</v>
      </c>
      <c r="E2203" s="147" t="s">
        <v>1141</v>
      </c>
      <c r="F2203" s="147" t="s">
        <v>454</v>
      </c>
      <c r="G2203" s="147"/>
      <c r="H2203" s="107" t="str">
        <f t="shared" si="6"/>
        <v>ifnull(b.exec_end_date,date_format(curdate(),'%Y%m%d')) as exec_end_date,/*行权结束日期*/</v>
      </c>
    </row>
    <row r="2204" spans="1:8" s="76" customFormat="1" hidden="1" outlineLevel="1" x14ac:dyDescent="0.15">
      <c r="A2204" s="126" t="s">
        <v>235</v>
      </c>
      <c r="B2204" s="147" t="s">
        <v>235</v>
      </c>
      <c r="C2204" s="147" t="s">
        <v>1586</v>
      </c>
      <c r="D2204" s="147" t="s">
        <v>211</v>
      </c>
      <c r="E2204" s="147" t="s">
        <v>1141</v>
      </c>
      <c r="F2204" s="147" t="s">
        <v>454</v>
      </c>
      <c r="G2204" s="147"/>
      <c r="H2204" s="107" t="str">
        <f t="shared" si="6"/>
        <v>ifnull(b.impawn_ratio,0) as impawn_ratio,/*质押比例*/</v>
      </c>
    </row>
    <row r="2205" spans="1:8" hidden="1" outlineLevel="1" x14ac:dyDescent="0.15">
      <c r="A2205" s="126" t="s">
        <v>236</v>
      </c>
      <c r="B2205" s="147" t="s">
        <v>236</v>
      </c>
      <c r="C2205" s="147" t="s">
        <v>1565</v>
      </c>
      <c r="D2205" s="147" t="s">
        <v>1172</v>
      </c>
      <c r="E2205" s="147">
        <v>0</v>
      </c>
      <c r="F2205" s="147" t="s">
        <v>454</v>
      </c>
      <c r="G2205" s="147"/>
    </row>
    <row r="2206" spans="1:8" hidden="1" outlineLevel="1" x14ac:dyDescent="0.15">
      <c r="B2206" s="104"/>
      <c r="C2206" s="93"/>
      <c r="D2206" s="93"/>
      <c r="E2206" s="93"/>
      <c r="F2206" s="93"/>
      <c r="G2206" s="94"/>
      <c r="H2206" s="1" t="s">
        <v>278</v>
      </c>
    </row>
    <row r="2207" spans="1:8" ht="18" hidden="1" outlineLevel="1" thickBot="1" x14ac:dyDescent="0.2">
      <c r="B2207" s="89"/>
      <c r="C2207" s="90"/>
      <c r="D2207" s="90"/>
      <c r="E2207" s="90"/>
      <c r="F2207" s="90"/>
      <c r="G2207" s="91"/>
      <c r="H2207" s="1" t="s">
        <v>279</v>
      </c>
    </row>
    <row r="2208" spans="1:8" hidden="1" outlineLevel="1" x14ac:dyDescent="0.15">
      <c r="B2208" s="324" t="s">
        <v>15</v>
      </c>
      <c r="C2208" s="325"/>
      <c r="D2208" s="325"/>
      <c r="E2208" s="325"/>
      <c r="F2208" s="325"/>
      <c r="G2208" s="326"/>
    </row>
    <row r="2209" spans="1:8" hidden="1" outlineLevel="1" x14ac:dyDescent="0.15">
      <c r="B2209" s="88">
        <v>1</v>
      </c>
      <c r="C2209" s="86" t="s">
        <v>118</v>
      </c>
      <c r="D2209" s="86"/>
      <c r="E2209" s="86"/>
      <c r="F2209" s="86"/>
      <c r="G2209" s="87"/>
    </row>
    <row r="2210" spans="1:8" hidden="1" outlineLevel="1" x14ac:dyDescent="0.15">
      <c r="B2210" s="92">
        <v>2</v>
      </c>
      <c r="C2210" s="93" t="s">
        <v>18</v>
      </c>
      <c r="D2210" s="93" t="s">
        <v>19</v>
      </c>
      <c r="E2210" s="93"/>
      <c r="F2210" s="93"/>
      <c r="G2210" s="94"/>
    </row>
    <row r="2211" spans="1:8" hidden="1" outlineLevel="1" x14ac:dyDescent="0.15">
      <c r="B2211" s="92">
        <v>3</v>
      </c>
      <c r="C2211" s="93" t="s">
        <v>184</v>
      </c>
      <c r="D2211" s="93"/>
      <c r="E2211" s="93"/>
      <c r="F2211" s="93"/>
      <c r="G2211" s="94"/>
    </row>
    <row r="2212" spans="1:8" ht="18" hidden="1" outlineLevel="1" thickBot="1" x14ac:dyDescent="0.2">
      <c r="B2212" s="89"/>
      <c r="C2212" s="90"/>
      <c r="D2212" s="90"/>
      <c r="E2212" s="90"/>
      <c r="F2212" s="90"/>
      <c r="G2212" s="91"/>
    </row>
    <row r="2213" spans="1:8" ht="18" hidden="1" outlineLevel="1" thickBot="1" x14ac:dyDescent="0.2">
      <c r="H2213" s="6" t="str">
        <f>"create or replace view "&amp;C2214</f>
        <v>create or replace view vi_basesedt_stock_quot_his</v>
      </c>
    </row>
    <row r="2214" spans="1:8" ht="18" collapsed="1" thickBot="1" x14ac:dyDescent="0.2">
      <c r="B2214" s="72" t="s">
        <v>563</v>
      </c>
      <c r="C2214" s="73" t="s">
        <v>626</v>
      </c>
      <c r="D2214" s="74" t="s">
        <v>515</v>
      </c>
      <c r="E2214" s="21" t="s">
        <v>1025</v>
      </c>
      <c r="F2214" s="74" t="s">
        <v>567</v>
      </c>
      <c r="G2214" s="75" t="s">
        <v>1621</v>
      </c>
      <c r="H2214" s="11" t="str">
        <f>"# "&amp;E2214</f>
        <v># 报表_资管报表_视图-证券基础数据-历史证券行情表</v>
      </c>
    </row>
    <row r="2215" spans="1:8" ht="18" hidden="1" outlineLevel="1" thickBot="1" x14ac:dyDescent="0.2">
      <c r="B2215" s="78" t="s">
        <v>570</v>
      </c>
      <c r="C2215" s="79"/>
      <c r="D2215" s="80" t="s">
        <v>568</v>
      </c>
      <c r="E2215" s="79" t="s">
        <v>615</v>
      </c>
      <c r="F2215" s="80"/>
      <c r="G2215" s="81"/>
      <c r="H2215" s="13" t="s">
        <v>283</v>
      </c>
    </row>
    <row r="2216" spans="1:8" hidden="1" outlineLevel="1" x14ac:dyDescent="0.15">
      <c r="B2216" s="72" t="s">
        <v>0</v>
      </c>
      <c r="C2216" s="82" t="s">
        <v>1</v>
      </c>
      <c r="D2216" s="82" t="s">
        <v>2</v>
      </c>
      <c r="E2216" s="82"/>
      <c r="F2216" s="82" t="s">
        <v>3</v>
      </c>
      <c r="G2216" s="83" t="s">
        <v>4</v>
      </c>
      <c r="H2216" s="107" t="str">
        <f>IF(F2218&lt;&gt;"",F2218,"t."&amp;C2218)&amp;" as "&amp;C2218&amp;",/*"&amp;B2218&amp;"*/"</f>
        <v>t.stock_code_no as stock_code_no,/*证券代码编号*/</v>
      </c>
    </row>
    <row r="2217" spans="1:8" s="76" customFormat="1" hidden="1" outlineLevel="1" x14ac:dyDescent="0.15">
      <c r="A2217" s="1"/>
      <c r="B2217" s="182" t="s">
        <v>1974</v>
      </c>
      <c r="C2217" s="299" t="s">
        <v>1127</v>
      </c>
      <c r="D2217" s="299" t="s">
        <v>211</v>
      </c>
      <c r="E2217" s="299" t="s">
        <v>1141</v>
      </c>
      <c r="F2217" s="299"/>
      <c r="G2217" s="300" t="s">
        <v>1162</v>
      </c>
      <c r="H2217" s="107"/>
    </row>
    <row r="2218" spans="1:8" hidden="1" outlineLevel="1" x14ac:dyDescent="0.15">
      <c r="B2218" s="84" t="s">
        <v>115</v>
      </c>
      <c r="C2218" s="85" t="s">
        <v>1188</v>
      </c>
      <c r="D2218" s="86" t="s">
        <v>211</v>
      </c>
      <c r="E2218" s="86">
        <v>0</v>
      </c>
      <c r="F2218" s="86"/>
      <c r="G2218" s="87"/>
      <c r="H2218" s="107" t="str">
        <f t="shared" ref="H2218:H2257" si="7">IF(F2219&lt;&gt;"",F2219,"t."&amp;C2219)&amp;" as "&amp;C2219&amp;",/*"&amp;B2219&amp;"*/"</f>
        <v>t.exch_no as exch_no,/*市场编号*/</v>
      </c>
    </row>
    <row r="2219" spans="1:8" hidden="1" outlineLevel="1" x14ac:dyDescent="0.15">
      <c r="B2219" s="84" t="s">
        <v>18</v>
      </c>
      <c r="C2219" s="85" t="s">
        <v>1190</v>
      </c>
      <c r="D2219" s="86" t="s">
        <v>211</v>
      </c>
      <c r="E2219" s="86">
        <v>0</v>
      </c>
      <c r="F2219" s="86"/>
      <c r="G2219" s="87" t="s">
        <v>1081</v>
      </c>
      <c r="H2219" s="107" t="str">
        <f t="shared" si="7"/>
        <v>t.stock_code as stock_code,/*证券代码*/</v>
      </c>
    </row>
    <row r="2220" spans="1:8" hidden="1" outlineLevel="1" x14ac:dyDescent="0.15">
      <c r="B2220" s="84" t="s">
        <v>19</v>
      </c>
      <c r="C2220" s="85" t="s">
        <v>1337</v>
      </c>
      <c r="D2220" s="86" t="s">
        <v>1219</v>
      </c>
      <c r="E2220" s="86" t="s">
        <v>1072</v>
      </c>
      <c r="F2220" s="86"/>
      <c r="G2220" s="87" t="s">
        <v>1338</v>
      </c>
      <c r="H2220" s="107" t="str">
        <f t="shared" si="7"/>
        <v>t.stock_name as stock_name,/*证券名称*/</v>
      </c>
    </row>
    <row r="2221" spans="1:8" hidden="1" outlineLevel="1" x14ac:dyDescent="0.15">
      <c r="B2221" s="84" t="s">
        <v>183</v>
      </c>
      <c r="C2221" s="85" t="s">
        <v>1122</v>
      </c>
      <c r="D2221" s="86" t="s">
        <v>1073</v>
      </c>
      <c r="E2221" s="86" t="s">
        <v>1072</v>
      </c>
      <c r="F2221" s="86"/>
      <c r="G2221" s="87"/>
      <c r="H2221" s="107" t="str">
        <f t="shared" si="7"/>
        <v>t.fair_price as fair_price,/*公允价格*/</v>
      </c>
    </row>
    <row r="2222" spans="1:8" hidden="1" outlineLevel="1" x14ac:dyDescent="0.15">
      <c r="B2222" s="84" t="s">
        <v>40</v>
      </c>
      <c r="C2222" s="86" t="s">
        <v>1459</v>
      </c>
      <c r="D2222" s="86" t="s">
        <v>1211</v>
      </c>
      <c r="E2222" s="86">
        <v>0</v>
      </c>
      <c r="F2222" s="86"/>
      <c r="G2222" s="87"/>
      <c r="H2222" s="107" t="str">
        <f t="shared" si="7"/>
        <v>t.up_limit_price as up_limit_price,/*涨停价*/</v>
      </c>
    </row>
    <row r="2223" spans="1:8" hidden="1" outlineLevel="1" x14ac:dyDescent="0.15">
      <c r="B2223" s="84" t="s">
        <v>29</v>
      </c>
      <c r="C2223" s="86" t="s">
        <v>1075</v>
      </c>
      <c r="D2223" s="86" t="s">
        <v>1211</v>
      </c>
      <c r="E2223" s="86">
        <v>0</v>
      </c>
      <c r="F2223" s="86"/>
      <c r="G2223" s="87"/>
      <c r="H2223" s="107" t="str">
        <f t="shared" si="7"/>
        <v>t.down_limit_price as down_limit_price,/*跌停价*/</v>
      </c>
    </row>
    <row r="2224" spans="1:8" hidden="1" outlineLevel="1" x14ac:dyDescent="0.15">
      <c r="B2224" s="84" t="s">
        <v>30</v>
      </c>
      <c r="C2224" s="86" t="s">
        <v>1240</v>
      </c>
      <c r="D2224" s="86" t="s">
        <v>1211</v>
      </c>
      <c r="E2224" s="86">
        <v>0</v>
      </c>
      <c r="F2224" s="86"/>
      <c r="G2224" s="87"/>
      <c r="H2224" s="107" t="str">
        <f t="shared" si="7"/>
        <v>t.last_price as last_price,/*最新价*/</v>
      </c>
    </row>
    <row r="2225" spans="2:8" hidden="1" outlineLevel="1" x14ac:dyDescent="0.15">
      <c r="B2225" s="84" t="s">
        <v>35</v>
      </c>
      <c r="C2225" s="86" t="s">
        <v>1236</v>
      </c>
      <c r="D2225" s="86" t="s">
        <v>1211</v>
      </c>
      <c r="E2225" s="86">
        <v>0</v>
      </c>
      <c r="F2225" s="86"/>
      <c r="G2225" s="87"/>
      <c r="H2225" s="107" t="str">
        <f t="shared" si="7"/>
        <v>t.pre_close_price as pre_close_price,/*昨收盘价*/</v>
      </c>
    </row>
    <row r="2226" spans="2:8" hidden="1" outlineLevel="1" x14ac:dyDescent="0.15">
      <c r="B2226" s="84" t="s">
        <v>32</v>
      </c>
      <c r="C2226" s="86" t="s">
        <v>1112</v>
      </c>
      <c r="D2226" s="86" t="s">
        <v>1211</v>
      </c>
      <c r="E2226" s="86">
        <v>0</v>
      </c>
      <c r="F2226" s="86"/>
      <c r="G2226" s="87"/>
      <c r="H2226" s="107" t="str">
        <f t="shared" si="7"/>
        <v>t.today_open_price as today_open_price,/*今开盘价*/</v>
      </c>
    </row>
    <row r="2227" spans="2:8" hidden="1" outlineLevel="1" x14ac:dyDescent="0.15">
      <c r="B2227" s="84" t="s">
        <v>33</v>
      </c>
      <c r="C2227" s="86" t="s">
        <v>1237</v>
      </c>
      <c r="D2227" s="86" t="s">
        <v>1211</v>
      </c>
      <c r="E2227" s="86">
        <v>0</v>
      </c>
      <c r="F2227" s="86"/>
      <c r="G2227" s="87"/>
      <c r="H2227" s="107" t="str">
        <f t="shared" si="7"/>
        <v>t.today_close_price as today_close_price,/*今收盘价*/</v>
      </c>
    </row>
    <row r="2228" spans="2:8" hidden="1" outlineLevel="1" x14ac:dyDescent="0.15">
      <c r="B2228" s="84" t="s">
        <v>34</v>
      </c>
      <c r="C2228" s="86" t="s">
        <v>1113</v>
      </c>
      <c r="D2228" s="86" t="s">
        <v>1211</v>
      </c>
      <c r="E2228" s="86">
        <v>0</v>
      </c>
      <c r="F2228" s="86"/>
      <c r="G2228" s="87"/>
      <c r="H2228" s="107" t="str">
        <f t="shared" si="7"/>
        <v>t.today_max_price as today_max_price,/*今最高价*/</v>
      </c>
    </row>
    <row r="2229" spans="2:8" hidden="1" outlineLevel="1" x14ac:dyDescent="0.15">
      <c r="B2229" s="84" t="s">
        <v>36</v>
      </c>
      <c r="C2229" s="86" t="s">
        <v>1463</v>
      </c>
      <c r="D2229" s="86" t="s">
        <v>1211</v>
      </c>
      <c r="E2229" s="86">
        <v>0</v>
      </c>
      <c r="F2229" s="86"/>
      <c r="G2229" s="87"/>
      <c r="H2229" s="107" t="str">
        <f t="shared" si="7"/>
        <v>t.today_min_price as today_min_price,/*今最低价*/</v>
      </c>
    </row>
    <row r="2230" spans="2:8" hidden="1" outlineLevel="1" x14ac:dyDescent="0.15">
      <c r="B2230" s="84" t="s">
        <v>37</v>
      </c>
      <c r="C2230" s="86" t="s">
        <v>1464</v>
      </c>
      <c r="D2230" s="86" t="s">
        <v>1211</v>
      </c>
      <c r="E2230" s="86">
        <v>0</v>
      </c>
      <c r="F2230" s="86"/>
      <c r="G2230" s="87"/>
      <c r="H2230" s="107" t="str">
        <f t="shared" si="7"/>
        <v>t.buy_price_1 as buy_price_1,/*买一价*/</v>
      </c>
    </row>
    <row r="2231" spans="2:8" hidden="1" outlineLevel="1" x14ac:dyDescent="0.15">
      <c r="B2231" s="88" t="s">
        <v>42</v>
      </c>
      <c r="C2231" s="86" t="s">
        <v>1084</v>
      </c>
      <c r="D2231" s="86" t="s">
        <v>1211</v>
      </c>
      <c r="E2231" s="86">
        <v>0</v>
      </c>
      <c r="F2231" s="86"/>
      <c r="G2231" s="87"/>
      <c r="H2231" s="107" t="str">
        <f t="shared" si="7"/>
        <v>t.buy_qty_1 as buy_qty_1,/*买一量*/</v>
      </c>
    </row>
    <row r="2232" spans="2:8" hidden="1" outlineLevel="1" x14ac:dyDescent="0.15">
      <c r="B2232" s="88" t="s">
        <v>43</v>
      </c>
      <c r="C2232" s="86" t="s">
        <v>1149</v>
      </c>
      <c r="D2232" s="86" t="s">
        <v>1087</v>
      </c>
      <c r="E2232" s="86">
        <v>0</v>
      </c>
      <c r="F2232" s="86"/>
      <c r="G2232" s="87"/>
      <c r="H2232" s="107" t="str">
        <f t="shared" si="7"/>
        <v>t.buy_price_2 as buy_price_2,/*买二价*/</v>
      </c>
    </row>
    <row r="2233" spans="2:8" hidden="1" outlineLevel="1" x14ac:dyDescent="0.15">
      <c r="B2233" s="88" t="s">
        <v>44</v>
      </c>
      <c r="C2233" s="86" t="s">
        <v>1100</v>
      </c>
      <c r="D2233" s="86" t="s">
        <v>1211</v>
      </c>
      <c r="E2233" s="86">
        <v>0</v>
      </c>
      <c r="F2233" s="86"/>
      <c r="G2233" s="87"/>
      <c r="H2233" s="107" t="str">
        <f t="shared" si="7"/>
        <v>t.buy_qty_2 as buy_qty_2,/*买二量*/</v>
      </c>
    </row>
    <row r="2234" spans="2:8" hidden="1" outlineLevel="1" x14ac:dyDescent="0.15">
      <c r="B2234" s="88" t="s">
        <v>45</v>
      </c>
      <c r="C2234" s="86" t="s">
        <v>1244</v>
      </c>
      <c r="D2234" s="86" t="s">
        <v>1087</v>
      </c>
      <c r="E2234" s="86">
        <v>0</v>
      </c>
      <c r="F2234" s="86"/>
      <c r="G2234" s="87"/>
      <c r="H2234" s="107" t="str">
        <f t="shared" si="7"/>
        <v>t.buy_price_3 as buy_price_3,/*买三价*/</v>
      </c>
    </row>
    <row r="2235" spans="2:8" hidden="1" outlineLevel="1" x14ac:dyDescent="0.15">
      <c r="B2235" s="88" t="s">
        <v>46</v>
      </c>
      <c r="C2235" s="86" t="s">
        <v>1245</v>
      </c>
      <c r="D2235" s="86" t="s">
        <v>1211</v>
      </c>
      <c r="E2235" s="86">
        <v>0</v>
      </c>
      <c r="F2235" s="86"/>
      <c r="G2235" s="87"/>
      <c r="H2235" s="107" t="str">
        <f t="shared" si="7"/>
        <v>t.buy_qty_3 as buy_qty_3,/*买三量*/</v>
      </c>
    </row>
    <row r="2236" spans="2:8" hidden="1" outlineLevel="1" x14ac:dyDescent="0.15">
      <c r="B2236" s="88" t="s">
        <v>47</v>
      </c>
      <c r="C2236" s="86" t="s">
        <v>1114</v>
      </c>
      <c r="D2236" s="86" t="s">
        <v>1087</v>
      </c>
      <c r="E2236" s="86">
        <v>0</v>
      </c>
      <c r="F2236" s="86"/>
      <c r="G2236" s="87"/>
      <c r="H2236" s="107" t="str">
        <f t="shared" si="7"/>
        <v>t.buy_price_4 as buy_price_4,/*买四价*/</v>
      </c>
    </row>
    <row r="2237" spans="2:8" hidden="1" outlineLevel="1" x14ac:dyDescent="0.15">
      <c r="B2237" s="88" t="s">
        <v>48</v>
      </c>
      <c r="C2237" s="86" t="s">
        <v>1532</v>
      </c>
      <c r="D2237" s="86" t="s">
        <v>1211</v>
      </c>
      <c r="E2237" s="86">
        <v>0</v>
      </c>
      <c r="F2237" s="86"/>
      <c r="G2237" s="87"/>
      <c r="H2237" s="107" t="str">
        <f t="shared" si="7"/>
        <v>t.buy_qty_4 as buy_qty_4,/*买四量*/</v>
      </c>
    </row>
    <row r="2238" spans="2:8" hidden="1" outlineLevel="1" x14ac:dyDescent="0.15">
      <c r="B2238" s="88" t="s">
        <v>49</v>
      </c>
      <c r="C2238" s="86" t="s">
        <v>1246</v>
      </c>
      <c r="D2238" s="86" t="s">
        <v>1087</v>
      </c>
      <c r="E2238" s="86">
        <v>0</v>
      </c>
      <c r="F2238" s="86"/>
      <c r="G2238" s="87"/>
      <c r="H2238" s="107" t="str">
        <f t="shared" si="7"/>
        <v>t.buy_price_5 as buy_price_5,/*买五价*/</v>
      </c>
    </row>
    <row r="2239" spans="2:8" hidden="1" outlineLevel="1" x14ac:dyDescent="0.15">
      <c r="B2239" s="88" t="s">
        <v>50</v>
      </c>
      <c r="C2239" s="86" t="s">
        <v>1247</v>
      </c>
      <c r="D2239" s="86" t="s">
        <v>1211</v>
      </c>
      <c r="E2239" s="86">
        <v>0</v>
      </c>
      <c r="F2239" s="86"/>
      <c r="G2239" s="87"/>
      <c r="H2239" s="107" t="str">
        <f t="shared" si="7"/>
        <v>t.buy_qty_5 as buy_qty_5,/*买五量*/</v>
      </c>
    </row>
    <row r="2240" spans="2:8" hidden="1" outlineLevel="1" x14ac:dyDescent="0.15">
      <c r="B2240" s="88" t="s">
        <v>51</v>
      </c>
      <c r="C2240" s="86" t="s">
        <v>1248</v>
      </c>
      <c r="D2240" s="86" t="s">
        <v>1087</v>
      </c>
      <c r="E2240" s="86">
        <v>0</v>
      </c>
      <c r="F2240" s="86"/>
      <c r="G2240" s="87"/>
      <c r="H2240" s="107" t="str">
        <f t="shared" si="7"/>
        <v>t.sell_price_1 as sell_price_1,/*卖一价*/</v>
      </c>
    </row>
    <row r="2241" spans="2:8" hidden="1" outlineLevel="1" x14ac:dyDescent="0.15">
      <c r="B2241" s="88" t="s">
        <v>52</v>
      </c>
      <c r="C2241" s="86" t="s">
        <v>1249</v>
      </c>
      <c r="D2241" s="86" t="s">
        <v>1211</v>
      </c>
      <c r="E2241" s="86">
        <v>0</v>
      </c>
      <c r="F2241" s="86"/>
      <c r="G2241" s="87"/>
      <c r="H2241" s="107" t="str">
        <f t="shared" si="7"/>
        <v>t.sell_qty_1 as sell_qty_1,/*卖一量*/</v>
      </c>
    </row>
    <row r="2242" spans="2:8" hidden="1" outlineLevel="1" x14ac:dyDescent="0.15">
      <c r="B2242" s="88" t="s">
        <v>53</v>
      </c>
      <c r="C2242" s="86" t="s">
        <v>1250</v>
      </c>
      <c r="D2242" s="86" t="s">
        <v>1087</v>
      </c>
      <c r="E2242" s="86">
        <v>0</v>
      </c>
      <c r="F2242" s="86"/>
      <c r="G2242" s="87"/>
      <c r="H2242" s="107" t="str">
        <f t="shared" si="7"/>
        <v>t.sell_price_2 as sell_price_2,/*卖二价*/</v>
      </c>
    </row>
    <row r="2243" spans="2:8" hidden="1" outlineLevel="1" x14ac:dyDescent="0.15">
      <c r="B2243" s="88" t="s">
        <v>54</v>
      </c>
      <c r="C2243" s="86" t="s">
        <v>1251</v>
      </c>
      <c r="D2243" s="86" t="s">
        <v>1211</v>
      </c>
      <c r="E2243" s="86">
        <v>0</v>
      </c>
      <c r="F2243" s="86"/>
      <c r="G2243" s="87"/>
      <c r="H2243" s="107" t="str">
        <f t="shared" si="7"/>
        <v>t.sell_qty_2 as sell_qty_2,/*卖二量*/</v>
      </c>
    </row>
    <row r="2244" spans="2:8" hidden="1" outlineLevel="1" x14ac:dyDescent="0.15">
      <c r="B2244" s="88" t="s">
        <v>55</v>
      </c>
      <c r="C2244" s="86" t="s">
        <v>1252</v>
      </c>
      <c r="D2244" s="86" t="s">
        <v>1087</v>
      </c>
      <c r="E2244" s="86">
        <v>0</v>
      </c>
      <c r="F2244" s="86"/>
      <c r="G2244" s="87"/>
      <c r="H2244" s="107" t="str">
        <f t="shared" si="7"/>
        <v>t.sell_price_3 as sell_price_3,/*卖三价*/</v>
      </c>
    </row>
    <row r="2245" spans="2:8" hidden="1" outlineLevel="1" x14ac:dyDescent="0.15">
      <c r="B2245" s="88" t="s">
        <v>56</v>
      </c>
      <c r="C2245" s="86" t="s">
        <v>1253</v>
      </c>
      <c r="D2245" s="86" t="s">
        <v>1211</v>
      </c>
      <c r="E2245" s="86">
        <v>0</v>
      </c>
      <c r="F2245" s="86"/>
      <c r="G2245" s="87"/>
      <c r="H2245" s="107" t="str">
        <f t="shared" si="7"/>
        <v>t.sell_qty_3 as sell_qty_3,/*卖三量*/</v>
      </c>
    </row>
    <row r="2246" spans="2:8" hidden="1" outlineLevel="1" x14ac:dyDescent="0.15">
      <c r="B2246" s="88" t="s">
        <v>57</v>
      </c>
      <c r="C2246" s="86" t="s">
        <v>1262</v>
      </c>
      <c r="D2246" s="86" t="s">
        <v>1087</v>
      </c>
      <c r="E2246" s="86">
        <v>0</v>
      </c>
      <c r="F2246" s="86"/>
      <c r="G2246" s="87"/>
      <c r="H2246" s="107" t="str">
        <f t="shared" si="7"/>
        <v>t.sell_price_4 as sell_price_4,/*卖四价*/</v>
      </c>
    </row>
    <row r="2247" spans="2:8" hidden="1" outlineLevel="1" x14ac:dyDescent="0.15">
      <c r="B2247" s="88" t="s">
        <v>58</v>
      </c>
      <c r="C2247" s="86" t="s">
        <v>1254</v>
      </c>
      <c r="D2247" s="86" t="s">
        <v>1211</v>
      </c>
      <c r="E2247" s="86">
        <v>0</v>
      </c>
      <c r="F2247" s="86"/>
      <c r="G2247" s="87"/>
      <c r="H2247" s="107" t="str">
        <f t="shared" si="7"/>
        <v>t.sell_qty_4 as sell_qty_4,/*卖四量*/</v>
      </c>
    </row>
    <row r="2248" spans="2:8" hidden="1" outlineLevel="1" x14ac:dyDescent="0.15">
      <c r="B2248" s="88" t="s">
        <v>59</v>
      </c>
      <c r="C2248" s="86" t="s">
        <v>1255</v>
      </c>
      <c r="D2248" s="86" t="s">
        <v>1087</v>
      </c>
      <c r="E2248" s="86">
        <v>0</v>
      </c>
      <c r="F2248" s="86"/>
      <c r="G2248" s="87"/>
      <c r="H2248" s="107" t="str">
        <f t="shared" si="7"/>
        <v>t.sell_price_5 as sell_price_5,/*卖五价*/</v>
      </c>
    </row>
    <row r="2249" spans="2:8" hidden="1" outlineLevel="1" x14ac:dyDescent="0.15">
      <c r="B2249" s="88" t="s">
        <v>60</v>
      </c>
      <c r="C2249" s="86" t="s">
        <v>1256</v>
      </c>
      <c r="D2249" s="86" t="s">
        <v>1211</v>
      </c>
      <c r="E2249" s="86">
        <v>0</v>
      </c>
      <c r="F2249" s="86"/>
      <c r="G2249" s="87"/>
      <c r="H2249" s="107" t="str">
        <f t="shared" si="7"/>
        <v>t.sell_qty_5 as sell_qty_5,/*卖五量*/</v>
      </c>
    </row>
    <row r="2250" spans="2:8" hidden="1" outlineLevel="1" x14ac:dyDescent="0.15">
      <c r="B2250" s="88" t="s">
        <v>61</v>
      </c>
      <c r="C2250" s="86" t="s">
        <v>1257</v>
      </c>
      <c r="D2250" s="86" t="s">
        <v>1087</v>
      </c>
      <c r="E2250" s="86">
        <v>0</v>
      </c>
      <c r="F2250" s="86"/>
      <c r="G2250" s="87"/>
      <c r="H2250" s="107" t="str">
        <f t="shared" si="7"/>
        <v>t.strike_qty as strike_qty,/*成交数量*/</v>
      </c>
    </row>
    <row r="2251" spans="2:8" hidden="1" outlineLevel="1" x14ac:dyDescent="0.15">
      <c r="B2251" s="84" t="s">
        <v>38</v>
      </c>
      <c r="C2251" s="86" t="s">
        <v>1241</v>
      </c>
      <c r="D2251" s="86" t="s">
        <v>1087</v>
      </c>
      <c r="E2251" s="86">
        <v>0</v>
      </c>
      <c r="F2251" s="86"/>
      <c r="G2251" s="87" t="s">
        <v>1086</v>
      </c>
      <c r="H2251" s="107" t="str">
        <f t="shared" si="7"/>
        <v>t.strike_amt as strike_amt,/*成交金额*/</v>
      </c>
    </row>
    <row r="2252" spans="2:8" hidden="1" outlineLevel="1" x14ac:dyDescent="0.15">
      <c r="B2252" s="84" t="s">
        <v>39</v>
      </c>
      <c r="C2252" s="86" t="s">
        <v>1242</v>
      </c>
      <c r="D2252" s="86" t="s">
        <v>1169</v>
      </c>
      <c r="E2252" s="86">
        <v>0</v>
      </c>
      <c r="F2252" s="86"/>
      <c r="G2252" s="87" t="s">
        <v>1243</v>
      </c>
      <c r="H2252" s="107" t="str">
        <f t="shared" si="7"/>
        <v>t.pe_ratio as pe_ratio,/*市盈率*/</v>
      </c>
    </row>
    <row r="2253" spans="2:8" hidden="1" outlineLevel="1" x14ac:dyDescent="0.15">
      <c r="B2253" s="84" t="s">
        <v>31</v>
      </c>
      <c r="C2253" s="86" t="s">
        <v>1465</v>
      </c>
      <c r="D2253" s="86" t="s">
        <v>1172</v>
      </c>
      <c r="E2253" s="86">
        <v>0</v>
      </c>
      <c r="F2253" s="86"/>
      <c r="G2253" s="87"/>
      <c r="H2253" s="107" t="str">
        <f t="shared" si="7"/>
        <v>t.time_stamp as time_stamp,/*时间戳*/</v>
      </c>
    </row>
    <row r="2254" spans="2:8" hidden="1" outlineLevel="1" x14ac:dyDescent="0.15">
      <c r="B2254" s="84" t="s">
        <v>184</v>
      </c>
      <c r="C2254" s="86" t="s">
        <v>1260</v>
      </c>
      <c r="D2254" s="86" t="s">
        <v>211</v>
      </c>
      <c r="E2254" s="86" t="s">
        <v>1261</v>
      </c>
      <c r="F2254" s="86"/>
      <c r="G2254" s="87"/>
      <c r="H2254" s="107" t="str">
        <f t="shared" si="7"/>
        <v>t.bond_accr_intrst as bond_accr_intrst,/*债券计提利息*/</v>
      </c>
    </row>
    <row r="2255" spans="2:8" hidden="1" outlineLevel="1" x14ac:dyDescent="0.15">
      <c r="B2255" s="105" t="s">
        <v>258</v>
      </c>
      <c r="C2255" s="106" t="s">
        <v>1395</v>
      </c>
      <c r="D2255" s="93" t="s">
        <v>1466</v>
      </c>
      <c r="E2255" s="93">
        <v>0</v>
      </c>
      <c r="F2255" s="93"/>
      <c r="G2255" s="94"/>
      <c r="H2255" s="107" t="str">
        <f t="shared" si="7"/>
        <v>t.net_price_flag as net_price_flag,/*净价标志*/</v>
      </c>
    </row>
    <row r="2256" spans="2:8" hidden="1" outlineLevel="1" x14ac:dyDescent="0.15">
      <c r="B2256" s="105" t="s">
        <v>259</v>
      </c>
      <c r="C2256" s="106" t="s">
        <v>1392</v>
      </c>
      <c r="D2256" s="93" t="s">
        <v>423</v>
      </c>
      <c r="E2256" s="93">
        <v>0</v>
      </c>
      <c r="F2256" s="93"/>
      <c r="G2256" s="94"/>
      <c r="H2256" s="107" t="str">
        <f t="shared" si="7"/>
        <v>t.asset_type as asset_type,/*资产类型*/</v>
      </c>
    </row>
    <row r="2257" spans="1:8" hidden="1" outlineLevel="1" x14ac:dyDescent="0.15">
      <c r="B2257" s="105" t="s">
        <v>41</v>
      </c>
      <c r="C2257" s="106" t="s">
        <v>1258</v>
      </c>
      <c r="D2257" s="93" t="s">
        <v>423</v>
      </c>
      <c r="E2257" s="93">
        <v>0</v>
      </c>
      <c r="F2257" s="93"/>
      <c r="G2257" s="94" t="s">
        <v>1360</v>
      </c>
      <c r="H2257" s="107" t="str">
        <f t="shared" si="7"/>
        <v>t.stock_type as stock_type,/*证券类型*/</v>
      </c>
    </row>
    <row r="2258" spans="1:8" hidden="1" outlineLevel="1" x14ac:dyDescent="0.15">
      <c r="B2258" s="105" t="s">
        <v>93</v>
      </c>
      <c r="C2258" s="106" t="s">
        <v>1189</v>
      </c>
      <c r="D2258" s="93" t="s">
        <v>423</v>
      </c>
      <c r="E2258" s="93">
        <v>0</v>
      </c>
      <c r="F2258" s="93"/>
      <c r="G2258" s="94"/>
    </row>
    <row r="2259" spans="1:8" hidden="1" outlineLevel="1" x14ac:dyDescent="0.15">
      <c r="B2259" s="104"/>
      <c r="C2259" s="93"/>
      <c r="D2259" s="93"/>
      <c r="E2259" s="93"/>
      <c r="F2259" s="93"/>
      <c r="G2259" s="94"/>
      <c r="H2259" s="1" t="s">
        <v>278</v>
      </c>
    </row>
    <row r="2260" spans="1:8" ht="18" hidden="1" outlineLevel="1" thickBot="1" x14ac:dyDescent="0.2">
      <c r="B2260" s="89"/>
      <c r="C2260" s="90"/>
      <c r="D2260" s="90"/>
      <c r="E2260" s="90"/>
      <c r="F2260" s="90"/>
      <c r="G2260" s="91"/>
      <c r="H2260" s="1" t="s">
        <v>279</v>
      </c>
    </row>
    <row r="2261" spans="1:8" hidden="1" outlineLevel="1" x14ac:dyDescent="0.15">
      <c r="B2261" s="324" t="s">
        <v>15</v>
      </c>
      <c r="C2261" s="325"/>
      <c r="D2261" s="325"/>
      <c r="E2261" s="325"/>
      <c r="F2261" s="325"/>
      <c r="G2261" s="326"/>
    </row>
    <row r="2262" spans="1:8" hidden="1" outlineLevel="1" x14ac:dyDescent="0.15">
      <c r="B2262" s="88">
        <v>1</v>
      </c>
      <c r="C2262" s="86" t="s">
        <v>118</v>
      </c>
      <c r="D2262" s="86"/>
      <c r="E2262" s="86"/>
      <c r="F2262" s="86"/>
      <c r="G2262" s="87"/>
    </row>
    <row r="2263" spans="1:8" hidden="1" outlineLevel="1" x14ac:dyDescent="0.15">
      <c r="B2263" s="92">
        <v>2</v>
      </c>
      <c r="C2263" s="93" t="s">
        <v>18</v>
      </c>
      <c r="D2263" s="93" t="s">
        <v>19</v>
      </c>
      <c r="E2263" s="93"/>
      <c r="F2263" s="93"/>
      <c r="G2263" s="94"/>
    </row>
    <row r="2264" spans="1:8" hidden="1" outlineLevel="1" x14ac:dyDescent="0.15">
      <c r="B2264" s="92">
        <v>3</v>
      </c>
      <c r="C2264" s="93" t="s">
        <v>184</v>
      </c>
      <c r="D2264" s="93"/>
      <c r="E2264" s="93"/>
      <c r="F2264" s="93"/>
      <c r="G2264" s="94"/>
    </row>
    <row r="2265" spans="1:8" ht="18" hidden="1" outlineLevel="1" thickBot="1" x14ac:dyDescent="0.2">
      <c r="B2265" s="89"/>
      <c r="C2265" s="90"/>
      <c r="D2265" s="90"/>
      <c r="E2265" s="90"/>
      <c r="F2265" s="90"/>
      <c r="G2265" s="91"/>
    </row>
    <row r="2266" spans="1:8" hidden="1" outlineLevel="1" x14ac:dyDescent="0.15"/>
    <row r="2267" spans="1:8" ht="18" hidden="1" outlineLevel="1" thickBot="1" x14ac:dyDescent="0.2"/>
    <row r="2268" spans="1:8" s="7" customFormat="1" ht="18" hidden="1" outlineLevel="1" thickBot="1" x14ac:dyDescent="0.2">
      <c r="A2268" s="1"/>
      <c r="B2268" s="1"/>
      <c r="C2268" s="1"/>
      <c r="D2268" s="1"/>
      <c r="E2268" s="1"/>
      <c r="F2268" s="1"/>
      <c r="G2268" s="1"/>
      <c r="H2268" s="6" t="str">
        <f>"create or replace view "&amp;C2269</f>
        <v>create or replace view vi_user_opor_info</v>
      </c>
    </row>
    <row r="2269" spans="1:8" s="7" customFormat="1" ht="18" collapsed="1" thickBot="1" x14ac:dyDescent="0.2">
      <c r="B2269" s="3" t="s">
        <v>563</v>
      </c>
      <c r="C2269" s="4" t="s">
        <v>630</v>
      </c>
      <c r="D2269" s="5" t="s">
        <v>515</v>
      </c>
      <c r="E2269" s="21" t="s">
        <v>604</v>
      </c>
      <c r="F2269" s="5" t="s">
        <v>567</v>
      </c>
      <c r="G2269" s="6" t="s">
        <v>1618</v>
      </c>
      <c r="H2269" s="11" t="str">
        <f>"# "&amp;E2269</f>
        <v># 报表_资管报表_视图-公共-用户-操作员信息表</v>
      </c>
    </row>
    <row r="2270" spans="1:8" s="7" customFormat="1" ht="18" hidden="1" outlineLevel="1" thickBot="1" x14ac:dyDescent="0.2">
      <c r="B2270" s="8" t="s">
        <v>570</v>
      </c>
      <c r="C2270" s="9"/>
      <c r="D2270" s="10" t="s">
        <v>568</v>
      </c>
      <c r="E2270" s="9" t="s">
        <v>615</v>
      </c>
      <c r="F2270" s="10"/>
      <c r="G2270" s="11"/>
      <c r="H2270" s="13" t="s">
        <v>283</v>
      </c>
    </row>
    <row r="2271" spans="1:8" s="7" customFormat="1" hidden="1" outlineLevel="1" x14ac:dyDescent="0.15">
      <c r="B2271" s="12" t="s">
        <v>0</v>
      </c>
      <c r="C2271" s="13" t="s">
        <v>1</v>
      </c>
      <c r="D2271" s="13" t="s">
        <v>2</v>
      </c>
      <c r="E2271" s="13"/>
      <c r="F2271" s="13" t="s">
        <v>3</v>
      </c>
      <c r="G2271" s="111" t="s">
        <v>4</v>
      </c>
      <c r="H2271" s="107" t="str">
        <f t="shared" ref="H2271:H2286" si="8">IF(F2272&lt;&gt;"",F2272,"t."&amp;C2272)&amp;" as "&amp;C2272&amp;",/*"&amp;B2272&amp;"*/"</f>
        <v>t.co_no as co_no,/*机构编号*/</v>
      </c>
    </row>
    <row r="2272" spans="1:8" s="7" customFormat="1" hidden="1" outlineLevel="1" x14ac:dyDescent="0.15">
      <c r="B2272" s="14" t="s">
        <v>16</v>
      </c>
      <c r="C2272" s="15" t="s">
        <v>1163</v>
      </c>
      <c r="D2272" s="15" t="s">
        <v>211</v>
      </c>
      <c r="E2272" s="15">
        <v>0</v>
      </c>
      <c r="F2272" s="15"/>
      <c r="G2272" s="16" t="s">
        <v>1077</v>
      </c>
      <c r="H2272" s="107" t="str">
        <f t="shared" si="8"/>
        <v>t.opor_no as opor_no,/*操作员编号*/</v>
      </c>
    </row>
    <row r="2273" spans="2:8" s="7" customFormat="1" hidden="1" outlineLevel="1" x14ac:dyDescent="0.15">
      <c r="B2273" s="14" t="s">
        <v>135</v>
      </c>
      <c r="C2273" s="15" t="s">
        <v>1357</v>
      </c>
      <c r="D2273" s="15" t="s">
        <v>211</v>
      </c>
      <c r="E2273" s="15">
        <v>0</v>
      </c>
      <c r="F2273" s="15"/>
      <c r="G2273" s="16" t="s">
        <v>1358</v>
      </c>
      <c r="H2273" s="107" t="str">
        <f t="shared" si="8"/>
        <v>t.opor_name as opor_name,/*操作员名称*/</v>
      </c>
    </row>
    <row r="2274" spans="2:8" s="7" customFormat="1" hidden="1" outlineLevel="1" x14ac:dyDescent="0.15">
      <c r="B2274" s="14" t="s">
        <v>284</v>
      </c>
      <c r="C2274" s="112" t="s">
        <v>1467</v>
      </c>
      <c r="D2274" s="15" t="s">
        <v>1073</v>
      </c>
      <c r="E2274" s="15" t="s">
        <v>1072</v>
      </c>
      <c r="F2274" s="15"/>
      <c r="G2274" s="16"/>
      <c r="H2274" s="107" t="str">
        <f t="shared" si="8"/>
        <v>t.opor_type as opor_type,/*操作员类型*/</v>
      </c>
    </row>
    <row r="2275" spans="2:8" s="7" customFormat="1" hidden="1" outlineLevel="1" x14ac:dyDescent="0.15">
      <c r="B2275" s="14" t="s">
        <v>285</v>
      </c>
      <c r="C2275" s="15" t="s">
        <v>1468</v>
      </c>
      <c r="D2275" s="15" t="s">
        <v>211</v>
      </c>
      <c r="E2275" s="15">
        <v>0</v>
      </c>
      <c r="F2275" s="15"/>
      <c r="G2275" s="16"/>
      <c r="H2275" s="107" t="str">
        <f t="shared" si="8"/>
        <v>t.opor_pwd as opor_pwd,/*操作员密码*/</v>
      </c>
    </row>
    <row r="2276" spans="2:8" s="7" customFormat="1" hidden="1" outlineLevel="1" x14ac:dyDescent="0.15">
      <c r="B2276" s="14" t="s">
        <v>286</v>
      </c>
      <c r="C2276" s="29" t="s">
        <v>1594</v>
      </c>
      <c r="D2276" s="15" t="s">
        <v>1073</v>
      </c>
      <c r="E2276" s="15" t="s">
        <v>1072</v>
      </c>
      <c r="F2276" s="15"/>
      <c r="G2276" s="16" t="s">
        <v>1595</v>
      </c>
      <c r="H2276" s="107" t="str">
        <f t="shared" si="8"/>
        <v>t.opor_status as opor_status,/*操作员状态*/</v>
      </c>
    </row>
    <row r="2277" spans="2:8" s="7" customFormat="1" hidden="1" outlineLevel="1" x14ac:dyDescent="0.15">
      <c r="B2277" s="14" t="s">
        <v>287</v>
      </c>
      <c r="C2277" s="15" t="s">
        <v>1469</v>
      </c>
      <c r="D2277" s="15" t="s">
        <v>1403</v>
      </c>
      <c r="E2277" s="15" t="s">
        <v>1303</v>
      </c>
      <c r="F2277" s="15"/>
      <c r="G2277" s="16"/>
      <c r="H2277" s="107" t="str">
        <f t="shared" si="8"/>
        <v>t.create_opor as create_opor,/*创建者*/</v>
      </c>
    </row>
    <row r="2278" spans="2:8" s="7" customFormat="1" hidden="1" outlineLevel="1" x14ac:dyDescent="0.15">
      <c r="B2278" s="14" t="s">
        <v>288</v>
      </c>
      <c r="C2278" s="15" t="s">
        <v>1596</v>
      </c>
      <c r="D2278" s="15" t="s">
        <v>211</v>
      </c>
      <c r="E2278" s="15">
        <v>0</v>
      </c>
      <c r="F2278" s="15"/>
      <c r="G2278" s="16"/>
      <c r="H2278" s="107" t="str">
        <f t="shared" si="8"/>
        <v>t.conta_addr as conta_addr,/*联系地址*/</v>
      </c>
    </row>
    <row r="2279" spans="2:8" s="7" customFormat="1" hidden="1" outlineLevel="1" x14ac:dyDescent="0.15">
      <c r="B2279" s="17" t="s">
        <v>289</v>
      </c>
      <c r="C2279" s="29" t="s">
        <v>1597</v>
      </c>
      <c r="D2279" s="15" t="s">
        <v>1092</v>
      </c>
      <c r="E2279" s="15" t="s">
        <v>1072</v>
      </c>
      <c r="F2279" s="15"/>
      <c r="G2279" s="16"/>
      <c r="H2279" s="107" t="str">
        <f t="shared" si="8"/>
        <v>t.oper_rights as oper_rights,/*操作权限*/</v>
      </c>
    </row>
    <row r="2280" spans="2:8" s="7" customFormat="1" hidden="1" outlineLevel="1" x14ac:dyDescent="0.15">
      <c r="B2280" s="17" t="s">
        <v>290</v>
      </c>
      <c r="C2280" s="113" t="s">
        <v>1437</v>
      </c>
      <c r="D2280" s="15" t="s">
        <v>211</v>
      </c>
      <c r="E2280" s="15">
        <v>0</v>
      </c>
      <c r="F2280" s="15"/>
      <c r="G2280" s="16"/>
      <c r="H2280" s="107" t="str">
        <f t="shared" si="8"/>
        <v>t.phone_number as phone_number,/*电话*/</v>
      </c>
    </row>
    <row r="2281" spans="2:8" s="7" customFormat="1" hidden="1" outlineLevel="1" x14ac:dyDescent="0.15">
      <c r="B2281" s="21" t="s">
        <v>291</v>
      </c>
      <c r="C2281" s="102" t="s">
        <v>1470</v>
      </c>
      <c r="D2281" s="15" t="s">
        <v>1301</v>
      </c>
      <c r="E2281" s="15" t="s">
        <v>1072</v>
      </c>
      <c r="F2281" s="15"/>
      <c r="G2281" s="16"/>
      <c r="H2281" s="107" t="str">
        <f t="shared" si="8"/>
        <v>t.email as email,/*EMAIL*/</v>
      </c>
    </row>
    <row r="2282" spans="2:8" s="7" customFormat="1" hidden="1" outlineLevel="1" x14ac:dyDescent="0.15">
      <c r="B2282" s="14" t="s">
        <v>292</v>
      </c>
      <c r="C2282" s="29" t="s">
        <v>1471</v>
      </c>
      <c r="D2282" s="15" t="s">
        <v>1092</v>
      </c>
      <c r="E2282" s="15" t="s">
        <v>1072</v>
      </c>
      <c r="F2282" s="15"/>
      <c r="G2282" s="16"/>
      <c r="H2282" s="107" t="str">
        <f t="shared" si="8"/>
        <v>t.is_trader as is_trader,/*是否交易员*/</v>
      </c>
    </row>
    <row r="2283" spans="2:8" s="7" customFormat="1" hidden="1" outlineLevel="1" x14ac:dyDescent="0.15">
      <c r="B2283" s="14" t="s">
        <v>293</v>
      </c>
      <c r="C2283" s="29" t="s">
        <v>1472</v>
      </c>
      <c r="D2283" s="15" t="s">
        <v>211</v>
      </c>
      <c r="E2283" s="15">
        <v>0</v>
      </c>
      <c r="F2283" s="15"/>
      <c r="G2283" s="16"/>
      <c r="H2283" s="107" t="str">
        <f t="shared" si="8"/>
        <v>t.trader_no as trader_no,/*交易员编号*/</v>
      </c>
    </row>
    <row r="2284" spans="2:8" s="7" customFormat="1" hidden="1" outlineLevel="1" x14ac:dyDescent="0.15">
      <c r="B2284" s="14" t="s">
        <v>294</v>
      </c>
      <c r="C2284" s="113" t="s">
        <v>1473</v>
      </c>
      <c r="D2284" s="15" t="s">
        <v>211</v>
      </c>
      <c r="E2284" s="15">
        <v>0</v>
      </c>
      <c r="F2284" s="15"/>
      <c r="G2284" s="16"/>
      <c r="H2284" s="107" t="str">
        <f t="shared" si="8"/>
        <v>t.allow_login_type as allow_login_type,/*允许登录方式*/</v>
      </c>
    </row>
    <row r="2285" spans="2:8" s="7" customFormat="1" hidden="1" outlineLevel="1" x14ac:dyDescent="0.15">
      <c r="B2285" s="114" t="s">
        <v>295</v>
      </c>
      <c r="C2285" s="113" t="s">
        <v>1598</v>
      </c>
      <c r="D2285" s="21" t="s">
        <v>1073</v>
      </c>
      <c r="E2285" s="21" t="s">
        <v>1072</v>
      </c>
      <c r="F2285" s="21"/>
      <c r="G2285" s="22"/>
      <c r="H2285" s="107" t="str">
        <f t="shared" si="8"/>
        <v>t.allow_oper_ip_addr as allow_oper_ip_addr,/*允许操作IP*/</v>
      </c>
    </row>
    <row r="2286" spans="2:8" s="7" customFormat="1" hidden="1" outlineLevel="1" x14ac:dyDescent="0.15">
      <c r="B2286" s="20" t="s">
        <v>296</v>
      </c>
      <c r="C2286" s="113" t="s">
        <v>1474</v>
      </c>
      <c r="D2286" s="21" t="s">
        <v>1092</v>
      </c>
      <c r="E2286" s="21" t="s">
        <v>1072</v>
      </c>
      <c r="F2286" s="21"/>
      <c r="G2286" s="22"/>
      <c r="H2286" s="107" t="str">
        <f t="shared" si="8"/>
        <v>t.allow_oper_mac as allow_oper_mac,/*允许操作MAC*/</v>
      </c>
    </row>
    <row r="2287" spans="2:8" s="7" customFormat="1" hidden="1" outlineLevel="1" x14ac:dyDescent="0.15">
      <c r="B2287" s="20" t="s">
        <v>297</v>
      </c>
      <c r="C2287" s="113" t="s">
        <v>1599</v>
      </c>
      <c r="D2287" s="21" t="s">
        <v>1092</v>
      </c>
      <c r="E2287" s="21" t="s">
        <v>1072</v>
      </c>
      <c r="F2287" s="21"/>
      <c r="G2287" s="22"/>
    </row>
    <row r="2288" spans="2:8" s="7" customFormat="1" ht="18" hidden="1" outlineLevel="1" thickBot="1" x14ac:dyDescent="0.2">
      <c r="B2288" s="17"/>
      <c r="C2288" s="18"/>
      <c r="D2288" s="18"/>
      <c r="E2288" s="18"/>
      <c r="F2288" s="18"/>
      <c r="G2288" s="19"/>
    </row>
    <row r="2289" spans="1:14" s="7" customFormat="1" hidden="1" outlineLevel="1" x14ac:dyDescent="0.15">
      <c r="B2289" s="327" t="s">
        <v>15</v>
      </c>
      <c r="C2289" s="328"/>
      <c r="D2289" s="328"/>
      <c r="E2289" s="328"/>
      <c r="F2289" s="328"/>
      <c r="G2289" s="329"/>
    </row>
    <row r="2290" spans="1:14" s="7" customFormat="1" hidden="1" outlineLevel="1" x14ac:dyDescent="0.15">
      <c r="A2290" s="7" t="s">
        <v>298</v>
      </c>
      <c r="B2290" s="20">
        <v>1</v>
      </c>
      <c r="C2290" s="21" t="s">
        <v>135</v>
      </c>
      <c r="D2290" s="21"/>
      <c r="E2290" s="21"/>
      <c r="F2290" s="21"/>
      <c r="G2290" s="22"/>
    </row>
    <row r="2291" spans="1:14" s="7" customFormat="1" hidden="1" outlineLevel="1" x14ac:dyDescent="0.15">
      <c r="B2291" s="17">
        <v>2</v>
      </c>
      <c r="C2291" s="18" t="s">
        <v>294</v>
      </c>
      <c r="D2291" s="18"/>
      <c r="E2291" s="18"/>
      <c r="F2291" s="18"/>
      <c r="G2291" s="19"/>
    </row>
    <row r="2292" spans="1:14" s="7" customFormat="1" hidden="1" outlineLevel="1" x14ac:dyDescent="0.15">
      <c r="B2292" s="17">
        <v>3</v>
      </c>
      <c r="C2292" s="18" t="s">
        <v>16</v>
      </c>
      <c r="D2292" s="18"/>
      <c r="E2292" s="18"/>
      <c r="F2292" s="18"/>
      <c r="G2292" s="19"/>
    </row>
    <row r="2293" spans="1:14" s="7" customFormat="1" ht="18" hidden="1" outlineLevel="1" thickBot="1" x14ac:dyDescent="0.2">
      <c r="B2293" s="24"/>
      <c r="C2293" s="9"/>
      <c r="D2293" s="9"/>
      <c r="E2293" s="9"/>
      <c r="F2293" s="9"/>
      <c r="G2293" s="11"/>
    </row>
    <row r="2294" spans="1:14" s="7" customFormat="1" ht="18" hidden="1" outlineLevel="1" thickBot="1" x14ac:dyDescent="0.2"/>
    <row r="2295" spans="1:14" s="7" customFormat="1" ht="18" hidden="1" outlineLevel="1" thickBot="1" x14ac:dyDescent="0.2">
      <c r="A2295" s="2"/>
      <c r="H2295" s="6" t="str">
        <f>"create or replace view "&amp;C2296</f>
        <v>create or replace view vi_rptasset_qry_pd_asset</v>
      </c>
    </row>
    <row r="2296" spans="1:14" s="7" customFormat="1" ht="18" collapsed="1" thickBot="1" x14ac:dyDescent="0.2">
      <c r="A2296" s="2"/>
      <c r="B2296" s="3" t="s">
        <v>563</v>
      </c>
      <c r="C2296" s="4" t="s">
        <v>673</v>
      </c>
      <c r="D2296" s="5" t="s">
        <v>515</v>
      </c>
      <c r="E2296" s="21" t="s">
        <v>583</v>
      </c>
      <c r="F2296" s="5" t="s">
        <v>567</v>
      </c>
      <c r="G2296" s="6" t="s">
        <v>546</v>
      </c>
      <c r="H2296" s="11" t="str">
        <f>"/* "&amp;E2296&amp;"*/  as "</f>
        <v xml:space="preserve">/* 报表_资管报表_视图-查询产品资产*/  as </v>
      </c>
    </row>
    <row r="2297" spans="1:14" s="7" customFormat="1" ht="18" outlineLevel="1" thickBot="1" x14ac:dyDescent="0.2">
      <c r="A2297" s="2"/>
      <c r="B2297" s="34" t="s">
        <v>570</v>
      </c>
      <c r="C2297" s="18"/>
      <c r="D2297" s="35" t="s">
        <v>568</v>
      </c>
      <c r="E2297" s="18" t="s">
        <v>615</v>
      </c>
      <c r="F2297" s="35"/>
      <c r="G2297" s="19"/>
      <c r="H2297" s="13" t="s">
        <v>474</v>
      </c>
    </row>
    <row r="2298" spans="1:14" s="166" customFormat="1" ht="17.25" customHeight="1" outlineLevel="1" x14ac:dyDescent="0.15">
      <c r="A2298" s="2"/>
      <c r="B2298" s="3" t="s">
        <v>0</v>
      </c>
      <c r="C2298" s="5" t="s">
        <v>1</v>
      </c>
      <c r="D2298" s="5" t="s">
        <v>2</v>
      </c>
      <c r="E2298" s="5"/>
      <c r="F2298" s="5" t="s">
        <v>3</v>
      </c>
      <c r="G2298" s="36" t="s">
        <v>4</v>
      </c>
      <c r="H2298" s="107" t="str">
        <f t="shared" ref="H2298:H2319" si="9">"ifnull("&amp;IF(I2298&lt;&gt;"",I2298,IF(F2299&lt;&gt;"",F2299,"t")&amp;"."&amp;C2299)&amp;","&amp;E2299&amp;") as "&amp;C2299&amp;",/*"&amp;B2299&amp;"*/"</f>
        <v>ifnull(t.init_date,date_format(curdate(),'%Y%m%d')) as init_date,/*初始化日期*/</v>
      </c>
      <c r="J2298" s="166" t="s">
        <v>237</v>
      </c>
      <c r="K2298" s="166" t="s">
        <v>238</v>
      </c>
      <c r="L2298" s="166" t="s">
        <v>211</v>
      </c>
      <c r="M2298" s="166" t="s">
        <v>211</v>
      </c>
      <c r="N2298" s="166">
        <v>1211</v>
      </c>
    </row>
    <row r="2299" spans="1:14" s="166" customFormat="1" ht="17.25" customHeight="1" outlineLevel="1" x14ac:dyDescent="0.15">
      <c r="B2299" s="167" t="s">
        <v>22</v>
      </c>
      <c r="C2299" s="168" t="s">
        <v>1127</v>
      </c>
      <c r="D2299" s="168" t="s">
        <v>211</v>
      </c>
      <c r="E2299" s="168" t="s">
        <v>1141</v>
      </c>
      <c r="F2299" s="168"/>
      <c r="G2299" s="169" t="s">
        <v>1162</v>
      </c>
      <c r="H2299" s="107" t="str">
        <f t="shared" si="9"/>
        <v>ifnull(t.pd_no,0) as pd_no,/*产品编号*/</v>
      </c>
      <c r="J2299" s="166" t="s">
        <v>237</v>
      </c>
      <c r="K2299" s="166" t="s">
        <v>238</v>
      </c>
      <c r="L2299" s="166" t="s">
        <v>211</v>
      </c>
      <c r="M2299" s="166" t="s">
        <v>211</v>
      </c>
      <c r="N2299" s="166">
        <v>1112</v>
      </c>
    </row>
    <row r="2300" spans="1:14" s="166" customFormat="1" ht="17.25" customHeight="1" outlineLevel="1" x14ac:dyDescent="0.15">
      <c r="B2300" s="167" t="s">
        <v>111</v>
      </c>
      <c r="C2300" s="168" t="s">
        <v>1164</v>
      </c>
      <c r="D2300" s="168" t="s">
        <v>211</v>
      </c>
      <c r="E2300" s="168">
        <v>0</v>
      </c>
      <c r="F2300" s="168"/>
      <c r="G2300" s="169" t="s">
        <v>1329</v>
      </c>
      <c r="H2300" s="107" t="str">
        <f t="shared" si="9"/>
        <v>ifnull(t.pd_all_share,0) as pd_all_share,/*产品总份额*/</v>
      </c>
      <c r="J2300" s="166" t="s">
        <v>347</v>
      </c>
      <c r="K2300" s="166" t="s">
        <v>348</v>
      </c>
      <c r="L2300" s="166" t="s">
        <v>349</v>
      </c>
      <c r="M2300" s="166" t="s">
        <v>349</v>
      </c>
      <c r="N2300" s="166">
        <v>1149</v>
      </c>
    </row>
    <row r="2301" spans="1:14" s="166" customFormat="1" ht="17.25" customHeight="1" outlineLevel="1" x14ac:dyDescent="0.15">
      <c r="B2301" s="170" t="s">
        <v>373</v>
      </c>
      <c r="C2301" s="171" t="s">
        <v>1126</v>
      </c>
      <c r="D2301" s="171" t="s">
        <v>1087</v>
      </c>
      <c r="E2301" s="171">
        <v>0</v>
      </c>
      <c r="F2301" s="171"/>
      <c r="G2301" s="172"/>
      <c r="H2301" s="107" t="str">
        <f t="shared" si="9"/>
        <v>ifnull(t.nav_asset,0) as nav_asset,/*净资产*/</v>
      </c>
      <c r="J2301" s="166" t="s">
        <v>347</v>
      </c>
      <c r="K2301" s="166" t="s">
        <v>348</v>
      </c>
      <c r="L2301" s="166" t="s">
        <v>349</v>
      </c>
      <c r="M2301" s="166" t="s">
        <v>349</v>
      </c>
      <c r="N2301" s="166">
        <v>1741</v>
      </c>
    </row>
    <row r="2302" spans="1:14" s="166" customFormat="1" ht="17.25" customHeight="1" outlineLevel="1" x14ac:dyDescent="0.15">
      <c r="B2302" s="170" t="s">
        <v>374</v>
      </c>
      <c r="C2302" s="171" t="s">
        <v>1170</v>
      </c>
      <c r="D2302" s="171" t="s">
        <v>1169</v>
      </c>
      <c r="E2302" s="171">
        <v>0</v>
      </c>
      <c r="F2302" s="171"/>
      <c r="G2302" s="172"/>
      <c r="H2302" s="107" t="str">
        <f t="shared" si="9"/>
        <v>ifnull(t.unit_nav,0) as unit_nav,/*单位净值*/</v>
      </c>
      <c r="J2302" s="166" t="s">
        <v>347</v>
      </c>
      <c r="K2302" s="166" t="s">
        <v>348</v>
      </c>
      <c r="L2302" s="166" t="s">
        <v>349</v>
      </c>
      <c r="M2302" s="166" t="s">
        <v>349</v>
      </c>
      <c r="N2302" s="166">
        <v>1244</v>
      </c>
    </row>
    <row r="2303" spans="1:14" s="166" customFormat="1" ht="17.25" customHeight="1" outlineLevel="1" x14ac:dyDescent="0.15">
      <c r="B2303" s="170" t="s">
        <v>362</v>
      </c>
      <c r="C2303" s="171" t="s">
        <v>1078</v>
      </c>
      <c r="D2303" s="171" t="s">
        <v>1169</v>
      </c>
      <c r="E2303" s="171">
        <v>0</v>
      </c>
      <c r="F2303" s="171"/>
      <c r="G2303" s="172"/>
      <c r="H2303" s="107" t="str">
        <f t="shared" si="9"/>
        <v>ifnull(t.pre_nav,0) as pre_nav,/*昨日净值*/</v>
      </c>
      <c r="J2303" s="166" t="s">
        <v>347</v>
      </c>
      <c r="K2303" s="166" t="s">
        <v>348</v>
      </c>
      <c r="L2303" s="166" t="s">
        <v>349</v>
      </c>
      <c r="M2303" s="166" t="s">
        <v>349</v>
      </c>
      <c r="N2303" s="166">
        <v>2595</v>
      </c>
    </row>
    <row r="2304" spans="1:14" s="166" customFormat="1" ht="17.25" customHeight="1" outlineLevel="1" x14ac:dyDescent="0.15">
      <c r="B2304" s="170" t="s">
        <v>193</v>
      </c>
      <c r="C2304" s="171" t="s">
        <v>1171</v>
      </c>
      <c r="D2304" s="171" t="s">
        <v>1169</v>
      </c>
      <c r="E2304" s="171">
        <v>0</v>
      </c>
      <c r="F2304" s="171"/>
      <c r="G2304" s="172"/>
      <c r="H2304" s="107" t="str">
        <f t="shared" si="9"/>
        <v>ifnull(t.nav_fluct,0) as nav_fluct,/*净值波动*/</v>
      </c>
      <c r="J2304" s="166" t="s">
        <v>347</v>
      </c>
      <c r="K2304" s="166" t="s">
        <v>348</v>
      </c>
      <c r="L2304" s="166" t="s">
        <v>349</v>
      </c>
      <c r="M2304" s="166" t="s">
        <v>349</v>
      </c>
      <c r="N2304" s="166">
        <v>1739</v>
      </c>
    </row>
    <row r="2305" spans="1:14" s="166" customFormat="1" ht="17.25" customHeight="1" outlineLevel="1" x14ac:dyDescent="0.15">
      <c r="B2305" s="170" t="s">
        <v>376</v>
      </c>
      <c r="C2305" s="171" t="s">
        <v>1088</v>
      </c>
      <c r="D2305" s="171" t="s">
        <v>1172</v>
      </c>
      <c r="E2305" s="171">
        <v>0</v>
      </c>
      <c r="F2305" s="171"/>
      <c r="G2305" s="172"/>
      <c r="H2305" s="107" t="str">
        <f t="shared" si="9"/>
        <v>ifnull(t.cash_asset,0) as cash_asset,/*现金资产*/</v>
      </c>
      <c r="J2305" s="166" t="s">
        <v>347</v>
      </c>
      <c r="K2305" s="166" t="s">
        <v>348</v>
      </c>
      <c r="L2305" s="166" t="s">
        <v>349</v>
      </c>
      <c r="M2305" s="166" t="s">
        <v>349</v>
      </c>
      <c r="N2305" s="166">
        <v>2309</v>
      </c>
    </row>
    <row r="2306" spans="1:14" s="166" customFormat="1" ht="17.25" customHeight="1" outlineLevel="1" x14ac:dyDescent="0.15">
      <c r="B2306" s="170" t="s">
        <v>313</v>
      </c>
      <c r="C2306" s="171" t="s">
        <v>1185</v>
      </c>
      <c r="D2306" s="171" t="s">
        <v>1169</v>
      </c>
      <c r="E2306" s="171">
        <v>0</v>
      </c>
      <c r="F2306" s="171"/>
      <c r="G2306" s="172"/>
      <c r="H2306" s="107" t="str">
        <f t="shared" si="9"/>
        <v>ifnull(t.stock_asset,0) as stock_asset,/*股票资产*/</v>
      </c>
      <c r="J2306" s="166" t="s">
        <v>347</v>
      </c>
      <c r="K2306" s="166" t="s">
        <v>348</v>
      </c>
      <c r="L2306" s="166" t="s">
        <v>349</v>
      </c>
      <c r="M2306" s="166" t="s">
        <v>349</v>
      </c>
      <c r="N2306" s="166">
        <v>1511</v>
      </c>
    </row>
    <row r="2307" spans="1:14" s="166" customFormat="1" ht="17.25" customHeight="1" outlineLevel="1" x14ac:dyDescent="0.15">
      <c r="B2307" s="170" t="s">
        <v>377</v>
      </c>
      <c r="C2307" s="171" t="s">
        <v>1181</v>
      </c>
      <c r="D2307" s="171" t="s">
        <v>1169</v>
      </c>
      <c r="E2307" s="171">
        <v>0</v>
      </c>
      <c r="F2307" s="171"/>
      <c r="G2307" s="172"/>
      <c r="H2307" s="107" t="str">
        <f t="shared" si="9"/>
        <v>ifnull(t.bond_asset,0) as bond_asset,/*债券资产*/</v>
      </c>
      <c r="J2307" s="166" t="s">
        <v>347</v>
      </c>
      <c r="K2307" s="166" t="s">
        <v>348</v>
      </c>
      <c r="L2307" s="166" t="s">
        <v>349</v>
      </c>
      <c r="M2307" s="166" t="s">
        <v>349</v>
      </c>
      <c r="N2307" s="166">
        <v>2402</v>
      </c>
    </row>
    <row r="2308" spans="1:14" s="166" customFormat="1" ht="17.25" customHeight="1" outlineLevel="1" x14ac:dyDescent="0.15">
      <c r="B2308" s="170" t="s">
        <v>353</v>
      </c>
      <c r="C2308" s="171" t="s">
        <v>1173</v>
      </c>
      <c r="D2308" s="171" t="s">
        <v>1169</v>
      </c>
      <c r="E2308" s="171">
        <v>0</v>
      </c>
      <c r="F2308" s="171"/>
      <c r="G2308" s="172"/>
      <c r="H2308" s="107" t="str">
        <f t="shared" si="9"/>
        <v>ifnull(t.fund_asset,0) as fund_asset,/*基金资产*/</v>
      </c>
      <c r="J2308" s="166" t="s">
        <v>347</v>
      </c>
      <c r="K2308" s="166" t="s">
        <v>348</v>
      </c>
      <c r="L2308" s="166" t="s">
        <v>349</v>
      </c>
      <c r="M2308" s="166" t="s">
        <v>349</v>
      </c>
      <c r="N2308" s="166">
        <v>1618</v>
      </c>
    </row>
    <row r="2309" spans="1:14" s="166" customFormat="1" ht="17.25" customHeight="1" outlineLevel="1" x14ac:dyDescent="0.15">
      <c r="B2309" s="170" t="s">
        <v>378</v>
      </c>
      <c r="C2309" s="171" t="s">
        <v>1128</v>
      </c>
      <c r="D2309" s="171" t="s">
        <v>1169</v>
      </c>
      <c r="E2309" s="171">
        <v>0</v>
      </c>
      <c r="F2309" s="171"/>
      <c r="G2309" s="172"/>
      <c r="H2309" s="107" t="str">
        <f t="shared" si="9"/>
        <v>ifnull(t.repo_asset,0) as repo_asset,/*回购资产*/</v>
      </c>
      <c r="J2309" s="166" t="s">
        <v>347</v>
      </c>
      <c r="K2309" s="166" t="s">
        <v>348</v>
      </c>
      <c r="L2309" s="166" t="s">
        <v>349</v>
      </c>
      <c r="M2309" s="166" t="s">
        <v>349</v>
      </c>
      <c r="N2309" s="166">
        <v>1599</v>
      </c>
    </row>
    <row r="2310" spans="1:14" s="166" customFormat="1" ht="17.25" customHeight="1" outlineLevel="1" x14ac:dyDescent="0.15">
      <c r="B2310" s="170" t="s">
        <v>314</v>
      </c>
      <c r="C2310" s="171" t="s">
        <v>1089</v>
      </c>
      <c r="D2310" s="171" t="s">
        <v>1169</v>
      </c>
      <c r="E2310" s="171">
        <v>0</v>
      </c>
      <c r="F2310" s="171"/>
      <c r="G2310" s="172"/>
      <c r="H2310" s="107" t="str">
        <f t="shared" si="9"/>
        <v>ifnull(t.other_asset,0) as other_asset,/*其他资产*/</v>
      </c>
      <c r="J2310" s="166" t="s">
        <v>347</v>
      </c>
      <c r="K2310" s="166" t="s">
        <v>348</v>
      </c>
      <c r="L2310" s="166" t="s">
        <v>349</v>
      </c>
      <c r="M2310" s="166" t="s">
        <v>349</v>
      </c>
      <c r="N2310" s="166">
        <v>1997</v>
      </c>
    </row>
    <row r="2311" spans="1:14" s="166" customFormat="1" ht="17.25" customHeight="1" outlineLevel="1" x14ac:dyDescent="0.15">
      <c r="B2311" s="170" t="s">
        <v>379</v>
      </c>
      <c r="C2311" s="171" t="s">
        <v>1174</v>
      </c>
      <c r="D2311" s="171" t="s">
        <v>1169</v>
      </c>
      <c r="E2311" s="171">
        <v>0</v>
      </c>
      <c r="F2311" s="171"/>
      <c r="G2311" s="172"/>
      <c r="H2311" s="107" t="str">
        <f t="shared" si="9"/>
        <v>ifnull(t.total_payab_amt,0) as total_payab_amt,/*累计应付金额*/</v>
      </c>
      <c r="J2311" s="166" t="s">
        <v>347</v>
      </c>
      <c r="K2311" s="166" t="s">
        <v>348</v>
      </c>
      <c r="L2311" s="166" t="s">
        <v>349</v>
      </c>
      <c r="M2311" s="166" t="s">
        <v>349</v>
      </c>
      <c r="N2311" s="166">
        <v>1842</v>
      </c>
    </row>
    <row r="2312" spans="1:14" s="166" customFormat="1" ht="17.25" customHeight="1" outlineLevel="1" x14ac:dyDescent="0.15">
      <c r="B2312" s="170" t="s">
        <v>176</v>
      </c>
      <c r="C2312" s="171" t="s">
        <v>1132</v>
      </c>
      <c r="D2312" s="171" t="s">
        <v>1169</v>
      </c>
      <c r="E2312" s="171">
        <v>0</v>
      </c>
      <c r="F2312" s="171"/>
      <c r="G2312" s="172"/>
      <c r="H2312" s="107" t="str">
        <f t="shared" si="9"/>
        <v>ifnull(t.total_rece_amt,0) as total_rece_amt,/*累计应收金额*/</v>
      </c>
      <c r="J2312" s="166" t="s">
        <v>347</v>
      </c>
      <c r="K2312" s="166" t="s">
        <v>348</v>
      </c>
      <c r="L2312" s="166" t="s">
        <v>349</v>
      </c>
      <c r="M2312" s="166" t="s">
        <v>349</v>
      </c>
      <c r="N2312" s="166">
        <v>1843</v>
      </c>
    </row>
    <row r="2313" spans="1:14" s="166" customFormat="1" ht="17.25" customHeight="1" outlineLevel="1" x14ac:dyDescent="0.15">
      <c r="B2313" s="170" t="s">
        <v>175</v>
      </c>
      <c r="C2313" s="171" t="s">
        <v>1129</v>
      </c>
      <c r="D2313" s="171" t="s">
        <v>1169</v>
      </c>
      <c r="E2313" s="171">
        <v>0</v>
      </c>
      <c r="F2313" s="171"/>
      <c r="G2313" s="172"/>
      <c r="H2313" s="107" t="str">
        <f t="shared" si="9"/>
        <v>ifnull(t.assign_avail_amt,0) as assign_avail_amt,/*可分配金额*/</v>
      </c>
      <c r="J2313" s="166" t="s">
        <v>347</v>
      </c>
      <c r="K2313" s="166" t="s">
        <v>348</v>
      </c>
      <c r="L2313" s="166" t="s">
        <v>349</v>
      </c>
      <c r="M2313" s="166" t="s">
        <v>349</v>
      </c>
      <c r="N2313" s="166">
        <v>1774</v>
      </c>
    </row>
    <row r="2314" spans="1:14" s="166" customFormat="1" ht="17.25" customHeight="1" outlineLevel="1" x14ac:dyDescent="0.15">
      <c r="B2314" s="170" t="s">
        <v>380</v>
      </c>
      <c r="C2314" s="171" t="s">
        <v>1130</v>
      </c>
      <c r="D2314" s="171" t="s">
        <v>1169</v>
      </c>
      <c r="E2314" s="171">
        <v>0</v>
      </c>
      <c r="F2314" s="171"/>
      <c r="G2314" s="172"/>
      <c r="H2314" s="107" t="str">
        <f t="shared" si="9"/>
        <v>ifnull(t.crncy_type,"CNY") as crncy_type,/*本币币种*/</v>
      </c>
      <c r="J2314" s="166" t="s">
        <v>354</v>
      </c>
      <c r="K2314" s="166" t="s">
        <v>355</v>
      </c>
      <c r="L2314" s="166" t="s">
        <v>356</v>
      </c>
      <c r="M2314" s="166" t="s">
        <v>354</v>
      </c>
      <c r="N2314" s="166">
        <v>1041</v>
      </c>
    </row>
    <row r="2315" spans="1:14" s="166" customFormat="1" ht="17.25" customHeight="1" outlineLevel="1" x14ac:dyDescent="0.15">
      <c r="B2315" s="170" t="s">
        <v>110</v>
      </c>
      <c r="C2315" s="171" t="s">
        <v>1091</v>
      </c>
      <c r="D2315" s="171" t="s">
        <v>1131</v>
      </c>
      <c r="E2315" s="171" t="s">
        <v>1074</v>
      </c>
      <c r="F2315" s="171"/>
      <c r="G2315" s="172"/>
      <c r="H2315" s="107" t="str">
        <f t="shared" si="9"/>
        <v>ifnull(t.today_pandl,0) as today_pandl,/*当日盈亏*/</v>
      </c>
      <c r="J2315" s="166" t="s">
        <v>347</v>
      </c>
      <c r="K2315" s="166" t="s">
        <v>348</v>
      </c>
      <c r="L2315" s="166" t="s">
        <v>349</v>
      </c>
      <c r="M2315" s="166" t="s">
        <v>349</v>
      </c>
      <c r="N2315" s="166">
        <v>1274</v>
      </c>
    </row>
    <row r="2316" spans="1:14" s="166" customFormat="1" ht="17.25" customHeight="1" outlineLevel="1" x14ac:dyDescent="0.15">
      <c r="B2316" s="170" t="s">
        <v>381</v>
      </c>
      <c r="C2316" s="171" t="s">
        <v>1176</v>
      </c>
      <c r="D2316" s="171" t="s">
        <v>1169</v>
      </c>
      <c r="E2316" s="171">
        <v>0</v>
      </c>
      <c r="F2316" s="171"/>
      <c r="G2316" s="172"/>
      <c r="H2316" s="107" t="str">
        <f t="shared" si="9"/>
        <v>ifnull(t.daily_pandl_ratio,0) as daily_pandl_ratio,/*当日收益率*/</v>
      </c>
      <c r="J2316" s="166" t="s">
        <v>347</v>
      </c>
      <c r="K2316" s="166" t="s">
        <v>348</v>
      </c>
      <c r="L2316" s="166" t="s">
        <v>349</v>
      </c>
      <c r="M2316" s="166" t="s">
        <v>349</v>
      </c>
    </row>
    <row r="2317" spans="1:14" s="166" customFormat="1" ht="17.25" customHeight="1" outlineLevel="1" x14ac:dyDescent="0.15">
      <c r="B2317" s="170" t="s">
        <v>382</v>
      </c>
      <c r="C2317" s="171" t="s">
        <v>1177</v>
      </c>
      <c r="D2317" s="171" t="s">
        <v>1172</v>
      </c>
      <c r="E2317" s="171">
        <v>0</v>
      </c>
      <c r="F2317" s="171"/>
      <c r="G2317" s="172"/>
      <c r="H2317" s="107" t="str">
        <f t="shared" si="9"/>
        <v>ifnull(t.cash_out_amt,0) as cash_out_amt,/*可提现金额*/</v>
      </c>
      <c r="J2317" s="166" t="s">
        <v>347</v>
      </c>
      <c r="K2317" s="166" t="s">
        <v>348</v>
      </c>
      <c r="L2317" s="166" t="s">
        <v>349</v>
      </c>
      <c r="M2317" s="166" t="s">
        <v>349</v>
      </c>
    </row>
    <row r="2318" spans="1:14" s="166" customFormat="1" ht="17.25" customHeight="1" outlineLevel="1" x14ac:dyDescent="0.15">
      <c r="B2318" s="170" t="s">
        <v>383</v>
      </c>
      <c r="C2318" s="171" t="s">
        <v>1178</v>
      </c>
      <c r="D2318" s="171" t="s">
        <v>1169</v>
      </c>
      <c r="E2318" s="171">
        <v>0</v>
      </c>
      <c r="F2318" s="171"/>
      <c r="G2318" s="172"/>
      <c r="H2318" s="107" t="str">
        <f t="shared" si="9"/>
        <v>ifnull(t.stock_asset_ratio,0) as stock_asset_ratio,/*股票资产占比*/</v>
      </c>
      <c r="J2318" s="166" t="s">
        <v>347</v>
      </c>
      <c r="K2318" s="166" t="s">
        <v>348</v>
      </c>
      <c r="L2318" s="166" t="s">
        <v>349</v>
      </c>
      <c r="M2318" s="166" t="s">
        <v>349</v>
      </c>
      <c r="N2318" s="166">
        <v>1512</v>
      </c>
    </row>
    <row r="2319" spans="1:14" s="166" customFormat="1" ht="17.25" customHeight="1" outlineLevel="1" x14ac:dyDescent="0.15">
      <c r="B2319" s="170" t="s">
        <v>384</v>
      </c>
      <c r="C2319" s="171" t="s">
        <v>1179</v>
      </c>
      <c r="D2319" s="171" t="s">
        <v>1172</v>
      </c>
      <c r="E2319" s="171">
        <v>0</v>
      </c>
      <c r="F2319" s="171"/>
      <c r="G2319" s="172"/>
      <c r="H2319" s="107" t="str">
        <f t="shared" si="9"/>
        <v>ifnull(t.securities_ratio,0) as securities_ratio,/*证券占比*/</v>
      </c>
      <c r="J2319" s="166" t="s">
        <v>347</v>
      </c>
      <c r="K2319" s="166" t="s">
        <v>348</v>
      </c>
      <c r="L2319" s="166" t="s">
        <v>349</v>
      </c>
      <c r="M2319" s="166" t="s">
        <v>349</v>
      </c>
    </row>
    <row r="2320" spans="1:14" s="7" customFormat="1" outlineLevel="1" x14ac:dyDescent="0.15">
      <c r="A2320" s="166"/>
      <c r="B2320" s="170" t="s">
        <v>385</v>
      </c>
      <c r="C2320" s="171" t="s">
        <v>1180</v>
      </c>
      <c r="D2320" s="171" t="s">
        <v>1172</v>
      </c>
      <c r="E2320" s="171">
        <v>0</v>
      </c>
      <c r="F2320" s="171"/>
      <c r="G2320" s="172"/>
    </row>
    <row r="2321" spans="1:14" s="7" customFormat="1" ht="18" outlineLevel="1" thickBot="1" x14ac:dyDescent="0.2">
      <c r="A2321" s="2"/>
      <c r="B2321" s="24"/>
      <c r="C2321" s="9"/>
      <c r="D2321" s="9"/>
      <c r="E2321" s="9"/>
      <c r="F2321" s="9"/>
      <c r="G2321" s="11"/>
    </row>
    <row r="2322" spans="1:14" s="7" customFormat="1" outlineLevel="1" x14ac:dyDescent="0.15">
      <c r="A2322" s="2"/>
      <c r="B2322" s="327" t="s">
        <v>15</v>
      </c>
      <c r="C2322" s="328"/>
      <c r="D2322" s="328"/>
      <c r="E2322" s="328"/>
      <c r="F2322" s="328"/>
      <c r="G2322" s="329"/>
    </row>
    <row r="2323" spans="1:14" ht="18" outlineLevel="1" thickBot="1" x14ac:dyDescent="0.2">
      <c r="A2323" s="2"/>
      <c r="B2323" s="24"/>
      <c r="C2323" s="9"/>
      <c r="D2323" s="9"/>
      <c r="E2323" s="9"/>
      <c r="F2323" s="9"/>
      <c r="G2323" s="11"/>
    </row>
    <row r="2324" spans="1:14" s="7" customFormat="1" ht="18" outlineLevel="1" thickBot="1" x14ac:dyDescent="0.2">
      <c r="A2324" s="1"/>
      <c r="B2324" s="1"/>
      <c r="C2324" s="1"/>
      <c r="D2324" s="1"/>
      <c r="E2324" s="1"/>
      <c r="F2324" s="1"/>
      <c r="G2324" s="1"/>
      <c r="H2324" s="6" t="str">
        <f>"create or replace view "&amp;C2325</f>
        <v>create or replace view vi_rptasset_qry_pd_asset</v>
      </c>
    </row>
    <row r="2325" spans="1:14" s="7" customFormat="1" ht="18" thickBot="1" x14ac:dyDescent="0.2">
      <c r="A2325" s="2"/>
      <c r="B2325" s="3" t="s">
        <v>563</v>
      </c>
      <c r="C2325" s="4" t="s">
        <v>673</v>
      </c>
      <c r="D2325" s="5" t="s">
        <v>515</v>
      </c>
      <c r="E2325" s="21" t="s">
        <v>583</v>
      </c>
      <c r="F2325" s="5" t="s">
        <v>567</v>
      </c>
      <c r="G2325" s="6" t="s">
        <v>546</v>
      </c>
      <c r="H2325" s="11" t="str">
        <f>"/* "&amp;E2325&amp;"*/  as "</f>
        <v xml:space="preserve">/* 报表_资管报表_视图-查询产品资产*/  as </v>
      </c>
    </row>
    <row r="2326" spans="1:14" s="7" customFormat="1" ht="18" hidden="1" outlineLevel="1" thickBot="1" x14ac:dyDescent="0.2">
      <c r="A2326" s="2"/>
      <c r="B2326" s="34" t="s">
        <v>570</v>
      </c>
      <c r="C2326" s="18"/>
      <c r="D2326" s="35" t="s">
        <v>568</v>
      </c>
      <c r="E2326" s="18" t="s">
        <v>615</v>
      </c>
      <c r="F2326" s="35"/>
      <c r="G2326" s="19"/>
      <c r="H2326" s="13" t="s">
        <v>474</v>
      </c>
    </row>
    <row r="2327" spans="1:14" s="166" customFormat="1" ht="17.25" hidden="1" customHeight="1" outlineLevel="1" x14ac:dyDescent="0.15">
      <c r="A2327" s="2"/>
      <c r="B2327" s="3" t="s">
        <v>0</v>
      </c>
      <c r="C2327" s="5" t="s">
        <v>1</v>
      </c>
      <c r="D2327" s="5" t="s">
        <v>2</v>
      </c>
      <c r="E2327" s="5"/>
      <c r="F2327" s="5" t="s">
        <v>3</v>
      </c>
      <c r="G2327" s="36" t="s">
        <v>4</v>
      </c>
      <c r="H2327" s="107" t="str">
        <f t="shared" ref="H2327:H2348" si="10">"ifnull("&amp;IF(I2327&lt;&gt;"",I2327,IF(F2328&lt;&gt;"",F2328,"t")&amp;"."&amp;C2328)&amp;","&amp;E2328&amp;") as "&amp;C2328&amp;",/*"&amp;B2328&amp;"*/"</f>
        <v>ifnull(t.init_date,date_format(curdate(),'%Y%m%d')) as init_date,/*初始化日期*/</v>
      </c>
      <c r="J2327" s="166" t="s">
        <v>237</v>
      </c>
      <c r="K2327" s="166" t="s">
        <v>238</v>
      </c>
      <c r="L2327" s="166" t="s">
        <v>211</v>
      </c>
      <c r="M2327" s="166" t="s">
        <v>211</v>
      </c>
      <c r="N2327" s="166">
        <v>1211</v>
      </c>
    </row>
    <row r="2328" spans="1:14" s="166" customFormat="1" ht="17.25" hidden="1" customHeight="1" outlineLevel="1" x14ac:dyDescent="0.15">
      <c r="A2328" s="166" t="s">
        <v>579</v>
      </c>
      <c r="B2328" s="167" t="s">
        <v>22</v>
      </c>
      <c r="C2328" s="168" t="s">
        <v>1127</v>
      </c>
      <c r="D2328" s="168" t="s">
        <v>211</v>
      </c>
      <c r="E2328" s="168" t="s">
        <v>1141</v>
      </c>
      <c r="F2328" s="168"/>
      <c r="G2328" s="169" t="s">
        <v>1162</v>
      </c>
      <c r="H2328" s="107" t="str">
        <f t="shared" si="10"/>
        <v>ifnull(t.pd_no,0) as pd_no,/*产品编号*/</v>
      </c>
      <c r="J2328" s="166" t="s">
        <v>237</v>
      </c>
      <c r="K2328" s="166" t="s">
        <v>238</v>
      </c>
      <c r="L2328" s="166" t="s">
        <v>211</v>
      </c>
      <c r="M2328" s="166" t="s">
        <v>211</v>
      </c>
      <c r="N2328" s="166">
        <v>1112</v>
      </c>
    </row>
    <row r="2329" spans="1:14" s="166" customFormat="1" ht="17.25" hidden="1" customHeight="1" outlineLevel="1" x14ac:dyDescent="0.15">
      <c r="A2329" s="166" t="s">
        <v>579</v>
      </c>
      <c r="B2329" s="167" t="s">
        <v>111</v>
      </c>
      <c r="C2329" s="168" t="s">
        <v>1164</v>
      </c>
      <c r="D2329" s="168" t="s">
        <v>211</v>
      </c>
      <c r="E2329" s="168">
        <v>0</v>
      </c>
      <c r="F2329" s="168"/>
      <c r="G2329" s="169" t="s">
        <v>1329</v>
      </c>
      <c r="H2329" s="107" t="str">
        <f t="shared" si="10"/>
        <v>ifnull(t.nav_asset,0) as nav_asset,/*净资产*/</v>
      </c>
      <c r="J2329" s="166" t="s">
        <v>347</v>
      </c>
      <c r="K2329" s="166" t="s">
        <v>348</v>
      </c>
      <c r="L2329" s="166" t="s">
        <v>349</v>
      </c>
      <c r="M2329" s="166" t="s">
        <v>349</v>
      </c>
      <c r="N2329" s="166">
        <v>1741</v>
      </c>
    </row>
    <row r="2330" spans="1:14" s="7" customFormat="1" hidden="1" outlineLevel="1" x14ac:dyDescent="0.15">
      <c r="A2330" s="166" t="s">
        <v>579</v>
      </c>
      <c r="B2330" s="162" t="s">
        <v>303</v>
      </c>
      <c r="C2330" s="171" t="s">
        <v>1170</v>
      </c>
      <c r="D2330" s="171" t="s">
        <v>1169</v>
      </c>
      <c r="E2330" s="171">
        <v>0</v>
      </c>
      <c r="F2330" s="171"/>
      <c r="G2330" s="172"/>
      <c r="H2330" s="107" t="str">
        <f t="shared" si="10"/>
        <v>ifnull(t.exch_group_pd_share,0) as exch_group_pd_share,/*交易组产品份额*/</v>
      </c>
      <c r="J2330" s="7" t="s">
        <v>347</v>
      </c>
      <c r="K2330" s="7" t="s">
        <v>348</v>
      </c>
      <c r="L2330" s="7" t="s">
        <v>349</v>
      </c>
      <c r="M2330" s="7" t="s">
        <v>349</v>
      </c>
      <c r="N2330" s="7">
        <v>1702</v>
      </c>
    </row>
    <row r="2331" spans="1:14" s="166" customFormat="1" ht="17.25" hidden="1" customHeight="1" outlineLevel="1" x14ac:dyDescent="0.15">
      <c r="A2331" s="166" t="s">
        <v>579</v>
      </c>
      <c r="B2331" s="162" t="s">
        <v>169</v>
      </c>
      <c r="C2331" s="160" t="s">
        <v>1435</v>
      </c>
      <c r="D2331" s="160" t="s">
        <v>1087</v>
      </c>
      <c r="E2331" s="160">
        <v>0</v>
      </c>
      <c r="F2331" s="160"/>
      <c r="G2331" s="161"/>
      <c r="H2331" s="107" t="str">
        <f t="shared" si="10"/>
        <v>ifnull(t.unit_nav,0) as unit_nav,/*单位净值*/</v>
      </c>
      <c r="J2331" s="166" t="s">
        <v>347</v>
      </c>
      <c r="K2331" s="166" t="s">
        <v>348</v>
      </c>
      <c r="L2331" s="166" t="s">
        <v>349</v>
      </c>
      <c r="M2331" s="166" t="s">
        <v>349</v>
      </c>
      <c r="N2331" s="166">
        <v>1244</v>
      </c>
    </row>
    <row r="2332" spans="1:14" s="166" customFormat="1" ht="17.25" hidden="1" customHeight="1" outlineLevel="1" x14ac:dyDescent="0.15">
      <c r="A2332" s="166" t="s">
        <v>579</v>
      </c>
      <c r="B2332" s="162" t="s">
        <v>362</v>
      </c>
      <c r="C2332" s="171" t="s">
        <v>1078</v>
      </c>
      <c r="D2332" s="171" t="s">
        <v>1169</v>
      </c>
      <c r="E2332" s="171">
        <v>0</v>
      </c>
      <c r="F2332" s="171"/>
      <c r="G2332" s="172"/>
      <c r="H2332" s="107" t="str">
        <f t="shared" si="10"/>
        <v>ifnull(t.pre_nav,0) as pre_nav,/*昨日净值*/</v>
      </c>
      <c r="J2332" s="166" t="s">
        <v>347</v>
      </c>
      <c r="K2332" s="166" t="s">
        <v>348</v>
      </c>
      <c r="L2332" s="166" t="s">
        <v>349</v>
      </c>
      <c r="M2332" s="166" t="s">
        <v>349</v>
      </c>
      <c r="N2332" s="166">
        <v>2595</v>
      </c>
    </row>
    <row r="2333" spans="1:14" s="166" customFormat="1" ht="17.25" hidden="1" customHeight="1" outlineLevel="1" x14ac:dyDescent="0.15">
      <c r="A2333" s="166" t="s">
        <v>579</v>
      </c>
      <c r="B2333" s="162" t="s">
        <v>363</v>
      </c>
      <c r="C2333" s="171" t="s">
        <v>1171</v>
      </c>
      <c r="D2333" s="171" t="s">
        <v>1169</v>
      </c>
      <c r="E2333" s="171">
        <v>0</v>
      </c>
      <c r="F2333" s="171"/>
      <c r="G2333" s="172"/>
      <c r="H2333" s="107" t="str">
        <f t="shared" si="10"/>
        <v>ifnull(t.nav_fluct,0) as nav_fluct,/*净值波动*/</v>
      </c>
      <c r="J2333" s="166" t="s">
        <v>347</v>
      </c>
      <c r="K2333" s="166" t="s">
        <v>348</v>
      </c>
      <c r="L2333" s="166" t="s">
        <v>349</v>
      </c>
      <c r="M2333" s="166" t="s">
        <v>349</v>
      </c>
      <c r="N2333" s="166">
        <v>1739</v>
      </c>
    </row>
    <row r="2334" spans="1:14" s="166" customFormat="1" ht="17.25" hidden="1" customHeight="1" outlineLevel="1" x14ac:dyDescent="0.15">
      <c r="A2334" s="166" t="s">
        <v>579</v>
      </c>
      <c r="B2334" s="162" t="s">
        <v>364</v>
      </c>
      <c r="C2334" s="171" t="s">
        <v>1088</v>
      </c>
      <c r="D2334" s="171" t="s">
        <v>1172</v>
      </c>
      <c r="E2334" s="171">
        <v>0</v>
      </c>
      <c r="F2334" s="171"/>
      <c r="G2334" s="172"/>
      <c r="H2334" s="107" t="str">
        <f t="shared" si="10"/>
        <v>ifnull(t.cash_asset,0) as cash_asset,/*现金资产*/</v>
      </c>
      <c r="J2334" s="166" t="s">
        <v>347</v>
      </c>
      <c r="K2334" s="166" t="s">
        <v>348</v>
      </c>
      <c r="L2334" s="166" t="s">
        <v>349</v>
      </c>
      <c r="M2334" s="166" t="s">
        <v>349</v>
      </c>
      <c r="N2334" s="166">
        <v>2309</v>
      </c>
    </row>
    <row r="2335" spans="1:14" s="166" customFormat="1" ht="17.25" hidden="1" customHeight="1" outlineLevel="1" x14ac:dyDescent="0.15">
      <c r="A2335" s="166" t="s">
        <v>579</v>
      </c>
      <c r="B2335" s="162" t="s">
        <v>304</v>
      </c>
      <c r="C2335" s="171" t="s">
        <v>1185</v>
      </c>
      <c r="D2335" s="171" t="s">
        <v>1169</v>
      </c>
      <c r="E2335" s="171">
        <v>0</v>
      </c>
      <c r="F2335" s="171"/>
      <c r="G2335" s="172"/>
      <c r="H2335" s="107" t="str">
        <f t="shared" si="10"/>
        <v>ifnull(t.stock_asset,0) as stock_asset,/*股票资产*/</v>
      </c>
      <c r="J2335" s="166" t="s">
        <v>347</v>
      </c>
      <c r="K2335" s="166" t="s">
        <v>348</v>
      </c>
      <c r="L2335" s="166" t="s">
        <v>349</v>
      </c>
      <c r="M2335" s="166" t="s">
        <v>349</v>
      </c>
      <c r="N2335" s="166">
        <v>1511</v>
      </c>
    </row>
    <row r="2336" spans="1:14" s="166" customFormat="1" ht="17.25" hidden="1" customHeight="1" outlineLevel="1" x14ac:dyDescent="0.15">
      <c r="A2336" s="166" t="s">
        <v>579</v>
      </c>
      <c r="B2336" s="162" t="s">
        <v>305</v>
      </c>
      <c r="C2336" s="171" t="s">
        <v>1181</v>
      </c>
      <c r="D2336" s="171" t="s">
        <v>1169</v>
      </c>
      <c r="E2336" s="171">
        <v>0</v>
      </c>
      <c r="F2336" s="171"/>
      <c r="G2336" s="172"/>
      <c r="H2336" s="107" t="str">
        <f t="shared" si="10"/>
        <v>ifnull(t.bond_asset,0) as bond_asset,/*债券资产*/</v>
      </c>
      <c r="J2336" s="166" t="s">
        <v>347</v>
      </c>
      <c r="K2336" s="166" t="s">
        <v>348</v>
      </c>
      <c r="L2336" s="166" t="s">
        <v>349</v>
      </c>
      <c r="M2336" s="166" t="s">
        <v>349</v>
      </c>
      <c r="N2336" s="166">
        <v>2402</v>
      </c>
    </row>
    <row r="2337" spans="1:14" s="166" customFormat="1" ht="17.25" hidden="1" customHeight="1" outlineLevel="1" x14ac:dyDescent="0.15">
      <c r="A2337" s="166" t="s">
        <v>579</v>
      </c>
      <c r="B2337" s="162" t="s">
        <v>307</v>
      </c>
      <c r="C2337" s="171" t="s">
        <v>1173</v>
      </c>
      <c r="D2337" s="171" t="s">
        <v>1169</v>
      </c>
      <c r="E2337" s="171">
        <v>0</v>
      </c>
      <c r="F2337" s="171"/>
      <c r="G2337" s="172"/>
      <c r="H2337" s="107" t="str">
        <f t="shared" si="10"/>
        <v>ifnull(t.fund_asset,0) as fund_asset,/*基金资产*/</v>
      </c>
      <c r="J2337" s="166" t="s">
        <v>347</v>
      </c>
      <c r="K2337" s="166" t="s">
        <v>348</v>
      </c>
      <c r="L2337" s="166" t="s">
        <v>349</v>
      </c>
      <c r="M2337" s="166" t="s">
        <v>349</v>
      </c>
      <c r="N2337" s="166">
        <v>1618</v>
      </c>
    </row>
    <row r="2338" spans="1:14" s="166" customFormat="1" ht="17.25" hidden="1" customHeight="1" outlineLevel="1" x14ac:dyDescent="0.15">
      <c r="A2338" s="166" t="s">
        <v>579</v>
      </c>
      <c r="B2338" s="162" t="s">
        <v>306</v>
      </c>
      <c r="C2338" s="171" t="s">
        <v>1128</v>
      </c>
      <c r="D2338" s="171" t="s">
        <v>1169</v>
      </c>
      <c r="E2338" s="171">
        <v>0</v>
      </c>
      <c r="F2338" s="171"/>
      <c r="G2338" s="172"/>
      <c r="H2338" s="107" t="str">
        <f t="shared" si="10"/>
        <v>ifnull(t.repo_asset,0) as repo_asset,/*回购资产*/</v>
      </c>
      <c r="J2338" s="166" t="s">
        <v>347</v>
      </c>
      <c r="K2338" s="166" t="s">
        <v>348</v>
      </c>
      <c r="L2338" s="166" t="s">
        <v>349</v>
      </c>
      <c r="M2338" s="166" t="s">
        <v>349</v>
      </c>
      <c r="N2338" s="166">
        <v>1599</v>
      </c>
    </row>
    <row r="2339" spans="1:14" s="166" customFormat="1" ht="17.25" hidden="1" customHeight="1" outlineLevel="1" x14ac:dyDescent="0.15">
      <c r="A2339" s="166" t="s">
        <v>579</v>
      </c>
      <c r="B2339" s="162" t="s">
        <v>309</v>
      </c>
      <c r="C2339" s="171" t="s">
        <v>1089</v>
      </c>
      <c r="D2339" s="171" t="s">
        <v>1169</v>
      </c>
      <c r="E2339" s="171">
        <v>0</v>
      </c>
      <c r="F2339" s="171"/>
      <c r="G2339" s="172"/>
      <c r="H2339" s="107" t="str">
        <f t="shared" si="10"/>
        <v>ifnull(t.other_asset,0) as other_asset,/*其他资产*/</v>
      </c>
      <c r="J2339" s="166" t="s">
        <v>347</v>
      </c>
      <c r="K2339" s="166" t="s">
        <v>348</v>
      </c>
      <c r="L2339" s="166" t="s">
        <v>349</v>
      </c>
      <c r="M2339" s="166" t="s">
        <v>349</v>
      </c>
      <c r="N2339" s="166">
        <v>1997</v>
      </c>
    </row>
    <row r="2340" spans="1:14" s="166" customFormat="1" ht="17.25" hidden="1" customHeight="1" outlineLevel="1" x14ac:dyDescent="0.15">
      <c r="A2340" s="166" t="s">
        <v>579</v>
      </c>
      <c r="B2340" s="162" t="s">
        <v>310</v>
      </c>
      <c r="C2340" s="171" t="s">
        <v>1174</v>
      </c>
      <c r="D2340" s="171" t="s">
        <v>1169</v>
      </c>
      <c r="E2340" s="171">
        <v>0</v>
      </c>
      <c r="F2340" s="171"/>
      <c r="G2340" s="172"/>
      <c r="H2340" s="107" t="str">
        <f t="shared" si="10"/>
        <v>ifnull(t.total_payab_amt,0) as total_payab_amt,/*累计应付金额*/</v>
      </c>
      <c r="J2340" s="166" t="s">
        <v>347</v>
      </c>
      <c r="K2340" s="166" t="s">
        <v>348</v>
      </c>
      <c r="L2340" s="166" t="s">
        <v>349</v>
      </c>
      <c r="M2340" s="166" t="s">
        <v>349</v>
      </c>
      <c r="N2340" s="166">
        <v>1842</v>
      </c>
    </row>
    <row r="2341" spans="1:14" s="166" customFormat="1" ht="17.25" hidden="1" customHeight="1" outlineLevel="1" x14ac:dyDescent="0.15">
      <c r="A2341" s="166" t="s">
        <v>579</v>
      </c>
      <c r="B2341" s="162" t="s">
        <v>176</v>
      </c>
      <c r="C2341" s="171" t="s">
        <v>1132</v>
      </c>
      <c r="D2341" s="171" t="s">
        <v>1169</v>
      </c>
      <c r="E2341" s="171">
        <v>0</v>
      </c>
      <c r="F2341" s="171"/>
      <c r="G2341" s="172"/>
      <c r="H2341" s="107" t="str">
        <f t="shared" si="10"/>
        <v>ifnull(t.total_rece_amt,0) as total_rece_amt,/*累计应收金额*/</v>
      </c>
      <c r="J2341" s="166" t="s">
        <v>347</v>
      </c>
      <c r="K2341" s="166" t="s">
        <v>348</v>
      </c>
      <c r="L2341" s="166" t="s">
        <v>349</v>
      </c>
      <c r="M2341" s="166" t="s">
        <v>349</v>
      </c>
      <c r="N2341" s="166">
        <v>1843</v>
      </c>
    </row>
    <row r="2342" spans="1:14" s="166" customFormat="1" ht="17.25" hidden="1" customHeight="1" outlineLevel="1" x14ac:dyDescent="0.15">
      <c r="A2342" s="166" t="s">
        <v>579</v>
      </c>
      <c r="B2342" s="162" t="s">
        <v>175</v>
      </c>
      <c r="C2342" s="171" t="s">
        <v>1129</v>
      </c>
      <c r="D2342" s="171" t="s">
        <v>1169</v>
      </c>
      <c r="E2342" s="171">
        <v>0</v>
      </c>
      <c r="F2342" s="171"/>
      <c r="G2342" s="172"/>
      <c r="H2342" s="107" t="str">
        <f t="shared" si="10"/>
        <v>ifnull(t.assign_avail_amt,0) as assign_avail_amt,/*可分配金额*/</v>
      </c>
      <c r="J2342" s="166" t="s">
        <v>347</v>
      </c>
      <c r="K2342" s="166" t="s">
        <v>348</v>
      </c>
      <c r="L2342" s="166" t="s">
        <v>349</v>
      </c>
      <c r="M2342" s="166" t="s">
        <v>349</v>
      </c>
      <c r="N2342" s="166">
        <v>1774</v>
      </c>
    </row>
    <row r="2343" spans="1:14" s="166" customFormat="1" ht="17.25" hidden="1" customHeight="1" outlineLevel="1" x14ac:dyDescent="0.15">
      <c r="A2343" s="166" t="s">
        <v>579</v>
      </c>
      <c r="B2343" s="162" t="s">
        <v>365</v>
      </c>
      <c r="C2343" s="171" t="s">
        <v>1130</v>
      </c>
      <c r="D2343" s="171" t="s">
        <v>1169</v>
      </c>
      <c r="E2343" s="171">
        <v>0</v>
      </c>
      <c r="F2343" s="171"/>
      <c r="G2343" s="172"/>
      <c r="H2343" s="107" t="str">
        <f t="shared" si="10"/>
        <v>ifnull(t.crncy_type,"CNY") as crncy_type,/*本币币种*/</v>
      </c>
      <c r="J2343" s="166" t="s">
        <v>354</v>
      </c>
      <c r="K2343" s="166" t="s">
        <v>355</v>
      </c>
      <c r="L2343" s="166" t="s">
        <v>356</v>
      </c>
      <c r="M2343" s="166" t="s">
        <v>354</v>
      </c>
      <c r="N2343" s="166">
        <v>1041</v>
      </c>
    </row>
    <row r="2344" spans="1:14" s="166" customFormat="1" ht="17.25" hidden="1" customHeight="1" outlineLevel="1" x14ac:dyDescent="0.15">
      <c r="A2344" s="166" t="s">
        <v>579</v>
      </c>
      <c r="B2344" s="173" t="s">
        <v>23</v>
      </c>
      <c r="C2344" s="171" t="s">
        <v>1091</v>
      </c>
      <c r="D2344" s="171" t="s">
        <v>1131</v>
      </c>
      <c r="E2344" s="171" t="s">
        <v>1074</v>
      </c>
      <c r="F2344" s="171"/>
      <c r="G2344" s="172"/>
      <c r="H2344" s="107" t="str">
        <f t="shared" si="10"/>
        <v>ifnull(t.today_pandl,0) as today_pandl,/*当日盈亏*/</v>
      </c>
      <c r="J2344" s="166" t="s">
        <v>347</v>
      </c>
      <c r="K2344" s="166" t="s">
        <v>348</v>
      </c>
      <c r="L2344" s="166" t="s">
        <v>349</v>
      </c>
      <c r="M2344" s="166" t="s">
        <v>349</v>
      </c>
      <c r="N2344" s="166">
        <v>1274</v>
      </c>
    </row>
    <row r="2345" spans="1:14" s="166" customFormat="1" ht="17.25" hidden="1" customHeight="1" outlineLevel="1" x14ac:dyDescent="0.15">
      <c r="A2345" s="166" t="s">
        <v>579</v>
      </c>
      <c r="B2345" s="173" t="s">
        <v>367</v>
      </c>
      <c r="C2345" s="171" t="s">
        <v>1176</v>
      </c>
      <c r="D2345" s="171" t="s">
        <v>1169</v>
      </c>
      <c r="E2345" s="171">
        <v>0</v>
      </c>
      <c r="F2345" s="171"/>
      <c r="G2345" s="172"/>
      <c r="H2345" s="107" t="str">
        <f t="shared" si="10"/>
        <v>ifnull(t.daily_pandl_ratio,0) as daily_pandl_ratio,/*当日收益率*/</v>
      </c>
      <c r="J2345" s="166" t="s">
        <v>347</v>
      </c>
      <c r="K2345" s="166" t="s">
        <v>348</v>
      </c>
      <c r="L2345" s="166" t="s">
        <v>349</v>
      </c>
      <c r="M2345" s="166" t="s">
        <v>349</v>
      </c>
    </row>
    <row r="2346" spans="1:14" s="166" customFormat="1" ht="17.25" hidden="1" customHeight="1" outlineLevel="1" x14ac:dyDescent="0.15">
      <c r="A2346" s="166" t="s">
        <v>579</v>
      </c>
      <c r="B2346" s="173" t="s">
        <v>368</v>
      </c>
      <c r="C2346" s="171" t="s">
        <v>1177</v>
      </c>
      <c r="D2346" s="171" t="s">
        <v>1172</v>
      </c>
      <c r="E2346" s="171">
        <v>0</v>
      </c>
      <c r="F2346" s="171"/>
      <c r="G2346" s="172"/>
      <c r="H2346" s="107" t="str">
        <f t="shared" si="10"/>
        <v>ifnull(t.total_realiz_pandl,0) as total_realiz_pandl,/*累计实现收益*/</v>
      </c>
      <c r="J2346" s="166" t="s">
        <v>347</v>
      </c>
      <c r="K2346" s="166" t="s">
        <v>348</v>
      </c>
      <c r="L2346" s="166" t="s">
        <v>349</v>
      </c>
      <c r="M2346" s="166" t="s">
        <v>349</v>
      </c>
      <c r="N2346" s="166">
        <v>1840</v>
      </c>
    </row>
    <row r="2347" spans="1:14" s="166" customFormat="1" ht="17.25" hidden="1" customHeight="1" outlineLevel="1" x14ac:dyDescent="0.15">
      <c r="A2347" s="166" t="s">
        <v>579</v>
      </c>
      <c r="B2347" s="162" t="s">
        <v>369</v>
      </c>
      <c r="C2347" s="171" t="s">
        <v>1475</v>
      </c>
      <c r="D2347" s="171" t="s">
        <v>1169</v>
      </c>
      <c r="E2347" s="171">
        <v>0</v>
      </c>
      <c r="F2347" s="171"/>
      <c r="G2347" s="172"/>
      <c r="H2347" s="107" t="str">
        <f t="shared" si="10"/>
        <v>ifnull(t.total_realiz_pandl_ratio,0) as total_realiz_pandl_ratio,/*累计收益率*/</v>
      </c>
      <c r="J2347" s="166" t="s">
        <v>347</v>
      </c>
      <c r="K2347" s="166" t="s">
        <v>348</v>
      </c>
      <c r="L2347" s="166" t="s">
        <v>349</v>
      </c>
      <c r="M2347" s="166" t="s">
        <v>349</v>
      </c>
      <c r="N2347" s="166">
        <v>1841</v>
      </c>
    </row>
    <row r="2348" spans="1:14" s="166" customFormat="1" ht="17.25" hidden="1" customHeight="1" outlineLevel="1" x14ac:dyDescent="0.15">
      <c r="A2348" s="166" t="s">
        <v>579</v>
      </c>
      <c r="B2348" s="174" t="s">
        <v>370</v>
      </c>
      <c r="C2348" s="171" t="s">
        <v>1183</v>
      </c>
      <c r="D2348" s="171" t="s">
        <v>1172</v>
      </c>
      <c r="E2348" s="171">
        <v>0</v>
      </c>
      <c r="F2348" s="171"/>
      <c r="G2348" s="172"/>
      <c r="H2348" s="107" t="str">
        <f t="shared" si="10"/>
        <v>ifnull(t.posi_ratio,0) as posi_ratio,/*持股比例*/</v>
      </c>
      <c r="J2348" s="166" t="s">
        <v>347</v>
      </c>
      <c r="K2348" s="166" t="s">
        <v>348</v>
      </c>
      <c r="L2348" s="166" t="s">
        <v>349</v>
      </c>
      <c r="M2348" s="166" t="s">
        <v>349</v>
      </c>
      <c r="N2348" s="166">
        <v>1208</v>
      </c>
    </row>
    <row r="2349" spans="1:14" s="166" customFormat="1" ht="17.25" hidden="1" customHeight="1" outlineLevel="1" x14ac:dyDescent="0.15">
      <c r="A2349" s="166" t="s">
        <v>579</v>
      </c>
      <c r="B2349" s="174" t="s">
        <v>371</v>
      </c>
      <c r="C2349" s="171" t="s">
        <v>1184</v>
      </c>
      <c r="D2349" s="171" t="s">
        <v>1172</v>
      </c>
      <c r="E2349" s="171">
        <v>0</v>
      </c>
      <c r="F2349" s="171"/>
      <c r="G2349" s="172"/>
      <c r="H2349" s="107"/>
    </row>
    <row r="2350" spans="1:14" s="166" customFormat="1" ht="17.25" hidden="1" customHeight="1" outlineLevel="1" x14ac:dyDescent="0.15">
      <c r="B2350" s="174" t="s">
        <v>1754</v>
      </c>
      <c r="C2350" s="171" t="s">
        <v>1787</v>
      </c>
      <c r="D2350" s="171" t="s">
        <v>1169</v>
      </c>
      <c r="E2350" s="171">
        <v>0</v>
      </c>
      <c r="F2350" s="171"/>
      <c r="G2350" s="172"/>
      <c r="H2350" s="107"/>
    </row>
    <row r="2351" spans="1:14" s="166" customFormat="1" ht="17.25" hidden="1" customHeight="1" outlineLevel="1" x14ac:dyDescent="0.15">
      <c r="B2351" s="292" t="s">
        <v>499</v>
      </c>
      <c r="C2351" s="171" t="s">
        <v>1536</v>
      </c>
      <c r="D2351" s="171" t="s">
        <v>1172</v>
      </c>
      <c r="E2351" s="171">
        <v>0</v>
      </c>
      <c r="F2351" s="171"/>
      <c r="G2351" s="172"/>
      <c r="H2351" s="107"/>
    </row>
    <row r="2352" spans="1:14" s="7" customFormat="1" hidden="1" outlineLevel="1" x14ac:dyDescent="0.15">
      <c r="A2352" s="166"/>
      <c r="B2352" s="292" t="s">
        <v>500</v>
      </c>
      <c r="C2352" s="171" t="s">
        <v>1537</v>
      </c>
      <c r="D2352" s="171" t="s">
        <v>1172</v>
      </c>
      <c r="E2352" s="171">
        <v>0</v>
      </c>
      <c r="F2352" s="171"/>
      <c r="G2352" s="172"/>
    </row>
    <row r="2353" spans="1:14" s="7" customFormat="1" ht="18" hidden="1" outlineLevel="1" thickBot="1" x14ac:dyDescent="0.2">
      <c r="A2353" s="2"/>
      <c r="B2353" s="24"/>
      <c r="C2353" s="9"/>
      <c r="D2353" s="9"/>
      <c r="E2353" s="9"/>
      <c r="F2353" s="9"/>
      <c r="G2353" s="11"/>
    </row>
    <row r="2354" spans="1:14" s="7" customFormat="1" hidden="1" outlineLevel="1" x14ac:dyDescent="0.15">
      <c r="A2354" s="2"/>
      <c r="B2354" s="327" t="s">
        <v>15</v>
      </c>
      <c r="C2354" s="328"/>
      <c r="D2354" s="328"/>
      <c r="E2354" s="328"/>
      <c r="F2354" s="328"/>
      <c r="G2354" s="329"/>
    </row>
    <row r="2355" spans="1:14" ht="18" hidden="1" outlineLevel="1" thickBot="1" x14ac:dyDescent="0.2">
      <c r="A2355" s="2"/>
      <c r="B2355" s="24"/>
      <c r="C2355" s="9"/>
      <c r="D2355" s="9"/>
      <c r="E2355" s="9"/>
      <c r="F2355" s="9"/>
      <c r="G2355" s="11"/>
    </row>
    <row r="2356" spans="1:14" s="7" customFormat="1" ht="18" hidden="1" outlineLevel="1" thickBot="1" x14ac:dyDescent="0.2">
      <c r="A2356" s="1"/>
      <c r="B2356" s="1"/>
      <c r="C2356" s="1"/>
      <c r="D2356" s="1"/>
      <c r="E2356" s="1"/>
      <c r="F2356" s="1"/>
      <c r="G2356" s="1"/>
    </row>
    <row r="2357" spans="1:14" s="7" customFormat="1" ht="18" collapsed="1" thickBot="1" x14ac:dyDescent="0.2">
      <c r="A2357" s="2"/>
      <c r="B2357" s="3" t="s">
        <v>563</v>
      </c>
      <c r="C2357" s="4" t="s">
        <v>674</v>
      </c>
      <c r="D2357" s="5" t="s">
        <v>515</v>
      </c>
      <c r="E2357" s="21" t="s">
        <v>605</v>
      </c>
      <c r="F2357" s="5" t="s">
        <v>567</v>
      </c>
      <c r="G2357" s="6"/>
    </row>
    <row r="2358" spans="1:14" s="7" customFormat="1" ht="18" hidden="1" outlineLevel="1" thickBot="1" x14ac:dyDescent="0.2">
      <c r="A2358" s="2"/>
      <c r="B2358" s="34" t="s">
        <v>570</v>
      </c>
      <c r="C2358" s="18"/>
      <c r="D2358" s="35" t="s">
        <v>568</v>
      </c>
      <c r="E2358" s="18" t="s">
        <v>615</v>
      </c>
      <c r="F2358" s="35"/>
      <c r="G2358" s="19"/>
    </row>
    <row r="2359" spans="1:14" s="166" customFormat="1" ht="17.25" hidden="1" customHeight="1" outlineLevel="1" x14ac:dyDescent="0.15">
      <c r="A2359" s="2"/>
      <c r="B2359" s="3" t="s">
        <v>0</v>
      </c>
      <c r="C2359" s="5" t="s">
        <v>1</v>
      </c>
      <c r="D2359" s="5" t="s">
        <v>2</v>
      </c>
      <c r="E2359" s="5"/>
      <c r="F2359" s="5" t="s">
        <v>3</v>
      </c>
      <c r="G2359" s="36" t="s">
        <v>4</v>
      </c>
      <c r="J2359" s="166" t="s">
        <v>237</v>
      </c>
      <c r="K2359" s="166" t="s">
        <v>238</v>
      </c>
      <c r="L2359" s="166" t="s">
        <v>211</v>
      </c>
      <c r="M2359" s="166" t="s">
        <v>211</v>
      </c>
      <c r="N2359" s="166">
        <v>1211</v>
      </c>
    </row>
    <row r="2360" spans="1:14" s="166" customFormat="1" ht="17.25" hidden="1" customHeight="1" outlineLevel="1" x14ac:dyDescent="0.15">
      <c r="B2360" s="167" t="s">
        <v>22</v>
      </c>
      <c r="C2360" s="168" t="s">
        <v>1127</v>
      </c>
      <c r="D2360" s="168" t="s">
        <v>211</v>
      </c>
      <c r="E2360" s="168" t="s">
        <v>1141</v>
      </c>
      <c r="F2360" s="168" t="s">
        <v>357</v>
      </c>
      <c r="G2360" s="169" t="s">
        <v>1162</v>
      </c>
      <c r="J2360" s="166" t="s">
        <v>237</v>
      </c>
      <c r="K2360" s="166" t="s">
        <v>238</v>
      </c>
      <c r="L2360" s="166" t="s">
        <v>211</v>
      </c>
      <c r="M2360" s="166" t="s">
        <v>211</v>
      </c>
      <c r="N2360" s="166">
        <v>1112</v>
      </c>
    </row>
    <row r="2361" spans="1:14" s="166" customFormat="1" ht="17.25" hidden="1" customHeight="1" outlineLevel="1" x14ac:dyDescent="0.15">
      <c r="B2361" s="167" t="s">
        <v>111</v>
      </c>
      <c r="C2361" s="168" t="s">
        <v>1164</v>
      </c>
      <c r="D2361" s="168" t="s">
        <v>211</v>
      </c>
      <c r="E2361" s="168">
        <v>0</v>
      </c>
      <c r="F2361" s="168" t="s">
        <v>350</v>
      </c>
      <c r="G2361" s="169" t="s">
        <v>1329</v>
      </c>
      <c r="J2361" s="166" t="s">
        <v>347</v>
      </c>
      <c r="K2361" s="166" t="s">
        <v>348</v>
      </c>
      <c r="L2361" s="166" t="s">
        <v>349</v>
      </c>
      <c r="M2361" s="166" t="s">
        <v>349</v>
      </c>
      <c r="N2361" s="166">
        <v>1149</v>
      </c>
    </row>
    <row r="2362" spans="1:14" s="166" customFormat="1" ht="17.25" hidden="1" customHeight="1" outlineLevel="1" x14ac:dyDescent="0.15">
      <c r="B2362" s="170" t="s">
        <v>373</v>
      </c>
      <c r="C2362" s="171" t="s">
        <v>1126</v>
      </c>
      <c r="D2362" s="171" t="s">
        <v>1087</v>
      </c>
      <c r="E2362" s="171">
        <v>0</v>
      </c>
      <c r="F2362" s="171" t="s">
        <v>350</v>
      </c>
      <c r="G2362" s="172"/>
      <c r="J2362" s="166" t="s">
        <v>347</v>
      </c>
      <c r="K2362" s="166" t="s">
        <v>348</v>
      </c>
      <c r="L2362" s="166" t="s">
        <v>349</v>
      </c>
      <c r="M2362" s="166" t="s">
        <v>349</v>
      </c>
      <c r="N2362" s="166">
        <v>1741</v>
      </c>
    </row>
    <row r="2363" spans="1:14" s="166" customFormat="1" ht="17.25" hidden="1" customHeight="1" outlineLevel="1" x14ac:dyDescent="0.15">
      <c r="B2363" s="170" t="s">
        <v>374</v>
      </c>
      <c r="C2363" s="171" t="s">
        <v>1170</v>
      </c>
      <c r="D2363" s="171" t="s">
        <v>1169</v>
      </c>
      <c r="E2363" s="171">
        <v>0</v>
      </c>
      <c r="F2363" s="171" t="s">
        <v>350</v>
      </c>
      <c r="G2363" s="172"/>
      <c r="J2363" s="166" t="s">
        <v>347</v>
      </c>
      <c r="K2363" s="166" t="s">
        <v>348</v>
      </c>
      <c r="L2363" s="166" t="s">
        <v>349</v>
      </c>
      <c r="M2363" s="166" t="s">
        <v>349</v>
      </c>
      <c r="N2363" s="166">
        <v>1244</v>
      </c>
    </row>
    <row r="2364" spans="1:14" s="166" customFormat="1" ht="17.25" hidden="1" customHeight="1" outlineLevel="1" x14ac:dyDescent="0.15">
      <c r="B2364" s="170" t="s">
        <v>375</v>
      </c>
      <c r="C2364" s="171" t="s">
        <v>1078</v>
      </c>
      <c r="D2364" s="171" t="s">
        <v>1169</v>
      </c>
      <c r="E2364" s="171">
        <v>0</v>
      </c>
      <c r="F2364" s="171" t="s">
        <v>350</v>
      </c>
      <c r="G2364" s="172"/>
      <c r="J2364" s="166" t="s">
        <v>347</v>
      </c>
      <c r="K2364" s="166" t="s">
        <v>348</v>
      </c>
      <c r="L2364" s="166" t="s">
        <v>349</v>
      </c>
      <c r="M2364" s="166" t="s">
        <v>349</v>
      </c>
      <c r="N2364" s="166">
        <v>2595</v>
      </c>
    </row>
    <row r="2365" spans="1:14" s="166" customFormat="1" ht="17.25" hidden="1" customHeight="1" outlineLevel="1" x14ac:dyDescent="0.15">
      <c r="B2365" s="170" t="s">
        <v>193</v>
      </c>
      <c r="C2365" s="171" t="s">
        <v>1171</v>
      </c>
      <c r="D2365" s="171" t="s">
        <v>1169</v>
      </c>
      <c r="E2365" s="171">
        <v>0</v>
      </c>
      <c r="F2365" s="171"/>
      <c r="G2365" s="172"/>
      <c r="J2365" s="166" t="s">
        <v>347</v>
      </c>
      <c r="K2365" s="166" t="s">
        <v>348</v>
      </c>
      <c r="L2365" s="166" t="s">
        <v>349</v>
      </c>
      <c r="M2365" s="166" t="s">
        <v>349</v>
      </c>
      <c r="N2365" s="166">
        <v>1739</v>
      </c>
    </row>
    <row r="2366" spans="1:14" s="166" customFormat="1" ht="17.25" hidden="1" customHeight="1" outlineLevel="1" x14ac:dyDescent="0.15">
      <c r="B2366" s="170" t="s">
        <v>376</v>
      </c>
      <c r="C2366" s="171" t="s">
        <v>1088</v>
      </c>
      <c r="D2366" s="171" t="s">
        <v>1172</v>
      </c>
      <c r="E2366" s="171">
        <v>0</v>
      </c>
      <c r="F2366" s="171"/>
      <c r="G2366" s="172"/>
      <c r="J2366" s="166" t="s">
        <v>347</v>
      </c>
      <c r="K2366" s="166" t="s">
        <v>348</v>
      </c>
      <c r="L2366" s="166" t="s">
        <v>349</v>
      </c>
      <c r="M2366" s="166" t="s">
        <v>349</v>
      </c>
      <c r="N2366" s="166">
        <v>2309</v>
      </c>
    </row>
    <row r="2367" spans="1:14" s="166" customFormat="1" ht="17.25" hidden="1" customHeight="1" outlineLevel="1" x14ac:dyDescent="0.15">
      <c r="B2367" s="170" t="s">
        <v>313</v>
      </c>
      <c r="C2367" s="171" t="s">
        <v>1185</v>
      </c>
      <c r="D2367" s="171" t="s">
        <v>1169</v>
      </c>
      <c r="E2367" s="171">
        <v>0</v>
      </c>
      <c r="F2367" s="171"/>
      <c r="G2367" s="172"/>
      <c r="J2367" s="166" t="s">
        <v>347</v>
      </c>
      <c r="K2367" s="166" t="s">
        <v>348</v>
      </c>
      <c r="L2367" s="166" t="s">
        <v>349</v>
      </c>
      <c r="M2367" s="166" t="s">
        <v>349</v>
      </c>
      <c r="N2367" s="166">
        <v>1511</v>
      </c>
    </row>
    <row r="2368" spans="1:14" s="166" customFormat="1" ht="17.25" hidden="1" customHeight="1" outlineLevel="1" x14ac:dyDescent="0.15">
      <c r="B2368" s="170" t="s">
        <v>377</v>
      </c>
      <c r="C2368" s="171" t="s">
        <v>1181</v>
      </c>
      <c r="D2368" s="171" t="s">
        <v>1169</v>
      </c>
      <c r="E2368" s="171">
        <v>0</v>
      </c>
      <c r="F2368" s="171" t="s">
        <v>350</v>
      </c>
      <c r="G2368" s="172"/>
      <c r="J2368" s="166" t="s">
        <v>347</v>
      </c>
      <c r="K2368" s="166" t="s">
        <v>348</v>
      </c>
      <c r="L2368" s="166" t="s">
        <v>349</v>
      </c>
      <c r="M2368" s="166" t="s">
        <v>349</v>
      </c>
      <c r="N2368" s="166">
        <v>2402</v>
      </c>
    </row>
    <row r="2369" spans="1:14" s="166" customFormat="1" ht="17.25" hidden="1" customHeight="1" outlineLevel="1" x14ac:dyDescent="0.15">
      <c r="B2369" s="170" t="s">
        <v>353</v>
      </c>
      <c r="C2369" s="171" t="s">
        <v>1173</v>
      </c>
      <c r="D2369" s="171" t="s">
        <v>1169</v>
      </c>
      <c r="E2369" s="171">
        <v>0</v>
      </c>
      <c r="F2369" s="171" t="s">
        <v>350</v>
      </c>
      <c r="G2369" s="172"/>
      <c r="J2369" s="166" t="s">
        <v>347</v>
      </c>
      <c r="K2369" s="166" t="s">
        <v>348</v>
      </c>
      <c r="L2369" s="166" t="s">
        <v>349</v>
      </c>
      <c r="M2369" s="166" t="s">
        <v>349</v>
      </c>
      <c r="N2369" s="166">
        <v>1618</v>
      </c>
    </row>
    <row r="2370" spans="1:14" s="166" customFormat="1" ht="17.25" hidden="1" customHeight="1" outlineLevel="1" x14ac:dyDescent="0.15">
      <c r="B2370" s="170" t="s">
        <v>378</v>
      </c>
      <c r="C2370" s="171" t="s">
        <v>1128</v>
      </c>
      <c r="D2370" s="171" t="s">
        <v>1169</v>
      </c>
      <c r="E2370" s="171">
        <v>0</v>
      </c>
      <c r="F2370" s="171" t="s">
        <v>350</v>
      </c>
      <c r="G2370" s="172"/>
      <c r="J2370" s="166" t="s">
        <v>347</v>
      </c>
      <c r="K2370" s="166" t="s">
        <v>348</v>
      </c>
      <c r="L2370" s="166" t="s">
        <v>349</v>
      </c>
      <c r="M2370" s="166" t="s">
        <v>349</v>
      </c>
      <c r="N2370" s="166">
        <v>1599</v>
      </c>
    </row>
    <row r="2371" spans="1:14" s="166" customFormat="1" ht="17.25" hidden="1" customHeight="1" outlineLevel="1" x14ac:dyDescent="0.15">
      <c r="B2371" s="170" t="s">
        <v>314</v>
      </c>
      <c r="C2371" s="171" t="s">
        <v>1089</v>
      </c>
      <c r="D2371" s="171" t="s">
        <v>1169</v>
      </c>
      <c r="E2371" s="171">
        <v>0</v>
      </c>
      <c r="F2371" s="171"/>
      <c r="G2371" s="172"/>
      <c r="J2371" s="166" t="s">
        <v>347</v>
      </c>
      <c r="K2371" s="166" t="s">
        <v>348</v>
      </c>
      <c r="L2371" s="166" t="s">
        <v>349</v>
      </c>
      <c r="M2371" s="166" t="s">
        <v>349</v>
      </c>
      <c r="N2371" s="166">
        <v>1997</v>
      </c>
    </row>
    <row r="2372" spans="1:14" s="166" customFormat="1" ht="17.25" hidden="1" customHeight="1" outlineLevel="1" x14ac:dyDescent="0.15">
      <c r="B2372" s="170" t="s">
        <v>379</v>
      </c>
      <c r="C2372" s="171" t="s">
        <v>1174</v>
      </c>
      <c r="D2372" s="171" t="s">
        <v>1169</v>
      </c>
      <c r="E2372" s="171">
        <v>0</v>
      </c>
      <c r="F2372" s="171" t="s">
        <v>350</v>
      </c>
      <c r="G2372" s="172"/>
      <c r="J2372" s="166" t="s">
        <v>347</v>
      </c>
      <c r="K2372" s="166" t="s">
        <v>348</v>
      </c>
      <c r="L2372" s="166" t="s">
        <v>349</v>
      </c>
      <c r="M2372" s="166" t="s">
        <v>349</v>
      </c>
      <c r="N2372" s="166">
        <v>1842</v>
      </c>
    </row>
    <row r="2373" spans="1:14" s="166" customFormat="1" ht="17.25" hidden="1" customHeight="1" outlineLevel="1" x14ac:dyDescent="0.15">
      <c r="B2373" s="170" t="s">
        <v>176</v>
      </c>
      <c r="C2373" s="171" t="s">
        <v>1132</v>
      </c>
      <c r="D2373" s="171" t="s">
        <v>1169</v>
      </c>
      <c r="E2373" s="171">
        <v>0</v>
      </c>
      <c r="F2373" s="171" t="s">
        <v>350</v>
      </c>
      <c r="G2373" s="172"/>
      <c r="J2373" s="166" t="s">
        <v>347</v>
      </c>
      <c r="K2373" s="166" t="s">
        <v>348</v>
      </c>
      <c r="L2373" s="166" t="s">
        <v>349</v>
      </c>
      <c r="M2373" s="166" t="s">
        <v>349</v>
      </c>
      <c r="N2373" s="166">
        <v>1843</v>
      </c>
    </row>
    <row r="2374" spans="1:14" s="166" customFormat="1" ht="17.25" hidden="1" customHeight="1" outlineLevel="1" x14ac:dyDescent="0.15">
      <c r="B2374" s="170" t="s">
        <v>175</v>
      </c>
      <c r="C2374" s="171" t="s">
        <v>1129</v>
      </c>
      <c r="D2374" s="171" t="s">
        <v>1169</v>
      </c>
      <c r="E2374" s="171">
        <v>0</v>
      </c>
      <c r="F2374" s="171" t="s">
        <v>350</v>
      </c>
      <c r="G2374" s="172"/>
      <c r="J2374" s="166" t="s">
        <v>347</v>
      </c>
      <c r="K2374" s="166" t="s">
        <v>348</v>
      </c>
      <c r="L2374" s="166" t="s">
        <v>349</v>
      </c>
      <c r="M2374" s="166" t="s">
        <v>349</v>
      </c>
      <c r="N2374" s="166">
        <v>1774</v>
      </c>
    </row>
    <row r="2375" spans="1:14" s="166" customFormat="1" ht="17.25" hidden="1" customHeight="1" outlineLevel="1" x14ac:dyDescent="0.15">
      <c r="B2375" s="170" t="s">
        <v>380</v>
      </c>
      <c r="C2375" s="171" t="s">
        <v>1130</v>
      </c>
      <c r="D2375" s="171" t="s">
        <v>1169</v>
      </c>
      <c r="E2375" s="171">
        <v>0</v>
      </c>
      <c r="F2375" s="171"/>
      <c r="G2375" s="172"/>
      <c r="J2375" s="166" t="s">
        <v>354</v>
      </c>
      <c r="K2375" s="166" t="s">
        <v>355</v>
      </c>
      <c r="L2375" s="166" t="s">
        <v>356</v>
      </c>
      <c r="M2375" s="166" t="s">
        <v>354</v>
      </c>
      <c r="N2375" s="166">
        <v>1041</v>
      </c>
    </row>
    <row r="2376" spans="1:14" s="166" customFormat="1" ht="17.25" hidden="1" customHeight="1" outlineLevel="1" x14ac:dyDescent="0.15">
      <c r="B2376" s="170" t="s">
        <v>110</v>
      </c>
      <c r="C2376" s="171" t="s">
        <v>1091</v>
      </c>
      <c r="D2376" s="171" t="s">
        <v>1131</v>
      </c>
      <c r="E2376" s="171" t="s">
        <v>1074</v>
      </c>
      <c r="F2376" s="171" t="s">
        <v>366</v>
      </c>
      <c r="G2376" s="172"/>
      <c r="J2376" s="166" t="s">
        <v>347</v>
      </c>
      <c r="K2376" s="166" t="s">
        <v>348</v>
      </c>
      <c r="L2376" s="166" t="s">
        <v>349</v>
      </c>
      <c r="M2376" s="166" t="s">
        <v>349</v>
      </c>
      <c r="N2376" s="166">
        <v>1274</v>
      </c>
    </row>
    <row r="2377" spans="1:14" s="166" customFormat="1" ht="17.25" hidden="1" customHeight="1" outlineLevel="1" x14ac:dyDescent="0.15">
      <c r="B2377" s="170" t="s">
        <v>381</v>
      </c>
      <c r="C2377" s="171" t="s">
        <v>1176</v>
      </c>
      <c r="D2377" s="171" t="s">
        <v>1169</v>
      </c>
      <c r="E2377" s="171">
        <v>0</v>
      </c>
      <c r="F2377" s="171"/>
      <c r="G2377" s="172"/>
      <c r="J2377" s="166" t="s">
        <v>347</v>
      </c>
      <c r="K2377" s="166" t="s">
        <v>348</v>
      </c>
      <c r="L2377" s="166" t="s">
        <v>349</v>
      </c>
      <c r="M2377" s="166" t="s">
        <v>349</v>
      </c>
    </row>
    <row r="2378" spans="1:14" s="166" customFormat="1" ht="17.25" hidden="1" customHeight="1" outlineLevel="1" x14ac:dyDescent="0.15">
      <c r="B2378" s="170" t="s">
        <v>382</v>
      </c>
      <c r="C2378" s="171" t="s">
        <v>1177</v>
      </c>
      <c r="D2378" s="171" t="s">
        <v>1172</v>
      </c>
      <c r="E2378" s="171">
        <v>0</v>
      </c>
      <c r="F2378" s="171" t="s">
        <v>350</v>
      </c>
      <c r="G2378" s="172"/>
      <c r="J2378" s="166" t="s">
        <v>347</v>
      </c>
      <c r="K2378" s="166" t="s">
        <v>348</v>
      </c>
      <c r="L2378" s="166" t="s">
        <v>349</v>
      </c>
      <c r="M2378" s="166" t="s">
        <v>349</v>
      </c>
    </row>
    <row r="2379" spans="1:14" s="166" customFormat="1" ht="17.25" hidden="1" customHeight="1" outlineLevel="1" x14ac:dyDescent="0.15">
      <c r="B2379" s="170" t="s">
        <v>383</v>
      </c>
      <c r="C2379" s="171" t="s">
        <v>1178</v>
      </c>
      <c r="D2379" s="171" t="s">
        <v>1169</v>
      </c>
      <c r="E2379" s="171">
        <v>0</v>
      </c>
      <c r="F2379" s="171"/>
      <c r="G2379" s="172"/>
      <c r="J2379" s="166" t="s">
        <v>347</v>
      </c>
      <c r="K2379" s="166" t="s">
        <v>348</v>
      </c>
      <c r="L2379" s="166" t="s">
        <v>349</v>
      </c>
      <c r="M2379" s="166" t="s">
        <v>349</v>
      </c>
      <c r="N2379" s="166">
        <v>1512</v>
      </c>
    </row>
    <row r="2380" spans="1:14" s="166" customFormat="1" ht="17.25" hidden="1" customHeight="1" outlineLevel="1" x14ac:dyDescent="0.15">
      <c r="B2380" s="170" t="s">
        <v>384</v>
      </c>
      <c r="C2380" s="171" t="s">
        <v>1179</v>
      </c>
      <c r="D2380" s="171" t="s">
        <v>1172</v>
      </c>
      <c r="E2380" s="171">
        <v>0</v>
      </c>
      <c r="F2380" s="171"/>
      <c r="G2380" s="172"/>
      <c r="J2380" s="166" t="s">
        <v>347</v>
      </c>
      <c r="K2380" s="166" t="s">
        <v>348</v>
      </c>
      <c r="L2380" s="166" t="s">
        <v>349</v>
      </c>
      <c r="M2380" s="166" t="s">
        <v>349</v>
      </c>
    </row>
    <row r="2381" spans="1:14" s="7" customFormat="1" hidden="1" outlineLevel="1" x14ac:dyDescent="0.15">
      <c r="A2381" s="166"/>
      <c r="B2381" s="170" t="s">
        <v>385</v>
      </c>
      <c r="C2381" s="171" t="s">
        <v>1180</v>
      </c>
      <c r="D2381" s="171" t="s">
        <v>1172</v>
      </c>
      <c r="E2381" s="171">
        <v>0</v>
      </c>
      <c r="F2381" s="171"/>
      <c r="G2381" s="172"/>
    </row>
    <row r="2382" spans="1:14" s="7" customFormat="1" ht="18" hidden="1" outlineLevel="1" thickBot="1" x14ac:dyDescent="0.2">
      <c r="A2382" s="2"/>
      <c r="B2382" s="24"/>
      <c r="C2382" s="9"/>
      <c r="D2382" s="9"/>
      <c r="E2382" s="9"/>
      <c r="F2382" s="9"/>
      <c r="G2382" s="11"/>
    </row>
    <row r="2383" spans="1:14" s="7" customFormat="1" hidden="1" outlineLevel="1" x14ac:dyDescent="0.15">
      <c r="A2383" s="2"/>
      <c r="B2383" s="327" t="s">
        <v>15</v>
      </c>
      <c r="C2383" s="328"/>
      <c r="D2383" s="328"/>
      <c r="E2383" s="328"/>
      <c r="F2383" s="328"/>
      <c r="G2383" s="329"/>
    </row>
    <row r="2384" spans="1:14" ht="18" hidden="1" outlineLevel="1" thickBot="1" x14ac:dyDescent="0.2">
      <c r="A2384" s="2"/>
      <c r="B2384" s="24"/>
      <c r="C2384" s="9"/>
      <c r="D2384" s="9"/>
      <c r="E2384" s="9"/>
      <c r="F2384" s="9"/>
      <c r="G2384" s="11"/>
    </row>
    <row r="2385" spans="1:14" s="7" customFormat="1" ht="18" hidden="1" outlineLevel="1" thickBot="1" x14ac:dyDescent="0.2">
      <c r="A2385" s="1"/>
      <c r="B2385" s="1"/>
      <c r="C2385" s="1"/>
      <c r="D2385" s="1"/>
      <c r="E2385" s="1"/>
      <c r="F2385" s="1"/>
      <c r="G2385" s="1"/>
    </row>
    <row r="2386" spans="1:14" s="7" customFormat="1" ht="18" collapsed="1" thickBot="1" x14ac:dyDescent="0.2">
      <c r="A2386" s="2"/>
      <c r="B2386" s="3" t="s">
        <v>563</v>
      </c>
      <c r="C2386" s="4" t="s">
        <v>707</v>
      </c>
      <c r="D2386" s="5" t="s">
        <v>515</v>
      </c>
      <c r="E2386" s="21" t="s">
        <v>1026</v>
      </c>
      <c r="F2386" s="5" t="s">
        <v>567</v>
      </c>
      <c r="G2386" s="6"/>
    </row>
    <row r="2387" spans="1:14" s="7" customFormat="1" ht="18" hidden="1" outlineLevel="1" thickBot="1" x14ac:dyDescent="0.2">
      <c r="A2387" s="2"/>
      <c r="B2387" s="34" t="s">
        <v>570</v>
      </c>
      <c r="C2387" s="18"/>
      <c r="D2387" s="35" t="s">
        <v>568</v>
      </c>
      <c r="E2387" s="18" t="s">
        <v>615</v>
      </c>
      <c r="F2387" s="35"/>
      <c r="G2387" s="19"/>
    </row>
    <row r="2388" spans="1:14" s="166" customFormat="1" ht="17.25" hidden="1" customHeight="1" outlineLevel="1" x14ac:dyDescent="0.15">
      <c r="A2388" s="2"/>
      <c r="B2388" s="3" t="s">
        <v>0</v>
      </c>
      <c r="C2388" s="5" t="s">
        <v>1</v>
      </c>
      <c r="D2388" s="5" t="s">
        <v>2</v>
      </c>
      <c r="E2388" s="5"/>
      <c r="F2388" s="5" t="s">
        <v>3</v>
      </c>
      <c r="G2388" s="36" t="s">
        <v>4</v>
      </c>
      <c r="J2388" s="166" t="s">
        <v>237</v>
      </c>
      <c r="K2388" s="166" t="s">
        <v>238</v>
      </c>
      <c r="L2388" s="166" t="s">
        <v>211</v>
      </c>
      <c r="M2388" s="166" t="s">
        <v>211</v>
      </c>
      <c r="N2388" s="166">
        <v>1211</v>
      </c>
    </row>
    <row r="2389" spans="1:14" s="166" customFormat="1" ht="17.25" hidden="1" customHeight="1" outlineLevel="1" x14ac:dyDescent="0.15">
      <c r="B2389" s="167" t="s">
        <v>22</v>
      </c>
      <c r="C2389" s="168" t="s">
        <v>1127</v>
      </c>
      <c r="D2389" s="168" t="s">
        <v>211</v>
      </c>
      <c r="E2389" s="168" t="s">
        <v>1141</v>
      </c>
      <c r="F2389" s="168" t="s">
        <v>357</v>
      </c>
      <c r="G2389" s="169" t="s">
        <v>1162</v>
      </c>
      <c r="J2389" s="166" t="s">
        <v>237</v>
      </c>
      <c r="K2389" s="166" t="s">
        <v>238</v>
      </c>
      <c r="L2389" s="166" t="s">
        <v>211</v>
      </c>
      <c r="M2389" s="166" t="s">
        <v>211</v>
      </c>
      <c r="N2389" s="166">
        <v>1112</v>
      </c>
    </row>
    <row r="2390" spans="1:14" s="166" customFormat="1" ht="17.25" hidden="1" customHeight="1" outlineLevel="1" x14ac:dyDescent="0.15">
      <c r="B2390" s="167" t="s">
        <v>111</v>
      </c>
      <c r="C2390" s="168" t="s">
        <v>1164</v>
      </c>
      <c r="D2390" s="168" t="s">
        <v>211</v>
      </c>
      <c r="E2390" s="168">
        <v>0</v>
      </c>
      <c r="F2390" s="168" t="s">
        <v>350</v>
      </c>
      <c r="G2390" s="169" t="s">
        <v>1329</v>
      </c>
      <c r="J2390" s="166" t="s">
        <v>358</v>
      </c>
      <c r="K2390" s="166" t="s">
        <v>359</v>
      </c>
      <c r="L2390" s="166" t="s">
        <v>360</v>
      </c>
      <c r="M2390" s="166" t="s">
        <v>361</v>
      </c>
      <c r="N2390" s="166">
        <v>1700</v>
      </c>
    </row>
    <row r="2391" spans="1:14" s="166" customFormat="1" ht="17.25" hidden="1" customHeight="1" outlineLevel="1" x14ac:dyDescent="0.15">
      <c r="B2391" s="167" t="s">
        <v>123</v>
      </c>
      <c r="C2391" s="168" t="s">
        <v>1133</v>
      </c>
      <c r="D2391" s="168" t="s">
        <v>211</v>
      </c>
      <c r="E2391" s="168">
        <v>0</v>
      </c>
      <c r="F2391" s="168" t="s">
        <v>350</v>
      </c>
      <c r="G2391" s="169" t="s">
        <v>1509</v>
      </c>
      <c r="J2391" s="166" t="s">
        <v>347</v>
      </c>
      <c r="K2391" s="166" t="s">
        <v>348</v>
      </c>
      <c r="L2391" s="166" t="s">
        <v>349</v>
      </c>
      <c r="M2391" s="166" t="s">
        <v>349</v>
      </c>
      <c r="N2391" s="166">
        <v>1741</v>
      </c>
    </row>
    <row r="2392" spans="1:14" s="7" customFormat="1" hidden="1" outlineLevel="1" x14ac:dyDescent="0.15">
      <c r="A2392" s="166"/>
      <c r="B2392" s="162" t="s">
        <v>303</v>
      </c>
      <c r="C2392" s="171" t="s">
        <v>1170</v>
      </c>
      <c r="D2392" s="171" t="s">
        <v>1169</v>
      </c>
      <c r="E2392" s="171">
        <v>0</v>
      </c>
      <c r="F2392" s="171" t="s">
        <v>350</v>
      </c>
      <c r="G2392" s="172"/>
      <c r="J2392" s="7" t="s">
        <v>347</v>
      </c>
      <c r="K2392" s="7" t="s">
        <v>348</v>
      </c>
      <c r="L2392" s="7" t="s">
        <v>349</v>
      </c>
      <c r="M2392" s="7" t="s">
        <v>349</v>
      </c>
      <c r="N2392" s="7">
        <v>1702</v>
      </c>
    </row>
    <row r="2393" spans="1:14" s="7" customFormat="1" hidden="1" outlineLevel="1" x14ac:dyDescent="0.15">
      <c r="B2393" s="162" t="s">
        <v>169</v>
      </c>
      <c r="C2393" s="160" t="s">
        <v>1435</v>
      </c>
      <c r="D2393" s="160" t="s">
        <v>1087</v>
      </c>
      <c r="E2393" s="160">
        <v>0</v>
      </c>
      <c r="F2393" s="160"/>
      <c r="G2393" s="161"/>
    </row>
    <row r="2394" spans="1:14" s="166" customFormat="1" ht="17.25" hidden="1" customHeight="1" outlineLevel="1" x14ac:dyDescent="0.15">
      <c r="A2394" s="7"/>
      <c r="B2394" s="162" t="s">
        <v>113</v>
      </c>
      <c r="C2394" s="267" t="s">
        <v>1311</v>
      </c>
      <c r="D2394" s="267" t="s">
        <v>423</v>
      </c>
      <c r="E2394" s="267">
        <v>0</v>
      </c>
      <c r="F2394" s="267"/>
      <c r="G2394" s="268"/>
      <c r="J2394" s="166" t="s">
        <v>347</v>
      </c>
      <c r="K2394" s="166" t="s">
        <v>348</v>
      </c>
      <c r="L2394" s="166" t="s">
        <v>349</v>
      </c>
      <c r="M2394" s="166" t="s">
        <v>349</v>
      </c>
      <c r="N2394" s="166">
        <v>1244</v>
      </c>
    </row>
    <row r="2395" spans="1:14" s="166" customFormat="1" ht="17.25" hidden="1" customHeight="1" outlineLevel="1" x14ac:dyDescent="0.15">
      <c r="B2395" s="162" t="s">
        <v>375</v>
      </c>
      <c r="C2395" s="171" t="s">
        <v>1078</v>
      </c>
      <c r="D2395" s="171" t="s">
        <v>1169</v>
      </c>
      <c r="E2395" s="171">
        <v>0</v>
      </c>
      <c r="F2395" s="171" t="s">
        <v>350</v>
      </c>
      <c r="G2395" s="172"/>
      <c r="J2395" s="166" t="s">
        <v>347</v>
      </c>
      <c r="K2395" s="166" t="s">
        <v>348</v>
      </c>
      <c r="L2395" s="166" t="s">
        <v>349</v>
      </c>
      <c r="M2395" s="166" t="s">
        <v>349</v>
      </c>
      <c r="N2395" s="166">
        <v>2595</v>
      </c>
    </row>
    <row r="2396" spans="1:14" s="166" customFormat="1" ht="17.25" hidden="1" customHeight="1" outlineLevel="1" x14ac:dyDescent="0.15">
      <c r="B2396" s="162" t="s">
        <v>363</v>
      </c>
      <c r="C2396" s="171" t="s">
        <v>1171</v>
      </c>
      <c r="D2396" s="171" t="s">
        <v>1169</v>
      </c>
      <c r="E2396" s="171">
        <v>0</v>
      </c>
      <c r="F2396" s="171"/>
      <c r="G2396" s="172"/>
      <c r="J2396" s="166" t="s">
        <v>347</v>
      </c>
      <c r="K2396" s="166" t="s">
        <v>348</v>
      </c>
      <c r="L2396" s="166" t="s">
        <v>349</v>
      </c>
      <c r="M2396" s="166" t="s">
        <v>349</v>
      </c>
      <c r="N2396" s="166">
        <v>1739</v>
      </c>
    </row>
    <row r="2397" spans="1:14" s="166" customFormat="1" ht="17.25" hidden="1" customHeight="1" outlineLevel="1" x14ac:dyDescent="0.15">
      <c r="B2397" s="162" t="s">
        <v>364</v>
      </c>
      <c r="C2397" s="171" t="s">
        <v>1088</v>
      </c>
      <c r="D2397" s="171" t="s">
        <v>1172</v>
      </c>
      <c r="E2397" s="171">
        <v>0</v>
      </c>
      <c r="F2397" s="171"/>
      <c r="G2397" s="172"/>
      <c r="J2397" s="166" t="s">
        <v>347</v>
      </c>
      <c r="K2397" s="166" t="s">
        <v>348</v>
      </c>
      <c r="L2397" s="166" t="s">
        <v>349</v>
      </c>
      <c r="M2397" s="166" t="s">
        <v>349</v>
      </c>
      <c r="N2397" s="166">
        <v>2309</v>
      </c>
    </row>
    <row r="2398" spans="1:14" s="166" customFormat="1" ht="17.25" hidden="1" customHeight="1" outlineLevel="1" x14ac:dyDescent="0.15">
      <c r="B2398" s="162" t="s">
        <v>304</v>
      </c>
      <c r="C2398" s="171" t="s">
        <v>1185</v>
      </c>
      <c r="D2398" s="171" t="s">
        <v>1169</v>
      </c>
      <c r="E2398" s="171">
        <v>0</v>
      </c>
      <c r="F2398" s="171"/>
      <c r="G2398" s="172"/>
      <c r="J2398" s="166" t="s">
        <v>347</v>
      </c>
      <c r="K2398" s="166" t="s">
        <v>348</v>
      </c>
      <c r="L2398" s="166" t="s">
        <v>349</v>
      </c>
      <c r="M2398" s="166" t="s">
        <v>349</v>
      </c>
      <c r="N2398" s="166">
        <v>1511</v>
      </c>
    </row>
    <row r="2399" spans="1:14" s="166" customFormat="1" ht="17.25" hidden="1" customHeight="1" outlineLevel="1" x14ac:dyDescent="0.15">
      <c r="B2399" s="162" t="s">
        <v>305</v>
      </c>
      <c r="C2399" s="171" t="s">
        <v>1181</v>
      </c>
      <c r="D2399" s="171" t="s">
        <v>1169</v>
      </c>
      <c r="E2399" s="171">
        <v>0</v>
      </c>
      <c r="F2399" s="171" t="s">
        <v>350</v>
      </c>
      <c r="G2399" s="172"/>
      <c r="J2399" s="166" t="s">
        <v>347</v>
      </c>
      <c r="K2399" s="166" t="s">
        <v>348</v>
      </c>
      <c r="L2399" s="166" t="s">
        <v>349</v>
      </c>
      <c r="M2399" s="166" t="s">
        <v>349</v>
      </c>
      <c r="N2399" s="166">
        <v>2402</v>
      </c>
    </row>
    <row r="2400" spans="1:14" s="166" customFormat="1" ht="17.25" hidden="1" customHeight="1" outlineLevel="1" x14ac:dyDescent="0.15">
      <c r="B2400" s="162" t="s">
        <v>307</v>
      </c>
      <c r="C2400" s="171" t="s">
        <v>1173</v>
      </c>
      <c r="D2400" s="171" t="s">
        <v>1169</v>
      </c>
      <c r="E2400" s="171">
        <v>0</v>
      </c>
      <c r="F2400" s="171" t="s">
        <v>350</v>
      </c>
      <c r="G2400" s="172"/>
      <c r="J2400" s="166" t="s">
        <v>347</v>
      </c>
      <c r="K2400" s="166" t="s">
        <v>348</v>
      </c>
      <c r="L2400" s="166" t="s">
        <v>349</v>
      </c>
      <c r="M2400" s="166" t="s">
        <v>349</v>
      </c>
      <c r="N2400" s="166">
        <v>1618</v>
      </c>
    </row>
    <row r="2401" spans="1:14" s="166" customFormat="1" ht="17.25" hidden="1" customHeight="1" outlineLevel="1" x14ac:dyDescent="0.15">
      <c r="B2401" s="162" t="s">
        <v>306</v>
      </c>
      <c r="C2401" s="171" t="s">
        <v>1128</v>
      </c>
      <c r="D2401" s="171" t="s">
        <v>1169</v>
      </c>
      <c r="E2401" s="171">
        <v>0</v>
      </c>
      <c r="F2401" s="171" t="s">
        <v>350</v>
      </c>
      <c r="G2401" s="172"/>
      <c r="J2401" s="166" t="s">
        <v>347</v>
      </c>
      <c r="K2401" s="166" t="s">
        <v>348</v>
      </c>
      <c r="L2401" s="166" t="s">
        <v>349</v>
      </c>
      <c r="M2401" s="166" t="s">
        <v>349</v>
      </c>
      <c r="N2401" s="166">
        <v>1599</v>
      </c>
    </row>
    <row r="2402" spans="1:14" s="166" customFormat="1" ht="17.25" hidden="1" customHeight="1" outlineLevel="1" x14ac:dyDescent="0.15">
      <c r="B2402" s="162" t="s">
        <v>309</v>
      </c>
      <c r="C2402" s="171" t="s">
        <v>1089</v>
      </c>
      <c r="D2402" s="171" t="s">
        <v>1169</v>
      </c>
      <c r="E2402" s="171">
        <v>0</v>
      </c>
      <c r="F2402" s="171"/>
      <c r="G2402" s="172"/>
      <c r="J2402" s="166" t="s">
        <v>347</v>
      </c>
      <c r="K2402" s="166" t="s">
        <v>348</v>
      </c>
      <c r="L2402" s="166" t="s">
        <v>349</v>
      </c>
      <c r="M2402" s="166" t="s">
        <v>349</v>
      </c>
      <c r="N2402" s="166">
        <v>1997</v>
      </c>
    </row>
    <row r="2403" spans="1:14" s="166" customFormat="1" ht="17.25" hidden="1" customHeight="1" outlineLevel="1" x14ac:dyDescent="0.15">
      <c r="B2403" s="162" t="s">
        <v>310</v>
      </c>
      <c r="C2403" s="171" t="s">
        <v>1174</v>
      </c>
      <c r="D2403" s="171" t="s">
        <v>1169</v>
      </c>
      <c r="E2403" s="171">
        <v>0</v>
      </c>
      <c r="F2403" s="171" t="s">
        <v>350</v>
      </c>
      <c r="G2403" s="172"/>
      <c r="J2403" s="166" t="s">
        <v>347</v>
      </c>
      <c r="K2403" s="166" t="s">
        <v>348</v>
      </c>
      <c r="L2403" s="166" t="s">
        <v>349</v>
      </c>
      <c r="M2403" s="166" t="s">
        <v>349</v>
      </c>
      <c r="N2403" s="166">
        <v>1842</v>
      </c>
    </row>
    <row r="2404" spans="1:14" s="166" customFormat="1" ht="17.25" hidden="1" customHeight="1" outlineLevel="1" x14ac:dyDescent="0.15">
      <c r="B2404" s="162" t="s">
        <v>176</v>
      </c>
      <c r="C2404" s="171" t="s">
        <v>1132</v>
      </c>
      <c r="D2404" s="171" t="s">
        <v>1169</v>
      </c>
      <c r="E2404" s="171">
        <v>0</v>
      </c>
      <c r="F2404" s="171" t="s">
        <v>350</v>
      </c>
      <c r="G2404" s="172"/>
      <c r="J2404" s="166" t="s">
        <v>347</v>
      </c>
      <c r="K2404" s="166" t="s">
        <v>348</v>
      </c>
      <c r="L2404" s="166" t="s">
        <v>349</v>
      </c>
      <c r="M2404" s="166" t="s">
        <v>349</v>
      </c>
      <c r="N2404" s="166">
        <v>1843</v>
      </c>
    </row>
    <row r="2405" spans="1:14" s="166" customFormat="1" ht="17.25" hidden="1" customHeight="1" outlineLevel="1" x14ac:dyDescent="0.15">
      <c r="B2405" s="162" t="s">
        <v>175</v>
      </c>
      <c r="C2405" s="171" t="s">
        <v>1129</v>
      </c>
      <c r="D2405" s="171" t="s">
        <v>1169</v>
      </c>
      <c r="E2405" s="171">
        <v>0</v>
      </c>
      <c r="F2405" s="171" t="s">
        <v>350</v>
      </c>
      <c r="G2405" s="172"/>
      <c r="J2405" s="166" t="s">
        <v>347</v>
      </c>
      <c r="K2405" s="166" t="s">
        <v>348</v>
      </c>
      <c r="L2405" s="166" t="s">
        <v>349</v>
      </c>
      <c r="M2405" s="166" t="s">
        <v>349</v>
      </c>
      <c r="N2405" s="166">
        <v>1774</v>
      </c>
    </row>
    <row r="2406" spans="1:14" s="166" customFormat="1" ht="17.25" hidden="1" customHeight="1" outlineLevel="1" x14ac:dyDescent="0.15">
      <c r="B2406" s="162" t="s">
        <v>365</v>
      </c>
      <c r="C2406" s="171" t="s">
        <v>1130</v>
      </c>
      <c r="D2406" s="171" t="s">
        <v>1169</v>
      </c>
      <c r="E2406" s="171">
        <v>0</v>
      </c>
      <c r="F2406" s="171"/>
      <c r="G2406" s="172"/>
      <c r="J2406" s="166" t="s">
        <v>354</v>
      </c>
      <c r="K2406" s="166" t="s">
        <v>355</v>
      </c>
      <c r="L2406" s="166" t="s">
        <v>356</v>
      </c>
      <c r="M2406" s="166" t="s">
        <v>354</v>
      </c>
      <c r="N2406" s="166">
        <v>1041</v>
      </c>
    </row>
    <row r="2407" spans="1:14" s="166" customFormat="1" ht="17.25" hidden="1" customHeight="1" outlineLevel="1" x14ac:dyDescent="0.15">
      <c r="B2407" s="173" t="s">
        <v>23</v>
      </c>
      <c r="C2407" s="171" t="s">
        <v>1091</v>
      </c>
      <c r="D2407" s="171" t="s">
        <v>1131</v>
      </c>
      <c r="E2407" s="171" t="s">
        <v>1074</v>
      </c>
      <c r="F2407" s="171" t="s">
        <v>366</v>
      </c>
      <c r="G2407" s="172"/>
      <c r="J2407" s="166" t="s">
        <v>347</v>
      </c>
      <c r="K2407" s="166" t="s">
        <v>348</v>
      </c>
      <c r="L2407" s="166" t="s">
        <v>349</v>
      </c>
      <c r="M2407" s="166" t="s">
        <v>349</v>
      </c>
      <c r="N2407" s="166">
        <v>1274</v>
      </c>
    </row>
    <row r="2408" spans="1:14" s="166" customFormat="1" ht="17.25" hidden="1" customHeight="1" outlineLevel="1" x14ac:dyDescent="0.15">
      <c r="B2408" s="173" t="s">
        <v>367</v>
      </c>
      <c r="C2408" s="171" t="s">
        <v>1176</v>
      </c>
      <c r="D2408" s="171" t="s">
        <v>1169</v>
      </c>
      <c r="E2408" s="171">
        <v>0</v>
      </c>
      <c r="F2408" s="171"/>
      <c r="G2408" s="172"/>
      <c r="J2408" s="166" t="s">
        <v>347</v>
      </c>
      <c r="K2408" s="166" t="s">
        <v>348</v>
      </c>
      <c r="L2408" s="166" t="s">
        <v>349</v>
      </c>
      <c r="M2408" s="166" t="s">
        <v>349</v>
      </c>
    </row>
    <row r="2409" spans="1:14" s="166" customFormat="1" ht="17.25" hidden="1" customHeight="1" outlineLevel="1" x14ac:dyDescent="0.15">
      <c r="B2409" s="173" t="s">
        <v>368</v>
      </c>
      <c r="C2409" s="171" t="s">
        <v>1177</v>
      </c>
      <c r="D2409" s="171" t="s">
        <v>1172</v>
      </c>
      <c r="E2409" s="171">
        <v>0</v>
      </c>
      <c r="F2409" s="171" t="s">
        <v>350</v>
      </c>
      <c r="G2409" s="172"/>
      <c r="J2409" s="166" t="s">
        <v>347</v>
      </c>
      <c r="K2409" s="166" t="s">
        <v>348</v>
      </c>
      <c r="L2409" s="166" t="s">
        <v>349</v>
      </c>
      <c r="M2409" s="166" t="s">
        <v>349</v>
      </c>
      <c r="N2409" s="166">
        <v>1840</v>
      </c>
    </row>
    <row r="2410" spans="1:14" s="166" customFormat="1" ht="17.25" hidden="1" customHeight="1" outlineLevel="1" x14ac:dyDescent="0.15">
      <c r="B2410" s="162" t="s">
        <v>369</v>
      </c>
      <c r="C2410" s="171" t="s">
        <v>1475</v>
      </c>
      <c r="D2410" s="171" t="s">
        <v>1169</v>
      </c>
      <c r="E2410" s="171">
        <v>0</v>
      </c>
      <c r="F2410" s="171"/>
      <c r="G2410" s="172"/>
      <c r="J2410" s="166" t="s">
        <v>347</v>
      </c>
      <c r="K2410" s="166" t="s">
        <v>348</v>
      </c>
      <c r="L2410" s="166" t="s">
        <v>349</v>
      </c>
      <c r="M2410" s="166" t="s">
        <v>349</v>
      </c>
      <c r="N2410" s="166">
        <v>1841</v>
      </c>
    </row>
    <row r="2411" spans="1:14" s="166" customFormat="1" ht="17.25" hidden="1" customHeight="1" outlineLevel="1" x14ac:dyDescent="0.15">
      <c r="B2411" s="174" t="s">
        <v>370</v>
      </c>
      <c r="C2411" s="171" t="s">
        <v>1183</v>
      </c>
      <c r="D2411" s="171" t="s">
        <v>1172</v>
      </c>
      <c r="E2411" s="171">
        <v>0</v>
      </c>
      <c r="F2411" s="171"/>
      <c r="G2411" s="172"/>
      <c r="J2411" s="166" t="s">
        <v>347</v>
      </c>
      <c r="K2411" s="166" t="s">
        <v>348</v>
      </c>
      <c r="L2411" s="166" t="s">
        <v>349</v>
      </c>
      <c r="M2411" s="166" t="s">
        <v>349</v>
      </c>
      <c r="N2411" s="166">
        <v>1208</v>
      </c>
    </row>
    <row r="2412" spans="1:14" s="7" customFormat="1" hidden="1" outlineLevel="1" x14ac:dyDescent="0.15">
      <c r="A2412" s="166"/>
      <c r="B2412" s="174" t="s">
        <v>371</v>
      </c>
      <c r="C2412" s="171" t="s">
        <v>1184</v>
      </c>
      <c r="D2412" s="171" t="s">
        <v>1172</v>
      </c>
      <c r="E2412" s="171">
        <v>0</v>
      </c>
      <c r="F2412" s="171"/>
      <c r="G2412" s="172"/>
    </row>
    <row r="2413" spans="1:14" s="7" customFormat="1" ht="18" hidden="1" outlineLevel="1" thickBot="1" x14ac:dyDescent="0.2">
      <c r="A2413" s="2"/>
      <c r="B2413" s="24"/>
      <c r="C2413" s="9"/>
      <c r="D2413" s="9"/>
      <c r="E2413" s="9"/>
      <c r="F2413" s="9"/>
      <c r="G2413" s="11"/>
    </row>
    <row r="2414" spans="1:14" s="7" customFormat="1" hidden="1" outlineLevel="1" x14ac:dyDescent="0.15">
      <c r="A2414" s="2"/>
      <c r="B2414" s="327" t="s">
        <v>15</v>
      </c>
      <c r="C2414" s="328"/>
      <c r="D2414" s="328"/>
      <c r="E2414" s="328"/>
      <c r="F2414" s="328"/>
      <c r="G2414" s="329"/>
    </row>
    <row r="2415" spans="1:14" ht="18" hidden="1" outlineLevel="1" thickBot="1" x14ac:dyDescent="0.2">
      <c r="A2415" s="2"/>
      <c r="B2415" s="24"/>
      <c r="C2415" s="9"/>
      <c r="D2415" s="9"/>
      <c r="E2415" s="9"/>
      <c r="F2415" s="9"/>
      <c r="G2415" s="11"/>
    </row>
    <row r="2416" spans="1:14" s="7" customFormat="1" ht="18" hidden="1" outlineLevel="1" thickBot="1" x14ac:dyDescent="0.2">
      <c r="A2416" s="1"/>
      <c r="B2416" s="1"/>
      <c r="C2416" s="1"/>
      <c r="D2416" s="1"/>
      <c r="E2416" s="1"/>
      <c r="F2416" s="1"/>
      <c r="G2416" s="1"/>
    </row>
    <row r="2417" spans="1:14" s="7" customFormat="1" ht="18" collapsed="1" thickBot="1" x14ac:dyDescent="0.2">
      <c r="A2417" s="2"/>
      <c r="B2417" s="3" t="s">
        <v>563</v>
      </c>
      <c r="C2417" s="4" t="s">
        <v>709</v>
      </c>
      <c r="D2417" s="5" t="s">
        <v>515</v>
      </c>
      <c r="E2417" s="21" t="s">
        <v>708</v>
      </c>
      <c r="F2417" s="5" t="s">
        <v>567</v>
      </c>
      <c r="G2417" s="6"/>
    </row>
    <row r="2418" spans="1:14" s="7" customFormat="1" ht="18" hidden="1" outlineLevel="1" thickBot="1" x14ac:dyDescent="0.2">
      <c r="A2418" s="2"/>
      <c r="B2418" s="34" t="s">
        <v>570</v>
      </c>
      <c r="C2418" s="18"/>
      <c r="D2418" s="35" t="s">
        <v>568</v>
      </c>
      <c r="E2418" s="18" t="s">
        <v>615</v>
      </c>
      <c r="F2418" s="35"/>
      <c r="G2418" s="19"/>
    </row>
    <row r="2419" spans="1:14" s="166" customFormat="1" ht="17.25" hidden="1" customHeight="1" outlineLevel="1" x14ac:dyDescent="0.15">
      <c r="A2419" s="2"/>
      <c r="B2419" s="3" t="s">
        <v>0</v>
      </c>
      <c r="C2419" s="5" t="s">
        <v>1</v>
      </c>
      <c r="D2419" s="5" t="s">
        <v>2</v>
      </c>
      <c r="E2419" s="5"/>
      <c r="F2419" s="5" t="s">
        <v>3</v>
      </c>
      <c r="G2419" s="36" t="s">
        <v>4</v>
      </c>
      <c r="J2419" s="166" t="s">
        <v>237</v>
      </c>
      <c r="K2419" s="166" t="s">
        <v>238</v>
      </c>
      <c r="L2419" s="166" t="s">
        <v>211</v>
      </c>
      <c r="M2419" s="166" t="s">
        <v>211</v>
      </c>
      <c r="N2419" s="166">
        <v>1211</v>
      </c>
    </row>
    <row r="2420" spans="1:14" s="166" customFormat="1" ht="17.25" hidden="1" customHeight="1" outlineLevel="1" x14ac:dyDescent="0.15">
      <c r="B2420" s="167" t="s">
        <v>22</v>
      </c>
      <c r="C2420" s="168" t="s">
        <v>1127</v>
      </c>
      <c r="D2420" s="168" t="s">
        <v>211</v>
      </c>
      <c r="E2420" s="168" t="s">
        <v>1141</v>
      </c>
      <c r="F2420" s="168" t="s">
        <v>357</v>
      </c>
      <c r="G2420" s="169" t="s">
        <v>1162</v>
      </c>
      <c r="J2420" s="166" t="s">
        <v>237</v>
      </c>
      <c r="K2420" s="166" t="s">
        <v>238</v>
      </c>
      <c r="L2420" s="166" t="s">
        <v>211</v>
      </c>
      <c r="M2420" s="166" t="s">
        <v>211</v>
      </c>
      <c r="N2420" s="166">
        <v>1112</v>
      </c>
    </row>
    <row r="2421" spans="1:14" s="166" customFormat="1" ht="17.25" hidden="1" customHeight="1" outlineLevel="1" x14ac:dyDescent="0.15">
      <c r="B2421" s="167" t="s">
        <v>111</v>
      </c>
      <c r="C2421" s="168" t="s">
        <v>1164</v>
      </c>
      <c r="D2421" s="168" t="s">
        <v>211</v>
      </c>
      <c r="E2421" s="168">
        <v>0</v>
      </c>
      <c r="F2421" s="168" t="s">
        <v>350</v>
      </c>
      <c r="G2421" s="169" t="s">
        <v>1329</v>
      </c>
      <c r="J2421" s="166" t="s">
        <v>358</v>
      </c>
      <c r="K2421" s="166" t="s">
        <v>359</v>
      </c>
      <c r="L2421" s="166" t="s">
        <v>360</v>
      </c>
      <c r="M2421" s="166" t="s">
        <v>361</v>
      </c>
      <c r="N2421" s="166">
        <v>1700</v>
      </c>
    </row>
    <row r="2422" spans="1:14" s="166" customFormat="1" ht="17.25" hidden="1" customHeight="1" outlineLevel="1" x14ac:dyDescent="0.15">
      <c r="B2422" s="167" t="s">
        <v>123</v>
      </c>
      <c r="C2422" s="168" t="s">
        <v>1133</v>
      </c>
      <c r="D2422" s="168" t="s">
        <v>211</v>
      </c>
      <c r="E2422" s="168">
        <v>0</v>
      </c>
      <c r="F2422" s="168" t="s">
        <v>350</v>
      </c>
      <c r="G2422" s="169" t="s">
        <v>1509</v>
      </c>
      <c r="J2422" s="166" t="s">
        <v>347</v>
      </c>
      <c r="K2422" s="166" t="s">
        <v>348</v>
      </c>
      <c r="L2422" s="166" t="s">
        <v>349</v>
      </c>
      <c r="M2422" s="166" t="s">
        <v>349</v>
      </c>
      <c r="N2422" s="166">
        <v>1741</v>
      </c>
    </row>
    <row r="2423" spans="1:14" s="7" customFormat="1" hidden="1" outlineLevel="1" x14ac:dyDescent="0.15">
      <c r="A2423" s="166"/>
      <c r="B2423" s="162" t="s">
        <v>303</v>
      </c>
      <c r="C2423" s="171" t="s">
        <v>1170</v>
      </c>
      <c r="D2423" s="171" t="s">
        <v>1169</v>
      </c>
      <c r="E2423" s="171">
        <v>0</v>
      </c>
      <c r="F2423" s="171" t="s">
        <v>350</v>
      </c>
      <c r="G2423" s="172"/>
      <c r="J2423" s="7" t="s">
        <v>347</v>
      </c>
      <c r="K2423" s="7" t="s">
        <v>348</v>
      </c>
      <c r="L2423" s="7" t="s">
        <v>349</v>
      </c>
      <c r="M2423" s="7" t="s">
        <v>349</v>
      </c>
      <c r="N2423" s="7">
        <v>1702</v>
      </c>
    </row>
    <row r="2424" spans="1:14" s="166" customFormat="1" ht="17.25" hidden="1" customHeight="1" outlineLevel="1" x14ac:dyDescent="0.15">
      <c r="A2424" s="7"/>
      <c r="B2424" s="162" t="s">
        <v>169</v>
      </c>
      <c r="C2424" s="160" t="s">
        <v>1435</v>
      </c>
      <c r="D2424" s="160" t="s">
        <v>1087</v>
      </c>
      <c r="E2424" s="160">
        <v>0</v>
      </c>
      <c r="F2424" s="160"/>
      <c r="G2424" s="161"/>
      <c r="J2424" s="166" t="s">
        <v>347</v>
      </c>
      <c r="K2424" s="166" t="s">
        <v>348</v>
      </c>
      <c r="L2424" s="166" t="s">
        <v>349</v>
      </c>
      <c r="M2424" s="166" t="s">
        <v>349</v>
      </c>
      <c r="N2424" s="166">
        <v>1244</v>
      </c>
    </row>
    <row r="2425" spans="1:14" s="166" customFormat="1" ht="17.25" hidden="1" customHeight="1" outlineLevel="1" x14ac:dyDescent="0.15">
      <c r="B2425" s="162" t="s">
        <v>375</v>
      </c>
      <c r="C2425" s="171" t="s">
        <v>1078</v>
      </c>
      <c r="D2425" s="171" t="s">
        <v>1169</v>
      </c>
      <c r="E2425" s="171">
        <v>0</v>
      </c>
      <c r="F2425" s="171" t="s">
        <v>350</v>
      </c>
      <c r="G2425" s="172"/>
      <c r="J2425" s="166" t="s">
        <v>347</v>
      </c>
      <c r="K2425" s="166" t="s">
        <v>348</v>
      </c>
      <c r="L2425" s="166" t="s">
        <v>349</v>
      </c>
      <c r="M2425" s="166" t="s">
        <v>349</v>
      </c>
      <c r="N2425" s="166">
        <v>2595</v>
      </c>
    </row>
    <row r="2426" spans="1:14" s="166" customFormat="1" ht="17.25" hidden="1" customHeight="1" outlineLevel="1" x14ac:dyDescent="0.15">
      <c r="B2426" s="162" t="s">
        <v>363</v>
      </c>
      <c r="C2426" s="171" t="s">
        <v>1171</v>
      </c>
      <c r="D2426" s="171" t="s">
        <v>1169</v>
      </c>
      <c r="E2426" s="171">
        <v>0</v>
      </c>
      <c r="F2426" s="171"/>
      <c r="G2426" s="172"/>
      <c r="J2426" s="166" t="s">
        <v>347</v>
      </c>
      <c r="K2426" s="166" t="s">
        <v>348</v>
      </c>
      <c r="L2426" s="166" t="s">
        <v>349</v>
      </c>
      <c r="M2426" s="166" t="s">
        <v>349</v>
      </c>
      <c r="N2426" s="166">
        <v>1739</v>
      </c>
    </row>
    <row r="2427" spans="1:14" s="166" customFormat="1" ht="17.25" hidden="1" customHeight="1" outlineLevel="1" x14ac:dyDescent="0.15">
      <c r="B2427" s="162" t="s">
        <v>364</v>
      </c>
      <c r="C2427" s="171" t="s">
        <v>1088</v>
      </c>
      <c r="D2427" s="171" t="s">
        <v>1172</v>
      </c>
      <c r="E2427" s="171">
        <v>0</v>
      </c>
      <c r="F2427" s="171"/>
      <c r="G2427" s="172"/>
      <c r="J2427" s="166" t="s">
        <v>347</v>
      </c>
      <c r="K2427" s="166" t="s">
        <v>348</v>
      </c>
      <c r="L2427" s="166" t="s">
        <v>349</v>
      </c>
      <c r="M2427" s="166" t="s">
        <v>349</v>
      </c>
      <c r="N2427" s="166">
        <v>2309</v>
      </c>
    </row>
    <row r="2428" spans="1:14" s="166" customFormat="1" ht="17.25" hidden="1" customHeight="1" outlineLevel="1" x14ac:dyDescent="0.15">
      <c r="B2428" s="162" t="s">
        <v>304</v>
      </c>
      <c r="C2428" s="171" t="s">
        <v>1185</v>
      </c>
      <c r="D2428" s="171" t="s">
        <v>1169</v>
      </c>
      <c r="E2428" s="171">
        <v>0</v>
      </c>
      <c r="F2428" s="171"/>
      <c r="G2428" s="172"/>
      <c r="J2428" s="166" t="s">
        <v>347</v>
      </c>
      <c r="K2428" s="166" t="s">
        <v>348</v>
      </c>
      <c r="L2428" s="166" t="s">
        <v>349</v>
      </c>
      <c r="M2428" s="166" t="s">
        <v>349</v>
      </c>
      <c r="N2428" s="166">
        <v>1511</v>
      </c>
    </row>
    <row r="2429" spans="1:14" s="166" customFormat="1" ht="17.25" hidden="1" customHeight="1" outlineLevel="1" x14ac:dyDescent="0.15">
      <c r="B2429" s="162" t="s">
        <v>305</v>
      </c>
      <c r="C2429" s="171" t="s">
        <v>1181</v>
      </c>
      <c r="D2429" s="171" t="s">
        <v>1169</v>
      </c>
      <c r="E2429" s="171">
        <v>0</v>
      </c>
      <c r="F2429" s="171" t="s">
        <v>350</v>
      </c>
      <c r="G2429" s="172"/>
      <c r="J2429" s="166" t="s">
        <v>347</v>
      </c>
      <c r="K2429" s="166" t="s">
        <v>348</v>
      </c>
      <c r="L2429" s="166" t="s">
        <v>349</v>
      </c>
      <c r="M2429" s="166" t="s">
        <v>349</v>
      </c>
      <c r="N2429" s="166">
        <v>2402</v>
      </c>
    </row>
    <row r="2430" spans="1:14" s="166" customFormat="1" ht="17.25" hidden="1" customHeight="1" outlineLevel="1" x14ac:dyDescent="0.15">
      <c r="B2430" s="162" t="s">
        <v>307</v>
      </c>
      <c r="C2430" s="171" t="s">
        <v>1173</v>
      </c>
      <c r="D2430" s="171" t="s">
        <v>1169</v>
      </c>
      <c r="E2430" s="171">
        <v>0</v>
      </c>
      <c r="F2430" s="171" t="s">
        <v>350</v>
      </c>
      <c r="G2430" s="172"/>
      <c r="J2430" s="166" t="s">
        <v>347</v>
      </c>
      <c r="K2430" s="166" t="s">
        <v>348</v>
      </c>
      <c r="L2430" s="166" t="s">
        <v>349</v>
      </c>
      <c r="M2430" s="166" t="s">
        <v>349</v>
      </c>
      <c r="N2430" s="166">
        <v>1618</v>
      </c>
    </row>
    <row r="2431" spans="1:14" s="166" customFormat="1" ht="17.25" hidden="1" customHeight="1" outlineLevel="1" x14ac:dyDescent="0.15">
      <c r="B2431" s="162" t="s">
        <v>306</v>
      </c>
      <c r="C2431" s="171" t="s">
        <v>1128</v>
      </c>
      <c r="D2431" s="171" t="s">
        <v>1169</v>
      </c>
      <c r="E2431" s="171">
        <v>0</v>
      </c>
      <c r="F2431" s="171" t="s">
        <v>350</v>
      </c>
      <c r="G2431" s="172"/>
      <c r="J2431" s="166" t="s">
        <v>347</v>
      </c>
      <c r="K2431" s="166" t="s">
        <v>348</v>
      </c>
      <c r="L2431" s="166" t="s">
        <v>349</v>
      </c>
      <c r="M2431" s="166" t="s">
        <v>349</v>
      </c>
      <c r="N2431" s="166">
        <v>1599</v>
      </c>
    </row>
    <row r="2432" spans="1:14" s="166" customFormat="1" ht="17.25" hidden="1" customHeight="1" outlineLevel="1" x14ac:dyDescent="0.15">
      <c r="B2432" s="162" t="s">
        <v>309</v>
      </c>
      <c r="C2432" s="171" t="s">
        <v>1089</v>
      </c>
      <c r="D2432" s="171" t="s">
        <v>1169</v>
      </c>
      <c r="E2432" s="171">
        <v>0</v>
      </c>
      <c r="F2432" s="171"/>
      <c r="G2432" s="172"/>
      <c r="J2432" s="166" t="s">
        <v>347</v>
      </c>
      <c r="K2432" s="166" t="s">
        <v>348</v>
      </c>
      <c r="L2432" s="166" t="s">
        <v>349</v>
      </c>
      <c r="M2432" s="166" t="s">
        <v>349</v>
      </c>
      <c r="N2432" s="166">
        <v>1997</v>
      </c>
    </row>
    <row r="2433" spans="1:14" s="166" customFormat="1" ht="17.25" hidden="1" customHeight="1" outlineLevel="1" x14ac:dyDescent="0.15">
      <c r="B2433" s="162" t="s">
        <v>310</v>
      </c>
      <c r="C2433" s="171" t="s">
        <v>1174</v>
      </c>
      <c r="D2433" s="171" t="s">
        <v>1169</v>
      </c>
      <c r="E2433" s="171">
        <v>0</v>
      </c>
      <c r="F2433" s="171" t="s">
        <v>350</v>
      </c>
      <c r="G2433" s="172"/>
      <c r="J2433" s="166" t="s">
        <v>347</v>
      </c>
      <c r="K2433" s="166" t="s">
        <v>348</v>
      </c>
      <c r="L2433" s="166" t="s">
        <v>349</v>
      </c>
      <c r="M2433" s="166" t="s">
        <v>349</v>
      </c>
      <c r="N2433" s="166">
        <v>1842</v>
      </c>
    </row>
    <row r="2434" spans="1:14" s="166" customFormat="1" ht="17.25" hidden="1" customHeight="1" outlineLevel="1" x14ac:dyDescent="0.15">
      <c r="B2434" s="162" t="s">
        <v>176</v>
      </c>
      <c r="C2434" s="171" t="s">
        <v>1132</v>
      </c>
      <c r="D2434" s="171" t="s">
        <v>1169</v>
      </c>
      <c r="E2434" s="171">
        <v>0</v>
      </c>
      <c r="F2434" s="171" t="s">
        <v>350</v>
      </c>
      <c r="G2434" s="172"/>
      <c r="J2434" s="166" t="s">
        <v>347</v>
      </c>
      <c r="K2434" s="166" t="s">
        <v>348</v>
      </c>
      <c r="L2434" s="166" t="s">
        <v>349</v>
      </c>
      <c r="M2434" s="166" t="s">
        <v>349</v>
      </c>
      <c r="N2434" s="166">
        <v>1843</v>
      </c>
    </row>
    <row r="2435" spans="1:14" s="166" customFormat="1" ht="17.25" hidden="1" customHeight="1" outlineLevel="1" x14ac:dyDescent="0.15">
      <c r="B2435" s="162" t="s">
        <v>175</v>
      </c>
      <c r="C2435" s="171" t="s">
        <v>1129</v>
      </c>
      <c r="D2435" s="171" t="s">
        <v>1169</v>
      </c>
      <c r="E2435" s="171">
        <v>0</v>
      </c>
      <c r="F2435" s="171" t="s">
        <v>350</v>
      </c>
      <c r="G2435" s="172"/>
      <c r="J2435" s="166" t="s">
        <v>347</v>
      </c>
      <c r="K2435" s="166" t="s">
        <v>348</v>
      </c>
      <c r="L2435" s="166" t="s">
        <v>349</v>
      </c>
      <c r="M2435" s="166" t="s">
        <v>349</v>
      </c>
      <c r="N2435" s="166">
        <v>1774</v>
      </c>
    </row>
    <row r="2436" spans="1:14" s="166" customFormat="1" ht="17.25" hidden="1" customHeight="1" outlineLevel="1" x14ac:dyDescent="0.15">
      <c r="B2436" s="162" t="s">
        <v>365</v>
      </c>
      <c r="C2436" s="171" t="s">
        <v>1130</v>
      </c>
      <c r="D2436" s="171" t="s">
        <v>1169</v>
      </c>
      <c r="E2436" s="171">
        <v>0</v>
      </c>
      <c r="F2436" s="171"/>
      <c r="G2436" s="172"/>
      <c r="J2436" s="166" t="s">
        <v>354</v>
      </c>
      <c r="K2436" s="166" t="s">
        <v>355</v>
      </c>
      <c r="L2436" s="166" t="s">
        <v>356</v>
      </c>
      <c r="M2436" s="166" t="s">
        <v>354</v>
      </c>
      <c r="N2436" s="166">
        <v>1041</v>
      </c>
    </row>
    <row r="2437" spans="1:14" s="166" customFormat="1" ht="17.25" hidden="1" customHeight="1" outlineLevel="1" x14ac:dyDescent="0.15">
      <c r="B2437" s="173" t="s">
        <v>23</v>
      </c>
      <c r="C2437" s="171" t="s">
        <v>1091</v>
      </c>
      <c r="D2437" s="171" t="s">
        <v>1131</v>
      </c>
      <c r="E2437" s="171" t="s">
        <v>1074</v>
      </c>
      <c r="F2437" s="171" t="s">
        <v>366</v>
      </c>
      <c r="G2437" s="172"/>
      <c r="J2437" s="166" t="s">
        <v>347</v>
      </c>
      <c r="K2437" s="166" t="s">
        <v>348</v>
      </c>
      <c r="L2437" s="166" t="s">
        <v>349</v>
      </c>
      <c r="M2437" s="166" t="s">
        <v>349</v>
      </c>
      <c r="N2437" s="166">
        <v>1274</v>
      </c>
    </row>
    <row r="2438" spans="1:14" s="166" customFormat="1" ht="17.25" hidden="1" customHeight="1" outlineLevel="1" x14ac:dyDescent="0.15">
      <c r="B2438" s="173" t="s">
        <v>367</v>
      </c>
      <c r="C2438" s="171" t="s">
        <v>1176</v>
      </c>
      <c r="D2438" s="171" t="s">
        <v>1169</v>
      </c>
      <c r="E2438" s="171">
        <v>0</v>
      </c>
      <c r="F2438" s="171"/>
      <c r="G2438" s="172"/>
      <c r="J2438" s="166" t="s">
        <v>347</v>
      </c>
      <c r="K2438" s="166" t="s">
        <v>348</v>
      </c>
      <c r="L2438" s="166" t="s">
        <v>349</v>
      </c>
      <c r="M2438" s="166" t="s">
        <v>349</v>
      </c>
    </row>
    <row r="2439" spans="1:14" s="166" customFormat="1" ht="17.25" hidden="1" customHeight="1" outlineLevel="1" x14ac:dyDescent="0.15">
      <c r="B2439" s="173" t="s">
        <v>368</v>
      </c>
      <c r="C2439" s="171" t="s">
        <v>1177</v>
      </c>
      <c r="D2439" s="171" t="s">
        <v>1172</v>
      </c>
      <c r="E2439" s="171">
        <v>0</v>
      </c>
      <c r="F2439" s="171" t="s">
        <v>350</v>
      </c>
      <c r="G2439" s="172"/>
      <c r="J2439" s="166" t="s">
        <v>347</v>
      </c>
      <c r="K2439" s="166" t="s">
        <v>348</v>
      </c>
      <c r="L2439" s="166" t="s">
        <v>349</v>
      </c>
      <c r="M2439" s="166" t="s">
        <v>349</v>
      </c>
      <c r="N2439" s="166">
        <v>1840</v>
      </c>
    </row>
    <row r="2440" spans="1:14" s="166" customFormat="1" ht="17.25" hidden="1" customHeight="1" outlineLevel="1" x14ac:dyDescent="0.15">
      <c r="B2440" s="162" t="s">
        <v>369</v>
      </c>
      <c r="C2440" s="171" t="s">
        <v>1475</v>
      </c>
      <c r="D2440" s="171" t="s">
        <v>1169</v>
      </c>
      <c r="E2440" s="171">
        <v>0</v>
      </c>
      <c r="F2440" s="171"/>
      <c r="G2440" s="172"/>
      <c r="J2440" s="166" t="s">
        <v>347</v>
      </c>
      <c r="K2440" s="166" t="s">
        <v>348</v>
      </c>
      <c r="L2440" s="166" t="s">
        <v>349</v>
      </c>
      <c r="M2440" s="166" t="s">
        <v>349</v>
      </c>
      <c r="N2440" s="166">
        <v>1841</v>
      </c>
    </row>
    <row r="2441" spans="1:14" s="166" customFormat="1" ht="17.25" hidden="1" customHeight="1" outlineLevel="1" x14ac:dyDescent="0.15">
      <c r="B2441" s="174" t="s">
        <v>370</v>
      </c>
      <c r="C2441" s="171" t="s">
        <v>1183</v>
      </c>
      <c r="D2441" s="171" t="s">
        <v>1172</v>
      </c>
      <c r="E2441" s="171">
        <v>0</v>
      </c>
      <c r="F2441" s="171"/>
      <c r="G2441" s="172"/>
      <c r="J2441" s="166" t="s">
        <v>347</v>
      </c>
      <c r="K2441" s="166" t="s">
        <v>348</v>
      </c>
      <c r="L2441" s="166" t="s">
        <v>349</v>
      </c>
      <c r="M2441" s="166" t="s">
        <v>349</v>
      </c>
      <c r="N2441" s="166">
        <v>1208</v>
      </c>
    </row>
    <row r="2442" spans="1:14" s="7" customFormat="1" hidden="1" outlineLevel="1" x14ac:dyDescent="0.15">
      <c r="A2442" s="166"/>
      <c r="B2442" s="174" t="s">
        <v>371</v>
      </c>
      <c r="C2442" s="171" t="s">
        <v>1184</v>
      </c>
      <c r="D2442" s="171" t="s">
        <v>1172</v>
      </c>
      <c r="E2442" s="171">
        <v>0</v>
      </c>
      <c r="F2442" s="171"/>
      <c r="G2442" s="172"/>
    </row>
    <row r="2443" spans="1:14" s="7" customFormat="1" ht="18" hidden="1" outlineLevel="1" thickBot="1" x14ac:dyDescent="0.2">
      <c r="A2443" s="2"/>
      <c r="B2443" s="24"/>
      <c r="C2443" s="9"/>
      <c r="D2443" s="9"/>
      <c r="E2443" s="9"/>
      <c r="F2443" s="9"/>
      <c r="G2443" s="11"/>
    </row>
    <row r="2444" spans="1:14" s="7" customFormat="1" hidden="1" outlineLevel="1" x14ac:dyDescent="0.15">
      <c r="A2444" s="2"/>
      <c r="B2444" s="327" t="s">
        <v>15</v>
      </c>
      <c r="C2444" s="328"/>
      <c r="D2444" s="328"/>
      <c r="E2444" s="328"/>
      <c r="F2444" s="328"/>
      <c r="G2444" s="329"/>
    </row>
    <row r="2445" spans="1:14" s="2" customFormat="1" ht="18" hidden="1" outlineLevel="1" thickBot="1" x14ac:dyDescent="0.2">
      <c r="B2445" s="24"/>
      <c r="C2445" s="9"/>
      <c r="D2445" s="9"/>
      <c r="E2445" s="9"/>
      <c r="F2445" s="9"/>
      <c r="G2445" s="11"/>
    </row>
    <row r="2446" spans="1:14" s="7" customFormat="1" ht="18" hidden="1" outlineLevel="1" thickBot="1" x14ac:dyDescent="0.2">
      <c r="A2446" s="2"/>
      <c r="B2446" s="2"/>
      <c r="C2446" s="2"/>
      <c r="D2446" s="2"/>
      <c r="E2446" s="2"/>
      <c r="F2446" s="2"/>
      <c r="G2446" s="2"/>
      <c r="H2446" s="6" t="str">
        <f>"create or replace view "&amp;C2447</f>
        <v>create or replace view vi_rptasset_qry_pd_posi</v>
      </c>
    </row>
    <row r="2447" spans="1:14" s="7" customFormat="1" ht="18" collapsed="1" thickBot="1" x14ac:dyDescent="0.2">
      <c r="A2447" s="2"/>
      <c r="B2447" s="3" t="s">
        <v>563</v>
      </c>
      <c r="C2447" s="4" t="s">
        <v>675</v>
      </c>
      <c r="D2447" s="5" t="s">
        <v>515</v>
      </c>
      <c r="E2447" s="21" t="s">
        <v>724</v>
      </c>
      <c r="F2447" s="5" t="s">
        <v>567</v>
      </c>
      <c r="G2447" s="6"/>
      <c r="H2447" s="11" t="str">
        <f>"/* "&amp;E2447&amp;"*/  as "</f>
        <v xml:space="preserve">/* 报表_资管报表_视图-查询-产品-证券持仓*/  as </v>
      </c>
    </row>
    <row r="2448" spans="1:14" s="7" customFormat="1" ht="18" hidden="1" outlineLevel="1" thickBot="1" x14ac:dyDescent="0.2">
      <c r="A2448" s="2"/>
      <c r="B2448" s="34" t="s">
        <v>570</v>
      </c>
      <c r="C2448" s="18"/>
      <c r="D2448" s="35" t="s">
        <v>568</v>
      </c>
      <c r="E2448" s="18" t="s">
        <v>615</v>
      </c>
      <c r="F2448" s="35"/>
      <c r="G2448" s="19"/>
      <c r="H2448" s="13" t="s">
        <v>474</v>
      </c>
    </row>
    <row r="2449" spans="1:14" s="7" customFormat="1" ht="17.25" hidden="1" customHeight="1" outlineLevel="1" x14ac:dyDescent="0.15">
      <c r="A2449" s="2"/>
      <c r="B2449" s="3" t="s">
        <v>0</v>
      </c>
      <c r="C2449" s="5" t="s">
        <v>1</v>
      </c>
      <c r="D2449" s="5" t="s">
        <v>2</v>
      </c>
      <c r="E2449" s="5"/>
      <c r="F2449" s="5" t="s">
        <v>3</v>
      </c>
      <c r="G2449" s="36" t="s">
        <v>4</v>
      </c>
      <c r="H2449" s="107" t="str">
        <f t="shared" ref="H2449:H2474" si="11">"ifnull("&amp;IF(I2449&lt;&gt;"",I2449,IF(F2450&lt;&gt;"",F2450,"t")&amp;"."&amp;C2450)&amp;","&amp;E2450&amp;") as "&amp;C2450&amp;",/*"&amp;B2450&amp;"*/"</f>
        <v>ifnull(t.row_id,0) as row_id,/*记录序号*/</v>
      </c>
      <c r="J2449" s="7" t="s">
        <v>358</v>
      </c>
      <c r="K2449" s="7" t="s">
        <v>359</v>
      </c>
      <c r="L2449" s="7" t="s">
        <v>360</v>
      </c>
      <c r="M2449" s="7" t="s">
        <v>361</v>
      </c>
      <c r="N2449" s="7">
        <v>1629</v>
      </c>
    </row>
    <row r="2450" spans="1:14" s="7" customFormat="1" ht="17.25" hidden="1" customHeight="1" outlineLevel="1" x14ac:dyDescent="0.15">
      <c r="A2450" s="175"/>
      <c r="B2450" s="176" t="s">
        <v>478</v>
      </c>
      <c r="C2450" s="176" t="s">
        <v>1476</v>
      </c>
      <c r="D2450" s="176" t="s">
        <v>1345</v>
      </c>
      <c r="E2450" s="176">
        <v>0</v>
      </c>
      <c r="F2450" s="176"/>
      <c r="G2450" s="176"/>
      <c r="H2450" s="107" t="str">
        <f t="shared" si="11"/>
        <v>ifnull(t.init_date,date_format(curdate(),'%Y%m%d')) as init_date,/*初始化日期*/</v>
      </c>
      <c r="J2450" s="7" t="s">
        <v>237</v>
      </c>
      <c r="K2450" s="7" t="s">
        <v>238</v>
      </c>
      <c r="L2450" s="7" t="s">
        <v>211</v>
      </c>
      <c r="M2450" s="7" t="s">
        <v>211</v>
      </c>
      <c r="N2450" s="7">
        <v>1211</v>
      </c>
    </row>
    <row r="2451" spans="1:14" s="7" customFormat="1" ht="17.25" hidden="1" customHeight="1" outlineLevel="1" x14ac:dyDescent="0.15">
      <c r="A2451" s="175"/>
      <c r="B2451" s="176" t="s">
        <v>5</v>
      </c>
      <c r="C2451" s="176" t="s">
        <v>1127</v>
      </c>
      <c r="D2451" s="176" t="s">
        <v>211</v>
      </c>
      <c r="E2451" s="176" t="s">
        <v>1141</v>
      </c>
      <c r="F2451" s="176"/>
      <c r="G2451" s="176" t="s">
        <v>1162</v>
      </c>
      <c r="H2451" s="107" t="str">
        <f t="shared" si="11"/>
        <v>ifnull(t.co_no,0) as co_no,/*机构编号*/</v>
      </c>
      <c r="J2451" s="7" t="s">
        <v>237</v>
      </c>
      <c r="K2451" s="7" t="s">
        <v>238</v>
      </c>
      <c r="L2451" s="7" t="s">
        <v>211</v>
      </c>
      <c r="M2451" s="7" t="s">
        <v>211</v>
      </c>
      <c r="N2451" s="7">
        <v>1606</v>
      </c>
    </row>
    <row r="2452" spans="1:14" s="7" customFormat="1" ht="17.25" hidden="1" customHeight="1" outlineLevel="1" x14ac:dyDescent="0.15">
      <c r="A2452" s="175"/>
      <c r="B2452" s="176" t="s">
        <v>6</v>
      </c>
      <c r="C2452" s="176" t="s">
        <v>1163</v>
      </c>
      <c r="D2452" s="176" t="s">
        <v>211</v>
      </c>
      <c r="E2452" s="176">
        <v>0</v>
      </c>
      <c r="F2452" s="176"/>
      <c r="G2452" s="176" t="s">
        <v>1077</v>
      </c>
      <c r="H2452" s="107" t="str">
        <f t="shared" si="11"/>
        <v>ifnull(t.pd_no,0) as pd_no,/*产品编号*/</v>
      </c>
      <c r="J2452" s="7" t="s">
        <v>237</v>
      </c>
      <c r="K2452" s="7" t="s">
        <v>238</v>
      </c>
      <c r="L2452" s="7" t="s">
        <v>211</v>
      </c>
      <c r="M2452" s="7" t="s">
        <v>211</v>
      </c>
      <c r="N2452" s="7">
        <v>1112</v>
      </c>
    </row>
    <row r="2453" spans="1:14" s="7" customFormat="1" ht="17.25" hidden="1" customHeight="1" outlineLevel="1" x14ac:dyDescent="0.15">
      <c r="A2453" s="175"/>
      <c r="B2453" s="176" t="s">
        <v>111</v>
      </c>
      <c r="C2453" s="176" t="s">
        <v>1164</v>
      </c>
      <c r="D2453" s="176" t="s">
        <v>211</v>
      </c>
      <c r="E2453" s="176">
        <v>0</v>
      </c>
      <c r="F2453" s="176"/>
      <c r="G2453" s="176" t="s">
        <v>1165</v>
      </c>
      <c r="H2453" s="107" t="str">
        <f t="shared" si="11"/>
        <v>ifnull(t.asset_acco_no,0) as asset_acco_no,/*资产账户编号*/</v>
      </c>
      <c r="J2453" s="7" t="s">
        <v>237</v>
      </c>
      <c r="K2453" s="7" t="s">
        <v>238</v>
      </c>
      <c r="L2453" s="7" t="s">
        <v>211</v>
      </c>
      <c r="M2453" s="7" t="s">
        <v>211</v>
      </c>
      <c r="N2453" s="7">
        <v>2534</v>
      </c>
    </row>
    <row r="2454" spans="1:14" s="7" customFormat="1" ht="17.25" hidden="1" customHeight="1" outlineLevel="1" x14ac:dyDescent="0.15">
      <c r="A2454" s="175"/>
      <c r="B2454" s="176" t="s">
        <v>113</v>
      </c>
      <c r="C2454" s="176" t="s">
        <v>1187</v>
      </c>
      <c r="D2454" s="176" t="s">
        <v>211</v>
      </c>
      <c r="E2454" s="176">
        <v>0</v>
      </c>
      <c r="F2454" s="176"/>
      <c r="G2454" s="176"/>
      <c r="H2454" s="107" t="str">
        <f t="shared" si="11"/>
        <v>ifnull(t.stock_code_no,0) as stock_code_no,/*证券代码编号*/</v>
      </c>
      <c r="J2454" s="7" t="s">
        <v>237</v>
      </c>
      <c r="K2454" s="7" t="s">
        <v>238</v>
      </c>
      <c r="L2454" s="7" t="s">
        <v>211</v>
      </c>
      <c r="M2454" s="7" t="s">
        <v>211</v>
      </c>
      <c r="N2454" s="7">
        <v>2430</v>
      </c>
    </row>
    <row r="2455" spans="1:14" s="7" customFormat="1" ht="17.25" hidden="1" customHeight="1" outlineLevel="1" x14ac:dyDescent="0.15">
      <c r="A2455" s="175"/>
      <c r="B2455" s="176" t="s">
        <v>115</v>
      </c>
      <c r="C2455" s="176" t="s">
        <v>1188</v>
      </c>
      <c r="D2455" s="176" t="s">
        <v>211</v>
      </c>
      <c r="E2455" s="176">
        <v>0</v>
      </c>
      <c r="F2455" s="176"/>
      <c r="G2455" s="176"/>
      <c r="H2455" s="107" t="str">
        <f t="shared" si="11"/>
        <v>ifnull(t.stock_type,0) as stock_type,/*证券类型*/</v>
      </c>
      <c r="J2455" s="7" t="s">
        <v>237</v>
      </c>
      <c r="K2455" s="7" t="s">
        <v>238</v>
      </c>
      <c r="L2455" s="7" t="s">
        <v>211</v>
      </c>
      <c r="M2455" s="7" t="s">
        <v>211</v>
      </c>
      <c r="N2455" s="7">
        <v>2433</v>
      </c>
    </row>
    <row r="2456" spans="1:14" s="7" customFormat="1" ht="17.25" hidden="1" customHeight="1" outlineLevel="1" x14ac:dyDescent="0.15">
      <c r="A2456" s="175"/>
      <c r="B2456" s="176" t="s">
        <v>93</v>
      </c>
      <c r="C2456" s="176" t="s">
        <v>1189</v>
      </c>
      <c r="D2456" s="176" t="s">
        <v>211</v>
      </c>
      <c r="E2456" s="176">
        <v>0</v>
      </c>
      <c r="F2456" s="176"/>
      <c r="G2456" s="176"/>
      <c r="H2456" s="107" t="str">
        <f t="shared" si="11"/>
        <v>ifnull(t.exch_no,0) as exch_no,/*市场编号*/</v>
      </c>
      <c r="J2456" s="7" t="s">
        <v>237</v>
      </c>
      <c r="K2456" s="7" t="s">
        <v>238</v>
      </c>
      <c r="L2456" s="7" t="s">
        <v>211</v>
      </c>
      <c r="M2456" s="7" t="s">
        <v>211</v>
      </c>
      <c r="N2456" s="7">
        <v>2155</v>
      </c>
    </row>
    <row r="2457" spans="1:14" s="7" customFormat="1" ht="17.25" hidden="1" customHeight="1" outlineLevel="1" x14ac:dyDescent="0.15">
      <c r="A2457" s="175"/>
      <c r="B2457" s="176" t="s">
        <v>7</v>
      </c>
      <c r="C2457" s="176" t="s">
        <v>1190</v>
      </c>
      <c r="D2457" s="176" t="s">
        <v>211</v>
      </c>
      <c r="E2457" s="176">
        <v>0</v>
      </c>
      <c r="F2457" s="176"/>
      <c r="G2457" s="176" t="s">
        <v>1081</v>
      </c>
      <c r="H2457" s="107" t="str">
        <f t="shared" si="11"/>
        <v>ifnull(t.posi_market_value,0) as posi_market_value,/*持仓市值*/</v>
      </c>
      <c r="J2457" s="7" t="s">
        <v>347</v>
      </c>
      <c r="K2457" s="7" t="s">
        <v>348</v>
      </c>
      <c r="L2457" s="7" t="s">
        <v>349</v>
      </c>
      <c r="M2457" s="7" t="s">
        <v>349</v>
      </c>
      <c r="N2457" s="7">
        <v>1202</v>
      </c>
    </row>
    <row r="2458" spans="1:14" s="7" customFormat="1" ht="17.25" hidden="1" customHeight="1" outlineLevel="1" x14ac:dyDescent="0.15">
      <c r="A2458" s="175"/>
      <c r="B2458" s="165" t="s">
        <v>162</v>
      </c>
      <c r="C2458" s="165" t="s">
        <v>1214</v>
      </c>
      <c r="D2458" s="165" t="s">
        <v>1169</v>
      </c>
      <c r="E2458" s="165">
        <v>0</v>
      </c>
      <c r="F2458" s="165"/>
      <c r="G2458" s="165"/>
      <c r="H2458" s="107" t="str">
        <f t="shared" si="11"/>
        <v>ifnull(t.invest_type,0) as invest_type,/*投资类型*/</v>
      </c>
      <c r="J2458" s="7" t="s">
        <v>237</v>
      </c>
      <c r="K2458" s="7" t="s">
        <v>238</v>
      </c>
      <c r="L2458" s="7" t="s">
        <v>211</v>
      </c>
      <c r="M2458" s="7" t="s">
        <v>211</v>
      </c>
      <c r="N2458" s="7">
        <v>2237</v>
      </c>
    </row>
    <row r="2459" spans="1:14" s="7" customFormat="1" ht="17.25" hidden="1" customHeight="1" outlineLevel="1" x14ac:dyDescent="0.15">
      <c r="A2459" s="175"/>
      <c r="B2459" s="176" t="s">
        <v>386</v>
      </c>
      <c r="C2459" s="176" t="s">
        <v>1191</v>
      </c>
      <c r="D2459" s="176" t="s">
        <v>211</v>
      </c>
      <c r="E2459" s="176">
        <v>0</v>
      </c>
      <c r="F2459" s="176"/>
      <c r="G2459" s="176" t="s">
        <v>1192</v>
      </c>
      <c r="H2459" s="107" t="str">
        <f t="shared" si="11"/>
        <v>ifnull(t.begin_qty,0) as begin_qty,/*期初数量*/</v>
      </c>
      <c r="J2459" s="7" t="s">
        <v>347</v>
      </c>
      <c r="K2459" s="7" t="s">
        <v>348</v>
      </c>
      <c r="L2459" s="7" t="s">
        <v>349</v>
      </c>
      <c r="M2459" s="7" t="s">
        <v>349</v>
      </c>
      <c r="N2459" s="7">
        <v>1986</v>
      </c>
    </row>
    <row r="2460" spans="1:14" s="7" customFormat="1" ht="17.25" hidden="1" customHeight="1" outlineLevel="1" x14ac:dyDescent="0.15">
      <c r="A2460" s="175"/>
      <c r="B2460" s="176" t="s">
        <v>8</v>
      </c>
      <c r="C2460" s="176" t="s">
        <v>1193</v>
      </c>
      <c r="D2460" s="176" t="s">
        <v>1087</v>
      </c>
      <c r="E2460" s="176">
        <v>0</v>
      </c>
      <c r="F2460" s="176"/>
      <c r="G2460" s="176" t="s">
        <v>1194</v>
      </c>
      <c r="H2460" s="107" t="str">
        <f t="shared" si="11"/>
        <v>ifnull(t.curr_qty,0) as curr_qty,/*当前数量*/</v>
      </c>
      <c r="J2460" s="7" t="s">
        <v>347</v>
      </c>
      <c r="K2460" s="7" t="s">
        <v>348</v>
      </c>
      <c r="L2460" s="7" t="s">
        <v>349</v>
      </c>
      <c r="M2460" s="7" t="s">
        <v>349</v>
      </c>
      <c r="N2460" s="7">
        <v>1262</v>
      </c>
    </row>
    <row r="2461" spans="1:14" s="7" customFormat="1" ht="17.25" hidden="1" customHeight="1" outlineLevel="1" x14ac:dyDescent="0.15">
      <c r="A2461" s="175"/>
      <c r="B2461" s="176" t="s">
        <v>9</v>
      </c>
      <c r="C2461" s="176" t="s">
        <v>1195</v>
      </c>
      <c r="D2461" s="176" t="s">
        <v>1087</v>
      </c>
      <c r="E2461" s="176">
        <v>0</v>
      </c>
      <c r="F2461" s="176"/>
      <c r="G2461" s="176" t="s">
        <v>1196</v>
      </c>
      <c r="H2461" s="107" t="str">
        <f t="shared" si="11"/>
        <v>ifnull(t.frozen_qty,0) as frozen_qty,/*冻结数量*/</v>
      </c>
      <c r="J2461" s="7" t="s">
        <v>347</v>
      </c>
      <c r="K2461" s="7" t="s">
        <v>348</v>
      </c>
      <c r="L2461" s="7" t="s">
        <v>349</v>
      </c>
      <c r="M2461" s="7" t="s">
        <v>349</v>
      </c>
      <c r="N2461" s="7">
        <v>1317</v>
      </c>
    </row>
    <row r="2462" spans="1:14" s="7" customFormat="1" ht="17.25" hidden="1" customHeight="1" outlineLevel="1" x14ac:dyDescent="0.15">
      <c r="A2462" s="175"/>
      <c r="B2462" s="176" t="s">
        <v>10</v>
      </c>
      <c r="C2462" s="176" t="s">
        <v>1197</v>
      </c>
      <c r="D2462" s="176" t="s">
        <v>1087</v>
      </c>
      <c r="E2462" s="176">
        <v>0</v>
      </c>
      <c r="F2462" s="176"/>
      <c r="G2462" s="176" t="s">
        <v>1144</v>
      </c>
      <c r="H2462" s="107" t="str">
        <f t="shared" si="11"/>
        <v>ifnull(t.unfroz_qty,0) as unfroz_qty,/*解冻数量*/</v>
      </c>
      <c r="J2462" s="7" t="s">
        <v>347</v>
      </c>
      <c r="K2462" s="7" t="s">
        <v>348</v>
      </c>
      <c r="L2462" s="7" t="s">
        <v>349</v>
      </c>
      <c r="M2462" s="7" t="s">
        <v>349</v>
      </c>
      <c r="N2462" s="7">
        <v>1721</v>
      </c>
    </row>
    <row r="2463" spans="1:14" s="7" customFormat="1" ht="17.25" hidden="1" customHeight="1" outlineLevel="1" x14ac:dyDescent="0.15">
      <c r="A2463" s="175"/>
      <c r="B2463" s="176" t="s">
        <v>11</v>
      </c>
      <c r="C2463" s="176" t="s">
        <v>1198</v>
      </c>
      <c r="D2463" s="176" t="s">
        <v>1087</v>
      </c>
      <c r="E2463" s="176">
        <v>0</v>
      </c>
      <c r="F2463" s="176"/>
      <c r="G2463" s="176" t="s">
        <v>1080</v>
      </c>
      <c r="H2463" s="107" t="str">
        <f t="shared" si="11"/>
        <v>ifnull(t.buy_pre_sett_qty,0) as buy_pre_sett_qty,/*买入待交割数量*/</v>
      </c>
      <c r="J2463" s="7" t="s">
        <v>347</v>
      </c>
      <c r="K2463" s="7" t="s">
        <v>348</v>
      </c>
      <c r="L2463" s="7" t="s">
        <v>349</v>
      </c>
      <c r="M2463" s="7" t="s">
        <v>349</v>
      </c>
      <c r="N2463" s="7">
        <v>1875</v>
      </c>
    </row>
    <row r="2464" spans="1:14" s="7" customFormat="1" ht="17.25" hidden="1" customHeight="1" outlineLevel="1" x14ac:dyDescent="0.15">
      <c r="A2464" s="175"/>
      <c r="B2464" s="176" t="s">
        <v>387</v>
      </c>
      <c r="C2464" s="176" t="s">
        <v>1203</v>
      </c>
      <c r="D2464" s="176" t="s">
        <v>1087</v>
      </c>
      <c r="E2464" s="176">
        <v>0</v>
      </c>
      <c r="F2464" s="176"/>
      <c r="G2464" s="176"/>
      <c r="H2464" s="107" t="str">
        <f t="shared" si="11"/>
        <v>ifnull(t.sell_pre_sett_qty,0) as sell_pre_sett_qty,/*卖出待交割数量*/</v>
      </c>
      <c r="J2464" s="7" t="s">
        <v>347</v>
      </c>
      <c r="K2464" s="7" t="s">
        <v>348</v>
      </c>
      <c r="L2464" s="7" t="s">
        <v>349</v>
      </c>
      <c r="M2464" s="7" t="s">
        <v>349</v>
      </c>
      <c r="N2464" s="7">
        <v>1891</v>
      </c>
    </row>
    <row r="2465" spans="1:14" s="7" customFormat="1" ht="17.25" hidden="1" customHeight="1" outlineLevel="1" x14ac:dyDescent="0.15">
      <c r="A2465" s="175"/>
      <c r="B2465" s="176" t="s">
        <v>388</v>
      </c>
      <c r="C2465" s="176" t="s">
        <v>1204</v>
      </c>
      <c r="D2465" s="176" t="s">
        <v>1087</v>
      </c>
      <c r="E2465" s="176">
        <v>0</v>
      </c>
      <c r="F2465" s="176"/>
      <c r="G2465" s="176"/>
      <c r="H2465" s="107" t="str">
        <f t="shared" si="11"/>
        <v>ifnull(t.cost_amt,0) as cost_amt,/*成本金额*/</v>
      </c>
      <c r="J2465" s="7" t="s">
        <v>347</v>
      </c>
      <c r="K2465" s="7" t="s">
        <v>348</v>
      </c>
      <c r="L2465" s="7" t="s">
        <v>349</v>
      </c>
      <c r="M2465" s="7" t="s">
        <v>349</v>
      </c>
      <c r="N2465" s="7">
        <v>1163</v>
      </c>
    </row>
    <row r="2466" spans="1:14" s="7" customFormat="1" ht="17.25" hidden="1" customHeight="1" outlineLevel="1" x14ac:dyDescent="0.15">
      <c r="A2466" s="175"/>
      <c r="B2466" s="176" t="s">
        <v>116</v>
      </c>
      <c r="C2466" s="176" t="s">
        <v>1213</v>
      </c>
      <c r="D2466" s="176" t="s">
        <v>1169</v>
      </c>
      <c r="E2466" s="176">
        <v>0</v>
      </c>
      <c r="F2466" s="176"/>
      <c r="G2466" s="176"/>
      <c r="H2466" s="107" t="str">
        <f t="shared" si="11"/>
        <v>ifnull(t.realize_pandl,0) as realize_pandl,/*实现盈亏*/</v>
      </c>
      <c r="J2466" s="7" t="s">
        <v>347</v>
      </c>
      <c r="K2466" s="7" t="s">
        <v>348</v>
      </c>
      <c r="L2466" s="7" t="s">
        <v>349</v>
      </c>
      <c r="M2466" s="7" t="s">
        <v>349</v>
      </c>
      <c r="N2466" s="7">
        <v>2153</v>
      </c>
    </row>
    <row r="2467" spans="1:14" s="7" customFormat="1" ht="17.25" hidden="1" customHeight="1" outlineLevel="1" x14ac:dyDescent="0.15">
      <c r="A2467" s="175"/>
      <c r="B2467" s="176" t="s">
        <v>12</v>
      </c>
      <c r="C2467" s="176" t="s">
        <v>1143</v>
      </c>
      <c r="D2467" s="176" t="s">
        <v>1169</v>
      </c>
      <c r="E2467" s="176">
        <v>0</v>
      </c>
      <c r="F2467" s="176"/>
      <c r="G2467" s="176"/>
      <c r="H2467" s="107" t="str">
        <f t="shared" si="11"/>
        <v>ifnull(t.intrst_cost_amt,0) as intrst_cost_amt,/*利息成本金额*/</v>
      </c>
      <c r="J2467" s="7" t="s">
        <v>347</v>
      </c>
      <c r="K2467" s="7" t="s">
        <v>348</v>
      </c>
      <c r="L2467" s="7" t="s">
        <v>349</v>
      </c>
      <c r="M2467" s="7" t="s">
        <v>349</v>
      </c>
      <c r="N2467" s="7">
        <v>1852</v>
      </c>
    </row>
    <row r="2468" spans="1:14" s="7" customFormat="1" ht="17.25" hidden="1" customHeight="1" outlineLevel="1" x14ac:dyDescent="0.15">
      <c r="A2468" s="175"/>
      <c r="B2468" s="176" t="s">
        <v>13</v>
      </c>
      <c r="C2468" s="176" t="s">
        <v>1205</v>
      </c>
      <c r="D2468" s="176" t="s">
        <v>1169</v>
      </c>
      <c r="E2468" s="176">
        <v>0</v>
      </c>
      <c r="F2468" s="176"/>
      <c r="G2468" s="176"/>
      <c r="H2468" s="107" t="str">
        <f t="shared" si="11"/>
        <v>ifnull(t.intrst_pandl,0) as intrst_pandl,/*利息收益*/</v>
      </c>
      <c r="J2468" s="7" t="s">
        <v>347</v>
      </c>
      <c r="K2468" s="7" t="s">
        <v>348</v>
      </c>
      <c r="L2468" s="7" t="s">
        <v>349</v>
      </c>
      <c r="M2468" s="7" t="s">
        <v>349</v>
      </c>
      <c r="N2468" s="7">
        <v>1857</v>
      </c>
    </row>
    <row r="2469" spans="1:14" s="7" customFormat="1" ht="17.25" hidden="1" customHeight="1" outlineLevel="1" x14ac:dyDescent="0.15">
      <c r="A2469" s="175"/>
      <c r="B2469" s="176" t="s">
        <v>14</v>
      </c>
      <c r="C2469" s="176" t="s">
        <v>1206</v>
      </c>
      <c r="D2469" s="176" t="s">
        <v>1169</v>
      </c>
      <c r="E2469" s="176">
        <v>0</v>
      </c>
      <c r="F2469" s="176"/>
      <c r="G2469" s="176"/>
      <c r="H2469" s="107" t="str">
        <f t="shared" si="11"/>
        <v>ifnull(t.avail_qty,0) as avail_qty,/*可用数量*/</v>
      </c>
      <c r="J2469" s="7" t="s">
        <v>347</v>
      </c>
      <c r="K2469" s="7" t="s">
        <v>348</v>
      </c>
      <c r="L2469" s="7" t="s">
        <v>349</v>
      </c>
      <c r="M2469" s="7" t="s">
        <v>349</v>
      </c>
      <c r="N2469" s="7">
        <v>1782</v>
      </c>
    </row>
    <row r="2470" spans="1:14" s="7" customFormat="1" ht="17.25" hidden="1" customHeight="1" outlineLevel="1" x14ac:dyDescent="0.15">
      <c r="A2470" s="175"/>
      <c r="B2470" s="176" t="s">
        <v>479</v>
      </c>
      <c r="C2470" s="176" t="s">
        <v>1207</v>
      </c>
      <c r="D2470" s="176" t="s">
        <v>1087</v>
      </c>
      <c r="E2470" s="176">
        <v>0</v>
      </c>
      <c r="F2470" s="176"/>
      <c r="G2470" s="176"/>
      <c r="H2470" s="107" t="str">
        <f t="shared" si="11"/>
        <v>ifnull(t.posi_nav_ratio,0) as posi_nav_ratio,/*持仓净值占比*/</v>
      </c>
      <c r="J2470" s="7" t="s">
        <v>347</v>
      </c>
      <c r="K2470" s="7" t="s">
        <v>348</v>
      </c>
      <c r="L2470" s="7" t="s">
        <v>349</v>
      </c>
      <c r="M2470" s="7" t="s">
        <v>349</v>
      </c>
      <c r="N2470" s="7">
        <v>1197</v>
      </c>
    </row>
    <row r="2471" spans="1:14" s="7" customFormat="1" ht="17.25" hidden="1" customHeight="1" outlineLevel="1" x14ac:dyDescent="0.15">
      <c r="A2471" s="175"/>
      <c r="B2471" s="165" t="s">
        <v>480</v>
      </c>
      <c r="C2471" s="165" t="s">
        <v>1079</v>
      </c>
      <c r="D2471" s="165" t="s">
        <v>1172</v>
      </c>
      <c r="E2471" s="165">
        <v>0</v>
      </c>
      <c r="F2471" s="165"/>
      <c r="G2471" s="165"/>
      <c r="H2471" s="107" t="str">
        <f t="shared" si="11"/>
        <v>ifnull(t.nav_asset,0) as nav_asset,/*净资产*/</v>
      </c>
      <c r="J2471" s="7" t="s">
        <v>347</v>
      </c>
      <c r="K2471" s="7" t="s">
        <v>348</v>
      </c>
      <c r="L2471" s="7" t="s">
        <v>349</v>
      </c>
      <c r="M2471" s="7" t="s">
        <v>349</v>
      </c>
      <c r="N2471" s="7">
        <v>1741</v>
      </c>
    </row>
    <row r="2472" spans="1:14" s="7" customFormat="1" ht="17.25" hidden="1" customHeight="1" outlineLevel="1" x14ac:dyDescent="0.15">
      <c r="A2472" s="175"/>
      <c r="B2472" s="176" t="s">
        <v>374</v>
      </c>
      <c r="C2472" s="176" t="s">
        <v>1170</v>
      </c>
      <c r="D2472" s="176" t="s">
        <v>1169</v>
      </c>
      <c r="E2472" s="176">
        <v>0</v>
      </c>
      <c r="F2472" s="176"/>
      <c r="G2472" s="176"/>
      <c r="H2472" s="107" t="str">
        <f t="shared" si="11"/>
        <v>ifnull(t.bond_receivable_amt,0) as bond_receivable_amt,/*债券应收利息*/</v>
      </c>
      <c r="J2472" s="7" t="s">
        <v>347</v>
      </c>
      <c r="K2472" s="7" t="s">
        <v>348</v>
      </c>
      <c r="L2472" s="7" t="s">
        <v>349</v>
      </c>
      <c r="M2472" s="7" t="s">
        <v>349</v>
      </c>
    </row>
    <row r="2473" spans="1:14" s="7" customFormat="1" ht="17.25" hidden="1" customHeight="1" outlineLevel="1" x14ac:dyDescent="0.15">
      <c r="A2473" s="175"/>
      <c r="B2473" s="176" t="s">
        <v>481</v>
      </c>
      <c r="C2473" s="176" t="s">
        <v>1209</v>
      </c>
      <c r="D2473" s="176" t="s">
        <v>1169</v>
      </c>
      <c r="E2473" s="176">
        <v>0</v>
      </c>
      <c r="F2473" s="176"/>
      <c r="G2473" s="176"/>
      <c r="H2473" s="107" t="str">
        <f t="shared" si="11"/>
        <v>ifnull(t.impawn_qty,0) as impawn_qty,/*质押数量*/</v>
      </c>
      <c r="J2473" s="7" t="s">
        <v>347</v>
      </c>
      <c r="K2473" s="7" t="s">
        <v>348</v>
      </c>
      <c r="L2473" s="7" t="s">
        <v>349</v>
      </c>
      <c r="M2473" s="7" t="s">
        <v>349</v>
      </c>
      <c r="N2473" s="7">
        <v>2511</v>
      </c>
    </row>
    <row r="2474" spans="1:14" s="7" customFormat="1" ht="17.25" hidden="1" customHeight="1" outlineLevel="1" x14ac:dyDescent="0.15">
      <c r="A2474" s="175"/>
      <c r="B2474" s="176" t="s">
        <v>482</v>
      </c>
      <c r="C2474" s="176" t="s">
        <v>1208</v>
      </c>
      <c r="D2474" s="176" t="s">
        <v>1087</v>
      </c>
      <c r="E2474" s="176">
        <v>0</v>
      </c>
      <c r="F2474" s="176"/>
      <c r="G2474" s="176"/>
      <c r="H2474" s="107" t="str">
        <f t="shared" si="11"/>
        <v>ifnull(t.full_holding_amt,0) as full_holding_amt,/*全价持仓市值*/</v>
      </c>
      <c r="J2474" s="7" t="s">
        <v>347</v>
      </c>
      <c r="K2474" s="7" t="s">
        <v>348</v>
      </c>
      <c r="L2474" s="7" t="s">
        <v>349</v>
      </c>
      <c r="M2474" s="7" t="s">
        <v>349</v>
      </c>
    </row>
    <row r="2475" spans="1:14" s="7" customFormat="1" ht="17.25" hidden="1" customHeight="1" outlineLevel="1" x14ac:dyDescent="0.15">
      <c r="A2475" s="175"/>
      <c r="B2475" s="165" t="s">
        <v>477</v>
      </c>
      <c r="C2475" s="165" t="s">
        <v>1530</v>
      </c>
      <c r="D2475" s="165" t="s">
        <v>1169</v>
      </c>
      <c r="E2475" s="165">
        <v>0</v>
      </c>
      <c r="F2475" s="165"/>
      <c r="G2475" s="165"/>
      <c r="H2475" s="166"/>
    </row>
    <row r="2476" spans="1:14" s="7" customFormat="1" ht="18" hidden="1" outlineLevel="1" thickBot="1" x14ac:dyDescent="0.2">
      <c r="A2476" s="175"/>
      <c r="B2476" s="147"/>
      <c r="C2476" s="147"/>
      <c r="D2476" s="147"/>
      <c r="E2476" s="147"/>
      <c r="F2476" s="147"/>
      <c r="G2476" s="147"/>
    </row>
    <row r="2477" spans="1:14" s="7" customFormat="1" ht="17.25" hidden="1" customHeight="1" outlineLevel="1" x14ac:dyDescent="0.15">
      <c r="A2477" s="2"/>
      <c r="B2477" s="327" t="s">
        <v>15</v>
      </c>
      <c r="C2477" s="328"/>
      <c r="D2477" s="328"/>
      <c r="E2477" s="328"/>
      <c r="F2477" s="328"/>
      <c r="G2477" s="329"/>
    </row>
    <row r="2478" spans="1:14" ht="17.25" hidden="1" customHeight="1" outlineLevel="1" thickBot="1" x14ac:dyDescent="0.2">
      <c r="A2478" s="2"/>
      <c r="B2478" s="24"/>
      <c r="C2478" s="9"/>
      <c r="D2478" s="9"/>
      <c r="E2478" s="9"/>
      <c r="F2478" s="9"/>
      <c r="G2478" s="11"/>
    </row>
    <row r="2479" spans="1:14" s="7" customFormat="1" ht="17.25" hidden="1" customHeight="1" outlineLevel="1" thickBot="1" x14ac:dyDescent="0.2">
      <c r="A2479" s="1"/>
      <c r="B2479" s="1"/>
      <c r="C2479" s="1"/>
      <c r="D2479" s="1"/>
      <c r="E2479" s="1"/>
      <c r="F2479" s="1"/>
      <c r="G2479" s="1"/>
      <c r="H2479" s="6" t="str">
        <f>"create or replace view "&amp;C2480</f>
        <v>create or replace view vi_rptasset_qry_exgrp_posi</v>
      </c>
    </row>
    <row r="2480" spans="1:14" s="7" customFormat="1" ht="18" collapsed="1" thickBot="1" x14ac:dyDescent="0.2">
      <c r="A2480" s="2"/>
      <c r="B2480" s="3" t="s">
        <v>563</v>
      </c>
      <c r="C2480" s="4" t="s">
        <v>676</v>
      </c>
      <c r="D2480" s="5" t="s">
        <v>515</v>
      </c>
      <c r="E2480" s="21" t="s">
        <v>606</v>
      </c>
      <c r="F2480" s="5" t="s">
        <v>567</v>
      </c>
      <c r="G2480" s="6"/>
      <c r="H2480" s="11" t="str">
        <f>"/* "&amp;E2480&amp;"*/  as "</f>
        <v xml:space="preserve">/* 报表_资管报表_视图-查询-交易组-证券持仓*/  as </v>
      </c>
    </row>
    <row r="2481" spans="1:14" s="7" customFormat="1" ht="18" hidden="1" outlineLevel="1" thickBot="1" x14ac:dyDescent="0.2">
      <c r="A2481" s="2"/>
      <c r="B2481" s="34" t="s">
        <v>570</v>
      </c>
      <c r="C2481" s="18"/>
      <c r="D2481" s="35" t="s">
        <v>568</v>
      </c>
      <c r="E2481" s="18" t="s">
        <v>615</v>
      </c>
      <c r="F2481" s="35"/>
      <c r="G2481" s="19"/>
      <c r="H2481" s="13" t="s">
        <v>474</v>
      </c>
    </row>
    <row r="2482" spans="1:14" s="7" customFormat="1" ht="17.25" hidden="1" customHeight="1" outlineLevel="1" x14ac:dyDescent="0.15">
      <c r="A2482" s="2"/>
      <c r="B2482" s="3" t="s">
        <v>0</v>
      </c>
      <c r="C2482" s="5" t="s">
        <v>1</v>
      </c>
      <c r="D2482" s="5" t="s">
        <v>2</v>
      </c>
      <c r="E2482" s="5"/>
      <c r="F2482" s="5" t="s">
        <v>3</v>
      </c>
      <c r="G2482" s="36" t="s">
        <v>4</v>
      </c>
      <c r="H2482" s="107" t="str">
        <f t="shared" ref="H2482:H2511" si="12">"ifnull("&amp;IF(I2482&lt;&gt;"",I2482,IF(F2483&lt;&gt;"",F2483,"t")&amp;"."&amp;C2483)&amp;","&amp;E2483&amp;") as "&amp;C2483&amp;",/*"&amp;B2483&amp;"*/"</f>
        <v>ifnull(t.row_id,0) as row_id,/*记录序号*/</v>
      </c>
      <c r="J2482" s="7" t="s">
        <v>358</v>
      </c>
      <c r="K2482" s="7" t="s">
        <v>359</v>
      </c>
      <c r="L2482" s="7" t="s">
        <v>360</v>
      </c>
      <c r="M2482" s="7" t="s">
        <v>361</v>
      </c>
      <c r="N2482" s="7">
        <v>1629</v>
      </c>
    </row>
    <row r="2483" spans="1:14" s="7" customFormat="1" ht="17.25" hidden="1" customHeight="1" outlineLevel="1" x14ac:dyDescent="0.15">
      <c r="A2483" s="175" t="s">
        <v>580</v>
      </c>
      <c r="B2483" s="176" t="s">
        <v>478</v>
      </c>
      <c r="C2483" s="176" t="s">
        <v>1476</v>
      </c>
      <c r="D2483" s="176" t="s">
        <v>1345</v>
      </c>
      <c r="E2483" s="176">
        <v>0</v>
      </c>
      <c r="F2483" s="176"/>
      <c r="G2483" s="176"/>
      <c r="H2483" s="107" t="str">
        <f t="shared" si="12"/>
        <v>ifnull(t.init_date,date_format(curdate(),'%Y%m%d')) as init_date,/*初始化日期*/</v>
      </c>
      <c r="J2483" s="7" t="s">
        <v>237</v>
      </c>
      <c r="K2483" s="7" t="s">
        <v>238</v>
      </c>
      <c r="L2483" s="7" t="s">
        <v>211</v>
      </c>
      <c r="M2483" s="7" t="s">
        <v>211</v>
      </c>
      <c r="N2483" s="7">
        <v>1211</v>
      </c>
    </row>
    <row r="2484" spans="1:14" s="7" customFormat="1" ht="17.25" hidden="1" customHeight="1" outlineLevel="1" x14ac:dyDescent="0.15">
      <c r="A2484" s="175" t="s">
        <v>580</v>
      </c>
      <c r="B2484" s="176" t="s">
        <v>5</v>
      </c>
      <c r="C2484" s="176" t="s">
        <v>1127</v>
      </c>
      <c r="D2484" s="176" t="s">
        <v>211</v>
      </c>
      <c r="E2484" s="176" t="s">
        <v>1141</v>
      </c>
      <c r="F2484" s="176"/>
      <c r="G2484" s="176" t="s">
        <v>1162</v>
      </c>
      <c r="H2484" s="107" t="str">
        <f t="shared" si="12"/>
        <v>ifnull(t.co_no,0) as co_no,/*机构编号*/</v>
      </c>
      <c r="J2484" s="7" t="s">
        <v>237</v>
      </c>
      <c r="K2484" s="7" t="s">
        <v>238</v>
      </c>
      <c r="L2484" s="7" t="s">
        <v>211</v>
      </c>
      <c r="M2484" s="7" t="s">
        <v>211</v>
      </c>
      <c r="N2484" s="7">
        <v>1606</v>
      </c>
    </row>
    <row r="2485" spans="1:14" s="7" customFormat="1" ht="17.25" hidden="1" customHeight="1" outlineLevel="1" x14ac:dyDescent="0.15">
      <c r="A2485" s="175" t="s">
        <v>580</v>
      </c>
      <c r="B2485" s="176" t="s">
        <v>6</v>
      </c>
      <c r="C2485" s="176" t="s">
        <v>1163</v>
      </c>
      <c r="D2485" s="176" t="s">
        <v>211</v>
      </c>
      <c r="E2485" s="176">
        <v>0</v>
      </c>
      <c r="F2485" s="176"/>
      <c r="G2485" s="176" t="s">
        <v>1077</v>
      </c>
      <c r="H2485" s="107" t="str">
        <f t="shared" si="12"/>
        <v>ifnull(t.pd_no,0) as pd_no,/*产品编号*/</v>
      </c>
      <c r="J2485" s="7" t="s">
        <v>237</v>
      </c>
      <c r="K2485" s="7" t="s">
        <v>238</v>
      </c>
      <c r="L2485" s="7" t="s">
        <v>211</v>
      </c>
      <c r="M2485" s="7" t="s">
        <v>211</v>
      </c>
      <c r="N2485" s="7">
        <v>1112</v>
      </c>
    </row>
    <row r="2486" spans="1:14" s="7" customFormat="1" ht="17.25" hidden="1" customHeight="1" outlineLevel="1" x14ac:dyDescent="0.15">
      <c r="A2486" s="175" t="s">
        <v>580</v>
      </c>
      <c r="B2486" s="176" t="s">
        <v>111</v>
      </c>
      <c r="C2486" s="176" t="s">
        <v>1164</v>
      </c>
      <c r="D2486" s="176" t="s">
        <v>211</v>
      </c>
      <c r="E2486" s="176">
        <v>0</v>
      </c>
      <c r="F2486" s="176"/>
      <c r="G2486" s="176" t="s">
        <v>1165</v>
      </c>
      <c r="H2486" s="107" t="str">
        <f t="shared" si="12"/>
        <v>ifnull(t.asset_acco_no,0) as asset_acco_no,/*资产账户编号*/</v>
      </c>
      <c r="J2486" s="7" t="s">
        <v>237</v>
      </c>
      <c r="K2486" s="7" t="s">
        <v>238</v>
      </c>
      <c r="L2486" s="7" t="s">
        <v>211</v>
      </c>
      <c r="M2486" s="7" t="s">
        <v>211</v>
      </c>
      <c r="N2486" s="7">
        <v>2534</v>
      </c>
    </row>
    <row r="2487" spans="1:14" s="7" customFormat="1" ht="17.25" hidden="1" customHeight="1" outlineLevel="1" x14ac:dyDescent="0.15">
      <c r="A2487" s="175"/>
      <c r="B2487" s="176" t="s">
        <v>113</v>
      </c>
      <c r="C2487" s="176" t="s">
        <v>1187</v>
      </c>
      <c r="D2487" s="176" t="s">
        <v>211</v>
      </c>
      <c r="E2487" s="176">
        <v>0</v>
      </c>
      <c r="F2487" s="176"/>
      <c r="G2487" s="176"/>
      <c r="H2487" s="107" t="str">
        <f t="shared" si="12"/>
        <v>ifnull(t.exch_group_no,0) as exch_group_no,/*交易组编号*/</v>
      </c>
      <c r="J2487" s="7" t="s">
        <v>358</v>
      </c>
      <c r="K2487" s="7" t="s">
        <v>359</v>
      </c>
      <c r="L2487" s="7" t="s">
        <v>360</v>
      </c>
      <c r="M2487" s="7" t="s">
        <v>361</v>
      </c>
      <c r="N2487" s="7">
        <v>1700</v>
      </c>
    </row>
    <row r="2488" spans="1:14" s="7" customFormat="1" ht="17.25" hidden="1" customHeight="1" outlineLevel="1" x14ac:dyDescent="0.15">
      <c r="A2488" s="175" t="s">
        <v>580</v>
      </c>
      <c r="B2488" s="176" t="s">
        <v>123</v>
      </c>
      <c r="C2488" s="176" t="s">
        <v>1133</v>
      </c>
      <c r="D2488" s="176" t="s">
        <v>211</v>
      </c>
      <c r="E2488" s="176">
        <v>0</v>
      </c>
      <c r="F2488" s="176"/>
      <c r="G2488" s="176" t="s">
        <v>1182</v>
      </c>
      <c r="H2488" s="107" t="str">
        <f t="shared" si="12"/>
        <v>ifnull(t.exch_no,0) as exch_no,/*市场编号*/</v>
      </c>
      <c r="J2488" s="7" t="s">
        <v>237</v>
      </c>
      <c r="K2488" s="7" t="s">
        <v>238</v>
      </c>
      <c r="L2488" s="7" t="s">
        <v>211</v>
      </c>
      <c r="M2488" s="7" t="s">
        <v>211</v>
      </c>
      <c r="N2488" s="7">
        <v>2155</v>
      </c>
    </row>
    <row r="2489" spans="1:14" s="7" customFormat="1" ht="17.25" hidden="1" customHeight="1" outlineLevel="1" x14ac:dyDescent="0.15">
      <c r="A2489" s="175" t="s">
        <v>580</v>
      </c>
      <c r="B2489" s="176" t="s">
        <v>7</v>
      </c>
      <c r="C2489" s="176" t="s">
        <v>1190</v>
      </c>
      <c r="D2489" s="176" t="s">
        <v>211</v>
      </c>
      <c r="E2489" s="176">
        <v>0</v>
      </c>
      <c r="F2489" s="176"/>
      <c r="G2489" s="176" t="s">
        <v>1081</v>
      </c>
      <c r="H2489" s="107" t="str">
        <f t="shared" si="12"/>
        <v>ifnull(t.invest_type,0) as invest_type,/*投资类型*/</v>
      </c>
      <c r="J2489" s="7" t="s">
        <v>237</v>
      </c>
      <c r="K2489" s="7" t="s">
        <v>238</v>
      </c>
      <c r="L2489" s="7" t="s">
        <v>211</v>
      </c>
      <c r="M2489" s="7" t="s">
        <v>211</v>
      </c>
      <c r="N2489" s="7">
        <v>2237</v>
      </c>
    </row>
    <row r="2490" spans="1:14" s="7" customFormat="1" ht="17.25" hidden="1" customHeight="1" outlineLevel="1" x14ac:dyDescent="0.15">
      <c r="A2490" s="175" t="s">
        <v>580</v>
      </c>
      <c r="B2490" s="176" t="s">
        <v>386</v>
      </c>
      <c r="C2490" s="176" t="s">
        <v>1191</v>
      </c>
      <c r="D2490" s="176" t="s">
        <v>211</v>
      </c>
      <c r="E2490" s="176">
        <v>0</v>
      </c>
      <c r="F2490" s="176"/>
      <c r="G2490" s="176" t="s">
        <v>1192</v>
      </c>
      <c r="H2490" s="107" t="str">
        <f t="shared" si="12"/>
        <v>ifnull(t.stock_type,0) as stock_type,/*证券类型*/</v>
      </c>
      <c r="J2490" s="7" t="s">
        <v>237</v>
      </c>
      <c r="K2490" s="7" t="s">
        <v>238</v>
      </c>
      <c r="L2490" s="7" t="s">
        <v>211</v>
      </c>
      <c r="M2490" s="7" t="s">
        <v>211</v>
      </c>
      <c r="N2490" s="7">
        <v>2433</v>
      </c>
    </row>
    <row r="2491" spans="1:14" s="7" customFormat="1" ht="17.25" hidden="1" customHeight="1" outlineLevel="1" x14ac:dyDescent="0.15">
      <c r="A2491" s="175" t="s">
        <v>580</v>
      </c>
      <c r="B2491" s="176" t="s">
        <v>93</v>
      </c>
      <c r="C2491" s="176" t="s">
        <v>1189</v>
      </c>
      <c r="D2491" s="176" t="s">
        <v>211</v>
      </c>
      <c r="E2491" s="176">
        <v>0</v>
      </c>
      <c r="F2491" s="176"/>
      <c r="G2491" s="176"/>
      <c r="H2491" s="107" t="str">
        <f t="shared" si="12"/>
        <v>ifnull(t.posi_market_value,0) as posi_market_value,/*持仓市值*/</v>
      </c>
      <c r="J2491" s="7" t="s">
        <v>347</v>
      </c>
      <c r="K2491" s="7" t="s">
        <v>348</v>
      </c>
      <c r="L2491" s="7" t="s">
        <v>349</v>
      </c>
      <c r="M2491" s="7" t="s">
        <v>349</v>
      </c>
      <c r="N2491" s="7">
        <v>1202</v>
      </c>
    </row>
    <row r="2492" spans="1:14" s="7" customFormat="1" ht="17.25" hidden="1" customHeight="1" outlineLevel="1" x14ac:dyDescent="0.15">
      <c r="A2492" s="175" t="s">
        <v>580</v>
      </c>
      <c r="B2492" s="165" t="s">
        <v>162</v>
      </c>
      <c r="C2492" s="165" t="s">
        <v>1214</v>
      </c>
      <c r="D2492" s="165" t="s">
        <v>1169</v>
      </c>
      <c r="E2492" s="165">
        <v>0</v>
      </c>
      <c r="F2492" s="165"/>
      <c r="G2492" s="165"/>
      <c r="H2492" s="107" t="str">
        <f t="shared" si="12"/>
        <v>ifnull(t.begin_qty,0) as begin_qty,/*期初数量*/</v>
      </c>
      <c r="J2492" s="7" t="s">
        <v>347</v>
      </c>
      <c r="K2492" s="7" t="s">
        <v>348</v>
      </c>
      <c r="L2492" s="7" t="s">
        <v>349</v>
      </c>
      <c r="M2492" s="7" t="s">
        <v>349</v>
      </c>
      <c r="N2492" s="7">
        <v>1986</v>
      </c>
    </row>
    <row r="2493" spans="1:14" s="7" customFormat="1" ht="17.25" hidden="1" customHeight="1" outlineLevel="1" x14ac:dyDescent="0.15">
      <c r="A2493" s="175" t="s">
        <v>580</v>
      </c>
      <c r="B2493" s="176" t="s">
        <v>8</v>
      </c>
      <c r="C2493" s="176" t="s">
        <v>1193</v>
      </c>
      <c r="D2493" s="176" t="s">
        <v>1087</v>
      </c>
      <c r="E2493" s="176">
        <v>0</v>
      </c>
      <c r="F2493" s="176"/>
      <c r="G2493" s="176" t="s">
        <v>1194</v>
      </c>
      <c r="H2493" s="107" t="str">
        <f t="shared" si="12"/>
        <v>ifnull(t.curr_qty,0) as curr_qty,/*当前数量*/</v>
      </c>
      <c r="J2493" s="7" t="s">
        <v>347</v>
      </c>
      <c r="K2493" s="7" t="s">
        <v>348</v>
      </c>
      <c r="L2493" s="7" t="s">
        <v>349</v>
      </c>
      <c r="M2493" s="7" t="s">
        <v>349</v>
      </c>
      <c r="N2493" s="7">
        <v>1262</v>
      </c>
    </row>
    <row r="2494" spans="1:14" s="7" customFormat="1" ht="17.25" hidden="1" customHeight="1" outlineLevel="1" x14ac:dyDescent="0.15">
      <c r="A2494" s="175" t="s">
        <v>580</v>
      </c>
      <c r="B2494" s="176" t="s">
        <v>9</v>
      </c>
      <c r="C2494" s="176" t="s">
        <v>1195</v>
      </c>
      <c r="D2494" s="176" t="s">
        <v>1087</v>
      </c>
      <c r="E2494" s="176">
        <v>0</v>
      </c>
      <c r="F2494" s="176"/>
      <c r="G2494" s="176" t="s">
        <v>1196</v>
      </c>
      <c r="H2494" s="107" t="str">
        <f t="shared" si="12"/>
        <v>ifnull(t.frozen_qty,0) as frozen_qty,/*冻结数量*/</v>
      </c>
      <c r="J2494" s="7" t="s">
        <v>347</v>
      </c>
      <c r="K2494" s="7" t="s">
        <v>348</v>
      </c>
      <c r="L2494" s="7" t="s">
        <v>349</v>
      </c>
      <c r="M2494" s="7" t="s">
        <v>349</v>
      </c>
      <c r="N2494" s="7">
        <v>1317</v>
      </c>
    </row>
    <row r="2495" spans="1:14" s="7" customFormat="1" ht="17.25" hidden="1" customHeight="1" outlineLevel="1" x14ac:dyDescent="0.15">
      <c r="A2495" s="175" t="s">
        <v>580</v>
      </c>
      <c r="B2495" s="176" t="s">
        <v>10</v>
      </c>
      <c r="C2495" s="176" t="s">
        <v>1197</v>
      </c>
      <c r="D2495" s="176" t="s">
        <v>1087</v>
      </c>
      <c r="E2495" s="176">
        <v>0</v>
      </c>
      <c r="F2495" s="176"/>
      <c r="G2495" s="176" t="s">
        <v>1144</v>
      </c>
      <c r="H2495" s="107" t="str">
        <f t="shared" si="12"/>
        <v>ifnull(t.unfroz_qty,0) as unfroz_qty,/*解冻数量*/</v>
      </c>
      <c r="J2495" s="7" t="s">
        <v>347</v>
      </c>
      <c r="K2495" s="7" t="s">
        <v>348</v>
      </c>
      <c r="L2495" s="7" t="s">
        <v>349</v>
      </c>
      <c r="M2495" s="7" t="s">
        <v>349</v>
      </c>
      <c r="N2495" s="7">
        <v>1721</v>
      </c>
    </row>
    <row r="2496" spans="1:14" s="7" customFormat="1" ht="17.25" hidden="1" customHeight="1" outlineLevel="1" x14ac:dyDescent="0.15">
      <c r="A2496" s="175" t="s">
        <v>580</v>
      </c>
      <c r="B2496" s="176" t="s">
        <v>11</v>
      </c>
      <c r="C2496" s="176" t="s">
        <v>1198</v>
      </c>
      <c r="D2496" s="176" t="s">
        <v>1087</v>
      </c>
      <c r="E2496" s="176">
        <v>0</v>
      </c>
      <c r="F2496" s="176"/>
      <c r="G2496" s="176" t="s">
        <v>1080</v>
      </c>
      <c r="H2496" s="107" t="str">
        <f t="shared" si="12"/>
        <v>ifnull(t.cost_amt,0) as cost_amt,/*成本金额*/</v>
      </c>
      <c r="J2496" s="7" t="s">
        <v>347</v>
      </c>
      <c r="K2496" s="7" t="s">
        <v>348</v>
      </c>
      <c r="L2496" s="7" t="s">
        <v>349</v>
      </c>
      <c r="M2496" s="7" t="s">
        <v>349</v>
      </c>
      <c r="N2496" s="7">
        <v>1163</v>
      </c>
    </row>
    <row r="2497" spans="1:14" s="7" customFormat="1" ht="17.25" hidden="1" customHeight="1" outlineLevel="1" x14ac:dyDescent="0.15">
      <c r="A2497" s="175" t="s">
        <v>580</v>
      </c>
      <c r="B2497" s="176" t="s">
        <v>116</v>
      </c>
      <c r="C2497" s="176" t="s">
        <v>1213</v>
      </c>
      <c r="D2497" s="176" t="s">
        <v>1169</v>
      </c>
      <c r="E2497" s="176">
        <v>0</v>
      </c>
      <c r="F2497" s="176"/>
      <c r="G2497" s="176"/>
      <c r="H2497" s="107" t="str">
        <f t="shared" si="12"/>
        <v>ifnull(t.realize_pandl,0) as realize_pandl,/*实现盈亏*/</v>
      </c>
      <c r="J2497" s="7" t="s">
        <v>347</v>
      </c>
      <c r="K2497" s="7" t="s">
        <v>348</v>
      </c>
      <c r="L2497" s="7" t="s">
        <v>349</v>
      </c>
      <c r="M2497" s="7" t="s">
        <v>349</v>
      </c>
      <c r="N2497" s="7">
        <v>2153</v>
      </c>
    </row>
    <row r="2498" spans="1:14" s="7" customFormat="1" ht="17.25" hidden="1" customHeight="1" outlineLevel="1" x14ac:dyDescent="0.15">
      <c r="A2498" s="175" t="s">
        <v>580</v>
      </c>
      <c r="B2498" s="176" t="s">
        <v>12</v>
      </c>
      <c r="C2498" s="176" t="s">
        <v>1143</v>
      </c>
      <c r="D2498" s="176" t="s">
        <v>1169</v>
      </c>
      <c r="E2498" s="176">
        <v>0</v>
      </c>
      <c r="F2498" s="176"/>
      <c r="G2498" s="176"/>
      <c r="H2498" s="107" t="str">
        <f t="shared" si="12"/>
        <v>ifnull(t.intrst_cost_amt,0) as intrst_cost_amt,/*利息成本金额*/</v>
      </c>
      <c r="J2498" s="7" t="s">
        <v>347</v>
      </c>
      <c r="K2498" s="7" t="s">
        <v>348</v>
      </c>
      <c r="L2498" s="7" t="s">
        <v>349</v>
      </c>
      <c r="M2498" s="7" t="s">
        <v>349</v>
      </c>
      <c r="N2498" s="7">
        <v>1852</v>
      </c>
    </row>
    <row r="2499" spans="1:14" s="7" customFormat="1" ht="17.25" hidden="1" customHeight="1" outlineLevel="1" x14ac:dyDescent="0.15">
      <c r="A2499" s="175" t="s">
        <v>580</v>
      </c>
      <c r="B2499" s="176" t="s">
        <v>13</v>
      </c>
      <c r="C2499" s="176" t="s">
        <v>1205</v>
      </c>
      <c r="D2499" s="176" t="s">
        <v>1169</v>
      </c>
      <c r="E2499" s="176">
        <v>0</v>
      </c>
      <c r="F2499" s="176"/>
      <c r="G2499" s="176"/>
      <c r="H2499" s="107" t="str">
        <f t="shared" si="12"/>
        <v>ifnull(t.intrst_pandl,0) as intrst_pandl,/*利息收益*/</v>
      </c>
      <c r="J2499" s="7" t="s">
        <v>347</v>
      </c>
      <c r="K2499" s="7" t="s">
        <v>348</v>
      </c>
      <c r="L2499" s="7" t="s">
        <v>349</v>
      </c>
      <c r="M2499" s="7" t="s">
        <v>349</v>
      </c>
      <c r="N2499" s="7">
        <v>1857</v>
      </c>
    </row>
    <row r="2500" spans="1:14" s="7" customFormat="1" ht="17.25" hidden="1" customHeight="1" outlineLevel="1" x14ac:dyDescent="0.15">
      <c r="A2500" s="175" t="s">
        <v>580</v>
      </c>
      <c r="B2500" s="176" t="s">
        <v>14</v>
      </c>
      <c r="C2500" s="176" t="s">
        <v>1206</v>
      </c>
      <c r="D2500" s="176" t="s">
        <v>1169</v>
      </c>
      <c r="E2500" s="176">
        <v>0</v>
      </c>
      <c r="F2500" s="176"/>
      <c r="G2500" s="176"/>
      <c r="H2500" s="107" t="str">
        <f t="shared" si="12"/>
        <v>ifnull(t.cost_price,0) as cost_price,/*成本价*/</v>
      </c>
      <c r="J2500" s="7" t="s">
        <v>347</v>
      </c>
      <c r="K2500" s="7" t="s">
        <v>348</v>
      </c>
      <c r="L2500" s="7" t="s">
        <v>349</v>
      </c>
      <c r="M2500" s="7" t="s">
        <v>349</v>
      </c>
      <c r="N2500" s="7">
        <v>1162</v>
      </c>
    </row>
    <row r="2501" spans="1:14" s="7" customFormat="1" ht="17.25" hidden="1" customHeight="1" outlineLevel="1" x14ac:dyDescent="0.15">
      <c r="A2501" s="175" t="s">
        <v>580</v>
      </c>
      <c r="B2501" s="176" t="s">
        <v>389</v>
      </c>
      <c r="C2501" s="176" t="s">
        <v>1477</v>
      </c>
      <c r="D2501" s="176" t="s">
        <v>1211</v>
      </c>
      <c r="E2501" s="176">
        <v>0</v>
      </c>
      <c r="F2501" s="176"/>
      <c r="G2501" s="176" t="s">
        <v>1478</v>
      </c>
      <c r="H2501" s="107" t="str">
        <f t="shared" si="12"/>
        <v>ifnull(t.last_price,0) as last_price,/*最新价*/</v>
      </c>
      <c r="J2501" s="7" t="s">
        <v>347</v>
      </c>
      <c r="K2501" s="7" t="s">
        <v>348</v>
      </c>
      <c r="L2501" s="7" t="s">
        <v>349</v>
      </c>
      <c r="M2501" s="7" t="s">
        <v>349</v>
      </c>
      <c r="N2501" s="7">
        <v>2586</v>
      </c>
    </row>
    <row r="2502" spans="1:14" s="7" customFormat="1" ht="17.25" hidden="1" customHeight="1" outlineLevel="1" x14ac:dyDescent="0.15">
      <c r="A2502" s="175" t="s">
        <v>580</v>
      </c>
      <c r="B2502" s="176" t="s">
        <v>439</v>
      </c>
      <c r="C2502" s="176" t="s">
        <v>1236</v>
      </c>
      <c r="D2502" s="176" t="s">
        <v>1211</v>
      </c>
      <c r="E2502" s="176">
        <v>0</v>
      </c>
      <c r="F2502" s="176"/>
      <c r="G2502" s="176"/>
      <c r="H2502" s="107" t="str">
        <f t="shared" si="12"/>
        <v>ifnull(t.float_pandl,0) as float_pandl,/*浮动盈亏*/</v>
      </c>
      <c r="J2502" s="7" t="s">
        <v>347</v>
      </c>
      <c r="K2502" s="7" t="s">
        <v>348</v>
      </c>
      <c r="L2502" s="7" t="s">
        <v>349</v>
      </c>
      <c r="M2502" s="7" t="s">
        <v>349</v>
      </c>
      <c r="N2502" s="7">
        <v>1461</v>
      </c>
    </row>
    <row r="2503" spans="1:14" s="7" customFormat="1" ht="17.25" hidden="1" customHeight="1" outlineLevel="1" x14ac:dyDescent="0.15">
      <c r="A2503" s="175" t="s">
        <v>580</v>
      </c>
      <c r="B2503" s="176" t="s">
        <v>445</v>
      </c>
      <c r="C2503" s="176" t="s">
        <v>1479</v>
      </c>
      <c r="D2503" s="176" t="s">
        <v>1169</v>
      </c>
      <c r="E2503" s="176">
        <v>0</v>
      </c>
      <c r="F2503" s="176"/>
      <c r="G2503" s="176"/>
      <c r="H2503" s="107" t="str">
        <f t="shared" si="12"/>
        <v>ifnull(t.pandl_ratio,0) as pandl_ratio,/*盈亏比例*/</v>
      </c>
      <c r="J2503" s="7" t="s">
        <v>347</v>
      </c>
      <c r="K2503" s="7" t="s">
        <v>348</v>
      </c>
      <c r="L2503" s="7" t="s">
        <v>349</v>
      </c>
      <c r="M2503" s="7" t="s">
        <v>349</v>
      </c>
      <c r="N2503" s="7">
        <v>2346</v>
      </c>
    </row>
    <row r="2504" spans="1:14" s="7" customFormat="1" ht="17.25" hidden="1" customHeight="1" outlineLevel="1" x14ac:dyDescent="0.15">
      <c r="A2504" s="175" t="s">
        <v>580</v>
      </c>
      <c r="B2504" s="176" t="s">
        <v>484</v>
      </c>
      <c r="C2504" s="176" t="s">
        <v>1483</v>
      </c>
      <c r="D2504" s="176" t="s">
        <v>1172</v>
      </c>
      <c r="E2504" s="176">
        <v>0</v>
      </c>
      <c r="F2504" s="176"/>
      <c r="G2504" s="176"/>
      <c r="H2504" s="107" t="str">
        <f t="shared" si="12"/>
        <v>ifnull(t.trade_avail_qty,0) as trade_avail_qty,/*交易端可用数量*/</v>
      </c>
      <c r="J2504" s="7" t="s">
        <v>347</v>
      </c>
      <c r="K2504" s="7" t="s">
        <v>348</v>
      </c>
      <c r="L2504" s="7" t="s">
        <v>349</v>
      </c>
      <c r="M2504" s="7" t="s">
        <v>349</v>
      </c>
      <c r="N2504" s="7">
        <v>1677</v>
      </c>
    </row>
    <row r="2505" spans="1:14" s="7" customFormat="1" ht="17.25" hidden="1" customHeight="1" outlineLevel="1" x14ac:dyDescent="0.15">
      <c r="A2505" s="175" t="s">
        <v>580</v>
      </c>
      <c r="B2505" s="176" t="s">
        <v>475</v>
      </c>
      <c r="C2505" s="176" t="s">
        <v>1480</v>
      </c>
      <c r="D2505" s="176" t="s">
        <v>1087</v>
      </c>
      <c r="E2505" s="176">
        <v>0</v>
      </c>
      <c r="F2505" s="176"/>
      <c r="G2505" s="176" t="s">
        <v>1481</v>
      </c>
      <c r="H2505" s="107" t="str">
        <f t="shared" si="12"/>
        <v>ifnull(t.comm_avail_qty,0) as comm_avail_qty,/*指令端可用数量*/</v>
      </c>
      <c r="J2505" s="7" t="s">
        <v>347</v>
      </c>
      <c r="K2505" s="7" t="s">
        <v>348</v>
      </c>
      <c r="L2505" s="7" t="s">
        <v>349</v>
      </c>
      <c r="M2505" s="7" t="s">
        <v>349</v>
      </c>
      <c r="N2505" s="7">
        <v>2459</v>
      </c>
    </row>
    <row r="2506" spans="1:14" s="7" customFormat="1" ht="17.25" hidden="1" customHeight="1" outlineLevel="1" x14ac:dyDescent="0.15">
      <c r="A2506" s="175" t="s">
        <v>580</v>
      </c>
      <c r="B2506" s="176" t="s">
        <v>476</v>
      </c>
      <c r="C2506" s="176" t="s">
        <v>1482</v>
      </c>
      <c r="D2506" s="176" t="s">
        <v>1087</v>
      </c>
      <c r="E2506" s="176">
        <v>0</v>
      </c>
      <c r="F2506" s="176"/>
      <c r="G2506" s="176" t="s">
        <v>1481</v>
      </c>
      <c r="H2506" s="107" t="str">
        <f t="shared" si="12"/>
        <v>ifnull(t.pre_close_price,0) as pre_close_price,/*昨收盘价*/</v>
      </c>
      <c r="J2506" s="7" t="s">
        <v>347</v>
      </c>
      <c r="K2506" s="7" t="s">
        <v>348</v>
      </c>
      <c r="L2506" s="7" t="s">
        <v>349</v>
      </c>
      <c r="M2506" s="7" t="s">
        <v>349</v>
      </c>
      <c r="N2506" s="7">
        <v>2597</v>
      </c>
    </row>
    <row r="2507" spans="1:14" s="7" customFormat="1" ht="17.25" hidden="1" customHeight="1" outlineLevel="1" x14ac:dyDescent="0.15">
      <c r="A2507" s="175" t="s">
        <v>580</v>
      </c>
      <c r="B2507" s="176" t="s">
        <v>485</v>
      </c>
      <c r="C2507" s="176" t="s">
        <v>1112</v>
      </c>
      <c r="D2507" s="176" t="s">
        <v>1211</v>
      </c>
      <c r="E2507" s="176">
        <v>0</v>
      </c>
      <c r="F2507" s="176"/>
      <c r="G2507" s="176"/>
      <c r="H2507" s="107" t="str">
        <f t="shared" si="12"/>
        <v>ifnull(t.posi_nav_ratio,0) as posi_nav_ratio,/*持仓净值占比*/</v>
      </c>
      <c r="J2507" s="7" t="s">
        <v>347</v>
      </c>
      <c r="K2507" s="7" t="s">
        <v>348</v>
      </c>
      <c r="L2507" s="7" t="s">
        <v>349</v>
      </c>
      <c r="M2507" s="7" t="s">
        <v>349</v>
      </c>
      <c r="N2507" s="7">
        <v>1197</v>
      </c>
    </row>
    <row r="2508" spans="1:14" s="7" customFormat="1" ht="17.25" hidden="1" customHeight="1" outlineLevel="1" x14ac:dyDescent="0.15">
      <c r="A2508" s="175" t="s">
        <v>580</v>
      </c>
      <c r="B2508" s="165" t="s">
        <v>480</v>
      </c>
      <c r="C2508" s="165" t="s">
        <v>1079</v>
      </c>
      <c r="D2508" s="165" t="s">
        <v>1172</v>
      </c>
      <c r="E2508" s="165">
        <v>0</v>
      </c>
      <c r="F2508" s="165"/>
      <c r="G2508" s="165"/>
      <c r="H2508" s="107" t="str">
        <f t="shared" si="12"/>
        <v>ifnull(t.nav_asset,0) as nav_asset,/*净资产*/</v>
      </c>
      <c r="J2508" s="7" t="s">
        <v>347</v>
      </c>
      <c r="K2508" s="7" t="s">
        <v>348</v>
      </c>
      <c r="L2508" s="7" t="s">
        <v>349</v>
      </c>
      <c r="M2508" s="7" t="s">
        <v>349</v>
      </c>
      <c r="N2508" s="7">
        <v>1741</v>
      </c>
    </row>
    <row r="2509" spans="1:14" s="7" customFormat="1" ht="17.25" hidden="1" customHeight="1" outlineLevel="1" x14ac:dyDescent="0.15">
      <c r="A2509" s="175" t="s">
        <v>580</v>
      </c>
      <c r="B2509" s="176" t="s">
        <v>374</v>
      </c>
      <c r="C2509" s="176" t="s">
        <v>1170</v>
      </c>
      <c r="D2509" s="176" t="s">
        <v>1169</v>
      </c>
      <c r="E2509" s="176">
        <v>0</v>
      </c>
      <c r="F2509" s="176"/>
      <c r="G2509" s="176"/>
      <c r="H2509" s="107" t="str">
        <f t="shared" si="12"/>
        <v>ifnull(t.bond_receivable_amt,0) as bond_receivable_amt,/*债券应收利息*/</v>
      </c>
      <c r="J2509" s="7" t="s">
        <v>347</v>
      </c>
      <c r="K2509" s="7" t="s">
        <v>348</v>
      </c>
      <c r="L2509" s="7" t="s">
        <v>349</v>
      </c>
      <c r="M2509" s="7" t="s">
        <v>349</v>
      </c>
    </row>
    <row r="2510" spans="1:14" s="7" customFormat="1" ht="17.25" hidden="1" customHeight="1" outlineLevel="1" x14ac:dyDescent="0.15">
      <c r="A2510" s="175" t="s">
        <v>580</v>
      </c>
      <c r="B2510" s="176" t="s">
        <v>481</v>
      </c>
      <c r="C2510" s="176" t="s">
        <v>1209</v>
      </c>
      <c r="D2510" s="176" t="s">
        <v>1169</v>
      </c>
      <c r="E2510" s="176">
        <v>0</v>
      </c>
      <c r="F2510" s="176"/>
      <c r="G2510" s="176"/>
      <c r="H2510" s="107" t="str">
        <f t="shared" si="12"/>
        <v>ifnull(t.impawn_qty,0) as impawn_qty,/*质押数量*/</v>
      </c>
      <c r="J2510" s="7" t="s">
        <v>347</v>
      </c>
      <c r="K2510" s="7" t="s">
        <v>348</v>
      </c>
      <c r="L2510" s="7" t="s">
        <v>349</v>
      </c>
      <c r="M2510" s="7" t="s">
        <v>349</v>
      </c>
      <c r="N2510" s="7">
        <v>2511</v>
      </c>
    </row>
    <row r="2511" spans="1:14" s="7" customFormat="1" ht="17.25" hidden="1" customHeight="1" outlineLevel="1" x14ac:dyDescent="0.15">
      <c r="A2511" s="175" t="s">
        <v>580</v>
      </c>
      <c r="B2511" s="176" t="s">
        <v>482</v>
      </c>
      <c r="C2511" s="176" t="s">
        <v>1208</v>
      </c>
      <c r="D2511" s="176" t="s">
        <v>1087</v>
      </c>
      <c r="E2511" s="176">
        <v>0</v>
      </c>
      <c r="F2511" s="176"/>
      <c r="G2511" s="176"/>
      <c r="H2511" s="107" t="str">
        <f t="shared" si="12"/>
        <v>ifnull(t.full_holding_amt,0) as full_holding_amt,/*全价持仓市值*/</v>
      </c>
      <c r="J2511" s="7" t="s">
        <v>347</v>
      </c>
      <c r="K2511" s="7" t="s">
        <v>348</v>
      </c>
      <c r="L2511" s="7" t="s">
        <v>349</v>
      </c>
      <c r="M2511" s="7" t="s">
        <v>349</v>
      </c>
    </row>
    <row r="2512" spans="1:14" s="7" customFormat="1" ht="17.25" hidden="1" customHeight="1" outlineLevel="1" x14ac:dyDescent="0.15">
      <c r="A2512" s="175" t="s">
        <v>580</v>
      </c>
      <c r="B2512" s="165" t="s">
        <v>477</v>
      </c>
      <c r="C2512" s="165" t="s">
        <v>1530</v>
      </c>
      <c r="D2512" s="165" t="s">
        <v>1169</v>
      </c>
      <c r="E2512" s="165">
        <v>0</v>
      </c>
      <c r="F2512" s="165"/>
      <c r="G2512" s="165"/>
      <c r="H2512" s="232"/>
    </row>
    <row r="2513" spans="1:14" s="7" customFormat="1" hidden="1" outlineLevel="1" x14ac:dyDescent="0.15">
      <c r="A2513" s="175"/>
      <c r="B2513" s="147"/>
      <c r="C2513" s="147"/>
      <c r="D2513" s="147"/>
      <c r="E2513" s="147"/>
      <c r="F2513" s="147"/>
      <c r="G2513" s="147"/>
    </row>
    <row r="2514" spans="1:14" s="7" customFormat="1" hidden="1" outlineLevel="1" x14ac:dyDescent="0.15">
      <c r="A2514" s="2"/>
      <c r="B2514" s="337" t="s">
        <v>15</v>
      </c>
      <c r="C2514" s="338"/>
      <c r="D2514" s="338"/>
      <c r="E2514" s="338"/>
      <c r="F2514" s="338"/>
      <c r="G2514" s="339"/>
    </row>
    <row r="2515" spans="1:14" ht="18" hidden="1" outlineLevel="1" thickBot="1" x14ac:dyDescent="0.2">
      <c r="A2515" s="2"/>
      <c r="B2515" s="24"/>
      <c r="C2515" s="9"/>
      <c r="D2515" s="9"/>
      <c r="E2515" s="9"/>
      <c r="F2515" s="9"/>
      <c r="G2515" s="11"/>
    </row>
    <row r="2516" spans="1:14" s="7" customFormat="1" ht="18" hidden="1" outlineLevel="1" thickBot="1" x14ac:dyDescent="0.2">
      <c r="A2516" s="1"/>
      <c r="B2516" s="1"/>
      <c r="C2516" s="1"/>
      <c r="D2516" s="1"/>
      <c r="E2516" s="1"/>
      <c r="F2516" s="1"/>
      <c r="G2516" s="1"/>
      <c r="H2516" s="6" t="str">
        <f>"create or replace view "&amp;C2517</f>
        <v>create or replace view vi_rptasset_qry_pd_posi_his</v>
      </c>
    </row>
    <row r="2517" spans="1:14" s="7" customFormat="1" ht="18" collapsed="1" thickBot="1" x14ac:dyDescent="0.2">
      <c r="A2517" s="2"/>
      <c r="B2517" s="3" t="s">
        <v>563</v>
      </c>
      <c r="C2517" s="4" t="s">
        <v>677</v>
      </c>
      <c r="D2517" s="5" t="s">
        <v>515</v>
      </c>
      <c r="E2517" s="21" t="s">
        <v>1027</v>
      </c>
      <c r="F2517" s="5" t="s">
        <v>567</v>
      </c>
      <c r="G2517" s="6"/>
      <c r="H2517" s="11" t="str">
        <f>"/* "&amp;E2517&amp;"*/  as "</f>
        <v xml:space="preserve">/* 报表_资管报表_视图-查询-产品-证券持仓-历史*/  as </v>
      </c>
    </row>
    <row r="2518" spans="1:14" s="7" customFormat="1" ht="18" hidden="1" outlineLevel="1" thickBot="1" x14ac:dyDescent="0.2">
      <c r="A2518" s="2"/>
      <c r="B2518" s="34" t="s">
        <v>570</v>
      </c>
      <c r="C2518" s="18"/>
      <c r="D2518" s="35" t="s">
        <v>568</v>
      </c>
      <c r="E2518" s="18" t="s">
        <v>615</v>
      </c>
      <c r="F2518" s="35"/>
      <c r="G2518" s="19"/>
      <c r="H2518" s="13" t="s">
        <v>474</v>
      </c>
    </row>
    <row r="2519" spans="1:14" s="7" customFormat="1" ht="17.25" hidden="1" customHeight="1" outlineLevel="1" x14ac:dyDescent="0.15">
      <c r="A2519" s="2"/>
      <c r="B2519" s="3" t="s">
        <v>0</v>
      </c>
      <c r="C2519" s="5" t="s">
        <v>1</v>
      </c>
      <c r="D2519" s="5" t="s">
        <v>2</v>
      </c>
      <c r="E2519" s="5"/>
      <c r="F2519" s="5" t="s">
        <v>3</v>
      </c>
      <c r="G2519" s="36" t="s">
        <v>4</v>
      </c>
      <c r="H2519" s="107" t="str">
        <f t="shared" ref="H2519:H2544" si="13">"ifnull("&amp;IF(I2519&lt;&gt;"",I2519,IF(F2520&lt;&gt;"",F2520,"t")&amp;"."&amp;C2520)&amp;","&amp;E2520&amp;") as "&amp;C2520&amp;",/*"&amp;B2520&amp;"*/"</f>
        <v>ifnull(input.row_id,0) as row_id,/*记录序号*/</v>
      </c>
      <c r="J2519" s="7" t="s">
        <v>358</v>
      </c>
      <c r="K2519" s="7" t="s">
        <v>359</v>
      </c>
      <c r="L2519" s="7" t="s">
        <v>360</v>
      </c>
      <c r="M2519" s="7" t="s">
        <v>361</v>
      </c>
      <c r="N2519" s="7">
        <v>1629</v>
      </c>
    </row>
    <row r="2520" spans="1:14" s="7" customFormat="1" ht="17.25" hidden="1" customHeight="1" outlineLevel="1" x14ac:dyDescent="0.15">
      <c r="A2520" s="175"/>
      <c r="B2520" s="147" t="s">
        <v>478</v>
      </c>
      <c r="C2520" s="147" t="s">
        <v>1476</v>
      </c>
      <c r="D2520" s="147" t="s">
        <v>1345</v>
      </c>
      <c r="E2520" s="147">
        <v>0</v>
      </c>
      <c r="F2520" s="147" t="s">
        <v>350</v>
      </c>
      <c r="G2520" s="147"/>
      <c r="H2520" s="107" t="str">
        <f t="shared" si="13"/>
        <v>ifnull(datepicker.init_date,date_format(curdate(),'%Y%m%d')) as init_date,/*初始化日期*/</v>
      </c>
      <c r="J2520" s="7" t="s">
        <v>237</v>
      </c>
      <c r="K2520" s="7" t="s">
        <v>238</v>
      </c>
      <c r="L2520" s="7" t="s">
        <v>211</v>
      </c>
      <c r="M2520" s="7" t="s">
        <v>211</v>
      </c>
      <c r="N2520" s="7">
        <v>1211</v>
      </c>
    </row>
    <row r="2521" spans="1:14" s="7" customFormat="1" ht="17.25" hidden="1" customHeight="1" outlineLevel="1" x14ac:dyDescent="0.15">
      <c r="A2521" s="175"/>
      <c r="B2521" s="147" t="s">
        <v>5</v>
      </c>
      <c r="C2521" s="147" t="s">
        <v>1127</v>
      </c>
      <c r="D2521" s="147" t="s">
        <v>211</v>
      </c>
      <c r="E2521" s="147" t="s">
        <v>1141</v>
      </c>
      <c r="F2521" s="147" t="s">
        <v>357</v>
      </c>
      <c r="G2521" s="147" t="s">
        <v>1162</v>
      </c>
      <c r="H2521" s="107" t="str">
        <f t="shared" si="13"/>
        <v>ifnull(input.co_no,0) as co_no,/*机构编号*/</v>
      </c>
      <c r="J2521" s="7" t="s">
        <v>237</v>
      </c>
      <c r="K2521" s="7" t="s">
        <v>238</v>
      </c>
      <c r="L2521" s="7" t="s">
        <v>211</v>
      </c>
      <c r="M2521" s="7" t="s">
        <v>211</v>
      </c>
      <c r="N2521" s="7">
        <v>1606</v>
      </c>
    </row>
    <row r="2522" spans="1:14" s="7" customFormat="1" ht="17.25" hidden="1" customHeight="1" outlineLevel="1" x14ac:dyDescent="0.15">
      <c r="A2522" s="175"/>
      <c r="B2522" s="147" t="s">
        <v>6</v>
      </c>
      <c r="C2522" s="147" t="s">
        <v>1163</v>
      </c>
      <c r="D2522" s="147" t="s">
        <v>211</v>
      </c>
      <c r="E2522" s="147">
        <v>0</v>
      </c>
      <c r="F2522" s="147" t="s">
        <v>350</v>
      </c>
      <c r="G2522" s="147" t="s">
        <v>1077</v>
      </c>
      <c r="H2522" s="107" t="str">
        <f t="shared" si="13"/>
        <v>ifnull(input.pd_no,0) as pd_no,/*产品编号*/</v>
      </c>
      <c r="J2522" s="7" t="s">
        <v>237</v>
      </c>
      <c r="K2522" s="7" t="s">
        <v>238</v>
      </c>
      <c r="L2522" s="7" t="s">
        <v>211</v>
      </c>
      <c r="M2522" s="7" t="s">
        <v>211</v>
      </c>
      <c r="N2522" s="7">
        <v>1112</v>
      </c>
    </row>
    <row r="2523" spans="1:14" s="7" customFormat="1" ht="17.25" hidden="1" customHeight="1" outlineLevel="1" x14ac:dyDescent="0.15">
      <c r="A2523" s="175"/>
      <c r="B2523" s="147" t="s">
        <v>111</v>
      </c>
      <c r="C2523" s="147" t="s">
        <v>1164</v>
      </c>
      <c r="D2523" s="147" t="s">
        <v>211</v>
      </c>
      <c r="E2523" s="147">
        <v>0</v>
      </c>
      <c r="F2523" s="147" t="s">
        <v>350</v>
      </c>
      <c r="G2523" s="147" t="s">
        <v>1165</v>
      </c>
      <c r="H2523" s="107" t="str">
        <f t="shared" si="13"/>
        <v>ifnull(input.asset_acco_no,0) as asset_acco_no,/*资产账户编号*/</v>
      </c>
      <c r="J2523" s="7" t="s">
        <v>237</v>
      </c>
      <c r="K2523" s="7" t="s">
        <v>238</v>
      </c>
      <c r="L2523" s="7" t="s">
        <v>211</v>
      </c>
      <c r="M2523" s="7" t="s">
        <v>211</v>
      </c>
      <c r="N2523" s="7">
        <v>2534</v>
      </c>
    </row>
    <row r="2524" spans="1:14" s="7" customFormat="1" ht="17.25" hidden="1" customHeight="1" outlineLevel="1" x14ac:dyDescent="0.15">
      <c r="A2524" s="175"/>
      <c r="B2524" s="147" t="s">
        <v>113</v>
      </c>
      <c r="C2524" s="147" t="s">
        <v>1187</v>
      </c>
      <c r="D2524" s="147" t="s">
        <v>211</v>
      </c>
      <c r="E2524" s="147">
        <v>0</v>
      </c>
      <c r="F2524" s="147" t="s">
        <v>350</v>
      </c>
      <c r="G2524" s="147"/>
      <c r="H2524" s="107" t="str">
        <f t="shared" si="13"/>
        <v>ifnull(input.stock_code_no,0) as stock_code_no,/*证券代码编号*/</v>
      </c>
      <c r="J2524" s="7" t="s">
        <v>237</v>
      </c>
      <c r="K2524" s="7" t="s">
        <v>238</v>
      </c>
      <c r="L2524" s="7" t="s">
        <v>211</v>
      </c>
      <c r="M2524" s="7" t="s">
        <v>211</v>
      </c>
      <c r="N2524" s="7">
        <v>2430</v>
      </c>
    </row>
    <row r="2525" spans="1:14" s="7" customFormat="1" ht="17.25" hidden="1" customHeight="1" outlineLevel="1" x14ac:dyDescent="0.15">
      <c r="A2525" s="175"/>
      <c r="B2525" s="147" t="s">
        <v>118</v>
      </c>
      <c r="C2525" s="147" t="s">
        <v>1188</v>
      </c>
      <c r="D2525" s="147" t="s">
        <v>211</v>
      </c>
      <c r="E2525" s="147">
        <v>0</v>
      </c>
      <c r="F2525" s="147" t="s">
        <v>350</v>
      </c>
      <c r="G2525" s="147"/>
      <c r="H2525" s="107" t="str">
        <f t="shared" si="13"/>
        <v>ifnull(select.stock_type,0) as stock_type,/*证券类型*/</v>
      </c>
      <c r="J2525" s="7" t="s">
        <v>237</v>
      </c>
      <c r="K2525" s="7" t="s">
        <v>238</v>
      </c>
      <c r="L2525" s="7" t="s">
        <v>211</v>
      </c>
      <c r="M2525" s="7" t="s">
        <v>211</v>
      </c>
      <c r="N2525" s="7">
        <v>2433</v>
      </c>
    </row>
    <row r="2526" spans="1:14" s="7" customFormat="1" ht="17.25" hidden="1" customHeight="1" outlineLevel="1" x14ac:dyDescent="0.15">
      <c r="A2526" s="175"/>
      <c r="B2526" s="147" t="s">
        <v>93</v>
      </c>
      <c r="C2526" s="147" t="s">
        <v>1189</v>
      </c>
      <c r="D2526" s="147" t="s">
        <v>211</v>
      </c>
      <c r="E2526" s="147">
        <v>0</v>
      </c>
      <c r="F2526" s="147" t="s">
        <v>366</v>
      </c>
      <c r="G2526" s="147"/>
      <c r="H2526" s="107" t="str">
        <f t="shared" si="13"/>
        <v>ifnull(select.exch_no,0) as exch_no,/*市场编号*/</v>
      </c>
      <c r="J2526" s="7" t="s">
        <v>237</v>
      </c>
      <c r="K2526" s="7" t="s">
        <v>238</v>
      </c>
      <c r="L2526" s="7" t="s">
        <v>211</v>
      </c>
      <c r="M2526" s="7" t="s">
        <v>211</v>
      </c>
      <c r="N2526" s="7">
        <v>2155</v>
      </c>
    </row>
    <row r="2527" spans="1:14" s="7" customFormat="1" ht="17.25" hidden="1" customHeight="1" outlineLevel="1" x14ac:dyDescent="0.15">
      <c r="A2527" s="175"/>
      <c r="B2527" s="147" t="s">
        <v>7</v>
      </c>
      <c r="C2527" s="147" t="s">
        <v>1190</v>
      </c>
      <c r="D2527" s="147" t="s">
        <v>211</v>
      </c>
      <c r="E2527" s="147">
        <v>0</v>
      </c>
      <c r="F2527" s="147" t="s">
        <v>366</v>
      </c>
      <c r="G2527" s="147" t="s">
        <v>1081</v>
      </c>
      <c r="H2527" s="107" t="str">
        <f t="shared" si="13"/>
        <v>ifnull(t.posi_market_value,0) as posi_market_value,/*持仓市值*/</v>
      </c>
      <c r="J2527" s="7" t="s">
        <v>347</v>
      </c>
      <c r="K2527" s="7" t="s">
        <v>348</v>
      </c>
      <c r="L2527" s="7" t="s">
        <v>349</v>
      </c>
      <c r="M2527" s="7" t="s">
        <v>349</v>
      </c>
      <c r="N2527" s="7">
        <v>1202</v>
      </c>
    </row>
    <row r="2528" spans="1:14" s="7" customFormat="1" ht="17.25" hidden="1" customHeight="1" outlineLevel="1" x14ac:dyDescent="0.15">
      <c r="A2528" s="175"/>
      <c r="B2528" s="147" t="s">
        <v>162</v>
      </c>
      <c r="C2528" s="147" t="s">
        <v>1214</v>
      </c>
      <c r="D2528" s="147" t="s">
        <v>1169</v>
      </c>
      <c r="E2528" s="147">
        <v>0</v>
      </c>
      <c r="F2528" s="147"/>
      <c r="G2528" s="147"/>
      <c r="H2528" s="107" t="str">
        <f t="shared" si="13"/>
        <v>ifnull(select.invest_type,0) as invest_type,/*投资类型*/</v>
      </c>
      <c r="J2528" s="7" t="s">
        <v>237</v>
      </c>
      <c r="K2528" s="7" t="s">
        <v>238</v>
      </c>
      <c r="L2528" s="7" t="s">
        <v>211</v>
      </c>
      <c r="M2528" s="7" t="s">
        <v>211</v>
      </c>
      <c r="N2528" s="7">
        <v>2237</v>
      </c>
    </row>
    <row r="2529" spans="1:14" s="7" customFormat="1" ht="17.25" hidden="1" customHeight="1" outlineLevel="1" x14ac:dyDescent="0.15">
      <c r="A2529" s="175"/>
      <c r="B2529" s="147" t="s">
        <v>386</v>
      </c>
      <c r="C2529" s="147" t="s">
        <v>1191</v>
      </c>
      <c r="D2529" s="147" t="s">
        <v>211</v>
      </c>
      <c r="E2529" s="147">
        <v>0</v>
      </c>
      <c r="F2529" s="147" t="s">
        <v>366</v>
      </c>
      <c r="G2529" s="147" t="s">
        <v>1192</v>
      </c>
      <c r="H2529" s="107" t="str">
        <f t="shared" si="13"/>
        <v>ifnull(input.begin_qty,0) as begin_qty,/*期初数量*/</v>
      </c>
      <c r="J2529" s="7" t="s">
        <v>347</v>
      </c>
      <c r="K2529" s="7" t="s">
        <v>348</v>
      </c>
      <c r="L2529" s="7" t="s">
        <v>349</v>
      </c>
      <c r="M2529" s="7" t="s">
        <v>349</v>
      </c>
      <c r="N2529" s="7">
        <v>1986</v>
      </c>
    </row>
    <row r="2530" spans="1:14" s="7" customFormat="1" ht="17.25" hidden="1" customHeight="1" outlineLevel="1" x14ac:dyDescent="0.15">
      <c r="A2530" s="175"/>
      <c r="B2530" s="147" t="s">
        <v>8</v>
      </c>
      <c r="C2530" s="147" t="s">
        <v>1193</v>
      </c>
      <c r="D2530" s="147" t="s">
        <v>1087</v>
      </c>
      <c r="E2530" s="147">
        <v>0</v>
      </c>
      <c r="F2530" s="147" t="s">
        <v>350</v>
      </c>
      <c r="G2530" s="147" t="s">
        <v>1194</v>
      </c>
      <c r="H2530" s="107" t="str">
        <f t="shared" si="13"/>
        <v>ifnull(input.curr_qty,0) as curr_qty,/*当前数量*/</v>
      </c>
      <c r="J2530" s="7" t="s">
        <v>347</v>
      </c>
      <c r="K2530" s="7" t="s">
        <v>348</v>
      </c>
      <c r="L2530" s="7" t="s">
        <v>349</v>
      </c>
      <c r="M2530" s="7" t="s">
        <v>349</v>
      </c>
      <c r="N2530" s="7">
        <v>1262</v>
      </c>
    </row>
    <row r="2531" spans="1:14" s="7" customFormat="1" ht="17.25" hidden="1" customHeight="1" outlineLevel="1" x14ac:dyDescent="0.15">
      <c r="A2531" s="175"/>
      <c r="B2531" s="147" t="s">
        <v>9</v>
      </c>
      <c r="C2531" s="147" t="s">
        <v>1195</v>
      </c>
      <c r="D2531" s="147" t="s">
        <v>1087</v>
      </c>
      <c r="E2531" s="147">
        <v>0</v>
      </c>
      <c r="F2531" s="147" t="s">
        <v>350</v>
      </c>
      <c r="G2531" s="147" t="s">
        <v>1196</v>
      </c>
      <c r="H2531" s="107" t="str">
        <f t="shared" si="13"/>
        <v>ifnull(input.frozen_qty,0) as frozen_qty,/*冻结数量*/</v>
      </c>
      <c r="J2531" s="7" t="s">
        <v>347</v>
      </c>
      <c r="K2531" s="7" t="s">
        <v>348</v>
      </c>
      <c r="L2531" s="7" t="s">
        <v>349</v>
      </c>
      <c r="M2531" s="7" t="s">
        <v>349</v>
      </c>
      <c r="N2531" s="7">
        <v>1317</v>
      </c>
    </row>
    <row r="2532" spans="1:14" s="7" customFormat="1" ht="17.25" hidden="1" customHeight="1" outlineLevel="1" x14ac:dyDescent="0.15">
      <c r="A2532" s="175"/>
      <c r="B2532" s="147" t="s">
        <v>10</v>
      </c>
      <c r="C2532" s="147" t="s">
        <v>1197</v>
      </c>
      <c r="D2532" s="147" t="s">
        <v>1087</v>
      </c>
      <c r="E2532" s="147">
        <v>0</v>
      </c>
      <c r="F2532" s="147" t="s">
        <v>350</v>
      </c>
      <c r="G2532" s="147" t="s">
        <v>1144</v>
      </c>
      <c r="H2532" s="107" t="str">
        <f t="shared" si="13"/>
        <v>ifnull(input.unfroz_qty,0) as unfroz_qty,/*解冻数量*/</v>
      </c>
      <c r="J2532" s="7" t="s">
        <v>347</v>
      </c>
      <c r="K2532" s="7" t="s">
        <v>348</v>
      </c>
      <c r="L2532" s="7" t="s">
        <v>349</v>
      </c>
      <c r="M2532" s="7" t="s">
        <v>349</v>
      </c>
      <c r="N2532" s="7">
        <v>1721</v>
      </c>
    </row>
    <row r="2533" spans="1:14" s="7" customFormat="1" ht="17.25" hidden="1" customHeight="1" outlineLevel="1" x14ac:dyDescent="0.15">
      <c r="A2533" s="175"/>
      <c r="B2533" s="147" t="s">
        <v>11</v>
      </c>
      <c r="C2533" s="147" t="s">
        <v>1198</v>
      </c>
      <c r="D2533" s="147" t="s">
        <v>1087</v>
      </c>
      <c r="E2533" s="147">
        <v>0</v>
      </c>
      <c r="F2533" s="147" t="s">
        <v>350</v>
      </c>
      <c r="G2533" s="147" t="s">
        <v>1080</v>
      </c>
      <c r="H2533" s="107" t="str">
        <f t="shared" si="13"/>
        <v>ifnull(input.buy_pre_sett_qty,0) as buy_pre_sett_qty,/*买入待交割数量*/</v>
      </c>
      <c r="J2533" s="7" t="s">
        <v>347</v>
      </c>
      <c r="K2533" s="7" t="s">
        <v>348</v>
      </c>
      <c r="L2533" s="7" t="s">
        <v>349</v>
      </c>
      <c r="M2533" s="7" t="s">
        <v>349</v>
      </c>
      <c r="N2533" s="7">
        <v>1875</v>
      </c>
    </row>
    <row r="2534" spans="1:14" s="7" customFormat="1" ht="17.25" hidden="1" customHeight="1" outlineLevel="1" x14ac:dyDescent="0.15">
      <c r="A2534" s="175"/>
      <c r="B2534" s="147" t="s">
        <v>387</v>
      </c>
      <c r="C2534" s="147" t="s">
        <v>1203</v>
      </c>
      <c r="D2534" s="147" t="s">
        <v>1087</v>
      </c>
      <c r="E2534" s="147">
        <v>0</v>
      </c>
      <c r="F2534" s="147" t="s">
        <v>350</v>
      </c>
      <c r="G2534" s="147"/>
      <c r="H2534" s="107" t="str">
        <f t="shared" si="13"/>
        <v>ifnull(input.sell_pre_sett_qty,0) as sell_pre_sett_qty,/*卖出待交割数量*/</v>
      </c>
      <c r="J2534" s="7" t="s">
        <v>347</v>
      </c>
      <c r="K2534" s="7" t="s">
        <v>348</v>
      </c>
      <c r="L2534" s="7" t="s">
        <v>349</v>
      </c>
      <c r="M2534" s="7" t="s">
        <v>349</v>
      </c>
      <c r="N2534" s="7">
        <v>1891</v>
      </c>
    </row>
    <row r="2535" spans="1:14" s="7" customFormat="1" ht="17.25" hidden="1" customHeight="1" outlineLevel="1" x14ac:dyDescent="0.15">
      <c r="A2535" s="175"/>
      <c r="B2535" s="147" t="s">
        <v>388</v>
      </c>
      <c r="C2535" s="147" t="s">
        <v>1204</v>
      </c>
      <c r="D2535" s="147" t="s">
        <v>1087</v>
      </c>
      <c r="E2535" s="147">
        <v>0</v>
      </c>
      <c r="F2535" s="147" t="s">
        <v>350</v>
      </c>
      <c r="G2535" s="147"/>
      <c r="H2535" s="107" t="str">
        <f t="shared" si="13"/>
        <v>ifnull(input.cost_amt,0) as cost_amt,/*成本金额*/</v>
      </c>
      <c r="J2535" s="7" t="s">
        <v>347</v>
      </c>
      <c r="K2535" s="7" t="s">
        <v>348</v>
      </c>
      <c r="L2535" s="7" t="s">
        <v>349</v>
      </c>
      <c r="M2535" s="7" t="s">
        <v>349</v>
      </c>
      <c r="N2535" s="7">
        <v>1163</v>
      </c>
    </row>
    <row r="2536" spans="1:14" s="7" customFormat="1" ht="17.25" hidden="1" customHeight="1" outlineLevel="1" x14ac:dyDescent="0.15">
      <c r="A2536" s="175"/>
      <c r="B2536" s="147" t="s">
        <v>116</v>
      </c>
      <c r="C2536" s="147" t="s">
        <v>1213</v>
      </c>
      <c r="D2536" s="147" t="s">
        <v>1169</v>
      </c>
      <c r="E2536" s="147">
        <v>0</v>
      </c>
      <c r="F2536" s="147" t="s">
        <v>350</v>
      </c>
      <c r="G2536" s="147"/>
      <c r="H2536" s="107" t="str">
        <f t="shared" si="13"/>
        <v>ifnull(input.realize_pandl,0) as realize_pandl,/*实现盈亏*/</v>
      </c>
      <c r="J2536" s="7" t="s">
        <v>347</v>
      </c>
      <c r="K2536" s="7" t="s">
        <v>348</v>
      </c>
      <c r="L2536" s="7" t="s">
        <v>349</v>
      </c>
      <c r="M2536" s="7" t="s">
        <v>349</v>
      </c>
      <c r="N2536" s="7">
        <v>2153</v>
      </c>
    </row>
    <row r="2537" spans="1:14" s="7" customFormat="1" ht="17.25" hidden="1" customHeight="1" outlineLevel="1" x14ac:dyDescent="0.15">
      <c r="A2537" s="175"/>
      <c r="B2537" s="147" t="s">
        <v>12</v>
      </c>
      <c r="C2537" s="147" t="s">
        <v>1143</v>
      </c>
      <c r="D2537" s="147" t="s">
        <v>1169</v>
      </c>
      <c r="E2537" s="147">
        <v>0</v>
      </c>
      <c r="F2537" s="147" t="s">
        <v>350</v>
      </c>
      <c r="G2537" s="147"/>
      <c r="H2537" s="107" t="str">
        <f t="shared" si="13"/>
        <v>ifnull(input.intrst_cost_amt,0) as intrst_cost_amt,/*利息成本金额*/</v>
      </c>
      <c r="J2537" s="7" t="s">
        <v>347</v>
      </c>
      <c r="K2537" s="7" t="s">
        <v>348</v>
      </c>
      <c r="L2537" s="7" t="s">
        <v>349</v>
      </c>
      <c r="M2537" s="7" t="s">
        <v>349</v>
      </c>
      <c r="N2537" s="7">
        <v>1852</v>
      </c>
    </row>
    <row r="2538" spans="1:14" s="7" customFormat="1" ht="17.25" hidden="1" customHeight="1" outlineLevel="1" x14ac:dyDescent="0.15">
      <c r="A2538" s="175"/>
      <c r="B2538" s="147" t="s">
        <v>13</v>
      </c>
      <c r="C2538" s="147" t="s">
        <v>1205</v>
      </c>
      <c r="D2538" s="147" t="s">
        <v>1169</v>
      </c>
      <c r="E2538" s="147">
        <v>0</v>
      </c>
      <c r="F2538" s="147" t="s">
        <v>350</v>
      </c>
      <c r="G2538" s="147"/>
      <c r="H2538" s="107" t="str">
        <f t="shared" si="13"/>
        <v>ifnull(input.intrst_pandl,0) as intrst_pandl,/*利息收益*/</v>
      </c>
      <c r="J2538" s="7" t="s">
        <v>347</v>
      </c>
      <c r="K2538" s="7" t="s">
        <v>348</v>
      </c>
      <c r="L2538" s="7" t="s">
        <v>349</v>
      </c>
      <c r="M2538" s="7" t="s">
        <v>349</v>
      </c>
      <c r="N2538" s="7">
        <v>1857</v>
      </c>
    </row>
    <row r="2539" spans="1:14" s="7" customFormat="1" ht="17.25" hidden="1" customHeight="1" outlineLevel="1" x14ac:dyDescent="0.15">
      <c r="A2539" s="175"/>
      <c r="B2539" s="147" t="s">
        <v>14</v>
      </c>
      <c r="C2539" s="147" t="s">
        <v>1206</v>
      </c>
      <c r="D2539" s="147" t="s">
        <v>1169</v>
      </c>
      <c r="E2539" s="147">
        <v>0</v>
      </c>
      <c r="F2539" s="147" t="s">
        <v>350</v>
      </c>
      <c r="G2539" s="147"/>
      <c r="H2539" s="107" t="str">
        <f t="shared" si="13"/>
        <v>ifnull(input.avail_qty,0) as avail_qty,/*可用数量*/</v>
      </c>
      <c r="J2539" s="7" t="s">
        <v>347</v>
      </c>
      <c r="K2539" s="7" t="s">
        <v>348</v>
      </c>
      <c r="L2539" s="7" t="s">
        <v>349</v>
      </c>
      <c r="M2539" s="7" t="s">
        <v>349</v>
      </c>
      <c r="N2539" s="7">
        <v>1782</v>
      </c>
    </row>
    <row r="2540" spans="1:14" s="7" customFormat="1" ht="17.25" hidden="1" customHeight="1" outlineLevel="1" x14ac:dyDescent="0.15">
      <c r="A2540" s="175"/>
      <c r="B2540" s="147" t="s">
        <v>479</v>
      </c>
      <c r="C2540" s="147" t="s">
        <v>1207</v>
      </c>
      <c r="D2540" s="147" t="s">
        <v>1087</v>
      </c>
      <c r="E2540" s="147">
        <v>0</v>
      </c>
      <c r="F2540" s="147" t="s">
        <v>350</v>
      </c>
      <c r="G2540" s="147"/>
      <c r="H2540" s="107" t="str">
        <f t="shared" si="13"/>
        <v>ifnull(t.posi_nav_ratio,0) as posi_nav_ratio,/*持仓净值占比*/</v>
      </c>
      <c r="J2540" s="7" t="s">
        <v>347</v>
      </c>
      <c r="K2540" s="7" t="s">
        <v>348</v>
      </c>
      <c r="L2540" s="7" t="s">
        <v>349</v>
      </c>
      <c r="M2540" s="7" t="s">
        <v>349</v>
      </c>
      <c r="N2540" s="7">
        <v>1197</v>
      </c>
    </row>
    <row r="2541" spans="1:14" s="7" customFormat="1" ht="17.25" hidden="1" customHeight="1" outlineLevel="1" x14ac:dyDescent="0.15">
      <c r="A2541" s="175"/>
      <c r="B2541" s="147" t="s">
        <v>480</v>
      </c>
      <c r="C2541" s="147" t="s">
        <v>1079</v>
      </c>
      <c r="D2541" s="147" t="s">
        <v>1172</v>
      </c>
      <c r="E2541" s="147">
        <v>0</v>
      </c>
      <c r="F2541" s="147"/>
      <c r="G2541" s="147"/>
      <c r="H2541" s="107" t="str">
        <f t="shared" si="13"/>
        <v>ifnull(input.nav_asset,0) as nav_asset,/*净资产*/</v>
      </c>
      <c r="J2541" s="7" t="s">
        <v>347</v>
      </c>
      <c r="K2541" s="7" t="s">
        <v>348</v>
      </c>
      <c r="L2541" s="7" t="s">
        <v>349</v>
      </c>
      <c r="M2541" s="7" t="s">
        <v>349</v>
      </c>
      <c r="N2541" s="7">
        <v>1741</v>
      </c>
    </row>
    <row r="2542" spans="1:14" s="7" customFormat="1" ht="17.25" hidden="1" customHeight="1" outlineLevel="1" x14ac:dyDescent="0.15">
      <c r="A2542" s="175"/>
      <c r="B2542" s="147" t="s">
        <v>374</v>
      </c>
      <c r="C2542" s="147" t="s">
        <v>1170</v>
      </c>
      <c r="D2542" s="147" t="s">
        <v>1169</v>
      </c>
      <c r="E2542" s="147">
        <v>0</v>
      </c>
      <c r="F2542" s="147" t="s">
        <v>350</v>
      </c>
      <c r="G2542" s="147"/>
      <c r="H2542" s="107" t="str">
        <f t="shared" si="13"/>
        <v>ifnull(t.bond_receivable_amt,0) as bond_receivable_amt,/*债券应收利息*/</v>
      </c>
      <c r="J2542" s="7" t="s">
        <v>347</v>
      </c>
      <c r="K2542" s="7" t="s">
        <v>348</v>
      </c>
      <c r="L2542" s="7" t="s">
        <v>349</v>
      </c>
      <c r="M2542" s="7" t="s">
        <v>349</v>
      </c>
    </row>
    <row r="2543" spans="1:14" s="7" customFormat="1" ht="17.25" hidden="1" customHeight="1" outlineLevel="1" x14ac:dyDescent="0.15">
      <c r="A2543" s="175"/>
      <c r="B2543" s="147" t="s">
        <v>481</v>
      </c>
      <c r="C2543" s="147" t="s">
        <v>1209</v>
      </c>
      <c r="D2543" s="147" t="s">
        <v>1169</v>
      </c>
      <c r="E2543" s="147">
        <v>0</v>
      </c>
      <c r="F2543" s="147"/>
      <c r="G2543" s="147"/>
      <c r="H2543" s="107" t="str">
        <f t="shared" si="13"/>
        <v>ifnull(input.impawn_qty,0) as impawn_qty,/*质押数量*/</v>
      </c>
      <c r="J2543" s="7" t="s">
        <v>347</v>
      </c>
      <c r="K2543" s="7" t="s">
        <v>348</v>
      </c>
      <c r="L2543" s="7" t="s">
        <v>349</v>
      </c>
      <c r="M2543" s="7" t="s">
        <v>349</v>
      </c>
      <c r="N2543" s="7">
        <v>2511</v>
      </c>
    </row>
    <row r="2544" spans="1:14" s="7" customFormat="1" ht="17.25" hidden="1" customHeight="1" outlineLevel="1" x14ac:dyDescent="0.15">
      <c r="A2544" s="175"/>
      <c r="B2544" s="147" t="s">
        <v>482</v>
      </c>
      <c r="C2544" s="147" t="s">
        <v>1208</v>
      </c>
      <c r="D2544" s="147" t="s">
        <v>1087</v>
      </c>
      <c r="E2544" s="147">
        <v>0</v>
      </c>
      <c r="F2544" s="147" t="s">
        <v>350</v>
      </c>
      <c r="G2544" s="147"/>
      <c r="H2544" s="107" t="str">
        <f t="shared" si="13"/>
        <v>ifnull(t.full_holding_amt,0) as full_holding_amt,/*全价持仓市值*/</v>
      </c>
      <c r="J2544" s="7" t="s">
        <v>347</v>
      </c>
      <c r="K2544" s="7" t="s">
        <v>348</v>
      </c>
      <c r="L2544" s="7" t="s">
        <v>349</v>
      </c>
      <c r="M2544" s="7" t="s">
        <v>349</v>
      </c>
    </row>
    <row r="2545" spans="1:14" s="7" customFormat="1" ht="17.25" hidden="1" customHeight="1" outlineLevel="1" x14ac:dyDescent="0.15">
      <c r="A2545" s="175"/>
      <c r="B2545" s="147" t="s">
        <v>477</v>
      </c>
      <c r="C2545" s="147" t="s">
        <v>1530</v>
      </c>
      <c r="D2545" s="147" t="s">
        <v>1169</v>
      </c>
      <c r="E2545" s="147">
        <v>0</v>
      </c>
      <c r="F2545" s="147"/>
      <c r="G2545" s="147"/>
    </row>
    <row r="2546" spans="1:14" s="7" customFormat="1" hidden="1" outlineLevel="1" x14ac:dyDescent="0.15">
      <c r="A2546" s="175"/>
      <c r="B2546" s="147"/>
      <c r="C2546" s="147"/>
      <c r="D2546" s="147"/>
      <c r="E2546" s="147"/>
      <c r="F2546" s="147"/>
      <c r="G2546" s="147"/>
    </row>
    <row r="2547" spans="1:14" s="7" customFormat="1" ht="17.25" hidden="1" customHeight="1" outlineLevel="1" x14ac:dyDescent="0.15">
      <c r="A2547" s="175"/>
      <c r="B2547" s="147"/>
      <c r="C2547" s="147"/>
      <c r="D2547" s="147"/>
      <c r="E2547" s="147"/>
      <c r="F2547" s="147"/>
      <c r="G2547" s="147"/>
    </row>
    <row r="2548" spans="1:14" s="7" customFormat="1" ht="18" hidden="1" outlineLevel="1" thickBot="1" x14ac:dyDescent="0.2">
      <c r="A2548" s="2"/>
      <c r="B2548" s="24"/>
      <c r="C2548" s="9"/>
      <c r="D2548" s="9"/>
      <c r="E2548" s="9"/>
      <c r="F2548" s="9"/>
      <c r="G2548" s="11"/>
    </row>
    <row r="2549" spans="1:14" s="7" customFormat="1" hidden="1" outlineLevel="1" x14ac:dyDescent="0.15">
      <c r="A2549" s="2"/>
      <c r="B2549" s="327" t="s">
        <v>15</v>
      </c>
      <c r="C2549" s="328"/>
      <c r="D2549" s="328"/>
      <c r="E2549" s="328"/>
      <c r="F2549" s="328"/>
      <c r="G2549" s="329"/>
    </row>
    <row r="2550" spans="1:14" ht="18" hidden="1" outlineLevel="1" thickBot="1" x14ac:dyDescent="0.2">
      <c r="A2550" s="2"/>
      <c r="B2550" s="24"/>
      <c r="C2550" s="9"/>
      <c r="D2550" s="9"/>
      <c r="E2550" s="9"/>
      <c r="F2550" s="9"/>
      <c r="G2550" s="11"/>
    </row>
    <row r="2551" spans="1:14" s="7" customFormat="1" ht="18" hidden="1" outlineLevel="1" thickBot="1" x14ac:dyDescent="0.2">
      <c r="A2551" s="1"/>
      <c r="B2551" s="1"/>
      <c r="C2551" s="1"/>
      <c r="D2551" s="1"/>
      <c r="E2551" s="1"/>
      <c r="F2551" s="1"/>
      <c r="G2551" s="1"/>
      <c r="H2551" s="6" t="str">
        <f>"create or replace view "&amp;C2552</f>
        <v>create or replace view vi_rptasset_qry_exgrp_posi_his</v>
      </c>
    </row>
    <row r="2552" spans="1:14" s="7" customFormat="1" ht="18" collapsed="1" thickBot="1" x14ac:dyDescent="0.2">
      <c r="A2552" s="2"/>
      <c r="B2552" s="3" t="s">
        <v>563</v>
      </c>
      <c r="C2552" s="4" t="s">
        <v>678</v>
      </c>
      <c r="D2552" s="5" t="s">
        <v>515</v>
      </c>
      <c r="E2552" s="21" t="s">
        <v>1028</v>
      </c>
      <c r="F2552" s="5" t="s">
        <v>567</v>
      </c>
      <c r="G2552" s="6"/>
      <c r="H2552" s="11" t="str">
        <f>"/* "&amp;E2552&amp;"*/  as "</f>
        <v xml:space="preserve">/* 报表_资管报表_视图-查询-交易组-证券持仓-历史*/  as </v>
      </c>
    </row>
    <row r="2553" spans="1:14" s="7" customFormat="1" ht="18" hidden="1" outlineLevel="1" thickBot="1" x14ac:dyDescent="0.2">
      <c r="A2553" s="2"/>
      <c r="B2553" s="34" t="s">
        <v>570</v>
      </c>
      <c r="C2553" s="18"/>
      <c r="D2553" s="35" t="s">
        <v>568</v>
      </c>
      <c r="E2553" s="18" t="s">
        <v>615</v>
      </c>
      <c r="F2553" s="35"/>
      <c r="G2553" s="19"/>
      <c r="H2553" s="13" t="s">
        <v>474</v>
      </c>
    </row>
    <row r="2554" spans="1:14" s="7" customFormat="1" ht="17.25" hidden="1" customHeight="1" outlineLevel="1" x14ac:dyDescent="0.15">
      <c r="A2554" s="2"/>
      <c r="B2554" s="3" t="s">
        <v>0</v>
      </c>
      <c r="C2554" s="5" t="s">
        <v>1</v>
      </c>
      <c r="D2554" s="5" t="s">
        <v>2</v>
      </c>
      <c r="E2554" s="5"/>
      <c r="F2554" s="5" t="s">
        <v>3</v>
      </c>
      <c r="G2554" s="36" t="s">
        <v>4</v>
      </c>
      <c r="H2554" s="107" t="str">
        <f t="shared" ref="H2554:H2583" si="14">"ifnull("&amp;IF(I2554&lt;&gt;"",I2554,IF(F2555&lt;&gt;"",F2555,"t")&amp;"."&amp;C2555)&amp;","&amp;E2555&amp;") as "&amp;C2555&amp;",/*"&amp;B2555&amp;"*/"</f>
        <v>ifnull(input.row_id,0) as row_id,/*记录序号*/</v>
      </c>
      <c r="J2554" s="7" t="s">
        <v>358</v>
      </c>
      <c r="K2554" s="7" t="s">
        <v>359</v>
      </c>
      <c r="L2554" s="7" t="s">
        <v>360</v>
      </c>
      <c r="M2554" s="7" t="s">
        <v>361</v>
      </c>
      <c r="N2554" s="7">
        <v>1629</v>
      </c>
    </row>
    <row r="2555" spans="1:14" s="7" customFormat="1" ht="17.25" hidden="1" customHeight="1" outlineLevel="1" x14ac:dyDescent="0.15">
      <c r="A2555" s="175" t="s">
        <v>580</v>
      </c>
      <c r="B2555" s="147" t="s">
        <v>478</v>
      </c>
      <c r="C2555" s="147" t="s">
        <v>1476</v>
      </c>
      <c r="D2555" s="147" t="s">
        <v>1345</v>
      </c>
      <c r="E2555" s="147">
        <v>0</v>
      </c>
      <c r="F2555" s="147" t="s">
        <v>350</v>
      </c>
      <c r="G2555" s="147"/>
      <c r="H2555" s="107" t="str">
        <f t="shared" si="14"/>
        <v>ifnull(datepicker.init_date,date_format(curdate(),'%Y%m%d')) as init_date,/*初始化日期*/</v>
      </c>
      <c r="J2555" s="7" t="s">
        <v>237</v>
      </c>
      <c r="K2555" s="7" t="s">
        <v>238</v>
      </c>
      <c r="L2555" s="7" t="s">
        <v>211</v>
      </c>
      <c r="M2555" s="7" t="s">
        <v>211</v>
      </c>
      <c r="N2555" s="7">
        <v>1211</v>
      </c>
    </row>
    <row r="2556" spans="1:14" s="7" customFormat="1" ht="17.25" hidden="1" customHeight="1" outlineLevel="1" x14ac:dyDescent="0.15">
      <c r="A2556" s="175" t="s">
        <v>580</v>
      </c>
      <c r="B2556" s="147" t="s">
        <v>5</v>
      </c>
      <c r="C2556" s="147" t="s">
        <v>1127</v>
      </c>
      <c r="D2556" s="147" t="s">
        <v>211</v>
      </c>
      <c r="E2556" s="147" t="s">
        <v>1141</v>
      </c>
      <c r="F2556" s="147" t="s">
        <v>357</v>
      </c>
      <c r="G2556" s="147" t="s">
        <v>1162</v>
      </c>
      <c r="H2556" s="107" t="str">
        <f t="shared" si="14"/>
        <v>ifnull(input.co_no,0) as co_no,/*机构编号*/</v>
      </c>
      <c r="J2556" s="7" t="s">
        <v>237</v>
      </c>
      <c r="K2556" s="7" t="s">
        <v>238</v>
      </c>
      <c r="L2556" s="7" t="s">
        <v>211</v>
      </c>
      <c r="M2556" s="7" t="s">
        <v>211</v>
      </c>
      <c r="N2556" s="7">
        <v>1606</v>
      </c>
    </row>
    <row r="2557" spans="1:14" s="7" customFormat="1" ht="17.25" hidden="1" customHeight="1" outlineLevel="1" x14ac:dyDescent="0.15">
      <c r="A2557" s="175" t="s">
        <v>580</v>
      </c>
      <c r="B2557" s="147" t="s">
        <v>6</v>
      </c>
      <c r="C2557" s="147" t="s">
        <v>1163</v>
      </c>
      <c r="D2557" s="147" t="s">
        <v>211</v>
      </c>
      <c r="E2557" s="147">
        <v>0</v>
      </c>
      <c r="F2557" s="147" t="s">
        <v>350</v>
      </c>
      <c r="G2557" s="147" t="s">
        <v>1077</v>
      </c>
      <c r="H2557" s="107" t="str">
        <f t="shared" si="14"/>
        <v>ifnull(input.pd_no,0) as pd_no,/*产品编号*/</v>
      </c>
      <c r="J2557" s="7" t="s">
        <v>237</v>
      </c>
      <c r="K2557" s="7" t="s">
        <v>238</v>
      </c>
      <c r="L2557" s="7" t="s">
        <v>211</v>
      </c>
      <c r="M2557" s="7" t="s">
        <v>211</v>
      </c>
      <c r="N2557" s="7">
        <v>1112</v>
      </c>
    </row>
    <row r="2558" spans="1:14" s="7" customFormat="1" ht="17.25" hidden="1" customHeight="1" outlineLevel="1" x14ac:dyDescent="0.15">
      <c r="A2558" s="175" t="s">
        <v>580</v>
      </c>
      <c r="B2558" s="147" t="s">
        <v>111</v>
      </c>
      <c r="C2558" s="147" t="s">
        <v>1164</v>
      </c>
      <c r="D2558" s="147" t="s">
        <v>211</v>
      </c>
      <c r="E2558" s="147">
        <v>0</v>
      </c>
      <c r="F2558" s="147" t="s">
        <v>350</v>
      </c>
      <c r="G2558" s="147" t="s">
        <v>1165</v>
      </c>
      <c r="H2558" s="107" t="str">
        <f t="shared" si="14"/>
        <v>ifnull(input.asset_acco_no,0) as asset_acco_no,/*资产账户编号*/</v>
      </c>
      <c r="J2558" s="7" t="s">
        <v>237</v>
      </c>
      <c r="K2558" s="7" t="s">
        <v>238</v>
      </c>
      <c r="L2558" s="7" t="s">
        <v>211</v>
      </c>
      <c r="M2558" s="7" t="s">
        <v>211</v>
      </c>
      <c r="N2558" s="7">
        <v>2534</v>
      </c>
    </row>
    <row r="2559" spans="1:14" s="7" customFormat="1" ht="17.25" hidden="1" customHeight="1" outlineLevel="1" x14ac:dyDescent="0.15">
      <c r="A2559" s="175"/>
      <c r="B2559" s="147" t="s">
        <v>113</v>
      </c>
      <c r="C2559" s="147" t="s">
        <v>1187</v>
      </c>
      <c r="D2559" s="147" t="s">
        <v>211</v>
      </c>
      <c r="E2559" s="147">
        <v>0</v>
      </c>
      <c r="F2559" s="147" t="s">
        <v>350</v>
      </c>
      <c r="G2559" s="147"/>
      <c r="H2559" s="107" t="str">
        <f t="shared" si="14"/>
        <v>ifnull(input.exch_group_no,0) as exch_group_no,/*交易组编号*/</v>
      </c>
      <c r="J2559" s="7" t="s">
        <v>358</v>
      </c>
      <c r="K2559" s="7" t="s">
        <v>359</v>
      </c>
      <c r="L2559" s="7" t="s">
        <v>360</v>
      </c>
      <c r="M2559" s="7" t="s">
        <v>361</v>
      </c>
      <c r="N2559" s="7">
        <v>1700</v>
      </c>
    </row>
    <row r="2560" spans="1:14" s="7" customFormat="1" ht="17.25" hidden="1" customHeight="1" outlineLevel="1" x14ac:dyDescent="0.15">
      <c r="A2560" s="175" t="s">
        <v>580</v>
      </c>
      <c r="B2560" s="147" t="s">
        <v>123</v>
      </c>
      <c r="C2560" s="147" t="s">
        <v>1133</v>
      </c>
      <c r="D2560" s="147" t="s">
        <v>211</v>
      </c>
      <c r="E2560" s="147">
        <v>0</v>
      </c>
      <c r="F2560" s="147" t="s">
        <v>350</v>
      </c>
      <c r="G2560" s="147" t="s">
        <v>1182</v>
      </c>
      <c r="H2560" s="107" t="str">
        <f t="shared" si="14"/>
        <v>ifnull(select.exch_no,0) as exch_no,/*市场编号*/</v>
      </c>
      <c r="J2560" s="7" t="s">
        <v>237</v>
      </c>
      <c r="K2560" s="7" t="s">
        <v>238</v>
      </c>
      <c r="L2560" s="7" t="s">
        <v>211</v>
      </c>
      <c r="M2560" s="7" t="s">
        <v>211</v>
      </c>
      <c r="N2560" s="7">
        <v>2155</v>
      </c>
    </row>
    <row r="2561" spans="1:14" s="7" customFormat="1" ht="17.25" hidden="1" customHeight="1" outlineLevel="1" x14ac:dyDescent="0.15">
      <c r="A2561" s="175" t="s">
        <v>580</v>
      </c>
      <c r="B2561" s="147" t="s">
        <v>7</v>
      </c>
      <c r="C2561" s="147" t="s">
        <v>1190</v>
      </c>
      <c r="D2561" s="147" t="s">
        <v>211</v>
      </c>
      <c r="E2561" s="147">
        <v>0</v>
      </c>
      <c r="F2561" s="147" t="s">
        <v>366</v>
      </c>
      <c r="G2561" s="147" t="s">
        <v>1081</v>
      </c>
      <c r="H2561" s="107" t="str">
        <f t="shared" si="14"/>
        <v>ifnull(select.invest_type,0) as invest_type,/*投资类型*/</v>
      </c>
      <c r="J2561" s="7" t="s">
        <v>237</v>
      </c>
      <c r="K2561" s="7" t="s">
        <v>238</v>
      </c>
      <c r="L2561" s="7" t="s">
        <v>211</v>
      </c>
      <c r="M2561" s="7" t="s">
        <v>211</v>
      </c>
      <c r="N2561" s="7">
        <v>2237</v>
      </c>
    </row>
    <row r="2562" spans="1:14" s="7" customFormat="1" ht="17.25" hidden="1" customHeight="1" outlineLevel="1" x14ac:dyDescent="0.15">
      <c r="A2562" s="175" t="s">
        <v>580</v>
      </c>
      <c r="B2562" s="147" t="s">
        <v>386</v>
      </c>
      <c r="C2562" s="147" t="s">
        <v>1191</v>
      </c>
      <c r="D2562" s="147" t="s">
        <v>211</v>
      </c>
      <c r="E2562" s="147">
        <v>0</v>
      </c>
      <c r="F2562" s="147" t="s">
        <v>366</v>
      </c>
      <c r="G2562" s="147" t="s">
        <v>1192</v>
      </c>
      <c r="H2562" s="107" t="str">
        <f t="shared" si="14"/>
        <v>ifnull(select.stock_type,0) as stock_type,/*证券类型*/</v>
      </c>
      <c r="J2562" s="7" t="s">
        <v>237</v>
      </c>
      <c r="K2562" s="7" t="s">
        <v>238</v>
      </c>
      <c r="L2562" s="7" t="s">
        <v>211</v>
      </c>
      <c r="M2562" s="7" t="s">
        <v>211</v>
      </c>
      <c r="N2562" s="7">
        <v>2433</v>
      </c>
    </row>
    <row r="2563" spans="1:14" s="7" customFormat="1" ht="17.25" hidden="1" customHeight="1" outlineLevel="1" x14ac:dyDescent="0.15">
      <c r="A2563" s="175" t="s">
        <v>580</v>
      </c>
      <c r="B2563" s="147" t="s">
        <v>93</v>
      </c>
      <c r="C2563" s="147" t="s">
        <v>1189</v>
      </c>
      <c r="D2563" s="147" t="s">
        <v>211</v>
      </c>
      <c r="E2563" s="147">
        <v>0</v>
      </c>
      <c r="F2563" s="147" t="s">
        <v>366</v>
      </c>
      <c r="G2563" s="147"/>
      <c r="H2563" s="107" t="str">
        <f t="shared" si="14"/>
        <v>ifnull(t.posi_market_value,0) as posi_market_value,/*持仓市值*/</v>
      </c>
      <c r="J2563" s="7" t="s">
        <v>347</v>
      </c>
      <c r="K2563" s="7" t="s">
        <v>348</v>
      </c>
      <c r="L2563" s="7" t="s">
        <v>349</v>
      </c>
      <c r="M2563" s="7" t="s">
        <v>349</v>
      </c>
      <c r="N2563" s="7">
        <v>1202</v>
      </c>
    </row>
    <row r="2564" spans="1:14" s="7" customFormat="1" ht="17.25" hidden="1" customHeight="1" outlineLevel="1" x14ac:dyDescent="0.15">
      <c r="A2564" s="175" t="s">
        <v>580</v>
      </c>
      <c r="B2564" s="147" t="s">
        <v>162</v>
      </c>
      <c r="C2564" s="147" t="s">
        <v>1214</v>
      </c>
      <c r="D2564" s="147" t="s">
        <v>1169</v>
      </c>
      <c r="E2564" s="147">
        <v>0</v>
      </c>
      <c r="F2564" s="147"/>
      <c r="G2564" s="147"/>
      <c r="H2564" s="107" t="str">
        <f t="shared" si="14"/>
        <v>ifnull(input.begin_qty,0) as begin_qty,/*期初数量*/</v>
      </c>
      <c r="J2564" s="7" t="s">
        <v>347</v>
      </c>
      <c r="K2564" s="7" t="s">
        <v>348</v>
      </c>
      <c r="L2564" s="7" t="s">
        <v>349</v>
      </c>
      <c r="M2564" s="7" t="s">
        <v>349</v>
      </c>
      <c r="N2564" s="7">
        <v>1986</v>
      </c>
    </row>
    <row r="2565" spans="1:14" s="7" customFormat="1" ht="17.25" hidden="1" customHeight="1" outlineLevel="1" x14ac:dyDescent="0.15">
      <c r="A2565" s="175" t="s">
        <v>580</v>
      </c>
      <c r="B2565" s="147" t="s">
        <v>8</v>
      </c>
      <c r="C2565" s="147" t="s">
        <v>1193</v>
      </c>
      <c r="D2565" s="147" t="s">
        <v>1087</v>
      </c>
      <c r="E2565" s="147">
        <v>0</v>
      </c>
      <c r="F2565" s="147" t="s">
        <v>350</v>
      </c>
      <c r="G2565" s="147" t="s">
        <v>1194</v>
      </c>
      <c r="H2565" s="107" t="str">
        <f t="shared" si="14"/>
        <v>ifnull(input.curr_qty,0) as curr_qty,/*当前数量*/</v>
      </c>
      <c r="J2565" s="7" t="s">
        <v>347</v>
      </c>
      <c r="K2565" s="7" t="s">
        <v>348</v>
      </c>
      <c r="L2565" s="7" t="s">
        <v>349</v>
      </c>
      <c r="M2565" s="7" t="s">
        <v>349</v>
      </c>
      <c r="N2565" s="7">
        <v>1262</v>
      </c>
    </row>
    <row r="2566" spans="1:14" s="7" customFormat="1" ht="17.25" hidden="1" customHeight="1" outlineLevel="1" x14ac:dyDescent="0.15">
      <c r="A2566" s="175" t="s">
        <v>580</v>
      </c>
      <c r="B2566" s="147" t="s">
        <v>9</v>
      </c>
      <c r="C2566" s="147" t="s">
        <v>1195</v>
      </c>
      <c r="D2566" s="147" t="s">
        <v>1087</v>
      </c>
      <c r="E2566" s="147">
        <v>0</v>
      </c>
      <c r="F2566" s="147" t="s">
        <v>350</v>
      </c>
      <c r="G2566" s="147" t="s">
        <v>1196</v>
      </c>
      <c r="H2566" s="107" t="str">
        <f t="shared" si="14"/>
        <v>ifnull(input.frozen_qty,0) as frozen_qty,/*冻结数量*/</v>
      </c>
      <c r="J2566" s="7" t="s">
        <v>347</v>
      </c>
      <c r="K2566" s="7" t="s">
        <v>348</v>
      </c>
      <c r="L2566" s="7" t="s">
        <v>349</v>
      </c>
      <c r="M2566" s="7" t="s">
        <v>349</v>
      </c>
      <c r="N2566" s="7">
        <v>1317</v>
      </c>
    </row>
    <row r="2567" spans="1:14" s="7" customFormat="1" ht="17.25" hidden="1" customHeight="1" outlineLevel="1" x14ac:dyDescent="0.15">
      <c r="A2567" s="175" t="s">
        <v>580</v>
      </c>
      <c r="B2567" s="147" t="s">
        <v>10</v>
      </c>
      <c r="C2567" s="147" t="s">
        <v>1197</v>
      </c>
      <c r="D2567" s="147" t="s">
        <v>1087</v>
      </c>
      <c r="E2567" s="147">
        <v>0</v>
      </c>
      <c r="F2567" s="147" t="s">
        <v>350</v>
      </c>
      <c r="G2567" s="147" t="s">
        <v>1144</v>
      </c>
      <c r="H2567" s="107" t="str">
        <f t="shared" si="14"/>
        <v>ifnull(input.unfroz_qty,0) as unfroz_qty,/*解冻数量*/</v>
      </c>
      <c r="J2567" s="7" t="s">
        <v>347</v>
      </c>
      <c r="K2567" s="7" t="s">
        <v>348</v>
      </c>
      <c r="L2567" s="7" t="s">
        <v>349</v>
      </c>
      <c r="M2567" s="7" t="s">
        <v>349</v>
      </c>
      <c r="N2567" s="7">
        <v>1721</v>
      </c>
    </row>
    <row r="2568" spans="1:14" s="7" customFormat="1" ht="17.25" hidden="1" customHeight="1" outlineLevel="1" x14ac:dyDescent="0.15">
      <c r="A2568" s="175" t="s">
        <v>580</v>
      </c>
      <c r="B2568" s="147" t="s">
        <v>11</v>
      </c>
      <c r="C2568" s="147" t="s">
        <v>1198</v>
      </c>
      <c r="D2568" s="147" t="s">
        <v>1087</v>
      </c>
      <c r="E2568" s="147">
        <v>0</v>
      </c>
      <c r="F2568" s="147" t="s">
        <v>350</v>
      </c>
      <c r="G2568" s="147" t="s">
        <v>1080</v>
      </c>
      <c r="H2568" s="107" t="str">
        <f t="shared" si="14"/>
        <v>ifnull(input.cost_amt,0) as cost_amt,/*成本金额*/</v>
      </c>
      <c r="J2568" s="7" t="s">
        <v>347</v>
      </c>
      <c r="K2568" s="7" t="s">
        <v>348</v>
      </c>
      <c r="L2568" s="7" t="s">
        <v>349</v>
      </c>
      <c r="M2568" s="7" t="s">
        <v>349</v>
      </c>
      <c r="N2568" s="7">
        <v>1163</v>
      </c>
    </row>
    <row r="2569" spans="1:14" s="7" customFormat="1" ht="17.25" hidden="1" customHeight="1" outlineLevel="1" x14ac:dyDescent="0.15">
      <c r="A2569" s="175" t="s">
        <v>580</v>
      </c>
      <c r="B2569" s="147" t="s">
        <v>116</v>
      </c>
      <c r="C2569" s="147" t="s">
        <v>1213</v>
      </c>
      <c r="D2569" s="147" t="s">
        <v>1169</v>
      </c>
      <c r="E2569" s="147">
        <v>0</v>
      </c>
      <c r="F2569" s="147" t="s">
        <v>350</v>
      </c>
      <c r="G2569" s="147"/>
      <c r="H2569" s="107" t="str">
        <f t="shared" si="14"/>
        <v>ifnull(input.realize_pandl,0) as realize_pandl,/*实现盈亏*/</v>
      </c>
      <c r="J2569" s="7" t="s">
        <v>347</v>
      </c>
      <c r="K2569" s="7" t="s">
        <v>348</v>
      </c>
      <c r="L2569" s="7" t="s">
        <v>349</v>
      </c>
      <c r="M2569" s="7" t="s">
        <v>349</v>
      </c>
      <c r="N2569" s="7">
        <v>2153</v>
      </c>
    </row>
    <row r="2570" spans="1:14" s="7" customFormat="1" ht="17.25" hidden="1" customHeight="1" outlineLevel="1" x14ac:dyDescent="0.15">
      <c r="A2570" s="175" t="s">
        <v>580</v>
      </c>
      <c r="B2570" s="147" t="s">
        <v>12</v>
      </c>
      <c r="C2570" s="147" t="s">
        <v>1143</v>
      </c>
      <c r="D2570" s="147" t="s">
        <v>1169</v>
      </c>
      <c r="E2570" s="147">
        <v>0</v>
      </c>
      <c r="F2570" s="147" t="s">
        <v>350</v>
      </c>
      <c r="G2570" s="147"/>
      <c r="H2570" s="107" t="str">
        <f t="shared" si="14"/>
        <v>ifnull(input.intrst_cost_amt,0) as intrst_cost_amt,/*利息成本金额*/</v>
      </c>
      <c r="J2570" s="7" t="s">
        <v>347</v>
      </c>
      <c r="K2570" s="7" t="s">
        <v>348</v>
      </c>
      <c r="L2570" s="7" t="s">
        <v>349</v>
      </c>
      <c r="M2570" s="7" t="s">
        <v>349</v>
      </c>
      <c r="N2570" s="7">
        <v>1852</v>
      </c>
    </row>
    <row r="2571" spans="1:14" s="7" customFormat="1" ht="17.25" hidden="1" customHeight="1" outlineLevel="1" x14ac:dyDescent="0.15">
      <c r="A2571" s="175" t="s">
        <v>580</v>
      </c>
      <c r="B2571" s="147" t="s">
        <v>13</v>
      </c>
      <c r="C2571" s="147" t="s">
        <v>1205</v>
      </c>
      <c r="D2571" s="147" t="s">
        <v>1169</v>
      </c>
      <c r="E2571" s="147">
        <v>0</v>
      </c>
      <c r="F2571" s="147" t="s">
        <v>350</v>
      </c>
      <c r="G2571" s="147"/>
      <c r="H2571" s="107" t="str">
        <f t="shared" si="14"/>
        <v>ifnull(input.intrst_pandl,0) as intrst_pandl,/*利息收益*/</v>
      </c>
      <c r="J2571" s="7" t="s">
        <v>347</v>
      </c>
      <c r="K2571" s="7" t="s">
        <v>348</v>
      </c>
      <c r="L2571" s="7" t="s">
        <v>349</v>
      </c>
      <c r="M2571" s="7" t="s">
        <v>349</v>
      </c>
      <c r="N2571" s="7">
        <v>1857</v>
      </c>
    </row>
    <row r="2572" spans="1:14" s="7" customFormat="1" ht="17.25" hidden="1" customHeight="1" outlineLevel="1" x14ac:dyDescent="0.15">
      <c r="A2572" s="175" t="s">
        <v>580</v>
      </c>
      <c r="B2572" s="147" t="s">
        <v>14</v>
      </c>
      <c r="C2572" s="147" t="s">
        <v>1206</v>
      </c>
      <c r="D2572" s="147" t="s">
        <v>1169</v>
      </c>
      <c r="E2572" s="147">
        <v>0</v>
      </c>
      <c r="F2572" s="147" t="s">
        <v>350</v>
      </c>
      <c r="G2572" s="147"/>
      <c r="H2572" s="107" t="str">
        <f t="shared" si="14"/>
        <v>ifnull(input.cost_price,0) as cost_price,/*成本价*/</v>
      </c>
      <c r="J2572" s="7" t="s">
        <v>347</v>
      </c>
      <c r="K2572" s="7" t="s">
        <v>348</v>
      </c>
      <c r="L2572" s="7" t="s">
        <v>349</v>
      </c>
      <c r="M2572" s="7" t="s">
        <v>349</v>
      </c>
      <c r="N2572" s="7">
        <v>1162</v>
      </c>
    </row>
    <row r="2573" spans="1:14" s="7" customFormat="1" ht="17.25" hidden="1" customHeight="1" outlineLevel="1" x14ac:dyDescent="0.15">
      <c r="A2573" s="175" t="s">
        <v>580</v>
      </c>
      <c r="B2573" s="147" t="s">
        <v>389</v>
      </c>
      <c r="C2573" s="147" t="s">
        <v>1477</v>
      </c>
      <c r="D2573" s="147" t="s">
        <v>1211</v>
      </c>
      <c r="E2573" s="147">
        <v>0</v>
      </c>
      <c r="F2573" s="147" t="s">
        <v>350</v>
      </c>
      <c r="G2573" s="147" t="s">
        <v>1478</v>
      </c>
      <c r="H2573" s="107" t="str">
        <f t="shared" si="14"/>
        <v>ifnull(input.last_price,0) as last_price,/*最新价*/</v>
      </c>
      <c r="J2573" s="7" t="s">
        <v>347</v>
      </c>
      <c r="K2573" s="7" t="s">
        <v>348</v>
      </c>
      <c r="L2573" s="7" t="s">
        <v>349</v>
      </c>
      <c r="M2573" s="7" t="s">
        <v>349</v>
      </c>
      <c r="N2573" s="7">
        <v>2586</v>
      </c>
    </row>
    <row r="2574" spans="1:14" s="7" customFormat="1" ht="17.25" hidden="1" customHeight="1" outlineLevel="1" x14ac:dyDescent="0.15">
      <c r="A2574" s="175" t="s">
        <v>580</v>
      </c>
      <c r="B2574" s="147" t="s">
        <v>439</v>
      </c>
      <c r="C2574" s="147" t="s">
        <v>1236</v>
      </c>
      <c r="D2574" s="147" t="s">
        <v>1211</v>
      </c>
      <c r="E2574" s="147">
        <v>0</v>
      </c>
      <c r="F2574" s="147" t="s">
        <v>350</v>
      </c>
      <c r="G2574" s="147"/>
      <c r="H2574" s="107" t="str">
        <f t="shared" si="14"/>
        <v>ifnull(t.float_pandl,0) as float_pandl,/*浮动盈亏*/</v>
      </c>
      <c r="J2574" s="7" t="s">
        <v>347</v>
      </c>
      <c r="K2574" s="7" t="s">
        <v>348</v>
      </c>
      <c r="L2574" s="7" t="s">
        <v>349</v>
      </c>
      <c r="M2574" s="7" t="s">
        <v>349</v>
      </c>
      <c r="N2574" s="7">
        <v>1461</v>
      </c>
    </row>
    <row r="2575" spans="1:14" s="7" customFormat="1" ht="17.25" hidden="1" customHeight="1" outlineLevel="1" x14ac:dyDescent="0.15">
      <c r="A2575" s="175" t="s">
        <v>580</v>
      </c>
      <c r="B2575" s="147" t="s">
        <v>445</v>
      </c>
      <c r="C2575" s="147" t="s">
        <v>1479</v>
      </c>
      <c r="D2575" s="147" t="s">
        <v>1169</v>
      </c>
      <c r="E2575" s="147">
        <v>0</v>
      </c>
      <c r="F2575" s="147"/>
      <c r="G2575" s="147"/>
      <c r="H2575" s="107" t="str">
        <f t="shared" si="14"/>
        <v>ifnull(t.pandl_ratio,0) as pandl_ratio,/*盈亏比例*/</v>
      </c>
      <c r="J2575" s="7" t="s">
        <v>347</v>
      </c>
      <c r="K2575" s="7" t="s">
        <v>348</v>
      </c>
      <c r="L2575" s="7" t="s">
        <v>349</v>
      </c>
      <c r="M2575" s="7" t="s">
        <v>349</v>
      </c>
      <c r="N2575" s="7">
        <v>2346</v>
      </c>
    </row>
    <row r="2576" spans="1:14" s="7" customFormat="1" ht="17.25" hidden="1" customHeight="1" outlineLevel="1" x14ac:dyDescent="0.15">
      <c r="A2576" s="175" t="s">
        <v>580</v>
      </c>
      <c r="B2576" s="147" t="s">
        <v>484</v>
      </c>
      <c r="C2576" s="147" t="s">
        <v>1483</v>
      </c>
      <c r="D2576" s="147" t="s">
        <v>1172</v>
      </c>
      <c r="E2576" s="147">
        <v>0</v>
      </c>
      <c r="F2576" s="147"/>
      <c r="G2576" s="147"/>
      <c r="H2576" s="107" t="str">
        <f t="shared" si="14"/>
        <v>ifnull(t.trade_avail_qty,0) as trade_avail_qty,/*交易端可用数量*/</v>
      </c>
      <c r="J2576" s="7" t="s">
        <v>347</v>
      </c>
      <c r="K2576" s="7" t="s">
        <v>348</v>
      </c>
      <c r="L2576" s="7" t="s">
        <v>349</v>
      </c>
      <c r="M2576" s="7" t="s">
        <v>349</v>
      </c>
      <c r="N2576" s="7">
        <v>1677</v>
      </c>
    </row>
    <row r="2577" spans="1:14" s="7" customFormat="1" ht="17.25" hidden="1" customHeight="1" outlineLevel="1" x14ac:dyDescent="0.15">
      <c r="A2577" s="175" t="s">
        <v>580</v>
      </c>
      <c r="B2577" s="147" t="s">
        <v>475</v>
      </c>
      <c r="C2577" s="147" t="s">
        <v>1480</v>
      </c>
      <c r="D2577" s="147" t="s">
        <v>1087</v>
      </c>
      <c r="E2577" s="147">
        <v>0</v>
      </c>
      <c r="F2577" s="147"/>
      <c r="G2577" s="147" t="s">
        <v>1481</v>
      </c>
      <c r="H2577" s="107" t="str">
        <f t="shared" si="14"/>
        <v>ifnull(t.comm_avail_qty,0) as comm_avail_qty,/*指令端可用数量*/</v>
      </c>
      <c r="J2577" s="7" t="s">
        <v>347</v>
      </c>
      <c r="K2577" s="7" t="s">
        <v>348</v>
      </c>
      <c r="L2577" s="7" t="s">
        <v>349</v>
      </c>
      <c r="M2577" s="7" t="s">
        <v>349</v>
      </c>
      <c r="N2577" s="7">
        <v>2459</v>
      </c>
    </row>
    <row r="2578" spans="1:14" s="7" customFormat="1" ht="17.25" hidden="1" customHeight="1" outlineLevel="1" x14ac:dyDescent="0.15">
      <c r="A2578" s="175" t="s">
        <v>580</v>
      </c>
      <c r="B2578" s="147" t="s">
        <v>476</v>
      </c>
      <c r="C2578" s="147" t="s">
        <v>1482</v>
      </c>
      <c r="D2578" s="147" t="s">
        <v>1087</v>
      </c>
      <c r="E2578" s="147">
        <v>0</v>
      </c>
      <c r="F2578" s="147"/>
      <c r="G2578" s="147" t="s">
        <v>1481</v>
      </c>
      <c r="H2578" s="107" t="str">
        <f t="shared" si="14"/>
        <v>ifnull(input.pre_close_price,0) as pre_close_price,/*昨收盘价*/</v>
      </c>
      <c r="J2578" s="7" t="s">
        <v>347</v>
      </c>
      <c r="K2578" s="7" t="s">
        <v>348</v>
      </c>
      <c r="L2578" s="7" t="s">
        <v>349</v>
      </c>
      <c r="M2578" s="7" t="s">
        <v>349</v>
      </c>
      <c r="N2578" s="7">
        <v>2597</v>
      </c>
    </row>
    <row r="2579" spans="1:14" s="7" customFormat="1" ht="17.25" hidden="1" customHeight="1" outlineLevel="1" x14ac:dyDescent="0.15">
      <c r="A2579" s="175" t="s">
        <v>580</v>
      </c>
      <c r="B2579" s="147" t="s">
        <v>485</v>
      </c>
      <c r="C2579" s="147" t="s">
        <v>1112</v>
      </c>
      <c r="D2579" s="147" t="s">
        <v>1211</v>
      </c>
      <c r="E2579" s="147">
        <v>0</v>
      </c>
      <c r="F2579" s="147" t="s">
        <v>350</v>
      </c>
      <c r="G2579" s="147"/>
      <c r="H2579" s="107" t="str">
        <f t="shared" si="14"/>
        <v>ifnull(t.posi_nav_ratio,0) as posi_nav_ratio,/*持仓净值占比*/</v>
      </c>
      <c r="J2579" s="7" t="s">
        <v>347</v>
      </c>
      <c r="K2579" s="7" t="s">
        <v>348</v>
      </c>
      <c r="L2579" s="7" t="s">
        <v>349</v>
      </c>
      <c r="M2579" s="7" t="s">
        <v>349</v>
      </c>
      <c r="N2579" s="7">
        <v>1197</v>
      </c>
    </row>
    <row r="2580" spans="1:14" s="7" customFormat="1" ht="17.25" hidden="1" customHeight="1" outlineLevel="1" x14ac:dyDescent="0.15">
      <c r="A2580" s="175" t="s">
        <v>580</v>
      </c>
      <c r="B2580" s="147" t="s">
        <v>480</v>
      </c>
      <c r="C2580" s="147" t="s">
        <v>1079</v>
      </c>
      <c r="D2580" s="147" t="s">
        <v>1172</v>
      </c>
      <c r="E2580" s="147">
        <v>0</v>
      </c>
      <c r="F2580" s="147"/>
      <c r="G2580" s="147"/>
      <c r="H2580" s="107" t="str">
        <f t="shared" si="14"/>
        <v>ifnull(input.nav_asset,0) as nav_asset,/*净资产*/</v>
      </c>
      <c r="J2580" s="7" t="s">
        <v>347</v>
      </c>
      <c r="K2580" s="7" t="s">
        <v>348</v>
      </c>
      <c r="L2580" s="7" t="s">
        <v>349</v>
      </c>
      <c r="M2580" s="7" t="s">
        <v>349</v>
      </c>
      <c r="N2580" s="7">
        <v>1741</v>
      </c>
    </row>
    <row r="2581" spans="1:14" s="7" customFormat="1" ht="17.25" hidden="1" customHeight="1" outlineLevel="1" x14ac:dyDescent="0.15">
      <c r="A2581" s="175" t="s">
        <v>580</v>
      </c>
      <c r="B2581" s="147" t="s">
        <v>374</v>
      </c>
      <c r="C2581" s="147" t="s">
        <v>1170</v>
      </c>
      <c r="D2581" s="147" t="s">
        <v>1169</v>
      </c>
      <c r="E2581" s="147">
        <v>0</v>
      </c>
      <c r="F2581" s="147" t="s">
        <v>350</v>
      </c>
      <c r="G2581" s="147"/>
      <c r="H2581" s="107" t="str">
        <f t="shared" si="14"/>
        <v>ifnull(t.bond_receivable_amt,0) as bond_receivable_amt,/*债券应收利息*/</v>
      </c>
      <c r="J2581" s="7" t="s">
        <v>347</v>
      </c>
      <c r="K2581" s="7" t="s">
        <v>348</v>
      </c>
      <c r="L2581" s="7" t="s">
        <v>349</v>
      </c>
      <c r="M2581" s="7" t="s">
        <v>349</v>
      </c>
    </row>
    <row r="2582" spans="1:14" s="7" customFormat="1" ht="17.25" hidden="1" customHeight="1" outlineLevel="1" x14ac:dyDescent="0.15">
      <c r="A2582" s="175" t="s">
        <v>580</v>
      </c>
      <c r="B2582" s="147" t="s">
        <v>481</v>
      </c>
      <c r="C2582" s="147" t="s">
        <v>1209</v>
      </c>
      <c r="D2582" s="147" t="s">
        <v>1169</v>
      </c>
      <c r="E2582" s="147">
        <v>0</v>
      </c>
      <c r="F2582" s="147"/>
      <c r="G2582" s="147"/>
      <c r="H2582" s="107" t="str">
        <f t="shared" si="14"/>
        <v>ifnull(input.impawn_qty,0) as impawn_qty,/*质押数量*/</v>
      </c>
      <c r="J2582" s="7" t="s">
        <v>347</v>
      </c>
      <c r="K2582" s="7" t="s">
        <v>348</v>
      </c>
      <c r="L2582" s="7" t="s">
        <v>349</v>
      </c>
      <c r="M2582" s="7" t="s">
        <v>349</v>
      </c>
      <c r="N2582" s="7">
        <v>2511</v>
      </c>
    </row>
    <row r="2583" spans="1:14" s="7" customFormat="1" ht="17.25" hidden="1" customHeight="1" outlineLevel="1" x14ac:dyDescent="0.15">
      <c r="A2583" s="175" t="s">
        <v>580</v>
      </c>
      <c r="B2583" s="147" t="s">
        <v>482</v>
      </c>
      <c r="C2583" s="147" t="s">
        <v>1208</v>
      </c>
      <c r="D2583" s="147" t="s">
        <v>1087</v>
      </c>
      <c r="E2583" s="147">
        <v>0</v>
      </c>
      <c r="F2583" s="147" t="s">
        <v>350</v>
      </c>
      <c r="G2583" s="147"/>
      <c r="H2583" s="107" t="str">
        <f t="shared" si="14"/>
        <v>ifnull(t.full_holding_amt,0) as full_holding_amt,/*全价持仓市值*/</v>
      </c>
      <c r="J2583" s="7" t="s">
        <v>347</v>
      </c>
      <c r="K2583" s="7" t="s">
        <v>348</v>
      </c>
      <c r="L2583" s="7" t="s">
        <v>349</v>
      </c>
      <c r="M2583" s="7" t="s">
        <v>349</v>
      </c>
    </row>
    <row r="2584" spans="1:14" s="7" customFormat="1" ht="17.25" hidden="1" customHeight="1" outlineLevel="1" x14ac:dyDescent="0.15">
      <c r="A2584" s="175" t="s">
        <v>580</v>
      </c>
      <c r="B2584" s="147" t="s">
        <v>477</v>
      </c>
      <c r="C2584" s="147" t="s">
        <v>1530</v>
      </c>
      <c r="D2584" s="147" t="s">
        <v>1169</v>
      </c>
      <c r="E2584" s="147">
        <v>0</v>
      </c>
      <c r="F2584" s="147"/>
      <c r="G2584" s="147"/>
    </row>
    <row r="2585" spans="1:14" s="7" customFormat="1" ht="18" hidden="1" outlineLevel="1" thickBot="1" x14ac:dyDescent="0.2">
      <c r="A2585" s="2"/>
      <c r="B2585" s="24"/>
      <c r="C2585" s="9"/>
      <c r="D2585" s="9"/>
      <c r="E2585" s="9"/>
      <c r="F2585" s="9"/>
      <c r="G2585" s="11"/>
    </row>
    <row r="2586" spans="1:14" s="7" customFormat="1" ht="17.25" hidden="1" customHeight="1" outlineLevel="1" x14ac:dyDescent="0.15">
      <c r="A2586" s="2"/>
      <c r="B2586" s="327" t="s">
        <v>15</v>
      </c>
      <c r="C2586" s="328"/>
      <c r="D2586" s="328"/>
      <c r="E2586" s="328"/>
      <c r="F2586" s="328"/>
      <c r="G2586" s="329"/>
    </row>
    <row r="2587" spans="1:14" ht="17.25" hidden="1" customHeight="1" outlineLevel="1" thickBot="1" x14ac:dyDescent="0.2">
      <c r="A2587" s="2"/>
      <c r="B2587" s="24"/>
      <c r="C2587" s="9"/>
      <c r="D2587" s="9"/>
      <c r="E2587" s="9"/>
      <c r="F2587" s="9"/>
      <c r="G2587" s="11"/>
    </row>
    <row r="2588" spans="1:14" s="7" customFormat="1" ht="17.25" hidden="1" customHeight="1" outlineLevel="1" thickBot="1" x14ac:dyDescent="0.2">
      <c r="A2588" s="1"/>
      <c r="B2588" s="1"/>
      <c r="C2588" s="1"/>
      <c r="D2588" s="1"/>
      <c r="E2588" s="1"/>
      <c r="F2588" s="1"/>
      <c r="G2588" s="1"/>
    </row>
    <row r="2589" spans="1:14" s="7" customFormat="1" ht="17.25" customHeight="1" collapsed="1" thickBot="1" x14ac:dyDescent="0.2">
      <c r="A2589" s="2"/>
      <c r="B2589" s="3" t="s">
        <v>563</v>
      </c>
      <c r="C2589" s="4" t="s">
        <v>667</v>
      </c>
      <c r="D2589" s="5" t="s">
        <v>515</v>
      </c>
      <c r="E2589" s="21" t="s">
        <v>1019</v>
      </c>
      <c r="F2589" s="5" t="s">
        <v>567</v>
      </c>
      <c r="G2589" s="6" t="s">
        <v>1618</v>
      </c>
    </row>
    <row r="2590" spans="1:14" s="7" customFormat="1" ht="18" hidden="1" outlineLevel="1" thickBot="1" x14ac:dyDescent="0.2">
      <c r="A2590" s="2"/>
      <c r="B2590" s="34" t="s">
        <v>570</v>
      </c>
      <c r="C2590" s="18"/>
      <c r="D2590" s="35" t="s">
        <v>568</v>
      </c>
      <c r="E2590" s="18" t="s">
        <v>615</v>
      </c>
      <c r="F2590" s="35"/>
      <c r="G2590" s="19"/>
    </row>
    <row r="2591" spans="1:14" s="7" customFormat="1" hidden="1" outlineLevel="1" x14ac:dyDescent="0.15">
      <c r="A2591" s="2"/>
      <c r="B2591" s="3" t="s">
        <v>0</v>
      </c>
      <c r="C2591" s="5" t="s">
        <v>1</v>
      </c>
      <c r="D2591" s="5" t="s">
        <v>2</v>
      </c>
      <c r="E2591" s="5"/>
      <c r="F2591" s="5" t="s">
        <v>3</v>
      </c>
      <c r="G2591" s="36" t="s">
        <v>4</v>
      </c>
    </row>
    <row r="2592" spans="1:14" s="7" customFormat="1" hidden="1" outlineLevel="1" x14ac:dyDescent="0.15">
      <c r="A2592" s="2"/>
      <c r="B2592" s="20" t="s">
        <v>16</v>
      </c>
      <c r="C2592" s="21" t="s">
        <v>1163</v>
      </c>
      <c r="D2592" s="21" t="s">
        <v>211</v>
      </c>
      <c r="E2592" s="21">
        <v>0</v>
      </c>
      <c r="F2592" s="21"/>
      <c r="G2592" s="22" t="s">
        <v>1077</v>
      </c>
    </row>
    <row r="2593" spans="1:7" s="7" customFormat="1" hidden="1" outlineLevel="1" x14ac:dyDescent="0.15">
      <c r="A2593" s="2"/>
      <c r="B2593" s="20" t="s">
        <v>111</v>
      </c>
      <c r="C2593" s="21" t="s">
        <v>1164</v>
      </c>
      <c r="D2593" s="21" t="s">
        <v>211</v>
      </c>
      <c r="E2593" s="21">
        <v>0</v>
      </c>
      <c r="F2593" s="21"/>
      <c r="G2593" s="22" t="s">
        <v>1165</v>
      </c>
    </row>
    <row r="2594" spans="1:7" s="7" customFormat="1" hidden="1" outlineLevel="1" x14ac:dyDescent="0.15">
      <c r="A2594" s="2"/>
      <c r="B2594" s="20" t="s">
        <v>123</v>
      </c>
      <c r="C2594" s="21" t="s">
        <v>1133</v>
      </c>
      <c r="D2594" s="21" t="s">
        <v>211</v>
      </c>
      <c r="E2594" s="21">
        <v>0</v>
      </c>
      <c r="F2594" s="21"/>
      <c r="G2594" s="22" t="s">
        <v>1182</v>
      </c>
    </row>
    <row r="2595" spans="1:7" s="7" customFormat="1" hidden="1" outlineLevel="1" x14ac:dyDescent="0.15">
      <c r="A2595" s="2"/>
      <c r="B2595" s="20" t="s">
        <v>113</v>
      </c>
      <c r="C2595" s="21" t="s">
        <v>1187</v>
      </c>
      <c r="D2595" s="21" t="s">
        <v>211</v>
      </c>
      <c r="E2595" s="21">
        <v>0</v>
      </c>
      <c r="F2595" s="21"/>
      <c r="G2595" s="22"/>
    </row>
    <row r="2596" spans="1:7" s="7" customFormat="1" hidden="1" outlineLevel="1" x14ac:dyDescent="0.15">
      <c r="A2596" s="2"/>
      <c r="B2596" s="20" t="s">
        <v>7</v>
      </c>
      <c r="C2596" s="21" t="s">
        <v>1190</v>
      </c>
      <c r="D2596" s="21" t="s">
        <v>211</v>
      </c>
      <c r="E2596" s="21">
        <v>0</v>
      </c>
      <c r="F2596" s="21"/>
      <c r="G2596" s="22" t="s">
        <v>1081</v>
      </c>
    </row>
    <row r="2597" spans="1:7" s="7" customFormat="1" hidden="1" outlineLevel="1" x14ac:dyDescent="0.15">
      <c r="A2597" s="2"/>
      <c r="B2597" s="20" t="s">
        <v>114</v>
      </c>
      <c r="C2597" s="21" t="s">
        <v>1155</v>
      </c>
      <c r="D2597" s="21" t="s">
        <v>211</v>
      </c>
      <c r="E2597" s="21">
        <v>0</v>
      </c>
      <c r="F2597" s="21"/>
      <c r="G2597" s="22"/>
    </row>
    <row r="2598" spans="1:7" s="7" customFormat="1" hidden="1" outlineLevel="1" x14ac:dyDescent="0.15">
      <c r="A2598" s="2"/>
      <c r="B2598" s="20" t="s">
        <v>118</v>
      </c>
      <c r="C2598" s="21" t="s">
        <v>1188</v>
      </c>
      <c r="D2598" s="21" t="s">
        <v>211</v>
      </c>
      <c r="E2598" s="21">
        <v>0</v>
      </c>
      <c r="F2598" s="21"/>
      <c r="G2598" s="22"/>
    </row>
    <row r="2599" spans="1:7" s="7" customFormat="1" hidden="1" outlineLevel="1" x14ac:dyDescent="0.15">
      <c r="A2599" s="2"/>
      <c r="B2599" s="20" t="s">
        <v>8</v>
      </c>
      <c r="C2599" s="21" t="s">
        <v>1193</v>
      </c>
      <c r="D2599" s="21" t="s">
        <v>1087</v>
      </c>
      <c r="E2599" s="21">
        <v>0</v>
      </c>
      <c r="F2599" s="21"/>
      <c r="G2599" s="22" t="s">
        <v>1194</v>
      </c>
    </row>
    <row r="2600" spans="1:7" s="7" customFormat="1" hidden="1" outlineLevel="1" x14ac:dyDescent="0.15">
      <c r="A2600" s="2"/>
      <c r="B2600" s="20" t="s">
        <v>9</v>
      </c>
      <c r="C2600" s="21" t="s">
        <v>1195</v>
      </c>
      <c r="D2600" s="21" t="s">
        <v>1087</v>
      </c>
      <c r="E2600" s="21">
        <v>0</v>
      </c>
      <c r="F2600" s="21"/>
      <c r="G2600" s="22" t="s">
        <v>1196</v>
      </c>
    </row>
    <row r="2601" spans="1:7" s="7" customFormat="1" hidden="1" outlineLevel="1" x14ac:dyDescent="0.15">
      <c r="A2601" s="2"/>
      <c r="B2601" s="20" t="s">
        <v>76</v>
      </c>
      <c r="C2601" s="21" t="s">
        <v>1118</v>
      </c>
      <c r="D2601" s="21" t="s">
        <v>1087</v>
      </c>
      <c r="E2601" s="21">
        <v>0</v>
      </c>
      <c r="F2601" s="21"/>
      <c r="G2601" s="22"/>
    </row>
    <row r="2602" spans="1:7" s="7" customFormat="1" hidden="1" outlineLevel="1" x14ac:dyDescent="0.15">
      <c r="A2602" s="2"/>
      <c r="B2602" s="20" t="s">
        <v>77</v>
      </c>
      <c r="C2602" s="21" t="s">
        <v>1336</v>
      </c>
      <c r="D2602" s="21" t="s">
        <v>1087</v>
      </c>
      <c r="E2602" s="21">
        <v>0</v>
      </c>
      <c r="F2602" s="21"/>
      <c r="G2602" s="22"/>
    </row>
    <row r="2603" spans="1:7" s="7" customFormat="1" ht="18.75" hidden="1" customHeight="1" outlineLevel="1" thickBot="1" x14ac:dyDescent="0.2">
      <c r="A2603" s="2"/>
      <c r="B2603" s="24"/>
      <c r="C2603" s="9"/>
      <c r="D2603" s="9"/>
      <c r="E2603" s="9"/>
      <c r="F2603" s="9"/>
      <c r="G2603" s="11"/>
    </row>
    <row r="2604" spans="1:7" s="7" customFormat="1" hidden="1" outlineLevel="1" x14ac:dyDescent="0.15">
      <c r="A2604" s="2"/>
      <c r="B2604" s="327" t="s">
        <v>15</v>
      </c>
      <c r="C2604" s="328"/>
      <c r="D2604" s="328"/>
      <c r="E2604" s="328"/>
      <c r="F2604" s="328"/>
      <c r="G2604" s="329"/>
    </row>
    <row r="2605" spans="1:7" s="7" customFormat="1" hidden="1" outlineLevel="1" x14ac:dyDescent="0.15">
      <c r="A2605" s="2" t="s">
        <v>62</v>
      </c>
      <c r="B2605" s="20">
        <v>1</v>
      </c>
      <c r="C2605" s="21" t="s">
        <v>123</v>
      </c>
      <c r="D2605" s="21" t="s">
        <v>113</v>
      </c>
      <c r="E2605" s="21" t="s">
        <v>114</v>
      </c>
      <c r="F2605" s="21" t="s">
        <v>118</v>
      </c>
      <c r="G2605" s="22"/>
    </row>
    <row r="2606" spans="1:7" s="7" customFormat="1" hidden="1" outlineLevel="1" x14ac:dyDescent="0.15">
      <c r="A2606" s="2"/>
      <c r="B2606" s="20"/>
      <c r="C2606" s="23"/>
      <c r="D2606" s="21"/>
      <c r="E2606" s="21"/>
      <c r="F2606" s="21"/>
      <c r="G2606" s="22"/>
    </row>
    <row r="2607" spans="1:7" s="7" customFormat="1" hidden="1" outlineLevel="1" x14ac:dyDescent="0.15">
      <c r="A2607" s="2"/>
    </row>
    <row r="2608" spans="1:7" s="7" customFormat="1" ht="18" hidden="1" outlineLevel="1" thickBot="1" x14ac:dyDescent="0.2">
      <c r="A2608" s="2"/>
    </row>
    <row r="2609" spans="1:7" s="7" customFormat="1" ht="18" collapsed="1" thickBot="1" x14ac:dyDescent="0.2">
      <c r="A2609" s="2"/>
      <c r="B2609" s="3" t="s">
        <v>563</v>
      </c>
      <c r="C2609" s="4" t="s">
        <v>668</v>
      </c>
      <c r="D2609" s="5" t="s">
        <v>515</v>
      </c>
      <c r="E2609" s="21" t="s">
        <v>596</v>
      </c>
      <c r="F2609" s="5" t="s">
        <v>567</v>
      </c>
      <c r="G2609" s="6" t="s">
        <v>1618</v>
      </c>
    </row>
    <row r="2610" spans="1:7" s="7" customFormat="1" ht="18" hidden="1" outlineLevel="1" thickBot="1" x14ac:dyDescent="0.2">
      <c r="A2610" s="2"/>
      <c r="B2610" s="8" t="s">
        <v>570</v>
      </c>
      <c r="C2610" s="9"/>
      <c r="D2610" s="10" t="s">
        <v>568</v>
      </c>
      <c r="E2610" s="9" t="s">
        <v>615</v>
      </c>
      <c r="F2610" s="10"/>
      <c r="G2610" s="11"/>
    </row>
    <row r="2611" spans="1:7" s="7" customFormat="1" hidden="1" outlineLevel="1" x14ac:dyDescent="0.15">
      <c r="A2611" s="2"/>
      <c r="B2611" s="12" t="s">
        <v>0</v>
      </c>
      <c r="C2611" s="13" t="s">
        <v>1</v>
      </c>
      <c r="D2611" s="13" t="s">
        <v>2</v>
      </c>
      <c r="E2611" s="13"/>
      <c r="F2611" s="13" t="s">
        <v>3</v>
      </c>
      <c r="G2611" s="13" t="s">
        <v>4</v>
      </c>
    </row>
    <row r="2612" spans="1:7" s="7" customFormat="1" hidden="1" outlineLevel="1" x14ac:dyDescent="0.15">
      <c r="A2612" s="2"/>
      <c r="B2612" s="14" t="s">
        <v>5</v>
      </c>
      <c r="C2612" s="15" t="s">
        <v>1127</v>
      </c>
      <c r="D2612" s="15" t="s">
        <v>211</v>
      </c>
      <c r="E2612" s="15" t="s">
        <v>1141</v>
      </c>
      <c r="F2612" s="15"/>
      <c r="G2612" s="16" t="s">
        <v>1162</v>
      </c>
    </row>
    <row r="2613" spans="1:7" s="7" customFormat="1" hidden="1" outlineLevel="1" x14ac:dyDescent="0.15">
      <c r="A2613" s="2"/>
      <c r="B2613" s="20" t="s">
        <v>16</v>
      </c>
      <c r="C2613" s="21" t="s">
        <v>1163</v>
      </c>
      <c r="D2613" s="21" t="s">
        <v>211</v>
      </c>
      <c r="E2613" s="21">
        <v>0</v>
      </c>
      <c r="F2613" s="21"/>
      <c r="G2613" s="22" t="s">
        <v>1077</v>
      </c>
    </row>
    <row r="2614" spans="1:7" s="7" customFormat="1" hidden="1" outlineLevel="1" x14ac:dyDescent="0.15">
      <c r="A2614" s="2"/>
      <c r="B2614" s="20" t="s">
        <v>111</v>
      </c>
      <c r="C2614" s="21" t="s">
        <v>1164</v>
      </c>
      <c r="D2614" s="21" t="s">
        <v>211</v>
      </c>
      <c r="E2614" s="21">
        <v>0</v>
      </c>
      <c r="F2614" s="21"/>
      <c r="G2614" s="22" t="s">
        <v>1165</v>
      </c>
    </row>
    <row r="2615" spans="1:7" s="7" customFormat="1" hidden="1" outlineLevel="1" x14ac:dyDescent="0.15">
      <c r="A2615" s="2"/>
      <c r="B2615" s="20" t="s">
        <v>123</v>
      </c>
      <c r="C2615" s="21" t="s">
        <v>1133</v>
      </c>
      <c r="D2615" s="21" t="s">
        <v>211</v>
      </c>
      <c r="E2615" s="21">
        <v>0</v>
      </c>
      <c r="F2615" s="21"/>
      <c r="G2615" s="22" t="s">
        <v>1182</v>
      </c>
    </row>
    <row r="2616" spans="1:7" s="7" customFormat="1" hidden="1" outlineLevel="1" x14ac:dyDescent="0.15">
      <c r="A2616" s="2"/>
      <c r="B2616" s="20" t="s">
        <v>113</v>
      </c>
      <c r="C2616" s="21" t="s">
        <v>1187</v>
      </c>
      <c r="D2616" s="21" t="s">
        <v>211</v>
      </c>
      <c r="E2616" s="21">
        <v>0</v>
      </c>
      <c r="F2616" s="21"/>
      <c r="G2616" s="22"/>
    </row>
    <row r="2617" spans="1:7" s="7" customFormat="1" hidden="1" outlineLevel="1" x14ac:dyDescent="0.15">
      <c r="A2617" s="2"/>
      <c r="B2617" s="20" t="s">
        <v>7</v>
      </c>
      <c r="C2617" s="21" t="s">
        <v>1190</v>
      </c>
      <c r="D2617" s="21" t="s">
        <v>211</v>
      </c>
      <c r="E2617" s="21">
        <v>0</v>
      </c>
      <c r="F2617" s="21"/>
      <c r="G2617" s="22" t="s">
        <v>1081</v>
      </c>
    </row>
    <row r="2618" spans="1:7" s="7" customFormat="1" hidden="1" outlineLevel="1" x14ac:dyDescent="0.15">
      <c r="A2618" s="2"/>
      <c r="B2618" s="20" t="s">
        <v>114</v>
      </c>
      <c r="C2618" s="21" t="s">
        <v>1155</v>
      </c>
      <c r="D2618" s="21" t="s">
        <v>211</v>
      </c>
      <c r="E2618" s="21">
        <v>0</v>
      </c>
      <c r="F2618" s="21"/>
      <c r="G2618" s="22"/>
    </row>
    <row r="2619" spans="1:7" s="7" customFormat="1" hidden="1" outlineLevel="1" x14ac:dyDescent="0.15">
      <c r="A2619" s="2"/>
      <c r="B2619" s="20" t="s">
        <v>118</v>
      </c>
      <c r="C2619" s="21" t="s">
        <v>1188</v>
      </c>
      <c r="D2619" s="21" t="s">
        <v>211</v>
      </c>
      <c r="E2619" s="21">
        <v>0</v>
      </c>
      <c r="F2619" s="21"/>
      <c r="G2619" s="22"/>
    </row>
    <row r="2620" spans="1:7" s="7" customFormat="1" hidden="1" outlineLevel="1" x14ac:dyDescent="0.15">
      <c r="A2620" s="2"/>
      <c r="B2620" s="20" t="s">
        <v>8</v>
      </c>
      <c r="C2620" s="21" t="s">
        <v>1193</v>
      </c>
      <c r="D2620" s="21" t="s">
        <v>1087</v>
      </c>
      <c r="E2620" s="21">
        <v>0</v>
      </c>
      <c r="F2620" s="21"/>
      <c r="G2620" s="22" t="s">
        <v>1194</v>
      </c>
    </row>
    <row r="2621" spans="1:7" s="7" customFormat="1" hidden="1" outlineLevel="1" x14ac:dyDescent="0.15">
      <c r="A2621" s="2"/>
      <c r="B2621" s="20" t="s">
        <v>9</v>
      </c>
      <c r="C2621" s="21" t="s">
        <v>1195</v>
      </c>
      <c r="D2621" s="21" t="s">
        <v>1087</v>
      </c>
      <c r="E2621" s="21">
        <v>0</v>
      </c>
      <c r="F2621" s="21"/>
      <c r="G2621" s="22" t="s">
        <v>1196</v>
      </c>
    </row>
    <row r="2622" spans="1:7" s="7" customFormat="1" hidden="1" outlineLevel="1" x14ac:dyDescent="0.15">
      <c r="A2622" s="2"/>
      <c r="B2622" s="20" t="s">
        <v>76</v>
      </c>
      <c r="C2622" s="21" t="s">
        <v>1118</v>
      </c>
      <c r="D2622" s="21" t="s">
        <v>1087</v>
      </c>
      <c r="E2622" s="21">
        <v>0</v>
      </c>
      <c r="F2622" s="21"/>
      <c r="G2622" s="22"/>
    </row>
    <row r="2623" spans="1:7" s="7" customFormat="1" hidden="1" outlineLevel="1" x14ac:dyDescent="0.15">
      <c r="A2623" s="2"/>
      <c r="B2623" s="20" t="s">
        <v>77</v>
      </c>
      <c r="C2623" s="21" t="s">
        <v>1336</v>
      </c>
      <c r="D2623" s="21" t="s">
        <v>1087</v>
      </c>
      <c r="E2623" s="21">
        <v>0</v>
      </c>
      <c r="F2623" s="21"/>
      <c r="G2623" s="22"/>
    </row>
    <row r="2624" spans="1:7" s="7" customFormat="1" ht="18" hidden="1" outlineLevel="1" thickBot="1" x14ac:dyDescent="0.2">
      <c r="A2624" s="2"/>
      <c r="B2624" s="17"/>
      <c r="C2624" s="18"/>
      <c r="D2624" s="18"/>
      <c r="E2624" s="18"/>
      <c r="F2624" s="18"/>
      <c r="G2624" s="19"/>
    </row>
    <row r="2625" spans="1:7" s="7" customFormat="1" hidden="1" outlineLevel="1" x14ac:dyDescent="0.15">
      <c r="A2625" s="2"/>
      <c r="B2625" s="327" t="s">
        <v>15</v>
      </c>
      <c r="C2625" s="328"/>
      <c r="D2625" s="328"/>
      <c r="E2625" s="328"/>
      <c r="F2625" s="328"/>
      <c r="G2625" s="329"/>
    </row>
    <row r="2626" spans="1:7" s="7" customFormat="1" hidden="1" outlineLevel="1" x14ac:dyDescent="0.15">
      <c r="A2626" s="2" t="s">
        <v>62</v>
      </c>
      <c r="B2626" s="20">
        <v>1</v>
      </c>
      <c r="C2626" s="21" t="s">
        <v>22</v>
      </c>
      <c r="D2626" s="21" t="s">
        <v>123</v>
      </c>
      <c r="E2626" s="21" t="s">
        <v>113</v>
      </c>
      <c r="F2626" s="21" t="s">
        <v>114</v>
      </c>
      <c r="G2626" s="21" t="s">
        <v>118</v>
      </c>
    </row>
    <row r="2627" spans="1:7" s="2" customFormat="1" hidden="1" outlineLevel="1" x14ac:dyDescent="0.15">
      <c r="B2627" s="20"/>
      <c r="C2627" s="23"/>
      <c r="D2627" s="21"/>
      <c r="E2627" s="21"/>
      <c r="F2627" s="21"/>
      <c r="G2627" s="22"/>
    </row>
    <row r="2628" spans="1:7" s="2" customFormat="1" hidden="1" outlineLevel="1" x14ac:dyDescent="0.15"/>
    <row r="2629" spans="1:7" s="7" customFormat="1" ht="18" hidden="1" outlineLevel="1" thickBot="1" x14ac:dyDescent="0.2">
      <c r="A2629" s="2"/>
      <c r="B2629" s="2"/>
      <c r="C2629" s="2"/>
      <c r="D2629" s="2"/>
      <c r="E2629" s="2"/>
      <c r="F2629" s="2"/>
      <c r="G2629" s="2"/>
    </row>
    <row r="2630" spans="1:7" s="7" customFormat="1" ht="18" collapsed="1" thickBot="1" x14ac:dyDescent="0.2">
      <c r="A2630" s="2"/>
      <c r="B2630" s="3" t="s">
        <v>563</v>
      </c>
      <c r="C2630" s="4" t="s">
        <v>578</v>
      </c>
      <c r="D2630" s="5" t="s">
        <v>515</v>
      </c>
      <c r="E2630" s="21" t="s">
        <v>1015</v>
      </c>
      <c r="F2630" s="5" t="s">
        <v>567</v>
      </c>
      <c r="G2630" s="6" t="s">
        <v>1619</v>
      </c>
    </row>
    <row r="2631" spans="1:7" s="7" customFormat="1" ht="18" hidden="1" outlineLevel="1" thickBot="1" x14ac:dyDescent="0.2">
      <c r="A2631" s="2"/>
      <c r="B2631" s="34" t="s">
        <v>570</v>
      </c>
      <c r="C2631" s="18"/>
      <c r="D2631" s="35" t="s">
        <v>568</v>
      </c>
      <c r="E2631" s="18" t="s">
        <v>615</v>
      </c>
      <c r="F2631" s="35"/>
      <c r="G2631" s="19"/>
    </row>
    <row r="2632" spans="1:7" s="7" customFormat="1" hidden="1" outlineLevel="1" x14ac:dyDescent="0.15">
      <c r="A2632" s="2"/>
      <c r="B2632" s="3" t="s">
        <v>0</v>
      </c>
      <c r="C2632" s="5" t="s">
        <v>1</v>
      </c>
      <c r="D2632" s="5" t="s">
        <v>2</v>
      </c>
      <c r="E2632" s="5"/>
      <c r="F2632" s="5" t="s">
        <v>3</v>
      </c>
      <c r="G2632" s="36" t="s">
        <v>4</v>
      </c>
    </row>
    <row r="2633" spans="1:7" s="7" customFormat="1" hidden="1" outlineLevel="1" x14ac:dyDescent="0.15">
      <c r="A2633" s="2"/>
      <c r="B2633" s="20" t="s">
        <v>6</v>
      </c>
      <c r="C2633" s="21" t="s">
        <v>1163</v>
      </c>
      <c r="D2633" s="21" t="s">
        <v>211</v>
      </c>
      <c r="E2633" s="21">
        <v>0</v>
      </c>
      <c r="F2633" s="21"/>
      <c r="G2633" s="22" t="s">
        <v>1077</v>
      </c>
    </row>
    <row r="2634" spans="1:7" s="7" customFormat="1" hidden="1" outlineLevel="1" x14ac:dyDescent="0.15">
      <c r="A2634" s="2"/>
      <c r="B2634" s="20" t="s">
        <v>111</v>
      </c>
      <c r="C2634" s="21" t="s">
        <v>1164</v>
      </c>
      <c r="D2634" s="21" t="s">
        <v>211</v>
      </c>
      <c r="E2634" s="21">
        <v>0</v>
      </c>
      <c r="F2634" s="21"/>
      <c r="G2634" s="22" t="s">
        <v>1165</v>
      </c>
    </row>
    <row r="2635" spans="1:7" s="7" customFormat="1" hidden="1" outlineLevel="1" x14ac:dyDescent="0.15">
      <c r="A2635" s="2"/>
      <c r="B2635" s="20" t="s">
        <v>113</v>
      </c>
      <c r="C2635" s="21" t="s">
        <v>1187</v>
      </c>
      <c r="D2635" s="21" t="s">
        <v>211</v>
      </c>
      <c r="E2635" s="21">
        <v>0</v>
      </c>
      <c r="F2635" s="21"/>
      <c r="G2635" s="22"/>
    </row>
    <row r="2636" spans="1:7" s="7" customFormat="1" hidden="1" outlineLevel="1" x14ac:dyDescent="0.15">
      <c r="A2636" s="2"/>
      <c r="B2636" s="20" t="s">
        <v>7</v>
      </c>
      <c r="C2636" s="21" t="s">
        <v>1190</v>
      </c>
      <c r="D2636" s="21" t="s">
        <v>211</v>
      </c>
      <c r="E2636" s="21">
        <v>0</v>
      </c>
      <c r="F2636" s="21"/>
      <c r="G2636" s="22" t="s">
        <v>1081</v>
      </c>
    </row>
    <row r="2637" spans="1:7" s="7" customFormat="1" hidden="1" outlineLevel="1" x14ac:dyDescent="0.15">
      <c r="A2637" s="2"/>
      <c r="B2637" s="20" t="s">
        <v>114</v>
      </c>
      <c r="C2637" s="21" t="s">
        <v>1155</v>
      </c>
      <c r="D2637" s="21" t="s">
        <v>211</v>
      </c>
      <c r="E2637" s="21">
        <v>0</v>
      </c>
      <c r="F2637" s="21"/>
      <c r="G2637" s="22"/>
    </row>
    <row r="2638" spans="1:7" s="7" customFormat="1" hidden="1" outlineLevel="1" x14ac:dyDescent="0.15">
      <c r="A2638" s="2"/>
      <c r="B2638" s="20" t="s">
        <v>118</v>
      </c>
      <c r="C2638" s="21" t="s">
        <v>1188</v>
      </c>
      <c r="D2638" s="21" t="s">
        <v>211</v>
      </c>
      <c r="E2638" s="21">
        <v>0</v>
      </c>
      <c r="F2638" s="21"/>
      <c r="G2638" s="22"/>
    </row>
    <row r="2639" spans="1:7" s="7" customFormat="1" hidden="1" outlineLevel="1" x14ac:dyDescent="0.15">
      <c r="A2639" s="2"/>
      <c r="B2639" s="20" t="s">
        <v>93</v>
      </c>
      <c r="C2639" s="21" t="s">
        <v>1189</v>
      </c>
      <c r="D2639" s="21" t="s">
        <v>211</v>
      </c>
      <c r="E2639" s="21">
        <v>0</v>
      </c>
      <c r="F2639" s="21"/>
      <c r="G2639" s="22"/>
    </row>
    <row r="2640" spans="1:7" s="7" customFormat="1" hidden="1" outlineLevel="1" x14ac:dyDescent="0.15">
      <c r="A2640" s="2"/>
      <c r="B2640" s="20" t="s">
        <v>41</v>
      </c>
      <c r="C2640" s="21" t="s">
        <v>1258</v>
      </c>
      <c r="D2640" s="21" t="s">
        <v>211</v>
      </c>
      <c r="E2640" s="21">
        <v>0</v>
      </c>
      <c r="F2640" s="21"/>
      <c r="G2640" s="22" t="s">
        <v>1259</v>
      </c>
    </row>
    <row r="2641" spans="1:7" s="7" customFormat="1" hidden="1" outlineLevel="1" x14ac:dyDescent="0.15">
      <c r="A2641" s="2"/>
      <c r="B2641" s="20" t="s">
        <v>8</v>
      </c>
      <c r="C2641" s="21" t="s">
        <v>1193</v>
      </c>
      <c r="D2641" s="21" t="s">
        <v>1087</v>
      </c>
      <c r="E2641" s="21">
        <v>0</v>
      </c>
      <c r="F2641" s="21"/>
      <c r="G2641" s="22" t="s">
        <v>1194</v>
      </c>
    </row>
    <row r="2642" spans="1:7" s="7" customFormat="1" hidden="1" outlineLevel="1" x14ac:dyDescent="0.15">
      <c r="A2642" s="2"/>
      <c r="B2642" s="20" t="s">
        <v>9</v>
      </c>
      <c r="C2642" s="21" t="s">
        <v>1195</v>
      </c>
      <c r="D2642" s="21" t="s">
        <v>1087</v>
      </c>
      <c r="E2642" s="21">
        <v>0</v>
      </c>
      <c r="F2642" s="21"/>
      <c r="G2642" s="22" t="s">
        <v>1196</v>
      </c>
    </row>
    <row r="2643" spans="1:7" s="7" customFormat="1" hidden="1" outlineLevel="1" x14ac:dyDescent="0.15">
      <c r="A2643" s="2"/>
      <c r="B2643" s="20" t="s">
        <v>10</v>
      </c>
      <c r="C2643" s="21" t="s">
        <v>1197</v>
      </c>
      <c r="D2643" s="21" t="s">
        <v>1087</v>
      </c>
      <c r="E2643" s="21">
        <v>0</v>
      </c>
      <c r="F2643" s="21"/>
      <c r="G2643" s="22" t="s">
        <v>1144</v>
      </c>
    </row>
    <row r="2644" spans="1:7" s="7" customFormat="1" hidden="1" outlineLevel="1" x14ac:dyDescent="0.15">
      <c r="A2644" s="2"/>
      <c r="B2644" s="20" t="s">
        <v>11</v>
      </c>
      <c r="C2644" s="21" t="s">
        <v>1198</v>
      </c>
      <c r="D2644" s="21" t="s">
        <v>1087</v>
      </c>
      <c r="E2644" s="21">
        <v>0</v>
      </c>
      <c r="F2644" s="21"/>
      <c r="G2644" s="22" t="s">
        <v>1080</v>
      </c>
    </row>
    <row r="2645" spans="1:7" s="7" customFormat="1" hidden="1" outlineLevel="1" x14ac:dyDescent="0.15">
      <c r="A2645" s="2"/>
      <c r="B2645" s="20" t="s">
        <v>116</v>
      </c>
      <c r="C2645" s="21" t="s">
        <v>1213</v>
      </c>
      <c r="D2645" s="21" t="s">
        <v>1169</v>
      </c>
      <c r="E2645" s="21">
        <v>0</v>
      </c>
      <c r="F2645" s="21"/>
      <c r="G2645" s="22"/>
    </row>
    <row r="2646" spans="1:7" s="7" customFormat="1" hidden="1" outlineLevel="1" x14ac:dyDescent="0.15">
      <c r="A2646" s="2"/>
      <c r="B2646" s="20" t="s">
        <v>12</v>
      </c>
      <c r="C2646" s="21" t="s">
        <v>1143</v>
      </c>
      <c r="D2646" s="21" t="s">
        <v>1169</v>
      </c>
      <c r="E2646" s="21">
        <v>0</v>
      </c>
      <c r="F2646" s="21"/>
      <c r="G2646" s="22"/>
    </row>
    <row r="2647" spans="1:7" s="7" customFormat="1" hidden="1" outlineLevel="1" x14ac:dyDescent="0.15">
      <c r="A2647" s="2"/>
      <c r="B2647" s="20" t="s">
        <v>13</v>
      </c>
      <c r="C2647" s="21" t="s">
        <v>1205</v>
      </c>
      <c r="D2647" s="21" t="s">
        <v>1169</v>
      </c>
      <c r="E2647" s="21">
        <v>0</v>
      </c>
      <c r="F2647" s="21"/>
      <c r="G2647" s="22"/>
    </row>
    <row r="2648" spans="1:7" s="7" customFormat="1" hidden="1" outlineLevel="1" x14ac:dyDescent="0.15">
      <c r="A2648" s="2"/>
      <c r="B2648" s="20" t="s">
        <v>14</v>
      </c>
      <c r="C2648" s="21" t="s">
        <v>1206</v>
      </c>
      <c r="D2648" s="21" t="s">
        <v>1169</v>
      </c>
      <c r="E2648" s="21">
        <v>0</v>
      </c>
      <c r="F2648" s="21"/>
      <c r="G2648" s="22"/>
    </row>
    <row r="2649" spans="1:7" s="7" customFormat="1" ht="18" hidden="1" outlineLevel="1" thickBot="1" x14ac:dyDescent="0.2">
      <c r="A2649" s="2"/>
      <c r="B2649" s="24"/>
      <c r="C2649" s="9"/>
      <c r="D2649" s="9"/>
      <c r="E2649" s="9"/>
      <c r="F2649" s="9"/>
      <c r="G2649" s="11"/>
    </row>
    <row r="2650" spans="1:7" s="7" customFormat="1" hidden="1" outlineLevel="1" x14ac:dyDescent="0.15">
      <c r="A2650" s="2"/>
      <c r="B2650" s="327" t="s">
        <v>15</v>
      </c>
      <c r="C2650" s="328"/>
      <c r="D2650" s="328"/>
      <c r="E2650" s="328"/>
      <c r="F2650" s="328"/>
      <c r="G2650" s="329"/>
    </row>
    <row r="2651" spans="1:7" s="7" customFormat="1" hidden="1" outlineLevel="1" x14ac:dyDescent="0.15">
      <c r="A2651" s="2" t="s">
        <v>62</v>
      </c>
      <c r="B2651" s="20">
        <v>1</v>
      </c>
      <c r="C2651" s="23" t="s">
        <v>113</v>
      </c>
      <c r="D2651" s="21" t="s">
        <v>114</v>
      </c>
      <c r="E2651" s="21" t="s">
        <v>118</v>
      </c>
      <c r="F2651" s="21"/>
      <c r="G2651" s="21"/>
    </row>
    <row r="2652" spans="1:7" s="7" customFormat="1" hidden="1" outlineLevel="1" x14ac:dyDescent="0.15">
      <c r="A2652" s="2"/>
      <c r="B2652" s="17">
        <v>2</v>
      </c>
      <c r="C2652" s="37" t="s">
        <v>16</v>
      </c>
      <c r="D2652" s="18" t="s">
        <v>111</v>
      </c>
      <c r="E2652" s="18" t="s">
        <v>18</v>
      </c>
      <c r="F2652" s="18"/>
      <c r="G2652" s="38"/>
    </row>
    <row r="2653" spans="1:7" s="7" customFormat="1" ht="18" hidden="1" outlineLevel="1" thickBot="1" x14ac:dyDescent="0.2">
      <c r="A2653" s="2"/>
      <c r="B2653" s="24"/>
      <c r="C2653" s="9"/>
      <c r="D2653" s="9"/>
      <c r="E2653" s="9"/>
      <c r="F2653" s="9"/>
      <c r="G2653" s="11"/>
    </row>
    <row r="2654" spans="1:7" s="7" customFormat="1" hidden="1" outlineLevel="1" x14ac:dyDescent="0.15">
      <c r="A2654" s="2"/>
    </row>
    <row r="2655" spans="1:7" s="7" customFormat="1" ht="18" hidden="1" outlineLevel="1" thickBot="1" x14ac:dyDescent="0.2">
      <c r="A2655" s="2"/>
    </row>
    <row r="2656" spans="1:7" s="7" customFormat="1" ht="18" collapsed="1" thickBot="1" x14ac:dyDescent="0.2">
      <c r="A2656" s="2"/>
      <c r="B2656" s="3" t="s">
        <v>563</v>
      </c>
      <c r="C2656" s="4" t="s">
        <v>645</v>
      </c>
      <c r="D2656" s="5" t="s">
        <v>515</v>
      </c>
      <c r="E2656" s="21" t="s">
        <v>1029</v>
      </c>
      <c r="F2656" s="5" t="s">
        <v>567</v>
      </c>
      <c r="G2656" s="6" t="s">
        <v>1619</v>
      </c>
    </row>
    <row r="2657" spans="1:7" s="7" customFormat="1" ht="18" hidden="1" outlineLevel="1" thickBot="1" x14ac:dyDescent="0.2">
      <c r="A2657" s="2"/>
      <c r="B2657" s="34" t="s">
        <v>570</v>
      </c>
      <c r="C2657" s="18"/>
      <c r="D2657" s="35" t="s">
        <v>568</v>
      </c>
      <c r="E2657" s="18" t="s">
        <v>615</v>
      </c>
      <c r="F2657" s="35"/>
      <c r="G2657" s="19"/>
    </row>
    <row r="2658" spans="1:7" s="7" customFormat="1" hidden="1" outlineLevel="1" x14ac:dyDescent="0.15">
      <c r="A2658" s="2"/>
      <c r="B2658" s="3" t="s">
        <v>0</v>
      </c>
      <c r="C2658" s="5" t="s">
        <v>1</v>
      </c>
      <c r="D2658" s="5" t="s">
        <v>2</v>
      </c>
      <c r="E2658" s="5"/>
      <c r="F2658" s="5" t="s">
        <v>3</v>
      </c>
      <c r="G2658" s="36" t="s">
        <v>4</v>
      </c>
    </row>
    <row r="2659" spans="1:7" s="7" customFormat="1" hidden="1" outlineLevel="1" x14ac:dyDescent="0.15">
      <c r="A2659" s="2"/>
      <c r="B2659" s="14" t="s">
        <v>5</v>
      </c>
      <c r="C2659" s="15" t="s">
        <v>1127</v>
      </c>
      <c r="D2659" s="15" t="s">
        <v>211</v>
      </c>
      <c r="E2659" s="15" t="s">
        <v>1141</v>
      </c>
      <c r="F2659" s="15"/>
      <c r="G2659" s="16" t="s">
        <v>1162</v>
      </c>
    </row>
    <row r="2660" spans="1:7" s="7" customFormat="1" hidden="1" outlineLevel="1" x14ac:dyDescent="0.15">
      <c r="A2660" s="2"/>
      <c r="B2660" s="20" t="s">
        <v>6</v>
      </c>
      <c r="C2660" s="21" t="s">
        <v>1163</v>
      </c>
      <c r="D2660" s="21" t="s">
        <v>211</v>
      </c>
      <c r="E2660" s="21">
        <v>0</v>
      </c>
      <c r="F2660" s="21"/>
      <c r="G2660" s="22" t="s">
        <v>1077</v>
      </c>
    </row>
    <row r="2661" spans="1:7" s="7" customFormat="1" hidden="1" outlineLevel="1" x14ac:dyDescent="0.15">
      <c r="A2661" s="2"/>
      <c r="B2661" s="20" t="s">
        <v>111</v>
      </c>
      <c r="C2661" s="21" t="s">
        <v>1164</v>
      </c>
      <c r="D2661" s="21" t="s">
        <v>211</v>
      </c>
      <c r="E2661" s="21">
        <v>0</v>
      </c>
      <c r="F2661" s="21"/>
      <c r="G2661" s="22" t="s">
        <v>1165</v>
      </c>
    </row>
    <row r="2662" spans="1:7" s="7" customFormat="1" hidden="1" outlineLevel="1" x14ac:dyDescent="0.15">
      <c r="A2662" s="2"/>
      <c r="B2662" s="20" t="s">
        <v>113</v>
      </c>
      <c r="C2662" s="21" t="s">
        <v>1187</v>
      </c>
      <c r="D2662" s="21" t="s">
        <v>211</v>
      </c>
      <c r="E2662" s="21">
        <v>0</v>
      </c>
      <c r="F2662" s="21"/>
      <c r="G2662" s="22"/>
    </row>
    <row r="2663" spans="1:7" s="7" customFormat="1" hidden="1" outlineLevel="1" x14ac:dyDescent="0.15">
      <c r="A2663" s="2"/>
      <c r="B2663" s="20" t="s">
        <v>7</v>
      </c>
      <c r="C2663" s="21" t="s">
        <v>1190</v>
      </c>
      <c r="D2663" s="21" t="s">
        <v>211</v>
      </c>
      <c r="E2663" s="21">
        <v>0</v>
      </c>
      <c r="F2663" s="21"/>
      <c r="G2663" s="22" t="s">
        <v>1081</v>
      </c>
    </row>
    <row r="2664" spans="1:7" s="7" customFormat="1" hidden="1" outlineLevel="1" x14ac:dyDescent="0.15">
      <c r="A2664" s="2"/>
      <c r="B2664" s="20" t="s">
        <v>114</v>
      </c>
      <c r="C2664" s="21" t="s">
        <v>1155</v>
      </c>
      <c r="D2664" s="21" t="s">
        <v>211</v>
      </c>
      <c r="E2664" s="21">
        <v>0</v>
      </c>
      <c r="F2664" s="21"/>
      <c r="G2664" s="22"/>
    </row>
    <row r="2665" spans="1:7" s="7" customFormat="1" hidden="1" outlineLevel="1" x14ac:dyDescent="0.15">
      <c r="A2665" s="2"/>
      <c r="B2665" s="20" t="s">
        <v>118</v>
      </c>
      <c r="C2665" s="21" t="s">
        <v>1188</v>
      </c>
      <c r="D2665" s="21" t="s">
        <v>211</v>
      </c>
      <c r="E2665" s="21">
        <v>0</v>
      </c>
      <c r="F2665" s="21"/>
      <c r="G2665" s="22"/>
    </row>
    <row r="2666" spans="1:7" s="7" customFormat="1" hidden="1" outlineLevel="1" x14ac:dyDescent="0.15">
      <c r="A2666" s="2"/>
      <c r="B2666" s="20" t="s">
        <v>93</v>
      </c>
      <c r="C2666" s="21" t="s">
        <v>1189</v>
      </c>
      <c r="D2666" s="21" t="s">
        <v>211</v>
      </c>
      <c r="E2666" s="21">
        <v>0</v>
      </c>
      <c r="F2666" s="21"/>
      <c r="G2666" s="22"/>
    </row>
    <row r="2667" spans="1:7" s="7" customFormat="1" hidden="1" outlineLevel="1" x14ac:dyDescent="0.15">
      <c r="A2667" s="2"/>
      <c r="B2667" s="20" t="s">
        <v>41</v>
      </c>
      <c r="C2667" s="21" t="s">
        <v>1258</v>
      </c>
      <c r="D2667" s="21" t="s">
        <v>211</v>
      </c>
      <c r="E2667" s="21">
        <v>0</v>
      </c>
      <c r="F2667" s="21"/>
      <c r="G2667" s="22" t="s">
        <v>1259</v>
      </c>
    </row>
    <row r="2668" spans="1:7" s="7" customFormat="1" hidden="1" outlineLevel="1" x14ac:dyDescent="0.15">
      <c r="A2668" s="2"/>
      <c r="B2668" s="20" t="s">
        <v>8</v>
      </c>
      <c r="C2668" s="21" t="s">
        <v>1193</v>
      </c>
      <c r="D2668" s="21" t="s">
        <v>1087</v>
      </c>
      <c r="E2668" s="21">
        <v>0</v>
      </c>
      <c r="F2668" s="21"/>
      <c r="G2668" s="22" t="s">
        <v>1194</v>
      </c>
    </row>
    <row r="2669" spans="1:7" s="7" customFormat="1" hidden="1" outlineLevel="1" x14ac:dyDescent="0.15">
      <c r="A2669" s="2"/>
      <c r="B2669" s="20" t="s">
        <v>9</v>
      </c>
      <c r="C2669" s="21" t="s">
        <v>1195</v>
      </c>
      <c r="D2669" s="21" t="s">
        <v>1087</v>
      </c>
      <c r="E2669" s="21">
        <v>0</v>
      </c>
      <c r="F2669" s="21"/>
      <c r="G2669" s="22" t="s">
        <v>1196</v>
      </c>
    </row>
    <row r="2670" spans="1:7" s="7" customFormat="1" hidden="1" outlineLevel="1" x14ac:dyDescent="0.15">
      <c r="A2670" s="2"/>
      <c r="B2670" s="20" t="s">
        <v>10</v>
      </c>
      <c r="C2670" s="21" t="s">
        <v>1197</v>
      </c>
      <c r="D2670" s="21" t="s">
        <v>1087</v>
      </c>
      <c r="E2670" s="21">
        <v>0</v>
      </c>
      <c r="F2670" s="21"/>
      <c r="G2670" s="22" t="s">
        <v>1144</v>
      </c>
    </row>
    <row r="2671" spans="1:7" s="7" customFormat="1" hidden="1" outlineLevel="1" x14ac:dyDescent="0.15">
      <c r="A2671" s="2"/>
      <c r="B2671" s="20" t="s">
        <v>11</v>
      </c>
      <c r="C2671" s="21" t="s">
        <v>1198</v>
      </c>
      <c r="D2671" s="21" t="s">
        <v>1087</v>
      </c>
      <c r="E2671" s="21">
        <v>0</v>
      </c>
      <c r="F2671" s="21"/>
      <c r="G2671" s="22" t="s">
        <v>1080</v>
      </c>
    </row>
    <row r="2672" spans="1:7" s="7" customFormat="1" hidden="1" outlineLevel="1" x14ac:dyDescent="0.15">
      <c r="A2672" s="2"/>
      <c r="B2672" s="20" t="s">
        <v>116</v>
      </c>
      <c r="C2672" s="21" t="s">
        <v>1213</v>
      </c>
      <c r="D2672" s="21" t="s">
        <v>1169</v>
      </c>
      <c r="E2672" s="21">
        <v>0</v>
      </c>
      <c r="F2672" s="21"/>
      <c r="G2672" s="22"/>
    </row>
    <row r="2673" spans="1:7" s="7" customFormat="1" hidden="1" outlineLevel="1" x14ac:dyDescent="0.15">
      <c r="A2673" s="2"/>
      <c r="B2673" s="20" t="s">
        <v>12</v>
      </c>
      <c r="C2673" s="21" t="s">
        <v>1143</v>
      </c>
      <c r="D2673" s="21" t="s">
        <v>1169</v>
      </c>
      <c r="E2673" s="21">
        <v>0</v>
      </c>
      <c r="F2673" s="21"/>
      <c r="G2673" s="22"/>
    </row>
    <row r="2674" spans="1:7" s="7" customFormat="1" hidden="1" outlineLevel="1" x14ac:dyDescent="0.15">
      <c r="A2674" s="2"/>
      <c r="B2674" s="20" t="s">
        <v>13</v>
      </c>
      <c r="C2674" s="21" t="s">
        <v>1205</v>
      </c>
      <c r="D2674" s="21" t="s">
        <v>1169</v>
      </c>
      <c r="E2674" s="21">
        <v>0</v>
      </c>
      <c r="F2674" s="21"/>
      <c r="G2674" s="22"/>
    </row>
    <row r="2675" spans="1:7" s="7" customFormat="1" hidden="1" outlineLevel="1" x14ac:dyDescent="0.15">
      <c r="A2675" s="2"/>
      <c r="B2675" s="20" t="s">
        <v>14</v>
      </c>
      <c r="C2675" s="21" t="s">
        <v>1206</v>
      </c>
      <c r="D2675" s="21" t="s">
        <v>1169</v>
      </c>
      <c r="E2675" s="21">
        <v>0</v>
      </c>
      <c r="F2675" s="21"/>
      <c r="G2675" s="22"/>
    </row>
    <row r="2676" spans="1:7" s="7" customFormat="1" ht="18" hidden="1" outlineLevel="1" thickBot="1" x14ac:dyDescent="0.2">
      <c r="A2676" s="2"/>
      <c r="B2676" s="24" t="s">
        <v>374</v>
      </c>
      <c r="C2676" s="18" t="s">
        <v>1170</v>
      </c>
      <c r="D2676" s="21" t="s">
        <v>1331</v>
      </c>
      <c r="E2676" s="18">
        <v>0</v>
      </c>
      <c r="F2676" s="18"/>
      <c r="G2676" s="19"/>
    </row>
    <row r="2677" spans="1:7" s="7" customFormat="1" hidden="1" outlineLevel="1" x14ac:dyDescent="0.15">
      <c r="A2677" s="2"/>
      <c r="B2677" s="17" t="s">
        <v>742</v>
      </c>
      <c r="C2677" s="18" t="s">
        <v>1208</v>
      </c>
      <c r="D2677" s="21" t="s">
        <v>1087</v>
      </c>
      <c r="E2677" s="18">
        <v>0</v>
      </c>
      <c r="F2677" s="18"/>
      <c r="G2677" s="19"/>
    </row>
    <row r="2678" spans="1:7" s="7" customFormat="1" hidden="1" outlineLevel="1" x14ac:dyDescent="0.15">
      <c r="A2678" s="2"/>
      <c r="B2678" s="96" t="s">
        <v>226</v>
      </c>
      <c r="C2678" s="97" t="s">
        <v>1395</v>
      </c>
      <c r="D2678" s="97" t="s">
        <v>1172</v>
      </c>
      <c r="E2678" s="18">
        <v>0</v>
      </c>
      <c r="F2678" s="18"/>
      <c r="G2678" s="19"/>
    </row>
    <row r="2679" spans="1:7" s="7" customFormat="1" hidden="1" outlineLevel="1" x14ac:dyDescent="0.15">
      <c r="A2679" s="2"/>
      <c r="B2679" s="96" t="s">
        <v>227</v>
      </c>
      <c r="C2679" s="97" t="s">
        <v>1396</v>
      </c>
      <c r="D2679" s="97" t="s">
        <v>211</v>
      </c>
      <c r="E2679" s="18">
        <v>0</v>
      </c>
      <c r="F2679" s="18"/>
      <c r="G2679" s="19"/>
    </row>
    <row r="2680" spans="1:7" s="7" customFormat="1" hidden="1" outlineLevel="1" x14ac:dyDescent="0.15">
      <c r="A2680" s="2"/>
      <c r="B2680" s="17" t="s">
        <v>744</v>
      </c>
      <c r="C2680" s="18" t="s">
        <v>1210</v>
      </c>
      <c r="D2680" s="21" t="s">
        <v>1484</v>
      </c>
      <c r="E2680" s="18">
        <v>0</v>
      </c>
      <c r="F2680" s="18"/>
      <c r="G2680" s="19"/>
    </row>
    <row r="2681" spans="1:7" s="7" customFormat="1" hidden="1" outlineLevel="1" x14ac:dyDescent="0.15">
      <c r="A2681" s="2"/>
      <c r="B2681" s="17" t="s">
        <v>743</v>
      </c>
      <c r="C2681" s="18" t="s">
        <v>1212</v>
      </c>
      <c r="D2681" s="21" t="s">
        <v>1484</v>
      </c>
      <c r="E2681" s="18">
        <v>0</v>
      </c>
      <c r="F2681" s="18"/>
      <c r="G2681" s="19"/>
    </row>
    <row r="2682" spans="1:7" s="7" customFormat="1" hidden="1" outlineLevel="1" x14ac:dyDescent="0.15">
      <c r="A2682" s="2"/>
      <c r="B2682" s="17"/>
      <c r="C2682" s="18"/>
      <c r="D2682" s="18"/>
      <c r="E2682" s="18"/>
      <c r="F2682" s="18"/>
      <c r="G2682" s="19"/>
    </row>
    <row r="2683" spans="1:7" s="7" customFormat="1" ht="18" hidden="1" outlineLevel="1" thickBot="1" x14ac:dyDescent="0.2">
      <c r="A2683" s="2"/>
      <c r="B2683" s="17"/>
      <c r="C2683" s="9"/>
      <c r="D2683" s="9"/>
      <c r="E2683" s="9"/>
      <c r="F2683" s="9"/>
      <c r="G2683" s="11"/>
    </row>
    <row r="2684" spans="1:7" s="7" customFormat="1" hidden="1" outlineLevel="1" x14ac:dyDescent="0.15">
      <c r="A2684" s="2"/>
      <c r="B2684" s="327" t="s">
        <v>15</v>
      </c>
      <c r="C2684" s="328"/>
      <c r="D2684" s="328"/>
      <c r="E2684" s="328"/>
      <c r="F2684" s="328"/>
      <c r="G2684" s="329"/>
    </row>
    <row r="2685" spans="1:7" s="7" customFormat="1" hidden="1" outlineLevel="1" x14ac:dyDescent="0.15">
      <c r="A2685" s="2" t="s">
        <v>62</v>
      </c>
      <c r="B2685" s="20">
        <v>1</v>
      </c>
      <c r="C2685" s="23" t="s">
        <v>22</v>
      </c>
      <c r="D2685" s="23" t="s">
        <v>113</v>
      </c>
      <c r="E2685" s="21" t="s">
        <v>114</v>
      </c>
      <c r="F2685" s="21" t="s">
        <v>118</v>
      </c>
      <c r="G2685" s="21"/>
    </row>
    <row r="2686" spans="1:7" s="7" customFormat="1" hidden="1" outlineLevel="1" x14ac:dyDescent="0.15">
      <c r="A2686" s="2"/>
      <c r="B2686" s="17">
        <v>2</v>
      </c>
      <c r="C2686" s="23" t="s">
        <v>22</v>
      </c>
      <c r="D2686" s="37" t="s">
        <v>16</v>
      </c>
      <c r="E2686" s="18" t="s">
        <v>111</v>
      </c>
      <c r="F2686" s="18" t="s">
        <v>18</v>
      </c>
      <c r="G2686" s="38"/>
    </row>
    <row r="2687" spans="1:7" s="7" customFormat="1" ht="18" hidden="1" outlineLevel="1" thickBot="1" x14ac:dyDescent="0.2">
      <c r="A2687" s="2"/>
      <c r="B2687" s="24"/>
      <c r="C2687" s="9"/>
      <c r="D2687" s="9"/>
      <c r="E2687" s="9"/>
      <c r="F2687" s="9"/>
      <c r="G2687" s="11"/>
    </row>
    <row r="2688" spans="1:7" hidden="1" outlineLevel="1" x14ac:dyDescent="0.15">
      <c r="A2688" s="2"/>
      <c r="B2688" s="7"/>
      <c r="C2688" s="7"/>
      <c r="D2688" s="7"/>
      <c r="E2688" s="7"/>
      <c r="F2688" s="7"/>
      <c r="G2688" s="7"/>
    </row>
    <row r="2689" spans="1:13" s="76" customFormat="1" ht="18" hidden="1" outlineLevel="1" thickBot="1" x14ac:dyDescent="0.2">
      <c r="A2689" s="1"/>
      <c r="B2689" s="1"/>
      <c r="C2689" s="1"/>
      <c r="D2689" s="1"/>
      <c r="E2689" s="1"/>
      <c r="F2689" s="1"/>
      <c r="G2689" s="1"/>
    </row>
    <row r="2690" spans="1:13" s="76" customFormat="1" ht="18" collapsed="1" thickBot="1" x14ac:dyDescent="0.2">
      <c r="A2690" s="71"/>
      <c r="B2690" s="72" t="s">
        <v>563</v>
      </c>
      <c r="C2690" s="73" t="s">
        <v>545</v>
      </c>
      <c r="D2690" s="74" t="s">
        <v>515</v>
      </c>
      <c r="E2690" s="21" t="s">
        <v>603</v>
      </c>
      <c r="F2690" s="74" t="s">
        <v>567</v>
      </c>
      <c r="G2690" s="75" t="s">
        <v>1619</v>
      </c>
    </row>
    <row r="2691" spans="1:13" s="76" customFormat="1" ht="18" hidden="1" outlineLevel="1" thickBot="1" x14ac:dyDescent="0.2">
      <c r="A2691" s="71"/>
      <c r="B2691" s="78" t="s">
        <v>570</v>
      </c>
      <c r="C2691" s="79"/>
      <c r="D2691" s="80" t="s">
        <v>568</v>
      </c>
      <c r="E2691" s="79" t="s">
        <v>615</v>
      </c>
      <c r="F2691" s="80"/>
      <c r="G2691" s="81"/>
    </row>
    <row r="2692" spans="1:13" s="76" customFormat="1" hidden="1" outlineLevel="1" x14ac:dyDescent="0.15">
      <c r="A2692" s="71"/>
      <c r="B2692" s="72" t="s">
        <v>0</v>
      </c>
      <c r="C2692" s="82" t="s">
        <v>1</v>
      </c>
      <c r="D2692" s="82" t="s">
        <v>2</v>
      </c>
      <c r="E2692" s="82"/>
      <c r="F2692" s="82" t="s">
        <v>3</v>
      </c>
      <c r="G2692" s="83" t="s">
        <v>4</v>
      </c>
    </row>
    <row r="2693" spans="1:13" s="76" customFormat="1" hidden="1" outlineLevel="1" x14ac:dyDescent="0.15">
      <c r="A2693" s="71"/>
      <c r="B2693" s="84" t="s">
        <v>7</v>
      </c>
      <c r="C2693" s="85" t="s">
        <v>1190</v>
      </c>
      <c r="D2693" s="85" t="s">
        <v>211</v>
      </c>
      <c r="E2693" s="86">
        <v>0</v>
      </c>
      <c r="F2693" s="86"/>
      <c r="G2693" s="95" t="s">
        <v>1081</v>
      </c>
    </row>
    <row r="2694" spans="1:13" s="76" customFormat="1" hidden="1" outlineLevel="1" x14ac:dyDescent="0.15">
      <c r="A2694" s="71"/>
      <c r="B2694" s="84" t="s">
        <v>19</v>
      </c>
      <c r="C2694" s="85" t="s">
        <v>1337</v>
      </c>
      <c r="D2694" s="86" t="s">
        <v>1219</v>
      </c>
      <c r="E2694" s="86" t="s">
        <v>1072</v>
      </c>
      <c r="F2694" s="86"/>
      <c r="G2694" s="87" t="s">
        <v>1338</v>
      </c>
    </row>
    <row r="2695" spans="1:13" s="76" customFormat="1" hidden="1" outlineLevel="1" x14ac:dyDescent="0.15">
      <c r="A2695" s="71"/>
      <c r="B2695" s="84" t="s">
        <v>212</v>
      </c>
      <c r="C2695" s="85" t="s">
        <v>1098</v>
      </c>
      <c r="D2695" s="86" t="s">
        <v>1219</v>
      </c>
      <c r="E2695" s="86" t="s">
        <v>1072</v>
      </c>
      <c r="F2695" s="86"/>
      <c r="G2695" s="87" t="s">
        <v>1438</v>
      </c>
    </row>
    <row r="2696" spans="1:13" s="77" customFormat="1" hidden="1" outlineLevel="1" x14ac:dyDescent="0.15">
      <c r="A2696" s="71"/>
      <c r="B2696" s="84" t="s">
        <v>213</v>
      </c>
      <c r="C2696" s="85" t="s">
        <v>1340</v>
      </c>
      <c r="D2696" s="86" t="s">
        <v>1219</v>
      </c>
      <c r="E2696" s="86" t="s">
        <v>1072</v>
      </c>
      <c r="F2696" s="86"/>
      <c r="G2696" s="87"/>
      <c r="H2696" s="76"/>
      <c r="I2696" s="76"/>
      <c r="J2696" s="76"/>
      <c r="K2696" s="76"/>
      <c r="L2696" s="76"/>
      <c r="M2696" s="76"/>
    </row>
    <row r="2697" spans="1:13" s="76" customFormat="1" hidden="1" outlineLevel="1" x14ac:dyDescent="0.15">
      <c r="A2697" s="71"/>
      <c r="B2697" s="84" t="s">
        <v>115</v>
      </c>
      <c r="C2697" s="85" t="s">
        <v>1188</v>
      </c>
      <c r="D2697" s="86" t="s">
        <v>211</v>
      </c>
      <c r="E2697" s="86">
        <v>0</v>
      </c>
      <c r="F2697" s="86"/>
      <c r="G2697" s="87"/>
    </row>
    <row r="2698" spans="1:13" s="76" customFormat="1" hidden="1" outlineLevel="1" x14ac:dyDescent="0.15">
      <c r="A2698" s="71"/>
      <c r="B2698" s="84" t="s">
        <v>174</v>
      </c>
      <c r="C2698" s="85" t="s">
        <v>1397</v>
      </c>
      <c r="D2698" s="86" t="s">
        <v>211</v>
      </c>
      <c r="E2698" s="86">
        <v>0</v>
      </c>
      <c r="F2698" s="86"/>
      <c r="G2698" s="87"/>
    </row>
    <row r="2699" spans="1:13" s="76" customFormat="1" hidden="1" outlineLevel="1" x14ac:dyDescent="0.15">
      <c r="A2699" s="71"/>
      <c r="B2699" s="84" t="s">
        <v>214</v>
      </c>
      <c r="C2699" s="85" t="s">
        <v>1339</v>
      </c>
      <c r="D2699" s="86" t="s">
        <v>211</v>
      </c>
      <c r="E2699" s="86">
        <v>0</v>
      </c>
      <c r="F2699" s="86"/>
      <c r="G2699" s="87"/>
    </row>
    <row r="2700" spans="1:13" s="76" customFormat="1" hidden="1" outlineLevel="1" x14ac:dyDescent="0.15">
      <c r="A2700" s="71"/>
      <c r="B2700" s="84" t="s">
        <v>183</v>
      </c>
      <c r="C2700" s="85" t="s">
        <v>1122</v>
      </c>
      <c r="D2700" s="86" t="s">
        <v>1073</v>
      </c>
      <c r="E2700" s="86" t="s">
        <v>1072</v>
      </c>
      <c r="F2700" s="86"/>
      <c r="G2700" s="95"/>
    </row>
    <row r="2701" spans="1:13" s="76" customFormat="1" hidden="1" outlineLevel="1" x14ac:dyDescent="0.15">
      <c r="A2701" s="71"/>
      <c r="B2701" s="96" t="s">
        <v>215</v>
      </c>
      <c r="C2701" s="97" t="s">
        <v>1581</v>
      </c>
      <c r="D2701" s="97" t="s">
        <v>211</v>
      </c>
      <c r="E2701" s="97" t="s">
        <v>1141</v>
      </c>
      <c r="F2701" s="97"/>
      <c r="G2701" s="98"/>
    </row>
    <row r="2702" spans="1:13" s="76" customFormat="1" hidden="1" outlineLevel="1" x14ac:dyDescent="0.15">
      <c r="A2702" s="71"/>
      <c r="B2702" s="96" t="s">
        <v>216</v>
      </c>
      <c r="C2702" s="97" t="s">
        <v>1582</v>
      </c>
      <c r="D2702" s="97" t="s">
        <v>211</v>
      </c>
      <c r="E2702" s="97" t="s">
        <v>1141</v>
      </c>
      <c r="F2702" s="97"/>
      <c r="G2702" s="98"/>
    </row>
    <row r="2703" spans="1:13" s="76" customFormat="1" hidden="1" outlineLevel="1" x14ac:dyDescent="0.15">
      <c r="A2703" s="71"/>
      <c r="B2703" s="96" t="s">
        <v>217</v>
      </c>
      <c r="C2703" s="97" t="s">
        <v>1439</v>
      </c>
      <c r="D2703" s="97" t="s">
        <v>211</v>
      </c>
      <c r="E2703" s="97" t="s">
        <v>1141</v>
      </c>
      <c r="F2703" s="97"/>
      <c r="G2703" s="98"/>
    </row>
    <row r="2704" spans="1:13" s="76" customFormat="1" hidden="1" outlineLevel="1" x14ac:dyDescent="0.15">
      <c r="A2704" s="71"/>
      <c r="B2704" s="96" t="s">
        <v>218</v>
      </c>
      <c r="C2704" s="97" t="s">
        <v>1583</v>
      </c>
      <c r="D2704" s="97" t="s">
        <v>211</v>
      </c>
      <c r="E2704" s="97" t="s">
        <v>1141</v>
      </c>
      <c r="F2704" s="97"/>
      <c r="G2704" s="98"/>
    </row>
    <row r="2705" spans="1:7" s="76" customFormat="1" hidden="1" outlineLevel="1" x14ac:dyDescent="0.15">
      <c r="A2705" s="71"/>
      <c r="B2705" s="96" t="s">
        <v>219</v>
      </c>
      <c r="C2705" s="97" t="s">
        <v>1440</v>
      </c>
      <c r="D2705" s="97" t="s">
        <v>211</v>
      </c>
      <c r="E2705" s="97" t="s">
        <v>1141</v>
      </c>
      <c r="F2705" s="97"/>
      <c r="G2705" s="98"/>
    </row>
    <row r="2706" spans="1:7" s="76" customFormat="1" hidden="1" outlineLevel="1" x14ac:dyDescent="0.15">
      <c r="A2706" s="71"/>
      <c r="B2706" s="96" t="s">
        <v>220</v>
      </c>
      <c r="C2706" s="97" t="s">
        <v>1441</v>
      </c>
      <c r="D2706" s="97" t="s">
        <v>1087</v>
      </c>
      <c r="E2706" s="97">
        <v>0</v>
      </c>
      <c r="F2706" s="97"/>
      <c r="G2706" s="98"/>
    </row>
    <row r="2707" spans="1:7" s="76" customFormat="1" hidden="1" outlineLevel="1" x14ac:dyDescent="0.15">
      <c r="A2707" s="71"/>
      <c r="B2707" s="96" t="s">
        <v>221</v>
      </c>
      <c r="C2707" s="97" t="s">
        <v>1442</v>
      </c>
      <c r="D2707" s="97" t="s">
        <v>1211</v>
      </c>
      <c r="E2707" s="97">
        <v>0</v>
      </c>
      <c r="F2707" s="97"/>
      <c r="G2707" s="98"/>
    </row>
    <row r="2708" spans="1:7" s="76" customFormat="1" hidden="1" outlineLevel="1" x14ac:dyDescent="0.15">
      <c r="A2708" s="71"/>
      <c r="B2708" s="96" t="s">
        <v>222</v>
      </c>
      <c r="C2708" s="97" t="s">
        <v>1394</v>
      </c>
      <c r="D2708" s="97" t="s">
        <v>1211</v>
      </c>
      <c r="E2708" s="97">
        <v>0</v>
      </c>
      <c r="F2708" s="97"/>
      <c r="G2708" s="98"/>
    </row>
    <row r="2709" spans="1:7" s="76" customFormat="1" hidden="1" outlineLevel="1" x14ac:dyDescent="0.15">
      <c r="A2709" s="71"/>
      <c r="B2709" s="96" t="s">
        <v>223</v>
      </c>
      <c r="C2709" s="97" t="s">
        <v>1443</v>
      </c>
      <c r="D2709" s="97" t="s">
        <v>1172</v>
      </c>
      <c r="E2709" s="97">
        <v>0</v>
      </c>
      <c r="F2709" s="97"/>
      <c r="G2709" s="98"/>
    </row>
    <row r="2710" spans="1:7" s="76" customFormat="1" hidden="1" outlineLevel="1" x14ac:dyDescent="0.15">
      <c r="A2710" s="71"/>
      <c r="B2710" s="96" t="s">
        <v>224</v>
      </c>
      <c r="C2710" s="97" t="s">
        <v>1393</v>
      </c>
      <c r="D2710" s="97" t="s">
        <v>211</v>
      </c>
      <c r="E2710" s="97">
        <v>0</v>
      </c>
      <c r="F2710" s="97"/>
      <c r="G2710" s="98"/>
    </row>
    <row r="2711" spans="1:7" s="76" customFormat="1" hidden="1" outlineLevel="1" x14ac:dyDescent="0.15">
      <c r="A2711" s="71"/>
      <c r="B2711" s="96" t="s">
        <v>225</v>
      </c>
      <c r="C2711" s="97" t="s">
        <v>1444</v>
      </c>
      <c r="D2711" s="97" t="s">
        <v>211</v>
      </c>
      <c r="E2711" s="97">
        <v>0</v>
      </c>
      <c r="F2711" s="97"/>
      <c r="G2711" s="98"/>
    </row>
    <row r="2712" spans="1:7" s="76" customFormat="1" hidden="1" outlineLevel="1" x14ac:dyDescent="0.15">
      <c r="A2712" s="71"/>
      <c r="B2712" s="96" t="s">
        <v>226</v>
      </c>
      <c r="C2712" s="97" t="s">
        <v>1395</v>
      </c>
      <c r="D2712" s="97" t="s">
        <v>1172</v>
      </c>
      <c r="E2712" s="97">
        <v>0</v>
      </c>
      <c r="F2712" s="97"/>
      <c r="G2712" s="98"/>
    </row>
    <row r="2713" spans="1:7" s="76" customFormat="1" hidden="1" outlineLevel="1" x14ac:dyDescent="0.15">
      <c r="A2713" s="71"/>
      <c r="B2713" s="96" t="s">
        <v>227</v>
      </c>
      <c r="C2713" s="97" t="s">
        <v>1396</v>
      </c>
      <c r="D2713" s="97" t="s">
        <v>211</v>
      </c>
      <c r="E2713" s="97">
        <v>0</v>
      </c>
      <c r="F2713" s="97"/>
      <c r="G2713" s="98"/>
    </row>
    <row r="2714" spans="1:7" s="76" customFormat="1" hidden="1" outlineLevel="1" x14ac:dyDescent="0.15">
      <c r="A2714" s="71"/>
      <c r="B2714" s="96" t="s">
        <v>228</v>
      </c>
      <c r="C2714" s="97" t="s">
        <v>1445</v>
      </c>
      <c r="D2714" s="97" t="s">
        <v>211</v>
      </c>
      <c r="E2714" s="97">
        <v>0</v>
      </c>
      <c r="F2714" s="97"/>
      <c r="G2714" s="98" t="s">
        <v>1446</v>
      </c>
    </row>
    <row r="2715" spans="1:7" s="76" customFormat="1" hidden="1" outlineLevel="1" x14ac:dyDescent="0.15">
      <c r="A2715" s="71"/>
      <c r="B2715" s="96" t="s">
        <v>229</v>
      </c>
      <c r="C2715" s="97" t="s">
        <v>1392</v>
      </c>
      <c r="D2715" s="97" t="s">
        <v>211</v>
      </c>
      <c r="E2715" s="97">
        <v>0</v>
      </c>
      <c r="F2715" s="97"/>
      <c r="G2715" s="98"/>
    </row>
    <row r="2716" spans="1:7" s="76" customFormat="1" hidden="1" outlineLevel="1" x14ac:dyDescent="0.15">
      <c r="A2716" s="71"/>
      <c r="B2716" s="84" t="s">
        <v>230</v>
      </c>
      <c r="C2716" s="86" t="s">
        <v>1076</v>
      </c>
      <c r="D2716" s="86" t="s">
        <v>211</v>
      </c>
      <c r="E2716" s="86" t="s">
        <v>1141</v>
      </c>
      <c r="F2716" s="86"/>
      <c r="G2716" s="95"/>
    </row>
    <row r="2717" spans="1:7" s="76" customFormat="1" hidden="1" outlineLevel="1" x14ac:dyDescent="0.15">
      <c r="A2717" s="71"/>
      <c r="B2717" s="88" t="s">
        <v>231</v>
      </c>
      <c r="C2717" s="86" t="s">
        <v>1584</v>
      </c>
      <c r="D2717" s="86" t="s">
        <v>211</v>
      </c>
      <c r="E2717" s="86">
        <v>0</v>
      </c>
      <c r="F2717" s="86"/>
      <c r="G2717" s="87"/>
    </row>
    <row r="2718" spans="1:7" s="76" customFormat="1" hidden="1" outlineLevel="1" x14ac:dyDescent="0.15">
      <c r="A2718" s="71"/>
      <c r="B2718" s="88" t="s">
        <v>232</v>
      </c>
      <c r="C2718" s="86" t="s">
        <v>1585</v>
      </c>
      <c r="D2718" s="86" t="s">
        <v>211</v>
      </c>
      <c r="E2718" s="86" t="s">
        <v>1141</v>
      </c>
      <c r="F2718" s="86"/>
      <c r="G2718" s="87"/>
    </row>
    <row r="2719" spans="1:7" s="76" customFormat="1" hidden="1" outlineLevel="1" x14ac:dyDescent="0.15">
      <c r="A2719" s="71"/>
      <c r="B2719" s="88" t="s">
        <v>233</v>
      </c>
      <c r="C2719" s="86" t="s">
        <v>1447</v>
      </c>
      <c r="D2719" s="86" t="s">
        <v>211</v>
      </c>
      <c r="E2719" s="86" t="s">
        <v>1141</v>
      </c>
      <c r="F2719" s="86"/>
      <c r="G2719" s="87"/>
    </row>
    <row r="2720" spans="1:7" s="76" customFormat="1" hidden="1" outlineLevel="1" x14ac:dyDescent="0.15">
      <c r="A2720" s="71"/>
      <c r="B2720" s="88" t="s">
        <v>234</v>
      </c>
      <c r="C2720" s="86" t="s">
        <v>1448</v>
      </c>
      <c r="D2720" s="86" t="s">
        <v>211</v>
      </c>
      <c r="E2720" s="86" t="s">
        <v>1141</v>
      </c>
      <c r="F2720" s="86"/>
      <c r="G2720" s="87"/>
    </row>
    <row r="2721" spans="1:13" s="76" customFormat="1" hidden="1" outlineLevel="1" x14ac:dyDescent="0.15">
      <c r="A2721" s="71"/>
      <c r="B2721" s="88" t="s">
        <v>235</v>
      </c>
      <c r="C2721" s="86" t="s">
        <v>1586</v>
      </c>
      <c r="D2721" s="86" t="s">
        <v>211</v>
      </c>
      <c r="E2721" s="86" t="s">
        <v>1141</v>
      </c>
      <c r="F2721" s="86"/>
      <c r="G2721" s="87"/>
    </row>
    <row r="2722" spans="1:13" s="7" customFormat="1" hidden="1" outlineLevel="1" x14ac:dyDescent="0.15">
      <c r="A2722" s="71"/>
      <c r="B2722" s="88" t="s">
        <v>236</v>
      </c>
      <c r="C2722" s="86" t="s">
        <v>1565</v>
      </c>
      <c r="D2722" s="86" t="s">
        <v>1172</v>
      </c>
      <c r="E2722" s="86">
        <v>0</v>
      </c>
      <c r="F2722" s="86"/>
      <c r="G2722" s="87"/>
      <c r="H2722" s="7" t="s">
        <v>237</v>
      </c>
      <c r="I2722" s="7" t="s">
        <v>238</v>
      </c>
      <c r="J2722" s="7" t="s">
        <v>211</v>
      </c>
      <c r="K2722" s="7" t="s">
        <v>211</v>
      </c>
    </row>
    <row r="2723" spans="1:13" s="76" customFormat="1" hidden="1" outlineLevel="1" x14ac:dyDescent="0.15">
      <c r="A2723" s="71"/>
      <c r="B2723" s="30" t="s">
        <v>184</v>
      </c>
      <c r="C2723" s="21" t="s">
        <v>1260</v>
      </c>
      <c r="D2723" s="21" t="s">
        <v>211</v>
      </c>
      <c r="E2723" s="21" t="s">
        <v>1261</v>
      </c>
      <c r="F2723" s="21"/>
      <c r="G2723" s="22"/>
    </row>
    <row r="2724" spans="1:13" s="76" customFormat="1" ht="18" hidden="1" outlineLevel="1" thickBot="1" x14ac:dyDescent="0.2">
      <c r="A2724" s="71"/>
      <c r="B2724" s="92"/>
      <c r="C2724" s="93"/>
      <c r="D2724" s="93"/>
      <c r="E2724" s="93"/>
      <c r="F2724" s="93"/>
      <c r="G2724" s="94"/>
    </row>
    <row r="2725" spans="1:13" s="76" customFormat="1" hidden="1" outlineLevel="1" x14ac:dyDescent="0.15">
      <c r="A2725" s="71"/>
      <c r="B2725" s="324" t="s">
        <v>15</v>
      </c>
      <c r="C2725" s="325"/>
      <c r="D2725" s="325"/>
      <c r="E2725" s="325"/>
      <c r="F2725" s="325"/>
      <c r="G2725" s="326"/>
    </row>
    <row r="2726" spans="1:13" s="76" customFormat="1" hidden="1" outlineLevel="1" x14ac:dyDescent="0.15">
      <c r="A2726" s="71" t="s">
        <v>62</v>
      </c>
      <c r="B2726" s="88">
        <v>1</v>
      </c>
      <c r="C2726" s="86" t="s">
        <v>18</v>
      </c>
      <c r="D2726" s="86" t="s">
        <v>19</v>
      </c>
      <c r="E2726" s="86"/>
      <c r="F2726" s="86"/>
      <c r="G2726" s="87"/>
    </row>
    <row r="2727" spans="1:13" s="76" customFormat="1" hidden="1" outlineLevel="1" x14ac:dyDescent="0.15">
      <c r="A2727" s="71"/>
      <c r="B2727" s="88">
        <v>2</v>
      </c>
      <c r="C2727" s="86" t="s">
        <v>115</v>
      </c>
      <c r="D2727" s="86"/>
      <c r="E2727" s="86"/>
      <c r="F2727" s="86"/>
      <c r="G2727" s="87"/>
    </row>
    <row r="2728" spans="1:13" s="76" customFormat="1" hidden="1" outlineLevel="1" x14ac:dyDescent="0.15">
      <c r="A2728" s="71"/>
      <c r="B2728" s="88">
        <v>3</v>
      </c>
      <c r="C2728" s="86" t="s">
        <v>174</v>
      </c>
      <c r="D2728" s="86"/>
      <c r="E2728" s="86"/>
      <c r="F2728" s="86"/>
      <c r="G2728" s="87"/>
    </row>
    <row r="2729" spans="1:13" s="76" customFormat="1" hidden="1" outlineLevel="1" x14ac:dyDescent="0.15">
      <c r="A2729" s="71"/>
      <c r="B2729" s="88">
        <v>4</v>
      </c>
      <c r="C2729" s="86" t="s">
        <v>184</v>
      </c>
      <c r="D2729" s="86"/>
      <c r="E2729" s="86"/>
      <c r="F2729" s="86"/>
      <c r="G2729" s="87"/>
    </row>
    <row r="2730" spans="1:13" s="76" customFormat="1" ht="18" hidden="1" outlineLevel="1" thickBot="1" x14ac:dyDescent="0.2">
      <c r="A2730" s="71"/>
      <c r="B2730" s="89"/>
      <c r="C2730" s="90"/>
      <c r="D2730" s="90"/>
      <c r="E2730" s="90"/>
      <c r="F2730" s="90"/>
      <c r="G2730" s="91"/>
    </row>
    <row r="2731" spans="1:13" s="76" customFormat="1" hidden="1" outlineLevel="1" x14ac:dyDescent="0.15">
      <c r="A2731" s="71"/>
    </row>
    <row r="2732" spans="1:13" hidden="1" outlineLevel="1" x14ac:dyDescent="0.15">
      <c r="A2732" s="71"/>
      <c r="B2732" s="76"/>
      <c r="C2732" s="76"/>
      <c r="D2732" s="76"/>
      <c r="E2732" s="76"/>
      <c r="F2732" s="76"/>
      <c r="G2732" s="76"/>
    </row>
    <row r="2733" spans="1:13" s="76" customFormat="1" ht="18" hidden="1" outlineLevel="1" thickBot="1" x14ac:dyDescent="0.2">
      <c r="A2733" s="1"/>
      <c r="B2733" s="1"/>
      <c r="C2733" s="1"/>
      <c r="D2733" s="1"/>
      <c r="E2733" s="1"/>
      <c r="F2733" s="1"/>
      <c r="G2733" s="1"/>
    </row>
    <row r="2734" spans="1:13" s="76" customFormat="1" ht="18" collapsed="1" thickBot="1" x14ac:dyDescent="0.2">
      <c r="A2734" s="71"/>
      <c r="B2734" s="72" t="s">
        <v>563</v>
      </c>
      <c r="C2734" s="177" t="s">
        <v>627</v>
      </c>
      <c r="D2734" s="74" t="s">
        <v>515</v>
      </c>
      <c r="E2734" s="21" t="s">
        <v>607</v>
      </c>
      <c r="F2734" s="74" t="s">
        <v>567</v>
      </c>
      <c r="G2734" s="75"/>
    </row>
    <row r="2735" spans="1:13" s="76" customFormat="1" ht="18" hidden="1" outlineLevel="1" thickBot="1" x14ac:dyDescent="0.2">
      <c r="A2735" s="71"/>
      <c r="B2735" s="178" t="s">
        <v>570</v>
      </c>
      <c r="C2735" s="179"/>
      <c r="D2735" s="180" t="s">
        <v>568</v>
      </c>
      <c r="E2735" s="179" t="s">
        <v>615</v>
      </c>
      <c r="F2735" s="180"/>
      <c r="G2735" s="181"/>
    </row>
    <row r="2736" spans="1:13" s="77" customFormat="1" hidden="1" outlineLevel="1" x14ac:dyDescent="0.15">
      <c r="A2736" s="71"/>
      <c r="B2736" s="182" t="s">
        <v>0</v>
      </c>
      <c r="C2736" s="183" t="s">
        <v>1</v>
      </c>
      <c r="D2736" s="183" t="s">
        <v>2</v>
      </c>
      <c r="E2736" s="183"/>
      <c r="F2736" s="183" t="s">
        <v>3</v>
      </c>
      <c r="G2736" s="183" t="s">
        <v>4</v>
      </c>
      <c r="H2736" s="76"/>
      <c r="I2736" s="76"/>
      <c r="J2736" s="76"/>
      <c r="K2736" s="76"/>
      <c r="L2736" s="76"/>
      <c r="M2736" s="76"/>
    </row>
    <row r="2737" spans="1:7" s="76" customFormat="1" hidden="1" outlineLevel="1" x14ac:dyDescent="0.15">
      <c r="A2737" s="71"/>
      <c r="B2737" s="84" t="s">
        <v>118</v>
      </c>
      <c r="C2737" s="85" t="s">
        <v>1188</v>
      </c>
      <c r="D2737" s="86" t="s">
        <v>211</v>
      </c>
      <c r="E2737" s="86">
        <v>0</v>
      </c>
      <c r="F2737" s="86"/>
      <c r="G2737" s="87"/>
    </row>
    <row r="2738" spans="1:7" s="76" customFormat="1" hidden="1" outlineLevel="1" x14ac:dyDescent="0.15">
      <c r="A2738" s="71"/>
      <c r="B2738" s="184" t="s">
        <v>7</v>
      </c>
      <c r="C2738" s="85" t="s">
        <v>1190</v>
      </c>
      <c r="D2738" s="100" t="s">
        <v>211</v>
      </c>
      <c r="E2738" s="100">
        <v>0</v>
      </c>
      <c r="F2738" s="100"/>
      <c r="G2738" s="185" t="s">
        <v>1081</v>
      </c>
    </row>
    <row r="2739" spans="1:7" s="76" customFormat="1" hidden="1" outlineLevel="1" x14ac:dyDescent="0.15">
      <c r="A2739" s="71"/>
      <c r="B2739" s="184" t="s">
        <v>390</v>
      </c>
      <c r="C2739" s="100" t="s">
        <v>1600</v>
      </c>
      <c r="D2739" s="100" t="s">
        <v>211</v>
      </c>
      <c r="E2739" s="100" t="s">
        <v>1141</v>
      </c>
      <c r="F2739" s="100"/>
      <c r="G2739" s="185"/>
    </row>
    <row r="2740" spans="1:7" s="76" customFormat="1" hidden="1" outlineLevel="1" x14ac:dyDescent="0.15">
      <c r="A2740" s="71"/>
      <c r="B2740" s="184" t="s">
        <v>223</v>
      </c>
      <c r="C2740" s="86" t="s">
        <v>1443</v>
      </c>
      <c r="D2740" s="100" t="s">
        <v>1172</v>
      </c>
      <c r="E2740" s="100">
        <v>0</v>
      </c>
      <c r="F2740" s="100"/>
      <c r="G2740" s="185"/>
    </row>
    <row r="2741" spans="1:7" s="76" customFormat="1" hidden="1" outlineLevel="1" x14ac:dyDescent="0.15">
      <c r="A2741" s="71"/>
      <c r="B2741" s="184" t="s">
        <v>184</v>
      </c>
      <c r="C2741" s="100" t="s">
        <v>1260</v>
      </c>
      <c r="D2741" s="100" t="s">
        <v>211</v>
      </c>
      <c r="E2741" s="100" t="s">
        <v>1261</v>
      </c>
      <c r="F2741" s="100"/>
      <c r="G2741" s="185"/>
    </row>
    <row r="2742" spans="1:7" s="76" customFormat="1" ht="18" hidden="1" outlineLevel="1" thickBot="1" x14ac:dyDescent="0.2">
      <c r="A2742" s="71"/>
      <c r="B2742" s="184"/>
      <c r="C2742" s="100"/>
      <c r="D2742" s="100"/>
      <c r="E2742" s="100"/>
      <c r="F2742" s="100"/>
      <c r="G2742" s="185"/>
    </row>
    <row r="2743" spans="1:7" s="76" customFormat="1" hidden="1" outlineLevel="1" x14ac:dyDescent="0.15">
      <c r="A2743" s="71"/>
      <c r="B2743" s="324" t="s">
        <v>15</v>
      </c>
      <c r="C2743" s="325"/>
      <c r="D2743" s="325"/>
      <c r="E2743" s="325"/>
      <c r="F2743" s="325"/>
      <c r="G2743" s="336"/>
    </row>
    <row r="2744" spans="1:7" s="76" customFormat="1" hidden="1" outlineLevel="1" x14ac:dyDescent="0.15">
      <c r="A2744" s="71" t="s">
        <v>62</v>
      </c>
      <c r="B2744" s="184">
        <v>1</v>
      </c>
      <c r="C2744" s="100" t="s">
        <v>115</v>
      </c>
      <c r="D2744" s="100" t="s">
        <v>390</v>
      </c>
      <c r="E2744" s="100"/>
      <c r="F2744" s="100"/>
      <c r="G2744" s="185"/>
    </row>
    <row r="2745" spans="1:7" s="76" customFormat="1" hidden="1" outlineLevel="1" x14ac:dyDescent="0.15">
      <c r="A2745" s="71"/>
      <c r="B2745" s="184">
        <v>2</v>
      </c>
      <c r="C2745" s="100" t="s">
        <v>7</v>
      </c>
      <c r="D2745" s="100"/>
      <c r="E2745" s="100"/>
      <c r="F2745" s="100"/>
      <c r="G2745" s="185"/>
    </row>
    <row r="2746" spans="1:7" s="76" customFormat="1" hidden="1" outlineLevel="1" x14ac:dyDescent="0.15">
      <c r="A2746" s="71"/>
      <c r="B2746" s="92">
        <v>3</v>
      </c>
      <c r="C2746" s="93" t="s">
        <v>184</v>
      </c>
      <c r="D2746" s="93"/>
      <c r="E2746" s="93"/>
      <c r="F2746" s="93"/>
      <c r="G2746" s="94"/>
    </row>
    <row r="2747" spans="1:7" s="76" customFormat="1" ht="18" hidden="1" outlineLevel="1" thickBot="1" x14ac:dyDescent="0.2">
      <c r="A2747" s="71"/>
      <c r="B2747" s="186"/>
      <c r="C2747" s="179"/>
      <c r="D2747" s="179"/>
      <c r="E2747" s="179"/>
      <c r="F2747" s="179"/>
      <c r="G2747" s="181"/>
    </row>
    <row r="2748" spans="1:7" s="76" customFormat="1" hidden="1" outlineLevel="1" x14ac:dyDescent="0.15">
      <c r="A2748" s="71"/>
    </row>
    <row r="2749" spans="1:7" hidden="1" outlineLevel="1" x14ac:dyDescent="0.15">
      <c r="A2749" s="71"/>
      <c r="B2749" s="76"/>
      <c r="C2749" s="76"/>
      <c r="D2749" s="76"/>
      <c r="E2749" s="76"/>
      <c r="F2749" s="76"/>
      <c r="G2749" s="76"/>
    </row>
    <row r="2750" spans="1:7" s="76" customFormat="1" ht="18" hidden="1" outlineLevel="1" thickBot="1" x14ac:dyDescent="0.2">
      <c r="A2750" s="1"/>
      <c r="B2750" s="1"/>
      <c r="C2750" s="1"/>
      <c r="D2750" s="1"/>
      <c r="E2750" s="1"/>
      <c r="F2750" s="1"/>
      <c r="G2750" s="1"/>
    </row>
    <row r="2751" spans="1:7" s="76" customFormat="1" ht="18" collapsed="1" thickBot="1" x14ac:dyDescent="0.2">
      <c r="A2751" s="71"/>
      <c r="B2751" s="72" t="s">
        <v>563</v>
      </c>
      <c r="C2751" s="73" t="s">
        <v>628</v>
      </c>
      <c r="D2751" s="74" t="s">
        <v>515</v>
      </c>
      <c r="E2751" s="21" t="s">
        <v>725</v>
      </c>
      <c r="F2751" s="74" t="s">
        <v>567</v>
      </c>
      <c r="G2751" s="75"/>
    </row>
    <row r="2752" spans="1:7" s="76" customFormat="1" ht="18" hidden="1" outlineLevel="1" thickBot="1" x14ac:dyDescent="0.2">
      <c r="A2752" s="71"/>
      <c r="B2752" s="78" t="s">
        <v>570</v>
      </c>
      <c r="C2752" s="79"/>
      <c r="D2752" s="80" t="s">
        <v>568</v>
      </c>
      <c r="E2752" s="79" t="s">
        <v>615</v>
      </c>
      <c r="F2752" s="80"/>
      <c r="G2752" s="81"/>
    </row>
    <row r="2753" spans="1:13" s="77" customFormat="1" hidden="1" outlineLevel="1" x14ac:dyDescent="0.15">
      <c r="A2753" s="71"/>
      <c r="B2753" s="72" t="s">
        <v>0</v>
      </c>
      <c r="C2753" s="82" t="s">
        <v>1</v>
      </c>
      <c r="D2753" s="82" t="s">
        <v>2</v>
      </c>
      <c r="E2753" s="82"/>
      <c r="F2753" s="82" t="s">
        <v>3</v>
      </c>
      <c r="G2753" s="83" t="s">
        <v>4</v>
      </c>
      <c r="H2753" s="76"/>
      <c r="I2753" s="76"/>
      <c r="J2753" s="76"/>
      <c r="K2753" s="76"/>
      <c r="L2753" s="76"/>
      <c r="M2753" s="76"/>
    </row>
    <row r="2754" spans="1:13" s="76" customFormat="1" hidden="1" outlineLevel="1" x14ac:dyDescent="0.15">
      <c r="A2754" s="71"/>
      <c r="B2754" s="84" t="s">
        <v>118</v>
      </c>
      <c r="C2754" s="85" t="s">
        <v>1188</v>
      </c>
      <c r="D2754" s="86" t="s">
        <v>211</v>
      </c>
      <c r="E2754" s="86">
        <v>0</v>
      </c>
      <c r="F2754" s="86"/>
      <c r="G2754" s="87"/>
    </row>
    <row r="2755" spans="1:13" s="76" customFormat="1" hidden="1" outlineLevel="1" x14ac:dyDescent="0.15">
      <c r="A2755" s="71"/>
      <c r="B2755" s="84" t="s">
        <v>7</v>
      </c>
      <c r="C2755" s="85" t="s">
        <v>1190</v>
      </c>
      <c r="D2755" s="85" t="s">
        <v>211</v>
      </c>
      <c r="E2755" s="86">
        <v>0</v>
      </c>
      <c r="F2755" s="86"/>
      <c r="G2755" s="87" t="s">
        <v>1081</v>
      </c>
    </row>
    <row r="2756" spans="1:13" s="76" customFormat="1" hidden="1" outlineLevel="1" x14ac:dyDescent="0.15">
      <c r="A2756" s="71"/>
      <c r="B2756" s="84" t="s">
        <v>391</v>
      </c>
      <c r="C2756" s="85" t="s">
        <v>1601</v>
      </c>
      <c r="D2756" s="86" t="s">
        <v>1073</v>
      </c>
      <c r="E2756" s="86" t="s">
        <v>1072</v>
      </c>
      <c r="F2756" s="86"/>
      <c r="G2756" s="87"/>
    </row>
    <row r="2757" spans="1:13" s="76" customFormat="1" hidden="1" outlineLevel="1" x14ac:dyDescent="0.15">
      <c r="A2757" s="71"/>
      <c r="B2757" s="84" t="s">
        <v>6</v>
      </c>
      <c r="C2757" s="86" t="s">
        <v>1163</v>
      </c>
      <c r="D2757" s="86" t="s">
        <v>211</v>
      </c>
      <c r="E2757" s="86">
        <v>0</v>
      </c>
      <c r="F2757" s="86"/>
      <c r="G2757" s="87" t="s">
        <v>1077</v>
      </c>
    </row>
    <row r="2758" spans="1:13" s="76" customFormat="1" hidden="1" outlineLevel="1" x14ac:dyDescent="0.15">
      <c r="A2758" s="71"/>
      <c r="B2758" s="84" t="s">
        <v>392</v>
      </c>
      <c r="C2758" s="86" t="s">
        <v>1485</v>
      </c>
      <c r="D2758" s="86" t="s">
        <v>211</v>
      </c>
      <c r="E2758" s="86">
        <v>0</v>
      </c>
      <c r="F2758" s="86"/>
      <c r="G2758" s="87"/>
    </row>
    <row r="2759" spans="1:13" s="76" customFormat="1" ht="18" hidden="1" outlineLevel="1" thickBot="1" x14ac:dyDescent="0.2">
      <c r="A2759" s="71"/>
      <c r="B2759" s="89"/>
      <c r="C2759" s="90"/>
      <c r="D2759" s="90"/>
      <c r="E2759" s="90"/>
      <c r="F2759" s="90"/>
      <c r="G2759" s="91"/>
    </row>
    <row r="2760" spans="1:13" s="76" customFormat="1" hidden="1" outlineLevel="1" x14ac:dyDescent="0.15">
      <c r="A2760" s="71"/>
      <c r="B2760" s="324" t="s">
        <v>15</v>
      </c>
      <c r="C2760" s="325"/>
      <c r="D2760" s="325"/>
      <c r="E2760" s="325"/>
      <c r="F2760" s="325"/>
      <c r="G2760" s="326"/>
    </row>
    <row r="2761" spans="1:13" s="76" customFormat="1" hidden="1" outlineLevel="1" x14ac:dyDescent="0.15">
      <c r="A2761" s="71" t="s">
        <v>62</v>
      </c>
      <c r="B2761" s="184">
        <v>1</v>
      </c>
      <c r="C2761" s="86" t="s">
        <v>118</v>
      </c>
      <c r="D2761" s="86" t="s">
        <v>391</v>
      </c>
      <c r="E2761" s="86" t="s">
        <v>6</v>
      </c>
      <c r="F2761" s="86"/>
      <c r="G2761" s="87"/>
    </row>
    <row r="2762" spans="1:13" s="76" customFormat="1" hidden="1" outlineLevel="1" x14ac:dyDescent="0.15">
      <c r="A2762" s="71"/>
      <c r="B2762" s="184">
        <v>2</v>
      </c>
      <c r="C2762" s="86" t="s">
        <v>18</v>
      </c>
      <c r="D2762" s="86"/>
      <c r="E2762" s="86"/>
      <c r="F2762" s="86"/>
      <c r="G2762" s="87"/>
    </row>
    <row r="2763" spans="1:13" s="76" customFormat="1" hidden="1" outlineLevel="1" x14ac:dyDescent="0.15">
      <c r="A2763" s="71"/>
      <c r="B2763" s="92"/>
      <c r="C2763" s="93"/>
      <c r="D2763" s="93"/>
      <c r="E2763" s="93"/>
      <c r="F2763" s="93"/>
      <c r="G2763" s="94"/>
    </row>
    <row r="2764" spans="1:13" s="76" customFormat="1" ht="18" hidden="1" outlineLevel="1" thickBot="1" x14ac:dyDescent="0.2">
      <c r="A2764" s="71"/>
    </row>
    <row r="2765" spans="1:13" s="76" customFormat="1" ht="18" collapsed="1" thickBot="1" x14ac:dyDescent="0.2">
      <c r="A2765" s="71"/>
      <c r="B2765" s="72" t="s">
        <v>563</v>
      </c>
      <c r="C2765" s="73" t="s">
        <v>629</v>
      </c>
      <c r="D2765" s="74" t="s">
        <v>515</v>
      </c>
      <c r="E2765" s="21" t="s">
        <v>726</v>
      </c>
      <c r="F2765" s="74" t="s">
        <v>567</v>
      </c>
      <c r="G2765" s="75"/>
    </row>
    <row r="2766" spans="1:13" s="76" customFormat="1" ht="18" hidden="1" outlineLevel="1" thickBot="1" x14ac:dyDescent="0.2">
      <c r="A2766" s="71"/>
      <c r="B2766" s="78" t="s">
        <v>570</v>
      </c>
      <c r="C2766" s="79"/>
      <c r="D2766" s="80" t="s">
        <v>568</v>
      </c>
      <c r="E2766" s="79" t="s">
        <v>615</v>
      </c>
      <c r="F2766" s="80"/>
      <c r="G2766" s="81"/>
    </row>
    <row r="2767" spans="1:13" s="77" customFormat="1" hidden="1" outlineLevel="1" x14ac:dyDescent="0.15">
      <c r="A2767" s="71"/>
      <c r="B2767" s="72" t="s">
        <v>0</v>
      </c>
      <c r="C2767" s="82" t="s">
        <v>1</v>
      </c>
      <c r="D2767" s="82" t="s">
        <v>2</v>
      </c>
      <c r="E2767" s="82"/>
      <c r="F2767" s="82" t="s">
        <v>3</v>
      </c>
      <c r="G2767" s="83" t="s">
        <v>4</v>
      </c>
      <c r="H2767" s="76"/>
      <c r="I2767" s="76"/>
      <c r="J2767" s="76"/>
      <c r="K2767" s="76"/>
      <c r="L2767" s="76"/>
      <c r="M2767" s="76"/>
    </row>
    <row r="2768" spans="1:13" s="76" customFormat="1" hidden="1" outlineLevel="1" x14ac:dyDescent="0.15">
      <c r="A2768" s="71"/>
      <c r="B2768" s="84" t="s">
        <v>118</v>
      </c>
      <c r="C2768" s="85" t="s">
        <v>1188</v>
      </c>
      <c r="D2768" s="86" t="s">
        <v>211</v>
      </c>
      <c r="E2768" s="86">
        <v>0</v>
      </c>
      <c r="F2768" s="86"/>
      <c r="G2768" s="87"/>
    </row>
    <row r="2769" spans="1:7" s="76" customFormat="1" hidden="1" outlineLevel="1" x14ac:dyDescent="0.15">
      <c r="A2769" s="71"/>
      <c r="B2769" s="184" t="s">
        <v>7</v>
      </c>
      <c r="C2769" s="85" t="s">
        <v>1190</v>
      </c>
      <c r="D2769" s="100" t="s">
        <v>211</v>
      </c>
      <c r="E2769" s="100">
        <v>0</v>
      </c>
      <c r="F2769" s="100"/>
      <c r="G2769" s="185" t="s">
        <v>1081</v>
      </c>
    </row>
    <row r="2770" spans="1:7" s="76" customFormat="1" hidden="1" outlineLevel="1" x14ac:dyDescent="0.15">
      <c r="A2770" s="71"/>
      <c r="B2770" s="84" t="s">
        <v>393</v>
      </c>
      <c r="C2770" s="85" t="s">
        <v>1602</v>
      </c>
      <c r="D2770" s="86" t="s">
        <v>211</v>
      </c>
      <c r="E2770" s="86">
        <v>0</v>
      </c>
      <c r="F2770" s="86"/>
      <c r="G2770" s="87"/>
    </row>
    <row r="2771" spans="1:7" s="76" customFormat="1" hidden="1" outlineLevel="1" x14ac:dyDescent="0.15">
      <c r="A2771" s="71"/>
      <c r="B2771" s="84" t="s">
        <v>394</v>
      </c>
      <c r="C2771" s="86" t="s">
        <v>1603</v>
      </c>
      <c r="D2771" s="86" t="s">
        <v>211</v>
      </c>
      <c r="E2771" s="86">
        <v>0</v>
      </c>
      <c r="F2771" s="86"/>
      <c r="G2771" s="87"/>
    </row>
    <row r="2772" spans="1:7" s="7" customFormat="1" hidden="1" outlineLevel="1" x14ac:dyDescent="0.15">
      <c r="A2772" s="71"/>
      <c r="B2772" s="84" t="s">
        <v>395</v>
      </c>
      <c r="C2772" s="86" t="s">
        <v>1604</v>
      </c>
      <c r="D2772" s="86" t="s">
        <v>211</v>
      </c>
      <c r="E2772" s="86">
        <v>0</v>
      </c>
      <c r="F2772" s="86"/>
      <c r="G2772" s="87"/>
    </row>
    <row r="2773" spans="1:7" s="7" customFormat="1" hidden="1" outlineLevel="1" x14ac:dyDescent="0.15">
      <c r="A2773" s="71"/>
      <c r="B2773" s="31" t="s">
        <v>396</v>
      </c>
      <c r="C2773" s="21" t="s">
        <v>1605</v>
      </c>
      <c r="D2773" s="21" t="s">
        <v>1172</v>
      </c>
      <c r="E2773" s="21">
        <v>0</v>
      </c>
      <c r="F2773" s="21"/>
      <c r="G2773" s="22"/>
    </row>
    <row r="2774" spans="1:7" s="7" customFormat="1" hidden="1" outlineLevel="1" x14ac:dyDescent="0.15">
      <c r="A2774" s="71"/>
      <c r="B2774" s="187" t="s">
        <v>397</v>
      </c>
      <c r="C2774" s="18" t="s">
        <v>1606</v>
      </c>
      <c r="D2774" s="18" t="s">
        <v>1169</v>
      </c>
      <c r="E2774" s="18">
        <v>0</v>
      </c>
      <c r="F2774" s="18"/>
      <c r="G2774" s="19"/>
    </row>
    <row r="2775" spans="1:7" s="76" customFormat="1" hidden="1" outlineLevel="1" x14ac:dyDescent="0.15">
      <c r="A2775" s="71"/>
      <c r="B2775" s="187" t="s">
        <v>398</v>
      </c>
      <c r="C2775" s="18" t="s">
        <v>1607</v>
      </c>
      <c r="D2775" s="18" t="s">
        <v>1172</v>
      </c>
      <c r="E2775" s="18">
        <v>0</v>
      </c>
      <c r="F2775" s="18"/>
      <c r="G2775" s="19"/>
    </row>
    <row r="2776" spans="1:7" s="76" customFormat="1" ht="18" hidden="1" outlineLevel="1" thickBot="1" x14ac:dyDescent="0.2">
      <c r="A2776" s="71"/>
      <c r="B2776" s="92"/>
      <c r="C2776" s="93"/>
      <c r="D2776" s="93"/>
      <c r="E2776" s="93"/>
      <c r="F2776" s="93"/>
      <c r="G2776" s="94"/>
    </row>
    <row r="2777" spans="1:7" s="7" customFormat="1" hidden="1" outlineLevel="1" x14ac:dyDescent="0.15">
      <c r="A2777" s="71"/>
      <c r="B2777" s="324" t="s">
        <v>15</v>
      </c>
      <c r="C2777" s="325"/>
      <c r="D2777" s="325"/>
      <c r="E2777" s="325"/>
      <c r="F2777" s="325"/>
      <c r="G2777" s="326"/>
    </row>
    <row r="2778" spans="1:7" s="7" customFormat="1" hidden="1" outlineLevel="1" x14ac:dyDescent="0.15">
      <c r="A2778" s="71" t="s">
        <v>62</v>
      </c>
      <c r="B2778" s="20">
        <v>1</v>
      </c>
      <c r="C2778" s="21" t="s">
        <v>115</v>
      </c>
      <c r="D2778" s="21" t="s">
        <v>393</v>
      </c>
      <c r="E2778" s="21"/>
      <c r="F2778" s="21"/>
      <c r="G2778" s="22"/>
    </row>
    <row r="2779" spans="1:7" s="7" customFormat="1" hidden="1" outlineLevel="1" x14ac:dyDescent="0.15">
      <c r="A2779" s="71"/>
      <c r="B2779" s="20"/>
      <c r="C2779" s="21"/>
      <c r="D2779" s="21"/>
      <c r="E2779" s="21"/>
      <c r="F2779" s="21"/>
      <c r="G2779" s="22"/>
    </row>
    <row r="2780" spans="1:7" s="76" customFormat="1" hidden="1" outlineLevel="1" x14ac:dyDescent="0.15">
      <c r="A2780" s="71"/>
      <c r="B2780" s="20"/>
      <c r="C2780" s="21"/>
      <c r="D2780" s="21"/>
      <c r="E2780" s="21"/>
      <c r="F2780" s="21"/>
      <c r="G2780" s="22"/>
    </row>
    <row r="2781" spans="1:7" hidden="1" outlineLevel="1" x14ac:dyDescent="0.15">
      <c r="A2781" s="71"/>
      <c r="B2781" s="76"/>
      <c r="C2781" s="76"/>
      <c r="D2781" s="76"/>
      <c r="E2781" s="76"/>
      <c r="F2781" s="76"/>
      <c r="G2781" s="76"/>
    </row>
    <row r="2782" spans="1:7" s="7" customFormat="1" ht="18" hidden="1" outlineLevel="1" thickBot="1" x14ac:dyDescent="0.2">
      <c r="A2782" s="1"/>
      <c r="B2782" s="1"/>
      <c r="C2782" s="1"/>
      <c r="D2782" s="1"/>
      <c r="E2782" s="1"/>
      <c r="F2782" s="1"/>
      <c r="G2782" s="1"/>
    </row>
    <row r="2783" spans="1:7" s="7" customFormat="1" ht="18" collapsed="1" thickBot="1" x14ac:dyDescent="0.2">
      <c r="B2783" s="3" t="s">
        <v>563</v>
      </c>
      <c r="C2783" s="4" t="s">
        <v>565</v>
      </c>
      <c r="D2783" s="5" t="s">
        <v>515</v>
      </c>
      <c r="E2783" s="21" t="s">
        <v>1017</v>
      </c>
      <c r="F2783" s="5" t="s">
        <v>567</v>
      </c>
      <c r="G2783" s="6" t="s">
        <v>1618</v>
      </c>
    </row>
    <row r="2784" spans="1:7" s="7" customFormat="1" ht="18" hidden="1" outlineLevel="1" thickBot="1" x14ac:dyDescent="0.2">
      <c r="B2784" s="34" t="s">
        <v>570</v>
      </c>
      <c r="C2784" s="18"/>
      <c r="D2784" s="35" t="s">
        <v>568</v>
      </c>
      <c r="E2784" s="18" t="s">
        <v>615</v>
      </c>
      <c r="F2784" s="35"/>
      <c r="G2784" s="19"/>
    </row>
    <row r="2785" spans="1:7" s="7" customFormat="1" hidden="1" outlineLevel="1" x14ac:dyDescent="0.15">
      <c r="B2785" s="3" t="s">
        <v>0</v>
      </c>
      <c r="C2785" s="5" t="s">
        <v>1</v>
      </c>
      <c r="D2785" s="5" t="s">
        <v>2</v>
      </c>
      <c r="E2785" s="5"/>
      <c r="F2785" s="5" t="s">
        <v>3</v>
      </c>
      <c r="G2785" s="36" t="s">
        <v>4</v>
      </c>
    </row>
    <row r="2786" spans="1:7" s="7" customFormat="1" hidden="1" outlineLevel="1" x14ac:dyDescent="0.15">
      <c r="A2786" s="2"/>
      <c r="B2786" s="20" t="s">
        <v>6</v>
      </c>
      <c r="C2786" s="21" t="s">
        <v>1163</v>
      </c>
      <c r="D2786" s="21" t="s">
        <v>211</v>
      </c>
      <c r="E2786" s="21">
        <v>0</v>
      </c>
      <c r="F2786" s="21"/>
      <c r="G2786" s="22" t="s">
        <v>1077</v>
      </c>
    </row>
    <row r="2787" spans="1:7" s="7" customFormat="1" hidden="1" outlineLevel="1" x14ac:dyDescent="0.15">
      <c r="A2787" s="2"/>
      <c r="B2787" s="20" t="s">
        <v>111</v>
      </c>
      <c r="C2787" s="21" t="s">
        <v>1164</v>
      </c>
      <c r="D2787" s="21" t="s">
        <v>211</v>
      </c>
      <c r="E2787" s="21">
        <v>0</v>
      </c>
      <c r="F2787" s="21"/>
      <c r="G2787" s="22" t="s">
        <v>1165</v>
      </c>
    </row>
    <row r="2788" spans="1:7" s="7" customFormat="1" hidden="1" outlineLevel="1" x14ac:dyDescent="0.15">
      <c r="A2788" s="2"/>
      <c r="B2788" s="20" t="s">
        <v>123</v>
      </c>
      <c r="C2788" s="21" t="s">
        <v>1133</v>
      </c>
      <c r="D2788" s="21" t="s">
        <v>211</v>
      </c>
      <c r="E2788" s="21">
        <v>0</v>
      </c>
      <c r="F2788" s="21"/>
      <c r="G2788" s="22" t="s">
        <v>1182</v>
      </c>
    </row>
    <row r="2789" spans="1:7" s="7" customFormat="1" hidden="1" outlineLevel="1" x14ac:dyDescent="0.15">
      <c r="A2789" s="2"/>
      <c r="B2789" s="20" t="s">
        <v>113</v>
      </c>
      <c r="C2789" s="21" t="s">
        <v>1187</v>
      </c>
      <c r="D2789" s="21" t="s">
        <v>211</v>
      </c>
      <c r="E2789" s="21">
        <v>0</v>
      </c>
      <c r="F2789" s="21"/>
      <c r="G2789" s="22"/>
    </row>
    <row r="2790" spans="1:7" s="7" customFormat="1" hidden="1" outlineLevel="1" x14ac:dyDescent="0.15">
      <c r="B2790" s="20" t="s">
        <v>7</v>
      </c>
      <c r="C2790" s="21" t="s">
        <v>1190</v>
      </c>
      <c r="D2790" s="21" t="s">
        <v>211</v>
      </c>
      <c r="E2790" s="21">
        <v>0</v>
      </c>
      <c r="F2790" s="21"/>
      <c r="G2790" s="22" t="s">
        <v>1081</v>
      </c>
    </row>
    <row r="2791" spans="1:7" s="7" customFormat="1" hidden="1" outlineLevel="1" x14ac:dyDescent="0.15">
      <c r="B2791" s="20" t="s">
        <v>114</v>
      </c>
      <c r="C2791" s="21" t="s">
        <v>1155</v>
      </c>
      <c r="D2791" s="21" t="s">
        <v>211</v>
      </c>
      <c r="E2791" s="21">
        <v>0</v>
      </c>
      <c r="F2791" s="21"/>
      <c r="G2791" s="22"/>
    </row>
    <row r="2792" spans="1:7" s="7" customFormat="1" hidden="1" outlineLevel="1" x14ac:dyDescent="0.15">
      <c r="B2792" s="20" t="s">
        <v>115</v>
      </c>
      <c r="C2792" s="21" t="s">
        <v>1188</v>
      </c>
      <c r="D2792" s="21" t="s">
        <v>211</v>
      </c>
      <c r="E2792" s="21">
        <v>0</v>
      </c>
      <c r="F2792" s="21"/>
      <c r="G2792" s="22"/>
    </row>
    <row r="2793" spans="1:7" s="7" customFormat="1" hidden="1" outlineLevel="1" x14ac:dyDescent="0.15">
      <c r="A2793" s="2"/>
      <c r="B2793" s="20" t="s">
        <v>399</v>
      </c>
      <c r="C2793" s="21" t="s">
        <v>1193</v>
      </c>
      <c r="D2793" s="21" t="s">
        <v>1087</v>
      </c>
      <c r="E2793" s="21">
        <v>0</v>
      </c>
      <c r="F2793" s="21"/>
      <c r="G2793" s="22" t="s">
        <v>1194</v>
      </c>
    </row>
    <row r="2794" spans="1:7" s="7" customFormat="1" hidden="1" outlineLevel="1" x14ac:dyDescent="0.15">
      <c r="A2794" s="2"/>
      <c r="B2794" s="20" t="s">
        <v>156</v>
      </c>
      <c r="C2794" s="21" t="s">
        <v>1195</v>
      </c>
      <c r="D2794" s="21" t="s">
        <v>1087</v>
      </c>
      <c r="E2794" s="21">
        <v>0</v>
      </c>
      <c r="F2794" s="21"/>
      <c r="G2794" s="22" t="s">
        <v>1196</v>
      </c>
    </row>
    <row r="2795" spans="1:7" s="7" customFormat="1" hidden="1" outlineLevel="1" x14ac:dyDescent="0.15">
      <c r="B2795" s="20" t="s">
        <v>400</v>
      </c>
      <c r="C2795" s="21" t="s">
        <v>1197</v>
      </c>
      <c r="D2795" s="21" t="s">
        <v>1087</v>
      </c>
      <c r="E2795" s="21">
        <v>0</v>
      </c>
      <c r="F2795" s="21"/>
      <c r="G2795" s="22" t="s">
        <v>1144</v>
      </c>
    </row>
    <row r="2796" spans="1:7" s="7" customFormat="1" hidden="1" outlineLevel="1" x14ac:dyDescent="0.15">
      <c r="B2796" s="20" t="s">
        <v>401</v>
      </c>
      <c r="C2796" s="21" t="s">
        <v>1198</v>
      </c>
      <c r="D2796" s="21" t="s">
        <v>1087</v>
      </c>
      <c r="E2796" s="21">
        <v>0</v>
      </c>
      <c r="F2796" s="21"/>
      <c r="G2796" s="22" t="s">
        <v>1080</v>
      </c>
    </row>
    <row r="2797" spans="1:7" s="7" customFormat="1" hidden="1" outlineLevel="1" x14ac:dyDescent="0.15">
      <c r="B2797" s="20" t="s">
        <v>402</v>
      </c>
      <c r="C2797" s="21" t="s">
        <v>1083</v>
      </c>
      <c r="D2797" s="21" t="s">
        <v>1087</v>
      </c>
      <c r="E2797" s="21">
        <v>0</v>
      </c>
      <c r="F2797" s="21"/>
      <c r="G2797" s="22"/>
    </row>
    <row r="2798" spans="1:7" s="7" customFormat="1" hidden="1" outlineLevel="1" x14ac:dyDescent="0.15">
      <c r="B2798" s="20" t="s">
        <v>403</v>
      </c>
      <c r="C2798" s="21" t="s">
        <v>1135</v>
      </c>
      <c r="D2798" s="21" t="s">
        <v>1087</v>
      </c>
      <c r="E2798" s="21">
        <v>0</v>
      </c>
      <c r="F2798" s="21"/>
      <c r="G2798" s="22"/>
    </row>
    <row r="2799" spans="1:7" s="7" customFormat="1" hidden="1" outlineLevel="1" x14ac:dyDescent="0.15">
      <c r="B2799" s="20" t="s">
        <v>404</v>
      </c>
      <c r="C2799" s="21" t="s">
        <v>1335</v>
      </c>
      <c r="D2799" s="21" t="s">
        <v>1087</v>
      </c>
      <c r="E2799" s="21">
        <v>0</v>
      </c>
      <c r="F2799" s="21"/>
      <c r="G2799" s="22"/>
    </row>
    <row r="2800" spans="1:7" s="7" customFormat="1" hidden="1" outlineLevel="1" x14ac:dyDescent="0.15">
      <c r="B2800" s="20" t="s">
        <v>405</v>
      </c>
      <c r="C2800" s="21" t="s">
        <v>1199</v>
      </c>
      <c r="D2800" s="21" t="s">
        <v>1087</v>
      </c>
      <c r="E2800" s="21">
        <v>0</v>
      </c>
      <c r="F2800" s="21"/>
      <c r="G2800" s="22"/>
    </row>
    <row r="2801" spans="1:7" s="7" customFormat="1" hidden="1" outlineLevel="1" x14ac:dyDescent="0.15">
      <c r="B2801" s="20" t="s">
        <v>406</v>
      </c>
      <c r="C2801" s="21" t="s">
        <v>1145</v>
      </c>
      <c r="D2801" s="21" t="s">
        <v>1087</v>
      </c>
      <c r="E2801" s="21">
        <v>0</v>
      </c>
      <c r="F2801" s="21"/>
      <c r="G2801" s="22"/>
    </row>
    <row r="2802" spans="1:7" s="7" customFormat="1" hidden="1" outlineLevel="1" x14ac:dyDescent="0.15">
      <c r="B2802" s="20" t="s">
        <v>407</v>
      </c>
      <c r="C2802" s="21" t="s">
        <v>1136</v>
      </c>
      <c r="D2802" s="21" t="s">
        <v>1087</v>
      </c>
      <c r="E2802" s="21">
        <v>0</v>
      </c>
      <c r="F2802" s="21"/>
      <c r="G2802" s="22"/>
    </row>
    <row r="2803" spans="1:7" s="7" customFormat="1" hidden="1" outlineLevel="1" x14ac:dyDescent="0.15">
      <c r="B2803" s="20" t="s">
        <v>408</v>
      </c>
      <c r="C2803" s="21" t="s">
        <v>1200</v>
      </c>
      <c r="D2803" s="21" t="s">
        <v>1087</v>
      </c>
      <c r="E2803" s="21">
        <v>0</v>
      </c>
      <c r="F2803" s="21"/>
      <c r="G2803" s="22"/>
    </row>
    <row r="2804" spans="1:7" s="7" customFormat="1" hidden="1" outlineLevel="1" x14ac:dyDescent="0.15">
      <c r="B2804" s="20" t="s">
        <v>409</v>
      </c>
      <c r="C2804" s="21" t="s">
        <v>1201</v>
      </c>
      <c r="D2804" s="21" t="s">
        <v>1087</v>
      </c>
      <c r="E2804" s="21">
        <v>0</v>
      </c>
      <c r="F2804" s="21"/>
      <c r="G2804" s="22"/>
    </row>
    <row r="2805" spans="1:7" s="7" customFormat="1" hidden="1" outlineLevel="1" x14ac:dyDescent="0.15">
      <c r="B2805" s="20" t="s">
        <v>410</v>
      </c>
      <c r="C2805" s="21" t="s">
        <v>1137</v>
      </c>
      <c r="D2805" s="21" t="s">
        <v>1087</v>
      </c>
      <c r="E2805" s="21">
        <v>0</v>
      </c>
      <c r="F2805" s="21"/>
      <c r="G2805" s="22"/>
    </row>
    <row r="2806" spans="1:7" s="7" customFormat="1" hidden="1" outlineLevel="1" x14ac:dyDescent="0.15">
      <c r="B2806" s="20" t="s">
        <v>411</v>
      </c>
      <c r="C2806" s="21" t="s">
        <v>1138</v>
      </c>
      <c r="D2806" s="21" t="s">
        <v>1087</v>
      </c>
      <c r="E2806" s="21">
        <v>0</v>
      </c>
      <c r="F2806" s="21"/>
      <c r="G2806" s="22"/>
    </row>
    <row r="2807" spans="1:7" s="7" customFormat="1" hidden="1" outlineLevel="1" x14ac:dyDescent="0.15">
      <c r="B2807" s="20" t="s">
        <v>412</v>
      </c>
      <c r="C2807" s="21" t="s">
        <v>1202</v>
      </c>
      <c r="D2807" s="21" t="s">
        <v>1087</v>
      </c>
      <c r="E2807" s="21">
        <v>0</v>
      </c>
      <c r="F2807" s="21"/>
      <c r="G2807" s="22"/>
    </row>
    <row r="2808" spans="1:7" s="7" customFormat="1" hidden="1" outlineLevel="1" x14ac:dyDescent="0.15">
      <c r="B2808" s="20" t="s">
        <v>413</v>
      </c>
      <c r="C2808" s="21" t="s">
        <v>1139</v>
      </c>
      <c r="D2808" s="21" t="s">
        <v>1087</v>
      </c>
      <c r="E2808" s="21">
        <v>0</v>
      </c>
      <c r="F2808" s="21"/>
      <c r="G2808" s="22"/>
    </row>
    <row r="2809" spans="1:7" s="7" customFormat="1" hidden="1" outlineLevel="1" x14ac:dyDescent="0.15">
      <c r="B2809" s="20" t="s">
        <v>153</v>
      </c>
      <c r="C2809" s="15" t="s">
        <v>1143</v>
      </c>
      <c r="D2809" s="15" t="s">
        <v>1169</v>
      </c>
      <c r="E2809" s="15">
        <v>0</v>
      </c>
      <c r="F2809" s="15"/>
      <c r="G2809" s="16"/>
    </row>
    <row r="2810" spans="1:7" s="7" customFormat="1" hidden="1" outlineLevel="1" x14ac:dyDescent="0.15">
      <c r="B2810" s="20" t="s">
        <v>414</v>
      </c>
      <c r="C2810" s="15" t="s">
        <v>1213</v>
      </c>
      <c r="D2810" s="15" t="s">
        <v>1169</v>
      </c>
      <c r="E2810" s="15">
        <v>0</v>
      </c>
      <c r="F2810" s="15"/>
      <c r="G2810" s="16"/>
    </row>
    <row r="2811" spans="1:7" s="7" customFormat="1" hidden="1" outlineLevel="1" x14ac:dyDescent="0.15">
      <c r="B2811" s="20" t="s">
        <v>13</v>
      </c>
      <c r="C2811" s="15" t="s">
        <v>1205</v>
      </c>
      <c r="D2811" s="15" t="s">
        <v>1169</v>
      </c>
      <c r="E2811" s="15">
        <v>0</v>
      </c>
      <c r="F2811" s="15"/>
      <c r="G2811" s="16"/>
    </row>
    <row r="2812" spans="1:7" s="7" customFormat="1" hidden="1" outlineLevel="1" x14ac:dyDescent="0.15">
      <c r="B2812" s="20" t="s">
        <v>14</v>
      </c>
      <c r="C2812" s="15" t="s">
        <v>1206</v>
      </c>
      <c r="D2812" s="15" t="s">
        <v>1169</v>
      </c>
      <c r="E2812" s="15">
        <v>0</v>
      </c>
      <c r="F2812" s="15"/>
      <c r="G2812" s="16"/>
    </row>
    <row r="2813" spans="1:7" s="7" customFormat="1" ht="18" hidden="1" outlineLevel="1" thickBot="1" x14ac:dyDescent="0.2">
      <c r="B2813" s="20"/>
      <c r="C2813" s="15"/>
      <c r="D2813" s="15"/>
      <c r="E2813" s="15"/>
      <c r="F2813" s="15"/>
      <c r="G2813" s="16"/>
    </row>
    <row r="2814" spans="1:7" s="7" customFormat="1" hidden="1" outlineLevel="1" x14ac:dyDescent="0.15">
      <c r="B2814" s="327" t="s">
        <v>15</v>
      </c>
      <c r="C2814" s="328"/>
      <c r="D2814" s="328"/>
      <c r="E2814" s="328"/>
      <c r="F2814" s="328"/>
      <c r="G2814" s="329"/>
    </row>
    <row r="2815" spans="1:7" s="7" customFormat="1" hidden="1" outlineLevel="1" x14ac:dyDescent="0.15">
      <c r="A2815" s="7" t="s">
        <v>62</v>
      </c>
      <c r="B2815" s="20">
        <v>1</v>
      </c>
      <c r="C2815" s="21" t="s">
        <v>123</v>
      </c>
      <c r="D2815" s="21" t="s">
        <v>113</v>
      </c>
      <c r="E2815" s="21" t="s">
        <v>114</v>
      </c>
      <c r="F2815" s="21" t="s">
        <v>115</v>
      </c>
      <c r="G2815" s="29"/>
    </row>
    <row r="2816" spans="1:7" s="7" customFormat="1" hidden="1" outlineLevel="1" x14ac:dyDescent="0.15">
      <c r="B2816" s="20">
        <v>2</v>
      </c>
      <c r="C2816" s="21" t="s">
        <v>122</v>
      </c>
      <c r="D2816" s="21" t="s">
        <v>111</v>
      </c>
      <c r="E2816" s="21"/>
      <c r="F2816" s="29"/>
      <c r="G2816" s="141"/>
    </row>
    <row r="2817" spans="1:7" s="7" customFormat="1" ht="18" hidden="1" outlineLevel="1" thickBot="1" x14ac:dyDescent="0.2">
      <c r="B2817" s="24"/>
      <c r="C2817" s="9"/>
      <c r="D2817" s="9"/>
      <c r="E2817" s="9"/>
      <c r="F2817" s="9"/>
      <c r="G2817" s="11"/>
    </row>
    <row r="2818" spans="1:7" s="7" customFormat="1" hidden="1" outlineLevel="1" x14ac:dyDescent="0.15"/>
    <row r="2819" spans="1:7" s="7" customFormat="1" ht="18" hidden="1" outlineLevel="1" thickBot="1" x14ac:dyDescent="0.2"/>
    <row r="2820" spans="1:7" s="7" customFormat="1" ht="18" collapsed="1" thickBot="1" x14ac:dyDescent="0.2">
      <c r="B2820" s="3" t="s">
        <v>563</v>
      </c>
      <c r="C2820" s="4" t="s">
        <v>661</v>
      </c>
      <c r="D2820" s="5" t="s">
        <v>515</v>
      </c>
      <c r="E2820" s="21" t="s">
        <v>584</v>
      </c>
      <c r="F2820" s="5" t="s">
        <v>567</v>
      </c>
      <c r="G2820" s="6" t="s">
        <v>1620</v>
      </c>
    </row>
    <row r="2821" spans="1:7" s="7" customFormat="1" ht="18" hidden="1" outlineLevel="1" thickBot="1" x14ac:dyDescent="0.2">
      <c r="B2821" s="34" t="s">
        <v>570</v>
      </c>
      <c r="C2821" s="18"/>
      <c r="D2821" s="35" t="s">
        <v>568</v>
      </c>
      <c r="E2821" s="18" t="s">
        <v>615</v>
      </c>
      <c r="F2821" s="35"/>
      <c r="G2821" s="19"/>
    </row>
    <row r="2822" spans="1:7" s="7" customFormat="1" hidden="1" outlineLevel="1" x14ac:dyDescent="0.15">
      <c r="B2822" s="3" t="s">
        <v>0</v>
      </c>
      <c r="C2822" s="5" t="s">
        <v>1</v>
      </c>
      <c r="D2822" s="5" t="s">
        <v>2</v>
      </c>
      <c r="E2822" s="5"/>
      <c r="F2822" s="5" t="s">
        <v>3</v>
      </c>
      <c r="G2822" s="36" t="s">
        <v>4</v>
      </c>
    </row>
    <row r="2823" spans="1:7" s="7" customFormat="1" hidden="1" outlineLevel="1" x14ac:dyDescent="0.15">
      <c r="B2823" s="20" t="s">
        <v>5</v>
      </c>
      <c r="C2823" s="21" t="s">
        <v>1127</v>
      </c>
      <c r="D2823" s="21" t="s">
        <v>211</v>
      </c>
      <c r="E2823" s="21" t="s">
        <v>1141</v>
      </c>
      <c r="F2823" s="21"/>
      <c r="G2823" s="22" t="s">
        <v>1162</v>
      </c>
    </row>
    <row r="2824" spans="1:7" s="7" customFormat="1" hidden="1" outlineLevel="1" x14ac:dyDescent="0.15">
      <c r="A2824" s="2"/>
      <c r="B2824" s="20" t="s">
        <v>6</v>
      </c>
      <c r="C2824" s="21" t="s">
        <v>1163</v>
      </c>
      <c r="D2824" s="21" t="s">
        <v>211</v>
      </c>
      <c r="E2824" s="21">
        <v>0</v>
      </c>
      <c r="F2824" s="21"/>
      <c r="G2824" s="22" t="s">
        <v>1077</v>
      </c>
    </row>
    <row r="2825" spans="1:7" s="7" customFormat="1" hidden="1" outlineLevel="1" x14ac:dyDescent="0.15">
      <c r="A2825" s="2"/>
      <c r="B2825" s="20" t="s">
        <v>111</v>
      </c>
      <c r="C2825" s="21" t="s">
        <v>1164</v>
      </c>
      <c r="D2825" s="21" t="s">
        <v>211</v>
      </c>
      <c r="E2825" s="21">
        <v>0</v>
      </c>
      <c r="F2825" s="21"/>
      <c r="G2825" s="22" t="s">
        <v>1165</v>
      </c>
    </row>
    <row r="2826" spans="1:7" s="7" customFormat="1" hidden="1" outlineLevel="1" x14ac:dyDescent="0.15">
      <c r="A2826" s="2"/>
      <c r="B2826" s="20" t="s">
        <v>123</v>
      </c>
      <c r="C2826" s="21" t="s">
        <v>1133</v>
      </c>
      <c r="D2826" s="21" t="s">
        <v>211</v>
      </c>
      <c r="E2826" s="21">
        <v>0</v>
      </c>
      <c r="F2826" s="21"/>
      <c r="G2826" s="22" t="s">
        <v>1182</v>
      </c>
    </row>
    <row r="2827" spans="1:7" s="7" customFormat="1" hidden="1" outlineLevel="1" x14ac:dyDescent="0.15">
      <c r="A2827" s="2"/>
      <c r="B2827" s="20" t="s">
        <v>113</v>
      </c>
      <c r="C2827" s="21" t="s">
        <v>1187</v>
      </c>
      <c r="D2827" s="21" t="s">
        <v>211</v>
      </c>
      <c r="E2827" s="21">
        <v>0</v>
      </c>
      <c r="F2827" s="21"/>
      <c r="G2827" s="22"/>
    </row>
    <row r="2828" spans="1:7" s="7" customFormat="1" hidden="1" outlineLevel="1" x14ac:dyDescent="0.15">
      <c r="B2828" s="20" t="s">
        <v>7</v>
      </c>
      <c r="C2828" s="21" t="s">
        <v>1190</v>
      </c>
      <c r="D2828" s="21" t="s">
        <v>211</v>
      </c>
      <c r="E2828" s="21">
        <v>0</v>
      </c>
      <c r="F2828" s="21"/>
      <c r="G2828" s="22" t="s">
        <v>1081</v>
      </c>
    </row>
    <row r="2829" spans="1:7" s="7" customFormat="1" hidden="1" outlineLevel="1" x14ac:dyDescent="0.15">
      <c r="B2829" s="20" t="s">
        <v>114</v>
      </c>
      <c r="C2829" s="21" t="s">
        <v>1155</v>
      </c>
      <c r="D2829" s="21" t="s">
        <v>211</v>
      </c>
      <c r="E2829" s="21">
        <v>0</v>
      </c>
      <c r="F2829" s="21"/>
      <c r="G2829" s="22"/>
    </row>
    <row r="2830" spans="1:7" s="7" customFormat="1" hidden="1" outlineLevel="1" x14ac:dyDescent="0.15">
      <c r="B2830" s="20" t="s">
        <v>115</v>
      </c>
      <c r="C2830" s="21" t="s">
        <v>1188</v>
      </c>
      <c r="D2830" s="21" t="s">
        <v>211</v>
      </c>
      <c r="E2830" s="21">
        <v>0</v>
      </c>
      <c r="F2830" s="21"/>
      <c r="G2830" s="22"/>
    </row>
    <row r="2831" spans="1:7" s="7" customFormat="1" hidden="1" outlineLevel="1" x14ac:dyDescent="0.15">
      <c r="A2831" s="2"/>
      <c r="B2831" s="20" t="s">
        <v>399</v>
      </c>
      <c r="C2831" s="21" t="s">
        <v>1193</v>
      </c>
      <c r="D2831" s="21" t="s">
        <v>1087</v>
      </c>
      <c r="E2831" s="21">
        <v>0</v>
      </c>
      <c r="F2831" s="21"/>
      <c r="G2831" s="22" t="s">
        <v>1194</v>
      </c>
    </row>
    <row r="2832" spans="1:7" s="7" customFormat="1" hidden="1" outlineLevel="1" x14ac:dyDescent="0.15">
      <c r="A2832" s="2"/>
      <c r="B2832" s="20" t="s">
        <v>156</v>
      </c>
      <c r="C2832" s="21" t="s">
        <v>1195</v>
      </c>
      <c r="D2832" s="21" t="s">
        <v>1087</v>
      </c>
      <c r="E2832" s="21">
        <v>0</v>
      </c>
      <c r="F2832" s="21"/>
      <c r="G2832" s="22" t="s">
        <v>1196</v>
      </c>
    </row>
    <row r="2833" spans="2:7" s="7" customFormat="1" hidden="1" outlineLevel="1" x14ac:dyDescent="0.15">
      <c r="B2833" s="20" t="s">
        <v>400</v>
      </c>
      <c r="C2833" s="21" t="s">
        <v>1197</v>
      </c>
      <c r="D2833" s="21" t="s">
        <v>1087</v>
      </c>
      <c r="E2833" s="21">
        <v>0</v>
      </c>
      <c r="F2833" s="21"/>
      <c r="G2833" s="22" t="s">
        <v>1144</v>
      </c>
    </row>
    <row r="2834" spans="2:7" s="7" customFormat="1" hidden="1" outlineLevel="1" x14ac:dyDescent="0.15">
      <c r="B2834" s="20" t="s">
        <v>401</v>
      </c>
      <c r="C2834" s="21" t="s">
        <v>1198</v>
      </c>
      <c r="D2834" s="21" t="s">
        <v>1087</v>
      </c>
      <c r="E2834" s="21">
        <v>0</v>
      </c>
      <c r="F2834" s="21"/>
      <c r="G2834" s="22" t="s">
        <v>1080</v>
      </c>
    </row>
    <row r="2835" spans="2:7" s="7" customFormat="1" hidden="1" outlineLevel="1" x14ac:dyDescent="0.15">
      <c r="B2835" s="20" t="s">
        <v>402</v>
      </c>
      <c r="C2835" s="21" t="s">
        <v>1083</v>
      </c>
      <c r="D2835" s="21" t="s">
        <v>1087</v>
      </c>
      <c r="E2835" s="21">
        <v>0</v>
      </c>
      <c r="F2835" s="21"/>
      <c r="G2835" s="22"/>
    </row>
    <row r="2836" spans="2:7" s="7" customFormat="1" hidden="1" outlineLevel="1" x14ac:dyDescent="0.15">
      <c r="B2836" s="20" t="s">
        <v>403</v>
      </c>
      <c r="C2836" s="21" t="s">
        <v>1135</v>
      </c>
      <c r="D2836" s="21" t="s">
        <v>1087</v>
      </c>
      <c r="E2836" s="21">
        <v>0</v>
      </c>
      <c r="F2836" s="21"/>
      <c r="G2836" s="22"/>
    </row>
    <row r="2837" spans="2:7" s="7" customFormat="1" hidden="1" outlineLevel="1" x14ac:dyDescent="0.15">
      <c r="B2837" s="20" t="s">
        <v>404</v>
      </c>
      <c r="C2837" s="21" t="s">
        <v>1335</v>
      </c>
      <c r="D2837" s="21" t="s">
        <v>1087</v>
      </c>
      <c r="E2837" s="21">
        <v>0</v>
      </c>
      <c r="F2837" s="21"/>
      <c r="G2837" s="22"/>
    </row>
    <row r="2838" spans="2:7" s="7" customFormat="1" hidden="1" outlineLevel="1" x14ac:dyDescent="0.15">
      <c r="B2838" s="20" t="s">
        <v>405</v>
      </c>
      <c r="C2838" s="21" t="s">
        <v>1199</v>
      </c>
      <c r="D2838" s="21" t="s">
        <v>1087</v>
      </c>
      <c r="E2838" s="21">
        <v>0</v>
      </c>
      <c r="F2838" s="21"/>
      <c r="G2838" s="22"/>
    </row>
    <row r="2839" spans="2:7" s="7" customFormat="1" hidden="1" outlineLevel="1" x14ac:dyDescent="0.15">
      <c r="B2839" s="20" t="s">
        <v>406</v>
      </c>
      <c r="C2839" s="21" t="s">
        <v>1145</v>
      </c>
      <c r="D2839" s="21" t="s">
        <v>1087</v>
      </c>
      <c r="E2839" s="21">
        <v>0</v>
      </c>
      <c r="F2839" s="21"/>
      <c r="G2839" s="22"/>
    </row>
    <row r="2840" spans="2:7" s="7" customFormat="1" hidden="1" outlineLevel="1" x14ac:dyDescent="0.15">
      <c r="B2840" s="20" t="s">
        <v>407</v>
      </c>
      <c r="C2840" s="21" t="s">
        <v>1136</v>
      </c>
      <c r="D2840" s="21" t="s">
        <v>1087</v>
      </c>
      <c r="E2840" s="21">
        <v>0</v>
      </c>
      <c r="F2840" s="21"/>
      <c r="G2840" s="22"/>
    </row>
    <row r="2841" spans="2:7" s="7" customFormat="1" hidden="1" outlineLevel="1" x14ac:dyDescent="0.15">
      <c r="B2841" s="20" t="s">
        <v>408</v>
      </c>
      <c r="C2841" s="21" t="s">
        <v>1200</v>
      </c>
      <c r="D2841" s="21" t="s">
        <v>1087</v>
      </c>
      <c r="E2841" s="21">
        <v>0</v>
      </c>
      <c r="F2841" s="21"/>
      <c r="G2841" s="22"/>
    </row>
    <row r="2842" spans="2:7" s="7" customFormat="1" hidden="1" outlineLevel="1" x14ac:dyDescent="0.15">
      <c r="B2842" s="20" t="s">
        <v>409</v>
      </c>
      <c r="C2842" s="21" t="s">
        <v>1201</v>
      </c>
      <c r="D2842" s="21" t="s">
        <v>1087</v>
      </c>
      <c r="E2842" s="21">
        <v>0</v>
      </c>
      <c r="F2842" s="21"/>
      <c r="G2842" s="22"/>
    </row>
    <row r="2843" spans="2:7" s="7" customFormat="1" hidden="1" outlineLevel="1" x14ac:dyDescent="0.15">
      <c r="B2843" s="20" t="s">
        <v>410</v>
      </c>
      <c r="C2843" s="21" t="s">
        <v>1137</v>
      </c>
      <c r="D2843" s="21" t="s">
        <v>1087</v>
      </c>
      <c r="E2843" s="21">
        <v>0</v>
      </c>
      <c r="F2843" s="21"/>
      <c r="G2843" s="22"/>
    </row>
    <row r="2844" spans="2:7" s="7" customFormat="1" hidden="1" outlineLevel="1" x14ac:dyDescent="0.15">
      <c r="B2844" s="20" t="s">
        <v>411</v>
      </c>
      <c r="C2844" s="21" t="s">
        <v>1138</v>
      </c>
      <c r="D2844" s="21" t="s">
        <v>1087</v>
      </c>
      <c r="E2844" s="21">
        <v>0</v>
      </c>
      <c r="F2844" s="21"/>
      <c r="G2844" s="22"/>
    </row>
    <row r="2845" spans="2:7" s="7" customFormat="1" hidden="1" outlineLevel="1" x14ac:dyDescent="0.15">
      <c r="B2845" s="20" t="s">
        <v>412</v>
      </c>
      <c r="C2845" s="21" t="s">
        <v>1202</v>
      </c>
      <c r="D2845" s="21" t="s">
        <v>1087</v>
      </c>
      <c r="E2845" s="21">
        <v>0</v>
      </c>
      <c r="F2845" s="21"/>
      <c r="G2845" s="22"/>
    </row>
    <row r="2846" spans="2:7" s="7" customFormat="1" hidden="1" outlineLevel="1" x14ac:dyDescent="0.15">
      <c r="B2846" s="20" t="s">
        <v>413</v>
      </c>
      <c r="C2846" s="21" t="s">
        <v>1139</v>
      </c>
      <c r="D2846" s="21" t="s">
        <v>1087</v>
      </c>
      <c r="E2846" s="21">
        <v>0</v>
      </c>
      <c r="F2846" s="21"/>
      <c r="G2846" s="22"/>
    </row>
    <row r="2847" spans="2:7" s="7" customFormat="1" hidden="1" outlineLevel="1" x14ac:dyDescent="0.15">
      <c r="B2847" s="20" t="s">
        <v>153</v>
      </c>
      <c r="C2847" s="15" t="s">
        <v>1143</v>
      </c>
      <c r="D2847" s="15" t="s">
        <v>1169</v>
      </c>
      <c r="E2847" s="15">
        <v>0</v>
      </c>
      <c r="F2847" s="15"/>
      <c r="G2847" s="16"/>
    </row>
    <row r="2848" spans="2:7" s="7" customFormat="1" hidden="1" outlineLevel="1" x14ac:dyDescent="0.15">
      <c r="B2848" s="20" t="s">
        <v>414</v>
      </c>
      <c r="C2848" s="15" t="s">
        <v>1213</v>
      </c>
      <c r="D2848" s="15" t="s">
        <v>1169</v>
      </c>
      <c r="E2848" s="15">
        <v>0</v>
      </c>
      <c r="F2848" s="15"/>
      <c r="G2848" s="16"/>
    </row>
    <row r="2849" spans="1:7" s="7" customFormat="1" hidden="1" outlineLevel="1" x14ac:dyDescent="0.15">
      <c r="B2849" s="20" t="s">
        <v>13</v>
      </c>
      <c r="C2849" s="15" t="s">
        <v>1205</v>
      </c>
      <c r="D2849" s="15" t="s">
        <v>1169</v>
      </c>
      <c r="E2849" s="15">
        <v>0</v>
      </c>
      <c r="F2849" s="15"/>
      <c r="G2849" s="16"/>
    </row>
    <row r="2850" spans="1:7" s="7" customFormat="1" hidden="1" outlineLevel="1" x14ac:dyDescent="0.15">
      <c r="B2850" s="20" t="s">
        <v>14</v>
      </c>
      <c r="C2850" s="15" t="s">
        <v>1206</v>
      </c>
      <c r="D2850" s="15" t="s">
        <v>1169</v>
      </c>
      <c r="E2850" s="15">
        <v>0</v>
      </c>
      <c r="F2850" s="15"/>
      <c r="G2850" s="16"/>
    </row>
    <row r="2851" spans="1:7" s="7" customFormat="1" ht="18" hidden="1" outlineLevel="1" thickBot="1" x14ac:dyDescent="0.2">
      <c r="B2851" s="14"/>
      <c r="C2851" s="15"/>
      <c r="D2851" s="15"/>
      <c r="E2851" s="15"/>
      <c r="F2851" s="15"/>
      <c r="G2851" s="16"/>
    </row>
    <row r="2852" spans="1:7" s="7" customFormat="1" hidden="1" outlineLevel="1" x14ac:dyDescent="0.15">
      <c r="B2852" s="327" t="s">
        <v>15</v>
      </c>
      <c r="C2852" s="328"/>
      <c r="D2852" s="328"/>
      <c r="E2852" s="328"/>
      <c r="F2852" s="328"/>
      <c r="G2852" s="329"/>
    </row>
    <row r="2853" spans="1:7" s="7" customFormat="1" hidden="1" outlineLevel="1" x14ac:dyDescent="0.15">
      <c r="A2853" s="7" t="s">
        <v>62</v>
      </c>
      <c r="B2853" s="20">
        <v>1</v>
      </c>
      <c r="C2853" s="21" t="s">
        <v>22</v>
      </c>
      <c r="D2853" s="21" t="s">
        <v>123</v>
      </c>
      <c r="E2853" s="21" t="s">
        <v>113</v>
      </c>
      <c r="F2853" s="21" t="s">
        <v>114</v>
      </c>
      <c r="G2853" s="21" t="s">
        <v>115</v>
      </c>
    </row>
    <row r="2854" spans="1:7" s="7" customFormat="1" hidden="1" outlineLevel="1" x14ac:dyDescent="0.15">
      <c r="B2854" s="20">
        <v>2</v>
      </c>
      <c r="C2854" s="21" t="s">
        <v>22</v>
      </c>
      <c r="D2854" s="21" t="s">
        <v>16</v>
      </c>
      <c r="E2854" s="21" t="s">
        <v>111</v>
      </c>
      <c r="F2854" s="29"/>
      <c r="G2854" s="141"/>
    </row>
    <row r="2855" spans="1:7" s="7" customFormat="1" ht="18" hidden="1" outlineLevel="1" thickBot="1" x14ac:dyDescent="0.2">
      <c r="B2855" s="24"/>
      <c r="C2855" s="9"/>
      <c r="D2855" s="9"/>
      <c r="E2855" s="9"/>
      <c r="F2855" s="9"/>
      <c r="G2855" s="11"/>
    </row>
    <row r="2856" spans="1:7" s="7" customFormat="1" hidden="1" outlineLevel="1" x14ac:dyDescent="0.15"/>
    <row r="2857" spans="1:7" s="7" customFormat="1" ht="18" hidden="1" outlineLevel="1" thickBot="1" x14ac:dyDescent="0.2"/>
    <row r="2858" spans="1:7" s="7" customFormat="1" ht="18" collapsed="1" thickBot="1" x14ac:dyDescent="0.2">
      <c r="B2858" s="3" t="s">
        <v>563</v>
      </c>
      <c r="C2858" s="4" t="s">
        <v>646</v>
      </c>
      <c r="D2858" s="5" t="s">
        <v>515</v>
      </c>
      <c r="E2858" s="21" t="s">
        <v>727</v>
      </c>
      <c r="F2858" s="5" t="s">
        <v>567</v>
      </c>
      <c r="G2858" s="6" t="s">
        <v>1620</v>
      </c>
    </row>
    <row r="2859" spans="1:7" s="7" customFormat="1" ht="18" hidden="1" outlineLevel="1" thickBot="1" x14ac:dyDescent="0.2">
      <c r="B2859" s="34" t="s">
        <v>570</v>
      </c>
      <c r="C2859" s="18"/>
      <c r="D2859" s="35" t="s">
        <v>568</v>
      </c>
      <c r="E2859" s="18" t="s">
        <v>615</v>
      </c>
      <c r="F2859" s="35"/>
      <c r="G2859" s="19"/>
    </row>
    <row r="2860" spans="1:7" s="7" customFormat="1" hidden="1" outlineLevel="1" x14ac:dyDescent="0.15">
      <c r="B2860" s="3" t="s">
        <v>0</v>
      </c>
      <c r="C2860" s="5" t="s">
        <v>1</v>
      </c>
      <c r="D2860" s="5" t="s">
        <v>2</v>
      </c>
      <c r="E2860" s="5"/>
      <c r="F2860" s="5" t="s">
        <v>3</v>
      </c>
      <c r="G2860" s="36" t="s">
        <v>4</v>
      </c>
    </row>
    <row r="2861" spans="1:7" s="7" customFormat="1" hidden="1" outlineLevel="1" x14ac:dyDescent="0.15">
      <c r="A2861" s="2"/>
      <c r="B2861" s="20" t="s">
        <v>6</v>
      </c>
      <c r="C2861" s="21" t="s">
        <v>1163</v>
      </c>
      <c r="D2861" s="21" t="s">
        <v>211</v>
      </c>
      <c r="E2861" s="21">
        <v>0</v>
      </c>
      <c r="F2861" s="21"/>
      <c r="G2861" s="22" t="s">
        <v>1077</v>
      </c>
    </row>
    <row r="2862" spans="1:7" s="7" customFormat="1" hidden="1" outlineLevel="1" x14ac:dyDescent="0.15">
      <c r="A2862" s="2"/>
      <c r="B2862" s="20" t="s">
        <v>111</v>
      </c>
      <c r="C2862" s="21" t="s">
        <v>1164</v>
      </c>
      <c r="D2862" s="21" t="s">
        <v>211</v>
      </c>
      <c r="E2862" s="21">
        <v>0</v>
      </c>
      <c r="F2862" s="21"/>
      <c r="G2862" s="22" t="s">
        <v>1165</v>
      </c>
    </row>
    <row r="2863" spans="1:7" s="7" customFormat="1" hidden="1" outlineLevel="1" x14ac:dyDescent="0.15">
      <c r="A2863" s="2"/>
      <c r="B2863" s="20" t="s">
        <v>113</v>
      </c>
      <c r="C2863" s="21" t="s">
        <v>1187</v>
      </c>
      <c r="D2863" s="21" t="s">
        <v>211</v>
      </c>
      <c r="E2863" s="21">
        <v>0</v>
      </c>
      <c r="F2863" s="21"/>
      <c r="G2863" s="22"/>
    </row>
    <row r="2864" spans="1:7" s="7" customFormat="1" hidden="1" outlineLevel="1" x14ac:dyDescent="0.15">
      <c r="B2864" s="20" t="s">
        <v>7</v>
      </c>
      <c r="C2864" s="21" t="s">
        <v>1190</v>
      </c>
      <c r="D2864" s="21" t="s">
        <v>211</v>
      </c>
      <c r="E2864" s="21">
        <v>0</v>
      </c>
      <c r="F2864" s="21"/>
      <c r="G2864" s="22" t="s">
        <v>1081</v>
      </c>
    </row>
    <row r="2865" spans="1:7" s="7" customFormat="1" hidden="1" outlineLevel="1" x14ac:dyDescent="0.15">
      <c r="B2865" s="20" t="s">
        <v>114</v>
      </c>
      <c r="C2865" s="21" t="s">
        <v>1155</v>
      </c>
      <c r="D2865" s="21" t="s">
        <v>211</v>
      </c>
      <c r="E2865" s="21">
        <v>0</v>
      </c>
      <c r="F2865" s="21"/>
      <c r="G2865" s="22"/>
    </row>
    <row r="2866" spans="1:7" s="7" customFormat="1" hidden="1" outlineLevel="1" x14ac:dyDescent="0.15">
      <c r="B2866" s="20" t="s">
        <v>118</v>
      </c>
      <c r="C2866" s="21" t="s">
        <v>1188</v>
      </c>
      <c r="D2866" s="21" t="s">
        <v>211</v>
      </c>
      <c r="E2866" s="21">
        <v>0</v>
      </c>
      <c r="F2866" s="21"/>
      <c r="G2866" s="22"/>
    </row>
    <row r="2867" spans="1:7" s="7" customFormat="1" hidden="1" outlineLevel="1" x14ac:dyDescent="0.15">
      <c r="A2867" s="2"/>
      <c r="B2867" s="20" t="s">
        <v>399</v>
      </c>
      <c r="C2867" s="21" t="s">
        <v>1193</v>
      </c>
      <c r="D2867" s="21" t="s">
        <v>1087</v>
      </c>
      <c r="E2867" s="21">
        <v>0</v>
      </c>
      <c r="F2867" s="21"/>
      <c r="G2867" s="22" t="s">
        <v>1194</v>
      </c>
    </row>
    <row r="2868" spans="1:7" s="7" customFormat="1" hidden="1" outlineLevel="1" x14ac:dyDescent="0.15">
      <c r="A2868" s="2"/>
      <c r="B2868" s="20" t="s">
        <v>156</v>
      </c>
      <c r="C2868" s="21" t="s">
        <v>1195</v>
      </c>
      <c r="D2868" s="21" t="s">
        <v>1087</v>
      </c>
      <c r="E2868" s="21">
        <v>0</v>
      </c>
      <c r="F2868" s="21"/>
      <c r="G2868" s="22" t="s">
        <v>1196</v>
      </c>
    </row>
    <row r="2869" spans="1:7" s="7" customFormat="1" hidden="1" outlineLevel="1" x14ac:dyDescent="0.15">
      <c r="B2869" s="20" t="s">
        <v>400</v>
      </c>
      <c r="C2869" s="21" t="s">
        <v>1197</v>
      </c>
      <c r="D2869" s="21" t="s">
        <v>1087</v>
      </c>
      <c r="E2869" s="21">
        <v>0</v>
      </c>
      <c r="F2869" s="21"/>
      <c r="G2869" s="22" t="s">
        <v>1144</v>
      </c>
    </row>
    <row r="2870" spans="1:7" s="7" customFormat="1" hidden="1" outlineLevel="1" x14ac:dyDescent="0.15">
      <c r="B2870" s="20" t="s">
        <v>401</v>
      </c>
      <c r="C2870" s="21" t="s">
        <v>1198</v>
      </c>
      <c r="D2870" s="21" t="s">
        <v>1087</v>
      </c>
      <c r="E2870" s="21">
        <v>0</v>
      </c>
      <c r="F2870" s="21"/>
      <c r="G2870" s="22" t="s">
        <v>1080</v>
      </c>
    </row>
    <row r="2871" spans="1:7" s="7" customFormat="1" hidden="1" outlineLevel="1" x14ac:dyDescent="0.15">
      <c r="B2871" s="20" t="s">
        <v>402</v>
      </c>
      <c r="C2871" s="21" t="s">
        <v>1083</v>
      </c>
      <c r="D2871" s="21" t="s">
        <v>1087</v>
      </c>
      <c r="E2871" s="21">
        <v>0</v>
      </c>
      <c r="F2871" s="21"/>
      <c r="G2871" s="22"/>
    </row>
    <row r="2872" spans="1:7" s="7" customFormat="1" hidden="1" outlineLevel="1" x14ac:dyDescent="0.15">
      <c r="B2872" s="20" t="s">
        <v>403</v>
      </c>
      <c r="C2872" s="21" t="s">
        <v>1135</v>
      </c>
      <c r="D2872" s="21" t="s">
        <v>1087</v>
      </c>
      <c r="E2872" s="21">
        <v>0</v>
      </c>
      <c r="F2872" s="21"/>
      <c r="G2872" s="22"/>
    </row>
    <row r="2873" spans="1:7" s="7" customFormat="1" hidden="1" outlineLevel="1" x14ac:dyDescent="0.15">
      <c r="B2873" s="20" t="s">
        <v>404</v>
      </c>
      <c r="C2873" s="21" t="s">
        <v>1335</v>
      </c>
      <c r="D2873" s="21" t="s">
        <v>1087</v>
      </c>
      <c r="E2873" s="21">
        <v>0</v>
      </c>
      <c r="F2873" s="21"/>
      <c r="G2873" s="22"/>
    </row>
    <row r="2874" spans="1:7" s="7" customFormat="1" hidden="1" outlineLevel="1" x14ac:dyDescent="0.15">
      <c r="B2874" s="20" t="s">
        <v>405</v>
      </c>
      <c r="C2874" s="21" t="s">
        <v>1199</v>
      </c>
      <c r="D2874" s="21" t="s">
        <v>1087</v>
      </c>
      <c r="E2874" s="21">
        <v>0</v>
      </c>
      <c r="F2874" s="21"/>
      <c r="G2874" s="22"/>
    </row>
    <row r="2875" spans="1:7" s="7" customFormat="1" hidden="1" outlineLevel="1" x14ac:dyDescent="0.15">
      <c r="B2875" s="20" t="s">
        <v>406</v>
      </c>
      <c r="C2875" s="21" t="s">
        <v>1145</v>
      </c>
      <c r="D2875" s="21" t="s">
        <v>1087</v>
      </c>
      <c r="E2875" s="21">
        <v>0</v>
      </c>
      <c r="F2875" s="21"/>
      <c r="G2875" s="22"/>
    </row>
    <row r="2876" spans="1:7" s="7" customFormat="1" hidden="1" outlineLevel="1" x14ac:dyDescent="0.15">
      <c r="B2876" s="20" t="s">
        <v>407</v>
      </c>
      <c r="C2876" s="21" t="s">
        <v>1136</v>
      </c>
      <c r="D2876" s="21" t="s">
        <v>1087</v>
      </c>
      <c r="E2876" s="21">
        <v>0</v>
      </c>
      <c r="F2876" s="21"/>
      <c r="G2876" s="22"/>
    </row>
    <row r="2877" spans="1:7" s="7" customFormat="1" hidden="1" outlineLevel="1" x14ac:dyDescent="0.15">
      <c r="B2877" s="20" t="s">
        <v>408</v>
      </c>
      <c r="C2877" s="21" t="s">
        <v>1200</v>
      </c>
      <c r="D2877" s="21" t="s">
        <v>1087</v>
      </c>
      <c r="E2877" s="21">
        <v>0</v>
      </c>
      <c r="F2877" s="21"/>
      <c r="G2877" s="22"/>
    </row>
    <row r="2878" spans="1:7" s="7" customFormat="1" hidden="1" outlineLevel="1" x14ac:dyDescent="0.15">
      <c r="B2878" s="20" t="s">
        <v>409</v>
      </c>
      <c r="C2878" s="21" t="s">
        <v>1201</v>
      </c>
      <c r="D2878" s="21" t="s">
        <v>1087</v>
      </c>
      <c r="E2878" s="21">
        <v>0</v>
      </c>
      <c r="F2878" s="21"/>
      <c r="G2878" s="22"/>
    </row>
    <row r="2879" spans="1:7" s="7" customFormat="1" hidden="1" outlineLevel="1" x14ac:dyDescent="0.15">
      <c r="B2879" s="20" t="s">
        <v>410</v>
      </c>
      <c r="C2879" s="21" t="s">
        <v>1137</v>
      </c>
      <c r="D2879" s="21" t="s">
        <v>1087</v>
      </c>
      <c r="E2879" s="21">
        <v>0</v>
      </c>
      <c r="F2879" s="21"/>
      <c r="G2879" s="22"/>
    </row>
    <row r="2880" spans="1:7" s="7" customFormat="1" hidden="1" outlineLevel="1" x14ac:dyDescent="0.15">
      <c r="B2880" s="20" t="s">
        <v>411</v>
      </c>
      <c r="C2880" s="21" t="s">
        <v>1138</v>
      </c>
      <c r="D2880" s="21" t="s">
        <v>1087</v>
      </c>
      <c r="E2880" s="21">
        <v>0</v>
      </c>
      <c r="F2880" s="21"/>
      <c r="G2880" s="22"/>
    </row>
    <row r="2881" spans="1:7" s="7" customFormat="1" hidden="1" outlineLevel="1" x14ac:dyDescent="0.15">
      <c r="B2881" s="20" t="s">
        <v>412</v>
      </c>
      <c r="C2881" s="21" t="s">
        <v>1202</v>
      </c>
      <c r="D2881" s="21" t="s">
        <v>1087</v>
      </c>
      <c r="E2881" s="21">
        <v>0</v>
      </c>
      <c r="F2881" s="21"/>
      <c r="G2881" s="22"/>
    </row>
    <row r="2882" spans="1:7" s="7" customFormat="1" hidden="1" outlineLevel="1" x14ac:dyDescent="0.15">
      <c r="B2882" s="20" t="s">
        <v>413</v>
      </c>
      <c r="C2882" s="21" t="s">
        <v>1139</v>
      </c>
      <c r="D2882" s="21" t="s">
        <v>1087</v>
      </c>
      <c r="E2882" s="21">
        <v>0</v>
      </c>
      <c r="F2882" s="21"/>
      <c r="G2882" s="22"/>
    </row>
    <row r="2883" spans="1:7" s="7" customFormat="1" hidden="1" outlineLevel="1" x14ac:dyDescent="0.15">
      <c r="B2883" s="20" t="s">
        <v>153</v>
      </c>
      <c r="C2883" s="15" t="s">
        <v>1143</v>
      </c>
      <c r="D2883" s="15" t="s">
        <v>1169</v>
      </c>
      <c r="E2883" s="15">
        <v>0</v>
      </c>
      <c r="F2883" s="15"/>
      <c r="G2883" s="16"/>
    </row>
    <row r="2884" spans="1:7" s="7" customFormat="1" hidden="1" outlineLevel="1" x14ac:dyDescent="0.15">
      <c r="B2884" s="20" t="s">
        <v>414</v>
      </c>
      <c r="C2884" s="15" t="s">
        <v>1213</v>
      </c>
      <c r="D2884" s="15" t="s">
        <v>1169</v>
      </c>
      <c r="E2884" s="15">
        <v>0</v>
      </c>
      <c r="F2884" s="15"/>
      <c r="G2884" s="16"/>
    </row>
    <row r="2885" spans="1:7" s="7" customFormat="1" hidden="1" outlineLevel="1" x14ac:dyDescent="0.15">
      <c r="B2885" s="20" t="s">
        <v>13</v>
      </c>
      <c r="C2885" s="15" t="s">
        <v>1205</v>
      </c>
      <c r="D2885" s="15" t="s">
        <v>1169</v>
      </c>
      <c r="E2885" s="15">
        <v>0</v>
      </c>
      <c r="F2885" s="15"/>
      <c r="G2885" s="16"/>
    </row>
    <row r="2886" spans="1:7" s="7" customFormat="1" hidden="1" outlineLevel="1" x14ac:dyDescent="0.15">
      <c r="B2886" s="20" t="s">
        <v>14</v>
      </c>
      <c r="C2886" s="15" t="s">
        <v>1206</v>
      </c>
      <c r="D2886" s="15" t="s">
        <v>1169</v>
      </c>
      <c r="E2886" s="15">
        <v>0</v>
      </c>
      <c r="F2886" s="15"/>
      <c r="G2886" s="16"/>
    </row>
    <row r="2887" spans="1:7" s="7" customFormat="1" ht="18" hidden="1" outlineLevel="1" thickBot="1" x14ac:dyDescent="0.2">
      <c r="B2887" s="14"/>
      <c r="C2887" s="15"/>
      <c r="D2887" s="15"/>
      <c r="E2887" s="15"/>
      <c r="F2887" s="15"/>
      <c r="G2887" s="16"/>
    </row>
    <row r="2888" spans="1:7" s="7" customFormat="1" hidden="1" outlineLevel="1" x14ac:dyDescent="0.15">
      <c r="B2888" s="327" t="s">
        <v>15</v>
      </c>
      <c r="C2888" s="328"/>
      <c r="D2888" s="328"/>
      <c r="E2888" s="328"/>
      <c r="F2888" s="328"/>
      <c r="G2888" s="329"/>
    </row>
    <row r="2889" spans="1:7" s="7" customFormat="1" hidden="1" outlineLevel="1" x14ac:dyDescent="0.15">
      <c r="A2889" s="7" t="s">
        <v>62</v>
      </c>
      <c r="B2889" s="20">
        <v>1</v>
      </c>
      <c r="C2889" s="21" t="s">
        <v>113</v>
      </c>
      <c r="D2889" s="21" t="s">
        <v>114</v>
      </c>
      <c r="E2889" s="21" t="s">
        <v>118</v>
      </c>
      <c r="F2889" s="29"/>
      <c r="G2889" s="141"/>
    </row>
    <row r="2890" spans="1:7" s="7" customFormat="1" hidden="1" outlineLevel="1" x14ac:dyDescent="0.15">
      <c r="B2890" s="20">
        <v>2</v>
      </c>
      <c r="C2890" s="21" t="s">
        <v>122</v>
      </c>
      <c r="D2890" s="21" t="s">
        <v>111</v>
      </c>
      <c r="E2890" s="21"/>
      <c r="F2890" s="29"/>
      <c r="G2890" s="141"/>
    </row>
    <row r="2891" spans="1:7" s="7" customFormat="1" ht="18" hidden="1" outlineLevel="1" thickBot="1" x14ac:dyDescent="0.2">
      <c r="B2891" s="24"/>
      <c r="C2891" s="9"/>
      <c r="D2891" s="9"/>
      <c r="E2891" s="9"/>
      <c r="F2891" s="9"/>
      <c r="G2891" s="11"/>
    </row>
    <row r="2892" spans="1:7" s="7" customFormat="1" hidden="1" outlineLevel="1" x14ac:dyDescent="0.15"/>
    <row r="2893" spans="1:7" s="7" customFormat="1" ht="18" hidden="1" outlineLevel="1" thickBot="1" x14ac:dyDescent="0.2"/>
    <row r="2894" spans="1:7" s="7" customFormat="1" ht="18" collapsed="1" thickBot="1" x14ac:dyDescent="0.2">
      <c r="B2894" s="3" t="s">
        <v>563</v>
      </c>
      <c r="C2894" s="4" t="s">
        <v>649</v>
      </c>
      <c r="D2894" s="5" t="s">
        <v>515</v>
      </c>
      <c r="E2894" s="21" t="s">
        <v>608</v>
      </c>
      <c r="F2894" s="5" t="s">
        <v>567</v>
      </c>
      <c r="G2894" s="6" t="s">
        <v>1620</v>
      </c>
    </row>
    <row r="2895" spans="1:7" s="7" customFormat="1" ht="18" hidden="1" outlineLevel="1" thickBot="1" x14ac:dyDescent="0.2">
      <c r="B2895" s="34" t="s">
        <v>570</v>
      </c>
      <c r="C2895" s="18"/>
      <c r="D2895" s="35" t="s">
        <v>568</v>
      </c>
      <c r="E2895" s="18" t="s">
        <v>615</v>
      </c>
      <c r="F2895" s="35"/>
      <c r="G2895" s="19"/>
    </row>
    <row r="2896" spans="1:7" s="7" customFormat="1" hidden="1" outlineLevel="1" x14ac:dyDescent="0.15">
      <c r="B2896" s="3" t="s">
        <v>0</v>
      </c>
      <c r="C2896" s="5" t="s">
        <v>1</v>
      </c>
      <c r="D2896" s="5" t="s">
        <v>2</v>
      </c>
      <c r="E2896" s="5"/>
      <c r="F2896" s="5" t="s">
        <v>3</v>
      </c>
      <c r="G2896" s="36" t="s">
        <v>4</v>
      </c>
    </row>
    <row r="2897" spans="1:7" s="7" customFormat="1" hidden="1" outlineLevel="1" x14ac:dyDescent="0.15">
      <c r="B2897" s="20" t="s">
        <v>5</v>
      </c>
      <c r="C2897" s="21" t="s">
        <v>1127</v>
      </c>
      <c r="D2897" s="21" t="s">
        <v>211</v>
      </c>
      <c r="E2897" s="21" t="s">
        <v>1141</v>
      </c>
      <c r="F2897" s="21"/>
      <c r="G2897" s="22" t="s">
        <v>1162</v>
      </c>
    </row>
    <row r="2898" spans="1:7" s="7" customFormat="1" hidden="1" outlineLevel="1" x14ac:dyDescent="0.15">
      <c r="A2898" s="2"/>
      <c r="B2898" s="20" t="s">
        <v>6</v>
      </c>
      <c r="C2898" s="21" t="s">
        <v>1163</v>
      </c>
      <c r="D2898" s="21" t="s">
        <v>211</v>
      </c>
      <c r="E2898" s="21">
        <v>0</v>
      </c>
      <c r="F2898" s="21"/>
      <c r="G2898" s="22" t="s">
        <v>1077</v>
      </c>
    </row>
    <row r="2899" spans="1:7" s="7" customFormat="1" hidden="1" outlineLevel="1" x14ac:dyDescent="0.15">
      <c r="A2899" s="2"/>
      <c r="B2899" s="20" t="s">
        <v>111</v>
      </c>
      <c r="C2899" s="21" t="s">
        <v>1164</v>
      </c>
      <c r="D2899" s="21" t="s">
        <v>211</v>
      </c>
      <c r="E2899" s="21">
        <v>0</v>
      </c>
      <c r="F2899" s="21"/>
      <c r="G2899" s="22" t="s">
        <v>1165</v>
      </c>
    </row>
    <row r="2900" spans="1:7" s="7" customFormat="1" hidden="1" outlineLevel="1" x14ac:dyDescent="0.15">
      <c r="A2900" s="2"/>
      <c r="B2900" s="20" t="s">
        <v>113</v>
      </c>
      <c r="C2900" s="21" t="s">
        <v>1187</v>
      </c>
      <c r="D2900" s="21" t="s">
        <v>211</v>
      </c>
      <c r="E2900" s="21">
        <v>0</v>
      </c>
      <c r="F2900" s="21"/>
      <c r="G2900" s="22"/>
    </row>
    <row r="2901" spans="1:7" s="7" customFormat="1" hidden="1" outlineLevel="1" x14ac:dyDescent="0.15">
      <c r="B2901" s="20" t="s">
        <v>7</v>
      </c>
      <c r="C2901" s="21" t="s">
        <v>1190</v>
      </c>
      <c r="D2901" s="21" t="s">
        <v>211</v>
      </c>
      <c r="E2901" s="21">
        <v>0</v>
      </c>
      <c r="F2901" s="21"/>
      <c r="G2901" s="22" t="s">
        <v>1081</v>
      </c>
    </row>
    <row r="2902" spans="1:7" s="7" customFormat="1" hidden="1" outlineLevel="1" x14ac:dyDescent="0.15">
      <c r="B2902" s="20" t="s">
        <v>114</v>
      </c>
      <c r="C2902" s="21" t="s">
        <v>1155</v>
      </c>
      <c r="D2902" s="21" t="s">
        <v>211</v>
      </c>
      <c r="E2902" s="21">
        <v>0</v>
      </c>
      <c r="F2902" s="21"/>
      <c r="G2902" s="22"/>
    </row>
    <row r="2903" spans="1:7" s="7" customFormat="1" hidden="1" outlineLevel="1" x14ac:dyDescent="0.15">
      <c r="B2903" s="20" t="s">
        <v>118</v>
      </c>
      <c r="C2903" s="21" t="s">
        <v>1188</v>
      </c>
      <c r="D2903" s="21" t="s">
        <v>211</v>
      </c>
      <c r="E2903" s="21">
        <v>0</v>
      </c>
      <c r="F2903" s="21"/>
      <c r="G2903" s="22"/>
    </row>
    <row r="2904" spans="1:7" s="7" customFormat="1" hidden="1" outlineLevel="1" x14ac:dyDescent="0.15">
      <c r="A2904" s="2"/>
      <c r="B2904" s="20" t="s">
        <v>399</v>
      </c>
      <c r="C2904" s="21" t="s">
        <v>1193</v>
      </c>
      <c r="D2904" s="21" t="s">
        <v>1087</v>
      </c>
      <c r="E2904" s="21">
        <v>0</v>
      </c>
      <c r="F2904" s="21"/>
      <c r="G2904" s="22" t="s">
        <v>1194</v>
      </c>
    </row>
    <row r="2905" spans="1:7" s="7" customFormat="1" hidden="1" outlineLevel="1" x14ac:dyDescent="0.15">
      <c r="A2905" s="2"/>
      <c r="B2905" s="20" t="s">
        <v>156</v>
      </c>
      <c r="C2905" s="21" t="s">
        <v>1195</v>
      </c>
      <c r="D2905" s="21" t="s">
        <v>1087</v>
      </c>
      <c r="E2905" s="21">
        <v>0</v>
      </c>
      <c r="F2905" s="21"/>
      <c r="G2905" s="22" t="s">
        <v>1196</v>
      </c>
    </row>
    <row r="2906" spans="1:7" s="7" customFormat="1" hidden="1" outlineLevel="1" x14ac:dyDescent="0.15">
      <c r="B2906" s="20" t="s">
        <v>400</v>
      </c>
      <c r="C2906" s="21" t="s">
        <v>1197</v>
      </c>
      <c r="D2906" s="21" t="s">
        <v>1087</v>
      </c>
      <c r="E2906" s="21">
        <v>0</v>
      </c>
      <c r="F2906" s="21"/>
      <c r="G2906" s="22" t="s">
        <v>1144</v>
      </c>
    </row>
    <row r="2907" spans="1:7" s="7" customFormat="1" hidden="1" outlineLevel="1" x14ac:dyDescent="0.15">
      <c r="B2907" s="20" t="s">
        <v>401</v>
      </c>
      <c r="C2907" s="21" t="s">
        <v>1198</v>
      </c>
      <c r="D2907" s="21" t="s">
        <v>1087</v>
      </c>
      <c r="E2907" s="21">
        <v>0</v>
      </c>
      <c r="F2907" s="21"/>
      <c r="G2907" s="22" t="s">
        <v>1080</v>
      </c>
    </row>
    <row r="2908" spans="1:7" s="7" customFormat="1" hidden="1" outlineLevel="1" x14ac:dyDescent="0.15">
      <c r="B2908" s="20" t="s">
        <v>402</v>
      </c>
      <c r="C2908" s="21" t="s">
        <v>1083</v>
      </c>
      <c r="D2908" s="21" t="s">
        <v>1087</v>
      </c>
      <c r="E2908" s="21">
        <v>0</v>
      </c>
      <c r="F2908" s="21"/>
      <c r="G2908" s="22"/>
    </row>
    <row r="2909" spans="1:7" s="7" customFormat="1" hidden="1" outlineLevel="1" x14ac:dyDescent="0.15">
      <c r="B2909" s="20" t="s">
        <v>403</v>
      </c>
      <c r="C2909" s="21" t="s">
        <v>1135</v>
      </c>
      <c r="D2909" s="21" t="s">
        <v>1087</v>
      </c>
      <c r="E2909" s="21">
        <v>0</v>
      </c>
      <c r="F2909" s="21"/>
      <c r="G2909" s="22"/>
    </row>
    <row r="2910" spans="1:7" s="7" customFormat="1" hidden="1" outlineLevel="1" x14ac:dyDescent="0.15">
      <c r="B2910" s="20" t="s">
        <v>404</v>
      </c>
      <c r="C2910" s="21" t="s">
        <v>1335</v>
      </c>
      <c r="D2910" s="21" t="s">
        <v>1087</v>
      </c>
      <c r="E2910" s="21">
        <v>0</v>
      </c>
      <c r="F2910" s="21"/>
      <c r="G2910" s="22"/>
    </row>
    <row r="2911" spans="1:7" s="7" customFormat="1" hidden="1" outlineLevel="1" x14ac:dyDescent="0.15">
      <c r="B2911" s="20" t="s">
        <v>405</v>
      </c>
      <c r="C2911" s="21" t="s">
        <v>1199</v>
      </c>
      <c r="D2911" s="21" t="s">
        <v>1087</v>
      </c>
      <c r="E2911" s="21">
        <v>0</v>
      </c>
      <c r="F2911" s="21"/>
      <c r="G2911" s="22"/>
    </row>
    <row r="2912" spans="1:7" s="7" customFormat="1" hidden="1" outlineLevel="1" x14ac:dyDescent="0.15">
      <c r="B2912" s="20" t="s">
        <v>406</v>
      </c>
      <c r="C2912" s="21" t="s">
        <v>1145</v>
      </c>
      <c r="D2912" s="21" t="s">
        <v>1087</v>
      </c>
      <c r="E2912" s="21">
        <v>0</v>
      </c>
      <c r="F2912" s="21"/>
      <c r="G2912" s="22"/>
    </row>
    <row r="2913" spans="1:7" s="7" customFormat="1" hidden="1" outlineLevel="1" x14ac:dyDescent="0.15">
      <c r="B2913" s="20" t="s">
        <v>407</v>
      </c>
      <c r="C2913" s="21" t="s">
        <v>1136</v>
      </c>
      <c r="D2913" s="21" t="s">
        <v>1087</v>
      </c>
      <c r="E2913" s="21">
        <v>0</v>
      </c>
      <c r="F2913" s="21"/>
      <c r="G2913" s="22"/>
    </row>
    <row r="2914" spans="1:7" s="7" customFormat="1" hidden="1" outlineLevel="1" x14ac:dyDescent="0.15">
      <c r="B2914" s="20" t="s">
        <v>408</v>
      </c>
      <c r="C2914" s="21" t="s">
        <v>1200</v>
      </c>
      <c r="D2914" s="21" t="s">
        <v>1087</v>
      </c>
      <c r="E2914" s="21">
        <v>0</v>
      </c>
      <c r="F2914" s="21"/>
      <c r="G2914" s="22"/>
    </row>
    <row r="2915" spans="1:7" s="7" customFormat="1" hidden="1" outlineLevel="1" x14ac:dyDescent="0.15">
      <c r="B2915" s="20" t="s">
        <v>409</v>
      </c>
      <c r="C2915" s="21" t="s">
        <v>1201</v>
      </c>
      <c r="D2915" s="21" t="s">
        <v>1087</v>
      </c>
      <c r="E2915" s="21">
        <v>0</v>
      </c>
      <c r="F2915" s="21"/>
      <c r="G2915" s="22"/>
    </row>
    <row r="2916" spans="1:7" s="7" customFormat="1" hidden="1" outlineLevel="1" x14ac:dyDescent="0.15">
      <c r="B2916" s="20" t="s">
        <v>410</v>
      </c>
      <c r="C2916" s="21" t="s">
        <v>1137</v>
      </c>
      <c r="D2916" s="21" t="s">
        <v>1087</v>
      </c>
      <c r="E2916" s="21">
        <v>0</v>
      </c>
      <c r="F2916" s="21"/>
      <c r="G2916" s="22"/>
    </row>
    <row r="2917" spans="1:7" s="7" customFormat="1" hidden="1" outlineLevel="1" x14ac:dyDescent="0.15">
      <c r="B2917" s="20" t="s">
        <v>411</v>
      </c>
      <c r="C2917" s="21" t="s">
        <v>1138</v>
      </c>
      <c r="D2917" s="21" t="s">
        <v>1087</v>
      </c>
      <c r="E2917" s="21">
        <v>0</v>
      </c>
      <c r="F2917" s="21"/>
      <c r="G2917" s="22"/>
    </row>
    <row r="2918" spans="1:7" s="7" customFormat="1" hidden="1" outlineLevel="1" x14ac:dyDescent="0.15">
      <c r="B2918" s="20" t="s">
        <v>412</v>
      </c>
      <c r="C2918" s="21" t="s">
        <v>1202</v>
      </c>
      <c r="D2918" s="21" t="s">
        <v>1087</v>
      </c>
      <c r="E2918" s="21">
        <v>0</v>
      </c>
      <c r="F2918" s="21"/>
      <c r="G2918" s="22"/>
    </row>
    <row r="2919" spans="1:7" s="7" customFormat="1" hidden="1" outlineLevel="1" x14ac:dyDescent="0.15">
      <c r="B2919" s="20" t="s">
        <v>413</v>
      </c>
      <c r="C2919" s="21" t="s">
        <v>1139</v>
      </c>
      <c r="D2919" s="21" t="s">
        <v>1087</v>
      </c>
      <c r="E2919" s="21">
        <v>0</v>
      </c>
      <c r="F2919" s="21"/>
      <c r="G2919" s="22"/>
    </row>
    <row r="2920" spans="1:7" s="7" customFormat="1" hidden="1" outlineLevel="1" x14ac:dyDescent="0.15">
      <c r="B2920" s="20" t="s">
        <v>153</v>
      </c>
      <c r="C2920" s="15" t="s">
        <v>1143</v>
      </c>
      <c r="D2920" s="15" t="s">
        <v>1169</v>
      </c>
      <c r="E2920" s="15">
        <v>0</v>
      </c>
      <c r="F2920" s="15"/>
      <c r="G2920" s="16"/>
    </row>
    <row r="2921" spans="1:7" s="7" customFormat="1" hidden="1" outlineLevel="1" x14ac:dyDescent="0.15">
      <c r="B2921" s="20" t="s">
        <v>414</v>
      </c>
      <c r="C2921" s="15" t="s">
        <v>1213</v>
      </c>
      <c r="D2921" s="15" t="s">
        <v>1169</v>
      </c>
      <c r="E2921" s="15">
        <v>0</v>
      </c>
      <c r="F2921" s="15"/>
      <c r="G2921" s="16"/>
    </row>
    <row r="2922" spans="1:7" s="7" customFormat="1" hidden="1" outlineLevel="1" x14ac:dyDescent="0.15">
      <c r="B2922" s="20" t="s">
        <v>13</v>
      </c>
      <c r="C2922" s="15" t="s">
        <v>1205</v>
      </c>
      <c r="D2922" s="15" t="s">
        <v>1169</v>
      </c>
      <c r="E2922" s="15">
        <v>0</v>
      </c>
      <c r="F2922" s="15"/>
      <c r="G2922" s="16"/>
    </row>
    <row r="2923" spans="1:7" s="7" customFormat="1" hidden="1" outlineLevel="1" x14ac:dyDescent="0.15">
      <c r="B2923" s="20" t="s">
        <v>14</v>
      </c>
      <c r="C2923" s="15" t="s">
        <v>1206</v>
      </c>
      <c r="D2923" s="15" t="s">
        <v>1169</v>
      </c>
      <c r="E2923" s="15">
        <v>0</v>
      </c>
      <c r="F2923" s="15"/>
      <c r="G2923" s="16"/>
    </row>
    <row r="2924" spans="1:7" s="7" customFormat="1" ht="18" hidden="1" outlineLevel="1" thickBot="1" x14ac:dyDescent="0.2">
      <c r="B2924" s="14"/>
      <c r="C2924" s="15"/>
      <c r="D2924" s="15"/>
      <c r="E2924" s="15"/>
      <c r="F2924" s="15"/>
      <c r="G2924" s="16"/>
    </row>
    <row r="2925" spans="1:7" s="7" customFormat="1" hidden="1" outlineLevel="1" x14ac:dyDescent="0.15">
      <c r="B2925" s="327" t="s">
        <v>15</v>
      </c>
      <c r="C2925" s="328"/>
      <c r="D2925" s="328"/>
      <c r="E2925" s="328"/>
      <c r="F2925" s="328"/>
      <c r="G2925" s="329"/>
    </row>
    <row r="2926" spans="1:7" s="7" customFormat="1" hidden="1" outlineLevel="1" x14ac:dyDescent="0.15">
      <c r="A2926" s="7" t="s">
        <v>205</v>
      </c>
      <c r="B2926" s="20">
        <v>1</v>
      </c>
      <c r="C2926" s="21" t="s">
        <v>22</v>
      </c>
      <c r="D2926" s="21" t="s">
        <v>113</v>
      </c>
      <c r="E2926" s="21" t="s">
        <v>114</v>
      </c>
      <c r="F2926" s="21" t="s">
        <v>118</v>
      </c>
      <c r="G2926" s="141"/>
    </row>
    <row r="2927" spans="1:7" s="7" customFormat="1" hidden="1" outlineLevel="1" x14ac:dyDescent="0.15">
      <c r="B2927" s="20">
        <v>2</v>
      </c>
      <c r="C2927" s="21" t="s">
        <v>16</v>
      </c>
      <c r="D2927" s="21" t="s">
        <v>111</v>
      </c>
      <c r="E2927" s="21"/>
      <c r="F2927" s="29"/>
      <c r="G2927" s="141"/>
    </row>
    <row r="2928" spans="1:7" s="7" customFormat="1" ht="18" hidden="1" outlineLevel="1" thickBot="1" x14ac:dyDescent="0.2">
      <c r="B2928" s="24"/>
      <c r="C2928" s="9"/>
      <c r="D2928" s="9"/>
      <c r="E2928" s="9"/>
      <c r="F2928" s="9"/>
      <c r="G2928" s="11"/>
    </row>
    <row r="2929" spans="1:7" s="7" customFormat="1" hidden="1" outlineLevel="1" x14ac:dyDescent="0.15"/>
    <row r="2930" spans="1:7" s="7" customFormat="1" ht="18" hidden="1" outlineLevel="1" thickBot="1" x14ac:dyDescent="0.2"/>
    <row r="2931" spans="1:7" s="7" customFormat="1" ht="18" collapsed="1" thickBot="1" x14ac:dyDescent="0.2">
      <c r="A2931" s="2"/>
      <c r="B2931" s="3" t="s">
        <v>563</v>
      </c>
      <c r="C2931" s="4" t="s">
        <v>652</v>
      </c>
      <c r="D2931" s="5" t="s">
        <v>515</v>
      </c>
      <c r="E2931" s="21" t="s">
        <v>609</v>
      </c>
      <c r="F2931" s="5" t="s">
        <v>567</v>
      </c>
      <c r="G2931" s="6" t="s">
        <v>1620</v>
      </c>
    </row>
    <row r="2932" spans="1:7" s="7" customFormat="1" ht="18" hidden="1" outlineLevel="1" thickBot="1" x14ac:dyDescent="0.2">
      <c r="A2932" s="2"/>
      <c r="B2932" s="34" t="s">
        <v>570</v>
      </c>
      <c r="C2932" s="18"/>
      <c r="D2932" s="35" t="s">
        <v>568</v>
      </c>
      <c r="E2932" s="18" t="s">
        <v>615</v>
      </c>
      <c r="F2932" s="35"/>
      <c r="G2932" s="19"/>
    </row>
    <row r="2933" spans="1:7" s="7" customFormat="1" hidden="1" outlineLevel="1" x14ac:dyDescent="0.15">
      <c r="A2933" s="2"/>
      <c r="B2933" s="3" t="s">
        <v>0</v>
      </c>
      <c r="C2933" s="5" t="s">
        <v>1</v>
      </c>
      <c r="D2933" s="5" t="s">
        <v>2</v>
      </c>
      <c r="E2933" s="5"/>
      <c r="F2933" s="5" t="s">
        <v>3</v>
      </c>
      <c r="G2933" s="36" t="s">
        <v>4</v>
      </c>
    </row>
    <row r="2934" spans="1:7" s="7" customFormat="1" hidden="1" outlineLevel="1" x14ac:dyDescent="0.15">
      <c r="A2934" s="2"/>
      <c r="B2934" s="20" t="s">
        <v>109</v>
      </c>
      <c r="C2934" s="21" t="s">
        <v>1163</v>
      </c>
      <c r="D2934" s="21" t="s">
        <v>211</v>
      </c>
      <c r="E2934" s="21">
        <v>0</v>
      </c>
      <c r="F2934" s="21"/>
      <c r="G2934" s="22" t="s">
        <v>1077</v>
      </c>
    </row>
    <row r="2935" spans="1:7" s="7" customFormat="1" hidden="1" outlineLevel="1" x14ac:dyDescent="0.15">
      <c r="A2935" s="2"/>
      <c r="B2935" s="20" t="s">
        <v>111</v>
      </c>
      <c r="C2935" s="21" t="s">
        <v>1164</v>
      </c>
      <c r="D2935" s="21" t="s">
        <v>211</v>
      </c>
      <c r="E2935" s="21">
        <v>0</v>
      </c>
      <c r="F2935" s="21"/>
      <c r="G2935" s="22" t="s">
        <v>1165</v>
      </c>
    </row>
    <row r="2936" spans="1:7" s="7" customFormat="1" hidden="1" outlineLevel="1" x14ac:dyDescent="0.15">
      <c r="A2936" s="2"/>
      <c r="B2936" s="20" t="s">
        <v>113</v>
      </c>
      <c r="C2936" s="21" t="s">
        <v>1187</v>
      </c>
      <c r="D2936" s="21" t="s">
        <v>211</v>
      </c>
      <c r="E2936" s="21">
        <v>0</v>
      </c>
      <c r="F2936" s="21"/>
      <c r="G2936" s="22"/>
    </row>
    <row r="2937" spans="1:7" s="7" customFormat="1" hidden="1" outlineLevel="1" x14ac:dyDescent="0.15">
      <c r="A2937" s="2"/>
      <c r="B2937" s="20" t="s">
        <v>7</v>
      </c>
      <c r="C2937" s="21" t="s">
        <v>1190</v>
      </c>
      <c r="D2937" s="21" t="s">
        <v>211</v>
      </c>
      <c r="E2937" s="21">
        <v>0</v>
      </c>
      <c r="F2937" s="21"/>
      <c r="G2937" s="22" t="s">
        <v>1081</v>
      </c>
    </row>
    <row r="2938" spans="1:7" s="7" customFormat="1" hidden="1" outlineLevel="1" x14ac:dyDescent="0.15">
      <c r="A2938" s="2"/>
      <c r="B2938" s="20" t="s">
        <v>114</v>
      </c>
      <c r="C2938" s="21" t="s">
        <v>1155</v>
      </c>
      <c r="D2938" s="21" t="s">
        <v>211</v>
      </c>
      <c r="E2938" s="21">
        <v>0</v>
      </c>
      <c r="F2938" s="21"/>
      <c r="G2938" s="22"/>
    </row>
    <row r="2939" spans="1:7" s="7" customFormat="1" hidden="1" outlineLevel="1" x14ac:dyDescent="0.15">
      <c r="A2939" s="2"/>
      <c r="B2939" s="20" t="s">
        <v>118</v>
      </c>
      <c r="C2939" s="21" t="s">
        <v>1188</v>
      </c>
      <c r="D2939" s="21" t="s">
        <v>211</v>
      </c>
      <c r="E2939" s="21">
        <v>0</v>
      </c>
      <c r="F2939" s="21"/>
      <c r="G2939" s="22"/>
    </row>
    <row r="2940" spans="1:7" s="7" customFormat="1" hidden="1" outlineLevel="1" x14ac:dyDescent="0.15">
      <c r="A2940" s="2"/>
      <c r="B2940" s="20" t="s">
        <v>8</v>
      </c>
      <c r="C2940" s="21" t="s">
        <v>1193</v>
      </c>
      <c r="D2940" s="21" t="s">
        <v>1087</v>
      </c>
      <c r="E2940" s="21">
        <v>0</v>
      </c>
      <c r="F2940" s="21"/>
      <c r="G2940" s="22" t="s">
        <v>1194</v>
      </c>
    </row>
    <row r="2941" spans="1:7" s="7" customFormat="1" hidden="1" outlineLevel="1" x14ac:dyDescent="0.15">
      <c r="A2941" s="2"/>
      <c r="B2941" s="20" t="s">
        <v>9</v>
      </c>
      <c r="C2941" s="21" t="s">
        <v>1195</v>
      </c>
      <c r="D2941" s="21" t="s">
        <v>1087</v>
      </c>
      <c r="E2941" s="21">
        <v>0</v>
      </c>
      <c r="F2941" s="21"/>
      <c r="G2941" s="22" t="s">
        <v>1196</v>
      </c>
    </row>
    <row r="2942" spans="1:7" s="7" customFormat="1" hidden="1" outlineLevel="1" x14ac:dyDescent="0.15">
      <c r="A2942" s="2"/>
      <c r="B2942" s="20" t="s">
        <v>76</v>
      </c>
      <c r="C2942" s="21" t="s">
        <v>1118</v>
      </c>
      <c r="D2942" s="21" t="s">
        <v>1087</v>
      </c>
      <c r="E2942" s="21">
        <v>0</v>
      </c>
      <c r="F2942" s="21"/>
      <c r="G2942" s="22"/>
    </row>
    <row r="2943" spans="1:7" s="7" customFormat="1" hidden="1" outlineLevel="1" x14ac:dyDescent="0.15">
      <c r="A2943" s="2"/>
      <c r="B2943" s="20" t="s">
        <v>77</v>
      </c>
      <c r="C2943" s="21" t="s">
        <v>1336</v>
      </c>
      <c r="D2943" s="21" t="s">
        <v>1087</v>
      </c>
      <c r="E2943" s="21">
        <v>0</v>
      </c>
      <c r="F2943" s="21"/>
      <c r="G2943" s="22"/>
    </row>
    <row r="2944" spans="1:7" s="7" customFormat="1" ht="18.75" hidden="1" customHeight="1" outlineLevel="1" thickBot="1" x14ac:dyDescent="0.2">
      <c r="A2944" s="2"/>
      <c r="B2944" s="24"/>
      <c r="C2944" s="9"/>
      <c r="D2944" s="9"/>
      <c r="E2944" s="9"/>
      <c r="F2944" s="9"/>
      <c r="G2944" s="11"/>
    </row>
    <row r="2945" spans="1:7" s="7" customFormat="1" hidden="1" outlineLevel="1" x14ac:dyDescent="0.15">
      <c r="A2945" s="2"/>
      <c r="B2945" s="327" t="s">
        <v>15</v>
      </c>
      <c r="C2945" s="328"/>
      <c r="D2945" s="328"/>
      <c r="E2945" s="328"/>
      <c r="F2945" s="328"/>
      <c r="G2945" s="329"/>
    </row>
    <row r="2946" spans="1:7" s="7" customFormat="1" hidden="1" outlineLevel="1" x14ac:dyDescent="0.15">
      <c r="A2946" s="2" t="s">
        <v>62</v>
      </c>
      <c r="B2946" s="20">
        <v>1</v>
      </c>
      <c r="C2946" s="21" t="s">
        <v>113</v>
      </c>
      <c r="D2946" s="21" t="s">
        <v>114</v>
      </c>
      <c r="E2946" s="21" t="s">
        <v>115</v>
      </c>
      <c r="F2946" s="21"/>
      <c r="G2946" s="22"/>
    </row>
    <row r="2947" spans="1:7" s="7" customFormat="1" hidden="1" outlineLevel="1" x14ac:dyDescent="0.15">
      <c r="A2947" s="2"/>
      <c r="B2947" s="20"/>
      <c r="C2947" s="23"/>
      <c r="D2947" s="21"/>
      <c r="E2947" s="21"/>
      <c r="F2947" s="21"/>
      <c r="G2947" s="22"/>
    </row>
    <row r="2948" spans="1:7" s="7" customFormat="1" hidden="1" outlineLevel="1" x14ac:dyDescent="0.15">
      <c r="A2948" s="2"/>
    </row>
    <row r="2949" spans="1:7" s="7" customFormat="1" ht="18" hidden="1" outlineLevel="1" thickBot="1" x14ac:dyDescent="0.2">
      <c r="A2949" s="2"/>
    </row>
    <row r="2950" spans="1:7" s="7" customFormat="1" ht="18" collapsed="1" thickBot="1" x14ac:dyDescent="0.2">
      <c r="A2950" s="2"/>
      <c r="B2950" s="3" t="s">
        <v>563</v>
      </c>
      <c r="C2950" s="4" t="s">
        <v>653</v>
      </c>
      <c r="D2950" s="5" t="s">
        <v>515</v>
      </c>
      <c r="E2950" s="21" t="s">
        <v>728</v>
      </c>
      <c r="F2950" s="5" t="s">
        <v>567</v>
      </c>
      <c r="G2950" s="6" t="s">
        <v>1620</v>
      </c>
    </row>
    <row r="2951" spans="1:7" s="7" customFormat="1" ht="18" hidden="1" outlineLevel="1" thickBot="1" x14ac:dyDescent="0.2">
      <c r="A2951" s="2"/>
      <c r="B2951" s="8" t="s">
        <v>570</v>
      </c>
      <c r="C2951" s="9"/>
      <c r="D2951" s="10" t="s">
        <v>568</v>
      </c>
      <c r="E2951" s="9" t="s">
        <v>615</v>
      </c>
      <c r="F2951" s="10"/>
      <c r="G2951" s="11"/>
    </row>
    <row r="2952" spans="1:7" s="7" customFormat="1" hidden="1" outlineLevel="1" x14ac:dyDescent="0.15">
      <c r="A2952" s="2"/>
      <c r="B2952" s="12" t="s">
        <v>0</v>
      </c>
      <c r="C2952" s="13" t="s">
        <v>1</v>
      </c>
      <c r="D2952" s="13" t="s">
        <v>2</v>
      </c>
      <c r="E2952" s="13"/>
      <c r="F2952" s="13" t="s">
        <v>3</v>
      </c>
      <c r="G2952" s="13" t="s">
        <v>4</v>
      </c>
    </row>
    <row r="2953" spans="1:7" s="7" customFormat="1" hidden="1" outlineLevel="1" x14ac:dyDescent="0.15">
      <c r="A2953" s="2"/>
      <c r="B2953" s="14" t="s">
        <v>5</v>
      </c>
      <c r="C2953" s="15" t="s">
        <v>1127</v>
      </c>
      <c r="D2953" s="15" t="s">
        <v>211</v>
      </c>
      <c r="E2953" s="15" t="s">
        <v>1141</v>
      </c>
      <c r="F2953" s="15"/>
      <c r="G2953" s="16" t="s">
        <v>1162</v>
      </c>
    </row>
    <row r="2954" spans="1:7" s="7" customFormat="1" hidden="1" outlineLevel="1" x14ac:dyDescent="0.15">
      <c r="A2954" s="2"/>
      <c r="B2954" s="20" t="s">
        <v>109</v>
      </c>
      <c r="C2954" s="21" t="s">
        <v>1163</v>
      </c>
      <c r="D2954" s="21" t="s">
        <v>211</v>
      </c>
      <c r="E2954" s="21">
        <v>0</v>
      </c>
      <c r="F2954" s="21"/>
      <c r="G2954" s="22" t="s">
        <v>1077</v>
      </c>
    </row>
    <row r="2955" spans="1:7" s="7" customFormat="1" hidden="1" outlineLevel="1" x14ac:dyDescent="0.15">
      <c r="A2955" s="2"/>
      <c r="B2955" s="20" t="s">
        <v>111</v>
      </c>
      <c r="C2955" s="21" t="s">
        <v>1164</v>
      </c>
      <c r="D2955" s="21" t="s">
        <v>211</v>
      </c>
      <c r="E2955" s="21">
        <v>0</v>
      </c>
      <c r="F2955" s="21"/>
      <c r="G2955" s="22" t="s">
        <v>1165</v>
      </c>
    </row>
    <row r="2956" spans="1:7" s="7" customFormat="1" hidden="1" outlineLevel="1" x14ac:dyDescent="0.15">
      <c r="A2956" s="2"/>
      <c r="B2956" s="20" t="s">
        <v>113</v>
      </c>
      <c r="C2956" s="21" t="s">
        <v>1187</v>
      </c>
      <c r="D2956" s="21" t="s">
        <v>211</v>
      </c>
      <c r="E2956" s="21">
        <v>0</v>
      </c>
      <c r="F2956" s="21"/>
      <c r="G2956" s="22"/>
    </row>
    <row r="2957" spans="1:7" s="7" customFormat="1" hidden="1" outlineLevel="1" x14ac:dyDescent="0.15">
      <c r="A2957" s="2"/>
      <c r="B2957" s="20" t="s">
        <v>7</v>
      </c>
      <c r="C2957" s="21" t="s">
        <v>1190</v>
      </c>
      <c r="D2957" s="21" t="s">
        <v>211</v>
      </c>
      <c r="E2957" s="21">
        <v>0</v>
      </c>
      <c r="F2957" s="21"/>
      <c r="G2957" s="22" t="s">
        <v>1081</v>
      </c>
    </row>
    <row r="2958" spans="1:7" s="7" customFormat="1" hidden="1" outlineLevel="1" x14ac:dyDescent="0.15">
      <c r="A2958" s="2"/>
      <c r="B2958" s="20" t="s">
        <v>201</v>
      </c>
      <c r="C2958" s="21" t="s">
        <v>1155</v>
      </c>
      <c r="D2958" s="21" t="s">
        <v>211</v>
      </c>
      <c r="E2958" s="21">
        <v>0</v>
      </c>
      <c r="F2958" s="21"/>
      <c r="G2958" s="22"/>
    </row>
    <row r="2959" spans="1:7" s="7" customFormat="1" hidden="1" outlineLevel="1" x14ac:dyDescent="0.15">
      <c r="A2959" s="2"/>
      <c r="B2959" s="20" t="s">
        <v>115</v>
      </c>
      <c r="C2959" s="21" t="s">
        <v>1188</v>
      </c>
      <c r="D2959" s="21" t="s">
        <v>211</v>
      </c>
      <c r="E2959" s="21">
        <v>0</v>
      </c>
      <c r="F2959" s="21"/>
      <c r="G2959" s="22"/>
    </row>
    <row r="2960" spans="1:7" s="7" customFormat="1" hidden="1" outlineLevel="1" x14ac:dyDescent="0.15">
      <c r="A2960" s="2"/>
      <c r="B2960" s="20" t="s">
        <v>8</v>
      </c>
      <c r="C2960" s="21" t="s">
        <v>1193</v>
      </c>
      <c r="D2960" s="21" t="s">
        <v>1087</v>
      </c>
      <c r="E2960" s="21">
        <v>0</v>
      </c>
      <c r="F2960" s="21"/>
      <c r="G2960" s="22" t="s">
        <v>1194</v>
      </c>
    </row>
    <row r="2961" spans="1:7" s="7" customFormat="1" hidden="1" outlineLevel="1" x14ac:dyDescent="0.15">
      <c r="A2961" s="2"/>
      <c r="B2961" s="20" t="s">
        <v>9</v>
      </c>
      <c r="C2961" s="21" t="s">
        <v>1195</v>
      </c>
      <c r="D2961" s="21" t="s">
        <v>1087</v>
      </c>
      <c r="E2961" s="21">
        <v>0</v>
      </c>
      <c r="F2961" s="21"/>
      <c r="G2961" s="22" t="s">
        <v>1196</v>
      </c>
    </row>
    <row r="2962" spans="1:7" s="7" customFormat="1" hidden="1" outlineLevel="1" x14ac:dyDescent="0.15">
      <c r="A2962" s="2"/>
      <c r="B2962" s="20" t="s">
        <v>76</v>
      </c>
      <c r="C2962" s="21" t="s">
        <v>1118</v>
      </c>
      <c r="D2962" s="21" t="s">
        <v>1087</v>
      </c>
      <c r="E2962" s="21">
        <v>0</v>
      </c>
      <c r="F2962" s="21"/>
      <c r="G2962" s="22"/>
    </row>
    <row r="2963" spans="1:7" s="7" customFormat="1" hidden="1" outlineLevel="1" x14ac:dyDescent="0.15">
      <c r="A2963" s="2"/>
      <c r="B2963" s="20" t="s">
        <v>77</v>
      </c>
      <c r="C2963" s="21" t="s">
        <v>1336</v>
      </c>
      <c r="D2963" s="21" t="s">
        <v>1087</v>
      </c>
      <c r="E2963" s="21">
        <v>0</v>
      </c>
      <c r="F2963" s="21"/>
      <c r="G2963" s="22"/>
    </row>
    <row r="2964" spans="1:7" s="7" customFormat="1" ht="18" hidden="1" outlineLevel="1" thickBot="1" x14ac:dyDescent="0.2">
      <c r="A2964" s="2"/>
      <c r="B2964" s="17"/>
      <c r="C2964" s="18"/>
      <c r="D2964" s="18"/>
      <c r="E2964" s="18"/>
      <c r="F2964" s="18"/>
      <c r="G2964" s="19"/>
    </row>
    <row r="2965" spans="1:7" s="7" customFormat="1" hidden="1" outlineLevel="1" x14ac:dyDescent="0.15">
      <c r="A2965" s="2"/>
      <c r="B2965" s="327" t="s">
        <v>15</v>
      </c>
      <c r="C2965" s="328"/>
      <c r="D2965" s="328"/>
      <c r="E2965" s="328"/>
      <c r="F2965" s="328"/>
      <c r="G2965" s="329"/>
    </row>
    <row r="2966" spans="1:7" s="7" customFormat="1" hidden="1" outlineLevel="1" x14ac:dyDescent="0.15">
      <c r="A2966" s="2" t="s">
        <v>62</v>
      </c>
      <c r="B2966" s="20">
        <v>1</v>
      </c>
      <c r="C2966" s="21" t="s">
        <v>22</v>
      </c>
      <c r="D2966" s="21" t="s">
        <v>113</v>
      </c>
      <c r="E2966" s="21" t="s">
        <v>201</v>
      </c>
      <c r="F2966" s="21" t="s">
        <v>118</v>
      </c>
      <c r="G2966" s="21"/>
    </row>
    <row r="2967" spans="1:7" s="2" customFormat="1" hidden="1" outlineLevel="1" x14ac:dyDescent="0.15">
      <c r="B2967" s="20"/>
      <c r="C2967" s="23"/>
      <c r="D2967" s="21"/>
      <c r="E2967" s="21"/>
      <c r="F2967" s="21"/>
      <c r="G2967" s="22"/>
    </row>
    <row r="2968" spans="1:7" s="2" customFormat="1" hidden="1" outlineLevel="1" x14ac:dyDescent="0.15"/>
    <row r="2969" spans="1:7" s="7" customFormat="1" ht="18" hidden="1" outlineLevel="1" thickBot="1" x14ac:dyDescent="0.2">
      <c r="A2969" s="2"/>
      <c r="B2969" s="2"/>
      <c r="C2969" s="2"/>
      <c r="D2969" s="2"/>
      <c r="E2969" s="2"/>
      <c r="F2969" s="2"/>
      <c r="G2969" s="2"/>
    </row>
    <row r="2970" spans="1:7" s="7" customFormat="1" ht="18" collapsed="1" thickBot="1" x14ac:dyDescent="0.2">
      <c r="A2970" s="2"/>
      <c r="B2970" s="233" t="s">
        <v>563</v>
      </c>
      <c r="C2970" s="146" t="s">
        <v>550</v>
      </c>
      <c r="D2970" s="146" t="s">
        <v>515</v>
      </c>
      <c r="E2970" s="21" t="s">
        <v>729</v>
      </c>
      <c r="F2970" s="146" t="s">
        <v>567</v>
      </c>
      <c r="G2970" s="234" t="s">
        <v>1619</v>
      </c>
    </row>
    <row r="2971" spans="1:7" s="7" customFormat="1" ht="18" hidden="1" outlineLevel="1" thickBot="1" x14ac:dyDescent="0.2">
      <c r="A2971" s="2"/>
      <c r="B2971" s="8" t="s">
        <v>570</v>
      </c>
      <c r="C2971" s="9"/>
      <c r="D2971" s="10" t="s">
        <v>568</v>
      </c>
      <c r="E2971" s="9" t="s">
        <v>615</v>
      </c>
      <c r="F2971" s="10"/>
      <c r="G2971" s="11"/>
    </row>
    <row r="2972" spans="1:7" s="7" customFormat="1" hidden="1" outlineLevel="1" x14ac:dyDescent="0.15">
      <c r="A2972" s="2"/>
      <c r="B2972" s="12" t="s">
        <v>0</v>
      </c>
      <c r="C2972" s="13" t="s">
        <v>1</v>
      </c>
      <c r="D2972" s="13" t="s">
        <v>2</v>
      </c>
      <c r="E2972" s="13"/>
      <c r="F2972" s="13" t="s">
        <v>3</v>
      </c>
      <c r="G2972" s="13" t="s">
        <v>4</v>
      </c>
    </row>
    <row r="2973" spans="1:7" s="7" customFormat="1" hidden="1" outlineLevel="1" x14ac:dyDescent="0.15">
      <c r="A2973" s="2"/>
      <c r="B2973" s="20" t="s">
        <v>122</v>
      </c>
      <c r="C2973" s="21" t="s">
        <v>1163</v>
      </c>
      <c r="D2973" s="21" t="s">
        <v>211</v>
      </c>
      <c r="E2973" s="21">
        <v>0</v>
      </c>
      <c r="F2973" s="21"/>
      <c r="G2973" s="22" t="s">
        <v>1077</v>
      </c>
    </row>
    <row r="2974" spans="1:7" s="7" customFormat="1" hidden="1" outlineLevel="1" x14ac:dyDescent="0.15">
      <c r="A2974" s="2"/>
      <c r="B2974" s="20" t="s">
        <v>111</v>
      </c>
      <c r="C2974" s="21" t="s">
        <v>1164</v>
      </c>
      <c r="D2974" s="21" t="s">
        <v>211</v>
      </c>
      <c r="E2974" s="21">
        <v>0</v>
      </c>
      <c r="F2974" s="21"/>
      <c r="G2974" s="22" t="s">
        <v>1165</v>
      </c>
    </row>
    <row r="2975" spans="1:7" s="7" customFormat="1" hidden="1" outlineLevel="1" x14ac:dyDescent="0.15">
      <c r="A2975" s="2"/>
      <c r="B2975" s="20" t="s">
        <v>123</v>
      </c>
      <c r="C2975" s="21" t="s">
        <v>1133</v>
      </c>
      <c r="D2975" s="21" t="s">
        <v>211</v>
      </c>
      <c r="E2975" s="21">
        <v>0</v>
      </c>
      <c r="F2975" s="21"/>
      <c r="G2975" s="22" t="s">
        <v>1182</v>
      </c>
    </row>
    <row r="2976" spans="1:7" s="7" customFormat="1" hidden="1" outlineLevel="1" x14ac:dyDescent="0.15">
      <c r="A2976" s="2"/>
      <c r="B2976" s="20" t="s">
        <v>113</v>
      </c>
      <c r="C2976" s="21" t="s">
        <v>1187</v>
      </c>
      <c r="D2976" s="21" t="s">
        <v>211</v>
      </c>
      <c r="E2976" s="21">
        <v>0</v>
      </c>
      <c r="F2976" s="21"/>
      <c r="G2976" s="22"/>
    </row>
    <row r="2977" spans="1:7" s="7" customFormat="1" hidden="1" outlineLevel="1" x14ac:dyDescent="0.15">
      <c r="A2977" s="2"/>
      <c r="B2977" s="20" t="s">
        <v>7</v>
      </c>
      <c r="C2977" s="21" t="s">
        <v>1190</v>
      </c>
      <c r="D2977" s="21" t="s">
        <v>211</v>
      </c>
      <c r="E2977" s="21">
        <v>0</v>
      </c>
      <c r="F2977" s="21"/>
      <c r="G2977" s="22" t="s">
        <v>1081</v>
      </c>
    </row>
    <row r="2978" spans="1:7" s="7" customFormat="1" hidden="1" outlineLevel="1" x14ac:dyDescent="0.15">
      <c r="A2978" s="2"/>
      <c r="B2978" s="20" t="s">
        <v>114</v>
      </c>
      <c r="C2978" s="21" t="s">
        <v>1155</v>
      </c>
      <c r="D2978" s="21" t="s">
        <v>211</v>
      </c>
      <c r="E2978" s="21">
        <v>0</v>
      </c>
      <c r="F2978" s="21"/>
      <c r="G2978" s="22"/>
    </row>
    <row r="2979" spans="1:7" s="7" customFormat="1" hidden="1" outlineLevel="1" x14ac:dyDescent="0.15">
      <c r="A2979" s="2"/>
      <c r="B2979" s="20" t="s">
        <v>118</v>
      </c>
      <c r="C2979" s="21" t="s">
        <v>1188</v>
      </c>
      <c r="D2979" s="21" t="s">
        <v>211</v>
      </c>
      <c r="E2979" s="21">
        <v>0</v>
      </c>
      <c r="F2979" s="21"/>
      <c r="G2979" s="22"/>
    </row>
    <row r="2980" spans="1:7" s="7" customFormat="1" hidden="1" outlineLevel="1" x14ac:dyDescent="0.15">
      <c r="A2980" s="2"/>
      <c r="B2980" s="20" t="s">
        <v>8</v>
      </c>
      <c r="C2980" s="21" t="s">
        <v>1193</v>
      </c>
      <c r="D2980" s="21" t="s">
        <v>1087</v>
      </c>
      <c r="E2980" s="21">
        <v>0</v>
      </c>
      <c r="F2980" s="21"/>
      <c r="G2980" s="22" t="s">
        <v>1194</v>
      </c>
    </row>
    <row r="2981" spans="1:7" s="7" customFormat="1" hidden="1" outlineLevel="1" x14ac:dyDescent="0.15">
      <c r="A2981" s="2"/>
      <c r="B2981" s="20" t="s">
        <v>9</v>
      </c>
      <c r="C2981" s="21" t="s">
        <v>1195</v>
      </c>
      <c r="D2981" s="21" t="s">
        <v>1087</v>
      </c>
      <c r="E2981" s="21">
        <v>0</v>
      </c>
      <c r="F2981" s="21"/>
      <c r="G2981" s="22" t="s">
        <v>1196</v>
      </c>
    </row>
    <row r="2982" spans="1:7" s="7" customFormat="1" hidden="1" outlineLevel="1" x14ac:dyDescent="0.15">
      <c r="A2982" s="2"/>
      <c r="B2982" s="20" t="s">
        <v>76</v>
      </c>
      <c r="C2982" s="21" t="s">
        <v>1118</v>
      </c>
      <c r="D2982" s="21" t="s">
        <v>1087</v>
      </c>
      <c r="E2982" s="21">
        <v>0</v>
      </c>
      <c r="F2982" s="21"/>
      <c r="G2982" s="22"/>
    </row>
    <row r="2983" spans="1:7" s="7" customFormat="1" hidden="1" outlineLevel="1" x14ac:dyDescent="0.15">
      <c r="A2983" s="2"/>
      <c r="B2983" s="20" t="s">
        <v>77</v>
      </c>
      <c r="C2983" s="21" t="s">
        <v>1336</v>
      </c>
      <c r="D2983" s="21" t="s">
        <v>1087</v>
      </c>
      <c r="E2983" s="21">
        <v>0</v>
      </c>
      <c r="F2983" s="21"/>
      <c r="G2983" s="22"/>
    </row>
    <row r="2984" spans="1:7" s="7" customFormat="1" hidden="1" outlineLevel="1" x14ac:dyDescent="0.15">
      <c r="A2984" s="2"/>
      <c r="B2984" s="20" t="s">
        <v>214</v>
      </c>
      <c r="C2984" s="21" t="s">
        <v>1339</v>
      </c>
      <c r="D2984" s="21" t="s">
        <v>211</v>
      </c>
      <c r="E2984" s="21">
        <v>0</v>
      </c>
      <c r="F2984" s="21"/>
      <c r="G2984" s="22"/>
    </row>
    <row r="2985" spans="1:7" s="7" customFormat="1" ht="18.75" hidden="1" customHeight="1" outlineLevel="1" thickBot="1" x14ac:dyDescent="0.2">
      <c r="A2985" s="2"/>
      <c r="B2985" s="17"/>
      <c r="C2985" s="18"/>
      <c r="D2985" s="18"/>
      <c r="E2985" s="18"/>
      <c r="F2985" s="18"/>
      <c r="G2985" s="19"/>
    </row>
    <row r="2986" spans="1:7" s="7" customFormat="1" hidden="1" outlineLevel="1" x14ac:dyDescent="0.15">
      <c r="A2986" s="2"/>
      <c r="B2986" s="327" t="s">
        <v>15</v>
      </c>
      <c r="C2986" s="328"/>
      <c r="D2986" s="328"/>
      <c r="E2986" s="328"/>
      <c r="F2986" s="328"/>
      <c r="G2986" s="329"/>
    </row>
    <row r="2987" spans="1:7" s="7" customFormat="1" hidden="1" outlineLevel="1" x14ac:dyDescent="0.15">
      <c r="A2987" s="2" t="s">
        <v>62</v>
      </c>
      <c r="B2987" s="20">
        <v>1</v>
      </c>
      <c r="C2987" s="20" t="s">
        <v>123</v>
      </c>
      <c r="D2987" s="21" t="s">
        <v>113</v>
      </c>
      <c r="E2987" s="21" t="s">
        <v>114</v>
      </c>
      <c r="F2987" s="21" t="s">
        <v>115</v>
      </c>
      <c r="G2987" s="22"/>
    </row>
    <row r="2988" spans="1:7" s="7" customFormat="1" hidden="1" outlineLevel="1" x14ac:dyDescent="0.15">
      <c r="A2988" s="2"/>
      <c r="B2988" s="20">
        <v>2</v>
      </c>
      <c r="C2988" s="21" t="s">
        <v>122</v>
      </c>
      <c r="D2988" s="21" t="s">
        <v>111</v>
      </c>
      <c r="E2988" s="21"/>
      <c r="F2988" s="21"/>
      <c r="G2988" s="22"/>
    </row>
    <row r="2989" spans="1:7" s="7" customFormat="1" hidden="1" outlineLevel="1" x14ac:dyDescent="0.15">
      <c r="A2989" s="2"/>
      <c r="B2989" s="20"/>
      <c r="C2989" s="23"/>
      <c r="D2989" s="21"/>
      <c r="E2989" s="21"/>
      <c r="F2989" s="21"/>
      <c r="G2989" s="22"/>
    </row>
    <row r="2990" spans="1:7" s="7" customFormat="1" hidden="1" outlineLevel="1" x14ac:dyDescent="0.15">
      <c r="A2990" s="2"/>
    </row>
    <row r="2991" spans="1:7" s="7" customFormat="1" ht="18" hidden="1" outlineLevel="1" thickBot="1" x14ac:dyDescent="0.2">
      <c r="A2991" s="2"/>
    </row>
    <row r="2992" spans="1:7" s="7" customFormat="1" ht="18" collapsed="1" thickBot="1" x14ac:dyDescent="0.2">
      <c r="A2992" s="2"/>
      <c r="B2992" s="3" t="s">
        <v>563</v>
      </c>
      <c r="C2992" s="4" t="s">
        <v>669</v>
      </c>
      <c r="D2992" s="5" t="s">
        <v>515</v>
      </c>
      <c r="E2992" s="21" t="s">
        <v>610</v>
      </c>
      <c r="F2992" s="5" t="s">
        <v>567</v>
      </c>
      <c r="G2992" s="6" t="s">
        <v>1619</v>
      </c>
    </row>
    <row r="2993" spans="1:7" s="7" customFormat="1" ht="18" hidden="1" outlineLevel="1" thickBot="1" x14ac:dyDescent="0.2">
      <c r="A2993" s="2"/>
      <c r="B2993" s="34" t="s">
        <v>570</v>
      </c>
      <c r="C2993" s="18"/>
      <c r="D2993" s="35" t="s">
        <v>568</v>
      </c>
      <c r="E2993" s="18" t="s">
        <v>615</v>
      </c>
      <c r="F2993" s="35"/>
      <c r="G2993" s="19"/>
    </row>
    <row r="2994" spans="1:7" s="7" customFormat="1" hidden="1" outlineLevel="1" x14ac:dyDescent="0.15">
      <c r="A2994" s="2"/>
      <c r="B2994" s="3" t="s">
        <v>0</v>
      </c>
      <c r="C2994" s="5" t="s">
        <v>1</v>
      </c>
      <c r="D2994" s="5" t="s">
        <v>2</v>
      </c>
      <c r="E2994" s="5"/>
      <c r="F2994" s="5" t="s">
        <v>3</v>
      </c>
      <c r="G2994" s="36" t="s">
        <v>4</v>
      </c>
    </row>
    <row r="2995" spans="1:7" s="7" customFormat="1" hidden="1" outlineLevel="1" x14ac:dyDescent="0.15">
      <c r="A2995" s="2"/>
      <c r="B2995" s="20" t="s">
        <v>5</v>
      </c>
      <c r="C2995" s="21" t="s">
        <v>1127</v>
      </c>
      <c r="D2995" s="21" t="s">
        <v>211</v>
      </c>
      <c r="E2995" s="21" t="s">
        <v>1141</v>
      </c>
      <c r="F2995" s="21"/>
      <c r="G2995" s="22" t="s">
        <v>1162</v>
      </c>
    </row>
    <row r="2996" spans="1:7" s="7" customFormat="1" hidden="1" outlineLevel="1" x14ac:dyDescent="0.15">
      <c r="A2996" s="2"/>
      <c r="B2996" s="20" t="s">
        <v>122</v>
      </c>
      <c r="C2996" s="21" t="s">
        <v>1163</v>
      </c>
      <c r="D2996" s="21" t="s">
        <v>211</v>
      </c>
      <c r="E2996" s="21">
        <v>0</v>
      </c>
      <c r="F2996" s="21"/>
      <c r="G2996" s="22" t="s">
        <v>1077</v>
      </c>
    </row>
    <row r="2997" spans="1:7" s="7" customFormat="1" hidden="1" outlineLevel="1" x14ac:dyDescent="0.15">
      <c r="A2997" s="2"/>
      <c r="B2997" s="20" t="s">
        <v>111</v>
      </c>
      <c r="C2997" s="21" t="s">
        <v>1164</v>
      </c>
      <c r="D2997" s="21" t="s">
        <v>211</v>
      </c>
      <c r="E2997" s="21">
        <v>0</v>
      </c>
      <c r="F2997" s="21"/>
      <c r="G2997" s="22" t="s">
        <v>1165</v>
      </c>
    </row>
    <row r="2998" spans="1:7" s="7" customFormat="1" hidden="1" outlineLevel="1" x14ac:dyDescent="0.15">
      <c r="A2998" s="2"/>
      <c r="B2998" s="20" t="s">
        <v>123</v>
      </c>
      <c r="C2998" s="21" t="s">
        <v>1133</v>
      </c>
      <c r="D2998" s="21" t="s">
        <v>211</v>
      </c>
      <c r="E2998" s="21">
        <v>0</v>
      </c>
      <c r="F2998" s="21"/>
      <c r="G2998" s="22" t="s">
        <v>1182</v>
      </c>
    </row>
    <row r="2999" spans="1:7" s="7" customFormat="1" hidden="1" outlineLevel="1" x14ac:dyDescent="0.15">
      <c r="A2999" s="2"/>
      <c r="B2999" s="20" t="s">
        <v>113</v>
      </c>
      <c r="C2999" s="21" t="s">
        <v>1187</v>
      </c>
      <c r="D2999" s="21" t="s">
        <v>211</v>
      </c>
      <c r="E2999" s="21">
        <v>0</v>
      </c>
      <c r="F2999" s="21"/>
      <c r="G2999" s="22"/>
    </row>
    <row r="3000" spans="1:7" s="7" customFormat="1" hidden="1" outlineLevel="1" x14ac:dyDescent="0.15">
      <c r="A3000" s="2"/>
      <c r="B3000" s="20" t="s">
        <v>7</v>
      </c>
      <c r="C3000" s="21" t="s">
        <v>1190</v>
      </c>
      <c r="D3000" s="21" t="s">
        <v>211</v>
      </c>
      <c r="E3000" s="21">
        <v>0</v>
      </c>
      <c r="F3000" s="21"/>
      <c r="G3000" s="22" t="s">
        <v>1081</v>
      </c>
    </row>
    <row r="3001" spans="1:7" s="7" customFormat="1" hidden="1" outlineLevel="1" x14ac:dyDescent="0.15">
      <c r="A3001" s="2"/>
      <c r="B3001" s="20" t="s">
        <v>114</v>
      </c>
      <c r="C3001" s="21" t="s">
        <v>1155</v>
      </c>
      <c r="D3001" s="21" t="s">
        <v>211</v>
      </c>
      <c r="E3001" s="21">
        <v>0</v>
      </c>
      <c r="F3001" s="21"/>
      <c r="G3001" s="22"/>
    </row>
    <row r="3002" spans="1:7" s="7" customFormat="1" hidden="1" outlineLevel="1" x14ac:dyDescent="0.15">
      <c r="A3002" s="2"/>
      <c r="B3002" s="20" t="s">
        <v>118</v>
      </c>
      <c r="C3002" s="21" t="s">
        <v>1188</v>
      </c>
      <c r="D3002" s="21" t="s">
        <v>211</v>
      </c>
      <c r="E3002" s="21">
        <v>0</v>
      </c>
      <c r="F3002" s="21"/>
      <c r="G3002" s="22"/>
    </row>
    <row r="3003" spans="1:7" s="7" customFormat="1" hidden="1" outlineLevel="1" x14ac:dyDescent="0.15">
      <c r="A3003" s="2"/>
      <c r="B3003" s="20" t="s">
        <v>8</v>
      </c>
      <c r="C3003" s="21" t="s">
        <v>1193</v>
      </c>
      <c r="D3003" s="21" t="s">
        <v>1087</v>
      </c>
      <c r="E3003" s="21">
        <v>0</v>
      </c>
      <c r="F3003" s="21"/>
      <c r="G3003" s="22" t="s">
        <v>1194</v>
      </c>
    </row>
    <row r="3004" spans="1:7" s="7" customFormat="1" hidden="1" outlineLevel="1" x14ac:dyDescent="0.15">
      <c r="A3004" s="2"/>
      <c r="B3004" s="20" t="s">
        <v>9</v>
      </c>
      <c r="C3004" s="21" t="s">
        <v>1195</v>
      </c>
      <c r="D3004" s="21" t="s">
        <v>1087</v>
      </c>
      <c r="E3004" s="21">
        <v>0</v>
      </c>
      <c r="F3004" s="21"/>
      <c r="G3004" s="22" t="s">
        <v>1196</v>
      </c>
    </row>
    <row r="3005" spans="1:7" s="7" customFormat="1" hidden="1" outlineLevel="1" x14ac:dyDescent="0.15">
      <c r="A3005" s="2"/>
      <c r="B3005" s="20" t="s">
        <v>76</v>
      </c>
      <c r="C3005" s="21" t="s">
        <v>1118</v>
      </c>
      <c r="D3005" s="21" t="s">
        <v>1087</v>
      </c>
      <c r="E3005" s="21">
        <v>0</v>
      </c>
      <c r="F3005" s="21"/>
      <c r="G3005" s="22"/>
    </row>
    <row r="3006" spans="1:7" s="7" customFormat="1" hidden="1" outlineLevel="1" x14ac:dyDescent="0.15">
      <c r="A3006" s="2"/>
      <c r="B3006" s="20" t="s">
        <v>77</v>
      </c>
      <c r="C3006" s="21" t="s">
        <v>1336</v>
      </c>
      <c r="D3006" s="21" t="s">
        <v>1087</v>
      </c>
      <c r="E3006" s="21">
        <v>0</v>
      </c>
      <c r="F3006" s="21"/>
      <c r="G3006" s="22"/>
    </row>
    <row r="3007" spans="1:7" s="7" customFormat="1" hidden="1" outlineLevel="1" x14ac:dyDescent="0.15">
      <c r="A3007" s="2"/>
      <c r="B3007" s="20" t="s">
        <v>214</v>
      </c>
      <c r="C3007" s="21" t="s">
        <v>1339</v>
      </c>
      <c r="D3007" s="21" t="s">
        <v>211</v>
      </c>
      <c r="E3007" s="21">
        <v>0</v>
      </c>
      <c r="F3007" s="21"/>
      <c r="G3007" s="22"/>
    </row>
    <row r="3008" spans="1:7" s="7" customFormat="1" ht="18" hidden="1" outlineLevel="1" thickBot="1" x14ac:dyDescent="0.2">
      <c r="A3008" s="2"/>
      <c r="B3008" s="24"/>
      <c r="C3008" s="9"/>
      <c r="D3008" s="9"/>
      <c r="E3008" s="9"/>
      <c r="F3008" s="9"/>
      <c r="G3008" s="11"/>
    </row>
    <row r="3009" spans="1:8" s="7" customFormat="1" hidden="1" outlineLevel="1" x14ac:dyDescent="0.15">
      <c r="A3009" s="2"/>
      <c r="B3009" s="327" t="s">
        <v>15</v>
      </c>
      <c r="C3009" s="328"/>
      <c r="D3009" s="328"/>
      <c r="E3009" s="328"/>
      <c r="F3009" s="328"/>
      <c r="G3009" s="329"/>
      <c r="H3009" s="21"/>
    </row>
    <row r="3010" spans="1:8" s="7" customFormat="1" hidden="1" outlineLevel="1" x14ac:dyDescent="0.15">
      <c r="A3010" s="2" t="s">
        <v>205</v>
      </c>
      <c r="B3010" s="20">
        <v>1</v>
      </c>
      <c r="C3010" s="23" t="s">
        <v>22</v>
      </c>
      <c r="D3010" s="20" t="s">
        <v>123</v>
      </c>
      <c r="E3010" s="21" t="s">
        <v>113</v>
      </c>
      <c r="F3010" s="21" t="s">
        <v>114</v>
      </c>
      <c r="G3010" s="21" t="s">
        <v>118</v>
      </c>
    </row>
    <row r="3011" spans="1:8" s="7" customFormat="1" hidden="1" outlineLevel="1" x14ac:dyDescent="0.15">
      <c r="A3011" s="2"/>
      <c r="B3011" s="20">
        <v>2</v>
      </c>
      <c r="C3011" s="23" t="s">
        <v>22</v>
      </c>
      <c r="D3011" s="21" t="s">
        <v>122</v>
      </c>
      <c r="E3011" s="21" t="s">
        <v>111</v>
      </c>
      <c r="F3011" s="21"/>
      <c r="G3011" s="21"/>
    </row>
    <row r="3012" spans="1:8" s="2" customFormat="1" ht="18" hidden="1" outlineLevel="1" thickBot="1" x14ac:dyDescent="0.2">
      <c r="B3012" s="24"/>
      <c r="C3012" s="9"/>
      <c r="D3012" s="9"/>
      <c r="E3012" s="9"/>
      <c r="F3012" s="9"/>
      <c r="G3012" s="11"/>
    </row>
    <row r="3013" spans="1:8" s="2" customFormat="1" hidden="1" outlineLevel="1" x14ac:dyDescent="0.15"/>
    <row r="3014" spans="1:8" s="7" customFormat="1" ht="18" hidden="1" outlineLevel="1" thickBot="1" x14ac:dyDescent="0.2">
      <c r="A3014" s="2"/>
      <c r="B3014" s="2"/>
      <c r="C3014" s="2"/>
      <c r="D3014" s="2"/>
      <c r="E3014" s="2"/>
      <c r="F3014" s="2"/>
      <c r="G3014" s="2"/>
    </row>
    <row r="3015" spans="1:8" s="7" customFormat="1" ht="18" collapsed="1" thickBot="1" x14ac:dyDescent="0.2">
      <c r="A3015" s="2"/>
      <c r="B3015" s="233" t="s">
        <v>563</v>
      </c>
      <c r="C3015" s="146" t="s">
        <v>654</v>
      </c>
      <c r="D3015" s="146" t="s">
        <v>515</v>
      </c>
      <c r="E3015" s="21" t="s">
        <v>730</v>
      </c>
      <c r="F3015" s="146" t="s">
        <v>567</v>
      </c>
      <c r="G3015" s="234" t="s">
        <v>1619</v>
      </c>
    </row>
    <row r="3016" spans="1:8" s="7" customFormat="1" ht="18" hidden="1" outlineLevel="1" thickBot="1" x14ac:dyDescent="0.2">
      <c r="A3016" s="2"/>
      <c r="B3016" s="8" t="s">
        <v>570</v>
      </c>
      <c r="C3016" s="9"/>
      <c r="D3016" s="10" t="s">
        <v>568</v>
      </c>
      <c r="E3016" s="9" t="s">
        <v>615</v>
      </c>
      <c r="F3016" s="10"/>
      <c r="G3016" s="11"/>
    </row>
    <row r="3017" spans="1:8" s="7" customFormat="1" hidden="1" outlineLevel="1" x14ac:dyDescent="0.15">
      <c r="A3017" s="2"/>
      <c r="B3017" s="12" t="s">
        <v>0</v>
      </c>
      <c r="C3017" s="13" t="s">
        <v>1</v>
      </c>
      <c r="D3017" s="13" t="s">
        <v>2</v>
      </c>
      <c r="E3017" s="13"/>
      <c r="F3017" s="13" t="s">
        <v>3</v>
      </c>
      <c r="G3017" s="13" t="s">
        <v>4</v>
      </c>
    </row>
    <row r="3018" spans="1:8" s="7" customFormat="1" hidden="1" outlineLevel="1" x14ac:dyDescent="0.15">
      <c r="A3018" s="2"/>
      <c r="B3018" s="20" t="s">
        <v>16</v>
      </c>
      <c r="C3018" s="21" t="s">
        <v>1163</v>
      </c>
      <c r="D3018" s="21" t="s">
        <v>211</v>
      </c>
      <c r="E3018" s="21">
        <v>0</v>
      </c>
      <c r="F3018" s="21"/>
      <c r="G3018" s="22" t="s">
        <v>1077</v>
      </c>
    </row>
    <row r="3019" spans="1:8" s="7" customFormat="1" hidden="1" outlineLevel="1" x14ac:dyDescent="0.15">
      <c r="A3019" s="2"/>
      <c r="B3019" s="20" t="s">
        <v>111</v>
      </c>
      <c r="C3019" s="21" t="s">
        <v>1164</v>
      </c>
      <c r="D3019" s="21" t="s">
        <v>211</v>
      </c>
      <c r="E3019" s="21">
        <v>0</v>
      </c>
      <c r="F3019" s="21"/>
      <c r="G3019" s="22" t="s">
        <v>1165</v>
      </c>
    </row>
    <row r="3020" spans="1:8" s="7" customFormat="1" hidden="1" outlineLevel="1" x14ac:dyDescent="0.15">
      <c r="A3020" s="2"/>
      <c r="B3020" s="20" t="s">
        <v>113</v>
      </c>
      <c r="C3020" s="21" t="s">
        <v>1187</v>
      </c>
      <c r="D3020" s="21" t="s">
        <v>211</v>
      </c>
      <c r="E3020" s="21">
        <v>0</v>
      </c>
      <c r="F3020" s="21"/>
      <c r="G3020" s="22"/>
    </row>
    <row r="3021" spans="1:8" s="7" customFormat="1" hidden="1" outlineLevel="1" x14ac:dyDescent="0.15">
      <c r="A3021" s="2"/>
      <c r="B3021" s="20" t="s">
        <v>7</v>
      </c>
      <c r="C3021" s="21" t="s">
        <v>1190</v>
      </c>
      <c r="D3021" s="21" t="s">
        <v>211</v>
      </c>
      <c r="E3021" s="21">
        <v>0</v>
      </c>
      <c r="F3021" s="21"/>
      <c r="G3021" s="22" t="s">
        <v>1081</v>
      </c>
    </row>
    <row r="3022" spans="1:8" s="7" customFormat="1" hidden="1" outlineLevel="1" x14ac:dyDescent="0.15">
      <c r="A3022" s="2"/>
      <c r="B3022" s="20" t="s">
        <v>114</v>
      </c>
      <c r="C3022" s="21" t="s">
        <v>1155</v>
      </c>
      <c r="D3022" s="21" t="s">
        <v>211</v>
      </c>
      <c r="E3022" s="21">
        <v>0</v>
      </c>
      <c r="F3022" s="21"/>
      <c r="G3022" s="22"/>
    </row>
    <row r="3023" spans="1:8" s="7" customFormat="1" hidden="1" outlineLevel="1" x14ac:dyDescent="0.15">
      <c r="A3023" s="2"/>
      <c r="B3023" s="20" t="s">
        <v>118</v>
      </c>
      <c r="C3023" s="21" t="s">
        <v>1188</v>
      </c>
      <c r="D3023" s="21" t="s">
        <v>211</v>
      </c>
      <c r="E3023" s="21">
        <v>0</v>
      </c>
      <c r="F3023" s="21"/>
      <c r="G3023" s="22"/>
    </row>
    <row r="3024" spans="1:8" s="7" customFormat="1" hidden="1" outlineLevel="1" x14ac:dyDescent="0.15">
      <c r="A3024" s="2"/>
      <c r="B3024" s="20" t="s">
        <v>8</v>
      </c>
      <c r="C3024" s="21" t="s">
        <v>1193</v>
      </c>
      <c r="D3024" s="21" t="s">
        <v>1087</v>
      </c>
      <c r="E3024" s="21">
        <v>0</v>
      </c>
      <c r="F3024" s="21"/>
      <c r="G3024" s="22" t="s">
        <v>1194</v>
      </c>
    </row>
    <row r="3025" spans="1:7" s="7" customFormat="1" hidden="1" outlineLevel="1" x14ac:dyDescent="0.15">
      <c r="A3025" s="2"/>
      <c r="B3025" s="20" t="s">
        <v>9</v>
      </c>
      <c r="C3025" s="21" t="s">
        <v>1195</v>
      </c>
      <c r="D3025" s="21" t="s">
        <v>1087</v>
      </c>
      <c r="E3025" s="21">
        <v>0</v>
      </c>
      <c r="F3025" s="21"/>
      <c r="G3025" s="22" t="s">
        <v>1196</v>
      </c>
    </row>
    <row r="3026" spans="1:7" s="7" customFormat="1" hidden="1" outlineLevel="1" x14ac:dyDescent="0.15">
      <c r="A3026" s="2"/>
      <c r="B3026" s="20" t="s">
        <v>76</v>
      </c>
      <c r="C3026" s="21" t="s">
        <v>1118</v>
      </c>
      <c r="D3026" s="21" t="s">
        <v>1087</v>
      </c>
      <c r="E3026" s="21">
        <v>0</v>
      </c>
      <c r="F3026" s="21"/>
      <c r="G3026" s="22"/>
    </row>
    <row r="3027" spans="1:7" s="7" customFormat="1" hidden="1" outlineLevel="1" x14ac:dyDescent="0.15">
      <c r="A3027" s="2"/>
      <c r="B3027" s="20" t="s">
        <v>77</v>
      </c>
      <c r="C3027" s="21" t="s">
        <v>1336</v>
      </c>
      <c r="D3027" s="21" t="s">
        <v>1087</v>
      </c>
      <c r="E3027" s="21">
        <v>0</v>
      </c>
      <c r="F3027" s="21"/>
      <c r="G3027" s="22"/>
    </row>
    <row r="3028" spans="1:7" s="7" customFormat="1" hidden="1" outlineLevel="1" x14ac:dyDescent="0.15">
      <c r="A3028" s="2"/>
      <c r="B3028" s="20" t="s">
        <v>214</v>
      </c>
      <c r="C3028" s="21" t="s">
        <v>1339</v>
      </c>
      <c r="D3028" s="21" t="s">
        <v>211</v>
      </c>
      <c r="E3028" s="21">
        <v>0</v>
      </c>
      <c r="F3028" s="21"/>
      <c r="G3028" s="22"/>
    </row>
    <row r="3029" spans="1:7" s="7" customFormat="1" ht="18.75" hidden="1" customHeight="1" outlineLevel="1" thickBot="1" x14ac:dyDescent="0.2">
      <c r="A3029" s="2"/>
      <c r="B3029" s="17"/>
      <c r="C3029" s="18"/>
      <c r="D3029" s="18"/>
      <c r="E3029" s="18"/>
      <c r="F3029" s="18"/>
      <c r="G3029" s="19"/>
    </row>
    <row r="3030" spans="1:7" s="7" customFormat="1" hidden="1" outlineLevel="1" x14ac:dyDescent="0.15">
      <c r="A3030" s="2"/>
      <c r="B3030" s="327" t="s">
        <v>15</v>
      </c>
      <c r="C3030" s="328"/>
      <c r="D3030" s="328"/>
      <c r="E3030" s="328"/>
      <c r="F3030" s="328"/>
      <c r="G3030" s="329"/>
    </row>
    <row r="3031" spans="1:7" s="7" customFormat="1" hidden="1" outlineLevel="1" x14ac:dyDescent="0.15">
      <c r="A3031" s="2" t="s">
        <v>62</v>
      </c>
      <c r="B3031" s="20">
        <v>1</v>
      </c>
      <c r="C3031" s="21" t="s">
        <v>113</v>
      </c>
      <c r="D3031" s="21" t="s">
        <v>114</v>
      </c>
      <c r="E3031" s="21" t="s">
        <v>118</v>
      </c>
      <c r="F3031" s="22"/>
      <c r="G3031" s="22"/>
    </row>
    <row r="3032" spans="1:7" s="7" customFormat="1" hidden="1" outlineLevel="1" x14ac:dyDescent="0.15">
      <c r="A3032" s="2"/>
      <c r="B3032" s="20">
        <v>2</v>
      </c>
      <c r="C3032" s="21" t="s">
        <v>122</v>
      </c>
      <c r="D3032" s="21" t="s">
        <v>111</v>
      </c>
      <c r="E3032" s="21"/>
      <c r="F3032" s="21"/>
      <c r="G3032" s="22"/>
    </row>
    <row r="3033" spans="1:7" s="7" customFormat="1" hidden="1" outlineLevel="1" x14ac:dyDescent="0.15">
      <c r="A3033" s="2"/>
      <c r="B3033" s="20"/>
      <c r="C3033" s="23"/>
      <c r="D3033" s="21"/>
      <c r="E3033" s="21"/>
      <c r="F3033" s="21"/>
      <c r="G3033" s="22"/>
    </row>
    <row r="3034" spans="1:7" s="7" customFormat="1" hidden="1" outlineLevel="1" x14ac:dyDescent="0.15">
      <c r="A3034" s="2"/>
    </row>
    <row r="3035" spans="1:7" s="7" customFormat="1" ht="18" hidden="1" outlineLevel="1" thickBot="1" x14ac:dyDescent="0.2">
      <c r="A3035" s="2"/>
    </row>
    <row r="3036" spans="1:7" s="7" customFormat="1" ht="18" collapsed="1" thickBot="1" x14ac:dyDescent="0.2">
      <c r="A3036" s="2"/>
      <c r="B3036" s="3" t="s">
        <v>563</v>
      </c>
      <c r="C3036" s="4" t="s">
        <v>655</v>
      </c>
      <c r="D3036" s="5" t="s">
        <v>515</v>
      </c>
      <c r="E3036" s="21" t="s">
        <v>731</v>
      </c>
      <c r="F3036" s="5" t="s">
        <v>567</v>
      </c>
      <c r="G3036" s="6" t="s">
        <v>1619</v>
      </c>
    </row>
    <row r="3037" spans="1:7" s="7" customFormat="1" ht="18" hidden="1" outlineLevel="1" thickBot="1" x14ac:dyDescent="0.2">
      <c r="A3037" s="2"/>
      <c r="B3037" s="34" t="s">
        <v>570</v>
      </c>
      <c r="C3037" s="18"/>
      <c r="D3037" s="35" t="s">
        <v>568</v>
      </c>
      <c r="E3037" s="18" t="s">
        <v>615</v>
      </c>
      <c r="F3037" s="35"/>
      <c r="G3037" s="19"/>
    </row>
    <row r="3038" spans="1:7" s="7" customFormat="1" hidden="1" outlineLevel="1" x14ac:dyDescent="0.15">
      <c r="A3038" s="2"/>
      <c r="B3038" s="3" t="s">
        <v>0</v>
      </c>
      <c r="C3038" s="5" t="s">
        <v>1</v>
      </c>
      <c r="D3038" s="5" t="s">
        <v>2</v>
      </c>
      <c r="E3038" s="5"/>
      <c r="F3038" s="5" t="s">
        <v>3</v>
      </c>
      <c r="G3038" s="36" t="s">
        <v>4</v>
      </c>
    </row>
    <row r="3039" spans="1:7" s="7" customFormat="1" hidden="1" outlineLevel="1" x14ac:dyDescent="0.15">
      <c r="A3039" s="2"/>
      <c r="B3039" s="20" t="s">
        <v>5</v>
      </c>
      <c r="C3039" s="21" t="s">
        <v>1127</v>
      </c>
      <c r="D3039" s="21" t="s">
        <v>211</v>
      </c>
      <c r="E3039" s="21" t="s">
        <v>1141</v>
      </c>
      <c r="F3039" s="21"/>
      <c r="G3039" s="22" t="s">
        <v>1162</v>
      </c>
    </row>
    <row r="3040" spans="1:7" s="7" customFormat="1" hidden="1" outlineLevel="1" x14ac:dyDescent="0.15">
      <c r="A3040" s="2"/>
      <c r="B3040" s="20" t="s">
        <v>109</v>
      </c>
      <c r="C3040" s="21" t="s">
        <v>1163</v>
      </c>
      <c r="D3040" s="21" t="s">
        <v>211</v>
      </c>
      <c r="E3040" s="21">
        <v>0</v>
      </c>
      <c r="F3040" s="21"/>
      <c r="G3040" s="22" t="s">
        <v>1077</v>
      </c>
    </row>
    <row r="3041" spans="1:8" s="7" customFormat="1" hidden="1" outlineLevel="1" x14ac:dyDescent="0.15">
      <c r="A3041" s="2"/>
      <c r="B3041" s="20" t="s">
        <v>111</v>
      </c>
      <c r="C3041" s="21" t="s">
        <v>1164</v>
      </c>
      <c r="D3041" s="21" t="s">
        <v>211</v>
      </c>
      <c r="E3041" s="21">
        <v>0</v>
      </c>
      <c r="F3041" s="21"/>
      <c r="G3041" s="22" t="s">
        <v>1165</v>
      </c>
    </row>
    <row r="3042" spans="1:8" s="7" customFormat="1" hidden="1" outlineLevel="1" x14ac:dyDescent="0.15">
      <c r="A3042" s="2"/>
      <c r="B3042" s="20" t="s">
        <v>113</v>
      </c>
      <c r="C3042" s="21" t="s">
        <v>1187</v>
      </c>
      <c r="D3042" s="21" t="s">
        <v>211</v>
      </c>
      <c r="E3042" s="21">
        <v>0</v>
      </c>
      <c r="F3042" s="21"/>
      <c r="G3042" s="22"/>
    </row>
    <row r="3043" spans="1:8" s="7" customFormat="1" hidden="1" outlineLevel="1" x14ac:dyDescent="0.15">
      <c r="A3043" s="2"/>
      <c r="B3043" s="20" t="s">
        <v>7</v>
      </c>
      <c r="C3043" s="21" t="s">
        <v>1190</v>
      </c>
      <c r="D3043" s="21" t="s">
        <v>211</v>
      </c>
      <c r="E3043" s="21">
        <v>0</v>
      </c>
      <c r="F3043" s="21"/>
      <c r="G3043" s="22" t="s">
        <v>1081</v>
      </c>
    </row>
    <row r="3044" spans="1:8" s="7" customFormat="1" hidden="1" outlineLevel="1" x14ac:dyDescent="0.15">
      <c r="A3044" s="2"/>
      <c r="B3044" s="20" t="s">
        <v>114</v>
      </c>
      <c r="C3044" s="21" t="s">
        <v>1155</v>
      </c>
      <c r="D3044" s="21" t="s">
        <v>211</v>
      </c>
      <c r="E3044" s="21">
        <v>0</v>
      </c>
      <c r="F3044" s="21"/>
      <c r="G3044" s="22"/>
    </row>
    <row r="3045" spans="1:8" s="7" customFormat="1" hidden="1" outlineLevel="1" x14ac:dyDescent="0.15">
      <c r="A3045" s="2"/>
      <c r="B3045" s="20" t="s">
        <v>118</v>
      </c>
      <c r="C3045" s="21" t="s">
        <v>1188</v>
      </c>
      <c r="D3045" s="21" t="s">
        <v>211</v>
      </c>
      <c r="E3045" s="21">
        <v>0</v>
      </c>
      <c r="F3045" s="21"/>
      <c r="G3045" s="22"/>
    </row>
    <row r="3046" spans="1:8" s="7" customFormat="1" hidden="1" outlineLevel="1" x14ac:dyDescent="0.15">
      <c r="A3046" s="2"/>
      <c r="B3046" s="20" t="s">
        <v>8</v>
      </c>
      <c r="C3046" s="21" t="s">
        <v>1193</v>
      </c>
      <c r="D3046" s="21" t="s">
        <v>1087</v>
      </c>
      <c r="E3046" s="21">
        <v>0</v>
      </c>
      <c r="F3046" s="21"/>
      <c r="G3046" s="22" t="s">
        <v>1194</v>
      </c>
    </row>
    <row r="3047" spans="1:8" s="7" customFormat="1" hidden="1" outlineLevel="1" x14ac:dyDescent="0.15">
      <c r="A3047" s="2"/>
      <c r="B3047" s="20" t="s">
        <v>9</v>
      </c>
      <c r="C3047" s="21" t="s">
        <v>1195</v>
      </c>
      <c r="D3047" s="21" t="s">
        <v>1087</v>
      </c>
      <c r="E3047" s="21">
        <v>0</v>
      </c>
      <c r="F3047" s="21"/>
      <c r="G3047" s="22" t="s">
        <v>1196</v>
      </c>
    </row>
    <row r="3048" spans="1:8" s="7" customFormat="1" hidden="1" outlineLevel="1" x14ac:dyDescent="0.15">
      <c r="A3048" s="2"/>
      <c r="B3048" s="20" t="s">
        <v>76</v>
      </c>
      <c r="C3048" s="21" t="s">
        <v>1118</v>
      </c>
      <c r="D3048" s="21" t="s">
        <v>1087</v>
      </c>
      <c r="E3048" s="21">
        <v>0</v>
      </c>
      <c r="F3048" s="21"/>
      <c r="G3048" s="22"/>
    </row>
    <row r="3049" spans="1:8" s="7" customFormat="1" hidden="1" outlineLevel="1" x14ac:dyDescent="0.15">
      <c r="A3049" s="2"/>
      <c r="B3049" s="20" t="s">
        <v>77</v>
      </c>
      <c r="C3049" s="21" t="s">
        <v>1336</v>
      </c>
      <c r="D3049" s="21" t="s">
        <v>1087</v>
      </c>
      <c r="E3049" s="21">
        <v>0</v>
      </c>
      <c r="F3049" s="21"/>
      <c r="G3049" s="22"/>
    </row>
    <row r="3050" spans="1:8" s="7" customFormat="1" hidden="1" outlineLevel="1" x14ac:dyDescent="0.15">
      <c r="A3050" s="2"/>
      <c r="B3050" s="20" t="s">
        <v>214</v>
      </c>
      <c r="C3050" s="21" t="s">
        <v>1339</v>
      </c>
      <c r="D3050" s="21" t="s">
        <v>211</v>
      </c>
      <c r="E3050" s="21">
        <v>0</v>
      </c>
      <c r="F3050" s="21"/>
      <c r="G3050" s="22"/>
    </row>
    <row r="3051" spans="1:8" s="7" customFormat="1" ht="18" hidden="1" outlineLevel="1" thickBot="1" x14ac:dyDescent="0.2">
      <c r="A3051" s="2"/>
      <c r="B3051" s="24"/>
      <c r="C3051" s="9"/>
      <c r="D3051" s="9"/>
      <c r="E3051" s="9"/>
      <c r="F3051" s="9"/>
      <c r="G3051" s="11"/>
    </row>
    <row r="3052" spans="1:8" s="7" customFormat="1" hidden="1" outlineLevel="1" x14ac:dyDescent="0.15">
      <c r="A3052" s="2"/>
      <c r="B3052" s="327" t="s">
        <v>15</v>
      </c>
      <c r="C3052" s="328"/>
      <c r="D3052" s="328"/>
      <c r="E3052" s="328"/>
      <c r="F3052" s="328"/>
      <c r="G3052" s="329"/>
    </row>
    <row r="3053" spans="1:8" s="7" customFormat="1" hidden="1" outlineLevel="1" x14ac:dyDescent="0.15">
      <c r="A3053" s="2" t="s">
        <v>205</v>
      </c>
      <c r="B3053" s="20">
        <v>1</v>
      </c>
      <c r="C3053" s="23" t="s">
        <v>22</v>
      </c>
      <c r="D3053" s="21" t="s">
        <v>113</v>
      </c>
      <c r="E3053" s="21" t="s">
        <v>114</v>
      </c>
      <c r="F3053" s="21" t="s">
        <v>118</v>
      </c>
      <c r="G3053" s="21"/>
    </row>
    <row r="3054" spans="1:8" s="7" customFormat="1" hidden="1" outlineLevel="1" x14ac:dyDescent="0.15">
      <c r="A3054" s="2"/>
      <c r="B3054" s="20">
        <v>2</v>
      </c>
      <c r="C3054" s="23" t="s">
        <v>22</v>
      </c>
      <c r="D3054" s="21" t="s">
        <v>122</v>
      </c>
      <c r="E3054" s="21" t="s">
        <v>111</v>
      </c>
      <c r="F3054" s="21"/>
      <c r="G3054" s="21"/>
    </row>
    <row r="3055" spans="1:8" s="2" customFormat="1" ht="18" hidden="1" outlineLevel="1" thickBot="1" x14ac:dyDescent="0.2">
      <c r="B3055" s="24"/>
      <c r="C3055" s="9"/>
      <c r="D3055" s="9"/>
      <c r="E3055" s="9"/>
      <c r="F3055" s="9"/>
      <c r="G3055" s="11"/>
    </row>
    <row r="3056" spans="1:8" s="7" customFormat="1" ht="18" hidden="1" outlineLevel="1" thickBot="1" x14ac:dyDescent="0.2">
      <c r="A3056" s="2"/>
      <c r="B3056" s="2"/>
      <c r="C3056" s="2"/>
      <c r="D3056" s="2"/>
      <c r="E3056" s="2"/>
      <c r="F3056" s="2"/>
      <c r="G3056" s="2"/>
      <c r="H3056" s="6" t="str">
        <f>"create or replace view "&amp;C3057</f>
        <v>create or replace view vi_dt_pd_capit_asset</v>
      </c>
    </row>
    <row r="3057" spans="1:8" s="7" customFormat="1" ht="18" collapsed="1" thickBot="1" x14ac:dyDescent="0.2">
      <c r="A3057" s="2"/>
      <c r="B3057" s="3" t="s">
        <v>563</v>
      </c>
      <c r="C3057" s="4" t="s">
        <v>680</v>
      </c>
      <c r="D3057" s="5" t="s">
        <v>515</v>
      </c>
      <c r="E3057" s="21" t="s">
        <v>1030</v>
      </c>
      <c r="F3057" s="5" t="s">
        <v>567</v>
      </c>
      <c r="G3057" s="6" t="s">
        <v>681</v>
      </c>
      <c r="H3057" s="11" t="str">
        <f>"/* "&amp;E3057&amp;"*/  as "</f>
        <v xml:space="preserve">/* 报表_资管报表_视图-数据-产品-资金-资产*/  as </v>
      </c>
    </row>
    <row r="3058" spans="1:8" s="7" customFormat="1" ht="18" hidden="1" outlineLevel="1" thickBot="1" x14ac:dyDescent="0.2">
      <c r="A3058" s="2"/>
      <c r="B3058" s="34" t="s">
        <v>570</v>
      </c>
      <c r="C3058" s="18"/>
      <c r="D3058" s="35" t="s">
        <v>568</v>
      </c>
      <c r="E3058" s="18" t="s">
        <v>615</v>
      </c>
      <c r="F3058" s="35"/>
      <c r="G3058" s="19"/>
      <c r="H3058" s="13" t="s">
        <v>474</v>
      </c>
    </row>
    <row r="3059" spans="1:8" s="7" customFormat="1" hidden="1" outlineLevel="1" x14ac:dyDescent="0.15">
      <c r="A3059" s="2"/>
      <c r="B3059" s="3" t="s">
        <v>0</v>
      </c>
      <c r="C3059" s="5" t="s">
        <v>1</v>
      </c>
      <c r="D3059" s="5" t="s">
        <v>2</v>
      </c>
      <c r="E3059" s="5"/>
      <c r="F3059" s="5" t="s">
        <v>3</v>
      </c>
      <c r="G3059" s="36" t="s">
        <v>4</v>
      </c>
      <c r="H3059" s="107" t="str">
        <f t="shared" ref="H3059:H3085" si="15">"ifnull("&amp;IF(I3059&lt;&gt;"",I3059,IF(F3060&lt;&gt;"",F3060,"t")&amp;"."&amp;C3060)&amp;","&amp;E3060&amp;") as "&amp;C3060&amp;",/*"&amp;B3060&amp;"*/"</f>
        <v>ifnull(t.init_date,date_format(curdate(),'%Y%m%d')) as init_date,/*初始化日期*/</v>
      </c>
    </row>
    <row r="3060" spans="1:8" s="7" customFormat="1" hidden="1" outlineLevel="1" x14ac:dyDescent="0.15">
      <c r="A3060" s="2"/>
      <c r="B3060" s="20" t="s">
        <v>5</v>
      </c>
      <c r="C3060" s="21" t="s">
        <v>1127</v>
      </c>
      <c r="D3060" s="21" t="s">
        <v>211</v>
      </c>
      <c r="E3060" s="21" t="s">
        <v>1141</v>
      </c>
      <c r="F3060" s="21" t="s">
        <v>440</v>
      </c>
      <c r="G3060" s="22" t="s">
        <v>1162</v>
      </c>
      <c r="H3060" s="107" t="str">
        <f t="shared" si="15"/>
        <v>ifnull(t.co_no,0) as co_no,/*机构编号*/</v>
      </c>
    </row>
    <row r="3061" spans="1:8" s="7" customFormat="1" hidden="1" outlineLevel="1" x14ac:dyDescent="0.15">
      <c r="A3061" s="2"/>
      <c r="B3061" s="211" t="s">
        <v>109</v>
      </c>
      <c r="C3061" s="212" t="s">
        <v>1163</v>
      </c>
      <c r="D3061" s="212" t="s">
        <v>211</v>
      </c>
      <c r="E3061" s="212">
        <v>0</v>
      </c>
      <c r="F3061" s="21" t="s">
        <v>440</v>
      </c>
      <c r="G3061" s="213" t="s">
        <v>1077</v>
      </c>
      <c r="H3061" s="107" t="str">
        <f t="shared" si="15"/>
        <v>ifnull(t.pd_no,0) as pd_no,/*产品编号*/</v>
      </c>
    </row>
    <row r="3062" spans="1:8" s="7" customFormat="1" ht="15" hidden="1" customHeight="1" outlineLevel="1" x14ac:dyDescent="0.15">
      <c r="A3062" s="2"/>
      <c r="B3062" s="211" t="s">
        <v>194</v>
      </c>
      <c r="C3062" s="212" t="s">
        <v>1164</v>
      </c>
      <c r="D3062" s="212" t="s">
        <v>211</v>
      </c>
      <c r="E3062" s="212">
        <v>0</v>
      </c>
      <c r="F3062" s="21" t="s">
        <v>440</v>
      </c>
      <c r="G3062" s="213" t="s">
        <v>1165</v>
      </c>
      <c r="H3062" s="107" t="str">
        <f t="shared" si="15"/>
        <v>ifnull(t.crncy_type,"CNY") as crncy_type,/*本币币种*/</v>
      </c>
    </row>
    <row r="3063" spans="1:8" s="7" customFormat="1" ht="15" hidden="1" customHeight="1" outlineLevel="1" x14ac:dyDescent="0.15">
      <c r="A3063" s="2"/>
      <c r="B3063" s="214" t="s">
        <v>23</v>
      </c>
      <c r="C3063" s="212" t="s">
        <v>1091</v>
      </c>
      <c r="D3063" s="212" t="s">
        <v>1131</v>
      </c>
      <c r="E3063" s="212" t="s">
        <v>1074</v>
      </c>
      <c r="F3063" s="21" t="s">
        <v>440</v>
      </c>
      <c r="G3063" s="213"/>
      <c r="H3063" s="107" t="str">
        <f t="shared" si="15"/>
        <v>ifnull(t.first_asset,0) as first_asset,/*原始资产*/</v>
      </c>
    </row>
    <row r="3064" spans="1:8" s="7" customFormat="1" ht="15" hidden="1" customHeight="1" outlineLevel="1" x14ac:dyDescent="0.15">
      <c r="A3064" s="2"/>
      <c r="B3064" s="214" t="s">
        <v>189</v>
      </c>
      <c r="C3064" s="215" t="s">
        <v>1296</v>
      </c>
      <c r="D3064" s="215" t="s">
        <v>1169</v>
      </c>
      <c r="E3064" s="215">
        <v>0</v>
      </c>
      <c r="F3064" s="21" t="s">
        <v>440</v>
      </c>
      <c r="G3064" s="216"/>
      <c r="H3064" s="107" t="str">
        <f t="shared" si="15"/>
        <v>ifnull(t.first_amt,0) as first_amt,/*原始金额*/</v>
      </c>
    </row>
    <row r="3065" spans="1:8" s="7" customFormat="1" ht="15" hidden="1" customHeight="1" outlineLevel="1" x14ac:dyDescent="0.15">
      <c r="A3065" s="2"/>
      <c r="B3065" s="214" t="s">
        <v>68</v>
      </c>
      <c r="C3065" s="212" t="s">
        <v>1297</v>
      </c>
      <c r="D3065" s="212" t="s">
        <v>1169</v>
      </c>
      <c r="E3065" s="212">
        <v>0</v>
      </c>
      <c r="F3065" s="21" t="s">
        <v>440</v>
      </c>
      <c r="G3065" s="213" t="s">
        <v>1298</v>
      </c>
      <c r="H3065" s="107" t="str">
        <f t="shared" si="15"/>
        <v>ifnull(t.pd_all_share,0) as pd_all_share,/*产品总份额*/</v>
      </c>
    </row>
    <row r="3066" spans="1:8" s="7" customFormat="1" ht="15" hidden="1" customHeight="1" outlineLevel="1" x14ac:dyDescent="0.15">
      <c r="A3066" s="2"/>
      <c r="B3066" s="214" t="s">
        <v>69</v>
      </c>
      <c r="C3066" s="212" t="s">
        <v>1126</v>
      </c>
      <c r="D3066" s="212" t="s">
        <v>1087</v>
      </c>
      <c r="E3066" s="212">
        <v>0</v>
      </c>
      <c r="F3066" s="21" t="s">
        <v>440</v>
      </c>
      <c r="G3066" s="213"/>
      <c r="H3066" s="107" t="str">
        <f t="shared" si="15"/>
        <v>ifnull(t.curr_share,0) as curr_share,/*当前份额*/</v>
      </c>
    </row>
    <row r="3067" spans="1:8" s="7" customFormat="1" ht="15" hidden="1" customHeight="1" outlineLevel="1" x14ac:dyDescent="0.15">
      <c r="A3067" s="2"/>
      <c r="B3067" s="217" t="s">
        <v>190</v>
      </c>
      <c r="C3067" s="215" t="s">
        <v>1166</v>
      </c>
      <c r="D3067" s="215" t="s">
        <v>1087</v>
      </c>
      <c r="E3067" s="215">
        <v>0</v>
      </c>
      <c r="F3067" s="21" t="s">
        <v>440</v>
      </c>
      <c r="G3067" s="216"/>
      <c r="H3067" s="107" t="str">
        <f t="shared" si="15"/>
        <v>ifnull(t.pre_share,0) as pre_share,/*昨日份额*/</v>
      </c>
    </row>
    <row r="3068" spans="1:8" s="7" customFormat="1" ht="15" hidden="1" customHeight="1" outlineLevel="1" x14ac:dyDescent="0.15">
      <c r="A3068" s="2"/>
      <c r="B3068" s="217" t="s">
        <v>191</v>
      </c>
      <c r="C3068" s="215" t="s">
        <v>1167</v>
      </c>
      <c r="D3068" s="215" t="s">
        <v>1087</v>
      </c>
      <c r="E3068" s="215">
        <v>0</v>
      </c>
      <c r="F3068" s="21" t="s">
        <v>440</v>
      </c>
      <c r="G3068" s="216"/>
      <c r="H3068" s="107" t="str">
        <f t="shared" si="15"/>
        <v>ifnull(t.his_max_per_nav,0) as his_max_per_nav,/*历史最高单位净值*/</v>
      </c>
    </row>
    <row r="3069" spans="1:8" s="7" customFormat="1" ht="15" hidden="1" customHeight="1" outlineLevel="1" x14ac:dyDescent="0.15">
      <c r="A3069" s="2"/>
      <c r="B3069" s="217" t="s">
        <v>192</v>
      </c>
      <c r="C3069" s="215" t="s">
        <v>1299</v>
      </c>
      <c r="D3069" s="215" t="s">
        <v>1169</v>
      </c>
      <c r="E3069" s="215">
        <v>0</v>
      </c>
      <c r="F3069" s="21" t="s">
        <v>440</v>
      </c>
      <c r="G3069" s="216"/>
      <c r="H3069" s="107" t="str">
        <f t="shared" si="15"/>
        <v>ifnull(t.pre_nav,0) as pre_nav,/*昨日净值*/</v>
      </c>
    </row>
    <row r="3070" spans="1:8" s="7" customFormat="1" hidden="1" outlineLevel="1" x14ac:dyDescent="0.15">
      <c r="A3070" s="2"/>
      <c r="B3070" s="211" t="s">
        <v>193</v>
      </c>
      <c r="C3070" s="212" t="s">
        <v>1171</v>
      </c>
      <c r="D3070" s="212" t="s">
        <v>1169</v>
      </c>
      <c r="E3070" s="212">
        <v>0</v>
      </c>
      <c r="F3070" s="21" t="s">
        <v>440</v>
      </c>
      <c r="G3070" s="213"/>
      <c r="H3070" s="107" t="str">
        <f t="shared" si="15"/>
        <v>ifnull(t.pd_dist_amt,0) as pd_dist_amt,/*产品已分配金额*/</v>
      </c>
    </row>
    <row r="3071" spans="1:8" s="7" customFormat="1" hidden="1" outlineLevel="1" x14ac:dyDescent="0.15">
      <c r="A3071" s="2"/>
      <c r="B3071" s="194" t="s">
        <v>316</v>
      </c>
      <c r="C3071" s="195" t="s">
        <v>1305</v>
      </c>
      <c r="D3071" s="195" t="s">
        <v>1169</v>
      </c>
      <c r="E3071" s="195">
        <v>0</v>
      </c>
      <c r="F3071" s="21" t="s">
        <v>440</v>
      </c>
      <c r="G3071" s="196"/>
      <c r="H3071" s="107" t="str">
        <f t="shared" si="15"/>
        <v>ifnull(t.pd_auth_amt,0) as pd_auth_amt,/*产品已授权金额*/</v>
      </c>
    </row>
    <row r="3072" spans="1:8" s="7" customFormat="1" hidden="1" outlineLevel="1" x14ac:dyDescent="0.15">
      <c r="A3072" s="2"/>
      <c r="B3072" s="194" t="s">
        <v>317</v>
      </c>
      <c r="C3072" s="195" t="s">
        <v>1306</v>
      </c>
      <c r="D3072" s="195" t="s">
        <v>1169</v>
      </c>
      <c r="E3072" s="195">
        <v>0</v>
      </c>
      <c r="F3072" s="21" t="s">
        <v>440</v>
      </c>
      <c r="G3072" s="196"/>
      <c r="H3072" s="107" t="str">
        <f t="shared" si="15"/>
        <v>ifnull(t.total_cash_divide,0) as total_cash_divide,/*累计派现金额*/</v>
      </c>
    </row>
    <row r="3073" spans="1:8" s="7" customFormat="1" hidden="1" outlineLevel="1" x14ac:dyDescent="0.15">
      <c r="B3073" s="194" t="s">
        <v>318</v>
      </c>
      <c r="C3073" s="195" t="s">
        <v>1307</v>
      </c>
      <c r="D3073" s="195" t="s">
        <v>1169</v>
      </c>
      <c r="E3073" s="195">
        <v>0</v>
      </c>
      <c r="F3073" s="21" t="s">
        <v>440</v>
      </c>
      <c r="G3073" s="196"/>
      <c r="H3073" s="107" t="str">
        <f t="shared" si="15"/>
        <v>ifnull(t.total_pre_fee,0) as total_pre_fee,/*累计计提费用*/</v>
      </c>
    </row>
    <row r="3074" spans="1:8" s="7" customFormat="1" hidden="1" outlineLevel="1" x14ac:dyDescent="0.15">
      <c r="B3074" s="194" t="s">
        <v>319</v>
      </c>
      <c r="C3074" s="195" t="s">
        <v>1551</v>
      </c>
      <c r="D3074" s="195" t="s">
        <v>1169</v>
      </c>
      <c r="E3074" s="195">
        <v>0</v>
      </c>
      <c r="F3074" s="21" t="s">
        <v>440</v>
      </c>
      <c r="G3074" s="196"/>
      <c r="H3074" s="107" t="str">
        <f t="shared" si="15"/>
        <v>ifnull(t.total_rece_amt,0) as total_rece_amt,/*累计应收金额*/</v>
      </c>
    </row>
    <row r="3075" spans="1:8" s="7" customFormat="1" hidden="1" outlineLevel="1" x14ac:dyDescent="0.15">
      <c r="A3075" s="2"/>
      <c r="B3075" s="197" t="s">
        <v>175</v>
      </c>
      <c r="C3075" s="218" t="s">
        <v>1129</v>
      </c>
      <c r="D3075" s="218" t="s">
        <v>1169</v>
      </c>
      <c r="E3075" s="218">
        <v>0</v>
      </c>
      <c r="F3075" s="21" t="s">
        <v>440</v>
      </c>
      <c r="G3075" s="219"/>
      <c r="H3075" s="107" t="str">
        <f t="shared" si="15"/>
        <v>ifnull(t.total_payab_amt,0) as total_payab_amt,/*累计应付金额*/</v>
      </c>
    </row>
    <row r="3076" spans="1:8" s="7" customFormat="1" hidden="1" outlineLevel="1" x14ac:dyDescent="0.15">
      <c r="A3076" s="2"/>
      <c r="B3076" s="197" t="s">
        <v>176</v>
      </c>
      <c r="C3076" s="218" t="s">
        <v>1132</v>
      </c>
      <c r="D3076" s="218" t="s">
        <v>1169</v>
      </c>
      <c r="E3076" s="218">
        <v>0</v>
      </c>
      <c r="F3076" s="21" t="s">
        <v>440</v>
      </c>
      <c r="G3076" s="219"/>
      <c r="H3076" s="107" t="str">
        <f t="shared" si="15"/>
        <v>ifnull(t.intrst_cacl_amt,0) as intrst_cacl_amt,/*预计利息*/</v>
      </c>
    </row>
    <row r="3077" spans="1:8" s="7" customFormat="1" hidden="1" outlineLevel="1" x14ac:dyDescent="0.15">
      <c r="B3077" s="197" t="s">
        <v>320</v>
      </c>
      <c r="C3077" s="218" t="s">
        <v>1115</v>
      </c>
      <c r="D3077" s="218" t="s">
        <v>1169</v>
      </c>
      <c r="E3077" s="218">
        <v>0</v>
      </c>
      <c r="F3077" s="21" t="s">
        <v>440</v>
      </c>
      <c r="G3077" s="219" t="s">
        <v>1308</v>
      </c>
      <c r="H3077" s="107" t="str">
        <f t="shared" si="15"/>
        <v>ifnull(t.pre_entry_intrst_amt,0) as pre_entry_intrst_amt,/*待入账利息*/</v>
      </c>
    </row>
    <row r="3078" spans="1:8" s="7" customFormat="1" hidden="1" outlineLevel="1" x14ac:dyDescent="0.15">
      <c r="B3078" s="197" t="s">
        <v>180</v>
      </c>
      <c r="C3078" s="218" t="s">
        <v>1309</v>
      </c>
      <c r="D3078" s="218" t="s">
        <v>1169</v>
      </c>
      <c r="E3078" s="218">
        <v>0</v>
      </c>
      <c r="F3078" s="21" t="s">
        <v>440</v>
      </c>
      <c r="G3078" s="219" t="s">
        <v>1310</v>
      </c>
      <c r="H3078" s="107" t="str">
        <f t="shared" si="15"/>
        <v>ifnull(t.begin_NAV,0) as begin_NAV,/*期初净资产*/</v>
      </c>
    </row>
    <row r="3079" spans="1:8" s="7" customFormat="1" hidden="1" outlineLevel="1" x14ac:dyDescent="0.15">
      <c r="A3079" s="2"/>
      <c r="B3079" s="153" t="s">
        <v>302</v>
      </c>
      <c r="C3079" s="154" t="s">
        <v>1168</v>
      </c>
      <c r="D3079" s="154" t="s">
        <v>1169</v>
      </c>
      <c r="E3079" s="154">
        <v>0</v>
      </c>
      <c r="F3079" s="21" t="s">
        <v>440</v>
      </c>
      <c r="G3079" s="155"/>
      <c r="H3079" s="107" t="str">
        <f t="shared" si="15"/>
        <v>ifnull(t.nav_asset,0) as nav_asset,/*净资产*/</v>
      </c>
    </row>
    <row r="3080" spans="1:8" s="7" customFormat="1" hidden="1" outlineLevel="1" x14ac:dyDescent="0.15">
      <c r="A3080" s="2"/>
      <c r="B3080" s="153" t="s">
        <v>374</v>
      </c>
      <c r="C3080" s="154" t="s">
        <v>1170</v>
      </c>
      <c r="D3080" s="154" t="s">
        <v>1169</v>
      </c>
      <c r="E3080" s="154">
        <v>0</v>
      </c>
      <c r="F3080" s="21" t="s">
        <v>440</v>
      </c>
      <c r="G3080" s="155"/>
      <c r="H3080" s="107" t="str">
        <f t="shared" si="15"/>
        <v>ifnull(t.cash_asset,0) as cash_asset,/*现金资产*/</v>
      </c>
    </row>
    <row r="3081" spans="1:8" s="7" customFormat="1" hidden="1" outlineLevel="1" x14ac:dyDescent="0.15">
      <c r="A3081" s="2"/>
      <c r="B3081" s="153" t="s">
        <v>304</v>
      </c>
      <c r="C3081" s="154" t="s">
        <v>1185</v>
      </c>
      <c r="D3081" s="154" t="s">
        <v>1169</v>
      </c>
      <c r="E3081" s="154">
        <v>0</v>
      </c>
      <c r="F3081" s="21" t="s">
        <v>440</v>
      </c>
      <c r="G3081" s="155"/>
      <c r="H3081" s="107" t="str">
        <f t="shared" si="15"/>
        <v>ifnull(t.stock_asset,0) as stock_asset,/*股票资产*/</v>
      </c>
    </row>
    <row r="3082" spans="1:8" s="7" customFormat="1" hidden="1" outlineLevel="1" x14ac:dyDescent="0.15">
      <c r="A3082" s="2"/>
      <c r="B3082" s="153" t="s">
        <v>305</v>
      </c>
      <c r="C3082" s="154" t="s">
        <v>1181</v>
      </c>
      <c r="D3082" s="154" t="s">
        <v>1169</v>
      </c>
      <c r="E3082" s="154">
        <v>0</v>
      </c>
      <c r="F3082" s="21" t="s">
        <v>440</v>
      </c>
      <c r="G3082" s="155"/>
      <c r="H3082" s="107" t="str">
        <f t="shared" si="15"/>
        <v>ifnull(t.fund_asset,0) as fund_asset,/*基金资产*/</v>
      </c>
    </row>
    <row r="3083" spans="1:8" s="7" customFormat="1" hidden="1" outlineLevel="1" x14ac:dyDescent="0.15">
      <c r="A3083" s="2"/>
      <c r="B3083" s="153" t="s">
        <v>306</v>
      </c>
      <c r="C3083" s="154" t="s">
        <v>1128</v>
      </c>
      <c r="D3083" s="154" t="s">
        <v>1169</v>
      </c>
      <c r="E3083" s="154">
        <v>0</v>
      </c>
      <c r="F3083" s="21" t="s">
        <v>440</v>
      </c>
      <c r="G3083" s="155"/>
      <c r="H3083" s="107" t="str">
        <f t="shared" si="15"/>
        <v>ifnull(t.bond_asset,0) as bond_asset,/*债券资产*/</v>
      </c>
    </row>
    <row r="3084" spans="1:8" s="7" customFormat="1" hidden="1" outlineLevel="1" x14ac:dyDescent="0.15">
      <c r="A3084" s="2"/>
      <c r="B3084" s="153" t="s">
        <v>307</v>
      </c>
      <c r="C3084" s="154" t="s">
        <v>1173</v>
      </c>
      <c r="D3084" s="154" t="s">
        <v>1169</v>
      </c>
      <c r="E3084" s="154">
        <v>0</v>
      </c>
      <c r="F3084" s="21" t="s">
        <v>440</v>
      </c>
      <c r="G3084" s="155"/>
      <c r="H3084" s="107" t="str">
        <f t="shared" si="15"/>
        <v>ifnull(t.repo_asset,0) as repo_asset,/*回购资产*/</v>
      </c>
    </row>
    <row r="3085" spans="1:8" s="7" customFormat="1" hidden="1" outlineLevel="1" x14ac:dyDescent="0.15">
      <c r="A3085" s="2"/>
      <c r="B3085" s="153" t="s">
        <v>309</v>
      </c>
      <c r="C3085" s="154" t="s">
        <v>1089</v>
      </c>
      <c r="D3085" s="154" t="s">
        <v>1169</v>
      </c>
      <c r="E3085" s="154">
        <v>0</v>
      </c>
      <c r="F3085" s="21" t="s">
        <v>440</v>
      </c>
      <c r="G3085" s="155"/>
      <c r="H3085" s="107" t="str">
        <f t="shared" si="15"/>
        <v>ifnull(t.other_asset,0) as other_asset,/*其他资产*/</v>
      </c>
    </row>
    <row r="3086" spans="1:8" s="7" customFormat="1" hidden="1" outlineLevel="1" x14ac:dyDescent="0.15">
      <c r="A3086" s="2"/>
      <c r="B3086" s="153" t="s">
        <v>310</v>
      </c>
      <c r="C3086" s="154" t="s">
        <v>1174</v>
      </c>
      <c r="D3086" s="154" t="s">
        <v>1169</v>
      </c>
      <c r="E3086" s="154">
        <v>0</v>
      </c>
      <c r="F3086" s="21" t="s">
        <v>440</v>
      </c>
      <c r="G3086" s="155"/>
    </row>
    <row r="3087" spans="1:8" s="7" customFormat="1" ht="18" hidden="1" outlineLevel="1" thickBot="1" x14ac:dyDescent="0.2">
      <c r="A3087" s="2"/>
      <c r="B3087" s="24"/>
      <c r="C3087" s="9"/>
      <c r="D3087" s="9"/>
      <c r="E3087" s="9"/>
      <c r="F3087" s="9"/>
      <c r="G3087" s="11"/>
    </row>
    <row r="3088" spans="1:8" s="7" customFormat="1" hidden="1" outlineLevel="1" x14ac:dyDescent="0.15">
      <c r="A3088" s="2"/>
      <c r="B3088" s="327" t="s">
        <v>15</v>
      </c>
      <c r="C3088" s="328"/>
      <c r="D3088" s="328"/>
      <c r="E3088" s="328"/>
      <c r="F3088" s="328"/>
      <c r="G3088" s="329"/>
    </row>
    <row r="3089" spans="1:8" s="7" customFormat="1" hidden="1" outlineLevel="1" x14ac:dyDescent="0.15">
      <c r="A3089" s="2"/>
      <c r="B3089" s="20"/>
      <c r="C3089" s="23"/>
      <c r="D3089" s="21"/>
      <c r="E3089" s="21"/>
      <c r="F3089" s="21"/>
      <c r="G3089" s="21"/>
    </row>
    <row r="3090" spans="1:8" s="7" customFormat="1" hidden="1" outlineLevel="1" x14ac:dyDescent="0.15">
      <c r="A3090" s="2"/>
      <c r="B3090" s="20"/>
      <c r="C3090" s="23"/>
      <c r="D3090" s="21"/>
      <c r="E3090" s="21"/>
      <c r="F3090" s="21"/>
      <c r="G3090" s="21"/>
    </row>
    <row r="3091" spans="1:8" s="2" customFormat="1" ht="18" hidden="1" outlineLevel="1" thickBot="1" x14ac:dyDescent="0.2">
      <c r="B3091" s="24"/>
      <c r="C3091" s="9"/>
      <c r="D3091" s="9"/>
      <c r="E3091" s="9"/>
      <c r="F3091" s="9"/>
      <c r="G3091" s="11"/>
    </row>
    <row r="3092" spans="1:8" s="7" customFormat="1" ht="18" hidden="1" outlineLevel="1" thickBot="1" x14ac:dyDescent="0.2">
      <c r="A3092" s="2"/>
      <c r="B3092" s="2"/>
      <c r="C3092" s="2"/>
      <c r="D3092" s="2"/>
      <c r="E3092" s="2"/>
      <c r="F3092" s="2"/>
      <c r="G3092" s="2"/>
      <c r="H3092" s="6" t="str">
        <f>"create or replace view "&amp;C3093</f>
        <v>create or replace view vi_dt_pd_capit_asset_his</v>
      </c>
    </row>
    <row r="3093" spans="1:8" s="7" customFormat="1" ht="18" collapsed="1" thickBot="1" x14ac:dyDescent="0.2">
      <c r="A3093" s="2"/>
      <c r="B3093" s="3" t="s">
        <v>563</v>
      </c>
      <c r="C3093" s="4" t="s">
        <v>551</v>
      </c>
      <c r="D3093" s="5" t="s">
        <v>515</v>
      </c>
      <c r="E3093" s="21" t="s">
        <v>611</v>
      </c>
      <c r="F3093" s="5" t="s">
        <v>567</v>
      </c>
      <c r="G3093" s="6" t="s">
        <v>682</v>
      </c>
      <c r="H3093" s="11" t="str">
        <f>"/* "&amp;E3093&amp;"*/  as "</f>
        <v xml:space="preserve">/* 报表_资管报表_视图-数据-产品-资金-资产-历史*/  as </v>
      </c>
    </row>
    <row r="3094" spans="1:8" s="7" customFormat="1" ht="18" hidden="1" outlineLevel="1" thickBot="1" x14ac:dyDescent="0.2">
      <c r="A3094" s="2"/>
      <c r="B3094" s="34" t="s">
        <v>570</v>
      </c>
      <c r="C3094" s="18"/>
      <c r="D3094" s="35" t="s">
        <v>568</v>
      </c>
      <c r="E3094" s="18" t="s">
        <v>615</v>
      </c>
      <c r="F3094" s="35"/>
      <c r="G3094" s="19"/>
      <c r="H3094" s="13" t="s">
        <v>474</v>
      </c>
    </row>
    <row r="3095" spans="1:8" s="7" customFormat="1" hidden="1" outlineLevel="1" x14ac:dyDescent="0.15">
      <c r="A3095" s="2"/>
      <c r="B3095" s="3" t="s">
        <v>0</v>
      </c>
      <c r="C3095" s="5" t="s">
        <v>1</v>
      </c>
      <c r="D3095" s="5" t="s">
        <v>2</v>
      </c>
      <c r="E3095" s="5"/>
      <c r="F3095" s="5" t="s">
        <v>3</v>
      </c>
      <c r="G3095" s="36" t="s">
        <v>4</v>
      </c>
      <c r="H3095" s="107" t="str">
        <f t="shared" ref="H3095:H3121" si="16">"ifnull("&amp;IF(I3095&lt;&gt;"",I3095,IF(F3096&lt;&gt;"",F3096,"t")&amp;"."&amp;C3096)&amp;","&amp;E3096&amp;") as "&amp;C3096&amp;",/*"&amp;B3096&amp;"*/"</f>
        <v>ifnull(t.init_date,date_format(curdate(),'%Y%m%d')) as init_date,/*初始化日期*/</v>
      </c>
    </row>
    <row r="3096" spans="1:8" s="7" customFormat="1" hidden="1" outlineLevel="1" x14ac:dyDescent="0.15">
      <c r="A3096" s="2"/>
      <c r="B3096" s="20" t="s">
        <v>5</v>
      </c>
      <c r="C3096" s="21" t="s">
        <v>1127</v>
      </c>
      <c r="D3096" s="21" t="s">
        <v>211</v>
      </c>
      <c r="E3096" s="21" t="s">
        <v>1141</v>
      </c>
      <c r="F3096" s="21" t="s">
        <v>440</v>
      </c>
      <c r="G3096" s="22" t="s">
        <v>1162</v>
      </c>
      <c r="H3096" s="107" t="str">
        <f t="shared" si="16"/>
        <v>ifnull(t.co_no,0) as co_no,/*机构编号*/</v>
      </c>
    </row>
    <row r="3097" spans="1:8" s="7" customFormat="1" hidden="1" outlineLevel="1" x14ac:dyDescent="0.15">
      <c r="A3097" s="2"/>
      <c r="B3097" s="211" t="s">
        <v>109</v>
      </c>
      <c r="C3097" s="212" t="s">
        <v>1163</v>
      </c>
      <c r="D3097" s="212" t="s">
        <v>211</v>
      </c>
      <c r="E3097" s="212">
        <v>0</v>
      </c>
      <c r="F3097" s="200" t="s">
        <v>440</v>
      </c>
      <c r="G3097" s="213" t="s">
        <v>1077</v>
      </c>
      <c r="H3097" s="107" t="str">
        <f t="shared" si="16"/>
        <v>ifnull(t.pd_no,0) as pd_no,/*产品编号*/</v>
      </c>
    </row>
    <row r="3098" spans="1:8" s="7" customFormat="1" ht="15" hidden="1" customHeight="1" outlineLevel="1" x14ac:dyDescent="0.15">
      <c r="A3098" s="2"/>
      <c r="B3098" s="211" t="s">
        <v>194</v>
      </c>
      <c r="C3098" s="212" t="s">
        <v>1164</v>
      </c>
      <c r="D3098" s="212" t="s">
        <v>211</v>
      </c>
      <c r="E3098" s="212">
        <v>0</v>
      </c>
      <c r="F3098" s="200" t="s">
        <v>440</v>
      </c>
      <c r="G3098" s="213" t="s">
        <v>1165</v>
      </c>
      <c r="H3098" s="107" t="str">
        <f t="shared" si="16"/>
        <v>ifnull(t.crncy_type,"CNY") as crncy_type,/*本币币种*/</v>
      </c>
    </row>
    <row r="3099" spans="1:8" s="7" customFormat="1" ht="15" hidden="1" customHeight="1" outlineLevel="1" x14ac:dyDescent="0.15">
      <c r="A3099" s="2"/>
      <c r="B3099" s="214" t="s">
        <v>23</v>
      </c>
      <c r="C3099" s="212" t="s">
        <v>1091</v>
      </c>
      <c r="D3099" s="212" t="s">
        <v>1131</v>
      </c>
      <c r="E3099" s="212" t="s">
        <v>1074</v>
      </c>
      <c r="F3099" s="200" t="s">
        <v>440</v>
      </c>
      <c r="G3099" s="213"/>
      <c r="H3099" s="107" t="str">
        <f t="shared" si="16"/>
        <v>ifnull(t.first_asset,0) as first_asset,/*原始资产*/</v>
      </c>
    </row>
    <row r="3100" spans="1:8" s="7" customFormat="1" ht="15" hidden="1" customHeight="1" outlineLevel="1" x14ac:dyDescent="0.15">
      <c r="A3100" s="2"/>
      <c r="B3100" s="214" t="s">
        <v>189</v>
      </c>
      <c r="C3100" s="215" t="s">
        <v>1296</v>
      </c>
      <c r="D3100" s="215" t="s">
        <v>1169</v>
      </c>
      <c r="E3100" s="215">
        <v>0</v>
      </c>
      <c r="F3100" s="200" t="s">
        <v>440</v>
      </c>
      <c r="G3100" s="216"/>
      <c r="H3100" s="107" t="str">
        <f t="shared" si="16"/>
        <v>ifnull(t.first_amt,0) as first_amt,/*原始金额*/</v>
      </c>
    </row>
    <row r="3101" spans="1:8" s="7" customFormat="1" ht="15" hidden="1" customHeight="1" outlineLevel="1" x14ac:dyDescent="0.15">
      <c r="A3101" s="2"/>
      <c r="B3101" s="214" t="s">
        <v>68</v>
      </c>
      <c r="C3101" s="212" t="s">
        <v>1297</v>
      </c>
      <c r="D3101" s="212" t="s">
        <v>1169</v>
      </c>
      <c r="E3101" s="212">
        <v>0</v>
      </c>
      <c r="F3101" s="200" t="s">
        <v>440</v>
      </c>
      <c r="G3101" s="213" t="s">
        <v>1298</v>
      </c>
      <c r="H3101" s="107" t="str">
        <f t="shared" si="16"/>
        <v>ifnull(t.pd_all_share,0) as pd_all_share,/*产品总份额*/</v>
      </c>
    </row>
    <row r="3102" spans="1:8" s="7" customFormat="1" ht="15" hidden="1" customHeight="1" outlineLevel="1" x14ac:dyDescent="0.15">
      <c r="A3102" s="2"/>
      <c r="B3102" s="214" t="s">
        <v>69</v>
      </c>
      <c r="C3102" s="212" t="s">
        <v>1126</v>
      </c>
      <c r="D3102" s="212" t="s">
        <v>1087</v>
      </c>
      <c r="E3102" s="212">
        <v>0</v>
      </c>
      <c r="F3102" s="200" t="s">
        <v>440</v>
      </c>
      <c r="G3102" s="213"/>
      <c r="H3102" s="107" t="str">
        <f t="shared" si="16"/>
        <v>ifnull(t.curr_share,0) as curr_share,/*当前份额*/</v>
      </c>
    </row>
    <row r="3103" spans="1:8" s="7" customFormat="1" ht="15" hidden="1" customHeight="1" outlineLevel="1" x14ac:dyDescent="0.15">
      <c r="A3103" s="2"/>
      <c r="B3103" s="217" t="s">
        <v>190</v>
      </c>
      <c r="C3103" s="215" t="s">
        <v>1166</v>
      </c>
      <c r="D3103" s="215" t="s">
        <v>1087</v>
      </c>
      <c r="E3103" s="215">
        <v>0</v>
      </c>
      <c r="F3103" s="200" t="s">
        <v>440</v>
      </c>
      <c r="G3103" s="216"/>
      <c r="H3103" s="107" t="str">
        <f t="shared" si="16"/>
        <v>ifnull(t.pre_share,0) as pre_share,/*昨日份额*/</v>
      </c>
    </row>
    <row r="3104" spans="1:8" s="7" customFormat="1" ht="15" hidden="1" customHeight="1" outlineLevel="1" x14ac:dyDescent="0.15">
      <c r="A3104" s="2"/>
      <c r="B3104" s="217" t="s">
        <v>191</v>
      </c>
      <c r="C3104" s="215" t="s">
        <v>1167</v>
      </c>
      <c r="D3104" s="215" t="s">
        <v>1087</v>
      </c>
      <c r="E3104" s="215">
        <v>0</v>
      </c>
      <c r="F3104" s="200" t="s">
        <v>440</v>
      </c>
      <c r="G3104" s="216"/>
      <c r="H3104" s="107" t="str">
        <f t="shared" si="16"/>
        <v>ifnull(t.his_max_per_nav,0) as his_max_per_nav,/*历史最高单位净值*/</v>
      </c>
    </row>
    <row r="3105" spans="1:8" s="7" customFormat="1" ht="15" hidden="1" customHeight="1" outlineLevel="1" x14ac:dyDescent="0.15">
      <c r="A3105" s="2"/>
      <c r="B3105" s="217" t="s">
        <v>192</v>
      </c>
      <c r="C3105" s="215" t="s">
        <v>1299</v>
      </c>
      <c r="D3105" s="215" t="s">
        <v>1169</v>
      </c>
      <c r="E3105" s="215">
        <v>0</v>
      </c>
      <c r="F3105" s="200" t="s">
        <v>440</v>
      </c>
      <c r="G3105" s="216"/>
      <c r="H3105" s="107" t="str">
        <f t="shared" si="16"/>
        <v>ifnull(t.pre_nav,0) as pre_nav,/*昨日净值*/</v>
      </c>
    </row>
    <row r="3106" spans="1:8" s="7" customFormat="1" hidden="1" outlineLevel="1" x14ac:dyDescent="0.15">
      <c r="A3106" s="2"/>
      <c r="B3106" s="211" t="s">
        <v>193</v>
      </c>
      <c r="C3106" s="212" t="s">
        <v>1171</v>
      </c>
      <c r="D3106" s="212" t="s">
        <v>1169</v>
      </c>
      <c r="E3106" s="212">
        <v>0</v>
      </c>
      <c r="F3106" s="200" t="s">
        <v>440</v>
      </c>
      <c r="G3106" s="213"/>
      <c r="H3106" s="107" t="str">
        <f t="shared" si="16"/>
        <v>ifnull(a.pd_dist_amt,0) as pd_dist_amt,/*产品已分配金额*/</v>
      </c>
    </row>
    <row r="3107" spans="1:8" s="7" customFormat="1" hidden="1" outlineLevel="1" x14ac:dyDescent="0.15">
      <c r="A3107" s="2"/>
      <c r="B3107" s="194" t="s">
        <v>316</v>
      </c>
      <c r="C3107" s="195" t="s">
        <v>1305</v>
      </c>
      <c r="D3107" s="195" t="s">
        <v>1169</v>
      </c>
      <c r="E3107" s="195">
        <v>0</v>
      </c>
      <c r="F3107" s="168" t="s">
        <v>441</v>
      </c>
      <c r="G3107" s="196"/>
      <c r="H3107" s="107" t="str">
        <f t="shared" si="16"/>
        <v>ifnull(a.pd_auth_amt,0) as pd_auth_amt,/*产品已授权金额*/</v>
      </c>
    </row>
    <row r="3108" spans="1:8" s="7" customFormat="1" hidden="1" outlineLevel="1" x14ac:dyDescent="0.15">
      <c r="A3108" s="2"/>
      <c r="B3108" s="194" t="s">
        <v>317</v>
      </c>
      <c r="C3108" s="195" t="s">
        <v>1306</v>
      </c>
      <c r="D3108" s="195" t="s">
        <v>1169</v>
      </c>
      <c r="E3108" s="195">
        <v>0</v>
      </c>
      <c r="F3108" s="168" t="s">
        <v>441</v>
      </c>
      <c r="G3108" s="196"/>
      <c r="H3108" s="107" t="str">
        <f t="shared" si="16"/>
        <v>ifnull(a.total_cash_divide,0) as total_cash_divide,/*累计派现金额*/</v>
      </c>
    </row>
    <row r="3109" spans="1:8" s="7" customFormat="1" hidden="1" outlineLevel="1" x14ac:dyDescent="0.15">
      <c r="B3109" s="194" t="s">
        <v>318</v>
      </c>
      <c r="C3109" s="195" t="s">
        <v>1307</v>
      </c>
      <c r="D3109" s="195" t="s">
        <v>1169</v>
      </c>
      <c r="E3109" s="195">
        <v>0</v>
      </c>
      <c r="F3109" s="168" t="s">
        <v>441</v>
      </c>
      <c r="G3109" s="196"/>
      <c r="H3109" s="107" t="str">
        <f t="shared" si="16"/>
        <v>ifnull(a.total_pre_fee,0) as total_pre_fee,/*累计计提费用*/</v>
      </c>
    </row>
    <row r="3110" spans="1:8" s="7" customFormat="1" hidden="1" outlineLevel="1" x14ac:dyDescent="0.15">
      <c r="B3110" s="194" t="s">
        <v>319</v>
      </c>
      <c r="C3110" s="195" t="s">
        <v>1551</v>
      </c>
      <c r="D3110" s="195" t="s">
        <v>1169</v>
      </c>
      <c r="E3110" s="195">
        <v>0</v>
      </c>
      <c r="F3110" s="168" t="s">
        <v>441</v>
      </c>
      <c r="G3110" s="196"/>
      <c r="H3110" s="107" t="str">
        <f t="shared" si="16"/>
        <v>ifnull(a.total_rece_amt,0) as total_rece_amt,/*累计应收金额*/</v>
      </c>
    </row>
    <row r="3111" spans="1:8" s="7" customFormat="1" hidden="1" outlineLevel="1" x14ac:dyDescent="0.15">
      <c r="A3111" s="2"/>
      <c r="B3111" s="197" t="s">
        <v>175</v>
      </c>
      <c r="C3111" s="218" t="s">
        <v>1129</v>
      </c>
      <c r="D3111" s="218" t="s">
        <v>1169</v>
      </c>
      <c r="E3111" s="218">
        <v>0</v>
      </c>
      <c r="F3111" s="168" t="s">
        <v>441</v>
      </c>
      <c r="G3111" s="219"/>
      <c r="H3111" s="107" t="str">
        <f t="shared" si="16"/>
        <v>ifnull(a.total_payab_amt,0) as total_payab_amt,/*累计应付金额*/</v>
      </c>
    </row>
    <row r="3112" spans="1:8" s="7" customFormat="1" hidden="1" outlineLevel="1" x14ac:dyDescent="0.15">
      <c r="A3112" s="2"/>
      <c r="B3112" s="197" t="s">
        <v>176</v>
      </c>
      <c r="C3112" s="218" t="s">
        <v>1132</v>
      </c>
      <c r="D3112" s="218" t="s">
        <v>1169</v>
      </c>
      <c r="E3112" s="218">
        <v>0</v>
      </c>
      <c r="F3112" s="168" t="s">
        <v>441</v>
      </c>
      <c r="G3112" s="219"/>
      <c r="H3112" s="107" t="str">
        <f t="shared" si="16"/>
        <v>ifnull(a.intrst_cacl_amt,0) as intrst_cacl_amt,/*预计利息*/</v>
      </c>
    </row>
    <row r="3113" spans="1:8" s="7" customFormat="1" hidden="1" outlineLevel="1" x14ac:dyDescent="0.15">
      <c r="B3113" s="197" t="s">
        <v>320</v>
      </c>
      <c r="C3113" s="218" t="s">
        <v>1115</v>
      </c>
      <c r="D3113" s="218" t="s">
        <v>1169</v>
      </c>
      <c r="E3113" s="218">
        <v>0</v>
      </c>
      <c r="F3113" s="168" t="s">
        <v>441</v>
      </c>
      <c r="G3113" s="219" t="s">
        <v>1308</v>
      </c>
      <c r="H3113" s="107" t="str">
        <f t="shared" si="16"/>
        <v>ifnull(a.pre_entry_intrst_amt,0) as pre_entry_intrst_amt,/*待入账利息*/</v>
      </c>
    </row>
    <row r="3114" spans="1:8" s="7" customFormat="1" hidden="1" outlineLevel="1" x14ac:dyDescent="0.15">
      <c r="B3114" s="197" t="s">
        <v>180</v>
      </c>
      <c r="C3114" s="218" t="s">
        <v>1309</v>
      </c>
      <c r="D3114" s="218" t="s">
        <v>1169</v>
      </c>
      <c r="E3114" s="218">
        <v>0</v>
      </c>
      <c r="F3114" s="168" t="s">
        <v>441</v>
      </c>
      <c r="G3114" s="219" t="s">
        <v>1310</v>
      </c>
      <c r="H3114" s="107" t="str">
        <f t="shared" si="16"/>
        <v>ifnull(b.begin_NAV,0) as begin_NAV,/*期初净资产*/</v>
      </c>
    </row>
    <row r="3115" spans="1:8" s="7" customFormat="1" hidden="1" outlineLevel="1" x14ac:dyDescent="0.15">
      <c r="A3115" s="2"/>
      <c r="B3115" s="153" t="s">
        <v>302</v>
      </c>
      <c r="C3115" s="154" t="s">
        <v>1168</v>
      </c>
      <c r="D3115" s="154" t="s">
        <v>1169</v>
      </c>
      <c r="E3115" s="154">
        <v>0</v>
      </c>
      <c r="F3115" s="154" t="s">
        <v>454</v>
      </c>
      <c r="G3115" s="155"/>
      <c r="H3115" s="107" t="str">
        <f t="shared" si="16"/>
        <v>ifnull(b.nav_asset,0) as nav_asset,/*净资产*/</v>
      </c>
    </row>
    <row r="3116" spans="1:8" s="7" customFormat="1" hidden="1" outlineLevel="1" x14ac:dyDescent="0.15">
      <c r="A3116" s="2"/>
      <c r="B3116" s="153" t="s">
        <v>374</v>
      </c>
      <c r="C3116" s="154" t="s">
        <v>1170</v>
      </c>
      <c r="D3116" s="154" t="s">
        <v>1169</v>
      </c>
      <c r="E3116" s="154">
        <v>0</v>
      </c>
      <c r="F3116" s="154" t="s">
        <v>454</v>
      </c>
      <c r="G3116" s="155"/>
      <c r="H3116" s="107" t="str">
        <f t="shared" si="16"/>
        <v>ifnull(b.cash_asset,0) as cash_asset,/*现金资产*/</v>
      </c>
    </row>
    <row r="3117" spans="1:8" s="7" customFormat="1" hidden="1" outlineLevel="1" x14ac:dyDescent="0.15">
      <c r="A3117" s="2"/>
      <c r="B3117" s="153" t="s">
        <v>304</v>
      </c>
      <c r="C3117" s="154" t="s">
        <v>1185</v>
      </c>
      <c r="D3117" s="154" t="s">
        <v>1169</v>
      </c>
      <c r="E3117" s="154">
        <v>0</v>
      </c>
      <c r="F3117" s="154" t="s">
        <v>454</v>
      </c>
      <c r="G3117" s="155"/>
      <c r="H3117" s="107" t="str">
        <f t="shared" si="16"/>
        <v>ifnull(b.stock_asset,0) as stock_asset,/*股票资产*/</v>
      </c>
    </row>
    <row r="3118" spans="1:8" s="7" customFormat="1" hidden="1" outlineLevel="1" x14ac:dyDescent="0.15">
      <c r="A3118" s="2"/>
      <c r="B3118" s="153" t="s">
        <v>305</v>
      </c>
      <c r="C3118" s="154" t="s">
        <v>1181</v>
      </c>
      <c r="D3118" s="154" t="s">
        <v>1169</v>
      </c>
      <c r="E3118" s="154">
        <v>0</v>
      </c>
      <c r="F3118" s="154" t="s">
        <v>454</v>
      </c>
      <c r="G3118" s="155"/>
      <c r="H3118" s="107" t="str">
        <f t="shared" si="16"/>
        <v>ifnull(b.fund_asset,0) as fund_asset,/*基金资产*/</v>
      </c>
    </row>
    <row r="3119" spans="1:8" s="7" customFormat="1" hidden="1" outlineLevel="1" x14ac:dyDescent="0.15">
      <c r="A3119" s="2"/>
      <c r="B3119" s="153" t="s">
        <v>306</v>
      </c>
      <c r="C3119" s="154" t="s">
        <v>1128</v>
      </c>
      <c r="D3119" s="154" t="s">
        <v>1169</v>
      </c>
      <c r="E3119" s="154">
        <v>0</v>
      </c>
      <c r="F3119" s="154" t="s">
        <v>454</v>
      </c>
      <c r="G3119" s="155"/>
      <c r="H3119" s="107" t="str">
        <f t="shared" si="16"/>
        <v>ifnull(b.bond_asset,0) as bond_asset,/*债券资产*/</v>
      </c>
    </row>
    <row r="3120" spans="1:8" s="7" customFormat="1" hidden="1" outlineLevel="1" x14ac:dyDescent="0.15">
      <c r="A3120" s="2"/>
      <c r="B3120" s="153" t="s">
        <v>307</v>
      </c>
      <c r="C3120" s="154" t="s">
        <v>1173</v>
      </c>
      <c r="D3120" s="154" t="s">
        <v>1169</v>
      </c>
      <c r="E3120" s="154">
        <v>0</v>
      </c>
      <c r="F3120" s="154" t="s">
        <v>454</v>
      </c>
      <c r="G3120" s="155"/>
      <c r="H3120" s="107" t="str">
        <f t="shared" si="16"/>
        <v>ifnull(b.repo_asset,0) as repo_asset,/*回购资产*/</v>
      </c>
    </row>
    <row r="3121" spans="1:8" s="7" customFormat="1" hidden="1" outlineLevel="1" x14ac:dyDescent="0.15">
      <c r="A3121" s="2"/>
      <c r="B3121" s="153" t="s">
        <v>309</v>
      </c>
      <c r="C3121" s="154" t="s">
        <v>1089</v>
      </c>
      <c r="D3121" s="154" t="s">
        <v>1169</v>
      </c>
      <c r="E3121" s="154">
        <v>0</v>
      </c>
      <c r="F3121" s="154" t="s">
        <v>454</v>
      </c>
      <c r="G3121" s="155"/>
      <c r="H3121" s="107" t="str">
        <f t="shared" si="16"/>
        <v>ifnull(b.other_asset,0) as other_asset,/*其他资产*/</v>
      </c>
    </row>
    <row r="3122" spans="1:8" s="7" customFormat="1" hidden="1" outlineLevel="1" x14ac:dyDescent="0.15">
      <c r="A3122" s="2"/>
      <c r="B3122" s="153" t="s">
        <v>310</v>
      </c>
      <c r="C3122" s="154" t="s">
        <v>1174</v>
      </c>
      <c r="D3122" s="154" t="s">
        <v>1169</v>
      </c>
      <c r="E3122" s="154">
        <v>0</v>
      </c>
      <c r="F3122" s="154" t="s">
        <v>454</v>
      </c>
      <c r="G3122" s="155"/>
    </row>
    <row r="3123" spans="1:8" s="7" customFormat="1" ht="18" hidden="1" outlineLevel="1" thickBot="1" x14ac:dyDescent="0.2">
      <c r="A3123" s="2"/>
      <c r="B3123" s="24"/>
      <c r="C3123" s="9"/>
      <c r="D3123" s="9"/>
      <c r="E3123" s="9"/>
      <c r="F3123" s="9"/>
      <c r="G3123" s="11"/>
    </row>
    <row r="3124" spans="1:8" s="7" customFormat="1" hidden="1" outlineLevel="1" x14ac:dyDescent="0.15">
      <c r="A3124" s="2"/>
      <c r="B3124" s="327" t="s">
        <v>15</v>
      </c>
      <c r="C3124" s="328"/>
      <c r="D3124" s="328"/>
      <c r="E3124" s="328"/>
      <c r="F3124" s="328"/>
      <c r="G3124" s="329"/>
    </row>
    <row r="3125" spans="1:8" s="7" customFormat="1" hidden="1" outlineLevel="1" x14ac:dyDescent="0.15">
      <c r="A3125" s="2"/>
      <c r="B3125" s="20"/>
      <c r="C3125" s="23"/>
      <c r="D3125" s="21"/>
      <c r="E3125" s="21"/>
      <c r="F3125" s="21"/>
      <c r="G3125" s="21"/>
    </row>
    <row r="3126" spans="1:8" s="7" customFormat="1" hidden="1" outlineLevel="1" x14ac:dyDescent="0.15">
      <c r="A3126" s="2"/>
      <c r="B3126" s="20"/>
      <c r="C3126" s="23"/>
      <c r="D3126" s="21"/>
      <c r="E3126" s="21"/>
      <c r="F3126" s="21"/>
      <c r="G3126" s="21"/>
    </row>
    <row r="3127" spans="1:8" s="2" customFormat="1" ht="18" hidden="1" outlineLevel="1" thickBot="1" x14ac:dyDescent="0.2">
      <c r="B3127" s="24"/>
      <c r="C3127" s="9"/>
      <c r="D3127" s="9"/>
      <c r="E3127" s="9"/>
      <c r="F3127" s="9"/>
      <c r="G3127" s="11"/>
    </row>
    <row r="3128" spans="1:8" s="7" customFormat="1" ht="18" hidden="1" outlineLevel="1" thickBot="1" x14ac:dyDescent="0.2">
      <c r="A3128" s="2"/>
      <c r="B3128" s="2"/>
      <c r="C3128" s="2"/>
      <c r="D3128" s="2"/>
      <c r="E3128" s="2"/>
      <c r="F3128" s="2"/>
      <c r="G3128" s="2"/>
    </row>
    <row r="3129" spans="1:8" s="7" customFormat="1" ht="18" collapsed="1" thickBot="1" x14ac:dyDescent="0.2">
      <c r="A3129" s="2"/>
      <c r="B3129" s="3" t="s">
        <v>563</v>
      </c>
      <c r="C3129" s="4" t="s">
        <v>687</v>
      </c>
      <c r="D3129" s="5" t="s">
        <v>515</v>
      </c>
      <c r="E3129" s="21" t="s">
        <v>732</v>
      </c>
      <c r="F3129" s="5" t="s">
        <v>567</v>
      </c>
      <c r="G3129" s="6" t="s">
        <v>688</v>
      </c>
    </row>
    <row r="3130" spans="1:8" s="7" customFormat="1" ht="18" hidden="1" outlineLevel="1" thickBot="1" x14ac:dyDescent="0.2">
      <c r="A3130" s="2"/>
      <c r="B3130" s="34" t="s">
        <v>570</v>
      </c>
      <c r="C3130" s="18"/>
      <c r="D3130" s="35" t="s">
        <v>568</v>
      </c>
      <c r="E3130" s="18" t="s">
        <v>615</v>
      </c>
      <c r="F3130" s="35"/>
      <c r="G3130" s="19"/>
    </row>
    <row r="3131" spans="1:8" s="7" customFormat="1" hidden="1" outlineLevel="1" x14ac:dyDescent="0.15">
      <c r="A3131" s="2"/>
      <c r="B3131" s="3" t="s">
        <v>0</v>
      </c>
      <c r="C3131" s="5" t="s">
        <v>1</v>
      </c>
      <c r="D3131" s="5" t="s">
        <v>2</v>
      </c>
      <c r="E3131" s="5"/>
      <c r="F3131" s="5" t="s">
        <v>3</v>
      </c>
      <c r="G3131" s="36" t="s">
        <v>4</v>
      </c>
    </row>
    <row r="3132" spans="1:8" s="7" customFormat="1" hidden="1" outlineLevel="1" x14ac:dyDescent="0.15">
      <c r="A3132" s="2"/>
      <c r="B3132" s="20" t="s">
        <v>5</v>
      </c>
      <c r="C3132" s="21" t="s">
        <v>1127</v>
      </c>
      <c r="D3132" s="21" t="s">
        <v>211</v>
      </c>
      <c r="E3132" s="21" t="s">
        <v>1141</v>
      </c>
      <c r="F3132" s="21"/>
      <c r="G3132" s="22" t="s">
        <v>1162</v>
      </c>
    </row>
    <row r="3133" spans="1:8" s="7" customFormat="1" ht="18" hidden="1" outlineLevel="1" thickBot="1" x14ac:dyDescent="0.2">
      <c r="A3133" s="2"/>
      <c r="B3133" s="24"/>
      <c r="C3133" s="9"/>
      <c r="D3133" s="9"/>
      <c r="E3133" s="9"/>
      <c r="F3133" s="9"/>
      <c r="G3133" s="11"/>
    </row>
    <row r="3134" spans="1:8" s="7" customFormat="1" hidden="1" outlineLevel="1" x14ac:dyDescent="0.15">
      <c r="A3134" s="2"/>
      <c r="B3134" s="327" t="s">
        <v>15</v>
      </c>
      <c r="C3134" s="328"/>
      <c r="D3134" s="328"/>
      <c r="E3134" s="328"/>
      <c r="F3134" s="328"/>
      <c r="G3134" s="329"/>
    </row>
    <row r="3135" spans="1:8" s="7" customFormat="1" hidden="1" outlineLevel="1" x14ac:dyDescent="0.15">
      <c r="A3135" s="2"/>
      <c r="B3135" s="20"/>
      <c r="C3135" s="23"/>
      <c r="D3135" s="21"/>
      <c r="E3135" s="21"/>
      <c r="F3135" s="21"/>
      <c r="G3135" s="21"/>
    </row>
    <row r="3136" spans="1:8" s="7" customFormat="1" hidden="1" outlineLevel="1" x14ac:dyDescent="0.15">
      <c r="A3136" s="2"/>
      <c r="B3136" s="20"/>
      <c r="C3136" s="23"/>
      <c r="D3136" s="21"/>
      <c r="E3136" s="21"/>
      <c r="F3136" s="21"/>
      <c r="G3136" s="21"/>
    </row>
    <row r="3137" spans="1:14" ht="18" hidden="1" outlineLevel="1" thickBot="1" x14ac:dyDescent="0.2">
      <c r="A3137" s="2"/>
      <c r="B3137" s="24"/>
      <c r="C3137" s="9"/>
      <c r="D3137" s="9"/>
      <c r="E3137" s="9"/>
      <c r="F3137" s="9"/>
      <c r="G3137" s="11"/>
    </row>
    <row r="3138" spans="1:14" s="7" customFormat="1" ht="18" hidden="1" outlineLevel="1" thickBot="1" x14ac:dyDescent="0.2">
      <c r="A3138" s="1"/>
      <c r="B3138" s="1"/>
      <c r="C3138" s="1"/>
      <c r="D3138" s="1"/>
      <c r="E3138" s="1"/>
      <c r="F3138" s="1"/>
      <c r="G3138" s="1"/>
      <c r="H3138" s="6" t="str">
        <f>"create or replace view "&amp;C3139</f>
        <v>create or replace view vi_sum_co_stock_posi</v>
      </c>
    </row>
    <row r="3139" spans="1:14" s="7" customFormat="1" ht="18" collapsed="1" thickBot="1" x14ac:dyDescent="0.2">
      <c r="A3139" s="2"/>
      <c r="B3139" s="3" t="s">
        <v>563</v>
      </c>
      <c r="C3139" s="4" t="s">
        <v>689</v>
      </c>
      <c r="D3139" s="5" t="s">
        <v>515</v>
      </c>
      <c r="E3139" s="21" t="s">
        <v>733</v>
      </c>
      <c r="F3139" s="5" t="s">
        <v>567</v>
      </c>
      <c r="G3139" s="6" t="s">
        <v>553</v>
      </c>
      <c r="H3139" s="11" t="str">
        <f>"# "&amp;E3139</f>
        <v># 报表_资管报表_视图-汇总-机构-证券-持仓</v>
      </c>
    </row>
    <row r="3140" spans="1:14" s="7" customFormat="1" ht="18" hidden="1" outlineLevel="1" thickBot="1" x14ac:dyDescent="0.2">
      <c r="A3140" s="2"/>
      <c r="B3140" s="34" t="s">
        <v>570</v>
      </c>
      <c r="C3140" s="18"/>
      <c r="D3140" s="35" t="s">
        <v>568</v>
      </c>
      <c r="E3140" s="18" t="s">
        <v>615</v>
      </c>
      <c r="F3140" s="35"/>
      <c r="G3140" s="19" t="s">
        <v>431</v>
      </c>
      <c r="H3140" s="13" t="s">
        <v>283</v>
      </c>
    </row>
    <row r="3141" spans="1:14" hidden="1" outlineLevel="1" x14ac:dyDescent="0.15">
      <c r="A3141" s="2"/>
      <c r="B3141" s="3" t="s">
        <v>0</v>
      </c>
      <c r="C3141" s="5" t="s">
        <v>1</v>
      </c>
      <c r="D3141" s="5" t="s">
        <v>2</v>
      </c>
      <c r="E3141" s="5"/>
      <c r="F3141" s="5" t="s">
        <v>3</v>
      </c>
      <c r="G3141" s="36" t="s">
        <v>4</v>
      </c>
      <c r="H3141" s="107" t="str">
        <f t="shared" ref="H3141:H3156" si="17">IF(I3141&lt;&gt;"",I3141,"t."&amp;C3142)&amp;" as "&amp;C3142&amp;",/*"&amp;B3142&amp;"*/"</f>
        <v>t.init_date as init_date,/*初始化日期*/</v>
      </c>
      <c r="J3141" s="1" t="s">
        <v>424</v>
      </c>
      <c r="K3141" s="1" t="s">
        <v>425</v>
      </c>
      <c r="L3141" s="1" t="s">
        <v>423</v>
      </c>
      <c r="M3141" s="1" t="s">
        <v>423</v>
      </c>
      <c r="N3141" s="1">
        <v>1211</v>
      </c>
    </row>
    <row r="3142" spans="1:14" hidden="1" outlineLevel="1" x14ac:dyDescent="0.15">
      <c r="B3142" s="176" t="s">
        <v>422</v>
      </c>
      <c r="C3142" s="176" t="s">
        <v>1123</v>
      </c>
      <c r="D3142" s="176" t="s">
        <v>423</v>
      </c>
      <c r="E3142" s="176" t="s">
        <v>1141</v>
      </c>
      <c r="F3142" s="176"/>
      <c r="G3142" s="176" t="s">
        <v>1162</v>
      </c>
      <c r="H3142" s="107" t="str">
        <f t="shared" si="17"/>
        <v>t.co_no as co_no,/*机构编号*/</v>
      </c>
      <c r="J3142" s="1" t="s">
        <v>424</v>
      </c>
      <c r="K3142" s="1" t="s">
        <v>425</v>
      </c>
      <c r="L3142" s="1" t="s">
        <v>423</v>
      </c>
      <c r="M3142" s="1" t="s">
        <v>423</v>
      </c>
      <c r="N3142" s="1">
        <v>1606</v>
      </c>
    </row>
    <row r="3143" spans="1:14" hidden="1" outlineLevel="1" x14ac:dyDescent="0.15">
      <c r="B3143" s="176" t="s">
        <v>426</v>
      </c>
      <c r="C3143" s="176" t="s">
        <v>1093</v>
      </c>
      <c r="D3143" s="176" t="s">
        <v>423</v>
      </c>
      <c r="E3143" s="176">
        <v>0</v>
      </c>
      <c r="F3143" s="176"/>
      <c r="G3143" s="176" t="s">
        <v>1077</v>
      </c>
      <c r="H3143" s="107" t="str">
        <f t="shared" si="17"/>
        <v>t.exch_no as exch_no,/*市场编号*/</v>
      </c>
      <c r="J3143" s="1" t="s">
        <v>424</v>
      </c>
      <c r="K3143" s="1" t="s">
        <v>425</v>
      </c>
      <c r="L3143" s="1" t="s">
        <v>423</v>
      </c>
      <c r="M3143" s="1" t="s">
        <v>423</v>
      </c>
      <c r="N3143" s="1">
        <v>2155</v>
      </c>
    </row>
    <row r="3144" spans="1:14" hidden="1" outlineLevel="1" x14ac:dyDescent="0.15">
      <c r="B3144" s="176" t="s">
        <v>7</v>
      </c>
      <c r="C3144" s="176" t="s">
        <v>1486</v>
      </c>
      <c r="D3144" s="176" t="s">
        <v>423</v>
      </c>
      <c r="E3144" s="176">
        <v>0</v>
      </c>
      <c r="F3144" s="176"/>
      <c r="G3144" s="176" t="s">
        <v>1081</v>
      </c>
      <c r="H3144" s="107" t="str">
        <f t="shared" si="17"/>
        <v>t.stock_code_no as stock_code_no,/*证券代码编号*/</v>
      </c>
      <c r="J3144" s="1" t="s">
        <v>424</v>
      </c>
      <c r="K3144" s="1" t="s">
        <v>425</v>
      </c>
      <c r="L3144" s="1" t="s">
        <v>423</v>
      </c>
      <c r="M3144" s="1" t="s">
        <v>423</v>
      </c>
      <c r="N3144" s="1">
        <v>2430</v>
      </c>
    </row>
    <row r="3145" spans="1:14" s="7" customFormat="1" hidden="1" outlineLevel="1" x14ac:dyDescent="0.15">
      <c r="A3145" s="1"/>
      <c r="B3145" s="176" t="s">
        <v>427</v>
      </c>
      <c r="C3145" s="176" t="s">
        <v>1487</v>
      </c>
      <c r="D3145" s="176" t="s">
        <v>423</v>
      </c>
      <c r="E3145" s="176">
        <v>0</v>
      </c>
      <c r="F3145" s="176"/>
      <c r="G3145" s="176"/>
      <c r="H3145" s="107" t="str">
        <f t="shared" si="17"/>
        <v>t.stock_type as stock_type,/*证券类型*/</v>
      </c>
      <c r="J3145" s="7" t="s">
        <v>424</v>
      </c>
      <c r="K3145" s="7" t="s">
        <v>425</v>
      </c>
      <c r="L3145" s="7" t="s">
        <v>423</v>
      </c>
      <c r="M3145" s="7" t="s">
        <v>423</v>
      </c>
      <c r="N3145" s="7">
        <v>2433</v>
      </c>
    </row>
    <row r="3146" spans="1:14" s="7" customFormat="1" hidden="1" outlineLevel="1" x14ac:dyDescent="0.15">
      <c r="A3146" s="2"/>
      <c r="B3146" s="176" t="s">
        <v>93</v>
      </c>
      <c r="C3146" s="176" t="s">
        <v>1189</v>
      </c>
      <c r="D3146" s="176" t="s">
        <v>211</v>
      </c>
      <c r="E3146" s="176">
        <v>0</v>
      </c>
      <c r="F3146" s="176"/>
      <c r="G3146" s="176"/>
      <c r="H3146" s="107" t="str">
        <f t="shared" si="17"/>
        <v>t.asset_type as asset_type,/*资产类型*/</v>
      </c>
      <c r="J3146" s="7" t="s">
        <v>424</v>
      </c>
      <c r="K3146" s="7" t="s">
        <v>425</v>
      </c>
      <c r="L3146" s="7" t="s">
        <v>423</v>
      </c>
      <c r="M3146" s="7" t="s">
        <v>423</v>
      </c>
      <c r="N3146" s="7">
        <v>2528</v>
      </c>
    </row>
    <row r="3147" spans="1:14" hidden="1" outlineLevel="1" x14ac:dyDescent="0.15">
      <c r="A3147" s="2"/>
      <c r="B3147" s="176" t="s">
        <v>41</v>
      </c>
      <c r="C3147" s="176" t="s">
        <v>1258</v>
      </c>
      <c r="D3147" s="176" t="s">
        <v>211</v>
      </c>
      <c r="E3147" s="176">
        <v>0</v>
      </c>
      <c r="F3147" s="176"/>
      <c r="G3147" s="176" t="s">
        <v>1259</v>
      </c>
      <c r="H3147" s="107" t="str">
        <f t="shared" si="17"/>
        <v>t.last_price as last_price,/*最新价*/</v>
      </c>
    </row>
    <row r="3148" spans="1:14" s="7" customFormat="1" hidden="1" outlineLevel="1" x14ac:dyDescent="0.15">
      <c r="A3148" s="1"/>
      <c r="B3148" s="193" t="s">
        <v>439</v>
      </c>
      <c r="C3148" s="193" t="s">
        <v>1236</v>
      </c>
      <c r="D3148" s="193" t="s">
        <v>1211</v>
      </c>
      <c r="E3148" s="193">
        <v>0</v>
      </c>
      <c r="F3148" s="176"/>
      <c r="G3148" s="193"/>
      <c r="H3148" s="107" t="str">
        <f t="shared" si="17"/>
        <v>sum(t.begin_qty) as begin_qty,/*期初数量*/</v>
      </c>
      <c r="I3148" s="7" t="str">
        <f t="shared" ref="I3148:I3153" si="18">"sum(t."&amp;C3149&amp;")"</f>
        <v>sum(t.begin_qty)</v>
      </c>
      <c r="J3148" s="7" t="s">
        <v>428</v>
      </c>
      <c r="K3148" s="7" t="s">
        <v>429</v>
      </c>
      <c r="L3148" s="7" t="s">
        <v>430</v>
      </c>
      <c r="M3148" s="7" t="s">
        <v>430</v>
      </c>
      <c r="N3148" s="7">
        <v>1986</v>
      </c>
    </row>
    <row r="3149" spans="1:14" s="7" customFormat="1" hidden="1" outlineLevel="1" x14ac:dyDescent="0.15">
      <c r="A3149" s="2"/>
      <c r="B3149" s="192" t="s">
        <v>8</v>
      </c>
      <c r="C3149" s="192" t="s">
        <v>1193</v>
      </c>
      <c r="D3149" s="192" t="s">
        <v>1087</v>
      </c>
      <c r="E3149" s="192">
        <v>0</v>
      </c>
      <c r="F3149" s="176"/>
      <c r="G3149" s="192" t="s">
        <v>1194</v>
      </c>
      <c r="H3149" s="107" t="str">
        <f t="shared" si="17"/>
        <v>sum(t.curr_qty) as curr_qty,/*当前数量*/</v>
      </c>
      <c r="I3149" s="7" t="str">
        <f t="shared" si="18"/>
        <v>sum(t.curr_qty)</v>
      </c>
      <c r="J3149" s="7" t="s">
        <v>428</v>
      </c>
      <c r="K3149" s="7" t="s">
        <v>429</v>
      </c>
      <c r="L3149" s="7" t="s">
        <v>430</v>
      </c>
      <c r="M3149" s="7" t="s">
        <v>430</v>
      </c>
      <c r="N3149" s="7">
        <v>1262</v>
      </c>
    </row>
    <row r="3150" spans="1:14" s="7" customFormat="1" hidden="1" outlineLevel="1" x14ac:dyDescent="0.15">
      <c r="A3150" s="2"/>
      <c r="B3150" s="192" t="s">
        <v>9</v>
      </c>
      <c r="C3150" s="192" t="s">
        <v>1195</v>
      </c>
      <c r="D3150" s="192" t="s">
        <v>1087</v>
      </c>
      <c r="E3150" s="192">
        <v>0</v>
      </c>
      <c r="F3150" s="176"/>
      <c r="G3150" s="192" t="s">
        <v>1196</v>
      </c>
      <c r="H3150" s="107" t="str">
        <f t="shared" si="17"/>
        <v>sum(t.cost_amt) as cost_amt,/*成本金额*/</v>
      </c>
      <c r="I3150" s="7" t="str">
        <f t="shared" si="18"/>
        <v>sum(t.cost_amt)</v>
      </c>
      <c r="J3150" s="7" t="s">
        <v>428</v>
      </c>
      <c r="K3150" s="7" t="s">
        <v>429</v>
      </c>
      <c r="L3150" s="7" t="s">
        <v>430</v>
      </c>
      <c r="M3150" s="7" t="s">
        <v>430</v>
      </c>
      <c r="N3150" s="7">
        <v>1163</v>
      </c>
    </row>
    <row r="3151" spans="1:14" s="7" customFormat="1" hidden="1" outlineLevel="1" x14ac:dyDescent="0.15">
      <c r="A3151" s="2"/>
      <c r="B3151" s="192" t="s">
        <v>116</v>
      </c>
      <c r="C3151" s="192" t="s">
        <v>1213</v>
      </c>
      <c r="D3151" s="192" t="s">
        <v>1169</v>
      </c>
      <c r="E3151" s="192">
        <v>0</v>
      </c>
      <c r="F3151" s="176"/>
      <c r="G3151" s="192"/>
      <c r="H3151" s="107" t="str">
        <f t="shared" si="17"/>
        <v>sum(t.realize_pandl) as realize_pandl,/*实现盈亏*/</v>
      </c>
      <c r="I3151" s="7" t="str">
        <f t="shared" si="18"/>
        <v>sum(t.realize_pandl)</v>
      </c>
      <c r="J3151" s="7" t="s">
        <v>428</v>
      </c>
      <c r="K3151" s="7" t="s">
        <v>429</v>
      </c>
      <c r="L3151" s="7" t="s">
        <v>430</v>
      </c>
      <c r="M3151" s="7" t="s">
        <v>430</v>
      </c>
      <c r="N3151" s="7">
        <v>2153</v>
      </c>
    </row>
    <row r="3152" spans="1:14" s="7" customFormat="1" hidden="1" outlineLevel="1" x14ac:dyDescent="0.15">
      <c r="A3152" s="2"/>
      <c r="B3152" s="192" t="s">
        <v>12</v>
      </c>
      <c r="C3152" s="192" t="s">
        <v>1143</v>
      </c>
      <c r="D3152" s="192" t="s">
        <v>1169</v>
      </c>
      <c r="E3152" s="192">
        <v>0</v>
      </c>
      <c r="F3152" s="176"/>
      <c r="G3152" s="192"/>
      <c r="H3152" s="107" t="str">
        <f t="shared" si="17"/>
        <v>sum(t.intrst_cost_amt) as intrst_cost_amt,/*利息成本金额*/</v>
      </c>
      <c r="I3152" s="7" t="str">
        <f t="shared" si="18"/>
        <v>sum(t.intrst_cost_amt)</v>
      </c>
      <c r="J3152" s="7" t="s">
        <v>428</v>
      </c>
      <c r="K3152" s="7" t="s">
        <v>429</v>
      </c>
      <c r="L3152" s="7" t="s">
        <v>430</v>
      </c>
      <c r="M3152" s="7" t="s">
        <v>430</v>
      </c>
      <c r="N3152" s="7">
        <v>1852</v>
      </c>
    </row>
    <row r="3153" spans="1:14" s="7" customFormat="1" hidden="1" outlineLevel="1" x14ac:dyDescent="0.15">
      <c r="A3153" s="2"/>
      <c r="B3153" s="192" t="s">
        <v>13</v>
      </c>
      <c r="C3153" s="192" t="s">
        <v>1205</v>
      </c>
      <c r="D3153" s="192" t="s">
        <v>1169</v>
      </c>
      <c r="E3153" s="192">
        <v>0</v>
      </c>
      <c r="F3153" s="176"/>
      <c r="G3153" s="192"/>
      <c r="H3153" s="107" t="str">
        <f t="shared" si="17"/>
        <v>sum(t.intrst_pandl) as intrst_pandl,/*利息收益*/</v>
      </c>
      <c r="I3153" s="7" t="str">
        <f t="shared" si="18"/>
        <v>sum(t.intrst_pandl)</v>
      </c>
      <c r="J3153" s="7" t="s">
        <v>428</v>
      </c>
      <c r="K3153" s="7" t="s">
        <v>429</v>
      </c>
      <c r="L3153" s="7" t="s">
        <v>430</v>
      </c>
      <c r="M3153" s="7" t="s">
        <v>430</v>
      </c>
      <c r="N3153" s="7">
        <v>1857</v>
      </c>
    </row>
    <row r="3154" spans="1:14" hidden="1" outlineLevel="1" x14ac:dyDescent="0.15">
      <c r="A3154" s="2"/>
      <c r="B3154" s="192" t="s">
        <v>14</v>
      </c>
      <c r="C3154" s="192" t="s">
        <v>1206</v>
      </c>
      <c r="D3154" s="192" t="s">
        <v>1169</v>
      </c>
      <c r="E3154" s="192">
        <v>0</v>
      </c>
      <c r="F3154" s="176"/>
      <c r="G3154" s="192"/>
      <c r="H3154" s="107" t="str">
        <f t="shared" si="17"/>
        <v>sum(ifnull(t.cost_amt,0))/sum(ifnull(t.curr_qty,0)) as cost_price,/*成本价*/</v>
      </c>
      <c r="I3154" s="1" t="s">
        <v>447</v>
      </c>
      <c r="J3154" s="1" t="s">
        <v>428</v>
      </c>
      <c r="K3154" s="1" t="s">
        <v>429</v>
      </c>
      <c r="L3154" s="1" t="s">
        <v>430</v>
      </c>
      <c r="M3154" s="1" t="s">
        <v>430</v>
      </c>
      <c r="N3154" s="1">
        <v>1162</v>
      </c>
    </row>
    <row r="3155" spans="1:14" hidden="1" outlineLevel="1" x14ac:dyDescent="0.15">
      <c r="B3155" s="147" t="s">
        <v>389</v>
      </c>
      <c r="C3155" s="147" t="s">
        <v>1488</v>
      </c>
      <c r="D3155" s="147" t="s">
        <v>1484</v>
      </c>
      <c r="E3155" s="147">
        <v>0</v>
      </c>
      <c r="F3155" s="147"/>
      <c r="G3155" s="147" t="s">
        <v>1478</v>
      </c>
      <c r="H3155" s="107" t="str">
        <f t="shared" si="17"/>
        <v>sum(ifnull(t.posi_market_value,0)) as posi_market_value,/*持仓市值*/</v>
      </c>
      <c r="I3155" s="1" t="s">
        <v>446</v>
      </c>
      <c r="J3155" s="1" t="s">
        <v>428</v>
      </c>
      <c r="K3155" s="1" t="s">
        <v>429</v>
      </c>
      <c r="L3155" s="1" t="s">
        <v>430</v>
      </c>
      <c r="M3155" s="1" t="s">
        <v>430</v>
      </c>
      <c r="N3155" s="1">
        <v>1202</v>
      </c>
    </row>
    <row r="3156" spans="1:14" hidden="1" outlineLevel="1" x14ac:dyDescent="0.15">
      <c r="B3156" s="147" t="s">
        <v>432</v>
      </c>
      <c r="C3156" s="147" t="s">
        <v>1489</v>
      </c>
      <c r="D3156" s="147" t="s">
        <v>1331</v>
      </c>
      <c r="E3156" s="147">
        <v>0</v>
      </c>
      <c r="F3156" s="147"/>
      <c r="G3156" s="147"/>
      <c r="H3156" s="107" t="str">
        <f t="shared" si="17"/>
        <v>sum(ifnull(t.posi_market_value,0)-ifnull(t.cost_amt,0)) as float_pandl,/*浮动盈亏*/</v>
      </c>
      <c r="I3156" s="1" t="s">
        <v>448</v>
      </c>
      <c r="J3156" s="1" t="s">
        <v>428</v>
      </c>
      <c r="K3156" s="1" t="s">
        <v>429</v>
      </c>
      <c r="L3156" s="1" t="s">
        <v>430</v>
      </c>
      <c r="M3156" s="1" t="s">
        <v>430</v>
      </c>
      <c r="N3156" s="1">
        <v>1461</v>
      </c>
    </row>
    <row r="3157" spans="1:14" s="7" customFormat="1" hidden="1" outlineLevel="1" x14ac:dyDescent="0.15">
      <c r="A3157" s="1"/>
      <c r="B3157" s="147" t="s">
        <v>445</v>
      </c>
      <c r="C3157" s="147" t="s">
        <v>1490</v>
      </c>
      <c r="D3157" s="147" t="s">
        <v>1331</v>
      </c>
      <c r="E3157" s="147">
        <v>0</v>
      </c>
      <c r="F3157" s="147"/>
      <c r="G3157" s="147"/>
      <c r="H3157" s="107">
        <v>0</v>
      </c>
    </row>
    <row r="3158" spans="1:14" s="7" customFormat="1" ht="18" hidden="1" outlineLevel="1" thickBot="1" x14ac:dyDescent="0.2">
      <c r="A3158" s="2"/>
      <c r="B3158" s="24"/>
      <c r="C3158" s="9"/>
      <c r="D3158" s="9"/>
      <c r="E3158" s="9"/>
      <c r="F3158" s="9"/>
      <c r="G3158" s="11"/>
      <c r="H3158" s="107"/>
    </row>
    <row r="3159" spans="1:14" s="7" customFormat="1" hidden="1" outlineLevel="1" x14ac:dyDescent="0.15">
      <c r="A3159" s="2"/>
      <c r="B3159" s="327" t="s">
        <v>15</v>
      </c>
      <c r="C3159" s="328"/>
      <c r="D3159" s="328"/>
      <c r="E3159" s="328"/>
      <c r="F3159" s="328"/>
      <c r="G3159" s="329"/>
      <c r="H3159" s="107"/>
    </row>
    <row r="3160" spans="1:14" s="7" customFormat="1" hidden="1" outlineLevel="1" x14ac:dyDescent="0.15">
      <c r="A3160" s="2"/>
      <c r="B3160" s="20"/>
      <c r="C3160" s="23"/>
      <c r="D3160" s="21"/>
      <c r="E3160" s="21"/>
      <c r="F3160" s="21"/>
      <c r="G3160" s="21"/>
      <c r="H3160" s="107"/>
    </row>
    <row r="3161" spans="1:14" s="7" customFormat="1" hidden="1" outlineLevel="1" x14ac:dyDescent="0.15">
      <c r="A3161" s="2"/>
      <c r="B3161" s="20"/>
      <c r="C3161" s="23"/>
      <c r="D3161" s="21"/>
      <c r="E3161" s="21"/>
      <c r="F3161" s="21"/>
      <c r="G3161" s="21"/>
    </row>
    <row r="3162" spans="1:14" ht="18" hidden="1" outlineLevel="1" thickBot="1" x14ac:dyDescent="0.2">
      <c r="A3162" s="2"/>
      <c r="B3162" s="24"/>
      <c r="C3162" s="9"/>
      <c r="D3162" s="9"/>
      <c r="E3162" s="9"/>
      <c r="F3162" s="9"/>
      <c r="G3162" s="11"/>
      <c r="H3162" s="7"/>
    </row>
    <row r="3163" spans="1:14" s="7" customFormat="1" ht="18" hidden="1" outlineLevel="1" thickBot="1" x14ac:dyDescent="0.2">
      <c r="A3163" s="1"/>
      <c r="B3163" s="1"/>
      <c r="C3163" s="1"/>
      <c r="D3163" s="1"/>
      <c r="E3163" s="1"/>
      <c r="F3163" s="1"/>
      <c r="G3163" s="1"/>
      <c r="H3163" s="6" t="str">
        <f>"create or replace view "&amp;C3164</f>
        <v>create or replace view vi_sum_pd_stock_posi</v>
      </c>
    </row>
    <row r="3164" spans="1:14" s="7" customFormat="1" ht="18" collapsed="1" thickBot="1" x14ac:dyDescent="0.2">
      <c r="A3164" s="2"/>
      <c r="B3164" s="3" t="s">
        <v>563</v>
      </c>
      <c r="C3164" s="4" t="s">
        <v>690</v>
      </c>
      <c r="D3164" s="5" t="s">
        <v>515</v>
      </c>
      <c r="E3164" s="21" t="s">
        <v>585</v>
      </c>
      <c r="F3164" s="5" t="s">
        <v>567</v>
      </c>
      <c r="G3164" s="6" t="s">
        <v>553</v>
      </c>
      <c r="H3164" s="11" t="str">
        <f>"# "&amp;E3164</f>
        <v># 报表_资管报表_视图-汇总-产品-证券-持仓</v>
      </c>
    </row>
    <row r="3165" spans="1:14" s="7" customFormat="1" ht="18" hidden="1" outlineLevel="1" thickBot="1" x14ac:dyDescent="0.2">
      <c r="A3165" s="2"/>
      <c r="B3165" s="34" t="s">
        <v>570</v>
      </c>
      <c r="C3165" s="18"/>
      <c r="D3165" s="35" t="s">
        <v>568</v>
      </c>
      <c r="E3165" s="18" t="s">
        <v>615</v>
      </c>
      <c r="F3165" s="35"/>
      <c r="G3165" s="19" t="s">
        <v>431</v>
      </c>
      <c r="H3165" s="13" t="s">
        <v>283</v>
      </c>
    </row>
    <row r="3166" spans="1:14" hidden="1" outlineLevel="1" x14ac:dyDescent="0.15">
      <c r="A3166" s="2"/>
      <c r="B3166" s="3" t="s">
        <v>0</v>
      </c>
      <c r="C3166" s="5" t="s">
        <v>1</v>
      </c>
      <c r="D3166" s="5" t="s">
        <v>2</v>
      </c>
      <c r="E3166" s="5"/>
      <c r="F3166" s="5" t="s">
        <v>3</v>
      </c>
      <c r="G3166" s="36" t="s">
        <v>4</v>
      </c>
      <c r="H3166" s="107" t="str">
        <f t="shared" ref="H3166:H3182" si="19">IF(I3166&lt;&gt;"",I3166,"t."&amp;C3167)&amp;" as "&amp;C3167&amp;",/*"&amp;B3167&amp;"*/"</f>
        <v>t.init_date as init_date,/*初始化日期*/</v>
      </c>
      <c r="J3166" s="1" t="s">
        <v>424</v>
      </c>
      <c r="K3166" s="1" t="s">
        <v>425</v>
      </c>
      <c r="L3166" s="1" t="s">
        <v>423</v>
      </c>
      <c r="M3166" s="1" t="s">
        <v>423</v>
      </c>
      <c r="N3166" s="1">
        <v>1211</v>
      </c>
    </row>
    <row r="3167" spans="1:14" hidden="1" outlineLevel="1" x14ac:dyDescent="0.15">
      <c r="B3167" s="176" t="s">
        <v>422</v>
      </c>
      <c r="C3167" s="176" t="s">
        <v>1123</v>
      </c>
      <c r="D3167" s="176" t="s">
        <v>423</v>
      </c>
      <c r="E3167" s="176" t="s">
        <v>1141</v>
      </c>
      <c r="F3167" s="176"/>
      <c r="G3167" s="176" t="s">
        <v>1162</v>
      </c>
      <c r="H3167" s="107" t="str">
        <f t="shared" si="19"/>
        <v>t.co_no as co_no,/*机构编号*/</v>
      </c>
      <c r="J3167" s="1" t="s">
        <v>424</v>
      </c>
      <c r="K3167" s="1" t="s">
        <v>425</v>
      </c>
      <c r="L3167" s="1" t="s">
        <v>423</v>
      </c>
      <c r="M3167" s="1" t="s">
        <v>423</v>
      </c>
      <c r="N3167" s="1">
        <v>1606</v>
      </c>
    </row>
    <row r="3168" spans="1:14" hidden="1" outlineLevel="1" x14ac:dyDescent="0.15">
      <c r="B3168" s="176" t="s">
        <v>426</v>
      </c>
      <c r="C3168" s="176" t="s">
        <v>1093</v>
      </c>
      <c r="D3168" s="176" t="s">
        <v>423</v>
      </c>
      <c r="E3168" s="176">
        <v>0</v>
      </c>
      <c r="F3168" s="176"/>
      <c r="G3168" s="176" t="s">
        <v>1077</v>
      </c>
      <c r="H3168" s="107" t="str">
        <f t="shared" si="19"/>
        <v>t.pd_no as pd_no,/*产品编号*/</v>
      </c>
    </row>
    <row r="3169" spans="1:14" hidden="1" outlineLevel="1" x14ac:dyDescent="0.15">
      <c r="B3169" s="176" t="s">
        <v>111</v>
      </c>
      <c r="C3169" s="176" t="s">
        <v>1164</v>
      </c>
      <c r="D3169" s="176" t="s">
        <v>211</v>
      </c>
      <c r="E3169" s="176">
        <v>0</v>
      </c>
      <c r="F3169" s="176"/>
      <c r="G3169" s="176" t="s">
        <v>1165</v>
      </c>
      <c r="H3169" s="107" t="str">
        <f t="shared" si="19"/>
        <v>t.exch_no as exch_no,/*市场编号*/</v>
      </c>
      <c r="J3169" s="1" t="s">
        <v>424</v>
      </c>
      <c r="K3169" s="1" t="s">
        <v>425</v>
      </c>
      <c r="L3169" s="1" t="s">
        <v>423</v>
      </c>
      <c r="M3169" s="1" t="s">
        <v>423</v>
      </c>
      <c r="N3169" s="1">
        <v>2155</v>
      </c>
    </row>
    <row r="3170" spans="1:14" hidden="1" outlineLevel="1" x14ac:dyDescent="0.15">
      <c r="B3170" s="176" t="s">
        <v>7</v>
      </c>
      <c r="C3170" s="176" t="s">
        <v>1486</v>
      </c>
      <c r="D3170" s="176" t="s">
        <v>423</v>
      </c>
      <c r="E3170" s="176">
        <v>0</v>
      </c>
      <c r="F3170" s="176"/>
      <c r="G3170" s="176" t="s">
        <v>1081</v>
      </c>
      <c r="H3170" s="107" t="str">
        <f t="shared" si="19"/>
        <v>t.stock_code_no as stock_code_no,/*证券代码编号*/</v>
      </c>
      <c r="J3170" s="1" t="s">
        <v>424</v>
      </c>
      <c r="K3170" s="1" t="s">
        <v>425</v>
      </c>
      <c r="L3170" s="1" t="s">
        <v>423</v>
      </c>
      <c r="M3170" s="1" t="s">
        <v>423</v>
      </c>
      <c r="N3170" s="1">
        <v>2430</v>
      </c>
    </row>
    <row r="3171" spans="1:14" s="7" customFormat="1" hidden="1" outlineLevel="1" x14ac:dyDescent="0.15">
      <c r="A3171" s="1"/>
      <c r="B3171" s="176" t="s">
        <v>427</v>
      </c>
      <c r="C3171" s="176" t="s">
        <v>1487</v>
      </c>
      <c r="D3171" s="176" t="s">
        <v>423</v>
      </c>
      <c r="E3171" s="176">
        <v>0</v>
      </c>
      <c r="F3171" s="176"/>
      <c r="G3171" s="176"/>
      <c r="H3171" s="107" t="str">
        <f t="shared" si="19"/>
        <v>t.stock_type as stock_type,/*证券类型*/</v>
      </c>
      <c r="J3171" s="7" t="s">
        <v>424</v>
      </c>
      <c r="K3171" s="7" t="s">
        <v>425</v>
      </c>
      <c r="L3171" s="7" t="s">
        <v>423</v>
      </c>
      <c r="M3171" s="7" t="s">
        <v>423</v>
      </c>
      <c r="N3171" s="7">
        <v>2433</v>
      </c>
    </row>
    <row r="3172" spans="1:14" s="7" customFormat="1" hidden="1" outlineLevel="1" x14ac:dyDescent="0.15">
      <c r="A3172" s="2"/>
      <c r="B3172" s="176" t="s">
        <v>93</v>
      </c>
      <c r="C3172" s="176" t="s">
        <v>1189</v>
      </c>
      <c r="D3172" s="176" t="s">
        <v>211</v>
      </c>
      <c r="E3172" s="176">
        <v>0</v>
      </c>
      <c r="F3172" s="176"/>
      <c r="G3172" s="176"/>
      <c r="H3172" s="107" t="str">
        <f t="shared" si="19"/>
        <v>t.asset_type as asset_type,/*资产类型*/</v>
      </c>
      <c r="J3172" s="7" t="s">
        <v>424</v>
      </c>
      <c r="K3172" s="7" t="s">
        <v>425</v>
      </c>
      <c r="L3172" s="7" t="s">
        <v>423</v>
      </c>
      <c r="M3172" s="7" t="s">
        <v>423</v>
      </c>
      <c r="N3172" s="7">
        <v>2528</v>
      </c>
    </row>
    <row r="3173" spans="1:14" hidden="1" outlineLevel="1" x14ac:dyDescent="0.15">
      <c r="A3173" s="2"/>
      <c r="B3173" s="176" t="s">
        <v>41</v>
      </c>
      <c r="C3173" s="176" t="s">
        <v>1258</v>
      </c>
      <c r="D3173" s="176" t="s">
        <v>211</v>
      </c>
      <c r="E3173" s="176">
        <v>0</v>
      </c>
      <c r="F3173" s="176"/>
      <c r="G3173" s="176" t="s">
        <v>1259</v>
      </c>
      <c r="H3173" s="107" t="str">
        <f t="shared" si="19"/>
        <v>t.last_price as last_price,/*最新价*/</v>
      </c>
    </row>
    <row r="3174" spans="1:14" s="7" customFormat="1" hidden="1" outlineLevel="1" x14ac:dyDescent="0.15">
      <c r="A3174" s="1"/>
      <c r="B3174" s="193" t="s">
        <v>439</v>
      </c>
      <c r="C3174" s="193" t="s">
        <v>1236</v>
      </c>
      <c r="D3174" s="193" t="s">
        <v>1211</v>
      </c>
      <c r="E3174" s="193">
        <v>0</v>
      </c>
      <c r="F3174" s="176"/>
      <c r="G3174" s="193"/>
      <c r="H3174" s="107" t="str">
        <f t="shared" si="19"/>
        <v>sum(t.begin_qty) as begin_qty,/*期初数量*/</v>
      </c>
      <c r="I3174" s="7" t="str">
        <f t="shared" ref="I3174:I3179" si="20">"sum(t."&amp;C3175&amp;")"</f>
        <v>sum(t.begin_qty)</v>
      </c>
      <c r="J3174" s="7" t="s">
        <v>428</v>
      </c>
      <c r="K3174" s="7" t="s">
        <v>429</v>
      </c>
      <c r="L3174" s="7" t="s">
        <v>430</v>
      </c>
      <c r="M3174" s="7" t="s">
        <v>430</v>
      </c>
      <c r="N3174" s="7">
        <v>1986</v>
      </c>
    </row>
    <row r="3175" spans="1:14" s="7" customFormat="1" hidden="1" outlineLevel="1" x14ac:dyDescent="0.15">
      <c r="A3175" s="2"/>
      <c r="B3175" s="192" t="s">
        <v>8</v>
      </c>
      <c r="C3175" s="192" t="s">
        <v>1193</v>
      </c>
      <c r="D3175" s="192" t="s">
        <v>1087</v>
      </c>
      <c r="E3175" s="192">
        <v>0</v>
      </c>
      <c r="F3175" s="176"/>
      <c r="G3175" s="192" t="s">
        <v>1194</v>
      </c>
      <c r="H3175" s="107" t="str">
        <f t="shared" si="19"/>
        <v>sum(t.curr_qty) as curr_qty,/*当前数量*/</v>
      </c>
      <c r="I3175" s="7" t="str">
        <f t="shared" si="20"/>
        <v>sum(t.curr_qty)</v>
      </c>
      <c r="J3175" s="7" t="s">
        <v>428</v>
      </c>
      <c r="K3175" s="7" t="s">
        <v>429</v>
      </c>
      <c r="L3175" s="7" t="s">
        <v>430</v>
      </c>
      <c r="M3175" s="7" t="s">
        <v>430</v>
      </c>
      <c r="N3175" s="7">
        <v>1262</v>
      </c>
    </row>
    <row r="3176" spans="1:14" s="7" customFormat="1" hidden="1" outlineLevel="1" x14ac:dyDescent="0.15">
      <c r="A3176" s="2"/>
      <c r="B3176" s="192" t="s">
        <v>9</v>
      </c>
      <c r="C3176" s="192" t="s">
        <v>1195</v>
      </c>
      <c r="D3176" s="192" t="s">
        <v>1087</v>
      </c>
      <c r="E3176" s="192">
        <v>0</v>
      </c>
      <c r="F3176" s="176"/>
      <c r="G3176" s="192" t="s">
        <v>1196</v>
      </c>
      <c r="H3176" s="107" t="str">
        <f t="shared" si="19"/>
        <v>sum(t.cost_amt) as cost_amt,/*成本金额*/</v>
      </c>
      <c r="I3176" s="7" t="str">
        <f t="shared" si="20"/>
        <v>sum(t.cost_amt)</v>
      </c>
      <c r="J3176" s="7" t="s">
        <v>428</v>
      </c>
      <c r="K3176" s="7" t="s">
        <v>429</v>
      </c>
      <c r="L3176" s="7" t="s">
        <v>430</v>
      </c>
      <c r="M3176" s="7" t="s">
        <v>430</v>
      </c>
      <c r="N3176" s="7">
        <v>1163</v>
      </c>
    </row>
    <row r="3177" spans="1:14" s="7" customFormat="1" hidden="1" outlineLevel="1" x14ac:dyDescent="0.15">
      <c r="A3177" s="2"/>
      <c r="B3177" s="192" t="s">
        <v>116</v>
      </c>
      <c r="C3177" s="192" t="s">
        <v>1213</v>
      </c>
      <c r="D3177" s="192" t="s">
        <v>1169</v>
      </c>
      <c r="E3177" s="192">
        <v>0</v>
      </c>
      <c r="F3177" s="176"/>
      <c r="G3177" s="192"/>
      <c r="H3177" s="107" t="str">
        <f t="shared" si="19"/>
        <v>sum(t.realize_pandl) as realize_pandl,/*实现盈亏*/</v>
      </c>
      <c r="I3177" s="7" t="str">
        <f t="shared" si="20"/>
        <v>sum(t.realize_pandl)</v>
      </c>
      <c r="J3177" s="7" t="s">
        <v>428</v>
      </c>
      <c r="K3177" s="7" t="s">
        <v>429</v>
      </c>
      <c r="L3177" s="7" t="s">
        <v>430</v>
      </c>
      <c r="M3177" s="7" t="s">
        <v>430</v>
      </c>
      <c r="N3177" s="7">
        <v>2153</v>
      </c>
    </row>
    <row r="3178" spans="1:14" s="7" customFormat="1" hidden="1" outlineLevel="1" x14ac:dyDescent="0.15">
      <c r="A3178" s="2"/>
      <c r="B3178" s="192" t="s">
        <v>12</v>
      </c>
      <c r="C3178" s="192" t="s">
        <v>1143</v>
      </c>
      <c r="D3178" s="192" t="s">
        <v>1169</v>
      </c>
      <c r="E3178" s="192">
        <v>0</v>
      </c>
      <c r="F3178" s="176"/>
      <c r="G3178" s="192"/>
      <c r="H3178" s="107" t="str">
        <f t="shared" si="19"/>
        <v>sum(t.intrst_cost_amt) as intrst_cost_amt,/*利息成本金额*/</v>
      </c>
      <c r="I3178" s="7" t="str">
        <f t="shared" si="20"/>
        <v>sum(t.intrst_cost_amt)</v>
      </c>
      <c r="J3178" s="7" t="s">
        <v>428</v>
      </c>
      <c r="K3178" s="7" t="s">
        <v>429</v>
      </c>
      <c r="L3178" s="7" t="s">
        <v>430</v>
      </c>
      <c r="M3178" s="7" t="s">
        <v>430</v>
      </c>
      <c r="N3178" s="7">
        <v>1852</v>
      </c>
    </row>
    <row r="3179" spans="1:14" s="7" customFormat="1" hidden="1" outlineLevel="1" x14ac:dyDescent="0.15">
      <c r="A3179" s="2"/>
      <c r="B3179" s="192" t="s">
        <v>13</v>
      </c>
      <c r="C3179" s="192" t="s">
        <v>1205</v>
      </c>
      <c r="D3179" s="192" t="s">
        <v>1169</v>
      </c>
      <c r="E3179" s="192">
        <v>0</v>
      </c>
      <c r="F3179" s="176"/>
      <c r="G3179" s="192"/>
      <c r="H3179" s="107" t="str">
        <f t="shared" si="19"/>
        <v>sum(t.intrst_pandl) as intrst_pandl,/*利息收益*/</v>
      </c>
      <c r="I3179" s="7" t="str">
        <f t="shared" si="20"/>
        <v>sum(t.intrst_pandl)</v>
      </c>
      <c r="J3179" s="7" t="s">
        <v>428</v>
      </c>
      <c r="K3179" s="7" t="s">
        <v>429</v>
      </c>
      <c r="L3179" s="7" t="s">
        <v>430</v>
      </c>
      <c r="M3179" s="7" t="s">
        <v>430</v>
      </c>
      <c r="N3179" s="7">
        <v>1857</v>
      </c>
    </row>
    <row r="3180" spans="1:14" hidden="1" outlineLevel="1" x14ac:dyDescent="0.15">
      <c r="A3180" s="2"/>
      <c r="B3180" s="192" t="s">
        <v>14</v>
      </c>
      <c r="C3180" s="192" t="s">
        <v>1206</v>
      </c>
      <c r="D3180" s="192" t="s">
        <v>1169</v>
      </c>
      <c r="E3180" s="192">
        <v>0</v>
      </c>
      <c r="F3180" s="176"/>
      <c r="G3180" s="192"/>
      <c r="H3180" s="107" t="str">
        <f t="shared" si="19"/>
        <v>sum(ifnull(t.cost_amt,0))/sum(ifnull(t.curr_qty,0)) as cost_price,/*成本价*/</v>
      </c>
      <c r="I3180" s="1" t="s">
        <v>447</v>
      </c>
      <c r="J3180" s="1" t="s">
        <v>428</v>
      </c>
      <c r="K3180" s="1" t="s">
        <v>429</v>
      </c>
      <c r="L3180" s="1" t="s">
        <v>430</v>
      </c>
      <c r="M3180" s="1" t="s">
        <v>430</v>
      </c>
      <c r="N3180" s="1">
        <v>1162</v>
      </c>
    </row>
    <row r="3181" spans="1:14" hidden="1" outlineLevel="1" x14ac:dyDescent="0.15">
      <c r="B3181" s="147" t="s">
        <v>389</v>
      </c>
      <c r="C3181" s="147" t="s">
        <v>1488</v>
      </c>
      <c r="D3181" s="147" t="s">
        <v>1484</v>
      </c>
      <c r="E3181" s="147">
        <v>0</v>
      </c>
      <c r="F3181" s="147"/>
      <c r="G3181" s="147" t="s">
        <v>1478</v>
      </c>
      <c r="H3181" s="107" t="str">
        <f t="shared" si="19"/>
        <v>sum(ifnull(t.posi_market_value,0)) as posi_market_value,/*持仓市值*/</v>
      </c>
      <c r="I3181" s="1" t="s">
        <v>446</v>
      </c>
      <c r="J3181" s="1" t="s">
        <v>428</v>
      </c>
      <c r="K3181" s="1" t="s">
        <v>429</v>
      </c>
      <c r="L3181" s="1" t="s">
        <v>430</v>
      </c>
      <c r="M3181" s="1" t="s">
        <v>430</v>
      </c>
      <c r="N3181" s="1">
        <v>1202</v>
      </c>
    </row>
    <row r="3182" spans="1:14" hidden="1" outlineLevel="1" x14ac:dyDescent="0.15">
      <c r="B3182" s="147" t="s">
        <v>432</v>
      </c>
      <c r="C3182" s="147" t="s">
        <v>1489</v>
      </c>
      <c r="D3182" s="147" t="s">
        <v>1331</v>
      </c>
      <c r="E3182" s="147">
        <v>0</v>
      </c>
      <c r="F3182" s="147"/>
      <c r="G3182" s="147"/>
      <c r="H3182" s="107" t="str">
        <f t="shared" si="19"/>
        <v>sum(ifnull(t.posi_market_value,0)-ifnull(t.cost_amt,0)) as float_pandl,/*浮动盈亏*/</v>
      </c>
      <c r="I3182" s="1" t="s">
        <v>448</v>
      </c>
      <c r="J3182" s="1" t="s">
        <v>428</v>
      </c>
      <c r="K3182" s="1" t="s">
        <v>429</v>
      </c>
      <c r="L3182" s="1" t="s">
        <v>430</v>
      </c>
      <c r="M3182" s="1" t="s">
        <v>430</v>
      </c>
      <c r="N3182" s="1">
        <v>1461</v>
      </c>
    </row>
    <row r="3183" spans="1:14" s="7" customFormat="1" hidden="1" outlineLevel="1" x14ac:dyDescent="0.15">
      <c r="A3183" s="1"/>
      <c r="B3183" s="147" t="s">
        <v>445</v>
      </c>
      <c r="C3183" s="147" t="s">
        <v>1490</v>
      </c>
      <c r="D3183" s="147" t="s">
        <v>1331</v>
      </c>
      <c r="E3183" s="147">
        <v>0</v>
      </c>
      <c r="F3183" s="147"/>
      <c r="G3183" s="147"/>
      <c r="H3183" s="107">
        <v>0</v>
      </c>
    </row>
    <row r="3184" spans="1:14" s="7" customFormat="1" ht="18" hidden="1" outlineLevel="1" thickBot="1" x14ac:dyDescent="0.2">
      <c r="A3184" s="2"/>
      <c r="B3184" s="24"/>
      <c r="C3184" s="9"/>
      <c r="D3184" s="9"/>
      <c r="E3184" s="9"/>
      <c r="F3184" s="9"/>
      <c r="G3184" s="11"/>
      <c r="H3184" s="107"/>
    </row>
    <row r="3185" spans="1:14" s="7" customFormat="1" hidden="1" outlineLevel="1" x14ac:dyDescent="0.15">
      <c r="A3185" s="2"/>
      <c r="B3185" s="327" t="s">
        <v>15</v>
      </c>
      <c r="C3185" s="328"/>
      <c r="D3185" s="328"/>
      <c r="E3185" s="328"/>
      <c r="F3185" s="328"/>
      <c r="G3185" s="329"/>
      <c r="H3185" s="107"/>
    </row>
    <row r="3186" spans="1:14" s="7" customFormat="1" hidden="1" outlineLevel="1" x14ac:dyDescent="0.15">
      <c r="A3186" s="2"/>
      <c r="B3186" s="20"/>
      <c r="C3186" s="23"/>
      <c r="D3186" s="21"/>
      <c r="E3186" s="21"/>
      <c r="F3186" s="21"/>
      <c r="G3186" s="21"/>
      <c r="H3186" s="107"/>
    </row>
    <row r="3187" spans="1:14" s="7" customFormat="1" hidden="1" outlineLevel="1" x14ac:dyDescent="0.15">
      <c r="A3187" s="2"/>
      <c r="B3187" s="20"/>
      <c r="C3187" s="23"/>
      <c r="D3187" s="21"/>
      <c r="E3187" s="21"/>
      <c r="F3187" s="21"/>
      <c r="G3187" s="21"/>
    </row>
    <row r="3188" spans="1:14" ht="18" hidden="1" outlineLevel="1" thickBot="1" x14ac:dyDescent="0.2">
      <c r="A3188" s="2"/>
      <c r="B3188" s="24"/>
      <c r="C3188" s="9"/>
      <c r="D3188" s="9"/>
      <c r="E3188" s="9"/>
      <c r="F3188" s="9"/>
      <c r="G3188" s="11"/>
    </row>
    <row r="3189" spans="1:14" s="7" customFormat="1" ht="18" hidden="1" outlineLevel="1" thickBot="1" x14ac:dyDescent="0.2">
      <c r="A3189" s="1"/>
      <c r="B3189" s="1"/>
      <c r="C3189" s="1"/>
      <c r="D3189" s="1"/>
      <c r="E3189" s="1"/>
      <c r="F3189" s="1"/>
      <c r="G3189" s="1"/>
      <c r="H3189" s="251" t="str">
        <f>"create or replace view "&amp;C3190</f>
        <v>create or replace view vi_sum_pd_stockvalue</v>
      </c>
    </row>
    <row r="3190" spans="1:14" s="7" customFormat="1" ht="18" collapsed="1" thickBot="1" x14ac:dyDescent="0.2">
      <c r="A3190" s="2"/>
      <c r="B3190" s="3" t="s">
        <v>563</v>
      </c>
      <c r="C3190" s="255" t="s">
        <v>691</v>
      </c>
      <c r="D3190" s="255" t="s">
        <v>515</v>
      </c>
      <c r="E3190" s="4" t="s">
        <v>586</v>
      </c>
      <c r="F3190" s="5" t="s">
        <v>567</v>
      </c>
      <c r="G3190" s="6" t="s">
        <v>692</v>
      </c>
      <c r="H3190" s="252" t="str">
        <f>"/* "&amp;E3190&amp;"*/  as "</f>
        <v xml:space="preserve">/* 报表_资管报表_视图-汇总-产品-持仓市值*/  as </v>
      </c>
    </row>
    <row r="3191" spans="1:14" s="7" customFormat="1" ht="18" hidden="1" outlineLevel="1" thickBot="1" x14ac:dyDescent="0.2">
      <c r="A3191" s="2"/>
      <c r="B3191" s="34" t="s">
        <v>570</v>
      </c>
      <c r="C3191" s="18"/>
      <c r="D3191" s="35" t="s">
        <v>568</v>
      </c>
      <c r="E3191" s="18" t="s">
        <v>615</v>
      </c>
      <c r="F3191" s="35"/>
      <c r="G3191" s="19"/>
      <c r="H3191" s="253" t="s">
        <v>474</v>
      </c>
    </row>
    <row r="3192" spans="1:14" s="166" customFormat="1" ht="17.25" hidden="1" customHeight="1" outlineLevel="1" x14ac:dyDescent="0.15">
      <c r="A3192" s="2"/>
      <c r="B3192" s="3" t="s">
        <v>0</v>
      </c>
      <c r="C3192" s="5" t="s">
        <v>1</v>
      </c>
      <c r="D3192" s="5" t="s">
        <v>2</v>
      </c>
      <c r="E3192" s="5"/>
      <c r="F3192" s="5" t="s">
        <v>3</v>
      </c>
      <c r="G3192" s="36" t="s">
        <v>4</v>
      </c>
      <c r="H3192" s="254" t="str">
        <f t="shared" ref="H3192:H3204" si="21">"ifnull("&amp;IF(I3192&lt;&gt;"",I3192,IF(F3193&lt;&gt;"",F3193,"t")&amp;"."&amp;C3193)&amp;","&amp;E3193&amp;") as "&amp;C3193&amp;",/*"&amp;B3193&amp;"*/"</f>
        <v>ifnull(t.init_date,date_format(curdate(),'%Y%m%d')) as init_date,/*初始化日期*/</v>
      </c>
    </row>
    <row r="3193" spans="1:14" s="166" customFormat="1" ht="17.25" hidden="1" customHeight="1" outlineLevel="1" x14ac:dyDescent="0.15">
      <c r="B3193" s="167" t="s">
        <v>22</v>
      </c>
      <c r="C3193" s="168" t="s">
        <v>1127</v>
      </c>
      <c r="D3193" s="168" t="s">
        <v>211</v>
      </c>
      <c r="E3193" s="168" t="s">
        <v>1141</v>
      </c>
      <c r="F3193" s="168" t="s">
        <v>440</v>
      </c>
      <c r="G3193" s="169" t="s">
        <v>1162</v>
      </c>
      <c r="H3193" s="254" t="str">
        <f t="shared" si="21"/>
        <v>ifnull(t.co_no,0) as co_no,/*机构编号*/</v>
      </c>
    </row>
    <row r="3194" spans="1:14" s="166" customFormat="1" ht="17.25" hidden="1" customHeight="1" outlineLevel="1" x14ac:dyDescent="0.15">
      <c r="B3194" s="226" t="s">
        <v>109</v>
      </c>
      <c r="C3194" s="227" t="s">
        <v>1163</v>
      </c>
      <c r="D3194" s="227" t="s">
        <v>211</v>
      </c>
      <c r="E3194" s="227">
        <v>0</v>
      </c>
      <c r="F3194" s="227"/>
      <c r="G3194" s="228" t="s">
        <v>1077</v>
      </c>
      <c r="H3194" s="254" t="str">
        <f t="shared" si="21"/>
        <v>ifnull(t.pd_no,0) as pd_no,/*产品编号*/</v>
      </c>
    </row>
    <row r="3195" spans="1:14" s="7" customFormat="1" hidden="1" outlineLevel="1" x14ac:dyDescent="0.15">
      <c r="A3195" s="166"/>
      <c r="B3195" s="167" t="s">
        <v>111</v>
      </c>
      <c r="C3195" s="168" t="s">
        <v>1164</v>
      </c>
      <c r="D3195" s="168" t="s">
        <v>211</v>
      </c>
      <c r="E3195" s="168">
        <v>0</v>
      </c>
      <c r="F3195" s="168" t="s">
        <v>440</v>
      </c>
      <c r="G3195" s="169" t="s">
        <v>1329</v>
      </c>
      <c r="H3195" s="254" t="str">
        <f t="shared" si="21"/>
        <v>ifnull(sum(t.cost_amt),0) as cost_amt,/*成本金额*/</v>
      </c>
      <c r="I3195" s="7" t="str">
        <f>"sum(t."&amp;C3196&amp;")"</f>
        <v>sum(t.cost_amt)</v>
      </c>
      <c r="J3195" s="7" t="s">
        <v>428</v>
      </c>
      <c r="K3195" s="7" t="s">
        <v>429</v>
      </c>
      <c r="L3195" s="7" t="s">
        <v>430</v>
      </c>
      <c r="M3195" s="7" t="s">
        <v>430</v>
      </c>
      <c r="N3195" s="7">
        <v>1163</v>
      </c>
    </row>
    <row r="3196" spans="1:14" s="7" customFormat="1" hidden="1" outlineLevel="1" x14ac:dyDescent="0.15">
      <c r="A3196" s="2"/>
      <c r="B3196" s="256" t="s">
        <v>116</v>
      </c>
      <c r="C3196" s="192" t="s">
        <v>1213</v>
      </c>
      <c r="D3196" s="192" t="s">
        <v>1169</v>
      </c>
      <c r="E3196" s="192">
        <v>0</v>
      </c>
      <c r="F3196" s="176"/>
      <c r="G3196" s="257"/>
      <c r="H3196" s="254" t="str">
        <f t="shared" si="21"/>
        <v>ifnull(sum(t.realize_pandl),0) as realize_pandl,/*实现盈亏*/</v>
      </c>
      <c r="I3196" s="7" t="str">
        <f>"sum(t."&amp;C3197&amp;")"</f>
        <v>sum(t.realize_pandl)</v>
      </c>
      <c r="J3196" s="7" t="s">
        <v>428</v>
      </c>
      <c r="K3196" s="7" t="s">
        <v>429</v>
      </c>
      <c r="L3196" s="7" t="s">
        <v>430</v>
      </c>
      <c r="M3196" s="7" t="s">
        <v>430</v>
      </c>
      <c r="N3196" s="7">
        <v>2153</v>
      </c>
    </row>
    <row r="3197" spans="1:14" s="7" customFormat="1" hidden="1" outlineLevel="1" x14ac:dyDescent="0.15">
      <c r="A3197" s="2"/>
      <c r="B3197" s="256" t="s">
        <v>12</v>
      </c>
      <c r="C3197" s="192" t="s">
        <v>1143</v>
      </c>
      <c r="D3197" s="192" t="s">
        <v>1169</v>
      </c>
      <c r="E3197" s="192">
        <v>0</v>
      </c>
      <c r="F3197" s="176"/>
      <c r="G3197" s="257"/>
      <c r="H3197" s="254" t="str">
        <f t="shared" si="21"/>
        <v>ifnull(sum(t.intrst_cost_amt),0) as intrst_cost_amt,/*利息成本金额*/</v>
      </c>
      <c r="I3197" s="7" t="str">
        <f>"sum(t."&amp;C3198&amp;")"</f>
        <v>sum(t.intrst_cost_amt)</v>
      </c>
      <c r="J3197" s="7" t="s">
        <v>428</v>
      </c>
      <c r="K3197" s="7" t="s">
        <v>429</v>
      </c>
      <c r="L3197" s="7" t="s">
        <v>430</v>
      </c>
      <c r="M3197" s="7" t="s">
        <v>430</v>
      </c>
      <c r="N3197" s="7">
        <v>1852</v>
      </c>
    </row>
    <row r="3198" spans="1:14" s="7" customFormat="1" hidden="1" outlineLevel="1" x14ac:dyDescent="0.15">
      <c r="A3198" s="2"/>
      <c r="B3198" s="256" t="s">
        <v>13</v>
      </c>
      <c r="C3198" s="192" t="s">
        <v>1205</v>
      </c>
      <c r="D3198" s="192" t="s">
        <v>1169</v>
      </c>
      <c r="E3198" s="192">
        <v>0</v>
      </c>
      <c r="F3198" s="176"/>
      <c r="G3198" s="257"/>
      <c r="H3198" s="254" t="str">
        <f t="shared" si="21"/>
        <v>ifnull(sum(t.intrst_pandl),0) as intrst_pandl,/*利息收益*/</v>
      </c>
      <c r="I3198" s="7" t="str">
        <f>"sum(t."&amp;C3199&amp;")"</f>
        <v>sum(t.intrst_pandl)</v>
      </c>
      <c r="J3198" s="7" t="s">
        <v>428</v>
      </c>
      <c r="K3198" s="7" t="s">
        <v>429</v>
      </c>
      <c r="L3198" s="7" t="s">
        <v>430</v>
      </c>
      <c r="M3198" s="7" t="s">
        <v>430</v>
      </c>
      <c r="N3198" s="7">
        <v>1857</v>
      </c>
    </row>
    <row r="3199" spans="1:14" hidden="1" outlineLevel="1" x14ac:dyDescent="0.15">
      <c r="A3199" s="2"/>
      <c r="B3199" s="256" t="s">
        <v>14</v>
      </c>
      <c r="C3199" s="192" t="s">
        <v>1206</v>
      </c>
      <c r="D3199" s="192" t="s">
        <v>1169</v>
      </c>
      <c r="E3199" s="192">
        <v>0</v>
      </c>
      <c r="F3199" s="176"/>
      <c r="G3199" s="257"/>
      <c r="H3199" s="254" t="str">
        <f t="shared" si="21"/>
        <v>ifnull(sum(ifnull(t.posi_market_value,0)),0) as posi_market_value,/*持仓市值*/</v>
      </c>
      <c r="I3199" s="1" t="s">
        <v>446</v>
      </c>
      <c r="J3199" s="1" t="s">
        <v>428</v>
      </c>
      <c r="K3199" s="1" t="s">
        <v>429</v>
      </c>
      <c r="L3199" s="1" t="s">
        <v>430</v>
      </c>
      <c r="M3199" s="1" t="s">
        <v>430</v>
      </c>
      <c r="N3199" s="1">
        <v>1202</v>
      </c>
    </row>
    <row r="3200" spans="1:14" hidden="1" outlineLevel="1" x14ac:dyDescent="0.15">
      <c r="B3200" s="258" t="s">
        <v>432</v>
      </c>
      <c r="C3200" s="259" t="s">
        <v>1489</v>
      </c>
      <c r="D3200" s="259" t="s">
        <v>1331</v>
      </c>
      <c r="E3200" s="259">
        <v>0</v>
      </c>
      <c r="F3200" s="259"/>
      <c r="G3200" s="260"/>
      <c r="H3200" s="254" t="str">
        <f t="shared" si="21"/>
        <v>ifnull(sum(ifnull(t.posi_market_value,0)-ifnull(t.cost_amt,0)),0) as float_pandl,/*浮动盈亏*/</v>
      </c>
      <c r="I3200" s="1" t="s">
        <v>448</v>
      </c>
      <c r="J3200" s="1" t="s">
        <v>428</v>
      </c>
      <c r="K3200" s="1" t="s">
        <v>429</v>
      </c>
      <c r="L3200" s="1" t="s">
        <v>430</v>
      </c>
      <c r="M3200" s="1" t="s">
        <v>430</v>
      </c>
      <c r="N3200" s="1">
        <v>1461</v>
      </c>
    </row>
    <row r="3201" spans="1:14" s="166" customFormat="1" ht="17.25" hidden="1" customHeight="1" outlineLevel="1" x14ac:dyDescent="0.15">
      <c r="A3201" s="1"/>
      <c r="B3201" s="258" t="s">
        <v>445</v>
      </c>
      <c r="C3201" s="259" t="s">
        <v>1490</v>
      </c>
      <c r="D3201" s="259" t="s">
        <v>1331</v>
      </c>
      <c r="E3201" s="259">
        <v>0</v>
      </c>
      <c r="F3201" s="259"/>
      <c r="G3201" s="260"/>
      <c r="H3201" s="254" t="str">
        <f t="shared" si="21"/>
        <v>ifnull(SUM(IF (t.exch_no = 1,t.stock_asset_value,0)),0) as market_value_sh,/*当前沪市市值*/</v>
      </c>
      <c r="I3201" s="166" t="s">
        <v>534</v>
      </c>
    </row>
    <row r="3202" spans="1:14" s="166" customFormat="1" ht="17.25" hidden="1" customHeight="1" outlineLevel="1" x14ac:dyDescent="0.15">
      <c r="B3202" s="194" t="s">
        <v>538</v>
      </c>
      <c r="C3202" s="168" t="s">
        <v>1491</v>
      </c>
      <c r="D3202" s="168" t="s">
        <v>1169</v>
      </c>
      <c r="E3202" s="259">
        <v>0</v>
      </c>
      <c r="F3202" s="168"/>
      <c r="G3202" s="169" t="s">
        <v>1492</v>
      </c>
      <c r="H3202" s="254" t="str">
        <f t="shared" si="21"/>
        <v>ifnull(SUM(IF (t.exch_no = 2,t.stock_asset_value,0)),0) as market_value_sz,/*当前深市市值*/</v>
      </c>
      <c r="I3202" s="166" t="s">
        <v>537</v>
      </c>
    </row>
    <row r="3203" spans="1:14" s="166" customFormat="1" ht="17.25" hidden="1" customHeight="1" outlineLevel="1" x14ac:dyDescent="0.15">
      <c r="B3203" s="167" t="s">
        <v>539</v>
      </c>
      <c r="C3203" s="168" t="s">
        <v>1493</v>
      </c>
      <c r="D3203" s="168" t="s">
        <v>1169</v>
      </c>
      <c r="E3203" s="259">
        <v>0</v>
      </c>
      <c r="F3203" s="168"/>
      <c r="G3203" s="169" t="s">
        <v>1494</v>
      </c>
      <c r="H3203" s="254" t="str">
        <f t="shared" si="21"/>
        <v>ifnull(SUM(IF (t.exch_no = 1 and t.stock_type = 1,t.stock_asset_value,0)),0) as stock_market_value_sh,/*沪市股票市值*/</v>
      </c>
      <c r="I3203" s="166" t="s">
        <v>535</v>
      </c>
    </row>
    <row r="3204" spans="1:14" s="166" customFormat="1" ht="17.25" hidden="1" customHeight="1" outlineLevel="1" x14ac:dyDescent="0.15">
      <c r="B3204" s="167" t="s">
        <v>533</v>
      </c>
      <c r="C3204" s="168" t="s">
        <v>1495</v>
      </c>
      <c r="D3204" s="168" t="s">
        <v>1169</v>
      </c>
      <c r="E3204" s="259">
        <v>0</v>
      </c>
      <c r="F3204" s="168"/>
      <c r="G3204" s="169"/>
      <c r="H3204" s="254" t="str">
        <f t="shared" si="21"/>
        <v>ifnull(SUM(IF (t.exch_no = 2 and t.stock_type = 1,t.stock_asset_value,0)),0) as stock_market_value_sz,/*深市股票市值*/</v>
      </c>
      <c r="I3204" s="166" t="s">
        <v>536</v>
      </c>
    </row>
    <row r="3205" spans="1:14" ht="18" hidden="1" outlineLevel="1" thickBot="1" x14ac:dyDescent="0.2">
      <c r="A3205" s="166"/>
      <c r="B3205" s="261" t="s">
        <v>532</v>
      </c>
      <c r="C3205" s="262" t="s">
        <v>1496</v>
      </c>
      <c r="D3205" s="262" t="s">
        <v>1169</v>
      </c>
      <c r="E3205" s="263">
        <v>0</v>
      </c>
      <c r="F3205" s="262"/>
      <c r="G3205" s="264"/>
    </row>
    <row r="3206" spans="1:14" hidden="1" outlineLevel="1" x14ac:dyDescent="0.15">
      <c r="B3206" s="327" t="s">
        <v>15</v>
      </c>
      <c r="C3206" s="328"/>
      <c r="D3206" s="328"/>
      <c r="E3206" s="328"/>
      <c r="F3206" s="328"/>
      <c r="G3206" s="329"/>
    </row>
    <row r="3207" spans="1:14" hidden="1" outlineLevel="1" x14ac:dyDescent="0.15">
      <c r="B3207" s="20"/>
      <c r="C3207" s="23"/>
      <c r="D3207" s="21"/>
      <c r="E3207" s="21"/>
      <c r="F3207" s="21"/>
      <c r="G3207" s="22"/>
    </row>
    <row r="3208" spans="1:14" hidden="1" outlineLevel="1" x14ac:dyDescent="0.15">
      <c r="B3208" s="20"/>
      <c r="C3208" s="23"/>
      <c r="D3208" s="21"/>
      <c r="E3208" s="21"/>
      <c r="F3208" s="21"/>
      <c r="G3208" s="22"/>
    </row>
    <row r="3209" spans="1:14" ht="18" hidden="1" outlineLevel="1" thickBot="1" x14ac:dyDescent="0.2">
      <c r="B3209" s="24"/>
      <c r="C3209" s="9"/>
      <c r="D3209" s="9"/>
      <c r="E3209" s="9"/>
      <c r="F3209" s="9"/>
      <c r="G3209" s="11"/>
    </row>
    <row r="3210" spans="1:14" s="7" customFormat="1" ht="18" hidden="1" outlineLevel="1" thickBot="1" x14ac:dyDescent="0.2">
      <c r="A3210" s="1"/>
      <c r="B3210" s="1"/>
      <c r="C3210" s="1"/>
      <c r="D3210" s="1"/>
      <c r="E3210" s="1"/>
      <c r="F3210" s="1"/>
      <c r="G3210" s="1"/>
      <c r="H3210" s="251" t="str">
        <f>"create or replace view "&amp;C3211</f>
        <v>create or replace view vi_sum_exgp_stockvalue</v>
      </c>
    </row>
    <row r="3211" spans="1:14" s="7" customFormat="1" ht="18" collapsed="1" thickBot="1" x14ac:dyDescent="0.2">
      <c r="A3211" s="2"/>
      <c r="B3211" s="3" t="s">
        <v>563</v>
      </c>
      <c r="C3211" s="4" t="s">
        <v>693</v>
      </c>
      <c r="D3211" s="5" t="s">
        <v>515</v>
      </c>
      <c r="E3211" s="4" t="s">
        <v>734</v>
      </c>
      <c r="F3211" s="5" t="s">
        <v>567</v>
      </c>
      <c r="G3211" s="6" t="s">
        <v>694</v>
      </c>
      <c r="H3211" s="252" t="str">
        <f>"# "&amp;E3211</f>
        <v># 报表_资管报表_视图-汇总-交易组-持仓市值</v>
      </c>
    </row>
    <row r="3212" spans="1:14" s="7" customFormat="1" ht="18" hidden="1" outlineLevel="1" thickBot="1" x14ac:dyDescent="0.2">
      <c r="A3212" s="2"/>
      <c r="B3212" s="34" t="s">
        <v>570</v>
      </c>
      <c r="C3212" s="18"/>
      <c r="D3212" s="35" t="s">
        <v>568</v>
      </c>
      <c r="E3212" s="18" t="s">
        <v>615</v>
      </c>
      <c r="F3212" s="35"/>
      <c r="G3212" s="19" t="s">
        <v>467</v>
      </c>
      <c r="H3212" s="253" t="s">
        <v>283</v>
      </c>
    </row>
    <row r="3213" spans="1:14" hidden="1" outlineLevel="1" x14ac:dyDescent="0.15">
      <c r="A3213" s="2"/>
      <c r="B3213" s="3" t="s">
        <v>0</v>
      </c>
      <c r="C3213" s="5" t="s">
        <v>1</v>
      </c>
      <c r="D3213" s="5" t="s">
        <v>2</v>
      </c>
      <c r="E3213" s="5"/>
      <c r="F3213" s="5" t="s">
        <v>3</v>
      </c>
      <c r="G3213" s="36" t="s">
        <v>4</v>
      </c>
      <c r="H3213" s="254" t="str">
        <f t="shared" ref="H3213:H3222" si="22">"ifnull("&amp;IF(I3213&lt;&gt;"",I3213,IF(F3214&lt;&gt;"",F3214,"t")&amp;"."&amp;C3214)&amp;","&amp;E3214&amp;") as "&amp;C3214&amp;",/*"&amp;B3214&amp;"*/"</f>
        <v>ifnull(t.init_date,date_format(curdate(),'%Y%m%d')) as init_date,/*初始化日期*/</v>
      </c>
      <c r="J3213" s="1" t="s">
        <v>424</v>
      </c>
      <c r="K3213" s="1" t="s">
        <v>425</v>
      </c>
      <c r="L3213" s="1" t="s">
        <v>423</v>
      </c>
      <c r="M3213" s="1" t="s">
        <v>423</v>
      </c>
      <c r="N3213" s="1">
        <v>1211</v>
      </c>
    </row>
    <row r="3214" spans="1:14" hidden="1" outlineLevel="1" x14ac:dyDescent="0.15">
      <c r="B3214" s="265" t="s">
        <v>422</v>
      </c>
      <c r="C3214" s="176" t="s">
        <v>1123</v>
      </c>
      <c r="D3214" s="176" t="s">
        <v>423</v>
      </c>
      <c r="E3214" s="176" t="s">
        <v>1141</v>
      </c>
      <c r="F3214" s="176"/>
      <c r="G3214" s="266" t="s">
        <v>1162</v>
      </c>
      <c r="H3214" s="254" t="str">
        <f t="shared" si="22"/>
        <v>ifnull(t.co_no,0) as co_no,/*机构编号*/</v>
      </c>
      <c r="J3214" s="1" t="s">
        <v>424</v>
      </c>
      <c r="K3214" s="1" t="s">
        <v>425</v>
      </c>
      <c r="L3214" s="1" t="s">
        <v>423</v>
      </c>
      <c r="M3214" s="1" t="s">
        <v>423</v>
      </c>
      <c r="N3214" s="1">
        <v>1606</v>
      </c>
    </row>
    <row r="3215" spans="1:14" hidden="1" outlineLevel="1" x14ac:dyDescent="0.15">
      <c r="B3215" s="265" t="s">
        <v>426</v>
      </c>
      <c r="C3215" s="176" t="s">
        <v>1093</v>
      </c>
      <c r="D3215" s="176" t="s">
        <v>423</v>
      </c>
      <c r="E3215" s="176">
        <v>0</v>
      </c>
      <c r="F3215" s="176"/>
      <c r="G3215" s="266" t="s">
        <v>1077</v>
      </c>
      <c r="H3215" s="254" t="str">
        <f t="shared" si="22"/>
        <v>ifnull(t.pd_no,0) as pd_no,/*产品编号*/</v>
      </c>
    </row>
    <row r="3216" spans="1:14" hidden="1" outlineLevel="1" x14ac:dyDescent="0.15">
      <c r="B3216" s="265" t="s">
        <v>111</v>
      </c>
      <c r="C3216" s="176" t="s">
        <v>1164</v>
      </c>
      <c r="D3216" s="176" t="s">
        <v>211</v>
      </c>
      <c r="E3216" s="176">
        <v>0</v>
      </c>
      <c r="F3216" s="176"/>
      <c r="G3216" s="266" t="s">
        <v>1165</v>
      </c>
      <c r="H3216" s="254" t="str">
        <f t="shared" si="22"/>
        <v>ifnull(t.exch_group_no,0) as exch_group_no,/*交易组编号*/</v>
      </c>
    </row>
    <row r="3217" spans="1:14" s="7" customFormat="1" hidden="1" outlineLevel="1" x14ac:dyDescent="0.15">
      <c r="A3217" s="1"/>
      <c r="B3217" s="265" t="s">
        <v>123</v>
      </c>
      <c r="C3217" s="176" t="s">
        <v>1133</v>
      </c>
      <c r="D3217" s="176" t="s">
        <v>211</v>
      </c>
      <c r="E3217" s="176">
        <v>0</v>
      </c>
      <c r="F3217" s="176"/>
      <c r="G3217" s="266" t="s">
        <v>1182</v>
      </c>
      <c r="H3217" s="254" t="str">
        <f t="shared" si="22"/>
        <v>ifnull(sum(t.cost_amt),0) as cost_amt,/*成本金额*/</v>
      </c>
      <c r="I3217" s="7" t="str">
        <f>"sum(t."&amp;C3218&amp;")"</f>
        <v>sum(t.cost_amt)</v>
      </c>
      <c r="J3217" s="7" t="s">
        <v>428</v>
      </c>
      <c r="K3217" s="7" t="s">
        <v>429</v>
      </c>
      <c r="L3217" s="7" t="s">
        <v>430</v>
      </c>
      <c r="M3217" s="7" t="s">
        <v>430</v>
      </c>
      <c r="N3217" s="7">
        <v>1163</v>
      </c>
    </row>
    <row r="3218" spans="1:14" s="7" customFormat="1" hidden="1" outlineLevel="1" x14ac:dyDescent="0.15">
      <c r="A3218" s="2"/>
      <c r="B3218" s="256" t="s">
        <v>116</v>
      </c>
      <c r="C3218" s="192" t="s">
        <v>1213</v>
      </c>
      <c r="D3218" s="192" t="s">
        <v>1169</v>
      </c>
      <c r="E3218" s="192">
        <v>0</v>
      </c>
      <c r="F3218" s="176"/>
      <c r="G3218" s="257"/>
      <c r="H3218" s="254" t="str">
        <f t="shared" si="22"/>
        <v>ifnull(sum(t.realize_pandl),0) as realize_pandl,/*实现盈亏*/</v>
      </c>
      <c r="I3218" s="7" t="str">
        <f>"sum(t."&amp;C3219&amp;")"</f>
        <v>sum(t.realize_pandl)</v>
      </c>
      <c r="J3218" s="7" t="s">
        <v>428</v>
      </c>
      <c r="K3218" s="7" t="s">
        <v>429</v>
      </c>
      <c r="L3218" s="7" t="s">
        <v>430</v>
      </c>
      <c r="M3218" s="7" t="s">
        <v>430</v>
      </c>
      <c r="N3218" s="7">
        <v>2153</v>
      </c>
    </row>
    <row r="3219" spans="1:14" s="7" customFormat="1" hidden="1" outlineLevel="1" x14ac:dyDescent="0.15">
      <c r="A3219" s="2"/>
      <c r="B3219" s="256" t="s">
        <v>12</v>
      </c>
      <c r="C3219" s="192" t="s">
        <v>1143</v>
      </c>
      <c r="D3219" s="192" t="s">
        <v>1169</v>
      </c>
      <c r="E3219" s="192">
        <v>0</v>
      </c>
      <c r="F3219" s="176"/>
      <c r="G3219" s="257"/>
      <c r="H3219" s="254" t="str">
        <f t="shared" si="22"/>
        <v>ifnull(sum(t.intrst_cost_amt),0) as intrst_cost_amt,/*利息成本金额*/</v>
      </c>
      <c r="I3219" s="7" t="str">
        <f>"sum(t."&amp;C3220&amp;")"</f>
        <v>sum(t.intrst_cost_amt)</v>
      </c>
      <c r="J3219" s="7" t="s">
        <v>428</v>
      </c>
      <c r="K3219" s="7" t="s">
        <v>429</v>
      </c>
      <c r="L3219" s="7" t="s">
        <v>430</v>
      </c>
      <c r="M3219" s="7" t="s">
        <v>430</v>
      </c>
      <c r="N3219" s="7">
        <v>1852</v>
      </c>
    </row>
    <row r="3220" spans="1:14" s="7" customFormat="1" hidden="1" outlineLevel="1" x14ac:dyDescent="0.15">
      <c r="A3220" s="2"/>
      <c r="B3220" s="256" t="s">
        <v>13</v>
      </c>
      <c r="C3220" s="192" t="s">
        <v>1205</v>
      </c>
      <c r="D3220" s="192" t="s">
        <v>1169</v>
      </c>
      <c r="E3220" s="192">
        <v>0</v>
      </c>
      <c r="F3220" s="176"/>
      <c r="G3220" s="257"/>
      <c r="H3220" s="254" t="str">
        <f t="shared" si="22"/>
        <v>ifnull(sum(t.intrst_pandl),0) as intrst_pandl,/*利息收益*/</v>
      </c>
      <c r="I3220" s="7" t="str">
        <f>"sum(t."&amp;C3221&amp;")"</f>
        <v>sum(t.intrst_pandl)</v>
      </c>
      <c r="J3220" s="7" t="s">
        <v>428</v>
      </c>
      <c r="K3220" s="7" t="s">
        <v>429</v>
      </c>
      <c r="L3220" s="7" t="s">
        <v>430</v>
      </c>
      <c r="M3220" s="7" t="s">
        <v>430</v>
      </c>
      <c r="N3220" s="7">
        <v>1857</v>
      </c>
    </row>
    <row r="3221" spans="1:14" hidden="1" outlineLevel="1" x14ac:dyDescent="0.15">
      <c r="A3221" s="2"/>
      <c r="B3221" s="256" t="s">
        <v>14</v>
      </c>
      <c r="C3221" s="192" t="s">
        <v>1206</v>
      </c>
      <c r="D3221" s="192" t="s">
        <v>1169</v>
      </c>
      <c r="E3221" s="192">
        <v>0</v>
      </c>
      <c r="F3221" s="176"/>
      <c r="G3221" s="257"/>
      <c r="H3221" s="254" t="str">
        <f t="shared" si="22"/>
        <v>ifnull(sum(ifnull(t.posi_market_value,0)),0) as posi_market_value,/*持仓市值*/</v>
      </c>
      <c r="I3221" s="1" t="s">
        <v>446</v>
      </c>
      <c r="J3221" s="1" t="s">
        <v>428</v>
      </c>
      <c r="K3221" s="1" t="s">
        <v>429</v>
      </c>
      <c r="L3221" s="1" t="s">
        <v>430</v>
      </c>
      <c r="M3221" s="1" t="s">
        <v>430</v>
      </c>
      <c r="N3221" s="1">
        <v>1202</v>
      </c>
    </row>
    <row r="3222" spans="1:14" hidden="1" outlineLevel="1" x14ac:dyDescent="0.15">
      <c r="B3222" s="258" t="s">
        <v>432</v>
      </c>
      <c r="C3222" s="259" t="s">
        <v>1489</v>
      </c>
      <c r="D3222" s="259" t="s">
        <v>1331</v>
      </c>
      <c r="E3222" s="259">
        <v>0</v>
      </c>
      <c r="F3222" s="259"/>
      <c r="G3222" s="260"/>
      <c r="H3222" s="254" t="str">
        <f t="shared" si="22"/>
        <v>ifnull(sum(ifnull(t.posi_market_value,0)-ifnull(t.cost_amt,0)),0) as float_pandl,/*浮动盈亏*/</v>
      </c>
      <c r="I3222" s="1" t="s">
        <v>448</v>
      </c>
      <c r="J3222" s="1" t="s">
        <v>428</v>
      </c>
      <c r="K3222" s="1" t="s">
        <v>429</v>
      </c>
      <c r="L3222" s="1" t="s">
        <v>430</v>
      </c>
      <c r="M3222" s="1" t="s">
        <v>430</v>
      </c>
      <c r="N3222" s="1">
        <v>1461</v>
      </c>
    </row>
    <row r="3223" spans="1:14" s="7" customFormat="1" hidden="1" outlineLevel="1" x14ac:dyDescent="0.15">
      <c r="A3223" s="1"/>
      <c r="B3223" s="258" t="s">
        <v>445</v>
      </c>
      <c r="C3223" s="259" t="s">
        <v>1490</v>
      </c>
      <c r="D3223" s="259" t="s">
        <v>1331</v>
      </c>
      <c r="E3223" s="259">
        <v>0</v>
      </c>
      <c r="F3223" s="259"/>
      <c r="G3223" s="260"/>
      <c r="H3223" s="254"/>
    </row>
    <row r="3224" spans="1:14" s="7" customFormat="1" ht="18" hidden="1" outlineLevel="1" thickBot="1" x14ac:dyDescent="0.2">
      <c r="A3224" s="2"/>
      <c r="B3224" s="24"/>
      <c r="C3224" s="9"/>
      <c r="D3224" s="9"/>
      <c r="E3224" s="9"/>
      <c r="F3224" s="9"/>
      <c r="G3224" s="11"/>
      <c r="H3224" s="254"/>
    </row>
    <row r="3225" spans="1:14" s="7" customFormat="1" hidden="1" outlineLevel="1" x14ac:dyDescent="0.15">
      <c r="A3225" s="2"/>
      <c r="B3225" s="327" t="s">
        <v>15</v>
      </c>
      <c r="C3225" s="328"/>
      <c r="D3225" s="328"/>
      <c r="E3225" s="328"/>
      <c r="F3225" s="328"/>
      <c r="G3225" s="329"/>
      <c r="H3225" s="254"/>
    </row>
    <row r="3226" spans="1:14" s="7" customFormat="1" hidden="1" outlineLevel="1" x14ac:dyDescent="0.15">
      <c r="A3226" s="2"/>
      <c r="B3226" s="20"/>
      <c r="C3226" s="23"/>
      <c r="D3226" s="21"/>
      <c r="E3226" s="21"/>
      <c r="F3226" s="21"/>
      <c r="G3226" s="22"/>
      <c r="H3226" s="254"/>
    </row>
    <row r="3227" spans="1:14" s="7" customFormat="1" hidden="1" outlineLevel="1" x14ac:dyDescent="0.15">
      <c r="A3227" s="2"/>
      <c r="B3227" s="20"/>
      <c r="C3227" s="23"/>
      <c r="D3227" s="21"/>
      <c r="E3227" s="21"/>
      <c r="F3227" s="21"/>
      <c r="G3227" s="22"/>
    </row>
    <row r="3228" spans="1:14" ht="18" hidden="1" outlineLevel="1" thickBot="1" x14ac:dyDescent="0.2">
      <c r="A3228" s="2"/>
      <c r="B3228" s="24"/>
      <c r="C3228" s="9"/>
      <c r="D3228" s="9"/>
      <c r="E3228" s="9"/>
      <c r="F3228" s="9"/>
      <c r="G3228" s="11"/>
      <c r="H3228" s="7"/>
    </row>
    <row r="3229" spans="1:14" s="7" customFormat="1" ht="18" hidden="1" outlineLevel="1" thickBot="1" x14ac:dyDescent="0.2">
      <c r="A3229" s="1"/>
      <c r="B3229" s="1"/>
      <c r="C3229" s="1"/>
      <c r="D3229" s="1"/>
      <c r="E3229" s="1"/>
      <c r="F3229" s="1"/>
      <c r="G3229" s="1"/>
      <c r="H3229" s="6" t="str">
        <f>"create or replace view "&amp;C3230</f>
        <v>create or replace view vi_sum_co_stock_strike</v>
      </c>
    </row>
    <row r="3230" spans="1:14" s="7" customFormat="1" ht="18" collapsed="1" thickBot="1" x14ac:dyDescent="0.2">
      <c r="A3230" s="2"/>
      <c r="B3230" s="3" t="s">
        <v>563</v>
      </c>
      <c r="C3230" s="4" t="s">
        <v>1069</v>
      </c>
      <c r="D3230" s="5" t="s">
        <v>515</v>
      </c>
      <c r="E3230" s="21" t="s">
        <v>1068</v>
      </c>
      <c r="F3230" s="5" t="s">
        <v>567</v>
      </c>
      <c r="G3230" s="6" t="s">
        <v>554</v>
      </c>
      <c r="H3230" s="11" t="str">
        <f>"/* "&amp;E3230&amp;"*/  as "</f>
        <v xml:space="preserve">/* 报表_资管报表_视图-汇总-机构-证券-成交*/  as </v>
      </c>
    </row>
    <row r="3231" spans="1:14" s="7" customFormat="1" ht="18" hidden="1" outlineLevel="1" thickBot="1" x14ac:dyDescent="0.2">
      <c r="A3231" s="2"/>
      <c r="B3231" s="34" t="s">
        <v>570</v>
      </c>
      <c r="C3231" s="18"/>
      <c r="D3231" s="35" t="s">
        <v>568</v>
      </c>
      <c r="E3231" s="18" t="s">
        <v>615</v>
      </c>
      <c r="F3231" s="35"/>
      <c r="G3231" s="147" t="s">
        <v>421</v>
      </c>
      <c r="H3231" s="13" t="s">
        <v>474</v>
      </c>
    </row>
    <row r="3232" spans="1:14" hidden="1" outlineLevel="1" x14ac:dyDescent="0.15">
      <c r="A3232" s="2"/>
      <c r="B3232" s="3" t="s">
        <v>0</v>
      </c>
      <c r="C3232" s="5" t="s">
        <v>1</v>
      </c>
      <c r="D3232" s="5" t="s">
        <v>2</v>
      </c>
      <c r="E3232" s="5"/>
      <c r="F3232" s="5" t="s">
        <v>3</v>
      </c>
      <c r="G3232" s="36" t="s">
        <v>4</v>
      </c>
      <c r="H3232" s="107" t="str">
        <f t="shared" ref="H3232:H3253" si="23">"ifnull("&amp;IF(I3232&lt;&gt;"",I3232,IF(F3233&lt;&gt;"",F3233,"t")&amp;"."&amp;C3233)&amp;","&amp;E3233&amp;") as "&amp;C3233&amp;",/*"&amp;B3233&amp;"*/"</f>
        <v>ifnull(t.init_date,date_format(curdate(),'%Y%m%d')) as init_date,/*初始化日期*/</v>
      </c>
      <c r="J3232" s="1" t="s">
        <v>424</v>
      </c>
      <c r="K3232" s="1" t="s">
        <v>425</v>
      </c>
      <c r="L3232" s="1" t="s">
        <v>423</v>
      </c>
      <c r="M3232" s="1" t="s">
        <v>423</v>
      </c>
      <c r="N3232" s="1">
        <v>1211</v>
      </c>
    </row>
    <row r="3233" spans="1:14" hidden="1" outlineLevel="1" x14ac:dyDescent="0.15">
      <c r="B3233" s="176" t="s">
        <v>422</v>
      </c>
      <c r="C3233" s="176" t="s">
        <v>1123</v>
      </c>
      <c r="D3233" s="176" t="s">
        <v>423</v>
      </c>
      <c r="E3233" s="176" t="s">
        <v>1141</v>
      </c>
      <c r="F3233" s="176"/>
      <c r="G3233" s="176" t="s">
        <v>1162</v>
      </c>
      <c r="H3233" s="107" t="str">
        <f t="shared" si="23"/>
        <v>ifnull(t.co_no,0) as co_no,/*机构编号*/</v>
      </c>
      <c r="J3233" s="1" t="s">
        <v>424</v>
      </c>
      <c r="K3233" s="1" t="s">
        <v>425</v>
      </c>
      <c r="L3233" s="1" t="s">
        <v>423</v>
      </c>
      <c r="M3233" s="1" t="s">
        <v>423</v>
      </c>
      <c r="N3233" s="1">
        <v>1606</v>
      </c>
    </row>
    <row r="3234" spans="1:14" hidden="1" outlineLevel="1" x14ac:dyDescent="0.15">
      <c r="B3234" s="176" t="s">
        <v>426</v>
      </c>
      <c r="C3234" s="176" t="s">
        <v>1093</v>
      </c>
      <c r="D3234" s="176" t="s">
        <v>423</v>
      </c>
      <c r="E3234" s="176">
        <v>0</v>
      </c>
      <c r="F3234" s="176"/>
      <c r="G3234" s="176" t="s">
        <v>1077</v>
      </c>
      <c r="H3234" s="107" t="str">
        <f t="shared" si="23"/>
        <v>ifnull(t.exch_no,0) as exch_no,/*市场编号*/</v>
      </c>
      <c r="J3234" s="1" t="s">
        <v>424</v>
      </c>
      <c r="K3234" s="1" t="s">
        <v>425</v>
      </c>
      <c r="L3234" s="1" t="s">
        <v>423</v>
      </c>
      <c r="M3234" s="1" t="s">
        <v>423</v>
      </c>
      <c r="N3234" s="1">
        <v>2155</v>
      </c>
    </row>
    <row r="3235" spans="1:14" hidden="1" outlineLevel="1" x14ac:dyDescent="0.15">
      <c r="B3235" s="176" t="s">
        <v>7</v>
      </c>
      <c r="C3235" s="176" t="s">
        <v>1486</v>
      </c>
      <c r="D3235" s="176" t="s">
        <v>423</v>
      </c>
      <c r="E3235" s="176">
        <v>0</v>
      </c>
      <c r="F3235" s="176"/>
      <c r="G3235" s="176" t="s">
        <v>1081</v>
      </c>
      <c r="H3235" s="107" t="str">
        <f t="shared" si="23"/>
        <v>ifnull(t.stock_code_no,0) as stock_code_no,/*证券代码编号*/</v>
      </c>
      <c r="J3235" s="1" t="s">
        <v>424</v>
      </c>
      <c r="K3235" s="1" t="s">
        <v>425</v>
      </c>
      <c r="L3235" s="1" t="s">
        <v>423</v>
      </c>
      <c r="M3235" s="1" t="s">
        <v>423</v>
      </c>
      <c r="N3235" s="1">
        <v>2430</v>
      </c>
    </row>
    <row r="3236" spans="1:14" s="7" customFormat="1" hidden="1" outlineLevel="1" x14ac:dyDescent="0.15">
      <c r="A3236" s="1"/>
      <c r="B3236" s="176" t="s">
        <v>427</v>
      </c>
      <c r="C3236" s="176" t="s">
        <v>1487</v>
      </c>
      <c r="D3236" s="176" t="s">
        <v>423</v>
      </c>
      <c r="E3236" s="176">
        <v>0</v>
      </c>
      <c r="F3236" s="176"/>
      <c r="G3236" s="176"/>
      <c r="H3236" s="107" t="str">
        <f t="shared" si="23"/>
        <v>ifnull(t.stock_type,0) as stock_type,/*证券类型*/</v>
      </c>
      <c r="J3236" s="7" t="s">
        <v>424</v>
      </c>
      <c r="K3236" s="7" t="s">
        <v>425</v>
      </c>
      <c r="L3236" s="7" t="s">
        <v>423</v>
      </c>
      <c r="M3236" s="7" t="s">
        <v>423</v>
      </c>
      <c r="N3236" s="7">
        <v>2433</v>
      </c>
    </row>
    <row r="3237" spans="1:14" s="7" customFormat="1" hidden="1" outlineLevel="1" x14ac:dyDescent="0.15">
      <c r="A3237" s="2"/>
      <c r="B3237" s="176" t="s">
        <v>93</v>
      </c>
      <c r="C3237" s="176" t="s">
        <v>1189</v>
      </c>
      <c r="D3237" s="176" t="s">
        <v>211</v>
      </c>
      <c r="E3237" s="176">
        <v>0</v>
      </c>
      <c r="F3237" s="176"/>
      <c r="G3237" s="176"/>
      <c r="H3237" s="107" t="str">
        <f t="shared" si="23"/>
        <v>ifnull(t.asset_type,0) as asset_type,/*资产类型*/</v>
      </c>
      <c r="J3237" s="7" t="s">
        <v>424</v>
      </c>
      <c r="K3237" s="7" t="s">
        <v>425</v>
      </c>
      <c r="L3237" s="7" t="s">
        <v>423</v>
      </c>
      <c r="M3237" s="7" t="s">
        <v>423</v>
      </c>
      <c r="N3237" s="7">
        <v>2528</v>
      </c>
    </row>
    <row r="3238" spans="1:14" s="7" customFormat="1" hidden="1" outlineLevel="1" x14ac:dyDescent="0.15">
      <c r="A3238" s="2"/>
      <c r="B3238" s="176" t="s">
        <v>41</v>
      </c>
      <c r="C3238" s="176" t="s">
        <v>1258</v>
      </c>
      <c r="D3238" s="176" t="s">
        <v>211</v>
      </c>
      <c r="E3238" s="176">
        <v>0</v>
      </c>
      <c r="F3238" s="176"/>
      <c r="G3238" s="176" t="s">
        <v>1259</v>
      </c>
      <c r="H3238" s="107" t="str">
        <f t="shared" si="23"/>
        <v>ifnull(sum(t.order_price),0) as order_price,/*订单价格*/</v>
      </c>
      <c r="I3238" s="7" t="str">
        <f>"sum(t."&amp;C3239&amp;")"</f>
        <v>sum(t.order_price)</v>
      </c>
      <c r="J3238" s="7" t="s">
        <v>428</v>
      </c>
      <c r="K3238" s="7" t="s">
        <v>429</v>
      </c>
      <c r="L3238" s="7" t="s">
        <v>430</v>
      </c>
      <c r="M3238" s="7" t="s">
        <v>430</v>
      </c>
      <c r="N3238" s="7">
        <v>1306</v>
      </c>
    </row>
    <row r="3239" spans="1:14" s="7" customFormat="1" hidden="1" outlineLevel="1" x14ac:dyDescent="0.15">
      <c r="B3239" s="176" t="s">
        <v>262</v>
      </c>
      <c r="C3239" s="176" t="s">
        <v>1372</v>
      </c>
      <c r="D3239" s="176" t="s">
        <v>1211</v>
      </c>
      <c r="E3239" s="176">
        <v>0</v>
      </c>
      <c r="F3239" s="176"/>
      <c r="G3239" s="176" t="s">
        <v>1373</v>
      </c>
      <c r="H3239" s="107" t="str">
        <f t="shared" si="23"/>
        <v>ifnull(sum(t.order_qty),0) as order_qty,/*订单数量*/</v>
      </c>
      <c r="I3239" s="7" t="str">
        <f>"sum(t."&amp;C3240&amp;")"</f>
        <v>sum(t.order_qty)</v>
      </c>
      <c r="J3239" s="7" t="s">
        <v>428</v>
      </c>
      <c r="K3239" s="7" t="s">
        <v>429</v>
      </c>
      <c r="L3239" s="7" t="s">
        <v>430</v>
      </c>
      <c r="M3239" s="7" t="s">
        <v>430</v>
      </c>
      <c r="N3239" s="7">
        <v>1310</v>
      </c>
    </row>
    <row r="3240" spans="1:14" s="7" customFormat="1" hidden="1" outlineLevel="1" x14ac:dyDescent="0.15">
      <c r="B3240" s="176" t="s">
        <v>272</v>
      </c>
      <c r="C3240" s="176" t="s">
        <v>1374</v>
      </c>
      <c r="D3240" s="176" t="s">
        <v>1087</v>
      </c>
      <c r="E3240" s="176">
        <v>0</v>
      </c>
      <c r="F3240" s="176"/>
      <c r="G3240" s="176" t="s">
        <v>1375</v>
      </c>
      <c r="H3240" s="107" t="str">
        <f t="shared" si="23"/>
        <v>ifnull(sum(t.strike_qty),0) as strike_qty,/*成交数量*/</v>
      </c>
      <c r="I3240" s="7" t="str">
        <f>"sum(t."&amp;C3241&amp;")"</f>
        <v>sum(t.strike_qty)</v>
      </c>
      <c r="J3240" s="7" t="s">
        <v>428</v>
      </c>
      <c r="K3240" s="7" t="s">
        <v>429</v>
      </c>
      <c r="L3240" s="7" t="s">
        <v>430</v>
      </c>
      <c r="M3240" s="7" t="s">
        <v>430</v>
      </c>
      <c r="N3240" s="7">
        <v>1188</v>
      </c>
    </row>
    <row r="3241" spans="1:14" s="7" customFormat="1" hidden="1" outlineLevel="1" x14ac:dyDescent="0.15">
      <c r="B3241" s="176" t="s">
        <v>38</v>
      </c>
      <c r="C3241" s="176" t="s">
        <v>1241</v>
      </c>
      <c r="D3241" s="176" t="s">
        <v>1087</v>
      </c>
      <c r="E3241" s="176">
        <v>0</v>
      </c>
      <c r="F3241" s="176"/>
      <c r="G3241" s="176" t="s">
        <v>1086</v>
      </c>
      <c r="H3241" s="107" t="str">
        <f t="shared" si="23"/>
        <v>ifnull(sum(t.strike_price),0) as strike_price,/*成交价格*/</v>
      </c>
      <c r="I3241" s="7" t="str">
        <f>"sum(t."&amp;C3242&amp;")"</f>
        <v>sum(t.strike_price)</v>
      </c>
      <c r="J3241" s="7" t="s">
        <v>428</v>
      </c>
      <c r="K3241" s="7" t="s">
        <v>429</v>
      </c>
      <c r="L3241" s="7" t="s">
        <v>430</v>
      </c>
      <c r="M3241" s="7" t="s">
        <v>430</v>
      </c>
      <c r="N3241" s="7">
        <v>1179</v>
      </c>
    </row>
    <row r="3242" spans="1:14" s="7" customFormat="1" hidden="1" outlineLevel="1" x14ac:dyDescent="0.15">
      <c r="B3242" s="176" t="s">
        <v>100</v>
      </c>
      <c r="C3242" s="176" t="s">
        <v>1376</v>
      </c>
      <c r="D3242" s="176" t="s">
        <v>1211</v>
      </c>
      <c r="E3242" s="176">
        <v>0</v>
      </c>
      <c r="F3242" s="176"/>
      <c r="G3242" s="176" t="s">
        <v>1377</v>
      </c>
      <c r="H3242" s="107" t="str">
        <f t="shared" si="23"/>
        <v>ifnull(sum(t.strike_amt),0) as strike_amt,/*成交金额*/</v>
      </c>
      <c r="I3242" s="7" t="str">
        <f>"sum(t."&amp;C3243&amp;")"</f>
        <v>sum(t.strike_amt)</v>
      </c>
      <c r="J3242" s="7" t="s">
        <v>428</v>
      </c>
      <c r="K3242" s="7" t="s">
        <v>429</v>
      </c>
      <c r="L3242" s="7" t="s">
        <v>430</v>
      </c>
      <c r="M3242" s="7" t="s">
        <v>430</v>
      </c>
      <c r="N3242" s="7">
        <v>1180</v>
      </c>
    </row>
    <row r="3243" spans="1:14" hidden="1" outlineLevel="1" x14ac:dyDescent="0.15">
      <c r="A3243" s="7"/>
      <c r="B3243" s="176" t="s">
        <v>277</v>
      </c>
      <c r="C3243" s="176" t="s">
        <v>1242</v>
      </c>
      <c r="D3243" s="176" t="s">
        <v>1169</v>
      </c>
      <c r="E3243" s="176">
        <v>0</v>
      </c>
      <c r="F3243" s="176"/>
      <c r="G3243" s="176" t="s">
        <v>1243</v>
      </c>
      <c r="H3243" s="107" t="str">
        <f t="shared" si="23"/>
        <v>ifnull(sum(if(t.order_dir=1,ifnull(t.strike_qty,0),0)),0) as buy_qty,/*买入数量*/</v>
      </c>
      <c r="I3243" s="7" t="s">
        <v>449</v>
      </c>
      <c r="J3243" s="1" t="s">
        <v>428</v>
      </c>
      <c r="K3243" s="1" t="s">
        <v>429</v>
      </c>
      <c r="L3243" s="1" t="s">
        <v>430</v>
      </c>
      <c r="M3243" s="1" t="s">
        <v>430</v>
      </c>
    </row>
    <row r="3244" spans="1:14" hidden="1" outlineLevel="1" x14ac:dyDescent="0.15">
      <c r="B3244" s="147" t="s">
        <v>433</v>
      </c>
      <c r="C3244" s="147" t="s">
        <v>1497</v>
      </c>
      <c r="D3244" s="147" t="s">
        <v>1498</v>
      </c>
      <c r="E3244" s="147">
        <v>0</v>
      </c>
      <c r="F3244" s="147"/>
      <c r="G3244" s="147"/>
      <c r="H3244" s="107" t="str">
        <f t="shared" si="23"/>
        <v>ifnull(sum(if(t.order_dir=1,ifnull(t.strike_amt,0),0)),0) as buy_amt,/*买入金额*/</v>
      </c>
      <c r="I3244" s="7" t="s">
        <v>451</v>
      </c>
      <c r="J3244" s="1" t="s">
        <v>428</v>
      </c>
      <c r="K3244" s="1" t="s">
        <v>429</v>
      </c>
      <c r="L3244" s="1" t="s">
        <v>430</v>
      </c>
      <c r="M3244" s="1" t="s">
        <v>430</v>
      </c>
    </row>
    <row r="3245" spans="1:14" hidden="1" outlineLevel="1" x14ac:dyDescent="0.15">
      <c r="B3245" s="147" t="s">
        <v>434</v>
      </c>
      <c r="C3245" s="147" t="s">
        <v>1608</v>
      </c>
      <c r="D3245" s="147" t="s">
        <v>1331</v>
      </c>
      <c r="E3245" s="147">
        <v>0</v>
      </c>
      <c r="F3245" s="147"/>
      <c r="G3245" s="147"/>
      <c r="H3245" s="107" t="str">
        <f t="shared" si="23"/>
        <v>ifnull(sum(if(t.order_dir=1,ifnull(t.strike_amt,0),0))/sum(if(t.order_dir=1,ifnull(t.strike_amt,0),0)),0) as buy_strike_price,/*买入成交价*/</v>
      </c>
      <c r="I3245" s="7" t="s">
        <v>450</v>
      </c>
      <c r="J3245" s="1" t="s">
        <v>428</v>
      </c>
      <c r="K3245" s="1" t="s">
        <v>429</v>
      </c>
      <c r="L3245" s="1" t="s">
        <v>430</v>
      </c>
      <c r="M3245" s="1" t="s">
        <v>430</v>
      </c>
    </row>
    <row r="3246" spans="1:14" hidden="1" outlineLevel="1" x14ac:dyDescent="0.15">
      <c r="B3246" s="147" t="s">
        <v>435</v>
      </c>
      <c r="C3246" s="147" t="s">
        <v>1609</v>
      </c>
      <c r="D3246" s="147" t="s">
        <v>1484</v>
      </c>
      <c r="E3246" s="147">
        <v>0</v>
      </c>
      <c r="F3246" s="147"/>
      <c r="G3246" s="147"/>
      <c r="H3246" s="107" t="str">
        <f t="shared" si="23"/>
        <v>ifnull(sum(if(t.order_dir=1,ifnull(t.strike_qty,0),0)),0) as sell_qty,/*卖出数量*/</v>
      </c>
      <c r="I3246" s="7" t="s">
        <v>449</v>
      </c>
      <c r="J3246" s="1" t="s">
        <v>428</v>
      </c>
      <c r="K3246" s="1" t="s">
        <v>429</v>
      </c>
      <c r="L3246" s="1" t="s">
        <v>430</v>
      </c>
      <c r="M3246" s="1" t="s">
        <v>430</v>
      </c>
      <c r="N3246" s="1">
        <v>1163</v>
      </c>
    </row>
    <row r="3247" spans="1:14" hidden="1" outlineLevel="1" x14ac:dyDescent="0.15">
      <c r="B3247" s="147" t="s">
        <v>436</v>
      </c>
      <c r="C3247" s="147" t="s">
        <v>1420</v>
      </c>
      <c r="D3247" s="147" t="s">
        <v>1087</v>
      </c>
      <c r="E3247" s="147">
        <v>0</v>
      </c>
      <c r="F3247" s="147"/>
      <c r="H3247" s="107" t="str">
        <f t="shared" si="23"/>
        <v>ifnull(sum(if(t.order_dir=1,ifnull(t.strike_amt,0),0)),0) as sell_amt,/*销售金额*/</v>
      </c>
      <c r="I3247" s="7" t="s">
        <v>451</v>
      </c>
      <c r="J3247" s="1" t="s">
        <v>428</v>
      </c>
      <c r="K3247" s="1" t="s">
        <v>429</v>
      </c>
      <c r="L3247" s="1" t="s">
        <v>430</v>
      </c>
      <c r="M3247" s="1" t="s">
        <v>430</v>
      </c>
    </row>
    <row r="3248" spans="1:14" ht="16.5" hidden="1" customHeight="1" outlineLevel="1" x14ac:dyDescent="0.15">
      <c r="B3248" s="105" t="s">
        <v>706</v>
      </c>
      <c r="C3248" s="147" t="s">
        <v>1421</v>
      </c>
      <c r="D3248" s="147" t="s">
        <v>1169</v>
      </c>
      <c r="E3248" s="147">
        <v>0</v>
      </c>
      <c r="F3248" s="147"/>
      <c r="H3248" s="107" t="str">
        <f t="shared" si="23"/>
        <v>ifnull(sum(if(t.order_dir=2,ifnull(t.strike_amt,0),0))/sum(if(t.order_dir=2,ifnull(t.strike_amt,0),0)),0) as sell_strike_price,/*卖出成交价*/</v>
      </c>
      <c r="I3248" s="7" t="s">
        <v>452</v>
      </c>
      <c r="J3248" s="1" t="s">
        <v>428</v>
      </c>
      <c r="K3248" s="1" t="s">
        <v>429</v>
      </c>
      <c r="L3248" s="1" t="s">
        <v>430</v>
      </c>
      <c r="M3248" s="1" t="s">
        <v>430</v>
      </c>
    </row>
    <row r="3249" spans="1:14" ht="16.5" hidden="1" customHeight="1" outlineLevel="1" x14ac:dyDescent="0.15">
      <c r="B3249" s="147" t="s">
        <v>437</v>
      </c>
      <c r="C3249" s="147" t="s">
        <v>1499</v>
      </c>
      <c r="D3249" s="147" t="s">
        <v>1484</v>
      </c>
      <c r="E3249" s="147">
        <v>0</v>
      </c>
      <c r="F3249" s="147"/>
      <c r="H3249" s="107" t="str">
        <f t="shared" si="23"/>
        <v>ifnull(sum(if(t.order_dir=1,1,-1)*ifnull(t.strike_amt,0)),0) as diff_qty,/*数量差额*/</v>
      </c>
      <c r="I3249" s="7" t="s">
        <v>453</v>
      </c>
    </row>
    <row r="3250" spans="1:14" hidden="1" outlineLevel="1" x14ac:dyDescent="0.15">
      <c r="B3250" s="147" t="s">
        <v>438</v>
      </c>
      <c r="C3250" s="147" t="s">
        <v>1500</v>
      </c>
      <c r="D3250" s="147" t="s">
        <v>1087</v>
      </c>
      <c r="E3250" s="147">
        <v>0</v>
      </c>
      <c r="F3250" s="147"/>
      <c r="H3250" s="107" t="str">
        <f t="shared" si="23"/>
        <v>ifnull(min(if(t.order_dir=1,t.order_time,NULL)),date_format(curtime(),'%H%i%s')) as buy_begin_time,/*买入开始时间*/</v>
      </c>
      <c r="I3250" s="7" t="s">
        <v>520</v>
      </c>
      <c r="J3250" s="1" t="s">
        <v>428</v>
      </c>
      <c r="K3250" s="1" t="s">
        <v>429</v>
      </c>
      <c r="L3250" s="1" t="s">
        <v>430</v>
      </c>
      <c r="M3250" s="1" t="s">
        <v>430</v>
      </c>
      <c r="N3250" s="1">
        <v>1163</v>
      </c>
    </row>
    <row r="3251" spans="1:14" hidden="1" outlineLevel="1" x14ac:dyDescent="0.15">
      <c r="B3251" s="245" t="s">
        <v>516</v>
      </c>
      <c r="C3251" s="245" t="s">
        <v>1501</v>
      </c>
      <c r="D3251" s="245" t="s">
        <v>211</v>
      </c>
      <c r="E3251" s="245" t="s">
        <v>1265</v>
      </c>
      <c r="F3251" s="245"/>
      <c r="G3251" s="245"/>
      <c r="H3251" s="107" t="str">
        <f t="shared" si="23"/>
        <v>ifnull(max(if(t.order_dir=1,t.order_time,NULL)),date_format(curtime(),'%H%i%s')) as buy_end_time,/*买入结束时间*/</v>
      </c>
      <c r="I3251" s="7" t="s">
        <v>521</v>
      </c>
      <c r="J3251" s="1" t="s">
        <v>428</v>
      </c>
      <c r="K3251" s="1" t="s">
        <v>429</v>
      </c>
      <c r="L3251" s="1" t="s">
        <v>430</v>
      </c>
      <c r="M3251" s="1" t="s">
        <v>430</v>
      </c>
    </row>
    <row r="3252" spans="1:14" ht="16.5" hidden="1" customHeight="1" outlineLevel="1" x14ac:dyDescent="0.15">
      <c r="B3252" s="245" t="s">
        <v>517</v>
      </c>
      <c r="C3252" s="245" t="s">
        <v>1502</v>
      </c>
      <c r="D3252" s="245" t="s">
        <v>211</v>
      </c>
      <c r="E3252" s="245" t="s">
        <v>1265</v>
      </c>
      <c r="F3252" s="245"/>
      <c r="G3252" s="245"/>
      <c r="H3252" s="107" t="str">
        <f t="shared" si="23"/>
        <v>ifnull(min(if(t.order_dir=2,t.order_time,NULL)),date_format(curtime(),'%H%i%s')) as sell_begin_time,/*卖出开始时间*/</v>
      </c>
      <c r="I3252" s="7" t="s">
        <v>522</v>
      </c>
      <c r="J3252" s="1" t="s">
        <v>428</v>
      </c>
      <c r="K3252" s="1" t="s">
        <v>429</v>
      </c>
      <c r="L3252" s="1" t="s">
        <v>430</v>
      </c>
      <c r="M3252" s="1" t="s">
        <v>430</v>
      </c>
    </row>
    <row r="3253" spans="1:14" ht="16.5" hidden="1" customHeight="1" outlineLevel="1" x14ac:dyDescent="0.15">
      <c r="B3253" s="245" t="s">
        <v>518</v>
      </c>
      <c r="C3253" s="245" t="s">
        <v>1503</v>
      </c>
      <c r="D3253" s="245" t="s">
        <v>211</v>
      </c>
      <c r="E3253" s="245" t="s">
        <v>1265</v>
      </c>
      <c r="F3253" s="245"/>
      <c r="G3253" s="245"/>
      <c r="H3253" s="107" t="str">
        <f t="shared" si="23"/>
        <v>ifnull(max(if(t.order_dir=2,t.order_time,NULL)),date_format(curtime(),'%H%i%s')) as sell_end_time,/*卖出结束时间*/</v>
      </c>
      <c r="I3253" s="7" t="s">
        <v>523</v>
      </c>
    </row>
    <row r="3254" spans="1:14" s="7" customFormat="1" ht="16.5" hidden="1" customHeight="1" outlineLevel="1" x14ac:dyDescent="0.15">
      <c r="A3254" s="1"/>
      <c r="B3254" s="245" t="s">
        <v>519</v>
      </c>
      <c r="C3254" s="245" t="s">
        <v>1610</v>
      </c>
      <c r="D3254" s="245" t="s">
        <v>211</v>
      </c>
      <c r="E3254" s="245" t="s">
        <v>1265</v>
      </c>
      <c r="F3254" s="245"/>
      <c r="G3254" s="245"/>
      <c r="H3254" s="107"/>
    </row>
    <row r="3255" spans="1:14" s="7" customFormat="1" ht="18" hidden="1" outlineLevel="1" thickBot="1" x14ac:dyDescent="0.2">
      <c r="A3255" s="2"/>
      <c r="B3255" s="24"/>
      <c r="C3255" s="9"/>
      <c r="D3255" s="9"/>
      <c r="E3255" s="9"/>
      <c r="F3255" s="9"/>
      <c r="G3255" s="11"/>
      <c r="H3255" s="107"/>
    </row>
    <row r="3256" spans="1:14" s="7" customFormat="1" hidden="1" outlineLevel="1" x14ac:dyDescent="0.15">
      <c r="A3256" s="2"/>
      <c r="B3256" s="327" t="s">
        <v>15</v>
      </c>
      <c r="C3256" s="328"/>
      <c r="D3256" s="328"/>
      <c r="E3256" s="328"/>
      <c r="F3256" s="328"/>
      <c r="G3256" s="329"/>
    </row>
    <row r="3257" spans="1:14" ht="18" hidden="1" outlineLevel="1" thickBot="1" x14ac:dyDescent="0.2">
      <c r="A3257" s="2"/>
      <c r="B3257" s="24"/>
      <c r="C3257" s="9"/>
      <c r="D3257" s="9"/>
      <c r="E3257" s="9"/>
      <c r="F3257" s="9"/>
      <c r="G3257" s="11"/>
    </row>
    <row r="3258" spans="1:14" s="7" customFormat="1" ht="18" hidden="1" outlineLevel="1" thickBot="1" x14ac:dyDescent="0.2">
      <c r="A3258" s="1"/>
      <c r="B3258" s="1"/>
      <c r="C3258" s="1"/>
      <c r="D3258" s="1"/>
      <c r="E3258" s="1"/>
      <c r="F3258" s="1"/>
      <c r="G3258" s="1"/>
      <c r="H3258" s="6" t="e">
        <f>"create or replace view "&amp;#REF!</f>
        <v>#REF!</v>
      </c>
    </row>
    <row r="3259" spans="1:14" s="7" customFormat="1" ht="18" collapsed="1" thickBot="1" x14ac:dyDescent="0.2">
      <c r="A3259" s="2"/>
      <c r="B3259" s="3" t="s">
        <v>563</v>
      </c>
      <c r="C3259" s="235" t="s">
        <v>746</v>
      </c>
      <c r="D3259" s="5" t="s">
        <v>515</v>
      </c>
      <c r="E3259" s="21" t="s">
        <v>745</v>
      </c>
      <c r="F3259" s="5" t="s">
        <v>567</v>
      </c>
      <c r="G3259" s="6" t="s">
        <v>1623</v>
      </c>
      <c r="H3259" s="11" t="e">
        <f>"/* "&amp;#REF!&amp;"*/  as "</f>
        <v>#REF!</v>
      </c>
    </row>
    <row r="3260" spans="1:14" s="7" customFormat="1" ht="18" hidden="1" outlineLevel="1" thickBot="1" x14ac:dyDescent="0.2">
      <c r="A3260" s="2"/>
      <c r="B3260" s="34" t="s">
        <v>570</v>
      </c>
      <c r="C3260" s="18"/>
      <c r="D3260" s="35" t="s">
        <v>568</v>
      </c>
      <c r="E3260" s="18" t="s">
        <v>615</v>
      </c>
      <c r="F3260" s="35"/>
      <c r="G3260" s="147" t="s">
        <v>421</v>
      </c>
      <c r="H3260" s="13" t="s">
        <v>474</v>
      </c>
    </row>
    <row r="3261" spans="1:14" hidden="1" outlineLevel="1" x14ac:dyDescent="0.15">
      <c r="A3261" s="2"/>
      <c r="B3261" s="3" t="s">
        <v>0</v>
      </c>
      <c r="C3261" s="5" t="s">
        <v>1</v>
      </c>
      <c r="D3261" s="5" t="s">
        <v>2</v>
      </c>
      <c r="E3261" s="5"/>
      <c r="F3261" s="5" t="s">
        <v>3</v>
      </c>
      <c r="G3261" s="36" t="s">
        <v>4</v>
      </c>
      <c r="H3261" s="107" t="str">
        <f>"ifnull("&amp;IF(I3261&lt;&gt;"",I3261,IF(F3262&lt;&gt;"",F3262,"t")&amp;"."&amp;C3262)&amp;","&amp;E3262&amp;") as "&amp;C3262&amp;",/*"&amp;B3262&amp;"*/"</f>
        <v>ifnull(t.row_id,0) as row_id,/*记录序号*/</v>
      </c>
      <c r="J3261" s="1" t="s">
        <v>424</v>
      </c>
      <c r="K3261" s="1" t="s">
        <v>425</v>
      </c>
      <c r="L3261" s="1" t="s">
        <v>423</v>
      </c>
      <c r="M3261" s="1" t="s">
        <v>423</v>
      </c>
      <c r="N3261" s="1">
        <v>1211</v>
      </c>
    </row>
    <row r="3262" spans="1:14" hidden="1" outlineLevel="1" x14ac:dyDescent="0.15">
      <c r="B3262" s="33" t="s">
        <v>478</v>
      </c>
      <c r="C3262" s="29" t="s">
        <v>1476</v>
      </c>
      <c r="D3262" s="29" t="s">
        <v>1345</v>
      </c>
      <c r="E3262" s="29">
        <v>0</v>
      </c>
      <c r="F3262" s="29"/>
      <c r="G3262" s="176"/>
      <c r="H3262" s="107" t="str">
        <f>"ifnull("&amp;IF(I3262&lt;&gt;"",I3262,IF(F3263&lt;&gt;"",F3263,"t")&amp;"."&amp;C3263)&amp;","&amp;E3263&amp;") as "&amp;C3263&amp;",/*"&amp;B3263&amp;"*/"</f>
        <v>ifnull(t.co_no,0) as co_no,/*机构编号*/</v>
      </c>
      <c r="J3262" s="1" t="s">
        <v>424</v>
      </c>
      <c r="K3262" s="1" t="s">
        <v>425</v>
      </c>
      <c r="L3262" s="1" t="s">
        <v>423</v>
      </c>
      <c r="M3262" s="1" t="s">
        <v>423</v>
      </c>
      <c r="N3262" s="1">
        <v>1606</v>
      </c>
    </row>
    <row r="3263" spans="1:14" hidden="1" outlineLevel="1" x14ac:dyDescent="0.15">
      <c r="B3263" s="33" t="s">
        <v>6</v>
      </c>
      <c r="C3263" s="29" t="s">
        <v>1163</v>
      </c>
      <c r="D3263" s="29" t="s">
        <v>211</v>
      </c>
      <c r="E3263" s="29">
        <v>0</v>
      </c>
      <c r="F3263" s="29"/>
      <c r="G3263" s="176" t="s">
        <v>1077</v>
      </c>
      <c r="H3263" s="107" t="str">
        <f>"ifnull("&amp;IF(I3263&lt;&gt;"",I3263,IF(F3264&lt;&gt;"",F3264,"t")&amp;"."&amp;C3264)&amp;","&amp;E3264&amp;") as "&amp;C3264&amp;",/*"&amp;B3264&amp;"*/"</f>
        <v>ifnull(t.stock_code_no,0) as stock_code_no,/*证券代码编号*/</v>
      </c>
      <c r="J3263" s="1" t="s">
        <v>424</v>
      </c>
      <c r="K3263" s="1" t="s">
        <v>425</v>
      </c>
      <c r="L3263" s="1" t="s">
        <v>423</v>
      </c>
      <c r="M3263" s="1" t="s">
        <v>423</v>
      </c>
      <c r="N3263" s="1">
        <v>2155</v>
      </c>
    </row>
    <row r="3264" spans="1:14" hidden="1" outlineLevel="1" x14ac:dyDescent="0.15">
      <c r="B3264" s="33" t="s">
        <v>427</v>
      </c>
      <c r="C3264" s="29" t="s">
        <v>1188</v>
      </c>
      <c r="D3264" s="29" t="s">
        <v>211</v>
      </c>
      <c r="E3264" s="29">
        <v>0</v>
      </c>
      <c r="F3264" s="29"/>
      <c r="G3264" s="176"/>
      <c r="H3264" s="107" t="str">
        <f>"ifnull("&amp;IF(I3264&lt;&gt;"",I3264,IF(E3259&lt;&gt;"",E3259,"t")&amp;"."&amp;C3265)&amp;","&amp;E3265&amp;") as "&amp;C3265&amp;",/*"&amp;B3265&amp;"*/"</f>
        <v>ifnull(报表_资管报表_视图-汇总-交易组-证券-持仓.exch_no,0) as exch_no,/*市场编号*/</v>
      </c>
      <c r="J3264" s="1" t="s">
        <v>424</v>
      </c>
      <c r="K3264" s="1" t="s">
        <v>425</v>
      </c>
      <c r="L3264" s="1" t="s">
        <v>423</v>
      </c>
      <c r="M3264" s="1" t="s">
        <v>423</v>
      </c>
      <c r="N3264" s="1">
        <v>2430</v>
      </c>
    </row>
    <row r="3265" spans="1:14" s="7" customFormat="1" hidden="1" outlineLevel="1" x14ac:dyDescent="0.15">
      <c r="A3265" s="1"/>
      <c r="B3265" s="33" t="s">
        <v>7</v>
      </c>
      <c r="C3265" s="29" t="s">
        <v>1190</v>
      </c>
      <c r="D3265" s="29" t="s">
        <v>211</v>
      </c>
      <c r="E3265" s="29">
        <v>0</v>
      </c>
      <c r="F3265" s="29"/>
      <c r="G3265" s="1" t="s">
        <v>1504</v>
      </c>
      <c r="H3265" s="107" t="str">
        <f t="shared" ref="H3265:H3275" si="24">"ifnull("&amp;IF(I3265&lt;&gt;"",I3265,IF(F3266&lt;&gt;"",F3266,"t")&amp;"."&amp;C3266)&amp;","&amp;E3266&amp;") as "&amp;C3266&amp;",/*"&amp;B3266&amp;"*/"</f>
        <v>ifnull(t.stock_type,0) as stock_type,/*证券类型*/</v>
      </c>
      <c r="J3265" s="7" t="s">
        <v>424</v>
      </c>
      <c r="K3265" s="7" t="s">
        <v>425</v>
      </c>
      <c r="L3265" s="7" t="s">
        <v>423</v>
      </c>
      <c r="M3265" s="7" t="s">
        <v>423</v>
      </c>
      <c r="N3265" s="7">
        <v>2433</v>
      </c>
    </row>
    <row r="3266" spans="1:14" s="7" customFormat="1" hidden="1" outlineLevel="1" x14ac:dyDescent="0.15">
      <c r="A3266" s="2"/>
      <c r="B3266" s="33" t="s">
        <v>93</v>
      </c>
      <c r="C3266" s="29" t="s">
        <v>1189</v>
      </c>
      <c r="D3266" s="29" t="s">
        <v>211</v>
      </c>
      <c r="E3266" s="29">
        <v>0</v>
      </c>
      <c r="F3266" s="29"/>
      <c r="G3266" s="176"/>
      <c r="H3266" s="107" t="str">
        <f t="shared" si="24"/>
        <v>ifnull(t.posi_market_value,0) as posi_market_value,/*持仓市值*/</v>
      </c>
      <c r="J3266" s="7" t="s">
        <v>424</v>
      </c>
      <c r="K3266" s="7" t="s">
        <v>425</v>
      </c>
      <c r="L3266" s="7" t="s">
        <v>423</v>
      </c>
      <c r="M3266" s="7" t="s">
        <v>423</v>
      </c>
      <c r="N3266" s="7">
        <v>2528</v>
      </c>
    </row>
    <row r="3267" spans="1:14" s="7" customFormat="1" hidden="1" outlineLevel="1" x14ac:dyDescent="0.15">
      <c r="A3267" s="2"/>
      <c r="B3267" s="33" t="s">
        <v>162</v>
      </c>
      <c r="C3267" s="29" t="s">
        <v>1214</v>
      </c>
      <c r="D3267" s="29" t="s">
        <v>1169</v>
      </c>
      <c r="E3267" s="29">
        <v>0</v>
      </c>
      <c r="F3267" s="29"/>
      <c r="G3267" s="176"/>
      <c r="H3267" s="107" t="str">
        <f t="shared" si="24"/>
        <v>ifnull(sum(t.begin_qty),0) as begin_qty,/*期初数量*/</v>
      </c>
      <c r="I3267" s="7" t="str">
        <f>"sum(t."&amp;C3268&amp;")"</f>
        <v>sum(t.begin_qty)</v>
      </c>
      <c r="J3267" s="7" t="s">
        <v>428</v>
      </c>
      <c r="K3267" s="7" t="s">
        <v>429</v>
      </c>
      <c r="L3267" s="7" t="s">
        <v>430</v>
      </c>
      <c r="M3267" s="7" t="s">
        <v>430</v>
      </c>
      <c r="N3267" s="7">
        <v>1306</v>
      </c>
    </row>
    <row r="3268" spans="1:14" s="7" customFormat="1" hidden="1" outlineLevel="1" x14ac:dyDescent="0.15">
      <c r="B3268" s="33" t="s">
        <v>8</v>
      </c>
      <c r="C3268" s="29" t="s">
        <v>1193</v>
      </c>
      <c r="D3268" s="29" t="s">
        <v>1087</v>
      </c>
      <c r="E3268" s="29">
        <v>0</v>
      </c>
      <c r="F3268" s="29"/>
      <c r="G3268" s="176" t="s">
        <v>1194</v>
      </c>
      <c r="H3268" s="107" t="str">
        <f t="shared" si="24"/>
        <v>ifnull(sum(t.curr_qty),0) as curr_qty,/*当前数量*/</v>
      </c>
      <c r="I3268" s="7" t="str">
        <f>"sum(t."&amp;C3269&amp;")"</f>
        <v>sum(t.curr_qty)</v>
      </c>
      <c r="J3268" s="7" t="s">
        <v>428</v>
      </c>
      <c r="K3268" s="7" t="s">
        <v>429</v>
      </c>
      <c r="L3268" s="7" t="s">
        <v>430</v>
      </c>
      <c r="M3268" s="7" t="s">
        <v>430</v>
      </c>
      <c r="N3268" s="7">
        <v>1310</v>
      </c>
    </row>
    <row r="3269" spans="1:14" s="7" customFormat="1" hidden="1" outlineLevel="1" x14ac:dyDescent="0.15">
      <c r="B3269" s="33" t="s">
        <v>9</v>
      </c>
      <c r="C3269" s="29" t="s">
        <v>1195</v>
      </c>
      <c r="D3269" s="29" t="s">
        <v>1087</v>
      </c>
      <c r="E3269" s="29">
        <v>0</v>
      </c>
      <c r="F3269" s="29"/>
      <c r="G3269" s="176" t="s">
        <v>1196</v>
      </c>
      <c r="H3269" s="107" t="str">
        <f t="shared" si="24"/>
        <v>ifnull(sum(t.frozen_qty),0) as frozen_qty,/*冻结数量*/</v>
      </c>
      <c r="I3269" s="7" t="str">
        <f>"sum(t."&amp;C3270&amp;")"</f>
        <v>sum(t.frozen_qty)</v>
      </c>
      <c r="J3269" s="7" t="s">
        <v>428</v>
      </c>
      <c r="K3269" s="7" t="s">
        <v>429</v>
      </c>
      <c r="L3269" s="7" t="s">
        <v>430</v>
      </c>
      <c r="M3269" s="7" t="s">
        <v>430</v>
      </c>
      <c r="N3269" s="7">
        <v>1188</v>
      </c>
    </row>
    <row r="3270" spans="1:14" s="7" customFormat="1" hidden="1" outlineLevel="1" x14ac:dyDescent="0.15">
      <c r="B3270" s="33" t="s">
        <v>10</v>
      </c>
      <c r="C3270" s="29" t="s">
        <v>1197</v>
      </c>
      <c r="D3270" s="29" t="s">
        <v>1087</v>
      </c>
      <c r="E3270" s="29">
        <v>0</v>
      </c>
      <c r="F3270" s="29"/>
      <c r="G3270" s="176" t="s">
        <v>1144</v>
      </c>
      <c r="H3270" s="107" t="str">
        <f t="shared" si="24"/>
        <v>ifnull(sum(t.unfroz_qty),0) as unfroz_qty,/*解冻数量*/</v>
      </c>
      <c r="I3270" s="7" t="str">
        <f>"sum(t."&amp;C3271&amp;")"</f>
        <v>sum(t.unfroz_qty)</v>
      </c>
      <c r="J3270" s="7" t="s">
        <v>428</v>
      </c>
      <c r="K3270" s="7" t="s">
        <v>429</v>
      </c>
      <c r="L3270" s="7" t="s">
        <v>430</v>
      </c>
      <c r="M3270" s="7" t="s">
        <v>430</v>
      </c>
      <c r="N3270" s="7">
        <v>1179</v>
      </c>
    </row>
    <row r="3271" spans="1:14" s="7" customFormat="1" hidden="1" outlineLevel="1" x14ac:dyDescent="0.15">
      <c r="B3271" s="33" t="s">
        <v>11</v>
      </c>
      <c r="C3271" s="29" t="s">
        <v>1198</v>
      </c>
      <c r="D3271" s="29" t="s">
        <v>1087</v>
      </c>
      <c r="E3271" s="29">
        <v>0</v>
      </c>
      <c r="F3271" s="29"/>
      <c r="G3271" s="176" t="s">
        <v>1080</v>
      </c>
      <c r="H3271" s="107" t="str">
        <f t="shared" si="24"/>
        <v>ifnull(sum(t.comm_capt_qty),0) as comm_capt_qty,/*指令占用数量*/</v>
      </c>
      <c r="I3271" s="7" t="str">
        <f>"sum(t."&amp;C3272&amp;")"</f>
        <v>sum(t.comm_capt_qty)</v>
      </c>
      <c r="J3271" s="7" t="s">
        <v>428</v>
      </c>
      <c r="K3271" s="7" t="s">
        <v>429</v>
      </c>
      <c r="L3271" s="7" t="s">
        <v>430</v>
      </c>
      <c r="M3271" s="7" t="s">
        <v>430</v>
      </c>
      <c r="N3271" s="7">
        <v>1180</v>
      </c>
    </row>
    <row r="3272" spans="1:14" hidden="1" outlineLevel="1" x14ac:dyDescent="0.15">
      <c r="A3272" s="7"/>
      <c r="B3272" s="33" t="s">
        <v>404</v>
      </c>
      <c r="C3272" s="29" t="s">
        <v>1335</v>
      </c>
      <c r="D3272" s="29" t="s">
        <v>1087</v>
      </c>
      <c r="E3272" s="29">
        <v>0</v>
      </c>
      <c r="F3272" s="29"/>
      <c r="G3272" s="176"/>
      <c r="H3272" s="107" t="str">
        <f t="shared" si="24"/>
        <v>ifnull(sum(if(t.order_dir=1,ifnull(t.strike_qty,0),0)),0) as comm_releas_qty,/*指令释放数量*/</v>
      </c>
      <c r="I3272" s="7" t="s">
        <v>449</v>
      </c>
      <c r="J3272" s="1" t="s">
        <v>428</v>
      </c>
      <c r="K3272" s="1" t="s">
        <v>429</v>
      </c>
      <c r="L3272" s="1" t="s">
        <v>430</v>
      </c>
      <c r="M3272" s="1" t="s">
        <v>430</v>
      </c>
    </row>
    <row r="3273" spans="1:14" hidden="1" outlineLevel="1" x14ac:dyDescent="0.15">
      <c r="B3273" s="33" t="s">
        <v>405</v>
      </c>
      <c r="C3273" s="29" t="s">
        <v>1199</v>
      </c>
      <c r="D3273" s="29" t="s">
        <v>1087</v>
      </c>
      <c r="E3273" s="29">
        <v>0</v>
      </c>
      <c r="F3273" s="29"/>
      <c r="G3273" s="147"/>
      <c r="H3273" s="107" t="str">
        <f t="shared" si="24"/>
        <v>ifnull(sum(if(t.order_dir=1,ifnull(t.strike_amt,0),0)),0) as trade_capt_qty,/*交易占用数量*/</v>
      </c>
      <c r="I3273" s="7" t="s">
        <v>451</v>
      </c>
      <c r="J3273" s="1" t="s">
        <v>428</v>
      </c>
      <c r="K3273" s="1" t="s">
        <v>429</v>
      </c>
      <c r="L3273" s="1" t="s">
        <v>430</v>
      </c>
      <c r="M3273" s="1" t="s">
        <v>430</v>
      </c>
    </row>
    <row r="3274" spans="1:14" hidden="1" outlineLevel="1" x14ac:dyDescent="0.15">
      <c r="B3274" s="33" t="s">
        <v>408</v>
      </c>
      <c r="C3274" s="29" t="s">
        <v>1200</v>
      </c>
      <c r="D3274" s="29" t="s">
        <v>1087</v>
      </c>
      <c r="E3274" s="29">
        <v>0</v>
      </c>
      <c r="F3274" s="29"/>
      <c r="G3274" s="147"/>
      <c r="H3274" s="107" t="str">
        <f t="shared" si="24"/>
        <v>ifnull(sum(if(t.order_dir=1,ifnull(t.strike_amt,0),0))/sum(if(t.order_dir=1,ifnull(t.strike_amt,0),0)),0) as trade_releas_qty,/*交易释放数量*/</v>
      </c>
      <c r="I3274" s="7" t="s">
        <v>450</v>
      </c>
      <c r="J3274" s="1" t="s">
        <v>428</v>
      </c>
      <c r="K3274" s="1" t="s">
        <v>429</v>
      </c>
      <c r="L3274" s="1" t="s">
        <v>430</v>
      </c>
      <c r="M3274" s="1" t="s">
        <v>430</v>
      </c>
    </row>
    <row r="3275" spans="1:14" hidden="1" outlineLevel="1" x14ac:dyDescent="0.15">
      <c r="B3275" s="33" t="s">
        <v>409</v>
      </c>
      <c r="C3275" s="29" t="s">
        <v>1201</v>
      </c>
      <c r="D3275" s="29" t="s">
        <v>1087</v>
      </c>
      <c r="E3275" s="29">
        <v>0</v>
      </c>
      <c r="F3275" s="29"/>
      <c r="G3275" s="147"/>
      <c r="H3275" s="107" t="str">
        <f t="shared" si="24"/>
        <v>ifnull(sum(if(t.order_dir=1,ifnull(t.strike_qty,0),0)),0) as strike_capt_qty,/*成交占用数量*/</v>
      </c>
      <c r="I3275" s="7" t="s">
        <v>449</v>
      </c>
      <c r="J3275" s="1" t="s">
        <v>428</v>
      </c>
      <c r="K3275" s="1" t="s">
        <v>429</v>
      </c>
      <c r="L3275" s="1" t="s">
        <v>430</v>
      </c>
      <c r="M3275" s="1" t="s">
        <v>430</v>
      </c>
      <c r="N3275" s="1">
        <v>1163</v>
      </c>
    </row>
    <row r="3276" spans="1:14" hidden="1" outlineLevel="1" x14ac:dyDescent="0.15">
      <c r="B3276" s="33" t="s">
        <v>410</v>
      </c>
      <c r="C3276" s="29" t="s">
        <v>1137</v>
      </c>
      <c r="D3276" s="29" t="s">
        <v>1087</v>
      </c>
      <c r="E3276" s="29">
        <v>0</v>
      </c>
      <c r="F3276" s="29"/>
      <c r="H3276" s="107"/>
      <c r="I3276" s="7"/>
    </row>
    <row r="3277" spans="1:14" hidden="1" outlineLevel="1" x14ac:dyDescent="0.15">
      <c r="B3277" s="33" t="s">
        <v>411</v>
      </c>
      <c r="C3277" s="29" t="s">
        <v>1138</v>
      </c>
      <c r="D3277" s="29" t="s">
        <v>1087</v>
      </c>
      <c r="E3277" s="29">
        <v>0</v>
      </c>
      <c r="F3277" s="29"/>
      <c r="H3277" s="107"/>
      <c r="I3277" s="7"/>
    </row>
    <row r="3278" spans="1:14" hidden="1" outlineLevel="1" x14ac:dyDescent="0.15">
      <c r="B3278" s="33" t="s">
        <v>414</v>
      </c>
      <c r="C3278" s="29" t="s">
        <v>1213</v>
      </c>
      <c r="D3278" s="29" t="s">
        <v>1169</v>
      </c>
      <c r="E3278" s="29">
        <v>0</v>
      </c>
      <c r="F3278" s="29"/>
      <c r="H3278" s="107"/>
      <c r="I3278" s="7"/>
    </row>
    <row r="3279" spans="1:14" hidden="1" outlineLevel="1" x14ac:dyDescent="0.15">
      <c r="B3279" s="33" t="s">
        <v>12</v>
      </c>
      <c r="C3279" s="29" t="s">
        <v>1143</v>
      </c>
      <c r="D3279" s="29" t="s">
        <v>1169</v>
      </c>
      <c r="E3279" s="29">
        <v>0</v>
      </c>
      <c r="F3279" s="29"/>
      <c r="H3279" s="107"/>
      <c r="I3279" s="7"/>
    </row>
    <row r="3280" spans="1:14" hidden="1" outlineLevel="1" x14ac:dyDescent="0.15">
      <c r="B3280" s="142" t="s">
        <v>13</v>
      </c>
      <c r="C3280" s="113" t="s">
        <v>1205</v>
      </c>
      <c r="D3280" s="113" t="s">
        <v>1169</v>
      </c>
      <c r="E3280" s="113">
        <v>0</v>
      </c>
      <c r="F3280" s="113"/>
      <c r="H3280" s="107"/>
      <c r="I3280" s="7"/>
    </row>
    <row r="3281" spans="1:14" hidden="1" outlineLevel="1" x14ac:dyDescent="0.15">
      <c r="B3281" s="142" t="s">
        <v>14</v>
      </c>
      <c r="C3281" s="113" t="s">
        <v>1206</v>
      </c>
      <c r="D3281" s="113" t="s">
        <v>1169</v>
      </c>
      <c r="E3281" s="113">
        <v>0</v>
      </c>
      <c r="F3281" s="113"/>
      <c r="H3281" s="107"/>
      <c r="I3281" s="7"/>
    </row>
    <row r="3282" spans="1:14" hidden="1" outlineLevel="1" x14ac:dyDescent="0.15">
      <c r="B3282" s="142" t="s">
        <v>389</v>
      </c>
      <c r="C3282" s="113" t="s">
        <v>1477</v>
      </c>
      <c r="D3282" s="113" t="s">
        <v>1211</v>
      </c>
      <c r="E3282" s="113">
        <v>0</v>
      </c>
      <c r="F3282" s="113"/>
      <c r="G3282" s="1" t="s">
        <v>1505</v>
      </c>
      <c r="H3282" s="107"/>
      <c r="I3282" s="7"/>
    </row>
    <row r="3283" spans="1:14" hidden="1" outlineLevel="1" x14ac:dyDescent="0.15">
      <c r="B3283" s="142" t="s">
        <v>439</v>
      </c>
      <c r="C3283" s="113" t="s">
        <v>1236</v>
      </c>
      <c r="D3283" s="113" t="s">
        <v>1211</v>
      </c>
      <c r="E3283" s="113">
        <v>0</v>
      </c>
      <c r="F3283" s="113"/>
      <c r="H3283" s="107"/>
      <c r="I3283" s="7"/>
    </row>
    <row r="3284" spans="1:14" hidden="1" outlineLevel="1" x14ac:dyDescent="0.15">
      <c r="B3284" s="142" t="s">
        <v>445</v>
      </c>
      <c r="C3284" s="113" t="s">
        <v>1479</v>
      </c>
      <c r="D3284" s="113" t="s">
        <v>1169</v>
      </c>
      <c r="E3284" s="113">
        <v>0</v>
      </c>
      <c r="F3284" s="113"/>
      <c r="H3284" s="107"/>
      <c r="I3284" s="7"/>
    </row>
    <row r="3285" spans="1:14" hidden="1" outlineLevel="1" x14ac:dyDescent="0.15">
      <c r="B3285" s="142" t="s">
        <v>484</v>
      </c>
      <c r="C3285" s="113" t="s">
        <v>1483</v>
      </c>
      <c r="D3285" s="113" t="s">
        <v>1172</v>
      </c>
      <c r="E3285" s="113">
        <v>0</v>
      </c>
      <c r="F3285" s="113"/>
      <c r="H3285" s="107"/>
      <c r="I3285" s="7"/>
    </row>
    <row r="3286" spans="1:14" hidden="1" outlineLevel="1" x14ac:dyDescent="0.15">
      <c r="B3286" s="142" t="s">
        <v>475</v>
      </c>
      <c r="C3286" s="113" t="s">
        <v>1480</v>
      </c>
      <c r="D3286" s="113" t="s">
        <v>1087</v>
      </c>
      <c r="E3286" s="113">
        <v>0</v>
      </c>
      <c r="F3286" s="113"/>
      <c r="G3286" s="1" t="s">
        <v>1506</v>
      </c>
      <c r="H3286" s="107" t="str">
        <f t="shared" ref="H3286:H3291" si="25">"ifnull("&amp;IF(I3286&lt;&gt;"",I3286,IF(F3287&lt;&gt;"",F3287,"t")&amp;"."&amp;C3287)&amp;","&amp;E3287&amp;") as "&amp;C3287&amp;",/*"&amp;B3287&amp;"*/"</f>
        <v>ifnull(sum(if(t.order_dir=1,ifnull(t.strike_amt,0),0)),0) as comm_avail_qty,/*指令端可用数量*/</v>
      </c>
      <c r="I3286" s="7" t="s">
        <v>451</v>
      </c>
      <c r="J3286" s="1" t="s">
        <v>428</v>
      </c>
      <c r="K3286" s="1" t="s">
        <v>429</v>
      </c>
      <c r="L3286" s="1" t="s">
        <v>430</v>
      </c>
      <c r="M3286" s="1" t="s">
        <v>430</v>
      </c>
    </row>
    <row r="3287" spans="1:14" ht="16.5" hidden="1" customHeight="1" outlineLevel="1" x14ac:dyDescent="0.15">
      <c r="B3287" s="142" t="s">
        <v>476</v>
      </c>
      <c r="C3287" s="113" t="s">
        <v>1482</v>
      </c>
      <c r="D3287" s="113" t="s">
        <v>1087</v>
      </c>
      <c r="E3287" s="113">
        <v>0</v>
      </c>
      <c r="F3287" s="113"/>
      <c r="G3287" s="1" t="s">
        <v>1506</v>
      </c>
      <c r="H3287" s="107" t="str">
        <f t="shared" si="25"/>
        <v>ifnull(sum(if(t.order_dir=2,ifnull(t.strike_amt,0),0))/sum(if(t.order_dir=2,ifnull(t.strike_amt,0),0)),0) as static_avail_qty,/*静态可用数量*/</v>
      </c>
      <c r="I3287" s="7" t="s">
        <v>452</v>
      </c>
      <c r="J3287" s="1" t="s">
        <v>428</v>
      </c>
      <c r="K3287" s="1" t="s">
        <v>429</v>
      </c>
      <c r="L3287" s="1" t="s">
        <v>430</v>
      </c>
      <c r="M3287" s="1" t="s">
        <v>430</v>
      </c>
    </row>
    <row r="3288" spans="1:14" ht="16.5" hidden="1" customHeight="1" outlineLevel="1" x14ac:dyDescent="0.15">
      <c r="B3288" s="142" t="s">
        <v>490</v>
      </c>
      <c r="C3288" s="113" t="s">
        <v>1507</v>
      </c>
      <c r="D3288" s="113" t="s">
        <v>1087</v>
      </c>
      <c r="E3288" s="113">
        <v>0</v>
      </c>
      <c r="F3288" s="113"/>
      <c r="H3288" s="107" t="str">
        <f t="shared" si="25"/>
        <v>ifnull(sum(if(t.order_dir=1,1,-1)*ifnull(t.strike_amt,0)),0) as posi_nav_ratio,/*持仓净值占比*/</v>
      </c>
      <c r="I3288" s="7" t="s">
        <v>453</v>
      </c>
    </row>
    <row r="3289" spans="1:14" hidden="1" outlineLevel="1" x14ac:dyDescent="0.15">
      <c r="B3289" s="142" t="s">
        <v>480</v>
      </c>
      <c r="C3289" s="113" t="s">
        <v>1079</v>
      </c>
      <c r="D3289" s="113" t="s">
        <v>1172</v>
      </c>
      <c r="E3289" s="113">
        <v>0</v>
      </c>
      <c r="F3289" s="113"/>
      <c r="H3289" s="107" t="str">
        <f t="shared" si="25"/>
        <v>ifnull(min(if(t.order_dir=1,t.order_time,NULL)),0) as bond_receivable_amt,/*债券应收利息*/</v>
      </c>
      <c r="I3289" s="7" t="s">
        <v>520</v>
      </c>
      <c r="J3289" s="1" t="s">
        <v>428</v>
      </c>
      <c r="K3289" s="1" t="s">
        <v>429</v>
      </c>
      <c r="L3289" s="1" t="s">
        <v>430</v>
      </c>
      <c r="M3289" s="1" t="s">
        <v>430</v>
      </c>
      <c r="N3289" s="1">
        <v>1163</v>
      </c>
    </row>
    <row r="3290" spans="1:14" hidden="1" outlineLevel="1" x14ac:dyDescent="0.15">
      <c r="B3290" s="142" t="s">
        <v>481</v>
      </c>
      <c r="C3290" s="113" t="s">
        <v>1209</v>
      </c>
      <c r="D3290" s="113" t="s">
        <v>1169</v>
      </c>
      <c r="E3290" s="113">
        <v>0</v>
      </c>
      <c r="F3290" s="113"/>
      <c r="G3290" s="245"/>
      <c r="H3290" s="107" t="str">
        <f t="shared" si="25"/>
        <v>ifnull(max(if(t.order_dir=1,t.order_time,NULL)),0) as full_holding_amt,/*全价持仓市值*/</v>
      </c>
      <c r="I3290" s="7" t="s">
        <v>521</v>
      </c>
      <c r="J3290" s="1" t="s">
        <v>428</v>
      </c>
      <c r="K3290" s="1" t="s">
        <v>429</v>
      </c>
      <c r="L3290" s="1" t="s">
        <v>430</v>
      </c>
      <c r="M3290" s="1" t="s">
        <v>430</v>
      </c>
    </row>
    <row r="3291" spans="1:14" ht="16.5" hidden="1" customHeight="1" outlineLevel="1" x14ac:dyDescent="0.15">
      <c r="B3291" s="142" t="s">
        <v>477</v>
      </c>
      <c r="C3291" s="113" t="s">
        <v>1530</v>
      </c>
      <c r="D3291" s="113" t="s">
        <v>1169</v>
      </c>
      <c r="E3291" s="113">
        <v>0</v>
      </c>
      <c r="F3291" s="113"/>
      <c r="G3291" s="245"/>
      <c r="H3291" s="107" t="str">
        <f t="shared" si="25"/>
        <v>ifnull(min(if(t.order_dir=2,t.order_time,NULL)),0) as impawn_qty,/*质押数量*/</v>
      </c>
      <c r="I3291" s="7" t="s">
        <v>522</v>
      </c>
      <c r="J3291" s="1" t="s">
        <v>428</v>
      </c>
      <c r="K3291" s="1" t="s">
        <v>429</v>
      </c>
      <c r="L3291" s="1" t="s">
        <v>430</v>
      </c>
      <c r="M3291" s="1" t="s">
        <v>430</v>
      </c>
    </row>
    <row r="3292" spans="1:14" s="7" customFormat="1" ht="16.5" hidden="1" customHeight="1" outlineLevel="1" x14ac:dyDescent="0.15">
      <c r="A3292" s="1"/>
      <c r="B3292" s="142" t="s">
        <v>482</v>
      </c>
      <c r="C3292" s="113" t="s">
        <v>1208</v>
      </c>
      <c r="D3292" s="113" t="s">
        <v>1087</v>
      </c>
      <c r="E3292" s="113">
        <v>0</v>
      </c>
      <c r="F3292" s="113"/>
      <c r="G3292" s="245"/>
      <c r="H3292" s="107"/>
    </row>
    <row r="3293" spans="1:14" s="7" customFormat="1" ht="18" hidden="1" outlineLevel="1" thickBot="1" x14ac:dyDescent="0.2">
      <c r="A3293" s="2"/>
      <c r="B3293" s="24"/>
      <c r="C3293" s="9"/>
      <c r="D3293" s="9"/>
      <c r="E3293" s="9"/>
      <c r="F3293" s="9"/>
      <c r="G3293" s="11"/>
      <c r="H3293" s="107"/>
    </row>
    <row r="3294" spans="1:14" s="7" customFormat="1" hidden="1" outlineLevel="1" x14ac:dyDescent="0.15">
      <c r="A3294" s="2"/>
      <c r="B3294" s="327" t="s">
        <v>15</v>
      </c>
      <c r="C3294" s="328"/>
      <c r="D3294" s="328"/>
      <c r="E3294" s="328"/>
      <c r="F3294" s="328"/>
      <c r="G3294" s="329"/>
    </row>
    <row r="3295" spans="1:14" ht="18" hidden="1" outlineLevel="1" thickBot="1" x14ac:dyDescent="0.2">
      <c r="A3295" s="2"/>
      <c r="B3295" s="24"/>
      <c r="C3295" s="9"/>
      <c r="D3295" s="9"/>
      <c r="E3295" s="9"/>
      <c r="F3295" s="9"/>
      <c r="G3295" s="11"/>
    </row>
    <row r="3296" spans="1:14" s="7" customFormat="1" ht="18" hidden="1" outlineLevel="1" thickBot="1" x14ac:dyDescent="0.2">
      <c r="A3296" s="1"/>
      <c r="B3296" s="1"/>
      <c r="C3296" s="1"/>
      <c r="D3296" s="1"/>
      <c r="E3296" s="1"/>
      <c r="F3296" s="1"/>
      <c r="G3296" s="1"/>
      <c r="H3296" s="6" t="e">
        <f>"create or replace view "&amp;#REF!</f>
        <v>#REF!</v>
      </c>
    </row>
    <row r="3297" spans="1:14" s="7" customFormat="1" ht="18" collapsed="1" thickBot="1" x14ac:dyDescent="0.2">
      <c r="A3297" s="2"/>
      <c r="B3297" s="3" t="s">
        <v>563</v>
      </c>
      <c r="C3297" s="235" t="s">
        <v>748</v>
      </c>
      <c r="D3297" s="5" t="s">
        <v>515</v>
      </c>
      <c r="E3297" s="21" t="s">
        <v>1031</v>
      </c>
      <c r="F3297" s="5" t="s">
        <v>567</v>
      </c>
      <c r="G3297" s="6" t="s">
        <v>1623</v>
      </c>
      <c r="H3297" s="11" t="e">
        <f>"/* "&amp;#REF!&amp;"*/  as "</f>
        <v>#REF!</v>
      </c>
    </row>
    <row r="3298" spans="1:14" s="7" customFormat="1" ht="18" hidden="1" outlineLevel="1" thickBot="1" x14ac:dyDescent="0.2">
      <c r="A3298" s="2"/>
      <c r="B3298" s="34" t="s">
        <v>570</v>
      </c>
      <c r="C3298" s="18"/>
      <c r="D3298" s="35" t="s">
        <v>568</v>
      </c>
      <c r="E3298" s="18" t="s">
        <v>615</v>
      </c>
      <c r="F3298" s="35"/>
      <c r="G3298" s="147" t="s">
        <v>421</v>
      </c>
      <c r="H3298" s="13" t="s">
        <v>474</v>
      </c>
    </row>
    <row r="3299" spans="1:14" hidden="1" outlineLevel="1" x14ac:dyDescent="0.15">
      <c r="A3299" s="2"/>
      <c r="B3299" s="3" t="s">
        <v>0</v>
      </c>
      <c r="C3299" s="5" t="s">
        <v>1</v>
      </c>
      <c r="D3299" s="5" t="s">
        <v>2</v>
      </c>
      <c r="E3299" s="5"/>
      <c r="F3299" s="5" t="s">
        <v>3</v>
      </c>
      <c r="G3299" s="36" t="s">
        <v>4</v>
      </c>
      <c r="H3299" s="107" t="str">
        <f>"ifnull("&amp;IF(I3299&lt;&gt;"",I3299,IF(F3300&lt;&gt;"",F3300,"t")&amp;"."&amp;C3300)&amp;","&amp;E3300&amp;") as "&amp;C3300&amp;",/*"&amp;B3300&amp;"*/"</f>
        <v>ifnull(t.row_id,0) as row_id,/*记录序号*/</v>
      </c>
      <c r="J3299" s="1" t="s">
        <v>424</v>
      </c>
      <c r="K3299" s="1" t="s">
        <v>425</v>
      </c>
      <c r="L3299" s="1" t="s">
        <v>423</v>
      </c>
      <c r="M3299" s="1" t="s">
        <v>423</v>
      </c>
      <c r="N3299" s="1">
        <v>1211</v>
      </c>
    </row>
    <row r="3300" spans="1:14" hidden="1" outlineLevel="1" x14ac:dyDescent="0.15">
      <c r="B3300" s="33" t="s">
        <v>478</v>
      </c>
      <c r="C3300" s="29" t="s">
        <v>1476</v>
      </c>
      <c r="D3300" s="29" t="s">
        <v>1345</v>
      </c>
      <c r="E3300" s="29">
        <v>0</v>
      </c>
      <c r="F3300" s="29"/>
      <c r="G3300" s="176"/>
      <c r="H3300" s="107" t="str">
        <f>"ifnull("&amp;IF(I3300&lt;&gt;"",I3300,IF(F3301&lt;&gt;"",F3301,"t")&amp;"."&amp;C3301)&amp;","&amp;E3301&amp;") as "&amp;C3301&amp;",/*"&amp;B3301&amp;"*/"</f>
        <v>ifnull(t.co_no,0) as co_no,/*机构编号*/</v>
      </c>
      <c r="J3300" s="1" t="s">
        <v>424</v>
      </c>
      <c r="K3300" s="1" t="s">
        <v>425</v>
      </c>
      <c r="L3300" s="1" t="s">
        <v>423</v>
      </c>
      <c r="M3300" s="1" t="s">
        <v>423</v>
      </c>
      <c r="N3300" s="1">
        <v>1606</v>
      </c>
    </row>
    <row r="3301" spans="1:14" hidden="1" outlineLevel="1" x14ac:dyDescent="0.15">
      <c r="B3301" s="33" t="s">
        <v>6</v>
      </c>
      <c r="C3301" s="29" t="s">
        <v>1163</v>
      </c>
      <c r="D3301" s="29" t="s">
        <v>211</v>
      </c>
      <c r="E3301" s="29">
        <v>0</v>
      </c>
      <c r="F3301" s="29"/>
      <c r="G3301" s="176" t="s">
        <v>1077</v>
      </c>
      <c r="H3301" s="107" t="str">
        <f>"ifnull("&amp;IF(I3301&lt;&gt;"",I3301,IF(F3302&lt;&gt;"",F3302,"t")&amp;"."&amp;C3302)&amp;","&amp;E3302&amp;") as "&amp;C3302&amp;",/*"&amp;B3302&amp;"*/"</f>
        <v>ifnull(t.stock_code_no,0) as stock_code_no,/*证券代码编号*/</v>
      </c>
      <c r="J3301" s="1" t="s">
        <v>424</v>
      </c>
      <c r="K3301" s="1" t="s">
        <v>425</v>
      </c>
      <c r="L3301" s="1" t="s">
        <v>423</v>
      </c>
      <c r="M3301" s="1" t="s">
        <v>423</v>
      </c>
      <c r="N3301" s="1">
        <v>2155</v>
      </c>
    </row>
    <row r="3302" spans="1:14" hidden="1" outlineLevel="1" x14ac:dyDescent="0.15">
      <c r="B3302" s="33" t="s">
        <v>427</v>
      </c>
      <c r="C3302" s="29" t="s">
        <v>1188</v>
      </c>
      <c r="D3302" s="29" t="s">
        <v>211</v>
      </c>
      <c r="E3302" s="29">
        <v>0</v>
      </c>
      <c r="F3302" s="29"/>
      <c r="G3302" s="176"/>
      <c r="H3302" s="107" t="str">
        <f>"ifnull("&amp;IF(I3302&lt;&gt;"",I3302,IF(E3297&lt;&gt;"",E3297,"t")&amp;"."&amp;C3303)&amp;","&amp;E3303&amp;") as "&amp;C3303&amp;",/*"&amp;B3303&amp;"*/"</f>
        <v>ifnull(报表_资管报表_视图-汇总-交易组-证券-持仓-历史.exch_no,0) as exch_no,/*市场编号*/</v>
      </c>
      <c r="J3302" s="1" t="s">
        <v>424</v>
      </c>
      <c r="K3302" s="1" t="s">
        <v>425</v>
      </c>
      <c r="L3302" s="1" t="s">
        <v>423</v>
      </c>
      <c r="M3302" s="1" t="s">
        <v>423</v>
      </c>
      <c r="N3302" s="1">
        <v>2430</v>
      </c>
    </row>
    <row r="3303" spans="1:14" s="7" customFormat="1" hidden="1" outlineLevel="1" x14ac:dyDescent="0.15">
      <c r="A3303" s="1"/>
      <c r="B3303" s="33" t="s">
        <v>7</v>
      </c>
      <c r="C3303" s="29" t="s">
        <v>1190</v>
      </c>
      <c r="D3303" s="29" t="s">
        <v>211</v>
      </c>
      <c r="E3303" s="29">
        <v>0</v>
      </c>
      <c r="F3303" s="29"/>
      <c r="G3303" s="1" t="s">
        <v>1504</v>
      </c>
      <c r="H3303" s="107" t="str">
        <f t="shared" ref="H3303:H3313" si="26">"ifnull("&amp;IF(I3303&lt;&gt;"",I3303,IF(F3304&lt;&gt;"",F3304,"t")&amp;"."&amp;C3304)&amp;","&amp;E3304&amp;") as "&amp;C3304&amp;",/*"&amp;B3304&amp;"*/"</f>
        <v>ifnull(t.stock_type,0) as stock_type,/*证券类型*/</v>
      </c>
      <c r="J3303" s="7" t="s">
        <v>424</v>
      </c>
      <c r="K3303" s="7" t="s">
        <v>425</v>
      </c>
      <c r="L3303" s="7" t="s">
        <v>423</v>
      </c>
      <c r="M3303" s="7" t="s">
        <v>423</v>
      </c>
      <c r="N3303" s="7">
        <v>2433</v>
      </c>
    </row>
    <row r="3304" spans="1:14" s="7" customFormat="1" hidden="1" outlineLevel="1" x14ac:dyDescent="0.15">
      <c r="A3304" s="2"/>
      <c r="B3304" s="33" t="s">
        <v>93</v>
      </c>
      <c r="C3304" s="29" t="s">
        <v>1189</v>
      </c>
      <c r="D3304" s="29" t="s">
        <v>211</v>
      </c>
      <c r="E3304" s="29">
        <v>0</v>
      </c>
      <c r="F3304" s="29"/>
      <c r="G3304" s="176"/>
      <c r="H3304" s="107" t="str">
        <f t="shared" si="26"/>
        <v>ifnull(t.posi_market_value,0) as posi_market_value,/*持仓市值*/</v>
      </c>
      <c r="J3304" s="7" t="s">
        <v>424</v>
      </c>
      <c r="K3304" s="7" t="s">
        <v>425</v>
      </c>
      <c r="L3304" s="7" t="s">
        <v>423</v>
      </c>
      <c r="M3304" s="7" t="s">
        <v>423</v>
      </c>
      <c r="N3304" s="7">
        <v>2528</v>
      </c>
    </row>
    <row r="3305" spans="1:14" s="7" customFormat="1" hidden="1" outlineLevel="1" x14ac:dyDescent="0.15">
      <c r="A3305" s="2"/>
      <c r="B3305" s="33" t="s">
        <v>162</v>
      </c>
      <c r="C3305" s="29" t="s">
        <v>1214</v>
      </c>
      <c r="D3305" s="29" t="s">
        <v>1169</v>
      </c>
      <c r="E3305" s="29">
        <v>0</v>
      </c>
      <c r="F3305" s="29"/>
      <c r="G3305" s="176"/>
      <c r="H3305" s="107" t="str">
        <f t="shared" si="26"/>
        <v>ifnull(sum(t.begin_qty),0) as begin_qty,/*期初数量*/</v>
      </c>
      <c r="I3305" s="7" t="str">
        <f>"sum(t."&amp;C3306&amp;")"</f>
        <v>sum(t.begin_qty)</v>
      </c>
      <c r="J3305" s="7" t="s">
        <v>428</v>
      </c>
      <c r="K3305" s="7" t="s">
        <v>429</v>
      </c>
      <c r="L3305" s="7" t="s">
        <v>430</v>
      </c>
      <c r="M3305" s="7" t="s">
        <v>430</v>
      </c>
      <c r="N3305" s="7">
        <v>1306</v>
      </c>
    </row>
    <row r="3306" spans="1:14" s="7" customFormat="1" hidden="1" outlineLevel="1" x14ac:dyDescent="0.15">
      <c r="B3306" s="33" t="s">
        <v>8</v>
      </c>
      <c r="C3306" s="29" t="s">
        <v>1193</v>
      </c>
      <c r="D3306" s="29" t="s">
        <v>1087</v>
      </c>
      <c r="E3306" s="29">
        <v>0</v>
      </c>
      <c r="F3306" s="29"/>
      <c r="G3306" s="176" t="s">
        <v>1194</v>
      </c>
      <c r="H3306" s="107" t="str">
        <f t="shared" si="26"/>
        <v>ifnull(sum(t.curr_qty),0) as curr_qty,/*当前数量*/</v>
      </c>
      <c r="I3306" s="7" t="str">
        <f>"sum(t."&amp;C3307&amp;")"</f>
        <v>sum(t.curr_qty)</v>
      </c>
      <c r="J3306" s="7" t="s">
        <v>428</v>
      </c>
      <c r="K3306" s="7" t="s">
        <v>429</v>
      </c>
      <c r="L3306" s="7" t="s">
        <v>430</v>
      </c>
      <c r="M3306" s="7" t="s">
        <v>430</v>
      </c>
      <c r="N3306" s="7">
        <v>1310</v>
      </c>
    </row>
    <row r="3307" spans="1:14" s="7" customFormat="1" hidden="1" outlineLevel="1" x14ac:dyDescent="0.15">
      <c r="B3307" s="33" t="s">
        <v>9</v>
      </c>
      <c r="C3307" s="29" t="s">
        <v>1195</v>
      </c>
      <c r="D3307" s="29" t="s">
        <v>1087</v>
      </c>
      <c r="E3307" s="29">
        <v>0</v>
      </c>
      <c r="F3307" s="29"/>
      <c r="G3307" s="176" t="s">
        <v>1196</v>
      </c>
      <c r="H3307" s="107" t="str">
        <f t="shared" si="26"/>
        <v>ifnull(sum(t.frozen_qty),0) as frozen_qty,/*冻结数量*/</v>
      </c>
      <c r="I3307" s="7" t="str">
        <f>"sum(t."&amp;C3308&amp;")"</f>
        <v>sum(t.frozen_qty)</v>
      </c>
      <c r="J3307" s="7" t="s">
        <v>428</v>
      </c>
      <c r="K3307" s="7" t="s">
        <v>429</v>
      </c>
      <c r="L3307" s="7" t="s">
        <v>430</v>
      </c>
      <c r="M3307" s="7" t="s">
        <v>430</v>
      </c>
      <c r="N3307" s="7">
        <v>1188</v>
      </c>
    </row>
    <row r="3308" spans="1:14" s="7" customFormat="1" hidden="1" outlineLevel="1" x14ac:dyDescent="0.15">
      <c r="B3308" s="33" t="s">
        <v>10</v>
      </c>
      <c r="C3308" s="29" t="s">
        <v>1197</v>
      </c>
      <c r="D3308" s="29" t="s">
        <v>1087</v>
      </c>
      <c r="E3308" s="29">
        <v>0</v>
      </c>
      <c r="F3308" s="29"/>
      <c r="G3308" s="176" t="s">
        <v>1144</v>
      </c>
      <c r="H3308" s="107" t="str">
        <f t="shared" si="26"/>
        <v>ifnull(sum(t.unfroz_qty),0) as unfroz_qty,/*解冻数量*/</v>
      </c>
      <c r="I3308" s="7" t="str">
        <f>"sum(t."&amp;C3309&amp;")"</f>
        <v>sum(t.unfroz_qty)</v>
      </c>
      <c r="J3308" s="7" t="s">
        <v>428</v>
      </c>
      <c r="K3308" s="7" t="s">
        <v>429</v>
      </c>
      <c r="L3308" s="7" t="s">
        <v>430</v>
      </c>
      <c r="M3308" s="7" t="s">
        <v>430</v>
      </c>
      <c r="N3308" s="7">
        <v>1179</v>
      </c>
    </row>
    <row r="3309" spans="1:14" s="7" customFormat="1" hidden="1" outlineLevel="1" x14ac:dyDescent="0.15">
      <c r="B3309" s="33" t="s">
        <v>11</v>
      </c>
      <c r="C3309" s="29" t="s">
        <v>1198</v>
      </c>
      <c r="D3309" s="29" t="s">
        <v>1087</v>
      </c>
      <c r="E3309" s="29">
        <v>0</v>
      </c>
      <c r="F3309" s="29"/>
      <c r="G3309" s="176" t="s">
        <v>1080</v>
      </c>
      <c r="H3309" s="107" t="str">
        <f t="shared" si="26"/>
        <v>ifnull(sum(t.comm_capt_qty),0) as comm_capt_qty,/*指令占用数量*/</v>
      </c>
      <c r="I3309" s="7" t="str">
        <f>"sum(t."&amp;C3310&amp;")"</f>
        <v>sum(t.comm_capt_qty)</v>
      </c>
      <c r="J3309" s="7" t="s">
        <v>428</v>
      </c>
      <c r="K3309" s="7" t="s">
        <v>429</v>
      </c>
      <c r="L3309" s="7" t="s">
        <v>430</v>
      </c>
      <c r="M3309" s="7" t="s">
        <v>430</v>
      </c>
      <c r="N3309" s="7">
        <v>1180</v>
      </c>
    </row>
    <row r="3310" spans="1:14" hidden="1" outlineLevel="1" x14ac:dyDescent="0.15">
      <c r="A3310" s="7"/>
      <c r="B3310" s="33" t="s">
        <v>404</v>
      </c>
      <c r="C3310" s="29" t="s">
        <v>1335</v>
      </c>
      <c r="D3310" s="29" t="s">
        <v>1087</v>
      </c>
      <c r="E3310" s="29">
        <v>0</v>
      </c>
      <c r="F3310" s="29"/>
      <c r="G3310" s="176"/>
      <c r="H3310" s="107" t="str">
        <f t="shared" si="26"/>
        <v>ifnull(sum(if(t.order_dir=1,ifnull(t.strike_qty,0),0)),0) as comm_releas_qty,/*指令释放数量*/</v>
      </c>
      <c r="I3310" s="7" t="s">
        <v>449</v>
      </c>
      <c r="J3310" s="1" t="s">
        <v>428</v>
      </c>
      <c r="K3310" s="1" t="s">
        <v>429</v>
      </c>
      <c r="L3310" s="1" t="s">
        <v>430</v>
      </c>
      <c r="M3310" s="1" t="s">
        <v>430</v>
      </c>
    </row>
    <row r="3311" spans="1:14" hidden="1" outlineLevel="1" x14ac:dyDescent="0.15">
      <c r="B3311" s="33" t="s">
        <v>405</v>
      </c>
      <c r="C3311" s="29" t="s">
        <v>1199</v>
      </c>
      <c r="D3311" s="29" t="s">
        <v>1087</v>
      </c>
      <c r="E3311" s="29">
        <v>0</v>
      </c>
      <c r="F3311" s="29"/>
      <c r="G3311" s="147"/>
      <c r="H3311" s="107" t="str">
        <f t="shared" si="26"/>
        <v>ifnull(sum(if(t.order_dir=1,ifnull(t.strike_amt,0),0)),0) as trade_capt_qty,/*交易占用数量*/</v>
      </c>
      <c r="I3311" s="7" t="s">
        <v>451</v>
      </c>
      <c r="J3311" s="1" t="s">
        <v>428</v>
      </c>
      <c r="K3311" s="1" t="s">
        <v>429</v>
      </c>
      <c r="L3311" s="1" t="s">
        <v>430</v>
      </c>
      <c r="M3311" s="1" t="s">
        <v>430</v>
      </c>
    </row>
    <row r="3312" spans="1:14" hidden="1" outlineLevel="1" x14ac:dyDescent="0.15">
      <c r="B3312" s="33" t="s">
        <v>408</v>
      </c>
      <c r="C3312" s="29" t="s">
        <v>1200</v>
      </c>
      <c r="D3312" s="29" t="s">
        <v>1087</v>
      </c>
      <c r="E3312" s="29">
        <v>0</v>
      </c>
      <c r="F3312" s="29"/>
      <c r="G3312" s="147"/>
      <c r="H3312" s="107" t="str">
        <f t="shared" si="26"/>
        <v>ifnull(sum(if(t.order_dir=1,ifnull(t.strike_amt,0),0))/sum(if(t.order_dir=1,ifnull(t.strike_amt,0),0)),0) as trade_releas_qty,/*交易释放数量*/</v>
      </c>
      <c r="I3312" s="7" t="s">
        <v>450</v>
      </c>
      <c r="J3312" s="1" t="s">
        <v>428</v>
      </c>
      <c r="K3312" s="1" t="s">
        <v>429</v>
      </c>
      <c r="L3312" s="1" t="s">
        <v>430</v>
      </c>
      <c r="M3312" s="1" t="s">
        <v>430</v>
      </c>
    </row>
    <row r="3313" spans="2:14" hidden="1" outlineLevel="1" x14ac:dyDescent="0.15">
      <c r="B3313" s="33" t="s">
        <v>409</v>
      </c>
      <c r="C3313" s="29" t="s">
        <v>1201</v>
      </c>
      <c r="D3313" s="29" t="s">
        <v>1087</v>
      </c>
      <c r="E3313" s="29">
        <v>0</v>
      </c>
      <c r="F3313" s="29"/>
      <c r="G3313" s="147"/>
      <c r="H3313" s="107" t="str">
        <f t="shared" si="26"/>
        <v>ifnull(sum(if(t.order_dir=1,ifnull(t.strike_qty,0),0)),0) as strike_capt_qty,/*成交占用数量*/</v>
      </c>
      <c r="I3313" s="7" t="s">
        <v>449</v>
      </c>
      <c r="J3313" s="1" t="s">
        <v>428</v>
      </c>
      <c r="K3313" s="1" t="s">
        <v>429</v>
      </c>
      <c r="L3313" s="1" t="s">
        <v>430</v>
      </c>
      <c r="M3313" s="1" t="s">
        <v>430</v>
      </c>
      <c r="N3313" s="1">
        <v>1163</v>
      </c>
    </row>
    <row r="3314" spans="2:14" hidden="1" outlineLevel="1" x14ac:dyDescent="0.15">
      <c r="B3314" s="33" t="s">
        <v>410</v>
      </c>
      <c r="C3314" s="29" t="s">
        <v>1137</v>
      </c>
      <c r="D3314" s="29" t="s">
        <v>1087</v>
      </c>
      <c r="E3314" s="29">
        <v>0</v>
      </c>
      <c r="F3314" s="29"/>
      <c r="H3314" s="107"/>
      <c r="I3314" s="7"/>
    </row>
    <row r="3315" spans="2:14" hidden="1" outlineLevel="1" x14ac:dyDescent="0.15">
      <c r="B3315" s="33" t="s">
        <v>411</v>
      </c>
      <c r="C3315" s="29" t="s">
        <v>1138</v>
      </c>
      <c r="D3315" s="29" t="s">
        <v>1087</v>
      </c>
      <c r="E3315" s="29">
        <v>0</v>
      </c>
      <c r="F3315" s="29"/>
      <c r="H3315" s="107"/>
      <c r="I3315" s="7"/>
    </row>
    <row r="3316" spans="2:14" hidden="1" outlineLevel="1" x14ac:dyDescent="0.15">
      <c r="B3316" s="33" t="s">
        <v>414</v>
      </c>
      <c r="C3316" s="29" t="s">
        <v>1213</v>
      </c>
      <c r="D3316" s="29" t="s">
        <v>1169</v>
      </c>
      <c r="E3316" s="29">
        <v>0</v>
      </c>
      <c r="F3316" s="29"/>
      <c r="H3316" s="107"/>
      <c r="I3316" s="7"/>
    </row>
    <row r="3317" spans="2:14" hidden="1" outlineLevel="1" x14ac:dyDescent="0.15">
      <c r="B3317" s="33" t="s">
        <v>12</v>
      </c>
      <c r="C3317" s="29" t="s">
        <v>1143</v>
      </c>
      <c r="D3317" s="29" t="s">
        <v>1169</v>
      </c>
      <c r="E3317" s="29">
        <v>0</v>
      </c>
      <c r="F3317" s="29"/>
      <c r="H3317" s="107"/>
      <c r="I3317" s="7"/>
    </row>
    <row r="3318" spans="2:14" hidden="1" outlineLevel="1" x14ac:dyDescent="0.15">
      <c r="B3318" s="142" t="s">
        <v>13</v>
      </c>
      <c r="C3318" s="113" t="s">
        <v>1205</v>
      </c>
      <c r="D3318" s="113" t="s">
        <v>1169</v>
      </c>
      <c r="E3318" s="113">
        <v>0</v>
      </c>
      <c r="F3318" s="113"/>
      <c r="H3318" s="107"/>
      <c r="I3318" s="7"/>
    </row>
    <row r="3319" spans="2:14" hidden="1" outlineLevel="1" x14ac:dyDescent="0.15">
      <c r="B3319" s="142" t="s">
        <v>14</v>
      </c>
      <c r="C3319" s="113" t="s">
        <v>1206</v>
      </c>
      <c r="D3319" s="113" t="s">
        <v>1169</v>
      </c>
      <c r="E3319" s="113">
        <v>0</v>
      </c>
      <c r="F3319" s="113"/>
      <c r="H3319" s="107"/>
      <c r="I3319" s="7"/>
    </row>
    <row r="3320" spans="2:14" hidden="1" outlineLevel="1" x14ac:dyDescent="0.15">
      <c r="B3320" s="142" t="s">
        <v>389</v>
      </c>
      <c r="C3320" s="113" t="s">
        <v>1477</v>
      </c>
      <c r="D3320" s="113" t="s">
        <v>1211</v>
      </c>
      <c r="E3320" s="113">
        <v>0</v>
      </c>
      <c r="F3320" s="113"/>
      <c r="G3320" s="1" t="s">
        <v>1505</v>
      </c>
      <c r="H3320" s="107"/>
      <c r="I3320" s="7"/>
    </row>
    <row r="3321" spans="2:14" hidden="1" outlineLevel="1" x14ac:dyDescent="0.15">
      <c r="B3321" s="142" t="s">
        <v>439</v>
      </c>
      <c r="C3321" s="113" t="s">
        <v>1236</v>
      </c>
      <c r="D3321" s="113" t="s">
        <v>1211</v>
      </c>
      <c r="E3321" s="113">
        <v>0</v>
      </c>
      <c r="F3321" s="113"/>
      <c r="H3321" s="107"/>
      <c r="I3321" s="7"/>
    </row>
    <row r="3322" spans="2:14" hidden="1" outlineLevel="1" x14ac:dyDescent="0.15">
      <c r="B3322" s="142" t="s">
        <v>445</v>
      </c>
      <c r="C3322" s="113" t="s">
        <v>1479</v>
      </c>
      <c r="D3322" s="113" t="s">
        <v>1169</v>
      </c>
      <c r="E3322" s="113">
        <v>0</v>
      </c>
      <c r="F3322" s="113"/>
      <c r="H3322" s="107"/>
      <c r="I3322" s="7"/>
    </row>
    <row r="3323" spans="2:14" hidden="1" outlineLevel="1" x14ac:dyDescent="0.15">
      <c r="B3323" s="142" t="s">
        <v>484</v>
      </c>
      <c r="C3323" s="113" t="s">
        <v>1483</v>
      </c>
      <c r="D3323" s="113" t="s">
        <v>1172</v>
      </c>
      <c r="E3323" s="113">
        <v>0</v>
      </c>
      <c r="F3323" s="113"/>
      <c r="H3323" s="107"/>
      <c r="I3323" s="7"/>
    </row>
    <row r="3324" spans="2:14" hidden="1" outlineLevel="1" x14ac:dyDescent="0.15">
      <c r="B3324" s="142" t="s">
        <v>475</v>
      </c>
      <c r="C3324" s="113" t="s">
        <v>1480</v>
      </c>
      <c r="D3324" s="113" t="s">
        <v>1087</v>
      </c>
      <c r="E3324" s="113">
        <v>0</v>
      </c>
      <c r="F3324" s="113"/>
      <c r="G3324" s="1" t="s">
        <v>1506</v>
      </c>
      <c r="H3324" s="107" t="str">
        <f t="shared" ref="H3324:H3329" si="27">"ifnull("&amp;IF(I3324&lt;&gt;"",I3324,IF(F3325&lt;&gt;"",F3325,"t")&amp;"."&amp;C3325)&amp;","&amp;E3325&amp;") as "&amp;C3325&amp;",/*"&amp;B3325&amp;"*/"</f>
        <v>ifnull(sum(if(t.order_dir=1,ifnull(t.strike_amt,0),0)),0) as comm_avail_qty,/*指令端可用数量*/</v>
      </c>
      <c r="I3324" s="7" t="s">
        <v>451</v>
      </c>
      <c r="J3324" s="1" t="s">
        <v>428</v>
      </c>
      <c r="K3324" s="1" t="s">
        <v>429</v>
      </c>
      <c r="L3324" s="1" t="s">
        <v>430</v>
      </c>
      <c r="M3324" s="1" t="s">
        <v>430</v>
      </c>
    </row>
    <row r="3325" spans="2:14" ht="16.5" hidden="1" customHeight="1" outlineLevel="1" x14ac:dyDescent="0.15">
      <c r="B3325" s="142" t="s">
        <v>476</v>
      </c>
      <c r="C3325" s="113" t="s">
        <v>1482</v>
      </c>
      <c r="D3325" s="113" t="s">
        <v>1087</v>
      </c>
      <c r="E3325" s="113">
        <v>0</v>
      </c>
      <c r="F3325" s="113"/>
      <c r="G3325" s="1" t="s">
        <v>1506</v>
      </c>
      <c r="H3325" s="107" t="str">
        <f t="shared" si="27"/>
        <v>ifnull(sum(if(t.order_dir=2,ifnull(t.strike_amt,0),0))/sum(if(t.order_dir=2,ifnull(t.strike_amt,0),0)),0) as static_avail_qty,/*静态可用数量*/</v>
      </c>
      <c r="I3325" s="7" t="s">
        <v>452</v>
      </c>
      <c r="J3325" s="1" t="s">
        <v>428</v>
      </c>
      <c r="K3325" s="1" t="s">
        <v>429</v>
      </c>
      <c r="L3325" s="1" t="s">
        <v>430</v>
      </c>
      <c r="M3325" s="1" t="s">
        <v>430</v>
      </c>
    </row>
    <row r="3326" spans="2:14" ht="16.5" hidden="1" customHeight="1" outlineLevel="1" x14ac:dyDescent="0.15">
      <c r="B3326" s="142" t="s">
        <v>490</v>
      </c>
      <c r="C3326" s="113" t="s">
        <v>1507</v>
      </c>
      <c r="D3326" s="113" t="s">
        <v>1087</v>
      </c>
      <c r="E3326" s="113">
        <v>0</v>
      </c>
      <c r="F3326" s="113"/>
      <c r="H3326" s="107" t="str">
        <f t="shared" si="27"/>
        <v>ifnull(sum(if(t.order_dir=1,1,-1)*ifnull(t.strike_amt,0)),0) as posi_nav_ratio,/*持仓净值占比*/</v>
      </c>
      <c r="I3326" s="7" t="s">
        <v>453</v>
      </c>
    </row>
    <row r="3327" spans="2:14" hidden="1" outlineLevel="1" x14ac:dyDescent="0.15">
      <c r="B3327" s="142" t="s">
        <v>480</v>
      </c>
      <c r="C3327" s="113" t="s">
        <v>1079</v>
      </c>
      <c r="D3327" s="113" t="s">
        <v>1172</v>
      </c>
      <c r="E3327" s="113">
        <v>0</v>
      </c>
      <c r="F3327" s="113"/>
      <c r="H3327" s="107" t="str">
        <f t="shared" si="27"/>
        <v>ifnull(min(if(t.order_dir=1,t.order_time,NULL)),0) as bond_receivable_amt,/*债券应收利息*/</v>
      </c>
      <c r="I3327" s="7" t="s">
        <v>520</v>
      </c>
      <c r="J3327" s="1" t="s">
        <v>428</v>
      </c>
      <c r="K3327" s="1" t="s">
        <v>429</v>
      </c>
      <c r="L3327" s="1" t="s">
        <v>430</v>
      </c>
      <c r="M3327" s="1" t="s">
        <v>430</v>
      </c>
      <c r="N3327" s="1">
        <v>1163</v>
      </c>
    </row>
    <row r="3328" spans="2:14" hidden="1" outlineLevel="1" x14ac:dyDescent="0.15">
      <c r="B3328" s="142" t="s">
        <v>481</v>
      </c>
      <c r="C3328" s="113" t="s">
        <v>1209</v>
      </c>
      <c r="D3328" s="113" t="s">
        <v>1169</v>
      </c>
      <c r="E3328" s="113">
        <v>0</v>
      </c>
      <c r="F3328" s="113"/>
      <c r="G3328" s="245"/>
      <c r="H3328" s="107" t="str">
        <f t="shared" si="27"/>
        <v>ifnull(max(if(t.order_dir=1,t.order_time,NULL)),0) as full_holding_amt,/*全价持仓市值*/</v>
      </c>
      <c r="I3328" s="7" t="s">
        <v>521</v>
      </c>
      <c r="J3328" s="1" t="s">
        <v>428</v>
      </c>
      <c r="K3328" s="1" t="s">
        <v>429</v>
      </c>
      <c r="L3328" s="1" t="s">
        <v>430</v>
      </c>
      <c r="M3328" s="1" t="s">
        <v>430</v>
      </c>
    </row>
    <row r="3329" spans="1:14" ht="16.5" hidden="1" customHeight="1" outlineLevel="1" x14ac:dyDescent="0.15">
      <c r="B3329" s="142" t="s">
        <v>477</v>
      </c>
      <c r="C3329" s="113" t="s">
        <v>1530</v>
      </c>
      <c r="D3329" s="113" t="s">
        <v>1169</v>
      </c>
      <c r="E3329" s="113">
        <v>0</v>
      </c>
      <c r="F3329" s="113"/>
      <c r="G3329" s="245"/>
      <c r="H3329" s="107" t="str">
        <f t="shared" si="27"/>
        <v>ifnull(min(if(t.order_dir=2,t.order_time,NULL)),0) as impawn_qty,/*质押数量*/</v>
      </c>
      <c r="I3329" s="7" t="s">
        <v>522</v>
      </c>
      <c r="J3329" s="1" t="s">
        <v>428</v>
      </c>
      <c r="K3329" s="1" t="s">
        <v>429</v>
      </c>
      <c r="L3329" s="1" t="s">
        <v>430</v>
      </c>
      <c r="M3329" s="1" t="s">
        <v>430</v>
      </c>
    </row>
    <row r="3330" spans="1:14" s="7" customFormat="1" ht="16.5" hidden="1" customHeight="1" outlineLevel="1" x14ac:dyDescent="0.15">
      <c r="A3330" s="1"/>
      <c r="B3330" s="142" t="s">
        <v>482</v>
      </c>
      <c r="C3330" s="113" t="s">
        <v>1208</v>
      </c>
      <c r="D3330" s="113" t="s">
        <v>1087</v>
      </c>
      <c r="E3330" s="113">
        <v>0</v>
      </c>
      <c r="F3330" s="113"/>
      <c r="G3330" s="245"/>
      <c r="H3330" s="107"/>
    </row>
    <row r="3331" spans="1:14" s="7" customFormat="1" ht="18" hidden="1" outlineLevel="1" thickBot="1" x14ac:dyDescent="0.2">
      <c r="A3331" s="2"/>
      <c r="B3331" s="24"/>
      <c r="C3331" s="9"/>
      <c r="D3331" s="9"/>
      <c r="E3331" s="9"/>
      <c r="F3331" s="9"/>
      <c r="G3331" s="11"/>
      <c r="H3331" s="107"/>
    </row>
    <row r="3332" spans="1:14" s="7" customFormat="1" hidden="1" outlineLevel="1" x14ac:dyDescent="0.15">
      <c r="A3332" s="2"/>
      <c r="B3332" s="327" t="s">
        <v>15</v>
      </c>
      <c r="C3332" s="328"/>
      <c r="D3332" s="328"/>
      <c r="E3332" s="328"/>
      <c r="F3332" s="328"/>
      <c r="G3332" s="329"/>
    </row>
    <row r="3333" spans="1:14" ht="18" hidden="1" outlineLevel="1" thickBot="1" x14ac:dyDescent="0.2">
      <c r="A3333" s="2"/>
      <c r="B3333" s="24"/>
      <c r="C3333" s="9"/>
      <c r="D3333" s="9"/>
      <c r="E3333" s="9"/>
      <c r="F3333" s="9"/>
      <c r="G3333" s="11"/>
    </row>
    <row r="3334" spans="1:14" s="7" customFormat="1" ht="18" hidden="1" outlineLevel="1" thickBot="1" x14ac:dyDescent="0.2">
      <c r="A3334" s="1"/>
      <c r="B3334" s="1"/>
      <c r="C3334" s="1"/>
      <c r="D3334" s="1"/>
      <c r="E3334" s="1"/>
      <c r="F3334" s="1"/>
      <c r="G3334" s="1"/>
      <c r="H3334" s="6" t="str">
        <f>"create or replace view "&amp;C3335</f>
        <v>create or replace view vi_sum_pd_stock_strike</v>
      </c>
    </row>
    <row r="3335" spans="1:14" s="7" customFormat="1" ht="18" collapsed="1" thickBot="1" x14ac:dyDescent="0.2">
      <c r="A3335" s="2"/>
      <c r="B3335" s="3" t="s">
        <v>563</v>
      </c>
      <c r="C3335" s="4" t="s">
        <v>555</v>
      </c>
      <c r="D3335" s="5" t="s">
        <v>515</v>
      </c>
      <c r="E3335" s="21" t="s">
        <v>587</v>
      </c>
      <c r="F3335" s="5" t="s">
        <v>567</v>
      </c>
      <c r="G3335" s="6" t="s">
        <v>554</v>
      </c>
      <c r="H3335" s="11" t="str">
        <f>"/* "&amp;E3335&amp;"*/  as "</f>
        <v xml:space="preserve">/* 报表_资管报表_视图-汇总-产品-证券-成交*/  as </v>
      </c>
    </row>
    <row r="3336" spans="1:14" s="7" customFormat="1" ht="18" hidden="1" outlineLevel="1" thickBot="1" x14ac:dyDescent="0.2">
      <c r="A3336" s="2"/>
      <c r="B3336" s="34" t="s">
        <v>570</v>
      </c>
      <c r="C3336" s="18"/>
      <c r="D3336" s="35" t="s">
        <v>568</v>
      </c>
      <c r="E3336" s="18" t="s">
        <v>615</v>
      </c>
      <c r="F3336" s="35"/>
      <c r="G3336" s="147" t="s">
        <v>421</v>
      </c>
      <c r="H3336" s="13" t="s">
        <v>474</v>
      </c>
    </row>
    <row r="3337" spans="1:14" hidden="1" outlineLevel="1" x14ac:dyDescent="0.15">
      <c r="A3337" s="2"/>
      <c r="B3337" s="3" t="s">
        <v>0</v>
      </c>
      <c r="C3337" s="5" t="s">
        <v>1</v>
      </c>
      <c r="D3337" s="5" t="s">
        <v>2</v>
      </c>
      <c r="E3337" s="5"/>
      <c r="F3337" s="5" t="s">
        <v>3</v>
      </c>
      <c r="G3337" s="36" t="s">
        <v>4</v>
      </c>
      <c r="H3337" s="107" t="str">
        <f t="shared" ref="H3337:H3359" si="28">"ifnull("&amp;IF(I3337&lt;&gt;"",I3337,IF(F3338&lt;&gt;"",F3338,"t")&amp;"."&amp;C3338)&amp;","&amp;E3338&amp;") as "&amp;C3338&amp;",/*"&amp;B3338&amp;"*/"</f>
        <v>ifnull(t.init_date,date_format(curdate(),'%Y%m%d')) as init_date,/*初始化日期*/</v>
      </c>
      <c r="J3337" s="1" t="s">
        <v>424</v>
      </c>
      <c r="K3337" s="1" t="s">
        <v>425</v>
      </c>
      <c r="L3337" s="1" t="s">
        <v>423</v>
      </c>
      <c r="M3337" s="1" t="s">
        <v>423</v>
      </c>
      <c r="N3337" s="1">
        <v>1211</v>
      </c>
    </row>
    <row r="3338" spans="1:14" hidden="1" outlineLevel="1" x14ac:dyDescent="0.15">
      <c r="B3338" s="176" t="s">
        <v>422</v>
      </c>
      <c r="C3338" s="176" t="s">
        <v>1123</v>
      </c>
      <c r="D3338" s="176" t="s">
        <v>423</v>
      </c>
      <c r="E3338" s="176" t="s">
        <v>1141</v>
      </c>
      <c r="F3338" s="176"/>
      <c r="G3338" s="176" t="s">
        <v>1162</v>
      </c>
      <c r="H3338" s="107" t="str">
        <f t="shared" si="28"/>
        <v>ifnull(t.co_no,0) as co_no,/*机构编号*/</v>
      </c>
      <c r="J3338" s="1" t="s">
        <v>424</v>
      </c>
      <c r="K3338" s="1" t="s">
        <v>425</v>
      </c>
      <c r="L3338" s="1" t="s">
        <v>423</v>
      </c>
      <c r="M3338" s="1" t="s">
        <v>423</v>
      </c>
      <c r="N3338" s="1">
        <v>1606</v>
      </c>
    </row>
    <row r="3339" spans="1:14" hidden="1" outlineLevel="1" x14ac:dyDescent="0.15">
      <c r="B3339" s="176" t="s">
        <v>426</v>
      </c>
      <c r="C3339" s="176" t="s">
        <v>1093</v>
      </c>
      <c r="D3339" s="176" t="s">
        <v>423</v>
      </c>
      <c r="E3339" s="176">
        <v>0</v>
      </c>
      <c r="F3339" s="176"/>
      <c r="G3339" s="176" t="s">
        <v>1077</v>
      </c>
      <c r="H3339" s="107" t="str">
        <f t="shared" si="28"/>
        <v>ifnull(t.pd_no,0) as pd_no,/*产品编号*/</v>
      </c>
    </row>
    <row r="3340" spans="1:14" hidden="1" outlineLevel="1" x14ac:dyDescent="0.15">
      <c r="B3340" s="176" t="s">
        <v>111</v>
      </c>
      <c r="C3340" s="176" t="s">
        <v>1164</v>
      </c>
      <c r="D3340" s="176" t="s">
        <v>211</v>
      </c>
      <c r="E3340" s="176">
        <v>0</v>
      </c>
      <c r="F3340" s="176"/>
      <c r="G3340" s="176" t="s">
        <v>1165</v>
      </c>
      <c r="H3340" s="107" t="str">
        <f t="shared" si="28"/>
        <v>ifnull(t.exch_no,0) as exch_no,/*市场编号*/</v>
      </c>
      <c r="J3340" s="1" t="s">
        <v>424</v>
      </c>
      <c r="K3340" s="1" t="s">
        <v>425</v>
      </c>
      <c r="L3340" s="1" t="s">
        <v>423</v>
      </c>
      <c r="M3340" s="1" t="s">
        <v>423</v>
      </c>
      <c r="N3340" s="1">
        <v>2155</v>
      </c>
    </row>
    <row r="3341" spans="1:14" hidden="1" outlineLevel="1" x14ac:dyDescent="0.15">
      <c r="B3341" s="176" t="s">
        <v>7</v>
      </c>
      <c r="C3341" s="176" t="s">
        <v>1486</v>
      </c>
      <c r="D3341" s="176" t="s">
        <v>423</v>
      </c>
      <c r="E3341" s="176">
        <v>0</v>
      </c>
      <c r="F3341" s="176"/>
      <c r="G3341" s="176" t="s">
        <v>1081</v>
      </c>
      <c r="H3341" s="107" t="str">
        <f t="shared" si="28"/>
        <v>ifnull(t.stock_code_no,0) as stock_code_no,/*证券代码编号*/</v>
      </c>
      <c r="J3341" s="1" t="s">
        <v>424</v>
      </c>
      <c r="K3341" s="1" t="s">
        <v>425</v>
      </c>
      <c r="L3341" s="1" t="s">
        <v>423</v>
      </c>
      <c r="M3341" s="1" t="s">
        <v>423</v>
      </c>
      <c r="N3341" s="1">
        <v>2430</v>
      </c>
    </row>
    <row r="3342" spans="1:14" s="7" customFormat="1" hidden="1" outlineLevel="1" x14ac:dyDescent="0.15">
      <c r="A3342" s="1"/>
      <c r="B3342" s="176" t="s">
        <v>427</v>
      </c>
      <c r="C3342" s="176" t="s">
        <v>1487</v>
      </c>
      <c r="D3342" s="176" t="s">
        <v>423</v>
      </c>
      <c r="E3342" s="176">
        <v>0</v>
      </c>
      <c r="F3342" s="176"/>
      <c r="G3342" s="176"/>
      <c r="H3342" s="107" t="str">
        <f t="shared" si="28"/>
        <v>ifnull(t.stock_type,0) as stock_type,/*证券类型*/</v>
      </c>
      <c r="J3342" s="7" t="s">
        <v>424</v>
      </c>
      <c r="K3342" s="7" t="s">
        <v>425</v>
      </c>
      <c r="L3342" s="7" t="s">
        <v>423</v>
      </c>
      <c r="M3342" s="7" t="s">
        <v>423</v>
      </c>
      <c r="N3342" s="7">
        <v>2433</v>
      </c>
    </row>
    <row r="3343" spans="1:14" s="7" customFormat="1" hidden="1" outlineLevel="1" x14ac:dyDescent="0.15">
      <c r="A3343" s="2"/>
      <c r="B3343" s="176" t="s">
        <v>93</v>
      </c>
      <c r="C3343" s="176" t="s">
        <v>1189</v>
      </c>
      <c r="D3343" s="176" t="s">
        <v>211</v>
      </c>
      <c r="E3343" s="176">
        <v>0</v>
      </c>
      <c r="F3343" s="176"/>
      <c r="G3343" s="176"/>
      <c r="H3343" s="107" t="str">
        <f t="shared" si="28"/>
        <v>ifnull(t.asset_type,0) as asset_type,/*资产类型*/</v>
      </c>
      <c r="J3343" s="7" t="s">
        <v>424</v>
      </c>
      <c r="K3343" s="7" t="s">
        <v>425</v>
      </c>
      <c r="L3343" s="7" t="s">
        <v>423</v>
      </c>
      <c r="M3343" s="7" t="s">
        <v>423</v>
      </c>
      <c r="N3343" s="7">
        <v>2528</v>
      </c>
    </row>
    <row r="3344" spans="1:14" s="7" customFormat="1" hidden="1" outlineLevel="1" x14ac:dyDescent="0.15">
      <c r="A3344" s="2"/>
      <c r="B3344" s="176" t="s">
        <v>41</v>
      </c>
      <c r="C3344" s="176" t="s">
        <v>1258</v>
      </c>
      <c r="D3344" s="176" t="s">
        <v>211</v>
      </c>
      <c r="E3344" s="176">
        <v>0</v>
      </c>
      <c r="F3344" s="176"/>
      <c r="G3344" s="176" t="s">
        <v>1259</v>
      </c>
      <c r="H3344" s="107" t="str">
        <f t="shared" si="28"/>
        <v>ifnull(sum(t.order_price),0) as order_price,/*订单价格*/</v>
      </c>
      <c r="I3344" s="7" t="str">
        <f>"sum(t."&amp;C3345&amp;")"</f>
        <v>sum(t.order_price)</v>
      </c>
      <c r="J3344" s="7" t="s">
        <v>428</v>
      </c>
      <c r="K3344" s="7" t="s">
        <v>429</v>
      </c>
      <c r="L3344" s="7" t="s">
        <v>430</v>
      </c>
      <c r="M3344" s="7" t="s">
        <v>430</v>
      </c>
      <c r="N3344" s="7">
        <v>1306</v>
      </c>
    </row>
    <row r="3345" spans="1:14" s="7" customFormat="1" hidden="1" outlineLevel="1" x14ac:dyDescent="0.15">
      <c r="B3345" s="176" t="s">
        <v>262</v>
      </c>
      <c r="C3345" s="176" t="s">
        <v>1372</v>
      </c>
      <c r="D3345" s="176" t="s">
        <v>1211</v>
      </c>
      <c r="E3345" s="176">
        <v>0</v>
      </c>
      <c r="F3345" s="176"/>
      <c r="G3345" s="176" t="s">
        <v>1373</v>
      </c>
      <c r="H3345" s="107" t="str">
        <f t="shared" si="28"/>
        <v>ifnull(sum(t.order_qty),0) as order_qty,/*订单数量*/</v>
      </c>
      <c r="I3345" s="7" t="str">
        <f>"sum(t."&amp;C3346&amp;")"</f>
        <v>sum(t.order_qty)</v>
      </c>
      <c r="J3345" s="7" t="s">
        <v>428</v>
      </c>
      <c r="K3345" s="7" t="s">
        <v>429</v>
      </c>
      <c r="L3345" s="7" t="s">
        <v>430</v>
      </c>
      <c r="M3345" s="7" t="s">
        <v>430</v>
      </c>
      <c r="N3345" s="7">
        <v>1310</v>
      </c>
    </row>
    <row r="3346" spans="1:14" s="7" customFormat="1" hidden="1" outlineLevel="1" x14ac:dyDescent="0.15">
      <c r="B3346" s="176" t="s">
        <v>272</v>
      </c>
      <c r="C3346" s="176" t="s">
        <v>1374</v>
      </c>
      <c r="D3346" s="176" t="s">
        <v>1087</v>
      </c>
      <c r="E3346" s="176">
        <v>0</v>
      </c>
      <c r="F3346" s="176"/>
      <c r="G3346" s="176" t="s">
        <v>1375</v>
      </c>
      <c r="H3346" s="107" t="str">
        <f t="shared" si="28"/>
        <v>ifnull(sum(t.strike_qty),0) as strike_qty,/*成交数量*/</v>
      </c>
      <c r="I3346" s="7" t="str">
        <f>"sum(t."&amp;C3347&amp;")"</f>
        <v>sum(t.strike_qty)</v>
      </c>
      <c r="J3346" s="7" t="s">
        <v>428</v>
      </c>
      <c r="K3346" s="7" t="s">
        <v>429</v>
      </c>
      <c r="L3346" s="7" t="s">
        <v>430</v>
      </c>
      <c r="M3346" s="7" t="s">
        <v>430</v>
      </c>
      <c r="N3346" s="7">
        <v>1188</v>
      </c>
    </row>
    <row r="3347" spans="1:14" s="7" customFormat="1" hidden="1" outlineLevel="1" x14ac:dyDescent="0.15">
      <c r="B3347" s="176" t="s">
        <v>38</v>
      </c>
      <c r="C3347" s="176" t="s">
        <v>1241</v>
      </c>
      <c r="D3347" s="176" t="s">
        <v>1087</v>
      </c>
      <c r="E3347" s="176">
        <v>0</v>
      </c>
      <c r="F3347" s="176"/>
      <c r="G3347" s="176" t="s">
        <v>1086</v>
      </c>
      <c r="H3347" s="107" t="str">
        <f t="shared" si="28"/>
        <v>ifnull(sum(t.strike_price),0) as strike_price,/*成交价格*/</v>
      </c>
      <c r="I3347" s="7" t="str">
        <f>"sum(t."&amp;C3348&amp;")"</f>
        <v>sum(t.strike_price)</v>
      </c>
      <c r="J3347" s="7" t="s">
        <v>428</v>
      </c>
      <c r="K3347" s="7" t="s">
        <v>429</v>
      </c>
      <c r="L3347" s="7" t="s">
        <v>430</v>
      </c>
      <c r="M3347" s="7" t="s">
        <v>430</v>
      </c>
      <c r="N3347" s="7">
        <v>1179</v>
      </c>
    </row>
    <row r="3348" spans="1:14" s="7" customFormat="1" hidden="1" outlineLevel="1" x14ac:dyDescent="0.15">
      <c r="B3348" s="176" t="s">
        <v>100</v>
      </c>
      <c r="C3348" s="176" t="s">
        <v>1376</v>
      </c>
      <c r="D3348" s="176" t="s">
        <v>1211</v>
      </c>
      <c r="E3348" s="176">
        <v>0</v>
      </c>
      <c r="F3348" s="176"/>
      <c r="G3348" s="176" t="s">
        <v>1377</v>
      </c>
      <c r="H3348" s="107" t="str">
        <f t="shared" si="28"/>
        <v>ifnull(sum(t.strike_amt),0) as strike_amt,/*成交金额*/</v>
      </c>
      <c r="I3348" s="7" t="str">
        <f>"sum(t."&amp;C3349&amp;")"</f>
        <v>sum(t.strike_amt)</v>
      </c>
      <c r="J3348" s="7" t="s">
        <v>428</v>
      </c>
      <c r="K3348" s="7" t="s">
        <v>429</v>
      </c>
      <c r="L3348" s="7" t="s">
        <v>430</v>
      </c>
      <c r="M3348" s="7" t="s">
        <v>430</v>
      </c>
      <c r="N3348" s="7">
        <v>1180</v>
      </c>
    </row>
    <row r="3349" spans="1:14" hidden="1" outlineLevel="1" x14ac:dyDescent="0.15">
      <c r="A3349" s="7"/>
      <c r="B3349" s="176" t="s">
        <v>277</v>
      </c>
      <c r="C3349" s="176" t="s">
        <v>1242</v>
      </c>
      <c r="D3349" s="176" t="s">
        <v>1169</v>
      </c>
      <c r="E3349" s="176">
        <v>0</v>
      </c>
      <c r="F3349" s="176"/>
      <c r="G3349" s="176" t="s">
        <v>1243</v>
      </c>
      <c r="H3349" s="107" t="str">
        <f t="shared" si="28"/>
        <v>ifnull(sum(if(t.order_dir=1,ifnull(t.strike_qty,0),0)),0) as buy_qty,/*买入数量*/</v>
      </c>
      <c r="I3349" s="7" t="s">
        <v>449</v>
      </c>
      <c r="J3349" s="1" t="s">
        <v>428</v>
      </c>
      <c r="K3349" s="1" t="s">
        <v>429</v>
      </c>
      <c r="L3349" s="1" t="s">
        <v>430</v>
      </c>
      <c r="M3349" s="1" t="s">
        <v>430</v>
      </c>
    </row>
    <row r="3350" spans="1:14" hidden="1" outlineLevel="1" x14ac:dyDescent="0.15">
      <c r="B3350" s="147" t="s">
        <v>433</v>
      </c>
      <c r="C3350" s="147" t="s">
        <v>1497</v>
      </c>
      <c r="D3350" s="147" t="s">
        <v>1498</v>
      </c>
      <c r="E3350" s="147">
        <v>0</v>
      </c>
      <c r="F3350" s="147"/>
      <c r="G3350" s="147"/>
      <c r="H3350" s="107" t="str">
        <f t="shared" si="28"/>
        <v>ifnull(sum(if(t.order_dir=1,ifnull(t.strike_amt,0),0)),0) as buy_amt,/*买入金额*/</v>
      </c>
      <c r="I3350" s="7" t="s">
        <v>451</v>
      </c>
      <c r="J3350" s="1" t="s">
        <v>428</v>
      </c>
      <c r="K3350" s="1" t="s">
        <v>429</v>
      </c>
      <c r="L3350" s="1" t="s">
        <v>430</v>
      </c>
      <c r="M3350" s="1" t="s">
        <v>430</v>
      </c>
    </row>
    <row r="3351" spans="1:14" hidden="1" outlineLevel="1" x14ac:dyDescent="0.15">
      <c r="B3351" s="147" t="s">
        <v>434</v>
      </c>
      <c r="C3351" s="147" t="s">
        <v>1608</v>
      </c>
      <c r="D3351" s="147" t="s">
        <v>1331</v>
      </c>
      <c r="E3351" s="147">
        <v>0</v>
      </c>
      <c r="F3351" s="147"/>
      <c r="G3351" s="147"/>
      <c r="H3351" s="107" t="str">
        <f t="shared" si="28"/>
        <v>ifnull(sum(if(t.order_dir=1,ifnull(t.strike_amt,0),0))/sum(if(t.order_dir=1,ifnull(t.strike_amt,0),0)),0) as buy_strike_price,/*买入成交价*/</v>
      </c>
      <c r="I3351" s="7" t="s">
        <v>450</v>
      </c>
      <c r="J3351" s="1" t="s">
        <v>428</v>
      </c>
      <c r="K3351" s="1" t="s">
        <v>429</v>
      </c>
      <c r="L3351" s="1" t="s">
        <v>430</v>
      </c>
      <c r="M3351" s="1" t="s">
        <v>430</v>
      </c>
    </row>
    <row r="3352" spans="1:14" hidden="1" outlineLevel="1" x14ac:dyDescent="0.15">
      <c r="B3352" s="147" t="s">
        <v>435</v>
      </c>
      <c r="C3352" s="147" t="s">
        <v>1609</v>
      </c>
      <c r="D3352" s="147" t="s">
        <v>1484</v>
      </c>
      <c r="E3352" s="147">
        <v>0</v>
      </c>
      <c r="F3352" s="147"/>
      <c r="G3352" s="147"/>
      <c r="H3352" s="107" t="str">
        <f t="shared" si="28"/>
        <v>ifnull(sum(if(t.order_dir=1,ifnull(t.strike_qty,0),0)),0) as sell_qty,/*卖出数量*/</v>
      </c>
      <c r="I3352" s="7" t="s">
        <v>449</v>
      </c>
      <c r="J3352" s="1" t="s">
        <v>428</v>
      </c>
      <c r="K3352" s="1" t="s">
        <v>429</v>
      </c>
      <c r="L3352" s="1" t="s">
        <v>430</v>
      </c>
      <c r="M3352" s="1" t="s">
        <v>430</v>
      </c>
      <c r="N3352" s="1">
        <v>1163</v>
      </c>
    </row>
    <row r="3353" spans="1:14" hidden="1" outlineLevel="1" x14ac:dyDescent="0.15">
      <c r="B3353" s="147" t="s">
        <v>436</v>
      </c>
      <c r="C3353" s="147" t="s">
        <v>1420</v>
      </c>
      <c r="D3353" s="147" t="s">
        <v>1087</v>
      </c>
      <c r="E3353" s="147">
        <v>0</v>
      </c>
      <c r="F3353" s="147"/>
      <c r="H3353" s="107" t="str">
        <f t="shared" si="28"/>
        <v>ifnull(sum(if(t.order_dir=1,ifnull(t.strike_amt,0),0)),0) as sell_amt,/*销售金额*/</v>
      </c>
      <c r="I3353" s="7" t="s">
        <v>451</v>
      </c>
      <c r="J3353" s="1" t="s">
        <v>428</v>
      </c>
      <c r="K3353" s="1" t="s">
        <v>429</v>
      </c>
      <c r="L3353" s="1" t="s">
        <v>430</v>
      </c>
      <c r="M3353" s="1" t="s">
        <v>430</v>
      </c>
    </row>
    <row r="3354" spans="1:14" ht="16.5" hidden="1" customHeight="1" outlineLevel="1" x14ac:dyDescent="0.15">
      <c r="B3354" s="105" t="s">
        <v>706</v>
      </c>
      <c r="C3354" s="147" t="s">
        <v>1421</v>
      </c>
      <c r="D3354" s="147" t="s">
        <v>1169</v>
      </c>
      <c r="E3354" s="147">
        <v>0</v>
      </c>
      <c r="F3354" s="147"/>
      <c r="H3354" s="107" t="str">
        <f t="shared" si="28"/>
        <v>ifnull(sum(if(t.order_dir=2,ifnull(t.strike_amt,0),0))/sum(if(t.order_dir=2,ifnull(t.strike_amt,0),0)),0) as sell_strike_price,/*卖出成交价*/</v>
      </c>
      <c r="I3354" s="7" t="s">
        <v>452</v>
      </c>
      <c r="J3354" s="1" t="s">
        <v>428</v>
      </c>
      <c r="K3354" s="1" t="s">
        <v>429</v>
      </c>
      <c r="L3354" s="1" t="s">
        <v>430</v>
      </c>
      <c r="M3354" s="1" t="s">
        <v>430</v>
      </c>
    </row>
    <row r="3355" spans="1:14" ht="16.5" hidden="1" customHeight="1" outlineLevel="1" x14ac:dyDescent="0.15">
      <c r="B3355" s="147" t="s">
        <v>437</v>
      </c>
      <c r="C3355" s="147" t="s">
        <v>1499</v>
      </c>
      <c r="D3355" s="147" t="s">
        <v>1484</v>
      </c>
      <c r="E3355" s="147">
        <v>0</v>
      </c>
      <c r="F3355" s="147"/>
      <c r="H3355" s="107" t="str">
        <f t="shared" si="28"/>
        <v>ifnull(sum(if(t.order_dir=1,1,-1)*ifnull(t.strike_amt,0)),0) as diff_qty,/*数量差额*/</v>
      </c>
      <c r="I3355" s="7" t="s">
        <v>453</v>
      </c>
    </row>
    <row r="3356" spans="1:14" hidden="1" outlineLevel="1" x14ac:dyDescent="0.15">
      <c r="B3356" s="147" t="s">
        <v>438</v>
      </c>
      <c r="C3356" s="147" t="s">
        <v>1500</v>
      </c>
      <c r="D3356" s="147" t="s">
        <v>1087</v>
      </c>
      <c r="E3356" s="147">
        <v>0</v>
      </c>
      <c r="F3356" s="147"/>
      <c r="H3356" s="107" t="str">
        <f t="shared" si="28"/>
        <v>ifnull(min(if(t.order_dir=1,t.order_time,NULL)),date_format(curtime(),'%H%i%s')) as buy_begin_time,/*买入开始时间*/</v>
      </c>
      <c r="I3356" s="7" t="s">
        <v>520</v>
      </c>
      <c r="J3356" s="1" t="s">
        <v>428</v>
      </c>
      <c r="K3356" s="1" t="s">
        <v>429</v>
      </c>
      <c r="L3356" s="1" t="s">
        <v>430</v>
      </c>
      <c r="M3356" s="1" t="s">
        <v>430</v>
      </c>
      <c r="N3356" s="1">
        <v>1163</v>
      </c>
    </row>
    <row r="3357" spans="1:14" hidden="1" outlineLevel="1" x14ac:dyDescent="0.15">
      <c r="B3357" s="245" t="s">
        <v>516</v>
      </c>
      <c r="C3357" s="245" t="s">
        <v>1501</v>
      </c>
      <c r="D3357" s="245" t="s">
        <v>211</v>
      </c>
      <c r="E3357" s="245" t="s">
        <v>1265</v>
      </c>
      <c r="F3357" s="245"/>
      <c r="G3357" s="245"/>
      <c r="H3357" s="107" t="str">
        <f t="shared" si="28"/>
        <v>ifnull(max(if(t.order_dir=1,t.order_time,NULL)),date_format(curtime(),'%H%i%s')) as buy_end_time,/*买入结束时间*/</v>
      </c>
      <c r="I3357" s="7" t="s">
        <v>521</v>
      </c>
      <c r="J3357" s="1" t="s">
        <v>428</v>
      </c>
      <c r="K3357" s="1" t="s">
        <v>429</v>
      </c>
      <c r="L3357" s="1" t="s">
        <v>430</v>
      </c>
      <c r="M3357" s="1" t="s">
        <v>430</v>
      </c>
    </row>
    <row r="3358" spans="1:14" ht="16.5" hidden="1" customHeight="1" outlineLevel="1" x14ac:dyDescent="0.15">
      <c r="B3358" s="245" t="s">
        <v>517</v>
      </c>
      <c r="C3358" s="245" t="s">
        <v>1502</v>
      </c>
      <c r="D3358" s="245" t="s">
        <v>211</v>
      </c>
      <c r="E3358" s="245" t="s">
        <v>1265</v>
      </c>
      <c r="F3358" s="245"/>
      <c r="G3358" s="245"/>
      <c r="H3358" s="107" t="str">
        <f t="shared" si="28"/>
        <v>ifnull(min(if(t.order_dir=2,t.order_time,NULL)),date_format(curtime(),'%H%i%s')) as sell_begin_time,/*卖出开始时间*/</v>
      </c>
      <c r="I3358" s="7" t="s">
        <v>522</v>
      </c>
      <c r="J3358" s="1" t="s">
        <v>428</v>
      </c>
      <c r="K3358" s="1" t="s">
        <v>429</v>
      </c>
      <c r="L3358" s="1" t="s">
        <v>430</v>
      </c>
      <c r="M3358" s="1" t="s">
        <v>430</v>
      </c>
    </row>
    <row r="3359" spans="1:14" ht="16.5" hidden="1" customHeight="1" outlineLevel="1" x14ac:dyDescent="0.15">
      <c r="B3359" s="245" t="s">
        <v>518</v>
      </c>
      <c r="C3359" s="245" t="s">
        <v>1503</v>
      </c>
      <c r="D3359" s="245" t="s">
        <v>211</v>
      </c>
      <c r="E3359" s="245" t="s">
        <v>1265</v>
      </c>
      <c r="F3359" s="245"/>
      <c r="G3359" s="245"/>
      <c r="H3359" s="107" t="str">
        <f t="shared" si="28"/>
        <v>ifnull(max(if(t.order_dir=2,t.order_time,NULL)),date_format(curtime(),'%H%i%s')) as sell_end_time,/*卖出结束时间*/</v>
      </c>
      <c r="I3359" s="7" t="s">
        <v>523</v>
      </c>
    </row>
    <row r="3360" spans="1:14" s="7" customFormat="1" ht="16.5" hidden="1" customHeight="1" outlineLevel="1" x14ac:dyDescent="0.15">
      <c r="A3360" s="1"/>
      <c r="B3360" s="245" t="s">
        <v>519</v>
      </c>
      <c r="C3360" s="245" t="s">
        <v>1610</v>
      </c>
      <c r="D3360" s="245" t="s">
        <v>211</v>
      </c>
      <c r="E3360" s="245" t="s">
        <v>1265</v>
      </c>
      <c r="F3360" s="245"/>
      <c r="G3360" s="245"/>
      <c r="H3360" s="107"/>
    </row>
    <row r="3361" spans="1:8" s="7" customFormat="1" ht="18" hidden="1" outlineLevel="1" thickBot="1" x14ac:dyDescent="0.2">
      <c r="A3361" s="2"/>
      <c r="B3361" s="24"/>
      <c r="C3361" s="9"/>
      <c r="D3361" s="9"/>
      <c r="E3361" s="9"/>
      <c r="F3361" s="9"/>
      <c r="G3361" s="11"/>
      <c r="H3361" s="107"/>
    </row>
    <row r="3362" spans="1:8" s="7" customFormat="1" hidden="1" outlineLevel="1" x14ac:dyDescent="0.15">
      <c r="A3362" s="2"/>
      <c r="B3362" s="327" t="s">
        <v>15</v>
      </c>
      <c r="C3362" s="328"/>
      <c r="D3362" s="328"/>
      <c r="E3362" s="328"/>
      <c r="F3362" s="328"/>
      <c r="G3362" s="329"/>
    </row>
    <row r="3363" spans="1:8" ht="18" hidden="1" outlineLevel="1" thickBot="1" x14ac:dyDescent="0.2">
      <c r="A3363" s="2"/>
      <c r="B3363" s="24"/>
      <c r="C3363" s="9"/>
      <c r="D3363" s="9"/>
      <c r="E3363" s="9"/>
      <c r="F3363" s="9"/>
      <c r="G3363" s="11"/>
    </row>
    <row r="3364" spans="1:8" ht="18" hidden="1" outlineLevel="1" thickBot="1" x14ac:dyDescent="0.2"/>
    <row r="3365" spans="1:8" s="7" customFormat="1" ht="18" hidden="1" outlineLevel="1" thickBot="1" x14ac:dyDescent="0.2">
      <c r="A3365" s="1"/>
      <c r="B3365" s="1"/>
      <c r="C3365" s="1"/>
      <c r="D3365" s="1"/>
      <c r="E3365" s="1"/>
      <c r="F3365" s="1"/>
      <c r="G3365" s="1"/>
      <c r="H3365" s="6" t="str">
        <f>"create or replace view "&amp;C3366</f>
        <v>create or replace view vi_dt_exgp_posi_value</v>
      </c>
    </row>
    <row r="3366" spans="1:8" s="7" customFormat="1" ht="18" collapsed="1" thickBot="1" x14ac:dyDescent="0.2">
      <c r="A3366" s="2"/>
      <c r="B3366" s="3" t="s">
        <v>563</v>
      </c>
      <c r="C3366" s="147" t="s">
        <v>552</v>
      </c>
      <c r="D3366" s="147" t="s">
        <v>515</v>
      </c>
      <c r="E3366" s="21" t="s">
        <v>735</v>
      </c>
      <c r="F3366" s="5" t="s">
        <v>567</v>
      </c>
      <c r="G3366" s="6" t="s">
        <v>684</v>
      </c>
      <c r="H3366" s="11" t="str">
        <f>"/* "&amp;E3366&amp;"*/  as "</f>
        <v xml:space="preserve">/* 报表_资管报表_视图-数据-交易组-持仓*/  as </v>
      </c>
    </row>
    <row r="3367" spans="1:8" s="7" customFormat="1" ht="18" hidden="1" outlineLevel="1" thickBot="1" x14ac:dyDescent="0.2">
      <c r="A3367" s="2"/>
      <c r="B3367" s="34" t="s">
        <v>570</v>
      </c>
      <c r="C3367" s="18"/>
      <c r="D3367" s="35" t="s">
        <v>568</v>
      </c>
      <c r="E3367" s="18" t="s">
        <v>615</v>
      </c>
      <c r="F3367" s="35"/>
      <c r="G3367" s="19"/>
      <c r="H3367" s="13" t="s">
        <v>474</v>
      </c>
    </row>
    <row r="3368" spans="1:8" s="7" customFormat="1" hidden="1" outlineLevel="1" x14ac:dyDescent="0.15">
      <c r="A3368" s="2"/>
      <c r="B3368" s="3" t="s">
        <v>0</v>
      </c>
      <c r="C3368" s="5" t="s">
        <v>1</v>
      </c>
      <c r="D3368" s="5" t="s">
        <v>2</v>
      </c>
      <c r="E3368" s="5"/>
      <c r="F3368" s="5" t="s">
        <v>3</v>
      </c>
      <c r="G3368" s="36" t="s">
        <v>4</v>
      </c>
      <c r="H3368" s="107"/>
    </row>
    <row r="3369" spans="1:8" s="7" customFormat="1" hidden="1" outlineLevel="1" x14ac:dyDescent="0.15">
      <c r="A3369" s="2"/>
      <c r="B3369" s="194" t="s">
        <v>22</v>
      </c>
      <c r="C3369" s="195" t="s">
        <v>1127</v>
      </c>
      <c r="D3369" s="195" t="s">
        <v>211</v>
      </c>
      <c r="E3369" s="195" t="s">
        <v>1141</v>
      </c>
      <c r="F3369" s="195"/>
      <c r="G3369" s="196" t="s">
        <v>1162</v>
      </c>
      <c r="H3369" s="107" t="str">
        <f t="shared" ref="H3369:H3390" si="29">"ifnull("&amp;IF(I3369&lt;&gt;"",I3369,IF(F3370&lt;&gt;"",F3370,"t")&amp;"."&amp;C3370)&amp;","&amp;E3370&amp;") as "&amp;C3370&amp;",/*"&amp;B3370&amp;"*/"</f>
        <v>ifnull(t.co_no,0) as co_no,/*机构编号*/</v>
      </c>
    </row>
    <row r="3370" spans="1:8" s="7" customFormat="1" hidden="1" outlineLevel="1" x14ac:dyDescent="0.15">
      <c r="A3370" s="2"/>
      <c r="B3370" s="194" t="s">
        <v>6</v>
      </c>
      <c r="C3370" s="195" t="s">
        <v>1163</v>
      </c>
      <c r="D3370" s="195" t="s">
        <v>211</v>
      </c>
      <c r="E3370" s="195">
        <v>0</v>
      </c>
      <c r="F3370" s="195" t="s">
        <v>440</v>
      </c>
      <c r="G3370" s="196" t="s">
        <v>1077</v>
      </c>
      <c r="H3370" s="107" t="str">
        <f t="shared" si="29"/>
        <v>ifnull(t.pd_no,0) as pd_no,/*产品编号*/</v>
      </c>
    </row>
    <row r="3371" spans="1:8" s="7" customFormat="1" hidden="1" outlineLevel="1" x14ac:dyDescent="0.15">
      <c r="A3371" s="2"/>
      <c r="B3371" s="194" t="s">
        <v>111</v>
      </c>
      <c r="C3371" s="195" t="s">
        <v>1164</v>
      </c>
      <c r="D3371" s="195" t="s">
        <v>211</v>
      </c>
      <c r="E3371" s="195">
        <v>0</v>
      </c>
      <c r="F3371" s="195" t="s">
        <v>440</v>
      </c>
      <c r="G3371" s="196" t="s">
        <v>1165</v>
      </c>
      <c r="H3371" s="107" t="str">
        <f t="shared" si="29"/>
        <v>ifnull(t.exch_group_no,0) as exch_group_no,/*交易组编号*/</v>
      </c>
    </row>
    <row r="3372" spans="1:8" s="7" customFormat="1" hidden="1" outlineLevel="1" x14ac:dyDescent="0.15">
      <c r="A3372" s="2"/>
      <c r="B3372" s="194" t="s">
        <v>112</v>
      </c>
      <c r="C3372" s="195" t="s">
        <v>1133</v>
      </c>
      <c r="D3372" s="195" t="s">
        <v>211</v>
      </c>
      <c r="E3372" s="195">
        <v>0</v>
      </c>
      <c r="F3372" s="195" t="s">
        <v>440</v>
      </c>
      <c r="G3372" s="196" t="s">
        <v>1182</v>
      </c>
      <c r="H3372" s="107" t="str">
        <f t="shared" si="29"/>
        <v>ifnull(t.asset_acco_no,0) as asset_acco_no,/*资产账户编号*/</v>
      </c>
    </row>
    <row r="3373" spans="1:8" s="7" customFormat="1" hidden="1" outlineLevel="1" x14ac:dyDescent="0.15">
      <c r="A3373" s="2"/>
      <c r="B3373" s="194" t="s">
        <v>113</v>
      </c>
      <c r="C3373" s="195" t="s">
        <v>1187</v>
      </c>
      <c r="D3373" s="195" t="s">
        <v>211</v>
      </c>
      <c r="E3373" s="195">
        <v>0</v>
      </c>
      <c r="F3373" s="195" t="s">
        <v>440</v>
      </c>
      <c r="G3373" s="196"/>
      <c r="H3373" s="107" t="str">
        <f t="shared" si="29"/>
        <v>ifnull(t.exch_no,0) as exch_no,/*市场编号*/</v>
      </c>
    </row>
    <row r="3374" spans="1:8" s="7" customFormat="1" hidden="1" outlineLevel="1" x14ac:dyDescent="0.15">
      <c r="A3374" s="2"/>
      <c r="B3374" s="194" t="s">
        <v>7</v>
      </c>
      <c r="C3374" s="195" t="s">
        <v>1190</v>
      </c>
      <c r="D3374" s="195" t="s">
        <v>211</v>
      </c>
      <c r="E3374" s="195">
        <v>0</v>
      </c>
      <c r="F3374" s="195" t="s">
        <v>440</v>
      </c>
      <c r="G3374" s="196" t="s">
        <v>1081</v>
      </c>
      <c r="H3374" s="107" t="str">
        <f t="shared" si="29"/>
        <v>ifnull(t.stock_acco_no,0) as stock_acco_no,/*股东代码编号*/</v>
      </c>
    </row>
    <row r="3375" spans="1:8" s="7" customFormat="1" hidden="1" outlineLevel="1" x14ac:dyDescent="0.15">
      <c r="A3375" s="2"/>
      <c r="B3375" s="194" t="s">
        <v>114</v>
      </c>
      <c r="C3375" s="195" t="s">
        <v>1155</v>
      </c>
      <c r="D3375" s="195" t="s">
        <v>211</v>
      </c>
      <c r="E3375" s="195">
        <v>0</v>
      </c>
      <c r="F3375" s="195" t="s">
        <v>440</v>
      </c>
      <c r="G3375" s="196"/>
      <c r="H3375" s="107" t="str">
        <f t="shared" si="29"/>
        <v>ifnull(t.stock_code_no,0) as stock_code_no,/*证券代码编号*/</v>
      </c>
    </row>
    <row r="3376" spans="1:8" s="7" customFormat="1" hidden="1" outlineLevel="1" x14ac:dyDescent="0.15">
      <c r="A3376" s="2"/>
      <c r="B3376" s="194" t="s">
        <v>115</v>
      </c>
      <c r="C3376" s="195" t="s">
        <v>1188</v>
      </c>
      <c r="D3376" s="195" t="s">
        <v>211</v>
      </c>
      <c r="E3376" s="195">
        <v>0</v>
      </c>
      <c r="F3376" s="195" t="s">
        <v>440</v>
      </c>
      <c r="G3376" s="196"/>
      <c r="H3376" s="107" t="str">
        <f t="shared" si="29"/>
        <v>ifnull(t.stock_type,0) as stock_type,/*证券类型*/</v>
      </c>
    </row>
    <row r="3377" spans="1:9" s="7" customFormat="1" hidden="1" outlineLevel="1" x14ac:dyDescent="0.15">
      <c r="A3377" s="2"/>
      <c r="B3377" s="194" t="s">
        <v>93</v>
      </c>
      <c r="C3377" s="195" t="s">
        <v>1189</v>
      </c>
      <c r="D3377" s="195" t="s">
        <v>211</v>
      </c>
      <c r="E3377" s="195">
        <v>0</v>
      </c>
      <c r="F3377" s="195" t="s">
        <v>440</v>
      </c>
      <c r="G3377" s="196"/>
      <c r="H3377" s="107" t="str">
        <f t="shared" si="29"/>
        <v>ifnull(t.asset_type,0) as asset_type,/*资产类型*/</v>
      </c>
    </row>
    <row r="3378" spans="1:9" s="7" customFormat="1" hidden="1" outlineLevel="1" x14ac:dyDescent="0.15">
      <c r="A3378" s="2"/>
      <c r="B3378" s="194" t="s">
        <v>41</v>
      </c>
      <c r="C3378" s="195" t="s">
        <v>1258</v>
      </c>
      <c r="D3378" s="195" t="s">
        <v>211</v>
      </c>
      <c r="E3378" s="195">
        <v>0</v>
      </c>
      <c r="F3378" s="195" t="s">
        <v>440</v>
      </c>
      <c r="G3378" s="196" t="s">
        <v>1259</v>
      </c>
      <c r="H3378" s="107" t="str">
        <f t="shared" si="29"/>
        <v>ifnull(t.begin_qty,0) as begin_qty,/*期初数量*/</v>
      </c>
    </row>
    <row r="3379" spans="1:9" s="7" customFormat="1" hidden="1" outlineLevel="1" x14ac:dyDescent="0.15">
      <c r="A3379" s="2"/>
      <c r="B3379" s="194" t="s">
        <v>8</v>
      </c>
      <c r="C3379" s="195" t="s">
        <v>1193</v>
      </c>
      <c r="D3379" s="195" t="s">
        <v>1087</v>
      </c>
      <c r="E3379" s="195">
        <v>0</v>
      </c>
      <c r="F3379" s="195" t="s">
        <v>440</v>
      </c>
      <c r="G3379" s="196" t="s">
        <v>1194</v>
      </c>
      <c r="H3379" s="107" t="str">
        <f t="shared" si="29"/>
        <v>ifnull(t.curr_qty,0) as curr_qty,/*当前数量*/</v>
      </c>
    </row>
    <row r="3380" spans="1:9" s="7" customFormat="1" hidden="1" outlineLevel="1" x14ac:dyDescent="0.15">
      <c r="A3380" s="2"/>
      <c r="B3380" s="194" t="s">
        <v>9</v>
      </c>
      <c r="C3380" s="195" t="s">
        <v>1195</v>
      </c>
      <c r="D3380" s="195" t="s">
        <v>1087</v>
      </c>
      <c r="E3380" s="195">
        <v>0</v>
      </c>
      <c r="F3380" s="195" t="s">
        <v>440</v>
      </c>
      <c r="G3380" s="196" t="s">
        <v>1196</v>
      </c>
      <c r="H3380" s="107" t="str">
        <f t="shared" si="29"/>
        <v>ifnull(t.frozen_qty,0) as frozen_qty,/*冻结数量*/</v>
      </c>
    </row>
    <row r="3381" spans="1:9" s="7" customFormat="1" hidden="1" outlineLevel="1" x14ac:dyDescent="0.15">
      <c r="A3381" s="2"/>
      <c r="B3381" s="194" t="s">
        <v>10</v>
      </c>
      <c r="C3381" s="195" t="s">
        <v>1197</v>
      </c>
      <c r="D3381" s="195" t="s">
        <v>1087</v>
      </c>
      <c r="E3381" s="195">
        <v>0</v>
      </c>
      <c r="F3381" s="195" t="s">
        <v>440</v>
      </c>
      <c r="G3381" s="196" t="s">
        <v>1144</v>
      </c>
      <c r="H3381" s="107" t="str">
        <f t="shared" si="29"/>
        <v>ifnull(t.unfroz_qty,0) as unfroz_qty,/*解冻数量*/</v>
      </c>
    </row>
    <row r="3382" spans="1:9" s="7" customFormat="1" hidden="1" outlineLevel="1" x14ac:dyDescent="0.15">
      <c r="A3382" s="2"/>
      <c r="B3382" s="194" t="s">
        <v>11</v>
      </c>
      <c r="C3382" s="195" t="s">
        <v>1198</v>
      </c>
      <c r="D3382" s="195" t="s">
        <v>1087</v>
      </c>
      <c r="E3382" s="195">
        <v>0</v>
      </c>
      <c r="F3382" s="195" t="s">
        <v>440</v>
      </c>
      <c r="G3382" s="196" t="s">
        <v>1080</v>
      </c>
      <c r="H3382" s="107" t="str">
        <f t="shared" si="29"/>
        <v>ifnull(t.cost_amt,0) as cost_amt,/*成本金额*/</v>
      </c>
    </row>
    <row r="3383" spans="1:9" s="7" customFormat="1" hidden="1" outlineLevel="1" x14ac:dyDescent="0.15">
      <c r="A3383" s="2"/>
      <c r="B3383" s="194" t="s">
        <v>116</v>
      </c>
      <c r="C3383" s="195" t="s">
        <v>1213</v>
      </c>
      <c r="D3383" s="195" t="s">
        <v>1169</v>
      </c>
      <c r="E3383" s="195">
        <v>0</v>
      </c>
      <c r="F3383" s="195" t="s">
        <v>440</v>
      </c>
      <c r="G3383" s="196"/>
      <c r="H3383" s="107" t="str">
        <f t="shared" si="29"/>
        <v>ifnull(t.realize_pandl,0) as realize_pandl,/*实现盈亏*/</v>
      </c>
    </row>
    <row r="3384" spans="1:9" s="7" customFormat="1" hidden="1" outlineLevel="1" x14ac:dyDescent="0.15">
      <c r="A3384" s="2"/>
      <c r="B3384" s="194" t="s">
        <v>12</v>
      </c>
      <c r="C3384" s="195" t="s">
        <v>1143</v>
      </c>
      <c r="D3384" s="195" t="s">
        <v>1169</v>
      </c>
      <c r="E3384" s="195">
        <v>0</v>
      </c>
      <c r="F3384" s="195" t="s">
        <v>440</v>
      </c>
      <c r="G3384" s="196"/>
      <c r="H3384" s="107" t="str">
        <f t="shared" si="29"/>
        <v>ifnull(t.intrst_cost_amt,0) as intrst_cost_amt,/*利息成本金额*/</v>
      </c>
    </row>
    <row r="3385" spans="1:9" s="7" customFormat="1" hidden="1" outlineLevel="1" x14ac:dyDescent="0.15">
      <c r="A3385" s="2"/>
      <c r="B3385" s="194" t="s">
        <v>13</v>
      </c>
      <c r="C3385" s="195" t="s">
        <v>1205</v>
      </c>
      <c r="D3385" s="195" t="s">
        <v>1169</v>
      </c>
      <c r="E3385" s="195">
        <v>0</v>
      </c>
      <c r="F3385" s="195" t="s">
        <v>440</v>
      </c>
      <c r="G3385" s="196"/>
      <c r="H3385" s="107" t="str">
        <f t="shared" si="29"/>
        <v>ifnull(t.intrst_pandl,0) as intrst_pandl,/*利息收益*/</v>
      </c>
    </row>
    <row r="3386" spans="1:9" s="7" customFormat="1" hidden="1" outlineLevel="1" x14ac:dyDescent="0.15">
      <c r="A3386" s="2"/>
      <c r="B3386" s="194" t="s">
        <v>14</v>
      </c>
      <c r="C3386" s="195" t="s">
        <v>1206</v>
      </c>
      <c r="D3386" s="195" t="s">
        <v>1169</v>
      </c>
      <c r="E3386" s="195">
        <v>0</v>
      </c>
      <c r="F3386" s="195" t="s">
        <v>440</v>
      </c>
      <c r="G3386" s="196"/>
      <c r="H3386" s="107" t="str">
        <f t="shared" si="29"/>
        <v>ifnull(a.last_price,0) as last_price,/*最新价*/</v>
      </c>
    </row>
    <row r="3387" spans="1:9" s="7" customFormat="1" hidden="1" outlineLevel="1" x14ac:dyDescent="0.15">
      <c r="A3387" s="2"/>
      <c r="B3387" s="163" t="s">
        <v>439</v>
      </c>
      <c r="C3387" s="164" t="s">
        <v>1236</v>
      </c>
      <c r="D3387" s="164" t="s">
        <v>1211</v>
      </c>
      <c r="E3387" s="164">
        <v>0</v>
      </c>
      <c r="F3387" s="164" t="s">
        <v>441</v>
      </c>
      <c r="G3387" s="107"/>
      <c r="H3387" s="107" t="str">
        <f t="shared" si="29"/>
        <v>ifnull(a.fair_price,0) as fair_price,/*公允价格*/</v>
      </c>
    </row>
    <row r="3388" spans="1:9" s="7" customFormat="1" hidden="1" outlineLevel="1" x14ac:dyDescent="0.15">
      <c r="A3388" s="2"/>
      <c r="B3388" s="163" t="s">
        <v>444</v>
      </c>
      <c r="C3388" s="164" t="s">
        <v>1459</v>
      </c>
      <c r="D3388" s="164" t="s">
        <v>1211</v>
      </c>
      <c r="E3388" s="164">
        <v>0</v>
      </c>
      <c r="F3388" s="164" t="s">
        <v>441</v>
      </c>
      <c r="G3388" s="107"/>
      <c r="H3388" s="107" t="str">
        <f t="shared" si="29"/>
        <v>ifnull(a.net_price_flag,0) as net_price_flag,/*净价标志*/</v>
      </c>
    </row>
    <row r="3389" spans="1:9" s="7" customFormat="1" hidden="1" outlineLevel="1" x14ac:dyDescent="0.15">
      <c r="A3389" s="2"/>
      <c r="B3389" s="163" t="s">
        <v>259</v>
      </c>
      <c r="C3389" s="164" t="s">
        <v>1392</v>
      </c>
      <c r="D3389" s="164" t="s">
        <v>211</v>
      </c>
      <c r="E3389" s="164">
        <v>0</v>
      </c>
      <c r="F3389" s="164" t="s">
        <v>441</v>
      </c>
      <c r="G3389" s="107"/>
      <c r="H3389" s="107" t="str">
        <f t="shared" si="29"/>
        <v>ifnull(a.bond_accr_intrst,0) as bond_accr_intrst,/*债券计提利息*/</v>
      </c>
    </row>
    <row r="3390" spans="1:9" s="7" customFormat="1" hidden="1" outlineLevel="1" x14ac:dyDescent="0.15">
      <c r="A3390" s="2"/>
      <c r="B3390" s="163" t="s">
        <v>258</v>
      </c>
      <c r="C3390" s="164" t="s">
        <v>1395</v>
      </c>
      <c r="D3390" s="164" t="s">
        <v>1172</v>
      </c>
      <c r="E3390" s="164">
        <v>0</v>
      </c>
      <c r="F3390" s="164" t="s">
        <v>441</v>
      </c>
      <c r="G3390" s="107"/>
      <c r="H3390" s="107" t="str">
        <f t="shared" si="29"/>
        <v>ifnull(t.curr_qty * (
  CASE
  WHEN a.fair_price &gt; 0 THEN
   a.fair_price
  ELSE
   (
    CASE
    WHEN a.asset_type IN (43) THEN
     100
    WHEN a.asset_type IN (21, 22, 23, 24, 25)
    AND a.net_price_flag = '1' THEN
     a.last_price + a.bond_accr_intrst
    ELSE
     a.last_price
    END
   )
  END
 ),0) as posi_market_value,/*持仓市值*/</v>
      </c>
      <c r="I3390" s="220" t="s">
        <v>442</v>
      </c>
    </row>
    <row r="3391" spans="1:9" s="7" customFormat="1" hidden="1" outlineLevel="1" x14ac:dyDescent="0.15">
      <c r="A3391" s="2"/>
      <c r="B3391" s="105" t="s">
        <v>443</v>
      </c>
      <c r="C3391" s="109" t="s">
        <v>1214</v>
      </c>
      <c r="D3391" s="109" t="s">
        <v>1169</v>
      </c>
      <c r="E3391" s="109">
        <v>0</v>
      </c>
      <c r="F3391" s="109" t="s">
        <v>441</v>
      </c>
      <c r="G3391" s="110"/>
    </row>
    <row r="3392" spans="1:9" s="7" customFormat="1" ht="18" hidden="1" outlineLevel="1" thickBot="1" x14ac:dyDescent="0.2">
      <c r="A3392" s="2"/>
      <c r="B3392" s="24"/>
      <c r="C3392" s="9"/>
      <c r="D3392" s="9"/>
      <c r="E3392" s="9"/>
      <c r="F3392" s="9"/>
      <c r="G3392" s="11"/>
    </row>
    <row r="3393" spans="1:8" s="7" customFormat="1" hidden="1" outlineLevel="1" x14ac:dyDescent="0.15">
      <c r="A3393" s="2"/>
      <c r="B3393" s="327" t="s">
        <v>15</v>
      </c>
      <c r="C3393" s="328"/>
      <c r="D3393" s="328"/>
      <c r="E3393" s="328"/>
      <c r="F3393" s="328"/>
      <c r="G3393" s="329"/>
    </row>
    <row r="3394" spans="1:8" ht="18" hidden="1" outlineLevel="1" thickBot="1" x14ac:dyDescent="0.2">
      <c r="A3394" s="2"/>
      <c r="B3394" s="24"/>
      <c r="C3394" s="9"/>
      <c r="D3394" s="9"/>
      <c r="E3394" s="9"/>
      <c r="F3394" s="9"/>
      <c r="G3394" s="11"/>
    </row>
    <row r="3395" spans="1:8" s="7" customFormat="1" ht="18" hidden="1" outlineLevel="1" thickBot="1" x14ac:dyDescent="0.2">
      <c r="A3395" s="1"/>
      <c r="B3395" s="1"/>
      <c r="C3395" s="1"/>
      <c r="D3395" s="1"/>
      <c r="E3395" s="1"/>
      <c r="F3395" s="1"/>
      <c r="G3395" s="1"/>
      <c r="H3395" s="6" t="str">
        <f>"create or replace view "&amp;C3396</f>
        <v>create or replace view vi_dt_exgp_posi_value_his</v>
      </c>
    </row>
    <row r="3396" spans="1:8" s="7" customFormat="1" ht="18" collapsed="1" thickBot="1" x14ac:dyDescent="0.2">
      <c r="A3396" s="2"/>
      <c r="B3396" s="3" t="s">
        <v>563</v>
      </c>
      <c r="C3396" s="147" t="s">
        <v>569</v>
      </c>
      <c r="D3396" s="147" t="s">
        <v>515</v>
      </c>
      <c r="E3396" s="21" t="s">
        <v>736</v>
      </c>
      <c r="F3396" s="5" t="s">
        <v>567</v>
      </c>
      <c r="G3396" s="6" t="s">
        <v>684</v>
      </c>
      <c r="H3396" s="11" t="str">
        <f>"/* "&amp;E3396&amp;"*/  as "</f>
        <v xml:space="preserve">/* 报表_资管报表_视图-数据-交易组-持仓-历史*/  as </v>
      </c>
    </row>
    <row r="3397" spans="1:8" s="7" customFormat="1" ht="18" hidden="1" outlineLevel="1" thickBot="1" x14ac:dyDescent="0.2">
      <c r="A3397" s="2"/>
      <c r="B3397" s="34" t="s">
        <v>570</v>
      </c>
      <c r="C3397" s="18"/>
      <c r="D3397" s="35" t="s">
        <v>568</v>
      </c>
      <c r="E3397" s="18" t="s">
        <v>615</v>
      </c>
      <c r="F3397" s="35"/>
      <c r="G3397" s="19"/>
      <c r="H3397" s="13" t="s">
        <v>474</v>
      </c>
    </row>
    <row r="3398" spans="1:8" s="7" customFormat="1" hidden="1" outlineLevel="1" x14ac:dyDescent="0.15">
      <c r="A3398" s="2"/>
      <c r="B3398" s="3" t="s">
        <v>0</v>
      </c>
      <c r="C3398" s="5" t="s">
        <v>1</v>
      </c>
      <c r="D3398" s="5" t="s">
        <v>2</v>
      </c>
      <c r="E3398" s="5"/>
      <c r="F3398" s="5" t="s">
        <v>3</v>
      </c>
      <c r="G3398" s="36" t="s">
        <v>4</v>
      </c>
      <c r="H3398" s="107"/>
    </row>
    <row r="3399" spans="1:8" s="7" customFormat="1" hidden="1" outlineLevel="1" x14ac:dyDescent="0.15">
      <c r="A3399" s="2"/>
      <c r="B3399" s="194" t="s">
        <v>22</v>
      </c>
      <c r="C3399" s="195" t="s">
        <v>1127</v>
      </c>
      <c r="D3399" s="195" t="s">
        <v>211</v>
      </c>
      <c r="E3399" s="195" t="s">
        <v>1141</v>
      </c>
      <c r="F3399" s="195"/>
      <c r="G3399" s="196" t="s">
        <v>1162</v>
      </c>
      <c r="H3399" s="107" t="str">
        <f t="shared" ref="H3399:H3420" si="30">"ifnull("&amp;IF(I3399&lt;&gt;"",I3399,IF(F3400&lt;&gt;"",F3400,"t")&amp;"."&amp;C3400)&amp;","&amp;E3400&amp;") as "&amp;C3400&amp;",/*"&amp;B3400&amp;"*/"</f>
        <v>ifnull(t.co_no,0) as co_no,/*机构编号*/</v>
      </c>
    </row>
    <row r="3400" spans="1:8" s="7" customFormat="1" hidden="1" outlineLevel="1" x14ac:dyDescent="0.15">
      <c r="A3400" s="2"/>
      <c r="B3400" s="194" t="s">
        <v>6</v>
      </c>
      <c r="C3400" s="195" t="s">
        <v>1163</v>
      </c>
      <c r="D3400" s="195" t="s">
        <v>211</v>
      </c>
      <c r="E3400" s="195">
        <v>0</v>
      </c>
      <c r="F3400" s="195" t="s">
        <v>440</v>
      </c>
      <c r="G3400" s="196" t="s">
        <v>1077</v>
      </c>
      <c r="H3400" s="107" t="str">
        <f t="shared" si="30"/>
        <v>ifnull(t.pd_no,0) as pd_no,/*产品编号*/</v>
      </c>
    </row>
    <row r="3401" spans="1:8" s="7" customFormat="1" hidden="1" outlineLevel="1" x14ac:dyDescent="0.15">
      <c r="A3401" s="2"/>
      <c r="B3401" s="194" t="s">
        <v>111</v>
      </c>
      <c r="C3401" s="195" t="s">
        <v>1164</v>
      </c>
      <c r="D3401" s="195" t="s">
        <v>211</v>
      </c>
      <c r="E3401" s="195">
        <v>0</v>
      </c>
      <c r="F3401" s="195" t="s">
        <v>440</v>
      </c>
      <c r="G3401" s="196" t="s">
        <v>1165</v>
      </c>
      <c r="H3401" s="107" t="str">
        <f t="shared" si="30"/>
        <v>ifnull(t.exch_group_no,0) as exch_group_no,/*交易组编号*/</v>
      </c>
    </row>
    <row r="3402" spans="1:8" s="7" customFormat="1" hidden="1" outlineLevel="1" x14ac:dyDescent="0.15">
      <c r="A3402" s="2"/>
      <c r="B3402" s="194" t="s">
        <v>112</v>
      </c>
      <c r="C3402" s="195" t="s">
        <v>1133</v>
      </c>
      <c r="D3402" s="195" t="s">
        <v>211</v>
      </c>
      <c r="E3402" s="195">
        <v>0</v>
      </c>
      <c r="F3402" s="195" t="s">
        <v>440</v>
      </c>
      <c r="G3402" s="196" t="s">
        <v>1182</v>
      </c>
      <c r="H3402" s="107" t="str">
        <f t="shared" si="30"/>
        <v>ifnull(t.asset_acco_no,0) as asset_acco_no,/*资产账户编号*/</v>
      </c>
    </row>
    <row r="3403" spans="1:8" s="7" customFormat="1" hidden="1" outlineLevel="1" x14ac:dyDescent="0.15">
      <c r="A3403" s="2"/>
      <c r="B3403" s="194" t="s">
        <v>113</v>
      </c>
      <c r="C3403" s="195" t="s">
        <v>1187</v>
      </c>
      <c r="D3403" s="195" t="s">
        <v>211</v>
      </c>
      <c r="E3403" s="195">
        <v>0</v>
      </c>
      <c r="F3403" s="195" t="s">
        <v>440</v>
      </c>
      <c r="G3403" s="196"/>
      <c r="H3403" s="107" t="str">
        <f t="shared" si="30"/>
        <v>ifnull(t.exch_no,0) as exch_no,/*市场编号*/</v>
      </c>
    </row>
    <row r="3404" spans="1:8" s="7" customFormat="1" hidden="1" outlineLevel="1" x14ac:dyDescent="0.15">
      <c r="A3404" s="2"/>
      <c r="B3404" s="194" t="s">
        <v>7</v>
      </c>
      <c r="C3404" s="195" t="s">
        <v>1190</v>
      </c>
      <c r="D3404" s="195" t="s">
        <v>211</v>
      </c>
      <c r="E3404" s="195">
        <v>0</v>
      </c>
      <c r="F3404" s="195" t="s">
        <v>440</v>
      </c>
      <c r="G3404" s="196" t="s">
        <v>1081</v>
      </c>
      <c r="H3404" s="107" t="str">
        <f t="shared" si="30"/>
        <v>ifnull(t.stock_acco_no,0) as stock_acco_no,/*股东代码编号*/</v>
      </c>
    </row>
    <row r="3405" spans="1:8" s="7" customFormat="1" hidden="1" outlineLevel="1" x14ac:dyDescent="0.15">
      <c r="A3405" s="2"/>
      <c r="B3405" s="194" t="s">
        <v>114</v>
      </c>
      <c r="C3405" s="195" t="s">
        <v>1155</v>
      </c>
      <c r="D3405" s="195" t="s">
        <v>211</v>
      </c>
      <c r="E3405" s="195">
        <v>0</v>
      </c>
      <c r="F3405" s="195" t="s">
        <v>440</v>
      </c>
      <c r="G3405" s="196"/>
      <c r="H3405" s="107" t="str">
        <f t="shared" si="30"/>
        <v>ifnull(t.stock_code_no,0) as stock_code_no,/*证券代码编号*/</v>
      </c>
    </row>
    <row r="3406" spans="1:8" s="7" customFormat="1" hidden="1" outlineLevel="1" x14ac:dyDescent="0.15">
      <c r="A3406" s="2"/>
      <c r="B3406" s="194" t="s">
        <v>115</v>
      </c>
      <c r="C3406" s="195" t="s">
        <v>1188</v>
      </c>
      <c r="D3406" s="195" t="s">
        <v>211</v>
      </c>
      <c r="E3406" s="195">
        <v>0</v>
      </c>
      <c r="F3406" s="195" t="s">
        <v>440</v>
      </c>
      <c r="G3406" s="196"/>
      <c r="H3406" s="107" t="str">
        <f t="shared" si="30"/>
        <v>ifnull(t.stock_type,0) as stock_type,/*证券类型*/</v>
      </c>
    </row>
    <row r="3407" spans="1:8" s="7" customFormat="1" hidden="1" outlineLevel="1" x14ac:dyDescent="0.15">
      <c r="A3407" s="2"/>
      <c r="B3407" s="194" t="s">
        <v>93</v>
      </c>
      <c r="C3407" s="195" t="s">
        <v>1189</v>
      </c>
      <c r="D3407" s="195" t="s">
        <v>211</v>
      </c>
      <c r="E3407" s="195">
        <v>0</v>
      </c>
      <c r="F3407" s="195" t="s">
        <v>440</v>
      </c>
      <c r="G3407" s="196"/>
      <c r="H3407" s="107" t="str">
        <f t="shared" si="30"/>
        <v>ifnull(t.asset_type,0) as asset_type,/*资产类型*/</v>
      </c>
    </row>
    <row r="3408" spans="1:8" s="7" customFormat="1" hidden="1" outlineLevel="1" x14ac:dyDescent="0.15">
      <c r="A3408" s="2"/>
      <c r="B3408" s="194" t="s">
        <v>41</v>
      </c>
      <c r="C3408" s="195" t="s">
        <v>1258</v>
      </c>
      <c r="D3408" s="195" t="s">
        <v>211</v>
      </c>
      <c r="E3408" s="195">
        <v>0</v>
      </c>
      <c r="F3408" s="195" t="s">
        <v>440</v>
      </c>
      <c r="G3408" s="196" t="s">
        <v>1259</v>
      </c>
      <c r="H3408" s="107" t="str">
        <f t="shared" si="30"/>
        <v>ifnull(t.begin_qty,0) as begin_qty,/*期初数量*/</v>
      </c>
    </row>
    <row r="3409" spans="1:9" s="7" customFormat="1" hidden="1" outlineLevel="1" x14ac:dyDescent="0.15">
      <c r="A3409" s="2"/>
      <c r="B3409" s="194" t="s">
        <v>8</v>
      </c>
      <c r="C3409" s="195" t="s">
        <v>1193</v>
      </c>
      <c r="D3409" s="195" t="s">
        <v>1087</v>
      </c>
      <c r="E3409" s="195">
        <v>0</v>
      </c>
      <c r="F3409" s="195" t="s">
        <v>440</v>
      </c>
      <c r="G3409" s="196" t="s">
        <v>1194</v>
      </c>
      <c r="H3409" s="107" t="str">
        <f t="shared" si="30"/>
        <v>ifnull(t.curr_qty,0) as curr_qty,/*当前数量*/</v>
      </c>
    </row>
    <row r="3410" spans="1:9" s="7" customFormat="1" hidden="1" outlineLevel="1" x14ac:dyDescent="0.15">
      <c r="A3410" s="2"/>
      <c r="B3410" s="194" t="s">
        <v>9</v>
      </c>
      <c r="C3410" s="195" t="s">
        <v>1195</v>
      </c>
      <c r="D3410" s="195" t="s">
        <v>1087</v>
      </c>
      <c r="E3410" s="195">
        <v>0</v>
      </c>
      <c r="F3410" s="195" t="s">
        <v>440</v>
      </c>
      <c r="G3410" s="196" t="s">
        <v>1196</v>
      </c>
      <c r="H3410" s="107" t="str">
        <f t="shared" si="30"/>
        <v>ifnull(t.frozen_qty,0) as frozen_qty,/*冻结数量*/</v>
      </c>
    </row>
    <row r="3411" spans="1:9" s="7" customFormat="1" hidden="1" outlineLevel="1" x14ac:dyDescent="0.15">
      <c r="A3411" s="2"/>
      <c r="B3411" s="194" t="s">
        <v>10</v>
      </c>
      <c r="C3411" s="195" t="s">
        <v>1197</v>
      </c>
      <c r="D3411" s="195" t="s">
        <v>1087</v>
      </c>
      <c r="E3411" s="195">
        <v>0</v>
      </c>
      <c r="F3411" s="195" t="s">
        <v>440</v>
      </c>
      <c r="G3411" s="196" t="s">
        <v>1144</v>
      </c>
      <c r="H3411" s="107" t="str">
        <f t="shared" si="30"/>
        <v>ifnull(t.unfroz_qty,0) as unfroz_qty,/*解冻数量*/</v>
      </c>
    </row>
    <row r="3412" spans="1:9" s="7" customFormat="1" hidden="1" outlineLevel="1" x14ac:dyDescent="0.15">
      <c r="A3412" s="2"/>
      <c r="B3412" s="194" t="s">
        <v>11</v>
      </c>
      <c r="C3412" s="195" t="s">
        <v>1198</v>
      </c>
      <c r="D3412" s="195" t="s">
        <v>1087</v>
      </c>
      <c r="E3412" s="195">
        <v>0</v>
      </c>
      <c r="F3412" s="195" t="s">
        <v>440</v>
      </c>
      <c r="G3412" s="196" t="s">
        <v>1080</v>
      </c>
      <c r="H3412" s="107" t="str">
        <f t="shared" si="30"/>
        <v>ifnull(t.cost_amt,0) as cost_amt,/*成本金额*/</v>
      </c>
    </row>
    <row r="3413" spans="1:9" s="7" customFormat="1" hidden="1" outlineLevel="1" x14ac:dyDescent="0.15">
      <c r="A3413" s="2"/>
      <c r="B3413" s="194" t="s">
        <v>116</v>
      </c>
      <c r="C3413" s="195" t="s">
        <v>1213</v>
      </c>
      <c r="D3413" s="195" t="s">
        <v>1169</v>
      </c>
      <c r="E3413" s="195">
        <v>0</v>
      </c>
      <c r="F3413" s="195" t="s">
        <v>440</v>
      </c>
      <c r="G3413" s="196"/>
      <c r="H3413" s="107" t="str">
        <f t="shared" si="30"/>
        <v>ifnull(t.realize_pandl,0) as realize_pandl,/*实现盈亏*/</v>
      </c>
    </row>
    <row r="3414" spans="1:9" s="7" customFormat="1" hidden="1" outlineLevel="1" x14ac:dyDescent="0.15">
      <c r="A3414" s="2"/>
      <c r="B3414" s="194" t="s">
        <v>12</v>
      </c>
      <c r="C3414" s="195" t="s">
        <v>1143</v>
      </c>
      <c r="D3414" s="195" t="s">
        <v>1169</v>
      </c>
      <c r="E3414" s="195">
        <v>0</v>
      </c>
      <c r="F3414" s="195" t="s">
        <v>440</v>
      </c>
      <c r="G3414" s="196"/>
      <c r="H3414" s="107" t="str">
        <f t="shared" si="30"/>
        <v>ifnull(t.intrst_cost_amt,0) as intrst_cost_amt,/*利息成本金额*/</v>
      </c>
    </row>
    <row r="3415" spans="1:9" s="7" customFormat="1" hidden="1" outlineLevel="1" x14ac:dyDescent="0.15">
      <c r="A3415" s="2"/>
      <c r="B3415" s="194" t="s">
        <v>13</v>
      </c>
      <c r="C3415" s="195" t="s">
        <v>1205</v>
      </c>
      <c r="D3415" s="195" t="s">
        <v>1169</v>
      </c>
      <c r="E3415" s="195">
        <v>0</v>
      </c>
      <c r="F3415" s="195" t="s">
        <v>440</v>
      </c>
      <c r="G3415" s="196"/>
      <c r="H3415" s="107" t="str">
        <f t="shared" si="30"/>
        <v>ifnull(t.intrst_pandl,0) as intrst_pandl,/*利息收益*/</v>
      </c>
    </row>
    <row r="3416" spans="1:9" s="7" customFormat="1" hidden="1" outlineLevel="1" x14ac:dyDescent="0.15">
      <c r="A3416" s="2"/>
      <c r="B3416" s="194" t="s">
        <v>14</v>
      </c>
      <c r="C3416" s="195" t="s">
        <v>1206</v>
      </c>
      <c r="D3416" s="195" t="s">
        <v>1169</v>
      </c>
      <c r="E3416" s="195">
        <v>0</v>
      </c>
      <c r="F3416" s="195" t="s">
        <v>440</v>
      </c>
      <c r="G3416" s="196"/>
      <c r="H3416" s="107" t="str">
        <f t="shared" si="30"/>
        <v>ifnull(a.last_price,0) as last_price,/*最新价*/</v>
      </c>
    </row>
    <row r="3417" spans="1:9" s="7" customFormat="1" hidden="1" outlineLevel="1" x14ac:dyDescent="0.15">
      <c r="A3417" s="2"/>
      <c r="B3417" s="163" t="s">
        <v>439</v>
      </c>
      <c r="C3417" s="164" t="s">
        <v>1236</v>
      </c>
      <c r="D3417" s="164" t="s">
        <v>1211</v>
      </c>
      <c r="E3417" s="164">
        <v>0</v>
      </c>
      <c r="F3417" s="164" t="s">
        <v>441</v>
      </c>
      <c r="G3417" s="107"/>
      <c r="H3417" s="107" t="str">
        <f t="shared" si="30"/>
        <v>ifnull(a.fair_price,0) as fair_price,/*公允价格*/</v>
      </c>
    </row>
    <row r="3418" spans="1:9" s="7" customFormat="1" hidden="1" outlineLevel="1" x14ac:dyDescent="0.15">
      <c r="A3418" s="2"/>
      <c r="B3418" s="163" t="s">
        <v>444</v>
      </c>
      <c r="C3418" s="164" t="s">
        <v>1459</v>
      </c>
      <c r="D3418" s="164" t="s">
        <v>1211</v>
      </c>
      <c r="E3418" s="164">
        <v>0</v>
      </c>
      <c r="F3418" s="164" t="s">
        <v>441</v>
      </c>
      <c r="G3418" s="107"/>
      <c r="H3418" s="107" t="str">
        <f t="shared" si="30"/>
        <v>ifnull(a.net_price_flag,0) as net_price_flag,/*净价标志*/</v>
      </c>
    </row>
    <row r="3419" spans="1:9" s="7" customFormat="1" hidden="1" outlineLevel="1" x14ac:dyDescent="0.15">
      <c r="A3419" s="2"/>
      <c r="B3419" s="163" t="s">
        <v>259</v>
      </c>
      <c r="C3419" s="164" t="s">
        <v>1392</v>
      </c>
      <c r="D3419" s="164" t="s">
        <v>211</v>
      </c>
      <c r="E3419" s="164">
        <v>0</v>
      </c>
      <c r="F3419" s="164" t="s">
        <v>441</v>
      </c>
      <c r="G3419" s="107"/>
      <c r="H3419" s="107" t="str">
        <f t="shared" si="30"/>
        <v>ifnull(a.bond_accr_intrst,0) as bond_accr_intrst,/*债券计提利息*/</v>
      </c>
    </row>
    <row r="3420" spans="1:9" s="7" customFormat="1" hidden="1" outlineLevel="1" x14ac:dyDescent="0.15">
      <c r="A3420" s="2"/>
      <c r="B3420" s="163" t="s">
        <v>258</v>
      </c>
      <c r="C3420" s="164" t="s">
        <v>1395</v>
      </c>
      <c r="D3420" s="164" t="s">
        <v>1172</v>
      </c>
      <c r="E3420" s="164">
        <v>0</v>
      </c>
      <c r="F3420" s="164" t="s">
        <v>441</v>
      </c>
      <c r="G3420" s="107"/>
      <c r="H3420" s="107" t="str">
        <f t="shared" si="30"/>
        <v>ifnull(t.curr_qty * (
  CASE
  WHEN a.fair_price &gt; 0 THEN
   a.fair_price
  ELSE
   (
    CASE
    WHEN a.asset_type IN (43) THEN
     100
    WHEN a.asset_type IN (21, 22, 23, 24, 25)
    AND a.net_price_flag = '1' THEN
     a.last_price + a.bond_accr_intrst
    ELSE
     a.last_price
    END
   )
  END
 ),0) as posi_market_value,/*持仓市值*/</v>
      </c>
      <c r="I3420" s="220" t="s">
        <v>442</v>
      </c>
    </row>
    <row r="3421" spans="1:9" s="7" customFormat="1" hidden="1" outlineLevel="1" x14ac:dyDescent="0.15">
      <c r="A3421" s="2"/>
      <c r="B3421" s="105" t="s">
        <v>443</v>
      </c>
      <c r="C3421" s="109" t="s">
        <v>1214</v>
      </c>
      <c r="D3421" s="109" t="s">
        <v>1169</v>
      </c>
      <c r="E3421" s="109">
        <v>0</v>
      </c>
      <c r="F3421" s="109" t="s">
        <v>441</v>
      </c>
      <c r="G3421" s="110"/>
    </row>
    <row r="3422" spans="1:9" s="7" customFormat="1" ht="18" hidden="1" outlineLevel="1" thickBot="1" x14ac:dyDescent="0.2">
      <c r="A3422" s="2"/>
      <c r="B3422" s="24"/>
      <c r="C3422" s="9"/>
      <c r="D3422" s="9"/>
      <c r="E3422" s="9"/>
      <c r="F3422" s="9"/>
      <c r="G3422" s="11"/>
    </row>
    <row r="3423" spans="1:9" s="7" customFormat="1" hidden="1" outlineLevel="1" x14ac:dyDescent="0.15">
      <c r="A3423" s="2"/>
      <c r="B3423" s="327" t="s">
        <v>15</v>
      </c>
      <c r="C3423" s="328"/>
      <c r="D3423" s="328"/>
      <c r="E3423" s="328"/>
      <c r="F3423" s="328"/>
      <c r="G3423" s="329"/>
    </row>
    <row r="3424" spans="1:9" ht="18" hidden="1" outlineLevel="1" thickBot="1" x14ac:dyDescent="0.2">
      <c r="A3424" s="2"/>
      <c r="B3424" s="24"/>
      <c r="C3424" s="9"/>
      <c r="D3424" s="9"/>
      <c r="E3424" s="9"/>
      <c r="F3424" s="9"/>
      <c r="G3424" s="11"/>
    </row>
    <row r="3425" spans="1:8" s="7" customFormat="1" ht="18" hidden="1" outlineLevel="1" thickBot="1" x14ac:dyDescent="0.2">
      <c r="A3425" s="1"/>
      <c r="B3425" s="1"/>
      <c r="C3425" s="1"/>
      <c r="D3425" s="1"/>
      <c r="E3425" s="1"/>
      <c r="F3425" s="1"/>
      <c r="G3425" s="1"/>
      <c r="H3425" s="6" t="str">
        <f>"create or replace view "&amp;C3426</f>
        <v>create or replace view vi_sum_exgp_posi_value_inter_pl</v>
      </c>
    </row>
    <row r="3426" spans="1:8" s="7" customFormat="1" ht="18" collapsed="1" thickBot="1" x14ac:dyDescent="0.2">
      <c r="A3426" s="2"/>
      <c r="B3426" s="3" t="s">
        <v>563</v>
      </c>
      <c r="C3426" s="147" t="s">
        <v>695</v>
      </c>
      <c r="D3426" s="147" t="s">
        <v>515</v>
      </c>
      <c r="E3426" s="21" t="s">
        <v>612</v>
      </c>
      <c r="F3426" s="5" t="s">
        <v>567</v>
      </c>
      <c r="G3426" s="6" t="s">
        <v>696</v>
      </c>
      <c r="H3426" s="11" t="str">
        <f>"/* "&amp;E3426&amp;"*/  as "</f>
        <v xml:space="preserve">/* 报表_资管报表_视图-汇总-交易组-持仓-区间盈亏*/  as </v>
      </c>
    </row>
    <row r="3427" spans="1:8" s="7" customFormat="1" ht="18" hidden="1" outlineLevel="1" thickBot="1" x14ac:dyDescent="0.2">
      <c r="A3427" s="2"/>
      <c r="B3427" s="34" t="s">
        <v>570</v>
      </c>
      <c r="C3427" s="18"/>
      <c r="D3427" s="35" t="s">
        <v>568</v>
      </c>
      <c r="E3427" s="18" t="s">
        <v>615</v>
      </c>
      <c r="F3427" s="35"/>
      <c r="G3427" s="19"/>
      <c r="H3427" s="13" t="s">
        <v>474</v>
      </c>
    </row>
    <row r="3428" spans="1:8" s="7" customFormat="1" hidden="1" outlineLevel="1" x14ac:dyDescent="0.15">
      <c r="A3428" s="2"/>
      <c r="B3428" s="3" t="s">
        <v>0</v>
      </c>
      <c r="C3428" s="5" t="s">
        <v>1</v>
      </c>
      <c r="D3428" s="5" t="s">
        <v>2</v>
      </c>
      <c r="E3428" s="5"/>
      <c r="F3428" s="5" t="s">
        <v>3</v>
      </c>
      <c r="G3428" s="36" t="s">
        <v>4</v>
      </c>
      <c r="H3428" s="107" t="str">
        <f t="shared" ref="H3428:H3449" si="31">"ifnull("&amp;IF(I3428&lt;&gt;"",I3428,IF(F3429&lt;&gt;"",F3429,"t")&amp;"."&amp;C3429)&amp;","&amp;E3429&amp;") as "&amp;C3429&amp;",/*"&amp;B3429&amp;"*/"</f>
        <v>ifnull(t.begin_date,date_format(curdate(),'%Y%m%d')) as begin_date,/*开始日期*/</v>
      </c>
    </row>
    <row r="3429" spans="1:8" s="7" customFormat="1" hidden="1" outlineLevel="1" x14ac:dyDescent="0.15">
      <c r="A3429" s="2"/>
      <c r="B3429" s="153" t="s">
        <v>540</v>
      </c>
      <c r="C3429" s="154" t="s">
        <v>1611</v>
      </c>
      <c r="D3429" s="154" t="s">
        <v>211</v>
      </c>
      <c r="E3429" s="154" t="s">
        <v>1141</v>
      </c>
      <c r="F3429" s="154"/>
      <c r="G3429" s="155"/>
      <c r="H3429" s="107" t="str">
        <f t="shared" si="31"/>
        <v>ifnull(t.end_date,date_format(curdate(),'%Y%m%d')) as end_date,/*结束日期*/</v>
      </c>
    </row>
    <row r="3430" spans="1:8" s="7" customFormat="1" hidden="1" outlineLevel="1" x14ac:dyDescent="0.15">
      <c r="A3430" s="2"/>
      <c r="B3430" s="153" t="s">
        <v>541</v>
      </c>
      <c r="C3430" s="154" t="s">
        <v>1582</v>
      </c>
      <c r="D3430" s="154" t="s">
        <v>211</v>
      </c>
      <c r="E3430" s="154" t="s">
        <v>1141</v>
      </c>
      <c r="F3430" s="154"/>
      <c r="G3430" s="155"/>
      <c r="H3430" s="107" t="str">
        <f t="shared" si="31"/>
        <v>ifnull(t.co_no,0) as co_no,/*机构编号*/</v>
      </c>
    </row>
    <row r="3431" spans="1:8" s="7" customFormat="1" hidden="1" outlineLevel="1" x14ac:dyDescent="0.15">
      <c r="A3431" s="2"/>
      <c r="B3431" s="194" t="s">
        <v>6</v>
      </c>
      <c r="C3431" s="195" t="s">
        <v>1163</v>
      </c>
      <c r="D3431" s="195" t="s">
        <v>211</v>
      </c>
      <c r="E3431" s="195">
        <v>0</v>
      </c>
      <c r="F3431" s="195" t="s">
        <v>440</v>
      </c>
      <c r="G3431" s="196" t="s">
        <v>1077</v>
      </c>
      <c r="H3431" s="107" t="str">
        <f t="shared" si="31"/>
        <v>ifnull(t.pd_no,0) as pd_no,/*产品编号*/</v>
      </c>
    </row>
    <row r="3432" spans="1:8" s="7" customFormat="1" hidden="1" outlineLevel="1" x14ac:dyDescent="0.15">
      <c r="A3432" s="2"/>
      <c r="B3432" s="194" t="s">
        <v>111</v>
      </c>
      <c r="C3432" s="195" t="s">
        <v>1164</v>
      </c>
      <c r="D3432" s="195" t="s">
        <v>211</v>
      </c>
      <c r="E3432" s="195">
        <v>0</v>
      </c>
      <c r="F3432" s="195" t="s">
        <v>440</v>
      </c>
      <c r="G3432" s="196" t="s">
        <v>1165</v>
      </c>
      <c r="H3432" s="107" t="str">
        <f t="shared" si="31"/>
        <v>ifnull(t.exch_group_no,0) as exch_group_no,/*交易组编号*/</v>
      </c>
    </row>
    <row r="3433" spans="1:8" s="7" customFormat="1" hidden="1" outlineLevel="1" x14ac:dyDescent="0.15">
      <c r="A3433" s="2"/>
      <c r="B3433" s="194" t="s">
        <v>112</v>
      </c>
      <c r="C3433" s="195" t="s">
        <v>1133</v>
      </c>
      <c r="D3433" s="195" t="s">
        <v>211</v>
      </c>
      <c r="E3433" s="195">
        <v>0</v>
      </c>
      <c r="F3433" s="195" t="s">
        <v>440</v>
      </c>
      <c r="G3433" s="196" t="s">
        <v>1182</v>
      </c>
      <c r="H3433" s="107" t="str">
        <f t="shared" si="31"/>
        <v>ifnull(t.asset_acco_no,0) as asset_acco_no,/*资产账户编号*/</v>
      </c>
    </row>
    <row r="3434" spans="1:8" s="7" customFormat="1" hidden="1" outlineLevel="1" x14ac:dyDescent="0.15">
      <c r="A3434" s="2"/>
      <c r="B3434" s="194" t="s">
        <v>113</v>
      </c>
      <c r="C3434" s="195" t="s">
        <v>1187</v>
      </c>
      <c r="D3434" s="195" t="s">
        <v>211</v>
      </c>
      <c r="E3434" s="195">
        <v>0</v>
      </c>
      <c r="F3434" s="195" t="s">
        <v>440</v>
      </c>
      <c r="G3434" s="196"/>
      <c r="H3434" s="107" t="str">
        <f t="shared" si="31"/>
        <v>ifnull(t.exch_no,0) as exch_no,/*市场编号*/</v>
      </c>
    </row>
    <row r="3435" spans="1:8" s="7" customFormat="1" hidden="1" outlineLevel="1" x14ac:dyDescent="0.15">
      <c r="A3435" s="2"/>
      <c r="B3435" s="194" t="s">
        <v>7</v>
      </c>
      <c r="C3435" s="195" t="s">
        <v>1190</v>
      </c>
      <c r="D3435" s="195" t="s">
        <v>211</v>
      </c>
      <c r="E3435" s="195">
        <v>0</v>
      </c>
      <c r="F3435" s="195" t="s">
        <v>440</v>
      </c>
      <c r="G3435" s="196" t="s">
        <v>1081</v>
      </c>
      <c r="H3435" s="107" t="str">
        <f t="shared" si="31"/>
        <v>ifnull(t.stock_acco_no,0) as stock_acco_no,/*股东代码编号*/</v>
      </c>
    </row>
    <row r="3436" spans="1:8" s="7" customFormat="1" hidden="1" outlineLevel="1" x14ac:dyDescent="0.15">
      <c r="A3436" s="2"/>
      <c r="B3436" s="194" t="s">
        <v>114</v>
      </c>
      <c r="C3436" s="195" t="s">
        <v>1155</v>
      </c>
      <c r="D3436" s="195" t="s">
        <v>211</v>
      </c>
      <c r="E3436" s="195">
        <v>0</v>
      </c>
      <c r="F3436" s="195" t="s">
        <v>440</v>
      </c>
      <c r="G3436" s="196"/>
      <c r="H3436" s="107" t="str">
        <f t="shared" si="31"/>
        <v>ifnull(t.stock_code_no,0) as stock_code_no,/*证券代码编号*/</v>
      </c>
    </row>
    <row r="3437" spans="1:8" s="7" customFormat="1" hidden="1" outlineLevel="1" x14ac:dyDescent="0.15">
      <c r="A3437" s="2"/>
      <c r="B3437" s="194" t="s">
        <v>115</v>
      </c>
      <c r="C3437" s="195" t="s">
        <v>1188</v>
      </c>
      <c r="D3437" s="195" t="s">
        <v>211</v>
      </c>
      <c r="E3437" s="195">
        <v>0</v>
      </c>
      <c r="F3437" s="195" t="s">
        <v>440</v>
      </c>
      <c r="G3437" s="196"/>
      <c r="H3437" s="107" t="str">
        <f t="shared" si="31"/>
        <v>ifnull(t.stock_type,0) as stock_type,/*证券类型*/</v>
      </c>
    </row>
    <row r="3438" spans="1:8" s="7" customFormat="1" hidden="1" outlineLevel="1" x14ac:dyDescent="0.15">
      <c r="A3438" s="2"/>
      <c r="B3438" s="194" t="s">
        <v>93</v>
      </c>
      <c r="C3438" s="195" t="s">
        <v>1189</v>
      </c>
      <c r="D3438" s="195" t="s">
        <v>211</v>
      </c>
      <c r="E3438" s="195">
        <v>0</v>
      </c>
      <c r="F3438" s="195" t="s">
        <v>440</v>
      </c>
      <c r="G3438" s="196"/>
      <c r="H3438" s="107" t="str">
        <f t="shared" si="31"/>
        <v>ifnull(t.asset_type,0) as asset_type,/*资产类型*/</v>
      </c>
    </row>
    <row r="3439" spans="1:8" s="7" customFormat="1" hidden="1" outlineLevel="1" x14ac:dyDescent="0.15">
      <c r="A3439" s="2"/>
      <c r="B3439" s="194" t="s">
        <v>41</v>
      </c>
      <c r="C3439" s="195" t="s">
        <v>1258</v>
      </c>
      <c r="D3439" s="195" t="s">
        <v>211</v>
      </c>
      <c r="E3439" s="195">
        <v>0</v>
      </c>
      <c r="F3439" s="195" t="s">
        <v>440</v>
      </c>
      <c r="G3439" s="196" t="s">
        <v>1259</v>
      </c>
      <c r="H3439" s="107" t="str">
        <f t="shared" si="31"/>
        <v>ifnull(t.begin_qty,0) as begin_qty,/*期初数量*/</v>
      </c>
    </row>
    <row r="3440" spans="1:8" s="7" customFormat="1" hidden="1" outlineLevel="1" x14ac:dyDescent="0.15">
      <c r="A3440" s="2"/>
      <c r="B3440" s="194" t="s">
        <v>8</v>
      </c>
      <c r="C3440" s="195" t="s">
        <v>1193</v>
      </c>
      <c r="D3440" s="195" t="s">
        <v>1087</v>
      </c>
      <c r="E3440" s="195">
        <v>0</v>
      </c>
      <c r="F3440" s="195" t="s">
        <v>440</v>
      </c>
      <c r="G3440" s="196" t="s">
        <v>1194</v>
      </c>
      <c r="H3440" s="107" t="str">
        <f t="shared" si="31"/>
        <v>ifnull(t.curr_qty,0) as curr_qty,/*当前数量*/</v>
      </c>
    </row>
    <row r="3441" spans="1:9" s="7" customFormat="1" hidden="1" outlineLevel="1" x14ac:dyDescent="0.15">
      <c r="A3441" s="2"/>
      <c r="B3441" s="194" t="s">
        <v>9</v>
      </c>
      <c r="C3441" s="195" t="s">
        <v>1195</v>
      </c>
      <c r="D3441" s="195" t="s">
        <v>1087</v>
      </c>
      <c r="E3441" s="195">
        <v>0</v>
      </c>
      <c r="F3441" s="195" t="s">
        <v>440</v>
      </c>
      <c r="G3441" s="196" t="s">
        <v>1196</v>
      </c>
      <c r="H3441" s="107" t="str">
        <f t="shared" si="31"/>
        <v>ifnull(t.realize_pandl,0) as realize_pandl,/*实现盈亏*/</v>
      </c>
    </row>
    <row r="3442" spans="1:9" s="7" customFormat="1" hidden="1" outlineLevel="1" x14ac:dyDescent="0.15">
      <c r="A3442" s="2"/>
      <c r="B3442" s="194" t="s">
        <v>12</v>
      </c>
      <c r="C3442" s="195" t="s">
        <v>1143</v>
      </c>
      <c r="D3442" s="195" t="s">
        <v>1169</v>
      </c>
      <c r="E3442" s="195">
        <v>0</v>
      </c>
      <c r="F3442" s="195" t="s">
        <v>440</v>
      </c>
      <c r="G3442" s="196"/>
      <c r="H3442" s="107" t="str">
        <f t="shared" si="31"/>
        <v>ifnull(t.intrst_cost_amt,0) as intrst_cost_amt,/*利息成本金额*/</v>
      </c>
    </row>
    <row r="3443" spans="1:9" s="7" customFormat="1" hidden="1" outlineLevel="1" x14ac:dyDescent="0.15">
      <c r="A3443" s="2"/>
      <c r="B3443" s="194" t="s">
        <v>13</v>
      </c>
      <c r="C3443" s="195" t="s">
        <v>1205</v>
      </c>
      <c r="D3443" s="195" t="s">
        <v>1169</v>
      </c>
      <c r="E3443" s="195">
        <v>0</v>
      </c>
      <c r="F3443" s="195" t="s">
        <v>440</v>
      </c>
      <c r="G3443" s="196"/>
      <c r="H3443" s="107" t="str">
        <f t="shared" si="31"/>
        <v>ifnull(t.intrst_pandl,0) as intrst_pandl,/*利息收益*/</v>
      </c>
    </row>
    <row r="3444" spans="1:9" s="7" customFormat="1" hidden="1" outlineLevel="1" x14ac:dyDescent="0.15">
      <c r="A3444" s="2"/>
      <c r="B3444" s="194" t="s">
        <v>14</v>
      </c>
      <c r="C3444" s="195" t="s">
        <v>1206</v>
      </c>
      <c r="D3444" s="195" t="s">
        <v>1169</v>
      </c>
      <c r="E3444" s="195">
        <v>0</v>
      </c>
      <c r="F3444" s="195" t="s">
        <v>440</v>
      </c>
      <c r="G3444" s="196"/>
      <c r="H3444" s="107" t="str">
        <f t="shared" si="31"/>
        <v>ifnull(a.last_price,0) as last_price,/*最新价*/</v>
      </c>
    </row>
    <row r="3445" spans="1:9" s="7" customFormat="1" hidden="1" outlineLevel="1" x14ac:dyDescent="0.15">
      <c r="A3445" s="2"/>
      <c r="B3445" s="163" t="s">
        <v>439</v>
      </c>
      <c r="C3445" s="164" t="s">
        <v>1236</v>
      </c>
      <c r="D3445" s="164" t="s">
        <v>1211</v>
      </c>
      <c r="E3445" s="164">
        <v>0</v>
      </c>
      <c r="F3445" s="164" t="s">
        <v>441</v>
      </c>
      <c r="G3445" s="107"/>
      <c r="H3445" s="107" t="str">
        <f t="shared" si="31"/>
        <v>ifnull(a.fair_price,0) as fair_price,/*公允价格*/</v>
      </c>
    </row>
    <row r="3446" spans="1:9" s="7" customFormat="1" hidden="1" outlineLevel="1" x14ac:dyDescent="0.15">
      <c r="A3446" s="2"/>
      <c r="B3446" s="163" t="s">
        <v>444</v>
      </c>
      <c r="C3446" s="164" t="s">
        <v>1459</v>
      </c>
      <c r="D3446" s="164" t="s">
        <v>1211</v>
      </c>
      <c r="E3446" s="164">
        <v>0</v>
      </c>
      <c r="F3446" s="164" t="s">
        <v>441</v>
      </c>
      <c r="G3446" s="107"/>
      <c r="H3446" s="107" t="str">
        <f t="shared" si="31"/>
        <v>ifnull(a.net_price_flag,0) as net_price_flag,/*净价标志*/</v>
      </c>
    </row>
    <row r="3447" spans="1:9" s="7" customFormat="1" hidden="1" outlineLevel="1" x14ac:dyDescent="0.15">
      <c r="A3447" s="2"/>
      <c r="B3447" s="163" t="s">
        <v>259</v>
      </c>
      <c r="C3447" s="164" t="s">
        <v>1392</v>
      </c>
      <c r="D3447" s="164" t="s">
        <v>211</v>
      </c>
      <c r="E3447" s="164">
        <v>0</v>
      </c>
      <c r="F3447" s="164" t="s">
        <v>441</v>
      </c>
      <c r="G3447" s="107"/>
      <c r="H3447" s="107" t="str">
        <f t="shared" si="31"/>
        <v>ifnull(a.bond_accr_intrst,0) as bond_accr_intrst,/*债券计提利息*/</v>
      </c>
    </row>
    <row r="3448" spans="1:9" s="7" customFormat="1" hidden="1" outlineLevel="1" x14ac:dyDescent="0.15">
      <c r="A3448" s="2"/>
      <c r="B3448" s="163" t="s">
        <v>258</v>
      </c>
      <c r="C3448" s="164" t="s">
        <v>1395</v>
      </c>
      <c r="D3448" s="164" t="s">
        <v>1172</v>
      </c>
      <c r="E3448" s="164">
        <v>0</v>
      </c>
      <c r="F3448" s="164" t="s">
        <v>441</v>
      </c>
      <c r="G3448" s="107"/>
      <c r="H3448" s="107" t="str">
        <f t="shared" si="31"/>
        <v>ifnull(a.posi_market_value,0) as posi_market_value,/*持仓市值*/</v>
      </c>
      <c r="I3448" s="220"/>
    </row>
    <row r="3449" spans="1:9" s="7" customFormat="1" hidden="1" outlineLevel="1" x14ac:dyDescent="0.15">
      <c r="A3449" s="2"/>
      <c r="B3449" s="105" t="s">
        <v>443</v>
      </c>
      <c r="C3449" s="109" t="s">
        <v>1214</v>
      </c>
      <c r="D3449" s="109" t="s">
        <v>1169</v>
      </c>
      <c r="E3449" s="109">
        <v>0</v>
      </c>
      <c r="F3449" s="109" t="s">
        <v>441</v>
      </c>
      <c r="G3449" s="110"/>
      <c r="H3449" s="107" t="str">
        <f t="shared" si="31"/>
        <v>ifnull(a.interval_pandl,0) as interval_pandl,/*区间盈亏*/</v>
      </c>
      <c r="I3449" s="220"/>
    </row>
    <row r="3450" spans="1:9" s="7" customFormat="1" hidden="1" outlineLevel="1" x14ac:dyDescent="0.15">
      <c r="A3450" s="2"/>
      <c r="B3450" s="105" t="s">
        <v>542</v>
      </c>
      <c r="C3450" s="109" t="s">
        <v>1612</v>
      </c>
      <c r="D3450" s="109" t="s">
        <v>1169</v>
      </c>
      <c r="E3450" s="109">
        <v>0</v>
      </c>
      <c r="F3450" s="109" t="s">
        <v>441</v>
      </c>
      <c r="G3450" s="110"/>
    </row>
    <row r="3451" spans="1:9" s="7" customFormat="1" ht="18" hidden="1" outlineLevel="1" thickBot="1" x14ac:dyDescent="0.2">
      <c r="A3451" s="2"/>
      <c r="B3451" s="24"/>
      <c r="C3451" s="9"/>
      <c r="D3451" s="9"/>
      <c r="E3451" s="9"/>
      <c r="F3451" s="9"/>
      <c r="G3451" s="11"/>
    </row>
    <row r="3452" spans="1:9" s="7" customFormat="1" hidden="1" outlineLevel="1" x14ac:dyDescent="0.15">
      <c r="A3452" s="2"/>
      <c r="B3452" s="327" t="s">
        <v>15</v>
      </c>
      <c r="C3452" s="328"/>
      <c r="D3452" s="328"/>
      <c r="E3452" s="328"/>
      <c r="F3452" s="328"/>
      <c r="G3452" s="329"/>
    </row>
    <row r="3453" spans="1:9" s="7" customFormat="1" hidden="1" outlineLevel="1" x14ac:dyDescent="0.15">
      <c r="A3453" s="2"/>
      <c r="B3453" s="20"/>
      <c r="C3453" s="23"/>
      <c r="D3453" s="21"/>
      <c r="E3453" s="21"/>
      <c r="F3453" s="21"/>
      <c r="G3453" s="21"/>
    </row>
    <row r="3454" spans="1:9" s="7" customFormat="1" hidden="1" outlineLevel="1" x14ac:dyDescent="0.15">
      <c r="A3454" s="2"/>
      <c r="B3454" s="17"/>
      <c r="C3454" s="37"/>
      <c r="D3454" s="18"/>
      <c r="E3454" s="18"/>
      <c r="F3454" s="18"/>
      <c r="G3454" s="38"/>
    </row>
    <row r="3455" spans="1:9" ht="18" hidden="1" outlineLevel="1" thickBot="1" x14ac:dyDescent="0.2">
      <c r="A3455" s="2"/>
      <c r="B3455" s="24"/>
      <c r="C3455" s="9"/>
      <c r="D3455" s="9"/>
      <c r="E3455" s="9"/>
      <c r="F3455" s="9"/>
      <c r="G3455" s="11"/>
    </row>
    <row r="3456" spans="1:9" ht="18" hidden="1" outlineLevel="1" thickBot="1" x14ac:dyDescent="0.2"/>
    <row r="3457" spans="1:8" s="7" customFormat="1" ht="18" hidden="1" outlineLevel="1" thickBot="1" x14ac:dyDescent="0.2">
      <c r="A3457" s="1"/>
      <c r="B3457" s="1"/>
      <c r="C3457" s="1"/>
      <c r="D3457" s="1"/>
      <c r="E3457" s="1"/>
      <c r="F3457" s="1"/>
      <c r="G3457" s="1"/>
      <c r="H3457" s="6" t="str">
        <f>"create or replace view "&amp;C3458</f>
        <v>create or replace view vi_dt_exgp_stock_strike</v>
      </c>
    </row>
    <row r="3458" spans="1:8" s="7" customFormat="1" ht="18" collapsed="1" thickBot="1" x14ac:dyDescent="0.2">
      <c r="A3458" s="2"/>
      <c r="B3458" s="3" t="s">
        <v>563</v>
      </c>
      <c r="C3458" s="147" t="s">
        <v>685</v>
      </c>
      <c r="D3458" s="147" t="s">
        <v>515</v>
      </c>
      <c r="E3458" s="21" t="s">
        <v>588</v>
      </c>
      <c r="F3458" s="5" t="s">
        <v>567</v>
      </c>
      <c r="G3458" s="6" t="s">
        <v>686</v>
      </c>
      <c r="H3458" s="11" t="str">
        <f>"# "&amp;E3458</f>
        <v># 报表_资管报表_视图-数据-交易组-成交</v>
      </c>
    </row>
    <row r="3459" spans="1:8" s="7" customFormat="1" ht="18" hidden="1" outlineLevel="1" thickBot="1" x14ac:dyDescent="0.2">
      <c r="A3459" s="2"/>
      <c r="B3459" s="34" t="s">
        <v>570</v>
      </c>
      <c r="C3459" s="18"/>
      <c r="D3459" s="35" t="s">
        <v>568</v>
      </c>
      <c r="E3459" s="18" t="s">
        <v>615</v>
      </c>
      <c r="F3459" s="35"/>
      <c r="G3459" s="19"/>
      <c r="H3459" s="13" t="s">
        <v>283</v>
      </c>
    </row>
    <row r="3460" spans="1:8" s="7" customFormat="1" hidden="1" outlineLevel="1" x14ac:dyDescent="0.15">
      <c r="A3460" s="2"/>
      <c r="B3460" s="3" t="s">
        <v>0</v>
      </c>
      <c r="C3460" s="5" t="s">
        <v>1</v>
      </c>
      <c r="D3460" s="5" t="s">
        <v>2</v>
      </c>
      <c r="E3460" s="5"/>
      <c r="F3460" s="5" t="s">
        <v>3</v>
      </c>
      <c r="G3460" s="36" t="s">
        <v>4</v>
      </c>
      <c r="H3460" s="107" t="str">
        <f t="shared" ref="H3460:H3507" si="32">"ifnull("&amp;IF(I3460&lt;&gt;"",I3460,IF(F3461&lt;&gt;"",F3461,"t")&amp;"."&amp;C3461)&amp;","&amp;E3461&amp;") as "&amp;C3461&amp;",/*"&amp;B3461&amp;"*/"</f>
        <v>ifnull(t.opor_no,0) as opor_no,/*操作员编号*/</v>
      </c>
    </row>
    <row r="3461" spans="1:8" s="7" customFormat="1" hidden="1" outlineLevel="1" x14ac:dyDescent="0.15">
      <c r="B3461" s="194" t="s">
        <v>21</v>
      </c>
      <c r="C3461" s="195" t="s">
        <v>1357</v>
      </c>
      <c r="D3461" s="195" t="s">
        <v>211</v>
      </c>
      <c r="E3461" s="195">
        <v>0</v>
      </c>
      <c r="F3461" s="195" t="s">
        <v>440</v>
      </c>
      <c r="G3461" s="196" t="s">
        <v>1358</v>
      </c>
      <c r="H3461" s="107" t="str">
        <f t="shared" si="32"/>
        <v>ifnull(t.init_date,date_format(curdate(),'%Y%m%d')) as init_date,/*初始化日期*/</v>
      </c>
    </row>
    <row r="3462" spans="1:8" s="7" customFormat="1" hidden="1" outlineLevel="1" x14ac:dyDescent="0.15">
      <c r="B3462" s="194" t="s">
        <v>22</v>
      </c>
      <c r="C3462" s="195" t="s">
        <v>1127</v>
      </c>
      <c r="D3462" s="195" t="s">
        <v>211</v>
      </c>
      <c r="E3462" s="195" t="s">
        <v>1141</v>
      </c>
      <c r="F3462" s="195" t="s">
        <v>440</v>
      </c>
      <c r="G3462" s="196" t="s">
        <v>1162</v>
      </c>
      <c r="H3462" s="107" t="str">
        <f t="shared" si="32"/>
        <v>ifnull(t.co_no,0) as co_no,/*机构编号*/</v>
      </c>
    </row>
    <row r="3463" spans="1:8" s="7" customFormat="1" hidden="1" outlineLevel="1" x14ac:dyDescent="0.15">
      <c r="B3463" s="194" t="s">
        <v>6</v>
      </c>
      <c r="C3463" s="195" t="s">
        <v>1163</v>
      </c>
      <c r="D3463" s="195" t="s">
        <v>211</v>
      </c>
      <c r="E3463" s="195">
        <v>0</v>
      </c>
      <c r="F3463" s="195" t="s">
        <v>440</v>
      </c>
      <c r="G3463" s="196" t="s">
        <v>1077</v>
      </c>
      <c r="H3463" s="107" t="str">
        <f t="shared" si="32"/>
        <v>ifnull(t.pd_no,0) as pd_no,/*产品编号*/</v>
      </c>
    </row>
    <row r="3464" spans="1:8" s="7" customFormat="1" hidden="1" outlineLevel="1" x14ac:dyDescent="0.15">
      <c r="B3464" s="194" t="s">
        <v>111</v>
      </c>
      <c r="C3464" s="195" t="s">
        <v>1164</v>
      </c>
      <c r="D3464" s="195" t="s">
        <v>211</v>
      </c>
      <c r="E3464" s="195">
        <v>0</v>
      </c>
      <c r="F3464" s="195" t="s">
        <v>440</v>
      </c>
      <c r="G3464" s="196" t="s">
        <v>1165</v>
      </c>
      <c r="H3464" s="107" t="str">
        <f t="shared" si="32"/>
        <v>ifnull(t.exch_group_no,0) as exch_group_no,/*交易组编号*/</v>
      </c>
    </row>
    <row r="3465" spans="1:8" s="7" customFormat="1" hidden="1" outlineLevel="1" x14ac:dyDescent="0.15">
      <c r="B3465" s="194" t="s">
        <v>123</v>
      </c>
      <c r="C3465" s="195" t="s">
        <v>1133</v>
      </c>
      <c r="D3465" s="195" t="s">
        <v>211</v>
      </c>
      <c r="E3465" s="195">
        <v>0</v>
      </c>
      <c r="F3465" s="195" t="s">
        <v>440</v>
      </c>
      <c r="G3465" s="196" t="s">
        <v>1182</v>
      </c>
      <c r="H3465" s="107" t="str">
        <f t="shared" si="32"/>
        <v>ifnull(t.asset_acco_no,0) as asset_acco_no,/*资产账户编号*/</v>
      </c>
    </row>
    <row r="3466" spans="1:8" s="7" customFormat="1" hidden="1" outlineLevel="1" x14ac:dyDescent="0.15">
      <c r="B3466" s="194" t="s">
        <v>113</v>
      </c>
      <c r="C3466" s="195" t="s">
        <v>1187</v>
      </c>
      <c r="D3466" s="195" t="s">
        <v>211</v>
      </c>
      <c r="E3466" s="195">
        <v>0</v>
      </c>
      <c r="F3466" s="195" t="s">
        <v>440</v>
      </c>
      <c r="G3466" s="196"/>
      <c r="H3466" s="107" t="str">
        <f t="shared" si="32"/>
        <v>ifnull(t.pass_no,0) as pass_no,/*通道编号*/</v>
      </c>
    </row>
    <row r="3467" spans="1:8" s="7" customFormat="1" hidden="1" outlineLevel="1" x14ac:dyDescent="0.15">
      <c r="B3467" s="194" t="s">
        <v>98</v>
      </c>
      <c r="C3467" s="195" t="s">
        <v>1359</v>
      </c>
      <c r="D3467" s="195" t="s">
        <v>211</v>
      </c>
      <c r="E3467" s="195">
        <v>0</v>
      </c>
      <c r="F3467" s="195" t="s">
        <v>440</v>
      </c>
      <c r="G3467" s="196" t="s">
        <v>1562</v>
      </c>
      <c r="H3467" s="107" t="str">
        <f t="shared" si="32"/>
        <v>ifnull(t.out_acco," ") as out_acco,/*外部账号*/</v>
      </c>
    </row>
    <row r="3468" spans="1:8" s="7" customFormat="1" hidden="1" outlineLevel="1" x14ac:dyDescent="0.15">
      <c r="B3468" s="194" t="s">
        <v>260</v>
      </c>
      <c r="C3468" s="195" t="s">
        <v>1119</v>
      </c>
      <c r="D3468" s="195" t="s">
        <v>1287</v>
      </c>
      <c r="E3468" s="195" t="s">
        <v>1072</v>
      </c>
      <c r="F3468" s="195" t="s">
        <v>440</v>
      </c>
      <c r="G3468" s="196"/>
      <c r="H3468" s="107" t="str">
        <f t="shared" si="32"/>
        <v>ifnull(t.exch_no,0) as exch_no,/*市场编号*/</v>
      </c>
    </row>
    <row r="3469" spans="1:8" s="7" customFormat="1" hidden="1" outlineLevel="1" x14ac:dyDescent="0.15">
      <c r="B3469" s="194" t="s">
        <v>7</v>
      </c>
      <c r="C3469" s="195" t="s">
        <v>1190</v>
      </c>
      <c r="D3469" s="195" t="s">
        <v>211</v>
      </c>
      <c r="E3469" s="195">
        <v>0</v>
      </c>
      <c r="F3469" s="195" t="s">
        <v>440</v>
      </c>
      <c r="G3469" s="196" t="s">
        <v>1081</v>
      </c>
      <c r="H3469" s="107" t="str">
        <f t="shared" si="32"/>
        <v>ifnull(t.stock_acco_no,0) as stock_acco_no,/*股东代码编号*/</v>
      </c>
    </row>
    <row r="3470" spans="1:8" s="7" customFormat="1" hidden="1" outlineLevel="1" x14ac:dyDescent="0.15">
      <c r="B3470" s="194" t="s">
        <v>114</v>
      </c>
      <c r="C3470" s="195" t="s">
        <v>1155</v>
      </c>
      <c r="D3470" s="195" t="s">
        <v>211</v>
      </c>
      <c r="E3470" s="195">
        <v>0</v>
      </c>
      <c r="F3470" s="195" t="s">
        <v>440</v>
      </c>
      <c r="G3470" s="196"/>
      <c r="H3470" s="107" t="str">
        <f t="shared" si="32"/>
        <v>ifnull(t.stock_code_no,0) as stock_code_no,/*证券代码编号*/</v>
      </c>
    </row>
    <row r="3471" spans="1:8" s="7" customFormat="1" hidden="1" outlineLevel="1" x14ac:dyDescent="0.15">
      <c r="B3471" s="194" t="s">
        <v>115</v>
      </c>
      <c r="C3471" s="195" t="s">
        <v>1188</v>
      </c>
      <c r="D3471" s="195" t="s">
        <v>211</v>
      </c>
      <c r="E3471" s="195">
        <v>0</v>
      </c>
      <c r="F3471" s="195" t="s">
        <v>440</v>
      </c>
      <c r="G3471" s="196"/>
      <c r="H3471" s="107" t="str">
        <f t="shared" si="32"/>
        <v>ifnull(t.stock_type,0) as stock_type,/*证券类型*/</v>
      </c>
    </row>
    <row r="3472" spans="1:8" s="7" customFormat="1" hidden="1" outlineLevel="1" x14ac:dyDescent="0.15">
      <c r="B3472" s="194" t="s">
        <v>78</v>
      </c>
      <c r="C3472" s="195" t="s">
        <v>1189</v>
      </c>
      <c r="D3472" s="195" t="s">
        <v>211</v>
      </c>
      <c r="E3472" s="195">
        <v>0</v>
      </c>
      <c r="F3472" s="195" t="s">
        <v>440</v>
      </c>
      <c r="G3472" s="196"/>
      <c r="H3472" s="107" t="str">
        <f t="shared" si="32"/>
        <v>ifnull(t.asset_type,0) as asset_type,/*资产类型*/</v>
      </c>
    </row>
    <row r="3473" spans="2:8" s="7" customFormat="1" hidden="1" outlineLevel="1" x14ac:dyDescent="0.15">
      <c r="B3473" s="194" t="s">
        <v>41</v>
      </c>
      <c r="C3473" s="195" t="s">
        <v>1071</v>
      </c>
      <c r="D3473" s="195" t="s">
        <v>423</v>
      </c>
      <c r="E3473" s="195">
        <v>0</v>
      </c>
      <c r="F3473" s="195" t="s">
        <v>440</v>
      </c>
      <c r="G3473" s="196" t="s">
        <v>1360</v>
      </c>
      <c r="H3473" s="107" t="str">
        <f t="shared" si="32"/>
        <v>ifnull(t.comm_id,0) as comm_id,/*指令序号*/</v>
      </c>
    </row>
    <row r="3474" spans="2:8" s="7" customFormat="1" hidden="1" outlineLevel="1" x14ac:dyDescent="0.15">
      <c r="B3474" s="194" t="s">
        <v>261</v>
      </c>
      <c r="C3474" s="195" t="s">
        <v>1355</v>
      </c>
      <c r="D3474" s="195" t="s">
        <v>1345</v>
      </c>
      <c r="E3474" s="195">
        <v>0</v>
      </c>
      <c r="F3474" s="195" t="s">
        <v>440</v>
      </c>
      <c r="G3474" s="196" t="s">
        <v>1356</v>
      </c>
      <c r="H3474" s="107" t="str">
        <f t="shared" si="32"/>
        <v>ifnull(t.comm_batch_no,0) as comm_batch_no,/*指令批号*/</v>
      </c>
    </row>
    <row r="3475" spans="2:8" s="7" customFormat="1" hidden="1" outlineLevel="1" x14ac:dyDescent="0.15">
      <c r="B3475" s="194" t="s">
        <v>270</v>
      </c>
      <c r="C3475" s="195" t="s">
        <v>1361</v>
      </c>
      <c r="D3475" s="195" t="s">
        <v>211</v>
      </c>
      <c r="E3475" s="195">
        <v>0</v>
      </c>
      <c r="F3475" s="195" t="s">
        <v>440</v>
      </c>
      <c r="G3475" s="196"/>
      <c r="H3475" s="107" t="str">
        <f t="shared" si="32"/>
        <v>ifnull(t.strike_date,date_format(curdate(),'%Y%m%d')) as strike_date,/*成交日期*/</v>
      </c>
    </row>
    <row r="3476" spans="2:8" s="7" customFormat="1" hidden="1" outlineLevel="1" x14ac:dyDescent="0.15">
      <c r="B3476" s="194" t="s">
        <v>276</v>
      </c>
      <c r="C3476" s="195" t="s">
        <v>1362</v>
      </c>
      <c r="D3476" s="195" t="s">
        <v>211</v>
      </c>
      <c r="E3476" s="195" t="s">
        <v>1141</v>
      </c>
      <c r="F3476" s="195" t="s">
        <v>440</v>
      </c>
      <c r="G3476" s="196" t="s">
        <v>1363</v>
      </c>
      <c r="H3476" s="107" t="str">
        <f t="shared" si="32"/>
        <v>ifnull(t.strike_time,date_format(curtime(),'%H%i%s')) as strike_time,/*成交时间*/</v>
      </c>
    </row>
    <row r="3477" spans="2:8" s="7" customFormat="1" hidden="1" outlineLevel="1" x14ac:dyDescent="0.15">
      <c r="B3477" s="194" t="s">
        <v>275</v>
      </c>
      <c r="C3477" s="195" t="s">
        <v>1364</v>
      </c>
      <c r="D3477" s="195" t="s">
        <v>211</v>
      </c>
      <c r="E3477" s="195" t="s">
        <v>1265</v>
      </c>
      <c r="F3477" s="195" t="s">
        <v>440</v>
      </c>
      <c r="G3477" s="196" t="s">
        <v>1365</v>
      </c>
      <c r="H3477" s="107" t="str">
        <f t="shared" si="32"/>
        <v>ifnull(t.strike_no," ") as strike_no,/*成交编号*/</v>
      </c>
    </row>
    <row r="3478" spans="2:8" s="7" customFormat="1" hidden="1" outlineLevel="1" x14ac:dyDescent="0.15">
      <c r="B3478" s="194" t="s">
        <v>20</v>
      </c>
      <c r="C3478" s="195" t="s">
        <v>1269</v>
      </c>
      <c r="D3478" s="195" t="s">
        <v>1073</v>
      </c>
      <c r="E3478" s="195" t="s">
        <v>1072</v>
      </c>
      <c r="F3478" s="195" t="s">
        <v>440</v>
      </c>
      <c r="G3478" s="196" t="s">
        <v>1270</v>
      </c>
      <c r="H3478" s="107" t="str">
        <f t="shared" si="32"/>
        <v>ifnull(t.report_date,date_format(curdate(),'%Y%m%d')) as report_date,/*申报日期*/</v>
      </c>
    </row>
    <row r="3479" spans="2:8" s="7" customFormat="1" hidden="1" outlineLevel="1" x14ac:dyDescent="0.15">
      <c r="B3479" s="194" t="s">
        <v>97</v>
      </c>
      <c r="C3479" s="195" t="s">
        <v>1366</v>
      </c>
      <c r="D3479" s="195" t="s">
        <v>211</v>
      </c>
      <c r="E3479" s="195" t="s">
        <v>1141</v>
      </c>
      <c r="F3479" s="195" t="s">
        <v>440</v>
      </c>
      <c r="G3479" s="196" t="s">
        <v>1367</v>
      </c>
      <c r="H3479" s="107" t="str">
        <f t="shared" si="32"/>
        <v>ifnull(t.report_no," ") as report_no,/*申报编号*/</v>
      </c>
    </row>
    <row r="3480" spans="2:8" s="7" customFormat="1" hidden="1" outlineLevel="1" x14ac:dyDescent="0.15">
      <c r="B3480" s="194" t="s">
        <v>99</v>
      </c>
      <c r="C3480" s="195" t="s">
        <v>1563</v>
      </c>
      <c r="D3480" s="195" t="s">
        <v>1287</v>
      </c>
      <c r="E3480" s="195" t="s">
        <v>1072</v>
      </c>
      <c r="F3480" s="195" t="s">
        <v>440</v>
      </c>
      <c r="G3480" s="196" t="s">
        <v>1368</v>
      </c>
      <c r="H3480" s="107" t="str">
        <f t="shared" si="32"/>
        <v>ifnull(t.order_date,date_format(curdate(),'%Y%m%d')) as order_date,/*订单日期*/</v>
      </c>
    </row>
    <row r="3481" spans="2:8" s="7" customFormat="1" hidden="1" outlineLevel="1" x14ac:dyDescent="0.15">
      <c r="B3481" s="194" t="s">
        <v>269</v>
      </c>
      <c r="C3481" s="195" t="s">
        <v>1369</v>
      </c>
      <c r="D3481" s="195" t="s">
        <v>211</v>
      </c>
      <c r="E3481" s="195" t="s">
        <v>1141</v>
      </c>
      <c r="F3481" s="195" t="s">
        <v>440</v>
      </c>
      <c r="G3481" s="196" t="s">
        <v>1162</v>
      </c>
      <c r="H3481" s="107" t="str">
        <f t="shared" si="32"/>
        <v>ifnull(t.order_time,date_format(curtime(),'%H%i%s')) as order_time,/*订单时间*/</v>
      </c>
    </row>
    <row r="3482" spans="2:8" s="7" customFormat="1" hidden="1" outlineLevel="1" x14ac:dyDescent="0.15">
      <c r="B3482" s="194" t="s">
        <v>271</v>
      </c>
      <c r="C3482" s="195" t="s">
        <v>1120</v>
      </c>
      <c r="D3482" s="195" t="s">
        <v>211</v>
      </c>
      <c r="E3482" s="195" t="s">
        <v>1265</v>
      </c>
      <c r="F3482" s="195" t="s">
        <v>440</v>
      </c>
      <c r="G3482" s="196" t="s">
        <v>1370</v>
      </c>
      <c r="H3482" s="107" t="str">
        <f t="shared" si="32"/>
        <v>ifnull(t.order_id,0) as order_id,/*订单序号*/</v>
      </c>
    </row>
    <row r="3483" spans="2:8" s="7" customFormat="1" hidden="1" outlineLevel="1" x14ac:dyDescent="0.15">
      <c r="B3483" s="194" t="s">
        <v>173</v>
      </c>
      <c r="C3483" s="195" t="s">
        <v>1371</v>
      </c>
      <c r="D3483" s="195" t="s">
        <v>1345</v>
      </c>
      <c r="E3483" s="195">
        <v>0</v>
      </c>
      <c r="F3483" s="195" t="s">
        <v>440</v>
      </c>
      <c r="G3483" s="196"/>
      <c r="H3483" s="107" t="str">
        <f t="shared" si="32"/>
        <v>ifnull(t.order_dir,0) as order_dir,/*订单方向*/</v>
      </c>
    </row>
    <row r="3484" spans="2:8" s="7" customFormat="1" hidden="1" outlineLevel="1" x14ac:dyDescent="0.15">
      <c r="B3484" s="194" t="s">
        <v>94</v>
      </c>
      <c r="C3484" s="195" t="s">
        <v>1278</v>
      </c>
      <c r="D3484" s="195" t="s">
        <v>211</v>
      </c>
      <c r="E3484" s="195">
        <v>0</v>
      </c>
      <c r="F3484" s="195" t="s">
        <v>440</v>
      </c>
      <c r="G3484" s="196" t="s">
        <v>1279</v>
      </c>
      <c r="H3484" s="107" t="str">
        <f t="shared" si="32"/>
        <v>ifnull(t.order_price,0) as order_price,/*订单价格*/</v>
      </c>
    </row>
    <row r="3485" spans="2:8" s="7" customFormat="1" hidden="1" outlineLevel="1" x14ac:dyDescent="0.15">
      <c r="B3485" s="194" t="s">
        <v>262</v>
      </c>
      <c r="C3485" s="195" t="s">
        <v>1372</v>
      </c>
      <c r="D3485" s="195" t="s">
        <v>1211</v>
      </c>
      <c r="E3485" s="195">
        <v>0</v>
      </c>
      <c r="F3485" s="195" t="s">
        <v>440</v>
      </c>
      <c r="G3485" s="196" t="s">
        <v>1373</v>
      </c>
      <c r="H3485" s="107" t="str">
        <f t="shared" si="32"/>
        <v>ifnull(t.order_qty,0) as order_qty,/*订单数量*/</v>
      </c>
    </row>
    <row r="3486" spans="2:8" s="7" customFormat="1" hidden="1" outlineLevel="1" x14ac:dyDescent="0.15">
      <c r="B3486" s="194" t="s">
        <v>272</v>
      </c>
      <c r="C3486" s="195" t="s">
        <v>1374</v>
      </c>
      <c r="D3486" s="195" t="s">
        <v>1087</v>
      </c>
      <c r="E3486" s="195">
        <v>0</v>
      </c>
      <c r="F3486" s="195" t="s">
        <v>440</v>
      </c>
      <c r="G3486" s="196" t="s">
        <v>1375</v>
      </c>
      <c r="H3486" s="107" t="str">
        <f t="shared" si="32"/>
        <v>ifnull(t.strike_qty,0) as strike_qty,/*成交数量*/</v>
      </c>
    </row>
    <row r="3487" spans="2:8" s="7" customFormat="1" hidden="1" outlineLevel="1" x14ac:dyDescent="0.15">
      <c r="B3487" s="194" t="s">
        <v>38</v>
      </c>
      <c r="C3487" s="195" t="s">
        <v>1241</v>
      </c>
      <c r="D3487" s="195" t="s">
        <v>1087</v>
      </c>
      <c r="E3487" s="195">
        <v>0</v>
      </c>
      <c r="F3487" s="195" t="s">
        <v>440</v>
      </c>
      <c r="G3487" s="196" t="s">
        <v>1086</v>
      </c>
      <c r="H3487" s="107" t="str">
        <f t="shared" si="32"/>
        <v>ifnull(t.strike_price,0) as strike_price,/*成交价格*/</v>
      </c>
    </row>
    <row r="3488" spans="2:8" s="7" customFormat="1" hidden="1" outlineLevel="1" x14ac:dyDescent="0.15">
      <c r="B3488" s="194" t="s">
        <v>100</v>
      </c>
      <c r="C3488" s="195" t="s">
        <v>1376</v>
      </c>
      <c r="D3488" s="195" t="s">
        <v>1211</v>
      </c>
      <c r="E3488" s="195">
        <v>0</v>
      </c>
      <c r="F3488" s="195" t="s">
        <v>440</v>
      </c>
      <c r="G3488" s="196" t="s">
        <v>1377</v>
      </c>
      <c r="H3488" s="107" t="str">
        <f t="shared" si="32"/>
        <v>ifnull(t.strike_amt,0) as strike_amt,/*成交金额*/</v>
      </c>
    </row>
    <row r="3489" spans="2:8" s="7" customFormat="1" hidden="1" outlineLevel="1" x14ac:dyDescent="0.15">
      <c r="B3489" s="194" t="s">
        <v>277</v>
      </c>
      <c r="C3489" s="195" t="s">
        <v>1242</v>
      </c>
      <c r="D3489" s="195" t="s">
        <v>1169</v>
      </c>
      <c r="E3489" s="195">
        <v>0</v>
      </c>
      <c r="F3489" s="195" t="s">
        <v>440</v>
      </c>
      <c r="G3489" s="196" t="s">
        <v>1243</v>
      </c>
      <c r="H3489" s="107" t="str">
        <f t="shared" si="32"/>
        <v>ifnull(t.all_fee,0) as all_fee,/*全部费用*/</v>
      </c>
    </row>
    <row r="3490" spans="2:8" s="7" customFormat="1" hidden="1" outlineLevel="1" x14ac:dyDescent="0.15">
      <c r="B3490" s="194" t="s">
        <v>263</v>
      </c>
      <c r="C3490" s="195" t="s">
        <v>1378</v>
      </c>
      <c r="D3490" s="195" t="s">
        <v>1169</v>
      </c>
      <c r="E3490" s="195">
        <v>0</v>
      </c>
      <c r="F3490" s="195" t="s">
        <v>440</v>
      </c>
      <c r="G3490" s="196" t="s">
        <v>1379</v>
      </c>
      <c r="H3490" s="107" t="str">
        <f t="shared" si="32"/>
        <v>ifnull(t.stamp_tax,0) as stamp_tax,/*印花税*/</v>
      </c>
    </row>
    <row r="3491" spans="2:8" s="7" customFormat="1" hidden="1" outlineLevel="1" x14ac:dyDescent="0.15">
      <c r="B3491" s="194" t="s">
        <v>102</v>
      </c>
      <c r="C3491" s="195" t="s">
        <v>1380</v>
      </c>
      <c r="D3491" s="195" t="s">
        <v>1169</v>
      </c>
      <c r="E3491" s="195">
        <v>0</v>
      </c>
      <c r="F3491" s="195" t="s">
        <v>440</v>
      </c>
      <c r="G3491" s="196" t="s">
        <v>1381</v>
      </c>
      <c r="H3491" s="107" t="str">
        <f t="shared" si="32"/>
        <v>ifnull(t.trans_fee,0) as trans_fee,/*过户费*/</v>
      </c>
    </row>
    <row r="3492" spans="2:8" s="7" customFormat="1" hidden="1" outlineLevel="1" x14ac:dyDescent="0.15">
      <c r="B3492" s="194" t="s">
        <v>103</v>
      </c>
      <c r="C3492" s="195" t="s">
        <v>1382</v>
      </c>
      <c r="D3492" s="195" t="s">
        <v>1169</v>
      </c>
      <c r="E3492" s="195">
        <v>0</v>
      </c>
      <c r="F3492" s="195" t="s">
        <v>440</v>
      </c>
      <c r="G3492" s="196"/>
      <c r="H3492" s="107" t="str">
        <f t="shared" si="32"/>
        <v>ifnull(t.brkage_fee,0) as brkage_fee,/*经手费*/</v>
      </c>
    </row>
    <row r="3493" spans="2:8" s="7" customFormat="1" hidden="1" outlineLevel="1" x14ac:dyDescent="0.15">
      <c r="B3493" s="194" t="s">
        <v>104</v>
      </c>
      <c r="C3493" s="195" t="s">
        <v>1383</v>
      </c>
      <c r="D3493" s="195" t="s">
        <v>1169</v>
      </c>
      <c r="E3493" s="195">
        <v>0</v>
      </c>
      <c r="F3493" s="195" t="s">
        <v>440</v>
      </c>
      <c r="G3493" s="196" t="s">
        <v>1384</v>
      </c>
      <c r="H3493" s="107" t="str">
        <f t="shared" si="32"/>
        <v>ifnull(t.SEC_charges,0) as SEC_charges,/*证管费*/</v>
      </c>
    </row>
    <row r="3494" spans="2:8" s="7" customFormat="1" hidden="1" outlineLevel="1" x14ac:dyDescent="0.15">
      <c r="B3494" s="194" t="s">
        <v>105</v>
      </c>
      <c r="C3494" s="195" t="s">
        <v>1385</v>
      </c>
      <c r="D3494" s="195" t="s">
        <v>1169</v>
      </c>
      <c r="E3494" s="195">
        <v>0</v>
      </c>
      <c r="F3494" s="195" t="s">
        <v>440</v>
      </c>
      <c r="G3494" s="196" t="s">
        <v>1564</v>
      </c>
      <c r="H3494" s="107" t="str">
        <f t="shared" si="32"/>
        <v>ifnull(t.other_fee,0) as other_fee,/*其他费用*/</v>
      </c>
    </row>
    <row r="3495" spans="2:8" s="7" customFormat="1" hidden="1" outlineLevel="1" x14ac:dyDescent="0.15">
      <c r="B3495" s="194" t="s">
        <v>106</v>
      </c>
      <c r="C3495" s="195" t="s">
        <v>1386</v>
      </c>
      <c r="D3495" s="195" t="s">
        <v>1169</v>
      </c>
      <c r="E3495" s="195">
        <v>0</v>
      </c>
      <c r="F3495" s="195" t="s">
        <v>440</v>
      </c>
      <c r="G3495" s="196" t="s">
        <v>1387</v>
      </c>
      <c r="H3495" s="107" t="str">
        <f t="shared" si="32"/>
        <v>ifnull(t.trade_commis,0) as trade_commis,/*交易佣金*/</v>
      </c>
    </row>
    <row r="3496" spans="2:8" s="7" customFormat="1" hidden="1" outlineLevel="1" x14ac:dyDescent="0.15">
      <c r="B3496" s="194" t="s">
        <v>107</v>
      </c>
      <c r="C3496" s="195" t="s">
        <v>1388</v>
      </c>
      <c r="D3496" s="195" t="s">
        <v>1169</v>
      </c>
      <c r="E3496" s="195">
        <v>0</v>
      </c>
      <c r="F3496" s="195" t="s">
        <v>440</v>
      </c>
      <c r="G3496" s="196" t="s">
        <v>1389</v>
      </c>
      <c r="H3496" s="107" t="str">
        <f t="shared" si="32"/>
        <v>ifnull(t.other_commis,0) as other_commis,/*其他佣金*/</v>
      </c>
    </row>
    <row r="3497" spans="2:8" s="7" customFormat="1" hidden="1" outlineLevel="1" x14ac:dyDescent="0.15">
      <c r="B3497" s="194" t="s">
        <v>108</v>
      </c>
      <c r="C3497" s="195" t="s">
        <v>1390</v>
      </c>
      <c r="D3497" s="195" t="s">
        <v>1169</v>
      </c>
      <c r="E3497" s="195">
        <v>0</v>
      </c>
      <c r="F3497" s="195" t="s">
        <v>440</v>
      </c>
      <c r="G3497" s="196" t="s">
        <v>1391</v>
      </c>
      <c r="H3497" s="107" t="str">
        <f t="shared" si="32"/>
        <v>ifnull(t.net_price_flag,0) as net_price_flag,/*净价标志*/</v>
      </c>
    </row>
    <row r="3498" spans="2:8" s="7" customFormat="1" hidden="1" outlineLevel="1" x14ac:dyDescent="0.15">
      <c r="B3498" s="194" t="s">
        <v>259</v>
      </c>
      <c r="C3498" s="195" t="s">
        <v>1392</v>
      </c>
      <c r="D3498" s="195" t="s">
        <v>211</v>
      </c>
      <c r="E3498" s="195">
        <v>0</v>
      </c>
      <c r="F3498" s="195" t="s">
        <v>440</v>
      </c>
      <c r="G3498" s="196"/>
      <c r="H3498" s="107" t="str">
        <f t="shared" si="32"/>
        <v>ifnull(t.intrst_days,0) as intrst_days,/*计息天数*/</v>
      </c>
    </row>
    <row r="3499" spans="2:8" s="7" customFormat="1" hidden="1" outlineLevel="1" x14ac:dyDescent="0.15">
      <c r="B3499" s="194" t="s">
        <v>264</v>
      </c>
      <c r="C3499" s="195" t="s">
        <v>1393</v>
      </c>
      <c r="D3499" s="195" t="s">
        <v>211</v>
      </c>
      <c r="E3499" s="195">
        <v>0</v>
      </c>
      <c r="F3499" s="195" t="s">
        <v>440</v>
      </c>
      <c r="G3499" s="196"/>
      <c r="H3499" s="107" t="str">
        <f t="shared" si="32"/>
        <v>ifnull(t.par_value,0) as par_value,/*票面面值*/</v>
      </c>
    </row>
    <row r="3500" spans="2:8" s="7" customFormat="1" hidden="1" outlineLevel="1" x14ac:dyDescent="0.15">
      <c r="B3500" s="194" t="s">
        <v>273</v>
      </c>
      <c r="C3500" s="195" t="s">
        <v>1394</v>
      </c>
      <c r="D3500" s="195" t="s">
        <v>1211</v>
      </c>
      <c r="E3500" s="195">
        <v>0</v>
      </c>
      <c r="F3500" s="195" t="s">
        <v>440</v>
      </c>
      <c r="G3500" s="196"/>
      <c r="H3500" s="107" t="str">
        <f t="shared" si="32"/>
        <v>ifnull(t.bond_accr_intrst,0) as bond_accr_intrst,/*债券计提利息*/</v>
      </c>
    </row>
    <row r="3501" spans="2:8" s="7" customFormat="1" hidden="1" outlineLevel="1" x14ac:dyDescent="0.15">
      <c r="B3501" s="194" t="s">
        <v>258</v>
      </c>
      <c r="C3501" s="195" t="s">
        <v>1395</v>
      </c>
      <c r="D3501" s="195" t="s">
        <v>1172</v>
      </c>
      <c r="E3501" s="195">
        <v>0</v>
      </c>
      <c r="F3501" s="195" t="s">
        <v>440</v>
      </c>
      <c r="G3501" s="196"/>
      <c r="H3501" s="107" t="str">
        <f t="shared" si="32"/>
        <v>ifnull(t.bond_rate_type,0) as bond_rate_type,/*债券利率类型*/</v>
      </c>
    </row>
    <row r="3502" spans="2:8" s="7" customFormat="1" hidden="1" outlineLevel="1" x14ac:dyDescent="0.15">
      <c r="B3502" s="194" t="s">
        <v>265</v>
      </c>
      <c r="C3502" s="195" t="s">
        <v>1396</v>
      </c>
      <c r="D3502" s="195" t="s">
        <v>211</v>
      </c>
      <c r="E3502" s="195">
        <v>0</v>
      </c>
      <c r="F3502" s="195" t="s">
        <v>440</v>
      </c>
      <c r="G3502" s="196"/>
      <c r="H3502" s="107" t="str">
        <f t="shared" si="32"/>
        <v>ifnull(t.impawn_ratio,0) as impawn_ratio,/*质押比例*/</v>
      </c>
    </row>
    <row r="3503" spans="2:8" s="7" customFormat="1" hidden="1" outlineLevel="1" x14ac:dyDescent="0.15">
      <c r="B3503" s="194" t="s">
        <v>274</v>
      </c>
      <c r="C3503" s="195" t="s">
        <v>1565</v>
      </c>
      <c r="D3503" s="195" t="s">
        <v>1172</v>
      </c>
      <c r="E3503" s="195">
        <v>0</v>
      </c>
      <c r="F3503" s="195" t="s">
        <v>440</v>
      </c>
      <c r="G3503" s="196"/>
      <c r="H3503" s="107" t="str">
        <f t="shared" si="32"/>
        <v>ifnull(t.trade_code_no,0) as trade_code_no,/*交易代码编号*/</v>
      </c>
    </row>
    <row r="3504" spans="2:8" s="7" customFormat="1" hidden="1" outlineLevel="1" x14ac:dyDescent="0.15">
      <c r="B3504" s="194" t="s">
        <v>174</v>
      </c>
      <c r="C3504" s="195" t="s">
        <v>1397</v>
      </c>
      <c r="D3504" s="195" t="s">
        <v>211</v>
      </c>
      <c r="E3504" s="195">
        <v>0</v>
      </c>
      <c r="F3504" s="195" t="s">
        <v>440</v>
      </c>
      <c r="G3504" s="196"/>
      <c r="H3504" s="107" t="str">
        <f t="shared" si="32"/>
        <v>ifnull(t.target_code_no,0) as target_code_no,/*标的代码编号*/</v>
      </c>
    </row>
    <row r="3505" spans="1:8" s="7" customFormat="1" hidden="1" outlineLevel="1" x14ac:dyDescent="0.15">
      <c r="B3505" s="194" t="s">
        <v>214</v>
      </c>
      <c r="C3505" s="195" t="s">
        <v>1339</v>
      </c>
      <c r="D3505" s="195" t="s">
        <v>211</v>
      </c>
      <c r="E3505" s="195">
        <v>0</v>
      </c>
      <c r="F3505" s="195" t="s">
        <v>440</v>
      </c>
      <c r="G3505" s="196"/>
      <c r="H3505" s="107" t="str">
        <f t="shared" si="32"/>
        <v>ifnull(t.order_oper_way," ") as order_oper_way,/*订单操作方式*/</v>
      </c>
    </row>
    <row r="3506" spans="1:8" s="7" customFormat="1" hidden="1" outlineLevel="1" x14ac:dyDescent="0.15">
      <c r="B3506" s="194" t="s">
        <v>266</v>
      </c>
      <c r="C3506" s="195" t="s">
        <v>1398</v>
      </c>
      <c r="D3506" s="195" t="s">
        <v>1403</v>
      </c>
      <c r="E3506" s="195" t="s">
        <v>1072</v>
      </c>
      <c r="F3506" s="195" t="s">
        <v>440</v>
      </c>
      <c r="G3506" s="196"/>
      <c r="H3506" s="107" t="str">
        <f t="shared" si="32"/>
        <v>ifnull(t.exter_comm_flag,0) as exter_comm_flag,/*体外指令标志*/</v>
      </c>
    </row>
    <row r="3507" spans="1:8" s="7" customFormat="1" hidden="1" outlineLevel="1" x14ac:dyDescent="0.15">
      <c r="B3507" s="194" t="s">
        <v>267</v>
      </c>
      <c r="C3507" s="195" t="s">
        <v>1566</v>
      </c>
      <c r="D3507" s="195" t="s">
        <v>211</v>
      </c>
      <c r="E3507" s="195">
        <v>0</v>
      </c>
      <c r="F3507" s="195" t="s">
        <v>440</v>
      </c>
      <c r="G3507" s="196" t="s">
        <v>1567</v>
      </c>
      <c r="H3507" s="107" t="str">
        <f t="shared" si="32"/>
        <v>ifnull(t.record_valid_flag,0) as record_valid_flag,/*记录有效标志*/</v>
      </c>
    </row>
    <row r="3508" spans="1:8" s="7" customFormat="1" hidden="1" outlineLevel="1" x14ac:dyDescent="0.15">
      <c r="B3508" s="197" t="s">
        <v>268</v>
      </c>
      <c r="C3508" s="198" t="s">
        <v>1568</v>
      </c>
      <c r="D3508" s="198" t="s">
        <v>211</v>
      </c>
      <c r="E3508" s="195">
        <v>0</v>
      </c>
      <c r="F3508" s="195" t="s">
        <v>440</v>
      </c>
      <c r="G3508" s="199" t="s">
        <v>1399</v>
      </c>
    </row>
    <row r="3509" spans="1:8" s="7" customFormat="1" ht="18" hidden="1" outlineLevel="1" thickBot="1" x14ac:dyDescent="0.2">
      <c r="A3509" s="2"/>
      <c r="B3509" s="24"/>
      <c r="C3509" s="9"/>
      <c r="D3509" s="9"/>
      <c r="E3509" s="9"/>
      <c r="F3509" s="9"/>
      <c r="G3509" s="11"/>
    </row>
    <row r="3510" spans="1:8" s="7" customFormat="1" hidden="1" outlineLevel="1" x14ac:dyDescent="0.15">
      <c r="A3510" s="2"/>
      <c r="B3510" s="327" t="s">
        <v>15</v>
      </c>
      <c r="C3510" s="328"/>
      <c r="D3510" s="328"/>
      <c r="E3510" s="328"/>
      <c r="F3510" s="328"/>
      <c r="G3510" s="329"/>
    </row>
    <row r="3511" spans="1:8" s="7" customFormat="1" hidden="1" outlineLevel="1" x14ac:dyDescent="0.15">
      <c r="A3511" s="2"/>
      <c r="B3511" s="20"/>
      <c r="C3511" s="23"/>
      <c r="D3511" s="21"/>
      <c r="E3511" s="21"/>
      <c r="F3511" s="21"/>
      <c r="G3511" s="21"/>
    </row>
    <row r="3512" spans="1:8" s="7" customFormat="1" hidden="1" outlineLevel="1" x14ac:dyDescent="0.15">
      <c r="A3512" s="2"/>
      <c r="B3512" s="17"/>
      <c r="C3512" s="37"/>
      <c r="D3512" s="18"/>
      <c r="E3512" s="18"/>
      <c r="F3512" s="18"/>
      <c r="G3512" s="38"/>
    </row>
    <row r="3513" spans="1:8" ht="18" hidden="1" outlineLevel="1" thickBot="1" x14ac:dyDescent="0.2">
      <c r="A3513" s="2"/>
      <c r="B3513" s="24"/>
      <c r="C3513" s="9"/>
      <c r="D3513" s="9"/>
      <c r="E3513" s="9"/>
      <c r="F3513" s="9"/>
      <c r="G3513" s="11"/>
    </row>
    <row r="3514" spans="1:8" hidden="1" outlineLevel="1" x14ac:dyDescent="0.15"/>
    <row r="3515" spans="1:8" ht="18" hidden="1" outlineLevel="1" thickBot="1" x14ac:dyDescent="0.2"/>
    <row r="3516" spans="1:8" s="7" customFormat="1" ht="18" hidden="1" outlineLevel="1" thickBot="1" x14ac:dyDescent="0.2">
      <c r="A3516" s="1"/>
      <c r="B3516" s="1"/>
      <c r="C3516" s="1"/>
      <c r="D3516" s="1"/>
      <c r="E3516" s="1"/>
      <c r="F3516" s="1"/>
      <c r="G3516" s="1"/>
      <c r="H3516" s="6" t="str">
        <f>"create or replace view "&amp;C3517</f>
        <v>create or replace view vi_dt_exgp_capit_asset</v>
      </c>
    </row>
    <row r="3517" spans="1:8" s="7" customFormat="1" ht="18" collapsed="1" thickBot="1" x14ac:dyDescent="0.2">
      <c r="A3517" s="2"/>
      <c r="B3517" s="3" t="s">
        <v>563</v>
      </c>
      <c r="C3517" s="4" t="s">
        <v>683</v>
      </c>
      <c r="D3517" s="5" t="s">
        <v>515</v>
      </c>
      <c r="E3517" s="21" t="s">
        <v>1032</v>
      </c>
      <c r="F3517" s="5" t="s">
        <v>567</v>
      </c>
      <c r="G3517" s="6" t="s">
        <v>681</v>
      </c>
      <c r="H3517" s="11" t="str">
        <f>"/* "&amp;E3517&amp;"*/  as "</f>
        <v xml:space="preserve">/* 报表_资管报表_视图-数据-交易组-资金-资产*/  as </v>
      </c>
    </row>
    <row r="3518" spans="1:8" s="7" customFormat="1" ht="18" hidden="1" outlineLevel="1" thickBot="1" x14ac:dyDescent="0.2">
      <c r="A3518" s="2"/>
      <c r="B3518" s="34" t="s">
        <v>570</v>
      </c>
      <c r="C3518" s="18"/>
      <c r="D3518" s="35" t="s">
        <v>568</v>
      </c>
      <c r="E3518" s="18" t="s">
        <v>615</v>
      </c>
      <c r="F3518" s="35"/>
      <c r="G3518" s="19"/>
      <c r="H3518" s="13" t="s">
        <v>283</v>
      </c>
    </row>
    <row r="3519" spans="1:8" s="7" customFormat="1" hidden="1" outlineLevel="1" x14ac:dyDescent="0.15">
      <c r="A3519" s="2"/>
      <c r="B3519" s="3" t="s">
        <v>0</v>
      </c>
      <c r="C3519" s="5" t="s">
        <v>1</v>
      </c>
      <c r="D3519" s="5" t="s">
        <v>2</v>
      </c>
      <c r="E3519" s="5"/>
      <c r="F3519" s="5" t="s">
        <v>3</v>
      </c>
      <c r="G3519" s="36" t="s">
        <v>4</v>
      </c>
      <c r="H3519" s="107" t="str">
        <f t="shared" ref="H3519:H3556" si="33">"ifnull("&amp;IF(I3519&lt;&gt;"",I3519,IF(F3520&lt;&gt;"",F3520,"t")&amp;"."&amp;C3520)&amp;","&amp;E3520&amp;") as "&amp;C3520&amp;",/*"&amp;B3520&amp;"*/"</f>
        <v>ifnull(t.init_date,date_format(curdate(),'%Y%m%d')) as init_date,/*初始化日期*/</v>
      </c>
    </row>
    <row r="3520" spans="1:8" s="7" customFormat="1" hidden="1" outlineLevel="1" x14ac:dyDescent="0.15">
      <c r="A3520" s="2"/>
      <c r="B3520" s="20" t="s">
        <v>5</v>
      </c>
      <c r="C3520" s="21" t="s">
        <v>1127</v>
      </c>
      <c r="D3520" s="21" t="s">
        <v>211</v>
      </c>
      <c r="E3520" s="21" t="s">
        <v>1141</v>
      </c>
      <c r="F3520" s="21" t="s">
        <v>440</v>
      </c>
      <c r="G3520" s="22" t="s">
        <v>1162</v>
      </c>
      <c r="H3520" s="107" t="str">
        <f t="shared" si="33"/>
        <v>ifnull(t.co_no,0) as co_no,/*机构编号*/</v>
      </c>
    </row>
    <row r="3521" spans="1:8" s="7" customFormat="1" hidden="1" outlineLevel="1" x14ac:dyDescent="0.15">
      <c r="B3521" s="202" t="s">
        <v>6</v>
      </c>
      <c r="C3521" s="200" t="s">
        <v>1163</v>
      </c>
      <c r="D3521" s="200" t="s">
        <v>211</v>
      </c>
      <c r="E3521" s="200">
        <v>0</v>
      </c>
      <c r="F3521" s="200" t="s">
        <v>440</v>
      </c>
      <c r="G3521" s="201" t="s">
        <v>1077</v>
      </c>
      <c r="H3521" s="107" t="str">
        <f t="shared" si="33"/>
        <v>ifnull(t.pd_no,0) as pd_no,/*产品编号*/</v>
      </c>
    </row>
    <row r="3522" spans="1:8" s="7" customFormat="1" hidden="1" outlineLevel="1" x14ac:dyDescent="0.15">
      <c r="B3522" s="202" t="s">
        <v>111</v>
      </c>
      <c r="C3522" s="200" t="s">
        <v>1164</v>
      </c>
      <c r="D3522" s="200" t="s">
        <v>211</v>
      </c>
      <c r="E3522" s="200">
        <v>0</v>
      </c>
      <c r="F3522" s="200" t="s">
        <v>440</v>
      </c>
      <c r="G3522" s="201" t="s">
        <v>1165</v>
      </c>
      <c r="H3522" s="107" t="str">
        <f t="shared" si="33"/>
        <v>ifnull(t.exch_group_no,0) as exch_group_no,/*交易组编号*/</v>
      </c>
    </row>
    <row r="3523" spans="1:8" s="7" customFormat="1" hidden="1" outlineLevel="1" x14ac:dyDescent="0.15">
      <c r="B3523" s="202" t="s">
        <v>123</v>
      </c>
      <c r="C3523" s="200" t="s">
        <v>1133</v>
      </c>
      <c r="D3523" s="200" t="s">
        <v>211</v>
      </c>
      <c r="E3523" s="200">
        <v>0</v>
      </c>
      <c r="F3523" s="200" t="s">
        <v>440</v>
      </c>
      <c r="G3523" s="201" t="s">
        <v>1182</v>
      </c>
      <c r="H3523" s="107" t="str">
        <f t="shared" si="33"/>
        <v>ifnull(t.exch_group_code," ") as exch_group_code,/*交易组编码*/</v>
      </c>
    </row>
    <row r="3524" spans="1:8" s="7" customFormat="1" hidden="1" outlineLevel="1" x14ac:dyDescent="0.15">
      <c r="B3524" s="202" t="s">
        <v>164</v>
      </c>
      <c r="C3524" s="200" t="s">
        <v>1423</v>
      </c>
      <c r="D3524" s="200" t="s">
        <v>1287</v>
      </c>
      <c r="E3524" s="200" t="s">
        <v>1072</v>
      </c>
      <c r="F3524" s="200" t="s">
        <v>440</v>
      </c>
      <c r="G3524" s="201" t="s">
        <v>1424</v>
      </c>
      <c r="H3524" s="107" t="str">
        <f t="shared" si="33"/>
        <v>ifnull(t.exch_group_name," ") as exch_group_name,/*交易组名称*/</v>
      </c>
    </row>
    <row r="3525" spans="1:8" s="7" customFormat="1" hidden="1" outlineLevel="1" x14ac:dyDescent="0.15">
      <c r="B3525" s="202" t="s">
        <v>165</v>
      </c>
      <c r="C3525" s="200" t="s">
        <v>1425</v>
      </c>
      <c r="D3525" s="200" t="s">
        <v>1073</v>
      </c>
      <c r="E3525" s="200" t="s">
        <v>1072</v>
      </c>
      <c r="F3525" s="200" t="s">
        <v>440</v>
      </c>
      <c r="G3525" s="201"/>
      <c r="H3525" s="107" t="str">
        <f t="shared" si="33"/>
        <v>ifnull(t.exch_group_status,"0") as exch_group_status,/*交易组状态*/</v>
      </c>
    </row>
    <row r="3526" spans="1:8" s="7" customFormat="1" hidden="1" outlineLevel="1" x14ac:dyDescent="0.15">
      <c r="B3526" s="202" t="s">
        <v>166</v>
      </c>
      <c r="C3526" s="200" t="s">
        <v>1426</v>
      </c>
      <c r="D3526" s="200" t="s">
        <v>1403</v>
      </c>
      <c r="E3526" s="200" t="s">
        <v>1303</v>
      </c>
      <c r="F3526" s="200" t="s">
        <v>440</v>
      </c>
      <c r="G3526" s="201"/>
      <c r="H3526" s="107" t="str">
        <f t="shared" si="33"/>
        <v>ifnull(t.default_group_flag,0) as default_group_flag,/*默认组标志*/</v>
      </c>
    </row>
    <row r="3527" spans="1:8" s="7" customFormat="1" ht="15" hidden="1" customHeight="1" outlineLevel="1" x14ac:dyDescent="0.15">
      <c r="B3527" s="202" t="s">
        <v>167</v>
      </c>
      <c r="C3527" s="200" t="s">
        <v>1427</v>
      </c>
      <c r="D3527" s="200" t="s">
        <v>211</v>
      </c>
      <c r="E3527" s="200">
        <v>0</v>
      </c>
      <c r="F3527" s="200" t="s">
        <v>440</v>
      </c>
      <c r="G3527" s="201"/>
      <c r="H3527" s="107" t="str">
        <f t="shared" si="33"/>
        <v>ifnull(t.first_asset,0) as first_asset,/*原始资产*/</v>
      </c>
    </row>
    <row r="3528" spans="1:8" s="7" customFormat="1" hidden="1" outlineLevel="1" x14ac:dyDescent="0.15">
      <c r="A3528" s="2"/>
      <c r="B3528" s="204" t="s">
        <v>189</v>
      </c>
      <c r="C3528" s="205" t="s">
        <v>1296</v>
      </c>
      <c r="D3528" s="205" t="s">
        <v>1169</v>
      </c>
      <c r="E3528" s="205">
        <v>0</v>
      </c>
      <c r="F3528" s="200" t="s">
        <v>440</v>
      </c>
      <c r="G3528" s="206"/>
      <c r="H3528" s="107" t="str">
        <f t="shared" si="33"/>
        <v>ifnull(t.exch_group_dist_pd_amt,0) as exch_group_dist_pd_amt,/*分配产品资金*/</v>
      </c>
    </row>
    <row r="3529" spans="1:8" s="7" customFormat="1" hidden="1" outlineLevel="1" x14ac:dyDescent="0.15">
      <c r="B3529" s="207" t="s">
        <v>168</v>
      </c>
      <c r="C3529" s="208" t="s">
        <v>1428</v>
      </c>
      <c r="D3529" s="208" t="s">
        <v>1169</v>
      </c>
      <c r="E3529" s="208">
        <v>0</v>
      </c>
      <c r="F3529" s="200" t="s">
        <v>440</v>
      </c>
      <c r="G3529" s="209"/>
      <c r="H3529" s="107" t="str">
        <f t="shared" si="33"/>
        <v>ifnull(t.exch_group_pd_share,0) as exch_group_pd_share,/*交易组产品份额*/</v>
      </c>
    </row>
    <row r="3530" spans="1:8" s="7" customFormat="1" ht="15" hidden="1" customHeight="1" outlineLevel="1" x14ac:dyDescent="0.15">
      <c r="B3530" s="207" t="s">
        <v>169</v>
      </c>
      <c r="C3530" s="208" t="s">
        <v>1435</v>
      </c>
      <c r="D3530" s="208" t="s">
        <v>1087</v>
      </c>
      <c r="E3530" s="208">
        <v>0</v>
      </c>
      <c r="F3530" s="200" t="s">
        <v>440</v>
      </c>
      <c r="G3530" s="209"/>
      <c r="H3530" s="107" t="str">
        <f t="shared" si="33"/>
        <v>ifnull(t.pre_exch_group_pd_share,0) as pre_exch_group_pd_share,/*昨日交易组产品份额*/</v>
      </c>
    </row>
    <row r="3531" spans="1:8" s="7" customFormat="1" ht="15" hidden="1" customHeight="1" outlineLevel="1" x14ac:dyDescent="0.15">
      <c r="A3531" s="2"/>
      <c r="B3531" s="210" t="s">
        <v>469</v>
      </c>
      <c r="C3531" s="205" t="s">
        <v>1429</v>
      </c>
      <c r="D3531" s="205" t="s">
        <v>1087</v>
      </c>
      <c r="E3531" s="205">
        <v>0</v>
      </c>
      <c r="F3531" s="200" t="s">
        <v>440</v>
      </c>
      <c r="G3531" s="206"/>
      <c r="H3531" s="107" t="str">
        <f t="shared" si="33"/>
        <v>ifnull(t.pre_nav,0) as pre_nav,/*昨日净值*/</v>
      </c>
    </row>
    <row r="3532" spans="1:8" s="7" customFormat="1" hidden="1" outlineLevel="1" x14ac:dyDescent="0.15">
      <c r="A3532" s="2"/>
      <c r="B3532" s="207" t="s">
        <v>193</v>
      </c>
      <c r="C3532" s="208" t="s">
        <v>1171</v>
      </c>
      <c r="D3532" s="208" t="s">
        <v>1169</v>
      </c>
      <c r="E3532" s="208">
        <v>0</v>
      </c>
      <c r="F3532" s="200" t="s">
        <v>440</v>
      </c>
      <c r="G3532" s="209"/>
      <c r="H3532" s="107" t="str">
        <f t="shared" si="33"/>
        <v>ifnull(t.allow_exch," ") as allow_exch,/*允许投资市场*/</v>
      </c>
    </row>
    <row r="3533" spans="1:8" s="7" customFormat="1" hidden="1" outlineLevel="1" x14ac:dyDescent="0.15">
      <c r="B3533" s="203" t="s">
        <v>170</v>
      </c>
      <c r="C3533" s="200" t="s">
        <v>1430</v>
      </c>
      <c r="D3533" s="200" t="s">
        <v>1073</v>
      </c>
      <c r="E3533" s="200" t="s">
        <v>1072</v>
      </c>
      <c r="F3533" s="200" t="s">
        <v>440</v>
      </c>
      <c r="G3533" s="201"/>
      <c r="H3533" s="107" t="str">
        <f t="shared" si="33"/>
        <v>ifnull(t.allow_stock_type," ") as allow_stock_type,/*允许操作证券类型*/</v>
      </c>
    </row>
    <row r="3534" spans="1:8" s="7" customFormat="1" hidden="1" outlineLevel="1" x14ac:dyDescent="0.15">
      <c r="B3534" s="203" t="s">
        <v>71</v>
      </c>
      <c r="C3534" s="200" t="s">
        <v>1431</v>
      </c>
      <c r="D3534" s="200" t="s">
        <v>1432</v>
      </c>
      <c r="E3534" s="200" t="s">
        <v>1072</v>
      </c>
      <c r="F3534" s="200" t="s">
        <v>440</v>
      </c>
      <c r="G3534" s="201"/>
      <c r="H3534" s="107" t="str">
        <f t="shared" si="33"/>
        <v>ifnull(t.busi_config_str," ") as busi_config_str,/*业务控制配置串*/</v>
      </c>
    </row>
    <row r="3535" spans="1:8" s="7" customFormat="1" hidden="1" outlineLevel="1" x14ac:dyDescent="0.15">
      <c r="B3535" s="202" t="s">
        <v>171</v>
      </c>
      <c r="C3535" s="200" t="s">
        <v>1433</v>
      </c>
      <c r="D3535" s="200" t="s">
        <v>1073</v>
      </c>
      <c r="E3535" s="200" t="s">
        <v>1072</v>
      </c>
      <c r="F3535" s="200" t="s">
        <v>440</v>
      </c>
      <c r="G3535" s="201" t="s">
        <v>1434</v>
      </c>
      <c r="H3535" s="107" t="str">
        <f t="shared" si="33"/>
        <v>ifnull(t.market_price_ratio,0) as market_price_ratio,/*市价冻结浮动比例*/</v>
      </c>
    </row>
    <row r="3536" spans="1:8" s="7" customFormat="1" hidden="1" outlineLevel="1" x14ac:dyDescent="0.15">
      <c r="B3536" s="202" t="s">
        <v>172</v>
      </c>
      <c r="C3536" s="200" t="s">
        <v>1121</v>
      </c>
      <c r="D3536" s="200" t="s">
        <v>1172</v>
      </c>
      <c r="E3536" s="200">
        <v>0</v>
      </c>
      <c r="F3536" s="200" t="s">
        <v>440</v>
      </c>
      <c r="G3536" s="201"/>
      <c r="H3536" s="107" t="str">
        <f t="shared" si="33"/>
        <v>ifnull(t.remark_info," ") as remark_info,/*备注信息*/</v>
      </c>
    </row>
    <row r="3537" spans="1:8" s="7" customFormat="1" hidden="1" outlineLevel="1" x14ac:dyDescent="0.15">
      <c r="B3537" s="202" t="s">
        <v>67</v>
      </c>
      <c r="C3537" s="200" t="s">
        <v>1406</v>
      </c>
      <c r="D3537" s="200" t="s">
        <v>1092</v>
      </c>
      <c r="E3537" s="200" t="s">
        <v>1072</v>
      </c>
      <c r="F3537" s="200" t="s">
        <v>440</v>
      </c>
      <c r="G3537" s="201" t="s">
        <v>1304</v>
      </c>
      <c r="H3537" s="107" t="str">
        <f t="shared" si="33"/>
        <v>ifnull(a.asset_acco_no,0) as asset_acco_no,/*资产账户编号*/</v>
      </c>
    </row>
    <row r="3538" spans="1:8" s="7" customFormat="1" hidden="1" outlineLevel="1" x14ac:dyDescent="0.15">
      <c r="A3538" s="2"/>
      <c r="B3538" s="221" t="s">
        <v>113</v>
      </c>
      <c r="C3538" s="222" t="s">
        <v>1187</v>
      </c>
      <c r="D3538" s="222" t="s">
        <v>211</v>
      </c>
      <c r="E3538" s="222">
        <v>0</v>
      </c>
      <c r="F3538" s="222" t="s">
        <v>441</v>
      </c>
      <c r="G3538" s="223"/>
      <c r="H3538" s="107" t="str">
        <f t="shared" si="33"/>
        <v>ifnull(a.auth_amt,0) as auth_amt,/*授权金额*/</v>
      </c>
    </row>
    <row r="3539" spans="1:8" s="7" customFormat="1" hidden="1" outlineLevel="1" x14ac:dyDescent="0.15">
      <c r="A3539" s="2"/>
      <c r="B3539" s="224" t="s">
        <v>456</v>
      </c>
      <c r="C3539" s="198" t="s">
        <v>1508</v>
      </c>
      <c r="D3539" s="198" t="s">
        <v>1169</v>
      </c>
      <c r="E3539" s="198">
        <v>0</v>
      </c>
      <c r="F3539" s="222" t="s">
        <v>441</v>
      </c>
      <c r="G3539" s="199"/>
      <c r="H3539" s="107" t="str">
        <f t="shared" si="33"/>
        <v>ifnull(a.begin_amt,0) as begin_amt,/*期初金额*/</v>
      </c>
    </row>
    <row r="3540" spans="1:8" s="7" customFormat="1" hidden="1" outlineLevel="1" x14ac:dyDescent="0.15">
      <c r="A3540" s="2"/>
      <c r="B3540" s="197" t="s">
        <v>24</v>
      </c>
      <c r="C3540" s="218" t="s">
        <v>1151</v>
      </c>
      <c r="D3540" s="218" t="s">
        <v>1169</v>
      </c>
      <c r="E3540" s="218">
        <v>0</v>
      </c>
      <c r="F3540" s="222" t="s">
        <v>441</v>
      </c>
      <c r="G3540" s="219" t="s">
        <v>1116</v>
      </c>
      <c r="H3540" s="107" t="str">
        <f t="shared" si="33"/>
        <v>ifnull(a.curr_amt,0) as curr_amt,/*当前金额*/</v>
      </c>
    </row>
    <row r="3541" spans="1:8" s="7" customFormat="1" hidden="1" outlineLevel="1" x14ac:dyDescent="0.15">
      <c r="A3541" s="2"/>
      <c r="B3541" s="197" t="s">
        <v>25</v>
      </c>
      <c r="C3541" s="218" t="s">
        <v>1150</v>
      </c>
      <c r="D3541" s="218" t="s">
        <v>1169</v>
      </c>
      <c r="E3541" s="218">
        <v>0</v>
      </c>
      <c r="F3541" s="222" t="s">
        <v>441</v>
      </c>
      <c r="G3541" s="219" t="s">
        <v>1312</v>
      </c>
      <c r="H3541" s="107" t="str">
        <f t="shared" si="33"/>
        <v>ifnull(a.frozen_amt,0) as frozen_amt,/*冻结金额*/</v>
      </c>
    </row>
    <row r="3542" spans="1:8" s="7" customFormat="1" hidden="1" outlineLevel="1" x14ac:dyDescent="0.15">
      <c r="A3542" s="2"/>
      <c r="B3542" s="194" t="s">
        <v>26</v>
      </c>
      <c r="C3542" s="195" t="s">
        <v>1152</v>
      </c>
      <c r="D3542" s="195" t="s">
        <v>1169</v>
      </c>
      <c r="E3542" s="195">
        <v>0</v>
      </c>
      <c r="F3542" s="222" t="s">
        <v>441</v>
      </c>
      <c r="G3542" s="196" t="s">
        <v>1323</v>
      </c>
      <c r="H3542" s="107" t="str">
        <f t="shared" si="33"/>
        <v>ifnull(a.unfroz_amt,0) as unfroz_amt,/*解冻金额*/</v>
      </c>
    </row>
    <row r="3543" spans="1:8" s="7" customFormat="1" hidden="1" outlineLevel="1" x14ac:dyDescent="0.15">
      <c r="A3543" s="2"/>
      <c r="B3543" s="194" t="s">
        <v>27</v>
      </c>
      <c r="C3543" s="195" t="s">
        <v>1313</v>
      </c>
      <c r="D3543" s="195" t="s">
        <v>1169</v>
      </c>
      <c r="E3543" s="195">
        <v>0</v>
      </c>
      <c r="F3543" s="222" t="s">
        <v>441</v>
      </c>
      <c r="G3543" s="196" t="s">
        <v>1314</v>
      </c>
      <c r="H3543" s="107" t="str">
        <f t="shared" si="33"/>
        <v>ifnull(a.total_rece_amt,0) as total_rece_amt,/*累计应收金额*/</v>
      </c>
    </row>
    <row r="3544" spans="1:8" s="7" customFormat="1" hidden="1" outlineLevel="1" x14ac:dyDescent="0.15">
      <c r="A3544" s="2"/>
      <c r="B3544" s="197" t="s">
        <v>175</v>
      </c>
      <c r="C3544" s="218" t="s">
        <v>1129</v>
      </c>
      <c r="D3544" s="218" t="s">
        <v>1169</v>
      </c>
      <c r="E3544" s="218">
        <v>0</v>
      </c>
      <c r="F3544" s="222" t="s">
        <v>441</v>
      </c>
      <c r="G3544" s="219"/>
      <c r="H3544" s="107" t="str">
        <f t="shared" si="33"/>
        <v>ifnull(a.total_payab_amt,0) as total_payab_amt,/*累计应付金额*/</v>
      </c>
    </row>
    <row r="3545" spans="1:8" s="7" customFormat="1" hidden="1" outlineLevel="1" x14ac:dyDescent="0.15">
      <c r="A3545" s="2"/>
      <c r="B3545" s="197" t="s">
        <v>176</v>
      </c>
      <c r="C3545" s="218" t="s">
        <v>1132</v>
      </c>
      <c r="D3545" s="218" t="s">
        <v>1169</v>
      </c>
      <c r="E3545" s="218">
        <v>0</v>
      </c>
      <c r="F3545" s="222" t="s">
        <v>441</v>
      </c>
      <c r="G3545" s="219"/>
      <c r="H3545" s="107" t="str">
        <f t="shared" si="33"/>
        <v>ifnull(a.realize_pandl,0) as realize_pandl,/*实现盈亏*/</v>
      </c>
    </row>
    <row r="3546" spans="1:8" s="7" customFormat="1" hidden="1" outlineLevel="1" x14ac:dyDescent="0.15">
      <c r="B3546" s="197" t="s">
        <v>153</v>
      </c>
      <c r="C3546" s="218" t="s">
        <v>1143</v>
      </c>
      <c r="D3546" s="218" t="s">
        <v>1169</v>
      </c>
      <c r="E3546" s="218">
        <v>0</v>
      </c>
      <c r="F3546" s="222" t="s">
        <v>441</v>
      </c>
      <c r="G3546" s="219"/>
      <c r="H3546" s="107" t="str">
        <f t="shared" si="33"/>
        <v>ifnull(a.intrst_rate,0) as intrst_rate,/*利率*/</v>
      </c>
    </row>
    <row r="3547" spans="1:8" s="7" customFormat="1" hidden="1" outlineLevel="1" x14ac:dyDescent="0.15">
      <c r="A3547" s="2"/>
      <c r="B3547" s="197" t="s">
        <v>178</v>
      </c>
      <c r="C3547" s="218" t="s">
        <v>1324</v>
      </c>
      <c r="D3547" s="218" t="s">
        <v>1172</v>
      </c>
      <c r="E3547" s="218">
        <v>0</v>
      </c>
      <c r="F3547" s="222" t="s">
        <v>441</v>
      </c>
      <c r="G3547" s="219"/>
      <c r="H3547" s="107" t="str">
        <f t="shared" si="33"/>
        <v>ifnull(a.intrst_base_amt,0) as intrst_base_amt,/*利息积数*/</v>
      </c>
    </row>
    <row r="3548" spans="1:8" s="7" customFormat="1" hidden="1" outlineLevel="1" x14ac:dyDescent="0.15">
      <c r="B3548" s="197" t="s">
        <v>179</v>
      </c>
      <c r="C3548" s="218" t="s">
        <v>1325</v>
      </c>
      <c r="D3548" s="218" t="s">
        <v>1169</v>
      </c>
      <c r="E3548" s="218">
        <v>0</v>
      </c>
      <c r="F3548" s="222" t="s">
        <v>441</v>
      </c>
      <c r="G3548" s="219" t="s">
        <v>1326</v>
      </c>
      <c r="H3548" s="107" t="str">
        <f t="shared" si="33"/>
        <v>ifnull(a.pre_entry_intrst_amt,0) as pre_entry_intrst_amt,/*待入账利息*/</v>
      </c>
    </row>
    <row r="3549" spans="1:8" s="7" customFormat="1" hidden="1" outlineLevel="1" x14ac:dyDescent="0.15">
      <c r="B3549" s="197" t="s">
        <v>180</v>
      </c>
      <c r="C3549" s="218" t="s">
        <v>1309</v>
      </c>
      <c r="D3549" s="218" t="s">
        <v>1169</v>
      </c>
      <c r="E3549" s="218">
        <v>0</v>
      </c>
      <c r="F3549" s="222" t="s">
        <v>441</v>
      </c>
      <c r="G3549" s="219" t="s">
        <v>1310</v>
      </c>
      <c r="H3549" s="107" t="str">
        <f t="shared" si="33"/>
        <v>ifnull(b.begin_NAV,0) as begin_NAV,/*期初净资产*/</v>
      </c>
    </row>
    <row r="3550" spans="1:8" s="7" customFormat="1" hidden="1" outlineLevel="1" x14ac:dyDescent="0.15">
      <c r="A3550" s="2"/>
      <c r="B3550" s="153" t="s">
        <v>312</v>
      </c>
      <c r="C3550" s="154" t="s">
        <v>1168</v>
      </c>
      <c r="D3550" s="154" t="s">
        <v>1169</v>
      </c>
      <c r="E3550" s="154">
        <v>0</v>
      </c>
      <c r="F3550" s="154" t="s">
        <v>454</v>
      </c>
      <c r="G3550" s="155"/>
      <c r="H3550" s="107" t="str">
        <f t="shared" si="33"/>
        <v>ifnull(b.nav_asset,0) as nav_asset,/*净资产*/</v>
      </c>
    </row>
    <row r="3551" spans="1:8" s="7" customFormat="1" hidden="1" outlineLevel="1" x14ac:dyDescent="0.15">
      <c r="A3551" s="2"/>
      <c r="B3551" s="153" t="s">
        <v>303</v>
      </c>
      <c r="C3551" s="154" t="s">
        <v>1170</v>
      </c>
      <c r="D3551" s="154" t="s">
        <v>1169</v>
      </c>
      <c r="E3551" s="154">
        <v>0</v>
      </c>
      <c r="F3551" s="154" t="s">
        <v>454</v>
      </c>
      <c r="G3551" s="155"/>
      <c r="H3551" s="107" t="str">
        <f t="shared" si="33"/>
        <v>ifnull(b.cash_asset,0) as cash_asset,/*现金资产*/</v>
      </c>
    </row>
    <row r="3552" spans="1:8" s="7" customFormat="1" hidden="1" outlineLevel="1" x14ac:dyDescent="0.15">
      <c r="A3552" s="2"/>
      <c r="B3552" s="153" t="s">
        <v>304</v>
      </c>
      <c r="C3552" s="154" t="s">
        <v>1185</v>
      </c>
      <c r="D3552" s="154" t="s">
        <v>1169</v>
      </c>
      <c r="E3552" s="154">
        <v>0</v>
      </c>
      <c r="F3552" s="154" t="s">
        <v>454</v>
      </c>
      <c r="G3552" s="155"/>
      <c r="H3552" s="107" t="str">
        <f t="shared" si="33"/>
        <v>ifnull(b.stock_asset,0) as stock_asset,/*股票资产*/</v>
      </c>
    </row>
    <row r="3553" spans="1:8" s="7" customFormat="1" hidden="1" outlineLevel="1" x14ac:dyDescent="0.15">
      <c r="A3553" s="2"/>
      <c r="B3553" s="153" t="s">
        <v>305</v>
      </c>
      <c r="C3553" s="154" t="s">
        <v>1181</v>
      </c>
      <c r="D3553" s="154" t="s">
        <v>1169</v>
      </c>
      <c r="E3553" s="154">
        <v>0</v>
      </c>
      <c r="F3553" s="154" t="s">
        <v>454</v>
      </c>
      <c r="G3553" s="155"/>
      <c r="H3553" s="107" t="str">
        <f t="shared" si="33"/>
        <v>ifnull(b.fund_asset,0) as fund_asset,/*基金资产*/</v>
      </c>
    </row>
    <row r="3554" spans="1:8" s="7" customFormat="1" hidden="1" outlineLevel="1" x14ac:dyDescent="0.15">
      <c r="A3554" s="2"/>
      <c r="B3554" s="153" t="s">
        <v>306</v>
      </c>
      <c r="C3554" s="154" t="s">
        <v>1128</v>
      </c>
      <c r="D3554" s="154" t="s">
        <v>1169</v>
      </c>
      <c r="E3554" s="154">
        <v>0</v>
      </c>
      <c r="F3554" s="154" t="s">
        <v>454</v>
      </c>
      <c r="G3554" s="155"/>
      <c r="H3554" s="107" t="str">
        <f t="shared" si="33"/>
        <v>ifnull(b.bond_asset,0) as bond_asset,/*债券资产*/</v>
      </c>
    </row>
    <row r="3555" spans="1:8" s="7" customFormat="1" hidden="1" outlineLevel="1" x14ac:dyDescent="0.15">
      <c r="A3555" s="2"/>
      <c r="B3555" s="153" t="s">
        <v>307</v>
      </c>
      <c r="C3555" s="154" t="s">
        <v>1173</v>
      </c>
      <c r="D3555" s="154" t="s">
        <v>1169</v>
      </c>
      <c r="E3555" s="154">
        <v>0</v>
      </c>
      <c r="F3555" s="154" t="s">
        <v>454</v>
      </c>
      <c r="G3555" s="155"/>
      <c r="H3555" s="107" t="str">
        <f t="shared" si="33"/>
        <v>ifnull(b.repo_asset,0) as repo_asset,/*回购资产*/</v>
      </c>
    </row>
    <row r="3556" spans="1:8" s="7" customFormat="1" hidden="1" outlineLevel="1" x14ac:dyDescent="0.15">
      <c r="A3556" s="2"/>
      <c r="B3556" s="153" t="s">
        <v>309</v>
      </c>
      <c r="C3556" s="154" t="s">
        <v>1089</v>
      </c>
      <c r="D3556" s="154" t="s">
        <v>1169</v>
      </c>
      <c r="E3556" s="154">
        <v>0</v>
      </c>
      <c r="F3556" s="154" t="s">
        <v>454</v>
      </c>
      <c r="G3556" s="155"/>
      <c r="H3556" s="107" t="str">
        <f t="shared" si="33"/>
        <v>ifnull(b.other_asset,0) as other_asset,/*其他资产*/</v>
      </c>
    </row>
    <row r="3557" spans="1:8" s="7" customFormat="1" hidden="1" outlineLevel="1" x14ac:dyDescent="0.15">
      <c r="A3557" s="2"/>
      <c r="B3557" s="153" t="s">
        <v>310</v>
      </c>
      <c r="C3557" s="154" t="s">
        <v>1174</v>
      </c>
      <c r="D3557" s="154" t="s">
        <v>1169</v>
      </c>
      <c r="E3557" s="154">
        <v>0</v>
      </c>
      <c r="F3557" s="154" t="s">
        <v>454</v>
      </c>
      <c r="G3557" s="155"/>
    </row>
    <row r="3558" spans="1:8" s="7" customFormat="1" ht="18" hidden="1" outlineLevel="1" thickBot="1" x14ac:dyDescent="0.2">
      <c r="A3558" s="2"/>
      <c r="B3558" s="24"/>
      <c r="C3558" s="9"/>
      <c r="D3558" s="9"/>
      <c r="E3558" s="9"/>
      <c r="F3558" s="9"/>
      <c r="G3558" s="11"/>
    </row>
    <row r="3559" spans="1:8" s="7" customFormat="1" hidden="1" outlineLevel="1" x14ac:dyDescent="0.15">
      <c r="A3559" s="2"/>
      <c r="B3559" s="327" t="s">
        <v>15</v>
      </c>
      <c r="C3559" s="328"/>
      <c r="D3559" s="328"/>
      <c r="E3559" s="328"/>
      <c r="F3559" s="328"/>
      <c r="G3559" s="329"/>
    </row>
    <row r="3560" spans="1:8" s="7" customFormat="1" hidden="1" outlineLevel="1" x14ac:dyDescent="0.15">
      <c r="A3560" s="2"/>
      <c r="B3560" s="20"/>
      <c r="C3560" s="23"/>
      <c r="D3560" s="21"/>
      <c r="E3560" s="21"/>
      <c r="F3560" s="21"/>
      <c r="G3560" s="21"/>
    </row>
    <row r="3561" spans="1:8" s="7" customFormat="1" hidden="1" outlineLevel="1" x14ac:dyDescent="0.15">
      <c r="A3561" s="2"/>
      <c r="B3561" s="20"/>
      <c r="C3561" s="23"/>
      <c r="D3561" s="21"/>
      <c r="E3561" s="21"/>
      <c r="F3561" s="21"/>
      <c r="G3561" s="21"/>
    </row>
    <row r="3562" spans="1:8" s="2" customFormat="1" ht="18" hidden="1" outlineLevel="1" thickBot="1" x14ac:dyDescent="0.2">
      <c r="B3562" s="24"/>
      <c r="C3562" s="9"/>
      <c r="D3562" s="9"/>
      <c r="E3562" s="9"/>
      <c r="F3562" s="9"/>
      <c r="G3562" s="11"/>
    </row>
    <row r="3563" spans="1:8" s="7" customFormat="1" ht="18" hidden="1" outlineLevel="1" thickBot="1" x14ac:dyDescent="0.2">
      <c r="A3563" s="2"/>
      <c r="B3563" s="2"/>
      <c r="C3563" s="2"/>
      <c r="D3563" s="2"/>
      <c r="E3563" s="2"/>
      <c r="F3563" s="2"/>
      <c r="G3563" s="2"/>
    </row>
    <row r="3564" spans="1:8" s="7" customFormat="1" ht="18" collapsed="1" thickBot="1" x14ac:dyDescent="0.2">
      <c r="A3564" s="2"/>
      <c r="B3564" s="3" t="s">
        <v>563</v>
      </c>
      <c r="C3564" s="4" t="s">
        <v>687</v>
      </c>
      <c r="D3564" s="5" t="s">
        <v>515</v>
      </c>
      <c r="E3564" s="21" t="s">
        <v>732</v>
      </c>
      <c r="F3564" s="5" t="s">
        <v>567</v>
      </c>
      <c r="G3564" s="191" t="s">
        <v>688</v>
      </c>
    </row>
    <row r="3565" spans="1:8" s="7" customFormat="1" ht="18" hidden="1" outlineLevel="1" thickBot="1" x14ac:dyDescent="0.2">
      <c r="A3565" s="2"/>
      <c r="B3565" s="34" t="s">
        <v>570</v>
      </c>
      <c r="C3565" s="18"/>
      <c r="D3565" s="35" t="s">
        <v>568</v>
      </c>
      <c r="E3565" s="18" t="s">
        <v>615</v>
      </c>
      <c r="F3565" s="35"/>
      <c r="G3565" s="19" t="s">
        <v>466</v>
      </c>
    </row>
    <row r="3566" spans="1:8" s="166" customFormat="1" ht="17.25" hidden="1" customHeight="1" outlineLevel="1" x14ac:dyDescent="0.15">
      <c r="A3566" s="2"/>
      <c r="B3566" s="3" t="s">
        <v>0</v>
      </c>
      <c r="C3566" s="5" t="s">
        <v>1</v>
      </c>
      <c r="D3566" s="5" t="s">
        <v>2</v>
      </c>
      <c r="E3566" s="5"/>
      <c r="F3566" s="5" t="s">
        <v>3</v>
      </c>
      <c r="G3566" s="36" t="s">
        <v>4</v>
      </c>
    </row>
    <row r="3567" spans="1:8" s="166" customFormat="1" ht="17.25" hidden="1" customHeight="1" outlineLevel="1" x14ac:dyDescent="0.15">
      <c r="B3567" s="167" t="s">
        <v>22</v>
      </c>
      <c r="C3567" s="168" t="s">
        <v>1127</v>
      </c>
      <c r="D3567" s="168" t="s">
        <v>211</v>
      </c>
      <c r="E3567" s="168" t="s">
        <v>1141</v>
      </c>
      <c r="F3567" s="168"/>
      <c r="G3567" s="169" t="s">
        <v>1162</v>
      </c>
    </row>
    <row r="3568" spans="1:8" s="166" customFormat="1" ht="17.25" hidden="1" customHeight="1" outlineLevel="1" x14ac:dyDescent="0.15">
      <c r="B3568" s="167" t="s">
        <v>111</v>
      </c>
      <c r="C3568" s="168" t="s">
        <v>1164</v>
      </c>
      <c r="D3568" s="168" t="s">
        <v>211</v>
      </c>
      <c r="E3568" s="168">
        <v>0</v>
      </c>
      <c r="F3568" s="168"/>
      <c r="G3568" s="169" t="s">
        <v>1329</v>
      </c>
    </row>
    <row r="3569" spans="1:8" s="166" customFormat="1" ht="17.25" hidden="1" customHeight="1" outlineLevel="1" x14ac:dyDescent="0.15">
      <c r="B3569" s="167" t="s">
        <v>123</v>
      </c>
      <c r="C3569" s="168" t="s">
        <v>1133</v>
      </c>
      <c r="D3569" s="168" t="s">
        <v>211</v>
      </c>
      <c r="E3569" s="168">
        <v>0</v>
      </c>
      <c r="F3569" s="168"/>
      <c r="G3569" s="169" t="s">
        <v>1509</v>
      </c>
    </row>
    <row r="3570" spans="1:8" s="7" customFormat="1" hidden="1" outlineLevel="1" x14ac:dyDescent="0.15">
      <c r="A3570" s="166"/>
      <c r="B3570" s="162" t="s">
        <v>303</v>
      </c>
      <c r="C3570" s="171" t="s">
        <v>1170</v>
      </c>
      <c r="D3570" s="171" t="s">
        <v>1169</v>
      </c>
      <c r="E3570" s="171">
        <v>0</v>
      </c>
      <c r="F3570" s="171"/>
      <c r="G3570" s="172"/>
    </row>
    <row r="3571" spans="1:8" s="7" customFormat="1" ht="15" hidden="1" customHeight="1" outlineLevel="1" x14ac:dyDescent="0.15">
      <c r="A3571" s="166"/>
      <c r="B3571" s="162" t="s">
        <v>169</v>
      </c>
      <c r="C3571" s="160" t="s">
        <v>1435</v>
      </c>
      <c r="D3571" s="160" t="s">
        <v>1087</v>
      </c>
      <c r="E3571" s="160">
        <v>0</v>
      </c>
      <c r="F3571" s="160"/>
      <c r="G3571" s="161"/>
      <c r="H3571" s="107" t="str">
        <f>"ifnull("&amp;IF(I3571&lt;&gt;"",I3571,IF(F3572&lt;&gt;"",F3572,"t")&amp;"."&amp;C3572)&amp;","&amp;E3572&amp;") as "&amp;C3572&amp;",/*"&amp;B3572&amp;"*/"</f>
        <v>ifnull(t.first_asset,0) as first_asset,/*原始资产*/</v>
      </c>
    </row>
    <row r="3572" spans="1:8" s="166" customFormat="1" ht="17.25" hidden="1" customHeight="1" outlineLevel="1" x14ac:dyDescent="0.15">
      <c r="A3572" s="2"/>
      <c r="B3572" s="204" t="s">
        <v>189</v>
      </c>
      <c r="C3572" s="205" t="s">
        <v>1296</v>
      </c>
      <c r="D3572" s="205" t="s">
        <v>1169</v>
      </c>
      <c r="E3572" s="205">
        <v>0</v>
      </c>
      <c r="F3572" s="200"/>
      <c r="G3572" s="206"/>
    </row>
    <row r="3573" spans="1:8" s="166" customFormat="1" ht="17.25" hidden="1" customHeight="1" outlineLevel="1" x14ac:dyDescent="0.15">
      <c r="B3573" s="162" t="s">
        <v>363</v>
      </c>
      <c r="C3573" s="171" t="s">
        <v>1171</v>
      </c>
      <c r="D3573" s="171" t="s">
        <v>1169</v>
      </c>
      <c r="E3573" s="171">
        <v>0</v>
      </c>
      <c r="F3573" s="171"/>
      <c r="G3573" s="172"/>
    </row>
    <row r="3574" spans="1:8" s="166" customFormat="1" ht="17.25" hidden="1" customHeight="1" outlineLevel="1" x14ac:dyDescent="0.15">
      <c r="B3574" s="162" t="s">
        <v>304</v>
      </c>
      <c r="C3574" s="171" t="s">
        <v>1185</v>
      </c>
      <c r="D3574" s="171" t="s">
        <v>1169</v>
      </c>
      <c r="E3574" s="171">
        <v>0</v>
      </c>
      <c r="F3574" s="171"/>
      <c r="G3574" s="172"/>
    </row>
    <row r="3575" spans="1:8" s="166" customFormat="1" ht="17.25" hidden="1" customHeight="1" outlineLevel="1" x14ac:dyDescent="0.15">
      <c r="B3575" s="162" t="s">
        <v>305</v>
      </c>
      <c r="C3575" s="171" t="s">
        <v>1181</v>
      </c>
      <c r="D3575" s="171" t="s">
        <v>1169</v>
      </c>
      <c r="E3575" s="171">
        <v>0</v>
      </c>
      <c r="F3575" s="171"/>
      <c r="G3575" s="172"/>
    </row>
    <row r="3576" spans="1:8" s="166" customFormat="1" ht="17.25" hidden="1" customHeight="1" outlineLevel="1" x14ac:dyDescent="0.15">
      <c r="B3576" s="162" t="s">
        <v>307</v>
      </c>
      <c r="C3576" s="171" t="s">
        <v>1173</v>
      </c>
      <c r="D3576" s="171" t="s">
        <v>1169</v>
      </c>
      <c r="E3576" s="171">
        <v>0</v>
      </c>
      <c r="F3576" s="171"/>
      <c r="G3576" s="172"/>
    </row>
    <row r="3577" spans="1:8" s="166" customFormat="1" ht="17.25" hidden="1" customHeight="1" outlineLevel="1" x14ac:dyDescent="0.15">
      <c r="B3577" s="162" t="s">
        <v>306</v>
      </c>
      <c r="C3577" s="171" t="s">
        <v>1128</v>
      </c>
      <c r="D3577" s="171" t="s">
        <v>1169</v>
      </c>
      <c r="E3577" s="171">
        <v>0</v>
      </c>
      <c r="F3577" s="171"/>
      <c r="G3577" s="172"/>
    </row>
    <row r="3578" spans="1:8" s="166" customFormat="1" ht="17.25" hidden="1" customHeight="1" outlineLevel="1" x14ac:dyDescent="0.15">
      <c r="B3578" s="162" t="s">
        <v>309</v>
      </c>
      <c r="C3578" s="171" t="s">
        <v>1089</v>
      </c>
      <c r="D3578" s="171" t="s">
        <v>1169</v>
      </c>
      <c r="E3578" s="171">
        <v>0</v>
      </c>
      <c r="F3578" s="171"/>
      <c r="G3578" s="172"/>
    </row>
    <row r="3579" spans="1:8" s="166" customFormat="1" ht="17.25" hidden="1" customHeight="1" outlineLevel="1" x14ac:dyDescent="0.15">
      <c r="B3579" s="162" t="s">
        <v>310</v>
      </c>
      <c r="C3579" s="171" t="s">
        <v>1174</v>
      </c>
      <c r="D3579" s="171" t="s">
        <v>1169</v>
      </c>
      <c r="E3579" s="171">
        <v>0</v>
      </c>
      <c r="F3579" s="171"/>
      <c r="G3579" s="172"/>
    </row>
    <row r="3580" spans="1:8" s="166" customFormat="1" ht="17.25" hidden="1" customHeight="1" outlineLevel="1" x14ac:dyDescent="0.15">
      <c r="B3580" s="162" t="s">
        <v>176</v>
      </c>
      <c r="C3580" s="171" t="s">
        <v>1132</v>
      </c>
      <c r="D3580" s="171" t="s">
        <v>1169</v>
      </c>
      <c r="E3580" s="171">
        <v>0</v>
      </c>
      <c r="F3580" s="171"/>
      <c r="G3580" s="172"/>
    </row>
    <row r="3581" spans="1:8" s="166" customFormat="1" ht="17.25" hidden="1" customHeight="1" outlineLevel="1" x14ac:dyDescent="0.15">
      <c r="B3581" s="162" t="s">
        <v>175</v>
      </c>
      <c r="C3581" s="171" t="s">
        <v>1129</v>
      </c>
      <c r="D3581" s="171" t="s">
        <v>1169</v>
      </c>
      <c r="E3581" s="171">
        <v>0</v>
      </c>
      <c r="F3581" s="171"/>
      <c r="G3581" s="172"/>
    </row>
    <row r="3582" spans="1:8" s="166" customFormat="1" ht="17.25" hidden="1" customHeight="1" outlineLevel="1" x14ac:dyDescent="0.15">
      <c r="B3582" s="162" t="s">
        <v>365</v>
      </c>
      <c r="C3582" s="171" t="s">
        <v>1130</v>
      </c>
      <c r="D3582" s="171" t="s">
        <v>1169</v>
      </c>
      <c r="E3582" s="171">
        <v>0</v>
      </c>
      <c r="F3582" s="171"/>
      <c r="G3582" s="172"/>
    </row>
    <row r="3583" spans="1:8" s="166" customFormat="1" ht="17.25" hidden="1" customHeight="1" outlineLevel="1" x14ac:dyDescent="0.15">
      <c r="B3583" s="173" t="s">
        <v>23</v>
      </c>
      <c r="C3583" s="171" t="s">
        <v>1091</v>
      </c>
      <c r="D3583" s="171" t="s">
        <v>1131</v>
      </c>
      <c r="E3583" s="171" t="s">
        <v>1074</v>
      </c>
      <c r="F3583" s="171"/>
      <c r="G3583" s="172"/>
    </row>
    <row r="3584" spans="1:8" s="166" customFormat="1" ht="17.25" hidden="1" customHeight="1" outlineLevel="1" x14ac:dyDescent="0.15">
      <c r="B3584" s="229" t="s">
        <v>362</v>
      </c>
      <c r="C3584" s="227" t="s">
        <v>1078</v>
      </c>
      <c r="D3584" s="227" t="s">
        <v>1169</v>
      </c>
      <c r="E3584" s="227">
        <v>0</v>
      </c>
      <c r="F3584" s="227"/>
      <c r="G3584" s="228"/>
    </row>
    <row r="3585" spans="1:8" s="166" customFormat="1" ht="17.25" hidden="1" customHeight="1" outlineLevel="1" x14ac:dyDescent="0.15">
      <c r="B3585" s="229" t="s">
        <v>364</v>
      </c>
      <c r="C3585" s="227" t="s">
        <v>1088</v>
      </c>
      <c r="D3585" s="227" t="s">
        <v>1172</v>
      </c>
      <c r="E3585" s="227">
        <v>0</v>
      </c>
      <c r="F3585" s="227"/>
      <c r="G3585" s="228"/>
    </row>
    <row r="3586" spans="1:8" s="166" customFormat="1" ht="17.25" hidden="1" customHeight="1" outlineLevel="1" x14ac:dyDescent="0.15">
      <c r="B3586" s="105" t="s">
        <v>367</v>
      </c>
      <c r="C3586" s="227" t="s">
        <v>1176</v>
      </c>
      <c r="D3586" s="227" t="s">
        <v>1169</v>
      </c>
      <c r="E3586" s="227">
        <v>0</v>
      </c>
      <c r="F3586" s="227"/>
      <c r="G3586" s="228"/>
    </row>
    <row r="3587" spans="1:8" s="166" customFormat="1" ht="17.25" hidden="1" customHeight="1" outlineLevel="1" x14ac:dyDescent="0.15">
      <c r="B3587" s="105" t="s">
        <v>368</v>
      </c>
      <c r="C3587" s="227" t="s">
        <v>1177</v>
      </c>
      <c r="D3587" s="227" t="s">
        <v>1172</v>
      </c>
      <c r="E3587" s="227">
        <v>0</v>
      </c>
      <c r="F3587" s="227"/>
      <c r="G3587" s="228"/>
    </row>
    <row r="3588" spans="1:8" s="166" customFormat="1" ht="17.25" hidden="1" customHeight="1" outlineLevel="1" x14ac:dyDescent="0.15">
      <c r="B3588" s="229" t="s">
        <v>369</v>
      </c>
      <c r="C3588" s="227" t="s">
        <v>1475</v>
      </c>
      <c r="D3588" s="227" t="s">
        <v>1169</v>
      </c>
      <c r="E3588" s="227">
        <v>0</v>
      </c>
      <c r="F3588" s="227"/>
      <c r="G3588" s="228"/>
    </row>
    <row r="3589" spans="1:8" s="166" customFormat="1" ht="17.25" hidden="1" customHeight="1" outlineLevel="1" x14ac:dyDescent="0.15">
      <c r="B3589" s="226" t="s">
        <v>370</v>
      </c>
      <c r="C3589" s="227" t="s">
        <v>1183</v>
      </c>
      <c r="D3589" s="227" t="s">
        <v>1172</v>
      </c>
      <c r="E3589" s="227">
        <v>0</v>
      </c>
      <c r="F3589" s="227"/>
      <c r="G3589" s="228"/>
    </row>
    <row r="3590" spans="1:8" s="166" customFormat="1" ht="17.25" hidden="1" customHeight="1" outlineLevel="1" x14ac:dyDescent="0.15">
      <c r="B3590" s="226" t="s">
        <v>371</v>
      </c>
      <c r="C3590" s="227" t="s">
        <v>1184</v>
      </c>
      <c r="D3590" s="227" t="s">
        <v>1172</v>
      </c>
      <c r="E3590" s="227">
        <v>0</v>
      </c>
      <c r="F3590" s="227"/>
      <c r="G3590" s="228"/>
    </row>
    <row r="3591" spans="1:8" s="7" customFormat="1" hidden="1" outlineLevel="1" x14ac:dyDescent="0.15">
      <c r="A3591" s="166"/>
      <c r="B3591" s="226" t="s">
        <v>468</v>
      </c>
      <c r="C3591" s="227" t="s">
        <v>1180</v>
      </c>
      <c r="D3591" s="227" t="s">
        <v>1172</v>
      </c>
      <c r="E3591" s="227">
        <v>0</v>
      </c>
      <c r="F3591" s="227"/>
      <c r="G3591" s="228"/>
    </row>
    <row r="3592" spans="1:8" s="7" customFormat="1" ht="18" hidden="1" outlineLevel="1" thickBot="1" x14ac:dyDescent="0.2">
      <c r="A3592" s="2"/>
      <c r="B3592" s="24"/>
      <c r="C3592" s="9"/>
      <c r="D3592" s="9"/>
      <c r="E3592" s="9"/>
      <c r="F3592" s="9"/>
      <c r="G3592" s="11"/>
    </row>
    <row r="3593" spans="1:8" s="7" customFormat="1" hidden="1" outlineLevel="1" x14ac:dyDescent="0.15">
      <c r="A3593" s="2"/>
      <c r="B3593" s="327" t="s">
        <v>15</v>
      </c>
      <c r="C3593" s="328"/>
      <c r="D3593" s="328"/>
      <c r="E3593" s="328"/>
      <c r="F3593" s="328"/>
      <c r="G3593" s="329"/>
    </row>
    <row r="3594" spans="1:8" s="7" customFormat="1" hidden="1" outlineLevel="1" x14ac:dyDescent="0.15">
      <c r="A3594" s="2"/>
      <c r="B3594" s="20"/>
      <c r="C3594" s="23"/>
      <c r="D3594" s="21"/>
      <c r="E3594" s="21"/>
      <c r="F3594" s="21"/>
      <c r="G3594" s="21"/>
    </row>
    <row r="3595" spans="1:8" s="7" customFormat="1" hidden="1" outlineLevel="1" x14ac:dyDescent="0.15">
      <c r="A3595" s="2"/>
      <c r="B3595" s="20"/>
      <c r="C3595" s="23"/>
      <c r="D3595" s="21"/>
      <c r="E3595" s="21"/>
      <c r="F3595" s="21"/>
      <c r="G3595" s="21"/>
    </row>
    <row r="3596" spans="1:8" ht="18" hidden="1" outlineLevel="1" thickBot="1" x14ac:dyDescent="0.2">
      <c r="A3596" s="2"/>
      <c r="B3596" s="24"/>
      <c r="C3596" s="9"/>
      <c r="D3596" s="9"/>
      <c r="E3596" s="9"/>
      <c r="F3596" s="9"/>
      <c r="G3596" s="11"/>
    </row>
    <row r="3597" spans="1:8" s="7" customFormat="1" ht="18" hidden="1" outlineLevel="1" thickBot="1" x14ac:dyDescent="0.2">
      <c r="A3597" s="1"/>
      <c r="B3597" s="1"/>
      <c r="C3597" s="1"/>
      <c r="D3597" s="1"/>
      <c r="E3597" s="1"/>
      <c r="F3597" s="1"/>
      <c r="G3597" s="1"/>
      <c r="H3597" s="6" t="str">
        <f>"create or replace view "&amp;C3598</f>
        <v>create or replace view vi_join_exgp_asset_stockvalue</v>
      </c>
    </row>
    <row r="3598" spans="1:8" s="7" customFormat="1" ht="18" collapsed="1" thickBot="1" x14ac:dyDescent="0.2">
      <c r="A3598" s="2"/>
      <c r="B3598" s="3" t="s">
        <v>563</v>
      </c>
      <c r="C3598" s="147" t="s">
        <v>697</v>
      </c>
      <c r="D3598" s="147" t="s">
        <v>515</v>
      </c>
      <c r="E3598" s="21" t="s">
        <v>1033</v>
      </c>
      <c r="F3598" s="5" t="s">
        <v>567</v>
      </c>
      <c r="G3598" s="147" t="s">
        <v>698</v>
      </c>
      <c r="H3598" s="11" t="str">
        <f>"# "&amp;E3598</f>
        <v># 报表_资管报表_视图-连接-交易组-资金-资产-市值</v>
      </c>
    </row>
    <row r="3599" spans="1:8" s="7" customFormat="1" ht="18" hidden="1" outlineLevel="1" thickBot="1" x14ac:dyDescent="0.2">
      <c r="A3599" s="2"/>
      <c r="B3599" s="34" t="s">
        <v>570</v>
      </c>
      <c r="C3599" s="18"/>
      <c r="D3599" s="35" t="s">
        <v>568</v>
      </c>
      <c r="E3599" s="18" t="s">
        <v>615</v>
      </c>
      <c r="F3599" s="35"/>
      <c r="G3599" s="19"/>
      <c r="H3599" s="13" t="s">
        <v>283</v>
      </c>
    </row>
    <row r="3600" spans="1:8" s="166" customFormat="1" ht="17.25" hidden="1" customHeight="1" outlineLevel="1" x14ac:dyDescent="0.15">
      <c r="A3600" s="2"/>
      <c r="B3600" s="3" t="s">
        <v>0</v>
      </c>
      <c r="C3600" s="5" t="s">
        <v>1</v>
      </c>
      <c r="D3600" s="5" t="s">
        <v>2</v>
      </c>
      <c r="E3600" s="5"/>
      <c r="F3600" s="5" t="s">
        <v>3</v>
      </c>
      <c r="G3600" s="36" t="s">
        <v>4</v>
      </c>
      <c r="H3600" s="107" t="str">
        <f t="shared" ref="H3600:H3628" si="34">"ifnull("&amp;IF(I3600&lt;&gt;"",I3600,IF(F3601&lt;&gt;"",F3601,"t")&amp;"."&amp;C3601)&amp;","&amp;E3601&amp;") as "&amp;C3601&amp;",/*"&amp;B3601&amp;"*/"</f>
        <v>ifnull(t.init_date,date_format(curdate(),'%Y%m%d')) as init_date,/*初始化日期*/</v>
      </c>
    </row>
    <row r="3601" spans="1:8" s="166" customFormat="1" ht="17.25" hidden="1" customHeight="1" outlineLevel="1" x14ac:dyDescent="0.15">
      <c r="B3601" s="226" t="s">
        <v>22</v>
      </c>
      <c r="C3601" s="227" t="s">
        <v>1127</v>
      </c>
      <c r="D3601" s="227" t="s">
        <v>211</v>
      </c>
      <c r="E3601" s="227" t="s">
        <v>1141</v>
      </c>
      <c r="F3601" s="227" t="s">
        <v>440</v>
      </c>
      <c r="G3601" s="228" t="s">
        <v>1162</v>
      </c>
      <c r="H3601" s="107" t="str">
        <f t="shared" si="34"/>
        <v>ifnull(t.co_no,0) as co_no,/*机构编号*/</v>
      </c>
    </row>
    <row r="3602" spans="1:8" s="166" customFormat="1" ht="17.25" hidden="1" customHeight="1" outlineLevel="1" x14ac:dyDescent="0.15">
      <c r="B3602" s="226" t="s">
        <v>109</v>
      </c>
      <c r="C3602" s="227" t="s">
        <v>1163</v>
      </c>
      <c r="D3602" s="227" t="s">
        <v>211</v>
      </c>
      <c r="E3602" s="227">
        <v>0</v>
      </c>
      <c r="F3602" s="227"/>
      <c r="G3602" s="228" t="s">
        <v>1077</v>
      </c>
      <c r="H3602" s="107" t="str">
        <f t="shared" si="34"/>
        <v>ifnull(t.pd_no,0) as pd_no,/*产品编号*/</v>
      </c>
    </row>
    <row r="3603" spans="1:8" s="166" customFormat="1" ht="17.25" hidden="1" customHeight="1" outlineLevel="1" x14ac:dyDescent="0.15">
      <c r="B3603" s="226" t="s">
        <v>111</v>
      </c>
      <c r="C3603" s="227" t="s">
        <v>1164</v>
      </c>
      <c r="D3603" s="227" t="s">
        <v>211</v>
      </c>
      <c r="E3603" s="227">
        <v>0</v>
      </c>
      <c r="F3603" s="227" t="s">
        <v>440</v>
      </c>
      <c r="G3603" s="228" t="s">
        <v>1329</v>
      </c>
      <c r="H3603" s="107" t="str">
        <f t="shared" si="34"/>
        <v>ifnull(t.exch_group_no,0) as exch_group_no,/*交易组编号*/</v>
      </c>
    </row>
    <row r="3604" spans="1:8" s="7" customFormat="1" ht="15" hidden="1" customHeight="1" outlineLevel="1" x14ac:dyDescent="0.15">
      <c r="A3604" s="166"/>
      <c r="B3604" s="226" t="s">
        <v>123</v>
      </c>
      <c r="C3604" s="227" t="s">
        <v>1133</v>
      </c>
      <c r="D3604" s="227" t="s">
        <v>211</v>
      </c>
      <c r="E3604" s="227">
        <v>0</v>
      </c>
      <c r="F3604" s="227" t="s">
        <v>440</v>
      </c>
      <c r="G3604" s="228" t="s">
        <v>1509</v>
      </c>
      <c r="H3604" s="107" t="str">
        <f t="shared" si="34"/>
        <v>ifnull(t.first_asset,0) as first_asset,/*原始资产*/</v>
      </c>
    </row>
    <row r="3605" spans="1:8" s="166" customFormat="1" ht="17.25" hidden="1" customHeight="1" outlineLevel="1" x14ac:dyDescent="0.15">
      <c r="A3605" s="2"/>
      <c r="B3605" s="204" t="s">
        <v>189</v>
      </c>
      <c r="C3605" s="205" t="s">
        <v>1296</v>
      </c>
      <c r="D3605" s="205" t="s">
        <v>1169</v>
      </c>
      <c r="E3605" s="205">
        <v>0</v>
      </c>
      <c r="F3605" s="200" t="s">
        <v>440</v>
      </c>
      <c r="G3605" s="206"/>
      <c r="H3605" s="107" t="str">
        <f t="shared" si="34"/>
        <v>ifnull(t.nav_asset,0) as nav_asset,/*净资产*/</v>
      </c>
    </row>
    <row r="3606" spans="1:8" s="7" customFormat="1" hidden="1" outlineLevel="1" x14ac:dyDescent="0.15">
      <c r="A3606" s="166"/>
      <c r="B3606" s="229" t="s">
        <v>303</v>
      </c>
      <c r="C3606" s="227" t="s">
        <v>1170</v>
      </c>
      <c r="D3606" s="227" t="s">
        <v>1169</v>
      </c>
      <c r="E3606" s="227">
        <v>0</v>
      </c>
      <c r="F3606" s="227" t="s">
        <v>440</v>
      </c>
      <c r="G3606" s="228"/>
      <c r="H3606" s="107" t="str">
        <f t="shared" si="34"/>
        <v>ifnull(t.exch_group_pd_share,0) as exch_group_pd_share,/*交易组产品份额*/</v>
      </c>
    </row>
    <row r="3607" spans="1:8" s="166" customFormat="1" ht="17.25" hidden="1" customHeight="1" outlineLevel="1" x14ac:dyDescent="0.15">
      <c r="B3607" s="229" t="s">
        <v>169</v>
      </c>
      <c r="C3607" s="230" t="s">
        <v>1435</v>
      </c>
      <c r="D3607" s="230" t="s">
        <v>1087</v>
      </c>
      <c r="E3607" s="230">
        <v>0</v>
      </c>
      <c r="F3607" s="227" t="s">
        <v>440</v>
      </c>
      <c r="G3607" s="231"/>
      <c r="H3607" s="107" t="str">
        <f t="shared" si="34"/>
        <v>ifnull(t.unit_nav,0) as unit_nav,/*单位净值*/</v>
      </c>
    </row>
    <row r="3608" spans="1:8" s="166" customFormat="1" ht="17.25" hidden="1" customHeight="1" outlineLevel="1" x14ac:dyDescent="0.15">
      <c r="B3608" s="229" t="s">
        <v>362</v>
      </c>
      <c r="C3608" s="227" t="s">
        <v>1078</v>
      </c>
      <c r="D3608" s="227" t="s">
        <v>1169</v>
      </c>
      <c r="E3608" s="227">
        <v>0</v>
      </c>
      <c r="F3608" s="227" t="s">
        <v>440</v>
      </c>
      <c r="G3608" s="228"/>
      <c r="H3608" s="107" t="str">
        <f t="shared" si="34"/>
        <v>ifnull(t.pre_nav,0) as pre_nav,/*昨日净值*/</v>
      </c>
    </row>
    <row r="3609" spans="1:8" s="166" customFormat="1" ht="17.25" hidden="1" customHeight="1" outlineLevel="1" x14ac:dyDescent="0.15">
      <c r="B3609" s="229" t="s">
        <v>363</v>
      </c>
      <c r="C3609" s="227" t="s">
        <v>1171</v>
      </c>
      <c r="D3609" s="227" t="s">
        <v>1169</v>
      </c>
      <c r="E3609" s="227">
        <v>0</v>
      </c>
      <c r="F3609" s="227" t="s">
        <v>440</v>
      </c>
      <c r="G3609" s="228"/>
      <c r="H3609" s="107" t="str">
        <f t="shared" si="34"/>
        <v>ifnull(t.nav_fluct,0) as nav_fluct,/*净值波动*/</v>
      </c>
    </row>
    <row r="3610" spans="1:8" s="166" customFormat="1" ht="17.25" hidden="1" customHeight="1" outlineLevel="1" x14ac:dyDescent="0.15">
      <c r="B3610" s="229" t="s">
        <v>364</v>
      </c>
      <c r="C3610" s="227" t="s">
        <v>1088</v>
      </c>
      <c r="D3610" s="227" t="s">
        <v>1172</v>
      </c>
      <c r="E3610" s="227">
        <v>0</v>
      </c>
      <c r="F3610" s="227" t="s">
        <v>440</v>
      </c>
      <c r="G3610" s="228"/>
      <c r="H3610" s="107" t="str">
        <f t="shared" si="34"/>
        <v>ifnull(t.cash_asset,0) as cash_asset,/*现金资产*/</v>
      </c>
    </row>
    <row r="3611" spans="1:8" s="166" customFormat="1" ht="17.25" hidden="1" customHeight="1" outlineLevel="1" x14ac:dyDescent="0.15">
      <c r="B3611" s="229" t="s">
        <v>313</v>
      </c>
      <c r="C3611" s="227" t="s">
        <v>1185</v>
      </c>
      <c r="D3611" s="227" t="s">
        <v>1169</v>
      </c>
      <c r="E3611" s="227">
        <v>0</v>
      </c>
      <c r="F3611" s="227" t="s">
        <v>440</v>
      </c>
      <c r="G3611" s="228"/>
      <c r="H3611" s="107" t="str">
        <f t="shared" si="34"/>
        <v>ifnull(t.stock_asset,0) as stock_asset,/*股票资产*/</v>
      </c>
    </row>
    <row r="3612" spans="1:8" s="166" customFormat="1" ht="17.25" hidden="1" customHeight="1" outlineLevel="1" x14ac:dyDescent="0.15">
      <c r="B3612" s="229" t="s">
        <v>305</v>
      </c>
      <c r="C3612" s="227" t="s">
        <v>1181</v>
      </c>
      <c r="D3612" s="227" t="s">
        <v>1169</v>
      </c>
      <c r="E3612" s="227">
        <v>0</v>
      </c>
      <c r="F3612" s="227" t="s">
        <v>440</v>
      </c>
      <c r="G3612" s="228"/>
      <c r="H3612" s="107" t="str">
        <f t="shared" si="34"/>
        <v>ifnull(t.bond_asset,0) as bond_asset,/*债券资产*/</v>
      </c>
    </row>
    <row r="3613" spans="1:8" s="166" customFormat="1" ht="17.25" hidden="1" customHeight="1" outlineLevel="1" x14ac:dyDescent="0.15">
      <c r="B3613" s="229" t="s">
        <v>307</v>
      </c>
      <c r="C3613" s="227" t="s">
        <v>1173</v>
      </c>
      <c r="D3613" s="227" t="s">
        <v>1169</v>
      </c>
      <c r="E3613" s="227">
        <v>0</v>
      </c>
      <c r="F3613" s="227" t="s">
        <v>440</v>
      </c>
      <c r="G3613" s="228"/>
      <c r="H3613" s="107" t="str">
        <f t="shared" si="34"/>
        <v>ifnull(t.fund_asset,0) as fund_asset,/*基金资产*/</v>
      </c>
    </row>
    <row r="3614" spans="1:8" s="166" customFormat="1" ht="17.25" hidden="1" customHeight="1" outlineLevel="1" x14ac:dyDescent="0.15">
      <c r="B3614" s="229" t="s">
        <v>306</v>
      </c>
      <c r="C3614" s="227" t="s">
        <v>1128</v>
      </c>
      <c r="D3614" s="227" t="s">
        <v>1169</v>
      </c>
      <c r="E3614" s="227">
        <v>0</v>
      </c>
      <c r="F3614" s="227" t="s">
        <v>440</v>
      </c>
      <c r="G3614" s="228"/>
      <c r="H3614" s="107" t="str">
        <f t="shared" si="34"/>
        <v>ifnull(t.repo_asset,0) as repo_asset,/*回购资产*/</v>
      </c>
    </row>
    <row r="3615" spans="1:8" s="166" customFormat="1" ht="17.25" hidden="1" customHeight="1" outlineLevel="1" x14ac:dyDescent="0.15">
      <c r="B3615" s="229" t="s">
        <v>309</v>
      </c>
      <c r="C3615" s="227" t="s">
        <v>1089</v>
      </c>
      <c r="D3615" s="227" t="s">
        <v>1169</v>
      </c>
      <c r="E3615" s="227">
        <v>0</v>
      </c>
      <c r="F3615" s="227" t="s">
        <v>440</v>
      </c>
      <c r="G3615" s="228"/>
      <c r="H3615" s="107" t="str">
        <f t="shared" si="34"/>
        <v>ifnull(t.other_asset,0) as other_asset,/*其他资产*/</v>
      </c>
    </row>
    <row r="3616" spans="1:8" s="166" customFormat="1" ht="17.25" hidden="1" customHeight="1" outlineLevel="1" x14ac:dyDescent="0.15">
      <c r="B3616" s="229" t="s">
        <v>310</v>
      </c>
      <c r="C3616" s="227" t="s">
        <v>1174</v>
      </c>
      <c r="D3616" s="227" t="s">
        <v>1169</v>
      </c>
      <c r="E3616" s="227">
        <v>0</v>
      </c>
      <c r="F3616" s="227" t="s">
        <v>440</v>
      </c>
      <c r="G3616" s="228"/>
      <c r="H3616" s="107" t="str">
        <f t="shared" si="34"/>
        <v>ifnull(t.total_payab_amt,0) as total_payab_amt,/*累计应付金额*/</v>
      </c>
    </row>
    <row r="3617" spans="1:8" s="166" customFormat="1" ht="17.25" hidden="1" customHeight="1" outlineLevel="1" x14ac:dyDescent="0.15">
      <c r="B3617" s="229" t="s">
        <v>176</v>
      </c>
      <c r="C3617" s="227" t="s">
        <v>1132</v>
      </c>
      <c r="D3617" s="227" t="s">
        <v>1169</v>
      </c>
      <c r="E3617" s="227">
        <v>0</v>
      </c>
      <c r="F3617" s="227" t="s">
        <v>440</v>
      </c>
      <c r="G3617" s="228"/>
      <c r="H3617" s="107" t="str">
        <f t="shared" si="34"/>
        <v>ifnull(t.total_rece_amt,0) as total_rece_amt,/*累计应收金额*/</v>
      </c>
    </row>
    <row r="3618" spans="1:8" s="166" customFormat="1" ht="17.25" hidden="1" customHeight="1" outlineLevel="1" x14ac:dyDescent="0.15">
      <c r="B3618" s="229" t="s">
        <v>175</v>
      </c>
      <c r="C3618" s="227" t="s">
        <v>1129</v>
      </c>
      <c r="D3618" s="227" t="s">
        <v>1169</v>
      </c>
      <c r="E3618" s="227">
        <v>0</v>
      </c>
      <c r="F3618" s="227" t="s">
        <v>440</v>
      </c>
      <c r="G3618" s="228"/>
      <c r="H3618" s="107" t="str">
        <f t="shared" si="34"/>
        <v>ifnull(t.assign_avail_amt,0) as assign_avail_amt,/*可分配金额*/</v>
      </c>
    </row>
    <row r="3619" spans="1:8" s="166" customFormat="1" ht="17.25" hidden="1" customHeight="1" outlineLevel="1" x14ac:dyDescent="0.15">
      <c r="B3619" s="229" t="s">
        <v>365</v>
      </c>
      <c r="C3619" s="227" t="s">
        <v>1130</v>
      </c>
      <c r="D3619" s="227" t="s">
        <v>1169</v>
      </c>
      <c r="E3619" s="227">
        <v>0</v>
      </c>
      <c r="F3619" s="227" t="s">
        <v>440</v>
      </c>
      <c r="G3619" s="228"/>
      <c r="H3619" s="107" t="str">
        <f t="shared" si="34"/>
        <v>ifnull(t.crncy_type,"CNY") as crncy_type,/*本币币种*/</v>
      </c>
    </row>
    <row r="3620" spans="1:8" s="166" customFormat="1" ht="17.25" hidden="1" customHeight="1" outlineLevel="1" x14ac:dyDescent="0.15">
      <c r="B3620" s="105" t="s">
        <v>23</v>
      </c>
      <c r="C3620" s="227" t="s">
        <v>1091</v>
      </c>
      <c r="D3620" s="227" t="s">
        <v>1131</v>
      </c>
      <c r="E3620" s="227" t="s">
        <v>1074</v>
      </c>
      <c r="F3620" s="227" t="s">
        <v>440</v>
      </c>
      <c r="G3620" s="228"/>
      <c r="H3620" s="107" t="str">
        <f t="shared" si="34"/>
        <v>ifnull(t.today_pandl,0) as today_pandl,/*当日盈亏*/</v>
      </c>
    </row>
    <row r="3621" spans="1:8" s="166" customFormat="1" ht="17.25" hidden="1" customHeight="1" outlineLevel="1" x14ac:dyDescent="0.15">
      <c r="B3621" s="105" t="s">
        <v>367</v>
      </c>
      <c r="C3621" s="227" t="s">
        <v>1176</v>
      </c>
      <c r="D3621" s="227" t="s">
        <v>1169</v>
      </c>
      <c r="E3621" s="227">
        <v>0</v>
      </c>
      <c r="F3621" s="227" t="s">
        <v>440</v>
      </c>
      <c r="G3621" s="228"/>
      <c r="H3621" s="107" t="str">
        <f t="shared" si="34"/>
        <v>ifnull(t.daily_pandl_ratio,0) as daily_pandl_ratio,/*当日收益率*/</v>
      </c>
    </row>
    <row r="3622" spans="1:8" s="166" customFormat="1" ht="17.25" hidden="1" customHeight="1" outlineLevel="1" x14ac:dyDescent="0.15">
      <c r="B3622" s="105" t="s">
        <v>368</v>
      </c>
      <c r="C3622" s="227" t="s">
        <v>1177</v>
      </c>
      <c r="D3622" s="227" t="s">
        <v>1172</v>
      </c>
      <c r="E3622" s="227">
        <v>0</v>
      </c>
      <c r="F3622" s="227" t="s">
        <v>440</v>
      </c>
      <c r="G3622" s="228"/>
      <c r="H3622" s="107" t="str">
        <f t="shared" si="34"/>
        <v>ifnull(t.total_realiz_pandl,0) as total_realiz_pandl,/*累计实现收益*/</v>
      </c>
    </row>
    <row r="3623" spans="1:8" s="166" customFormat="1" ht="17.25" hidden="1" customHeight="1" outlineLevel="1" x14ac:dyDescent="0.15">
      <c r="B3623" s="229" t="s">
        <v>369</v>
      </c>
      <c r="C3623" s="227" t="s">
        <v>1475</v>
      </c>
      <c r="D3623" s="227" t="s">
        <v>1169</v>
      </c>
      <c r="E3623" s="227">
        <v>0</v>
      </c>
      <c r="F3623" s="227" t="s">
        <v>440</v>
      </c>
      <c r="G3623" s="228"/>
      <c r="H3623" s="107" t="str">
        <f t="shared" si="34"/>
        <v>ifnull(t.total_realiz_pandl_ratio,0) as total_realiz_pandl_ratio,/*累计收益率*/</v>
      </c>
    </row>
    <row r="3624" spans="1:8" s="166" customFormat="1" ht="17.25" hidden="1" customHeight="1" outlineLevel="1" x14ac:dyDescent="0.15">
      <c r="B3624" s="226" t="s">
        <v>370</v>
      </c>
      <c r="C3624" s="227" t="s">
        <v>1183</v>
      </c>
      <c r="D3624" s="227" t="s">
        <v>1172</v>
      </c>
      <c r="E3624" s="227">
        <v>0</v>
      </c>
      <c r="F3624" s="227" t="s">
        <v>440</v>
      </c>
      <c r="G3624" s="228"/>
      <c r="H3624" s="107" t="str">
        <f t="shared" si="34"/>
        <v>ifnull(t.posi_ratio,0) as posi_ratio,/*持股比例*/</v>
      </c>
    </row>
    <row r="3625" spans="1:8" s="166" customFormat="1" ht="17.25" hidden="1" customHeight="1" outlineLevel="1" x14ac:dyDescent="0.15">
      <c r="B3625" s="226" t="s">
        <v>371</v>
      </c>
      <c r="C3625" s="227" t="s">
        <v>1184</v>
      </c>
      <c r="D3625" s="227" t="s">
        <v>1172</v>
      </c>
      <c r="E3625" s="227">
        <v>0</v>
      </c>
      <c r="F3625" s="227" t="s">
        <v>440</v>
      </c>
      <c r="G3625" s="228"/>
      <c r="H3625" s="107" t="str">
        <f t="shared" si="34"/>
        <v>ifnull(t.securities_ratio,0) as securities_ratio,/*证券占比*/</v>
      </c>
    </row>
    <row r="3626" spans="1:8" s="7" customFormat="1" hidden="1" outlineLevel="1" x14ac:dyDescent="0.15">
      <c r="A3626" s="166"/>
      <c r="B3626" s="226" t="s">
        <v>468</v>
      </c>
      <c r="C3626" s="227" t="s">
        <v>1180</v>
      </c>
      <c r="D3626" s="227" t="s">
        <v>1172</v>
      </c>
      <c r="E3626" s="227">
        <v>0</v>
      </c>
      <c r="F3626" s="227"/>
      <c r="G3626" s="228"/>
      <c r="H3626" s="107" t="str">
        <f t="shared" si="34"/>
        <v>ifnull(a.realize_pandl,0) as realize_pandl,/*实现盈亏*/</v>
      </c>
    </row>
    <row r="3627" spans="1:8" hidden="1" outlineLevel="1" x14ac:dyDescent="0.15">
      <c r="A3627" s="2"/>
      <c r="B3627" s="176" t="s">
        <v>12</v>
      </c>
      <c r="C3627" s="176" t="s">
        <v>1143</v>
      </c>
      <c r="D3627" s="176" t="s">
        <v>1169</v>
      </c>
      <c r="E3627" s="176">
        <v>0</v>
      </c>
      <c r="F3627" s="176" t="s">
        <v>441</v>
      </c>
      <c r="G3627" s="176"/>
      <c r="H3627" s="107" t="str">
        <f t="shared" si="34"/>
        <v>ifnull(a.posi_market_value,0) as posi_market_value,/*持仓市值*/</v>
      </c>
    </row>
    <row r="3628" spans="1:8" hidden="1" outlineLevel="1" x14ac:dyDescent="0.15">
      <c r="B3628" s="176" t="s">
        <v>432</v>
      </c>
      <c r="C3628" s="176" t="s">
        <v>1489</v>
      </c>
      <c r="D3628" s="176" t="s">
        <v>1331</v>
      </c>
      <c r="E3628" s="176">
        <v>0</v>
      </c>
      <c r="F3628" s="176" t="s">
        <v>441</v>
      </c>
      <c r="G3628" s="176"/>
      <c r="H3628" s="107" t="str">
        <f t="shared" si="34"/>
        <v>ifnull(a.float_pandl,0) as float_pandl,/*浮动盈亏*/</v>
      </c>
    </row>
    <row r="3629" spans="1:8" s="7" customFormat="1" hidden="1" outlineLevel="1" x14ac:dyDescent="0.15">
      <c r="A3629" s="1"/>
      <c r="B3629" s="176" t="s">
        <v>445</v>
      </c>
      <c r="C3629" s="176" t="s">
        <v>1490</v>
      </c>
      <c r="D3629" s="176" t="s">
        <v>1331</v>
      </c>
      <c r="E3629" s="176">
        <v>0</v>
      </c>
      <c r="F3629" s="176" t="s">
        <v>441</v>
      </c>
      <c r="G3629" s="176"/>
    </row>
    <row r="3630" spans="1:8" s="7" customFormat="1" ht="18" hidden="1" outlineLevel="1" thickBot="1" x14ac:dyDescent="0.2">
      <c r="A3630" s="2"/>
      <c r="B3630" s="24"/>
      <c r="C3630" s="9"/>
      <c r="D3630" s="9"/>
      <c r="E3630" s="9"/>
      <c r="F3630" s="9"/>
      <c r="G3630" s="11"/>
    </row>
    <row r="3631" spans="1:8" s="7" customFormat="1" hidden="1" outlineLevel="1" x14ac:dyDescent="0.15">
      <c r="A3631" s="2"/>
      <c r="B3631" s="327" t="s">
        <v>15</v>
      </c>
      <c r="C3631" s="328"/>
      <c r="D3631" s="328"/>
      <c r="E3631" s="328"/>
      <c r="F3631" s="328"/>
      <c r="G3631" s="329"/>
    </row>
    <row r="3632" spans="1:8" s="7" customFormat="1" hidden="1" outlineLevel="1" x14ac:dyDescent="0.15">
      <c r="A3632" s="2"/>
      <c r="B3632" s="20"/>
      <c r="C3632" s="23"/>
      <c r="D3632" s="21"/>
      <c r="E3632" s="21"/>
      <c r="F3632" s="21"/>
      <c r="G3632" s="21"/>
    </row>
    <row r="3633" spans="1:8" s="7" customFormat="1" hidden="1" outlineLevel="1" x14ac:dyDescent="0.15">
      <c r="A3633" s="2"/>
      <c r="B3633" s="17"/>
      <c r="C3633" s="37"/>
      <c r="D3633" s="18"/>
      <c r="E3633" s="18"/>
      <c r="F3633" s="18"/>
      <c r="G3633" s="38"/>
    </row>
    <row r="3634" spans="1:8" ht="18" hidden="1" outlineLevel="1" thickBot="1" x14ac:dyDescent="0.2">
      <c r="A3634" s="2"/>
      <c r="B3634" s="24"/>
      <c r="C3634" s="9"/>
      <c r="D3634" s="9"/>
      <c r="E3634" s="9"/>
      <c r="F3634" s="9"/>
      <c r="G3634" s="11"/>
    </row>
    <row r="3635" spans="1:8" s="7" customFormat="1" ht="18" hidden="1" outlineLevel="1" thickBot="1" x14ac:dyDescent="0.2">
      <c r="A3635" s="1"/>
      <c r="B3635" s="1"/>
      <c r="C3635" s="1"/>
      <c r="D3635" s="1"/>
      <c r="E3635" s="1"/>
      <c r="F3635" s="1"/>
      <c r="G3635" s="1"/>
      <c r="H3635" s="6" t="str">
        <f>"create or replace view "&amp;C3636</f>
        <v>create or replace view vi_logic_exgp_asset_other</v>
      </c>
    </row>
    <row r="3636" spans="1:8" s="7" customFormat="1" ht="18" collapsed="1" thickBot="1" x14ac:dyDescent="0.2">
      <c r="A3636" s="2"/>
      <c r="B3636" s="3" t="s">
        <v>563</v>
      </c>
      <c r="C3636" s="147" t="s">
        <v>699</v>
      </c>
      <c r="D3636" s="147" t="s">
        <v>515</v>
      </c>
      <c r="E3636" s="21" t="s">
        <v>737</v>
      </c>
      <c r="F3636" s="5" t="s">
        <v>567</v>
      </c>
      <c r="G3636" s="6" t="s">
        <v>700</v>
      </c>
      <c r="H3636" s="11" t="str">
        <f>"# "&amp;E3636</f>
        <v># 报表_资管报表_视图-逻辑-交易组-资产-附加信息</v>
      </c>
    </row>
    <row r="3637" spans="1:8" s="7" customFormat="1" ht="18" hidden="1" outlineLevel="1" thickBot="1" x14ac:dyDescent="0.2">
      <c r="A3637" s="2"/>
      <c r="B3637" s="34" t="s">
        <v>570</v>
      </c>
      <c r="C3637" s="18"/>
      <c r="D3637" s="35" t="s">
        <v>568</v>
      </c>
      <c r="E3637" s="18" t="s">
        <v>615</v>
      </c>
      <c r="F3637" s="35"/>
      <c r="G3637" s="19"/>
      <c r="H3637" s="13" t="s">
        <v>283</v>
      </c>
    </row>
    <row r="3638" spans="1:8" s="166" customFormat="1" ht="17.25" hidden="1" customHeight="1" outlineLevel="1" x14ac:dyDescent="0.15">
      <c r="A3638" s="2"/>
      <c r="B3638" s="3" t="s">
        <v>0</v>
      </c>
      <c r="C3638" s="5" t="s">
        <v>1</v>
      </c>
      <c r="D3638" s="5" t="s">
        <v>2</v>
      </c>
      <c r="E3638" s="5"/>
      <c r="F3638" s="5" t="s">
        <v>3</v>
      </c>
      <c r="G3638" s="36" t="s">
        <v>4</v>
      </c>
      <c r="H3638" s="107" t="str">
        <f t="shared" ref="H3638:H3669" si="35">"ifnull("&amp;IF(I3638&lt;&gt;"",I3638,IF(F3639&lt;&gt;"",F3639,"t")&amp;"."&amp;C3639)&amp;","&amp;E3639&amp;") as "&amp;C3639&amp;",/*"&amp;B3639&amp;"*/"</f>
        <v>ifnull(t.init_date,date_format(curdate(),'%Y%m%d')) as init_date,/*初始化日期*/</v>
      </c>
    </row>
    <row r="3639" spans="1:8" s="166" customFormat="1" ht="17.25" hidden="1" customHeight="1" outlineLevel="1" x14ac:dyDescent="0.15">
      <c r="B3639" s="167" t="s">
        <v>22</v>
      </c>
      <c r="C3639" s="168" t="s">
        <v>1127</v>
      </c>
      <c r="D3639" s="168" t="s">
        <v>211</v>
      </c>
      <c r="E3639" s="168" t="s">
        <v>1141</v>
      </c>
      <c r="F3639" s="168" t="s">
        <v>440</v>
      </c>
      <c r="G3639" s="169" t="s">
        <v>1162</v>
      </c>
      <c r="H3639" s="107" t="str">
        <f t="shared" si="35"/>
        <v>ifnull(t.co_no,0) as co_no,/*机构编号*/</v>
      </c>
    </row>
    <row r="3640" spans="1:8" s="166" customFormat="1" ht="17.25" hidden="1" customHeight="1" outlineLevel="1" x14ac:dyDescent="0.15">
      <c r="B3640" s="226" t="s">
        <v>109</v>
      </c>
      <c r="C3640" s="227" t="s">
        <v>1163</v>
      </c>
      <c r="D3640" s="227" t="s">
        <v>211</v>
      </c>
      <c r="E3640" s="227">
        <v>0</v>
      </c>
      <c r="F3640" s="227"/>
      <c r="G3640" s="228" t="s">
        <v>1077</v>
      </c>
      <c r="H3640" s="107" t="str">
        <f t="shared" si="35"/>
        <v>ifnull(t.pd_no,0) as pd_no,/*产品编号*/</v>
      </c>
    </row>
    <row r="3641" spans="1:8" s="166" customFormat="1" ht="17.25" hidden="1" customHeight="1" outlineLevel="1" x14ac:dyDescent="0.15">
      <c r="B3641" s="167" t="s">
        <v>111</v>
      </c>
      <c r="C3641" s="168" t="s">
        <v>1164</v>
      </c>
      <c r="D3641" s="168" t="s">
        <v>211</v>
      </c>
      <c r="E3641" s="168">
        <v>0</v>
      </c>
      <c r="F3641" s="168" t="s">
        <v>440</v>
      </c>
      <c r="G3641" s="169" t="s">
        <v>1329</v>
      </c>
      <c r="H3641" s="107" t="str">
        <f t="shared" si="35"/>
        <v>ifnull(t.exch_group_no,0) as exch_group_no,/*交易组编号*/</v>
      </c>
    </row>
    <row r="3642" spans="1:8" s="166" customFormat="1" ht="17.25" hidden="1" customHeight="1" outlineLevel="1" x14ac:dyDescent="0.15">
      <c r="B3642" s="167" t="s">
        <v>123</v>
      </c>
      <c r="C3642" s="168" t="s">
        <v>1133</v>
      </c>
      <c r="D3642" s="168" t="s">
        <v>211</v>
      </c>
      <c r="E3642" s="168">
        <v>0</v>
      </c>
      <c r="F3642" s="168" t="s">
        <v>440</v>
      </c>
      <c r="G3642" s="169" t="s">
        <v>1509</v>
      </c>
      <c r="H3642" s="107" t="str">
        <f t="shared" si="35"/>
        <v>ifnull(t.nav_asset,0) as nav_asset,/*净资产*/</v>
      </c>
    </row>
    <row r="3643" spans="1:8" s="7" customFormat="1" ht="15" hidden="1" customHeight="1" outlineLevel="1" x14ac:dyDescent="0.15">
      <c r="A3643" s="166"/>
      <c r="B3643" s="194" t="s">
        <v>303</v>
      </c>
      <c r="C3643" s="168" t="s">
        <v>1170</v>
      </c>
      <c r="D3643" s="168" t="s">
        <v>1169</v>
      </c>
      <c r="E3643" s="168">
        <v>0</v>
      </c>
      <c r="F3643" s="168" t="s">
        <v>440</v>
      </c>
      <c r="G3643" s="169"/>
      <c r="H3643" s="107" t="str">
        <f t="shared" si="35"/>
        <v>ifnull(t.first_asset,0) as first_asset,/*原始资产*/</v>
      </c>
    </row>
    <row r="3644" spans="1:8" s="7" customFormat="1" hidden="1" outlineLevel="1" x14ac:dyDescent="0.15">
      <c r="A3644" s="2"/>
      <c r="B3644" s="204" t="s">
        <v>189</v>
      </c>
      <c r="C3644" s="205" t="s">
        <v>1296</v>
      </c>
      <c r="D3644" s="205" t="s">
        <v>1169</v>
      </c>
      <c r="E3644" s="205">
        <v>0</v>
      </c>
      <c r="F3644" s="200" t="s">
        <v>440</v>
      </c>
      <c r="G3644" s="206"/>
      <c r="H3644" s="107" t="str">
        <f t="shared" si="35"/>
        <v>ifnull(t.exch_group_pd_share,0) as exch_group_pd_share,/*交易组产品份额*/</v>
      </c>
    </row>
    <row r="3645" spans="1:8" s="166" customFormat="1" ht="17.25" hidden="1" customHeight="1" outlineLevel="1" x14ac:dyDescent="0.15">
      <c r="B3645" s="194" t="s">
        <v>169</v>
      </c>
      <c r="C3645" s="195" t="s">
        <v>1435</v>
      </c>
      <c r="D3645" s="195" t="s">
        <v>1087</v>
      </c>
      <c r="E3645" s="195">
        <v>0</v>
      </c>
      <c r="F3645" s="168" t="s">
        <v>440</v>
      </c>
      <c r="G3645" s="196"/>
      <c r="H3645" s="107" t="str">
        <f t="shared" si="35"/>
        <v>ifnull(t.unit_nav,0) as unit_nav,/*单位净值*/</v>
      </c>
    </row>
    <row r="3646" spans="1:8" s="166" customFormat="1" ht="17.25" hidden="1" customHeight="1" outlineLevel="1" x14ac:dyDescent="0.15">
      <c r="B3646" s="194" t="s">
        <v>362</v>
      </c>
      <c r="C3646" s="168" t="s">
        <v>1078</v>
      </c>
      <c r="D3646" s="168" t="s">
        <v>1169</v>
      </c>
      <c r="E3646" s="168">
        <v>0</v>
      </c>
      <c r="F3646" s="168" t="s">
        <v>440</v>
      </c>
      <c r="G3646" s="169"/>
      <c r="H3646" s="107" t="str">
        <f t="shared" si="35"/>
        <v>ifnull(t.pre_nav,0) as pre_nav,/*昨日净值*/</v>
      </c>
    </row>
    <row r="3647" spans="1:8" s="166" customFormat="1" ht="17.25" hidden="1" customHeight="1" outlineLevel="1" x14ac:dyDescent="0.15">
      <c r="B3647" s="194" t="s">
        <v>363</v>
      </c>
      <c r="C3647" s="168" t="s">
        <v>1171</v>
      </c>
      <c r="D3647" s="168" t="s">
        <v>1169</v>
      </c>
      <c r="E3647" s="168">
        <v>0</v>
      </c>
      <c r="F3647" s="168" t="s">
        <v>440</v>
      </c>
      <c r="G3647" s="169"/>
      <c r="H3647" s="107" t="str">
        <f t="shared" si="35"/>
        <v>ifnull(t.nav_fluct,0) as nav_fluct,/*净值波动*/</v>
      </c>
    </row>
    <row r="3648" spans="1:8" s="166" customFormat="1" ht="17.25" hidden="1" customHeight="1" outlineLevel="1" x14ac:dyDescent="0.15">
      <c r="B3648" s="194" t="s">
        <v>364</v>
      </c>
      <c r="C3648" s="168" t="s">
        <v>1088</v>
      </c>
      <c r="D3648" s="168" t="s">
        <v>1172</v>
      </c>
      <c r="E3648" s="168">
        <v>0</v>
      </c>
      <c r="F3648" s="168" t="s">
        <v>440</v>
      </c>
      <c r="G3648" s="169"/>
      <c r="H3648" s="107" t="str">
        <f t="shared" si="35"/>
        <v>ifnull(t.cash_asset,0) as cash_asset,/*现金资产*/</v>
      </c>
    </row>
    <row r="3649" spans="1:8" s="166" customFormat="1" ht="17.25" hidden="1" customHeight="1" outlineLevel="1" x14ac:dyDescent="0.15">
      <c r="B3649" s="194" t="s">
        <v>304</v>
      </c>
      <c r="C3649" s="168" t="s">
        <v>1185</v>
      </c>
      <c r="D3649" s="168" t="s">
        <v>1169</v>
      </c>
      <c r="E3649" s="168">
        <v>0</v>
      </c>
      <c r="F3649" s="168" t="s">
        <v>440</v>
      </c>
      <c r="G3649" s="169"/>
      <c r="H3649" s="107" t="str">
        <f t="shared" si="35"/>
        <v>ifnull(t.stock_asset,0) as stock_asset,/*股票资产*/</v>
      </c>
    </row>
    <row r="3650" spans="1:8" s="166" customFormat="1" ht="17.25" hidden="1" customHeight="1" outlineLevel="1" x14ac:dyDescent="0.15">
      <c r="B3650" s="194" t="s">
        <v>305</v>
      </c>
      <c r="C3650" s="168" t="s">
        <v>1181</v>
      </c>
      <c r="D3650" s="168" t="s">
        <v>1169</v>
      </c>
      <c r="E3650" s="168">
        <v>0</v>
      </c>
      <c r="F3650" s="168" t="s">
        <v>440</v>
      </c>
      <c r="G3650" s="169"/>
      <c r="H3650" s="107" t="str">
        <f t="shared" si="35"/>
        <v>ifnull(t.bond_asset,0) as bond_asset,/*债券资产*/</v>
      </c>
    </row>
    <row r="3651" spans="1:8" s="166" customFormat="1" ht="17.25" hidden="1" customHeight="1" outlineLevel="1" x14ac:dyDescent="0.15">
      <c r="B3651" s="194" t="s">
        <v>307</v>
      </c>
      <c r="C3651" s="168" t="s">
        <v>1173</v>
      </c>
      <c r="D3651" s="168" t="s">
        <v>1169</v>
      </c>
      <c r="E3651" s="168">
        <v>0</v>
      </c>
      <c r="F3651" s="168" t="s">
        <v>440</v>
      </c>
      <c r="G3651" s="169"/>
      <c r="H3651" s="107" t="str">
        <f t="shared" si="35"/>
        <v>ifnull(t.fund_asset,0) as fund_asset,/*基金资产*/</v>
      </c>
    </row>
    <row r="3652" spans="1:8" s="166" customFormat="1" ht="17.25" hidden="1" customHeight="1" outlineLevel="1" x14ac:dyDescent="0.15">
      <c r="B3652" s="194" t="s">
        <v>306</v>
      </c>
      <c r="C3652" s="168" t="s">
        <v>1128</v>
      </c>
      <c r="D3652" s="168" t="s">
        <v>1169</v>
      </c>
      <c r="E3652" s="168">
        <v>0</v>
      </c>
      <c r="F3652" s="168" t="s">
        <v>440</v>
      </c>
      <c r="G3652" s="169"/>
      <c r="H3652" s="107" t="str">
        <f t="shared" si="35"/>
        <v>ifnull(t.repo_asset,0) as repo_asset,/*回购资产*/</v>
      </c>
    </row>
    <row r="3653" spans="1:8" s="166" customFormat="1" ht="17.25" hidden="1" customHeight="1" outlineLevel="1" x14ac:dyDescent="0.15">
      <c r="B3653" s="194" t="s">
        <v>309</v>
      </c>
      <c r="C3653" s="168" t="s">
        <v>1089</v>
      </c>
      <c r="D3653" s="168" t="s">
        <v>1169</v>
      </c>
      <c r="E3653" s="168">
        <v>0</v>
      </c>
      <c r="F3653" s="168" t="s">
        <v>440</v>
      </c>
      <c r="G3653" s="169"/>
      <c r="H3653" s="107" t="str">
        <f t="shared" si="35"/>
        <v>ifnull(t.other_asset,0) as other_asset,/*其他资产*/</v>
      </c>
    </row>
    <row r="3654" spans="1:8" s="166" customFormat="1" ht="17.25" hidden="1" customHeight="1" outlineLevel="1" x14ac:dyDescent="0.15">
      <c r="B3654" s="194" t="s">
        <v>310</v>
      </c>
      <c r="C3654" s="168" t="s">
        <v>1174</v>
      </c>
      <c r="D3654" s="168" t="s">
        <v>1169</v>
      </c>
      <c r="E3654" s="168">
        <v>0</v>
      </c>
      <c r="F3654" s="168" t="s">
        <v>440</v>
      </c>
      <c r="G3654" s="169"/>
      <c r="H3654" s="107" t="str">
        <f t="shared" si="35"/>
        <v>ifnull(t.total_payab_amt,0) as total_payab_amt,/*累计应付金额*/</v>
      </c>
    </row>
    <row r="3655" spans="1:8" s="166" customFormat="1" ht="17.25" hidden="1" customHeight="1" outlineLevel="1" x14ac:dyDescent="0.15">
      <c r="B3655" s="194" t="s">
        <v>176</v>
      </c>
      <c r="C3655" s="168" t="s">
        <v>1132</v>
      </c>
      <c r="D3655" s="168" t="s">
        <v>1169</v>
      </c>
      <c r="E3655" s="168">
        <v>0</v>
      </c>
      <c r="F3655" s="168" t="s">
        <v>440</v>
      </c>
      <c r="G3655" s="169"/>
      <c r="H3655" s="107" t="str">
        <f t="shared" si="35"/>
        <v>ifnull(t.total_rece_amt,0) as total_rece_amt,/*累计应收金额*/</v>
      </c>
    </row>
    <row r="3656" spans="1:8" s="166" customFormat="1" ht="17.25" hidden="1" customHeight="1" outlineLevel="1" x14ac:dyDescent="0.15">
      <c r="B3656" s="194" t="s">
        <v>175</v>
      </c>
      <c r="C3656" s="168" t="s">
        <v>1129</v>
      </c>
      <c r="D3656" s="168" t="s">
        <v>1169</v>
      </c>
      <c r="E3656" s="168">
        <v>0</v>
      </c>
      <c r="F3656" s="168" t="s">
        <v>440</v>
      </c>
      <c r="G3656" s="169"/>
      <c r="H3656" s="107" t="str">
        <f t="shared" si="35"/>
        <v>ifnull(t.assign_avail_amt,0) as assign_avail_amt,/*可分配金额*/</v>
      </c>
    </row>
    <row r="3657" spans="1:8" s="166" customFormat="1" ht="17.25" hidden="1" customHeight="1" outlineLevel="1" x14ac:dyDescent="0.15">
      <c r="B3657" s="194" t="s">
        <v>365</v>
      </c>
      <c r="C3657" s="168" t="s">
        <v>1130</v>
      </c>
      <c r="D3657" s="168" t="s">
        <v>1169</v>
      </c>
      <c r="E3657" s="168">
        <v>0</v>
      </c>
      <c r="F3657" s="168" t="s">
        <v>440</v>
      </c>
      <c r="G3657" s="169"/>
      <c r="H3657" s="107" t="str">
        <f t="shared" si="35"/>
        <v>ifnull(t.crncy_type,"CNY") as crncy_type,/*本币币种*/</v>
      </c>
    </row>
    <row r="3658" spans="1:8" s="166" customFormat="1" ht="17.25" hidden="1" customHeight="1" outlineLevel="1" x14ac:dyDescent="0.15">
      <c r="B3658" s="197" t="s">
        <v>23</v>
      </c>
      <c r="C3658" s="168" t="s">
        <v>1091</v>
      </c>
      <c r="D3658" s="168" t="s">
        <v>1131</v>
      </c>
      <c r="E3658" s="168" t="s">
        <v>1074</v>
      </c>
      <c r="F3658" s="168" t="s">
        <v>440</v>
      </c>
      <c r="G3658" s="169"/>
      <c r="H3658" s="107" t="str">
        <f t="shared" si="35"/>
        <v>ifnull(t.today_pandl,0) as today_pandl,/*当日盈亏*/</v>
      </c>
    </row>
    <row r="3659" spans="1:8" s="166" customFormat="1" ht="17.25" hidden="1" customHeight="1" outlineLevel="1" x14ac:dyDescent="0.15">
      <c r="B3659" s="197" t="s">
        <v>367</v>
      </c>
      <c r="C3659" s="168" t="s">
        <v>1176</v>
      </c>
      <c r="D3659" s="168" t="s">
        <v>1169</v>
      </c>
      <c r="E3659" s="168">
        <v>0</v>
      </c>
      <c r="F3659" s="168" t="s">
        <v>440</v>
      </c>
      <c r="G3659" s="169"/>
      <c r="H3659" s="107" t="str">
        <f t="shared" si="35"/>
        <v>ifnull(t.daily_pandl_ratio,0) as daily_pandl_ratio,/*当日收益率*/</v>
      </c>
    </row>
    <row r="3660" spans="1:8" s="166" customFormat="1" ht="17.25" hidden="1" customHeight="1" outlineLevel="1" x14ac:dyDescent="0.15">
      <c r="B3660" s="197" t="s">
        <v>368</v>
      </c>
      <c r="C3660" s="168" t="s">
        <v>1177</v>
      </c>
      <c r="D3660" s="168" t="s">
        <v>1172</v>
      </c>
      <c r="E3660" s="168">
        <v>0</v>
      </c>
      <c r="F3660" s="168" t="s">
        <v>440</v>
      </c>
      <c r="G3660" s="169"/>
      <c r="H3660" s="107" t="str">
        <f t="shared" si="35"/>
        <v>ifnull(t.total_realiz_pandl,0) as total_realiz_pandl,/*累计实现收益*/</v>
      </c>
    </row>
    <row r="3661" spans="1:8" s="166" customFormat="1" ht="17.25" hidden="1" customHeight="1" outlineLevel="1" x14ac:dyDescent="0.15">
      <c r="B3661" s="194" t="s">
        <v>369</v>
      </c>
      <c r="C3661" s="168" t="s">
        <v>1475</v>
      </c>
      <c r="D3661" s="168" t="s">
        <v>1169</v>
      </c>
      <c r="E3661" s="168">
        <v>0</v>
      </c>
      <c r="F3661" s="168" t="s">
        <v>440</v>
      </c>
      <c r="G3661" s="169"/>
      <c r="H3661" s="107" t="str">
        <f t="shared" si="35"/>
        <v>ifnull(t.total_realiz_pandl_ratio,0) as total_realiz_pandl_ratio,/*累计收益率*/</v>
      </c>
    </row>
    <row r="3662" spans="1:8" s="166" customFormat="1" ht="17.25" hidden="1" customHeight="1" outlineLevel="1" x14ac:dyDescent="0.15">
      <c r="B3662" s="167" t="s">
        <v>370</v>
      </c>
      <c r="C3662" s="168" t="s">
        <v>1183</v>
      </c>
      <c r="D3662" s="168" t="s">
        <v>1172</v>
      </c>
      <c r="E3662" s="168">
        <v>0</v>
      </c>
      <c r="F3662" s="168" t="s">
        <v>440</v>
      </c>
      <c r="G3662" s="169"/>
      <c r="H3662" s="107" t="str">
        <f t="shared" si="35"/>
        <v>ifnull(t.posi_ratio,0) as posi_ratio,/*持股比例*/</v>
      </c>
    </row>
    <row r="3663" spans="1:8" s="166" customFormat="1" ht="17.25" hidden="1" customHeight="1" outlineLevel="1" x14ac:dyDescent="0.15">
      <c r="B3663" s="167" t="s">
        <v>371</v>
      </c>
      <c r="C3663" s="168" t="s">
        <v>1184</v>
      </c>
      <c r="D3663" s="168" t="s">
        <v>1172</v>
      </c>
      <c r="E3663" s="168">
        <v>0</v>
      </c>
      <c r="F3663" s="168" t="s">
        <v>440</v>
      </c>
      <c r="G3663" s="169"/>
      <c r="H3663" s="107" t="str">
        <f t="shared" si="35"/>
        <v>ifnull(t.securities_ratio,0) as securities_ratio,/*证券占比*/</v>
      </c>
    </row>
    <row r="3664" spans="1:8" s="7" customFormat="1" hidden="1" outlineLevel="1" x14ac:dyDescent="0.15">
      <c r="A3664" s="166"/>
      <c r="B3664" s="167" t="s">
        <v>468</v>
      </c>
      <c r="C3664" s="168" t="s">
        <v>1180</v>
      </c>
      <c r="D3664" s="168" t="s">
        <v>1172</v>
      </c>
      <c r="E3664" s="168">
        <v>0</v>
      </c>
      <c r="F3664" s="168" t="s">
        <v>440</v>
      </c>
      <c r="G3664" s="169"/>
      <c r="H3664" s="107" t="str">
        <f t="shared" si="35"/>
        <v>ifnull(t.realize_pandl,0) as realize_pandl,/*实现盈亏*/</v>
      </c>
    </row>
    <row r="3665" spans="1:9" hidden="1" outlineLevel="1" x14ac:dyDescent="0.15">
      <c r="A3665" s="2"/>
      <c r="B3665" s="176" t="s">
        <v>12</v>
      </c>
      <c r="C3665" s="176" t="s">
        <v>1143</v>
      </c>
      <c r="D3665" s="176" t="s">
        <v>1169</v>
      </c>
      <c r="E3665" s="176">
        <v>0</v>
      </c>
      <c r="F3665" s="168" t="s">
        <v>440</v>
      </c>
      <c r="G3665" s="176"/>
      <c r="H3665" s="107" t="str">
        <f t="shared" si="35"/>
        <v>ifnull(t.posi_market_value,0) as posi_market_value,/*持仓市值*/</v>
      </c>
    </row>
    <row r="3666" spans="1:9" hidden="1" outlineLevel="1" x14ac:dyDescent="0.15">
      <c r="B3666" s="176" t="s">
        <v>432</v>
      </c>
      <c r="C3666" s="176" t="s">
        <v>1489</v>
      </c>
      <c r="D3666" s="176" t="s">
        <v>1331</v>
      </c>
      <c r="E3666" s="176">
        <v>0</v>
      </c>
      <c r="F3666" s="168" t="s">
        <v>440</v>
      </c>
      <c r="G3666" s="176"/>
      <c r="H3666" s="107" t="str">
        <f t="shared" si="35"/>
        <v>ifnull(t.float_pandl,0) as float_pandl,/*浮动盈亏*/</v>
      </c>
    </row>
    <row r="3667" spans="1:9" s="7" customFormat="1" hidden="1" outlineLevel="1" x14ac:dyDescent="0.15">
      <c r="A3667" s="1"/>
      <c r="B3667" s="176" t="s">
        <v>445</v>
      </c>
      <c r="C3667" s="176" t="s">
        <v>1490</v>
      </c>
      <c r="D3667" s="176" t="s">
        <v>1331</v>
      </c>
      <c r="E3667" s="176">
        <v>0</v>
      </c>
      <c r="F3667" s="168" t="s">
        <v>440</v>
      </c>
      <c r="G3667" s="176"/>
      <c r="H3667" s="107" t="str">
        <f t="shared" si="35"/>
        <v>ifnull(a.strategy_type,0) as strategy_type,/*策略类型*/</v>
      </c>
      <c r="I3667" s="19"/>
    </row>
    <row r="3668" spans="1:9" s="7" customFormat="1" hidden="1" outlineLevel="1" x14ac:dyDescent="0.15">
      <c r="A3668" s="2"/>
      <c r="B3668" s="170" t="s">
        <v>462</v>
      </c>
      <c r="C3668" s="164" t="s">
        <v>1613</v>
      </c>
      <c r="D3668" s="164" t="s">
        <v>211</v>
      </c>
      <c r="E3668" s="164">
        <v>0</v>
      </c>
      <c r="F3668" s="164" t="s">
        <v>441</v>
      </c>
      <c r="G3668" s="107"/>
      <c r="H3668" s="107" t="str">
        <f t="shared" si="35"/>
        <v>ifnull(a.total_pre_fee,0) as total_pre_fee,/*累计计提费用*/</v>
      </c>
      <c r="I3668" s="219"/>
    </row>
    <row r="3669" spans="1:9" s="7" customFormat="1" hidden="1" outlineLevel="1" x14ac:dyDescent="0.15">
      <c r="A3669" s="2"/>
      <c r="B3669" s="170" t="s">
        <v>463</v>
      </c>
      <c r="C3669" s="164" t="s">
        <v>1551</v>
      </c>
      <c r="D3669" s="164" t="s">
        <v>1169</v>
      </c>
      <c r="E3669" s="164">
        <v>0</v>
      </c>
      <c r="F3669" s="164" t="s">
        <v>441</v>
      </c>
      <c r="G3669" s="107"/>
      <c r="H3669" s="107" t="str">
        <f t="shared" si="35"/>
        <v>ifnull(b.total_divi_amt,0) as total_divi_amt,/*累计分红金额*/</v>
      </c>
      <c r="I3669" s="225"/>
    </row>
    <row r="3670" spans="1:9" s="7" customFormat="1" hidden="1" outlineLevel="1" x14ac:dyDescent="0.15">
      <c r="A3670" s="2"/>
      <c r="B3670" s="225" t="s">
        <v>459</v>
      </c>
      <c r="C3670" s="225" t="s">
        <v>1614</v>
      </c>
      <c r="D3670" s="225" t="s">
        <v>1169</v>
      </c>
      <c r="E3670" s="225">
        <v>0</v>
      </c>
      <c r="F3670" s="225" t="s">
        <v>454</v>
      </c>
      <c r="G3670" s="225"/>
    </row>
    <row r="3671" spans="1:9" s="7" customFormat="1" ht="18" hidden="1" outlineLevel="1" thickBot="1" x14ac:dyDescent="0.2">
      <c r="A3671" s="2"/>
      <c r="B3671" s="24"/>
      <c r="C3671" s="9"/>
      <c r="D3671" s="9"/>
      <c r="E3671" s="9"/>
      <c r="F3671" s="9"/>
      <c r="G3671" s="11"/>
    </row>
    <row r="3672" spans="1:9" s="7" customFormat="1" hidden="1" outlineLevel="1" x14ac:dyDescent="0.15">
      <c r="A3672" s="2"/>
      <c r="B3672" s="327" t="s">
        <v>15</v>
      </c>
      <c r="C3672" s="328"/>
      <c r="D3672" s="328"/>
      <c r="E3672" s="328"/>
      <c r="F3672" s="328"/>
      <c r="G3672" s="329"/>
    </row>
    <row r="3673" spans="1:9" s="7" customFormat="1" hidden="1" outlineLevel="1" x14ac:dyDescent="0.15">
      <c r="A3673" s="2"/>
      <c r="B3673" s="20"/>
      <c r="C3673" s="23"/>
      <c r="D3673" s="21"/>
      <c r="E3673" s="21"/>
      <c r="F3673" s="21"/>
      <c r="G3673" s="21"/>
    </row>
    <row r="3674" spans="1:9" s="7" customFormat="1" hidden="1" outlineLevel="1" x14ac:dyDescent="0.15">
      <c r="A3674" s="2"/>
      <c r="B3674" s="17"/>
      <c r="C3674" s="37"/>
      <c r="D3674" s="18"/>
      <c r="E3674" s="18"/>
      <c r="F3674" s="18"/>
      <c r="G3674" s="38"/>
    </row>
    <row r="3675" spans="1:9" ht="18" hidden="1" outlineLevel="1" thickBot="1" x14ac:dyDescent="0.2">
      <c r="A3675" s="2"/>
      <c r="B3675" s="24"/>
      <c r="C3675" s="9"/>
      <c r="D3675" s="9"/>
      <c r="E3675" s="9"/>
      <c r="F3675" s="9"/>
      <c r="G3675" s="11"/>
    </row>
    <row r="3676" spans="1:9" ht="18" hidden="1" outlineLevel="1" thickBot="1" x14ac:dyDescent="0.2"/>
    <row r="3677" spans="1:9" s="7" customFormat="1" ht="18" hidden="1" outlineLevel="1" thickBot="1" x14ac:dyDescent="0.2">
      <c r="A3677" s="1"/>
      <c r="B3677" s="1"/>
      <c r="C3677" s="1"/>
      <c r="D3677" s="1"/>
      <c r="E3677" s="1"/>
      <c r="F3677" s="1"/>
      <c r="G3677" s="1"/>
      <c r="H3677" s="147" t="str">
        <f>"create or replace view "&amp;C3678</f>
        <v>create or replace view vi_user_opor_allow_co</v>
      </c>
      <c r="I3677" s="119"/>
    </row>
    <row r="3678" spans="1:9" s="7" customFormat="1" ht="18" collapsed="1" thickBot="1" x14ac:dyDescent="0.2">
      <c r="B3678" s="117" t="s">
        <v>563</v>
      </c>
      <c r="C3678" s="21" t="s">
        <v>635</v>
      </c>
      <c r="D3678" s="118" t="s">
        <v>515</v>
      </c>
      <c r="E3678" s="21" t="s">
        <v>589</v>
      </c>
      <c r="F3678" s="118" t="s">
        <v>567</v>
      </c>
      <c r="G3678" s="119" t="s">
        <v>636</v>
      </c>
      <c r="H3678" s="147" t="str">
        <f>"# "&amp;E3678</f>
        <v># 报表_资管报表_视图-公共-用户-操作员可操作机构表</v>
      </c>
      <c r="I3678" s="123"/>
    </row>
    <row r="3679" spans="1:9" s="7" customFormat="1" ht="18" hidden="1" outlineLevel="1" thickBot="1" x14ac:dyDescent="0.2">
      <c r="B3679" s="120" t="s">
        <v>570</v>
      </c>
      <c r="C3679" s="121"/>
      <c r="D3679" s="122" t="s">
        <v>568</v>
      </c>
      <c r="E3679" s="121" t="s">
        <v>615</v>
      </c>
      <c r="F3679" s="122"/>
      <c r="G3679" s="123"/>
      <c r="H3679" s="125" t="s">
        <v>283</v>
      </c>
      <c r="I3679" s="125"/>
    </row>
    <row r="3680" spans="1:9" s="7" customFormat="1" hidden="1" outlineLevel="1" x14ac:dyDescent="0.15">
      <c r="B3680" s="124" t="s">
        <v>0</v>
      </c>
      <c r="C3680" s="125" t="s">
        <v>1</v>
      </c>
      <c r="D3680" s="125" t="s">
        <v>2</v>
      </c>
      <c r="E3680" s="125"/>
      <c r="F3680" s="125" t="s">
        <v>3</v>
      </c>
      <c r="G3680" s="125" t="s">
        <v>4</v>
      </c>
      <c r="H3680" s="116" t="str">
        <f>""&amp;C3681&amp;",/*"&amp;B3681&amp;"*/"</f>
        <v>opor_no,/*操作员编号*/</v>
      </c>
      <c r="I3680" s="116"/>
    </row>
    <row r="3681" spans="1:9" s="7" customFormat="1" hidden="1" outlineLevel="1" x14ac:dyDescent="0.15">
      <c r="B3681" s="126" t="s">
        <v>135</v>
      </c>
      <c r="C3681" s="29" t="s">
        <v>1357</v>
      </c>
      <c r="D3681" s="115" t="s">
        <v>211</v>
      </c>
      <c r="E3681" s="115">
        <v>0</v>
      </c>
      <c r="F3681" s="115" t="s">
        <v>28</v>
      </c>
      <c r="G3681" s="116" t="s">
        <v>1358</v>
      </c>
      <c r="H3681" s="116" t="str">
        <f>""&amp;C3682&amp;",/*"&amp;B3682&amp;"*/"</f>
        <v>co_no,/*机构编号*/</v>
      </c>
      <c r="I3681" s="116"/>
    </row>
    <row r="3682" spans="1:9" s="7" customFormat="1" hidden="1" outlineLevel="1" x14ac:dyDescent="0.15">
      <c r="B3682" s="126" t="s">
        <v>6</v>
      </c>
      <c r="C3682" s="29" t="s">
        <v>1163</v>
      </c>
      <c r="D3682" s="115" t="s">
        <v>211</v>
      </c>
      <c r="E3682" s="115">
        <v>0</v>
      </c>
      <c r="F3682" s="115" t="s">
        <v>28</v>
      </c>
      <c r="G3682" s="116" t="s">
        <v>1077</v>
      </c>
      <c r="H3682" s="116" t="str">
        <f>""&amp;C3683&amp;",/*"&amp;B3683&amp;"*/"</f>
        <v>oper_rights,/*操作权限*/</v>
      </c>
      <c r="I3682" s="116"/>
    </row>
    <row r="3683" spans="1:9" s="7" customFormat="1" hidden="1" outlineLevel="1" x14ac:dyDescent="0.15">
      <c r="B3683" s="126" t="s">
        <v>290</v>
      </c>
      <c r="C3683" s="127" t="s">
        <v>1437</v>
      </c>
      <c r="D3683" s="115" t="s">
        <v>211</v>
      </c>
      <c r="E3683" s="115">
        <v>0</v>
      </c>
      <c r="F3683" s="115"/>
      <c r="G3683" s="116"/>
      <c r="H3683" s="116"/>
      <c r="I3683" s="116"/>
    </row>
    <row r="3684" spans="1:9" s="7" customFormat="1" ht="18" hidden="1" outlineLevel="1" thickBot="1" x14ac:dyDescent="0.2">
      <c r="B3684" s="126"/>
      <c r="C3684" s="115"/>
      <c r="D3684" s="115"/>
      <c r="E3684" s="115"/>
      <c r="F3684" s="115"/>
      <c r="G3684" s="116"/>
    </row>
    <row r="3685" spans="1:9" s="7" customFormat="1" hidden="1" outlineLevel="1" x14ac:dyDescent="0.15">
      <c r="B3685" s="333" t="s">
        <v>15</v>
      </c>
      <c r="C3685" s="334"/>
      <c r="D3685" s="334"/>
      <c r="E3685" s="334"/>
      <c r="F3685" s="334"/>
      <c r="G3685" s="335"/>
      <c r="H3685" s="116"/>
      <c r="I3685" s="116"/>
    </row>
    <row r="3686" spans="1:9" s="7" customFormat="1" ht="18" hidden="1" outlineLevel="1" thickBot="1" x14ac:dyDescent="0.2">
      <c r="A3686" s="7" t="s">
        <v>298</v>
      </c>
      <c r="B3686" s="126">
        <v>1</v>
      </c>
      <c r="C3686" s="115" t="s">
        <v>135</v>
      </c>
      <c r="D3686" s="115" t="s">
        <v>6</v>
      </c>
      <c r="E3686" s="115"/>
      <c r="F3686" s="115"/>
      <c r="G3686" s="116"/>
      <c r="H3686" s="123"/>
      <c r="I3686" s="123"/>
    </row>
    <row r="3687" spans="1:9" s="7" customFormat="1" ht="18" hidden="1" outlineLevel="1" thickBot="1" x14ac:dyDescent="0.2">
      <c r="B3687" s="128"/>
      <c r="C3687" s="121"/>
      <c r="D3687" s="121"/>
      <c r="E3687" s="121"/>
      <c r="F3687" s="121"/>
      <c r="G3687" s="123"/>
    </row>
    <row r="3688" spans="1:9" s="7" customFormat="1" ht="18" hidden="1" outlineLevel="1" thickBot="1" x14ac:dyDescent="0.2"/>
    <row r="3689" spans="1:9" s="7" customFormat="1" ht="18" hidden="1" outlineLevel="1" thickBot="1" x14ac:dyDescent="0.2">
      <c r="H3689" s="119" t="str">
        <f>"create or replace view "&amp;C3690</f>
        <v>create or replace view vi_user_opor_allow_prod</v>
      </c>
      <c r="I3689" s="119"/>
    </row>
    <row r="3690" spans="1:9" s="7" customFormat="1" ht="18" collapsed="1" thickBot="1" x14ac:dyDescent="0.2">
      <c r="B3690" s="117" t="s">
        <v>563</v>
      </c>
      <c r="C3690" s="21" t="s">
        <v>637</v>
      </c>
      <c r="D3690" s="118" t="s">
        <v>515</v>
      </c>
      <c r="E3690" s="21" t="s">
        <v>590</v>
      </c>
      <c r="F3690" s="118" t="s">
        <v>567</v>
      </c>
      <c r="G3690" s="119" t="s">
        <v>559</v>
      </c>
      <c r="H3690" s="123" t="str">
        <f>"# "&amp;E3690</f>
        <v># 报表_资管报表_视图-公共-用户-操作员可操作产品表</v>
      </c>
      <c r="I3690" s="123"/>
    </row>
    <row r="3691" spans="1:9" s="7" customFormat="1" ht="18" hidden="1" outlineLevel="1" thickBot="1" x14ac:dyDescent="0.2">
      <c r="B3691" s="120" t="s">
        <v>570</v>
      </c>
      <c r="C3691" s="121"/>
      <c r="D3691" s="122" t="s">
        <v>568</v>
      </c>
      <c r="E3691" s="121" t="s">
        <v>615</v>
      </c>
      <c r="F3691" s="122"/>
      <c r="G3691" s="123"/>
      <c r="H3691" s="125" t="s">
        <v>283</v>
      </c>
      <c r="I3691" s="125"/>
    </row>
    <row r="3692" spans="1:9" s="7" customFormat="1" hidden="1" outlineLevel="1" x14ac:dyDescent="0.15">
      <c r="B3692" s="124" t="s">
        <v>0</v>
      </c>
      <c r="C3692" s="125" t="s">
        <v>1</v>
      </c>
      <c r="D3692" s="125" t="s">
        <v>2</v>
      </c>
      <c r="E3692" s="125"/>
      <c r="F3692" s="125" t="s">
        <v>3</v>
      </c>
      <c r="G3692" s="125" t="s">
        <v>4</v>
      </c>
      <c r="H3692" s="116" t="str">
        <f>""&amp;C3693&amp;",/*"&amp;B3693&amp;"*/"</f>
        <v>opor_no,/*操作员编号*/</v>
      </c>
      <c r="I3692" s="116"/>
    </row>
    <row r="3693" spans="1:9" s="7" customFormat="1" hidden="1" outlineLevel="1" x14ac:dyDescent="0.15">
      <c r="B3693" s="126" t="s">
        <v>135</v>
      </c>
      <c r="C3693" s="29" t="s">
        <v>1357</v>
      </c>
      <c r="D3693" s="115" t="s">
        <v>211</v>
      </c>
      <c r="E3693" s="115">
        <v>0</v>
      </c>
      <c r="F3693" s="115" t="s">
        <v>28</v>
      </c>
      <c r="G3693" s="116" t="s">
        <v>1358</v>
      </c>
      <c r="H3693" s="116" t="str">
        <f>""&amp;C3694&amp;",/*"&amp;B3694&amp;"*/"</f>
        <v>co_no,/*机构编号*/</v>
      </c>
      <c r="I3693" s="116"/>
    </row>
    <row r="3694" spans="1:9" s="7" customFormat="1" hidden="1" outlineLevel="1" x14ac:dyDescent="0.15">
      <c r="B3694" s="126" t="s">
        <v>109</v>
      </c>
      <c r="C3694" s="127" t="s">
        <v>1163</v>
      </c>
      <c r="D3694" s="115" t="s">
        <v>211</v>
      </c>
      <c r="E3694" s="115">
        <v>0</v>
      </c>
      <c r="F3694" s="115"/>
      <c r="G3694" s="116" t="s">
        <v>1077</v>
      </c>
      <c r="H3694" s="116" t="str">
        <f>""&amp;C3695&amp;",/*"&amp;B3695&amp;"*/"</f>
        <v>pd_no,/*产品编号*/</v>
      </c>
      <c r="I3694" s="116"/>
    </row>
    <row r="3695" spans="1:9" s="7" customFormat="1" hidden="1" outlineLevel="1" x14ac:dyDescent="0.15">
      <c r="B3695" s="126" t="s">
        <v>111</v>
      </c>
      <c r="C3695" s="127" t="s">
        <v>1164</v>
      </c>
      <c r="D3695" s="115" t="s">
        <v>211</v>
      </c>
      <c r="E3695" s="115">
        <v>0</v>
      </c>
      <c r="F3695" s="115"/>
      <c r="G3695" s="116" t="s">
        <v>1165</v>
      </c>
      <c r="H3695" s="116" t="str">
        <f>""&amp;C3696&amp;",/*"&amp;B3696&amp;"*/"</f>
        <v>oper_rights,/*操作权限*/</v>
      </c>
      <c r="I3695" s="116"/>
    </row>
    <row r="3696" spans="1:9" s="7" customFormat="1" hidden="1" outlineLevel="1" x14ac:dyDescent="0.15">
      <c r="B3696" s="126" t="s">
        <v>290</v>
      </c>
      <c r="C3696" s="127" t="s">
        <v>1437</v>
      </c>
      <c r="D3696" s="115" t="s">
        <v>211</v>
      </c>
      <c r="E3696" s="115">
        <v>0</v>
      </c>
      <c r="F3696" s="115"/>
      <c r="G3696" s="116"/>
      <c r="H3696" s="116"/>
      <c r="I3696" s="116"/>
    </row>
    <row r="3697" spans="1:9" s="7" customFormat="1" ht="18" hidden="1" outlineLevel="1" thickBot="1" x14ac:dyDescent="0.2">
      <c r="B3697" s="126"/>
      <c r="C3697" s="115"/>
      <c r="D3697" s="115"/>
      <c r="E3697" s="115"/>
      <c r="F3697" s="115"/>
      <c r="G3697" s="116"/>
    </row>
    <row r="3698" spans="1:9" s="7" customFormat="1" hidden="1" outlineLevel="1" x14ac:dyDescent="0.15">
      <c r="B3698" s="333" t="s">
        <v>15</v>
      </c>
      <c r="C3698" s="334"/>
      <c r="D3698" s="334"/>
      <c r="E3698" s="334"/>
      <c r="F3698" s="334"/>
      <c r="G3698" s="335"/>
      <c r="H3698" s="116"/>
      <c r="I3698" s="116"/>
    </row>
    <row r="3699" spans="1:9" s="7" customFormat="1" hidden="1" outlineLevel="1" x14ac:dyDescent="0.15">
      <c r="A3699" s="7" t="s">
        <v>298</v>
      </c>
      <c r="B3699" s="126">
        <v>1</v>
      </c>
      <c r="C3699" s="115" t="s">
        <v>21</v>
      </c>
      <c r="D3699" s="115" t="s">
        <v>111</v>
      </c>
      <c r="E3699" s="115"/>
      <c r="F3699" s="115"/>
      <c r="G3699" s="116"/>
      <c r="H3699" s="116"/>
      <c r="I3699" s="116"/>
    </row>
    <row r="3700" spans="1:9" s="7" customFormat="1" ht="18" hidden="1" outlineLevel="1" thickBot="1" x14ac:dyDescent="0.2">
      <c r="B3700" s="126">
        <v>2</v>
      </c>
      <c r="C3700" s="115" t="s">
        <v>109</v>
      </c>
      <c r="D3700" s="115" t="s">
        <v>21</v>
      </c>
      <c r="E3700" s="115" t="s">
        <v>111</v>
      </c>
      <c r="F3700" s="115"/>
      <c r="G3700" s="116"/>
      <c r="H3700" s="123"/>
      <c r="I3700" s="123"/>
    </row>
    <row r="3701" spans="1:9" s="7" customFormat="1" ht="18" hidden="1" outlineLevel="1" thickBot="1" x14ac:dyDescent="0.2">
      <c r="B3701" s="128"/>
      <c r="C3701" s="121"/>
      <c r="D3701" s="121"/>
      <c r="E3701" s="121"/>
      <c r="F3701" s="121"/>
      <c r="G3701" s="123"/>
    </row>
    <row r="3702" spans="1:9" s="7" customFormat="1" ht="18" hidden="1" outlineLevel="1" thickBot="1" x14ac:dyDescent="0.2"/>
    <row r="3703" spans="1:9" s="7" customFormat="1" ht="18" hidden="1" outlineLevel="1" thickBot="1" x14ac:dyDescent="0.2">
      <c r="H3703" s="6" t="str">
        <f>"create or replace view "&amp;C3704</f>
        <v>create or replace view vi_user_exch_group_info</v>
      </c>
      <c r="I3703" s="6"/>
    </row>
    <row r="3704" spans="1:9" s="7" customFormat="1" ht="18" collapsed="1" thickBot="1" x14ac:dyDescent="0.2">
      <c r="B3704" s="3" t="s">
        <v>563</v>
      </c>
      <c r="C3704" s="4" t="s">
        <v>632</v>
      </c>
      <c r="D3704" s="5" t="s">
        <v>515</v>
      </c>
      <c r="E3704" s="21" t="s">
        <v>591</v>
      </c>
      <c r="F3704" s="5" t="s">
        <v>567</v>
      </c>
      <c r="G3704" s="6" t="s">
        <v>679</v>
      </c>
      <c r="H3704" s="19" t="str">
        <f>"# "&amp;E3704</f>
        <v># 报表_资管报表_视图-公共-用户-交易组信息表</v>
      </c>
      <c r="I3704" s="19"/>
    </row>
    <row r="3705" spans="1:9" s="7" customFormat="1" ht="18" hidden="1" outlineLevel="1" thickBot="1" x14ac:dyDescent="0.2">
      <c r="B3705" s="34" t="s">
        <v>570</v>
      </c>
      <c r="C3705" s="18"/>
      <c r="D3705" s="35" t="s">
        <v>568</v>
      </c>
      <c r="E3705" s="18" t="s">
        <v>615</v>
      </c>
      <c r="F3705" s="35"/>
      <c r="G3705" s="19"/>
      <c r="H3705" s="36" t="s">
        <v>283</v>
      </c>
      <c r="I3705" s="36"/>
    </row>
    <row r="3706" spans="1:9" s="7" customFormat="1" hidden="1" outlineLevel="1" x14ac:dyDescent="0.15">
      <c r="B3706" s="3" t="s">
        <v>0</v>
      </c>
      <c r="C3706" s="5" t="s">
        <v>1</v>
      </c>
      <c r="D3706" s="5" t="s">
        <v>2</v>
      </c>
      <c r="E3706" s="5"/>
      <c r="F3706" s="5" t="s">
        <v>3</v>
      </c>
      <c r="G3706" s="36" t="s">
        <v>4</v>
      </c>
      <c r="H3706" s="22" t="str">
        <f t="shared" ref="H3706:H3719" si="36">""&amp;C3707&amp;",/*"&amp;B3707&amp;"*/"</f>
        <v>exch_group_no,/*交易组编号*/</v>
      </c>
      <c r="I3706" s="22"/>
    </row>
    <row r="3707" spans="1:9" s="7" customFormat="1" hidden="1" outlineLevel="1" x14ac:dyDescent="0.15">
      <c r="B3707" s="20" t="s">
        <v>123</v>
      </c>
      <c r="C3707" s="21" t="s">
        <v>1133</v>
      </c>
      <c r="D3707" s="21" t="s">
        <v>211</v>
      </c>
      <c r="E3707" s="21">
        <v>0</v>
      </c>
      <c r="F3707" s="21"/>
      <c r="G3707" s="22" t="s">
        <v>1182</v>
      </c>
      <c r="H3707" s="22" t="str">
        <f t="shared" si="36"/>
        <v>co_no,/*机构编号*/</v>
      </c>
      <c r="I3707" s="22"/>
    </row>
    <row r="3708" spans="1:9" s="7" customFormat="1" hidden="1" outlineLevel="1" x14ac:dyDescent="0.15">
      <c r="B3708" s="20" t="s">
        <v>6</v>
      </c>
      <c r="C3708" s="21" t="s">
        <v>1163</v>
      </c>
      <c r="D3708" s="21" t="s">
        <v>211</v>
      </c>
      <c r="E3708" s="21">
        <v>0</v>
      </c>
      <c r="F3708" s="21"/>
      <c r="G3708" s="22" t="s">
        <v>1077</v>
      </c>
      <c r="H3708" s="22" t="str">
        <f t="shared" si="36"/>
        <v>exch_group_code,/*交易组编码*/</v>
      </c>
      <c r="I3708" s="22"/>
    </row>
    <row r="3709" spans="1:9" s="7" customFormat="1" hidden="1" outlineLevel="1" x14ac:dyDescent="0.15">
      <c r="B3709" s="33" t="s">
        <v>164</v>
      </c>
      <c r="C3709" s="21" t="s">
        <v>1423</v>
      </c>
      <c r="D3709" s="21" t="s">
        <v>1287</v>
      </c>
      <c r="E3709" s="21" t="s">
        <v>1072</v>
      </c>
      <c r="F3709" s="21"/>
      <c r="G3709" s="22" t="s">
        <v>1424</v>
      </c>
      <c r="H3709" s="22" t="str">
        <f t="shared" si="36"/>
        <v>exch_group_name,/*交易组名称*/</v>
      </c>
      <c r="I3709" s="22"/>
    </row>
    <row r="3710" spans="1:9" s="7" customFormat="1" hidden="1" outlineLevel="1" x14ac:dyDescent="0.15">
      <c r="B3710" s="33" t="s">
        <v>165</v>
      </c>
      <c r="C3710" s="21" t="s">
        <v>1425</v>
      </c>
      <c r="D3710" s="21" t="s">
        <v>1073</v>
      </c>
      <c r="E3710" s="21" t="s">
        <v>1072</v>
      </c>
      <c r="F3710" s="21"/>
      <c r="G3710" s="22"/>
      <c r="H3710" s="22" t="str">
        <f t="shared" si="36"/>
        <v>exch_group_status,/*交易组状态*/</v>
      </c>
      <c r="I3710" s="22"/>
    </row>
    <row r="3711" spans="1:9" s="7" customFormat="1" hidden="1" outlineLevel="1" x14ac:dyDescent="0.15">
      <c r="B3711" s="33" t="s">
        <v>166</v>
      </c>
      <c r="C3711" s="21" t="s">
        <v>1426</v>
      </c>
      <c r="D3711" s="21" t="s">
        <v>1403</v>
      </c>
      <c r="E3711" s="21" t="s">
        <v>1303</v>
      </c>
      <c r="F3711" s="21"/>
      <c r="G3711" s="22"/>
      <c r="H3711" s="22" t="str">
        <f t="shared" si="36"/>
        <v>default_group_flag,/*默认组标志*/</v>
      </c>
      <c r="I3711" s="22"/>
    </row>
    <row r="3712" spans="1:9" s="7" customFormat="1" hidden="1" outlineLevel="1" x14ac:dyDescent="0.15">
      <c r="B3712" s="33" t="s">
        <v>167</v>
      </c>
      <c r="C3712" s="21" t="s">
        <v>1427</v>
      </c>
      <c r="D3712" s="21" t="s">
        <v>211</v>
      </c>
      <c r="E3712" s="21">
        <v>0</v>
      </c>
      <c r="F3712" s="21"/>
      <c r="G3712" s="22"/>
      <c r="H3712" s="22" t="str">
        <f t="shared" si="36"/>
        <v>pd_no,/*产品编号*/</v>
      </c>
      <c r="I3712" s="22"/>
    </row>
    <row r="3713" spans="1:9" s="7" customFormat="1" hidden="1" outlineLevel="1" x14ac:dyDescent="0.15">
      <c r="B3713" s="33" t="s">
        <v>111</v>
      </c>
      <c r="C3713" s="21" t="s">
        <v>1164</v>
      </c>
      <c r="D3713" s="21" t="s">
        <v>211</v>
      </c>
      <c r="E3713" s="21">
        <v>0</v>
      </c>
      <c r="F3713" s="21"/>
      <c r="G3713" s="22" t="s">
        <v>1165</v>
      </c>
      <c r="H3713" s="22" t="str">
        <f t="shared" si="36"/>
        <v>exch_group_dist_pd_amt,/*分配产品资金*/</v>
      </c>
      <c r="I3713" s="22"/>
    </row>
    <row r="3714" spans="1:9" s="7" customFormat="1" hidden="1" outlineLevel="1" x14ac:dyDescent="0.15">
      <c r="B3714" s="33" t="s">
        <v>168</v>
      </c>
      <c r="C3714" s="21" t="s">
        <v>1428</v>
      </c>
      <c r="D3714" s="21" t="s">
        <v>1169</v>
      </c>
      <c r="E3714" s="21">
        <v>0</v>
      </c>
      <c r="F3714" s="21"/>
      <c r="G3714" s="22"/>
      <c r="H3714" s="22" t="str">
        <f t="shared" si="36"/>
        <v>exch_group_pd_share,/*交易组产品份额*/</v>
      </c>
      <c r="I3714" s="22"/>
    </row>
    <row r="3715" spans="1:9" s="7" customFormat="1" hidden="1" outlineLevel="1" x14ac:dyDescent="0.15">
      <c r="B3715" s="33" t="s">
        <v>169</v>
      </c>
      <c r="C3715" s="21" t="s">
        <v>1435</v>
      </c>
      <c r="D3715" s="21" t="s">
        <v>1087</v>
      </c>
      <c r="E3715" s="21">
        <v>0</v>
      </c>
      <c r="F3715" s="21"/>
      <c r="G3715" s="22"/>
      <c r="H3715" s="22" t="str">
        <f t="shared" si="36"/>
        <v>allow_exch,/*允许投资市场*/</v>
      </c>
      <c r="I3715" s="22"/>
    </row>
    <row r="3716" spans="1:9" s="7" customFormat="1" hidden="1" outlineLevel="1" x14ac:dyDescent="0.15">
      <c r="B3716" s="31" t="s">
        <v>170</v>
      </c>
      <c r="C3716" s="21" t="s">
        <v>1430</v>
      </c>
      <c r="D3716" s="21" t="s">
        <v>1073</v>
      </c>
      <c r="E3716" s="21" t="s">
        <v>1072</v>
      </c>
      <c r="F3716" s="21"/>
      <c r="G3716" s="22"/>
      <c r="H3716" s="22" t="str">
        <f t="shared" si="36"/>
        <v>allow_stock_type,/*允许操作证券类型*/</v>
      </c>
      <c r="I3716" s="22"/>
    </row>
    <row r="3717" spans="1:9" s="7" customFormat="1" hidden="1" outlineLevel="1" x14ac:dyDescent="0.15">
      <c r="B3717" s="31" t="s">
        <v>71</v>
      </c>
      <c r="C3717" s="21" t="s">
        <v>1431</v>
      </c>
      <c r="D3717" s="21" t="s">
        <v>1432</v>
      </c>
      <c r="E3717" s="21" t="s">
        <v>1072</v>
      </c>
      <c r="F3717" s="21"/>
      <c r="G3717" s="22"/>
      <c r="H3717" s="22" t="str">
        <f t="shared" si="36"/>
        <v>busi_config_str,/*业务控制配置串*/</v>
      </c>
      <c r="I3717" s="22"/>
    </row>
    <row r="3718" spans="1:9" s="7" customFormat="1" hidden="1" outlineLevel="1" x14ac:dyDescent="0.15">
      <c r="B3718" s="20" t="s">
        <v>171</v>
      </c>
      <c r="C3718" s="29" t="s">
        <v>1433</v>
      </c>
      <c r="D3718" s="21" t="s">
        <v>1073</v>
      </c>
      <c r="E3718" s="21" t="s">
        <v>1072</v>
      </c>
      <c r="F3718" s="21"/>
      <c r="G3718" s="22" t="s">
        <v>1434</v>
      </c>
      <c r="H3718" s="22" t="str">
        <f t="shared" si="36"/>
        <v>market_price_ratio,/*市价冻结浮动比例*/</v>
      </c>
      <c r="I3718" s="22"/>
    </row>
    <row r="3719" spans="1:9" s="7" customFormat="1" hidden="1" outlineLevel="1" x14ac:dyDescent="0.15">
      <c r="B3719" s="20" t="s">
        <v>172</v>
      </c>
      <c r="C3719" s="21" t="s">
        <v>1121</v>
      </c>
      <c r="D3719" s="21" t="s">
        <v>1172</v>
      </c>
      <c r="E3719" s="21">
        <v>0</v>
      </c>
      <c r="F3719" s="21"/>
      <c r="G3719" s="22"/>
      <c r="H3719" s="22" t="str">
        <f t="shared" si="36"/>
        <v>remark_info,/*备注信息*/</v>
      </c>
      <c r="I3719" s="22"/>
    </row>
    <row r="3720" spans="1:9" s="7" customFormat="1" ht="18" hidden="1" outlineLevel="1" thickBot="1" x14ac:dyDescent="0.2">
      <c r="B3720" s="33" t="s">
        <v>67</v>
      </c>
      <c r="C3720" s="21" t="s">
        <v>1406</v>
      </c>
      <c r="D3720" s="21" t="s">
        <v>1092</v>
      </c>
      <c r="E3720" s="21" t="s">
        <v>1072</v>
      </c>
      <c r="F3720" s="21"/>
      <c r="G3720" s="22" t="s">
        <v>1304</v>
      </c>
      <c r="H3720" s="11"/>
      <c r="I3720" s="11"/>
    </row>
    <row r="3721" spans="1:9" s="7" customFormat="1" ht="18" hidden="1" outlineLevel="1" thickBot="1" x14ac:dyDescent="0.2">
      <c r="B3721" s="24"/>
      <c r="C3721" s="9"/>
      <c r="D3721" s="9"/>
      <c r="E3721" s="9"/>
      <c r="F3721" s="9"/>
      <c r="G3721" s="11"/>
    </row>
    <row r="3722" spans="1:9" s="7" customFormat="1" hidden="1" outlineLevel="1" x14ac:dyDescent="0.15">
      <c r="B3722" s="327" t="s">
        <v>15</v>
      </c>
      <c r="C3722" s="328"/>
      <c r="D3722" s="328"/>
      <c r="E3722" s="328"/>
      <c r="F3722" s="328"/>
      <c r="G3722" s="329"/>
      <c r="H3722" s="22"/>
      <c r="I3722" s="22"/>
    </row>
    <row r="3723" spans="1:9" s="7" customFormat="1" hidden="1" outlineLevel="1" x14ac:dyDescent="0.15">
      <c r="A3723" s="7" t="s">
        <v>62</v>
      </c>
      <c r="B3723" s="20">
        <v>1</v>
      </c>
      <c r="C3723" s="21" t="s">
        <v>109</v>
      </c>
      <c r="D3723" s="21" t="s">
        <v>164</v>
      </c>
      <c r="E3723" s="21"/>
      <c r="F3723" s="21"/>
      <c r="G3723" s="22"/>
      <c r="H3723" s="22"/>
      <c r="I3723" s="22"/>
    </row>
    <row r="3724" spans="1:9" s="7" customFormat="1" hidden="1" outlineLevel="1" x14ac:dyDescent="0.15">
      <c r="B3724" s="20">
        <v>2</v>
      </c>
      <c r="C3724" s="21" t="s">
        <v>123</v>
      </c>
      <c r="D3724" s="21"/>
      <c r="E3724" s="21"/>
      <c r="F3724" s="21"/>
      <c r="G3724" s="22"/>
      <c r="H3724" s="22"/>
      <c r="I3724" s="22"/>
    </row>
    <row r="3725" spans="1:9" s="7" customFormat="1" ht="18" hidden="1" outlineLevel="1" thickBot="1" x14ac:dyDescent="0.2">
      <c r="B3725" s="20">
        <v>3</v>
      </c>
      <c r="C3725" s="21" t="s">
        <v>111</v>
      </c>
      <c r="D3725" s="21"/>
      <c r="E3725" s="21"/>
      <c r="F3725" s="21"/>
      <c r="G3725" s="22"/>
      <c r="H3725" s="11"/>
      <c r="I3725" s="11"/>
    </row>
    <row r="3726" spans="1:9" s="7" customFormat="1" ht="18" hidden="1" outlineLevel="1" thickBot="1" x14ac:dyDescent="0.2">
      <c r="B3726" s="24"/>
      <c r="C3726" s="9"/>
      <c r="D3726" s="9"/>
      <c r="E3726" s="9"/>
      <c r="F3726" s="9"/>
      <c r="G3726" s="11"/>
    </row>
    <row r="3727" spans="1:9" s="7" customFormat="1" ht="18" hidden="1" outlineLevel="1" thickBot="1" x14ac:dyDescent="0.2"/>
    <row r="3728" spans="1:9" s="7" customFormat="1" ht="18" hidden="1" outlineLevel="1" thickBot="1" x14ac:dyDescent="0.2">
      <c r="H3728" s="119" t="str">
        <f>"create or replace view "&amp;C3729</f>
        <v>create or replace view vi_user_exch_group_info</v>
      </c>
      <c r="I3728" s="119"/>
    </row>
    <row r="3729" spans="1:9" s="7" customFormat="1" ht="18" collapsed="1" thickBot="1" x14ac:dyDescent="0.2">
      <c r="B3729" s="117" t="s">
        <v>563</v>
      </c>
      <c r="C3729" s="21" t="s">
        <v>632</v>
      </c>
      <c r="D3729" s="118" t="s">
        <v>515</v>
      </c>
      <c r="E3729" s="21" t="s">
        <v>591</v>
      </c>
      <c r="F3729" s="118" t="s">
        <v>567</v>
      </c>
      <c r="G3729" s="119" t="s">
        <v>679</v>
      </c>
      <c r="H3729" s="123" t="str">
        <f>"# "&amp;E3729</f>
        <v># 报表_资管报表_视图-公共-用户-交易组信息表</v>
      </c>
      <c r="I3729" s="123"/>
    </row>
    <row r="3730" spans="1:9" s="7" customFormat="1" ht="18" hidden="1" outlineLevel="1" thickBot="1" x14ac:dyDescent="0.2">
      <c r="B3730" s="120" t="s">
        <v>570</v>
      </c>
      <c r="C3730" s="121"/>
      <c r="D3730" s="122" t="s">
        <v>568</v>
      </c>
      <c r="E3730" s="121" t="s">
        <v>615</v>
      </c>
      <c r="F3730" s="122"/>
      <c r="G3730" s="123"/>
      <c r="H3730" s="125" t="s">
        <v>283</v>
      </c>
      <c r="I3730" s="125"/>
    </row>
    <row r="3731" spans="1:9" s="7" customFormat="1" hidden="1" outlineLevel="1" x14ac:dyDescent="0.15">
      <c r="B3731" s="124" t="s">
        <v>0</v>
      </c>
      <c r="C3731" s="125" t="s">
        <v>1</v>
      </c>
      <c r="D3731" s="125" t="s">
        <v>2</v>
      </c>
      <c r="E3731" s="125"/>
      <c r="F3731" s="125" t="s">
        <v>3</v>
      </c>
      <c r="G3731" s="125" t="s">
        <v>4</v>
      </c>
      <c r="H3731" s="116" t="str">
        <f>""&amp;C3732&amp;",/*"&amp;B3732&amp;"*/"</f>
        <v>opor_no,/*操作员编号*/</v>
      </c>
      <c r="I3731" s="116"/>
    </row>
    <row r="3732" spans="1:9" s="7" customFormat="1" hidden="1" outlineLevel="1" x14ac:dyDescent="0.15">
      <c r="B3732" s="126" t="s">
        <v>135</v>
      </c>
      <c r="C3732" s="29" t="s">
        <v>1357</v>
      </c>
      <c r="D3732" s="115" t="s">
        <v>211</v>
      </c>
      <c r="E3732" s="115">
        <v>0</v>
      </c>
      <c r="F3732" s="115" t="s">
        <v>28</v>
      </c>
      <c r="G3732" s="116" t="s">
        <v>1358</v>
      </c>
      <c r="H3732" s="116" t="str">
        <f>""&amp;C3733&amp;",/*"&amp;B3733&amp;"*/"</f>
        <v>co_no,/*机构编号*/</v>
      </c>
      <c r="I3732" s="116"/>
    </row>
    <row r="3733" spans="1:9" s="7" customFormat="1" hidden="1" outlineLevel="1" x14ac:dyDescent="0.15">
      <c r="B3733" s="126" t="s">
        <v>109</v>
      </c>
      <c r="C3733" s="29" t="s">
        <v>1163</v>
      </c>
      <c r="D3733" s="115" t="s">
        <v>211</v>
      </c>
      <c r="E3733" s="115">
        <v>0</v>
      </c>
      <c r="F3733" s="115"/>
      <c r="G3733" s="116" t="s">
        <v>1077</v>
      </c>
      <c r="H3733" s="116" t="str">
        <f>""&amp;C3734&amp;",/*"&amp;B3734&amp;"*/"</f>
        <v>pd_no,/*产品编号*/</v>
      </c>
      <c r="I3733" s="116"/>
    </row>
    <row r="3734" spans="1:9" s="7" customFormat="1" hidden="1" outlineLevel="1" x14ac:dyDescent="0.15">
      <c r="B3734" s="126" t="s">
        <v>111</v>
      </c>
      <c r="C3734" s="29" t="s">
        <v>1164</v>
      </c>
      <c r="D3734" s="115" t="s">
        <v>211</v>
      </c>
      <c r="E3734" s="115">
        <v>0</v>
      </c>
      <c r="F3734" s="115"/>
      <c r="G3734" s="116" t="s">
        <v>1165</v>
      </c>
      <c r="H3734" s="116" t="str">
        <f>""&amp;C3735&amp;",/*"&amp;B3735&amp;"*/"</f>
        <v>exch_group_no,/*交易组编号*/</v>
      </c>
      <c r="I3734" s="116"/>
    </row>
    <row r="3735" spans="1:9" s="7" customFormat="1" hidden="1" outlineLevel="1" x14ac:dyDescent="0.15">
      <c r="B3735" s="126" t="s">
        <v>123</v>
      </c>
      <c r="C3735" s="29" t="s">
        <v>1133</v>
      </c>
      <c r="D3735" s="115" t="s">
        <v>211</v>
      </c>
      <c r="E3735" s="115">
        <v>0</v>
      </c>
      <c r="F3735" s="115"/>
      <c r="G3735" s="116" t="s">
        <v>1182</v>
      </c>
      <c r="H3735" s="116" t="str">
        <f>""&amp;C3736&amp;",/*"&amp;B3736&amp;"*/"</f>
        <v>oper_rights,/*操作权限*/</v>
      </c>
      <c r="I3735" s="116"/>
    </row>
    <row r="3736" spans="1:9" s="7" customFormat="1" hidden="1" outlineLevel="1" x14ac:dyDescent="0.15">
      <c r="B3736" s="126" t="s">
        <v>290</v>
      </c>
      <c r="C3736" s="127" t="s">
        <v>1437</v>
      </c>
      <c r="D3736" s="115" t="s">
        <v>211</v>
      </c>
      <c r="E3736" s="115">
        <v>0</v>
      </c>
      <c r="F3736" s="115"/>
      <c r="G3736" s="116"/>
      <c r="H3736" s="116"/>
      <c r="I3736" s="116"/>
    </row>
    <row r="3737" spans="1:9" s="7" customFormat="1" ht="18" hidden="1" outlineLevel="1" thickBot="1" x14ac:dyDescent="0.2">
      <c r="B3737" s="126"/>
      <c r="C3737" s="115"/>
      <c r="D3737" s="115"/>
      <c r="E3737" s="115"/>
      <c r="F3737" s="115"/>
      <c r="G3737" s="116"/>
    </row>
    <row r="3738" spans="1:9" s="7" customFormat="1" hidden="1" outlineLevel="1" x14ac:dyDescent="0.15">
      <c r="B3738" s="333" t="s">
        <v>15</v>
      </c>
      <c r="C3738" s="334"/>
      <c r="D3738" s="334"/>
      <c r="E3738" s="334"/>
      <c r="F3738" s="334"/>
      <c r="G3738" s="335"/>
      <c r="H3738" s="116"/>
      <c r="I3738" s="116"/>
    </row>
    <row r="3739" spans="1:9" s="7" customFormat="1" hidden="1" outlineLevel="1" x14ac:dyDescent="0.15">
      <c r="A3739" s="7" t="s">
        <v>298</v>
      </c>
      <c r="B3739" s="126">
        <v>1</v>
      </c>
      <c r="C3739" s="115" t="s">
        <v>135</v>
      </c>
      <c r="D3739" s="115" t="s">
        <v>123</v>
      </c>
      <c r="E3739" s="115"/>
      <c r="F3739" s="115"/>
      <c r="G3739" s="116"/>
      <c r="H3739" s="116"/>
      <c r="I3739" s="116"/>
    </row>
    <row r="3740" spans="1:9" s="7" customFormat="1" ht="18" hidden="1" outlineLevel="1" thickBot="1" x14ac:dyDescent="0.2">
      <c r="B3740" s="126">
        <v>2</v>
      </c>
      <c r="C3740" s="115" t="s">
        <v>6</v>
      </c>
      <c r="D3740" s="115" t="s">
        <v>21</v>
      </c>
      <c r="E3740" s="115" t="s">
        <v>111</v>
      </c>
      <c r="F3740" s="115" t="s">
        <v>123</v>
      </c>
      <c r="G3740" s="116"/>
      <c r="H3740" s="123"/>
      <c r="I3740" s="123"/>
    </row>
    <row r="3741" spans="1:9" s="7" customFormat="1" ht="18" hidden="1" outlineLevel="1" thickBot="1" x14ac:dyDescent="0.2">
      <c r="B3741" s="128"/>
      <c r="C3741" s="121"/>
      <c r="D3741" s="121"/>
      <c r="E3741" s="121"/>
      <c r="F3741" s="121"/>
      <c r="G3741" s="123"/>
    </row>
    <row r="3742" spans="1:9" ht="18" hidden="1" outlineLevel="1" thickBot="1" x14ac:dyDescent="0.2">
      <c r="A3742" s="7"/>
      <c r="B3742" s="7"/>
      <c r="C3742" s="7"/>
      <c r="D3742" s="7"/>
      <c r="E3742" s="7"/>
      <c r="F3742" s="7"/>
      <c r="G3742" s="7"/>
    </row>
    <row r="3743" spans="1:9" s="7" customFormat="1" ht="18" hidden="1" outlineLevel="1" thickBot="1" x14ac:dyDescent="0.2">
      <c r="A3743" s="1"/>
      <c r="B3743" s="1"/>
      <c r="C3743" s="1"/>
      <c r="D3743" s="1"/>
      <c r="E3743" s="1"/>
      <c r="F3743" s="1"/>
      <c r="G3743" s="1"/>
      <c r="H3743" s="119" t="str">
        <f>"create or replace view "&amp;C3744</f>
        <v>create or replace view vi_sum_exgp_posi_divi_total</v>
      </c>
      <c r="I3743" s="6"/>
    </row>
    <row r="3744" spans="1:9" s="7" customFormat="1" ht="18" collapsed="1" thickBot="1" x14ac:dyDescent="0.2">
      <c r="A3744" s="2"/>
      <c r="B3744" s="3" t="s">
        <v>563</v>
      </c>
      <c r="C3744" s="4" t="s">
        <v>701</v>
      </c>
      <c r="D3744" s="5" t="s">
        <v>515</v>
      </c>
      <c r="E3744" s="21" t="s">
        <v>738</v>
      </c>
      <c r="F3744" s="5" t="s">
        <v>567</v>
      </c>
      <c r="G3744" s="6" t="s">
        <v>702</v>
      </c>
      <c r="H3744" s="123" t="str">
        <f>"# "&amp;E3744</f>
        <v># 报表_资管报表_视图-汇总-交易组-红利红股</v>
      </c>
      <c r="I3744" s="11"/>
    </row>
    <row r="3745" spans="1:14" s="7" customFormat="1" ht="18" hidden="1" outlineLevel="1" thickBot="1" x14ac:dyDescent="0.2">
      <c r="A3745" s="2"/>
      <c r="B3745" s="8" t="s">
        <v>570</v>
      </c>
      <c r="C3745" s="9"/>
      <c r="D3745" s="10" t="s">
        <v>568</v>
      </c>
      <c r="E3745" s="9" t="s">
        <v>615</v>
      </c>
      <c r="F3745" s="10"/>
      <c r="G3745" s="11" t="s">
        <v>464</v>
      </c>
      <c r="H3745" s="125" t="s">
        <v>283</v>
      </c>
      <c r="I3745" s="13"/>
    </row>
    <row r="3746" spans="1:14" s="7" customFormat="1" hidden="1" outlineLevel="1" x14ac:dyDescent="0.15">
      <c r="A3746" s="2"/>
      <c r="B3746" s="12" t="s">
        <v>0</v>
      </c>
      <c r="C3746" s="13" t="s">
        <v>1</v>
      </c>
      <c r="D3746" s="13" t="s">
        <v>2</v>
      </c>
      <c r="E3746" s="13"/>
      <c r="F3746" s="13" t="s">
        <v>3</v>
      </c>
      <c r="G3746" s="13" t="s">
        <v>4</v>
      </c>
      <c r="H3746" s="107" t="str">
        <f>"ifnull("&amp;IF(I3746&lt;&gt;"",I3746,IF(F3747&lt;&gt;"",F3747,"t")&amp;"."&amp;C3747)&amp;","&amp;E3747&amp;") as "&amp;C3747&amp;",/*"&amp;B3747&amp;"*/"</f>
        <v>ifnull(t.init_date,date_format(curdate(),'%Y%m%d')) as init_date,/*初始化日期*/</v>
      </c>
      <c r="I3746" s="169"/>
    </row>
    <row r="3747" spans="1:14" s="7" customFormat="1" hidden="1" outlineLevel="1" x14ac:dyDescent="0.15">
      <c r="A3747" s="2"/>
      <c r="B3747" s="167" t="s">
        <v>22</v>
      </c>
      <c r="C3747" s="168" t="s">
        <v>1127</v>
      </c>
      <c r="D3747" s="168" t="s">
        <v>211</v>
      </c>
      <c r="E3747" s="168" t="s">
        <v>1141</v>
      </c>
      <c r="F3747" s="168"/>
      <c r="G3747" s="169" t="s">
        <v>1162</v>
      </c>
      <c r="H3747" s="107" t="str">
        <f>"ifnull("&amp;IF(I3747&lt;&gt;"",I3747,IF(F3748&lt;&gt;"",F3748,"t")&amp;"."&amp;C3748)&amp;","&amp;E3748&amp;") as "&amp;C3748&amp;",/*"&amp;B3748&amp;"*/"</f>
        <v>ifnull(t.pd_no,0) as pd_no,/*产品编号*/</v>
      </c>
      <c r="I3747" s="169"/>
    </row>
    <row r="3748" spans="1:14" s="7" customFormat="1" hidden="1" outlineLevel="1" x14ac:dyDescent="0.15">
      <c r="A3748" s="2"/>
      <c r="B3748" s="167" t="s">
        <v>111</v>
      </c>
      <c r="C3748" s="168" t="s">
        <v>1164</v>
      </c>
      <c r="D3748" s="168" t="s">
        <v>211</v>
      </c>
      <c r="E3748" s="168">
        <v>0</v>
      </c>
      <c r="F3748" s="168"/>
      <c r="G3748" s="169" t="s">
        <v>1165</v>
      </c>
      <c r="H3748" s="107" t="str">
        <f>"ifnull("&amp;IF(I3748&lt;&gt;"",I3748,IF(F3749&lt;&gt;"",F3749,"t")&amp;"."&amp;C3749)&amp;","&amp;E3749&amp;") as "&amp;C3749&amp;",/*"&amp;B3749&amp;"*/"</f>
        <v>ifnull(t.co_no,0) as co_no,/*机构编号*/</v>
      </c>
      <c r="I3748" s="16"/>
    </row>
    <row r="3749" spans="1:14" s="7" customFormat="1" hidden="1" outlineLevel="1" x14ac:dyDescent="0.15">
      <c r="A3749" s="2"/>
      <c r="B3749" s="14" t="s">
        <v>109</v>
      </c>
      <c r="C3749" s="15" t="s">
        <v>1163</v>
      </c>
      <c r="D3749" s="15" t="s">
        <v>211</v>
      </c>
      <c r="E3749" s="15">
        <v>0</v>
      </c>
      <c r="F3749" s="15"/>
      <c r="G3749" s="16" t="s">
        <v>1077</v>
      </c>
      <c r="H3749" s="107" t="str">
        <f>"ifnull("&amp;IF(I3749&lt;&gt;"",I3749,IF(F3750&lt;&gt;"",F3750,"t")&amp;"."&amp;C3750)&amp;","&amp;E3750&amp;") as "&amp;C3750&amp;",/*"&amp;B3750&amp;"*/"</f>
        <v>ifnull(t.exch_group_no,0) as exch_group_no,/*交易组编号*/</v>
      </c>
      <c r="I3749" s="16"/>
    </row>
    <row r="3750" spans="1:14" s="7" customFormat="1" hidden="1" outlineLevel="1" x14ac:dyDescent="0.15">
      <c r="A3750" s="2"/>
      <c r="B3750" s="14" t="s">
        <v>458</v>
      </c>
      <c r="C3750" s="15" t="s">
        <v>1085</v>
      </c>
      <c r="D3750" s="15" t="s">
        <v>423</v>
      </c>
      <c r="E3750" s="15">
        <v>0</v>
      </c>
      <c r="F3750" s="15"/>
      <c r="G3750" s="16" t="s">
        <v>1509</v>
      </c>
      <c r="H3750" s="107" t="str">
        <f>"ifnull("&amp;IF(I3750&lt;&gt;"",I3750,IF(F3751&lt;&gt;"",F3751,"t")&amp;"."&amp;C3751)&amp;","&amp;E3751&amp;") as "&amp;C3751&amp;",/*"&amp;B3751&amp;"*/"</f>
        <v>ifnull(sum(ifnull(-1*t.occur_amt,0)),0) as total_divi_amt,/*累计分红金额*/</v>
      </c>
      <c r="I3750" s="225" t="s">
        <v>465</v>
      </c>
    </row>
    <row r="3751" spans="1:14" s="7" customFormat="1" hidden="1" outlineLevel="1" x14ac:dyDescent="0.15">
      <c r="A3751" s="2"/>
      <c r="B3751" s="225" t="s">
        <v>459</v>
      </c>
      <c r="C3751" s="225" t="s">
        <v>1614</v>
      </c>
      <c r="D3751" s="225" t="s">
        <v>1169</v>
      </c>
      <c r="E3751" s="225">
        <v>0</v>
      </c>
      <c r="F3751" s="225"/>
      <c r="G3751" s="225"/>
      <c r="H3751" s="19"/>
      <c r="I3751" s="19"/>
    </row>
    <row r="3752" spans="1:14" s="7" customFormat="1" ht="18" hidden="1" outlineLevel="1" thickBot="1" x14ac:dyDescent="0.2">
      <c r="A3752" s="2"/>
      <c r="B3752" s="17"/>
      <c r="C3752" s="18"/>
      <c r="D3752" s="18"/>
      <c r="E3752" s="18"/>
      <c r="F3752" s="18"/>
      <c r="G3752" s="19"/>
    </row>
    <row r="3753" spans="1:14" s="7" customFormat="1" hidden="1" outlineLevel="1" x14ac:dyDescent="0.15">
      <c r="A3753" s="2"/>
      <c r="B3753" s="327" t="s">
        <v>15</v>
      </c>
      <c r="C3753" s="328"/>
      <c r="D3753" s="328"/>
      <c r="E3753" s="328"/>
      <c r="F3753" s="328"/>
      <c r="G3753" s="329"/>
      <c r="H3753" s="22"/>
      <c r="I3753" s="22"/>
    </row>
    <row r="3754" spans="1:14" s="7" customFormat="1" hidden="1" outlineLevel="1" x14ac:dyDescent="0.15">
      <c r="A3754" s="2"/>
      <c r="B3754" s="20"/>
      <c r="C3754" s="21"/>
      <c r="D3754" s="14"/>
      <c r="E3754" s="21"/>
      <c r="F3754" s="21"/>
      <c r="G3754" s="22"/>
      <c r="H3754" s="19"/>
      <c r="I3754" s="19"/>
    </row>
    <row r="3755" spans="1:14" s="7" customFormat="1" ht="18" hidden="1" outlineLevel="1" thickBot="1" x14ac:dyDescent="0.2">
      <c r="A3755" s="2"/>
      <c r="B3755" s="17"/>
      <c r="C3755" s="18"/>
      <c r="D3755" s="18"/>
      <c r="E3755" s="18"/>
      <c r="F3755" s="18"/>
      <c r="G3755" s="19"/>
      <c r="H3755" s="11"/>
      <c r="I3755" s="11"/>
    </row>
    <row r="3756" spans="1:14" s="7" customFormat="1" ht="18" hidden="1" outlineLevel="1" thickBot="1" x14ac:dyDescent="0.2">
      <c r="A3756" s="2"/>
      <c r="B3756" s="24"/>
      <c r="C3756" s="9"/>
      <c r="D3756" s="9"/>
      <c r="E3756" s="9"/>
      <c r="F3756" s="9"/>
      <c r="G3756" s="11"/>
      <c r="H3756" s="6" t="str">
        <f>"create or replace view "&amp;C3757</f>
        <v>create or replace view vi_logic_rptasset_sum_stock_value_co</v>
      </c>
      <c r="I3756" s="6"/>
    </row>
    <row r="3757" spans="1:14" s="7" customFormat="1" ht="18" collapsed="1" thickBot="1" x14ac:dyDescent="0.2">
      <c r="A3757" s="2"/>
      <c r="B3757" s="3" t="s">
        <v>563</v>
      </c>
      <c r="C3757" s="4" t="s">
        <v>703</v>
      </c>
      <c r="D3757" s="5" t="s">
        <v>515</v>
      </c>
      <c r="E3757" s="21" t="s">
        <v>739</v>
      </c>
      <c r="F3757" s="5" t="s">
        <v>567</v>
      </c>
      <c r="G3757" s="6" t="s">
        <v>702</v>
      </c>
      <c r="H3757" s="11" t="str">
        <f>"/* "&amp;E3757&amp;"*/  as "</f>
        <v xml:space="preserve">/* 报表_资管报表_视图-证券持仓汇总查询*/  as </v>
      </c>
      <c r="I3757" s="11"/>
    </row>
    <row r="3758" spans="1:14" s="7" customFormat="1" ht="18" hidden="1" outlineLevel="1" thickBot="1" x14ac:dyDescent="0.2">
      <c r="A3758" s="2"/>
      <c r="B3758" s="8" t="s">
        <v>570</v>
      </c>
      <c r="C3758" s="9"/>
      <c r="D3758" s="10" t="s">
        <v>568</v>
      </c>
      <c r="E3758" s="9" t="s">
        <v>615</v>
      </c>
      <c r="F3758" s="10"/>
      <c r="G3758" s="11" t="s">
        <v>464</v>
      </c>
      <c r="H3758" s="13" t="s">
        <v>474</v>
      </c>
      <c r="I3758" s="13"/>
    </row>
    <row r="3759" spans="1:14" s="166" customFormat="1" ht="17.25" hidden="1" customHeight="1" outlineLevel="1" x14ac:dyDescent="0.15">
      <c r="A3759" s="2"/>
      <c r="B3759" s="12" t="s">
        <v>0</v>
      </c>
      <c r="C3759" s="13" t="s">
        <v>1</v>
      </c>
      <c r="D3759" s="13" t="s">
        <v>2</v>
      </c>
      <c r="E3759" s="13"/>
      <c r="F3759" s="13" t="s">
        <v>3</v>
      </c>
      <c r="G3759" s="13" t="s">
        <v>4</v>
      </c>
      <c r="H3759" s="107" t="str">
        <f t="shared" ref="H3759:H3789" si="37">"ifnull("&amp;IF(I3759&lt;&gt;"",I3759,IF(F3760&lt;&gt;"",F3760,"t")&amp;"."&amp;C3760)&amp;","&amp;E3760&amp;") as "&amp;C3760&amp;",/*"&amp;B3760&amp;"*/"</f>
        <v>ifnull(t.row_id,0) as row_id,/*记录序号*/</v>
      </c>
      <c r="J3759" s="166" t="s">
        <v>358</v>
      </c>
      <c r="K3759" s="166" t="s">
        <v>359</v>
      </c>
      <c r="L3759" s="166" t="s">
        <v>360</v>
      </c>
      <c r="M3759" s="166" t="s">
        <v>361</v>
      </c>
      <c r="N3759" s="166">
        <v>1629</v>
      </c>
    </row>
    <row r="3760" spans="1:14" s="166" customFormat="1" ht="17.25" hidden="1" customHeight="1" outlineLevel="1" x14ac:dyDescent="0.15">
      <c r="B3760" s="194" t="s">
        <v>478</v>
      </c>
      <c r="C3760" s="195" t="s">
        <v>1476</v>
      </c>
      <c r="D3760" s="195" t="s">
        <v>1345</v>
      </c>
      <c r="E3760" s="195">
        <v>0</v>
      </c>
      <c r="F3760" s="195"/>
      <c r="G3760" s="196"/>
      <c r="H3760" s="107" t="str">
        <f t="shared" si="37"/>
        <v>ifnull(t.co_no,0) as co_no,/*机构编号*/</v>
      </c>
      <c r="J3760" s="166" t="s">
        <v>237</v>
      </c>
      <c r="K3760" s="166" t="s">
        <v>238</v>
      </c>
      <c r="L3760" s="166" t="s">
        <v>211</v>
      </c>
      <c r="M3760" s="166" t="s">
        <v>211</v>
      </c>
      <c r="N3760" s="166">
        <v>1606</v>
      </c>
    </row>
    <row r="3761" spans="2:14" s="166" customFormat="1" ht="17.25" hidden="1" customHeight="1" outlineLevel="1" x14ac:dyDescent="0.15">
      <c r="B3761" s="194" t="s">
        <v>6</v>
      </c>
      <c r="C3761" s="195" t="s">
        <v>1163</v>
      </c>
      <c r="D3761" s="195" t="s">
        <v>211</v>
      </c>
      <c r="E3761" s="195">
        <v>0</v>
      </c>
      <c r="F3761" s="195"/>
      <c r="G3761" s="196" t="s">
        <v>1077</v>
      </c>
      <c r="H3761" s="107" t="str">
        <f t="shared" si="37"/>
        <v>ifnull(t.stock_code_no,0) as stock_code_no,/*证券代码编号*/</v>
      </c>
      <c r="J3761" s="166" t="s">
        <v>237</v>
      </c>
      <c r="K3761" s="166" t="s">
        <v>238</v>
      </c>
      <c r="L3761" s="166" t="s">
        <v>211</v>
      </c>
      <c r="M3761" s="166" t="s">
        <v>211</v>
      </c>
      <c r="N3761" s="166">
        <v>2430</v>
      </c>
    </row>
    <row r="3762" spans="2:14" s="166" customFormat="1" ht="17.25" hidden="1" customHeight="1" outlineLevel="1" x14ac:dyDescent="0.15">
      <c r="B3762" s="194" t="s">
        <v>427</v>
      </c>
      <c r="C3762" s="195" t="s">
        <v>1188</v>
      </c>
      <c r="D3762" s="195" t="s">
        <v>211</v>
      </c>
      <c r="E3762" s="195">
        <v>0</v>
      </c>
      <c r="F3762" s="195"/>
      <c r="G3762" s="196"/>
      <c r="H3762" s="107" t="str">
        <f t="shared" si="37"/>
        <v>ifnull(t.exch_no,0) as exch_no,/*市场编号*/</v>
      </c>
      <c r="J3762" s="166" t="s">
        <v>237</v>
      </c>
      <c r="K3762" s="166" t="s">
        <v>238</v>
      </c>
      <c r="L3762" s="166" t="s">
        <v>211</v>
      </c>
      <c r="M3762" s="166" t="s">
        <v>211</v>
      </c>
      <c r="N3762" s="166">
        <v>2155</v>
      </c>
    </row>
    <row r="3763" spans="2:14" s="166" customFormat="1" ht="17.25" hidden="1" customHeight="1" outlineLevel="1" x14ac:dyDescent="0.15">
      <c r="B3763" s="194" t="s">
        <v>7</v>
      </c>
      <c r="C3763" s="195" t="s">
        <v>1190</v>
      </c>
      <c r="D3763" s="195" t="s">
        <v>211</v>
      </c>
      <c r="E3763" s="195">
        <v>0</v>
      </c>
      <c r="F3763" s="195"/>
      <c r="G3763" s="196" t="s">
        <v>1081</v>
      </c>
      <c r="H3763" s="107" t="str">
        <f t="shared" si="37"/>
        <v>ifnull(t.stock_type,0) as stock_type,/*证券类型*/</v>
      </c>
      <c r="J3763" s="166" t="s">
        <v>237</v>
      </c>
      <c r="K3763" s="166" t="s">
        <v>238</v>
      </c>
      <c r="L3763" s="166" t="s">
        <v>211</v>
      </c>
      <c r="M3763" s="166" t="s">
        <v>211</v>
      </c>
      <c r="N3763" s="166">
        <v>2433</v>
      </c>
    </row>
    <row r="3764" spans="2:14" s="166" customFormat="1" ht="17.25" hidden="1" customHeight="1" outlineLevel="1" x14ac:dyDescent="0.15">
      <c r="B3764" s="194" t="s">
        <v>93</v>
      </c>
      <c r="C3764" s="195" t="s">
        <v>1189</v>
      </c>
      <c r="D3764" s="195" t="s">
        <v>211</v>
      </c>
      <c r="E3764" s="195">
        <v>0</v>
      </c>
      <c r="F3764" s="195"/>
      <c r="G3764" s="196"/>
      <c r="H3764" s="107" t="str">
        <f t="shared" si="37"/>
        <v>ifnull(t.posi_market_value,0) as posi_market_value,/*持仓市值*/</v>
      </c>
      <c r="J3764" s="166" t="s">
        <v>347</v>
      </c>
      <c r="K3764" s="166" t="s">
        <v>348</v>
      </c>
      <c r="L3764" s="166" t="s">
        <v>349</v>
      </c>
      <c r="M3764" s="166" t="s">
        <v>349</v>
      </c>
      <c r="N3764" s="166">
        <v>1202</v>
      </c>
    </row>
    <row r="3765" spans="2:14" s="166" customFormat="1" ht="17.25" hidden="1" customHeight="1" outlineLevel="1" x14ac:dyDescent="0.15">
      <c r="B3765" s="194" t="s">
        <v>162</v>
      </c>
      <c r="C3765" s="195" t="s">
        <v>1214</v>
      </c>
      <c r="D3765" s="195" t="s">
        <v>1169</v>
      </c>
      <c r="E3765" s="195">
        <v>0</v>
      </c>
      <c r="F3765" s="195"/>
      <c r="G3765" s="196"/>
      <c r="H3765" s="107" t="str">
        <f t="shared" si="37"/>
        <v>ifnull(t.begin_qty,0) as begin_qty,/*期初数量*/</v>
      </c>
      <c r="J3765" s="166" t="s">
        <v>347</v>
      </c>
      <c r="K3765" s="166" t="s">
        <v>348</v>
      </c>
      <c r="L3765" s="166" t="s">
        <v>349</v>
      </c>
      <c r="M3765" s="166" t="s">
        <v>349</v>
      </c>
      <c r="N3765" s="166">
        <v>1986</v>
      </c>
    </row>
    <row r="3766" spans="2:14" s="166" customFormat="1" ht="17.25" hidden="1" customHeight="1" outlineLevel="1" x14ac:dyDescent="0.15">
      <c r="B3766" s="194" t="s">
        <v>8</v>
      </c>
      <c r="C3766" s="195" t="s">
        <v>1193</v>
      </c>
      <c r="D3766" s="195" t="s">
        <v>1087</v>
      </c>
      <c r="E3766" s="195">
        <v>0</v>
      </c>
      <c r="F3766" s="195"/>
      <c r="G3766" s="196" t="s">
        <v>1194</v>
      </c>
      <c r="H3766" s="107" t="str">
        <f t="shared" si="37"/>
        <v>ifnull(t.curr_qty,0) as curr_qty,/*当前数量*/</v>
      </c>
      <c r="J3766" s="166" t="s">
        <v>347</v>
      </c>
      <c r="K3766" s="166" t="s">
        <v>348</v>
      </c>
      <c r="L3766" s="166" t="s">
        <v>349</v>
      </c>
      <c r="M3766" s="166" t="s">
        <v>349</v>
      </c>
      <c r="N3766" s="166">
        <v>1262</v>
      </c>
    </row>
    <row r="3767" spans="2:14" s="166" customFormat="1" ht="17.25" hidden="1" customHeight="1" outlineLevel="1" x14ac:dyDescent="0.15">
      <c r="B3767" s="194" t="s">
        <v>9</v>
      </c>
      <c r="C3767" s="195" t="s">
        <v>1195</v>
      </c>
      <c r="D3767" s="195" t="s">
        <v>1087</v>
      </c>
      <c r="E3767" s="195">
        <v>0</v>
      </c>
      <c r="F3767" s="195"/>
      <c r="G3767" s="196" t="s">
        <v>1196</v>
      </c>
      <c r="H3767" s="107" t="str">
        <f t="shared" si="37"/>
        <v>ifnull(t.frozen_qty,0) as frozen_qty,/*冻结数量*/</v>
      </c>
      <c r="J3767" s="166" t="s">
        <v>347</v>
      </c>
      <c r="K3767" s="166" t="s">
        <v>348</v>
      </c>
      <c r="L3767" s="166" t="s">
        <v>349</v>
      </c>
      <c r="M3767" s="166" t="s">
        <v>349</v>
      </c>
      <c r="N3767" s="166">
        <v>1317</v>
      </c>
    </row>
    <row r="3768" spans="2:14" s="166" customFormat="1" ht="17.25" hidden="1" customHeight="1" outlineLevel="1" x14ac:dyDescent="0.15">
      <c r="B3768" s="194" t="s">
        <v>10</v>
      </c>
      <c r="C3768" s="195" t="s">
        <v>1197</v>
      </c>
      <c r="D3768" s="195" t="s">
        <v>1087</v>
      </c>
      <c r="E3768" s="195">
        <v>0</v>
      </c>
      <c r="F3768" s="195"/>
      <c r="G3768" s="196" t="s">
        <v>1144</v>
      </c>
      <c r="H3768" s="107" t="str">
        <f t="shared" si="37"/>
        <v>ifnull(t.unfroz_qty,0) as unfroz_qty,/*解冻数量*/</v>
      </c>
      <c r="J3768" s="166" t="s">
        <v>347</v>
      </c>
      <c r="K3768" s="166" t="s">
        <v>348</v>
      </c>
      <c r="L3768" s="166" t="s">
        <v>349</v>
      </c>
      <c r="M3768" s="166" t="s">
        <v>349</v>
      </c>
      <c r="N3768" s="166">
        <v>1721</v>
      </c>
    </row>
    <row r="3769" spans="2:14" s="166" customFormat="1" ht="17.25" hidden="1" customHeight="1" outlineLevel="1" x14ac:dyDescent="0.15">
      <c r="B3769" s="194" t="s">
        <v>11</v>
      </c>
      <c r="C3769" s="195" t="s">
        <v>1198</v>
      </c>
      <c r="D3769" s="195" t="s">
        <v>1087</v>
      </c>
      <c r="E3769" s="195">
        <v>0</v>
      </c>
      <c r="F3769" s="195"/>
      <c r="G3769" s="196" t="s">
        <v>1080</v>
      </c>
      <c r="H3769" s="107" t="str">
        <f t="shared" si="37"/>
        <v>ifnull(t.comm_capt_qty,0) as comm_capt_qty,/*指令占用数量*/</v>
      </c>
      <c r="J3769" s="166" t="s">
        <v>347</v>
      </c>
      <c r="K3769" s="166" t="s">
        <v>348</v>
      </c>
      <c r="L3769" s="166" t="s">
        <v>349</v>
      </c>
      <c r="M3769" s="166" t="s">
        <v>349</v>
      </c>
      <c r="N3769" s="166">
        <v>2498</v>
      </c>
    </row>
    <row r="3770" spans="2:14" s="166" customFormat="1" ht="17.25" hidden="1" customHeight="1" outlineLevel="1" x14ac:dyDescent="0.15">
      <c r="B3770" s="194" t="s">
        <v>404</v>
      </c>
      <c r="C3770" s="195" t="s">
        <v>1335</v>
      </c>
      <c r="D3770" s="195" t="s">
        <v>1087</v>
      </c>
      <c r="E3770" s="195">
        <v>0</v>
      </c>
      <c r="F3770" s="195"/>
      <c r="G3770" s="196"/>
      <c r="H3770" s="107" t="str">
        <f t="shared" si="37"/>
        <v>ifnull(t.comm_releas_qty,0) as comm_releas_qty,/*指令释放数量*/</v>
      </c>
      <c r="J3770" s="166" t="s">
        <v>347</v>
      </c>
      <c r="K3770" s="166" t="s">
        <v>348</v>
      </c>
      <c r="L3770" s="166" t="s">
        <v>349</v>
      </c>
      <c r="M3770" s="166" t="s">
        <v>349</v>
      </c>
      <c r="N3770" s="166">
        <v>2486</v>
      </c>
    </row>
    <row r="3771" spans="2:14" s="166" customFormat="1" ht="17.25" hidden="1" customHeight="1" outlineLevel="1" x14ac:dyDescent="0.15">
      <c r="B3771" s="194" t="s">
        <v>405</v>
      </c>
      <c r="C3771" s="195" t="s">
        <v>1199</v>
      </c>
      <c r="D3771" s="195" t="s">
        <v>1087</v>
      </c>
      <c r="E3771" s="195">
        <v>0</v>
      </c>
      <c r="F3771" s="195"/>
      <c r="G3771" s="196"/>
      <c r="H3771" s="107" t="str">
        <f t="shared" si="37"/>
        <v>ifnull(t.trade_capt_qty,0) as trade_capt_qty,/*交易占用数量*/</v>
      </c>
      <c r="J3771" s="166" t="s">
        <v>347</v>
      </c>
      <c r="K3771" s="166" t="s">
        <v>348</v>
      </c>
      <c r="L3771" s="166" t="s">
        <v>349</v>
      </c>
      <c r="M3771" s="166" t="s">
        <v>349</v>
      </c>
      <c r="N3771" s="166">
        <v>1699</v>
      </c>
    </row>
    <row r="3772" spans="2:14" s="166" customFormat="1" ht="17.25" hidden="1" customHeight="1" outlineLevel="1" x14ac:dyDescent="0.15">
      <c r="B3772" s="194" t="s">
        <v>408</v>
      </c>
      <c r="C3772" s="195" t="s">
        <v>1200</v>
      </c>
      <c r="D3772" s="195" t="s">
        <v>1087</v>
      </c>
      <c r="E3772" s="195">
        <v>0</v>
      </c>
      <c r="F3772" s="195"/>
      <c r="G3772" s="196"/>
      <c r="H3772" s="107" t="str">
        <f t="shared" si="37"/>
        <v>ifnull(t.trade_releas_qty,0) as trade_releas_qty,/*交易释放数量*/</v>
      </c>
      <c r="J3772" s="166" t="s">
        <v>347</v>
      </c>
      <c r="K3772" s="166" t="s">
        <v>348</v>
      </c>
      <c r="L3772" s="166" t="s">
        <v>349</v>
      </c>
      <c r="M3772" s="166" t="s">
        <v>349</v>
      </c>
      <c r="N3772" s="166">
        <v>1688</v>
      </c>
    </row>
    <row r="3773" spans="2:14" s="166" customFormat="1" ht="17.25" hidden="1" customHeight="1" outlineLevel="1" x14ac:dyDescent="0.15">
      <c r="B3773" s="194" t="s">
        <v>409</v>
      </c>
      <c r="C3773" s="195" t="s">
        <v>1201</v>
      </c>
      <c r="D3773" s="195" t="s">
        <v>1087</v>
      </c>
      <c r="E3773" s="195">
        <v>0</v>
      </c>
      <c r="F3773" s="195"/>
      <c r="G3773" s="196"/>
      <c r="H3773" s="107" t="str">
        <f t="shared" si="37"/>
        <v>ifnull(t.strike_capt_qty,0) as strike_capt_qty,/*成交占用数量*/</v>
      </c>
      <c r="J3773" s="166" t="s">
        <v>347</v>
      </c>
      <c r="K3773" s="166" t="s">
        <v>348</v>
      </c>
      <c r="L3773" s="166" t="s">
        <v>349</v>
      </c>
      <c r="M3773" s="166" t="s">
        <v>349</v>
      </c>
      <c r="N3773" s="166">
        <v>1191</v>
      </c>
    </row>
    <row r="3774" spans="2:14" s="166" customFormat="1" ht="17.25" hidden="1" customHeight="1" outlineLevel="1" x14ac:dyDescent="0.15">
      <c r="B3774" s="194" t="s">
        <v>410</v>
      </c>
      <c r="C3774" s="195" t="s">
        <v>1137</v>
      </c>
      <c r="D3774" s="195" t="s">
        <v>1087</v>
      </c>
      <c r="E3774" s="195">
        <v>0</v>
      </c>
      <c r="F3774" s="195"/>
      <c r="G3774" s="196"/>
      <c r="H3774" s="107" t="str">
        <f t="shared" si="37"/>
        <v>ifnull(t.strike_releas_qty,0) as strike_releas_qty,/*成交释放数量*/</v>
      </c>
      <c r="J3774" s="166" t="s">
        <v>347</v>
      </c>
      <c r="K3774" s="166" t="s">
        <v>348</v>
      </c>
      <c r="L3774" s="166" t="s">
        <v>349</v>
      </c>
      <c r="M3774" s="166" t="s">
        <v>349</v>
      </c>
      <c r="N3774" s="166">
        <v>1187</v>
      </c>
    </row>
    <row r="3775" spans="2:14" s="166" customFormat="1" ht="17.25" hidden="1" customHeight="1" outlineLevel="1" x14ac:dyDescent="0.15">
      <c r="B3775" s="194" t="s">
        <v>411</v>
      </c>
      <c r="C3775" s="195" t="s">
        <v>1138</v>
      </c>
      <c r="D3775" s="195" t="s">
        <v>1087</v>
      </c>
      <c r="E3775" s="195">
        <v>0</v>
      </c>
      <c r="F3775" s="195"/>
      <c r="G3775" s="196"/>
      <c r="H3775" s="107" t="str">
        <f t="shared" si="37"/>
        <v>ifnull(t.cost_amt,0) as cost_amt,/*成本金额*/</v>
      </c>
      <c r="J3775" s="166" t="s">
        <v>347</v>
      </c>
      <c r="K3775" s="166" t="s">
        <v>348</v>
      </c>
      <c r="L3775" s="166" t="s">
        <v>349</v>
      </c>
      <c r="M3775" s="166" t="s">
        <v>349</v>
      </c>
      <c r="N3775" s="166">
        <v>1163</v>
      </c>
    </row>
    <row r="3776" spans="2:14" s="166" customFormat="1" ht="17.25" hidden="1" customHeight="1" outlineLevel="1" x14ac:dyDescent="0.15">
      <c r="B3776" s="194" t="s">
        <v>116</v>
      </c>
      <c r="C3776" s="195" t="s">
        <v>1213</v>
      </c>
      <c r="D3776" s="195" t="s">
        <v>1169</v>
      </c>
      <c r="E3776" s="195">
        <v>0</v>
      </c>
      <c r="F3776" s="195"/>
      <c r="G3776" s="196"/>
      <c r="H3776" s="107" t="str">
        <f t="shared" si="37"/>
        <v>ifnull(t.realize_pandl,0) as realize_pandl,/*实现盈亏*/</v>
      </c>
      <c r="J3776" s="166" t="s">
        <v>347</v>
      </c>
      <c r="K3776" s="166" t="s">
        <v>348</v>
      </c>
      <c r="L3776" s="166" t="s">
        <v>349</v>
      </c>
      <c r="M3776" s="166" t="s">
        <v>349</v>
      </c>
      <c r="N3776" s="166">
        <v>2153</v>
      </c>
    </row>
    <row r="3777" spans="1:14" s="166" customFormat="1" ht="17.25" hidden="1" customHeight="1" outlineLevel="1" x14ac:dyDescent="0.15">
      <c r="B3777" s="194" t="s">
        <v>12</v>
      </c>
      <c r="C3777" s="195" t="s">
        <v>1143</v>
      </c>
      <c r="D3777" s="195" t="s">
        <v>1169</v>
      </c>
      <c r="E3777" s="195">
        <v>0</v>
      </c>
      <c r="F3777" s="195"/>
      <c r="G3777" s="196"/>
      <c r="H3777" s="107" t="str">
        <f t="shared" si="37"/>
        <v>ifnull(t.intrst_cost_amt,0) as intrst_cost_amt,/*利息成本金额*/</v>
      </c>
      <c r="J3777" s="166" t="s">
        <v>347</v>
      </c>
      <c r="K3777" s="166" t="s">
        <v>348</v>
      </c>
      <c r="L3777" s="166" t="s">
        <v>349</v>
      </c>
      <c r="M3777" s="166" t="s">
        <v>349</v>
      </c>
      <c r="N3777" s="166">
        <v>1852</v>
      </c>
    </row>
    <row r="3778" spans="1:14" s="166" customFormat="1" ht="17.25" hidden="1" customHeight="1" outlineLevel="1" x14ac:dyDescent="0.15">
      <c r="B3778" s="197" t="s">
        <v>13</v>
      </c>
      <c r="C3778" s="218" t="s">
        <v>1205</v>
      </c>
      <c r="D3778" s="218" t="s">
        <v>1169</v>
      </c>
      <c r="E3778" s="218">
        <v>0</v>
      </c>
      <c r="F3778" s="218"/>
      <c r="G3778" s="219"/>
      <c r="H3778" s="107" t="str">
        <f t="shared" si="37"/>
        <v>ifnull(t.intrst_pandl,0) as intrst_pandl,/*利息收益*/</v>
      </c>
      <c r="J3778" s="166" t="s">
        <v>347</v>
      </c>
      <c r="K3778" s="166" t="s">
        <v>348</v>
      </c>
      <c r="L3778" s="166" t="s">
        <v>349</v>
      </c>
      <c r="M3778" s="166" t="s">
        <v>349</v>
      </c>
      <c r="N3778" s="166">
        <v>1857</v>
      </c>
    </row>
    <row r="3779" spans="1:14" s="166" customFormat="1" ht="17.25" hidden="1" customHeight="1" outlineLevel="1" x14ac:dyDescent="0.15">
      <c r="B3779" s="197" t="s">
        <v>14</v>
      </c>
      <c r="C3779" s="218" t="s">
        <v>1206</v>
      </c>
      <c r="D3779" s="218" t="s">
        <v>1169</v>
      </c>
      <c r="E3779" s="218">
        <v>0</v>
      </c>
      <c r="F3779" s="218"/>
      <c r="G3779" s="219"/>
      <c r="H3779" s="107" t="str">
        <f t="shared" si="37"/>
        <v>ifnull(t.cost_price,0) as cost_price,/*成本价*/</v>
      </c>
      <c r="J3779" s="166" t="s">
        <v>347</v>
      </c>
      <c r="K3779" s="166" t="s">
        <v>348</v>
      </c>
      <c r="L3779" s="166" t="s">
        <v>349</v>
      </c>
      <c r="M3779" s="166" t="s">
        <v>349</v>
      </c>
      <c r="N3779" s="166">
        <v>1162</v>
      </c>
    </row>
    <row r="3780" spans="1:14" s="166" customFormat="1" ht="17.25" hidden="1" customHeight="1" outlineLevel="1" x14ac:dyDescent="0.15">
      <c r="B3780" s="197" t="s">
        <v>389</v>
      </c>
      <c r="C3780" s="218" t="s">
        <v>1477</v>
      </c>
      <c r="D3780" s="218" t="s">
        <v>1211</v>
      </c>
      <c r="E3780" s="218">
        <v>0</v>
      </c>
      <c r="F3780" s="218"/>
      <c r="G3780" s="219" t="s">
        <v>1478</v>
      </c>
      <c r="H3780" s="107" t="str">
        <f t="shared" si="37"/>
        <v>ifnull(t.last_price,0) as last_price,/*最新价*/</v>
      </c>
      <c r="J3780" s="166" t="s">
        <v>347</v>
      </c>
      <c r="K3780" s="166" t="s">
        <v>348</v>
      </c>
      <c r="L3780" s="166" t="s">
        <v>349</v>
      </c>
      <c r="M3780" s="166" t="s">
        <v>349</v>
      </c>
      <c r="N3780" s="166">
        <v>2586</v>
      </c>
    </row>
    <row r="3781" spans="1:14" s="166" customFormat="1" ht="17.25" hidden="1" customHeight="1" outlineLevel="1" x14ac:dyDescent="0.15">
      <c r="B3781" s="197" t="s">
        <v>439</v>
      </c>
      <c r="C3781" s="218" t="s">
        <v>1236</v>
      </c>
      <c r="D3781" s="218" t="s">
        <v>1211</v>
      </c>
      <c r="E3781" s="218">
        <v>0</v>
      </c>
      <c r="F3781" s="218"/>
      <c r="G3781" s="219"/>
      <c r="H3781" s="107" t="str">
        <f t="shared" si="37"/>
        <v>ifnull(t.float_pandl,0) as float_pandl,/*浮动盈亏*/</v>
      </c>
      <c r="J3781" s="166" t="s">
        <v>347</v>
      </c>
      <c r="K3781" s="166" t="s">
        <v>348</v>
      </c>
      <c r="L3781" s="166" t="s">
        <v>349</v>
      </c>
      <c r="M3781" s="166" t="s">
        <v>349</v>
      </c>
      <c r="N3781" s="166">
        <v>1461</v>
      </c>
    </row>
    <row r="3782" spans="1:14" s="166" customFormat="1" ht="17.25" hidden="1" customHeight="1" outlineLevel="1" x14ac:dyDescent="0.15">
      <c r="B3782" s="197" t="s">
        <v>445</v>
      </c>
      <c r="C3782" s="218" t="s">
        <v>1479</v>
      </c>
      <c r="D3782" s="218" t="s">
        <v>1169</v>
      </c>
      <c r="E3782" s="218">
        <v>0</v>
      </c>
      <c r="F3782" s="218"/>
      <c r="G3782" s="219"/>
      <c r="H3782" s="107" t="str">
        <f t="shared" si="37"/>
        <v>ifnull(t.pandl_ratio,0) as pandl_ratio,/*盈亏比例*/</v>
      </c>
      <c r="J3782" s="166" t="s">
        <v>347</v>
      </c>
      <c r="K3782" s="166" t="s">
        <v>348</v>
      </c>
      <c r="L3782" s="166" t="s">
        <v>349</v>
      </c>
      <c r="M3782" s="166" t="s">
        <v>349</v>
      </c>
      <c r="N3782" s="166">
        <v>2346</v>
      </c>
    </row>
    <row r="3783" spans="1:14" s="166" customFormat="1" ht="17.25" hidden="1" customHeight="1" outlineLevel="1" x14ac:dyDescent="0.15">
      <c r="B3783" s="197" t="s">
        <v>484</v>
      </c>
      <c r="C3783" s="218" t="s">
        <v>1483</v>
      </c>
      <c r="D3783" s="218" t="s">
        <v>1172</v>
      </c>
      <c r="E3783" s="218">
        <v>0</v>
      </c>
      <c r="F3783" s="218"/>
      <c r="G3783" s="219"/>
      <c r="H3783" s="107" t="str">
        <f t="shared" si="37"/>
        <v>ifnull(t.trade_avail_qty,0) as trade_avail_qty,/*交易端可用数量*/</v>
      </c>
      <c r="J3783" s="166" t="s">
        <v>347</v>
      </c>
      <c r="K3783" s="166" t="s">
        <v>348</v>
      </c>
      <c r="L3783" s="166" t="s">
        <v>349</v>
      </c>
      <c r="M3783" s="166" t="s">
        <v>349</v>
      </c>
      <c r="N3783" s="166">
        <v>1677</v>
      </c>
    </row>
    <row r="3784" spans="1:14" s="166" customFormat="1" ht="17.25" hidden="1" customHeight="1" outlineLevel="1" x14ac:dyDescent="0.15">
      <c r="B3784" s="197" t="s">
        <v>475</v>
      </c>
      <c r="C3784" s="218" t="s">
        <v>1480</v>
      </c>
      <c r="D3784" s="218" t="s">
        <v>1087</v>
      </c>
      <c r="E3784" s="218">
        <v>0</v>
      </c>
      <c r="F3784" s="218"/>
      <c r="G3784" s="219" t="s">
        <v>1481</v>
      </c>
      <c r="H3784" s="107" t="str">
        <f t="shared" si="37"/>
        <v>ifnull(t.comm_avail_qty,0) as comm_avail_qty,/*指令端可用数量*/</v>
      </c>
      <c r="J3784" s="166" t="s">
        <v>347</v>
      </c>
      <c r="K3784" s="166" t="s">
        <v>348</v>
      </c>
      <c r="L3784" s="166" t="s">
        <v>349</v>
      </c>
      <c r="M3784" s="166" t="s">
        <v>349</v>
      </c>
      <c r="N3784" s="166">
        <v>2459</v>
      </c>
    </row>
    <row r="3785" spans="1:14" s="166" customFormat="1" ht="17.25" hidden="1" customHeight="1" outlineLevel="1" x14ac:dyDescent="0.15">
      <c r="B3785" s="197" t="s">
        <v>476</v>
      </c>
      <c r="C3785" s="218" t="s">
        <v>1482</v>
      </c>
      <c r="D3785" s="218" t="s">
        <v>1087</v>
      </c>
      <c r="E3785" s="218">
        <v>0</v>
      </c>
      <c r="F3785" s="218"/>
      <c r="G3785" s="219" t="s">
        <v>1481</v>
      </c>
      <c r="H3785" s="107" t="str">
        <f t="shared" si="37"/>
        <v>ifnull(t.static_avail_qty,0) as static_avail_qty,/*静态可用数量*/</v>
      </c>
      <c r="J3785" s="166" t="s">
        <v>347</v>
      </c>
      <c r="K3785" s="166" t="s">
        <v>348</v>
      </c>
      <c r="L3785" s="166" t="s">
        <v>349</v>
      </c>
      <c r="M3785" s="166" t="s">
        <v>349</v>
      </c>
      <c r="N3785" s="166">
        <v>1744</v>
      </c>
    </row>
    <row r="3786" spans="1:14" s="166" customFormat="1" ht="17.25" hidden="1" customHeight="1" outlineLevel="1" x14ac:dyDescent="0.15">
      <c r="B3786" s="197" t="s">
        <v>490</v>
      </c>
      <c r="C3786" s="218" t="s">
        <v>1507</v>
      </c>
      <c r="D3786" s="218" t="s">
        <v>1087</v>
      </c>
      <c r="E3786" s="218">
        <v>0</v>
      </c>
      <c r="F3786" s="218"/>
      <c r="G3786" s="219"/>
      <c r="H3786" s="107" t="str">
        <f t="shared" si="37"/>
        <v>ifnull(t.posi_nav_ratio,0) as posi_nav_ratio,/*持仓净值占比*/</v>
      </c>
      <c r="J3786" s="166" t="s">
        <v>347</v>
      </c>
      <c r="K3786" s="166" t="s">
        <v>348</v>
      </c>
      <c r="L3786" s="166" t="s">
        <v>349</v>
      </c>
      <c r="M3786" s="166" t="s">
        <v>349</v>
      </c>
      <c r="N3786" s="166">
        <v>1197</v>
      </c>
    </row>
    <row r="3787" spans="1:14" s="166" customFormat="1" ht="17.25" hidden="1" customHeight="1" outlineLevel="1" x14ac:dyDescent="0.15">
      <c r="B3787" s="197" t="s">
        <v>480</v>
      </c>
      <c r="C3787" s="218" t="s">
        <v>1079</v>
      </c>
      <c r="D3787" s="218" t="s">
        <v>1172</v>
      </c>
      <c r="E3787" s="218">
        <v>0</v>
      </c>
      <c r="F3787" s="218"/>
      <c r="G3787" s="219"/>
      <c r="H3787" s="107" t="str">
        <f t="shared" si="37"/>
        <v>ifnull(t.bond_receivable_amt,0) as bond_receivable_amt,/*债券应收利息*/</v>
      </c>
      <c r="J3787" s="166" t="s">
        <v>347</v>
      </c>
      <c r="K3787" s="166" t="s">
        <v>348</v>
      </c>
      <c r="L3787" s="166" t="s">
        <v>349</v>
      </c>
      <c r="M3787" s="166" t="s">
        <v>349</v>
      </c>
    </row>
    <row r="3788" spans="1:14" s="166" customFormat="1" ht="17.25" hidden="1" customHeight="1" outlineLevel="1" x14ac:dyDescent="0.15">
      <c r="B3788" s="197" t="s">
        <v>481</v>
      </c>
      <c r="C3788" s="218" t="s">
        <v>1209</v>
      </c>
      <c r="D3788" s="218" t="s">
        <v>1169</v>
      </c>
      <c r="E3788" s="218">
        <v>0</v>
      </c>
      <c r="F3788" s="218"/>
      <c r="G3788" s="219"/>
      <c r="H3788" s="107" t="str">
        <f t="shared" si="37"/>
        <v>ifnull(t.full_holding_amt,0) as full_holding_amt,/*全价持仓市值*/</v>
      </c>
      <c r="J3788" s="166" t="s">
        <v>347</v>
      </c>
      <c r="K3788" s="166" t="s">
        <v>348</v>
      </c>
      <c r="L3788" s="166" t="s">
        <v>349</v>
      </c>
      <c r="M3788" s="166" t="s">
        <v>349</v>
      </c>
    </row>
    <row r="3789" spans="1:14" s="166" customFormat="1" ht="17.25" hidden="1" customHeight="1" outlineLevel="1" x14ac:dyDescent="0.15">
      <c r="B3789" s="197" t="s">
        <v>477</v>
      </c>
      <c r="C3789" s="218" t="s">
        <v>1530</v>
      </c>
      <c r="D3789" s="218" t="s">
        <v>1169</v>
      </c>
      <c r="E3789" s="218">
        <v>0</v>
      </c>
      <c r="F3789" s="218"/>
      <c r="G3789" s="219"/>
      <c r="H3789" s="107" t="str">
        <f t="shared" si="37"/>
        <v>ifnull(t.impawn_qty,0) as impawn_qty,/*质押数量*/</v>
      </c>
      <c r="J3789" s="166" t="s">
        <v>347</v>
      </c>
      <c r="K3789" s="166" t="s">
        <v>348</v>
      </c>
      <c r="L3789" s="166" t="s">
        <v>349</v>
      </c>
      <c r="M3789" s="166" t="s">
        <v>349</v>
      </c>
      <c r="N3789" s="166">
        <v>2511</v>
      </c>
    </row>
    <row r="3790" spans="1:14" s="7" customFormat="1" hidden="1" outlineLevel="1" x14ac:dyDescent="0.15">
      <c r="A3790" s="166"/>
      <c r="B3790" s="197" t="s">
        <v>482</v>
      </c>
      <c r="C3790" s="218" t="s">
        <v>1208</v>
      </c>
      <c r="D3790" s="218" t="s">
        <v>1087</v>
      </c>
      <c r="E3790" s="218">
        <v>0</v>
      </c>
      <c r="F3790" s="218"/>
      <c r="G3790" s="219"/>
      <c r="H3790" s="19"/>
      <c r="I3790" s="19"/>
    </row>
    <row r="3791" spans="1:14" s="7" customFormat="1" ht="18" hidden="1" outlineLevel="1" thickBot="1" x14ac:dyDescent="0.2">
      <c r="A3791" s="2"/>
      <c r="B3791" s="17"/>
      <c r="C3791" s="18"/>
      <c r="D3791" s="18"/>
      <c r="E3791" s="18"/>
      <c r="F3791" s="18"/>
      <c r="G3791" s="19"/>
    </row>
    <row r="3792" spans="1:14" s="7" customFormat="1" hidden="1" outlineLevel="1" x14ac:dyDescent="0.15">
      <c r="A3792" s="2"/>
      <c r="B3792" s="327" t="s">
        <v>15</v>
      </c>
      <c r="C3792" s="328"/>
      <c r="D3792" s="328"/>
      <c r="E3792" s="328"/>
      <c r="F3792" s="328"/>
      <c r="G3792" s="329"/>
      <c r="H3792" s="22"/>
      <c r="I3792" s="22"/>
    </row>
    <row r="3793" spans="1:9" s="7" customFormat="1" hidden="1" outlineLevel="1" x14ac:dyDescent="0.15">
      <c r="A3793" s="2"/>
      <c r="B3793" s="20"/>
      <c r="C3793" s="21"/>
      <c r="D3793" s="14"/>
      <c r="E3793" s="21"/>
      <c r="F3793" s="21"/>
      <c r="G3793" s="22"/>
      <c r="H3793" s="19"/>
      <c r="I3793" s="19"/>
    </row>
    <row r="3794" spans="1:9" s="7" customFormat="1" ht="18" hidden="1" outlineLevel="1" thickBot="1" x14ac:dyDescent="0.2">
      <c r="A3794" s="2"/>
      <c r="B3794" s="17"/>
      <c r="C3794" s="18"/>
      <c r="D3794" s="18"/>
      <c r="E3794" s="18"/>
      <c r="F3794" s="18"/>
      <c r="G3794" s="19"/>
      <c r="H3794" s="11"/>
      <c r="I3794" s="11"/>
    </row>
    <row r="3795" spans="1:9" ht="18" hidden="1" outlineLevel="1" thickBot="1" x14ac:dyDescent="0.2">
      <c r="A3795" s="2"/>
      <c r="B3795" s="24"/>
      <c r="C3795" s="9"/>
      <c r="D3795" s="9"/>
      <c r="E3795" s="9"/>
      <c r="F3795" s="9"/>
      <c r="G3795" s="11"/>
    </row>
    <row r="3796" spans="1:9" s="7" customFormat="1" ht="18" hidden="1" outlineLevel="1" thickBot="1" x14ac:dyDescent="0.2">
      <c r="A3796" s="1"/>
      <c r="B3796" s="1"/>
      <c r="C3796" s="1"/>
      <c r="D3796" s="1"/>
      <c r="E3796" s="1"/>
      <c r="F3796" s="1"/>
      <c r="G3796" s="1"/>
    </row>
    <row r="3797" spans="1:9" s="7" customFormat="1" ht="18" collapsed="1" thickBot="1" x14ac:dyDescent="0.2">
      <c r="A3797" s="2"/>
      <c r="B3797" s="3" t="s">
        <v>563</v>
      </c>
      <c r="C3797" s="4" t="s">
        <v>549</v>
      </c>
      <c r="D3797" s="5" t="s">
        <v>515</v>
      </c>
      <c r="E3797" s="21" t="s">
        <v>1034</v>
      </c>
      <c r="F3797" s="5" t="s">
        <v>567</v>
      </c>
      <c r="G3797" s="6" t="s">
        <v>1620</v>
      </c>
    </row>
    <row r="3798" spans="1:9" s="7" customFormat="1" ht="18" hidden="1" outlineLevel="1" thickBot="1" x14ac:dyDescent="0.2">
      <c r="A3798" s="2"/>
      <c r="B3798" s="34" t="s">
        <v>570</v>
      </c>
      <c r="C3798" s="18"/>
      <c r="D3798" s="35" t="s">
        <v>568</v>
      </c>
      <c r="E3798" s="18" t="s">
        <v>615</v>
      </c>
      <c r="F3798" s="35"/>
      <c r="G3798" s="19"/>
    </row>
    <row r="3799" spans="1:9" s="7" customFormat="1" hidden="1" outlineLevel="1" x14ac:dyDescent="0.15">
      <c r="A3799" s="2"/>
      <c r="B3799" s="3" t="s">
        <v>0</v>
      </c>
      <c r="C3799" s="5" t="s">
        <v>1</v>
      </c>
      <c r="D3799" s="5" t="s">
        <v>2</v>
      </c>
      <c r="E3799" s="5"/>
      <c r="F3799" s="5" t="s">
        <v>3</v>
      </c>
      <c r="G3799" s="36" t="s">
        <v>4</v>
      </c>
    </row>
    <row r="3800" spans="1:9" s="7" customFormat="1" hidden="1" outlineLevel="1" x14ac:dyDescent="0.15">
      <c r="A3800" s="2"/>
      <c r="B3800" s="20" t="s">
        <v>6</v>
      </c>
      <c r="C3800" s="21" t="s">
        <v>1163</v>
      </c>
      <c r="D3800" s="21" t="s">
        <v>211</v>
      </c>
      <c r="E3800" s="21">
        <v>0</v>
      </c>
      <c r="F3800" s="21"/>
      <c r="G3800" s="22" t="s">
        <v>1077</v>
      </c>
    </row>
    <row r="3801" spans="1:9" s="7" customFormat="1" hidden="1" outlineLevel="1" x14ac:dyDescent="0.15">
      <c r="A3801" s="2"/>
      <c r="B3801" s="20" t="s">
        <v>111</v>
      </c>
      <c r="C3801" s="21" t="s">
        <v>1164</v>
      </c>
      <c r="D3801" s="21" t="s">
        <v>211</v>
      </c>
      <c r="E3801" s="21">
        <v>0</v>
      </c>
      <c r="F3801" s="21"/>
      <c r="G3801" s="22" t="s">
        <v>1165</v>
      </c>
    </row>
    <row r="3802" spans="1:9" s="7" customFormat="1" hidden="1" outlineLevel="1" x14ac:dyDescent="0.15">
      <c r="A3802" s="2"/>
      <c r="B3802" s="20" t="s">
        <v>113</v>
      </c>
      <c r="C3802" s="21" t="s">
        <v>1187</v>
      </c>
      <c r="D3802" s="21" t="s">
        <v>211</v>
      </c>
      <c r="E3802" s="21">
        <v>0</v>
      </c>
      <c r="F3802" s="21"/>
      <c r="G3802" s="22"/>
    </row>
    <row r="3803" spans="1:9" s="7" customFormat="1" hidden="1" outlineLevel="1" x14ac:dyDescent="0.15">
      <c r="A3803" s="2"/>
      <c r="B3803" s="20" t="s">
        <v>23</v>
      </c>
      <c r="C3803" s="21" t="s">
        <v>1091</v>
      </c>
      <c r="D3803" s="21" t="s">
        <v>1131</v>
      </c>
      <c r="E3803" s="21" t="s">
        <v>1074</v>
      </c>
      <c r="F3803" s="21"/>
      <c r="G3803" s="22"/>
    </row>
    <row r="3804" spans="1:9" s="7" customFormat="1" hidden="1" outlineLevel="1" x14ac:dyDescent="0.15">
      <c r="A3804" s="2"/>
      <c r="B3804" s="17" t="s">
        <v>312</v>
      </c>
      <c r="C3804" s="18" t="s">
        <v>1168</v>
      </c>
      <c r="D3804" s="18" t="s">
        <v>1169</v>
      </c>
      <c r="E3804" s="18">
        <v>0</v>
      </c>
      <c r="F3804" s="18"/>
      <c r="G3804" s="19"/>
    </row>
    <row r="3805" spans="1:9" s="7" customFormat="1" hidden="1" outlineLevel="1" x14ac:dyDescent="0.15">
      <c r="A3805" s="2"/>
      <c r="B3805" s="17" t="s">
        <v>303</v>
      </c>
      <c r="C3805" s="18" t="s">
        <v>1170</v>
      </c>
      <c r="D3805" s="18" t="s">
        <v>1169</v>
      </c>
      <c r="E3805" s="18">
        <v>0</v>
      </c>
      <c r="F3805" s="18"/>
      <c r="G3805" s="19"/>
    </row>
    <row r="3806" spans="1:9" s="7" customFormat="1" hidden="1" outlineLevel="1" x14ac:dyDescent="0.15">
      <c r="A3806" s="2"/>
      <c r="B3806" s="20" t="s">
        <v>313</v>
      </c>
      <c r="C3806" s="21" t="s">
        <v>1185</v>
      </c>
      <c r="D3806" s="21" t="s">
        <v>1169</v>
      </c>
      <c r="E3806" s="21">
        <v>0</v>
      </c>
      <c r="F3806" s="21"/>
      <c r="G3806" s="22"/>
    </row>
    <row r="3807" spans="1:9" s="7" customFormat="1" hidden="1" outlineLevel="1" x14ac:dyDescent="0.15">
      <c r="A3807" s="2"/>
      <c r="B3807" s="20" t="s">
        <v>305</v>
      </c>
      <c r="C3807" s="21" t="s">
        <v>1181</v>
      </c>
      <c r="D3807" s="21" t="s">
        <v>1169</v>
      </c>
      <c r="E3807" s="21">
        <v>0</v>
      </c>
      <c r="F3807" s="21"/>
      <c r="G3807" s="22"/>
    </row>
    <row r="3808" spans="1:9" s="7" customFormat="1" hidden="1" outlineLevel="1" x14ac:dyDescent="0.15">
      <c r="A3808" s="2"/>
      <c r="B3808" s="20" t="s">
        <v>306</v>
      </c>
      <c r="C3808" s="21" t="s">
        <v>1128</v>
      </c>
      <c r="D3808" s="21" t="s">
        <v>1169</v>
      </c>
      <c r="E3808" s="21">
        <v>0</v>
      </c>
      <c r="F3808" s="21"/>
      <c r="G3808" s="22"/>
    </row>
    <row r="3809" spans="1:7" s="7" customFormat="1" hidden="1" outlineLevel="1" x14ac:dyDescent="0.15">
      <c r="A3809" s="2"/>
      <c r="B3809" s="17" t="s">
        <v>307</v>
      </c>
      <c r="C3809" s="18" t="s">
        <v>1173</v>
      </c>
      <c r="D3809" s="18" t="s">
        <v>1169</v>
      </c>
      <c r="E3809" s="18">
        <v>0</v>
      </c>
      <c r="F3809" s="18"/>
      <c r="G3809" s="19"/>
    </row>
    <row r="3810" spans="1:7" s="7" customFormat="1" hidden="1" outlineLevel="1" x14ac:dyDescent="0.15">
      <c r="A3810" s="2"/>
      <c r="B3810" s="17" t="s">
        <v>308</v>
      </c>
      <c r="C3810" s="18" t="s">
        <v>1175</v>
      </c>
      <c r="D3810" s="18" t="s">
        <v>1169</v>
      </c>
      <c r="E3810" s="18">
        <v>0</v>
      </c>
      <c r="F3810" s="18"/>
      <c r="G3810" s="19"/>
    </row>
    <row r="3811" spans="1:7" s="7" customFormat="1" hidden="1" outlineLevel="1" x14ac:dyDescent="0.15">
      <c r="A3811" s="2"/>
      <c r="B3811" s="17" t="s">
        <v>314</v>
      </c>
      <c r="C3811" s="18" t="s">
        <v>1089</v>
      </c>
      <c r="D3811" s="18" t="s">
        <v>1169</v>
      </c>
      <c r="E3811" s="18">
        <v>0</v>
      </c>
      <c r="F3811" s="18"/>
      <c r="G3811" s="19"/>
    </row>
    <row r="3812" spans="1:7" s="7" customFormat="1" hidden="1" outlineLevel="1" x14ac:dyDescent="0.15">
      <c r="A3812" s="2"/>
      <c r="B3812" s="17" t="s">
        <v>310</v>
      </c>
      <c r="C3812" s="18" t="s">
        <v>1174</v>
      </c>
      <c r="D3812" s="18" t="s">
        <v>1169</v>
      </c>
      <c r="E3812" s="18">
        <v>0</v>
      </c>
      <c r="F3812" s="18"/>
      <c r="G3812" s="19"/>
    </row>
    <row r="3813" spans="1:7" s="7" customFormat="1" ht="18" hidden="1" outlineLevel="1" thickBot="1" x14ac:dyDescent="0.2">
      <c r="A3813" s="2"/>
      <c r="B3813" s="24"/>
      <c r="C3813" s="9"/>
      <c r="D3813" s="9"/>
      <c r="E3813" s="9"/>
      <c r="F3813" s="9"/>
      <c r="G3813" s="11"/>
    </row>
    <row r="3814" spans="1:7" s="7" customFormat="1" hidden="1" outlineLevel="1" x14ac:dyDescent="0.15">
      <c r="A3814" s="2"/>
      <c r="B3814" s="327" t="s">
        <v>15</v>
      </c>
      <c r="C3814" s="328"/>
      <c r="D3814" s="328"/>
      <c r="E3814" s="328"/>
      <c r="F3814" s="328"/>
      <c r="G3814" s="329"/>
    </row>
    <row r="3815" spans="1:7" s="7" customFormat="1" hidden="1" outlineLevel="1" x14ac:dyDescent="0.15">
      <c r="A3815" s="2" t="s">
        <v>62</v>
      </c>
      <c r="B3815" s="20">
        <v>1</v>
      </c>
      <c r="C3815" s="21" t="s">
        <v>113</v>
      </c>
      <c r="D3815" s="21" t="s">
        <v>110</v>
      </c>
      <c r="E3815" s="21"/>
      <c r="F3815" s="21"/>
      <c r="G3815" s="22"/>
    </row>
    <row r="3816" spans="1:7" s="7" customFormat="1" ht="18" hidden="1" outlineLevel="1" thickBot="1" x14ac:dyDescent="0.2">
      <c r="A3816" s="2"/>
      <c r="B3816" s="24"/>
      <c r="C3816" s="9"/>
      <c r="D3816" s="9"/>
      <c r="E3816" s="9"/>
      <c r="F3816" s="9"/>
      <c r="G3816" s="11"/>
    </row>
    <row r="3817" spans="1:7" s="7" customFormat="1" hidden="1" outlineLevel="1" x14ac:dyDescent="0.15">
      <c r="A3817" s="2"/>
    </row>
    <row r="3818" spans="1:7" s="7" customFormat="1" ht="18" hidden="1" outlineLevel="1" thickBot="1" x14ac:dyDescent="0.2">
      <c r="A3818" s="2"/>
    </row>
    <row r="3819" spans="1:7" s="7" customFormat="1" ht="18" collapsed="1" thickBot="1" x14ac:dyDescent="0.2">
      <c r="A3819" s="2"/>
      <c r="B3819" s="3" t="s">
        <v>563</v>
      </c>
      <c r="C3819" s="4" t="s">
        <v>651</v>
      </c>
      <c r="D3819" s="5" t="s">
        <v>515</v>
      </c>
      <c r="E3819" s="21" t="s">
        <v>613</v>
      </c>
      <c r="F3819" s="5" t="s">
        <v>567</v>
      </c>
      <c r="G3819" s="6" t="s">
        <v>1620</v>
      </c>
    </row>
    <row r="3820" spans="1:7" s="7" customFormat="1" ht="18" hidden="1" outlineLevel="1" thickBot="1" x14ac:dyDescent="0.2">
      <c r="A3820" s="2"/>
      <c r="B3820" s="34" t="s">
        <v>570</v>
      </c>
      <c r="C3820" s="18"/>
      <c r="D3820" s="35" t="s">
        <v>568</v>
      </c>
      <c r="E3820" s="18" t="s">
        <v>615</v>
      </c>
      <c r="F3820" s="35"/>
      <c r="G3820" s="19"/>
    </row>
    <row r="3821" spans="1:7" s="7" customFormat="1" hidden="1" outlineLevel="1" x14ac:dyDescent="0.15">
      <c r="A3821" s="2"/>
      <c r="B3821" s="3" t="s">
        <v>0</v>
      </c>
      <c r="C3821" s="5" t="s">
        <v>1</v>
      </c>
      <c r="D3821" s="5" t="s">
        <v>2</v>
      </c>
      <c r="E3821" s="5"/>
      <c r="F3821" s="5" t="s">
        <v>3</v>
      </c>
      <c r="G3821" s="36" t="s">
        <v>4</v>
      </c>
    </row>
    <row r="3822" spans="1:7" s="7" customFormat="1" hidden="1" outlineLevel="1" x14ac:dyDescent="0.15">
      <c r="B3822" s="14" t="s">
        <v>22</v>
      </c>
      <c r="C3822" s="15" t="s">
        <v>1127</v>
      </c>
      <c r="D3822" s="15" t="s">
        <v>211</v>
      </c>
      <c r="E3822" s="15" t="s">
        <v>1141</v>
      </c>
      <c r="F3822" s="15"/>
      <c r="G3822" s="16" t="s">
        <v>1162</v>
      </c>
    </row>
    <row r="3823" spans="1:7" s="7" customFormat="1" hidden="1" outlineLevel="1" x14ac:dyDescent="0.15">
      <c r="A3823" s="2"/>
      <c r="B3823" s="20" t="s">
        <v>6</v>
      </c>
      <c r="C3823" s="21" t="s">
        <v>1163</v>
      </c>
      <c r="D3823" s="21" t="s">
        <v>211</v>
      </c>
      <c r="E3823" s="21">
        <v>0</v>
      </c>
      <c r="F3823" s="21"/>
      <c r="G3823" s="22" t="s">
        <v>1077</v>
      </c>
    </row>
    <row r="3824" spans="1:7" s="7" customFormat="1" hidden="1" outlineLevel="1" x14ac:dyDescent="0.15">
      <c r="A3824" s="2"/>
      <c r="B3824" s="20" t="s">
        <v>111</v>
      </c>
      <c r="C3824" s="21" t="s">
        <v>1164</v>
      </c>
      <c r="D3824" s="21" t="s">
        <v>211</v>
      </c>
      <c r="E3824" s="21">
        <v>0</v>
      </c>
      <c r="F3824" s="21"/>
      <c r="G3824" s="22" t="s">
        <v>1165</v>
      </c>
    </row>
    <row r="3825" spans="1:7" s="7" customFormat="1" hidden="1" outlineLevel="1" x14ac:dyDescent="0.15">
      <c r="A3825" s="2"/>
      <c r="B3825" s="20" t="s">
        <v>113</v>
      </c>
      <c r="C3825" s="21" t="s">
        <v>1187</v>
      </c>
      <c r="D3825" s="21" t="s">
        <v>211</v>
      </c>
      <c r="E3825" s="21">
        <v>0</v>
      </c>
      <c r="F3825" s="21"/>
      <c r="G3825" s="22"/>
    </row>
    <row r="3826" spans="1:7" s="7" customFormat="1" hidden="1" outlineLevel="1" x14ac:dyDescent="0.15">
      <c r="A3826" s="2"/>
      <c r="B3826" s="20" t="s">
        <v>23</v>
      </c>
      <c r="C3826" s="21" t="s">
        <v>1091</v>
      </c>
      <c r="D3826" s="21" t="s">
        <v>1131</v>
      </c>
      <c r="E3826" s="21" t="s">
        <v>1074</v>
      </c>
      <c r="F3826" s="21"/>
      <c r="G3826" s="22"/>
    </row>
    <row r="3827" spans="1:7" s="7" customFormat="1" hidden="1" outlineLevel="1" x14ac:dyDescent="0.15">
      <c r="A3827" s="2"/>
      <c r="B3827" s="17" t="s">
        <v>312</v>
      </c>
      <c r="C3827" s="18" t="s">
        <v>1168</v>
      </c>
      <c r="D3827" s="18" t="s">
        <v>1169</v>
      </c>
      <c r="E3827" s="18">
        <v>0</v>
      </c>
      <c r="F3827" s="18"/>
      <c r="G3827" s="19"/>
    </row>
    <row r="3828" spans="1:7" s="7" customFormat="1" hidden="1" outlineLevel="1" x14ac:dyDescent="0.15">
      <c r="A3828" s="2"/>
      <c r="B3828" s="17" t="s">
        <v>303</v>
      </c>
      <c r="C3828" s="18" t="s">
        <v>1170</v>
      </c>
      <c r="D3828" s="18" t="s">
        <v>1169</v>
      </c>
      <c r="E3828" s="18">
        <v>0</v>
      </c>
      <c r="F3828" s="18"/>
      <c r="G3828" s="19"/>
    </row>
    <row r="3829" spans="1:7" s="7" customFormat="1" hidden="1" outlineLevel="1" x14ac:dyDescent="0.15">
      <c r="A3829" s="2"/>
      <c r="B3829" s="20" t="s">
        <v>313</v>
      </c>
      <c r="C3829" s="21" t="s">
        <v>1185</v>
      </c>
      <c r="D3829" s="21" t="s">
        <v>1169</v>
      </c>
      <c r="E3829" s="21">
        <v>0</v>
      </c>
      <c r="F3829" s="21"/>
      <c r="G3829" s="22"/>
    </row>
    <row r="3830" spans="1:7" s="7" customFormat="1" hidden="1" outlineLevel="1" x14ac:dyDescent="0.15">
      <c r="A3830" s="2"/>
      <c r="B3830" s="20" t="s">
        <v>305</v>
      </c>
      <c r="C3830" s="21" t="s">
        <v>1181</v>
      </c>
      <c r="D3830" s="21" t="s">
        <v>1169</v>
      </c>
      <c r="E3830" s="21">
        <v>0</v>
      </c>
      <c r="F3830" s="21"/>
      <c r="G3830" s="22"/>
    </row>
    <row r="3831" spans="1:7" s="7" customFormat="1" hidden="1" outlineLevel="1" x14ac:dyDescent="0.15">
      <c r="A3831" s="2"/>
      <c r="B3831" s="20" t="s">
        <v>306</v>
      </c>
      <c r="C3831" s="21" t="s">
        <v>1128</v>
      </c>
      <c r="D3831" s="21" t="s">
        <v>1169</v>
      </c>
      <c r="E3831" s="21">
        <v>0</v>
      </c>
      <c r="F3831" s="21"/>
      <c r="G3831" s="22"/>
    </row>
    <row r="3832" spans="1:7" s="7" customFormat="1" hidden="1" outlineLevel="1" x14ac:dyDescent="0.15">
      <c r="A3832" s="2"/>
      <c r="B3832" s="17" t="s">
        <v>307</v>
      </c>
      <c r="C3832" s="18" t="s">
        <v>1173</v>
      </c>
      <c r="D3832" s="18" t="s">
        <v>1169</v>
      </c>
      <c r="E3832" s="18">
        <v>0</v>
      </c>
      <c r="F3832" s="18"/>
      <c r="G3832" s="19"/>
    </row>
    <row r="3833" spans="1:7" s="7" customFormat="1" hidden="1" outlineLevel="1" x14ac:dyDescent="0.15">
      <c r="A3833" s="2"/>
      <c r="B3833" s="17" t="s">
        <v>308</v>
      </c>
      <c r="C3833" s="18" t="s">
        <v>1175</v>
      </c>
      <c r="D3833" s="18" t="s">
        <v>1169</v>
      </c>
      <c r="E3833" s="18">
        <v>0</v>
      </c>
      <c r="F3833" s="18"/>
      <c r="G3833" s="19"/>
    </row>
    <row r="3834" spans="1:7" s="7" customFormat="1" hidden="1" outlineLevel="1" x14ac:dyDescent="0.15">
      <c r="A3834" s="2"/>
      <c r="B3834" s="17" t="s">
        <v>314</v>
      </c>
      <c r="C3834" s="18" t="s">
        <v>1089</v>
      </c>
      <c r="D3834" s="18" t="s">
        <v>1169</v>
      </c>
      <c r="E3834" s="18">
        <v>0</v>
      </c>
      <c r="F3834" s="18"/>
      <c r="G3834" s="19"/>
    </row>
    <row r="3835" spans="1:7" s="7" customFormat="1" hidden="1" outlineLevel="1" x14ac:dyDescent="0.15">
      <c r="A3835" s="2"/>
      <c r="B3835" s="17" t="s">
        <v>310</v>
      </c>
      <c r="C3835" s="18" t="s">
        <v>1174</v>
      </c>
      <c r="D3835" s="18" t="s">
        <v>1169</v>
      </c>
      <c r="E3835" s="18">
        <v>0</v>
      </c>
      <c r="F3835" s="18"/>
      <c r="G3835" s="19"/>
    </row>
    <row r="3836" spans="1:7" s="7" customFormat="1" ht="18" hidden="1" outlineLevel="1" thickBot="1" x14ac:dyDescent="0.2">
      <c r="A3836" s="2"/>
      <c r="B3836" s="24"/>
      <c r="C3836" s="9"/>
      <c r="D3836" s="9"/>
      <c r="E3836" s="9"/>
      <c r="F3836" s="9"/>
      <c r="G3836" s="11"/>
    </row>
    <row r="3837" spans="1:7" s="7" customFormat="1" hidden="1" outlineLevel="1" x14ac:dyDescent="0.15">
      <c r="A3837" s="2"/>
      <c r="B3837" s="327" t="s">
        <v>15</v>
      </c>
      <c r="C3837" s="328"/>
      <c r="D3837" s="328"/>
      <c r="E3837" s="328"/>
      <c r="F3837" s="328"/>
      <c r="G3837" s="329"/>
    </row>
    <row r="3838" spans="1:7" s="7" customFormat="1" hidden="1" outlineLevel="1" x14ac:dyDescent="0.15">
      <c r="A3838" s="2" t="s">
        <v>62</v>
      </c>
      <c r="B3838" s="20">
        <v>1</v>
      </c>
      <c r="C3838" s="21" t="s">
        <v>22</v>
      </c>
      <c r="D3838" s="21" t="s">
        <v>113</v>
      </c>
      <c r="E3838" s="21" t="s">
        <v>110</v>
      </c>
      <c r="F3838" s="21"/>
      <c r="G3838" s="22"/>
    </row>
    <row r="3839" spans="1:7" s="7" customFormat="1" ht="18" hidden="1" outlineLevel="1" thickBot="1" x14ac:dyDescent="0.2">
      <c r="A3839" s="2"/>
      <c r="B3839" s="24"/>
      <c r="C3839" s="9"/>
      <c r="D3839" s="9"/>
      <c r="E3839" s="9"/>
      <c r="F3839" s="9"/>
      <c r="G3839" s="11"/>
    </row>
    <row r="3840" spans="1:7" hidden="1" outlineLevel="1" x14ac:dyDescent="0.15">
      <c r="A3840" s="2"/>
      <c r="B3840" s="7"/>
      <c r="C3840" s="7"/>
      <c r="D3840" s="7"/>
      <c r="E3840" s="7"/>
      <c r="F3840" s="7"/>
      <c r="G3840" s="7"/>
    </row>
    <row r="3841" spans="1:7" s="7" customFormat="1" ht="18" hidden="1" outlineLevel="1" thickBot="1" x14ac:dyDescent="0.2">
      <c r="A3841" s="1"/>
      <c r="B3841" s="1"/>
      <c r="C3841" s="1"/>
      <c r="D3841" s="1"/>
      <c r="E3841" s="1"/>
      <c r="F3841" s="1"/>
      <c r="G3841" s="1"/>
    </row>
    <row r="3842" spans="1:7" s="7" customFormat="1" ht="18" collapsed="1" thickBot="1" x14ac:dyDescent="0.2">
      <c r="A3842" s="2"/>
      <c r="B3842" s="3" t="s">
        <v>563</v>
      </c>
      <c r="C3842" s="4" t="s">
        <v>657</v>
      </c>
      <c r="D3842" s="5" t="s">
        <v>515</v>
      </c>
      <c r="E3842" s="21" t="s">
        <v>614</v>
      </c>
      <c r="F3842" s="5" t="s">
        <v>567</v>
      </c>
      <c r="G3842" s="6" t="s">
        <v>1619</v>
      </c>
    </row>
    <row r="3843" spans="1:7" s="7" customFormat="1" ht="18" hidden="1" outlineLevel="1" thickBot="1" x14ac:dyDescent="0.2">
      <c r="A3843" s="2"/>
      <c r="B3843" s="34" t="s">
        <v>570</v>
      </c>
      <c r="C3843" s="18"/>
      <c r="D3843" s="35" t="s">
        <v>568</v>
      </c>
      <c r="E3843" s="18" t="s">
        <v>615</v>
      </c>
      <c r="F3843" s="35"/>
      <c r="G3843" s="19"/>
    </row>
    <row r="3844" spans="1:7" s="7" customFormat="1" hidden="1" outlineLevel="1" x14ac:dyDescent="0.15">
      <c r="A3844" s="2"/>
      <c r="B3844" s="3" t="s">
        <v>0</v>
      </c>
      <c r="C3844" s="5" t="s">
        <v>1</v>
      </c>
      <c r="D3844" s="5" t="s">
        <v>2</v>
      </c>
      <c r="E3844" s="5"/>
      <c r="F3844" s="5" t="s">
        <v>3</v>
      </c>
      <c r="G3844" s="36" t="s">
        <v>4</v>
      </c>
    </row>
    <row r="3845" spans="1:7" s="7" customFormat="1" hidden="1" outlineLevel="1" x14ac:dyDescent="0.15">
      <c r="A3845" s="2"/>
      <c r="B3845" s="20" t="s">
        <v>22</v>
      </c>
      <c r="C3845" s="21" t="s">
        <v>1127</v>
      </c>
      <c r="D3845" s="21" t="s">
        <v>211</v>
      </c>
      <c r="E3845" s="21" t="s">
        <v>1141</v>
      </c>
      <c r="F3845" s="21"/>
      <c r="G3845" s="22" t="s">
        <v>1162</v>
      </c>
    </row>
    <row r="3846" spans="1:7" s="7" customFormat="1" hidden="1" outlineLevel="1" x14ac:dyDescent="0.15">
      <c r="A3846" s="2"/>
      <c r="B3846" s="20" t="s">
        <v>6</v>
      </c>
      <c r="C3846" s="21" t="s">
        <v>1163</v>
      </c>
      <c r="D3846" s="21" t="s">
        <v>211</v>
      </c>
      <c r="E3846" s="21">
        <v>0</v>
      </c>
      <c r="F3846" s="21"/>
      <c r="G3846" s="22" t="s">
        <v>1077</v>
      </c>
    </row>
    <row r="3847" spans="1:7" s="7" customFormat="1" hidden="1" outlineLevel="1" x14ac:dyDescent="0.15">
      <c r="A3847" s="2"/>
      <c r="B3847" s="20" t="s">
        <v>111</v>
      </c>
      <c r="C3847" s="21" t="s">
        <v>1164</v>
      </c>
      <c r="D3847" s="21" t="s">
        <v>211</v>
      </c>
      <c r="E3847" s="21">
        <v>0</v>
      </c>
      <c r="F3847" s="21"/>
      <c r="G3847" s="22" t="s">
        <v>1165</v>
      </c>
    </row>
    <row r="3848" spans="1:7" s="7" customFormat="1" hidden="1" outlineLevel="1" x14ac:dyDescent="0.15">
      <c r="A3848" s="2"/>
      <c r="B3848" s="20" t="s">
        <v>123</v>
      </c>
      <c r="C3848" s="21" t="s">
        <v>1133</v>
      </c>
      <c r="D3848" s="21" t="s">
        <v>211</v>
      </c>
      <c r="E3848" s="21">
        <v>0</v>
      </c>
      <c r="F3848" s="21"/>
      <c r="G3848" s="22" t="s">
        <v>1182</v>
      </c>
    </row>
    <row r="3849" spans="1:7" s="7" customFormat="1" hidden="1" outlineLevel="1" x14ac:dyDescent="0.15">
      <c r="A3849" s="2"/>
      <c r="B3849" s="20" t="s">
        <v>113</v>
      </c>
      <c r="C3849" s="21" t="s">
        <v>1187</v>
      </c>
      <c r="D3849" s="21" t="s">
        <v>211</v>
      </c>
      <c r="E3849" s="21">
        <v>0</v>
      </c>
      <c r="F3849" s="21"/>
      <c r="G3849" s="22"/>
    </row>
    <row r="3850" spans="1:7" s="7" customFormat="1" hidden="1" outlineLevel="1" x14ac:dyDescent="0.15">
      <c r="A3850" s="2"/>
      <c r="B3850" s="20" t="s">
        <v>7</v>
      </c>
      <c r="C3850" s="21" t="s">
        <v>1190</v>
      </c>
      <c r="D3850" s="21" t="s">
        <v>211</v>
      </c>
      <c r="E3850" s="21">
        <v>0</v>
      </c>
      <c r="F3850" s="21"/>
      <c r="G3850" s="22" t="s">
        <v>1081</v>
      </c>
    </row>
    <row r="3851" spans="1:7" s="7" customFormat="1" hidden="1" outlineLevel="1" x14ac:dyDescent="0.15">
      <c r="A3851" s="2"/>
      <c r="B3851" s="20" t="s">
        <v>114</v>
      </c>
      <c r="C3851" s="21" t="s">
        <v>1155</v>
      </c>
      <c r="D3851" s="21" t="s">
        <v>211</v>
      </c>
      <c r="E3851" s="21">
        <v>0</v>
      </c>
      <c r="F3851" s="21"/>
      <c r="G3851" s="22"/>
    </row>
    <row r="3852" spans="1:7" s="7" customFormat="1" hidden="1" outlineLevel="1" x14ac:dyDescent="0.15">
      <c r="A3852" s="2"/>
      <c r="B3852" s="20" t="s">
        <v>115</v>
      </c>
      <c r="C3852" s="21" t="s">
        <v>1188</v>
      </c>
      <c r="D3852" s="21" t="s">
        <v>211</v>
      </c>
      <c r="E3852" s="21">
        <v>0</v>
      </c>
      <c r="F3852" s="21"/>
      <c r="G3852" s="22"/>
    </row>
    <row r="3853" spans="1:7" s="7" customFormat="1" hidden="1" outlineLevel="1" x14ac:dyDescent="0.15">
      <c r="A3853" s="2"/>
      <c r="B3853" s="20" t="s">
        <v>19</v>
      </c>
      <c r="C3853" s="21" t="s">
        <v>1337</v>
      </c>
      <c r="D3853" s="21" t="s">
        <v>1219</v>
      </c>
      <c r="E3853" s="21" t="s">
        <v>1072</v>
      </c>
      <c r="F3853" s="21"/>
      <c r="G3853" s="22" t="s">
        <v>1338</v>
      </c>
    </row>
    <row r="3854" spans="1:7" s="7" customFormat="1" hidden="1" outlineLevel="1" x14ac:dyDescent="0.15">
      <c r="A3854" s="2"/>
      <c r="B3854" s="20" t="s">
        <v>214</v>
      </c>
      <c r="C3854" s="21" t="s">
        <v>1339</v>
      </c>
      <c r="D3854" s="21" t="s">
        <v>211</v>
      </c>
      <c r="E3854" s="21">
        <v>0</v>
      </c>
      <c r="F3854" s="21"/>
      <c r="G3854" s="22"/>
    </row>
    <row r="3855" spans="1:7" s="7" customFormat="1" hidden="1" outlineLevel="1" x14ac:dyDescent="0.15">
      <c r="A3855" s="2"/>
      <c r="B3855" s="20" t="s">
        <v>213</v>
      </c>
      <c r="C3855" s="21" t="s">
        <v>1340</v>
      </c>
      <c r="D3855" s="21" t="s">
        <v>1219</v>
      </c>
      <c r="E3855" s="21" t="s">
        <v>1072</v>
      </c>
      <c r="F3855" s="21"/>
      <c r="G3855" s="22"/>
    </row>
    <row r="3856" spans="1:7" s="7" customFormat="1" hidden="1" outlineLevel="1" x14ac:dyDescent="0.15">
      <c r="A3856" s="2"/>
      <c r="B3856" s="20" t="s">
        <v>94</v>
      </c>
      <c r="C3856" s="21" t="s">
        <v>1278</v>
      </c>
      <c r="D3856" s="21" t="s">
        <v>211</v>
      </c>
      <c r="E3856" s="21">
        <v>0</v>
      </c>
      <c r="F3856" s="21"/>
      <c r="G3856" s="22" t="s">
        <v>1279</v>
      </c>
    </row>
    <row r="3857" spans="1:7" s="7" customFormat="1" hidden="1" outlineLevel="1" x14ac:dyDescent="0.15">
      <c r="A3857" s="2"/>
      <c r="B3857" s="20" t="s">
        <v>333</v>
      </c>
      <c r="C3857" s="21" t="s">
        <v>1341</v>
      </c>
      <c r="D3857" s="21" t="s">
        <v>1087</v>
      </c>
      <c r="E3857" s="21">
        <v>0</v>
      </c>
      <c r="F3857" s="21"/>
      <c r="G3857" s="22"/>
    </row>
    <row r="3858" spans="1:7" s="7" customFormat="1" hidden="1" outlineLevel="1" x14ac:dyDescent="0.15">
      <c r="A3858" s="2"/>
      <c r="B3858" s="20" t="s">
        <v>334</v>
      </c>
      <c r="C3858" s="21" t="s">
        <v>1342</v>
      </c>
      <c r="D3858" s="21" t="s">
        <v>1169</v>
      </c>
      <c r="E3858" s="21">
        <v>0</v>
      </c>
      <c r="F3858" s="21"/>
      <c r="G3858" s="22"/>
    </row>
    <row r="3859" spans="1:7" s="7" customFormat="1" hidden="1" outlineLevel="1" x14ac:dyDescent="0.15">
      <c r="A3859" s="2"/>
      <c r="B3859" s="20" t="s">
        <v>335</v>
      </c>
      <c r="C3859" s="21" t="s">
        <v>1560</v>
      </c>
      <c r="D3859" s="21" t="s">
        <v>1172</v>
      </c>
      <c r="E3859" s="21">
        <v>0</v>
      </c>
      <c r="F3859" s="21"/>
      <c r="G3859" s="22"/>
    </row>
    <row r="3860" spans="1:7" s="7" customFormat="1" hidden="1" outlineLevel="1" x14ac:dyDescent="0.15">
      <c r="A3860" s="2"/>
      <c r="B3860" s="20" t="s">
        <v>336</v>
      </c>
      <c r="C3860" s="21" t="s">
        <v>1343</v>
      </c>
      <c r="D3860" s="21" t="s">
        <v>211</v>
      </c>
      <c r="E3860" s="21" t="s">
        <v>1141</v>
      </c>
      <c r="F3860" s="21"/>
      <c r="G3860" s="22"/>
    </row>
    <row r="3861" spans="1:7" s="7" customFormat="1" hidden="1" outlineLevel="1" x14ac:dyDescent="0.15">
      <c r="A3861" s="2"/>
      <c r="B3861" s="20" t="s">
        <v>337</v>
      </c>
      <c r="C3861" s="21" t="s">
        <v>1344</v>
      </c>
      <c r="D3861" s="21" t="s">
        <v>1345</v>
      </c>
      <c r="E3861" s="21">
        <v>0</v>
      </c>
      <c r="F3861" s="21"/>
      <c r="G3861" s="22"/>
    </row>
    <row r="3862" spans="1:7" s="7" customFormat="1" hidden="1" outlineLevel="1" x14ac:dyDescent="0.15">
      <c r="A3862" s="2"/>
      <c r="B3862" s="20" t="s">
        <v>338</v>
      </c>
      <c r="C3862" s="21" t="s">
        <v>1346</v>
      </c>
      <c r="D3862" s="21" t="s">
        <v>1345</v>
      </c>
      <c r="E3862" s="21">
        <v>0</v>
      </c>
      <c r="F3862" s="21"/>
      <c r="G3862" s="22"/>
    </row>
    <row r="3863" spans="1:7" s="7" customFormat="1" hidden="1" outlineLevel="1" x14ac:dyDescent="0.15">
      <c r="A3863" s="2"/>
      <c r="B3863" s="20" t="s">
        <v>339</v>
      </c>
      <c r="C3863" s="21" t="s">
        <v>1347</v>
      </c>
      <c r="D3863" s="21" t="s">
        <v>211</v>
      </c>
      <c r="E3863" s="21">
        <v>0</v>
      </c>
      <c r="F3863" s="21"/>
      <c r="G3863" s="22"/>
    </row>
    <row r="3864" spans="1:7" s="7" customFormat="1" hidden="1" outlineLevel="1" x14ac:dyDescent="0.15">
      <c r="A3864" s="2"/>
      <c r="B3864" s="20" t="s">
        <v>340</v>
      </c>
      <c r="C3864" s="21" t="s">
        <v>1348</v>
      </c>
      <c r="D3864" s="21" t="s">
        <v>211</v>
      </c>
      <c r="E3864" s="21">
        <v>0</v>
      </c>
      <c r="F3864" s="21"/>
      <c r="G3864" s="22"/>
    </row>
    <row r="3865" spans="1:7" s="7" customFormat="1" hidden="1" outlineLevel="1" x14ac:dyDescent="0.15">
      <c r="A3865" s="2"/>
      <c r="B3865" s="20" t="s">
        <v>341</v>
      </c>
      <c r="C3865" s="21" t="s">
        <v>1349</v>
      </c>
      <c r="D3865" s="21" t="s">
        <v>211</v>
      </c>
      <c r="E3865" s="21">
        <v>0</v>
      </c>
      <c r="F3865" s="21"/>
      <c r="G3865" s="22"/>
    </row>
    <row r="3866" spans="1:7" s="7" customFormat="1" hidden="1" outlineLevel="1" x14ac:dyDescent="0.15">
      <c r="A3866" s="2"/>
      <c r="B3866" s="20" t="s">
        <v>342</v>
      </c>
      <c r="C3866" s="21" t="s">
        <v>1350</v>
      </c>
      <c r="D3866" s="21" t="s">
        <v>1169</v>
      </c>
      <c r="E3866" s="21">
        <v>0</v>
      </c>
      <c r="F3866" s="21"/>
      <c r="G3866" s="22"/>
    </row>
    <row r="3867" spans="1:7" s="7" customFormat="1" hidden="1" outlineLevel="1" x14ac:dyDescent="0.15">
      <c r="A3867" s="2"/>
      <c r="B3867" s="20" t="s">
        <v>343</v>
      </c>
      <c r="C3867" s="21" t="s">
        <v>1351</v>
      </c>
      <c r="D3867" s="21" t="s">
        <v>1169</v>
      </c>
      <c r="E3867" s="21">
        <v>0</v>
      </c>
      <c r="F3867" s="21"/>
      <c r="G3867" s="22"/>
    </row>
    <row r="3868" spans="1:7" s="7" customFormat="1" hidden="1" outlineLevel="1" x14ac:dyDescent="0.15">
      <c r="A3868" s="2"/>
      <c r="B3868" s="20" t="s">
        <v>344</v>
      </c>
      <c r="C3868" s="21" t="s">
        <v>1352</v>
      </c>
      <c r="D3868" s="21" t="s">
        <v>211</v>
      </c>
      <c r="E3868" s="21">
        <v>0</v>
      </c>
      <c r="F3868" s="21"/>
      <c r="G3868" s="22"/>
    </row>
    <row r="3869" spans="1:7" s="7" customFormat="1" hidden="1" outlineLevel="1" x14ac:dyDescent="0.15">
      <c r="A3869" s="2"/>
      <c r="B3869" s="20" t="s">
        <v>345</v>
      </c>
      <c r="C3869" s="21" t="s">
        <v>1353</v>
      </c>
      <c r="D3869" s="21" t="s">
        <v>1403</v>
      </c>
      <c r="E3869" s="21" t="s">
        <v>1303</v>
      </c>
      <c r="F3869" s="21"/>
      <c r="G3869" s="22" t="s">
        <v>1354</v>
      </c>
    </row>
    <row r="3870" spans="1:7" s="7" customFormat="1" ht="18" hidden="1" outlineLevel="1" thickBot="1" x14ac:dyDescent="0.2">
      <c r="A3870" s="2"/>
      <c r="B3870" s="24"/>
      <c r="C3870" s="9"/>
      <c r="D3870" s="9"/>
      <c r="E3870" s="9"/>
      <c r="F3870" s="9"/>
      <c r="G3870" s="11"/>
    </row>
    <row r="3871" spans="1:7" s="7" customFormat="1" hidden="1" outlineLevel="1" x14ac:dyDescent="0.15">
      <c r="A3871" s="2"/>
      <c r="B3871" s="327" t="s">
        <v>15</v>
      </c>
      <c r="C3871" s="328"/>
      <c r="D3871" s="328"/>
      <c r="E3871" s="328"/>
      <c r="F3871" s="328"/>
      <c r="G3871" s="329"/>
    </row>
    <row r="3872" spans="1:7" s="7" customFormat="1" hidden="1" outlineLevel="1" x14ac:dyDescent="0.15">
      <c r="A3872" s="2"/>
      <c r="B3872" s="20">
        <v>1</v>
      </c>
      <c r="C3872" s="21" t="s">
        <v>22</v>
      </c>
      <c r="D3872" s="21" t="s">
        <v>113</v>
      </c>
      <c r="E3872" s="21" t="s">
        <v>114</v>
      </c>
      <c r="F3872" s="21" t="s">
        <v>115</v>
      </c>
      <c r="G3872" s="22" t="s">
        <v>94</v>
      </c>
    </row>
    <row r="3873" spans="1:7" s="7" customFormat="1" hidden="1" outlineLevel="1" x14ac:dyDescent="0.15">
      <c r="A3873" s="2"/>
      <c r="B3873" s="20">
        <v>2</v>
      </c>
      <c r="C3873" s="21" t="s">
        <v>22</v>
      </c>
      <c r="D3873" s="21" t="s">
        <v>109</v>
      </c>
      <c r="E3873" s="21" t="s">
        <v>111</v>
      </c>
      <c r="F3873" s="21" t="s">
        <v>123</v>
      </c>
      <c r="G3873" s="21"/>
    </row>
    <row r="3874" spans="1:7" s="7" customFormat="1" hidden="1" outlineLevel="1" x14ac:dyDescent="0.15">
      <c r="A3874" s="2"/>
      <c r="B3874" s="17">
        <v>3</v>
      </c>
      <c r="C3874" s="18" t="s">
        <v>344</v>
      </c>
      <c r="D3874" s="18" t="s">
        <v>346</v>
      </c>
      <c r="E3874" s="18"/>
      <c r="F3874" s="18"/>
      <c r="G3874" s="18"/>
    </row>
    <row r="3875" spans="1:7" s="7" customFormat="1" ht="18" hidden="1" outlineLevel="1" thickBot="1" x14ac:dyDescent="0.2">
      <c r="A3875" s="2"/>
      <c r="B3875" s="24"/>
      <c r="C3875" s="9"/>
      <c r="D3875" s="9"/>
      <c r="E3875" s="9"/>
      <c r="F3875" s="9"/>
      <c r="G3875" s="11"/>
    </row>
    <row r="3876" spans="1:7" hidden="1" outlineLevel="1" x14ac:dyDescent="0.15">
      <c r="A3876" s="2"/>
      <c r="B3876" s="7"/>
      <c r="C3876" s="7"/>
      <c r="D3876" s="7"/>
      <c r="E3876" s="7"/>
      <c r="F3876" s="7"/>
      <c r="G3876" s="7"/>
    </row>
    <row r="3877" spans="1:7" s="7" customFormat="1" ht="18" hidden="1" outlineLevel="1" thickBot="1" x14ac:dyDescent="0.2">
      <c r="A3877" s="1"/>
      <c r="B3877" s="1"/>
      <c r="C3877" s="1"/>
      <c r="D3877" s="1"/>
      <c r="E3877" s="1"/>
      <c r="F3877" s="1"/>
      <c r="G3877" s="1"/>
    </row>
    <row r="3878" spans="1:7" s="7" customFormat="1" ht="18" collapsed="1" thickBot="1" x14ac:dyDescent="0.2">
      <c r="A3878" s="2"/>
      <c r="B3878" s="3" t="s">
        <v>563</v>
      </c>
      <c r="C3878" s="4" t="s">
        <v>659</v>
      </c>
      <c r="D3878" s="5" t="s">
        <v>515</v>
      </c>
      <c r="E3878" s="21" t="s">
        <v>740</v>
      </c>
      <c r="F3878" s="5" t="s">
        <v>567</v>
      </c>
      <c r="G3878" s="6" t="s">
        <v>1619</v>
      </c>
    </row>
    <row r="3879" spans="1:7" s="7" customFormat="1" ht="18" hidden="1" outlineLevel="1" thickBot="1" x14ac:dyDescent="0.2">
      <c r="A3879" s="2"/>
      <c r="B3879" s="8" t="s">
        <v>570</v>
      </c>
      <c r="C3879" s="9"/>
      <c r="D3879" s="10" t="s">
        <v>568</v>
      </c>
      <c r="E3879" s="9" t="s">
        <v>615</v>
      </c>
      <c r="F3879" s="10"/>
      <c r="G3879" s="11"/>
    </row>
    <row r="3880" spans="1:7" s="7" customFormat="1" hidden="1" outlineLevel="1" x14ac:dyDescent="0.15">
      <c r="A3880" s="2"/>
      <c r="B3880" s="12" t="s">
        <v>0</v>
      </c>
      <c r="C3880" s="13" t="s">
        <v>1</v>
      </c>
      <c r="D3880" s="13" t="s">
        <v>2</v>
      </c>
      <c r="E3880" s="13"/>
      <c r="F3880" s="13" t="s">
        <v>3</v>
      </c>
      <c r="G3880" s="13" t="s">
        <v>4</v>
      </c>
    </row>
    <row r="3881" spans="1:7" s="7" customFormat="1" hidden="1" outlineLevel="1" x14ac:dyDescent="0.15">
      <c r="A3881" s="2"/>
      <c r="B3881" s="14" t="s">
        <v>5</v>
      </c>
      <c r="C3881" s="15" t="s">
        <v>1127</v>
      </c>
      <c r="D3881" s="15" t="s">
        <v>211</v>
      </c>
      <c r="E3881" s="15" t="s">
        <v>1141</v>
      </c>
      <c r="F3881" s="15"/>
      <c r="G3881" s="16" t="s">
        <v>1162</v>
      </c>
    </row>
    <row r="3882" spans="1:7" s="7" customFormat="1" hidden="1" outlineLevel="1" x14ac:dyDescent="0.15">
      <c r="A3882" s="2"/>
      <c r="B3882" s="14" t="s">
        <v>6</v>
      </c>
      <c r="C3882" s="15" t="s">
        <v>1163</v>
      </c>
      <c r="D3882" s="15" t="s">
        <v>211</v>
      </c>
      <c r="E3882" s="15">
        <v>0</v>
      </c>
      <c r="F3882" s="15"/>
      <c r="G3882" s="16" t="s">
        <v>1077</v>
      </c>
    </row>
    <row r="3883" spans="1:7" s="7" customFormat="1" hidden="1" outlineLevel="1" x14ac:dyDescent="0.15">
      <c r="A3883" s="2"/>
      <c r="B3883" s="14" t="s">
        <v>111</v>
      </c>
      <c r="C3883" s="15" t="s">
        <v>1164</v>
      </c>
      <c r="D3883" s="15" t="s">
        <v>211</v>
      </c>
      <c r="E3883" s="15">
        <v>0</v>
      </c>
      <c r="F3883" s="15"/>
      <c r="G3883" s="16" t="s">
        <v>1165</v>
      </c>
    </row>
    <row r="3884" spans="1:7" s="7" customFormat="1" hidden="1" outlineLevel="1" x14ac:dyDescent="0.15">
      <c r="A3884" s="2"/>
      <c r="B3884" s="14" t="s">
        <v>113</v>
      </c>
      <c r="C3884" s="15" t="s">
        <v>1187</v>
      </c>
      <c r="D3884" s="15" t="s">
        <v>211</v>
      </c>
      <c r="E3884" s="15">
        <v>0</v>
      </c>
      <c r="F3884" s="15"/>
      <c r="G3884" s="16"/>
    </row>
    <row r="3885" spans="1:7" s="7" customFormat="1" hidden="1" outlineLevel="1" x14ac:dyDescent="0.15">
      <c r="A3885" s="2"/>
      <c r="B3885" s="14" t="s">
        <v>123</v>
      </c>
      <c r="C3885" s="15" t="s">
        <v>1133</v>
      </c>
      <c r="D3885" s="15" t="s">
        <v>211</v>
      </c>
      <c r="E3885" s="15">
        <v>0</v>
      </c>
      <c r="F3885" s="15"/>
      <c r="G3885" s="16" t="s">
        <v>1182</v>
      </c>
    </row>
    <row r="3886" spans="1:7" s="7" customFormat="1" hidden="1" outlineLevel="1" x14ac:dyDescent="0.15">
      <c r="A3886" s="2"/>
      <c r="B3886" s="14" t="s">
        <v>23</v>
      </c>
      <c r="C3886" s="15" t="s">
        <v>1091</v>
      </c>
      <c r="D3886" s="15" t="s">
        <v>1131</v>
      </c>
      <c r="E3886" s="15" t="s">
        <v>1074</v>
      </c>
      <c r="F3886" s="15"/>
      <c r="G3886" s="16"/>
    </row>
    <row r="3887" spans="1:7" s="7" customFormat="1" hidden="1" outlineLevel="1" x14ac:dyDescent="0.15">
      <c r="A3887" s="2"/>
      <c r="B3887" s="17" t="s">
        <v>24</v>
      </c>
      <c r="C3887" s="18" t="s">
        <v>1151</v>
      </c>
      <c r="D3887" s="18" t="s">
        <v>1169</v>
      </c>
      <c r="E3887" s="18">
        <v>0</v>
      </c>
      <c r="F3887" s="18"/>
      <c r="G3887" s="19" t="s">
        <v>1116</v>
      </c>
    </row>
    <row r="3888" spans="1:7" s="7" customFormat="1" hidden="1" outlineLevel="1" x14ac:dyDescent="0.15">
      <c r="A3888" s="2"/>
      <c r="B3888" s="25" t="s">
        <v>456</v>
      </c>
      <c r="C3888" s="26" t="s">
        <v>1508</v>
      </c>
      <c r="D3888" s="26" t="s">
        <v>1169</v>
      </c>
      <c r="E3888" s="26">
        <v>0</v>
      </c>
      <c r="F3888" s="26"/>
      <c r="G3888" s="27"/>
    </row>
    <row r="3889" spans="1:7" s="7" customFormat="1" hidden="1" outlineLevel="1" x14ac:dyDescent="0.15">
      <c r="A3889" s="2"/>
      <c r="B3889" s="17" t="s">
        <v>25</v>
      </c>
      <c r="C3889" s="18" t="s">
        <v>1150</v>
      </c>
      <c r="D3889" s="18" t="s">
        <v>1169</v>
      </c>
      <c r="E3889" s="18">
        <v>0</v>
      </c>
      <c r="F3889" s="18"/>
      <c r="G3889" s="19" t="s">
        <v>1312</v>
      </c>
    </row>
    <row r="3890" spans="1:7" s="7" customFormat="1" hidden="1" outlineLevel="1" x14ac:dyDescent="0.15">
      <c r="A3890" s="2"/>
      <c r="B3890" s="20" t="s">
        <v>26</v>
      </c>
      <c r="C3890" s="21" t="s">
        <v>1152</v>
      </c>
      <c r="D3890" s="21" t="s">
        <v>1169</v>
      </c>
      <c r="E3890" s="21">
        <v>0</v>
      </c>
      <c r="F3890" s="21"/>
      <c r="G3890" s="22" t="s">
        <v>1323</v>
      </c>
    </row>
    <row r="3891" spans="1:7" s="7" customFormat="1" hidden="1" outlineLevel="1" x14ac:dyDescent="0.15">
      <c r="A3891" s="2"/>
      <c r="B3891" s="20" t="s">
        <v>27</v>
      </c>
      <c r="C3891" s="21" t="s">
        <v>1313</v>
      </c>
      <c r="D3891" s="21" t="s">
        <v>1169</v>
      </c>
      <c r="E3891" s="21">
        <v>0</v>
      </c>
      <c r="F3891" s="21"/>
      <c r="G3891" s="22" t="s">
        <v>1314</v>
      </c>
    </row>
    <row r="3892" spans="1:7" s="7" customFormat="1" hidden="1" outlineLevel="1" x14ac:dyDescent="0.15">
      <c r="A3892" s="2"/>
      <c r="B3892" s="17" t="s">
        <v>175</v>
      </c>
      <c r="C3892" s="18" t="s">
        <v>1129</v>
      </c>
      <c r="D3892" s="18" t="s">
        <v>1169</v>
      </c>
      <c r="E3892" s="18">
        <v>0</v>
      </c>
      <c r="F3892" s="18"/>
      <c r="G3892" s="19"/>
    </row>
    <row r="3893" spans="1:7" s="7" customFormat="1" hidden="1" outlineLevel="1" x14ac:dyDescent="0.15">
      <c r="A3893" s="2"/>
      <c r="B3893" s="17" t="s">
        <v>176</v>
      </c>
      <c r="C3893" s="18" t="s">
        <v>1132</v>
      </c>
      <c r="D3893" s="18" t="s">
        <v>1169</v>
      </c>
      <c r="E3893" s="18">
        <v>0</v>
      </c>
      <c r="F3893" s="18"/>
      <c r="G3893" s="19"/>
    </row>
    <row r="3894" spans="1:7" s="7" customFormat="1" hidden="1" outlineLevel="1" x14ac:dyDescent="0.15">
      <c r="B3894" s="17" t="s">
        <v>153</v>
      </c>
      <c r="C3894" s="18" t="s">
        <v>1143</v>
      </c>
      <c r="D3894" s="18" t="s">
        <v>1169</v>
      </c>
      <c r="E3894" s="18">
        <v>0</v>
      </c>
      <c r="F3894" s="18"/>
      <c r="G3894" s="19"/>
    </row>
    <row r="3895" spans="1:7" s="7" customFormat="1" hidden="1" outlineLevel="1" x14ac:dyDescent="0.15">
      <c r="A3895" s="2"/>
      <c r="B3895" s="17" t="s">
        <v>178</v>
      </c>
      <c r="C3895" s="18" t="s">
        <v>1324</v>
      </c>
      <c r="D3895" s="18" t="s">
        <v>1172</v>
      </c>
      <c r="E3895" s="18">
        <v>0</v>
      </c>
      <c r="F3895" s="18"/>
      <c r="G3895" s="19"/>
    </row>
    <row r="3896" spans="1:7" s="7" customFormat="1" hidden="1" outlineLevel="1" x14ac:dyDescent="0.15">
      <c r="B3896" s="17" t="s">
        <v>179</v>
      </c>
      <c r="C3896" s="18" t="s">
        <v>1325</v>
      </c>
      <c r="D3896" s="18" t="s">
        <v>1169</v>
      </c>
      <c r="E3896" s="18">
        <v>0</v>
      </c>
      <c r="F3896" s="18"/>
      <c r="G3896" s="19" t="s">
        <v>1326</v>
      </c>
    </row>
    <row r="3897" spans="1:7" s="7" customFormat="1" hidden="1" outlineLevel="1" x14ac:dyDescent="0.15">
      <c r="B3897" s="17" t="s">
        <v>180</v>
      </c>
      <c r="C3897" s="18" t="s">
        <v>1309</v>
      </c>
      <c r="D3897" s="18" t="s">
        <v>1169</v>
      </c>
      <c r="E3897" s="18">
        <v>0</v>
      </c>
      <c r="F3897" s="18"/>
      <c r="G3897" s="19" t="s">
        <v>1310</v>
      </c>
    </row>
    <row r="3898" spans="1:7" s="7" customFormat="1" ht="18" hidden="1" outlineLevel="1" thickBot="1" x14ac:dyDescent="0.2">
      <c r="A3898" s="2"/>
      <c r="B3898" s="17"/>
      <c r="C3898" s="18"/>
      <c r="D3898" s="18"/>
      <c r="E3898" s="18"/>
      <c r="F3898" s="18"/>
      <c r="G3898" s="19"/>
    </row>
    <row r="3899" spans="1:7" s="7" customFormat="1" hidden="1" outlineLevel="1" x14ac:dyDescent="0.15">
      <c r="A3899" s="2"/>
      <c r="B3899" s="327" t="s">
        <v>15</v>
      </c>
      <c r="C3899" s="328"/>
      <c r="D3899" s="328"/>
      <c r="E3899" s="328"/>
      <c r="F3899" s="328"/>
      <c r="G3899" s="329"/>
    </row>
    <row r="3900" spans="1:7" s="7" customFormat="1" hidden="1" outlineLevel="1" x14ac:dyDescent="0.15">
      <c r="A3900" s="2" t="s">
        <v>62</v>
      </c>
      <c r="B3900" s="20">
        <v>1</v>
      </c>
      <c r="C3900" s="21" t="s">
        <v>22</v>
      </c>
      <c r="D3900" s="21" t="s">
        <v>113</v>
      </c>
      <c r="E3900" s="21" t="s">
        <v>112</v>
      </c>
      <c r="F3900" s="21" t="s">
        <v>110</v>
      </c>
      <c r="G3900" s="22"/>
    </row>
    <row r="3901" spans="1:7" s="7" customFormat="1" hidden="1" outlineLevel="1" x14ac:dyDescent="0.15">
      <c r="A3901" s="2"/>
      <c r="B3901" s="20">
        <v>2</v>
      </c>
      <c r="C3901" s="21" t="s">
        <v>22</v>
      </c>
      <c r="D3901" s="21" t="s">
        <v>16</v>
      </c>
      <c r="E3901" s="21" t="s">
        <v>111</v>
      </c>
      <c r="F3901" s="21" t="s">
        <v>110</v>
      </c>
      <c r="G3901" s="22"/>
    </row>
    <row r="3902" spans="1:7" s="7" customFormat="1" ht="18" hidden="1" outlineLevel="1" thickBot="1" x14ac:dyDescent="0.2">
      <c r="A3902" s="2"/>
      <c r="B3902" s="24"/>
      <c r="C3902" s="9"/>
      <c r="D3902" s="9"/>
      <c r="E3902" s="9"/>
      <c r="F3902" s="9"/>
      <c r="G3902" s="11"/>
    </row>
    <row r="3903" spans="1:7" hidden="1" outlineLevel="1" x14ac:dyDescent="0.15">
      <c r="A3903" s="2"/>
      <c r="B3903" s="7"/>
      <c r="C3903" s="7"/>
      <c r="D3903" s="7"/>
      <c r="E3903" s="7"/>
      <c r="F3903" s="7"/>
      <c r="G3903" s="7"/>
    </row>
    <row r="3904" spans="1:7" s="7" customFormat="1" ht="18" hidden="1" outlineLevel="1" thickBot="1" x14ac:dyDescent="0.2">
      <c r="A3904" s="1"/>
      <c r="B3904" s="1"/>
      <c r="C3904" s="1"/>
      <c r="D3904" s="1"/>
      <c r="E3904" s="1"/>
      <c r="F3904" s="1"/>
      <c r="G3904" s="1"/>
    </row>
    <row r="3905" spans="1:7" s="7" customFormat="1" ht="18" collapsed="1" thickBot="1" x14ac:dyDescent="0.2">
      <c r="A3905" s="2"/>
      <c r="B3905" s="3" t="s">
        <v>563</v>
      </c>
      <c r="C3905" s="4" t="s">
        <v>665</v>
      </c>
      <c r="D3905" s="5" t="s">
        <v>515</v>
      </c>
      <c r="E3905" s="21" t="s">
        <v>592</v>
      </c>
      <c r="F3905" s="5" t="s">
        <v>567</v>
      </c>
      <c r="G3905" s="6" t="s">
        <v>1619</v>
      </c>
    </row>
    <row r="3906" spans="1:7" s="7" customFormat="1" ht="18" hidden="1" outlineLevel="1" thickBot="1" x14ac:dyDescent="0.2">
      <c r="A3906" s="2"/>
      <c r="B3906" s="34" t="s">
        <v>570</v>
      </c>
      <c r="C3906" s="18"/>
      <c r="D3906" s="35" t="s">
        <v>568</v>
      </c>
      <c r="E3906" s="18" t="s">
        <v>615</v>
      </c>
      <c r="F3906" s="35"/>
      <c r="G3906" s="19"/>
    </row>
    <row r="3907" spans="1:7" s="7" customFormat="1" hidden="1" outlineLevel="1" x14ac:dyDescent="0.15">
      <c r="A3907" s="2"/>
      <c r="B3907" s="3" t="s">
        <v>0</v>
      </c>
      <c r="C3907" s="5" t="s">
        <v>1</v>
      </c>
      <c r="D3907" s="5" t="s">
        <v>2</v>
      </c>
      <c r="E3907" s="5"/>
      <c r="F3907" s="5" t="s">
        <v>3</v>
      </c>
      <c r="G3907" s="36" t="s">
        <v>4</v>
      </c>
    </row>
    <row r="3908" spans="1:7" s="7" customFormat="1" hidden="1" outlineLevel="1" x14ac:dyDescent="0.15">
      <c r="B3908" s="14" t="s">
        <v>22</v>
      </c>
      <c r="C3908" s="15" t="s">
        <v>1127</v>
      </c>
      <c r="D3908" s="15" t="s">
        <v>211</v>
      </c>
      <c r="E3908" s="15" t="s">
        <v>1141</v>
      </c>
      <c r="F3908" s="15"/>
      <c r="G3908" s="16" t="s">
        <v>1162</v>
      </c>
    </row>
    <row r="3909" spans="1:7" s="7" customFormat="1" hidden="1" outlineLevel="1" x14ac:dyDescent="0.15">
      <c r="A3909" s="2"/>
      <c r="B3909" s="20" t="s">
        <v>6</v>
      </c>
      <c r="C3909" s="21" t="s">
        <v>1163</v>
      </c>
      <c r="D3909" s="21" t="s">
        <v>211</v>
      </c>
      <c r="E3909" s="21">
        <v>0</v>
      </c>
      <c r="F3909" s="21"/>
      <c r="G3909" s="22" t="s">
        <v>1077</v>
      </c>
    </row>
    <row r="3910" spans="1:7" s="7" customFormat="1" hidden="1" outlineLevel="1" x14ac:dyDescent="0.15">
      <c r="A3910" s="2"/>
      <c r="B3910" s="20" t="s">
        <v>111</v>
      </c>
      <c r="C3910" s="21" t="s">
        <v>1164</v>
      </c>
      <c r="D3910" s="21" t="s">
        <v>211</v>
      </c>
      <c r="E3910" s="21">
        <v>0</v>
      </c>
      <c r="F3910" s="21"/>
      <c r="G3910" s="22" t="s">
        <v>1165</v>
      </c>
    </row>
    <row r="3911" spans="1:7" s="7" customFormat="1" hidden="1" outlineLevel="1" x14ac:dyDescent="0.15">
      <c r="A3911" s="2"/>
      <c r="B3911" s="20" t="s">
        <v>123</v>
      </c>
      <c r="C3911" s="21" t="s">
        <v>1133</v>
      </c>
      <c r="D3911" s="21" t="s">
        <v>211</v>
      </c>
      <c r="E3911" s="21">
        <v>0</v>
      </c>
      <c r="F3911" s="21"/>
      <c r="G3911" s="22" t="s">
        <v>1182</v>
      </c>
    </row>
    <row r="3912" spans="1:7" s="7" customFormat="1" hidden="1" outlineLevel="1" x14ac:dyDescent="0.15">
      <c r="A3912" s="2"/>
      <c r="B3912" s="20" t="s">
        <v>23</v>
      </c>
      <c r="C3912" s="21" t="s">
        <v>1091</v>
      </c>
      <c r="D3912" s="21" t="s">
        <v>1131</v>
      </c>
      <c r="E3912" s="21" t="s">
        <v>1074</v>
      </c>
      <c r="F3912" s="21"/>
      <c r="G3912" s="22"/>
    </row>
    <row r="3913" spans="1:7" s="7" customFormat="1" hidden="1" outlineLevel="1" x14ac:dyDescent="0.15">
      <c r="A3913" s="2"/>
      <c r="B3913" s="17" t="s">
        <v>312</v>
      </c>
      <c r="C3913" s="18" t="s">
        <v>1168</v>
      </c>
      <c r="D3913" s="18" t="s">
        <v>1169</v>
      </c>
      <c r="E3913" s="18">
        <v>0</v>
      </c>
      <c r="F3913" s="18"/>
      <c r="G3913" s="19"/>
    </row>
    <row r="3914" spans="1:7" s="7" customFormat="1" hidden="1" outlineLevel="1" x14ac:dyDescent="0.15">
      <c r="A3914" s="2"/>
      <c r="B3914" s="17" t="s">
        <v>303</v>
      </c>
      <c r="C3914" s="18" t="s">
        <v>1170</v>
      </c>
      <c r="D3914" s="18" t="s">
        <v>1169</v>
      </c>
      <c r="E3914" s="18">
        <v>0</v>
      </c>
      <c r="F3914" s="18"/>
      <c r="G3914" s="19"/>
    </row>
    <row r="3915" spans="1:7" s="7" customFormat="1" hidden="1" outlineLevel="1" x14ac:dyDescent="0.15">
      <c r="A3915" s="2"/>
      <c r="B3915" s="20" t="s">
        <v>313</v>
      </c>
      <c r="C3915" s="21" t="s">
        <v>1185</v>
      </c>
      <c r="D3915" s="21" t="s">
        <v>1169</v>
      </c>
      <c r="E3915" s="21">
        <v>0</v>
      </c>
      <c r="F3915" s="21"/>
      <c r="G3915" s="22"/>
    </row>
    <row r="3916" spans="1:7" s="7" customFormat="1" hidden="1" outlineLevel="1" x14ac:dyDescent="0.15">
      <c r="A3916" s="2"/>
      <c r="B3916" s="20" t="s">
        <v>305</v>
      </c>
      <c r="C3916" s="21" t="s">
        <v>1181</v>
      </c>
      <c r="D3916" s="21" t="s">
        <v>1169</v>
      </c>
      <c r="E3916" s="21">
        <v>0</v>
      </c>
      <c r="F3916" s="21"/>
      <c r="G3916" s="22"/>
    </row>
    <row r="3917" spans="1:7" s="7" customFormat="1" hidden="1" outlineLevel="1" x14ac:dyDescent="0.15">
      <c r="A3917" s="2"/>
      <c r="B3917" s="20" t="s">
        <v>306</v>
      </c>
      <c r="C3917" s="21" t="s">
        <v>1128</v>
      </c>
      <c r="D3917" s="21" t="s">
        <v>1169</v>
      </c>
      <c r="E3917" s="21">
        <v>0</v>
      </c>
      <c r="F3917" s="21"/>
      <c r="G3917" s="22"/>
    </row>
    <row r="3918" spans="1:7" s="7" customFormat="1" hidden="1" outlineLevel="1" x14ac:dyDescent="0.15">
      <c r="A3918" s="2"/>
      <c r="B3918" s="17" t="s">
        <v>307</v>
      </c>
      <c r="C3918" s="18" t="s">
        <v>1173</v>
      </c>
      <c r="D3918" s="18" t="s">
        <v>1169</v>
      </c>
      <c r="E3918" s="18">
        <v>0</v>
      </c>
      <c r="F3918" s="18"/>
      <c r="G3918" s="19"/>
    </row>
    <row r="3919" spans="1:7" s="7" customFormat="1" hidden="1" outlineLevel="1" x14ac:dyDescent="0.15">
      <c r="A3919" s="2"/>
      <c r="B3919" s="17" t="s">
        <v>308</v>
      </c>
      <c r="C3919" s="18" t="s">
        <v>1175</v>
      </c>
      <c r="D3919" s="18" t="s">
        <v>1169</v>
      </c>
      <c r="E3919" s="18">
        <v>0</v>
      </c>
      <c r="F3919" s="18"/>
      <c r="G3919" s="19"/>
    </row>
    <row r="3920" spans="1:7" s="7" customFormat="1" hidden="1" outlineLevel="1" x14ac:dyDescent="0.15">
      <c r="A3920" s="2"/>
      <c r="B3920" s="17" t="s">
        <v>314</v>
      </c>
      <c r="C3920" s="18" t="s">
        <v>1089</v>
      </c>
      <c r="D3920" s="18" t="s">
        <v>1169</v>
      </c>
      <c r="E3920" s="18">
        <v>0</v>
      </c>
      <c r="F3920" s="18"/>
      <c r="G3920" s="19"/>
    </row>
    <row r="3921" spans="1:7" s="7" customFormat="1" hidden="1" outlineLevel="1" x14ac:dyDescent="0.15">
      <c r="A3921" s="2"/>
      <c r="B3921" s="17" t="s">
        <v>310</v>
      </c>
      <c r="C3921" s="18" t="s">
        <v>1174</v>
      </c>
      <c r="D3921" s="18" t="s">
        <v>1169</v>
      </c>
      <c r="E3921" s="18">
        <v>0</v>
      </c>
      <c r="F3921" s="18"/>
      <c r="G3921" s="19"/>
    </row>
    <row r="3922" spans="1:7" s="7" customFormat="1" hidden="1" outlineLevel="1" x14ac:dyDescent="0.15">
      <c r="A3922" s="2"/>
      <c r="B3922" s="17" t="s">
        <v>509</v>
      </c>
      <c r="C3922" s="18" t="s">
        <v>1186</v>
      </c>
      <c r="D3922" s="18" t="s">
        <v>1169</v>
      </c>
      <c r="E3922" s="18">
        <v>0</v>
      </c>
      <c r="F3922" s="18"/>
      <c r="G3922" s="19"/>
    </row>
    <row r="3923" spans="1:7" s="7" customFormat="1" ht="18" hidden="1" outlineLevel="1" thickBot="1" x14ac:dyDescent="0.2">
      <c r="A3923" s="2"/>
      <c r="B3923" s="24"/>
      <c r="C3923" s="9"/>
      <c r="D3923" s="9"/>
      <c r="E3923" s="9"/>
      <c r="F3923" s="9"/>
      <c r="G3923" s="11"/>
    </row>
    <row r="3924" spans="1:7" s="7" customFormat="1" hidden="1" outlineLevel="1" x14ac:dyDescent="0.15">
      <c r="A3924" s="2"/>
      <c r="B3924" s="327" t="s">
        <v>15</v>
      </c>
      <c r="C3924" s="328"/>
      <c r="D3924" s="328"/>
      <c r="E3924" s="328"/>
      <c r="F3924" s="328"/>
      <c r="G3924" s="329"/>
    </row>
    <row r="3925" spans="1:7" s="7" customFormat="1" hidden="1" outlineLevel="1" x14ac:dyDescent="0.15">
      <c r="A3925" s="2" t="s">
        <v>62</v>
      </c>
      <c r="B3925" s="20">
        <v>1</v>
      </c>
      <c r="C3925" s="21" t="s">
        <v>22</v>
      </c>
      <c r="D3925" s="21" t="s">
        <v>123</v>
      </c>
      <c r="E3925" s="21" t="s">
        <v>110</v>
      </c>
      <c r="F3925" s="21"/>
      <c r="G3925" s="22"/>
    </row>
    <row r="3926" spans="1:7" s="7" customFormat="1" ht="18" hidden="1" outlineLevel="1" thickBot="1" x14ac:dyDescent="0.2">
      <c r="A3926" s="2"/>
      <c r="B3926" s="24"/>
      <c r="C3926" s="9"/>
      <c r="D3926" s="9"/>
      <c r="E3926" s="9"/>
      <c r="F3926" s="9"/>
      <c r="G3926" s="11"/>
    </row>
    <row r="3927" spans="1:7" s="7" customFormat="1" ht="18" hidden="1" outlineLevel="1" thickBot="1" x14ac:dyDescent="0.2">
      <c r="A3927" s="2"/>
    </row>
    <row r="3928" spans="1:7" s="7" customFormat="1" ht="18" collapsed="1" thickBot="1" x14ac:dyDescent="0.2">
      <c r="A3928" s="2"/>
      <c r="B3928" s="3" t="s">
        <v>563</v>
      </c>
      <c r="C3928" s="4" t="s">
        <v>564</v>
      </c>
      <c r="D3928" s="5" t="s">
        <v>515</v>
      </c>
      <c r="E3928" s="21" t="s">
        <v>595</v>
      </c>
      <c r="F3928" s="5" t="s">
        <v>567</v>
      </c>
      <c r="G3928" s="6" t="s">
        <v>1620</v>
      </c>
    </row>
    <row r="3929" spans="1:7" s="7" customFormat="1" ht="18" hidden="1" outlineLevel="1" thickBot="1" x14ac:dyDescent="0.2">
      <c r="A3929" s="2"/>
      <c r="B3929" s="8" t="s">
        <v>570</v>
      </c>
      <c r="C3929" s="9"/>
      <c r="D3929" s="10" t="s">
        <v>568</v>
      </c>
      <c r="E3929" s="9" t="s">
        <v>615</v>
      </c>
      <c r="F3929" s="10"/>
      <c r="G3929" s="11"/>
    </row>
    <row r="3930" spans="1:7" s="7" customFormat="1" hidden="1" outlineLevel="1" x14ac:dyDescent="0.15">
      <c r="A3930" s="2"/>
      <c r="B3930" s="12" t="s">
        <v>0</v>
      </c>
      <c r="C3930" s="13" t="s">
        <v>1</v>
      </c>
      <c r="D3930" s="13" t="s">
        <v>2</v>
      </c>
      <c r="E3930" s="13"/>
      <c r="F3930" s="13" t="s">
        <v>3</v>
      </c>
      <c r="G3930" s="13" t="s">
        <v>4</v>
      </c>
    </row>
    <row r="3931" spans="1:7" s="7" customFormat="1" hidden="1" outlineLevel="1" x14ac:dyDescent="0.15">
      <c r="A3931" s="2"/>
      <c r="B3931" s="14" t="s">
        <v>5</v>
      </c>
      <c r="C3931" s="15" t="s">
        <v>1127</v>
      </c>
      <c r="D3931" s="15" t="s">
        <v>211</v>
      </c>
      <c r="E3931" s="15" t="s">
        <v>1141</v>
      </c>
      <c r="F3931" s="15"/>
      <c r="G3931" s="16" t="s">
        <v>1162</v>
      </c>
    </row>
    <row r="3932" spans="1:7" s="7" customFormat="1" hidden="1" outlineLevel="1" x14ac:dyDescent="0.15">
      <c r="A3932" s="2"/>
      <c r="B3932" s="14" t="s">
        <v>6</v>
      </c>
      <c r="C3932" s="15" t="s">
        <v>1163</v>
      </c>
      <c r="D3932" s="15" t="s">
        <v>211</v>
      </c>
      <c r="E3932" s="15">
        <v>0</v>
      </c>
      <c r="F3932" s="15"/>
      <c r="G3932" s="16" t="s">
        <v>1077</v>
      </c>
    </row>
    <row r="3933" spans="1:7" s="7" customFormat="1" hidden="1" outlineLevel="1" x14ac:dyDescent="0.15">
      <c r="A3933" s="2"/>
      <c r="B3933" s="14" t="s">
        <v>111</v>
      </c>
      <c r="C3933" s="15" t="s">
        <v>1164</v>
      </c>
      <c r="D3933" s="15" t="s">
        <v>211</v>
      </c>
      <c r="E3933" s="15">
        <v>0</v>
      </c>
      <c r="F3933" s="15"/>
      <c r="G3933" s="16" t="s">
        <v>1165</v>
      </c>
    </row>
    <row r="3934" spans="1:7" s="7" customFormat="1" hidden="1" outlineLevel="1" x14ac:dyDescent="0.15">
      <c r="A3934" s="2"/>
      <c r="B3934" s="14" t="s">
        <v>123</v>
      </c>
      <c r="C3934" s="15" t="s">
        <v>1133</v>
      </c>
      <c r="D3934" s="15" t="s">
        <v>211</v>
      </c>
      <c r="E3934" s="15">
        <v>0</v>
      </c>
      <c r="F3934" s="15"/>
      <c r="G3934" s="16" t="s">
        <v>1182</v>
      </c>
    </row>
    <row r="3935" spans="1:7" s="7" customFormat="1" hidden="1" outlineLevel="1" x14ac:dyDescent="0.15">
      <c r="A3935" s="2"/>
      <c r="B3935" s="14" t="s">
        <v>113</v>
      </c>
      <c r="C3935" s="15" t="s">
        <v>1187</v>
      </c>
      <c r="D3935" s="15" t="s">
        <v>211</v>
      </c>
      <c r="E3935" s="15">
        <v>0</v>
      </c>
      <c r="F3935" s="15"/>
      <c r="G3935" s="16"/>
    </row>
    <row r="3936" spans="1:7" s="7" customFormat="1" hidden="1" outlineLevel="1" x14ac:dyDescent="0.15">
      <c r="A3936" s="2"/>
      <c r="B3936" s="14" t="s">
        <v>243</v>
      </c>
      <c r="C3936" s="15" t="s">
        <v>1450</v>
      </c>
      <c r="D3936" s="15" t="s">
        <v>1131</v>
      </c>
      <c r="E3936" s="15" t="s">
        <v>1074</v>
      </c>
      <c r="F3936" s="15"/>
      <c r="G3936" s="16"/>
    </row>
    <row r="3937" spans="1:7" s="7" customFormat="1" hidden="1" outlineLevel="1" x14ac:dyDescent="0.15">
      <c r="A3937" s="2"/>
      <c r="B3937" s="14" t="s">
        <v>161</v>
      </c>
      <c r="C3937" s="15" t="s">
        <v>1151</v>
      </c>
      <c r="D3937" s="15" t="s">
        <v>1169</v>
      </c>
      <c r="E3937" s="15">
        <v>0</v>
      </c>
      <c r="F3937" s="15"/>
      <c r="G3937" s="16" t="s">
        <v>1116</v>
      </c>
    </row>
    <row r="3938" spans="1:7" s="7" customFormat="1" hidden="1" outlineLevel="1" x14ac:dyDescent="0.15">
      <c r="A3938" s="2"/>
      <c r="B3938" s="17" t="s">
        <v>25</v>
      </c>
      <c r="C3938" s="18" t="s">
        <v>1150</v>
      </c>
      <c r="D3938" s="18" t="s">
        <v>1169</v>
      </c>
      <c r="E3938" s="18">
        <v>0</v>
      </c>
      <c r="F3938" s="18"/>
      <c r="G3938" s="19" t="s">
        <v>1312</v>
      </c>
    </row>
    <row r="3939" spans="1:7" s="7" customFormat="1" hidden="1" outlineLevel="1" x14ac:dyDescent="0.15">
      <c r="A3939" s="2"/>
      <c r="B3939" s="17" t="s">
        <v>26</v>
      </c>
      <c r="C3939" s="18" t="s">
        <v>1152</v>
      </c>
      <c r="D3939" s="18" t="s">
        <v>1169</v>
      </c>
      <c r="E3939" s="18">
        <v>0</v>
      </c>
      <c r="F3939" s="18"/>
      <c r="G3939" s="19" t="s">
        <v>1323</v>
      </c>
    </row>
    <row r="3940" spans="1:7" s="7" customFormat="1" hidden="1" outlineLevel="1" x14ac:dyDescent="0.15">
      <c r="A3940" s="2"/>
      <c r="B3940" s="20" t="s">
        <v>27</v>
      </c>
      <c r="C3940" s="21" t="s">
        <v>1313</v>
      </c>
      <c r="D3940" s="21" t="s">
        <v>1169</v>
      </c>
      <c r="E3940" s="21">
        <v>0</v>
      </c>
      <c r="F3940" s="21"/>
      <c r="G3940" s="22" t="s">
        <v>1314</v>
      </c>
    </row>
    <row r="3941" spans="1:7" s="7" customFormat="1" hidden="1" outlineLevel="1" x14ac:dyDescent="0.15">
      <c r="A3941" s="2"/>
      <c r="B3941" s="20" t="s">
        <v>493</v>
      </c>
      <c r="C3941" s="21" t="s">
        <v>1117</v>
      </c>
      <c r="D3941" s="21" t="s">
        <v>1169</v>
      </c>
      <c r="E3941" s="21">
        <v>0</v>
      </c>
      <c r="F3941" s="21"/>
      <c r="G3941" s="22"/>
    </row>
    <row r="3942" spans="1:7" s="7" customFormat="1" hidden="1" outlineLevel="1" x14ac:dyDescent="0.15">
      <c r="A3942" s="2"/>
      <c r="B3942" s="20" t="s">
        <v>494</v>
      </c>
      <c r="C3942" s="21" t="s">
        <v>1315</v>
      </c>
      <c r="D3942" s="21" t="s">
        <v>1169</v>
      </c>
      <c r="E3942" s="21">
        <v>0</v>
      </c>
      <c r="F3942" s="21"/>
      <c r="G3942" s="22"/>
    </row>
    <row r="3943" spans="1:7" s="7" customFormat="1" hidden="1" outlineLevel="1" x14ac:dyDescent="0.15">
      <c r="A3943" s="2"/>
      <c r="B3943" s="20" t="s">
        <v>321</v>
      </c>
      <c r="C3943" s="21" t="s">
        <v>1316</v>
      </c>
      <c r="D3943" s="21" t="s">
        <v>1169</v>
      </c>
      <c r="E3943" s="21">
        <v>0</v>
      </c>
      <c r="F3943" s="21"/>
      <c r="G3943" s="22"/>
    </row>
    <row r="3944" spans="1:7" s="7" customFormat="1" hidden="1" outlineLevel="1" x14ac:dyDescent="0.15">
      <c r="A3944" s="2"/>
      <c r="B3944" s="20" t="s">
        <v>322</v>
      </c>
      <c r="C3944" s="21" t="s">
        <v>1317</v>
      </c>
      <c r="D3944" s="21" t="s">
        <v>1169</v>
      </c>
      <c r="E3944" s="21">
        <v>0</v>
      </c>
      <c r="F3944" s="21"/>
      <c r="G3944" s="22"/>
    </row>
    <row r="3945" spans="1:7" s="7" customFormat="1" hidden="1" outlineLevel="1" x14ac:dyDescent="0.15">
      <c r="A3945" s="2"/>
      <c r="B3945" s="20" t="s">
        <v>330</v>
      </c>
      <c r="C3945" s="21" t="s">
        <v>1318</v>
      </c>
      <c r="D3945" s="21" t="s">
        <v>1169</v>
      </c>
      <c r="E3945" s="21">
        <v>0</v>
      </c>
      <c r="F3945" s="21"/>
      <c r="G3945" s="22"/>
    </row>
    <row r="3946" spans="1:7" s="7" customFormat="1" hidden="1" outlineLevel="1" x14ac:dyDescent="0.15">
      <c r="A3946" s="2"/>
      <c r="B3946" s="20" t="s">
        <v>495</v>
      </c>
      <c r="C3946" s="21" t="s">
        <v>1153</v>
      </c>
      <c r="D3946" s="21" t="s">
        <v>1169</v>
      </c>
      <c r="E3946" s="21">
        <v>0</v>
      </c>
      <c r="F3946" s="21"/>
      <c r="G3946" s="22"/>
    </row>
    <row r="3947" spans="1:7" s="7" customFormat="1" hidden="1" outlineLevel="1" x14ac:dyDescent="0.15">
      <c r="A3947" s="2"/>
      <c r="B3947" s="20" t="s">
        <v>323</v>
      </c>
      <c r="C3947" s="21" t="s">
        <v>1319</v>
      </c>
      <c r="D3947" s="21" t="s">
        <v>1169</v>
      </c>
      <c r="E3947" s="21">
        <v>0</v>
      </c>
      <c r="F3947" s="21"/>
      <c r="G3947" s="22"/>
    </row>
    <row r="3948" spans="1:7" s="7" customFormat="1" hidden="1" outlineLevel="1" x14ac:dyDescent="0.15">
      <c r="A3948" s="2"/>
      <c r="B3948" s="20" t="s">
        <v>324</v>
      </c>
      <c r="C3948" s="21" t="s">
        <v>1320</v>
      </c>
      <c r="D3948" s="21" t="s">
        <v>1169</v>
      </c>
      <c r="E3948" s="21">
        <v>0</v>
      </c>
      <c r="F3948" s="21"/>
      <c r="G3948" s="22"/>
    </row>
    <row r="3949" spans="1:7" s="7" customFormat="1" hidden="1" outlineLevel="1" x14ac:dyDescent="0.15">
      <c r="A3949" s="2"/>
      <c r="B3949" s="20" t="s">
        <v>325</v>
      </c>
      <c r="C3949" s="21" t="s">
        <v>1154</v>
      </c>
      <c r="D3949" s="21" t="s">
        <v>1169</v>
      </c>
      <c r="E3949" s="21">
        <v>0</v>
      </c>
      <c r="F3949" s="21"/>
      <c r="G3949" s="22"/>
    </row>
    <row r="3950" spans="1:7" s="7" customFormat="1" hidden="1" outlineLevel="1" x14ac:dyDescent="0.15">
      <c r="A3950" s="2"/>
      <c r="B3950" s="20" t="s">
        <v>326</v>
      </c>
      <c r="C3950" s="21" t="s">
        <v>1321</v>
      </c>
      <c r="D3950" s="21" t="s">
        <v>1169</v>
      </c>
      <c r="E3950" s="21">
        <v>0</v>
      </c>
      <c r="F3950" s="21"/>
      <c r="G3950" s="22"/>
    </row>
    <row r="3951" spans="1:7" s="7" customFormat="1" ht="18" hidden="1" outlineLevel="1" thickBot="1" x14ac:dyDescent="0.2">
      <c r="A3951" s="2"/>
      <c r="B3951" s="20"/>
      <c r="C3951" s="21"/>
      <c r="D3951" s="21"/>
      <c r="E3951" s="21"/>
      <c r="F3951" s="21"/>
      <c r="G3951" s="22"/>
    </row>
    <row r="3952" spans="1:7" s="7" customFormat="1" hidden="1" outlineLevel="1" x14ac:dyDescent="0.15">
      <c r="A3952" s="2"/>
      <c r="B3952" s="327" t="s">
        <v>15</v>
      </c>
      <c r="C3952" s="328"/>
      <c r="D3952" s="328"/>
      <c r="E3952" s="328"/>
      <c r="F3952" s="328"/>
      <c r="G3952" s="329"/>
    </row>
    <row r="3953" spans="1:16" s="7" customFormat="1" hidden="1" outlineLevel="1" x14ac:dyDescent="0.15">
      <c r="A3953" s="2" t="s">
        <v>62</v>
      </c>
      <c r="B3953" s="20">
        <v>1</v>
      </c>
      <c r="C3953" s="21" t="s">
        <v>123</v>
      </c>
      <c r="D3953" s="21" t="s">
        <v>113</v>
      </c>
      <c r="E3953" s="21" t="s">
        <v>243</v>
      </c>
      <c r="F3953" s="21"/>
      <c r="G3953" s="22"/>
    </row>
    <row r="3954" spans="1:16" s="7" customFormat="1" hidden="1" outlineLevel="1" x14ac:dyDescent="0.15">
      <c r="A3954" s="2"/>
      <c r="B3954" s="20">
        <v>2</v>
      </c>
      <c r="C3954" s="18" t="s">
        <v>22</v>
      </c>
      <c r="D3954" s="21" t="s">
        <v>16</v>
      </c>
      <c r="E3954" s="21" t="s">
        <v>111</v>
      </c>
      <c r="F3954" s="21" t="s">
        <v>328</v>
      </c>
      <c r="G3954" s="21"/>
    </row>
    <row r="3955" spans="1:16" s="7" customFormat="1" ht="18" hidden="1" outlineLevel="1" thickBot="1" x14ac:dyDescent="0.2">
      <c r="A3955" s="2"/>
      <c r="B3955" s="24"/>
      <c r="C3955" s="9"/>
      <c r="D3955" s="9"/>
      <c r="E3955" s="9"/>
      <c r="F3955" s="9"/>
      <c r="G3955" s="11"/>
    </row>
    <row r="3956" spans="1:16" ht="18" hidden="1" outlineLevel="1" thickBot="1" x14ac:dyDescent="0.2">
      <c r="A3956" s="2"/>
      <c r="B3956" s="7"/>
      <c r="C3956" s="7"/>
      <c r="D3956" s="7"/>
      <c r="E3956" s="7"/>
      <c r="F3956" s="7"/>
      <c r="G3956" s="7"/>
    </row>
    <row r="3957" spans="1:16" s="7" customFormat="1" ht="18" hidden="1" outlineLevel="1" thickBot="1" x14ac:dyDescent="0.2">
      <c r="A3957" s="1"/>
      <c r="B3957" s="1"/>
      <c r="C3957" s="1"/>
      <c r="D3957" s="1"/>
      <c r="E3957" s="1"/>
      <c r="F3957" s="1"/>
      <c r="G3957" s="1"/>
      <c r="H3957" s="6" t="str">
        <f>"create or replace view "&amp;C3958</f>
        <v>create or replace view vi_logic_rptasset_ReportProductPositionTradeQuery</v>
      </c>
    </row>
    <row r="3958" spans="1:16" s="7" customFormat="1" ht="18" collapsed="1" thickBot="1" x14ac:dyDescent="0.2">
      <c r="A3958" s="2"/>
      <c r="B3958" s="3" t="s">
        <v>563</v>
      </c>
      <c r="C3958" s="4" t="s">
        <v>704</v>
      </c>
      <c r="D3958" s="5" t="s">
        <v>515</v>
      </c>
      <c r="E3958" s="176" t="s">
        <v>741</v>
      </c>
      <c r="F3958" s="5" t="s">
        <v>567</v>
      </c>
      <c r="G3958" s="6" t="s">
        <v>705</v>
      </c>
      <c r="H3958" s="11" t="str">
        <f>"/* "&amp;E3958&amp;"*/  as "</f>
        <v xml:space="preserve">/* 报表_资管报表_视图-报表产品持仓交易汇总查询*/  as </v>
      </c>
    </row>
    <row r="3959" spans="1:16" s="7" customFormat="1" ht="18" hidden="1" outlineLevel="1" thickBot="1" x14ac:dyDescent="0.2">
      <c r="A3959" s="2"/>
      <c r="B3959" s="34" t="s">
        <v>570</v>
      </c>
      <c r="C3959" s="18"/>
      <c r="D3959" s="35" t="s">
        <v>568</v>
      </c>
      <c r="E3959" s="18" t="s">
        <v>615</v>
      </c>
      <c r="F3959" s="35"/>
      <c r="G3959" s="19"/>
      <c r="H3959" s="13" t="s">
        <v>474</v>
      </c>
    </row>
    <row r="3960" spans="1:16" s="7" customFormat="1" hidden="1" outlineLevel="1" x14ac:dyDescent="0.15">
      <c r="A3960" s="2"/>
      <c r="B3960" s="3" t="s">
        <v>0</v>
      </c>
      <c r="C3960" s="5" t="s">
        <v>1</v>
      </c>
      <c r="D3960" s="5" t="s">
        <v>2</v>
      </c>
      <c r="E3960" s="5"/>
      <c r="F3960" s="5" t="s">
        <v>3</v>
      </c>
      <c r="G3960" s="36" t="s">
        <v>4</v>
      </c>
      <c r="H3960" s="247"/>
    </row>
    <row r="3961" spans="1:16" s="7" customFormat="1" hidden="1" outlineLevel="1" x14ac:dyDescent="0.15">
      <c r="A3961" s="2"/>
      <c r="B3961" s="176" t="s">
        <v>422</v>
      </c>
      <c r="C3961" s="246" t="s">
        <v>1127</v>
      </c>
      <c r="D3961" s="246" t="s">
        <v>211</v>
      </c>
      <c r="E3961" s="246" t="s">
        <v>1141</v>
      </c>
      <c r="F3961" s="246"/>
      <c r="G3961" s="246" t="s">
        <v>1162</v>
      </c>
      <c r="H3961" s="247"/>
    </row>
    <row r="3962" spans="1:16" s="7" customFormat="1" ht="17.25" hidden="1" customHeight="1" outlineLevel="1" x14ac:dyDescent="0.15">
      <c r="A3962" s="2"/>
      <c r="B3962" s="176" t="s">
        <v>426</v>
      </c>
      <c r="C3962" s="246" t="s">
        <v>1163</v>
      </c>
      <c r="D3962" s="246" t="s">
        <v>211</v>
      </c>
      <c r="E3962" s="246">
        <v>0</v>
      </c>
      <c r="F3962" s="246"/>
      <c r="G3962" s="246" t="s">
        <v>1077</v>
      </c>
      <c r="H3962" s="107" t="str">
        <f t="shared" ref="H3962:H3967" si="38">"ifnull("&amp;IF(I3962&lt;&gt;"",I3962,IF(F3963&lt;&gt;"",F3963,"t")&amp;"."&amp;C3963)&amp;","&amp;E3963&amp;") as "&amp;C3963&amp;",/*"&amp;B3963&amp;"*/"</f>
        <v>ifnull(t.pd_no,0) as pd_no,/*产品编号*/</v>
      </c>
      <c r="P3962" s="176" t="s">
        <v>111</v>
      </c>
    </row>
    <row r="3963" spans="1:16" s="7" customFormat="1" ht="17.25" hidden="1" customHeight="1" outlineLevel="1" x14ac:dyDescent="0.15">
      <c r="A3963" s="175"/>
      <c r="B3963" s="176" t="s">
        <v>111</v>
      </c>
      <c r="C3963" s="176" t="s">
        <v>1164</v>
      </c>
      <c r="D3963" s="176" t="s">
        <v>211</v>
      </c>
      <c r="E3963" s="176">
        <v>0</v>
      </c>
      <c r="F3963" s="176" t="s">
        <v>440</v>
      </c>
      <c r="G3963" s="176" t="s">
        <v>1165</v>
      </c>
      <c r="H3963" s="107" t="str">
        <f t="shared" si="38"/>
        <v>ifnull(t.exch_no,0) as exch_no,/*市场编号*/</v>
      </c>
      <c r="P3963" s="176" t="s">
        <v>18</v>
      </c>
    </row>
    <row r="3964" spans="1:16" s="7" customFormat="1" ht="17.25" hidden="1" customHeight="1" outlineLevel="1" x14ac:dyDescent="0.15">
      <c r="A3964" s="175"/>
      <c r="B3964" s="176" t="s">
        <v>18</v>
      </c>
      <c r="C3964" s="176" t="s">
        <v>1190</v>
      </c>
      <c r="D3964" s="176" t="s">
        <v>211</v>
      </c>
      <c r="E3964" s="176">
        <v>0</v>
      </c>
      <c r="F3964" s="176" t="s">
        <v>440</v>
      </c>
      <c r="G3964" s="176" t="s">
        <v>1081</v>
      </c>
      <c r="H3964" s="107" t="str">
        <f t="shared" si="38"/>
        <v>ifnull(t.stock_code_no,0) as stock_code_no,/*证券代码编号*/</v>
      </c>
      <c r="P3964" s="176" t="s">
        <v>118</v>
      </c>
    </row>
    <row r="3965" spans="1:16" s="7" customFormat="1" ht="17.25" hidden="1" customHeight="1" outlineLevel="1" x14ac:dyDescent="0.15">
      <c r="A3965" s="175"/>
      <c r="B3965" s="176" t="s">
        <v>118</v>
      </c>
      <c r="C3965" s="176" t="s">
        <v>1188</v>
      </c>
      <c r="D3965" s="176" t="s">
        <v>211</v>
      </c>
      <c r="E3965" s="176">
        <v>0</v>
      </c>
      <c r="F3965" s="176" t="s">
        <v>440</v>
      </c>
      <c r="G3965" s="176"/>
      <c r="H3965" s="107" t="str">
        <f t="shared" si="38"/>
        <v>ifnull(t.stock_type,0) as stock_type,/*证券类型*/</v>
      </c>
      <c r="P3965" s="176" t="s">
        <v>93</v>
      </c>
    </row>
    <row r="3966" spans="1:16" s="7" customFormat="1" ht="17.25" hidden="1" customHeight="1" outlineLevel="1" x14ac:dyDescent="0.15">
      <c r="A3966" s="175"/>
      <c r="B3966" s="176" t="s">
        <v>93</v>
      </c>
      <c r="C3966" s="176" t="s">
        <v>1189</v>
      </c>
      <c r="D3966" s="176" t="s">
        <v>211</v>
      </c>
      <c r="E3966" s="176">
        <v>0</v>
      </c>
      <c r="F3966" s="176" t="s">
        <v>440</v>
      </c>
      <c r="G3966" s="176"/>
      <c r="H3966" s="107" t="str">
        <f t="shared" si="38"/>
        <v>ifnull(t.pre_holding_qty,0) as pre_holding_qty,/*昨日持仓数量*/</v>
      </c>
      <c r="P3966" s="192" t="s">
        <v>8</v>
      </c>
    </row>
    <row r="3967" spans="1:16" s="7" customFormat="1" ht="17.25" hidden="1" customHeight="1" outlineLevel="1" x14ac:dyDescent="0.15">
      <c r="A3967" s="175"/>
      <c r="B3967" s="176" t="s">
        <v>524</v>
      </c>
      <c r="C3967" s="176" t="s">
        <v>1510</v>
      </c>
      <c r="D3967" s="176" t="s">
        <v>1087</v>
      </c>
      <c r="E3967" s="192">
        <v>0</v>
      </c>
      <c r="F3967" s="176" t="s">
        <v>440</v>
      </c>
      <c r="G3967" s="176"/>
      <c r="H3967" s="107" t="str">
        <f t="shared" si="38"/>
        <v>ifnull(t.posi_qty,0) as posi_qty,/*持仓数量*/</v>
      </c>
      <c r="P3967" s="192" t="s">
        <v>9</v>
      </c>
    </row>
    <row r="3968" spans="1:16" s="7" customFormat="1" ht="17.25" hidden="1" customHeight="1" outlineLevel="1" x14ac:dyDescent="0.15">
      <c r="A3968" s="175"/>
      <c r="B3968" s="176" t="s">
        <v>150</v>
      </c>
      <c r="C3968" s="176" t="s">
        <v>1417</v>
      </c>
      <c r="D3968" s="176" t="s">
        <v>1087</v>
      </c>
      <c r="E3968" s="192">
        <v>0</v>
      </c>
      <c r="F3968" s="176" t="s">
        <v>440</v>
      </c>
      <c r="G3968" s="176"/>
      <c r="H3968" s="107" t="str">
        <f>"ifnull("&amp;IF(I3968&lt;&gt;"",I3968,IF(F3969&lt;&gt;"",F3969,"t")&amp;"."&amp;C3969)&amp;","&amp;E3971&amp;") as "&amp;C3969&amp;",/*"&amp;B3969&amp;"*/"</f>
        <v>ifnull(t.today_close_price,0) as today_close_price,/*今收盘价*/</v>
      </c>
      <c r="P3968" s="193" t="s">
        <v>439</v>
      </c>
    </row>
    <row r="3969" spans="1:16" s="7" customFormat="1" ht="17.25" hidden="1" customHeight="1" outlineLevel="1" x14ac:dyDescent="0.15">
      <c r="A3969" s="175"/>
      <c r="B3969" s="176" t="s">
        <v>531</v>
      </c>
      <c r="C3969" s="176" t="s">
        <v>1113</v>
      </c>
      <c r="D3969" s="176" t="s">
        <v>1211</v>
      </c>
      <c r="E3969" s="193">
        <v>0</v>
      </c>
      <c r="F3969" s="176" t="s">
        <v>440</v>
      </c>
      <c r="G3969" s="176"/>
      <c r="H3969" s="107" t="str">
        <f>"ifnull("&amp;IF(I3969&lt;&gt;"",I3969,IF(F3970&lt;&gt;"",F3970,"t")&amp;"."&amp;C3970)&amp;","&amp;E3972&amp;") as "&amp;C3970&amp;",/*"&amp;B3970&amp;"*/"</f>
        <v>ifnull(t.posi_market_value,0) as posi_market_value,/*持仓市值*/</v>
      </c>
      <c r="P3969" s="147" t="s">
        <v>432</v>
      </c>
    </row>
    <row r="3970" spans="1:16" s="7" customFormat="1" ht="17.25" hidden="1" customHeight="1" outlineLevel="1" x14ac:dyDescent="0.15">
      <c r="A3970" s="175"/>
      <c r="B3970" s="176" t="s">
        <v>443</v>
      </c>
      <c r="C3970" s="176" t="s">
        <v>1214</v>
      </c>
      <c r="D3970" s="176" t="s">
        <v>1169</v>
      </c>
      <c r="E3970" s="147">
        <v>0</v>
      </c>
      <c r="F3970" s="176" t="s">
        <v>440</v>
      </c>
      <c r="G3970" s="176"/>
      <c r="H3970" s="107" t="str">
        <f>"ifnull("&amp;IF(I3970&lt;&gt;"",I3970,IF(F3971&lt;&gt;"",F3971,"t")&amp;"."&amp;C3971)&amp;","&amp;E3973&amp;") as "&amp;C3971&amp;",/*"&amp;B3971&amp;"*/"</f>
        <v>ifnull(a.today_buy_qty,0) as today_buy_qty,/*当日买入数量*/</v>
      </c>
      <c r="P3970" s="147" t="s">
        <v>433</v>
      </c>
    </row>
    <row r="3971" spans="1:16" s="7" customFormat="1" ht="17.25" hidden="1" customHeight="1" outlineLevel="1" x14ac:dyDescent="0.15">
      <c r="A3971" s="175"/>
      <c r="B3971" s="245" t="s">
        <v>525</v>
      </c>
      <c r="C3971" s="245" t="s">
        <v>1511</v>
      </c>
      <c r="D3971" s="245" t="s">
        <v>1087</v>
      </c>
      <c r="E3971" s="147">
        <v>0</v>
      </c>
      <c r="F3971" s="245" t="s">
        <v>441</v>
      </c>
      <c r="G3971" s="176"/>
      <c r="H3971" s="107" t="str">
        <f>"ifnull("&amp;IF(I3971&lt;&gt;"",I3971,IF(F3972&lt;&gt;"",F3972,"t")&amp;"."&amp;C3972)&amp;","&amp;G3976&amp;") as "&amp;C3972&amp;",/*"&amp;B3972&amp;"*/"</f>
        <v>ifnull(a.today_buy_amt,) as today_buy_amt,/*当日买入金额*/</v>
      </c>
      <c r="P3971" s="147" t="s">
        <v>434</v>
      </c>
    </row>
    <row r="3972" spans="1:16" s="7" customFormat="1" ht="17.25" hidden="1" customHeight="1" outlineLevel="1" x14ac:dyDescent="0.15">
      <c r="A3972" s="175"/>
      <c r="B3972" s="245" t="s">
        <v>526</v>
      </c>
      <c r="C3972" s="245" t="s">
        <v>1512</v>
      </c>
      <c r="D3972" s="245" t="s">
        <v>1169</v>
      </c>
      <c r="E3972" s="147">
        <v>0</v>
      </c>
      <c r="F3972" s="245" t="s">
        <v>441</v>
      </c>
      <c r="G3972" s="176"/>
      <c r="H3972" s="107" t="str">
        <f>"ifnull("&amp;IF(I3972&lt;&gt;"",I3972,IF(F3973&lt;&gt;"",F3973,"t")&amp;"."&amp;C3973)&amp;","&amp;G3977&amp;") as "&amp;C3973&amp;",/*"&amp;B3973&amp;"*/"</f>
        <v>ifnull(a.today_buy_price,) as today_buy_price,/*当日买入价格*/</v>
      </c>
      <c r="P3972" s="147" t="s">
        <v>435</v>
      </c>
    </row>
    <row r="3973" spans="1:16" s="7" customFormat="1" ht="17.25" hidden="1" customHeight="1" outlineLevel="1" x14ac:dyDescent="0.15">
      <c r="A3973" s="175"/>
      <c r="B3973" s="245" t="s">
        <v>527</v>
      </c>
      <c r="C3973" s="245" t="s">
        <v>1615</v>
      </c>
      <c r="D3973" s="245" t="s">
        <v>1211</v>
      </c>
      <c r="E3973" s="147">
        <v>0</v>
      </c>
      <c r="F3973" s="245" t="s">
        <v>441</v>
      </c>
      <c r="G3973" s="176"/>
      <c r="H3973" s="107" t="str">
        <f>"ifnull("&amp;IF(I3973&lt;&gt;"",I3973,IF(F3974&lt;&gt;"",F3974,"t")&amp;"."&amp;C3974)&amp;","&amp;G3978&amp;") as "&amp;C3974&amp;",/*"&amp;B3974&amp;"*/"</f>
        <v>ifnull(a.buy_begin_time,) as buy_begin_time,/*买入开始时间*/</v>
      </c>
      <c r="P3973" s="245" t="s">
        <v>516</v>
      </c>
    </row>
    <row r="3974" spans="1:16" s="7" customFormat="1" ht="17.25" hidden="1" customHeight="1" outlineLevel="1" x14ac:dyDescent="0.15">
      <c r="A3974" s="175"/>
      <c r="B3974" s="245" t="s">
        <v>516</v>
      </c>
      <c r="C3974" s="245" t="s">
        <v>1501</v>
      </c>
      <c r="D3974" s="245" t="s">
        <v>211</v>
      </c>
      <c r="E3974" s="245" t="s">
        <v>1265</v>
      </c>
      <c r="F3974" s="245" t="s">
        <v>441</v>
      </c>
      <c r="G3974" s="176"/>
      <c r="H3974" s="107" t="str">
        <f>"ifnull("&amp;IF(I3974&lt;&gt;"",I3974,IF(F3975&lt;&gt;"",F3975,"t")&amp;"."&amp;C3975)&amp;","&amp;G3979&amp;") as "&amp;C3975&amp;",/*"&amp;B3975&amp;"*/"</f>
        <v>ifnull(a.buy_end_time,) as buy_end_time,/*买入结束时间*/</v>
      </c>
      <c r="P3974" s="245" t="s">
        <v>517</v>
      </c>
    </row>
    <row r="3975" spans="1:16" s="7" customFormat="1" ht="17.25" hidden="1" customHeight="1" outlineLevel="1" x14ac:dyDescent="0.15">
      <c r="A3975" s="175"/>
      <c r="B3975" s="245" t="s">
        <v>517</v>
      </c>
      <c r="C3975" s="245" t="s">
        <v>1502</v>
      </c>
      <c r="D3975" s="245" t="s">
        <v>211</v>
      </c>
      <c r="E3975" s="245" t="s">
        <v>1265</v>
      </c>
      <c r="F3975" s="245" t="s">
        <v>441</v>
      </c>
      <c r="G3975" s="176"/>
      <c r="H3975" s="107" t="str">
        <f>"ifnull("&amp;IF(I3975&lt;&gt;"",I3975,IF(F3976&lt;&gt;"",F3976,"t")&amp;"."&amp;C3976)&amp;","&amp;E3974&amp;") as "&amp;C3976&amp;",/*"&amp;B3976&amp;"*/"</f>
        <v>ifnull(a.today_sell_qty,date_format(curtime(),'%H%i%s')) as today_sell_qty,/*当日卖出数量*/</v>
      </c>
      <c r="P3975" s="147" t="s">
        <v>436</v>
      </c>
    </row>
    <row r="3976" spans="1:16" s="7" customFormat="1" ht="17.25" hidden="1" customHeight="1" outlineLevel="1" x14ac:dyDescent="0.15">
      <c r="A3976" s="175"/>
      <c r="B3976" s="245" t="s">
        <v>528</v>
      </c>
      <c r="C3976" s="245" t="s">
        <v>1513</v>
      </c>
      <c r="D3976" s="245" t="s">
        <v>1087</v>
      </c>
      <c r="E3976" s="147">
        <v>0</v>
      </c>
      <c r="F3976" s="245" t="s">
        <v>441</v>
      </c>
      <c r="G3976" s="176"/>
      <c r="H3976" s="107" t="str">
        <f>"ifnull("&amp;IF(I3976&lt;&gt;"",I3976,IF(F3977&lt;&gt;"",F3977,"t")&amp;"."&amp;C3977)&amp;","&amp;E3975&amp;") as "&amp;C3977&amp;",/*"&amp;B3977&amp;"*/"</f>
        <v>ifnull(a.today_sell_amt,date_format(curtime(),'%H%i%s')) as today_sell_amt,/*当日卖出金额*/</v>
      </c>
      <c r="P3976" s="105" t="s">
        <v>706</v>
      </c>
    </row>
    <row r="3977" spans="1:16" s="7" customFormat="1" ht="17.25" hidden="1" customHeight="1" outlineLevel="1" x14ac:dyDescent="0.15">
      <c r="A3977" s="175"/>
      <c r="B3977" s="245" t="s">
        <v>529</v>
      </c>
      <c r="C3977" s="245" t="s">
        <v>1514</v>
      </c>
      <c r="D3977" s="245" t="s">
        <v>1169</v>
      </c>
      <c r="E3977" s="147">
        <v>0</v>
      </c>
      <c r="F3977" s="245" t="s">
        <v>441</v>
      </c>
      <c r="G3977" s="176"/>
      <c r="H3977" s="107" t="str">
        <f>"ifnull("&amp;IF(I3977&lt;&gt;"",I3977,IF(F3978&lt;&gt;"",F3978,"t")&amp;"."&amp;C3978)&amp;","&amp;E3979&amp;") as "&amp;C3978&amp;",/*"&amp;B3978&amp;"*/"</f>
        <v>ifnull(a.today_sell_price,date_format(curtime(),'%H%i%s')) as today_sell_price,/*当日卖出价格*/</v>
      </c>
      <c r="P3977" s="147" t="s">
        <v>437</v>
      </c>
    </row>
    <row r="3978" spans="1:16" s="7" customFormat="1" ht="17.25" hidden="1" customHeight="1" outlineLevel="1" x14ac:dyDescent="0.15">
      <c r="A3978" s="175"/>
      <c r="B3978" s="245" t="s">
        <v>530</v>
      </c>
      <c r="C3978" s="245" t="s">
        <v>1515</v>
      </c>
      <c r="D3978" s="245" t="s">
        <v>1211</v>
      </c>
      <c r="E3978" s="147">
        <v>0</v>
      </c>
      <c r="F3978" s="245" t="s">
        <v>441</v>
      </c>
      <c r="G3978" s="176"/>
      <c r="H3978" s="107" t="str">
        <f>"ifnull("&amp;IF(I3978&lt;&gt;"",I3978,IF(F3979&lt;&gt;"",F3979,"t")&amp;"."&amp;C3979)&amp;","&amp;E3980&amp;") as "&amp;C3979&amp;",/*"&amp;B3979&amp;"*/"</f>
        <v>ifnull(a.sell_begin_time,date_format(curtime(),'%H%i%s')) as sell_begin_time,/*卖出开始时间*/</v>
      </c>
      <c r="P3978" s="245" t="s">
        <v>518</v>
      </c>
    </row>
    <row r="3979" spans="1:16" s="7" customFormat="1" ht="17.25" hidden="1" customHeight="1" outlineLevel="1" x14ac:dyDescent="0.15">
      <c r="A3979" s="175"/>
      <c r="B3979" s="245" t="s">
        <v>518</v>
      </c>
      <c r="C3979" s="245" t="s">
        <v>1503</v>
      </c>
      <c r="D3979" s="245" t="s">
        <v>211</v>
      </c>
      <c r="E3979" s="245" t="s">
        <v>1265</v>
      </c>
      <c r="F3979" s="245" t="s">
        <v>441</v>
      </c>
      <c r="G3979" s="176"/>
      <c r="H3979" s="107" t="str">
        <f>"ifnull("&amp;IF(I3979&lt;&gt;"",I3979,IF(F3980&lt;&gt;"",F3980,"t")&amp;"."&amp;C3980)&amp;","&amp;E3981&amp;") as "&amp;C3980&amp;",/*"&amp;B3980&amp;"*/"</f>
        <v>ifnull(a.sell_end_time,) as sell_end_time,/*卖出结束时间*/</v>
      </c>
      <c r="P3979" s="245" t="s">
        <v>519</v>
      </c>
    </row>
    <row r="3980" spans="1:16" s="7" customFormat="1" ht="17.25" hidden="1" customHeight="1" outlineLevel="1" x14ac:dyDescent="0.15">
      <c r="A3980" s="175"/>
      <c r="B3980" s="245" t="s">
        <v>519</v>
      </c>
      <c r="C3980" s="245" t="s">
        <v>1610</v>
      </c>
      <c r="D3980" s="245" t="s">
        <v>211</v>
      </c>
      <c r="E3980" s="245" t="s">
        <v>1265</v>
      </c>
      <c r="F3980" s="245" t="s">
        <v>441</v>
      </c>
      <c r="G3980" s="176"/>
    </row>
    <row r="3981" spans="1:16" s="7" customFormat="1" ht="18" hidden="1" outlineLevel="1" thickBot="1" x14ac:dyDescent="0.2">
      <c r="A3981" s="2"/>
      <c r="B3981" s="24"/>
      <c r="C3981" s="9"/>
      <c r="D3981" s="9"/>
      <c r="F3981" s="9"/>
      <c r="G3981" s="11"/>
    </row>
    <row r="3982" spans="1:16" s="7" customFormat="1" ht="17.25" hidden="1" customHeight="1" outlineLevel="1" x14ac:dyDescent="0.15">
      <c r="A3982" s="2"/>
      <c r="B3982" s="327" t="s">
        <v>15</v>
      </c>
      <c r="C3982" s="328"/>
      <c r="D3982" s="328"/>
      <c r="E3982" s="328"/>
      <c r="F3982" s="328"/>
      <c r="G3982" s="329"/>
    </row>
    <row r="3983" spans="1:16" ht="17.25" hidden="1" customHeight="1" outlineLevel="1" thickBot="1" x14ac:dyDescent="0.2">
      <c r="A3983" s="2"/>
      <c r="B3983" s="24"/>
      <c r="C3983" s="9"/>
      <c r="D3983" s="9"/>
      <c r="E3983" s="9"/>
      <c r="F3983" s="9"/>
      <c r="G3983" s="11"/>
    </row>
    <row r="3984" spans="1:16" s="7" customFormat="1" ht="18" hidden="1" outlineLevel="1" thickBot="1" x14ac:dyDescent="0.2">
      <c r="A3984" s="1"/>
      <c r="B3984" s="1"/>
      <c r="C3984" s="1"/>
      <c r="D3984" s="1"/>
      <c r="E3984" s="1"/>
      <c r="F3984" s="1"/>
      <c r="G3984" s="1"/>
    </row>
    <row r="3985" spans="1:7" s="7" customFormat="1" ht="18" collapsed="1" thickBot="1" x14ac:dyDescent="0.2">
      <c r="B3985" s="3" t="s">
        <v>563</v>
      </c>
      <c r="C3985" s="4" t="s">
        <v>1624</v>
      </c>
      <c r="D3985" s="5" t="s">
        <v>515</v>
      </c>
      <c r="E3985" s="21" t="s">
        <v>993</v>
      </c>
      <c r="F3985" s="5" t="s">
        <v>567</v>
      </c>
      <c r="G3985" s="21"/>
    </row>
    <row r="3986" spans="1:7" s="7" customFormat="1" ht="18" hidden="1" outlineLevel="1" thickBot="1" x14ac:dyDescent="0.2">
      <c r="B3986" s="34" t="s">
        <v>570</v>
      </c>
      <c r="C3986" s="18"/>
      <c r="D3986" s="35" t="s">
        <v>568</v>
      </c>
      <c r="E3986" s="18" t="s">
        <v>615</v>
      </c>
      <c r="F3986" s="35"/>
      <c r="G3986" s="19"/>
    </row>
    <row r="3987" spans="1:7" s="7" customFormat="1" hidden="1" outlineLevel="1" x14ac:dyDescent="0.15">
      <c r="B3987" s="3" t="s">
        <v>0</v>
      </c>
      <c r="C3987" s="5" t="s">
        <v>1</v>
      </c>
      <c r="D3987" s="5" t="s">
        <v>2</v>
      </c>
      <c r="E3987" s="5"/>
      <c r="F3987" s="5" t="s">
        <v>3</v>
      </c>
      <c r="G3987" s="36" t="s">
        <v>4</v>
      </c>
    </row>
    <row r="3988" spans="1:7" s="7" customFormat="1" hidden="1" outlineLevel="1" x14ac:dyDescent="0.15">
      <c r="B3988" s="20" t="s">
        <v>16</v>
      </c>
      <c r="C3988" s="21" t="s">
        <v>1163</v>
      </c>
      <c r="D3988" s="21" t="s">
        <v>211</v>
      </c>
      <c r="E3988" s="21">
        <v>0</v>
      </c>
      <c r="F3988" s="21"/>
      <c r="G3988" s="22" t="s">
        <v>1077</v>
      </c>
    </row>
    <row r="3989" spans="1:7" s="7" customFormat="1" hidden="1" outlineLevel="1" x14ac:dyDescent="0.15">
      <c r="B3989" s="20" t="s">
        <v>111</v>
      </c>
      <c r="C3989" s="21" t="s">
        <v>1164</v>
      </c>
      <c r="D3989" s="21" t="s">
        <v>2072</v>
      </c>
      <c r="E3989" s="21">
        <v>0</v>
      </c>
      <c r="F3989" s="21"/>
      <c r="G3989" s="22" t="s">
        <v>1165</v>
      </c>
    </row>
    <row r="3990" spans="1:7" s="7" customFormat="1" hidden="1" outlineLevel="1" x14ac:dyDescent="0.15">
      <c r="B3990" s="20" t="s">
        <v>2070</v>
      </c>
      <c r="C3990" s="21" t="s">
        <v>2071</v>
      </c>
      <c r="D3990" s="21" t="s">
        <v>211</v>
      </c>
      <c r="E3990" s="21"/>
      <c r="F3990" s="21"/>
      <c r="G3990" s="22"/>
    </row>
    <row r="3991" spans="1:7" s="7" customFormat="1" hidden="1" outlineLevel="1" x14ac:dyDescent="0.15">
      <c r="B3991" s="20" t="s">
        <v>18</v>
      </c>
      <c r="C3991" s="21" t="s">
        <v>1190</v>
      </c>
      <c r="D3991" s="21" t="s">
        <v>211</v>
      </c>
      <c r="E3991" s="21">
        <v>0</v>
      </c>
      <c r="F3991" s="21"/>
      <c r="G3991" s="22" t="s">
        <v>1081</v>
      </c>
    </row>
    <row r="3992" spans="1:7" s="7" customFormat="1" hidden="1" outlineLevel="1" x14ac:dyDescent="0.15">
      <c r="B3992" s="20" t="s">
        <v>760</v>
      </c>
      <c r="C3992" s="21" t="s">
        <v>1147</v>
      </c>
      <c r="D3992" s="21" t="s">
        <v>211</v>
      </c>
      <c r="E3992" s="21">
        <v>0</v>
      </c>
      <c r="F3992" s="21"/>
      <c r="G3992" s="22"/>
    </row>
    <row r="3993" spans="1:7" s="7" customFormat="1" hidden="1" outlineLevel="1" x14ac:dyDescent="0.15">
      <c r="B3993" s="20" t="s">
        <v>761</v>
      </c>
      <c r="C3993" s="21" t="s">
        <v>1110</v>
      </c>
      <c r="D3993" s="21" t="s">
        <v>211</v>
      </c>
      <c r="E3993" s="21">
        <v>0</v>
      </c>
      <c r="F3993" s="21"/>
      <c r="G3993" s="22"/>
    </row>
    <row r="3994" spans="1:7" s="7" customFormat="1" hidden="1" outlineLevel="1" x14ac:dyDescent="0.15">
      <c r="B3994" s="20" t="s">
        <v>764</v>
      </c>
      <c r="C3994" s="21" t="s">
        <v>1216</v>
      </c>
      <c r="D3994" s="21" t="s">
        <v>211</v>
      </c>
      <c r="E3994" s="21">
        <v>0</v>
      </c>
      <c r="F3994" s="21"/>
      <c r="G3994" s="22"/>
    </row>
    <row r="3995" spans="1:7" s="7" customFormat="1" hidden="1" outlineLevel="1" x14ac:dyDescent="0.15">
      <c r="B3995" s="20" t="s">
        <v>156</v>
      </c>
      <c r="C3995" s="21" t="s">
        <v>1195</v>
      </c>
      <c r="D3995" s="21" t="s">
        <v>1087</v>
      </c>
      <c r="E3995" s="21">
        <v>0</v>
      </c>
      <c r="F3995" s="21"/>
      <c r="G3995" s="22" t="s">
        <v>1196</v>
      </c>
    </row>
    <row r="3996" spans="1:7" s="7" customFormat="1" hidden="1" outlineLevel="1" x14ac:dyDescent="0.15">
      <c r="A3996" s="2"/>
      <c r="B3996" s="17" t="s">
        <v>127</v>
      </c>
      <c r="C3996" s="18" t="s">
        <v>1266</v>
      </c>
      <c r="D3996" s="18" t="s">
        <v>1211</v>
      </c>
      <c r="E3996" s="18">
        <v>0</v>
      </c>
      <c r="F3996" s="18"/>
      <c r="G3996" s="19"/>
    </row>
    <row r="3997" spans="1:7" s="7" customFormat="1" hidden="1" outlineLevel="1" x14ac:dyDescent="0.15">
      <c r="A3997" s="2"/>
      <c r="B3997" s="17" t="s">
        <v>973</v>
      </c>
      <c r="C3997" s="18" t="s">
        <v>1272</v>
      </c>
      <c r="D3997" s="18" t="s">
        <v>1169</v>
      </c>
      <c r="E3997" s="18">
        <v>0</v>
      </c>
      <c r="F3997" s="18"/>
      <c r="G3997" s="19"/>
    </row>
    <row r="3998" spans="1:7" s="7" customFormat="1" hidden="1" outlineLevel="1" x14ac:dyDescent="0.15">
      <c r="B3998" s="20" t="s">
        <v>775</v>
      </c>
      <c r="C3998" s="21" t="s">
        <v>1224</v>
      </c>
      <c r="D3998" s="21" t="s">
        <v>1169</v>
      </c>
      <c r="E3998" s="21">
        <v>0</v>
      </c>
      <c r="F3998" s="21"/>
      <c r="G3998" s="22" t="s">
        <v>1111</v>
      </c>
    </row>
    <row r="3999" spans="1:7" s="7" customFormat="1" hidden="1" outlineLevel="1" x14ac:dyDescent="0.15">
      <c r="B3999" s="20" t="s">
        <v>411</v>
      </c>
      <c r="C3999" s="21" t="s">
        <v>1138</v>
      </c>
      <c r="D3999" s="21" t="s">
        <v>1087</v>
      </c>
      <c r="E3999" s="21">
        <v>0</v>
      </c>
      <c r="F3999" s="21"/>
      <c r="G3999" s="22"/>
    </row>
    <row r="4000" spans="1:7" s="7" customFormat="1" hidden="1" outlineLevel="1" x14ac:dyDescent="0.15">
      <c r="B4000" s="20" t="s">
        <v>864</v>
      </c>
      <c r="C4000" s="21" t="s">
        <v>1229</v>
      </c>
      <c r="D4000" s="21" t="s">
        <v>1087</v>
      </c>
      <c r="E4000" s="21">
        <v>0</v>
      </c>
      <c r="F4000" s="21"/>
      <c r="G4000" s="22"/>
    </row>
    <row r="4001" spans="1:14" s="7" customFormat="1" hidden="1" outlineLevel="1" x14ac:dyDescent="0.15">
      <c r="B4001" s="20" t="s">
        <v>443</v>
      </c>
      <c r="C4001" s="21" t="s">
        <v>1214</v>
      </c>
      <c r="D4001" s="18" t="s">
        <v>1169</v>
      </c>
      <c r="E4001" s="21">
        <v>0</v>
      </c>
      <c r="F4001" s="21"/>
      <c r="G4001" s="22"/>
      <c r="H4001" s="7" t="str">
        <f>"ifnull("&amp;IF(I4001&lt;&gt;"",I4001,IF(F4002&lt;&gt;"",F4002,"t")&amp;"."&amp;C4002)&amp;","&amp;E4002&amp;") as "&amp;C4002&amp;",/*"&amp;B4002&amp;"*/"</f>
        <v>ifnull(t.posi_nav_ratio,0) as posi_nav_ratio,/*持仓净值占比*/</v>
      </c>
      <c r="J4001" s="7" t="s">
        <v>347</v>
      </c>
      <c r="K4001" s="7" t="s">
        <v>348</v>
      </c>
      <c r="L4001" s="7" t="s">
        <v>349</v>
      </c>
      <c r="M4001" s="7" t="s">
        <v>349</v>
      </c>
      <c r="N4001" s="7">
        <v>1197</v>
      </c>
    </row>
    <row r="4002" spans="1:14" s="7" customFormat="1" ht="18" hidden="1" outlineLevel="1" thickBot="1" x14ac:dyDescent="0.2">
      <c r="B4002" s="20" t="s">
        <v>480</v>
      </c>
      <c r="C4002" s="21" t="s">
        <v>1079</v>
      </c>
      <c r="D4002" s="21" t="s">
        <v>1172</v>
      </c>
      <c r="E4002" s="21">
        <v>0</v>
      </c>
      <c r="F4002" s="21"/>
      <c r="G4002" s="22"/>
    </row>
    <row r="4003" spans="1:14" s="7" customFormat="1" ht="17.25" hidden="1" customHeight="1" outlineLevel="1" x14ac:dyDescent="0.15">
      <c r="A4003" s="2"/>
      <c r="B4003" s="327" t="s">
        <v>15</v>
      </c>
      <c r="C4003" s="328"/>
      <c r="D4003" s="328"/>
      <c r="E4003" s="328"/>
      <c r="F4003" s="328"/>
      <c r="G4003" s="329"/>
    </row>
    <row r="4004" spans="1:14" ht="17.25" hidden="1" customHeight="1" outlineLevel="1" thickBot="1" x14ac:dyDescent="0.2">
      <c r="A4004" s="2"/>
      <c r="B4004" s="24"/>
      <c r="C4004" s="9"/>
      <c r="D4004" s="9"/>
      <c r="E4004" s="9"/>
      <c r="F4004" s="9"/>
      <c r="G4004" s="11"/>
    </row>
    <row r="4005" spans="1:14" s="7" customFormat="1" ht="20.25" hidden="1" customHeight="1" outlineLevel="1" thickBot="1" x14ac:dyDescent="0.2">
      <c r="A4005" s="1"/>
      <c r="B4005" s="1"/>
      <c r="C4005" s="1"/>
      <c r="D4005" s="1"/>
      <c r="E4005" s="1"/>
      <c r="F4005" s="1"/>
      <c r="G4005" s="1"/>
    </row>
    <row r="4006" spans="1:14" s="7" customFormat="1" ht="18" collapsed="1" thickBot="1" x14ac:dyDescent="0.2">
      <c r="B4006" s="3" t="s">
        <v>563</v>
      </c>
      <c r="C4006" s="4" t="s">
        <v>995</v>
      </c>
      <c r="D4006" s="5" t="s">
        <v>515</v>
      </c>
      <c r="E4006" s="21" t="s">
        <v>996</v>
      </c>
      <c r="F4006" s="5" t="s">
        <v>567</v>
      </c>
      <c r="G4006" s="21"/>
    </row>
    <row r="4007" spans="1:14" s="7" customFormat="1" ht="18" hidden="1" outlineLevel="1" thickBot="1" x14ac:dyDescent="0.2">
      <c r="B4007" s="34" t="s">
        <v>570</v>
      </c>
      <c r="C4007" s="18"/>
      <c r="D4007" s="35" t="s">
        <v>568</v>
      </c>
      <c r="E4007" s="18" t="s">
        <v>615</v>
      </c>
      <c r="F4007" s="35"/>
      <c r="G4007" s="19"/>
    </row>
    <row r="4008" spans="1:14" s="7" customFormat="1" hidden="1" outlineLevel="1" x14ac:dyDescent="0.15">
      <c r="B4008" s="3" t="s">
        <v>0</v>
      </c>
      <c r="C4008" s="5" t="s">
        <v>1</v>
      </c>
      <c r="D4008" s="5" t="s">
        <v>2</v>
      </c>
      <c r="E4008" s="5"/>
      <c r="F4008" s="5" t="s">
        <v>3</v>
      </c>
      <c r="G4008" s="36" t="s">
        <v>4</v>
      </c>
    </row>
    <row r="4009" spans="1:14" s="7" customFormat="1" hidden="1" outlineLevel="1" x14ac:dyDescent="0.15">
      <c r="B4009" s="20" t="s">
        <v>16</v>
      </c>
      <c r="C4009" s="21" t="s">
        <v>1163</v>
      </c>
      <c r="D4009" s="21" t="s">
        <v>211</v>
      </c>
      <c r="E4009" s="21">
        <v>0</v>
      </c>
      <c r="F4009" s="21"/>
      <c r="G4009" s="22" t="s">
        <v>1077</v>
      </c>
    </row>
    <row r="4010" spans="1:14" hidden="1" outlineLevel="1" x14ac:dyDescent="0.15">
      <c r="A4010" s="7"/>
      <c r="B4010" s="20" t="s">
        <v>111</v>
      </c>
      <c r="C4010" s="21" t="s">
        <v>1164</v>
      </c>
      <c r="D4010" s="21" t="s">
        <v>211</v>
      </c>
      <c r="E4010" s="21">
        <v>0</v>
      </c>
      <c r="F4010" s="21"/>
      <c r="G4010" s="22" t="s">
        <v>1165</v>
      </c>
    </row>
    <row r="4011" spans="1:14" s="7" customFormat="1" hidden="1" outlineLevel="1" x14ac:dyDescent="0.15">
      <c r="B4011" s="20" t="s">
        <v>2070</v>
      </c>
      <c r="C4011" s="21" t="s">
        <v>2071</v>
      </c>
      <c r="D4011" s="21" t="s">
        <v>211</v>
      </c>
      <c r="E4011" s="21"/>
      <c r="F4011" s="21"/>
      <c r="G4011" s="22"/>
    </row>
    <row r="4012" spans="1:14" s="7" customFormat="1" hidden="1" outlineLevel="1" x14ac:dyDescent="0.15">
      <c r="A4012" s="1"/>
      <c r="B4012" s="33" t="s">
        <v>112</v>
      </c>
      <c r="C4012" s="29" t="s">
        <v>1085</v>
      </c>
      <c r="D4012" s="29" t="s">
        <v>423</v>
      </c>
      <c r="E4012" s="132">
        <v>0</v>
      </c>
      <c r="F4012" s="29"/>
      <c r="G4012" s="141" t="s">
        <v>1509</v>
      </c>
    </row>
    <row r="4013" spans="1:14" s="7" customFormat="1" hidden="1" outlineLevel="1" x14ac:dyDescent="0.15">
      <c r="B4013" s="20" t="s">
        <v>18</v>
      </c>
      <c r="C4013" s="21" t="s">
        <v>1190</v>
      </c>
      <c r="D4013" s="21" t="s">
        <v>211</v>
      </c>
      <c r="E4013" s="21">
        <v>0</v>
      </c>
      <c r="F4013" s="21"/>
      <c r="G4013" s="22" t="s">
        <v>1081</v>
      </c>
    </row>
    <row r="4014" spans="1:14" s="7" customFormat="1" hidden="1" outlineLevel="1" x14ac:dyDescent="0.15">
      <c r="B4014" s="20" t="s">
        <v>760</v>
      </c>
      <c r="C4014" s="21" t="s">
        <v>1147</v>
      </c>
      <c r="D4014" s="21" t="s">
        <v>211</v>
      </c>
      <c r="E4014" s="21">
        <v>0</v>
      </c>
      <c r="F4014" s="21"/>
      <c r="G4014" s="22"/>
    </row>
    <row r="4015" spans="1:14" s="7" customFormat="1" hidden="1" outlineLevel="1" x14ac:dyDescent="0.15">
      <c r="B4015" s="20" t="s">
        <v>761</v>
      </c>
      <c r="C4015" s="21" t="s">
        <v>1110</v>
      </c>
      <c r="D4015" s="21" t="s">
        <v>211</v>
      </c>
      <c r="E4015" s="21">
        <v>0</v>
      </c>
      <c r="F4015" s="21"/>
      <c r="G4015" s="22"/>
    </row>
    <row r="4016" spans="1:14" s="7" customFormat="1" hidden="1" outlineLevel="1" x14ac:dyDescent="0.15">
      <c r="B4016" s="20" t="s">
        <v>764</v>
      </c>
      <c r="C4016" s="21" t="s">
        <v>1216</v>
      </c>
      <c r="D4016" s="21" t="s">
        <v>211</v>
      </c>
      <c r="E4016" s="21">
        <v>0</v>
      </c>
      <c r="F4016" s="21"/>
      <c r="G4016" s="22"/>
    </row>
    <row r="4017" spans="1:14" s="7" customFormat="1" hidden="1" outlineLevel="1" x14ac:dyDescent="0.15">
      <c r="B4017" s="20" t="s">
        <v>156</v>
      </c>
      <c r="C4017" s="21" t="s">
        <v>1195</v>
      </c>
      <c r="D4017" s="21" t="s">
        <v>1087</v>
      </c>
      <c r="E4017" s="21">
        <v>0</v>
      </c>
      <c r="F4017" s="21"/>
      <c r="G4017" s="22" t="s">
        <v>1196</v>
      </c>
    </row>
    <row r="4018" spans="1:14" s="7" customFormat="1" hidden="1" outlineLevel="1" x14ac:dyDescent="0.15">
      <c r="A4018" s="2"/>
      <c r="B4018" s="17" t="s">
        <v>127</v>
      </c>
      <c r="C4018" s="18" t="s">
        <v>1266</v>
      </c>
      <c r="D4018" s="18" t="s">
        <v>1211</v>
      </c>
      <c r="E4018" s="18">
        <v>0</v>
      </c>
      <c r="F4018" s="18"/>
      <c r="G4018" s="19"/>
    </row>
    <row r="4019" spans="1:14" s="7" customFormat="1" hidden="1" outlineLevel="1" x14ac:dyDescent="0.15">
      <c r="A4019" s="2"/>
      <c r="B4019" s="17" t="s">
        <v>973</v>
      </c>
      <c r="C4019" s="18" t="s">
        <v>1272</v>
      </c>
      <c r="D4019" s="18" t="s">
        <v>1169</v>
      </c>
      <c r="E4019" s="18">
        <v>0</v>
      </c>
      <c r="F4019" s="18"/>
      <c r="G4019" s="19"/>
    </row>
    <row r="4020" spans="1:14" s="7" customFormat="1" hidden="1" outlineLevel="1" x14ac:dyDescent="0.15">
      <c r="B4020" s="20" t="s">
        <v>775</v>
      </c>
      <c r="C4020" s="21" t="s">
        <v>1224</v>
      </c>
      <c r="D4020" s="21" t="s">
        <v>1169</v>
      </c>
      <c r="E4020" s="21">
        <v>0</v>
      </c>
      <c r="F4020" s="21"/>
      <c r="G4020" s="22" t="s">
        <v>1111</v>
      </c>
    </row>
    <row r="4021" spans="1:14" s="7" customFormat="1" hidden="1" outlineLevel="1" x14ac:dyDescent="0.15">
      <c r="B4021" s="20" t="s">
        <v>411</v>
      </c>
      <c r="C4021" s="21" t="s">
        <v>1138</v>
      </c>
      <c r="D4021" s="21" t="s">
        <v>1087</v>
      </c>
      <c r="E4021" s="21">
        <v>0</v>
      </c>
      <c r="F4021" s="21"/>
      <c r="G4021" s="22"/>
    </row>
    <row r="4022" spans="1:14" s="7" customFormat="1" hidden="1" outlineLevel="1" x14ac:dyDescent="0.15">
      <c r="B4022" s="20" t="s">
        <v>864</v>
      </c>
      <c r="C4022" s="21" t="s">
        <v>1229</v>
      </c>
      <c r="D4022" s="21" t="s">
        <v>1087</v>
      </c>
      <c r="E4022" s="21">
        <v>0</v>
      </c>
      <c r="F4022" s="21"/>
      <c r="G4022" s="22"/>
    </row>
    <row r="4023" spans="1:14" s="7" customFormat="1" hidden="1" outlineLevel="1" x14ac:dyDescent="0.15">
      <c r="B4023" s="20" t="s">
        <v>443</v>
      </c>
      <c r="C4023" s="21" t="s">
        <v>1214</v>
      </c>
      <c r="D4023" s="18" t="s">
        <v>1169</v>
      </c>
      <c r="E4023" s="21">
        <v>0</v>
      </c>
      <c r="F4023" s="21"/>
      <c r="G4023" s="22"/>
      <c r="H4023" s="7" t="str">
        <f>"ifnull("&amp;IF(I4023&lt;&gt;"",I4023,IF(F4024&lt;&gt;"",F4024,"t")&amp;"."&amp;C4024)&amp;","&amp;E4024&amp;") as "&amp;C4024&amp;",/*"&amp;B4024&amp;"*/"</f>
        <v>ifnull(t.posi_nav_ratio,0) as posi_nav_ratio,/*持仓净值占比*/</v>
      </c>
      <c r="J4023" s="7" t="s">
        <v>347</v>
      </c>
      <c r="K4023" s="7" t="s">
        <v>348</v>
      </c>
      <c r="L4023" s="7" t="s">
        <v>349</v>
      </c>
      <c r="M4023" s="7" t="s">
        <v>349</v>
      </c>
      <c r="N4023" s="7">
        <v>1197</v>
      </c>
    </row>
    <row r="4024" spans="1:14" s="7" customFormat="1" ht="18" hidden="1" outlineLevel="1" thickBot="1" x14ac:dyDescent="0.2">
      <c r="B4024" s="20" t="s">
        <v>480</v>
      </c>
      <c r="C4024" s="21" t="s">
        <v>1079</v>
      </c>
      <c r="D4024" s="21" t="s">
        <v>1172</v>
      </c>
      <c r="E4024" s="21">
        <v>0</v>
      </c>
      <c r="F4024" s="21"/>
      <c r="G4024" s="22"/>
    </row>
    <row r="4025" spans="1:14" s="7" customFormat="1" ht="17.25" hidden="1" customHeight="1" outlineLevel="1" x14ac:dyDescent="0.15">
      <c r="A4025" s="2"/>
      <c r="B4025" s="327" t="s">
        <v>15</v>
      </c>
      <c r="C4025" s="328"/>
      <c r="D4025" s="328"/>
      <c r="E4025" s="328"/>
      <c r="F4025" s="328"/>
      <c r="G4025" s="329"/>
    </row>
    <row r="4026" spans="1:14" ht="17.25" hidden="1" customHeight="1" outlineLevel="1" thickBot="1" x14ac:dyDescent="0.2">
      <c r="A4026" s="2"/>
      <c r="B4026" s="24"/>
      <c r="C4026" s="9"/>
      <c r="D4026" s="9"/>
      <c r="E4026" s="9"/>
      <c r="F4026" s="9"/>
      <c r="G4026" s="11"/>
    </row>
    <row r="4027" spans="1:14" s="7" customFormat="1" ht="18" hidden="1" outlineLevel="1" thickBot="1" x14ac:dyDescent="0.2">
      <c r="A4027" s="1"/>
      <c r="B4027" s="1"/>
      <c r="C4027" s="1"/>
      <c r="D4027" s="1"/>
      <c r="E4027" s="1"/>
      <c r="F4027" s="1"/>
      <c r="G4027" s="1"/>
    </row>
    <row r="4028" spans="1:14" s="7" customFormat="1" ht="18" collapsed="1" thickBot="1" x14ac:dyDescent="0.2">
      <c r="B4028" s="3" t="s">
        <v>563</v>
      </c>
      <c r="C4028" s="4" t="s">
        <v>1000</v>
      </c>
      <c r="D4028" s="5" t="s">
        <v>515</v>
      </c>
      <c r="E4028" s="21" t="s">
        <v>999</v>
      </c>
      <c r="F4028" s="5" t="s">
        <v>567</v>
      </c>
      <c r="G4028" s="21"/>
    </row>
    <row r="4029" spans="1:14" s="7" customFormat="1" ht="18" hidden="1" outlineLevel="1" thickBot="1" x14ac:dyDescent="0.2">
      <c r="B4029" s="34" t="s">
        <v>570</v>
      </c>
      <c r="C4029" s="18"/>
      <c r="D4029" s="35" t="s">
        <v>568</v>
      </c>
      <c r="E4029" s="18" t="s">
        <v>615</v>
      </c>
      <c r="F4029" s="35"/>
      <c r="G4029" s="19"/>
    </row>
    <row r="4030" spans="1:14" s="7" customFormat="1" hidden="1" outlineLevel="1" x14ac:dyDescent="0.15">
      <c r="B4030" s="3" t="s">
        <v>0</v>
      </c>
      <c r="C4030" s="5" t="s">
        <v>1</v>
      </c>
      <c r="D4030" s="5" t="s">
        <v>2</v>
      </c>
      <c r="E4030" s="5"/>
      <c r="F4030" s="5" t="s">
        <v>3</v>
      </c>
      <c r="G4030" s="36" t="s">
        <v>4</v>
      </c>
    </row>
    <row r="4031" spans="1:14" s="7" customFormat="1" hidden="1" outlineLevel="1" x14ac:dyDescent="0.15">
      <c r="B4031" s="20" t="s">
        <v>22</v>
      </c>
      <c r="C4031" s="21" t="s">
        <v>1127</v>
      </c>
      <c r="D4031" s="21" t="s">
        <v>423</v>
      </c>
      <c r="E4031" s="21" t="s">
        <v>1096</v>
      </c>
      <c r="F4031" s="21"/>
      <c r="G4031" s="22" t="s">
        <v>1334</v>
      </c>
    </row>
    <row r="4032" spans="1:14" s="7" customFormat="1" hidden="1" outlineLevel="1" x14ac:dyDescent="0.15">
      <c r="B4032" s="20" t="s">
        <v>16</v>
      </c>
      <c r="C4032" s="21" t="s">
        <v>1163</v>
      </c>
      <c r="D4032" s="21" t="s">
        <v>211</v>
      </c>
      <c r="E4032" s="21">
        <v>0</v>
      </c>
      <c r="F4032" s="21"/>
      <c r="G4032" s="22" t="s">
        <v>1077</v>
      </c>
    </row>
    <row r="4033" spans="1:14" s="7" customFormat="1" hidden="1" outlineLevel="1" x14ac:dyDescent="0.15">
      <c r="B4033" s="20" t="s">
        <v>111</v>
      </c>
      <c r="C4033" s="21" t="s">
        <v>1164</v>
      </c>
      <c r="D4033" s="21" t="s">
        <v>211</v>
      </c>
      <c r="E4033" s="21">
        <v>0</v>
      </c>
      <c r="F4033" s="21"/>
      <c r="G4033" s="22" t="s">
        <v>1165</v>
      </c>
    </row>
    <row r="4034" spans="1:14" s="7" customFormat="1" hidden="1" outlineLevel="1" x14ac:dyDescent="0.15">
      <c r="B4034" s="20" t="s">
        <v>2070</v>
      </c>
      <c r="C4034" s="21" t="s">
        <v>2071</v>
      </c>
      <c r="D4034" s="21" t="s">
        <v>211</v>
      </c>
      <c r="E4034" s="21"/>
      <c r="F4034" s="21"/>
      <c r="G4034" s="22"/>
    </row>
    <row r="4035" spans="1:14" s="7" customFormat="1" hidden="1" outlineLevel="1" x14ac:dyDescent="0.15">
      <c r="B4035" s="20" t="s">
        <v>18</v>
      </c>
      <c r="C4035" s="21" t="s">
        <v>1190</v>
      </c>
      <c r="D4035" s="21" t="s">
        <v>211</v>
      </c>
      <c r="E4035" s="21">
        <v>0</v>
      </c>
      <c r="F4035" s="21"/>
      <c r="G4035" s="22" t="s">
        <v>1081</v>
      </c>
    </row>
    <row r="4036" spans="1:14" s="7" customFormat="1" hidden="1" outlineLevel="1" x14ac:dyDescent="0.15">
      <c r="B4036" s="20" t="s">
        <v>760</v>
      </c>
      <c r="C4036" s="21" t="s">
        <v>1147</v>
      </c>
      <c r="D4036" s="21" t="s">
        <v>211</v>
      </c>
      <c r="E4036" s="21">
        <v>0</v>
      </c>
      <c r="F4036" s="21"/>
      <c r="G4036" s="22"/>
    </row>
    <row r="4037" spans="1:14" s="7" customFormat="1" hidden="1" outlineLevel="1" x14ac:dyDescent="0.15">
      <c r="B4037" s="20" t="s">
        <v>761</v>
      </c>
      <c r="C4037" s="21" t="s">
        <v>1110</v>
      </c>
      <c r="D4037" s="21" t="s">
        <v>211</v>
      </c>
      <c r="E4037" s="21">
        <v>0</v>
      </c>
      <c r="F4037" s="21"/>
      <c r="G4037" s="22"/>
    </row>
    <row r="4038" spans="1:14" s="7" customFormat="1" hidden="1" outlineLevel="1" x14ac:dyDescent="0.15">
      <c r="B4038" s="20" t="s">
        <v>764</v>
      </c>
      <c r="C4038" s="21" t="s">
        <v>1216</v>
      </c>
      <c r="D4038" s="21" t="s">
        <v>211</v>
      </c>
      <c r="E4038" s="21">
        <v>0</v>
      </c>
      <c r="F4038" s="21"/>
      <c r="G4038" s="22"/>
    </row>
    <row r="4039" spans="1:14" s="7" customFormat="1" hidden="1" outlineLevel="1" x14ac:dyDescent="0.15">
      <c r="B4039" s="20" t="s">
        <v>156</v>
      </c>
      <c r="C4039" s="21" t="s">
        <v>1195</v>
      </c>
      <c r="D4039" s="21" t="s">
        <v>1087</v>
      </c>
      <c r="E4039" s="21">
        <v>0</v>
      </c>
      <c r="F4039" s="21"/>
      <c r="G4039" s="22" t="s">
        <v>1196</v>
      </c>
    </row>
    <row r="4040" spans="1:14" s="7" customFormat="1" hidden="1" outlineLevel="1" x14ac:dyDescent="0.15">
      <c r="A4040" s="2"/>
      <c r="B4040" s="17" t="s">
        <v>127</v>
      </c>
      <c r="C4040" s="18" t="s">
        <v>1266</v>
      </c>
      <c r="D4040" s="18" t="s">
        <v>1211</v>
      </c>
      <c r="E4040" s="18">
        <v>0</v>
      </c>
      <c r="F4040" s="18"/>
      <c r="G4040" s="19"/>
    </row>
    <row r="4041" spans="1:14" s="7" customFormat="1" hidden="1" outlineLevel="1" x14ac:dyDescent="0.15">
      <c r="A4041" s="2"/>
      <c r="B4041" s="17" t="s">
        <v>973</v>
      </c>
      <c r="C4041" s="18" t="s">
        <v>1272</v>
      </c>
      <c r="D4041" s="18" t="s">
        <v>1169</v>
      </c>
      <c r="E4041" s="18">
        <v>0</v>
      </c>
      <c r="F4041" s="18"/>
      <c r="G4041" s="19"/>
    </row>
    <row r="4042" spans="1:14" s="7" customFormat="1" hidden="1" outlineLevel="1" x14ac:dyDescent="0.15">
      <c r="B4042" s="20" t="s">
        <v>775</v>
      </c>
      <c r="C4042" s="21" t="s">
        <v>1224</v>
      </c>
      <c r="D4042" s="21" t="s">
        <v>1169</v>
      </c>
      <c r="E4042" s="21">
        <v>0</v>
      </c>
      <c r="F4042" s="21"/>
      <c r="G4042" s="22" t="s">
        <v>1111</v>
      </c>
    </row>
    <row r="4043" spans="1:14" s="7" customFormat="1" hidden="1" outlineLevel="1" x14ac:dyDescent="0.15">
      <c r="B4043" s="20" t="s">
        <v>411</v>
      </c>
      <c r="C4043" s="21" t="s">
        <v>1138</v>
      </c>
      <c r="D4043" s="21" t="s">
        <v>1087</v>
      </c>
      <c r="E4043" s="21">
        <v>0</v>
      </c>
      <c r="F4043" s="21"/>
      <c r="G4043" s="22"/>
    </row>
    <row r="4044" spans="1:14" s="7" customFormat="1" hidden="1" outlineLevel="1" x14ac:dyDescent="0.15">
      <c r="B4044" s="20" t="s">
        <v>864</v>
      </c>
      <c r="C4044" s="21" t="s">
        <v>1229</v>
      </c>
      <c r="D4044" s="21" t="s">
        <v>1087</v>
      </c>
      <c r="E4044" s="21">
        <v>0</v>
      </c>
      <c r="F4044" s="21"/>
      <c r="G4044" s="22"/>
    </row>
    <row r="4045" spans="1:14" s="7" customFormat="1" hidden="1" outlineLevel="1" x14ac:dyDescent="0.15">
      <c r="B4045" s="20" t="s">
        <v>443</v>
      </c>
      <c r="C4045" s="21" t="s">
        <v>1214</v>
      </c>
      <c r="D4045" s="18" t="s">
        <v>1169</v>
      </c>
      <c r="E4045" s="21">
        <v>0</v>
      </c>
      <c r="F4045" s="21"/>
      <c r="G4045" s="22"/>
      <c r="H4045" s="7" t="str">
        <f>"ifnull("&amp;IF(I4045&lt;&gt;"",I4045,IF(F4046&lt;&gt;"",F4046,"t")&amp;"."&amp;C4046)&amp;","&amp;E4046&amp;") as "&amp;C4046&amp;",/*"&amp;B4046&amp;"*/"</f>
        <v>ifnull(t.posi_nav_ratio,0) as posi_nav_ratio,/*持仓净值占比*/</v>
      </c>
      <c r="J4045" s="7" t="s">
        <v>347</v>
      </c>
      <c r="K4045" s="7" t="s">
        <v>348</v>
      </c>
      <c r="L4045" s="7" t="s">
        <v>349</v>
      </c>
      <c r="M4045" s="7" t="s">
        <v>349</v>
      </c>
      <c r="N4045" s="7">
        <v>1197</v>
      </c>
    </row>
    <row r="4046" spans="1:14" s="7" customFormat="1" ht="18" hidden="1" outlineLevel="1" thickBot="1" x14ac:dyDescent="0.2">
      <c r="B4046" s="20" t="s">
        <v>480</v>
      </c>
      <c r="C4046" s="21" t="s">
        <v>1079</v>
      </c>
      <c r="D4046" s="21" t="s">
        <v>1172</v>
      </c>
      <c r="E4046" s="21">
        <v>0</v>
      </c>
      <c r="F4046" s="21"/>
      <c r="G4046" s="22"/>
    </row>
    <row r="4047" spans="1:14" s="7" customFormat="1" ht="17.25" hidden="1" customHeight="1" outlineLevel="1" x14ac:dyDescent="0.15">
      <c r="A4047" s="2"/>
      <c r="B4047" s="327" t="s">
        <v>15</v>
      </c>
      <c r="C4047" s="328"/>
      <c r="D4047" s="328"/>
      <c r="E4047" s="328"/>
      <c r="F4047" s="328"/>
      <c r="G4047" s="329"/>
    </row>
    <row r="4048" spans="1:14" ht="17.25" hidden="1" customHeight="1" outlineLevel="1" thickBot="1" x14ac:dyDescent="0.2">
      <c r="A4048" s="2"/>
      <c r="B4048" s="24"/>
      <c r="C4048" s="9"/>
      <c r="D4048" s="9"/>
      <c r="E4048" s="9"/>
      <c r="F4048" s="9"/>
      <c r="G4048" s="11"/>
    </row>
    <row r="4049" spans="1:7" s="7" customFormat="1" ht="20.25" hidden="1" customHeight="1" outlineLevel="1" thickBot="1" x14ac:dyDescent="0.2">
      <c r="A4049" s="1"/>
      <c r="B4049" s="1"/>
      <c r="C4049" s="1"/>
      <c r="D4049" s="1"/>
      <c r="E4049" s="1"/>
      <c r="F4049" s="1"/>
      <c r="G4049" s="1"/>
    </row>
    <row r="4050" spans="1:7" s="7" customFormat="1" ht="18" collapsed="1" thickBot="1" x14ac:dyDescent="0.2">
      <c r="B4050" s="3" t="s">
        <v>563</v>
      </c>
      <c r="C4050" s="4" t="s">
        <v>998</v>
      </c>
      <c r="D4050" s="5" t="s">
        <v>515</v>
      </c>
      <c r="E4050" s="21" t="s">
        <v>997</v>
      </c>
      <c r="F4050" s="5" t="s">
        <v>567</v>
      </c>
      <c r="G4050" s="21"/>
    </row>
    <row r="4051" spans="1:7" s="7" customFormat="1" ht="18" hidden="1" outlineLevel="1" thickBot="1" x14ac:dyDescent="0.2">
      <c r="B4051" s="34" t="s">
        <v>570</v>
      </c>
      <c r="C4051" s="18"/>
      <c r="D4051" s="35" t="s">
        <v>568</v>
      </c>
      <c r="E4051" s="18" t="s">
        <v>615</v>
      </c>
      <c r="F4051" s="35"/>
      <c r="G4051" s="19"/>
    </row>
    <row r="4052" spans="1:7" s="7" customFormat="1" hidden="1" outlineLevel="1" x14ac:dyDescent="0.15">
      <c r="B4052" s="3" t="s">
        <v>0</v>
      </c>
      <c r="C4052" s="5" t="s">
        <v>1</v>
      </c>
      <c r="D4052" s="5" t="s">
        <v>2</v>
      </c>
      <c r="E4052" s="5"/>
      <c r="F4052" s="5" t="s">
        <v>3</v>
      </c>
      <c r="G4052" s="36" t="s">
        <v>4</v>
      </c>
    </row>
    <row r="4053" spans="1:7" s="7" customFormat="1" hidden="1" outlineLevel="1" x14ac:dyDescent="0.15">
      <c r="B4053" s="20" t="s">
        <v>22</v>
      </c>
      <c r="C4053" s="21" t="s">
        <v>1127</v>
      </c>
      <c r="D4053" s="21" t="s">
        <v>423</v>
      </c>
      <c r="E4053" s="21" t="s">
        <v>1096</v>
      </c>
      <c r="F4053" s="21"/>
      <c r="G4053" s="22" t="s">
        <v>1334</v>
      </c>
    </row>
    <row r="4054" spans="1:7" s="7" customFormat="1" hidden="1" outlineLevel="1" x14ac:dyDescent="0.15">
      <c r="B4054" s="20" t="s">
        <v>16</v>
      </c>
      <c r="C4054" s="21" t="s">
        <v>1163</v>
      </c>
      <c r="D4054" s="21" t="s">
        <v>211</v>
      </c>
      <c r="E4054" s="21">
        <v>0</v>
      </c>
      <c r="F4054" s="21"/>
      <c r="G4054" s="22" t="s">
        <v>1077</v>
      </c>
    </row>
    <row r="4055" spans="1:7" hidden="1" outlineLevel="1" x14ac:dyDescent="0.15">
      <c r="A4055" s="7"/>
      <c r="B4055" s="20" t="s">
        <v>111</v>
      </c>
      <c r="C4055" s="21" t="s">
        <v>1164</v>
      </c>
      <c r="D4055" s="21" t="s">
        <v>211</v>
      </c>
      <c r="E4055" s="21">
        <v>0</v>
      </c>
      <c r="F4055" s="21"/>
      <c r="G4055" s="22" t="s">
        <v>1165</v>
      </c>
    </row>
    <row r="4056" spans="1:7" s="7" customFormat="1" hidden="1" outlineLevel="1" x14ac:dyDescent="0.15">
      <c r="B4056" s="20" t="s">
        <v>2070</v>
      </c>
      <c r="C4056" s="21" t="s">
        <v>2071</v>
      </c>
      <c r="D4056" s="21" t="s">
        <v>211</v>
      </c>
      <c r="E4056" s="21"/>
      <c r="F4056" s="21"/>
      <c r="G4056" s="22"/>
    </row>
    <row r="4057" spans="1:7" s="7" customFormat="1" hidden="1" outlineLevel="1" x14ac:dyDescent="0.15">
      <c r="A4057" s="1"/>
      <c r="B4057" s="33" t="s">
        <v>112</v>
      </c>
      <c r="C4057" s="29" t="s">
        <v>1085</v>
      </c>
      <c r="D4057" s="29" t="s">
        <v>423</v>
      </c>
      <c r="E4057" s="132">
        <v>0</v>
      </c>
      <c r="F4057" s="29"/>
      <c r="G4057" s="141" t="s">
        <v>1509</v>
      </c>
    </row>
    <row r="4058" spans="1:7" s="7" customFormat="1" hidden="1" outlineLevel="1" x14ac:dyDescent="0.15">
      <c r="B4058" s="20" t="s">
        <v>18</v>
      </c>
      <c r="C4058" s="21" t="s">
        <v>1190</v>
      </c>
      <c r="D4058" s="21" t="s">
        <v>211</v>
      </c>
      <c r="E4058" s="21">
        <v>0</v>
      </c>
      <c r="F4058" s="21"/>
      <c r="G4058" s="22" t="s">
        <v>1081</v>
      </c>
    </row>
    <row r="4059" spans="1:7" s="7" customFormat="1" hidden="1" outlineLevel="1" x14ac:dyDescent="0.15">
      <c r="B4059" s="20" t="s">
        <v>760</v>
      </c>
      <c r="C4059" s="21" t="s">
        <v>1147</v>
      </c>
      <c r="D4059" s="21" t="s">
        <v>211</v>
      </c>
      <c r="E4059" s="21">
        <v>0</v>
      </c>
      <c r="F4059" s="21"/>
      <c r="G4059" s="22"/>
    </row>
    <row r="4060" spans="1:7" s="7" customFormat="1" hidden="1" outlineLevel="1" x14ac:dyDescent="0.15">
      <c r="B4060" s="20" t="s">
        <v>761</v>
      </c>
      <c r="C4060" s="21" t="s">
        <v>1110</v>
      </c>
      <c r="D4060" s="21" t="s">
        <v>211</v>
      </c>
      <c r="E4060" s="21">
        <v>0</v>
      </c>
      <c r="F4060" s="21"/>
      <c r="G4060" s="22"/>
    </row>
    <row r="4061" spans="1:7" s="7" customFormat="1" hidden="1" outlineLevel="1" x14ac:dyDescent="0.15">
      <c r="B4061" s="20" t="s">
        <v>764</v>
      </c>
      <c r="C4061" s="21" t="s">
        <v>1216</v>
      </c>
      <c r="D4061" s="21" t="s">
        <v>211</v>
      </c>
      <c r="E4061" s="21">
        <v>0</v>
      </c>
      <c r="F4061" s="21"/>
      <c r="G4061" s="22"/>
    </row>
    <row r="4062" spans="1:7" s="7" customFormat="1" hidden="1" outlineLevel="1" x14ac:dyDescent="0.15">
      <c r="B4062" s="20" t="s">
        <v>156</v>
      </c>
      <c r="C4062" s="21" t="s">
        <v>1195</v>
      </c>
      <c r="D4062" s="21" t="s">
        <v>1087</v>
      </c>
      <c r="E4062" s="21">
        <v>0</v>
      </c>
      <c r="F4062" s="21"/>
      <c r="G4062" s="22" t="s">
        <v>1196</v>
      </c>
    </row>
    <row r="4063" spans="1:7" s="7" customFormat="1" hidden="1" outlineLevel="1" x14ac:dyDescent="0.15">
      <c r="A4063" s="2"/>
      <c r="B4063" s="17" t="s">
        <v>127</v>
      </c>
      <c r="C4063" s="18" t="s">
        <v>1266</v>
      </c>
      <c r="D4063" s="18" t="s">
        <v>1211</v>
      </c>
      <c r="E4063" s="18">
        <v>0</v>
      </c>
      <c r="F4063" s="18"/>
      <c r="G4063" s="19"/>
    </row>
    <row r="4064" spans="1:7" s="7" customFormat="1" hidden="1" outlineLevel="1" x14ac:dyDescent="0.15">
      <c r="A4064" s="2"/>
      <c r="B4064" s="17" t="s">
        <v>973</v>
      </c>
      <c r="C4064" s="18" t="s">
        <v>1272</v>
      </c>
      <c r="D4064" s="18" t="s">
        <v>1169</v>
      </c>
      <c r="E4064" s="18">
        <v>0</v>
      </c>
      <c r="F4064" s="18"/>
      <c r="G4064" s="19"/>
    </row>
    <row r="4065" spans="1:14" s="7" customFormat="1" hidden="1" outlineLevel="1" x14ac:dyDescent="0.15">
      <c r="B4065" s="20" t="s">
        <v>775</v>
      </c>
      <c r="C4065" s="21" t="s">
        <v>1224</v>
      </c>
      <c r="D4065" s="21" t="s">
        <v>1169</v>
      </c>
      <c r="E4065" s="21">
        <v>0</v>
      </c>
      <c r="F4065" s="21"/>
      <c r="G4065" s="22" t="s">
        <v>1111</v>
      </c>
    </row>
    <row r="4066" spans="1:14" s="7" customFormat="1" hidden="1" outlineLevel="1" x14ac:dyDescent="0.15">
      <c r="B4066" s="20" t="s">
        <v>411</v>
      </c>
      <c r="C4066" s="21" t="s">
        <v>1138</v>
      </c>
      <c r="D4066" s="21" t="s">
        <v>1087</v>
      </c>
      <c r="E4066" s="21">
        <v>0</v>
      </c>
      <c r="F4066" s="21"/>
      <c r="G4066" s="22"/>
    </row>
    <row r="4067" spans="1:14" s="7" customFormat="1" hidden="1" outlineLevel="1" x14ac:dyDescent="0.15">
      <c r="B4067" s="20" t="s">
        <v>864</v>
      </c>
      <c r="C4067" s="21" t="s">
        <v>1229</v>
      </c>
      <c r="D4067" s="21" t="s">
        <v>1087</v>
      </c>
      <c r="E4067" s="21">
        <v>0</v>
      </c>
      <c r="F4067" s="21"/>
      <c r="G4067" s="22"/>
    </row>
    <row r="4068" spans="1:14" s="7" customFormat="1" hidden="1" outlineLevel="1" x14ac:dyDescent="0.15">
      <c r="B4068" s="20" t="s">
        <v>443</v>
      </c>
      <c r="C4068" s="21" t="s">
        <v>1214</v>
      </c>
      <c r="D4068" s="18" t="s">
        <v>1169</v>
      </c>
      <c r="E4068" s="21">
        <v>0</v>
      </c>
      <c r="F4068" s="21"/>
      <c r="G4068" s="22"/>
      <c r="H4068" s="7" t="str">
        <f>"ifnull("&amp;IF(I4068&lt;&gt;"",I4068,IF(F4069&lt;&gt;"",F4069,"t")&amp;"."&amp;C4069)&amp;","&amp;E4069&amp;") as "&amp;C4069&amp;",/*"&amp;B4069&amp;"*/"</f>
        <v>ifnull(t.posi_nav_ratio,0) as posi_nav_ratio,/*持仓净值占比*/</v>
      </c>
      <c r="J4068" s="7" t="s">
        <v>347</v>
      </c>
      <c r="K4068" s="7" t="s">
        <v>348</v>
      </c>
      <c r="L4068" s="7" t="s">
        <v>349</v>
      </c>
      <c r="M4068" s="7" t="s">
        <v>349</v>
      </c>
      <c r="N4068" s="7">
        <v>1197</v>
      </c>
    </row>
    <row r="4069" spans="1:14" s="7" customFormat="1" ht="18" hidden="1" outlineLevel="1" thickBot="1" x14ac:dyDescent="0.2">
      <c r="B4069" s="20" t="s">
        <v>480</v>
      </c>
      <c r="C4069" s="21" t="s">
        <v>1079</v>
      </c>
      <c r="D4069" s="21" t="s">
        <v>1172</v>
      </c>
      <c r="E4069" s="21">
        <v>0</v>
      </c>
      <c r="F4069" s="21"/>
      <c r="G4069" s="22"/>
    </row>
    <row r="4070" spans="1:14" s="7" customFormat="1" ht="17.25" hidden="1" customHeight="1" outlineLevel="1" x14ac:dyDescent="0.15">
      <c r="A4070" s="2"/>
      <c r="B4070" s="327" t="s">
        <v>15</v>
      </c>
      <c r="C4070" s="328"/>
      <c r="D4070" s="328"/>
      <c r="E4070" s="328"/>
      <c r="F4070" s="328"/>
      <c r="G4070" s="329"/>
    </row>
    <row r="4071" spans="1:14" ht="17.25" hidden="1" customHeight="1" outlineLevel="1" thickBot="1" x14ac:dyDescent="0.2">
      <c r="A4071" s="2"/>
      <c r="B4071" s="24"/>
      <c r="C4071" s="9"/>
      <c r="D4071" s="9"/>
      <c r="E4071" s="9"/>
      <c r="F4071" s="9"/>
      <c r="G4071" s="11"/>
    </row>
    <row r="4072" spans="1:14" s="7" customFormat="1" ht="20.25" hidden="1" customHeight="1" outlineLevel="1" thickBot="1" x14ac:dyDescent="0.2">
      <c r="A4072" s="1"/>
      <c r="B4072" s="1"/>
      <c r="C4072" s="1"/>
      <c r="D4072" s="1"/>
      <c r="E4072" s="1"/>
      <c r="F4072" s="1"/>
      <c r="G4072" s="1"/>
    </row>
    <row r="4073" spans="1:14" s="7" customFormat="1" ht="18" collapsed="1" thickBot="1" x14ac:dyDescent="0.2">
      <c r="B4073" s="3" t="s">
        <v>563</v>
      </c>
      <c r="C4073" s="4" t="s">
        <v>1625</v>
      </c>
      <c r="D4073" s="5" t="s">
        <v>515</v>
      </c>
      <c r="E4073" s="21" t="s">
        <v>1001</v>
      </c>
      <c r="F4073" s="5" t="s">
        <v>567</v>
      </c>
      <c r="G4073" s="21"/>
    </row>
    <row r="4074" spans="1:14" s="7" customFormat="1" ht="18" hidden="1" outlineLevel="1" thickBot="1" x14ac:dyDescent="0.2">
      <c r="B4074" s="34" t="s">
        <v>570</v>
      </c>
      <c r="C4074" s="18"/>
      <c r="D4074" s="35" t="s">
        <v>568</v>
      </c>
      <c r="E4074" s="18" t="s">
        <v>615</v>
      </c>
      <c r="F4074" s="35"/>
      <c r="G4074" s="19"/>
    </row>
    <row r="4075" spans="1:14" s="7" customFormat="1" hidden="1" outlineLevel="1" x14ac:dyDescent="0.15">
      <c r="B4075" s="3" t="s">
        <v>0</v>
      </c>
      <c r="C4075" s="5" t="s">
        <v>1</v>
      </c>
      <c r="D4075" s="5" t="s">
        <v>2</v>
      </c>
      <c r="E4075" s="5"/>
      <c r="F4075" s="5" t="s">
        <v>3</v>
      </c>
      <c r="G4075" s="36" t="s">
        <v>4</v>
      </c>
    </row>
    <row r="4076" spans="1:14" s="7" customFormat="1" hidden="1" outlineLevel="1" x14ac:dyDescent="0.15">
      <c r="B4076" s="20" t="s">
        <v>16</v>
      </c>
      <c r="C4076" s="21" t="s">
        <v>1163</v>
      </c>
      <c r="D4076" s="21" t="s">
        <v>211</v>
      </c>
      <c r="E4076" s="21">
        <v>0</v>
      </c>
      <c r="F4076" s="21"/>
      <c r="G4076" s="22" t="s">
        <v>1077</v>
      </c>
    </row>
    <row r="4077" spans="1:14" hidden="1" outlineLevel="1" x14ac:dyDescent="0.15">
      <c r="A4077" s="7"/>
      <c r="B4077" s="20" t="s">
        <v>111</v>
      </c>
      <c r="C4077" s="21" t="s">
        <v>1164</v>
      </c>
      <c r="D4077" s="21" t="s">
        <v>211</v>
      </c>
      <c r="E4077" s="21">
        <v>0</v>
      </c>
      <c r="F4077" s="21"/>
      <c r="G4077" s="22" t="s">
        <v>1165</v>
      </c>
    </row>
    <row r="4078" spans="1:14" s="7" customFormat="1" hidden="1" outlineLevel="1" x14ac:dyDescent="0.15">
      <c r="B4078" s="20" t="s">
        <v>2070</v>
      </c>
      <c r="C4078" s="21" t="s">
        <v>2071</v>
      </c>
      <c r="D4078" s="21" t="s">
        <v>211</v>
      </c>
      <c r="E4078" s="21"/>
      <c r="F4078" s="21"/>
      <c r="G4078" s="22"/>
    </row>
    <row r="4079" spans="1:14" s="7" customFormat="1" hidden="1" outlineLevel="1" x14ac:dyDescent="0.15">
      <c r="A4079" s="1"/>
      <c r="B4079" s="33" t="s">
        <v>112</v>
      </c>
      <c r="C4079" s="29" t="s">
        <v>1085</v>
      </c>
      <c r="D4079" s="29" t="s">
        <v>423</v>
      </c>
      <c r="E4079" s="132">
        <v>0</v>
      </c>
      <c r="F4079" s="29"/>
      <c r="G4079" s="141" t="s">
        <v>1509</v>
      </c>
    </row>
    <row r="4080" spans="1:14" s="7" customFormat="1" hidden="1" outlineLevel="1" x14ac:dyDescent="0.15">
      <c r="B4080" s="20" t="s">
        <v>18</v>
      </c>
      <c r="C4080" s="21" t="s">
        <v>1190</v>
      </c>
      <c r="D4080" s="21" t="s">
        <v>211</v>
      </c>
      <c r="E4080" s="21">
        <v>0</v>
      </c>
      <c r="F4080" s="21"/>
      <c r="G4080" s="22" t="s">
        <v>1081</v>
      </c>
    </row>
    <row r="4081" spans="1:7" s="7" customFormat="1" hidden="1" outlineLevel="1" x14ac:dyDescent="0.15">
      <c r="B4081" s="20" t="s">
        <v>760</v>
      </c>
      <c r="C4081" s="21" t="s">
        <v>1147</v>
      </c>
      <c r="D4081" s="21" t="s">
        <v>211</v>
      </c>
      <c r="E4081" s="21">
        <v>0</v>
      </c>
      <c r="F4081" s="21"/>
      <c r="G4081" s="22"/>
    </row>
    <row r="4082" spans="1:7" s="7" customFormat="1" hidden="1" outlineLevel="1" x14ac:dyDescent="0.15">
      <c r="B4082" s="20" t="s">
        <v>761</v>
      </c>
      <c r="C4082" s="21" t="s">
        <v>1110</v>
      </c>
      <c r="D4082" s="21" t="s">
        <v>211</v>
      </c>
      <c r="E4082" s="21">
        <v>0</v>
      </c>
      <c r="F4082" s="21"/>
      <c r="G4082" s="22"/>
    </row>
    <row r="4083" spans="1:7" s="7" customFormat="1" hidden="1" outlineLevel="1" x14ac:dyDescent="0.15">
      <c r="B4083" s="20" t="s">
        <v>764</v>
      </c>
      <c r="C4083" s="21" t="s">
        <v>1216</v>
      </c>
      <c r="D4083" s="21" t="s">
        <v>211</v>
      </c>
      <c r="E4083" s="21">
        <v>0</v>
      </c>
      <c r="F4083" s="21"/>
      <c r="G4083" s="22"/>
    </row>
    <row r="4084" spans="1:7" s="7" customFormat="1" hidden="1" outlineLevel="1" x14ac:dyDescent="0.15">
      <c r="B4084" s="20" t="s">
        <v>156</v>
      </c>
      <c r="C4084" s="21" t="s">
        <v>1195</v>
      </c>
      <c r="D4084" s="21" t="s">
        <v>1087</v>
      </c>
      <c r="E4084" s="21">
        <v>0</v>
      </c>
      <c r="F4084" s="21"/>
      <c r="G4084" s="22" t="s">
        <v>1196</v>
      </c>
    </row>
    <row r="4085" spans="1:7" s="7" customFormat="1" hidden="1" outlineLevel="1" x14ac:dyDescent="0.15">
      <c r="A4085" s="2"/>
      <c r="B4085" s="17" t="s">
        <v>127</v>
      </c>
      <c r="C4085" s="18" t="s">
        <v>1266</v>
      </c>
      <c r="D4085" s="18" t="s">
        <v>1211</v>
      </c>
      <c r="E4085" s="18">
        <v>0</v>
      </c>
      <c r="F4085" s="18"/>
      <c r="G4085" s="19"/>
    </row>
    <row r="4086" spans="1:7" s="7" customFormat="1" hidden="1" outlineLevel="1" x14ac:dyDescent="0.15">
      <c r="A4086" s="2"/>
      <c r="B4086" s="17" t="s">
        <v>965</v>
      </c>
      <c r="C4086" s="18" t="s">
        <v>1516</v>
      </c>
      <c r="D4086" s="21" t="s">
        <v>211</v>
      </c>
      <c r="E4086" s="18" t="s">
        <v>1096</v>
      </c>
      <c r="F4086" s="18"/>
      <c r="G4086" s="19"/>
    </row>
    <row r="4087" spans="1:7" s="7" customFormat="1" hidden="1" outlineLevel="1" x14ac:dyDescent="0.15">
      <c r="A4087" s="2"/>
      <c r="B4087" s="17" t="s">
        <v>1003</v>
      </c>
      <c r="C4087" s="18" t="s">
        <v>1616</v>
      </c>
      <c r="D4087" s="21" t="s">
        <v>211</v>
      </c>
      <c r="E4087" s="18" t="s">
        <v>1617</v>
      </c>
      <c r="F4087" s="18"/>
      <c r="G4087" s="19"/>
    </row>
    <row r="4088" spans="1:7" s="7" customFormat="1" hidden="1" outlineLevel="1" x14ac:dyDescent="0.15">
      <c r="A4088" s="2"/>
      <c r="B4088" s="17" t="s">
        <v>973</v>
      </c>
      <c r="C4088" s="18" t="s">
        <v>1272</v>
      </c>
      <c r="D4088" s="18" t="s">
        <v>1169</v>
      </c>
      <c r="E4088" s="18">
        <v>0</v>
      </c>
      <c r="F4088" s="18"/>
      <c r="G4088" s="19"/>
    </row>
    <row r="4089" spans="1:7" s="7" customFormat="1" ht="18" hidden="1" outlineLevel="1" thickBot="1" x14ac:dyDescent="0.2">
      <c r="B4089" s="20" t="s">
        <v>775</v>
      </c>
      <c r="C4089" s="21" t="s">
        <v>1224</v>
      </c>
      <c r="D4089" s="21" t="s">
        <v>1169</v>
      </c>
      <c r="E4089" s="21">
        <v>0</v>
      </c>
      <c r="F4089" s="21"/>
      <c r="G4089" s="22" t="s">
        <v>1111</v>
      </c>
    </row>
    <row r="4090" spans="1:7" s="7" customFormat="1" ht="17.25" hidden="1" customHeight="1" outlineLevel="1" x14ac:dyDescent="0.15">
      <c r="A4090" s="2"/>
      <c r="B4090" s="327" t="s">
        <v>15</v>
      </c>
      <c r="C4090" s="328"/>
      <c r="D4090" s="328"/>
      <c r="E4090" s="328"/>
      <c r="F4090" s="328"/>
      <c r="G4090" s="329"/>
    </row>
    <row r="4091" spans="1:7" ht="17.25" hidden="1" customHeight="1" outlineLevel="1" thickBot="1" x14ac:dyDescent="0.2">
      <c r="A4091" s="2"/>
      <c r="B4091" s="24"/>
      <c r="C4091" s="9"/>
      <c r="D4091" s="9"/>
      <c r="E4091" s="9"/>
      <c r="F4091" s="9"/>
      <c r="G4091" s="11"/>
    </row>
    <row r="4092" spans="1:7" s="7" customFormat="1" ht="20.25" hidden="1" customHeight="1" outlineLevel="1" thickBot="1" x14ac:dyDescent="0.2">
      <c r="A4092" s="1"/>
      <c r="B4092" s="1"/>
      <c r="C4092" s="1"/>
      <c r="D4092" s="1"/>
      <c r="E4092" s="1"/>
      <c r="F4092" s="1"/>
      <c r="G4092" s="1"/>
    </row>
    <row r="4093" spans="1:7" s="7" customFormat="1" ht="18" collapsed="1" thickBot="1" x14ac:dyDescent="0.2">
      <c r="B4093" s="3" t="s">
        <v>563</v>
      </c>
      <c r="C4093" s="4" t="s">
        <v>1004</v>
      </c>
      <c r="D4093" s="5" t="s">
        <v>515</v>
      </c>
      <c r="E4093" s="21" t="s">
        <v>1005</v>
      </c>
      <c r="F4093" s="5" t="s">
        <v>567</v>
      </c>
      <c r="G4093" s="21"/>
    </row>
    <row r="4094" spans="1:7" s="7" customFormat="1" ht="18" hidden="1" outlineLevel="1" thickBot="1" x14ac:dyDescent="0.2">
      <c r="B4094" s="34" t="s">
        <v>570</v>
      </c>
      <c r="C4094" s="18"/>
      <c r="D4094" s="35" t="s">
        <v>568</v>
      </c>
      <c r="E4094" s="18" t="s">
        <v>615</v>
      </c>
      <c r="F4094" s="35"/>
      <c r="G4094" s="19"/>
    </row>
    <row r="4095" spans="1:7" s="7" customFormat="1" hidden="1" outlineLevel="1" x14ac:dyDescent="0.15">
      <c r="B4095" s="3" t="s">
        <v>0</v>
      </c>
      <c r="C4095" s="5" t="s">
        <v>1</v>
      </c>
      <c r="D4095" s="5" t="s">
        <v>2</v>
      </c>
      <c r="E4095" s="5"/>
      <c r="F4095" s="5" t="s">
        <v>3</v>
      </c>
      <c r="G4095" s="36" t="s">
        <v>4</v>
      </c>
    </row>
    <row r="4096" spans="1:7" s="7" customFormat="1" hidden="1" outlineLevel="1" x14ac:dyDescent="0.15">
      <c r="B4096" s="20" t="s">
        <v>16</v>
      </c>
      <c r="C4096" s="21" t="s">
        <v>1163</v>
      </c>
      <c r="D4096" s="21" t="s">
        <v>211</v>
      </c>
      <c r="E4096" s="21">
        <v>0</v>
      </c>
      <c r="F4096" s="21"/>
      <c r="G4096" s="22" t="s">
        <v>1077</v>
      </c>
    </row>
    <row r="4097" spans="1:7" s="7" customFormat="1" ht="18" hidden="1" outlineLevel="1" thickBot="1" x14ac:dyDescent="0.2">
      <c r="A4097" s="2"/>
      <c r="B4097" s="17" t="s">
        <v>303</v>
      </c>
      <c r="C4097" s="18" t="s">
        <v>1170</v>
      </c>
      <c r="D4097" s="18" t="s">
        <v>1169</v>
      </c>
      <c r="E4097" s="18">
        <v>0</v>
      </c>
      <c r="F4097" s="18"/>
      <c r="G4097" s="19"/>
    </row>
    <row r="4098" spans="1:7" s="7" customFormat="1" ht="17.25" hidden="1" customHeight="1" outlineLevel="1" x14ac:dyDescent="0.15">
      <c r="A4098" s="2"/>
      <c r="B4098" s="327" t="s">
        <v>15</v>
      </c>
      <c r="C4098" s="328"/>
      <c r="D4098" s="328"/>
      <c r="E4098" s="328"/>
      <c r="F4098" s="328"/>
      <c r="G4098" s="329"/>
    </row>
    <row r="4099" spans="1:7" ht="17.25" hidden="1" customHeight="1" outlineLevel="1" thickBot="1" x14ac:dyDescent="0.2">
      <c r="A4099" s="2"/>
      <c r="B4099" s="24"/>
      <c r="C4099" s="9"/>
      <c r="D4099" s="9"/>
      <c r="E4099" s="9"/>
      <c r="F4099" s="9"/>
      <c r="G4099" s="11"/>
    </row>
    <row r="4100" spans="1:7" s="7" customFormat="1" ht="20.25" hidden="1" customHeight="1" outlineLevel="1" thickBot="1" x14ac:dyDescent="0.2">
      <c r="A4100" s="1"/>
      <c r="B4100" s="1"/>
      <c r="C4100" s="1"/>
      <c r="D4100" s="1"/>
      <c r="E4100" s="1"/>
      <c r="F4100" s="1"/>
      <c r="G4100" s="1"/>
    </row>
    <row r="4101" spans="1:7" s="7" customFormat="1" ht="18" collapsed="1" thickBot="1" x14ac:dyDescent="0.2">
      <c r="B4101" s="3" t="s">
        <v>563</v>
      </c>
      <c r="C4101" s="4" t="s">
        <v>1006</v>
      </c>
      <c r="D4101" s="5" t="s">
        <v>515</v>
      </c>
      <c r="E4101" s="21" t="s">
        <v>1007</v>
      </c>
      <c r="F4101" s="5" t="s">
        <v>567</v>
      </c>
      <c r="G4101" s="21"/>
    </row>
    <row r="4102" spans="1:7" s="7" customFormat="1" ht="18" hidden="1" outlineLevel="1" thickBot="1" x14ac:dyDescent="0.2">
      <c r="B4102" s="34" t="s">
        <v>570</v>
      </c>
      <c r="C4102" s="18"/>
      <c r="D4102" s="35" t="s">
        <v>568</v>
      </c>
      <c r="E4102" s="18" t="s">
        <v>615</v>
      </c>
      <c r="F4102" s="35"/>
      <c r="G4102" s="19"/>
    </row>
    <row r="4103" spans="1:7" s="7" customFormat="1" hidden="1" outlineLevel="1" x14ac:dyDescent="0.15">
      <c r="B4103" s="3" t="s">
        <v>0</v>
      </c>
      <c r="C4103" s="5" t="s">
        <v>1</v>
      </c>
      <c r="D4103" s="5" t="s">
        <v>2</v>
      </c>
      <c r="E4103" s="5"/>
      <c r="F4103" s="5" t="s">
        <v>3</v>
      </c>
      <c r="G4103" s="36" t="s">
        <v>4</v>
      </c>
    </row>
    <row r="4104" spans="1:7" s="7" customFormat="1" hidden="1" outlineLevel="1" x14ac:dyDescent="0.15">
      <c r="A4104" s="2"/>
      <c r="B4104" s="33" t="s">
        <v>22</v>
      </c>
      <c r="C4104" s="18" t="s">
        <v>1127</v>
      </c>
      <c r="D4104" s="18" t="s">
        <v>211</v>
      </c>
      <c r="E4104" s="18" t="s">
        <v>1141</v>
      </c>
      <c r="F4104" s="18"/>
      <c r="G4104" s="19" t="s">
        <v>1162</v>
      </c>
    </row>
    <row r="4105" spans="1:7" s="7" customFormat="1" hidden="1" outlineLevel="1" x14ac:dyDescent="0.15">
      <c r="B4105" s="20" t="s">
        <v>16</v>
      </c>
      <c r="C4105" s="21" t="s">
        <v>1163</v>
      </c>
      <c r="D4105" s="21" t="s">
        <v>211</v>
      </c>
      <c r="E4105" s="21">
        <v>0</v>
      </c>
      <c r="F4105" s="21"/>
      <c r="G4105" s="22" t="s">
        <v>1077</v>
      </c>
    </row>
    <row r="4106" spans="1:7" s="7" customFormat="1" ht="18" hidden="1" outlineLevel="1" thickBot="1" x14ac:dyDescent="0.2">
      <c r="A4106" s="2"/>
      <c r="B4106" s="17" t="s">
        <v>303</v>
      </c>
      <c r="C4106" s="18" t="s">
        <v>1170</v>
      </c>
      <c r="D4106" s="18" t="s">
        <v>1169</v>
      </c>
      <c r="E4106" s="18">
        <v>0</v>
      </c>
      <c r="F4106" s="18"/>
      <c r="G4106" s="19"/>
    </row>
    <row r="4107" spans="1:7" s="7" customFormat="1" ht="17.25" hidden="1" customHeight="1" outlineLevel="1" x14ac:dyDescent="0.15">
      <c r="A4107" s="2"/>
      <c r="B4107" s="327" t="s">
        <v>15</v>
      </c>
      <c r="C4107" s="328"/>
      <c r="D4107" s="328"/>
      <c r="E4107" s="328"/>
      <c r="F4107" s="328"/>
      <c r="G4107" s="329"/>
    </row>
    <row r="4108" spans="1:7" ht="18" hidden="1" outlineLevel="1" thickBot="1" x14ac:dyDescent="0.2">
      <c r="A4108" s="2"/>
      <c r="B4108" s="24"/>
      <c r="C4108" s="9"/>
      <c r="D4108" s="9"/>
      <c r="E4108" s="9"/>
      <c r="F4108" s="9"/>
      <c r="G4108" s="11"/>
    </row>
    <row r="4109" spans="1:7" ht="18" hidden="1" outlineLevel="1" thickBot="1" x14ac:dyDescent="0.2"/>
    <row r="4110" spans="1:7" s="7" customFormat="1" ht="18" collapsed="1" thickBot="1" x14ac:dyDescent="0.2">
      <c r="B4110" s="3" t="s">
        <v>563</v>
      </c>
      <c r="C4110" s="4" t="s">
        <v>1938</v>
      </c>
      <c r="D4110" s="5" t="s">
        <v>515</v>
      </c>
      <c r="E4110" s="4" t="s">
        <v>1940</v>
      </c>
      <c r="F4110" s="5" t="s">
        <v>567</v>
      </c>
      <c r="G4110" s="6"/>
    </row>
    <row r="4111" spans="1:7" s="7" customFormat="1" ht="18" hidden="1" outlineLevel="1" thickBot="1" x14ac:dyDescent="0.2">
      <c r="B4111" s="34" t="s">
        <v>570</v>
      </c>
      <c r="C4111" s="18" t="s">
        <v>1618</v>
      </c>
      <c r="D4111" s="35" t="s">
        <v>568</v>
      </c>
      <c r="E4111" s="18" t="s">
        <v>615</v>
      </c>
      <c r="F4111" s="35"/>
      <c r="G4111" s="19"/>
    </row>
    <row r="4112" spans="1:7" s="7" customFormat="1" hidden="1" outlineLevel="1" x14ac:dyDescent="0.15">
      <c r="B4112" s="3" t="s">
        <v>0</v>
      </c>
      <c r="C4112" s="5" t="s">
        <v>1</v>
      </c>
      <c r="D4112" s="5" t="s">
        <v>2</v>
      </c>
      <c r="E4112" s="5"/>
      <c r="F4112" s="5" t="s">
        <v>3</v>
      </c>
      <c r="G4112" s="36" t="s">
        <v>4</v>
      </c>
    </row>
    <row r="4113" spans="1:13" s="7" customFormat="1" hidden="1" outlineLevel="1" x14ac:dyDescent="0.15">
      <c r="B4113" s="20" t="s">
        <v>1818</v>
      </c>
      <c r="C4113" s="21" t="s">
        <v>1819</v>
      </c>
      <c r="D4113" s="21" t="s">
        <v>211</v>
      </c>
      <c r="E4113" s="21">
        <v>0</v>
      </c>
      <c r="F4113" s="21" t="s">
        <v>350</v>
      </c>
      <c r="G4113" s="22" t="s">
        <v>1077</v>
      </c>
    </row>
    <row r="4114" spans="1:13" s="7" customFormat="1" hidden="1" outlineLevel="1" x14ac:dyDescent="0.15">
      <c r="B4114" s="20" t="s">
        <v>21</v>
      </c>
      <c r="C4114" s="21" t="s">
        <v>1357</v>
      </c>
      <c r="D4114" s="21" t="s">
        <v>211</v>
      </c>
      <c r="E4114" s="21">
        <v>0</v>
      </c>
      <c r="F4114" s="21" t="s">
        <v>350</v>
      </c>
      <c r="G4114" s="22" t="s">
        <v>1358</v>
      </c>
    </row>
    <row r="4115" spans="1:13" s="7" customFormat="1" hidden="1" outlineLevel="1" x14ac:dyDescent="0.15">
      <c r="B4115" s="20" t="s">
        <v>1820</v>
      </c>
      <c r="C4115" s="21" t="s">
        <v>1821</v>
      </c>
      <c r="D4115" s="21" t="s">
        <v>1287</v>
      </c>
      <c r="E4115" s="21" t="s">
        <v>1072</v>
      </c>
      <c r="F4115" s="21" t="s">
        <v>350</v>
      </c>
      <c r="G4115" s="22"/>
      <c r="J4115" s="7" t="s">
        <v>354</v>
      </c>
      <c r="K4115" s="7" t="s">
        <v>355</v>
      </c>
      <c r="L4115" s="7" t="s">
        <v>356</v>
      </c>
      <c r="M4115" s="7" t="s">
        <v>354</v>
      </c>
    </row>
    <row r="4116" spans="1:13" s="7" customFormat="1" hidden="1" outlineLevel="1" x14ac:dyDescent="0.15">
      <c r="B4116" s="20" t="s">
        <v>1822</v>
      </c>
      <c r="C4116" s="21" t="s">
        <v>1823</v>
      </c>
      <c r="D4116" s="21" t="s">
        <v>1287</v>
      </c>
      <c r="E4116" s="21" t="s">
        <v>1072</v>
      </c>
      <c r="F4116" s="21" t="s">
        <v>350</v>
      </c>
      <c r="G4116" s="22"/>
      <c r="J4116" s="7" t="s">
        <v>354</v>
      </c>
      <c r="K4116" s="7" t="s">
        <v>355</v>
      </c>
      <c r="L4116" s="7" t="s">
        <v>356</v>
      </c>
      <c r="M4116" s="7" t="s">
        <v>354</v>
      </c>
    </row>
    <row r="4117" spans="1:13" s="7" customFormat="1" hidden="1" outlineLevel="1" x14ac:dyDescent="0.15">
      <c r="B4117" s="20" t="s">
        <v>1824</v>
      </c>
      <c r="C4117" s="21" t="s">
        <v>1825</v>
      </c>
      <c r="D4117" s="21" t="s">
        <v>1826</v>
      </c>
      <c r="E4117" s="21" t="s">
        <v>1072</v>
      </c>
      <c r="F4117" s="21" t="s">
        <v>350</v>
      </c>
      <c r="G4117" s="22"/>
      <c r="J4117" s="7" t="s">
        <v>354</v>
      </c>
      <c r="K4117" s="7" t="s">
        <v>355</v>
      </c>
      <c r="L4117" s="7" t="s">
        <v>356</v>
      </c>
      <c r="M4117" s="7" t="s">
        <v>354</v>
      </c>
    </row>
    <row r="4118" spans="1:13" s="7" customFormat="1" hidden="1" outlineLevel="1" x14ac:dyDescent="0.15">
      <c r="B4118" s="20" t="s">
        <v>1827</v>
      </c>
      <c r="C4118" s="21" t="s">
        <v>1828</v>
      </c>
      <c r="D4118" s="21" t="s">
        <v>1403</v>
      </c>
      <c r="E4118" s="21" t="s">
        <v>1303</v>
      </c>
      <c r="F4118" s="21" t="s">
        <v>366</v>
      </c>
      <c r="G4118" s="22" t="s">
        <v>1829</v>
      </c>
    </row>
    <row r="4119" spans="1:13" s="7" customFormat="1" ht="16.5" hidden="1" customHeight="1" outlineLevel="1" x14ac:dyDescent="0.15">
      <c r="A4119" s="2"/>
      <c r="B4119" s="14" t="s">
        <v>1830</v>
      </c>
      <c r="C4119" s="15" t="s">
        <v>1831</v>
      </c>
      <c r="D4119" s="15" t="s">
        <v>1301</v>
      </c>
      <c r="E4119" s="15" t="s">
        <v>1072</v>
      </c>
      <c r="F4119" s="15"/>
      <c r="G4119" s="16" t="s">
        <v>1832</v>
      </c>
    </row>
    <row r="4120" spans="1:13" s="7" customFormat="1" hidden="1" outlineLevel="1" x14ac:dyDescent="0.15">
      <c r="B4120" s="20" t="s">
        <v>22</v>
      </c>
      <c r="C4120" s="21" t="s">
        <v>1127</v>
      </c>
      <c r="D4120" s="21" t="s">
        <v>211</v>
      </c>
      <c r="E4120" s="21" t="s">
        <v>1141</v>
      </c>
      <c r="F4120" s="21"/>
      <c r="G4120" s="22" t="s">
        <v>1162</v>
      </c>
    </row>
    <row r="4121" spans="1:13" s="7" customFormat="1" hidden="1" outlineLevel="1" x14ac:dyDescent="0.15">
      <c r="B4121" s="20" t="s">
        <v>6</v>
      </c>
      <c r="C4121" s="21" t="s">
        <v>1163</v>
      </c>
      <c r="D4121" s="21" t="s">
        <v>211</v>
      </c>
      <c r="E4121" s="21">
        <v>0</v>
      </c>
      <c r="F4121" s="21"/>
      <c r="G4121" s="22" t="s">
        <v>1077</v>
      </c>
    </row>
    <row r="4122" spans="1:13" s="7" customFormat="1" hidden="1" outlineLevel="1" x14ac:dyDescent="0.15">
      <c r="B4122" s="20" t="s">
        <v>111</v>
      </c>
      <c r="C4122" s="21" t="s">
        <v>1164</v>
      </c>
      <c r="D4122" s="21" t="s">
        <v>211</v>
      </c>
      <c r="E4122" s="21">
        <v>0</v>
      </c>
      <c r="F4122" s="21"/>
      <c r="G4122" s="22" t="s">
        <v>1165</v>
      </c>
    </row>
    <row r="4123" spans="1:13" s="7" customFormat="1" hidden="1" outlineLevel="1" x14ac:dyDescent="0.15">
      <c r="B4123" s="20" t="s">
        <v>123</v>
      </c>
      <c r="C4123" s="21" t="s">
        <v>1133</v>
      </c>
      <c r="D4123" s="21" t="s">
        <v>211</v>
      </c>
      <c r="E4123" s="21">
        <v>0</v>
      </c>
      <c r="F4123" s="21"/>
      <c r="G4123" s="22" t="s">
        <v>1182</v>
      </c>
    </row>
    <row r="4124" spans="1:13" s="7" customFormat="1" hidden="1" outlineLevel="1" x14ac:dyDescent="0.15">
      <c r="B4124" s="20" t="s">
        <v>113</v>
      </c>
      <c r="C4124" s="21" t="s">
        <v>1187</v>
      </c>
      <c r="D4124" s="21" t="s">
        <v>211</v>
      </c>
      <c r="E4124" s="21">
        <v>0</v>
      </c>
      <c r="F4124" s="21"/>
      <c r="G4124" s="22"/>
    </row>
    <row r="4125" spans="1:13" s="7" customFormat="1" hidden="1" outlineLevel="1" x14ac:dyDescent="0.15">
      <c r="B4125" s="20" t="s">
        <v>98</v>
      </c>
      <c r="C4125" s="21" t="s">
        <v>1359</v>
      </c>
      <c r="D4125" s="21" t="s">
        <v>211</v>
      </c>
      <c r="E4125" s="21">
        <v>0</v>
      </c>
      <c r="F4125" s="21"/>
      <c r="G4125" s="22" t="s">
        <v>1562</v>
      </c>
    </row>
    <row r="4126" spans="1:13" s="7" customFormat="1" hidden="1" outlineLevel="1" x14ac:dyDescent="0.15">
      <c r="B4126" s="20" t="s">
        <v>260</v>
      </c>
      <c r="C4126" s="21" t="s">
        <v>1119</v>
      </c>
      <c r="D4126" s="21" t="s">
        <v>1287</v>
      </c>
      <c r="E4126" s="21" t="s">
        <v>1072</v>
      </c>
      <c r="F4126" s="21"/>
      <c r="G4126" s="22"/>
    </row>
    <row r="4127" spans="1:13" s="7" customFormat="1" hidden="1" outlineLevel="1" x14ac:dyDescent="0.15">
      <c r="B4127" s="20" t="s">
        <v>243</v>
      </c>
      <c r="C4127" s="21" t="s">
        <v>1450</v>
      </c>
      <c r="D4127" s="21" t="s">
        <v>1131</v>
      </c>
      <c r="E4127" s="21" t="s">
        <v>1074</v>
      </c>
      <c r="F4127" s="21"/>
      <c r="G4127" s="22"/>
    </row>
    <row r="4128" spans="1:13" s="7" customFormat="1" hidden="1" outlineLevel="1" x14ac:dyDescent="0.15">
      <c r="B4128" s="20" t="s">
        <v>7</v>
      </c>
      <c r="C4128" s="21" t="s">
        <v>1190</v>
      </c>
      <c r="D4128" s="21" t="s">
        <v>211</v>
      </c>
      <c r="E4128" s="21">
        <v>0</v>
      </c>
      <c r="F4128" s="21"/>
      <c r="G4128" s="22" t="s">
        <v>1081</v>
      </c>
    </row>
    <row r="4129" spans="2:7" s="7" customFormat="1" hidden="1" outlineLevel="1" x14ac:dyDescent="0.15">
      <c r="B4129" s="20" t="s">
        <v>114</v>
      </c>
      <c r="C4129" s="21" t="s">
        <v>1155</v>
      </c>
      <c r="D4129" s="21" t="s">
        <v>211</v>
      </c>
      <c r="E4129" s="21">
        <v>0</v>
      </c>
      <c r="F4129" s="21"/>
      <c r="G4129" s="22"/>
    </row>
    <row r="4130" spans="2:7" s="7" customFormat="1" hidden="1" outlineLevel="1" x14ac:dyDescent="0.15">
      <c r="B4130" s="147" t="s">
        <v>115</v>
      </c>
      <c r="C4130" s="147" t="s">
        <v>1188</v>
      </c>
      <c r="D4130" s="21" t="s">
        <v>211</v>
      </c>
      <c r="E4130" s="21">
        <v>0</v>
      </c>
      <c r="F4130" s="21"/>
      <c r="G4130" s="22"/>
    </row>
    <row r="4131" spans="2:7" s="7" customFormat="1" hidden="1" outlineLevel="1" x14ac:dyDescent="0.15">
      <c r="B4131" s="147" t="s">
        <v>19</v>
      </c>
      <c r="C4131" s="147" t="s">
        <v>1337</v>
      </c>
      <c r="D4131" s="21" t="s">
        <v>1219</v>
      </c>
      <c r="E4131" s="21" t="s">
        <v>1072</v>
      </c>
      <c r="F4131" s="21"/>
      <c r="G4131" s="22" t="s">
        <v>1338</v>
      </c>
    </row>
    <row r="4132" spans="2:7" s="7" customFormat="1" hidden="1" outlineLevel="1" x14ac:dyDescent="0.15">
      <c r="B4132" s="20" t="s">
        <v>214</v>
      </c>
      <c r="C4132" s="21" t="s">
        <v>1339</v>
      </c>
      <c r="D4132" s="21" t="s">
        <v>211</v>
      </c>
      <c r="E4132" s="21">
        <v>0</v>
      </c>
      <c r="F4132" s="21"/>
      <c r="G4132" s="22"/>
    </row>
    <row r="4133" spans="2:7" s="7" customFormat="1" hidden="1" outlineLevel="1" x14ac:dyDescent="0.15">
      <c r="B4133" s="20" t="s">
        <v>174</v>
      </c>
      <c r="C4133" s="21" t="s">
        <v>1397</v>
      </c>
      <c r="D4133" s="21" t="s">
        <v>211</v>
      </c>
      <c r="E4133" s="21">
        <v>0</v>
      </c>
      <c r="F4133" s="21"/>
      <c r="G4133" s="22"/>
    </row>
    <row r="4134" spans="2:7" s="7" customFormat="1" hidden="1" outlineLevel="1" x14ac:dyDescent="0.15">
      <c r="B4134" s="147" t="s">
        <v>93</v>
      </c>
      <c r="C4134" s="147" t="s">
        <v>1189</v>
      </c>
      <c r="D4134" s="21" t="s">
        <v>211</v>
      </c>
      <c r="E4134" s="21">
        <v>0</v>
      </c>
      <c r="F4134" s="21"/>
      <c r="G4134" s="22"/>
    </row>
    <row r="4135" spans="2:7" s="7" customFormat="1" hidden="1" outlineLevel="1" x14ac:dyDescent="0.15">
      <c r="B4135" s="147" t="s">
        <v>41</v>
      </c>
      <c r="C4135" s="147" t="s">
        <v>1258</v>
      </c>
      <c r="D4135" s="21" t="s">
        <v>211</v>
      </c>
      <c r="E4135" s="21">
        <v>0</v>
      </c>
      <c r="F4135" s="21"/>
      <c r="G4135" s="22" t="s">
        <v>1259</v>
      </c>
    </row>
    <row r="4136" spans="2:7" s="7" customFormat="1" hidden="1" outlineLevel="1" x14ac:dyDescent="0.15">
      <c r="B4136" s="147" t="s">
        <v>1833</v>
      </c>
      <c r="C4136" s="147" t="s">
        <v>1834</v>
      </c>
      <c r="D4136" s="21" t="s">
        <v>211</v>
      </c>
      <c r="E4136" s="21" t="s">
        <v>1141</v>
      </c>
      <c r="F4136" s="21"/>
      <c r="G4136" s="22" t="s">
        <v>1835</v>
      </c>
    </row>
    <row r="4137" spans="2:7" s="7" customFormat="1" hidden="1" outlineLevel="1" x14ac:dyDescent="0.15">
      <c r="B4137" s="20" t="s">
        <v>1836</v>
      </c>
      <c r="C4137" s="21" t="s">
        <v>1837</v>
      </c>
      <c r="D4137" s="21" t="s">
        <v>211</v>
      </c>
      <c r="E4137" s="21" t="s">
        <v>1265</v>
      </c>
      <c r="F4137" s="21"/>
      <c r="G4137" s="22" t="s">
        <v>1838</v>
      </c>
    </row>
    <row r="4138" spans="2:7" s="7" customFormat="1" hidden="1" outlineLevel="1" x14ac:dyDescent="0.15">
      <c r="B4138" s="147" t="s">
        <v>1839</v>
      </c>
      <c r="C4138" s="147" t="s">
        <v>1361</v>
      </c>
      <c r="D4138" s="21" t="s">
        <v>211</v>
      </c>
      <c r="E4138" s="21">
        <v>0</v>
      </c>
      <c r="F4138" s="21"/>
      <c r="G4138" s="22"/>
    </row>
    <row r="4139" spans="2:7" s="7" customFormat="1" hidden="1" outlineLevel="1" x14ac:dyDescent="0.15">
      <c r="B4139" s="20" t="s">
        <v>1840</v>
      </c>
      <c r="C4139" s="21" t="s">
        <v>1841</v>
      </c>
      <c r="D4139" s="21" t="s">
        <v>211</v>
      </c>
      <c r="E4139" s="21">
        <v>0</v>
      </c>
      <c r="F4139" s="21"/>
      <c r="G4139" s="22" t="s">
        <v>1842</v>
      </c>
    </row>
    <row r="4140" spans="2:7" s="7" customFormat="1" hidden="1" outlineLevel="1" x14ac:dyDescent="0.15">
      <c r="B4140" s="20" t="s">
        <v>1843</v>
      </c>
      <c r="C4140" s="21" t="s">
        <v>1844</v>
      </c>
      <c r="D4140" s="21" t="s">
        <v>211</v>
      </c>
      <c r="E4140" s="21">
        <v>0</v>
      </c>
      <c r="F4140" s="21"/>
      <c r="G4140" s="22" t="s">
        <v>1845</v>
      </c>
    </row>
    <row r="4141" spans="2:7" s="7" customFormat="1" hidden="1" outlineLevel="1" x14ac:dyDescent="0.15">
      <c r="B4141" s="20" t="s">
        <v>1846</v>
      </c>
      <c r="C4141" s="21" t="s">
        <v>1847</v>
      </c>
      <c r="D4141" s="21" t="s">
        <v>211</v>
      </c>
      <c r="E4141" s="21">
        <v>0</v>
      </c>
      <c r="F4141" s="21"/>
      <c r="G4141" s="22"/>
    </row>
    <row r="4142" spans="2:7" s="7" customFormat="1" hidden="1" outlineLevel="1" x14ac:dyDescent="0.15">
      <c r="B4142" s="20" t="s">
        <v>1848</v>
      </c>
      <c r="C4142" s="21" t="s">
        <v>1849</v>
      </c>
      <c r="D4142" s="21" t="s">
        <v>1211</v>
      </c>
      <c r="E4142" s="21">
        <v>0</v>
      </c>
      <c r="F4142" s="21"/>
      <c r="G4142" s="22" t="s">
        <v>1850</v>
      </c>
    </row>
    <row r="4143" spans="2:7" s="7" customFormat="1" hidden="1" outlineLevel="1" x14ac:dyDescent="0.15">
      <c r="B4143" s="20" t="s">
        <v>1851</v>
      </c>
      <c r="C4143" s="21" t="s">
        <v>1852</v>
      </c>
      <c r="D4143" s="21" t="s">
        <v>1211</v>
      </c>
      <c r="E4143" s="21">
        <v>0</v>
      </c>
      <c r="F4143" s="21"/>
      <c r="G4143" s="22" t="s">
        <v>1850</v>
      </c>
    </row>
    <row r="4144" spans="2:7" s="7" customFormat="1" hidden="1" outlineLevel="1" x14ac:dyDescent="0.15">
      <c r="B4144" s="194" t="s">
        <v>1853</v>
      </c>
      <c r="C4144" s="195" t="s">
        <v>1854</v>
      </c>
      <c r="D4144" s="21" t="s">
        <v>1087</v>
      </c>
      <c r="E4144" s="21">
        <v>0</v>
      </c>
      <c r="F4144" s="21"/>
      <c r="G4144" s="22"/>
    </row>
    <row r="4145" spans="2:7" s="7" customFormat="1" hidden="1" outlineLevel="1" x14ac:dyDescent="0.15">
      <c r="B4145" s="194" t="s">
        <v>1855</v>
      </c>
      <c r="C4145" s="195" t="s">
        <v>1856</v>
      </c>
      <c r="D4145" s="21" t="s">
        <v>1169</v>
      </c>
      <c r="E4145" s="21">
        <v>0</v>
      </c>
      <c r="F4145" s="21"/>
      <c r="G4145" s="22"/>
    </row>
    <row r="4146" spans="2:7" s="7" customFormat="1" hidden="1" outlineLevel="1" x14ac:dyDescent="0.15">
      <c r="B4146" s="229" t="s">
        <v>1857</v>
      </c>
      <c r="C4146" s="230" t="s">
        <v>1374</v>
      </c>
      <c r="D4146" s="21" t="s">
        <v>1087</v>
      </c>
      <c r="E4146" s="21">
        <v>0</v>
      </c>
      <c r="F4146" s="21"/>
      <c r="G4146" s="22" t="s">
        <v>1375</v>
      </c>
    </row>
    <row r="4147" spans="2:7" s="7" customFormat="1" hidden="1" outlineLevel="1" x14ac:dyDescent="0.15">
      <c r="B4147" s="20" t="s">
        <v>1858</v>
      </c>
      <c r="C4147" s="21" t="s">
        <v>1859</v>
      </c>
      <c r="D4147" s="21" t="s">
        <v>1087</v>
      </c>
      <c r="E4147" s="21">
        <v>0</v>
      </c>
      <c r="F4147" s="21"/>
      <c r="G4147" s="22"/>
    </row>
    <row r="4148" spans="2:7" s="7" customFormat="1" hidden="1" outlineLevel="1" x14ac:dyDescent="0.15">
      <c r="B4148" s="153" t="s">
        <v>39</v>
      </c>
      <c r="C4148" s="154" t="s">
        <v>1242</v>
      </c>
      <c r="D4148" s="21" t="s">
        <v>1169</v>
      </c>
      <c r="E4148" s="21">
        <v>0</v>
      </c>
      <c r="F4148" s="21"/>
      <c r="G4148" s="22" t="s">
        <v>1243</v>
      </c>
    </row>
    <row r="4149" spans="2:7" s="7" customFormat="1" hidden="1" outlineLevel="1" x14ac:dyDescent="0.15">
      <c r="B4149" s="153" t="s">
        <v>38</v>
      </c>
      <c r="C4149" s="154" t="s">
        <v>1241</v>
      </c>
      <c r="D4149" s="21" t="s">
        <v>1087</v>
      </c>
      <c r="E4149" s="21">
        <v>0</v>
      </c>
      <c r="F4149" s="21"/>
      <c r="G4149" s="22" t="s">
        <v>1086</v>
      </c>
    </row>
    <row r="4150" spans="2:7" s="7" customFormat="1" hidden="1" outlineLevel="1" x14ac:dyDescent="0.15">
      <c r="B4150" s="20" t="s">
        <v>493</v>
      </c>
      <c r="C4150" s="21" t="s">
        <v>1117</v>
      </c>
      <c r="D4150" s="21" t="s">
        <v>1169</v>
      </c>
      <c r="E4150" s="21">
        <v>0</v>
      </c>
      <c r="F4150" s="21"/>
      <c r="G4150" s="22"/>
    </row>
    <row r="4151" spans="2:7" s="7" customFormat="1" hidden="1" outlineLevel="1" x14ac:dyDescent="0.15">
      <c r="B4151" s="20" t="s">
        <v>402</v>
      </c>
      <c r="C4151" s="21" t="s">
        <v>1083</v>
      </c>
      <c r="D4151" s="21" t="s">
        <v>1087</v>
      </c>
      <c r="E4151" s="21">
        <v>0</v>
      </c>
      <c r="F4151" s="21"/>
      <c r="G4151" s="22"/>
    </row>
    <row r="4152" spans="2:7" s="7" customFormat="1" hidden="1" outlineLevel="1" x14ac:dyDescent="0.15">
      <c r="B4152" s="20" t="s">
        <v>259</v>
      </c>
      <c r="C4152" s="21" t="s">
        <v>1392</v>
      </c>
      <c r="D4152" s="21" t="s">
        <v>211</v>
      </c>
      <c r="E4152" s="21">
        <v>0</v>
      </c>
      <c r="F4152" s="21"/>
      <c r="G4152" s="22"/>
    </row>
    <row r="4153" spans="2:7" s="7" customFormat="1" hidden="1" outlineLevel="1" x14ac:dyDescent="0.15">
      <c r="B4153" s="20" t="s">
        <v>273</v>
      </c>
      <c r="C4153" s="21" t="s">
        <v>1394</v>
      </c>
      <c r="D4153" s="21" t="s">
        <v>1211</v>
      </c>
      <c r="E4153" s="21">
        <v>0</v>
      </c>
      <c r="F4153" s="21"/>
      <c r="G4153" s="22"/>
    </row>
    <row r="4154" spans="2:7" s="7" customFormat="1" hidden="1" outlineLevel="1" x14ac:dyDescent="0.15">
      <c r="B4154" s="20" t="s">
        <v>274</v>
      </c>
      <c r="C4154" s="21" t="s">
        <v>1565</v>
      </c>
      <c r="D4154" s="21" t="s">
        <v>1172</v>
      </c>
      <c r="E4154" s="21">
        <v>0</v>
      </c>
      <c r="F4154" s="21"/>
      <c r="G4154" s="22"/>
    </row>
    <row r="4155" spans="2:7" s="7" customFormat="1" hidden="1" outlineLevel="1" x14ac:dyDescent="0.15">
      <c r="B4155" s="20" t="s">
        <v>264</v>
      </c>
      <c r="C4155" s="21" t="s">
        <v>1393</v>
      </c>
      <c r="D4155" s="21" t="s">
        <v>211</v>
      </c>
      <c r="E4155" s="21">
        <v>0</v>
      </c>
      <c r="F4155" s="21"/>
      <c r="G4155" s="22"/>
    </row>
    <row r="4156" spans="2:7" s="7" customFormat="1" hidden="1" outlineLevel="1" x14ac:dyDescent="0.15">
      <c r="B4156" s="20" t="s">
        <v>258</v>
      </c>
      <c r="C4156" s="21" t="s">
        <v>1395</v>
      </c>
      <c r="D4156" s="21" t="s">
        <v>1172</v>
      </c>
      <c r="E4156" s="21">
        <v>0</v>
      </c>
      <c r="F4156" s="21"/>
      <c r="G4156" s="22"/>
    </row>
    <row r="4157" spans="2:7" s="7" customFormat="1" hidden="1" outlineLevel="1" x14ac:dyDescent="0.15">
      <c r="B4157" s="20" t="s">
        <v>265</v>
      </c>
      <c r="C4157" s="21" t="s">
        <v>1396</v>
      </c>
      <c r="D4157" s="21" t="s">
        <v>211</v>
      </c>
      <c r="E4157" s="21">
        <v>0</v>
      </c>
      <c r="F4157" s="21"/>
      <c r="G4157" s="22"/>
    </row>
    <row r="4158" spans="2:7" s="7" customFormat="1" hidden="1" outlineLevel="1" x14ac:dyDescent="0.15">
      <c r="B4158" s="20" t="s">
        <v>254</v>
      </c>
      <c r="C4158" s="21" t="s">
        <v>1588</v>
      </c>
      <c r="D4158" s="21" t="s">
        <v>211</v>
      </c>
      <c r="E4158" s="21">
        <v>0</v>
      </c>
      <c r="F4158" s="21"/>
      <c r="G4158" s="22"/>
    </row>
    <row r="4159" spans="2:7" s="7" customFormat="1" hidden="1" outlineLevel="1" x14ac:dyDescent="0.15">
      <c r="B4159" s="20" t="s">
        <v>255</v>
      </c>
      <c r="C4159" s="21" t="s">
        <v>1452</v>
      </c>
      <c r="D4159" s="21" t="s">
        <v>211</v>
      </c>
      <c r="E4159" s="21">
        <v>0</v>
      </c>
      <c r="F4159" s="21"/>
      <c r="G4159" s="22"/>
    </row>
    <row r="4160" spans="2:7" s="7" customFormat="1" hidden="1" outlineLevel="1" x14ac:dyDescent="0.15">
      <c r="B4160" s="20" t="s">
        <v>1860</v>
      </c>
      <c r="C4160" s="21" t="s">
        <v>1861</v>
      </c>
      <c r="D4160" s="21" t="s">
        <v>1403</v>
      </c>
      <c r="E4160" s="21" t="s">
        <v>1303</v>
      </c>
      <c r="F4160" s="21"/>
      <c r="G4160" s="22" t="s">
        <v>1862</v>
      </c>
    </row>
    <row r="4161" spans="2:7" s="7" customFormat="1" hidden="1" outlineLevel="1" x14ac:dyDescent="0.15">
      <c r="B4161" s="20" t="s">
        <v>1863</v>
      </c>
      <c r="C4161" s="21" t="s">
        <v>1864</v>
      </c>
      <c r="D4161" s="21" t="s">
        <v>1403</v>
      </c>
      <c r="E4161" s="21" t="s">
        <v>1303</v>
      </c>
      <c r="F4161" s="21"/>
      <c r="G4161" s="22" t="s">
        <v>1865</v>
      </c>
    </row>
    <row r="4162" spans="2:7" s="7" customFormat="1" hidden="1" outlineLevel="1" x14ac:dyDescent="0.15">
      <c r="B4162" s="33" t="s">
        <v>1866</v>
      </c>
      <c r="C4162" s="21" t="s">
        <v>1867</v>
      </c>
      <c r="D4162" s="21" t="s">
        <v>211</v>
      </c>
      <c r="E4162" s="21" t="s">
        <v>1141</v>
      </c>
      <c r="F4162" s="21"/>
      <c r="G4162" s="22" t="s">
        <v>1868</v>
      </c>
    </row>
    <row r="4163" spans="2:7" s="7" customFormat="1" hidden="1" outlineLevel="1" x14ac:dyDescent="0.15">
      <c r="B4163" s="33" t="s">
        <v>1869</v>
      </c>
      <c r="C4163" s="21" t="s">
        <v>1870</v>
      </c>
      <c r="D4163" s="21" t="s">
        <v>211</v>
      </c>
      <c r="E4163" s="21" t="s">
        <v>1141</v>
      </c>
      <c r="F4163" s="21"/>
      <c r="G4163" s="22" t="s">
        <v>1868</v>
      </c>
    </row>
    <row r="4164" spans="2:7" s="7" customFormat="1" hidden="1" outlineLevel="1" x14ac:dyDescent="0.15">
      <c r="B4164" s="33" t="s">
        <v>1871</v>
      </c>
      <c r="C4164" s="21" t="s">
        <v>1872</v>
      </c>
      <c r="D4164" s="21" t="s">
        <v>211</v>
      </c>
      <c r="E4164" s="21" t="s">
        <v>1265</v>
      </c>
      <c r="F4164" s="21"/>
      <c r="G4164" s="22" t="s">
        <v>1868</v>
      </c>
    </row>
    <row r="4165" spans="2:7" s="7" customFormat="1" hidden="1" outlineLevel="1" x14ac:dyDescent="0.15">
      <c r="B4165" s="33" t="s">
        <v>1873</v>
      </c>
      <c r="C4165" s="21" t="s">
        <v>1874</v>
      </c>
      <c r="D4165" s="21" t="s">
        <v>211</v>
      </c>
      <c r="E4165" s="21" t="s">
        <v>1265</v>
      </c>
      <c r="F4165" s="21"/>
      <c r="G4165" s="22" t="s">
        <v>1868</v>
      </c>
    </row>
    <row r="4166" spans="2:7" s="7" customFormat="1" hidden="1" outlineLevel="1" x14ac:dyDescent="0.15">
      <c r="B4166" s="33" t="s">
        <v>1875</v>
      </c>
      <c r="C4166" s="21" t="s">
        <v>1876</v>
      </c>
      <c r="D4166" s="21" t="s">
        <v>211</v>
      </c>
      <c r="E4166" s="21" t="s">
        <v>1141</v>
      </c>
      <c r="F4166" s="21"/>
      <c r="G4166" s="22"/>
    </row>
    <row r="4167" spans="2:7" s="7" customFormat="1" hidden="1" outlineLevel="1" x14ac:dyDescent="0.15">
      <c r="B4167" s="33" t="s">
        <v>1877</v>
      </c>
      <c r="C4167" s="21" t="s">
        <v>1878</v>
      </c>
      <c r="D4167" s="21" t="s">
        <v>211</v>
      </c>
      <c r="E4167" s="21" t="s">
        <v>1265</v>
      </c>
      <c r="F4167" s="21"/>
      <c r="G4167" s="22"/>
    </row>
    <row r="4168" spans="2:7" s="7" customFormat="1" hidden="1" outlineLevel="1" x14ac:dyDescent="0.15">
      <c r="B4168" s="20" t="s">
        <v>1879</v>
      </c>
      <c r="C4168" s="21" t="s">
        <v>1880</v>
      </c>
      <c r="D4168" s="21" t="s">
        <v>211</v>
      </c>
      <c r="E4168" s="21" t="s">
        <v>1141</v>
      </c>
      <c r="F4168" s="21"/>
      <c r="G4168" s="22"/>
    </row>
    <row r="4169" spans="2:7" s="7" customFormat="1" hidden="1" outlineLevel="1" x14ac:dyDescent="0.15">
      <c r="B4169" s="20" t="s">
        <v>1881</v>
      </c>
      <c r="C4169" s="21" t="s">
        <v>1882</v>
      </c>
      <c r="D4169" s="21" t="s">
        <v>211</v>
      </c>
      <c r="E4169" s="21" t="s">
        <v>1265</v>
      </c>
      <c r="F4169" s="21"/>
      <c r="G4169" s="22"/>
    </row>
    <row r="4170" spans="2:7" s="7" customFormat="1" hidden="1" outlineLevel="1" x14ac:dyDescent="0.15">
      <c r="B4170" s="20" t="s">
        <v>1883</v>
      </c>
      <c r="C4170" s="21" t="s">
        <v>1884</v>
      </c>
      <c r="D4170" s="21" t="s">
        <v>1403</v>
      </c>
      <c r="E4170" s="21" t="s">
        <v>1072</v>
      </c>
      <c r="F4170" s="21"/>
      <c r="G4170" s="22"/>
    </row>
    <row r="4171" spans="2:7" s="7" customFormat="1" hidden="1" outlineLevel="1" x14ac:dyDescent="0.15">
      <c r="B4171" s="20" t="s">
        <v>1885</v>
      </c>
      <c r="C4171" s="21" t="s">
        <v>1886</v>
      </c>
      <c r="D4171" s="21" t="s">
        <v>211</v>
      </c>
      <c r="E4171" s="21">
        <v>0</v>
      </c>
      <c r="F4171" s="21"/>
      <c r="G4171" s="22"/>
    </row>
    <row r="4172" spans="2:7" s="7" customFormat="1" hidden="1" outlineLevel="1" x14ac:dyDescent="0.15">
      <c r="B4172" s="20" t="s">
        <v>197</v>
      </c>
      <c r="C4172" s="21" t="s">
        <v>1575</v>
      </c>
      <c r="D4172" s="21" t="s">
        <v>211</v>
      </c>
      <c r="E4172" s="21">
        <v>0</v>
      </c>
      <c r="F4172" s="21"/>
      <c r="G4172" s="22" t="s">
        <v>1576</v>
      </c>
    </row>
    <row r="4173" spans="2:7" s="7" customFormat="1" hidden="1" outlineLevel="1" x14ac:dyDescent="0.15">
      <c r="B4173" s="20" t="s">
        <v>1887</v>
      </c>
      <c r="C4173" s="21" t="s">
        <v>1888</v>
      </c>
      <c r="D4173" s="21" t="s">
        <v>1092</v>
      </c>
      <c r="E4173" s="21" t="s">
        <v>1072</v>
      </c>
      <c r="F4173" s="21"/>
      <c r="G4173" s="22"/>
    </row>
    <row r="4174" spans="2:7" s="7" customFormat="1" hidden="1" outlineLevel="1" x14ac:dyDescent="0.15">
      <c r="B4174" s="20" t="s">
        <v>1889</v>
      </c>
      <c r="C4174" s="21" t="s">
        <v>1890</v>
      </c>
      <c r="D4174" s="21" t="s">
        <v>1345</v>
      </c>
      <c r="E4174" s="21">
        <v>0</v>
      </c>
      <c r="F4174" s="21"/>
      <c r="G4174" s="22"/>
    </row>
    <row r="4175" spans="2:7" s="7" customFormat="1" hidden="1" outlineLevel="1" x14ac:dyDescent="0.15">
      <c r="B4175" s="20" t="s">
        <v>1891</v>
      </c>
      <c r="C4175" s="21" t="s">
        <v>1892</v>
      </c>
      <c r="D4175" s="21" t="s">
        <v>1403</v>
      </c>
      <c r="E4175" s="21" t="s">
        <v>1072</v>
      </c>
      <c r="F4175" s="21"/>
      <c r="G4175" s="22"/>
    </row>
    <row r="4176" spans="2:7" s="7" customFormat="1" hidden="1" outlineLevel="1" x14ac:dyDescent="0.15">
      <c r="B4176" s="20" t="s">
        <v>267</v>
      </c>
      <c r="C4176" s="21" t="s">
        <v>1566</v>
      </c>
      <c r="D4176" s="21" t="s">
        <v>211</v>
      </c>
      <c r="E4176" s="21">
        <v>0</v>
      </c>
      <c r="F4176" s="21"/>
      <c r="G4176" s="22" t="s">
        <v>1567</v>
      </c>
    </row>
    <row r="4177" spans="2:7" s="7" customFormat="1" hidden="1" outlineLevel="1" x14ac:dyDescent="0.15">
      <c r="B4177" s="20" t="s">
        <v>1893</v>
      </c>
      <c r="C4177" s="21" t="s">
        <v>1894</v>
      </c>
      <c r="D4177" s="21" t="s">
        <v>211</v>
      </c>
      <c r="E4177" s="21">
        <v>0</v>
      </c>
      <c r="F4177" s="21"/>
      <c r="G4177" s="22" t="s">
        <v>1895</v>
      </c>
    </row>
    <row r="4178" spans="2:7" s="7" customFormat="1" hidden="1" outlineLevel="1" x14ac:dyDescent="0.15">
      <c r="B4178" s="20" t="s">
        <v>1896</v>
      </c>
      <c r="C4178" s="21" t="s">
        <v>1978</v>
      </c>
      <c r="D4178" s="21" t="s">
        <v>1087</v>
      </c>
      <c r="E4178" s="21">
        <v>0</v>
      </c>
      <c r="F4178" s="21"/>
      <c r="G4178" s="22"/>
    </row>
    <row r="4179" spans="2:7" s="7" customFormat="1" hidden="1" outlineLevel="1" x14ac:dyDescent="0.15">
      <c r="B4179" s="20" t="s">
        <v>1897</v>
      </c>
      <c r="C4179" s="21" t="s">
        <v>1979</v>
      </c>
      <c r="D4179" s="21" t="s">
        <v>1087</v>
      </c>
      <c r="E4179" s="21">
        <v>0</v>
      </c>
      <c r="F4179" s="21"/>
      <c r="G4179" s="22"/>
    </row>
    <row r="4180" spans="2:7" s="7" customFormat="1" ht="18" hidden="1" outlineLevel="1" thickBot="1" x14ac:dyDescent="0.2">
      <c r="B4180" s="20" t="s">
        <v>1798</v>
      </c>
      <c r="C4180" s="21" t="s">
        <v>1942</v>
      </c>
      <c r="D4180" s="21" t="s">
        <v>1287</v>
      </c>
      <c r="E4180" s="21" t="s">
        <v>1072</v>
      </c>
      <c r="F4180" s="21"/>
      <c r="G4180" s="22"/>
    </row>
    <row r="4181" spans="2:7" s="7" customFormat="1" hidden="1" outlineLevel="1" x14ac:dyDescent="0.15">
      <c r="B4181" s="327" t="s">
        <v>15</v>
      </c>
      <c r="C4181" s="328"/>
      <c r="D4181" s="328"/>
      <c r="E4181" s="328"/>
      <c r="F4181" s="328"/>
      <c r="G4181" s="329"/>
    </row>
    <row r="4182" spans="2:7" s="7" customFormat="1" hidden="1" outlineLevel="1" x14ac:dyDescent="0.15">
      <c r="B4182" s="20">
        <v>1</v>
      </c>
      <c r="C4182" s="21" t="s">
        <v>270</v>
      </c>
      <c r="D4182" s="21"/>
      <c r="E4182" s="21"/>
      <c r="F4182" s="21"/>
      <c r="G4182" s="22"/>
    </row>
    <row r="4183" spans="2:7" s="7" customFormat="1" hidden="1" outlineLevel="1" x14ac:dyDescent="0.15">
      <c r="B4183" s="20">
        <v>2</v>
      </c>
      <c r="C4183" s="21" t="s">
        <v>22</v>
      </c>
      <c r="D4183" s="21" t="s">
        <v>16</v>
      </c>
      <c r="E4183" s="21" t="s">
        <v>111</v>
      </c>
      <c r="F4183" s="21" t="s">
        <v>123</v>
      </c>
      <c r="G4183" s="22" t="s">
        <v>113</v>
      </c>
    </row>
    <row r="4184" spans="2:7" s="7" customFormat="1" hidden="1" outlineLevel="1" x14ac:dyDescent="0.15">
      <c r="B4184" s="17">
        <v>3</v>
      </c>
      <c r="C4184" s="18" t="s">
        <v>1833</v>
      </c>
      <c r="D4184" s="18" t="s">
        <v>1869</v>
      </c>
      <c r="E4184" s="18"/>
      <c r="F4184" s="18"/>
      <c r="G4184" s="19"/>
    </row>
    <row r="4185" spans="2:7" s="7" customFormat="1" hidden="1" outlineLevel="1" x14ac:dyDescent="0.15">
      <c r="B4185" s="17">
        <v>4</v>
      </c>
      <c r="C4185" s="18" t="s">
        <v>267</v>
      </c>
      <c r="D4185" s="18" t="s">
        <v>1893</v>
      </c>
      <c r="E4185" s="18"/>
      <c r="F4185" s="18"/>
      <c r="G4185" s="19"/>
    </row>
    <row r="4186" spans="2:7" s="7" customFormat="1" ht="18" hidden="1" outlineLevel="1" thickBot="1" x14ac:dyDescent="0.2">
      <c r="B4186" s="24">
        <v>5</v>
      </c>
      <c r="C4186" s="20" t="s">
        <v>114</v>
      </c>
      <c r="D4186" s="20" t="s">
        <v>115</v>
      </c>
      <c r="E4186" s="20"/>
      <c r="F4186" s="20"/>
      <c r="G4186" s="11"/>
    </row>
    <row r="4187" spans="2:7" s="7" customFormat="1" hidden="1" outlineLevel="1" x14ac:dyDescent="0.15"/>
    <row r="4188" spans="2:7" ht="18" hidden="1" outlineLevel="1" thickBot="1" x14ac:dyDescent="0.2"/>
    <row r="4189" spans="2:7" s="7" customFormat="1" ht="18" collapsed="1" thickBot="1" x14ac:dyDescent="0.2">
      <c r="B4189" s="3" t="s">
        <v>563</v>
      </c>
      <c r="C4189" s="4" t="s">
        <v>1939</v>
      </c>
      <c r="D4189" s="5" t="s">
        <v>515</v>
      </c>
      <c r="E4189" s="4" t="s">
        <v>1941</v>
      </c>
      <c r="F4189" s="5" t="s">
        <v>567</v>
      </c>
      <c r="G4189" s="6"/>
    </row>
    <row r="4190" spans="2:7" s="7" customFormat="1" ht="18" hidden="1" outlineLevel="1" thickBot="1" x14ac:dyDescent="0.2">
      <c r="B4190" s="34" t="s">
        <v>570</v>
      </c>
      <c r="C4190" s="18" t="s">
        <v>1618</v>
      </c>
      <c r="D4190" s="35" t="s">
        <v>568</v>
      </c>
      <c r="E4190" s="18" t="s">
        <v>615</v>
      </c>
      <c r="F4190" s="35"/>
      <c r="G4190" s="19"/>
    </row>
    <row r="4191" spans="2:7" s="7" customFormat="1" hidden="1" outlineLevel="1" x14ac:dyDescent="0.15">
      <c r="B4191" s="3" t="s">
        <v>0</v>
      </c>
      <c r="C4191" s="5" t="s">
        <v>1</v>
      </c>
      <c r="D4191" s="5" t="s">
        <v>2</v>
      </c>
      <c r="E4191" s="5"/>
      <c r="F4191" s="5" t="s">
        <v>3</v>
      </c>
      <c r="G4191" s="36" t="s">
        <v>4</v>
      </c>
    </row>
    <row r="4192" spans="2:7" s="7" customFormat="1" hidden="1" outlineLevel="1" x14ac:dyDescent="0.15">
      <c r="B4192" s="20" t="s">
        <v>1818</v>
      </c>
      <c r="C4192" s="21" t="s">
        <v>1819</v>
      </c>
      <c r="D4192" s="21" t="s">
        <v>211</v>
      </c>
      <c r="E4192" s="21">
        <v>0</v>
      </c>
      <c r="F4192" s="21" t="s">
        <v>350</v>
      </c>
      <c r="G4192" s="22" t="s">
        <v>1077</v>
      </c>
    </row>
    <row r="4193" spans="1:13" s="7" customFormat="1" hidden="1" outlineLevel="1" x14ac:dyDescent="0.15">
      <c r="B4193" s="20" t="s">
        <v>21</v>
      </c>
      <c r="C4193" s="21" t="s">
        <v>1357</v>
      </c>
      <c r="D4193" s="21" t="s">
        <v>211</v>
      </c>
      <c r="E4193" s="21">
        <v>0</v>
      </c>
      <c r="F4193" s="21" t="s">
        <v>350</v>
      </c>
      <c r="G4193" s="22" t="s">
        <v>1358</v>
      </c>
    </row>
    <row r="4194" spans="1:13" s="7" customFormat="1" hidden="1" outlineLevel="1" x14ac:dyDescent="0.15">
      <c r="B4194" s="20" t="s">
        <v>1820</v>
      </c>
      <c r="C4194" s="21" t="s">
        <v>1821</v>
      </c>
      <c r="D4194" s="21" t="s">
        <v>1287</v>
      </c>
      <c r="E4194" s="21" t="s">
        <v>1072</v>
      </c>
      <c r="F4194" s="21" t="s">
        <v>350</v>
      </c>
      <c r="G4194" s="22"/>
      <c r="J4194" s="7" t="s">
        <v>354</v>
      </c>
      <c r="K4194" s="7" t="s">
        <v>355</v>
      </c>
      <c r="L4194" s="7" t="s">
        <v>356</v>
      </c>
      <c r="M4194" s="7" t="s">
        <v>354</v>
      </c>
    </row>
    <row r="4195" spans="1:13" s="7" customFormat="1" hidden="1" outlineLevel="1" x14ac:dyDescent="0.15">
      <c r="B4195" s="20" t="s">
        <v>1822</v>
      </c>
      <c r="C4195" s="21" t="s">
        <v>1823</v>
      </c>
      <c r="D4195" s="21" t="s">
        <v>1287</v>
      </c>
      <c r="E4195" s="21" t="s">
        <v>1072</v>
      </c>
      <c r="F4195" s="21" t="s">
        <v>350</v>
      </c>
      <c r="G4195" s="22"/>
      <c r="J4195" s="7" t="s">
        <v>354</v>
      </c>
      <c r="K4195" s="7" t="s">
        <v>355</v>
      </c>
      <c r="L4195" s="7" t="s">
        <v>356</v>
      </c>
      <c r="M4195" s="7" t="s">
        <v>354</v>
      </c>
    </row>
    <row r="4196" spans="1:13" s="7" customFormat="1" hidden="1" outlineLevel="1" x14ac:dyDescent="0.15">
      <c r="B4196" s="20" t="s">
        <v>1824</v>
      </c>
      <c r="C4196" s="21" t="s">
        <v>1825</v>
      </c>
      <c r="D4196" s="21" t="s">
        <v>1826</v>
      </c>
      <c r="E4196" s="21" t="s">
        <v>1072</v>
      </c>
      <c r="F4196" s="21" t="s">
        <v>350</v>
      </c>
      <c r="G4196" s="22"/>
      <c r="J4196" s="7" t="s">
        <v>354</v>
      </c>
      <c r="K4196" s="7" t="s">
        <v>355</v>
      </c>
      <c r="L4196" s="7" t="s">
        <v>356</v>
      </c>
      <c r="M4196" s="7" t="s">
        <v>354</v>
      </c>
    </row>
    <row r="4197" spans="1:13" s="7" customFormat="1" hidden="1" outlineLevel="1" x14ac:dyDescent="0.15">
      <c r="B4197" s="20" t="s">
        <v>1827</v>
      </c>
      <c r="C4197" s="21" t="s">
        <v>1828</v>
      </c>
      <c r="D4197" s="21" t="s">
        <v>1403</v>
      </c>
      <c r="E4197" s="21" t="s">
        <v>1303</v>
      </c>
      <c r="F4197" s="21" t="s">
        <v>366</v>
      </c>
      <c r="G4197" s="22" t="s">
        <v>1829</v>
      </c>
    </row>
    <row r="4198" spans="1:13" s="7" customFormat="1" ht="16.5" hidden="1" customHeight="1" outlineLevel="1" x14ac:dyDescent="0.15">
      <c r="A4198" s="2"/>
      <c r="B4198" s="14" t="s">
        <v>1830</v>
      </c>
      <c r="C4198" s="15" t="s">
        <v>1831</v>
      </c>
      <c r="D4198" s="15" t="s">
        <v>1301</v>
      </c>
      <c r="E4198" s="15" t="s">
        <v>1072</v>
      </c>
      <c r="F4198" s="15"/>
      <c r="G4198" s="16" t="s">
        <v>1832</v>
      </c>
    </row>
    <row r="4199" spans="1:13" s="7" customFormat="1" hidden="1" outlineLevel="1" x14ac:dyDescent="0.15">
      <c r="B4199" s="14" t="s">
        <v>5</v>
      </c>
      <c r="C4199" s="15" t="s">
        <v>1127</v>
      </c>
      <c r="D4199" s="15" t="s">
        <v>211</v>
      </c>
      <c r="E4199" s="15" t="s">
        <v>1141</v>
      </c>
      <c r="F4199" s="15"/>
      <c r="G4199" s="16" t="s">
        <v>1162</v>
      </c>
    </row>
    <row r="4200" spans="1:13" s="7" customFormat="1" hidden="1" outlineLevel="1" x14ac:dyDescent="0.15">
      <c r="B4200" s="20" t="s">
        <v>6</v>
      </c>
      <c r="C4200" s="21" t="s">
        <v>1163</v>
      </c>
      <c r="D4200" s="21" t="s">
        <v>211</v>
      </c>
      <c r="E4200" s="21">
        <v>0</v>
      </c>
      <c r="F4200" s="21"/>
      <c r="G4200" s="22" t="s">
        <v>1077</v>
      </c>
    </row>
    <row r="4201" spans="1:13" s="7" customFormat="1" hidden="1" outlineLevel="1" x14ac:dyDescent="0.15">
      <c r="B4201" s="20" t="s">
        <v>111</v>
      </c>
      <c r="C4201" s="21" t="s">
        <v>1164</v>
      </c>
      <c r="D4201" s="21" t="s">
        <v>211</v>
      </c>
      <c r="E4201" s="21">
        <v>0</v>
      </c>
      <c r="F4201" s="21"/>
      <c r="G4201" s="22" t="s">
        <v>1165</v>
      </c>
    </row>
    <row r="4202" spans="1:13" s="7" customFormat="1" hidden="1" outlineLevel="1" x14ac:dyDescent="0.15">
      <c r="B4202" s="20" t="s">
        <v>123</v>
      </c>
      <c r="C4202" s="21" t="s">
        <v>1133</v>
      </c>
      <c r="D4202" s="21" t="s">
        <v>211</v>
      </c>
      <c r="E4202" s="21">
        <v>0</v>
      </c>
      <c r="F4202" s="21"/>
      <c r="G4202" s="22" t="s">
        <v>1182</v>
      </c>
    </row>
    <row r="4203" spans="1:13" s="7" customFormat="1" hidden="1" outlineLevel="1" x14ac:dyDescent="0.15">
      <c r="B4203" s="20" t="s">
        <v>113</v>
      </c>
      <c r="C4203" s="21" t="s">
        <v>1187</v>
      </c>
      <c r="D4203" s="21" t="s">
        <v>211</v>
      </c>
      <c r="E4203" s="21">
        <v>0</v>
      </c>
      <c r="F4203" s="21"/>
      <c r="G4203" s="22"/>
    </row>
    <row r="4204" spans="1:13" s="7" customFormat="1" hidden="1" outlineLevel="1" x14ac:dyDescent="0.15">
      <c r="B4204" s="20" t="s">
        <v>98</v>
      </c>
      <c r="C4204" s="21" t="s">
        <v>1359</v>
      </c>
      <c r="D4204" s="21" t="s">
        <v>211</v>
      </c>
      <c r="E4204" s="21">
        <v>0</v>
      </c>
      <c r="F4204" s="21"/>
      <c r="G4204" s="22" t="s">
        <v>1562</v>
      </c>
    </row>
    <row r="4205" spans="1:13" s="7" customFormat="1" hidden="1" outlineLevel="1" x14ac:dyDescent="0.15">
      <c r="B4205" s="20" t="s">
        <v>260</v>
      </c>
      <c r="C4205" s="21" t="s">
        <v>1119</v>
      </c>
      <c r="D4205" s="21" t="s">
        <v>1287</v>
      </c>
      <c r="E4205" s="21" t="s">
        <v>1072</v>
      </c>
      <c r="F4205" s="21"/>
      <c r="G4205" s="22"/>
    </row>
    <row r="4206" spans="1:13" s="7" customFormat="1" hidden="1" outlineLevel="1" x14ac:dyDescent="0.15">
      <c r="B4206" s="20" t="s">
        <v>243</v>
      </c>
      <c r="C4206" s="21" t="s">
        <v>1450</v>
      </c>
      <c r="D4206" s="21" t="s">
        <v>1131</v>
      </c>
      <c r="E4206" s="21" t="s">
        <v>1074</v>
      </c>
      <c r="F4206" s="21"/>
      <c r="G4206" s="22"/>
    </row>
    <row r="4207" spans="1:13" s="7" customFormat="1" hidden="1" outlineLevel="1" x14ac:dyDescent="0.15">
      <c r="B4207" s="20" t="s">
        <v>18</v>
      </c>
      <c r="C4207" s="21" t="s">
        <v>1190</v>
      </c>
      <c r="D4207" s="21" t="s">
        <v>211</v>
      </c>
      <c r="E4207" s="21">
        <v>0</v>
      </c>
      <c r="F4207" s="21"/>
      <c r="G4207" s="22" t="s">
        <v>1081</v>
      </c>
    </row>
    <row r="4208" spans="1:13" s="7" customFormat="1" hidden="1" outlineLevel="1" x14ac:dyDescent="0.15">
      <c r="B4208" s="20" t="s">
        <v>114</v>
      </c>
      <c r="C4208" s="21" t="s">
        <v>1155</v>
      </c>
      <c r="D4208" s="21" t="s">
        <v>211</v>
      </c>
      <c r="E4208" s="21">
        <v>0</v>
      </c>
      <c r="F4208" s="21"/>
      <c r="G4208" s="22"/>
    </row>
    <row r="4209" spans="2:7" s="7" customFormat="1" hidden="1" outlineLevel="1" x14ac:dyDescent="0.15">
      <c r="B4209" s="20" t="s">
        <v>1898</v>
      </c>
      <c r="C4209" s="21" t="s">
        <v>1899</v>
      </c>
      <c r="D4209" s="21" t="s">
        <v>1301</v>
      </c>
      <c r="E4209" s="21" t="s">
        <v>1072</v>
      </c>
      <c r="F4209" s="21"/>
      <c r="G4209" s="22"/>
    </row>
    <row r="4210" spans="2:7" s="7" customFormat="1" hidden="1" outlineLevel="1" x14ac:dyDescent="0.15">
      <c r="B4210" s="147" t="s">
        <v>115</v>
      </c>
      <c r="C4210" s="147" t="s">
        <v>1188</v>
      </c>
      <c r="D4210" s="21" t="s">
        <v>211</v>
      </c>
      <c r="E4210" s="21">
        <v>0</v>
      </c>
      <c r="F4210" s="21"/>
      <c r="G4210" s="22"/>
    </row>
    <row r="4211" spans="2:7" s="7" customFormat="1" hidden="1" outlineLevel="1" x14ac:dyDescent="0.15">
      <c r="B4211" s="147" t="s">
        <v>19</v>
      </c>
      <c r="C4211" s="147" t="s">
        <v>1337</v>
      </c>
      <c r="D4211" s="21" t="s">
        <v>1219</v>
      </c>
      <c r="E4211" s="21" t="s">
        <v>1072</v>
      </c>
      <c r="F4211" s="21"/>
      <c r="G4211" s="22" t="s">
        <v>1338</v>
      </c>
    </row>
    <row r="4212" spans="2:7" s="7" customFormat="1" hidden="1" outlineLevel="1" x14ac:dyDescent="0.15">
      <c r="B4212" s="20" t="s">
        <v>174</v>
      </c>
      <c r="C4212" s="21" t="s">
        <v>1397</v>
      </c>
      <c r="D4212" s="21" t="s">
        <v>211</v>
      </c>
      <c r="E4212" s="21">
        <v>0</v>
      </c>
      <c r="F4212" s="21"/>
      <c r="G4212" s="22"/>
    </row>
    <row r="4213" spans="2:7" s="7" customFormat="1" hidden="1" outlineLevel="1" x14ac:dyDescent="0.15">
      <c r="B4213" s="20" t="s">
        <v>214</v>
      </c>
      <c r="C4213" s="21" t="s">
        <v>1339</v>
      </c>
      <c r="D4213" s="21" t="s">
        <v>211</v>
      </c>
      <c r="E4213" s="21">
        <v>0</v>
      </c>
      <c r="F4213" s="21"/>
      <c r="G4213" s="22"/>
    </row>
    <row r="4214" spans="2:7" s="7" customFormat="1" hidden="1" outlineLevel="1" x14ac:dyDescent="0.15">
      <c r="B4214" s="20" t="s">
        <v>78</v>
      </c>
      <c r="C4214" s="21" t="s">
        <v>1189</v>
      </c>
      <c r="D4214" s="21" t="s">
        <v>211</v>
      </c>
      <c r="E4214" s="21">
        <v>0</v>
      </c>
      <c r="F4214" s="21"/>
      <c r="G4214" s="22"/>
    </row>
    <row r="4215" spans="2:7" s="7" customFormat="1" hidden="1" outlineLevel="1" x14ac:dyDescent="0.15">
      <c r="B4215" s="20" t="s">
        <v>41</v>
      </c>
      <c r="C4215" s="21" t="s">
        <v>1258</v>
      </c>
      <c r="D4215" s="21" t="s">
        <v>211</v>
      </c>
      <c r="E4215" s="21">
        <v>0</v>
      </c>
      <c r="F4215" s="21"/>
      <c r="G4215" s="22" t="s">
        <v>1259</v>
      </c>
    </row>
    <row r="4216" spans="2:7" s="7" customFormat="1" hidden="1" outlineLevel="1" x14ac:dyDescent="0.15">
      <c r="B4216" s="20" t="s">
        <v>1806</v>
      </c>
      <c r="C4216" s="21" t="s">
        <v>1814</v>
      </c>
      <c r="D4216" s="21" t="s">
        <v>1345</v>
      </c>
      <c r="E4216" s="21">
        <v>0</v>
      </c>
      <c r="F4216" s="21"/>
      <c r="G4216" s="22" t="s">
        <v>1815</v>
      </c>
    </row>
    <row r="4217" spans="2:7" s="7" customFormat="1" hidden="1" outlineLevel="1" x14ac:dyDescent="0.15">
      <c r="B4217" s="147" t="s">
        <v>1900</v>
      </c>
      <c r="C4217" s="147" t="s">
        <v>1355</v>
      </c>
      <c r="D4217" s="21" t="s">
        <v>1345</v>
      </c>
      <c r="E4217" s="21">
        <v>0</v>
      </c>
      <c r="F4217" s="21"/>
      <c r="G4217" s="22" t="s">
        <v>1356</v>
      </c>
    </row>
    <row r="4218" spans="2:7" s="7" customFormat="1" hidden="1" outlineLevel="1" x14ac:dyDescent="0.15">
      <c r="B4218" s="147" t="s">
        <v>270</v>
      </c>
      <c r="C4218" s="147" t="s">
        <v>1361</v>
      </c>
      <c r="D4218" s="21" t="s">
        <v>211</v>
      </c>
      <c r="E4218" s="21">
        <v>0</v>
      </c>
      <c r="F4218" s="21"/>
      <c r="G4218" s="22"/>
    </row>
    <row r="4219" spans="2:7" s="7" customFormat="1" hidden="1" outlineLevel="1" x14ac:dyDescent="0.15">
      <c r="B4219" s="20" t="s">
        <v>1901</v>
      </c>
      <c r="C4219" s="21" t="s">
        <v>1841</v>
      </c>
      <c r="D4219" s="21" t="s">
        <v>211</v>
      </c>
      <c r="E4219" s="21">
        <v>0</v>
      </c>
      <c r="F4219" s="21"/>
      <c r="G4219" s="22" t="s">
        <v>1842</v>
      </c>
    </row>
    <row r="4220" spans="2:7" s="7" customFormat="1" hidden="1" outlineLevel="1" x14ac:dyDescent="0.15">
      <c r="B4220" s="20" t="s">
        <v>97</v>
      </c>
      <c r="C4220" s="21" t="s">
        <v>1366</v>
      </c>
      <c r="D4220" s="21" t="s">
        <v>211</v>
      </c>
      <c r="E4220" s="21" t="s">
        <v>1141</v>
      </c>
      <c r="F4220" s="21"/>
      <c r="G4220" s="22" t="s">
        <v>1367</v>
      </c>
    </row>
    <row r="4221" spans="2:7" s="7" customFormat="1" hidden="1" outlineLevel="1" x14ac:dyDescent="0.15">
      <c r="B4221" s="20" t="s">
        <v>1902</v>
      </c>
      <c r="C4221" s="21" t="s">
        <v>1903</v>
      </c>
      <c r="D4221" s="21" t="s">
        <v>211</v>
      </c>
      <c r="E4221" s="21" t="s">
        <v>1265</v>
      </c>
      <c r="F4221" s="21"/>
      <c r="G4221" s="22" t="s">
        <v>1904</v>
      </c>
    </row>
    <row r="4222" spans="2:7" s="7" customFormat="1" hidden="1" outlineLevel="1" x14ac:dyDescent="0.15">
      <c r="B4222" s="20" t="s">
        <v>99</v>
      </c>
      <c r="C4222" s="21" t="s">
        <v>1563</v>
      </c>
      <c r="D4222" s="21" t="s">
        <v>1287</v>
      </c>
      <c r="E4222" s="21" t="s">
        <v>1072</v>
      </c>
      <c r="F4222" s="21"/>
      <c r="G4222" s="22" t="s">
        <v>1368</v>
      </c>
    </row>
    <row r="4223" spans="2:7" s="7" customFormat="1" hidden="1" outlineLevel="1" x14ac:dyDescent="0.15">
      <c r="B4223" s="20" t="s">
        <v>1905</v>
      </c>
      <c r="C4223" s="21" t="s">
        <v>1369</v>
      </c>
      <c r="D4223" s="21" t="s">
        <v>211</v>
      </c>
      <c r="E4223" s="21" t="s">
        <v>1141</v>
      </c>
      <c r="F4223" s="21"/>
      <c r="G4223" s="22" t="s">
        <v>1162</v>
      </c>
    </row>
    <row r="4224" spans="2:7" s="7" customFormat="1" hidden="1" outlineLevel="1" x14ac:dyDescent="0.15">
      <c r="B4224" s="20" t="s">
        <v>1906</v>
      </c>
      <c r="C4224" s="21" t="s">
        <v>1120</v>
      </c>
      <c r="D4224" s="21" t="s">
        <v>211</v>
      </c>
      <c r="E4224" s="21" t="s">
        <v>1265</v>
      </c>
      <c r="F4224" s="21"/>
      <c r="G4224" s="22" t="s">
        <v>1370</v>
      </c>
    </row>
    <row r="4225" spans="2:7" s="7" customFormat="1" hidden="1" outlineLevel="1" x14ac:dyDescent="0.15">
      <c r="B4225" s="20" t="s">
        <v>1907</v>
      </c>
      <c r="C4225" s="21" t="s">
        <v>1807</v>
      </c>
      <c r="D4225" s="21" t="s">
        <v>211</v>
      </c>
      <c r="E4225" s="21">
        <v>0</v>
      </c>
      <c r="F4225" s="21"/>
      <c r="G4225" s="22" t="s">
        <v>1808</v>
      </c>
    </row>
    <row r="4226" spans="2:7" s="7" customFormat="1" hidden="1" outlineLevel="1" x14ac:dyDescent="0.15">
      <c r="B4226" s="20" t="s">
        <v>79</v>
      </c>
      <c r="C4226" s="21" t="s">
        <v>1278</v>
      </c>
      <c r="D4226" s="21" t="s">
        <v>211</v>
      </c>
      <c r="E4226" s="21">
        <v>0</v>
      </c>
      <c r="F4226" s="21"/>
      <c r="G4226" s="22" t="s">
        <v>1279</v>
      </c>
    </row>
    <row r="4227" spans="2:7" s="7" customFormat="1" hidden="1" outlineLevel="1" x14ac:dyDescent="0.15">
      <c r="B4227" s="20" t="s">
        <v>1908</v>
      </c>
      <c r="C4227" s="21" t="s">
        <v>1909</v>
      </c>
      <c r="D4227" s="21" t="s">
        <v>211</v>
      </c>
      <c r="E4227" s="21">
        <v>0</v>
      </c>
      <c r="F4227" s="21"/>
      <c r="G4227" s="22" t="s">
        <v>1910</v>
      </c>
    </row>
    <row r="4228" spans="2:7" s="7" customFormat="1" hidden="1" outlineLevel="1" x14ac:dyDescent="0.15">
      <c r="B4228" s="176" t="s">
        <v>1911</v>
      </c>
      <c r="C4228" s="176" t="s">
        <v>1372</v>
      </c>
      <c r="D4228" s="21" t="s">
        <v>1211</v>
      </c>
      <c r="E4228" s="21">
        <v>0</v>
      </c>
      <c r="F4228" s="21"/>
      <c r="G4228" s="22" t="s">
        <v>1373</v>
      </c>
    </row>
    <row r="4229" spans="2:7" s="7" customFormat="1" hidden="1" outlineLevel="1" x14ac:dyDescent="0.15">
      <c r="B4229" s="176" t="s">
        <v>1857</v>
      </c>
      <c r="C4229" s="176" t="s">
        <v>1374</v>
      </c>
      <c r="D4229" s="21" t="s">
        <v>1087</v>
      </c>
      <c r="E4229" s="21">
        <v>0</v>
      </c>
      <c r="F4229" s="21"/>
      <c r="G4229" s="22" t="s">
        <v>1375</v>
      </c>
    </row>
    <row r="4230" spans="2:7" s="7" customFormat="1" hidden="1" outlineLevel="1" x14ac:dyDescent="0.15">
      <c r="B4230" s="20" t="s">
        <v>1912</v>
      </c>
      <c r="C4230" s="21" t="s">
        <v>1913</v>
      </c>
      <c r="D4230" s="21" t="s">
        <v>1403</v>
      </c>
      <c r="E4230" s="21" t="s">
        <v>1303</v>
      </c>
      <c r="F4230" s="21"/>
      <c r="G4230" s="22" t="s">
        <v>1914</v>
      </c>
    </row>
    <row r="4231" spans="2:7" s="7" customFormat="1" hidden="1" outlineLevel="1" x14ac:dyDescent="0.15">
      <c r="B4231" s="20" t="s">
        <v>1915</v>
      </c>
      <c r="C4231" s="21" t="s">
        <v>1916</v>
      </c>
      <c r="D4231" s="21" t="s">
        <v>1087</v>
      </c>
      <c r="E4231" s="21">
        <v>0</v>
      </c>
      <c r="F4231" s="21"/>
      <c r="G4231" s="22"/>
    </row>
    <row r="4232" spans="2:7" s="7" customFormat="1" hidden="1" outlineLevel="1" x14ac:dyDescent="0.15">
      <c r="B4232" s="153" t="s">
        <v>39</v>
      </c>
      <c r="C4232" s="154" t="s">
        <v>1242</v>
      </c>
      <c r="D4232" s="21" t="s">
        <v>1169</v>
      </c>
      <c r="E4232" s="21">
        <v>0</v>
      </c>
      <c r="F4232" s="21"/>
      <c r="G4232" s="22" t="s">
        <v>1243</v>
      </c>
    </row>
    <row r="4233" spans="2:7" s="7" customFormat="1" hidden="1" outlineLevel="1" x14ac:dyDescent="0.15">
      <c r="B4233" s="153" t="s">
        <v>38</v>
      </c>
      <c r="C4233" s="154" t="s">
        <v>1241</v>
      </c>
      <c r="D4233" s="21" t="s">
        <v>1087</v>
      </c>
      <c r="E4233" s="21">
        <v>0</v>
      </c>
      <c r="F4233" s="21"/>
      <c r="G4233" s="22" t="s">
        <v>1086</v>
      </c>
    </row>
    <row r="4234" spans="2:7" s="7" customFormat="1" hidden="1" outlineLevel="1" x14ac:dyDescent="0.15">
      <c r="B4234" s="20" t="s">
        <v>263</v>
      </c>
      <c r="C4234" s="21" t="s">
        <v>1378</v>
      </c>
      <c r="D4234" s="21" t="s">
        <v>1169</v>
      </c>
      <c r="E4234" s="21">
        <v>0</v>
      </c>
      <c r="F4234" s="21"/>
      <c r="G4234" s="22" t="s">
        <v>1379</v>
      </c>
    </row>
    <row r="4235" spans="2:7" s="7" customFormat="1" hidden="1" outlineLevel="1" x14ac:dyDescent="0.15">
      <c r="B4235" s="20" t="s">
        <v>1917</v>
      </c>
      <c r="C4235" s="21" t="s">
        <v>1380</v>
      </c>
      <c r="D4235" s="21" t="s">
        <v>1169</v>
      </c>
      <c r="E4235" s="21">
        <v>0</v>
      </c>
      <c r="F4235" s="21"/>
      <c r="G4235" s="22" t="s">
        <v>1381</v>
      </c>
    </row>
    <row r="4236" spans="2:7" s="7" customFormat="1" hidden="1" outlineLevel="1" x14ac:dyDescent="0.15">
      <c r="B4236" s="20" t="s">
        <v>103</v>
      </c>
      <c r="C4236" s="21" t="s">
        <v>1382</v>
      </c>
      <c r="D4236" s="21" t="s">
        <v>1169</v>
      </c>
      <c r="E4236" s="21">
        <v>0</v>
      </c>
      <c r="F4236" s="21"/>
      <c r="G4236" s="22"/>
    </row>
    <row r="4237" spans="2:7" s="7" customFormat="1" hidden="1" outlineLevel="1" x14ac:dyDescent="0.15">
      <c r="B4237" s="20" t="s">
        <v>104</v>
      </c>
      <c r="C4237" s="21" t="s">
        <v>1383</v>
      </c>
      <c r="D4237" s="21" t="s">
        <v>1169</v>
      </c>
      <c r="E4237" s="21">
        <v>0</v>
      </c>
      <c r="F4237" s="21"/>
      <c r="G4237" s="22" t="s">
        <v>1384</v>
      </c>
    </row>
    <row r="4238" spans="2:7" s="7" customFormat="1" hidden="1" outlineLevel="1" x14ac:dyDescent="0.15">
      <c r="B4238" s="20" t="s">
        <v>105</v>
      </c>
      <c r="C4238" s="21" t="s">
        <v>1385</v>
      </c>
      <c r="D4238" s="21" t="s">
        <v>1169</v>
      </c>
      <c r="E4238" s="21">
        <v>0</v>
      </c>
      <c r="F4238" s="21"/>
      <c r="G4238" s="22" t="s">
        <v>1564</v>
      </c>
    </row>
    <row r="4239" spans="2:7" s="7" customFormat="1" hidden="1" outlineLevel="1" x14ac:dyDescent="0.15">
      <c r="B4239" s="20" t="s">
        <v>106</v>
      </c>
      <c r="C4239" s="21" t="s">
        <v>1386</v>
      </c>
      <c r="D4239" s="21" t="s">
        <v>1169</v>
      </c>
      <c r="E4239" s="21">
        <v>0</v>
      </c>
      <c r="F4239" s="21"/>
      <c r="G4239" s="22" t="s">
        <v>1387</v>
      </c>
    </row>
    <row r="4240" spans="2:7" s="7" customFormat="1" hidden="1" outlineLevel="1" x14ac:dyDescent="0.15">
      <c r="B4240" s="20" t="s">
        <v>1918</v>
      </c>
      <c r="C4240" s="21" t="s">
        <v>1388</v>
      </c>
      <c r="D4240" s="21" t="s">
        <v>1169</v>
      </c>
      <c r="E4240" s="21">
        <v>0</v>
      </c>
      <c r="F4240" s="21"/>
      <c r="G4240" s="22" t="s">
        <v>1389</v>
      </c>
    </row>
    <row r="4241" spans="2:7" s="7" customFormat="1" hidden="1" outlineLevel="1" x14ac:dyDescent="0.15">
      <c r="B4241" s="20" t="s">
        <v>1919</v>
      </c>
      <c r="C4241" s="21" t="s">
        <v>1390</v>
      </c>
      <c r="D4241" s="21" t="s">
        <v>1169</v>
      </c>
      <c r="E4241" s="21">
        <v>0</v>
      </c>
      <c r="F4241" s="21"/>
      <c r="G4241" s="22" t="s">
        <v>1391</v>
      </c>
    </row>
    <row r="4242" spans="2:7" s="7" customFormat="1" hidden="1" outlineLevel="1" x14ac:dyDescent="0.15">
      <c r="B4242" s="20" t="s">
        <v>1801</v>
      </c>
      <c r="C4242" s="21" t="s">
        <v>1809</v>
      </c>
      <c r="D4242" s="21" t="s">
        <v>1169</v>
      </c>
      <c r="E4242" s="21">
        <v>0</v>
      </c>
      <c r="F4242" s="21"/>
      <c r="G4242" s="22"/>
    </row>
    <row r="4243" spans="2:7" s="7" customFormat="1" hidden="1" outlineLevel="1" x14ac:dyDescent="0.15">
      <c r="B4243" s="20" t="s">
        <v>1802</v>
      </c>
      <c r="C4243" s="21" t="s">
        <v>1810</v>
      </c>
      <c r="D4243" s="21" t="s">
        <v>1169</v>
      </c>
      <c r="E4243" s="21">
        <v>0</v>
      </c>
      <c r="F4243" s="21"/>
      <c r="G4243" s="22"/>
    </row>
    <row r="4244" spans="2:7" s="7" customFormat="1" hidden="1" outlineLevel="1" x14ac:dyDescent="0.15">
      <c r="B4244" s="20" t="s">
        <v>1803</v>
      </c>
      <c r="C4244" s="21" t="s">
        <v>1811</v>
      </c>
      <c r="D4244" s="21" t="s">
        <v>1169</v>
      </c>
      <c r="E4244" s="21">
        <v>0</v>
      </c>
      <c r="F4244" s="21"/>
      <c r="G4244" s="22"/>
    </row>
    <row r="4245" spans="2:7" s="7" customFormat="1" hidden="1" outlineLevel="1" x14ac:dyDescent="0.15">
      <c r="B4245" s="20" t="s">
        <v>1804</v>
      </c>
      <c r="C4245" s="21" t="s">
        <v>1812</v>
      </c>
      <c r="D4245" s="21" t="s">
        <v>1169</v>
      </c>
      <c r="E4245" s="21">
        <v>0</v>
      </c>
      <c r="F4245" s="21"/>
      <c r="G4245" s="22"/>
    </row>
    <row r="4246" spans="2:7" s="7" customFormat="1" hidden="1" outlineLevel="1" x14ac:dyDescent="0.15">
      <c r="B4246" s="20" t="s">
        <v>259</v>
      </c>
      <c r="C4246" s="21" t="s">
        <v>1392</v>
      </c>
      <c r="D4246" s="21" t="s">
        <v>211</v>
      </c>
      <c r="E4246" s="21">
        <v>0</v>
      </c>
      <c r="F4246" s="21"/>
      <c r="G4246" s="22"/>
    </row>
    <row r="4247" spans="2:7" s="7" customFormat="1" hidden="1" outlineLevel="1" x14ac:dyDescent="0.15">
      <c r="B4247" s="20" t="s">
        <v>264</v>
      </c>
      <c r="C4247" s="21" t="s">
        <v>1393</v>
      </c>
      <c r="D4247" s="21" t="s">
        <v>211</v>
      </c>
      <c r="E4247" s="21">
        <v>0</v>
      </c>
      <c r="F4247" s="21"/>
      <c r="G4247" s="22"/>
    </row>
    <row r="4248" spans="2:7" s="7" customFormat="1" hidden="1" outlineLevel="1" x14ac:dyDescent="0.15">
      <c r="B4248" s="20" t="s">
        <v>273</v>
      </c>
      <c r="C4248" s="21" t="s">
        <v>1394</v>
      </c>
      <c r="D4248" s="21" t="s">
        <v>1211</v>
      </c>
      <c r="E4248" s="21">
        <v>0</v>
      </c>
      <c r="F4248" s="21"/>
      <c r="G4248" s="22"/>
    </row>
    <row r="4249" spans="2:7" s="7" customFormat="1" hidden="1" outlineLevel="1" x14ac:dyDescent="0.15">
      <c r="B4249" s="20" t="s">
        <v>258</v>
      </c>
      <c r="C4249" s="21" t="s">
        <v>1395</v>
      </c>
      <c r="D4249" s="21" t="s">
        <v>1172</v>
      </c>
      <c r="E4249" s="21">
        <v>0</v>
      </c>
      <c r="F4249" s="21"/>
      <c r="G4249" s="22"/>
    </row>
    <row r="4250" spans="2:7" s="7" customFormat="1" hidden="1" outlineLevel="1" x14ac:dyDescent="0.15">
      <c r="B4250" s="20" t="s">
        <v>265</v>
      </c>
      <c r="C4250" s="21" t="s">
        <v>1396</v>
      </c>
      <c r="D4250" s="21" t="s">
        <v>211</v>
      </c>
      <c r="E4250" s="21">
        <v>0</v>
      </c>
      <c r="F4250" s="21"/>
      <c r="G4250" s="22"/>
    </row>
    <row r="4251" spans="2:7" s="7" customFormat="1" hidden="1" outlineLevel="1" x14ac:dyDescent="0.15">
      <c r="B4251" s="20" t="s">
        <v>1805</v>
      </c>
      <c r="C4251" s="21" t="s">
        <v>1813</v>
      </c>
      <c r="D4251" s="21" t="s">
        <v>1169</v>
      </c>
      <c r="E4251" s="21">
        <v>0</v>
      </c>
      <c r="F4251" s="21"/>
      <c r="G4251" s="22"/>
    </row>
    <row r="4252" spans="2:7" s="7" customFormat="1" hidden="1" outlineLevel="1" x14ac:dyDescent="0.15">
      <c r="B4252" s="20" t="s">
        <v>274</v>
      </c>
      <c r="C4252" s="21" t="s">
        <v>1565</v>
      </c>
      <c r="D4252" s="21" t="s">
        <v>1172</v>
      </c>
      <c r="E4252" s="21">
        <v>0</v>
      </c>
      <c r="F4252" s="21"/>
      <c r="G4252" s="22"/>
    </row>
    <row r="4253" spans="2:7" s="7" customFormat="1" hidden="1" outlineLevel="1" x14ac:dyDescent="0.15">
      <c r="B4253" s="20" t="s">
        <v>1920</v>
      </c>
      <c r="C4253" s="21" t="s">
        <v>1921</v>
      </c>
      <c r="D4253" s="21" t="s">
        <v>1169</v>
      </c>
      <c r="E4253" s="21">
        <v>0</v>
      </c>
      <c r="F4253" s="21"/>
      <c r="G4253" s="22"/>
    </row>
    <row r="4254" spans="2:7" s="7" customFormat="1" hidden="1" outlineLevel="1" x14ac:dyDescent="0.15">
      <c r="B4254" s="20" t="s">
        <v>1922</v>
      </c>
      <c r="C4254" s="21" t="s">
        <v>1923</v>
      </c>
      <c r="D4254" s="21" t="s">
        <v>1087</v>
      </c>
      <c r="E4254" s="21">
        <v>0</v>
      </c>
      <c r="F4254" s="21"/>
      <c r="G4254" s="22" t="s">
        <v>1924</v>
      </c>
    </row>
    <row r="4255" spans="2:7" s="7" customFormat="1" hidden="1" outlineLevel="1" x14ac:dyDescent="0.15">
      <c r="B4255" s="20" t="s">
        <v>1925</v>
      </c>
      <c r="C4255" s="21" t="s">
        <v>1926</v>
      </c>
      <c r="D4255" s="21" t="s">
        <v>1092</v>
      </c>
      <c r="E4255" s="21" t="s">
        <v>1072</v>
      </c>
      <c r="F4255" s="21"/>
      <c r="G4255" s="22" t="s">
        <v>1927</v>
      </c>
    </row>
    <row r="4256" spans="2:7" s="7" customFormat="1" hidden="1" outlineLevel="1" x14ac:dyDescent="0.15">
      <c r="B4256" s="20" t="s">
        <v>1928</v>
      </c>
      <c r="C4256" s="21" t="s">
        <v>1929</v>
      </c>
      <c r="D4256" s="21" t="s">
        <v>1345</v>
      </c>
      <c r="E4256" s="21">
        <v>0</v>
      </c>
      <c r="F4256" s="21"/>
      <c r="G4256" s="22"/>
    </row>
    <row r="4257" spans="2:7" s="7" customFormat="1" hidden="1" outlineLevel="1" x14ac:dyDescent="0.15">
      <c r="B4257" s="20" t="s">
        <v>134</v>
      </c>
      <c r="C4257" s="21" t="s">
        <v>1406</v>
      </c>
      <c r="D4257" s="21" t="s">
        <v>1092</v>
      </c>
      <c r="E4257" s="21" t="s">
        <v>1072</v>
      </c>
      <c r="F4257" s="21"/>
      <c r="G4257" s="22" t="s">
        <v>1304</v>
      </c>
    </row>
    <row r="4258" spans="2:7" s="7" customFormat="1" hidden="1" outlineLevel="1" x14ac:dyDescent="0.15">
      <c r="B4258" s="20" t="s">
        <v>195</v>
      </c>
      <c r="C4258" s="21" t="s">
        <v>1436</v>
      </c>
      <c r="D4258" s="21" t="s">
        <v>211</v>
      </c>
      <c r="E4258" s="21">
        <v>0</v>
      </c>
      <c r="F4258" s="21"/>
      <c r="G4258" s="22"/>
    </row>
    <row r="4259" spans="2:7" s="7" customFormat="1" hidden="1" outlineLevel="1" x14ac:dyDescent="0.15">
      <c r="B4259" s="20" t="s">
        <v>266</v>
      </c>
      <c r="C4259" s="21" t="s">
        <v>1398</v>
      </c>
      <c r="D4259" s="21" t="s">
        <v>1403</v>
      </c>
      <c r="E4259" s="21" t="s">
        <v>1072</v>
      </c>
      <c r="F4259" s="21"/>
      <c r="G4259" s="22"/>
    </row>
    <row r="4260" spans="2:7" s="7" customFormat="1" hidden="1" outlineLevel="1" x14ac:dyDescent="0.15">
      <c r="B4260" s="20" t="s">
        <v>267</v>
      </c>
      <c r="C4260" s="21" t="s">
        <v>1566</v>
      </c>
      <c r="D4260" s="21" t="s">
        <v>211</v>
      </c>
      <c r="E4260" s="21">
        <v>0</v>
      </c>
      <c r="F4260" s="21"/>
      <c r="G4260" s="22" t="s">
        <v>1567</v>
      </c>
    </row>
    <row r="4261" spans="2:7" s="7" customFormat="1" hidden="1" outlineLevel="1" x14ac:dyDescent="0.15">
      <c r="B4261" s="20" t="s">
        <v>268</v>
      </c>
      <c r="C4261" s="21" t="s">
        <v>1568</v>
      </c>
      <c r="D4261" s="21" t="s">
        <v>211</v>
      </c>
      <c r="E4261" s="21">
        <v>0</v>
      </c>
      <c r="F4261" s="21"/>
      <c r="G4261" s="22" t="s">
        <v>1399</v>
      </c>
    </row>
    <row r="4262" spans="2:7" s="7" customFormat="1" hidden="1" outlineLevel="1" x14ac:dyDescent="0.15">
      <c r="B4262" s="20" t="s">
        <v>1798</v>
      </c>
      <c r="C4262" s="21" t="s">
        <v>1942</v>
      </c>
      <c r="D4262" s="21" t="s">
        <v>1287</v>
      </c>
      <c r="E4262" s="21" t="s">
        <v>1072</v>
      </c>
      <c r="F4262" s="21"/>
      <c r="G4262" s="22"/>
    </row>
    <row r="4263" spans="2:7" s="7" customFormat="1" hidden="1" outlineLevel="1" x14ac:dyDescent="0.15">
      <c r="B4263" s="20" t="s">
        <v>1930</v>
      </c>
      <c r="C4263" s="21" t="s">
        <v>1980</v>
      </c>
      <c r="D4263" s="21" t="s">
        <v>1345</v>
      </c>
      <c r="E4263" s="21">
        <v>0</v>
      </c>
      <c r="F4263" s="21"/>
      <c r="G4263" s="22"/>
    </row>
    <row r="4264" spans="2:7" s="7" customFormat="1" hidden="1" outlineLevel="1" x14ac:dyDescent="0.15">
      <c r="B4264" s="20" t="s">
        <v>1931</v>
      </c>
      <c r="C4264" s="21" t="s">
        <v>1981</v>
      </c>
      <c r="D4264" s="21" t="s">
        <v>1345</v>
      </c>
      <c r="E4264" s="21">
        <v>0</v>
      </c>
      <c r="F4264" s="21"/>
      <c r="G4264" s="22"/>
    </row>
    <row r="4265" spans="2:7" s="7" customFormat="1" ht="18" hidden="1" outlineLevel="1" thickBot="1" x14ac:dyDescent="0.2">
      <c r="B4265" s="20" t="s">
        <v>776</v>
      </c>
      <c r="C4265" s="21" t="s">
        <v>1225</v>
      </c>
      <c r="D4265" s="21" t="s">
        <v>211</v>
      </c>
      <c r="E4265" s="21">
        <v>0</v>
      </c>
      <c r="F4265" s="21"/>
      <c r="G4265" s="22" t="s">
        <v>1226</v>
      </c>
    </row>
    <row r="4266" spans="2:7" s="7" customFormat="1" hidden="1" outlineLevel="1" x14ac:dyDescent="0.15">
      <c r="B4266" s="330" t="s">
        <v>15</v>
      </c>
      <c r="C4266" s="331"/>
      <c r="D4266" s="331"/>
      <c r="E4266" s="331"/>
      <c r="F4266" s="331"/>
      <c r="G4266" s="332"/>
    </row>
    <row r="4267" spans="2:7" s="7" customFormat="1" hidden="1" outlineLevel="1" x14ac:dyDescent="0.15">
      <c r="B4267" s="20">
        <v>1</v>
      </c>
      <c r="C4267" s="21" t="s">
        <v>1932</v>
      </c>
      <c r="D4267" s="21" t="s">
        <v>260</v>
      </c>
      <c r="E4267" s="21" t="s">
        <v>18</v>
      </c>
      <c r="F4267" s="21" t="s">
        <v>1933</v>
      </c>
      <c r="G4267" s="21" t="s">
        <v>1934</v>
      </c>
    </row>
    <row r="4268" spans="2:7" s="7" customFormat="1" hidden="1" outlineLevel="1" x14ac:dyDescent="0.15">
      <c r="B4268" s="20">
        <v>2</v>
      </c>
      <c r="C4268" s="21" t="s">
        <v>269</v>
      </c>
      <c r="D4268" s="21" t="s">
        <v>1800</v>
      </c>
      <c r="E4268" s="21"/>
      <c r="F4268" s="21"/>
      <c r="G4268" s="22"/>
    </row>
    <row r="4269" spans="2:7" s="7" customFormat="1" hidden="1" outlineLevel="1" x14ac:dyDescent="0.15">
      <c r="B4269" s="20">
        <v>3</v>
      </c>
      <c r="C4269" s="21" t="s">
        <v>269</v>
      </c>
      <c r="D4269" s="21" t="s">
        <v>1935</v>
      </c>
      <c r="E4269" s="21"/>
      <c r="F4269" s="21"/>
      <c r="G4269" s="22"/>
    </row>
    <row r="4270" spans="2:7" s="7" customFormat="1" hidden="1" outlineLevel="1" x14ac:dyDescent="0.15">
      <c r="B4270" s="20">
        <v>4</v>
      </c>
      <c r="C4270" s="21" t="s">
        <v>22</v>
      </c>
      <c r="D4270" s="21" t="s">
        <v>16</v>
      </c>
      <c r="E4270" s="21" t="s">
        <v>111</v>
      </c>
      <c r="F4270" s="21" t="s">
        <v>123</v>
      </c>
      <c r="G4270" s="22"/>
    </row>
    <row r="4271" spans="2:7" s="7" customFormat="1" hidden="1" outlineLevel="1" x14ac:dyDescent="0.15">
      <c r="B4271" s="20">
        <v>5</v>
      </c>
      <c r="C4271" s="21" t="s">
        <v>114</v>
      </c>
      <c r="D4271" s="21" t="s">
        <v>115</v>
      </c>
      <c r="E4271" s="21"/>
      <c r="F4271" s="21"/>
      <c r="G4271" s="22"/>
    </row>
    <row r="4272" spans="2:7" s="7" customFormat="1" ht="18" hidden="1" outlineLevel="1" thickBot="1" x14ac:dyDescent="0.2">
      <c r="B4272" s="20">
        <v>6</v>
      </c>
      <c r="C4272" s="9" t="s">
        <v>267</v>
      </c>
      <c r="D4272" s="9" t="s">
        <v>268</v>
      </c>
      <c r="E4272" s="21"/>
      <c r="F4272" s="21"/>
      <c r="G4272" s="22"/>
    </row>
    <row r="4273" spans="2:7" s="7" customFormat="1" hidden="1" outlineLevel="1" x14ac:dyDescent="0.15">
      <c r="B4273" s="20">
        <v>7</v>
      </c>
      <c r="C4273" s="21" t="s">
        <v>16</v>
      </c>
      <c r="D4273" s="21" t="s">
        <v>111</v>
      </c>
      <c r="E4273" s="21" t="s">
        <v>123</v>
      </c>
      <c r="F4273" s="22" t="s">
        <v>1935</v>
      </c>
      <c r="G4273" s="22"/>
    </row>
    <row r="4274" spans="2:7" s="7" customFormat="1" hidden="1" outlineLevel="1" x14ac:dyDescent="0.15"/>
    <row r="4275" spans="2:7" ht="18" hidden="1" outlineLevel="1" thickBot="1" x14ac:dyDescent="0.2"/>
    <row r="4276" spans="2:7" s="7" customFormat="1" ht="18" collapsed="1" thickBot="1" x14ac:dyDescent="0.2">
      <c r="B4276" s="3" t="s">
        <v>563</v>
      </c>
      <c r="C4276" s="4" t="s">
        <v>2073</v>
      </c>
      <c r="D4276" s="5" t="s">
        <v>515</v>
      </c>
      <c r="E4276" s="298" t="s">
        <v>1951</v>
      </c>
      <c r="F4276" s="5" t="s">
        <v>567</v>
      </c>
      <c r="G4276" s="6"/>
    </row>
    <row r="4277" spans="2:7" s="7" customFormat="1" ht="18" hidden="1" outlineLevel="1" thickBot="1" x14ac:dyDescent="0.2">
      <c r="B4277" s="34" t="s">
        <v>570</v>
      </c>
      <c r="C4277" s="18" t="s">
        <v>1618</v>
      </c>
      <c r="D4277" s="35" t="s">
        <v>568</v>
      </c>
      <c r="E4277" s="18" t="s">
        <v>615</v>
      </c>
      <c r="F4277" s="35"/>
      <c r="G4277" s="19"/>
    </row>
    <row r="4278" spans="2:7" s="7" customFormat="1" hidden="1" outlineLevel="1" x14ac:dyDescent="0.15">
      <c r="B4278" s="3" t="s">
        <v>0</v>
      </c>
      <c r="C4278" s="5" t="s">
        <v>1</v>
      </c>
      <c r="D4278" s="5" t="s">
        <v>2</v>
      </c>
      <c r="E4278" s="5"/>
      <c r="F4278" s="5" t="s">
        <v>3</v>
      </c>
      <c r="G4278" s="36" t="s">
        <v>4</v>
      </c>
    </row>
    <row r="4279" spans="2:7" s="7" customFormat="1" hidden="1" outlineLevel="1" x14ac:dyDescent="0.15">
      <c r="B4279" s="21" t="s">
        <v>22</v>
      </c>
      <c r="C4279" s="21" t="s">
        <v>1127</v>
      </c>
      <c r="D4279" s="21" t="s">
        <v>211</v>
      </c>
      <c r="E4279" s="21" t="s">
        <v>1141</v>
      </c>
      <c r="F4279" s="21"/>
      <c r="G4279" s="22" t="s">
        <v>1162</v>
      </c>
    </row>
    <row r="4280" spans="2:7" s="7" customFormat="1" hidden="1" outlineLevel="1" x14ac:dyDescent="0.15">
      <c r="B4280" s="21" t="s">
        <v>16</v>
      </c>
      <c r="C4280" s="21" t="s">
        <v>1163</v>
      </c>
      <c r="D4280" s="21" t="s">
        <v>211</v>
      </c>
      <c r="E4280" s="21">
        <v>0</v>
      </c>
      <c r="F4280" s="21"/>
      <c r="G4280" s="22" t="s">
        <v>1077</v>
      </c>
    </row>
    <row r="4281" spans="2:7" s="7" customFormat="1" hidden="1" outlineLevel="1" x14ac:dyDescent="0.15">
      <c r="B4281" s="21" t="s">
        <v>111</v>
      </c>
      <c r="C4281" s="21" t="s">
        <v>1164</v>
      </c>
      <c r="D4281" s="21" t="s">
        <v>211</v>
      </c>
      <c r="E4281" s="21">
        <v>0</v>
      </c>
      <c r="F4281" s="21"/>
      <c r="G4281" s="22" t="s">
        <v>1165</v>
      </c>
    </row>
    <row r="4282" spans="2:7" s="7" customFormat="1" hidden="1" outlineLevel="1" x14ac:dyDescent="0.15">
      <c r="B4282" s="23" t="s">
        <v>2056</v>
      </c>
      <c r="C4282" s="21" t="s">
        <v>2065</v>
      </c>
      <c r="D4282" s="21" t="s">
        <v>2066</v>
      </c>
      <c r="E4282" s="21">
        <v>0</v>
      </c>
      <c r="F4282" s="21"/>
      <c r="G4282" s="22" t="s">
        <v>2067</v>
      </c>
    </row>
    <row r="4283" spans="2:7" s="7" customFormat="1" hidden="1" outlineLevel="1" x14ac:dyDescent="0.15">
      <c r="B4283" s="229" t="s">
        <v>1953</v>
      </c>
      <c r="C4283" s="21" t="s">
        <v>1987</v>
      </c>
      <c r="D4283" s="21" t="s">
        <v>1087</v>
      </c>
      <c r="E4283" s="21">
        <v>0</v>
      </c>
      <c r="F4283" s="21"/>
      <c r="G4283" s="22"/>
    </row>
    <row r="4284" spans="2:7" s="7" customFormat="1" hidden="1" outlineLevel="1" x14ac:dyDescent="0.15">
      <c r="B4284" s="229" t="s">
        <v>1853</v>
      </c>
      <c r="C4284" s="21" t="s">
        <v>1854</v>
      </c>
      <c r="D4284" s="21" t="s">
        <v>1087</v>
      </c>
      <c r="E4284" s="21">
        <v>0</v>
      </c>
      <c r="F4284" s="21"/>
      <c r="G4284" s="22"/>
    </row>
    <row r="4285" spans="2:7" s="7" customFormat="1" hidden="1" outlineLevel="1" x14ac:dyDescent="0.15">
      <c r="B4285" s="229" t="s">
        <v>1855</v>
      </c>
      <c r="C4285" s="21" t="s">
        <v>1856</v>
      </c>
      <c r="D4285" s="21" t="s">
        <v>1169</v>
      </c>
      <c r="E4285" s="21">
        <v>0</v>
      </c>
      <c r="F4285" s="21"/>
      <c r="G4285" s="22"/>
    </row>
    <row r="4286" spans="2:7" s="7" customFormat="1" hidden="1" outlineLevel="1" x14ac:dyDescent="0.15">
      <c r="B4286" s="194" t="s">
        <v>1954</v>
      </c>
      <c r="C4286" s="21" t="s">
        <v>1988</v>
      </c>
      <c r="D4286" s="21" t="s">
        <v>211</v>
      </c>
      <c r="E4286" s="21">
        <v>0</v>
      </c>
      <c r="F4286" s="21"/>
      <c r="G4286" s="22"/>
    </row>
    <row r="4287" spans="2:7" s="7" customFormat="1" hidden="1" outlineLevel="1" x14ac:dyDescent="0.15">
      <c r="B4287" s="194" t="s">
        <v>272</v>
      </c>
      <c r="C4287" s="21" t="s">
        <v>1374</v>
      </c>
      <c r="D4287" s="21" t="s">
        <v>1087</v>
      </c>
      <c r="E4287" s="21">
        <v>0</v>
      </c>
      <c r="F4287" s="21"/>
      <c r="G4287" s="22" t="s">
        <v>1375</v>
      </c>
    </row>
    <row r="4288" spans="2:7" s="7" customFormat="1" hidden="1" outlineLevel="1" x14ac:dyDescent="0.15">
      <c r="B4288" s="194" t="s">
        <v>1955</v>
      </c>
      <c r="C4288" s="21" t="s">
        <v>1989</v>
      </c>
      <c r="D4288" s="21" t="s">
        <v>1169</v>
      </c>
      <c r="E4288" s="21">
        <v>0</v>
      </c>
      <c r="F4288" s="21"/>
      <c r="G4288" s="22"/>
    </row>
    <row r="4289" spans="2:7" s="7" customFormat="1" hidden="1" outlineLevel="1" x14ac:dyDescent="0.15">
      <c r="B4289" s="303" t="s">
        <v>1956</v>
      </c>
      <c r="C4289" s="21" t="s">
        <v>1990</v>
      </c>
      <c r="D4289" s="21" t="s">
        <v>1169</v>
      </c>
      <c r="E4289" s="21">
        <v>0</v>
      </c>
      <c r="F4289" s="21"/>
      <c r="G4289" s="22"/>
    </row>
    <row r="4290" spans="2:7" s="7" customFormat="1" hidden="1" outlineLevel="1" x14ac:dyDescent="0.15">
      <c r="B4290" s="194" t="s">
        <v>1957</v>
      </c>
      <c r="C4290" s="21" t="s">
        <v>1991</v>
      </c>
      <c r="D4290" s="21" t="s">
        <v>211</v>
      </c>
      <c r="E4290" s="21">
        <v>0</v>
      </c>
      <c r="F4290" s="21"/>
      <c r="G4290" s="22"/>
    </row>
    <row r="4291" spans="2:7" s="7" customFormat="1" hidden="1" outlineLevel="1" x14ac:dyDescent="0.15">
      <c r="B4291" s="301" t="s">
        <v>1958</v>
      </c>
      <c r="C4291" s="21" t="s">
        <v>1241</v>
      </c>
      <c r="D4291" s="21" t="s">
        <v>1087</v>
      </c>
      <c r="E4291" s="21">
        <v>0</v>
      </c>
      <c r="F4291" s="21"/>
      <c r="G4291" s="22" t="s">
        <v>1086</v>
      </c>
    </row>
    <row r="4292" spans="2:7" s="7" customFormat="1" hidden="1" outlineLevel="1" x14ac:dyDescent="0.15">
      <c r="B4292" s="301" t="s">
        <v>277</v>
      </c>
      <c r="C4292" s="21" t="s">
        <v>1242</v>
      </c>
      <c r="D4292" s="21" t="s">
        <v>1169</v>
      </c>
      <c r="E4292" s="21">
        <v>0</v>
      </c>
      <c r="F4292" s="21"/>
      <c r="G4292" s="22" t="s">
        <v>1243</v>
      </c>
    </row>
    <row r="4293" spans="2:7" s="7" customFormat="1" hidden="1" outlineLevel="1" x14ac:dyDescent="0.15">
      <c r="B4293" s="194" t="s">
        <v>19</v>
      </c>
      <c r="C4293" s="21" t="s">
        <v>1337</v>
      </c>
      <c r="D4293" s="21" t="s">
        <v>1219</v>
      </c>
      <c r="E4293" s="21" t="s">
        <v>1072</v>
      </c>
      <c r="F4293" s="21"/>
      <c r="G4293" s="22" t="s">
        <v>1338</v>
      </c>
    </row>
    <row r="4294" spans="2:7" s="7" customFormat="1" hidden="1" outlineLevel="1" x14ac:dyDescent="0.15">
      <c r="B4294" s="194" t="s">
        <v>115</v>
      </c>
      <c r="C4294" s="21" t="s">
        <v>1188</v>
      </c>
      <c r="D4294" s="21" t="s">
        <v>211</v>
      </c>
      <c r="E4294" s="21">
        <v>0</v>
      </c>
      <c r="F4294" s="21"/>
      <c r="G4294" s="22"/>
    </row>
    <row r="4295" spans="2:7" s="7" customFormat="1" hidden="1" outlineLevel="1" x14ac:dyDescent="0.15">
      <c r="B4295" s="194" t="s">
        <v>78</v>
      </c>
      <c r="C4295" s="21" t="s">
        <v>1189</v>
      </c>
      <c r="D4295" s="21" t="s">
        <v>211</v>
      </c>
      <c r="E4295" s="21">
        <v>0</v>
      </c>
      <c r="F4295" s="21"/>
      <c r="G4295" s="22"/>
    </row>
    <row r="4296" spans="2:7" s="7" customFormat="1" hidden="1" outlineLevel="1" x14ac:dyDescent="0.15">
      <c r="B4296" s="194" t="s">
        <v>41</v>
      </c>
      <c r="C4296" s="21" t="s">
        <v>1258</v>
      </c>
      <c r="D4296" s="21" t="s">
        <v>211</v>
      </c>
      <c r="E4296" s="21">
        <v>0</v>
      </c>
      <c r="F4296" s="21"/>
      <c r="G4296" s="22" t="s">
        <v>1259</v>
      </c>
    </row>
    <row r="4297" spans="2:7" s="7" customFormat="1" hidden="1" outlineLevel="1" x14ac:dyDescent="0.15">
      <c r="B4297" s="153" t="s">
        <v>1959</v>
      </c>
      <c r="C4297" s="21" t="s">
        <v>1992</v>
      </c>
      <c r="D4297" s="21" t="s">
        <v>1087</v>
      </c>
      <c r="E4297" s="21">
        <v>0</v>
      </c>
      <c r="F4297" s="21"/>
      <c r="G4297" s="22"/>
    </row>
    <row r="4298" spans="2:7" s="7" customFormat="1" hidden="1" outlineLevel="1" x14ac:dyDescent="0.15">
      <c r="B4298" s="153" t="s">
        <v>1960</v>
      </c>
      <c r="C4298" s="21" t="s">
        <v>1993</v>
      </c>
      <c r="D4298" s="21" t="s">
        <v>1169</v>
      </c>
      <c r="E4298" s="21">
        <v>0</v>
      </c>
      <c r="F4298" s="21"/>
      <c r="G4298" s="22"/>
    </row>
    <row r="4299" spans="2:7" s="7" customFormat="1" hidden="1" outlineLevel="1" x14ac:dyDescent="0.15">
      <c r="B4299" s="20" t="s">
        <v>439</v>
      </c>
      <c r="C4299" s="21" t="s">
        <v>1236</v>
      </c>
      <c r="D4299" s="21" t="s">
        <v>1211</v>
      </c>
      <c r="E4299" s="21">
        <v>0</v>
      </c>
      <c r="F4299" s="21"/>
      <c r="G4299" s="22"/>
    </row>
    <row r="4300" spans="2:7" s="7" customFormat="1" ht="18" hidden="1" outlineLevel="1" thickBot="1" x14ac:dyDescent="0.2">
      <c r="B4300" s="20"/>
      <c r="C4300" s="21"/>
      <c r="D4300" s="21"/>
      <c r="E4300" s="21"/>
      <c r="F4300" s="21"/>
      <c r="G4300" s="22"/>
    </row>
    <row r="4301" spans="2:7" s="7" customFormat="1" hidden="1" outlineLevel="1" x14ac:dyDescent="0.15">
      <c r="B4301" s="327" t="s">
        <v>15</v>
      </c>
      <c r="C4301" s="328"/>
      <c r="D4301" s="328"/>
      <c r="E4301" s="328"/>
      <c r="F4301" s="328"/>
      <c r="G4301" s="329"/>
    </row>
    <row r="4302" spans="2:7" s="7" customFormat="1" hidden="1" outlineLevel="1" x14ac:dyDescent="0.15">
      <c r="B4302" s="20">
        <v>1</v>
      </c>
      <c r="C4302" s="21" t="s">
        <v>22</v>
      </c>
      <c r="D4302" s="21" t="s">
        <v>16</v>
      </c>
      <c r="E4302" s="21" t="s">
        <v>111</v>
      </c>
      <c r="F4302" s="21"/>
      <c r="G4302" s="22"/>
    </row>
    <row r="4303" spans="2:7" s="7" customFormat="1" ht="18" hidden="1" outlineLevel="1" thickBot="1" x14ac:dyDescent="0.2">
      <c r="B4303" s="24"/>
      <c r="C4303" s="20"/>
      <c r="D4303" s="20"/>
      <c r="E4303" s="20"/>
      <c r="F4303" s="20"/>
      <c r="G4303" s="11"/>
    </row>
    <row r="4304" spans="2:7" s="7" customFormat="1" hidden="1" outlineLevel="1" x14ac:dyDescent="0.15"/>
    <row r="4305" spans="2:7" ht="18" hidden="1" outlineLevel="1" thickBot="1" x14ac:dyDescent="0.2"/>
    <row r="4306" spans="2:7" s="7" customFormat="1" ht="18" collapsed="1" thickBot="1" x14ac:dyDescent="0.2">
      <c r="B4306" s="3" t="s">
        <v>563</v>
      </c>
      <c r="C4306" s="4" t="s">
        <v>1975</v>
      </c>
      <c r="D4306" s="5" t="s">
        <v>515</v>
      </c>
      <c r="E4306" s="298" t="s">
        <v>1952</v>
      </c>
      <c r="F4306" s="5" t="s">
        <v>567</v>
      </c>
      <c r="G4306" s="6"/>
    </row>
    <row r="4307" spans="2:7" s="7" customFormat="1" ht="18" hidden="1" outlineLevel="1" thickBot="1" x14ac:dyDescent="0.2">
      <c r="B4307" s="34" t="s">
        <v>570</v>
      </c>
      <c r="C4307" s="18" t="s">
        <v>1618</v>
      </c>
      <c r="D4307" s="35" t="s">
        <v>568</v>
      </c>
      <c r="E4307" s="18" t="s">
        <v>615</v>
      </c>
      <c r="F4307" s="35"/>
      <c r="G4307" s="19"/>
    </row>
    <row r="4308" spans="2:7" s="7" customFormat="1" hidden="1" outlineLevel="1" x14ac:dyDescent="0.15">
      <c r="B4308" s="3" t="s">
        <v>0</v>
      </c>
      <c r="C4308" s="5" t="s">
        <v>1</v>
      </c>
      <c r="D4308" s="5" t="s">
        <v>2</v>
      </c>
      <c r="E4308" s="5"/>
      <c r="F4308" s="5" t="s">
        <v>3</v>
      </c>
      <c r="G4308" s="36" t="s">
        <v>4</v>
      </c>
    </row>
    <row r="4309" spans="2:7" s="7" customFormat="1" hidden="1" outlineLevel="1" x14ac:dyDescent="0.15">
      <c r="B4309" s="21" t="s">
        <v>16</v>
      </c>
      <c r="C4309" s="21" t="s">
        <v>1163</v>
      </c>
      <c r="D4309" s="21" t="s">
        <v>211</v>
      </c>
      <c r="E4309" s="21">
        <v>0</v>
      </c>
      <c r="F4309" s="21"/>
      <c r="G4309" s="22" t="s">
        <v>1077</v>
      </c>
    </row>
    <row r="4310" spans="2:7" s="7" customFormat="1" hidden="1" outlineLevel="1" x14ac:dyDescent="0.15">
      <c r="B4310" s="21" t="s">
        <v>111</v>
      </c>
      <c r="C4310" s="21" t="s">
        <v>1164</v>
      </c>
      <c r="D4310" s="21" t="s">
        <v>211</v>
      </c>
      <c r="E4310" s="21">
        <v>0</v>
      </c>
      <c r="F4310" s="21"/>
      <c r="G4310" s="22" t="s">
        <v>1165</v>
      </c>
    </row>
    <row r="4311" spans="2:7" s="7" customFormat="1" hidden="1" outlineLevel="1" x14ac:dyDescent="0.35">
      <c r="B4311" s="302" t="s">
        <v>1961</v>
      </c>
      <c r="C4311" s="21" t="s">
        <v>1611</v>
      </c>
      <c r="D4311" s="21" t="s">
        <v>211</v>
      </c>
      <c r="E4311" s="21" t="s">
        <v>1141</v>
      </c>
      <c r="F4311" s="21"/>
      <c r="G4311" s="22"/>
    </row>
    <row r="4312" spans="2:7" s="7" customFormat="1" hidden="1" outlineLevel="1" x14ac:dyDescent="0.35">
      <c r="B4312" s="302" t="s">
        <v>1962</v>
      </c>
      <c r="C4312" s="21" t="s">
        <v>1582</v>
      </c>
      <c r="D4312" s="21" t="s">
        <v>211</v>
      </c>
      <c r="E4312" s="21" t="s">
        <v>1141</v>
      </c>
      <c r="F4312" s="21"/>
      <c r="G4312" s="22"/>
    </row>
    <row r="4313" spans="2:7" s="7" customFormat="1" hidden="1" outlineLevel="1" x14ac:dyDescent="0.15">
      <c r="B4313" s="304" t="s">
        <v>1963</v>
      </c>
      <c r="C4313" s="21" t="s">
        <v>1994</v>
      </c>
      <c r="D4313" s="21" t="s">
        <v>1172</v>
      </c>
      <c r="E4313" s="21">
        <v>0</v>
      </c>
      <c r="F4313" s="21"/>
      <c r="G4313" s="22"/>
    </row>
    <row r="4314" spans="2:7" s="7" customFormat="1" hidden="1" outlineLevel="1" x14ac:dyDescent="0.15">
      <c r="B4314" s="304" t="s">
        <v>1964</v>
      </c>
      <c r="C4314" s="21" t="s">
        <v>1995</v>
      </c>
      <c r="D4314" s="21" t="s">
        <v>1172</v>
      </c>
      <c r="E4314" s="21">
        <v>0</v>
      </c>
      <c r="F4314" s="21"/>
      <c r="G4314" s="22"/>
    </row>
    <row r="4315" spans="2:7" s="7" customFormat="1" hidden="1" outlineLevel="1" x14ac:dyDescent="0.15">
      <c r="B4315" s="305" t="s">
        <v>1965</v>
      </c>
      <c r="C4315" s="21" t="s">
        <v>1996</v>
      </c>
      <c r="D4315" s="21" t="s">
        <v>1169</v>
      </c>
      <c r="E4315" s="21">
        <v>0</v>
      </c>
      <c r="F4315" s="21"/>
      <c r="G4315" s="22"/>
    </row>
    <row r="4316" spans="2:7" s="7" customFormat="1" hidden="1" outlineLevel="1" x14ac:dyDescent="0.15">
      <c r="B4316" s="305" t="s">
        <v>434</v>
      </c>
      <c r="C4316" s="21" t="s">
        <v>1574</v>
      </c>
      <c r="D4316" s="21" t="s">
        <v>1169</v>
      </c>
      <c r="E4316" s="21">
        <v>0</v>
      </c>
      <c r="F4316" s="21"/>
      <c r="G4316" s="22"/>
    </row>
    <row r="4317" spans="2:7" s="7" customFormat="1" hidden="1" outlineLevel="1" x14ac:dyDescent="0.15">
      <c r="B4317" s="306" t="s">
        <v>1966</v>
      </c>
      <c r="C4317" s="21" t="s">
        <v>1997</v>
      </c>
      <c r="D4317" s="21" t="s">
        <v>1169</v>
      </c>
      <c r="E4317" s="21">
        <v>0</v>
      </c>
      <c r="F4317" s="21"/>
      <c r="G4317" s="22"/>
    </row>
    <row r="4318" spans="2:7" s="7" customFormat="1" hidden="1" outlineLevel="1" x14ac:dyDescent="0.15">
      <c r="B4318" s="20" t="s">
        <v>302</v>
      </c>
      <c r="C4318" s="21" t="s">
        <v>1168</v>
      </c>
      <c r="D4318" s="21" t="s">
        <v>1169</v>
      </c>
      <c r="E4318" s="21">
        <v>0</v>
      </c>
      <c r="F4318" s="21"/>
      <c r="G4318" s="22"/>
    </row>
    <row r="4319" spans="2:7" s="7" customFormat="1" hidden="1" outlineLevel="1" x14ac:dyDescent="0.15">
      <c r="B4319" s="20" t="s">
        <v>1967</v>
      </c>
      <c r="C4319" s="21" t="s">
        <v>1998</v>
      </c>
      <c r="D4319" s="21" t="s">
        <v>1169</v>
      </c>
      <c r="E4319" s="21">
        <v>0</v>
      </c>
      <c r="F4319" s="21"/>
      <c r="G4319" s="22"/>
    </row>
    <row r="4320" spans="2:7" s="7" customFormat="1" hidden="1" outlineLevel="1" x14ac:dyDescent="0.15">
      <c r="B4320" s="33" t="s">
        <v>1968</v>
      </c>
      <c r="C4320" s="21" t="s">
        <v>1999</v>
      </c>
      <c r="D4320" s="21" t="s">
        <v>1169</v>
      </c>
      <c r="E4320" s="21">
        <v>0</v>
      </c>
      <c r="F4320" s="21"/>
      <c r="G4320" s="22"/>
    </row>
    <row r="4321" spans="1:8" s="7" customFormat="1" hidden="1" outlineLevel="1" x14ac:dyDescent="0.15">
      <c r="B4321" s="20" t="s">
        <v>1969</v>
      </c>
      <c r="C4321" s="21" t="s">
        <v>2000</v>
      </c>
      <c r="D4321" s="21" t="s">
        <v>1169</v>
      </c>
      <c r="E4321" s="21">
        <v>0</v>
      </c>
      <c r="F4321" s="21"/>
      <c r="G4321" s="22"/>
    </row>
    <row r="4322" spans="1:8" s="7" customFormat="1" hidden="1" outlineLevel="1" x14ac:dyDescent="0.15">
      <c r="B4322" s="20" t="s">
        <v>1970</v>
      </c>
      <c r="C4322" s="21" t="s">
        <v>2001</v>
      </c>
      <c r="D4322" s="21" t="s">
        <v>1169</v>
      </c>
      <c r="E4322" s="21">
        <v>0</v>
      </c>
      <c r="F4322" s="21"/>
      <c r="G4322" s="22"/>
    </row>
    <row r="4323" spans="1:8" s="7" customFormat="1" hidden="1" outlineLevel="1" x14ac:dyDescent="0.15">
      <c r="B4323" s="20" t="s">
        <v>1971</v>
      </c>
      <c r="C4323" s="21" t="s">
        <v>2002</v>
      </c>
      <c r="D4323" s="21" t="s">
        <v>1169</v>
      </c>
      <c r="E4323" s="21">
        <v>0</v>
      </c>
      <c r="F4323" s="21"/>
      <c r="G4323" s="22"/>
    </row>
    <row r="4324" spans="1:8" s="7" customFormat="1" hidden="1" outlineLevel="1" x14ac:dyDescent="0.15">
      <c r="B4324" s="20" t="s">
        <v>1972</v>
      </c>
      <c r="C4324" s="21" t="s">
        <v>2003</v>
      </c>
      <c r="D4324" s="21" t="s">
        <v>1169</v>
      </c>
      <c r="E4324" s="21">
        <v>0</v>
      </c>
      <c r="F4324" s="21"/>
      <c r="G4324" s="22"/>
    </row>
    <row r="4325" spans="1:8" s="7" customFormat="1" hidden="1" outlineLevel="1" x14ac:dyDescent="0.15">
      <c r="B4325" s="20" t="s">
        <v>1973</v>
      </c>
      <c r="C4325" s="21" t="s">
        <v>2004</v>
      </c>
      <c r="D4325" s="21" t="s">
        <v>1169</v>
      </c>
      <c r="E4325" s="21">
        <v>0</v>
      </c>
      <c r="F4325" s="21"/>
      <c r="G4325" s="22"/>
    </row>
    <row r="4326" spans="1:8" s="7" customFormat="1" hidden="1" outlineLevel="1" x14ac:dyDescent="0.15">
      <c r="B4326" s="194"/>
      <c r="C4326" s="21"/>
      <c r="D4326" s="21"/>
      <c r="E4326" s="21"/>
      <c r="F4326" s="21"/>
      <c r="G4326" s="22"/>
    </row>
    <row r="4327" spans="1:8" s="7" customFormat="1" hidden="1" outlineLevel="1" x14ac:dyDescent="0.15">
      <c r="B4327" s="153"/>
      <c r="C4327" s="21"/>
      <c r="D4327" s="21"/>
      <c r="E4327" s="21"/>
      <c r="F4327" s="21"/>
      <c r="G4327" s="22"/>
    </row>
    <row r="4328" spans="1:8" s="7" customFormat="1" hidden="1" outlineLevel="1" x14ac:dyDescent="0.15">
      <c r="B4328" s="153"/>
      <c r="C4328" s="21"/>
      <c r="D4328" s="21"/>
      <c r="E4328" s="21"/>
      <c r="F4328" s="21"/>
      <c r="G4328" s="22"/>
    </row>
    <row r="4329" spans="1:8" s="7" customFormat="1" hidden="1" outlineLevel="1" x14ac:dyDescent="0.15">
      <c r="B4329" s="20"/>
      <c r="C4329" s="21"/>
      <c r="D4329" s="21"/>
      <c r="E4329" s="21"/>
      <c r="F4329" s="21"/>
      <c r="G4329" s="22"/>
    </row>
    <row r="4330" spans="1:8" s="7" customFormat="1" ht="18" hidden="1" outlineLevel="1" thickBot="1" x14ac:dyDescent="0.2">
      <c r="B4330" s="20"/>
      <c r="C4330" s="21"/>
      <c r="D4330" s="21"/>
      <c r="E4330" s="21"/>
      <c r="F4330" s="21"/>
      <c r="G4330" s="22"/>
    </row>
    <row r="4331" spans="1:8" s="7" customFormat="1" hidden="1" outlineLevel="1" x14ac:dyDescent="0.15">
      <c r="B4331" s="327" t="s">
        <v>15</v>
      </c>
      <c r="C4331" s="328"/>
      <c r="D4331" s="328"/>
      <c r="E4331" s="328"/>
      <c r="F4331" s="328"/>
      <c r="G4331" s="329"/>
    </row>
    <row r="4332" spans="1:8" s="7" customFormat="1" hidden="1" outlineLevel="1" x14ac:dyDescent="0.15">
      <c r="B4332" s="20">
        <v>1</v>
      </c>
      <c r="C4332" s="21" t="s">
        <v>22</v>
      </c>
      <c r="D4332" s="21" t="s">
        <v>16</v>
      </c>
      <c r="E4332" s="21" t="s">
        <v>111</v>
      </c>
      <c r="F4332" s="21"/>
      <c r="G4332" s="22"/>
    </row>
    <row r="4333" spans="1:8" s="7" customFormat="1" ht="18" hidden="1" outlineLevel="1" thickBot="1" x14ac:dyDescent="0.2">
      <c r="B4333" s="24"/>
      <c r="C4333" s="20"/>
      <c r="D4333" s="20"/>
      <c r="E4333" s="20"/>
      <c r="F4333" s="20"/>
      <c r="G4333" s="11"/>
    </row>
    <row r="4334" spans="1:8" s="7" customFormat="1" ht="18" hidden="1" outlineLevel="1" thickBot="1" x14ac:dyDescent="0.2"/>
    <row r="4335" spans="1:8" s="7" customFormat="1" collapsed="1" x14ac:dyDescent="0.15">
      <c r="A4335" s="2"/>
      <c r="B4335" s="3" t="s">
        <v>563</v>
      </c>
      <c r="C4335" s="4" t="s">
        <v>2051</v>
      </c>
      <c r="D4335" s="5" t="s">
        <v>515</v>
      </c>
      <c r="E4335" s="307" t="s">
        <v>2045</v>
      </c>
      <c r="F4335" s="5" t="s">
        <v>567</v>
      </c>
      <c r="G4335" s="6"/>
      <c r="H4335" s="6" t="str">
        <f>"create or replace view "&amp;C4335</f>
        <v>create or replace view tb_rptsum_pd_stock_strike</v>
      </c>
    </row>
    <row r="4336" spans="1:8" s="7" customFormat="1" ht="18" hidden="1" outlineLevel="1" thickBot="1" x14ac:dyDescent="0.2">
      <c r="A4336" s="2"/>
      <c r="B4336" s="34" t="s">
        <v>570</v>
      </c>
      <c r="C4336" s="18" t="s">
        <v>1622</v>
      </c>
      <c r="D4336" s="35" t="s">
        <v>568</v>
      </c>
      <c r="E4336" s="18" t="s">
        <v>615</v>
      </c>
      <c r="F4336" s="35"/>
      <c r="G4336" s="147" t="s">
        <v>421</v>
      </c>
      <c r="H4336" s="11" t="str">
        <f>"/* "&amp;E4335&amp;"*/  as "</f>
        <v xml:space="preserve">/* 报表_资管报表_报表汇总产品证券成交*/  as </v>
      </c>
    </row>
    <row r="4337" spans="1:15" s="7" customFormat="1" hidden="1" outlineLevel="1" x14ac:dyDescent="0.15">
      <c r="A4337" s="2"/>
      <c r="B4337" s="3" t="s">
        <v>0</v>
      </c>
      <c r="C4337" s="5" t="s">
        <v>1</v>
      </c>
      <c r="D4337" s="5" t="s">
        <v>2</v>
      </c>
      <c r="E4337" s="5"/>
      <c r="F4337" s="5" t="s">
        <v>3</v>
      </c>
      <c r="G4337" s="36" t="s">
        <v>4</v>
      </c>
      <c r="H4337" s="13" t="s">
        <v>474</v>
      </c>
    </row>
    <row r="4338" spans="1:15" s="7" customFormat="1" hidden="1" outlineLevel="1" x14ac:dyDescent="0.15">
      <c r="B4338" s="17" t="s">
        <v>21</v>
      </c>
      <c r="C4338" s="18" t="s">
        <v>1357</v>
      </c>
      <c r="D4338" s="18" t="s">
        <v>211</v>
      </c>
      <c r="E4338" s="18">
        <v>0</v>
      </c>
      <c r="F4338" s="18" t="s">
        <v>350</v>
      </c>
      <c r="G4338" s="19" t="s">
        <v>1358</v>
      </c>
    </row>
    <row r="4339" spans="1:15" s="7" customFormat="1" hidden="1" outlineLevel="1" x14ac:dyDescent="0.15">
      <c r="B4339" s="20" t="s">
        <v>22</v>
      </c>
      <c r="C4339" s="21" t="s">
        <v>1127</v>
      </c>
      <c r="D4339" s="21" t="s">
        <v>211</v>
      </c>
      <c r="E4339" s="21" t="s">
        <v>1141</v>
      </c>
      <c r="F4339" s="21" t="s">
        <v>357</v>
      </c>
      <c r="G4339" s="22" t="s">
        <v>1162</v>
      </c>
      <c r="J4339" s="7" t="s">
        <v>237</v>
      </c>
      <c r="K4339" s="7" t="s">
        <v>238</v>
      </c>
      <c r="L4339" s="7" t="s">
        <v>2048</v>
      </c>
      <c r="M4339" s="7" t="s">
        <v>211</v>
      </c>
      <c r="N4339" s="7">
        <v>1339</v>
      </c>
      <c r="O4339" s="7">
        <v>32</v>
      </c>
    </row>
    <row r="4340" spans="1:15" s="7" customFormat="1" hidden="1" outlineLevel="1" x14ac:dyDescent="0.15">
      <c r="B4340" s="20" t="s">
        <v>6</v>
      </c>
      <c r="C4340" s="21" t="s">
        <v>1163</v>
      </c>
      <c r="D4340" s="21" t="s">
        <v>211</v>
      </c>
      <c r="E4340" s="21">
        <v>0</v>
      </c>
      <c r="F4340" s="21" t="s">
        <v>350</v>
      </c>
      <c r="G4340" s="22" t="s">
        <v>1077</v>
      </c>
      <c r="J4340" s="7" t="s">
        <v>237</v>
      </c>
      <c r="K4340" s="7" t="s">
        <v>238</v>
      </c>
      <c r="L4340" s="7" t="s">
        <v>2048</v>
      </c>
      <c r="M4340" s="7" t="s">
        <v>211</v>
      </c>
      <c r="N4340" s="7">
        <v>1827</v>
      </c>
      <c r="O4340" s="7">
        <v>32</v>
      </c>
    </row>
    <row r="4341" spans="1:15" s="7" customFormat="1" hidden="1" outlineLevel="1" x14ac:dyDescent="0.15">
      <c r="B4341" s="20" t="s">
        <v>111</v>
      </c>
      <c r="C4341" s="21" t="s">
        <v>1164</v>
      </c>
      <c r="D4341" s="21" t="s">
        <v>211</v>
      </c>
      <c r="E4341" s="21">
        <v>0</v>
      </c>
      <c r="F4341" s="21" t="s">
        <v>350</v>
      </c>
      <c r="G4341" s="22" t="s">
        <v>1165</v>
      </c>
      <c r="J4341" s="7" t="s">
        <v>237</v>
      </c>
      <c r="K4341" s="7" t="s">
        <v>238</v>
      </c>
      <c r="L4341" s="7" t="s">
        <v>2048</v>
      </c>
      <c r="M4341" s="7" t="s">
        <v>211</v>
      </c>
      <c r="N4341" s="7">
        <v>1228</v>
      </c>
      <c r="O4341" s="7">
        <v>32</v>
      </c>
    </row>
    <row r="4342" spans="1:15" s="7" customFormat="1" hidden="1" outlineLevel="1" x14ac:dyDescent="0.15">
      <c r="B4342" s="20" t="s">
        <v>123</v>
      </c>
      <c r="C4342" s="21" t="s">
        <v>1133</v>
      </c>
      <c r="D4342" s="21" t="s">
        <v>211</v>
      </c>
      <c r="E4342" s="21">
        <v>0</v>
      </c>
      <c r="F4342" s="21" t="s">
        <v>350</v>
      </c>
      <c r="G4342" s="22" t="s">
        <v>1182</v>
      </c>
      <c r="J4342" s="7" t="s">
        <v>237</v>
      </c>
      <c r="K4342" s="7" t="s">
        <v>238</v>
      </c>
      <c r="L4342" s="7" t="s">
        <v>2048</v>
      </c>
      <c r="M4342" s="7" t="s">
        <v>211</v>
      </c>
      <c r="N4342" s="7">
        <v>1961</v>
      </c>
      <c r="O4342" s="7">
        <v>32</v>
      </c>
    </row>
    <row r="4343" spans="1:15" s="7" customFormat="1" hidden="1" outlineLevel="1" x14ac:dyDescent="0.15">
      <c r="B4343" s="20" t="s">
        <v>113</v>
      </c>
      <c r="C4343" s="21" t="s">
        <v>1187</v>
      </c>
      <c r="D4343" s="21" t="s">
        <v>211</v>
      </c>
      <c r="E4343" s="21">
        <v>0</v>
      </c>
      <c r="F4343" s="21" t="s">
        <v>350</v>
      </c>
      <c r="G4343" s="22"/>
      <c r="J4343" s="7" t="s">
        <v>237</v>
      </c>
      <c r="K4343" s="7" t="s">
        <v>238</v>
      </c>
      <c r="L4343" s="7" t="s">
        <v>2048</v>
      </c>
      <c r="M4343" s="7" t="s">
        <v>211</v>
      </c>
      <c r="N4343" s="7">
        <v>3050</v>
      </c>
      <c r="O4343" s="7">
        <v>32</v>
      </c>
    </row>
    <row r="4344" spans="1:15" s="7" customFormat="1" hidden="1" outlineLevel="1" x14ac:dyDescent="0.15">
      <c r="B4344" s="20" t="s">
        <v>98</v>
      </c>
      <c r="C4344" s="21" t="s">
        <v>1359</v>
      </c>
      <c r="D4344" s="21" t="s">
        <v>211</v>
      </c>
      <c r="E4344" s="21">
        <v>0</v>
      </c>
      <c r="F4344" s="21" t="s">
        <v>350</v>
      </c>
      <c r="G4344" s="22" t="s">
        <v>1562</v>
      </c>
      <c r="J4344" s="7" t="s">
        <v>237</v>
      </c>
      <c r="K4344" s="7" t="s">
        <v>238</v>
      </c>
      <c r="L4344" s="7" t="s">
        <v>2048</v>
      </c>
      <c r="M4344" s="7" t="s">
        <v>211</v>
      </c>
      <c r="N4344" s="7">
        <v>2609</v>
      </c>
      <c r="O4344" s="7">
        <v>32</v>
      </c>
    </row>
    <row r="4345" spans="1:15" s="7" customFormat="1" hidden="1" outlineLevel="1" x14ac:dyDescent="0.15">
      <c r="B4345" s="20" t="s">
        <v>260</v>
      </c>
      <c r="C4345" s="21" t="s">
        <v>1119</v>
      </c>
      <c r="D4345" s="21" t="s">
        <v>1287</v>
      </c>
      <c r="E4345" s="21" t="s">
        <v>1072</v>
      </c>
      <c r="F4345" s="21" t="s">
        <v>350</v>
      </c>
      <c r="G4345" s="22"/>
      <c r="J4345" s="7" t="s">
        <v>354</v>
      </c>
      <c r="K4345" s="7" t="s">
        <v>355</v>
      </c>
      <c r="L4345" s="7" t="s">
        <v>2049</v>
      </c>
      <c r="M4345" s="7" t="s">
        <v>354</v>
      </c>
      <c r="N4345" s="7">
        <v>2696</v>
      </c>
      <c r="O4345" s="7">
        <v>32</v>
      </c>
    </row>
    <row r="4346" spans="1:15" s="7" customFormat="1" hidden="1" outlineLevel="1" x14ac:dyDescent="0.15">
      <c r="B4346" s="20" t="s">
        <v>7</v>
      </c>
      <c r="C4346" s="21" t="s">
        <v>1190</v>
      </c>
      <c r="D4346" s="21" t="s">
        <v>211</v>
      </c>
      <c r="E4346" s="21">
        <v>0</v>
      </c>
      <c r="F4346" s="21" t="s">
        <v>366</v>
      </c>
      <c r="G4346" s="22" t="s">
        <v>1081</v>
      </c>
      <c r="J4346" s="7" t="s">
        <v>237</v>
      </c>
      <c r="K4346" s="7" t="s">
        <v>238</v>
      </c>
      <c r="L4346" s="7" t="s">
        <v>2048</v>
      </c>
      <c r="M4346" s="7" t="s">
        <v>211</v>
      </c>
      <c r="N4346" s="7">
        <v>2537</v>
      </c>
      <c r="O4346" s="7">
        <v>32</v>
      </c>
    </row>
    <row r="4347" spans="1:15" s="7" customFormat="1" hidden="1" outlineLevel="1" x14ac:dyDescent="0.15">
      <c r="B4347" s="20" t="s">
        <v>114</v>
      </c>
      <c r="C4347" s="21" t="s">
        <v>1155</v>
      </c>
      <c r="D4347" s="21" t="s">
        <v>211</v>
      </c>
      <c r="E4347" s="21">
        <v>0</v>
      </c>
      <c r="F4347" s="21" t="s">
        <v>350</v>
      </c>
      <c r="G4347" s="22"/>
      <c r="J4347" s="7" t="s">
        <v>237</v>
      </c>
      <c r="K4347" s="7" t="s">
        <v>238</v>
      </c>
      <c r="L4347" s="7" t="s">
        <v>2048</v>
      </c>
      <c r="M4347" s="7" t="s">
        <v>211</v>
      </c>
      <c r="N4347" s="7">
        <v>1696</v>
      </c>
      <c r="O4347" s="7">
        <v>32</v>
      </c>
    </row>
    <row r="4348" spans="1:15" s="7" customFormat="1" hidden="1" outlineLevel="1" x14ac:dyDescent="0.15">
      <c r="B4348" s="20" t="s">
        <v>115</v>
      </c>
      <c r="C4348" s="21" t="s">
        <v>1188</v>
      </c>
      <c r="D4348" s="21" t="s">
        <v>211</v>
      </c>
      <c r="E4348" s="21">
        <v>0</v>
      </c>
      <c r="F4348" s="21" t="s">
        <v>350</v>
      </c>
      <c r="G4348" s="22"/>
      <c r="J4348" s="7" t="s">
        <v>237</v>
      </c>
      <c r="K4348" s="7" t="s">
        <v>238</v>
      </c>
      <c r="L4348" s="7" t="s">
        <v>2048</v>
      </c>
      <c r="M4348" s="7" t="s">
        <v>211</v>
      </c>
      <c r="N4348" s="7">
        <v>2929</v>
      </c>
      <c r="O4348" s="7">
        <v>32</v>
      </c>
    </row>
    <row r="4349" spans="1:15" s="7" customFormat="1" hidden="1" outlineLevel="1" x14ac:dyDescent="0.15">
      <c r="B4349" s="20" t="s">
        <v>78</v>
      </c>
      <c r="C4349" s="21" t="s">
        <v>1189</v>
      </c>
      <c r="D4349" s="21" t="s">
        <v>211</v>
      </c>
      <c r="E4349" s="21">
        <v>0</v>
      </c>
      <c r="F4349" s="21" t="s">
        <v>366</v>
      </c>
      <c r="G4349" s="22"/>
      <c r="J4349" s="7" t="s">
        <v>237</v>
      </c>
      <c r="K4349" s="7" t="s">
        <v>238</v>
      </c>
      <c r="L4349" s="7" t="s">
        <v>2048</v>
      </c>
      <c r="M4349" s="7" t="s">
        <v>211</v>
      </c>
      <c r="N4349" s="7">
        <v>2937</v>
      </c>
      <c r="O4349" s="7">
        <v>32</v>
      </c>
    </row>
    <row r="4350" spans="1:15" s="7" customFormat="1" hidden="1" outlineLevel="1" x14ac:dyDescent="0.15">
      <c r="B4350" s="20" t="s">
        <v>261</v>
      </c>
      <c r="C4350" s="21" t="s">
        <v>1355</v>
      </c>
      <c r="D4350" s="21" t="s">
        <v>1345</v>
      </c>
      <c r="E4350" s="21">
        <v>0</v>
      </c>
      <c r="F4350" s="21" t="s">
        <v>350</v>
      </c>
      <c r="G4350" s="22" t="s">
        <v>1356</v>
      </c>
      <c r="J4350" s="7" t="s">
        <v>358</v>
      </c>
      <c r="K4350" s="7" t="s">
        <v>359</v>
      </c>
      <c r="L4350" s="7" t="s">
        <v>2050</v>
      </c>
      <c r="M4350" s="7" t="s">
        <v>361</v>
      </c>
      <c r="N4350" s="7">
        <v>3009</v>
      </c>
      <c r="O4350" s="7">
        <v>64</v>
      </c>
    </row>
    <row r="4351" spans="1:15" s="7" customFormat="1" hidden="1" outlineLevel="1" x14ac:dyDescent="0.15">
      <c r="B4351" s="20" t="s">
        <v>270</v>
      </c>
      <c r="C4351" s="21" t="s">
        <v>1361</v>
      </c>
      <c r="D4351" s="21" t="s">
        <v>211</v>
      </c>
      <c r="E4351" s="21">
        <v>0</v>
      </c>
      <c r="F4351" s="21" t="s">
        <v>350</v>
      </c>
      <c r="G4351" s="22"/>
      <c r="J4351" s="7" t="s">
        <v>237</v>
      </c>
      <c r="K4351" s="7" t="s">
        <v>238</v>
      </c>
      <c r="L4351" s="7" t="s">
        <v>2048</v>
      </c>
      <c r="M4351" s="7" t="s">
        <v>211</v>
      </c>
      <c r="N4351" s="7">
        <v>2986</v>
      </c>
      <c r="O4351" s="7">
        <v>32</v>
      </c>
    </row>
    <row r="4352" spans="1:15" s="7" customFormat="1" hidden="1" outlineLevel="1" x14ac:dyDescent="0.15">
      <c r="B4352" s="20" t="s">
        <v>101</v>
      </c>
      <c r="C4352" s="21" t="s">
        <v>1362</v>
      </c>
      <c r="D4352" s="21" t="s">
        <v>211</v>
      </c>
      <c r="E4352" s="21" t="s">
        <v>1141</v>
      </c>
      <c r="F4352" s="21" t="s">
        <v>357</v>
      </c>
      <c r="G4352" s="22" t="s">
        <v>1363</v>
      </c>
      <c r="J4352" s="7" t="s">
        <v>237</v>
      </c>
      <c r="K4352" s="7" t="s">
        <v>238</v>
      </c>
      <c r="L4352" s="7" t="s">
        <v>2048</v>
      </c>
      <c r="M4352" s="7" t="s">
        <v>211</v>
      </c>
      <c r="N4352" s="7">
        <v>1310</v>
      </c>
      <c r="O4352" s="7">
        <v>32</v>
      </c>
    </row>
    <row r="4353" spans="2:15" s="7" customFormat="1" hidden="1" outlineLevel="1" x14ac:dyDescent="0.15">
      <c r="B4353" s="20" t="s">
        <v>1799</v>
      </c>
      <c r="C4353" s="21" t="s">
        <v>1364</v>
      </c>
      <c r="D4353" s="21" t="s">
        <v>211</v>
      </c>
      <c r="E4353" s="21" t="s">
        <v>1265</v>
      </c>
      <c r="F4353" s="21" t="s">
        <v>357</v>
      </c>
      <c r="G4353" s="22" t="s">
        <v>1365</v>
      </c>
      <c r="J4353" s="7" t="s">
        <v>237</v>
      </c>
      <c r="K4353" s="7" t="s">
        <v>238</v>
      </c>
      <c r="L4353" s="7" t="s">
        <v>2048</v>
      </c>
      <c r="M4353" s="7" t="s">
        <v>211</v>
      </c>
      <c r="N4353" s="7">
        <v>1311</v>
      </c>
      <c r="O4353" s="7">
        <v>32</v>
      </c>
    </row>
    <row r="4354" spans="2:15" s="7" customFormat="1" hidden="1" outlineLevel="1" x14ac:dyDescent="0.15">
      <c r="B4354" s="20" t="s">
        <v>20</v>
      </c>
      <c r="C4354" s="21" t="s">
        <v>1269</v>
      </c>
      <c r="D4354" s="21" t="s">
        <v>1073</v>
      </c>
      <c r="E4354" s="21" t="s">
        <v>1072</v>
      </c>
      <c r="F4354" s="21" t="s">
        <v>350</v>
      </c>
      <c r="G4354" s="22" t="s">
        <v>1270</v>
      </c>
      <c r="J4354" s="7" t="s">
        <v>237</v>
      </c>
      <c r="K4354" s="7" t="s">
        <v>238</v>
      </c>
      <c r="L4354" s="7" t="s">
        <v>2048</v>
      </c>
      <c r="M4354" s="7" t="s">
        <v>211</v>
      </c>
      <c r="N4354" s="7">
        <v>1295</v>
      </c>
      <c r="O4354" s="7">
        <v>32</v>
      </c>
    </row>
    <row r="4355" spans="2:15" s="7" customFormat="1" hidden="1" outlineLevel="1" x14ac:dyDescent="0.15">
      <c r="B4355" s="20" t="s">
        <v>97</v>
      </c>
      <c r="C4355" s="21" t="s">
        <v>1366</v>
      </c>
      <c r="D4355" s="21" t="s">
        <v>211</v>
      </c>
      <c r="E4355" s="21" t="s">
        <v>1141</v>
      </c>
      <c r="F4355" s="21" t="s">
        <v>357</v>
      </c>
      <c r="G4355" s="22" t="s">
        <v>1367</v>
      </c>
      <c r="J4355" s="7" t="s">
        <v>237</v>
      </c>
      <c r="K4355" s="7" t="s">
        <v>238</v>
      </c>
      <c r="L4355" s="7" t="s">
        <v>2048</v>
      </c>
      <c r="M4355" s="7" t="s">
        <v>211</v>
      </c>
      <c r="N4355" s="7">
        <v>2504</v>
      </c>
      <c r="O4355" s="7">
        <v>32</v>
      </c>
    </row>
    <row r="4356" spans="2:15" s="7" customFormat="1" hidden="1" outlineLevel="1" x14ac:dyDescent="0.15">
      <c r="B4356" s="20" t="s">
        <v>99</v>
      </c>
      <c r="C4356" s="21" t="s">
        <v>1563</v>
      </c>
      <c r="D4356" s="21" t="s">
        <v>1287</v>
      </c>
      <c r="E4356" s="21" t="s">
        <v>1072</v>
      </c>
      <c r="F4356" s="21" t="s">
        <v>350</v>
      </c>
      <c r="G4356" s="22" t="s">
        <v>1368</v>
      </c>
      <c r="J4356" s="7" t="s">
        <v>237</v>
      </c>
      <c r="K4356" s="7" t="s">
        <v>238</v>
      </c>
      <c r="L4356" s="7" t="s">
        <v>2048</v>
      </c>
      <c r="M4356" s="7" t="s">
        <v>211</v>
      </c>
      <c r="N4356" s="7">
        <v>2501</v>
      </c>
      <c r="O4356" s="7">
        <v>32</v>
      </c>
    </row>
    <row r="4357" spans="2:15" s="7" customFormat="1" hidden="1" outlineLevel="1" x14ac:dyDescent="0.15">
      <c r="B4357" s="20" t="s">
        <v>269</v>
      </c>
      <c r="C4357" s="21" t="s">
        <v>1369</v>
      </c>
      <c r="D4357" s="21" t="s">
        <v>211</v>
      </c>
      <c r="E4357" s="21" t="s">
        <v>1141</v>
      </c>
      <c r="F4357" s="21" t="s">
        <v>357</v>
      </c>
      <c r="G4357" s="22" t="s">
        <v>1162</v>
      </c>
      <c r="J4357" s="7" t="s">
        <v>237</v>
      </c>
      <c r="K4357" s="7" t="s">
        <v>238</v>
      </c>
      <c r="L4357" s="7" t="s">
        <v>2048</v>
      </c>
      <c r="M4357" s="7" t="s">
        <v>211</v>
      </c>
      <c r="N4357" s="7">
        <v>1458</v>
      </c>
      <c r="O4357" s="7">
        <v>32</v>
      </c>
    </row>
    <row r="4358" spans="2:15" s="7" customFormat="1" hidden="1" outlineLevel="1" x14ac:dyDescent="0.15">
      <c r="B4358" s="20" t="s">
        <v>271</v>
      </c>
      <c r="C4358" s="21" t="s">
        <v>1120</v>
      </c>
      <c r="D4358" s="21" t="s">
        <v>211</v>
      </c>
      <c r="E4358" s="21" t="s">
        <v>1265</v>
      </c>
      <c r="F4358" s="21" t="s">
        <v>357</v>
      </c>
      <c r="G4358" s="22" t="s">
        <v>1370</v>
      </c>
      <c r="J4358" s="7" t="s">
        <v>237</v>
      </c>
      <c r="K4358" s="7" t="s">
        <v>238</v>
      </c>
      <c r="L4358" s="7" t="s">
        <v>2048</v>
      </c>
      <c r="M4358" s="7" t="s">
        <v>211</v>
      </c>
      <c r="N4358" s="7">
        <v>1459</v>
      </c>
      <c r="O4358" s="7">
        <v>32</v>
      </c>
    </row>
    <row r="4359" spans="2:15" s="7" customFormat="1" hidden="1" outlineLevel="1" x14ac:dyDescent="0.15">
      <c r="B4359" s="20" t="s">
        <v>173</v>
      </c>
      <c r="C4359" s="21" t="s">
        <v>1371</v>
      </c>
      <c r="D4359" s="21" t="s">
        <v>1345</v>
      </c>
      <c r="E4359" s="21">
        <v>0</v>
      </c>
      <c r="F4359" s="21"/>
      <c r="G4359" s="22"/>
      <c r="J4359" s="7" t="s">
        <v>358</v>
      </c>
      <c r="K4359" s="7" t="s">
        <v>359</v>
      </c>
      <c r="L4359" s="7" t="s">
        <v>2050</v>
      </c>
      <c r="M4359" s="7" t="s">
        <v>361</v>
      </c>
      <c r="N4359" s="7">
        <v>1462</v>
      </c>
      <c r="O4359" s="7">
        <v>64</v>
      </c>
    </row>
    <row r="4360" spans="2:15" s="7" customFormat="1" hidden="1" outlineLevel="1" x14ac:dyDescent="0.15">
      <c r="B4360" s="20" t="s">
        <v>1800</v>
      </c>
      <c r="C4360" s="21" t="s">
        <v>1807</v>
      </c>
      <c r="D4360" s="21" t="s">
        <v>211</v>
      </c>
      <c r="E4360" s="21">
        <v>0</v>
      </c>
      <c r="F4360" s="21" t="s">
        <v>350</v>
      </c>
      <c r="G4360" s="22" t="s">
        <v>1808</v>
      </c>
    </row>
    <row r="4361" spans="2:15" s="7" customFormat="1" hidden="1" outlineLevel="1" x14ac:dyDescent="0.15">
      <c r="B4361" s="20" t="s">
        <v>94</v>
      </c>
      <c r="C4361" s="21" t="s">
        <v>1278</v>
      </c>
      <c r="D4361" s="21" t="s">
        <v>211</v>
      </c>
      <c r="E4361" s="21">
        <v>0</v>
      </c>
      <c r="F4361" s="21" t="s">
        <v>366</v>
      </c>
      <c r="G4361" s="22" t="s">
        <v>1279</v>
      </c>
      <c r="J4361" s="7" t="s">
        <v>237</v>
      </c>
      <c r="K4361" s="7" t="s">
        <v>238</v>
      </c>
      <c r="L4361" s="7" t="s">
        <v>2048</v>
      </c>
      <c r="M4361" s="7" t="s">
        <v>211</v>
      </c>
      <c r="N4361" s="7">
        <v>1449</v>
      </c>
      <c r="O4361" s="7">
        <v>32</v>
      </c>
    </row>
    <row r="4362" spans="2:15" s="7" customFormat="1" hidden="1" outlineLevel="1" x14ac:dyDescent="0.15">
      <c r="B4362" s="20" t="s">
        <v>262</v>
      </c>
      <c r="C4362" s="21" t="s">
        <v>1372</v>
      </c>
      <c r="D4362" s="21" t="s">
        <v>1211</v>
      </c>
      <c r="E4362" s="21">
        <v>0</v>
      </c>
      <c r="F4362" s="21" t="s">
        <v>350</v>
      </c>
      <c r="G4362" s="22" t="s">
        <v>1373</v>
      </c>
      <c r="J4362" s="7" t="s">
        <v>347</v>
      </c>
      <c r="K4362" s="7" t="s">
        <v>348</v>
      </c>
      <c r="L4362" s="7" t="s">
        <v>349</v>
      </c>
      <c r="M4362" s="7" t="s">
        <v>349</v>
      </c>
      <c r="N4362" s="7">
        <v>1455</v>
      </c>
      <c r="O4362" s="7">
        <v>16</v>
      </c>
    </row>
    <row r="4363" spans="2:15" s="7" customFormat="1" hidden="1" outlineLevel="1" x14ac:dyDescent="0.15">
      <c r="B4363" s="20" t="s">
        <v>272</v>
      </c>
      <c r="C4363" s="21" t="s">
        <v>1374</v>
      </c>
      <c r="D4363" s="21" t="s">
        <v>1087</v>
      </c>
      <c r="E4363" s="21">
        <v>0</v>
      </c>
      <c r="F4363" s="21" t="s">
        <v>350</v>
      </c>
      <c r="G4363" s="22" t="s">
        <v>1375</v>
      </c>
      <c r="J4363" s="7" t="s">
        <v>347</v>
      </c>
      <c r="K4363" s="7" t="s">
        <v>348</v>
      </c>
      <c r="L4363" s="7" t="s">
        <v>349</v>
      </c>
      <c r="M4363" s="7" t="s">
        <v>349</v>
      </c>
      <c r="N4363" s="7">
        <v>1460</v>
      </c>
      <c r="O4363" s="7">
        <v>18</v>
      </c>
    </row>
    <row r="4364" spans="2:15" s="7" customFormat="1" hidden="1" outlineLevel="1" x14ac:dyDescent="0.15">
      <c r="B4364" s="20" t="s">
        <v>38</v>
      </c>
      <c r="C4364" s="21" t="s">
        <v>1241</v>
      </c>
      <c r="D4364" s="21" t="s">
        <v>1087</v>
      </c>
      <c r="E4364" s="21">
        <v>0</v>
      </c>
      <c r="F4364" s="21" t="s">
        <v>350</v>
      </c>
      <c r="G4364" s="22" t="s">
        <v>1086</v>
      </c>
      <c r="J4364" s="7" t="s">
        <v>347</v>
      </c>
      <c r="K4364" s="7" t="s">
        <v>348</v>
      </c>
      <c r="L4364" s="7" t="s">
        <v>349</v>
      </c>
      <c r="M4364" s="7" t="s">
        <v>349</v>
      </c>
      <c r="N4364" s="7">
        <v>1314</v>
      </c>
      <c r="O4364" s="7">
        <v>18</v>
      </c>
    </row>
    <row r="4365" spans="2:15" s="7" customFormat="1" hidden="1" outlineLevel="1" x14ac:dyDescent="0.15">
      <c r="B4365" s="20" t="s">
        <v>100</v>
      </c>
      <c r="C4365" s="21" t="s">
        <v>1376</v>
      </c>
      <c r="D4365" s="21" t="s">
        <v>1211</v>
      </c>
      <c r="E4365" s="21">
        <v>0</v>
      </c>
      <c r="F4365" s="21" t="s">
        <v>350</v>
      </c>
      <c r="G4365" s="22" t="s">
        <v>1377</v>
      </c>
      <c r="J4365" s="7" t="s">
        <v>347</v>
      </c>
      <c r="K4365" s="7" t="s">
        <v>348</v>
      </c>
      <c r="L4365" s="7" t="s">
        <v>349</v>
      </c>
      <c r="M4365" s="7" t="s">
        <v>349</v>
      </c>
      <c r="N4365" s="7">
        <v>1303</v>
      </c>
      <c r="O4365" s="7">
        <v>16</v>
      </c>
    </row>
    <row r="4366" spans="2:15" s="7" customFormat="1" hidden="1" outlineLevel="1" x14ac:dyDescent="0.15">
      <c r="B4366" s="20" t="s">
        <v>39</v>
      </c>
      <c r="C4366" s="21" t="s">
        <v>1242</v>
      </c>
      <c r="D4366" s="21" t="s">
        <v>1169</v>
      </c>
      <c r="E4366" s="21">
        <v>0</v>
      </c>
      <c r="F4366" s="21" t="s">
        <v>350</v>
      </c>
      <c r="G4366" s="22" t="s">
        <v>1243</v>
      </c>
      <c r="J4366" s="7" t="s">
        <v>347</v>
      </c>
      <c r="K4366" s="7" t="s">
        <v>348</v>
      </c>
      <c r="L4366" s="7" t="s">
        <v>349</v>
      </c>
      <c r="M4366" s="7" t="s">
        <v>349</v>
      </c>
      <c r="N4366" s="7">
        <v>1305</v>
      </c>
      <c r="O4366" s="7">
        <v>32</v>
      </c>
    </row>
    <row r="4367" spans="2:15" s="7" customFormat="1" hidden="1" outlineLevel="1" x14ac:dyDescent="0.15">
      <c r="B4367" s="20" t="s">
        <v>263</v>
      </c>
      <c r="C4367" s="21" t="s">
        <v>1378</v>
      </c>
      <c r="D4367" s="21" t="s">
        <v>1169</v>
      </c>
      <c r="E4367" s="21">
        <v>0</v>
      </c>
      <c r="F4367" s="21" t="s">
        <v>350</v>
      </c>
      <c r="G4367" s="22" t="s">
        <v>1379</v>
      </c>
      <c r="J4367" s="7" t="s">
        <v>347</v>
      </c>
      <c r="K4367" s="7" t="s">
        <v>348</v>
      </c>
      <c r="L4367" s="7" t="s">
        <v>349</v>
      </c>
      <c r="M4367" s="7" t="s">
        <v>349</v>
      </c>
      <c r="N4367" s="7">
        <v>2409</v>
      </c>
      <c r="O4367" s="7">
        <v>32</v>
      </c>
    </row>
    <row r="4368" spans="2:15" s="7" customFormat="1" hidden="1" outlineLevel="1" x14ac:dyDescent="0.15">
      <c r="B4368" s="20" t="s">
        <v>102</v>
      </c>
      <c r="C4368" s="21" t="s">
        <v>1380</v>
      </c>
      <c r="D4368" s="21" t="s">
        <v>1169</v>
      </c>
      <c r="E4368" s="21">
        <v>0</v>
      </c>
      <c r="F4368" s="21" t="s">
        <v>350</v>
      </c>
      <c r="G4368" s="22" t="s">
        <v>1381</v>
      </c>
      <c r="J4368" s="7" t="s">
        <v>347</v>
      </c>
      <c r="K4368" s="7" t="s">
        <v>348</v>
      </c>
      <c r="L4368" s="7" t="s">
        <v>349</v>
      </c>
      <c r="M4368" s="7" t="s">
        <v>349</v>
      </c>
      <c r="N4368" s="7">
        <v>2813</v>
      </c>
      <c r="O4368" s="7">
        <v>32</v>
      </c>
    </row>
    <row r="4369" spans="2:15" s="7" customFormat="1" hidden="1" outlineLevel="1" x14ac:dyDescent="0.15">
      <c r="B4369" s="20" t="s">
        <v>103</v>
      </c>
      <c r="C4369" s="21" t="s">
        <v>1382</v>
      </c>
      <c r="D4369" s="21" t="s">
        <v>1169</v>
      </c>
      <c r="E4369" s="21">
        <v>0</v>
      </c>
      <c r="F4369" s="21" t="s">
        <v>350</v>
      </c>
      <c r="G4369" s="22"/>
      <c r="J4369" s="7" t="s">
        <v>347</v>
      </c>
      <c r="K4369" s="7" t="s">
        <v>348</v>
      </c>
      <c r="L4369" s="7" t="s">
        <v>349</v>
      </c>
      <c r="M4369" s="7" t="s">
        <v>349</v>
      </c>
      <c r="N4369" s="7">
        <v>1717</v>
      </c>
      <c r="O4369" s="7">
        <v>32</v>
      </c>
    </row>
    <row r="4370" spans="2:15" s="7" customFormat="1" hidden="1" outlineLevel="1" x14ac:dyDescent="0.15">
      <c r="B4370" s="20" t="s">
        <v>104</v>
      </c>
      <c r="C4370" s="21" t="s">
        <v>1383</v>
      </c>
      <c r="D4370" s="21" t="s">
        <v>1169</v>
      </c>
      <c r="E4370" s="21">
        <v>0</v>
      </c>
      <c r="F4370" s="21" t="s">
        <v>350</v>
      </c>
      <c r="G4370" s="22" t="s">
        <v>1384</v>
      </c>
      <c r="J4370" s="7" t="s">
        <v>347</v>
      </c>
      <c r="K4370" s="7" t="s">
        <v>348</v>
      </c>
      <c r="L4370" s="7" t="s">
        <v>349</v>
      </c>
      <c r="M4370" s="7" t="s">
        <v>349</v>
      </c>
      <c r="N4370" s="7">
        <v>2016</v>
      </c>
      <c r="O4370" s="7">
        <v>32</v>
      </c>
    </row>
    <row r="4371" spans="2:15" s="7" customFormat="1" hidden="1" outlineLevel="1" x14ac:dyDescent="0.15">
      <c r="B4371" s="20" t="s">
        <v>105</v>
      </c>
      <c r="C4371" s="21" t="s">
        <v>1385</v>
      </c>
      <c r="D4371" s="21" t="s">
        <v>1169</v>
      </c>
      <c r="E4371" s="21">
        <v>0</v>
      </c>
      <c r="F4371" s="21" t="s">
        <v>350</v>
      </c>
      <c r="G4371" s="22" t="s">
        <v>1564</v>
      </c>
      <c r="J4371" s="7" t="s">
        <v>347</v>
      </c>
      <c r="K4371" s="7" t="s">
        <v>348</v>
      </c>
      <c r="L4371" s="7" t="s">
        <v>349</v>
      </c>
      <c r="M4371" s="7" t="s">
        <v>349</v>
      </c>
      <c r="N4371" s="7">
        <v>2921</v>
      </c>
      <c r="O4371" s="7">
        <v>32</v>
      </c>
    </row>
    <row r="4372" spans="2:15" s="7" customFormat="1" hidden="1" outlineLevel="1" x14ac:dyDescent="0.15">
      <c r="B4372" s="20" t="s">
        <v>106</v>
      </c>
      <c r="C4372" s="21" t="s">
        <v>1386</v>
      </c>
      <c r="D4372" s="21" t="s">
        <v>1169</v>
      </c>
      <c r="E4372" s="21">
        <v>0</v>
      </c>
      <c r="F4372" s="21" t="s">
        <v>350</v>
      </c>
      <c r="G4372" s="22" t="s">
        <v>1387</v>
      </c>
      <c r="J4372" s="7" t="s">
        <v>347</v>
      </c>
      <c r="K4372" s="7" t="s">
        <v>348</v>
      </c>
      <c r="L4372" s="7" t="s">
        <v>349</v>
      </c>
      <c r="M4372" s="7" t="s">
        <v>349</v>
      </c>
      <c r="N4372" s="7">
        <v>2347</v>
      </c>
      <c r="O4372" s="7">
        <v>32</v>
      </c>
    </row>
    <row r="4373" spans="2:15" s="7" customFormat="1" hidden="1" outlineLevel="1" x14ac:dyDescent="0.15">
      <c r="B4373" s="20" t="s">
        <v>107</v>
      </c>
      <c r="C4373" s="21" t="s">
        <v>1388</v>
      </c>
      <c r="D4373" s="21" t="s">
        <v>1169</v>
      </c>
      <c r="E4373" s="21">
        <v>0</v>
      </c>
      <c r="F4373" s="21" t="s">
        <v>350</v>
      </c>
      <c r="G4373" s="22" t="s">
        <v>1389</v>
      </c>
      <c r="J4373" s="7" t="s">
        <v>347</v>
      </c>
      <c r="K4373" s="7" t="s">
        <v>348</v>
      </c>
      <c r="L4373" s="7" t="s">
        <v>349</v>
      </c>
      <c r="M4373" s="7" t="s">
        <v>349</v>
      </c>
      <c r="N4373" s="7">
        <v>1952</v>
      </c>
      <c r="O4373" s="7">
        <v>32</v>
      </c>
    </row>
    <row r="4374" spans="2:15" s="7" customFormat="1" hidden="1" outlineLevel="1" x14ac:dyDescent="0.15">
      <c r="B4374" s="20" t="s">
        <v>108</v>
      </c>
      <c r="C4374" s="21" t="s">
        <v>1390</v>
      </c>
      <c r="D4374" s="21" t="s">
        <v>1169</v>
      </c>
      <c r="E4374" s="21">
        <v>0</v>
      </c>
      <c r="F4374" s="21" t="s">
        <v>350</v>
      </c>
      <c r="G4374" s="22" t="s">
        <v>1391</v>
      </c>
      <c r="J4374" s="7" t="s">
        <v>347</v>
      </c>
      <c r="K4374" s="7" t="s">
        <v>348</v>
      </c>
      <c r="L4374" s="7" t="s">
        <v>349</v>
      </c>
      <c r="M4374" s="7" t="s">
        <v>349</v>
      </c>
      <c r="N4374" s="7">
        <v>2349</v>
      </c>
      <c r="O4374" s="7">
        <v>32</v>
      </c>
    </row>
    <row r="4375" spans="2:15" s="7" customFormat="1" hidden="1" outlineLevel="1" x14ac:dyDescent="0.15">
      <c r="B4375" s="20" t="s">
        <v>1801</v>
      </c>
      <c r="C4375" s="21" t="s">
        <v>1809</v>
      </c>
      <c r="D4375" s="21" t="s">
        <v>1169</v>
      </c>
      <c r="E4375" s="21">
        <v>0</v>
      </c>
      <c r="F4375" s="21"/>
      <c r="G4375" s="22"/>
    </row>
    <row r="4376" spans="2:15" s="7" customFormat="1" hidden="1" outlineLevel="1" x14ac:dyDescent="0.15">
      <c r="B4376" s="20" t="s">
        <v>1802</v>
      </c>
      <c r="C4376" s="21" t="s">
        <v>1810</v>
      </c>
      <c r="D4376" s="21" t="s">
        <v>1169</v>
      </c>
      <c r="E4376" s="21">
        <v>0</v>
      </c>
      <c r="F4376" s="21"/>
      <c r="G4376" s="22"/>
    </row>
    <row r="4377" spans="2:15" s="7" customFormat="1" hidden="1" outlineLevel="1" x14ac:dyDescent="0.15">
      <c r="B4377" s="20" t="s">
        <v>1803</v>
      </c>
      <c r="C4377" s="21" t="s">
        <v>1811</v>
      </c>
      <c r="D4377" s="21" t="s">
        <v>1169</v>
      </c>
      <c r="E4377" s="21">
        <v>0</v>
      </c>
      <c r="F4377" s="21"/>
      <c r="G4377" s="22"/>
    </row>
    <row r="4378" spans="2:15" s="7" customFormat="1" hidden="1" outlineLevel="1" x14ac:dyDescent="0.15">
      <c r="B4378" s="20" t="s">
        <v>1804</v>
      </c>
      <c r="C4378" s="21" t="s">
        <v>1812</v>
      </c>
      <c r="D4378" s="21" t="s">
        <v>1169</v>
      </c>
      <c r="E4378" s="21">
        <v>0</v>
      </c>
      <c r="F4378" s="21"/>
      <c r="G4378" s="22"/>
    </row>
    <row r="4379" spans="2:15" s="7" customFormat="1" hidden="1" outlineLevel="1" x14ac:dyDescent="0.15">
      <c r="B4379" s="20" t="s">
        <v>258</v>
      </c>
      <c r="C4379" s="21" t="s">
        <v>1395</v>
      </c>
      <c r="D4379" s="21" t="s">
        <v>1172</v>
      </c>
      <c r="E4379" s="21">
        <v>0</v>
      </c>
      <c r="F4379" s="21" t="s">
        <v>350</v>
      </c>
      <c r="G4379" s="22"/>
      <c r="J4379" s="7" t="s">
        <v>347</v>
      </c>
      <c r="K4379" s="7" t="s">
        <v>348</v>
      </c>
      <c r="L4379" s="7" t="s">
        <v>349</v>
      </c>
      <c r="M4379" s="7" t="s">
        <v>349</v>
      </c>
      <c r="N4379" s="7">
        <v>2892</v>
      </c>
      <c r="O4379" s="7">
        <v>18</v>
      </c>
    </row>
    <row r="4380" spans="2:15" s="7" customFormat="1" hidden="1" outlineLevel="1" x14ac:dyDescent="0.15">
      <c r="B4380" s="20" t="s">
        <v>1805</v>
      </c>
      <c r="C4380" s="21" t="s">
        <v>1813</v>
      </c>
      <c r="D4380" s="21" t="s">
        <v>1169</v>
      </c>
      <c r="E4380" s="21">
        <v>0</v>
      </c>
      <c r="F4380" s="21" t="s">
        <v>350</v>
      </c>
      <c r="G4380" s="22"/>
    </row>
    <row r="4381" spans="2:15" s="7" customFormat="1" hidden="1" outlineLevel="1" x14ac:dyDescent="0.15">
      <c r="B4381" s="20" t="s">
        <v>259</v>
      </c>
      <c r="C4381" s="21" t="s">
        <v>1392</v>
      </c>
      <c r="D4381" s="21" t="s">
        <v>211</v>
      </c>
      <c r="E4381" s="21">
        <v>0</v>
      </c>
      <c r="F4381" s="21" t="s">
        <v>366</v>
      </c>
      <c r="G4381" s="22"/>
      <c r="J4381" s="7" t="s">
        <v>237</v>
      </c>
      <c r="K4381" s="7" t="s">
        <v>238</v>
      </c>
      <c r="L4381" s="7" t="s">
        <v>2048</v>
      </c>
      <c r="M4381" s="7" t="s">
        <v>211</v>
      </c>
      <c r="N4381" s="7">
        <v>2018</v>
      </c>
      <c r="O4381" s="7">
        <v>32</v>
      </c>
    </row>
    <row r="4382" spans="2:15" s="7" customFormat="1" hidden="1" outlineLevel="1" x14ac:dyDescent="0.15">
      <c r="B4382" s="20" t="s">
        <v>266</v>
      </c>
      <c r="C4382" s="18" t="s">
        <v>1398</v>
      </c>
      <c r="D4382" s="18" t="s">
        <v>1403</v>
      </c>
      <c r="E4382" s="18" t="s">
        <v>1072</v>
      </c>
      <c r="F4382" s="18" t="s">
        <v>366</v>
      </c>
      <c r="G4382" s="19"/>
      <c r="J4382" s="7" t="s">
        <v>354</v>
      </c>
      <c r="K4382" s="7" t="s">
        <v>355</v>
      </c>
      <c r="L4382" s="7" t="s">
        <v>2049</v>
      </c>
      <c r="M4382" s="7" t="s">
        <v>354</v>
      </c>
      <c r="N4382" s="7">
        <v>1443</v>
      </c>
      <c r="O4382" s="7">
        <v>2</v>
      </c>
    </row>
    <row r="4383" spans="2:15" s="7" customFormat="1" hidden="1" outlineLevel="1" x14ac:dyDescent="0.15">
      <c r="B4383" s="17" t="s">
        <v>2046</v>
      </c>
      <c r="C4383" s="18" t="s">
        <v>1566</v>
      </c>
      <c r="D4383" s="18" t="s">
        <v>211</v>
      </c>
      <c r="E4383" s="18">
        <v>0</v>
      </c>
      <c r="F4383" s="18"/>
      <c r="G4383" s="19" t="s">
        <v>1567</v>
      </c>
      <c r="J4383" s="7" t="s">
        <v>237</v>
      </c>
      <c r="K4383" s="7" t="s">
        <v>238</v>
      </c>
      <c r="L4383" s="7" t="s">
        <v>2048</v>
      </c>
      <c r="M4383" s="7" t="s">
        <v>211</v>
      </c>
      <c r="N4383" s="7">
        <v>3169</v>
      </c>
      <c r="O4383" s="7">
        <v>32</v>
      </c>
    </row>
    <row r="4384" spans="2:15" s="7" customFormat="1" hidden="1" outlineLevel="1" x14ac:dyDescent="0.15">
      <c r="B4384" s="20" t="s">
        <v>268</v>
      </c>
      <c r="C4384" s="21" t="s">
        <v>1568</v>
      </c>
      <c r="D4384" s="21" t="s">
        <v>211</v>
      </c>
      <c r="E4384" s="21">
        <v>0</v>
      </c>
      <c r="F4384" s="21"/>
      <c r="G4384" s="22" t="s">
        <v>1399</v>
      </c>
      <c r="J4384" s="7" t="s">
        <v>237</v>
      </c>
      <c r="K4384" s="7" t="s">
        <v>238</v>
      </c>
      <c r="L4384" s="7" t="s">
        <v>2048</v>
      </c>
      <c r="M4384" s="7" t="s">
        <v>211</v>
      </c>
      <c r="N4384" s="7">
        <v>3168</v>
      </c>
      <c r="O4384" s="7">
        <v>32</v>
      </c>
    </row>
    <row r="4385" spans="1:8" s="7" customFormat="1" hidden="1" outlineLevel="1" x14ac:dyDescent="0.15">
      <c r="B4385" s="20" t="s">
        <v>1806</v>
      </c>
      <c r="C4385" s="21" t="s">
        <v>1814</v>
      </c>
      <c r="D4385" s="21" t="s">
        <v>1345</v>
      </c>
      <c r="E4385" s="21">
        <v>0</v>
      </c>
      <c r="F4385" s="21" t="s">
        <v>350</v>
      </c>
      <c r="G4385" s="22" t="s">
        <v>1815</v>
      </c>
    </row>
    <row r="4386" spans="1:8" s="7" customFormat="1" hidden="1" outlineLevel="1" x14ac:dyDescent="0.15">
      <c r="B4386" s="20" t="s">
        <v>1798</v>
      </c>
      <c r="C4386" s="21" t="s">
        <v>1942</v>
      </c>
      <c r="D4386" s="21" t="s">
        <v>1287</v>
      </c>
      <c r="E4386" s="21" t="s">
        <v>1072</v>
      </c>
      <c r="F4386" s="21"/>
      <c r="G4386" s="22"/>
    </row>
    <row r="4387" spans="1:8" s="7" customFormat="1" hidden="1" outlineLevel="1" x14ac:dyDescent="0.15">
      <c r="B4387" s="153" t="s">
        <v>1959</v>
      </c>
      <c r="C4387" s="21" t="s">
        <v>1992</v>
      </c>
      <c r="D4387" s="21" t="s">
        <v>1087</v>
      </c>
      <c r="E4387" s="21">
        <v>0</v>
      </c>
      <c r="F4387" s="21" t="s">
        <v>350</v>
      </c>
      <c r="G4387" s="22"/>
    </row>
    <row r="4388" spans="1:8" s="7" customFormat="1" hidden="1" outlineLevel="1" x14ac:dyDescent="0.15">
      <c r="B4388" s="153" t="s">
        <v>1960</v>
      </c>
      <c r="C4388" s="21" t="s">
        <v>1993</v>
      </c>
      <c r="D4388" s="21" t="s">
        <v>1169</v>
      </c>
      <c r="E4388" s="21">
        <v>0</v>
      </c>
      <c r="F4388" s="21" t="s">
        <v>350</v>
      </c>
      <c r="G4388" s="22"/>
    </row>
    <row r="4389" spans="1:8" s="7" customFormat="1" ht="16.5" hidden="1" customHeight="1" outlineLevel="1" thickBot="1" x14ac:dyDescent="0.2">
      <c r="A4389" s="2"/>
      <c r="B4389" s="24"/>
      <c r="C4389" s="9"/>
      <c r="D4389" s="9"/>
      <c r="E4389" s="9"/>
      <c r="F4389" s="9"/>
      <c r="G4389" s="11"/>
      <c r="H4389" s="107"/>
    </row>
    <row r="4390" spans="1:8" s="7" customFormat="1" hidden="1" outlineLevel="1" x14ac:dyDescent="0.15">
      <c r="A4390" s="2"/>
      <c r="B4390" s="346" t="s">
        <v>15</v>
      </c>
      <c r="C4390" s="347"/>
      <c r="D4390" s="347"/>
      <c r="E4390" s="347"/>
      <c r="F4390" s="347"/>
      <c r="G4390" s="348"/>
      <c r="H4390" s="107"/>
    </row>
    <row r="4391" spans="1:8" s="7" customFormat="1" hidden="1" outlineLevel="1" x14ac:dyDescent="0.15">
      <c r="A4391" s="2" t="s">
        <v>62</v>
      </c>
      <c r="B4391" s="20">
        <v>1</v>
      </c>
      <c r="C4391" s="176" t="s">
        <v>422</v>
      </c>
      <c r="D4391" s="176" t="s">
        <v>426</v>
      </c>
      <c r="E4391" s="176" t="s">
        <v>111</v>
      </c>
      <c r="F4391" s="176" t="s">
        <v>427</v>
      </c>
      <c r="G4391" s="20"/>
    </row>
    <row r="4392" spans="1:8" collapsed="1" x14ac:dyDescent="0.15"/>
  </sheetData>
  <mergeCells count="130">
    <mergeCell ref="B845:G845"/>
    <mergeCell ref="B619:G619"/>
    <mergeCell ref="B653:G653"/>
    <mergeCell ref="B675:G675"/>
    <mergeCell ref="B699:G699"/>
    <mergeCell ref="B728:G728"/>
    <mergeCell ref="B1010:G1010"/>
    <mergeCell ref="B1046:G1046"/>
    <mergeCell ref="B1074:G1074"/>
    <mergeCell ref="B60:G60"/>
    <mergeCell ref="B123:G123"/>
    <mergeCell ref="B170:G170"/>
    <mergeCell ref="B217:G217"/>
    <mergeCell ref="B559:G559"/>
    <mergeCell ref="B752:G752"/>
    <mergeCell ref="B773:G773"/>
    <mergeCell ref="B796:G796"/>
    <mergeCell ref="B821:G821"/>
    <mergeCell ref="B868:G868"/>
    <mergeCell ref="B896:G896"/>
    <mergeCell ref="B922:G922"/>
    <mergeCell ref="B958:G958"/>
    <mergeCell ref="B984:G984"/>
    <mergeCell ref="B1384:G1384"/>
    <mergeCell ref="B1417:G1417"/>
    <mergeCell ref="B1451:G1451"/>
    <mergeCell ref="B1476:G1476"/>
    <mergeCell ref="B1094:G1094"/>
    <mergeCell ref="B1114:G1114"/>
    <mergeCell ref="B1498:G1498"/>
    <mergeCell ref="B1146:G1146"/>
    <mergeCell ref="B1183:G1183"/>
    <mergeCell ref="B1250:G1250"/>
    <mergeCell ref="B1317:G1317"/>
    <mergeCell ref="B1351:G1351"/>
    <mergeCell ref="B1993:G1993"/>
    <mergeCell ref="B1705:G1705"/>
    <mergeCell ref="B2006:G2006"/>
    <mergeCell ref="B2019:G2019"/>
    <mergeCell ref="B2034:G2034"/>
    <mergeCell ref="B2074:G2074"/>
    <mergeCell ref="B1523:G1523"/>
    <mergeCell ref="B1904:G1904"/>
    <mergeCell ref="B1930:G1930"/>
    <mergeCell ref="B1959:G1959"/>
    <mergeCell ref="B1979:G1979"/>
    <mergeCell ref="B1563:G1563"/>
    <mergeCell ref="B1580:G1580"/>
    <mergeCell ref="B1615:G1615"/>
    <mergeCell ref="B1649:G1649"/>
    <mergeCell ref="B1678:G1678"/>
    <mergeCell ref="B1741:G1741"/>
    <mergeCell ref="B1779:G1779"/>
    <mergeCell ref="B1826:G1826"/>
    <mergeCell ref="B1874:G1874"/>
    <mergeCell ref="B2354:G2354"/>
    <mergeCell ref="B2383:G2383"/>
    <mergeCell ref="B2414:G2414"/>
    <mergeCell ref="B2444:G2444"/>
    <mergeCell ref="B2477:G2477"/>
    <mergeCell ref="B2114:G2114"/>
    <mergeCell ref="B2208:G2208"/>
    <mergeCell ref="B2261:G2261"/>
    <mergeCell ref="B2289:G2289"/>
    <mergeCell ref="B2322:G2322"/>
    <mergeCell ref="B2650:G2650"/>
    <mergeCell ref="B2684:G2684"/>
    <mergeCell ref="B2725:G2725"/>
    <mergeCell ref="B2743:G2743"/>
    <mergeCell ref="B2760:G2760"/>
    <mergeCell ref="B2514:G2514"/>
    <mergeCell ref="B2549:G2549"/>
    <mergeCell ref="B2586:G2586"/>
    <mergeCell ref="B2604:G2604"/>
    <mergeCell ref="B2625:G2625"/>
    <mergeCell ref="B2945:G2945"/>
    <mergeCell ref="B2965:G2965"/>
    <mergeCell ref="B2986:G2986"/>
    <mergeCell ref="B3009:G3009"/>
    <mergeCell ref="B3030:G3030"/>
    <mergeCell ref="B2777:G2777"/>
    <mergeCell ref="B2814:G2814"/>
    <mergeCell ref="B2852:G2852"/>
    <mergeCell ref="B2888:G2888"/>
    <mergeCell ref="B2925:G2925"/>
    <mergeCell ref="B3185:G3185"/>
    <mergeCell ref="B3206:G3206"/>
    <mergeCell ref="B3225:G3225"/>
    <mergeCell ref="B3256:G3256"/>
    <mergeCell ref="B3294:G3294"/>
    <mergeCell ref="B3052:G3052"/>
    <mergeCell ref="B3088:G3088"/>
    <mergeCell ref="B3124:G3124"/>
    <mergeCell ref="B3134:G3134"/>
    <mergeCell ref="B3159:G3159"/>
    <mergeCell ref="B3510:G3510"/>
    <mergeCell ref="B3559:G3559"/>
    <mergeCell ref="B3593:G3593"/>
    <mergeCell ref="B3631:G3631"/>
    <mergeCell ref="B3672:G3672"/>
    <mergeCell ref="B3332:G3332"/>
    <mergeCell ref="B3362:G3362"/>
    <mergeCell ref="B3393:G3393"/>
    <mergeCell ref="B3423:G3423"/>
    <mergeCell ref="B3452:G3452"/>
    <mergeCell ref="B3792:G3792"/>
    <mergeCell ref="B3814:G3814"/>
    <mergeCell ref="B3837:G3837"/>
    <mergeCell ref="B3871:G3871"/>
    <mergeCell ref="B3899:G3899"/>
    <mergeCell ref="B3685:G3685"/>
    <mergeCell ref="B3698:G3698"/>
    <mergeCell ref="B3722:G3722"/>
    <mergeCell ref="B3738:G3738"/>
    <mergeCell ref="B3753:G3753"/>
    <mergeCell ref="B4181:G4181"/>
    <mergeCell ref="B4266:G4266"/>
    <mergeCell ref="B4047:G4047"/>
    <mergeCell ref="B4070:G4070"/>
    <mergeCell ref="B4090:G4090"/>
    <mergeCell ref="B4098:G4098"/>
    <mergeCell ref="B4107:G4107"/>
    <mergeCell ref="B3924:G3924"/>
    <mergeCell ref="B3952:G3952"/>
    <mergeCell ref="B3982:G3982"/>
    <mergeCell ref="B4003:G4003"/>
    <mergeCell ref="B4025:G4025"/>
    <mergeCell ref="B4390:G4390"/>
    <mergeCell ref="B4301:G4301"/>
    <mergeCell ref="B4331:G4331"/>
  </mergeCells>
  <phoneticPr fontId="4" type="noConversion"/>
  <conditionalFormatting sqref="C1132:C1133">
    <cfRule type="duplicateValues" dxfId="575" priority="419"/>
  </conditionalFormatting>
  <conditionalFormatting sqref="C1134">
    <cfRule type="duplicateValues" dxfId="574" priority="418"/>
  </conditionalFormatting>
  <conditionalFormatting sqref="C1139:C1140">
    <cfRule type="duplicateValues" dxfId="573" priority="417"/>
  </conditionalFormatting>
  <conditionalFormatting sqref="C1141:C1143">
    <cfRule type="duplicateValues" dxfId="572" priority="416"/>
  </conditionalFormatting>
  <conditionalFormatting sqref="C1136">
    <cfRule type="duplicateValues" dxfId="571" priority="415"/>
  </conditionalFormatting>
  <conditionalFormatting sqref="C1135 C1137:C1138">
    <cfRule type="duplicateValues" dxfId="570" priority="420"/>
  </conditionalFormatting>
  <conditionalFormatting sqref="B1140:B1141">
    <cfRule type="duplicateValues" dxfId="569" priority="414"/>
  </conditionalFormatting>
  <conditionalFormatting sqref="B1142:B1144">
    <cfRule type="duplicateValues" dxfId="568" priority="413"/>
  </conditionalFormatting>
  <conditionalFormatting sqref="A1142:A1143">
    <cfRule type="duplicateValues" dxfId="567" priority="412"/>
  </conditionalFormatting>
  <conditionalFormatting sqref="A1144:A1146">
    <cfRule type="duplicateValues" dxfId="566" priority="411"/>
  </conditionalFormatting>
  <conditionalFormatting sqref="A2321:A2322">
    <cfRule type="duplicateValues" dxfId="565" priority="421"/>
  </conditionalFormatting>
  <conditionalFormatting sqref="A2353:A2354">
    <cfRule type="duplicateValues" dxfId="564" priority="410"/>
  </conditionalFormatting>
  <conditionalFormatting sqref="A2382:A2383">
    <cfRule type="duplicateValues" dxfId="563" priority="409"/>
  </conditionalFormatting>
  <conditionalFormatting sqref="A2413:A2414">
    <cfRule type="duplicateValues" dxfId="562" priority="408"/>
  </conditionalFormatting>
  <conditionalFormatting sqref="A2477">
    <cfRule type="duplicateValues" dxfId="561" priority="407"/>
  </conditionalFormatting>
  <conditionalFormatting sqref="A2514">
    <cfRule type="duplicateValues" dxfId="560" priority="406"/>
  </conditionalFormatting>
  <conditionalFormatting sqref="A2548:A2549">
    <cfRule type="duplicateValues" dxfId="559" priority="405"/>
  </conditionalFormatting>
  <conditionalFormatting sqref="E2296">
    <cfRule type="duplicateValues" dxfId="558" priority="404"/>
  </conditionalFormatting>
  <conditionalFormatting sqref="E2325">
    <cfRule type="duplicateValues" dxfId="557" priority="403"/>
  </conditionalFormatting>
  <conditionalFormatting sqref="E2357">
    <cfRule type="duplicateValues" dxfId="556" priority="402"/>
  </conditionalFormatting>
  <conditionalFormatting sqref="E2386">
    <cfRule type="duplicateValues" dxfId="555" priority="401"/>
  </conditionalFormatting>
  <conditionalFormatting sqref="E2447">
    <cfRule type="duplicateValues" dxfId="554" priority="400"/>
  </conditionalFormatting>
  <conditionalFormatting sqref="E2480">
    <cfRule type="duplicateValues" dxfId="553" priority="399"/>
  </conditionalFormatting>
  <conditionalFormatting sqref="E2517">
    <cfRule type="duplicateValues" dxfId="552" priority="398"/>
  </conditionalFormatting>
  <conditionalFormatting sqref="E2552">
    <cfRule type="duplicateValues" dxfId="551" priority="397"/>
  </conditionalFormatting>
  <conditionalFormatting sqref="B2347">
    <cfRule type="duplicateValues" dxfId="550" priority="395"/>
  </conditionalFormatting>
  <conditionalFormatting sqref="B2411:B2412">
    <cfRule type="duplicateValues" dxfId="549" priority="394"/>
  </conditionalFormatting>
  <conditionalFormatting sqref="B2410">
    <cfRule type="duplicateValues" dxfId="548" priority="393"/>
  </conditionalFormatting>
  <conditionalFormatting sqref="B2546:B2547">
    <cfRule type="duplicateValues" dxfId="547" priority="422"/>
  </conditionalFormatting>
  <conditionalFormatting sqref="A2585:A2586">
    <cfRule type="duplicateValues" dxfId="546" priority="392"/>
  </conditionalFormatting>
  <conditionalFormatting sqref="B3145">
    <cfRule type="duplicateValues" dxfId="545" priority="390"/>
    <cfRule type="duplicateValues" dxfId="544" priority="391"/>
  </conditionalFormatting>
  <conditionalFormatting sqref="B3144">
    <cfRule type="duplicateValues" dxfId="543" priority="388"/>
    <cfRule type="duplicateValues" dxfId="542" priority="389"/>
  </conditionalFormatting>
  <conditionalFormatting sqref="B3142:B3143">
    <cfRule type="duplicateValues" dxfId="541" priority="386"/>
    <cfRule type="duplicateValues" dxfId="540" priority="387"/>
  </conditionalFormatting>
  <conditionalFormatting sqref="B3236">
    <cfRule type="duplicateValues" dxfId="539" priority="384"/>
    <cfRule type="duplicateValues" dxfId="538" priority="385"/>
  </conditionalFormatting>
  <conditionalFormatting sqref="B3235">
    <cfRule type="duplicateValues" dxfId="537" priority="382"/>
    <cfRule type="duplicateValues" dxfId="536" priority="383"/>
  </conditionalFormatting>
  <conditionalFormatting sqref="B3233:B3234">
    <cfRule type="duplicateValues" dxfId="535" priority="380"/>
    <cfRule type="duplicateValues" dxfId="534" priority="381"/>
  </conditionalFormatting>
  <conditionalFormatting sqref="B3156 B3148">
    <cfRule type="duplicateValues" dxfId="533" priority="376"/>
    <cfRule type="duplicateValues" dxfId="532" priority="377"/>
  </conditionalFormatting>
  <conditionalFormatting sqref="B3155 B3157">
    <cfRule type="duplicateValues" dxfId="531" priority="378"/>
    <cfRule type="duplicateValues" dxfId="530" priority="379"/>
  </conditionalFormatting>
  <conditionalFormatting sqref="B3244:B3245">
    <cfRule type="duplicateValues" dxfId="529" priority="374"/>
    <cfRule type="duplicateValues" dxfId="528" priority="375"/>
  </conditionalFormatting>
  <conditionalFormatting sqref="B3246:B3247 B3249:B3250">
    <cfRule type="duplicateValues" dxfId="527" priority="372"/>
    <cfRule type="duplicateValues" dxfId="526" priority="373"/>
  </conditionalFormatting>
  <conditionalFormatting sqref="B3391">
    <cfRule type="duplicateValues" dxfId="525" priority="370"/>
    <cfRule type="duplicateValues" dxfId="524" priority="371"/>
  </conditionalFormatting>
  <conditionalFormatting sqref="B3060:B3086">
    <cfRule type="duplicateValues" dxfId="523" priority="369"/>
  </conditionalFormatting>
  <conditionalFormatting sqref="C3060:C3086">
    <cfRule type="duplicateValues" dxfId="522" priority="368"/>
  </conditionalFormatting>
  <conditionalFormatting sqref="B3751">
    <cfRule type="duplicateValues" dxfId="521" priority="367"/>
  </conditionalFormatting>
  <conditionalFormatting sqref="B3670">
    <cfRule type="duplicateValues" dxfId="520" priority="366"/>
  </conditionalFormatting>
  <conditionalFormatting sqref="B3589:B3590">
    <cfRule type="duplicateValues" dxfId="519" priority="365"/>
  </conditionalFormatting>
  <conditionalFormatting sqref="B3588">
    <cfRule type="duplicateValues" dxfId="518" priority="364"/>
  </conditionalFormatting>
  <conditionalFormatting sqref="B3214:B3216">
    <cfRule type="duplicateValues" dxfId="517" priority="362"/>
    <cfRule type="duplicateValues" dxfId="516" priority="363"/>
  </conditionalFormatting>
  <conditionalFormatting sqref="B3222">
    <cfRule type="duplicateValues" dxfId="515" priority="358"/>
    <cfRule type="duplicateValues" dxfId="514" priority="359"/>
  </conditionalFormatting>
  <conditionalFormatting sqref="B3223">
    <cfRule type="duplicateValues" dxfId="513" priority="360"/>
    <cfRule type="duplicateValues" dxfId="512" priority="361"/>
  </conditionalFormatting>
  <conditionalFormatting sqref="B3217">
    <cfRule type="duplicateValues" dxfId="511" priority="356"/>
    <cfRule type="duplicateValues" dxfId="510" priority="357"/>
  </conditionalFormatting>
  <conditionalFormatting sqref="B3666">
    <cfRule type="duplicateValues" dxfId="509" priority="352"/>
    <cfRule type="duplicateValues" dxfId="508" priority="353"/>
  </conditionalFormatting>
  <conditionalFormatting sqref="B3667">
    <cfRule type="duplicateValues" dxfId="507" priority="354"/>
    <cfRule type="duplicateValues" dxfId="506" priority="355"/>
  </conditionalFormatting>
  <conditionalFormatting sqref="B3662:B3663">
    <cfRule type="duplicateValues" dxfId="505" priority="351"/>
  </conditionalFormatting>
  <conditionalFormatting sqref="B3661">
    <cfRule type="duplicateValues" dxfId="504" priority="350"/>
  </conditionalFormatting>
  <conditionalFormatting sqref="B3628">
    <cfRule type="duplicateValues" dxfId="503" priority="346"/>
    <cfRule type="duplicateValues" dxfId="502" priority="347"/>
  </conditionalFormatting>
  <conditionalFormatting sqref="B3629">
    <cfRule type="duplicateValues" dxfId="501" priority="348"/>
    <cfRule type="duplicateValues" dxfId="500" priority="349"/>
  </conditionalFormatting>
  <conditionalFormatting sqref="B3624:B3625">
    <cfRule type="duplicateValues" dxfId="499" priority="345"/>
  </conditionalFormatting>
  <conditionalFormatting sqref="B3623">
    <cfRule type="duplicateValues" dxfId="498" priority="344"/>
  </conditionalFormatting>
  <conditionalFormatting sqref="B3591">
    <cfRule type="duplicateValues" dxfId="497" priority="343"/>
  </conditionalFormatting>
  <conditionalFormatting sqref="B3626">
    <cfRule type="duplicateValues" dxfId="496" priority="342"/>
  </conditionalFormatting>
  <conditionalFormatting sqref="B3664">
    <cfRule type="duplicateValues" dxfId="495" priority="341"/>
  </conditionalFormatting>
  <conditionalFormatting sqref="B2450:B2476">
    <cfRule type="duplicateValues" dxfId="494" priority="340"/>
  </conditionalFormatting>
  <conditionalFormatting sqref="B2520:B2545">
    <cfRule type="duplicateValues" dxfId="493" priority="339"/>
  </conditionalFormatting>
  <conditionalFormatting sqref="B2483:B2486 B2488:B2513">
    <cfRule type="duplicateValues" dxfId="492" priority="338"/>
  </conditionalFormatting>
  <conditionalFormatting sqref="B2487">
    <cfRule type="duplicateValues" dxfId="491" priority="337"/>
  </conditionalFormatting>
  <conditionalFormatting sqref="B2555:B2558 B2560:B2584">
    <cfRule type="duplicateValues" dxfId="490" priority="336"/>
  </conditionalFormatting>
  <conditionalFormatting sqref="B2559">
    <cfRule type="duplicateValues" dxfId="489" priority="335"/>
  </conditionalFormatting>
  <conditionalFormatting sqref="C1169:C1170">
    <cfRule type="duplicateValues" dxfId="488" priority="333"/>
  </conditionalFormatting>
  <conditionalFormatting sqref="C1171">
    <cfRule type="duplicateValues" dxfId="487" priority="332"/>
  </conditionalFormatting>
  <conditionalFormatting sqref="C1176:C1177">
    <cfRule type="duplicateValues" dxfId="486" priority="331"/>
  </conditionalFormatting>
  <conditionalFormatting sqref="C1178:C1180">
    <cfRule type="duplicateValues" dxfId="485" priority="330"/>
  </conditionalFormatting>
  <conditionalFormatting sqref="C1173">
    <cfRule type="duplicateValues" dxfId="484" priority="329"/>
  </conditionalFormatting>
  <conditionalFormatting sqref="C1172 C1174:C1175">
    <cfRule type="duplicateValues" dxfId="483" priority="334"/>
  </conditionalFormatting>
  <conditionalFormatting sqref="B1177:B1178">
    <cfRule type="duplicateValues" dxfId="482" priority="328"/>
  </conditionalFormatting>
  <conditionalFormatting sqref="B1179:B1181">
    <cfRule type="duplicateValues" dxfId="481" priority="327"/>
  </conditionalFormatting>
  <conditionalFormatting sqref="B878">
    <cfRule type="duplicateValues" dxfId="480" priority="325"/>
  </conditionalFormatting>
  <conditionalFormatting sqref="C878">
    <cfRule type="duplicateValues" dxfId="479" priority="326"/>
  </conditionalFormatting>
  <conditionalFormatting sqref="B879:B880">
    <cfRule type="duplicateValues" dxfId="478" priority="323"/>
  </conditionalFormatting>
  <conditionalFormatting sqref="C879:C880">
    <cfRule type="duplicateValues" dxfId="477" priority="324"/>
  </conditionalFormatting>
  <conditionalFormatting sqref="B711">
    <cfRule type="duplicateValues" dxfId="476" priority="321"/>
  </conditionalFormatting>
  <conditionalFormatting sqref="C711">
    <cfRule type="duplicateValues" dxfId="475" priority="322"/>
  </conditionalFormatting>
  <conditionalFormatting sqref="B2124:B2205">
    <cfRule type="duplicateValues" dxfId="474" priority="423"/>
  </conditionalFormatting>
  <conditionalFormatting sqref="C3857:C3858">
    <cfRule type="duplicateValues" dxfId="473" priority="319"/>
  </conditionalFormatting>
  <conditionalFormatting sqref="C3859">
    <cfRule type="duplicateValues" dxfId="472" priority="318"/>
  </conditionalFormatting>
  <conditionalFormatting sqref="C3864:C3865">
    <cfRule type="duplicateValues" dxfId="471" priority="317"/>
  </conditionalFormatting>
  <conditionalFormatting sqref="C3866:C3868">
    <cfRule type="duplicateValues" dxfId="470" priority="316"/>
  </conditionalFormatting>
  <conditionalFormatting sqref="C3861">
    <cfRule type="duplicateValues" dxfId="469" priority="315"/>
  </conditionalFormatting>
  <conditionalFormatting sqref="C3860 C3862:C3863">
    <cfRule type="duplicateValues" dxfId="468" priority="320"/>
  </conditionalFormatting>
  <conditionalFormatting sqref="B3865:B3866">
    <cfRule type="duplicateValues" dxfId="467" priority="314"/>
  </conditionalFormatting>
  <conditionalFormatting sqref="B3867:B3869">
    <cfRule type="duplicateValues" dxfId="466" priority="313"/>
  </conditionalFormatting>
  <conditionalFormatting sqref="A3867:A3868">
    <cfRule type="duplicateValues" dxfId="465" priority="312"/>
  </conditionalFormatting>
  <conditionalFormatting sqref="A3869:A3871">
    <cfRule type="duplicateValues" dxfId="464" priority="311"/>
  </conditionalFormatting>
  <conditionalFormatting sqref="B3096:B3122">
    <cfRule type="duplicateValues" dxfId="463" priority="310"/>
  </conditionalFormatting>
  <conditionalFormatting sqref="C3096:C3122">
    <cfRule type="duplicateValues" dxfId="462" priority="309"/>
  </conditionalFormatting>
  <conditionalFormatting sqref="E3958">
    <cfRule type="duplicateValues" dxfId="461" priority="308"/>
  </conditionalFormatting>
  <conditionalFormatting sqref="A3981:A3982">
    <cfRule type="duplicateValues" dxfId="460" priority="307"/>
  </conditionalFormatting>
  <conditionalFormatting sqref="E3971:E3972">
    <cfRule type="duplicateValues" dxfId="459" priority="305"/>
    <cfRule type="duplicateValues" dxfId="458" priority="306"/>
  </conditionalFormatting>
  <conditionalFormatting sqref="E3973">
    <cfRule type="duplicateValues" dxfId="457" priority="303"/>
    <cfRule type="duplicateValues" dxfId="456" priority="304"/>
  </conditionalFormatting>
  <conditionalFormatting sqref="E3977">
    <cfRule type="duplicateValues" dxfId="455" priority="301"/>
    <cfRule type="duplicateValues" dxfId="454" priority="302"/>
  </conditionalFormatting>
  <conditionalFormatting sqref="E3978 E3976">
    <cfRule type="duplicateValues" dxfId="453" priority="299"/>
    <cfRule type="duplicateValues" dxfId="452" priority="300"/>
  </conditionalFormatting>
  <conditionalFormatting sqref="G3963:G3980">
    <cfRule type="duplicateValues" dxfId="451" priority="297"/>
    <cfRule type="duplicateValues" dxfId="450" priority="298"/>
  </conditionalFormatting>
  <conditionalFormatting sqref="B3961">
    <cfRule type="duplicateValues" dxfId="449" priority="295"/>
    <cfRule type="duplicateValues" dxfId="448" priority="296"/>
  </conditionalFormatting>
  <conditionalFormatting sqref="B3962">
    <cfRule type="duplicateValues" dxfId="447" priority="293"/>
    <cfRule type="duplicateValues" dxfId="446" priority="294"/>
  </conditionalFormatting>
  <conditionalFormatting sqref="E3969">
    <cfRule type="duplicateValues" dxfId="445" priority="291"/>
    <cfRule type="duplicateValues" dxfId="444" priority="292"/>
  </conditionalFormatting>
  <conditionalFormatting sqref="E3970">
    <cfRule type="duplicateValues" dxfId="443" priority="289"/>
    <cfRule type="duplicateValues" dxfId="442" priority="290"/>
  </conditionalFormatting>
  <conditionalFormatting sqref="P3970:P3971">
    <cfRule type="duplicateValues" dxfId="441" priority="287"/>
    <cfRule type="duplicateValues" dxfId="440" priority="288"/>
  </conditionalFormatting>
  <conditionalFormatting sqref="P3972">
    <cfRule type="duplicateValues" dxfId="439" priority="285"/>
    <cfRule type="duplicateValues" dxfId="438" priority="286"/>
  </conditionalFormatting>
  <conditionalFormatting sqref="P3977 P3975">
    <cfRule type="duplicateValues" dxfId="437" priority="283"/>
    <cfRule type="duplicateValues" dxfId="436" priority="284"/>
  </conditionalFormatting>
  <conditionalFormatting sqref="P3968">
    <cfRule type="duplicateValues" dxfId="435" priority="281"/>
    <cfRule type="duplicateValues" dxfId="434" priority="282"/>
  </conditionalFormatting>
  <conditionalFormatting sqref="P3969">
    <cfRule type="duplicateValues" dxfId="433" priority="279"/>
    <cfRule type="duplicateValues" dxfId="432" priority="280"/>
  </conditionalFormatting>
  <conditionalFormatting sqref="B3171">
    <cfRule type="duplicateValues" dxfId="431" priority="277"/>
    <cfRule type="duplicateValues" dxfId="430" priority="278"/>
  </conditionalFormatting>
  <conditionalFormatting sqref="B3170">
    <cfRule type="duplicateValues" dxfId="429" priority="275"/>
    <cfRule type="duplicateValues" dxfId="428" priority="276"/>
  </conditionalFormatting>
  <conditionalFormatting sqref="B3167:B3169">
    <cfRule type="duplicateValues" dxfId="427" priority="273"/>
    <cfRule type="duplicateValues" dxfId="426" priority="274"/>
  </conditionalFormatting>
  <conditionalFormatting sqref="B3182 B3174">
    <cfRule type="duplicateValues" dxfId="425" priority="269"/>
    <cfRule type="duplicateValues" dxfId="424" priority="270"/>
  </conditionalFormatting>
  <conditionalFormatting sqref="B3181 B3183">
    <cfRule type="duplicateValues" dxfId="423" priority="271"/>
    <cfRule type="duplicateValues" dxfId="422" priority="272"/>
  </conditionalFormatting>
  <conditionalFormatting sqref="B3342">
    <cfRule type="duplicateValues" dxfId="421" priority="267"/>
    <cfRule type="duplicateValues" dxfId="420" priority="268"/>
  </conditionalFormatting>
  <conditionalFormatting sqref="B3341">
    <cfRule type="duplicateValues" dxfId="419" priority="265"/>
    <cfRule type="duplicateValues" dxfId="418" priority="266"/>
  </conditionalFormatting>
  <conditionalFormatting sqref="B3338:B3339">
    <cfRule type="duplicateValues" dxfId="417" priority="263"/>
    <cfRule type="duplicateValues" dxfId="416" priority="264"/>
  </conditionalFormatting>
  <conditionalFormatting sqref="B3350:B3351">
    <cfRule type="duplicateValues" dxfId="415" priority="261"/>
    <cfRule type="duplicateValues" dxfId="414" priority="262"/>
  </conditionalFormatting>
  <conditionalFormatting sqref="B3352:B3353 B3355:B3356">
    <cfRule type="duplicateValues" dxfId="413" priority="259"/>
    <cfRule type="duplicateValues" dxfId="412" priority="260"/>
  </conditionalFormatting>
  <conditionalFormatting sqref="B3340">
    <cfRule type="duplicateValues" dxfId="411" priority="257"/>
    <cfRule type="duplicateValues" dxfId="410" priority="258"/>
  </conditionalFormatting>
  <conditionalFormatting sqref="B3449">
    <cfRule type="duplicateValues" dxfId="409" priority="255"/>
    <cfRule type="duplicateValues" dxfId="408" priority="256"/>
  </conditionalFormatting>
  <conditionalFormatting sqref="B3450">
    <cfRule type="duplicateValues" dxfId="407" priority="253"/>
    <cfRule type="duplicateValues" dxfId="406" priority="254"/>
  </conditionalFormatting>
  <conditionalFormatting sqref="B3421">
    <cfRule type="duplicateValues" dxfId="405" priority="251"/>
    <cfRule type="duplicateValues" dxfId="404" priority="252"/>
  </conditionalFormatting>
  <conditionalFormatting sqref="B3201">
    <cfRule type="duplicateValues" dxfId="403" priority="249"/>
    <cfRule type="duplicateValues" dxfId="402" priority="250"/>
  </conditionalFormatting>
  <conditionalFormatting sqref="B3200">
    <cfRule type="duplicateValues" dxfId="401" priority="247"/>
    <cfRule type="duplicateValues" dxfId="400" priority="248"/>
  </conditionalFormatting>
  <conditionalFormatting sqref="A2443:A2444">
    <cfRule type="duplicateValues" dxfId="399" priority="246"/>
  </conditionalFormatting>
  <conditionalFormatting sqref="E2417">
    <cfRule type="duplicateValues" dxfId="398" priority="245"/>
  </conditionalFormatting>
  <conditionalFormatting sqref="B2441:B2442">
    <cfRule type="duplicateValues" dxfId="397" priority="244"/>
  </conditionalFormatting>
  <conditionalFormatting sqref="B2440">
    <cfRule type="duplicateValues" dxfId="396" priority="243"/>
  </conditionalFormatting>
  <conditionalFormatting sqref="A4003">
    <cfRule type="duplicateValues" dxfId="395" priority="242"/>
  </conditionalFormatting>
  <conditionalFormatting sqref="A4025">
    <cfRule type="duplicateValues" dxfId="394" priority="241"/>
  </conditionalFormatting>
  <conditionalFormatting sqref="A4047">
    <cfRule type="duplicateValues" dxfId="393" priority="240"/>
  </conditionalFormatting>
  <conditionalFormatting sqref="A4070">
    <cfRule type="duplicateValues" dxfId="392" priority="239"/>
  </conditionalFormatting>
  <conditionalFormatting sqref="A4090">
    <cfRule type="duplicateValues" dxfId="391" priority="238"/>
  </conditionalFormatting>
  <conditionalFormatting sqref="A4098">
    <cfRule type="duplicateValues" dxfId="390" priority="237"/>
  </conditionalFormatting>
  <conditionalFormatting sqref="A4107">
    <cfRule type="duplicateValues" dxfId="389" priority="236"/>
  </conditionalFormatting>
  <conditionalFormatting sqref="B1809:B1810">
    <cfRule type="duplicateValues" dxfId="388" priority="234"/>
  </conditionalFormatting>
  <conditionalFormatting sqref="B1809:B1810">
    <cfRule type="duplicateValues" dxfId="387" priority="235"/>
  </conditionalFormatting>
  <conditionalFormatting sqref="B1809:B1810">
    <cfRule type="duplicateValues" dxfId="386" priority="232"/>
  </conditionalFormatting>
  <conditionalFormatting sqref="B1809:B1810">
    <cfRule type="duplicateValues" dxfId="385" priority="233"/>
  </conditionalFormatting>
  <conditionalFormatting sqref="B1809:B1810">
    <cfRule type="duplicateValues" dxfId="384" priority="231"/>
  </conditionalFormatting>
  <conditionalFormatting sqref="B1811:B1815">
    <cfRule type="duplicateValues" dxfId="383" priority="229"/>
  </conditionalFormatting>
  <conditionalFormatting sqref="B1811:B1815">
    <cfRule type="duplicateValues" dxfId="382" priority="230"/>
  </conditionalFormatting>
  <conditionalFormatting sqref="B1811:B1815">
    <cfRule type="duplicateValues" dxfId="381" priority="227"/>
  </conditionalFormatting>
  <conditionalFormatting sqref="B1811:B1815">
    <cfRule type="duplicateValues" dxfId="380" priority="228"/>
  </conditionalFormatting>
  <conditionalFormatting sqref="B1811:B1815">
    <cfRule type="duplicateValues" dxfId="379" priority="226"/>
  </conditionalFormatting>
  <conditionalFormatting sqref="B1816:B1820">
    <cfRule type="duplicateValues" dxfId="378" priority="224"/>
  </conditionalFormatting>
  <conditionalFormatting sqref="B1816:B1820">
    <cfRule type="duplicateValues" dxfId="377" priority="225"/>
  </conditionalFormatting>
  <conditionalFormatting sqref="B1816:B1820">
    <cfRule type="duplicateValues" dxfId="376" priority="222"/>
  </conditionalFormatting>
  <conditionalFormatting sqref="B1816:B1820">
    <cfRule type="duplicateValues" dxfId="375" priority="223"/>
  </conditionalFormatting>
  <conditionalFormatting sqref="B1816:B1820">
    <cfRule type="duplicateValues" dxfId="374" priority="221"/>
  </conditionalFormatting>
  <conditionalFormatting sqref="B1857:B1858">
    <cfRule type="duplicateValues" dxfId="373" priority="219"/>
  </conditionalFormatting>
  <conditionalFormatting sqref="B1857:B1858">
    <cfRule type="duplicateValues" dxfId="372" priority="220"/>
  </conditionalFormatting>
  <conditionalFormatting sqref="B1857:B1858">
    <cfRule type="duplicateValues" dxfId="371" priority="217"/>
  </conditionalFormatting>
  <conditionalFormatting sqref="B1857:B1858">
    <cfRule type="duplicateValues" dxfId="370" priority="218"/>
  </conditionalFormatting>
  <conditionalFormatting sqref="B1857:B1858">
    <cfRule type="duplicateValues" dxfId="369" priority="216"/>
  </conditionalFormatting>
  <conditionalFormatting sqref="B1859:B1863">
    <cfRule type="duplicateValues" dxfId="368" priority="214"/>
  </conditionalFormatting>
  <conditionalFormatting sqref="B1859:B1863">
    <cfRule type="duplicateValues" dxfId="367" priority="215"/>
  </conditionalFormatting>
  <conditionalFormatting sqref="B1859:B1863">
    <cfRule type="duplicateValues" dxfId="366" priority="212"/>
  </conditionalFormatting>
  <conditionalFormatting sqref="B1859:B1863">
    <cfRule type="duplicateValues" dxfId="365" priority="213"/>
  </conditionalFormatting>
  <conditionalFormatting sqref="B1859:B1863">
    <cfRule type="duplicateValues" dxfId="364" priority="211"/>
  </conditionalFormatting>
  <conditionalFormatting sqref="B1864:B1868">
    <cfRule type="duplicateValues" dxfId="363" priority="209"/>
  </conditionalFormatting>
  <conditionalFormatting sqref="B1864:B1868">
    <cfRule type="duplicateValues" dxfId="362" priority="210"/>
  </conditionalFormatting>
  <conditionalFormatting sqref="B1864:B1868">
    <cfRule type="duplicateValues" dxfId="361" priority="207"/>
  </conditionalFormatting>
  <conditionalFormatting sqref="B1864:B1868">
    <cfRule type="duplicateValues" dxfId="360" priority="208"/>
  </conditionalFormatting>
  <conditionalFormatting sqref="B1864:B1868">
    <cfRule type="duplicateValues" dxfId="359" priority="206"/>
  </conditionalFormatting>
  <conditionalFormatting sqref="B2348:B2350">
    <cfRule type="duplicateValues" dxfId="358" priority="424"/>
  </conditionalFormatting>
  <conditionalFormatting sqref="B21:B34 B5:B19">
    <cfRule type="duplicateValues" dxfId="357" priority="446"/>
  </conditionalFormatting>
  <conditionalFormatting sqref="B47:B48">
    <cfRule type="duplicateValues" dxfId="356" priority="203"/>
  </conditionalFormatting>
  <conditionalFormatting sqref="B36:B42">
    <cfRule type="duplicateValues" dxfId="355" priority="202"/>
  </conditionalFormatting>
  <conditionalFormatting sqref="B46">
    <cfRule type="duplicateValues" dxfId="354" priority="201"/>
  </conditionalFormatting>
  <conditionalFormatting sqref="C46">
    <cfRule type="duplicateValues" dxfId="353" priority="200"/>
  </conditionalFormatting>
  <conditionalFormatting sqref="C110">
    <cfRule type="duplicateValues" dxfId="352" priority="197"/>
  </conditionalFormatting>
  <conditionalFormatting sqref="B85:B98 B69:B83">
    <cfRule type="duplicateValues" dxfId="351" priority="195"/>
  </conditionalFormatting>
  <conditionalFormatting sqref="B111:B112">
    <cfRule type="duplicateValues" dxfId="350" priority="194"/>
  </conditionalFormatting>
  <conditionalFormatting sqref="B100:B106">
    <cfRule type="duplicateValues" dxfId="349" priority="193"/>
  </conditionalFormatting>
  <conditionalFormatting sqref="B110">
    <cfRule type="duplicateValues" dxfId="348" priority="192"/>
  </conditionalFormatting>
  <conditionalFormatting sqref="A158:A159">
    <cfRule type="duplicateValues" dxfId="347" priority="184"/>
  </conditionalFormatting>
  <conditionalFormatting sqref="A158:A159">
    <cfRule type="duplicateValues" dxfId="346" priority="183"/>
  </conditionalFormatting>
  <conditionalFormatting sqref="A158:A159">
    <cfRule type="duplicateValues" dxfId="345" priority="182"/>
  </conditionalFormatting>
  <conditionalFormatting sqref="A158:A159">
    <cfRule type="duplicateValues" dxfId="344" priority="181"/>
  </conditionalFormatting>
  <conditionalFormatting sqref="A158:A159">
    <cfRule type="duplicateValues" dxfId="343" priority="180"/>
  </conditionalFormatting>
  <conditionalFormatting sqref="A158:A159">
    <cfRule type="duplicateValues" dxfId="342" priority="178"/>
    <cfRule type="duplicateValues" dxfId="341" priority="179"/>
  </conditionalFormatting>
  <conditionalFormatting sqref="A205:A206">
    <cfRule type="duplicateValues" dxfId="340" priority="177"/>
  </conditionalFormatting>
  <conditionalFormatting sqref="A205:A206">
    <cfRule type="duplicateValues" dxfId="339" priority="176"/>
  </conditionalFormatting>
  <conditionalFormatting sqref="A205:A206">
    <cfRule type="duplicateValues" dxfId="338" priority="175"/>
  </conditionalFormatting>
  <conditionalFormatting sqref="A205:A206">
    <cfRule type="duplicateValues" dxfId="337" priority="174"/>
  </conditionalFormatting>
  <conditionalFormatting sqref="A205:A206">
    <cfRule type="duplicateValues" dxfId="336" priority="173"/>
  </conditionalFormatting>
  <conditionalFormatting sqref="A205:A206">
    <cfRule type="duplicateValues" dxfId="335" priority="171"/>
    <cfRule type="duplicateValues" dxfId="334" priority="172"/>
  </conditionalFormatting>
  <conditionalFormatting sqref="B179:B191 B194:B209">
    <cfRule type="duplicateValues" dxfId="333" priority="170"/>
  </conditionalFormatting>
  <conditionalFormatting sqref="B4166:B4167">
    <cfRule type="duplicateValues" dxfId="332" priority="169"/>
  </conditionalFormatting>
  <conditionalFormatting sqref="B4297:B4298">
    <cfRule type="duplicateValues" dxfId="331" priority="167"/>
  </conditionalFormatting>
  <conditionalFormatting sqref="B4327:B4328">
    <cfRule type="duplicateValues" dxfId="330" priority="166"/>
  </conditionalFormatting>
  <conditionalFormatting sqref="B4318">
    <cfRule type="duplicateValues" dxfId="329" priority="165"/>
  </conditionalFormatting>
  <conditionalFormatting sqref="B4321">
    <cfRule type="duplicateValues" dxfId="328" priority="164"/>
  </conditionalFormatting>
  <conditionalFormatting sqref="B4321">
    <cfRule type="duplicateValues" dxfId="327" priority="163"/>
  </conditionalFormatting>
  <conditionalFormatting sqref="B4321">
    <cfRule type="duplicateValues" dxfId="326" priority="162"/>
  </conditionalFormatting>
  <conditionalFormatting sqref="B4322">
    <cfRule type="duplicateValues" dxfId="325" priority="161"/>
  </conditionalFormatting>
  <conditionalFormatting sqref="B4322">
    <cfRule type="duplicateValues" dxfId="324" priority="160"/>
  </conditionalFormatting>
  <conditionalFormatting sqref="B4323">
    <cfRule type="duplicateValues" dxfId="323" priority="159"/>
  </conditionalFormatting>
  <conditionalFormatting sqref="B4323">
    <cfRule type="duplicateValues" dxfId="322" priority="158"/>
  </conditionalFormatting>
  <conditionalFormatting sqref="B4325">
    <cfRule type="duplicateValues" dxfId="321" priority="157"/>
  </conditionalFormatting>
  <conditionalFormatting sqref="B4325">
    <cfRule type="duplicateValues" dxfId="320" priority="156"/>
  </conditionalFormatting>
  <conditionalFormatting sqref="B4324">
    <cfRule type="duplicateValues" dxfId="319" priority="155"/>
  </conditionalFormatting>
  <conditionalFormatting sqref="B4324">
    <cfRule type="duplicateValues" dxfId="318" priority="154"/>
  </conditionalFormatting>
  <conditionalFormatting sqref="B4321">
    <cfRule type="duplicateValues" dxfId="317" priority="153"/>
  </conditionalFormatting>
  <conditionalFormatting sqref="B4321">
    <cfRule type="duplicateValues" dxfId="316" priority="152"/>
  </conditionalFormatting>
  <conditionalFormatting sqref="B4319">
    <cfRule type="duplicateValues" dxfId="315" priority="151"/>
  </conditionalFormatting>
  <conditionalFormatting sqref="B4319">
    <cfRule type="duplicateValues" dxfId="314" priority="150"/>
  </conditionalFormatting>
  <conditionalFormatting sqref="B4320">
    <cfRule type="duplicateValues" dxfId="313" priority="149"/>
  </conditionalFormatting>
  <conditionalFormatting sqref="B4320">
    <cfRule type="duplicateValues" dxfId="312" priority="148"/>
  </conditionalFormatting>
  <conditionalFormatting sqref="C4391">
    <cfRule type="duplicateValues" dxfId="311" priority="138"/>
    <cfRule type="duplicateValues" dxfId="310" priority="139"/>
  </conditionalFormatting>
  <conditionalFormatting sqref="D4391">
    <cfRule type="duplicateValues" dxfId="309" priority="136"/>
    <cfRule type="duplicateValues" dxfId="308" priority="137"/>
  </conditionalFormatting>
  <conditionalFormatting sqref="E4391">
    <cfRule type="duplicateValues" dxfId="307" priority="134"/>
    <cfRule type="duplicateValues" dxfId="306" priority="135"/>
  </conditionalFormatting>
  <conditionalFormatting sqref="F4391">
    <cfRule type="duplicateValues" dxfId="305" priority="132"/>
    <cfRule type="duplicateValues" dxfId="304" priority="133"/>
  </conditionalFormatting>
  <conditionalFormatting sqref="B4387:B4388">
    <cfRule type="duplicateValues" dxfId="303" priority="108"/>
  </conditionalFormatting>
  <conditionalFormatting sqref="B436:B486">
    <cfRule type="duplicateValues" dxfId="302" priority="468"/>
  </conditionalFormatting>
  <conditionalFormatting sqref="B366">
    <cfRule type="duplicateValues" dxfId="301" priority="106"/>
  </conditionalFormatting>
  <conditionalFormatting sqref="B54">
    <cfRule type="duplicateValues" dxfId="300" priority="105"/>
  </conditionalFormatting>
  <conditionalFormatting sqref="B54:C54">
    <cfRule type="duplicateValues" dxfId="299" priority="104"/>
  </conditionalFormatting>
  <conditionalFormatting sqref="B54">
    <cfRule type="duplicateValues" dxfId="298" priority="103"/>
  </conditionalFormatting>
  <conditionalFormatting sqref="C54">
    <cfRule type="duplicateValues" dxfId="297" priority="102"/>
  </conditionalFormatting>
  <conditionalFormatting sqref="C54">
    <cfRule type="duplicateValues" dxfId="296" priority="101"/>
  </conditionalFormatting>
  <conditionalFormatting sqref="C54">
    <cfRule type="duplicateValues" dxfId="295" priority="100"/>
  </conditionalFormatting>
  <conditionalFormatting sqref="C54">
    <cfRule type="duplicateValues" dxfId="294" priority="99"/>
  </conditionalFormatting>
  <conditionalFormatting sqref="B55:B58">
    <cfRule type="duplicateValues" dxfId="293" priority="98"/>
  </conditionalFormatting>
  <conditionalFormatting sqref="B55:C58">
    <cfRule type="duplicateValues" dxfId="292" priority="97"/>
  </conditionalFormatting>
  <conditionalFormatting sqref="B55:B58">
    <cfRule type="duplicateValues" dxfId="291" priority="96"/>
  </conditionalFormatting>
  <conditionalFormatting sqref="C55:C58">
    <cfRule type="duplicateValues" dxfId="290" priority="95"/>
  </conditionalFormatting>
  <conditionalFormatting sqref="C55:C58">
    <cfRule type="duplicateValues" dxfId="289" priority="94"/>
  </conditionalFormatting>
  <conditionalFormatting sqref="C55:C58">
    <cfRule type="duplicateValues" dxfId="288" priority="93"/>
  </conditionalFormatting>
  <conditionalFormatting sqref="C55:C58">
    <cfRule type="duplicateValues" dxfId="287" priority="92"/>
  </conditionalFormatting>
  <conditionalFormatting sqref="B118">
    <cfRule type="duplicateValues" dxfId="286" priority="91"/>
  </conditionalFormatting>
  <conditionalFormatting sqref="B118:C118">
    <cfRule type="duplicateValues" dxfId="285" priority="90"/>
  </conditionalFormatting>
  <conditionalFormatting sqref="B118">
    <cfRule type="duplicateValues" dxfId="284" priority="89"/>
  </conditionalFormatting>
  <conditionalFormatting sqref="C118">
    <cfRule type="duplicateValues" dxfId="283" priority="88"/>
  </conditionalFormatting>
  <conditionalFormatting sqref="C118">
    <cfRule type="duplicateValues" dxfId="282" priority="87"/>
  </conditionalFormatting>
  <conditionalFormatting sqref="C118">
    <cfRule type="duplicateValues" dxfId="281" priority="86"/>
  </conditionalFormatting>
  <conditionalFormatting sqref="C118">
    <cfRule type="duplicateValues" dxfId="280" priority="85"/>
  </conditionalFormatting>
  <conditionalFormatting sqref="B119">
    <cfRule type="duplicateValues" dxfId="279" priority="84"/>
  </conditionalFormatting>
  <conditionalFormatting sqref="B119:C119">
    <cfRule type="duplicateValues" dxfId="278" priority="83"/>
  </conditionalFormatting>
  <conditionalFormatting sqref="B119">
    <cfRule type="duplicateValues" dxfId="277" priority="82"/>
  </conditionalFormatting>
  <conditionalFormatting sqref="C119">
    <cfRule type="duplicateValues" dxfId="276" priority="81"/>
  </conditionalFormatting>
  <conditionalFormatting sqref="C119">
    <cfRule type="duplicateValues" dxfId="275" priority="80"/>
  </conditionalFormatting>
  <conditionalFormatting sqref="C119">
    <cfRule type="duplicateValues" dxfId="274" priority="79"/>
  </conditionalFormatting>
  <conditionalFormatting sqref="C119">
    <cfRule type="duplicateValues" dxfId="273" priority="78"/>
  </conditionalFormatting>
  <conditionalFormatting sqref="B165">
    <cfRule type="duplicateValues" dxfId="272" priority="77"/>
  </conditionalFormatting>
  <conditionalFormatting sqref="B165:C165">
    <cfRule type="duplicateValues" dxfId="271" priority="76"/>
  </conditionalFormatting>
  <conditionalFormatting sqref="B165">
    <cfRule type="duplicateValues" dxfId="270" priority="75"/>
  </conditionalFormatting>
  <conditionalFormatting sqref="C165">
    <cfRule type="duplicateValues" dxfId="269" priority="74"/>
  </conditionalFormatting>
  <conditionalFormatting sqref="C165">
    <cfRule type="duplicateValues" dxfId="268" priority="73"/>
  </conditionalFormatting>
  <conditionalFormatting sqref="C165">
    <cfRule type="duplicateValues" dxfId="267" priority="72"/>
  </conditionalFormatting>
  <conditionalFormatting sqref="C165">
    <cfRule type="duplicateValues" dxfId="266" priority="71"/>
  </conditionalFormatting>
  <conditionalFormatting sqref="B166">
    <cfRule type="duplicateValues" dxfId="265" priority="70"/>
  </conditionalFormatting>
  <conditionalFormatting sqref="B166:C166">
    <cfRule type="duplicateValues" dxfId="264" priority="69"/>
  </conditionalFormatting>
  <conditionalFormatting sqref="B166">
    <cfRule type="duplicateValues" dxfId="263" priority="68"/>
  </conditionalFormatting>
  <conditionalFormatting sqref="C166">
    <cfRule type="duplicateValues" dxfId="262" priority="67"/>
  </conditionalFormatting>
  <conditionalFormatting sqref="C166">
    <cfRule type="duplicateValues" dxfId="261" priority="66"/>
  </conditionalFormatting>
  <conditionalFormatting sqref="C166">
    <cfRule type="duplicateValues" dxfId="260" priority="65"/>
  </conditionalFormatting>
  <conditionalFormatting sqref="C166">
    <cfRule type="duplicateValues" dxfId="259" priority="64"/>
  </conditionalFormatting>
  <conditionalFormatting sqref="B212">
    <cfRule type="duplicateValues" dxfId="258" priority="63"/>
  </conditionalFormatting>
  <conditionalFormatting sqref="B212:C212">
    <cfRule type="duplicateValues" dxfId="257" priority="62"/>
  </conditionalFormatting>
  <conditionalFormatting sqref="B212">
    <cfRule type="duplicateValues" dxfId="256" priority="61"/>
  </conditionalFormatting>
  <conditionalFormatting sqref="C212">
    <cfRule type="duplicateValues" dxfId="255" priority="60"/>
  </conditionalFormatting>
  <conditionalFormatting sqref="C212">
    <cfRule type="duplicateValues" dxfId="254" priority="59"/>
  </conditionalFormatting>
  <conditionalFormatting sqref="C212">
    <cfRule type="duplicateValues" dxfId="253" priority="58"/>
  </conditionalFormatting>
  <conditionalFormatting sqref="C212">
    <cfRule type="duplicateValues" dxfId="252" priority="57"/>
  </conditionalFormatting>
  <conditionalFormatting sqref="B213">
    <cfRule type="duplicateValues" dxfId="251" priority="56"/>
  </conditionalFormatting>
  <conditionalFormatting sqref="B213:C213">
    <cfRule type="duplicateValues" dxfId="250" priority="55"/>
  </conditionalFormatting>
  <conditionalFormatting sqref="B213">
    <cfRule type="duplicateValues" dxfId="249" priority="54"/>
  </conditionalFormatting>
  <conditionalFormatting sqref="C213">
    <cfRule type="duplicateValues" dxfId="248" priority="53"/>
  </conditionalFormatting>
  <conditionalFormatting sqref="C213">
    <cfRule type="duplicateValues" dxfId="247" priority="52"/>
  </conditionalFormatting>
  <conditionalFormatting sqref="C213">
    <cfRule type="duplicateValues" dxfId="246" priority="51"/>
  </conditionalFormatting>
  <conditionalFormatting sqref="C213">
    <cfRule type="duplicateValues" dxfId="245" priority="50"/>
  </conditionalFormatting>
  <conditionalFormatting sqref="B120">
    <cfRule type="duplicateValues" dxfId="244" priority="49"/>
  </conditionalFormatting>
  <conditionalFormatting sqref="B120:C120">
    <cfRule type="duplicateValues" dxfId="243" priority="48"/>
  </conditionalFormatting>
  <conditionalFormatting sqref="B120">
    <cfRule type="duplicateValues" dxfId="242" priority="47"/>
  </conditionalFormatting>
  <conditionalFormatting sqref="C120">
    <cfRule type="duplicateValues" dxfId="241" priority="46"/>
  </conditionalFormatting>
  <conditionalFormatting sqref="C120">
    <cfRule type="duplicateValues" dxfId="240" priority="45"/>
  </conditionalFormatting>
  <conditionalFormatting sqref="C120">
    <cfRule type="duplicateValues" dxfId="239" priority="44"/>
  </conditionalFormatting>
  <conditionalFormatting sqref="C120">
    <cfRule type="duplicateValues" dxfId="238" priority="43"/>
  </conditionalFormatting>
  <conditionalFormatting sqref="B121:B122">
    <cfRule type="duplicateValues" dxfId="237" priority="21"/>
  </conditionalFormatting>
  <conditionalFormatting sqref="B121:C122">
    <cfRule type="duplicateValues" dxfId="236" priority="20"/>
  </conditionalFormatting>
  <conditionalFormatting sqref="B121:B122">
    <cfRule type="duplicateValues" dxfId="235" priority="19"/>
  </conditionalFormatting>
  <conditionalFormatting sqref="C121:C122">
    <cfRule type="duplicateValues" dxfId="234" priority="18"/>
  </conditionalFormatting>
  <conditionalFormatting sqref="C121:C122">
    <cfRule type="duplicateValues" dxfId="233" priority="17"/>
  </conditionalFormatting>
  <conditionalFormatting sqref="C121:C122">
    <cfRule type="duplicateValues" dxfId="232" priority="16"/>
  </conditionalFormatting>
  <conditionalFormatting sqref="C121:C122">
    <cfRule type="duplicateValues" dxfId="231" priority="15"/>
  </conditionalFormatting>
  <conditionalFormatting sqref="B168:B169">
    <cfRule type="duplicateValues" dxfId="230" priority="14"/>
  </conditionalFormatting>
  <conditionalFormatting sqref="B168:C169">
    <cfRule type="duplicateValues" dxfId="229" priority="13"/>
  </conditionalFormatting>
  <conditionalFormatting sqref="B168:B169">
    <cfRule type="duplicateValues" dxfId="228" priority="12"/>
  </conditionalFormatting>
  <conditionalFormatting sqref="C168:C169">
    <cfRule type="duplicateValues" dxfId="227" priority="11"/>
  </conditionalFormatting>
  <conditionalFormatting sqref="C168:C169">
    <cfRule type="duplicateValues" dxfId="226" priority="10"/>
  </conditionalFormatting>
  <conditionalFormatting sqref="C168:C169">
    <cfRule type="duplicateValues" dxfId="225" priority="9"/>
  </conditionalFormatting>
  <conditionalFormatting sqref="C168:C169">
    <cfRule type="duplicateValues" dxfId="224" priority="8"/>
  </conditionalFormatting>
  <conditionalFormatting sqref="B215:B216">
    <cfRule type="duplicateValues" dxfId="13" priority="7"/>
  </conditionalFormatting>
  <conditionalFormatting sqref="B215:C216">
    <cfRule type="duplicateValues" dxfId="11" priority="6"/>
  </conditionalFormatting>
  <conditionalFormatting sqref="B215:B216">
    <cfRule type="duplicateValues" dxfId="9" priority="5"/>
  </conditionalFormatting>
  <conditionalFormatting sqref="C215:C216">
    <cfRule type="duplicateValues" dxfId="7" priority="4"/>
  </conditionalFormatting>
  <conditionalFormatting sqref="C215:C216">
    <cfRule type="duplicateValues" dxfId="5" priority="3"/>
  </conditionalFormatting>
  <conditionalFormatting sqref="C215:C216">
    <cfRule type="duplicateValues" dxfId="3" priority="2"/>
  </conditionalFormatting>
  <conditionalFormatting sqref="C215:C216">
    <cfRule type="duplicateValues" dxfId="1" priority="1"/>
  </conditionalFormatting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2"/>
  <sheetViews>
    <sheetView workbookViewId="0">
      <selection activeCell="H24" sqref="H24"/>
    </sheetView>
  </sheetViews>
  <sheetFormatPr defaultRowHeight="17.25" x14ac:dyDescent="0.15"/>
  <cols>
    <col min="1" max="1" width="9" style="28"/>
    <col min="2" max="2" width="16.125" style="28" bestFit="1" customWidth="1"/>
    <col min="3" max="16384" width="9" style="28"/>
  </cols>
  <sheetData>
    <row r="2" spans="2:5" x14ac:dyDescent="0.15">
      <c r="B2" s="17" t="s">
        <v>478</v>
      </c>
      <c r="C2" s="309"/>
      <c r="D2" s="176" t="s">
        <v>422</v>
      </c>
      <c r="E2" s="176" t="s">
        <v>1123</v>
      </c>
    </row>
    <row r="3" spans="2:5" x14ac:dyDescent="0.15">
      <c r="B3" s="17" t="s">
        <v>21</v>
      </c>
      <c r="C3" s="309"/>
      <c r="D3" s="176" t="s">
        <v>426</v>
      </c>
      <c r="E3" s="176" t="s">
        <v>1093</v>
      </c>
    </row>
    <row r="4" spans="2:5" x14ac:dyDescent="0.15">
      <c r="B4" s="20" t="s">
        <v>22</v>
      </c>
      <c r="C4" s="309"/>
      <c r="D4" s="176" t="s">
        <v>111</v>
      </c>
      <c r="E4" s="176" t="s">
        <v>1164</v>
      </c>
    </row>
    <row r="5" spans="2:5" x14ac:dyDescent="0.15">
      <c r="B5" s="20" t="s">
        <v>6</v>
      </c>
      <c r="C5" s="309"/>
      <c r="D5" s="176" t="s">
        <v>427</v>
      </c>
      <c r="E5" s="176" t="s">
        <v>1487</v>
      </c>
    </row>
    <row r="6" spans="2:5" x14ac:dyDescent="0.15">
      <c r="B6" s="20" t="s">
        <v>111</v>
      </c>
      <c r="C6" s="20"/>
      <c r="D6" s="20" t="s">
        <v>2006</v>
      </c>
      <c r="E6" s="21" t="s">
        <v>2007</v>
      </c>
    </row>
    <row r="7" spans="2:5" x14ac:dyDescent="0.15">
      <c r="B7" s="20" t="s">
        <v>123</v>
      </c>
      <c r="C7" s="20"/>
      <c r="D7" s="20" t="s">
        <v>2008</v>
      </c>
      <c r="E7" s="21" t="s">
        <v>2009</v>
      </c>
    </row>
    <row r="8" spans="2:5" x14ac:dyDescent="0.15">
      <c r="B8" s="20" t="s">
        <v>113</v>
      </c>
      <c r="C8" s="20"/>
      <c r="D8" s="20" t="s">
        <v>7</v>
      </c>
      <c r="E8" s="21" t="s">
        <v>1486</v>
      </c>
    </row>
    <row r="9" spans="2:5" x14ac:dyDescent="0.15">
      <c r="B9" s="20" t="s">
        <v>98</v>
      </c>
      <c r="C9" s="20"/>
      <c r="D9" s="20" t="s">
        <v>386</v>
      </c>
      <c r="E9" s="21" t="s">
        <v>2010</v>
      </c>
    </row>
    <row r="10" spans="2:5" x14ac:dyDescent="0.15">
      <c r="B10" s="20" t="s">
        <v>260</v>
      </c>
      <c r="C10" s="20"/>
      <c r="D10" s="20" t="s">
        <v>78</v>
      </c>
      <c r="E10" s="21" t="s">
        <v>2011</v>
      </c>
    </row>
    <row r="11" spans="2:5" x14ac:dyDescent="0.15">
      <c r="B11" s="20" t="s">
        <v>7</v>
      </c>
      <c r="C11" s="20"/>
      <c r="D11" s="20" t="s">
        <v>239</v>
      </c>
      <c r="E11" s="21" t="s">
        <v>2012</v>
      </c>
    </row>
    <row r="12" spans="2:5" x14ac:dyDescent="0.15">
      <c r="B12" s="20" t="s">
        <v>114</v>
      </c>
      <c r="C12" s="20"/>
      <c r="D12" s="20" t="s">
        <v>240</v>
      </c>
      <c r="E12" s="21" t="s">
        <v>2013</v>
      </c>
    </row>
    <row r="13" spans="2:5" x14ac:dyDescent="0.15">
      <c r="B13" s="20" t="s">
        <v>115</v>
      </c>
      <c r="C13" s="20"/>
      <c r="D13" s="20" t="s">
        <v>23</v>
      </c>
      <c r="E13" s="21" t="s">
        <v>1094</v>
      </c>
    </row>
    <row r="14" spans="2:5" x14ac:dyDescent="0.15">
      <c r="B14" s="20" t="s">
        <v>78</v>
      </c>
      <c r="C14" s="20"/>
      <c r="D14" s="20" t="s">
        <v>2031</v>
      </c>
      <c r="E14" s="21" t="s">
        <v>2032</v>
      </c>
    </row>
    <row r="15" spans="2:5" x14ac:dyDescent="0.15">
      <c r="B15" s="20" t="s">
        <v>261</v>
      </c>
      <c r="C15" s="20"/>
      <c r="D15" s="20" t="s">
        <v>79</v>
      </c>
      <c r="E15" s="21" t="s">
        <v>2014</v>
      </c>
    </row>
    <row r="16" spans="2:5" x14ac:dyDescent="0.15">
      <c r="B16" s="20" t="s">
        <v>270</v>
      </c>
      <c r="C16" s="20"/>
      <c r="D16" s="20" t="s">
        <v>1911</v>
      </c>
      <c r="E16" s="21" t="s">
        <v>2015</v>
      </c>
    </row>
    <row r="17" spans="2:5" x14ac:dyDescent="0.15">
      <c r="B17" s="20" t="s">
        <v>101</v>
      </c>
      <c r="C17" s="20"/>
      <c r="D17" s="20" t="s">
        <v>1857</v>
      </c>
      <c r="E17" s="21" t="s">
        <v>2016</v>
      </c>
    </row>
    <row r="18" spans="2:5" x14ac:dyDescent="0.15">
      <c r="B18" s="20" t="s">
        <v>1799</v>
      </c>
      <c r="C18" s="20"/>
      <c r="D18" s="20" t="s">
        <v>38</v>
      </c>
      <c r="E18" s="21" t="s">
        <v>2017</v>
      </c>
    </row>
    <row r="19" spans="2:5" x14ac:dyDescent="0.15">
      <c r="B19" s="20" t="s">
        <v>20</v>
      </c>
      <c r="C19" s="17"/>
      <c r="D19" s="17" t="s">
        <v>39</v>
      </c>
      <c r="E19" s="18" t="s">
        <v>2018</v>
      </c>
    </row>
    <row r="20" spans="2:5" x14ac:dyDescent="0.15">
      <c r="B20" s="20" t="s">
        <v>97</v>
      </c>
      <c r="C20" s="20"/>
      <c r="D20" s="20" t="s">
        <v>152</v>
      </c>
      <c r="E20" s="18" t="s">
        <v>2019</v>
      </c>
    </row>
    <row r="21" spans="2:5" x14ac:dyDescent="0.15">
      <c r="B21" s="20" t="s">
        <v>99</v>
      </c>
      <c r="C21" s="17"/>
      <c r="D21" s="17" t="s">
        <v>102</v>
      </c>
      <c r="E21" s="18" t="s">
        <v>2020</v>
      </c>
    </row>
    <row r="22" spans="2:5" x14ac:dyDescent="0.15">
      <c r="B22" s="20" t="s">
        <v>269</v>
      </c>
      <c r="C22" s="17"/>
      <c r="D22" s="17" t="s">
        <v>103</v>
      </c>
      <c r="E22" s="18" t="s">
        <v>2021</v>
      </c>
    </row>
    <row r="23" spans="2:5" x14ac:dyDescent="0.15">
      <c r="B23" s="20" t="s">
        <v>271</v>
      </c>
      <c r="C23" s="17"/>
      <c r="D23" s="17" t="s">
        <v>104</v>
      </c>
      <c r="E23" s="18" t="s">
        <v>2022</v>
      </c>
    </row>
    <row r="24" spans="2:5" x14ac:dyDescent="0.15">
      <c r="B24" s="20" t="s">
        <v>173</v>
      </c>
      <c r="C24" s="17"/>
      <c r="D24" s="17" t="s">
        <v>105</v>
      </c>
      <c r="E24" s="18" t="s">
        <v>2023</v>
      </c>
    </row>
    <row r="25" spans="2:5" x14ac:dyDescent="0.15">
      <c r="B25" s="20" t="s">
        <v>1800</v>
      </c>
      <c r="C25" s="17"/>
      <c r="D25" s="17" t="s">
        <v>106</v>
      </c>
      <c r="E25" s="18" t="s">
        <v>2024</v>
      </c>
    </row>
    <row r="26" spans="2:5" x14ac:dyDescent="0.15">
      <c r="B26" s="20" t="s">
        <v>94</v>
      </c>
      <c r="C26" s="17"/>
      <c r="D26" s="17" t="s">
        <v>107</v>
      </c>
      <c r="E26" s="18" t="s">
        <v>2025</v>
      </c>
    </row>
    <row r="27" spans="2:5" x14ac:dyDescent="0.15">
      <c r="B27" s="20" t="s">
        <v>262</v>
      </c>
      <c r="C27" s="17"/>
      <c r="D27" s="17" t="s">
        <v>108</v>
      </c>
      <c r="E27" s="18" t="s">
        <v>2026</v>
      </c>
    </row>
    <row r="28" spans="2:5" x14ac:dyDescent="0.15">
      <c r="B28" s="20" t="s">
        <v>272</v>
      </c>
      <c r="C28" s="17"/>
      <c r="D28" s="17" t="s">
        <v>226</v>
      </c>
      <c r="E28" s="18" t="s">
        <v>2027</v>
      </c>
    </row>
    <row r="29" spans="2:5" x14ac:dyDescent="0.15">
      <c r="B29" s="20" t="s">
        <v>38</v>
      </c>
      <c r="C29" s="17"/>
      <c r="D29" s="17" t="s">
        <v>229</v>
      </c>
      <c r="E29" s="18" t="s">
        <v>2028</v>
      </c>
    </row>
    <row r="30" spans="2:5" x14ac:dyDescent="0.15">
      <c r="B30" s="20" t="s">
        <v>100</v>
      </c>
      <c r="C30" s="17"/>
      <c r="D30" s="17" t="s">
        <v>2033</v>
      </c>
      <c r="E30" s="18" t="s">
        <v>2034</v>
      </c>
    </row>
    <row r="31" spans="2:5" x14ac:dyDescent="0.15">
      <c r="B31" s="20" t="s">
        <v>39</v>
      </c>
      <c r="C31" s="17"/>
      <c r="D31" s="17" t="s">
        <v>35</v>
      </c>
      <c r="E31" s="18" t="s">
        <v>2035</v>
      </c>
    </row>
    <row r="32" spans="2:5" x14ac:dyDescent="0.15">
      <c r="B32" s="20" t="s">
        <v>263</v>
      </c>
      <c r="C32" s="17"/>
      <c r="D32" s="17" t="s">
        <v>1959</v>
      </c>
      <c r="E32" s="18" t="s">
        <v>2036</v>
      </c>
    </row>
    <row r="33" spans="2:5" x14ac:dyDescent="0.15">
      <c r="B33" s="20" t="s">
        <v>102</v>
      </c>
      <c r="C33" s="17"/>
      <c r="D33" s="17" t="s">
        <v>1960</v>
      </c>
      <c r="E33" s="18" t="s">
        <v>2037</v>
      </c>
    </row>
    <row r="34" spans="2:5" x14ac:dyDescent="0.15">
      <c r="B34" s="20" t="s">
        <v>103</v>
      </c>
      <c r="C34" s="20"/>
      <c r="D34" s="20" t="s">
        <v>2038</v>
      </c>
      <c r="E34" s="21" t="s">
        <v>2039</v>
      </c>
    </row>
    <row r="35" spans="2:5" x14ac:dyDescent="0.15">
      <c r="B35" s="20" t="s">
        <v>104</v>
      </c>
      <c r="C35" s="20"/>
      <c r="D35" s="20" t="s">
        <v>2040</v>
      </c>
      <c r="E35" s="21" t="s">
        <v>2041</v>
      </c>
    </row>
    <row r="36" spans="2:5" x14ac:dyDescent="0.15">
      <c r="B36" s="20" t="s">
        <v>105</v>
      </c>
      <c r="C36" s="20"/>
      <c r="D36" s="20" t="s">
        <v>574</v>
      </c>
      <c r="E36" s="21" t="s">
        <v>1273</v>
      </c>
    </row>
    <row r="37" spans="2:5" x14ac:dyDescent="0.15">
      <c r="B37" s="20" t="s">
        <v>106</v>
      </c>
      <c r="C37" s="20"/>
      <c r="D37" s="20" t="s">
        <v>2042</v>
      </c>
      <c r="E37" s="21" t="s">
        <v>2043</v>
      </c>
    </row>
    <row r="38" spans="2:5" x14ac:dyDescent="0.15">
      <c r="B38" s="20" t="s">
        <v>107</v>
      </c>
      <c r="C38" s="17"/>
      <c r="D38" s="173" t="s">
        <v>134</v>
      </c>
      <c r="E38" s="308" t="s">
        <v>2044</v>
      </c>
    </row>
    <row r="39" spans="2:5" x14ac:dyDescent="0.15">
      <c r="B39" s="20" t="s">
        <v>108</v>
      </c>
      <c r="C39" s="17"/>
      <c r="D39" s="17" t="s">
        <v>2029</v>
      </c>
      <c r="E39" s="18" t="s">
        <v>2030</v>
      </c>
    </row>
    <row r="40" spans="2:5" x14ac:dyDescent="0.15">
      <c r="B40" s="20" t="s">
        <v>1801</v>
      </c>
      <c r="C40" s="20"/>
      <c r="D40" s="20" t="s">
        <v>21</v>
      </c>
      <c r="E40" s="21" t="s">
        <v>1357</v>
      </c>
    </row>
    <row r="41" spans="2:5" x14ac:dyDescent="0.15">
      <c r="B41" s="20" t="s">
        <v>1802</v>
      </c>
      <c r="C41" s="309"/>
    </row>
    <row r="42" spans="2:5" x14ac:dyDescent="0.15">
      <c r="B42" s="20" t="s">
        <v>1803</v>
      </c>
      <c r="C42" s="309"/>
    </row>
    <row r="43" spans="2:5" x14ac:dyDescent="0.15">
      <c r="B43" s="20" t="s">
        <v>1804</v>
      </c>
      <c r="C43" s="309"/>
    </row>
    <row r="44" spans="2:5" x14ac:dyDescent="0.15">
      <c r="B44" s="20" t="s">
        <v>258</v>
      </c>
      <c r="C44" s="309"/>
    </row>
    <row r="45" spans="2:5" x14ac:dyDescent="0.15">
      <c r="B45" s="20" t="s">
        <v>1805</v>
      </c>
      <c r="C45" s="309"/>
    </row>
    <row r="46" spans="2:5" x14ac:dyDescent="0.15">
      <c r="B46" s="20" t="s">
        <v>259</v>
      </c>
      <c r="C46" s="309"/>
    </row>
    <row r="47" spans="2:5" x14ac:dyDescent="0.15">
      <c r="B47" s="20" t="s">
        <v>266</v>
      </c>
      <c r="C47" s="309"/>
    </row>
    <row r="48" spans="2:5" x14ac:dyDescent="0.15">
      <c r="B48" s="17" t="s">
        <v>2046</v>
      </c>
      <c r="C48" s="309"/>
    </row>
    <row r="49" spans="2:3" x14ac:dyDescent="0.15">
      <c r="B49" s="20" t="s">
        <v>268</v>
      </c>
      <c r="C49" s="309"/>
    </row>
    <row r="50" spans="2:3" x14ac:dyDescent="0.15">
      <c r="B50" s="20" t="s">
        <v>2047</v>
      </c>
      <c r="C50" s="309"/>
    </row>
    <row r="51" spans="2:3" x14ac:dyDescent="0.15">
      <c r="B51" s="20" t="s">
        <v>1806</v>
      </c>
      <c r="C51" s="309"/>
    </row>
    <row r="52" spans="2:3" x14ac:dyDescent="0.15">
      <c r="B52" s="20" t="s">
        <v>1798</v>
      </c>
      <c r="C52" s="309"/>
    </row>
  </sheetData>
  <phoneticPr fontId="3" type="noConversion"/>
  <conditionalFormatting sqref="D5">
    <cfRule type="duplicateValues" dxfId="223" priority="21"/>
    <cfRule type="duplicateValues" dxfId="222" priority="22"/>
  </conditionalFormatting>
  <conditionalFormatting sqref="D2:D3">
    <cfRule type="duplicateValues" dxfId="221" priority="19"/>
    <cfRule type="duplicateValues" dxfId="220" priority="20"/>
  </conditionalFormatting>
  <conditionalFormatting sqref="D4">
    <cfRule type="duplicateValues" dxfId="219" priority="17"/>
    <cfRule type="duplicateValues" dxfId="218" priority="18"/>
  </conditionalFormatting>
  <conditionalFormatting sqref="D34">
    <cfRule type="duplicateValues" dxfId="217" priority="16"/>
  </conditionalFormatting>
  <conditionalFormatting sqref="E34">
    <cfRule type="duplicateValues" dxfId="216" priority="14"/>
    <cfRule type="duplicateValues" dxfId="215" priority="15"/>
  </conditionalFormatting>
  <conditionalFormatting sqref="D34">
    <cfRule type="duplicateValues" dxfId="214" priority="13"/>
  </conditionalFormatting>
  <conditionalFormatting sqref="E34">
    <cfRule type="duplicateValues" dxfId="213" priority="12"/>
  </conditionalFormatting>
  <conditionalFormatting sqref="D35 D37">
    <cfRule type="duplicateValues" dxfId="212" priority="11"/>
  </conditionalFormatting>
  <conditionalFormatting sqref="E35 E37">
    <cfRule type="duplicateValues" dxfId="211" priority="9"/>
    <cfRule type="duplicateValues" dxfId="210" priority="10"/>
  </conditionalFormatting>
  <conditionalFormatting sqref="D35">
    <cfRule type="duplicateValues" dxfId="209" priority="8"/>
  </conditionalFormatting>
  <conditionalFormatting sqref="E35 E37">
    <cfRule type="duplicateValues" dxfId="208" priority="7"/>
  </conditionalFormatting>
  <conditionalFormatting sqref="D38">
    <cfRule type="duplicateValues" dxfId="207" priority="6"/>
  </conditionalFormatting>
  <conditionalFormatting sqref="E38">
    <cfRule type="duplicateValues" dxfId="206" priority="4"/>
    <cfRule type="duplicateValues" dxfId="205" priority="5"/>
  </conditionalFormatting>
  <conditionalFormatting sqref="D38">
    <cfRule type="duplicateValues" dxfId="204" priority="3"/>
  </conditionalFormatting>
  <conditionalFormatting sqref="E38">
    <cfRule type="duplicateValues" dxfId="203" priority="2"/>
  </conditionalFormatting>
  <conditionalFormatting sqref="D39:E39">
    <cfRule type="duplicateValues" dxfId="20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1"/>
  <sheetViews>
    <sheetView workbookViewId="0">
      <selection activeCell="C23" sqref="C23"/>
    </sheetView>
  </sheetViews>
  <sheetFormatPr defaultRowHeight="17.25" x14ac:dyDescent="0.15"/>
  <cols>
    <col min="1" max="1" width="2.75" style="28" bestFit="1" customWidth="1"/>
    <col min="2" max="2" width="16.125" style="28" bestFit="1" customWidth="1"/>
    <col min="3" max="3" width="29" style="28" bestFit="1" customWidth="1"/>
    <col min="4" max="4" width="13" style="28" bestFit="1" customWidth="1"/>
    <col min="5" max="5" width="35.25" style="28" bestFit="1" customWidth="1"/>
    <col min="6" max="6" width="12.25" style="28" bestFit="1" customWidth="1"/>
    <col min="7" max="7" width="43.25" style="28" bestFit="1" customWidth="1"/>
    <col min="8" max="8" width="12.25" style="28" bestFit="1" customWidth="1"/>
    <col min="9" max="16384" width="9" style="28"/>
  </cols>
  <sheetData>
    <row r="1" spans="2:7" ht="18" thickBot="1" x14ac:dyDescent="0.2"/>
    <row r="2" spans="2:7" s="7" customFormat="1" x14ac:dyDescent="0.15">
      <c r="B2" s="3" t="s">
        <v>749</v>
      </c>
      <c r="C2" s="4" t="s">
        <v>750</v>
      </c>
      <c r="D2" s="5" t="s">
        <v>751</v>
      </c>
      <c r="E2" s="4" t="s">
        <v>1035</v>
      </c>
      <c r="F2" s="5" t="s">
        <v>752</v>
      </c>
      <c r="G2" s="6" t="s">
        <v>753</v>
      </c>
    </row>
    <row r="3" spans="2:7" s="7" customFormat="1" ht="18" thickBot="1" x14ac:dyDescent="0.2">
      <c r="B3" s="34" t="s">
        <v>754</v>
      </c>
      <c r="C3" s="18"/>
      <c r="D3" s="35" t="s">
        <v>568</v>
      </c>
      <c r="E3" s="18" t="s">
        <v>755</v>
      </c>
      <c r="F3" s="35"/>
      <c r="G3" s="19"/>
    </row>
    <row r="4" spans="2:7" s="7" customFormat="1" x14ac:dyDescent="0.15">
      <c r="B4" s="3" t="s">
        <v>0</v>
      </c>
      <c r="C4" s="5" t="s">
        <v>1</v>
      </c>
      <c r="D4" s="5" t="s">
        <v>2</v>
      </c>
      <c r="E4" s="5"/>
      <c r="F4" s="5" t="s">
        <v>3</v>
      </c>
      <c r="G4" s="36" t="s">
        <v>4</v>
      </c>
    </row>
    <row r="5" spans="2:7" s="7" customFormat="1" x14ac:dyDescent="0.15">
      <c r="B5" s="20" t="s">
        <v>756</v>
      </c>
      <c r="C5" s="21" t="s">
        <v>1163</v>
      </c>
      <c r="D5" s="21" t="s">
        <v>211</v>
      </c>
      <c r="E5" s="21">
        <v>0</v>
      </c>
      <c r="F5" s="21"/>
      <c r="G5" s="22" t="s">
        <v>1077</v>
      </c>
    </row>
    <row r="6" spans="2:7" s="7" customFormat="1" x14ac:dyDescent="0.15">
      <c r="B6" s="20" t="s">
        <v>757</v>
      </c>
      <c r="C6" s="21" t="s">
        <v>1164</v>
      </c>
      <c r="D6" s="21" t="s">
        <v>211</v>
      </c>
      <c r="E6" s="21">
        <v>0</v>
      </c>
      <c r="F6" s="21"/>
      <c r="G6" s="22" t="s">
        <v>1165</v>
      </c>
    </row>
    <row r="7" spans="2:7" s="7" customFormat="1" x14ac:dyDescent="0.15">
      <c r="B7" s="20" t="s">
        <v>758</v>
      </c>
      <c r="C7" s="21" t="s">
        <v>1187</v>
      </c>
      <c r="D7" s="21" t="s">
        <v>211</v>
      </c>
      <c r="E7" s="21">
        <v>0</v>
      </c>
      <c r="F7" s="21"/>
      <c r="G7" s="22"/>
    </row>
    <row r="8" spans="2:7" s="7" customFormat="1" x14ac:dyDescent="0.15">
      <c r="B8" s="20" t="s">
        <v>759</v>
      </c>
      <c r="C8" s="21" t="s">
        <v>1190</v>
      </c>
      <c r="D8" s="21" t="s">
        <v>211</v>
      </c>
      <c r="E8" s="21">
        <v>0</v>
      </c>
      <c r="F8" s="21"/>
      <c r="G8" s="22" t="s">
        <v>1081</v>
      </c>
    </row>
    <row r="9" spans="2:7" s="7" customFormat="1" x14ac:dyDescent="0.15">
      <c r="B9" s="20" t="s">
        <v>760</v>
      </c>
      <c r="C9" s="21" t="s">
        <v>1147</v>
      </c>
      <c r="D9" s="21" t="s">
        <v>211</v>
      </c>
      <c r="E9" s="21">
        <v>0</v>
      </c>
      <c r="F9" s="21"/>
      <c r="G9" s="22"/>
    </row>
    <row r="10" spans="2:7" s="7" customFormat="1" x14ac:dyDescent="0.15">
      <c r="B10" s="20" t="s">
        <v>761</v>
      </c>
      <c r="C10" s="21" t="s">
        <v>1110</v>
      </c>
      <c r="D10" s="21" t="s">
        <v>211</v>
      </c>
      <c r="E10" s="21">
        <v>0</v>
      </c>
      <c r="F10" s="21"/>
      <c r="G10" s="22"/>
    </row>
    <row r="11" spans="2:7" s="7" customFormat="1" x14ac:dyDescent="0.15">
      <c r="B11" s="20" t="s">
        <v>763</v>
      </c>
      <c r="C11" s="21" t="s">
        <v>1215</v>
      </c>
      <c r="D11" s="21" t="s">
        <v>211</v>
      </c>
      <c r="E11" s="21">
        <v>0</v>
      </c>
      <c r="F11" s="21"/>
      <c r="G11" s="22"/>
    </row>
    <row r="12" spans="2:7" s="7" customFormat="1" x14ac:dyDescent="0.15">
      <c r="B12" s="20" t="s">
        <v>764</v>
      </c>
      <c r="C12" s="21" t="s">
        <v>1216</v>
      </c>
      <c r="D12" s="21" t="s">
        <v>211</v>
      </c>
      <c r="E12" s="21">
        <v>0</v>
      </c>
      <c r="F12" s="21"/>
      <c r="G12" s="22"/>
    </row>
    <row r="13" spans="2:7" s="7" customFormat="1" x14ac:dyDescent="0.15">
      <c r="B13" s="20" t="s">
        <v>765</v>
      </c>
      <c r="C13" s="21" t="s">
        <v>1217</v>
      </c>
      <c r="D13" s="21" t="s">
        <v>211</v>
      </c>
      <c r="E13" s="21">
        <v>0</v>
      </c>
      <c r="F13" s="21"/>
      <c r="G13" s="22" t="s">
        <v>1082</v>
      </c>
    </row>
    <row r="14" spans="2:7" s="7" customFormat="1" x14ac:dyDescent="0.15">
      <c r="B14" s="20" t="s">
        <v>766</v>
      </c>
      <c r="C14" s="21" t="s">
        <v>1218</v>
      </c>
      <c r="D14" s="21" t="s">
        <v>1219</v>
      </c>
      <c r="E14" s="21" t="s">
        <v>1072</v>
      </c>
      <c r="F14" s="21"/>
      <c r="G14" s="22" t="s">
        <v>1220</v>
      </c>
    </row>
    <row r="15" spans="2:7" s="7" customFormat="1" x14ac:dyDescent="0.15">
      <c r="B15" s="20" t="s">
        <v>767</v>
      </c>
      <c r="C15" s="21" t="s">
        <v>1221</v>
      </c>
      <c r="D15" s="21" t="s">
        <v>211</v>
      </c>
      <c r="E15" s="21">
        <v>0</v>
      </c>
      <c r="F15" s="21"/>
      <c r="G15" s="22"/>
    </row>
    <row r="16" spans="2:7" s="7" customFormat="1" x14ac:dyDescent="0.15">
      <c r="B16" s="20" t="s">
        <v>768</v>
      </c>
      <c r="C16" s="21" t="s">
        <v>1193</v>
      </c>
      <c r="D16" s="21" t="s">
        <v>1087</v>
      </c>
      <c r="E16" s="21">
        <v>0</v>
      </c>
      <c r="F16" s="21"/>
      <c r="G16" s="22" t="s">
        <v>1194</v>
      </c>
    </row>
    <row r="17" spans="2:7" s="7" customFormat="1" x14ac:dyDescent="0.15">
      <c r="B17" s="20" t="s">
        <v>769</v>
      </c>
      <c r="C17" s="21" t="s">
        <v>1195</v>
      </c>
      <c r="D17" s="21" t="s">
        <v>1087</v>
      </c>
      <c r="E17" s="21">
        <v>0</v>
      </c>
      <c r="F17" s="21"/>
      <c r="G17" s="22" t="s">
        <v>1196</v>
      </c>
    </row>
    <row r="18" spans="2:7" s="7" customFormat="1" x14ac:dyDescent="0.15">
      <c r="B18" s="20" t="s">
        <v>770</v>
      </c>
      <c r="C18" s="21" t="s">
        <v>1197</v>
      </c>
      <c r="D18" s="21" t="s">
        <v>1087</v>
      </c>
      <c r="E18" s="21">
        <v>0</v>
      </c>
      <c r="F18" s="21"/>
      <c r="G18" s="22" t="s">
        <v>1144</v>
      </c>
    </row>
    <row r="19" spans="2:7" s="7" customFormat="1" x14ac:dyDescent="0.15">
      <c r="B19" s="20" t="s">
        <v>401</v>
      </c>
      <c r="C19" s="21" t="s">
        <v>1198</v>
      </c>
      <c r="D19" s="21" t="s">
        <v>1087</v>
      </c>
      <c r="E19" s="21">
        <v>0</v>
      </c>
      <c r="F19" s="21"/>
      <c r="G19" s="22" t="s">
        <v>1080</v>
      </c>
    </row>
    <row r="20" spans="2:7" s="7" customFormat="1" x14ac:dyDescent="0.15">
      <c r="B20" s="20" t="s">
        <v>772</v>
      </c>
      <c r="C20" s="21" t="s">
        <v>1222</v>
      </c>
      <c r="D20" s="21" t="s">
        <v>1211</v>
      </c>
      <c r="E20" s="21">
        <v>0</v>
      </c>
      <c r="F20" s="21"/>
      <c r="G20" s="22"/>
    </row>
    <row r="21" spans="2:7" s="7" customFormat="1" x14ac:dyDescent="0.15">
      <c r="B21" s="20" t="s">
        <v>774</v>
      </c>
      <c r="C21" s="21" t="s">
        <v>1223</v>
      </c>
      <c r="D21" s="21" t="s">
        <v>1211</v>
      </c>
      <c r="E21" s="21">
        <v>0</v>
      </c>
      <c r="F21" s="21"/>
      <c r="G21" s="22"/>
    </row>
    <row r="22" spans="2:7" s="7" customFormat="1" x14ac:dyDescent="0.15">
      <c r="B22" s="20" t="s">
        <v>775</v>
      </c>
      <c r="C22" s="21" t="s">
        <v>1224</v>
      </c>
      <c r="D22" s="21" t="s">
        <v>1169</v>
      </c>
      <c r="E22" s="21">
        <v>0</v>
      </c>
      <c r="F22" s="21"/>
      <c r="G22" s="22" t="s">
        <v>1111</v>
      </c>
    </row>
    <row r="23" spans="2:7" s="7" customFormat="1" x14ac:dyDescent="0.15">
      <c r="B23" s="20" t="s">
        <v>776</v>
      </c>
      <c r="C23" s="21" t="s">
        <v>1225</v>
      </c>
      <c r="D23" s="21" t="s">
        <v>211</v>
      </c>
      <c r="E23" s="21">
        <v>0</v>
      </c>
      <c r="F23" s="21"/>
      <c r="G23" s="22" t="s">
        <v>1226</v>
      </c>
    </row>
    <row r="24" spans="2:7" s="7" customFormat="1" x14ac:dyDescent="0.15">
      <c r="B24" s="20"/>
      <c r="C24" s="21"/>
      <c r="D24" s="21"/>
      <c r="E24" s="21"/>
      <c r="F24" s="21"/>
      <c r="G24" s="22"/>
    </row>
    <row r="25" spans="2:7" s="7" customFormat="1" ht="18" thickBot="1" x14ac:dyDescent="0.2"/>
    <row r="26" spans="2:7" s="7" customFormat="1" x14ac:dyDescent="0.15">
      <c r="B26" s="3" t="s">
        <v>778</v>
      </c>
      <c r="C26" s="4" t="s">
        <v>779</v>
      </c>
      <c r="D26" s="5" t="s">
        <v>780</v>
      </c>
      <c r="E26" s="4" t="s">
        <v>1036</v>
      </c>
      <c r="F26" s="5" t="s">
        <v>781</v>
      </c>
      <c r="G26" s="6" t="s">
        <v>782</v>
      </c>
    </row>
    <row r="27" spans="2:7" s="7" customFormat="1" ht="18" thickBot="1" x14ac:dyDescent="0.2">
      <c r="B27" s="34" t="s">
        <v>783</v>
      </c>
      <c r="C27" s="18"/>
      <c r="D27" s="35" t="s">
        <v>784</v>
      </c>
      <c r="E27" s="18" t="s">
        <v>755</v>
      </c>
      <c r="F27" s="35"/>
      <c r="G27" s="19"/>
    </row>
    <row r="28" spans="2:7" s="7" customFormat="1" x14ac:dyDescent="0.15">
      <c r="B28" s="3" t="s">
        <v>0</v>
      </c>
      <c r="C28" s="5" t="s">
        <v>1</v>
      </c>
      <c r="D28" s="5" t="s">
        <v>2</v>
      </c>
      <c r="E28" s="5"/>
      <c r="F28" s="5" t="s">
        <v>3</v>
      </c>
      <c r="G28" s="36" t="s">
        <v>4</v>
      </c>
    </row>
    <row r="29" spans="2:7" s="7" customFormat="1" x14ac:dyDescent="0.15">
      <c r="B29" s="20" t="s">
        <v>5</v>
      </c>
      <c r="C29" s="21" t="s">
        <v>1127</v>
      </c>
      <c r="D29" s="21" t="s">
        <v>211</v>
      </c>
      <c r="E29" s="21" t="s">
        <v>1141</v>
      </c>
      <c r="F29" s="21"/>
      <c r="G29" s="22" t="s">
        <v>1162</v>
      </c>
    </row>
    <row r="30" spans="2:7" s="7" customFormat="1" x14ac:dyDescent="0.15">
      <c r="B30" s="20" t="s">
        <v>6</v>
      </c>
      <c r="C30" s="21" t="s">
        <v>1163</v>
      </c>
      <c r="D30" s="21" t="s">
        <v>211</v>
      </c>
      <c r="E30" s="21">
        <v>0</v>
      </c>
      <c r="F30" s="21"/>
      <c r="G30" s="22" t="s">
        <v>1077</v>
      </c>
    </row>
    <row r="31" spans="2:7" s="7" customFormat="1" x14ac:dyDescent="0.15">
      <c r="B31" s="20" t="s">
        <v>785</v>
      </c>
      <c r="C31" s="21" t="s">
        <v>1164</v>
      </c>
      <c r="D31" s="21" t="s">
        <v>211</v>
      </c>
      <c r="E31" s="21">
        <v>0</v>
      </c>
      <c r="F31" s="21"/>
      <c r="G31" s="22" t="s">
        <v>1165</v>
      </c>
    </row>
    <row r="32" spans="2:7" s="7" customFormat="1" x14ac:dyDescent="0.15">
      <c r="B32" s="20" t="s">
        <v>786</v>
      </c>
      <c r="C32" s="21" t="s">
        <v>1187</v>
      </c>
      <c r="D32" s="21" t="s">
        <v>211</v>
      </c>
      <c r="E32" s="21">
        <v>0</v>
      </c>
      <c r="F32" s="21"/>
      <c r="G32" s="22"/>
    </row>
    <row r="33" spans="2:7" s="7" customFormat="1" x14ac:dyDescent="0.15">
      <c r="B33" s="20" t="s">
        <v>7</v>
      </c>
      <c r="C33" s="21" t="s">
        <v>1190</v>
      </c>
      <c r="D33" s="21" t="s">
        <v>211</v>
      </c>
      <c r="E33" s="21">
        <v>0</v>
      </c>
      <c r="F33" s="21"/>
      <c r="G33" s="22" t="s">
        <v>1081</v>
      </c>
    </row>
    <row r="34" spans="2:7" s="7" customFormat="1" x14ac:dyDescent="0.15">
      <c r="B34" s="20" t="s">
        <v>787</v>
      </c>
      <c r="C34" s="21" t="s">
        <v>1147</v>
      </c>
      <c r="D34" s="21" t="s">
        <v>211</v>
      </c>
      <c r="E34" s="21">
        <v>0</v>
      </c>
      <c r="F34" s="21"/>
      <c r="G34" s="22"/>
    </row>
    <row r="35" spans="2:7" s="7" customFormat="1" x14ac:dyDescent="0.15">
      <c r="B35" s="20" t="s">
        <v>788</v>
      </c>
      <c r="C35" s="21" t="s">
        <v>1110</v>
      </c>
      <c r="D35" s="21" t="s">
        <v>211</v>
      </c>
      <c r="E35" s="21">
        <v>0</v>
      </c>
      <c r="F35" s="21"/>
      <c r="G35" s="22"/>
    </row>
    <row r="36" spans="2:7" s="7" customFormat="1" x14ac:dyDescent="0.15">
      <c r="B36" s="20" t="s">
        <v>763</v>
      </c>
      <c r="C36" s="21" t="s">
        <v>1215</v>
      </c>
      <c r="D36" s="21" t="s">
        <v>211</v>
      </c>
      <c r="E36" s="21">
        <v>0</v>
      </c>
      <c r="F36" s="21"/>
      <c r="G36" s="22"/>
    </row>
    <row r="37" spans="2:7" s="7" customFormat="1" x14ac:dyDescent="0.15">
      <c r="B37" s="20" t="s">
        <v>124</v>
      </c>
      <c r="C37" s="21" t="s">
        <v>1216</v>
      </c>
      <c r="D37" s="21" t="s">
        <v>211</v>
      </c>
      <c r="E37" s="21">
        <v>0</v>
      </c>
      <c r="F37" s="21"/>
      <c r="G37" s="22"/>
    </row>
    <row r="38" spans="2:7" s="7" customFormat="1" ht="16.5" customHeight="1" x14ac:dyDescent="0.15">
      <c r="B38" s="20" t="s">
        <v>789</v>
      </c>
      <c r="C38" s="21" t="s">
        <v>1217</v>
      </c>
      <c r="D38" s="21" t="s">
        <v>211</v>
      </c>
      <c r="E38" s="21">
        <v>0</v>
      </c>
      <c r="F38" s="21"/>
      <c r="G38" s="22" t="s">
        <v>1082</v>
      </c>
    </row>
    <row r="39" spans="2:7" s="7" customFormat="1" ht="16.5" customHeight="1" x14ac:dyDescent="0.15">
      <c r="B39" s="20" t="s">
        <v>766</v>
      </c>
      <c r="C39" s="21" t="s">
        <v>1218</v>
      </c>
      <c r="D39" s="21" t="s">
        <v>1219</v>
      </c>
      <c r="E39" s="21" t="s">
        <v>1072</v>
      </c>
      <c r="F39" s="21"/>
      <c r="G39" s="22" t="s">
        <v>1220</v>
      </c>
    </row>
    <row r="40" spans="2:7" s="7" customFormat="1" ht="16.5" customHeight="1" x14ac:dyDescent="0.15">
      <c r="B40" s="20" t="s">
        <v>791</v>
      </c>
      <c r="C40" s="21" t="s">
        <v>1221</v>
      </c>
      <c r="D40" s="21" t="s">
        <v>211</v>
      </c>
      <c r="E40" s="21">
        <v>0</v>
      </c>
      <c r="F40" s="21"/>
      <c r="G40" s="22"/>
    </row>
    <row r="41" spans="2:7" s="7" customFormat="1" x14ac:dyDescent="0.15">
      <c r="B41" s="20" t="s">
        <v>8</v>
      </c>
      <c r="C41" s="21" t="s">
        <v>1193</v>
      </c>
      <c r="D41" s="21" t="s">
        <v>1087</v>
      </c>
      <c r="E41" s="21">
        <v>0</v>
      </c>
      <c r="F41" s="21"/>
      <c r="G41" s="22" t="s">
        <v>1194</v>
      </c>
    </row>
    <row r="42" spans="2:7" s="7" customFormat="1" x14ac:dyDescent="0.15">
      <c r="B42" s="20" t="s">
        <v>9</v>
      </c>
      <c r="C42" s="21" t="s">
        <v>1195</v>
      </c>
      <c r="D42" s="21" t="s">
        <v>1087</v>
      </c>
      <c r="E42" s="21">
        <v>0</v>
      </c>
      <c r="F42" s="21"/>
      <c r="G42" s="22" t="s">
        <v>1196</v>
      </c>
    </row>
    <row r="43" spans="2:7" s="7" customFormat="1" x14ac:dyDescent="0.15">
      <c r="B43" s="20" t="s">
        <v>10</v>
      </c>
      <c r="C43" s="21" t="s">
        <v>1197</v>
      </c>
      <c r="D43" s="21" t="s">
        <v>1087</v>
      </c>
      <c r="E43" s="21">
        <v>0</v>
      </c>
      <c r="F43" s="21"/>
      <c r="G43" s="22" t="s">
        <v>1144</v>
      </c>
    </row>
    <row r="44" spans="2:7" s="7" customFormat="1" x14ac:dyDescent="0.15">
      <c r="B44" s="20" t="s">
        <v>11</v>
      </c>
      <c r="C44" s="21" t="s">
        <v>1198</v>
      </c>
      <c r="D44" s="21" t="s">
        <v>1087</v>
      </c>
      <c r="E44" s="21">
        <v>0</v>
      </c>
      <c r="F44" s="21"/>
      <c r="G44" s="22" t="s">
        <v>1080</v>
      </c>
    </row>
    <row r="45" spans="2:7" s="7" customFormat="1" x14ac:dyDescent="0.15">
      <c r="B45" s="20" t="s">
        <v>772</v>
      </c>
      <c r="C45" s="21" t="s">
        <v>1222</v>
      </c>
      <c r="D45" s="21" t="s">
        <v>1211</v>
      </c>
      <c r="E45" s="21">
        <v>0</v>
      </c>
      <c r="F45" s="21"/>
      <c r="G45" s="22"/>
    </row>
    <row r="46" spans="2:7" s="7" customFormat="1" x14ac:dyDescent="0.15">
      <c r="B46" s="20" t="s">
        <v>773</v>
      </c>
      <c r="C46" s="21" t="s">
        <v>1223</v>
      </c>
      <c r="D46" s="21" t="s">
        <v>1211</v>
      </c>
      <c r="E46" s="21">
        <v>0</v>
      </c>
      <c r="F46" s="21"/>
      <c r="G46" s="22"/>
    </row>
    <row r="47" spans="2:7" s="7" customFormat="1" x14ac:dyDescent="0.15">
      <c r="B47" s="20" t="s">
        <v>793</v>
      </c>
      <c r="C47" s="21" t="s">
        <v>1224</v>
      </c>
      <c r="D47" s="21" t="s">
        <v>1169</v>
      </c>
      <c r="E47" s="21">
        <v>0</v>
      </c>
      <c r="F47" s="21"/>
      <c r="G47" s="22" t="s">
        <v>1111</v>
      </c>
    </row>
    <row r="48" spans="2:7" s="7" customFormat="1" x14ac:dyDescent="0.15">
      <c r="B48" s="17" t="s">
        <v>776</v>
      </c>
      <c r="C48" s="18" t="s">
        <v>1225</v>
      </c>
      <c r="D48" s="18" t="s">
        <v>211</v>
      </c>
      <c r="E48" s="18">
        <v>0</v>
      </c>
      <c r="F48" s="18"/>
      <c r="G48" s="19" t="s">
        <v>1226</v>
      </c>
    </row>
    <row r="49" spans="1:8" s="7" customFormat="1" ht="18" thickBot="1" x14ac:dyDescent="0.2">
      <c r="B49" s="24"/>
      <c r="C49" s="9"/>
      <c r="D49" s="9"/>
      <c r="E49" s="9"/>
      <c r="F49" s="9"/>
      <c r="G49" s="11"/>
    </row>
    <row r="50" spans="1:8" s="7" customFormat="1" x14ac:dyDescent="0.15">
      <c r="B50" s="346" t="s">
        <v>15</v>
      </c>
      <c r="C50" s="347"/>
      <c r="D50" s="347"/>
      <c r="E50" s="347"/>
      <c r="F50" s="347"/>
      <c r="G50" s="348"/>
    </row>
    <row r="51" spans="1:8" s="7" customFormat="1" x14ac:dyDescent="0.15">
      <c r="A51" s="7" t="s">
        <v>794</v>
      </c>
      <c r="B51" s="20">
        <v>1</v>
      </c>
      <c r="C51" s="23" t="s">
        <v>795</v>
      </c>
      <c r="D51" s="23" t="s">
        <v>796</v>
      </c>
      <c r="E51" s="21" t="s">
        <v>787</v>
      </c>
      <c r="F51" s="21" t="s">
        <v>797</v>
      </c>
      <c r="G51" s="21" t="s">
        <v>124</v>
      </c>
      <c r="H51" s="7" t="s">
        <v>765</v>
      </c>
    </row>
    <row r="52" spans="1:8" s="7" customFormat="1" x14ac:dyDescent="0.15">
      <c r="B52" s="17">
        <v>2</v>
      </c>
      <c r="C52" s="23" t="s">
        <v>798</v>
      </c>
      <c r="D52" s="37" t="s">
        <v>799</v>
      </c>
      <c r="E52" s="18" t="s">
        <v>800</v>
      </c>
      <c r="F52" s="18" t="s">
        <v>801</v>
      </c>
      <c r="G52" s="38"/>
    </row>
    <row r="53" spans="1:8" s="7" customFormat="1" ht="18" thickBot="1" x14ac:dyDescent="0.2">
      <c r="B53" s="24"/>
      <c r="C53" s="9"/>
      <c r="D53" s="9"/>
      <c r="E53" s="9"/>
      <c r="F53" s="9"/>
      <c r="G53" s="11"/>
    </row>
    <row r="54" spans="1:8" s="7" customFormat="1" ht="18" thickBot="1" x14ac:dyDescent="0.2"/>
    <row r="55" spans="1:8" s="7" customFormat="1" x14ac:dyDescent="0.15">
      <c r="B55" s="3" t="s">
        <v>802</v>
      </c>
      <c r="C55" s="4" t="s">
        <v>803</v>
      </c>
      <c r="D55" s="5" t="s">
        <v>804</v>
      </c>
      <c r="E55" s="4" t="s">
        <v>1037</v>
      </c>
      <c r="F55" s="5" t="s">
        <v>805</v>
      </c>
      <c r="G55" s="6" t="s">
        <v>806</v>
      </c>
    </row>
    <row r="56" spans="1:8" s="7" customFormat="1" ht="18" thickBot="1" x14ac:dyDescent="0.2">
      <c r="B56" s="34" t="s">
        <v>807</v>
      </c>
      <c r="C56" s="18"/>
      <c r="D56" s="35" t="s">
        <v>808</v>
      </c>
      <c r="E56" s="18" t="s">
        <v>809</v>
      </c>
      <c r="F56" s="35"/>
      <c r="G56" s="19"/>
    </row>
    <row r="57" spans="1:8" s="7" customFormat="1" x14ac:dyDescent="0.15">
      <c r="B57" s="3" t="s">
        <v>0</v>
      </c>
      <c r="C57" s="5" t="s">
        <v>1</v>
      </c>
      <c r="D57" s="5" t="s">
        <v>2</v>
      </c>
      <c r="E57" s="5"/>
      <c r="F57" s="5" t="s">
        <v>3</v>
      </c>
      <c r="G57" s="36" t="s">
        <v>4</v>
      </c>
    </row>
    <row r="58" spans="1:8" s="7" customFormat="1" x14ac:dyDescent="0.15">
      <c r="B58" s="20" t="s">
        <v>6</v>
      </c>
      <c r="C58" s="21" t="s">
        <v>1163</v>
      </c>
      <c r="D58" s="21" t="s">
        <v>211</v>
      </c>
      <c r="E58" s="21">
        <v>0</v>
      </c>
      <c r="F58" s="21"/>
      <c r="G58" s="22" t="s">
        <v>1077</v>
      </c>
    </row>
    <row r="59" spans="1:8" s="7" customFormat="1" x14ac:dyDescent="0.15">
      <c r="B59" s="20" t="s">
        <v>111</v>
      </c>
      <c r="C59" s="21" t="s">
        <v>1164</v>
      </c>
      <c r="D59" s="21" t="s">
        <v>211</v>
      </c>
      <c r="E59" s="21">
        <v>0</v>
      </c>
      <c r="F59" s="21"/>
      <c r="G59" s="22" t="s">
        <v>1165</v>
      </c>
    </row>
    <row r="60" spans="1:8" s="7" customFormat="1" x14ac:dyDescent="0.15">
      <c r="B60" s="20" t="s">
        <v>113</v>
      </c>
      <c r="C60" s="21" t="s">
        <v>1187</v>
      </c>
      <c r="D60" s="21" t="s">
        <v>211</v>
      </c>
      <c r="E60" s="21">
        <v>0</v>
      </c>
      <c r="F60" s="21"/>
      <c r="G60" s="22"/>
    </row>
    <row r="61" spans="1:8" s="7" customFormat="1" x14ac:dyDescent="0.15">
      <c r="B61" s="20" t="s">
        <v>112</v>
      </c>
      <c r="C61" s="21" t="s">
        <v>1133</v>
      </c>
      <c r="D61" s="21" t="s">
        <v>211</v>
      </c>
      <c r="E61" s="21">
        <v>0</v>
      </c>
      <c r="F61" s="21"/>
      <c r="G61" s="22" t="s">
        <v>1182</v>
      </c>
    </row>
    <row r="62" spans="1:8" s="7" customFormat="1" x14ac:dyDescent="0.15">
      <c r="B62" s="20" t="s">
        <v>7</v>
      </c>
      <c r="C62" s="21" t="s">
        <v>1190</v>
      </c>
      <c r="D62" s="21" t="s">
        <v>211</v>
      </c>
      <c r="E62" s="21">
        <v>0</v>
      </c>
      <c r="F62" s="21"/>
      <c r="G62" s="22" t="s">
        <v>1081</v>
      </c>
    </row>
    <row r="63" spans="1:8" s="7" customFormat="1" x14ac:dyDescent="0.15">
      <c r="B63" s="20" t="s">
        <v>810</v>
      </c>
      <c r="C63" s="21" t="s">
        <v>1147</v>
      </c>
      <c r="D63" s="21" t="s">
        <v>211</v>
      </c>
      <c r="E63" s="21">
        <v>0</v>
      </c>
      <c r="F63" s="21"/>
      <c r="G63" s="22"/>
    </row>
    <row r="64" spans="1:8" s="7" customFormat="1" x14ac:dyDescent="0.15">
      <c r="B64" s="20" t="s">
        <v>811</v>
      </c>
      <c r="C64" s="21" t="s">
        <v>1110</v>
      </c>
      <c r="D64" s="21" t="s">
        <v>211</v>
      </c>
      <c r="E64" s="21">
        <v>0</v>
      </c>
      <c r="F64" s="21"/>
      <c r="G64" s="22"/>
    </row>
    <row r="65" spans="1:8" s="7" customFormat="1" x14ac:dyDescent="0.15">
      <c r="B65" s="20" t="s">
        <v>812</v>
      </c>
      <c r="C65" s="21" t="s">
        <v>1215</v>
      </c>
      <c r="D65" s="21" t="s">
        <v>211</v>
      </c>
      <c r="E65" s="21">
        <v>0</v>
      </c>
      <c r="F65" s="21"/>
      <c r="G65" s="22"/>
    </row>
    <row r="66" spans="1:8" s="7" customFormat="1" ht="16.5" customHeight="1" x14ac:dyDescent="0.15">
      <c r="B66" s="20" t="s">
        <v>124</v>
      </c>
      <c r="C66" s="21" t="s">
        <v>1216</v>
      </c>
      <c r="D66" s="21" t="s">
        <v>211</v>
      </c>
      <c r="E66" s="21">
        <v>0</v>
      </c>
      <c r="F66" s="21"/>
      <c r="G66" s="22"/>
    </row>
    <row r="67" spans="1:8" s="7" customFormat="1" ht="16.5" customHeight="1" x14ac:dyDescent="0.15">
      <c r="B67" s="20" t="s">
        <v>813</v>
      </c>
      <c r="C67" s="21" t="s">
        <v>1217</v>
      </c>
      <c r="D67" s="21" t="s">
        <v>211</v>
      </c>
      <c r="E67" s="21">
        <v>0</v>
      </c>
      <c r="F67" s="21"/>
      <c r="G67" s="22" t="s">
        <v>1082</v>
      </c>
    </row>
    <row r="68" spans="1:8" s="7" customFormat="1" ht="16.5" customHeight="1" x14ac:dyDescent="0.15">
      <c r="B68" s="20" t="s">
        <v>766</v>
      </c>
      <c r="C68" s="21" t="s">
        <v>1218</v>
      </c>
      <c r="D68" s="21" t="s">
        <v>1219</v>
      </c>
      <c r="E68" s="21" t="s">
        <v>1072</v>
      </c>
      <c r="F68" s="21"/>
      <c r="G68" s="22" t="s">
        <v>1220</v>
      </c>
    </row>
    <row r="69" spans="1:8" s="7" customFormat="1" ht="16.5" customHeight="1" x14ac:dyDescent="0.15">
      <c r="B69" s="20" t="s">
        <v>814</v>
      </c>
      <c r="C69" s="21" t="s">
        <v>1221</v>
      </c>
      <c r="D69" s="21" t="s">
        <v>211</v>
      </c>
      <c r="E69" s="21">
        <v>0</v>
      </c>
      <c r="F69" s="21"/>
      <c r="G69" s="22"/>
    </row>
    <row r="70" spans="1:8" s="7" customFormat="1" x14ac:dyDescent="0.15">
      <c r="B70" s="20" t="s">
        <v>8</v>
      </c>
      <c r="C70" s="21" t="s">
        <v>1193</v>
      </c>
      <c r="D70" s="21" t="s">
        <v>1087</v>
      </c>
      <c r="E70" s="21">
        <v>0</v>
      </c>
      <c r="F70" s="21"/>
      <c r="G70" s="22" t="s">
        <v>1194</v>
      </c>
    </row>
    <row r="71" spans="1:8" s="7" customFormat="1" x14ac:dyDescent="0.15">
      <c r="B71" s="20" t="s">
        <v>9</v>
      </c>
      <c r="C71" s="21" t="s">
        <v>1195</v>
      </c>
      <c r="D71" s="21" t="s">
        <v>1087</v>
      </c>
      <c r="E71" s="21">
        <v>0</v>
      </c>
      <c r="F71" s="21"/>
      <c r="G71" s="22" t="s">
        <v>1196</v>
      </c>
    </row>
    <row r="72" spans="1:8" s="7" customFormat="1" x14ac:dyDescent="0.15">
      <c r="B72" s="20" t="s">
        <v>10</v>
      </c>
      <c r="C72" s="21" t="s">
        <v>1197</v>
      </c>
      <c r="D72" s="21" t="s">
        <v>1087</v>
      </c>
      <c r="E72" s="21">
        <v>0</v>
      </c>
      <c r="F72" s="21"/>
      <c r="G72" s="22" t="s">
        <v>1144</v>
      </c>
    </row>
    <row r="73" spans="1:8" s="7" customFormat="1" x14ac:dyDescent="0.15">
      <c r="B73" s="20" t="s">
        <v>11</v>
      </c>
      <c r="C73" s="21" t="s">
        <v>1198</v>
      </c>
      <c r="D73" s="21" t="s">
        <v>1087</v>
      </c>
      <c r="E73" s="21">
        <v>0</v>
      </c>
      <c r="F73" s="21"/>
      <c r="G73" s="22" t="s">
        <v>1080</v>
      </c>
    </row>
    <row r="74" spans="1:8" s="7" customFormat="1" x14ac:dyDescent="0.15">
      <c r="B74" s="20" t="s">
        <v>815</v>
      </c>
      <c r="C74" s="21" t="s">
        <v>1222</v>
      </c>
      <c r="D74" s="21" t="s">
        <v>1211</v>
      </c>
      <c r="E74" s="21">
        <v>0</v>
      </c>
      <c r="F74" s="21"/>
      <c r="G74" s="22"/>
    </row>
    <row r="75" spans="1:8" s="7" customFormat="1" x14ac:dyDescent="0.15">
      <c r="B75" s="20" t="s">
        <v>774</v>
      </c>
      <c r="C75" s="21" t="s">
        <v>1223</v>
      </c>
      <c r="D75" s="21" t="s">
        <v>1211</v>
      </c>
      <c r="E75" s="21">
        <v>0</v>
      </c>
      <c r="F75" s="21"/>
      <c r="G75" s="22"/>
    </row>
    <row r="76" spans="1:8" s="7" customFormat="1" x14ac:dyDescent="0.15">
      <c r="B76" s="20" t="s">
        <v>816</v>
      </c>
      <c r="C76" s="21" t="s">
        <v>1224</v>
      </c>
      <c r="D76" s="21" t="s">
        <v>1169</v>
      </c>
      <c r="E76" s="21">
        <v>0</v>
      </c>
      <c r="F76" s="21"/>
      <c r="G76" s="22" t="s">
        <v>1111</v>
      </c>
    </row>
    <row r="77" spans="1:8" s="7" customFormat="1" x14ac:dyDescent="0.15">
      <c r="B77" s="17" t="s">
        <v>817</v>
      </c>
      <c r="C77" s="18" t="s">
        <v>1225</v>
      </c>
      <c r="D77" s="18" t="s">
        <v>211</v>
      </c>
      <c r="E77" s="18">
        <v>0</v>
      </c>
      <c r="F77" s="18"/>
      <c r="G77" s="19" t="s">
        <v>1226</v>
      </c>
    </row>
    <row r="78" spans="1:8" s="7" customFormat="1" ht="18" thickBot="1" x14ac:dyDescent="0.2">
      <c r="B78" s="24"/>
      <c r="C78" s="9"/>
      <c r="D78" s="9"/>
      <c r="E78" s="9"/>
      <c r="F78" s="9"/>
      <c r="G78" s="11"/>
    </row>
    <row r="79" spans="1:8" s="7" customFormat="1" x14ac:dyDescent="0.15">
      <c r="B79" s="346" t="s">
        <v>15</v>
      </c>
      <c r="C79" s="347"/>
      <c r="D79" s="347"/>
      <c r="E79" s="347"/>
      <c r="F79" s="347"/>
      <c r="G79" s="348"/>
    </row>
    <row r="80" spans="1:8" s="7" customFormat="1" x14ac:dyDescent="0.15">
      <c r="A80" s="7" t="s">
        <v>818</v>
      </c>
      <c r="B80" s="20">
        <v>1</v>
      </c>
      <c r="C80" s="21" t="s">
        <v>796</v>
      </c>
      <c r="D80" s="21" t="s">
        <v>787</v>
      </c>
      <c r="E80" s="21" t="s">
        <v>112</v>
      </c>
      <c r="F80" s="21" t="s">
        <v>797</v>
      </c>
      <c r="G80" s="21" t="s">
        <v>124</v>
      </c>
      <c r="H80" s="21" t="s">
        <v>819</v>
      </c>
    </row>
    <row r="81" spans="2:7" s="7" customFormat="1" x14ac:dyDescent="0.15">
      <c r="B81" s="17">
        <v>2</v>
      </c>
      <c r="C81" s="37" t="s">
        <v>799</v>
      </c>
      <c r="D81" s="18" t="s">
        <v>757</v>
      </c>
      <c r="E81" s="18" t="s">
        <v>759</v>
      </c>
      <c r="F81" s="18"/>
      <c r="G81" s="38"/>
    </row>
    <row r="82" spans="2:7" s="7" customFormat="1" ht="18" thickBot="1" x14ac:dyDescent="0.2">
      <c r="B82" s="24"/>
      <c r="C82" s="9"/>
      <c r="D82" s="9"/>
      <c r="E82" s="9"/>
      <c r="F82" s="9"/>
      <c r="G82" s="11"/>
    </row>
    <row r="83" spans="2:7" s="7" customFormat="1" ht="18" thickBot="1" x14ac:dyDescent="0.2"/>
    <row r="84" spans="2:7" s="7" customFormat="1" x14ac:dyDescent="0.15">
      <c r="B84" s="3" t="s">
        <v>820</v>
      </c>
      <c r="C84" s="4" t="s">
        <v>821</v>
      </c>
      <c r="D84" s="5" t="s">
        <v>751</v>
      </c>
      <c r="E84" s="4" t="s">
        <v>1038</v>
      </c>
      <c r="F84" s="5" t="s">
        <v>822</v>
      </c>
      <c r="G84" s="6" t="s">
        <v>823</v>
      </c>
    </row>
    <row r="85" spans="2:7" s="7" customFormat="1" ht="18" thickBot="1" x14ac:dyDescent="0.2">
      <c r="B85" s="34" t="s">
        <v>825</v>
      </c>
      <c r="C85" s="18"/>
      <c r="D85" s="35" t="s">
        <v>826</v>
      </c>
      <c r="E85" s="18" t="s">
        <v>755</v>
      </c>
      <c r="F85" s="35"/>
      <c r="G85" s="19"/>
    </row>
    <row r="86" spans="2:7" s="7" customFormat="1" x14ac:dyDescent="0.15">
      <c r="B86" s="3" t="s">
        <v>0</v>
      </c>
      <c r="C86" s="5" t="s">
        <v>1</v>
      </c>
      <c r="D86" s="5" t="s">
        <v>2</v>
      </c>
      <c r="E86" s="5"/>
      <c r="F86" s="5" t="s">
        <v>3</v>
      </c>
      <c r="G86" s="36" t="s">
        <v>4</v>
      </c>
    </row>
    <row r="87" spans="2:7" s="7" customFormat="1" x14ac:dyDescent="0.15">
      <c r="B87" s="20" t="s">
        <v>5</v>
      </c>
      <c r="C87" s="21" t="s">
        <v>1127</v>
      </c>
      <c r="D87" s="21" t="s">
        <v>211</v>
      </c>
      <c r="E87" s="21" t="s">
        <v>1141</v>
      </c>
      <c r="F87" s="21"/>
      <c r="G87" s="22" t="s">
        <v>1162</v>
      </c>
    </row>
    <row r="88" spans="2:7" s="7" customFormat="1" x14ac:dyDescent="0.15">
      <c r="B88" s="20" t="s">
        <v>6</v>
      </c>
      <c r="C88" s="21" t="s">
        <v>1163</v>
      </c>
      <c r="D88" s="21" t="s">
        <v>211</v>
      </c>
      <c r="E88" s="21">
        <v>0</v>
      </c>
      <c r="F88" s="21"/>
      <c r="G88" s="22" t="s">
        <v>1077</v>
      </c>
    </row>
    <row r="89" spans="2:7" s="7" customFormat="1" x14ac:dyDescent="0.15">
      <c r="B89" s="20" t="s">
        <v>757</v>
      </c>
      <c r="C89" s="21" t="s">
        <v>1164</v>
      </c>
      <c r="D89" s="21" t="s">
        <v>211</v>
      </c>
      <c r="E89" s="21">
        <v>0</v>
      </c>
      <c r="F89" s="21"/>
      <c r="G89" s="22" t="s">
        <v>1165</v>
      </c>
    </row>
    <row r="90" spans="2:7" s="7" customFormat="1" x14ac:dyDescent="0.15">
      <c r="B90" s="20" t="s">
        <v>827</v>
      </c>
      <c r="C90" s="21" t="s">
        <v>1187</v>
      </c>
      <c r="D90" s="21" t="s">
        <v>211</v>
      </c>
      <c r="E90" s="21">
        <v>0</v>
      </c>
      <c r="F90" s="21"/>
      <c r="G90" s="22"/>
    </row>
    <row r="91" spans="2:7" s="7" customFormat="1" x14ac:dyDescent="0.15">
      <c r="B91" s="20" t="s">
        <v>112</v>
      </c>
      <c r="C91" s="21" t="s">
        <v>1133</v>
      </c>
      <c r="D91" s="21" t="s">
        <v>211</v>
      </c>
      <c r="E91" s="21">
        <v>0</v>
      </c>
      <c r="F91" s="21"/>
      <c r="G91" s="22" t="s">
        <v>1182</v>
      </c>
    </row>
    <row r="92" spans="2:7" s="7" customFormat="1" x14ac:dyDescent="0.15">
      <c r="B92" s="20" t="s">
        <v>7</v>
      </c>
      <c r="C92" s="21" t="s">
        <v>1190</v>
      </c>
      <c r="D92" s="21" t="s">
        <v>211</v>
      </c>
      <c r="E92" s="21">
        <v>0</v>
      </c>
      <c r="F92" s="21"/>
      <c r="G92" s="22" t="s">
        <v>1081</v>
      </c>
    </row>
    <row r="93" spans="2:7" s="7" customFormat="1" x14ac:dyDescent="0.15">
      <c r="B93" s="20" t="s">
        <v>760</v>
      </c>
      <c r="C93" s="21" t="s">
        <v>1147</v>
      </c>
      <c r="D93" s="21" t="s">
        <v>211</v>
      </c>
      <c r="E93" s="21">
        <v>0</v>
      </c>
      <c r="F93" s="21"/>
      <c r="G93" s="22"/>
    </row>
    <row r="94" spans="2:7" s="7" customFormat="1" x14ac:dyDescent="0.15">
      <c r="B94" s="20" t="s">
        <v>788</v>
      </c>
      <c r="C94" s="21" t="s">
        <v>1110</v>
      </c>
      <c r="D94" s="21" t="s">
        <v>211</v>
      </c>
      <c r="E94" s="21">
        <v>0</v>
      </c>
      <c r="F94" s="21"/>
      <c r="G94" s="22"/>
    </row>
    <row r="95" spans="2:7" s="7" customFormat="1" x14ac:dyDescent="0.15">
      <c r="B95" s="20" t="s">
        <v>812</v>
      </c>
      <c r="C95" s="21" t="s">
        <v>1215</v>
      </c>
      <c r="D95" s="21" t="s">
        <v>211</v>
      </c>
      <c r="E95" s="21">
        <v>0</v>
      </c>
      <c r="F95" s="21"/>
      <c r="G95" s="22"/>
    </row>
    <row r="96" spans="2:7" s="7" customFormat="1" ht="16.5" customHeight="1" x14ac:dyDescent="0.15">
      <c r="B96" s="20" t="s">
        <v>124</v>
      </c>
      <c r="C96" s="21" t="s">
        <v>1216</v>
      </c>
      <c r="D96" s="21" t="s">
        <v>211</v>
      </c>
      <c r="E96" s="21">
        <v>0</v>
      </c>
      <c r="F96" s="21"/>
      <c r="G96" s="22"/>
    </row>
    <row r="97" spans="1:13" s="7" customFormat="1" ht="16.5" customHeight="1" x14ac:dyDescent="0.15">
      <c r="B97" s="20" t="s">
        <v>828</v>
      </c>
      <c r="C97" s="21" t="s">
        <v>1217</v>
      </c>
      <c r="D97" s="21" t="s">
        <v>211</v>
      </c>
      <c r="E97" s="21">
        <v>0</v>
      </c>
      <c r="F97" s="21"/>
      <c r="G97" s="22" t="s">
        <v>1082</v>
      </c>
    </row>
    <row r="98" spans="1:13" s="7" customFormat="1" ht="16.5" customHeight="1" x14ac:dyDescent="0.15">
      <c r="B98" s="20" t="s">
        <v>829</v>
      </c>
      <c r="C98" s="21" t="s">
        <v>1218</v>
      </c>
      <c r="D98" s="21" t="s">
        <v>1219</v>
      </c>
      <c r="E98" s="21" t="s">
        <v>1072</v>
      </c>
      <c r="F98" s="21"/>
      <c r="G98" s="22" t="s">
        <v>1220</v>
      </c>
    </row>
    <row r="99" spans="1:13" s="7" customFormat="1" x14ac:dyDescent="0.15">
      <c r="B99" s="20" t="s">
        <v>830</v>
      </c>
      <c r="C99" s="21" t="s">
        <v>1221</v>
      </c>
      <c r="D99" s="21" t="s">
        <v>211</v>
      </c>
      <c r="E99" s="21">
        <v>0</v>
      </c>
      <c r="F99" s="21"/>
      <c r="G99" s="22"/>
    </row>
    <row r="100" spans="1:13" s="7" customFormat="1" x14ac:dyDescent="0.15">
      <c r="B100" s="20" t="s">
        <v>8</v>
      </c>
      <c r="C100" s="21" t="s">
        <v>1193</v>
      </c>
      <c r="D100" s="21" t="s">
        <v>1087</v>
      </c>
      <c r="E100" s="21">
        <v>0</v>
      </c>
      <c r="F100" s="21"/>
      <c r="G100" s="22" t="s">
        <v>1194</v>
      </c>
    </row>
    <row r="101" spans="1:13" s="7" customFormat="1" x14ac:dyDescent="0.15">
      <c r="B101" s="20" t="s">
        <v>9</v>
      </c>
      <c r="C101" s="21" t="s">
        <v>1195</v>
      </c>
      <c r="D101" s="21" t="s">
        <v>1087</v>
      </c>
      <c r="E101" s="21">
        <v>0</v>
      </c>
      <c r="F101" s="21"/>
      <c r="G101" s="22" t="s">
        <v>1196</v>
      </c>
    </row>
    <row r="102" spans="1:13" s="7" customFormat="1" x14ac:dyDescent="0.15">
      <c r="B102" s="20" t="s">
        <v>10</v>
      </c>
      <c r="C102" s="21" t="s">
        <v>1197</v>
      </c>
      <c r="D102" s="21" t="s">
        <v>1087</v>
      </c>
      <c r="E102" s="21">
        <v>0</v>
      </c>
      <c r="F102" s="21"/>
      <c r="G102" s="22" t="s">
        <v>1144</v>
      </c>
    </row>
    <row r="103" spans="1:13" s="7" customFormat="1" x14ac:dyDescent="0.15">
      <c r="B103" s="20" t="s">
        <v>11</v>
      </c>
      <c r="C103" s="21" t="s">
        <v>1198</v>
      </c>
      <c r="D103" s="21" t="s">
        <v>1087</v>
      </c>
      <c r="E103" s="21">
        <v>0</v>
      </c>
      <c r="F103" s="21"/>
      <c r="G103" s="22" t="s">
        <v>1080</v>
      </c>
    </row>
    <row r="104" spans="1:13" s="7" customFormat="1" x14ac:dyDescent="0.15">
      <c r="B104" s="20" t="s">
        <v>815</v>
      </c>
      <c r="C104" s="21" t="s">
        <v>1222</v>
      </c>
      <c r="D104" s="21" t="s">
        <v>1211</v>
      </c>
      <c r="E104" s="21">
        <v>0</v>
      </c>
      <c r="F104" s="21"/>
      <c r="G104" s="22"/>
    </row>
    <row r="105" spans="1:13" s="7" customFormat="1" x14ac:dyDescent="0.15">
      <c r="B105" s="20" t="s">
        <v>831</v>
      </c>
      <c r="C105" s="21" t="s">
        <v>1223</v>
      </c>
      <c r="D105" s="21" t="s">
        <v>1211</v>
      </c>
      <c r="E105" s="21">
        <v>0</v>
      </c>
      <c r="F105" s="21"/>
      <c r="G105" s="22"/>
    </row>
    <row r="106" spans="1:13" s="7" customFormat="1" x14ac:dyDescent="0.15">
      <c r="B106" s="20" t="s">
        <v>832</v>
      </c>
      <c r="C106" s="21" t="s">
        <v>1224</v>
      </c>
      <c r="D106" s="21" t="s">
        <v>1169</v>
      </c>
      <c r="E106" s="21">
        <v>0</v>
      </c>
      <c r="F106" s="21"/>
      <c r="G106" s="22" t="s">
        <v>1111</v>
      </c>
    </row>
    <row r="107" spans="1:13" s="7" customFormat="1" x14ac:dyDescent="0.15">
      <c r="B107" s="17" t="s">
        <v>776</v>
      </c>
      <c r="C107" s="18" t="s">
        <v>1225</v>
      </c>
      <c r="D107" s="18" t="s">
        <v>211</v>
      </c>
      <c r="E107" s="18">
        <v>0</v>
      </c>
      <c r="F107" s="18"/>
      <c r="G107" s="19" t="s">
        <v>1226</v>
      </c>
    </row>
    <row r="108" spans="1:13" s="7" customFormat="1" ht="18" thickBot="1" x14ac:dyDescent="0.2">
      <c r="B108" s="24"/>
      <c r="C108" s="9"/>
      <c r="D108" s="9"/>
      <c r="E108" s="9"/>
      <c r="F108" s="9"/>
      <c r="G108" s="11"/>
    </row>
    <row r="109" spans="1:13" s="77" customFormat="1" x14ac:dyDescent="0.15">
      <c r="A109" s="71"/>
      <c r="B109" s="351" t="s">
        <v>15</v>
      </c>
      <c r="C109" s="352"/>
      <c r="D109" s="352"/>
      <c r="E109" s="352"/>
      <c r="F109" s="352"/>
      <c r="G109" s="353"/>
      <c r="H109" s="76"/>
      <c r="I109" s="76"/>
      <c r="J109" s="76"/>
      <c r="K109" s="76"/>
      <c r="L109" s="76"/>
      <c r="M109" s="76"/>
    </row>
    <row r="110" spans="1:13" s="77" customFormat="1" x14ac:dyDescent="0.15">
      <c r="A110" s="71" t="s">
        <v>833</v>
      </c>
      <c r="B110" s="184">
        <v>1</v>
      </c>
      <c r="C110" s="100" t="s">
        <v>798</v>
      </c>
      <c r="D110" s="100" t="s">
        <v>796</v>
      </c>
      <c r="E110" s="100" t="s">
        <v>834</v>
      </c>
      <c r="F110" s="100" t="s">
        <v>112</v>
      </c>
      <c r="G110" s="185" t="s">
        <v>797</v>
      </c>
      <c r="H110" s="76" t="s">
        <v>124</v>
      </c>
      <c r="I110" s="76" t="s">
        <v>819</v>
      </c>
      <c r="J110" s="76"/>
      <c r="K110" s="76"/>
      <c r="L110" s="76"/>
      <c r="M110" s="76"/>
    </row>
    <row r="111" spans="1:13" s="77" customFormat="1" x14ac:dyDescent="0.15">
      <c r="A111" s="71"/>
      <c r="B111" s="184">
        <v>2</v>
      </c>
      <c r="C111" s="100" t="s">
        <v>798</v>
      </c>
      <c r="D111" s="100" t="s">
        <v>799</v>
      </c>
      <c r="E111" s="100" t="s">
        <v>835</v>
      </c>
      <c r="F111" s="100" t="s">
        <v>18</v>
      </c>
      <c r="G111" s="185"/>
      <c r="H111" s="76"/>
      <c r="I111" s="76"/>
      <c r="J111" s="76"/>
      <c r="K111" s="76"/>
      <c r="L111" s="76"/>
      <c r="M111" s="76"/>
    </row>
    <row r="112" spans="1:13" s="76" customFormat="1" x14ac:dyDescent="0.15">
      <c r="A112" s="71"/>
      <c r="B112" s="92"/>
      <c r="C112" s="93"/>
      <c r="D112" s="93"/>
      <c r="E112" s="93"/>
      <c r="F112" s="93"/>
      <c r="G112" s="94"/>
    </row>
    <row r="113" spans="2:7" s="7" customFormat="1" ht="18" thickBot="1" x14ac:dyDescent="0.2"/>
    <row r="114" spans="2:7" s="7" customFormat="1" x14ac:dyDescent="0.15">
      <c r="B114" s="3" t="s">
        <v>820</v>
      </c>
      <c r="C114" s="4" t="s">
        <v>836</v>
      </c>
      <c r="D114" s="5" t="s">
        <v>837</v>
      </c>
      <c r="E114" s="4" t="s">
        <v>1039</v>
      </c>
      <c r="F114" s="5" t="s">
        <v>838</v>
      </c>
      <c r="G114" s="6"/>
    </row>
    <row r="115" spans="2:7" s="7" customFormat="1" ht="18" thickBot="1" x14ac:dyDescent="0.2">
      <c r="B115" s="34" t="s">
        <v>807</v>
      </c>
      <c r="C115" s="18"/>
      <c r="D115" s="35" t="s">
        <v>839</v>
      </c>
      <c r="E115" s="18" t="s">
        <v>840</v>
      </c>
      <c r="F115" s="35"/>
      <c r="G115" s="19"/>
    </row>
    <row r="116" spans="2:7" s="7" customFormat="1" x14ac:dyDescent="0.15">
      <c r="B116" s="3" t="s">
        <v>0</v>
      </c>
      <c r="C116" s="5" t="s">
        <v>1</v>
      </c>
      <c r="D116" s="5" t="s">
        <v>2</v>
      </c>
      <c r="E116" s="5"/>
      <c r="F116" s="5" t="s">
        <v>3</v>
      </c>
      <c r="G116" s="36" t="s">
        <v>4</v>
      </c>
    </row>
    <row r="117" spans="2:7" s="7" customFormat="1" x14ac:dyDescent="0.15">
      <c r="B117" s="20" t="s">
        <v>16</v>
      </c>
      <c r="C117" s="21" t="s">
        <v>1163</v>
      </c>
      <c r="D117" s="21" t="s">
        <v>211</v>
      </c>
      <c r="E117" s="21">
        <v>0</v>
      </c>
      <c r="F117" s="21"/>
      <c r="G117" s="22" t="s">
        <v>1077</v>
      </c>
    </row>
    <row r="118" spans="2:7" s="7" customFormat="1" x14ac:dyDescent="0.15">
      <c r="B118" s="20" t="s">
        <v>757</v>
      </c>
      <c r="C118" s="21" t="s">
        <v>1164</v>
      </c>
      <c r="D118" s="21" t="s">
        <v>211</v>
      </c>
      <c r="E118" s="21">
        <v>0</v>
      </c>
      <c r="F118" s="21"/>
      <c r="G118" s="22" t="s">
        <v>1165</v>
      </c>
    </row>
    <row r="119" spans="2:7" s="7" customFormat="1" x14ac:dyDescent="0.15">
      <c r="B119" s="20" t="s">
        <v>841</v>
      </c>
      <c r="C119" s="21" t="s">
        <v>1133</v>
      </c>
      <c r="D119" s="21" t="s">
        <v>211</v>
      </c>
      <c r="E119" s="21">
        <v>0</v>
      </c>
      <c r="F119" s="21"/>
      <c r="G119" s="22" t="s">
        <v>1182</v>
      </c>
    </row>
    <row r="120" spans="2:7" s="7" customFormat="1" x14ac:dyDescent="0.15">
      <c r="B120" s="20" t="s">
        <v>842</v>
      </c>
      <c r="C120" s="21" t="s">
        <v>1187</v>
      </c>
      <c r="D120" s="21" t="s">
        <v>211</v>
      </c>
      <c r="E120" s="21">
        <v>0</v>
      </c>
      <c r="F120" s="21"/>
      <c r="G120" s="22"/>
    </row>
    <row r="121" spans="2:7" s="7" customFormat="1" x14ac:dyDescent="0.15">
      <c r="B121" s="20" t="s">
        <v>328</v>
      </c>
      <c r="C121" s="21" t="s">
        <v>1450</v>
      </c>
      <c r="D121" s="21" t="s">
        <v>1131</v>
      </c>
      <c r="E121" s="21" t="s">
        <v>1074</v>
      </c>
      <c r="F121" s="21"/>
      <c r="G121" s="22"/>
    </row>
    <row r="122" spans="2:7" s="7" customFormat="1" x14ac:dyDescent="0.15">
      <c r="B122" s="20" t="s">
        <v>843</v>
      </c>
      <c r="C122" s="21" t="s">
        <v>1190</v>
      </c>
      <c r="D122" s="21" t="s">
        <v>211</v>
      </c>
      <c r="E122" s="21">
        <v>0</v>
      </c>
      <c r="F122" s="21"/>
      <c r="G122" s="22" t="s">
        <v>1081</v>
      </c>
    </row>
    <row r="123" spans="2:7" s="7" customFormat="1" x14ac:dyDescent="0.15">
      <c r="B123" s="20" t="s">
        <v>844</v>
      </c>
      <c r="C123" s="21" t="s">
        <v>1147</v>
      </c>
      <c r="D123" s="21" t="s">
        <v>211</v>
      </c>
      <c r="E123" s="21">
        <v>0</v>
      </c>
      <c r="F123" s="21"/>
      <c r="G123" s="22"/>
    </row>
    <row r="124" spans="2:7" s="7" customFormat="1" x14ac:dyDescent="0.15">
      <c r="B124" s="20" t="s">
        <v>845</v>
      </c>
      <c r="C124" s="21" t="s">
        <v>1110</v>
      </c>
      <c r="D124" s="21" t="s">
        <v>211</v>
      </c>
      <c r="E124" s="21">
        <v>0</v>
      </c>
      <c r="F124" s="21"/>
      <c r="G124" s="22"/>
    </row>
    <row r="125" spans="2:7" s="7" customFormat="1" x14ac:dyDescent="0.15">
      <c r="B125" s="20" t="s">
        <v>762</v>
      </c>
      <c r="C125" s="21" t="s">
        <v>1215</v>
      </c>
      <c r="D125" s="21" t="s">
        <v>211</v>
      </c>
      <c r="E125" s="21">
        <v>0</v>
      </c>
      <c r="F125" s="21"/>
      <c r="G125" s="22"/>
    </row>
    <row r="126" spans="2:7" s="7" customFormat="1" x14ac:dyDescent="0.15">
      <c r="B126" s="20" t="s">
        <v>830</v>
      </c>
      <c r="C126" s="21" t="s">
        <v>1221</v>
      </c>
      <c r="D126" s="21" t="s">
        <v>211</v>
      </c>
      <c r="E126" s="21">
        <v>0</v>
      </c>
      <c r="F126" s="21"/>
      <c r="G126" s="22"/>
    </row>
    <row r="127" spans="2:7" s="7" customFormat="1" x14ac:dyDescent="0.15">
      <c r="B127" s="20" t="s">
        <v>124</v>
      </c>
      <c r="C127" s="21" t="s">
        <v>1216</v>
      </c>
      <c r="D127" s="21" t="s">
        <v>211</v>
      </c>
      <c r="E127" s="21">
        <v>0</v>
      </c>
      <c r="F127" s="21"/>
      <c r="G127" s="22"/>
    </row>
    <row r="128" spans="2:7" s="7" customFormat="1" x14ac:dyDescent="0.15">
      <c r="B128" s="20" t="s">
        <v>846</v>
      </c>
      <c r="C128" s="21" t="s">
        <v>1217</v>
      </c>
      <c r="D128" s="21" t="s">
        <v>211</v>
      </c>
      <c r="E128" s="21">
        <v>0</v>
      </c>
      <c r="F128" s="21"/>
      <c r="G128" s="22" t="s">
        <v>1082</v>
      </c>
    </row>
    <row r="129" spans="2:7" s="7" customFormat="1" x14ac:dyDescent="0.15">
      <c r="B129" s="20" t="s">
        <v>790</v>
      </c>
      <c r="C129" s="21" t="s">
        <v>1218</v>
      </c>
      <c r="D129" s="21" t="s">
        <v>1219</v>
      </c>
      <c r="E129" s="21" t="s">
        <v>1072</v>
      </c>
      <c r="F129" s="21"/>
      <c r="G129" s="22" t="s">
        <v>1220</v>
      </c>
    </row>
    <row r="130" spans="2:7" s="7" customFormat="1" x14ac:dyDescent="0.15">
      <c r="B130" s="20" t="s">
        <v>8</v>
      </c>
      <c r="C130" s="21" t="s">
        <v>1193</v>
      </c>
      <c r="D130" s="21" t="s">
        <v>1087</v>
      </c>
      <c r="E130" s="21">
        <v>0</v>
      </c>
      <c r="F130" s="21"/>
      <c r="G130" s="22" t="s">
        <v>1194</v>
      </c>
    </row>
    <row r="131" spans="2:7" s="7" customFormat="1" x14ac:dyDescent="0.15">
      <c r="B131" s="20" t="s">
        <v>847</v>
      </c>
      <c r="C131" s="21" t="s">
        <v>1195</v>
      </c>
      <c r="D131" s="21" t="s">
        <v>1087</v>
      </c>
      <c r="E131" s="21">
        <v>0</v>
      </c>
      <c r="F131" s="21"/>
      <c r="G131" s="22" t="s">
        <v>1196</v>
      </c>
    </row>
    <row r="132" spans="2:7" s="7" customFormat="1" x14ac:dyDescent="0.15">
      <c r="B132" s="20" t="s">
        <v>848</v>
      </c>
      <c r="C132" s="21" t="s">
        <v>1197</v>
      </c>
      <c r="D132" s="21" t="s">
        <v>1087</v>
      </c>
      <c r="E132" s="21">
        <v>0</v>
      </c>
      <c r="F132" s="21"/>
      <c r="G132" s="22" t="s">
        <v>1144</v>
      </c>
    </row>
    <row r="133" spans="2:7" s="7" customFormat="1" x14ac:dyDescent="0.15">
      <c r="B133" s="20" t="s">
        <v>11</v>
      </c>
      <c r="C133" s="21" t="s">
        <v>1198</v>
      </c>
      <c r="D133" s="21" t="s">
        <v>1087</v>
      </c>
      <c r="E133" s="21">
        <v>0</v>
      </c>
      <c r="F133" s="21"/>
      <c r="G133" s="22" t="s">
        <v>1080</v>
      </c>
    </row>
    <row r="134" spans="2:7" s="7" customFormat="1" x14ac:dyDescent="0.15">
      <c r="B134" s="20" t="s">
        <v>849</v>
      </c>
      <c r="C134" s="21" t="s">
        <v>1083</v>
      </c>
      <c r="D134" s="21" t="s">
        <v>1087</v>
      </c>
      <c r="E134" s="21">
        <v>0</v>
      </c>
      <c r="F134" s="21"/>
      <c r="G134" s="22"/>
    </row>
    <row r="135" spans="2:7" s="7" customFormat="1" x14ac:dyDescent="0.15">
      <c r="B135" s="20" t="s">
        <v>850</v>
      </c>
      <c r="C135" s="21" t="s">
        <v>1135</v>
      </c>
      <c r="D135" s="21" t="s">
        <v>1087</v>
      </c>
      <c r="E135" s="21">
        <v>0</v>
      </c>
      <c r="F135" s="21"/>
      <c r="G135" s="22"/>
    </row>
    <row r="136" spans="2:7" s="7" customFormat="1" x14ac:dyDescent="0.15">
      <c r="B136" s="20" t="s">
        <v>851</v>
      </c>
      <c r="C136" s="21" t="s">
        <v>1335</v>
      </c>
      <c r="D136" s="21" t="s">
        <v>1087</v>
      </c>
      <c r="E136" s="21">
        <v>0</v>
      </c>
      <c r="F136" s="21"/>
      <c r="G136" s="22"/>
    </row>
    <row r="137" spans="2:7" s="7" customFormat="1" x14ac:dyDescent="0.15">
      <c r="B137" s="20" t="s">
        <v>853</v>
      </c>
      <c r="C137" s="21" t="s">
        <v>1199</v>
      </c>
      <c r="D137" s="21" t="s">
        <v>1087</v>
      </c>
      <c r="E137" s="21">
        <v>0</v>
      </c>
      <c r="F137" s="21"/>
      <c r="G137" s="22"/>
    </row>
    <row r="138" spans="2:7" s="7" customFormat="1" x14ac:dyDescent="0.15">
      <c r="B138" s="20" t="s">
        <v>854</v>
      </c>
      <c r="C138" s="21" t="s">
        <v>1145</v>
      </c>
      <c r="D138" s="21" t="s">
        <v>1087</v>
      </c>
      <c r="E138" s="21">
        <v>0</v>
      </c>
      <c r="F138" s="21"/>
      <c r="G138" s="22"/>
    </row>
    <row r="139" spans="2:7" s="7" customFormat="1" x14ac:dyDescent="0.15">
      <c r="B139" s="20" t="s">
        <v>855</v>
      </c>
      <c r="C139" s="21" t="s">
        <v>1136</v>
      </c>
      <c r="D139" s="21" t="s">
        <v>1087</v>
      </c>
      <c r="E139" s="21">
        <v>0</v>
      </c>
      <c r="F139" s="21"/>
      <c r="G139" s="22"/>
    </row>
    <row r="140" spans="2:7" s="7" customFormat="1" x14ac:dyDescent="0.15">
      <c r="B140" s="20" t="s">
        <v>856</v>
      </c>
      <c r="C140" s="21" t="s">
        <v>1200</v>
      </c>
      <c r="D140" s="21" t="s">
        <v>1087</v>
      </c>
      <c r="E140" s="21">
        <v>0</v>
      </c>
      <c r="F140" s="21"/>
      <c r="G140" s="22"/>
    </row>
    <row r="141" spans="2:7" s="7" customFormat="1" x14ac:dyDescent="0.15">
      <c r="B141" s="20" t="s">
        <v>409</v>
      </c>
      <c r="C141" s="21" t="s">
        <v>1201</v>
      </c>
      <c r="D141" s="21" t="s">
        <v>1087</v>
      </c>
      <c r="E141" s="21">
        <v>0</v>
      </c>
      <c r="F141" s="21"/>
      <c r="G141" s="22"/>
    </row>
    <row r="142" spans="2:7" s="7" customFormat="1" x14ac:dyDescent="0.15">
      <c r="B142" s="20" t="s">
        <v>411</v>
      </c>
      <c r="C142" s="21" t="s">
        <v>1138</v>
      </c>
      <c r="D142" s="21" t="s">
        <v>1087</v>
      </c>
      <c r="E142" s="21">
        <v>0</v>
      </c>
      <c r="F142" s="21"/>
      <c r="G142" s="22"/>
    </row>
    <row r="143" spans="2:7" s="7" customFormat="1" x14ac:dyDescent="0.15">
      <c r="B143" s="20" t="s">
        <v>857</v>
      </c>
      <c r="C143" s="21" t="s">
        <v>1142</v>
      </c>
      <c r="D143" s="21" t="s">
        <v>1087</v>
      </c>
      <c r="E143" s="21">
        <v>0</v>
      </c>
      <c r="F143" s="21"/>
      <c r="G143" s="22"/>
    </row>
    <row r="144" spans="2:7" s="7" customFormat="1" x14ac:dyDescent="0.15">
      <c r="B144" s="20" t="s">
        <v>858</v>
      </c>
      <c r="C144" s="21" t="s">
        <v>1227</v>
      </c>
      <c r="D144" s="21" t="s">
        <v>1087</v>
      </c>
      <c r="E144" s="21">
        <v>0</v>
      </c>
      <c r="F144" s="21"/>
      <c r="G144" s="22"/>
    </row>
    <row r="145" spans="1:13" s="7" customFormat="1" x14ac:dyDescent="0.15">
      <c r="B145" s="20" t="s">
        <v>860</v>
      </c>
      <c r="C145" s="21" t="s">
        <v>1231</v>
      </c>
      <c r="D145" s="21" t="s">
        <v>1087</v>
      </c>
      <c r="E145" s="21">
        <v>0</v>
      </c>
      <c r="F145" s="21"/>
      <c r="G145" s="22"/>
    </row>
    <row r="146" spans="1:13" s="7" customFormat="1" x14ac:dyDescent="0.15">
      <c r="B146" s="20" t="s">
        <v>861</v>
      </c>
      <c r="C146" s="21" t="s">
        <v>1146</v>
      </c>
      <c r="D146" s="21" t="s">
        <v>1087</v>
      </c>
      <c r="E146" s="21">
        <v>0</v>
      </c>
      <c r="F146" s="21"/>
      <c r="G146" s="22"/>
    </row>
    <row r="147" spans="1:13" s="7" customFormat="1" x14ac:dyDescent="0.15">
      <c r="B147" s="20" t="s">
        <v>863</v>
      </c>
      <c r="C147" s="21" t="s">
        <v>1228</v>
      </c>
      <c r="D147" s="21" t="s">
        <v>1087</v>
      </c>
      <c r="E147" s="21">
        <v>0</v>
      </c>
      <c r="F147" s="21"/>
      <c r="G147" s="22"/>
    </row>
    <row r="148" spans="1:13" s="7" customFormat="1" x14ac:dyDescent="0.15">
      <c r="B148" s="20" t="s">
        <v>864</v>
      </c>
      <c r="C148" s="21" t="s">
        <v>1229</v>
      </c>
      <c r="D148" s="21" t="s">
        <v>1087</v>
      </c>
      <c r="E148" s="21">
        <v>0</v>
      </c>
      <c r="F148" s="21"/>
      <c r="G148" s="22"/>
    </row>
    <row r="149" spans="1:13" s="7" customFormat="1" x14ac:dyDescent="0.15">
      <c r="B149" s="20" t="s">
        <v>792</v>
      </c>
      <c r="C149" s="21" t="s">
        <v>1224</v>
      </c>
      <c r="D149" s="21" t="s">
        <v>1169</v>
      </c>
      <c r="E149" s="21">
        <v>0</v>
      </c>
      <c r="F149" s="21"/>
      <c r="G149" s="22" t="s">
        <v>1111</v>
      </c>
    </row>
    <row r="150" spans="1:13" s="7" customFormat="1" x14ac:dyDescent="0.15">
      <c r="B150" s="20" t="s">
        <v>815</v>
      </c>
      <c r="C150" s="21" t="s">
        <v>1222</v>
      </c>
      <c r="D150" s="21" t="s">
        <v>1211</v>
      </c>
      <c r="E150" s="21">
        <v>0</v>
      </c>
      <c r="F150" s="21"/>
      <c r="G150" s="22"/>
    </row>
    <row r="151" spans="1:13" s="7" customFormat="1" x14ac:dyDescent="0.15">
      <c r="B151" s="20" t="s">
        <v>12</v>
      </c>
      <c r="C151" s="21" t="s">
        <v>1143</v>
      </c>
      <c r="D151" s="21" t="s">
        <v>1169</v>
      </c>
      <c r="E151" s="21">
        <v>0</v>
      </c>
      <c r="F151" s="21"/>
      <c r="G151" s="22"/>
    </row>
    <row r="152" spans="1:13" s="7" customFormat="1" x14ac:dyDescent="0.15">
      <c r="B152" s="20" t="s">
        <v>865</v>
      </c>
      <c r="C152" s="21" t="s">
        <v>1230</v>
      </c>
      <c r="D152" s="21" t="s">
        <v>1169</v>
      </c>
      <c r="E152" s="21">
        <v>0</v>
      </c>
      <c r="F152" s="21"/>
      <c r="G152" s="22"/>
    </row>
    <row r="153" spans="1:13" s="7" customFormat="1" x14ac:dyDescent="0.15">
      <c r="B153" s="20" t="s">
        <v>866</v>
      </c>
      <c r="C153" s="21" t="s">
        <v>1140</v>
      </c>
      <c r="D153" s="21" t="s">
        <v>1169</v>
      </c>
      <c r="E153" s="21">
        <v>0</v>
      </c>
      <c r="F153" s="21"/>
      <c r="G153" s="22"/>
    </row>
    <row r="154" spans="1:13" s="7" customFormat="1" x14ac:dyDescent="0.15">
      <c r="B154" s="20"/>
      <c r="C154" s="21"/>
      <c r="D154" s="21"/>
      <c r="E154" s="21"/>
      <c r="F154" s="21"/>
      <c r="G154" s="22"/>
    </row>
    <row r="155" spans="1:13" s="77" customFormat="1" x14ac:dyDescent="0.15">
      <c r="A155" s="71"/>
      <c r="B155" s="351" t="s">
        <v>15</v>
      </c>
      <c r="C155" s="352"/>
      <c r="D155" s="352"/>
      <c r="E155" s="352"/>
      <c r="F155" s="352"/>
      <c r="G155" s="353"/>
      <c r="H155" s="76"/>
      <c r="I155" s="76"/>
      <c r="J155" s="76"/>
      <c r="K155" s="76"/>
      <c r="L155" s="76"/>
      <c r="M155" s="76"/>
    </row>
    <row r="156" spans="1:13" s="77" customFormat="1" x14ac:dyDescent="0.15">
      <c r="A156" s="71" t="s">
        <v>867</v>
      </c>
      <c r="B156" s="184">
        <v>1</v>
      </c>
      <c r="C156" s="100" t="s">
        <v>869</v>
      </c>
      <c r="D156" s="100" t="s">
        <v>796</v>
      </c>
      <c r="E156" s="100" t="s">
        <v>787</v>
      </c>
      <c r="F156" s="100" t="s">
        <v>870</v>
      </c>
      <c r="G156" s="185" t="s">
        <v>124</v>
      </c>
      <c r="H156" s="76" t="s">
        <v>871</v>
      </c>
      <c r="I156" s="76"/>
      <c r="J156" s="76"/>
      <c r="K156" s="76"/>
      <c r="L156" s="76"/>
      <c r="M156" s="76"/>
    </row>
    <row r="157" spans="1:13" s="77" customFormat="1" x14ac:dyDescent="0.15">
      <c r="A157" s="71"/>
      <c r="B157" s="184">
        <v>2</v>
      </c>
      <c r="C157" s="100" t="s">
        <v>756</v>
      </c>
      <c r="D157" s="100" t="s">
        <v>872</v>
      </c>
      <c r="E157" s="100" t="s">
        <v>843</v>
      </c>
      <c r="F157" s="100"/>
      <c r="G157" s="185"/>
      <c r="H157" s="76"/>
      <c r="I157" s="76"/>
      <c r="J157" s="76"/>
      <c r="K157" s="76"/>
      <c r="L157" s="76"/>
      <c r="M157" s="76"/>
    </row>
    <row r="158" spans="1:13" s="76" customFormat="1" x14ac:dyDescent="0.15">
      <c r="A158" s="71"/>
      <c r="B158" s="92"/>
      <c r="C158" s="93"/>
      <c r="D158" s="93"/>
      <c r="E158" s="93"/>
      <c r="F158" s="93"/>
      <c r="G158" s="94"/>
    </row>
    <row r="159" spans="1:13" s="7" customFormat="1" ht="18" thickBot="1" x14ac:dyDescent="0.2">
      <c r="B159" s="269"/>
      <c r="C159" s="269"/>
      <c r="D159" s="269"/>
      <c r="E159" s="269"/>
      <c r="F159" s="269"/>
      <c r="G159" s="269"/>
    </row>
    <row r="160" spans="1:13" s="7" customFormat="1" x14ac:dyDescent="0.15">
      <c r="B160" s="3" t="s">
        <v>873</v>
      </c>
      <c r="C160" s="4" t="s">
        <v>874</v>
      </c>
      <c r="D160" s="5" t="s">
        <v>837</v>
      </c>
      <c r="E160" s="4" t="s">
        <v>1040</v>
      </c>
      <c r="F160" s="5" t="s">
        <v>805</v>
      </c>
      <c r="G160" s="6"/>
    </row>
    <row r="161" spans="2:7" s="7" customFormat="1" ht="18" thickBot="1" x14ac:dyDescent="0.2">
      <c r="B161" s="34" t="s">
        <v>875</v>
      </c>
      <c r="C161" s="18"/>
      <c r="D161" s="35" t="s">
        <v>826</v>
      </c>
      <c r="E161" s="18" t="s">
        <v>876</v>
      </c>
      <c r="F161" s="35"/>
      <c r="G161" s="19"/>
    </row>
    <row r="162" spans="2:7" s="7" customFormat="1" x14ac:dyDescent="0.15">
      <c r="B162" s="3" t="s">
        <v>0</v>
      </c>
      <c r="C162" s="5" t="s">
        <v>1</v>
      </c>
      <c r="D162" s="5" t="s">
        <v>2</v>
      </c>
      <c r="E162" s="5"/>
      <c r="F162" s="5" t="s">
        <v>3</v>
      </c>
      <c r="G162" s="36" t="s">
        <v>4</v>
      </c>
    </row>
    <row r="163" spans="2:7" s="7" customFormat="1" x14ac:dyDescent="0.15">
      <c r="B163" s="20" t="s">
        <v>5</v>
      </c>
      <c r="C163" s="21" t="s">
        <v>1127</v>
      </c>
      <c r="D163" s="21" t="s">
        <v>211</v>
      </c>
      <c r="E163" s="21" t="s">
        <v>1141</v>
      </c>
      <c r="F163" s="21"/>
      <c r="G163" s="22" t="s">
        <v>1162</v>
      </c>
    </row>
    <row r="164" spans="2:7" s="7" customFormat="1" x14ac:dyDescent="0.15">
      <c r="B164" s="20" t="s">
        <v>877</v>
      </c>
      <c r="C164" s="21" t="s">
        <v>1163</v>
      </c>
      <c r="D164" s="21" t="s">
        <v>211</v>
      </c>
      <c r="E164" s="21">
        <v>0</v>
      </c>
      <c r="F164" s="21"/>
      <c r="G164" s="22" t="s">
        <v>1077</v>
      </c>
    </row>
    <row r="165" spans="2:7" s="7" customFormat="1" x14ac:dyDescent="0.15">
      <c r="B165" s="20" t="s">
        <v>878</v>
      </c>
      <c r="C165" s="21" t="s">
        <v>1164</v>
      </c>
      <c r="D165" s="21" t="s">
        <v>211</v>
      </c>
      <c r="E165" s="21">
        <v>0</v>
      </c>
      <c r="F165" s="21"/>
      <c r="G165" s="22" t="s">
        <v>1165</v>
      </c>
    </row>
    <row r="166" spans="2:7" s="7" customFormat="1" x14ac:dyDescent="0.15">
      <c r="B166" s="20" t="s">
        <v>879</v>
      </c>
      <c r="C166" s="21" t="s">
        <v>1133</v>
      </c>
      <c r="D166" s="21" t="s">
        <v>211</v>
      </c>
      <c r="E166" s="21">
        <v>0</v>
      </c>
      <c r="F166" s="21"/>
      <c r="G166" s="22" t="s">
        <v>1182</v>
      </c>
    </row>
    <row r="167" spans="2:7" s="7" customFormat="1" x14ac:dyDescent="0.15">
      <c r="B167" s="20" t="s">
        <v>758</v>
      </c>
      <c r="C167" s="21" t="s">
        <v>1187</v>
      </c>
      <c r="D167" s="21" t="s">
        <v>211</v>
      </c>
      <c r="E167" s="21">
        <v>0</v>
      </c>
      <c r="F167" s="21"/>
      <c r="G167" s="22"/>
    </row>
    <row r="168" spans="2:7" s="7" customFormat="1" x14ac:dyDescent="0.15">
      <c r="B168" s="20" t="s">
        <v>880</v>
      </c>
      <c r="C168" s="21" t="s">
        <v>1450</v>
      </c>
      <c r="D168" s="21" t="s">
        <v>1131</v>
      </c>
      <c r="E168" s="21" t="s">
        <v>1074</v>
      </c>
      <c r="F168" s="21"/>
      <c r="G168" s="22"/>
    </row>
    <row r="169" spans="2:7" s="7" customFormat="1" x14ac:dyDescent="0.15">
      <c r="B169" s="20" t="s">
        <v>7</v>
      </c>
      <c r="C169" s="21" t="s">
        <v>1190</v>
      </c>
      <c r="D169" s="21" t="s">
        <v>211</v>
      </c>
      <c r="E169" s="21">
        <v>0</v>
      </c>
      <c r="F169" s="21"/>
      <c r="G169" s="22" t="s">
        <v>1081</v>
      </c>
    </row>
    <row r="170" spans="2:7" s="7" customFormat="1" x14ac:dyDescent="0.15">
      <c r="B170" s="20" t="s">
        <v>881</v>
      </c>
      <c r="C170" s="21" t="s">
        <v>1147</v>
      </c>
      <c r="D170" s="21" t="s">
        <v>211</v>
      </c>
      <c r="E170" s="21">
        <v>0</v>
      </c>
      <c r="F170" s="21"/>
      <c r="G170" s="22"/>
    </row>
    <row r="171" spans="2:7" s="7" customFormat="1" x14ac:dyDescent="0.15">
      <c r="B171" s="20" t="s">
        <v>870</v>
      </c>
      <c r="C171" s="21" t="s">
        <v>1110</v>
      </c>
      <c r="D171" s="21" t="s">
        <v>211</v>
      </c>
      <c r="E171" s="21">
        <v>0</v>
      </c>
      <c r="F171" s="21"/>
      <c r="G171" s="22"/>
    </row>
    <row r="172" spans="2:7" s="7" customFormat="1" x14ac:dyDescent="0.15">
      <c r="B172" s="20" t="s">
        <v>882</v>
      </c>
      <c r="C172" s="21" t="s">
        <v>1215</v>
      </c>
      <c r="D172" s="21" t="s">
        <v>211</v>
      </c>
      <c r="E172" s="21">
        <v>0</v>
      </c>
      <c r="F172" s="21"/>
      <c r="G172" s="22"/>
    </row>
    <row r="173" spans="2:7" s="7" customFormat="1" x14ac:dyDescent="0.15">
      <c r="B173" s="20" t="s">
        <v>883</v>
      </c>
      <c r="C173" s="21" t="s">
        <v>1221</v>
      </c>
      <c r="D173" s="21" t="s">
        <v>211</v>
      </c>
      <c r="E173" s="21">
        <v>0</v>
      </c>
      <c r="F173" s="21"/>
      <c r="G173" s="22"/>
    </row>
    <row r="174" spans="2:7" s="7" customFormat="1" x14ac:dyDescent="0.15">
      <c r="B174" s="20" t="s">
        <v>884</v>
      </c>
      <c r="C174" s="21" t="s">
        <v>1216</v>
      </c>
      <c r="D174" s="21" t="s">
        <v>211</v>
      </c>
      <c r="E174" s="21">
        <v>0</v>
      </c>
      <c r="F174" s="21"/>
      <c r="G174" s="22"/>
    </row>
    <row r="175" spans="2:7" s="7" customFormat="1" x14ac:dyDescent="0.15">
      <c r="B175" s="20" t="s">
        <v>813</v>
      </c>
      <c r="C175" s="21" t="s">
        <v>1217</v>
      </c>
      <c r="D175" s="21" t="s">
        <v>211</v>
      </c>
      <c r="E175" s="21">
        <v>0</v>
      </c>
      <c r="F175" s="21"/>
      <c r="G175" s="22" t="s">
        <v>1082</v>
      </c>
    </row>
    <row r="176" spans="2:7" s="7" customFormat="1" x14ac:dyDescent="0.15">
      <c r="B176" s="20" t="s">
        <v>790</v>
      </c>
      <c r="C176" s="21" t="s">
        <v>1218</v>
      </c>
      <c r="D176" s="21" t="s">
        <v>1219</v>
      </c>
      <c r="E176" s="21" t="s">
        <v>1072</v>
      </c>
      <c r="F176" s="21"/>
      <c r="G176" s="22" t="s">
        <v>1220</v>
      </c>
    </row>
    <row r="177" spans="2:7" s="7" customFormat="1" x14ac:dyDescent="0.15">
      <c r="B177" s="20" t="s">
        <v>768</v>
      </c>
      <c r="C177" s="21" t="s">
        <v>1193</v>
      </c>
      <c r="D177" s="21" t="s">
        <v>1087</v>
      </c>
      <c r="E177" s="21">
        <v>0</v>
      </c>
      <c r="F177" s="21"/>
      <c r="G177" s="22" t="s">
        <v>1194</v>
      </c>
    </row>
    <row r="178" spans="2:7" s="7" customFormat="1" x14ac:dyDescent="0.15">
      <c r="B178" s="20" t="s">
        <v>491</v>
      </c>
      <c r="C178" s="21" t="s">
        <v>1195</v>
      </c>
      <c r="D178" s="21" t="s">
        <v>1087</v>
      </c>
      <c r="E178" s="21">
        <v>0</v>
      </c>
      <c r="F178" s="21"/>
      <c r="G178" s="22" t="s">
        <v>1196</v>
      </c>
    </row>
    <row r="179" spans="2:7" s="7" customFormat="1" x14ac:dyDescent="0.15">
      <c r="B179" s="20" t="s">
        <v>10</v>
      </c>
      <c r="C179" s="21" t="s">
        <v>1197</v>
      </c>
      <c r="D179" s="21" t="s">
        <v>1087</v>
      </c>
      <c r="E179" s="21">
        <v>0</v>
      </c>
      <c r="F179" s="21"/>
      <c r="G179" s="22" t="s">
        <v>1144</v>
      </c>
    </row>
    <row r="180" spans="2:7" s="7" customFormat="1" x14ac:dyDescent="0.15">
      <c r="B180" s="20" t="s">
        <v>885</v>
      </c>
      <c r="C180" s="21" t="s">
        <v>1198</v>
      </c>
      <c r="D180" s="21" t="s">
        <v>1087</v>
      </c>
      <c r="E180" s="21">
        <v>0</v>
      </c>
      <c r="F180" s="21"/>
      <c r="G180" s="22" t="s">
        <v>1080</v>
      </c>
    </row>
    <row r="181" spans="2:7" s="7" customFormat="1" x14ac:dyDescent="0.15">
      <c r="B181" s="20" t="s">
        <v>416</v>
      </c>
      <c r="C181" s="21" t="s">
        <v>1083</v>
      </c>
      <c r="D181" s="21" t="s">
        <v>1087</v>
      </c>
      <c r="E181" s="21">
        <v>0</v>
      </c>
      <c r="F181" s="21"/>
      <c r="G181" s="22"/>
    </row>
    <row r="182" spans="2:7" s="7" customFormat="1" x14ac:dyDescent="0.15">
      <c r="B182" s="20" t="s">
        <v>886</v>
      </c>
      <c r="C182" s="21" t="s">
        <v>1135</v>
      </c>
      <c r="D182" s="21" t="s">
        <v>1087</v>
      </c>
      <c r="E182" s="21">
        <v>0</v>
      </c>
      <c r="F182" s="21"/>
      <c r="G182" s="22"/>
    </row>
    <row r="183" spans="2:7" s="7" customFormat="1" x14ac:dyDescent="0.15">
      <c r="B183" s="20" t="s">
        <v>887</v>
      </c>
      <c r="C183" s="21" t="s">
        <v>1335</v>
      </c>
      <c r="D183" s="21" t="s">
        <v>1087</v>
      </c>
      <c r="E183" s="21">
        <v>0</v>
      </c>
      <c r="F183" s="21"/>
      <c r="G183" s="22"/>
    </row>
    <row r="184" spans="2:7" s="7" customFormat="1" x14ac:dyDescent="0.15">
      <c r="B184" s="20" t="s">
        <v>852</v>
      </c>
      <c r="C184" s="21" t="s">
        <v>1199</v>
      </c>
      <c r="D184" s="21" t="s">
        <v>1087</v>
      </c>
      <c r="E184" s="21">
        <v>0</v>
      </c>
      <c r="F184" s="21"/>
      <c r="G184" s="22"/>
    </row>
    <row r="185" spans="2:7" s="7" customFormat="1" x14ac:dyDescent="0.15">
      <c r="B185" s="20" t="s">
        <v>888</v>
      </c>
      <c r="C185" s="21" t="s">
        <v>1145</v>
      </c>
      <c r="D185" s="21" t="s">
        <v>1087</v>
      </c>
      <c r="E185" s="21">
        <v>0</v>
      </c>
      <c r="F185" s="21"/>
      <c r="G185" s="22"/>
    </row>
    <row r="186" spans="2:7" s="7" customFormat="1" x14ac:dyDescent="0.15">
      <c r="B186" s="20" t="s">
        <v>889</v>
      </c>
      <c r="C186" s="21" t="s">
        <v>1136</v>
      </c>
      <c r="D186" s="21" t="s">
        <v>1087</v>
      </c>
      <c r="E186" s="21">
        <v>0</v>
      </c>
      <c r="F186" s="21"/>
      <c r="G186" s="22"/>
    </row>
    <row r="187" spans="2:7" s="7" customFormat="1" x14ac:dyDescent="0.15">
      <c r="B187" s="20" t="s">
        <v>890</v>
      </c>
      <c r="C187" s="21" t="s">
        <v>1200</v>
      </c>
      <c r="D187" s="21" t="s">
        <v>1087</v>
      </c>
      <c r="E187" s="21">
        <v>0</v>
      </c>
      <c r="F187" s="21"/>
      <c r="G187" s="22"/>
    </row>
    <row r="188" spans="2:7" s="7" customFormat="1" x14ac:dyDescent="0.15">
      <c r="B188" s="20" t="s">
        <v>409</v>
      </c>
      <c r="C188" s="21" t="s">
        <v>1201</v>
      </c>
      <c r="D188" s="21" t="s">
        <v>1087</v>
      </c>
      <c r="E188" s="21">
        <v>0</v>
      </c>
      <c r="F188" s="21"/>
      <c r="G188" s="22"/>
    </row>
    <row r="189" spans="2:7" s="7" customFormat="1" x14ac:dyDescent="0.15">
      <c r="B189" s="20" t="s">
        <v>891</v>
      </c>
      <c r="C189" s="21" t="s">
        <v>1138</v>
      </c>
      <c r="D189" s="21" t="s">
        <v>1087</v>
      </c>
      <c r="E189" s="21">
        <v>0</v>
      </c>
      <c r="F189" s="21"/>
      <c r="G189" s="22"/>
    </row>
    <row r="190" spans="2:7" s="7" customFormat="1" x14ac:dyDescent="0.15">
      <c r="B190" s="20" t="s">
        <v>892</v>
      </c>
      <c r="C190" s="21" t="s">
        <v>1142</v>
      </c>
      <c r="D190" s="21" t="s">
        <v>1087</v>
      </c>
      <c r="E190" s="21">
        <v>0</v>
      </c>
      <c r="F190" s="21"/>
      <c r="G190" s="22"/>
    </row>
    <row r="191" spans="2:7" s="7" customFormat="1" x14ac:dyDescent="0.15">
      <c r="B191" s="20" t="s">
        <v>893</v>
      </c>
      <c r="C191" s="21" t="s">
        <v>1227</v>
      </c>
      <c r="D191" s="21" t="s">
        <v>1087</v>
      </c>
      <c r="E191" s="21">
        <v>0</v>
      </c>
      <c r="F191" s="21"/>
      <c r="G191" s="22"/>
    </row>
    <row r="192" spans="2:7" s="7" customFormat="1" x14ac:dyDescent="0.15">
      <c r="B192" s="20" t="s">
        <v>859</v>
      </c>
      <c r="C192" s="21" t="s">
        <v>1231</v>
      </c>
      <c r="D192" s="21" t="s">
        <v>1087</v>
      </c>
      <c r="E192" s="21">
        <v>0</v>
      </c>
      <c r="F192" s="21"/>
      <c r="G192" s="22"/>
    </row>
    <row r="193" spans="1:13" s="7" customFormat="1" x14ac:dyDescent="0.15">
      <c r="B193" s="20" t="s">
        <v>894</v>
      </c>
      <c r="C193" s="21" t="s">
        <v>1146</v>
      </c>
      <c r="D193" s="21" t="s">
        <v>1087</v>
      </c>
      <c r="E193" s="21">
        <v>0</v>
      </c>
      <c r="F193" s="21"/>
      <c r="G193" s="22"/>
    </row>
    <row r="194" spans="1:13" s="7" customFormat="1" x14ac:dyDescent="0.15">
      <c r="B194" s="20" t="s">
        <v>862</v>
      </c>
      <c r="C194" s="21" t="s">
        <v>1228</v>
      </c>
      <c r="D194" s="21" t="s">
        <v>1087</v>
      </c>
      <c r="E194" s="21">
        <v>0</v>
      </c>
      <c r="F194" s="21"/>
      <c r="G194" s="22"/>
    </row>
    <row r="195" spans="1:13" s="7" customFormat="1" x14ac:dyDescent="0.15">
      <c r="B195" s="20" t="s">
        <v>895</v>
      </c>
      <c r="C195" s="21" t="s">
        <v>1229</v>
      </c>
      <c r="D195" s="21" t="s">
        <v>1087</v>
      </c>
      <c r="E195" s="21">
        <v>0</v>
      </c>
      <c r="F195" s="21"/>
      <c r="G195" s="22"/>
    </row>
    <row r="196" spans="1:13" s="7" customFormat="1" x14ac:dyDescent="0.15">
      <c r="B196" s="20" t="s">
        <v>896</v>
      </c>
      <c r="C196" s="21" t="s">
        <v>1224</v>
      </c>
      <c r="D196" s="21" t="s">
        <v>1169</v>
      </c>
      <c r="E196" s="21">
        <v>0</v>
      </c>
      <c r="F196" s="21"/>
      <c r="G196" s="22" t="s">
        <v>1111</v>
      </c>
    </row>
    <row r="197" spans="1:13" s="7" customFormat="1" x14ac:dyDescent="0.15">
      <c r="B197" s="20" t="s">
        <v>771</v>
      </c>
      <c r="C197" s="21" t="s">
        <v>1222</v>
      </c>
      <c r="D197" s="21" t="s">
        <v>1211</v>
      </c>
      <c r="E197" s="21">
        <v>0</v>
      </c>
      <c r="F197" s="21"/>
      <c r="G197" s="22"/>
    </row>
    <row r="198" spans="1:13" s="7" customFormat="1" x14ac:dyDescent="0.15">
      <c r="B198" s="20" t="s">
        <v>457</v>
      </c>
      <c r="C198" s="21" t="s">
        <v>1143</v>
      </c>
      <c r="D198" s="21" t="s">
        <v>1169</v>
      </c>
      <c r="E198" s="21">
        <v>0</v>
      </c>
      <c r="F198" s="21"/>
      <c r="G198" s="22"/>
    </row>
    <row r="199" spans="1:13" s="7" customFormat="1" x14ac:dyDescent="0.15">
      <c r="B199" s="20" t="s">
        <v>897</v>
      </c>
      <c r="C199" s="21" t="s">
        <v>1230</v>
      </c>
      <c r="D199" s="21" t="s">
        <v>1169</v>
      </c>
      <c r="E199" s="21">
        <v>0</v>
      </c>
      <c r="F199" s="21"/>
      <c r="G199" s="22"/>
    </row>
    <row r="200" spans="1:13" s="7" customFormat="1" x14ac:dyDescent="0.15">
      <c r="B200" s="20" t="s">
        <v>898</v>
      </c>
      <c r="C200" s="21" t="s">
        <v>1140</v>
      </c>
      <c r="D200" s="21" t="s">
        <v>1169</v>
      </c>
      <c r="E200" s="21">
        <v>0</v>
      </c>
      <c r="F200" s="21"/>
      <c r="G200" s="22"/>
    </row>
    <row r="201" spans="1:13" s="7" customFormat="1" x14ac:dyDescent="0.15">
      <c r="B201" s="20"/>
      <c r="C201" s="21"/>
      <c r="D201" s="21"/>
      <c r="E201" s="21"/>
      <c r="F201" s="21"/>
      <c r="G201" s="22"/>
    </row>
    <row r="202" spans="1:13" s="77" customFormat="1" x14ac:dyDescent="0.15">
      <c r="A202" s="71"/>
      <c r="B202" s="351" t="s">
        <v>15</v>
      </c>
      <c r="C202" s="352"/>
      <c r="D202" s="352"/>
      <c r="E202" s="352"/>
      <c r="F202" s="352"/>
      <c r="G202" s="353"/>
      <c r="H202" s="76"/>
      <c r="I202" s="76"/>
      <c r="J202" s="76"/>
      <c r="K202" s="76"/>
      <c r="L202" s="76"/>
      <c r="M202" s="76"/>
    </row>
    <row r="203" spans="1:13" s="77" customFormat="1" x14ac:dyDescent="0.15">
      <c r="A203" s="71" t="s">
        <v>818</v>
      </c>
      <c r="B203" s="184">
        <v>1</v>
      </c>
      <c r="C203" s="100" t="s">
        <v>22</v>
      </c>
      <c r="D203" s="100" t="s">
        <v>123</v>
      </c>
      <c r="E203" s="100" t="s">
        <v>899</v>
      </c>
      <c r="F203" s="100" t="s">
        <v>787</v>
      </c>
      <c r="G203" s="185" t="s">
        <v>845</v>
      </c>
      <c r="H203" s="76" t="s">
        <v>884</v>
      </c>
      <c r="I203" s="76" t="s">
        <v>789</v>
      </c>
      <c r="J203" s="76"/>
      <c r="K203" s="76"/>
      <c r="L203" s="76"/>
      <c r="M203" s="76"/>
    </row>
    <row r="204" spans="1:13" s="77" customFormat="1" x14ac:dyDescent="0.15">
      <c r="A204" s="71"/>
      <c r="B204" s="184">
        <v>2</v>
      </c>
      <c r="C204" s="100" t="s">
        <v>900</v>
      </c>
      <c r="D204" s="100" t="s">
        <v>901</v>
      </c>
      <c r="E204" s="100" t="s">
        <v>902</v>
      </c>
      <c r="F204" s="100" t="s">
        <v>18</v>
      </c>
      <c r="G204" s="185"/>
      <c r="H204" s="76"/>
      <c r="I204" s="76"/>
      <c r="J204" s="76"/>
      <c r="K204" s="76"/>
      <c r="L204" s="76"/>
      <c r="M204" s="76"/>
    </row>
    <row r="205" spans="1:13" s="76" customFormat="1" x14ac:dyDescent="0.15">
      <c r="A205" s="71"/>
      <c r="B205" s="92"/>
      <c r="C205" s="93"/>
      <c r="D205" s="93"/>
      <c r="E205" s="93"/>
      <c r="F205" s="93"/>
      <c r="G205" s="94"/>
    </row>
    <row r="206" spans="1:13" s="7" customFormat="1" ht="18" thickBot="1" x14ac:dyDescent="0.2"/>
    <row r="207" spans="1:13" s="7" customFormat="1" x14ac:dyDescent="0.15">
      <c r="B207" s="3" t="s">
        <v>903</v>
      </c>
      <c r="C207" s="4" t="s">
        <v>904</v>
      </c>
      <c r="D207" s="5" t="s">
        <v>515</v>
      </c>
      <c r="E207" s="4" t="s">
        <v>1041</v>
      </c>
      <c r="F207" s="5" t="s">
        <v>822</v>
      </c>
      <c r="G207" s="6"/>
    </row>
    <row r="208" spans="1:13" s="7" customFormat="1" ht="18" thickBot="1" x14ac:dyDescent="0.2">
      <c r="B208" s="34" t="s">
        <v>905</v>
      </c>
      <c r="C208" s="18"/>
      <c r="D208" s="35" t="s">
        <v>826</v>
      </c>
      <c r="E208" s="18" t="s">
        <v>906</v>
      </c>
      <c r="F208" s="35"/>
      <c r="G208" s="19"/>
    </row>
    <row r="209" spans="2:7" s="7" customFormat="1" x14ac:dyDescent="0.15">
      <c r="B209" s="3" t="s">
        <v>0</v>
      </c>
      <c r="C209" s="5" t="s">
        <v>1</v>
      </c>
      <c r="D209" s="5" t="s">
        <v>2</v>
      </c>
      <c r="E209" s="5"/>
      <c r="F209" s="5" t="s">
        <v>3</v>
      </c>
      <c r="G209" s="36" t="s">
        <v>4</v>
      </c>
    </row>
    <row r="210" spans="2:7" s="7" customFormat="1" x14ac:dyDescent="0.15">
      <c r="B210" s="20" t="s">
        <v>756</v>
      </c>
      <c r="C210" s="21" t="s">
        <v>1163</v>
      </c>
      <c r="D210" s="21" t="s">
        <v>211</v>
      </c>
      <c r="E210" s="21">
        <v>0</v>
      </c>
      <c r="F210" s="21"/>
      <c r="G210" s="22" t="s">
        <v>1077</v>
      </c>
    </row>
    <row r="211" spans="2:7" s="7" customFormat="1" x14ac:dyDescent="0.15">
      <c r="B211" s="20" t="s">
        <v>111</v>
      </c>
      <c r="C211" s="21" t="s">
        <v>1164</v>
      </c>
      <c r="D211" s="21" t="s">
        <v>211</v>
      </c>
      <c r="E211" s="21">
        <v>0</v>
      </c>
      <c r="F211" s="21"/>
      <c r="G211" s="22" t="s">
        <v>1165</v>
      </c>
    </row>
    <row r="212" spans="2:7" s="7" customFormat="1" x14ac:dyDescent="0.15">
      <c r="B212" s="20" t="s">
        <v>842</v>
      </c>
      <c r="C212" s="21" t="s">
        <v>1187</v>
      </c>
      <c r="D212" s="21" t="s">
        <v>211</v>
      </c>
      <c r="E212" s="21">
        <v>0</v>
      </c>
      <c r="F212" s="21"/>
      <c r="G212" s="22"/>
    </row>
    <row r="213" spans="2:7" s="7" customFormat="1" x14ac:dyDescent="0.15">
      <c r="B213" s="20" t="s">
        <v>328</v>
      </c>
      <c r="C213" s="21" t="s">
        <v>1450</v>
      </c>
      <c r="D213" s="21" t="s">
        <v>1131</v>
      </c>
      <c r="E213" s="21" t="s">
        <v>1074</v>
      </c>
      <c r="F213" s="21"/>
      <c r="G213" s="22"/>
    </row>
    <row r="214" spans="2:7" s="7" customFormat="1" x14ac:dyDescent="0.15">
      <c r="B214" s="20" t="s">
        <v>7</v>
      </c>
      <c r="C214" s="21" t="s">
        <v>1190</v>
      </c>
      <c r="D214" s="21" t="s">
        <v>211</v>
      </c>
      <c r="E214" s="21">
        <v>0</v>
      </c>
      <c r="F214" s="21"/>
      <c r="G214" s="22" t="s">
        <v>1081</v>
      </c>
    </row>
    <row r="215" spans="2:7" s="7" customFormat="1" x14ac:dyDescent="0.15">
      <c r="B215" s="20" t="s">
        <v>907</v>
      </c>
      <c r="C215" s="21" t="s">
        <v>1147</v>
      </c>
      <c r="D215" s="21" t="s">
        <v>211</v>
      </c>
      <c r="E215" s="21">
        <v>0</v>
      </c>
      <c r="F215" s="21"/>
      <c r="G215" s="22"/>
    </row>
    <row r="216" spans="2:7" s="7" customFormat="1" x14ac:dyDescent="0.15">
      <c r="B216" s="20" t="s">
        <v>845</v>
      </c>
      <c r="C216" s="21" t="s">
        <v>1110</v>
      </c>
      <c r="D216" s="21" t="s">
        <v>211</v>
      </c>
      <c r="E216" s="21">
        <v>0</v>
      </c>
      <c r="F216" s="21"/>
      <c r="G216" s="22"/>
    </row>
    <row r="217" spans="2:7" s="7" customFormat="1" x14ac:dyDescent="0.15">
      <c r="B217" s="20" t="s">
        <v>762</v>
      </c>
      <c r="C217" s="21" t="s">
        <v>1215</v>
      </c>
      <c r="D217" s="21" t="s">
        <v>211</v>
      </c>
      <c r="E217" s="21">
        <v>0</v>
      </c>
      <c r="F217" s="21"/>
      <c r="G217" s="22"/>
    </row>
    <row r="218" spans="2:7" s="7" customFormat="1" x14ac:dyDescent="0.15">
      <c r="B218" s="20" t="s">
        <v>791</v>
      </c>
      <c r="C218" s="21" t="s">
        <v>1221</v>
      </c>
      <c r="D218" s="21" t="s">
        <v>211</v>
      </c>
      <c r="E218" s="21">
        <v>0</v>
      </c>
      <c r="F218" s="21"/>
      <c r="G218" s="22"/>
    </row>
    <row r="219" spans="2:7" s="7" customFormat="1" x14ac:dyDescent="0.15">
      <c r="B219" s="20" t="s">
        <v>908</v>
      </c>
      <c r="C219" s="21" t="s">
        <v>1216</v>
      </c>
      <c r="D219" s="21" t="s">
        <v>211</v>
      </c>
      <c r="E219" s="21">
        <v>0</v>
      </c>
      <c r="F219" s="21"/>
      <c r="G219" s="22"/>
    </row>
    <row r="220" spans="2:7" s="7" customFormat="1" x14ac:dyDescent="0.15">
      <c r="B220" s="20" t="s">
        <v>765</v>
      </c>
      <c r="C220" s="21" t="s">
        <v>1217</v>
      </c>
      <c r="D220" s="21" t="s">
        <v>211</v>
      </c>
      <c r="E220" s="21">
        <v>0</v>
      </c>
      <c r="F220" s="21"/>
      <c r="G220" s="22" t="s">
        <v>1082</v>
      </c>
    </row>
    <row r="221" spans="2:7" s="7" customFormat="1" x14ac:dyDescent="0.15">
      <c r="B221" s="20" t="s">
        <v>909</v>
      </c>
      <c r="C221" s="21" t="s">
        <v>1218</v>
      </c>
      <c r="D221" s="21" t="s">
        <v>1219</v>
      </c>
      <c r="E221" s="21" t="s">
        <v>1072</v>
      </c>
      <c r="F221" s="21"/>
      <c r="G221" s="22" t="s">
        <v>1220</v>
      </c>
    </row>
    <row r="222" spans="2:7" s="7" customFormat="1" x14ac:dyDescent="0.15">
      <c r="B222" s="20" t="s">
        <v>8</v>
      </c>
      <c r="C222" s="21" t="s">
        <v>1193</v>
      </c>
      <c r="D222" s="21" t="s">
        <v>1087</v>
      </c>
      <c r="E222" s="21">
        <v>0</v>
      </c>
      <c r="F222" s="21"/>
      <c r="G222" s="22" t="s">
        <v>1194</v>
      </c>
    </row>
    <row r="223" spans="2:7" s="7" customFormat="1" x14ac:dyDescent="0.15">
      <c r="B223" s="20" t="s">
        <v>9</v>
      </c>
      <c r="C223" s="21" t="s">
        <v>1195</v>
      </c>
      <c r="D223" s="21" t="s">
        <v>1087</v>
      </c>
      <c r="E223" s="21">
        <v>0</v>
      </c>
      <c r="F223" s="21"/>
      <c r="G223" s="22" t="s">
        <v>1196</v>
      </c>
    </row>
    <row r="224" spans="2:7" s="7" customFormat="1" x14ac:dyDescent="0.15">
      <c r="B224" s="20" t="s">
        <v>10</v>
      </c>
      <c r="C224" s="21" t="s">
        <v>1197</v>
      </c>
      <c r="D224" s="21" t="s">
        <v>1087</v>
      </c>
      <c r="E224" s="21">
        <v>0</v>
      </c>
      <c r="F224" s="21"/>
      <c r="G224" s="22" t="s">
        <v>1144</v>
      </c>
    </row>
    <row r="225" spans="2:7" s="7" customFormat="1" x14ac:dyDescent="0.15">
      <c r="B225" s="20" t="s">
        <v>11</v>
      </c>
      <c r="C225" s="21" t="s">
        <v>1198</v>
      </c>
      <c r="D225" s="21" t="s">
        <v>1087</v>
      </c>
      <c r="E225" s="21">
        <v>0</v>
      </c>
      <c r="F225" s="21"/>
      <c r="G225" s="22" t="s">
        <v>1080</v>
      </c>
    </row>
    <row r="226" spans="2:7" s="7" customFormat="1" x14ac:dyDescent="0.15">
      <c r="B226" s="20" t="s">
        <v>910</v>
      </c>
      <c r="C226" s="21" t="s">
        <v>1083</v>
      </c>
      <c r="D226" s="21" t="s">
        <v>1087</v>
      </c>
      <c r="E226" s="21">
        <v>0</v>
      </c>
      <c r="F226" s="21"/>
      <c r="G226" s="22"/>
    </row>
    <row r="227" spans="2:7" s="7" customFormat="1" x14ac:dyDescent="0.15">
      <c r="B227" s="20" t="s">
        <v>418</v>
      </c>
      <c r="C227" s="21" t="s">
        <v>1135</v>
      </c>
      <c r="D227" s="21" t="s">
        <v>1087</v>
      </c>
      <c r="E227" s="21">
        <v>0</v>
      </c>
      <c r="F227" s="21"/>
      <c r="G227" s="22"/>
    </row>
    <row r="228" spans="2:7" s="7" customFormat="1" x14ac:dyDescent="0.15">
      <c r="B228" s="20" t="s">
        <v>911</v>
      </c>
      <c r="C228" s="21" t="s">
        <v>1335</v>
      </c>
      <c r="D228" s="21" t="s">
        <v>1087</v>
      </c>
      <c r="E228" s="21">
        <v>0</v>
      </c>
      <c r="F228" s="21"/>
      <c r="G228" s="22"/>
    </row>
    <row r="229" spans="2:7" s="7" customFormat="1" x14ac:dyDescent="0.15">
      <c r="B229" s="20" t="s">
        <v>405</v>
      </c>
      <c r="C229" s="21" t="s">
        <v>1199</v>
      </c>
      <c r="D229" s="21" t="s">
        <v>1087</v>
      </c>
      <c r="E229" s="21">
        <v>0</v>
      </c>
      <c r="F229" s="21"/>
      <c r="G229" s="22"/>
    </row>
    <row r="230" spans="2:7" s="7" customFormat="1" x14ac:dyDescent="0.15">
      <c r="B230" s="20" t="s">
        <v>912</v>
      </c>
      <c r="C230" s="21" t="s">
        <v>1145</v>
      </c>
      <c r="D230" s="21" t="s">
        <v>1087</v>
      </c>
      <c r="E230" s="21">
        <v>0</v>
      </c>
      <c r="F230" s="21"/>
      <c r="G230" s="22"/>
    </row>
    <row r="231" spans="2:7" s="7" customFormat="1" x14ac:dyDescent="0.15">
      <c r="B231" s="20" t="s">
        <v>855</v>
      </c>
      <c r="C231" s="21" t="s">
        <v>1136</v>
      </c>
      <c r="D231" s="21" t="s">
        <v>1087</v>
      </c>
      <c r="E231" s="21">
        <v>0</v>
      </c>
      <c r="F231" s="21"/>
      <c r="G231" s="22"/>
    </row>
    <row r="232" spans="2:7" s="7" customFormat="1" x14ac:dyDescent="0.15">
      <c r="B232" s="20" t="s">
        <v>914</v>
      </c>
      <c r="C232" s="21" t="s">
        <v>1200</v>
      </c>
      <c r="D232" s="21" t="s">
        <v>1087</v>
      </c>
      <c r="E232" s="21">
        <v>0</v>
      </c>
      <c r="F232" s="21"/>
      <c r="G232" s="22"/>
    </row>
    <row r="233" spans="2:7" s="7" customFormat="1" x14ac:dyDescent="0.15">
      <c r="B233" s="20" t="s">
        <v>409</v>
      </c>
      <c r="C233" s="21" t="s">
        <v>1201</v>
      </c>
      <c r="D233" s="21" t="s">
        <v>1087</v>
      </c>
      <c r="E233" s="21">
        <v>0</v>
      </c>
      <c r="F233" s="21"/>
      <c r="G233" s="22"/>
    </row>
    <row r="234" spans="2:7" s="7" customFormat="1" x14ac:dyDescent="0.15">
      <c r="B234" s="20" t="s">
        <v>411</v>
      </c>
      <c r="C234" s="21" t="s">
        <v>1138</v>
      </c>
      <c r="D234" s="21" t="s">
        <v>1087</v>
      </c>
      <c r="E234" s="21">
        <v>0</v>
      </c>
      <c r="F234" s="21"/>
      <c r="G234" s="22"/>
    </row>
    <row r="235" spans="2:7" s="7" customFormat="1" x14ac:dyDescent="0.15">
      <c r="B235" s="20" t="s">
        <v>915</v>
      </c>
      <c r="C235" s="21" t="s">
        <v>1142</v>
      </c>
      <c r="D235" s="21" t="s">
        <v>1087</v>
      </c>
      <c r="E235" s="21">
        <v>0</v>
      </c>
      <c r="F235" s="21"/>
      <c r="G235" s="22"/>
    </row>
    <row r="236" spans="2:7" s="7" customFormat="1" x14ac:dyDescent="0.15">
      <c r="B236" s="20" t="s">
        <v>916</v>
      </c>
      <c r="C236" s="21" t="s">
        <v>1227</v>
      </c>
      <c r="D236" s="21" t="s">
        <v>1087</v>
      </c>
      <c r="E236" s="21">
        <v>0</v>
      </c>
      <c r="F236" s="21"/>
      <c r="G236" s="22"/>
    </row>
    <row r="237" spans="2:7" s="7" customFormat="1" x14ac:dyDescent="0.15">
      <c r="B237" s="20" t="s">
        <v>917</v>
      </c>
      <c r="C237" s="21" t="s">
        <v>1231</v>
      </c>
      <c r="D237" s="21" t="s">
        <v>1087</v>
      </c>
      <c r="E237" s="21">
        <v>0</v>
      </c>
      <c r="F237" s="21"/>
      <c r="G237" s="22"/>
    </row>
    <row r="238" spans="2:7" s="7" customFormat="1" x14ac:dyDescent="0.15">
      <c r="B238" s="20" t="s">
        <v>918</v>
      </c>
      <c r="C238" s="21" t="s">
        <v>1146</v>
      </c>
      <c r="D238" s="21" t="s">
        <v>1087</v>
      </c>
      <c r="E238" s="21">
        <v>0</v>
      </c>
      <c r="F238" s="21"/>
      <c r="G238" s="22"/>
    </row>
    <row r="239" spans="2:7" s="7" customFormat="1" x14ac:dyDescent="0.15">
      <c r="B239" s="20" t="s">
        <v>862</v>
      </c>
      <c r="C239" s="21" t="s">
        <v>1228</v>
      </c>
      <c r="D239" s="21" t="s">
        <v>1087</v>
      </c>
      <c r="E239" s="21">
        <v>0</v>
      </c>
      <c r="F239" s="21"/>
      <c r="G239" s="22"/>
    </row>
    <row r="240" spans="2:7" s="7" customFormat="1" x14ac:dyDescent="0.15">
      <c r="B240" s="20" t="s">
        <v>864</v>
      </c>
      <c r="C240" s="21" t="s">
        <v>1229</v>
      </c>
      <c r="D240" s="21" t="s">
        <v>1087</v>
      </c>
      <c r="E240" s="21">
        <v>0</v>
      </c>
      <c r="F240" s="21"/>
      <c r="G240" s="22"/>
    </row>
    <row r="241" spans="1:13" s="7" customFormat="1" x14ac:dyDescent="0.15">
      <c r="B241" s="20" t="s">
        <v>919</v>
      </c>
      <c r="C241" s="21" t="s">
        <v>1224</v>
      </c>
      <c r="D241" s="21" t="s">
        <v>1169</v>
      </c>
      <c r="E241" s="21">
        <v>0</v>
      </c>
      <c r="F241" s="21"/>
      <c r="G241" s="22" t="s">
        <v>1111</v>
      </c>
    </row>
    <row r="242" spans="1:13" s="7" customFormat="1" x14ac:dyDescent="0.15">
      <c r="B242" s="20" t="s">
        <v>920</v>
      </c>
      <c r="C242" s="21" t="s">
        <v>1222</v>
      </c>
      <c r="D242" s="21" t="s">
        <v>1211</v>
      </c>
      <c r="E242" s="21">
        <v>0</v>
      </c>
      <c r="F242" s="21"/>
      <c r="G242" s="22"/>
    </row>
    <row r="243" spans="1:13" s="7" customFormat="1" x14ac:dyDescent="0.15">
      <c r="B243" s="20" t="s">
        <v>12</v>
      </c>
      <c r="C243" s="21" t="s">
        <v>1143</v>
      </c>
      <c r="D243" s="21" t="s">
        <v>1169</v>
      </c>
      <c r="E243" s="21">
        <v>0</v>
      </c>
      <c r="F243" s="21"/>
      <c r="G243" s="22"/>
    </row>
    <row r="244" spans="1:13" s="7" customFormat="1" x14ac:dyDescent="0.15">
      <c r="B244" s="20" t="s">
        <v>921</v>
      </c>
      <c r="C244" s="21" t="s">
        <v>1230</v>
      </c>
      <c r="D244" s="21" t="s">
        <v>1169</v>
      </c>
      <c r="E244" s="21">
        <v>0</v>
      </c>
      <c r="F244" s="21"/>
      <c r="G244" s="22"/>
    </row>
    <row r="245" spans="1:13" s="7" customFormat="1" x14ac:dyDescent="0.15">
      <c r="B245" s="20" t="s">
        <v>922</v>
      </c>
      <c r="C245" s="21" t="s">
        <v>1140</v>
      </c>
      <c r="D245" s="21" t="s">
        <v>1169</v>
      </c>
      <c r="E245" s="21">
        <v>0</v>
      </c>
      <c r="F245" s="21"/>
      <c r="G245" s="22"/>
    </row>
    <row r="246" spans="1:13" s="7" customFormat="1" x14ac:dyDescent="0.15">
      <c r="B246" s="20"/>
      <c r="C246" s="21"/>
      <c r="D246" s="21"/>
      <c r="E246" s="21"/>
      <c r="F246" s="21"/>
      <c r="G246" s="22"/>
    </row>
    <row r="247" spans="1:13" s="77" customFormat="1" x14ac:dyDescent="0.15">
      <c r="A247" s="71"/>
      <c r="B247" s="351" t="s">
        <v>15</v>
      </c>
      <c r="C247" s="352"/>
      <c r="D247" s="352"/>
      <c r="E247" s="352"/>
      <c r="F247" s="352"/>
      <c r="G247" s="353"/>
      <c r="H247" s="76"/>
      <c r="I247" s="76"/>
      <c r="J247" s="76"/>
      <c r="K247" s="76"/>
      <c r="L247" s="76"/>
      <c r="M247" s="76"/>
    </row>
    <row r="248" spans="1:13" s="77" customFormat="1" x14ac:dyDescent="0.15">
      <c r="A248" s="71" t="s">
        <v>867</v>
      </c>
      <c r="B248" s="184">
        <v>1</v>
      </c>
      <c r="C248" s="100" t="s">
        <v>796</v>
      </c>
      <c r="D248" s="100" t="s">
        <v>787</v>
      </c>
      <c r="E248" s="100" t="s">
        <v>845</v>
      </c>
      <c r="F248" s="100" t="s">
        <v>884</v>
      </c>
      <c r="G248" s="185" t="s">
        <v>819</v>
      </c>
      <c r="H248" s="76"/>
      <c r="I248" s="76"/>
      <c r="J248" s="76"/>
      <c r="K248" s="76"/>
      <c r="L248" s="76"/>
      <c r="M248" s="76"/>
    </row>
    <row r="249" spans="1:13" s="77" customFormat="1" x14ac:dyDescent="0.15">
      <c r="A249" s="71"/>
      <c r="B249" s="184">
        <v>2</v>
      </c>
      <c r="C249" s="100" t="s">
        <v>16</v>
      </c>
      <c r="D249" s="100" t="s">
        <v>902</v>
      </c>
      <c r="E249" s="100" t="s">
        <v>759</v>
      </c>
      <c r="F249" s="100"/>
      <c r="G249" s="185"/>
      <c r="H249" s="76"/>
      <c r="I249" s="76"/>
      <c r="J249" s="76"/>
      <c r="K249" s="76"/>
      <c r="L249" s="76"/>
      <c r="M249" s="76"/>
    </row>
    <row r="250" spans="1:13" s="76" customFormat="1" x14ac:dyDescent="0.15">
      <c r="A250" s="71"/>
      <c r="B250" s="92"/>
      <c r="C250" s="93"/>
      <c r="D250" s="93"/>
      <c r="E250" s="93"/>
      <c r="F250" s="93"/>
      <c r="G250" s="94"/>
    </row>
    <row r="251" spans="1:13" s="7" customFormat="1" ht="18" thickBot="1" x14ac:dyDescent="0.2"/>
    <row r="252" spans="1:13" s="7" customFormat="1" x14ac:dyDescent="0.15">
      <c r="B252" s="3" t="s">
        <v>749</v>
      </c>
      <c r="C252" s="4" t="s">
        <v>923</v>
      </c>
      <c r="D252" s="5" t="s">
        <v>515</v>
      </c>
      <c r="E252" s="4" t="s">
        <v>1042</v>
      </c>
      <c r="F252" s="5" t="s">
        <v>924</v>
      </c>
      <c r="G252" s="6"/>
    </row>
    <row r="253" spans="1:13" s="7" customFormat="1" ht="18" thickBot="1" x14ac:dyDescent="0.2">
      <c r="B253" s="34" t="s">
        <v>925</v>
      </c>
      <c r="C253" s="18"/>
      <c r="D253" s="35" t="s">
        <v>926</v>
      </c>
      <c r="E253" s="18" t="s">
        <v>927</v>
      </c>
      <c r="F253" s="35"/>
      <c r="G253" s="19"/>
    </row>
    <row r="254" spans="1:13" s="7" customFormat="1" x14ac:dyDescent="0.15">
      <c r="B254" s="3" t="s">
        <v>0</v>
      </c>
      <c r="C254" s="5" t="s">
        <v>1</v>
      </c>
      <c r="D254" s="5" t="s">
        <v>2</v>
      </c>
      <c r="E254" s="5"/>
      <c r="F254" s="5" t="s">
        <v>3</v>
      </c>
      <c r="G254" s="36" t="s">
        <v>4</v>
      </c>
    </row>
    <row r="255" spans="1:13" s="7" customFormat="1" x14ac:dyDescent="0.15">
      <c r="B255" s="20" t="s">
        <v>5</v>
      </c>
      <c r="C255" s="21" t="s">
        <v>1127</v>
      </c>
      <c r="D255" s="21" t="s">
        <v>211</v>
      </c>
      <c r="E255" s="21" t="s">
        <v>1141</v>
      </c>
      <c r="F255" s="21"/>
      <c r="G255" s="22" t="s">
        <v>1162</v>
      </c>
    </row>
    <row r="256" spans="1:13" s="7" customFormat="1" x14ac:dyDescent="0.15">
      <c r="A256" s="2"/>
      <c r="B256" s="14" t="s">
        <v>16</v>
      </c>
      <c r="C256" s="21" t="s">
        <v>1163</v>
      </c>
      <c r="D256" s="21" t="s">
        <v>211</v>
      </c>
      <c r="E256" s="21">
        <v>0</v>
      </c>
      <c r="F256" s="21"/>
      <c r="G256" s="22" t="s">
        <v>1077</v>
      </c>
    </row>
    <row r="257" spans="1:7" s="7" customFormat="1" x14ac:dyDescent="0.15">
      <c r="A257" s="2"/>
      <c r="B257" s="14" t="s">
        <v>111</v>
      </c>
      <c r="C257" s="21" t="s">
        <v>1164</v>
      </c>
      <c r="D257" s="21" t="s">
        <v>211</v>
      </c>
      <c r="E257" s="21">
        <v>0</v>
      </c>
      <c r="F257" s="21"/>
      <c r="G257" s="22" t="s">
        <v>1165</v>
      </c>
    </row>
    <row r="258" spans="1:7" s="7" customFormat="1" x14ac:dyDescent="0.15">
      <c r="A258" s="2"/>
      <c r="B258" s="14" t="s">
        <v>827</v>
      </c>
      <c r="C258" s="21" t="s">
        <v>1187</v>
      </c>
      <c r="D258" s="21" t="s">
        <v>211</v>
      </c>
      <c r="E258" s="21">
        <v>0</v>
      </c>
      <c r="F258" s="21"/>
      <c r="G258" s="22"/>
    </row>
    <row r="259" spans="1:7" s="7" customFormat="1" x14ac:dyDescent="0.15">
      <c r="A259" s="2"/>
      <c r="B259" s="14" t="s">
        <v>328</v>
      </c>
      <c r="C259" s="21" t="s">
        <v>1450</v>
      </c>
      <c r="D259" s="21" t="s">
        <v>1131</v>
      </c>
      <c r="E259" s="21" t="s">
        <v>1074</v>
      </c>
      <c r="F259" s="21"/>
      <c r="G259" s="22"/>
    </row>
    <row r="260" spans="1:7" s="7" customFormat="1" x14ac:dyDescent="0.15">
      <c r="A260" s="2"/>
      <c r="B260" s="14" t="s">
        <v>7</v>
      </c>
      <c r="C260" s="21" t="s">
        <v>1190</v>
      </c>
      <c r="D260" s="21" t="s">
        <v>211</v>
      </c>
      <c r="E260" s="21">
        <v>0</v>
      </c>
      <c r="F260" s="21"/>
      <c r="G260" s="22" t="s">
        <v>1081</v>
      </c>
    </row>
    <row r="261" spans="1:7" s="7" customFormat="1" x14ac:dyDescent="0.15">
      <c r="A261" s="2"/>
      <c r="B261" s="20" t="s">
        <v>881</v>
      </c>
      <c r="C261" s="21" t="s">
        <v>1147</v>
      </c>
      <c r="D261" s="21" t="s">
        <v>211</v>
      </c>
      <c r="E261" s="21">
        <v>0</v>
      </c>
      <c r="F261" s="21"/>
      <c r="G261" s="22"/>
    </row>
    <row r="262" spans="1:7" s="7" customFormat="1" x14ac:dyDescent="0.15">
      <c r="A262" s="2"/>
      <c r="B262" s="14" t="s">
        <v>845</v>
      </c>
      <c r="C262" s="21" t="s">
        <v>1110</v>
      </c>
      <c r="D262" s="21" t="s">
        <v>211</v>
      </c>
      <c r="E262" s="21">
        <v>0</v>
      </c>
      <c r="F262" s="21"/>
      <c r="G262" s="22"/>
    </row>
    <row r="263" spans="1:7" s="7" customFormat="1" x14ac:dyDescent="0.15">
      <c r="A263" s="2"/>
      <c r="B263" s="14" t="s">
        <v>762</v>
      </c>
      <c r="C263" s="21" t="s">
        <v>1215</v>
      </c>
      <c r="D263" s="21" t="s">
        <v>211</v>
      </c>
      <c r="E263" s="21">
        <v>0</v>
      </c>
      <c r="F263" s="21"/>
      <c r="G263" s="22"/>
    </row>
    <row r="264" spans="1:7" s="7" customFormat="1" x14ac:dyDescent="0.15">
      <c r="A264" s="2"/>
      <c r="B264" s="14" t="s">
        <v>767</v>
      </c>
      <c r="C264" s="21" t="s">
        <v>1221</v>
      </c>
      <c r="D264" s="21" t="s">
        <v>211</v>
      </c>
      <c r="E264" s="21">
        <v>0</v>
      </c>
      <c r="F264" s="21"/>
      <c r="G264" s="22"/>
    </row>
    <row r="265" spans="1:7" s="7" customFormat="1" x14ac:dyDescent="0.15">
      <c r="A265" s="2"/>
      <c r="B265" s="17" t="s">
        <v>124</v>
      </c>
      <c r="C265" s="21" t="s">
        <v>1216</v>
      </c>
      <c r="D265" s="21" t="s">
        <v>211</v>
      </c>
      <c r="E265" s="21">
        <v>0</v>
      </c>
      <c r="F265" s="21"/>
      <c r="G265" s="22"/>
    </row>
    <row r="266" spans="1:7" s="7" customFormat="1" x14ac:dyDescent="0.15">
      <c r="A266" s="2"/>
      <c r="B266" s="20" t="s">
        <v>871</v>
      </c>
      <c r="C266" s="21" t="s">
        <v>1217</v>
      </c>
      <c r="D266" s="21" t="s">
        <v>211</v>
      </c>
      <c r="E266" s="21">
        <v>0</v>
      </c>
      <c r="F266" s="21"/>
      <c r="G266" s="22" t="s">
        <v>1082</v>
      </c>
    </row>
    <row r="267" spans="1:7" s="7" customFormat="1" x14ac:dyDescent="0.15">
      <c r="A267" s="2"/>
      <c r="B267" s="17" t="s">
        <v>790</v>
      </c>
      <c r="C267" s="21" t="s">
        <v>1218</v>
      </c>
      <c r="D267" s="21" t="s">
        <v>1219</v>
      </c>
      <c r="E267" s="21" t="s">
        <v>1072</v>
      </c>
      <c r="F267" s="21"/>
      <c r="G267" s="22" t="s">
        <v>1220</v>
      </c>
    </row>
    <row r="268" spans="1:7" s="7" customFormat="1" x14ac:dyDescent="0.15">
      <c r="A268" s="2"/>
      <c r="B268" s="20" t="s">
        <v>8</v>
      </c>
      <c r="C268" s="21" t="s">
        <v>1193</v>
      </c>
      <c r="D268" s="21" t="s">
        <v>1087</v>
      </c>
      <c r="E268" s="21">
        <v>0</v>
      </c>
      <c r="F268" s="21"/>
      <c r="G268" s="22" t="s">
        <v>1194</v>
      </c>
    </row>
    <row r="269" spans="1:7" s="7" customFormat="1" x14ac:dyDescent="0.15">
      <c r="A269" s="2"/>
      <c r="B269" s="20" t="s">
        <v>9</v>
      </c>
      <c r="C269" s="21" t="s">
        <v>1195</v>
      </c>
      <c r="D269" s="21" t="s">
        <v>1087</v>
      </c>
      <c r="E269" s="21">
        <v>0</v>
      </c>
      <c r="F269" s="21"/>
      <c r="G269" s="22" t="s">
        <v>1196</v>
      </c>
    </row>
    <row r="270" spans="1:7" s="7" customFormat="1" x14ac:dyDescent="0.15">
      <c r="A270" s="2"/>
      <c r="B270" s="17" t="s">
        <v>10</v>
      </c>
      <c r="C270" s="21" t="s">
        <v>1197</v>
      </c>
      <c r="D270" s="21" t="s">
        <v>1087</v>
      </c>
      <c r="E270" s="21">
        <v>0</v>
      </c>
      <c r="F270" s="21"/>
      <c r="G270" s="22" t="s">
        <v>1144</v>
      </c>
    </row>
    <row r="271" spans="1:7" s="7" customFormat="1" x14ac:dyDescent="0.15">
      <c r="A271" s="2"/>
      <c r="B271" s="20" t="s">
        <v>11</v>
      </c>
      <c r="C271" s="21" t="s">
        <v>1198</v>
      </c>
      <c r="D271" s="21" t="s">
        <v>1087</v>
      </c>
      <c r="E271" s="21">
        <v>0</v>
      </c>
      <c r="F271" s="21"/>
      <c r="G271" s="22" t="s">
        <v>1080</v>
      </c>
    </row>
    <row r="272" spans="1:7" s="7" customFormat="1" x14ac:dyDescent="0.15">
      <c r="A272" s="2"/>
      <c r="B272" s="20" t="s">
        <v>849</v>
      </c>
      <c r="C272" s="21" t="s">
        <v>1083</v>
      </c>
      <c r="D272" s="21" t="s">
        <v>1087</v>
      </c>
      <c r="E272" s="21">
        <v>0</v>
      </c>
      <c r="F272" s="21"/>
      <c r="G272" s="22"/>
    </row>
    <row r="273" spans="1:7" s="7" customFormat="1" x14ac:dyDescent="0.15">
      <c r="A273" s="2"/>
      <c r="B273" s="20" t="s">
        <v>886</v>
      </c>
      <c r="C273" s="21" t="s">
        <v>1135</v>
      </c>
      <c r="D273" s="21" t="s">
        <v>1087</v>
      </c>
      <c r="E273" s="21">
        <v>0</v>
      </c>
      <c r="F273" s="21"/>
      <c r="G273" s="22"/>
    </row>
    <row r="274" spans="1:7" s="7" customFormat="1" x14ac:dyDescent="0.15">
      <c r="A274" s="2"/>
      <c r="B274" s="20" t="s">
        <v>911</v>
      </c>
      <c r="C274" s="21" t="s">
        <v>1335</v>
      </c>
      <c r="D274" s="21" t="s">
        <v>1087</v>
      </c>
      <c r="E274" s="21">
        <v>0</v>
      </c>
      <c r="F274" s="21"/>
      <c r="G274" s="22"/>
    </row>
    <row r="275" spans="1:7" s="7" customFormat="1" x14ac:dyDescent="0.15">
      <c r="A275" s="2"/>
      <c r="B275" s="20" t="s">
        <v>405</v>
      </c>
      <c r="C275" s="21" t="s">
        <v>1199</v>
      </c>
      <c r="D275" s="21" t="s">
        <v>1087</v>
      </c>
      <c r="E275" s="21">
        <v>0</v>
      </c>
      <c r="F275" s="21"/>
      <c r="G275" s="22"/>
    </row>
    <row r="276" spans="1:7" s="7" customFormat="1" x14ac:dyDescent="0.15">
      <c r="A276" s="2"/>
      <c r="B276" s="20" t="s">
        <v>912</v>
      </c>
      <c r="C276" s="21" t="s">
        <v>1145</v>
      </c>
      <c r="D276" s="21" t="s">
        <v>1087</v>
      </c>
      <c r="E276" s="21">
        <v>0</v>
      </c>
      <c r="F276" s="21"/>
      <c r="G276" s="22"/>
    </row>
    <row r="277" spans="1:7" s="7" customFormat="1" x14ac:dyDescent="0.15">
      <c r="A277" s="2"/>
      <c r="B277" s="20" t="s">
        <v>889</v>
      </c>
      <c r="C277" s="21" t="s">
        <v>1136</v>
      </c>
      <c r="D277" s="21" t="s">
        <v>1087</v>
      </c>
      <c r="E277" s="21">
        <v>0</v>
      </c>
      <c r="F277" s="21"/>
      <c r="G277" s="22"/>
    </row>
    <row r="278" spans="1:7" s="7" customFormat="1" x14ac:dyDescent="0.15">
      <c r="A278" s="2"/>
      <c r="B278" s="20" t="s">
        <v>928</v>
      </c>
      <c r="C278" s="21" t="s">
        <v>1200</v>
      </c>
      <c r="D278" s="21" t="s">
        <v>1087</v>
      </c>
      <c r="E278" s="21">
        <v>0</v>
      </c>
      <c r="F278" s="21"/>
      <c r="G278" s="22"/>
    </row>
    <row r="279" spans="1:7" s="7" customFormat="1" x14ac:dyDescent="0.15">
      <c r="A279" s="2"/>
      <c r="B279" s="20" t="s">
        <v>409</v>
      </c>
      <c r="C279" s="21" t="s">
        <v>1201</v>
      </c>
      <c r="D279" s="21" t="s">
        <v>1087</v>
      </c>
      <c r="E279" s="21">
        <v>0</v>
      </c>
      <c r="F279" s="21"/>
      <c r="G279" s="22"/>
    </row>
    <row r="280" spans="1:7" s="7" customFormat="1" x14ac:dyDescent="0.15">
      <c r="B280" s="20" t="s">
        <v>411</v>
      </c>
      <c r="C280" s="21" t="s">
        <v>1138</v>
      </c>
      <c r="D280" s="21" t="s">
        <v>1087</v>
      </c>
      <c r="E280" s="21">
        <v>0</v>
      </c>
      <c r="F280" s="21"/>
      <c r="G280" s="22"/>
    </row>
    <row r="281" spans="1:7" s="7" customFormat="1" x14ac:dyDescent="0.15">
      <c r="A281" s="2"/>
      <c r="B281" s="20" t="s">
        <v>929</v>
      </c>
      <c r="C281" s="21" t="s">
        <v>1142</v>
      </c>
      <c r="D281" s="21" t="s">
        <v>1087</v>
      </c>
      <c r="E281" s="21">
        <v>0</v>
      </c>
      <c r="F281" s="21"/>
      <c r="G281" s="22"/>
    </row>
    <row r="282" spans="1:7" s="7" customFormat="1" x14ac:dyDescent="0.15">
      <c r="A282" s="2"/>
      <c r="B282" s="20" t="s">
        <v>930</v>
      </c>
      <c r="C282" s="21" t="s">
        <v>1227</v>
      </c>
      <c r="D282" s="21" t="s">
        <v>1087</v>
      </c>
      <c r="E282" s="21">
        <v>0</v>
      </c>
      <c r="F282" s="21"/>
      <c r="G282" s="22"/>
    </row>
    <row r="283" spans="1:7" s="7" customFormat="1" x14ac:dyDescent="0.15">
      <c r="A283" s="2"/>
      <c r="B283" s="20" t="s">
        <v>931</v>
      </c>
      <c r="C283" s="21" t="s">
        <v>1231</v>
      </c>
      <c r="D283" s="21" t="s">
        <v>1087</v>
      </c>
      <c r="E283" s="21">
        <v>0</v>
      </c>
      <c r="F283" s="21"/>
      <c r="G283" s="22"/>
    </row>
    <row r="284" spans="1:7" s="7" customFormat="1" x14ac:dyDescent="0.15">
      <c r="A284" s="2"/>
      <c r="B284" s="20" t="s">
        <v>861</v>
      </c>
      <c r="C284" s="21" t="s">
        <v>1146</v>
      </c>
      <c r="D284" s="21" t="s">
        <v>1087</v>
      </c>
      <c r="E284" s="21">
        <v>0</v>
      </c>
      <c r="F284" s="21"/>
      <c r="G284" s="22"/>
    </row>
    <row r="285" spans="1:7" s="7" customFormat="1" x14ac:dyDescent="0.15">
      <c r="A285" s="2"/>
      <c r="B285" s="20" t="s">
        <v>932</v>
      </c>
      <c r="C285" s="21" t="s">
        <v>1228</v>
      </c>
      <c r="D285" s="21" t="s">
        <v>1087</v>
      </c>
      <c r="E285" s="21">
        <v>0</v>
      </c>
      <c r="F285" s="21"/>
      <c r="G285" s="22"/>
    </row>
    <row r="286" spans="1:7" s="7" customFormat="1" x14ac:dyDescent="0.15">
      <c r="A286" s="2"/>
      <c r="B286" s="20" t="s">
        <v>864</v>
      </c>
      <c r="C286" s="21" t="s">
        <v>1229</v>
      </c>
      <c r="D286" s="21" t="s">
        <v>1087</v>
      </c>
      <c r="E286" s="21">
        <v>0</v>
      </c>
      <c r="F286" s="21"/>
      <c r="G286" s="22"/>
    </row>
    <row r="287" spans="1:7" s="7" customFormat="1" x14ac:dyDescent="0.15">
      <c r="A287" s="2"/>
      <c r="B287" s="17" t="s">
        <v>793</v>
      </c>
      <c r="C287" s="21" t="s">
        <v>1224</v>
      </c>
      <c r="D287" s="21" t="s">
        <v>1169</v>
      </c>
      <c r="E287" s="21">
        <v>0</v>
      </c>
      <c r="F287" s="21"/>
      <c r="G287" s="22" t="s">
        <v>1111</v>
      </c>
    </row>
    <row r="288" spans="1:7" s="7" customFormat="1" x14ac:dyDescent="0.15">
      <c r="A288" s="2"/>
      <c r="B288" s="17" t="s">
        <v>933</v>
      </c>
      <c r="C288" s="21" t="s">
        <v>1222</v>
      </c>
      <c r="D288" s="21" t="s">
        <v>1211</v>
      </c>
      <c r="E288" s="21">
        <v>0</v>
      </c>
      <c r="F288" s="21"/>
      <c r="G288" s="22"/>
    </row>
    <row r="289" spans="1:13" s="7" customFormat="1" x14ac:dyDescent="0.15">
      <c r="B289" s="20" t="s">
        <v>12</v>
      </c>
      <c r="C289" s="21" t="s">
        <v>1143</v>
      </c>
      <c r="D289" s="21" t="s">
        <v>1169</v>
      </c>
      <c r="E289" s="21">
        <v>0</v>
      </c>
      <c r="F289" s="21"/>
      <c r="G289" s="22"/>
    </row>
    <row r="290" spans="1:13" s="7" customFormat="1" x14ac:dyDescent="0.15">
      <c r="A290" s="2"/>
      <c r="B290" s="20" t="s">
        <v>934</v>
      </c>
      <c r="C290" s="21" t="s">
        <v>1230</v>
      </c>
      <c r="D290" s="21" t="s">
        <v>1169</v>
      </c>
      <c r="E290" s="21">
        <v>0</v>
      </c>
      <c r="F290" s="21"/>
      <c r="G290" s="22"/>
    </row>
    <row r="291" spans="1:13" s="7" customFormat="1" x14ac:dyDescent="0.15">
      <c r="B291" s="17" t="s">
        <v>866</v>
      </c>
      <c r="C291" s="21" t="s">
        <v>1140</v>
      </c>
      <c r="D291" s="21" t="s">
        <v>1169</v>
      </c>
      <c r="E291" s="21">
        <v>0</v>
      </c>
      <c r="F291" s="21"/>
      <c r="G291" s="22"/>
    </row>
    <row r="292" spans="1:13" s="7" customFormat="1" x14ac:dyDescent="0.15">
      <c r="A292" s="2"/>
      <c r="B292" s="20"/>
      <c r="C292" s="21"/>
      <c r="D292" s="21"/>
      <c r="E292" s="21"/>
      <c r="F292" s="21"/>
      <c r="G292" s="22"/>
    </row>
    <row r="293" spans="1:13" s="77" customFormat="1" x14ac:dyDescent="0.15">
      <c r="A293" s="71"/>
      <c r="B293" s="351" t="s">
        <v>15</v>
      </c>
      <c r="C293" s="352"/>
      <c r="D293" s="352"/>
      <c r="E293" s="352"/>
      <c r="F293" s="352"/>
      <c r="G293" s="353"/>
      <c r="H293" s="76"/>
      <c r="I293" s="76"/>
      <c r="J293" s="76"/>
      <c r="K293" s="76"/>
      <c r="L293" s="76"/>
      <c r="M293" s="76"/>
    </row>
    <row r="294" spans="1:13" s="77" customFormat="1" x14ac:dyDescent="0.15">
      <c r="A294" s="71" t="s">
        <v>935</v>
      </c>
      <c r="B294" s="184">
        <v>1</v>
      </c>
      <c r="C294" s="100" t="s">
        <v>795</v>
      </c>
      <c r="D294" s="100" t="s">
        <v>796</v>
      </c>
      <c r="E294" s="100" t="s">
        <v>936</v>
      </c>
      <c r="F294" s="100" t="s">
        <v>845</v>
      </c>
      <c r="G294" s="185" t="s">
        <v>124</v>
      </c>
      <c r="H294" s="76" t="s">
        <v>813</v>
      </c>
      <c r="I294" s="76"/>
      <c r="J294" s="76"/>
      <c r="K294" s="76"/>
      <c r="L294" s="76"/>
      <c r="M294" s="76"/>
    </row>
    <row r="295" spans="1:13" s="77" customFormat="1" x14ac:dyDescent="0.15">
      <c r="A295" s="71"/>
      <c r="B295" s="184">
        <v>2</v>
      </c>
      <c r="C295" s="100" t="s">
        <v>795</v>
      </c>
      <c r="D295" s="100" t="s">
        <v>756</v>
      </c>
      <c r="E295" s="100" t="s">
        <v>785</v>
      </c>
      <c r="F295" s="100" t="s">
        <v>937</v>
      </c>
      <c r="G295" s="185"/>
      <c r="H295" s="76"/>
      <c r="I295" s="76"/>
      <c r="J295" s="76"/>
      <c r="K295" s="76"/>
      <c r="L295" s="76"/>
      <c r="M295" s="76"/>
    </row>
    <row r="296" spans="1:13" s="76" customFormat="1" x14ac:dyDescent="0.15">
      <c r="A296" s="71"/>
      <c r="B296" s="92"/>
      <c r="C296" s="93"/>
      <c r="D296" s="93"/>
      <c r="E296" s="93"/>
      <c r="F296" s="93"/>
      <c r="G296" s="94"/>
    </row>
    <row r="297" spans="1:13" s="7" customFormat="1" ht="18" thickBot="1" x14ac:dyDescent="0.2"/>
    <row r="298" spans="1:13" s="77" customFormat="1" x14ac:dyDescent="0.15">
      <c r="A298" s="71"/>
      <c r="B298" s="72" t="s">
        <v>777</v>
      </c>
      <c r="C298" s="73" t="s">
        <v>938</v>
      </c>
      <c r="D298" s="74" t="s">
        <v>515</v>
      </c>
      <c r="E298" s="73" t="s">
        <v>1043</v>
      </c>
      <c r="F298" s="74" t="s">
        <v>805</v>
      </c>
      <c r="G298" s="75"/>
      <c r="H298" s="76"/>
      <c r="I298" s="76"/>
      <c r="J298" s="76"/>
      <c r="K298" s="76"/>
      <c r="L298" s="76"/>
      <c r="M298" s="76"/>
    </row>
    <row r="299" spans="1:13" s="77" customFormat="1" ht="18" thickBot="1" x14ac:dyDescent="0.2">
      <c r="A299" s="71"/>
      <c r="B299" s="78" t="s">
        <v>807</v>
      </c>
      <c r="C299" s="79"/>
      <c r="D299" s="80" t="s">
        <v>826</v>
      </c>
      <c r="E299" s="79" t="s">
        <v>939</v>
      </c>
      <c r="F299" s="80"/>
      <c r="G299" s="81"/>
      <c r="H299" s="76"/>
      <c r="I299" s="76"/>
      <c r="J299" s="76"/>
      <c r="K299" s="76"/>
      <c r="L299" s="76"/>
      <c r="M299" s="76"/>
    </row>
    <row r="300" spans="1:13" s="77" customFormat="1" x14ac:dyDescent="0.15">
      <c r="A300" s="71"/>
      <c r="B300" s="72" t="s">
        <v>0</v>
      </c>
      <c r="C300" s="82" t="s">
        <v>1</v>
      </c>
      <c r="D300" s="82" t="s">
        <v>2</v>
      </c>
      <c r="E300" s="82"/>
      <c r="F300" s="82" t="s">
        <v>3</v>
      </c>
      <c r="G300" s="83" t="s">
        <v>4</v>
      </c>
      <c r="H300" s="76"/>
      <c r="I300" s="76"/>
      <c r="J300" s="76"/>
      <c r="K300" s="76"/>
      <c r="L300" s="76"/>
      <c r="M300" s="76"/>
    </row>
    <row r="301" spans="1:13" s="76" customFormat="1" x14ac:dyDescent="0.15">
      <c r="A301" s="71"/>
      <c r="B301" s="84" t="s">
        <v>788</v>
      </c>
      <c r="C301" s="86" t="s">
        <v>1110</v>
      </c>
      <c r="D301" s="86" t="s">
        <v>211</v>
      </c>
      <c r="E301" s="86">
        <v>0</v>
      </c>
      <c r="F301" s="86"/>
      <c r="G301" s="87"/>
    </row>
    <row r="302" spans="1:13" s="77" customFormat="1" x14ac:dyDescent="0.15">
      <c r="A302" s="71"/>
      <c r="B302" s="84" t="s">
        <v>7</v>
      </c>
      <c r="C302" s="85" t="s">
        <v>1190</v>
      </c>
      <c r="D302" s="85" t="s">
        <v>211</v>
      </c>
      <c r="E302" s="86">
        <v>0</v>
      </c>
      <c r="F302" s="86"/>
      <c r="G302" s="87" t="s">
        <v>1081</v>
      </c>
      <c r="H302" s="76"/>
      <c r="I302" s="76"/>
      <c r="J302" s="76"/>
      <c r="K302" s="76"/>
      <c r="L302" s="76"/>
      <c r="M302" s="76"/>
    </row>
    <row r="303" spans="1:13" s="77" customFormat="1" x14ac:dyDescent="0.15">
      <c r="A303" s="71"/>
      <c r="B303" s="84" t="s">
        <v>940</v>
      </c>
      <c r="C303" s="86" t="s">
        <v>1232</v>
      </c>
      <c r="D303" s="86" t="s">
        <v>1219</v>
      </c>
      <c r="E303" s="86" t="s">
        <v>1072</v>
      </c>
      <c r="F303" s="86"/>
      <c r="G303" s="87"/>
      <c r="H303" s="76"/>
      <c r="I303" s="76"/>
      <c r="J303" s="76"/>
      <c r="K303" s="76"/>
      <c r="L303" s="76"/>
      <c r="M303" s="76"/>
    </row>
    <row r="304" spans="1:13" s="77" customFormat="1" x14ac:dyDescent="0.15">
      <c r="A304" s="71"/>
      <c r="B304" s="84" t="s">
        <v>941</v>
      </c>
      <c r="C304" s="86" t="s">
        <v>1233</v>
      </c>
      <c r="D304" s="86" t="s">
        <v>1073</v>
      </c>
      <c r="E304" s="86" t="s">
        <v>1072</v>
      </c>
      <c r="F304" s="86"/>
      <c r="G304" s="87"/>
      <c r="H304" s="76"/>
      <c r="I304" s="76"/>
      <c r="J304" s="76"/>
      <c r="K304" s="76"/>
      <c r="L304" s="76"/>
      <c r="M304" s="76"/>
    </row>
    <row r="305" spans="1:13" s="77" customFormat="1" x14ac:dyDescent="0.15">
      <c r="A305" s="71"/>
      <c r="B305" s="84" t="s">
        <v>32</v>
      </c>
      <c r="C305" s="86" t="s">
        <v>1112</v>
      </c>
      <c r="D305" s="86" t="s">
        <v>1211</v>
      </c>
      <c r="E305" s="86">
        <v>0</v>
      </c>
      <c r="F305" s="86"/>
      <c r="G305" s="87"/>
      <c r="H305" s="76"/>
      <c r="I305" s="76"/>
      <c r="J305" s="76"/>
      <c r="K305" s="76"/>
      <c r="L305" s="76"/>
      <c r="M305" s="76"/>
    </row>
    <row r="306" spans="1:13" s="77" customFormat="1" x14ac:dyDescent="0.15">
      <c r="A306" s="71"/>
      <c r="B306" s="84" t="s">
        <v>942</v>
      </c>
      <c r="C306" s="86" t="s">
        <v>1223</v>
      </c>
      <c r="D306" s="86" t="s">
        <v>1211</v>
      </c>
      <c r="E306" s="86">
        <v>0</v>
      </c>
      <c r="F306" s="86"/>
      <c r="G306" s="87"/>
      <c r="H306" s="76"/>
      <c r="I306" s="76"/>
      <c r="J306" s="76"/>
      <c r="K306" s="76"/>
      <c r="L306" s="76"/>
      <c r="M306" s="76"/>
    </row>
    <row r="307" spans="1:13" s="77" customFormat="1" x14ac:dyDescent="0.15">
      <c r="A307" s="71"/>
      <c r="B307" s="84" t="s">
        <v>933</v>
      </c>
      <c r="C307" s="86" t="s">
        <v>1222</v>
      </c>
      <c r="D307" s="86" t="s">
        <v>1211</v>
      </c>
      <c r="E307" s="86">
        <v>0</v>
      </c>
      <c r="F307" s="86"/>
      <c r="G307" s="87"/>
      <c r="H307" s="76"/>
      <c r="I307" s="76"/>
      <c r="J307" s="76"/>
      <c r="K307" s="76"/>
      <c r="L307" s="76"/>
      <c r="M307" s="76"/>
    </row>
    <row r="308" spans="1:13" s="77" customFormat="1" x14ac:dyDescent="0.15">
      <c r="A308" s="71"/>
      <c r="B308" s="84" t="s">
        <v>34</v>
      </c>
      <c r="C308" s="86" t="s">
        <v>1113</v>
      </c>
      <c r="D308" s="86" t="s">
        <v>1211</v>
      </c>
      <c r="E308" s="86">
        <v>0</v>
      </c>
      <c r="F308" s="86"/>
      <c r="G308" s="87"/>
      <c r="H308" s="76"/>
      <c r="I308" s="76"/>
      <c r="J308" s="76"/>
      <c r="K308" s="76"/>
      <c r="L308" s="76"/>
      <c r="M308" s="76"/>
    </row>
    <row r="309" spans="1:13" s="77" customFormat="1" x14ac:dyDescent="0.15">
      <c r="A309" s="71"/>
      <c r="B309" s="84" t="s">
        <v>943</v>
      </c>
      <c r="C309" s="86" t="s">
        <v>1234</v>
      </c>
      <c r="D309" s="86" t="s">
        <v>1087</v>
      </c>
      <c r="E309" s="86">
        <v>0</v>
      </c>
      <c r="F309" s="86"/>
      <c r="G309" s="87"/>
      <c r="H309" s="76"/>
      <c r="I309" s="76"/>
      <c r="J309" s="76"/>
      <c r="K309" s="76"/>
      <c r="L309" s="76"/>
      <c r="M309" s="76"/>
    </row>
    <row r="310" spans="1:13" s="77" customFormat="1" x14ac:dyDescent="0.15">
      <c r="A310" s="71"/>
      <c r="B310" s="84" t="s">
        <v>944</v>
      </c>
      <c r="C310" s="86" t="s">
        <v>1235</v>
      </c>
      <c r="D310" s="86" t="s">
        <v>1087</v>
      </c>
      <c r="E310" s="86">
        <v>0</v>
      </c>
      <c r="F310" s="86"/>
      <c r="G310" s="87"/>
      <c r="H310" s="76"/>
      <c r="I310" s="76"/>
      <c r="J310" s="76"/>
      <c r="K310" s="76"/>
      <c r="L310" s="76"/>
      <c r="M310" s="76"/>
    </row>
    <row r="311" spans="1:13" s="77" customFormat="1" x14ac:dyDescent="0.15">
      <c r="A311" s="71"/>
      <c r="B311" s="88" t="s">
        <v>35</v>
      </c>
      <c r="C311" s="86" t="s">
        <v>1236</v>
      </c>
      <c r="D311" s="86" t="s">
        <v>1211</v>
      </c>
      <c r="E311" s="86">
        <v>0</v>
      </c>
      <c r="F311" s="86"/>
      <c r="G311" s="87"/>
      <c r="H311" s="76"/>
      <c r="I311" s="76"/>
      <c r="J311" s="76"/>
      <c r="K311" s="76"/>
      <c r="L311" s="76"/>
      <c r="M311" s="76"/>
    </row>
    <row r="312" spans="1:13" s="77" customFormat="1" x14ac:dyDescent="0.15">
      <c r="A312" s="71"/>
      <c r="B312" s="88" t="s">
        <v>33</v>
      </c>
      <c r="C312" s="86" t="s">
        <v>1237</v>
      </c>
      <c r="D312" s="86" t="s">
        <v>1211</v>
      </c>
      <c r="E312" s="86">
        <v>0</v>
      </c>
      <c r="F312" s="86"/>
      <c r="G312" s="87"/>
      <c r="H312" s="76"/>
      <c r="I312" s="76"/>
      <c r="J312" s="76"/>
      <c r="K312" s="76"/>
      <c r="L312" s="76"/>
      <c r="M312" s="76"/>
    </row>
    <row r="313" spans="1:13" s="77" customFormat="1" x14ac:dyDescent="0.15">
      <c r="A313" s="71"/>
      <c r="B313" s="88" t="s">
        <v>945</v>
      </c>
      <c r="C313" s="86" t="s">
        <v>1238</v>
      </c>
      <c r="D313" s="86" t="s">
        <v>1211</v>
      </c>
      <c r="E313" s="86">
        <v>0</v>
      </c>
      <c r="F313" s="86"/>
      <c r="G313" s="87"/>
      <c r="H313" s="76"/>
      <c r="I313" s="76"/>
      <c r="J313" s="76"/>
      <c r="K313" s="76"/>
      <c r="L313" s="76"/>
      <c r="M313" s="76"/>
    </row>
    <row r="314" spans="1:13" s="77" customFormat="1" x14ac:dyDescent="0.15">
      <c r="A314" s="71"/>
      <c r="B314" s="88" t="s">
        <v>946</v>
      </c>
      <c r="C314" s="86" t="s">
        <v>1148</v>
      </c>
      <c r="D314" s="86" t="s">
        <v>1211</v>
      </c>
      <c r="E314" s="86">
        <v>0</v>
      </c>
      <c r="F314" s="86"/>
      <c r="G314" s="87"/>
      <c r="H314" s="76"/>
      <c r="I314" s="76"/>
      <c r="J314" s="76"/>
      <c r="K314" s="76"/>
      <c r="L314" s="76"/>
      <c r="M314" s="76"/>
    </row>
    <row r="315" spans="1:13" s="77" customFormat="1" x14ac:dyDescent="0.15">
      <c r="A315" s="71"/>
      <c r="B315" s="88" t="s">
        <v>947</v>
      </c>
      <c r="C315" s="86" t="s">
        <v>1531</v>
      </c>
      <c r="D315" s="86" t="s">
        <v>1087</v>
      </c>
      <c r="E315" s="86">
        <v>0</v>
      </c>
      <c r="F315" s="86"/>
      <c r="G315" s="87"/>
      <c r="H315" s="76"/>
      <c r="I315" s="76"/>
      <c r="J315" s="76"/>
      <c r="K315" s="76"/>
      <c r="L315" s="76"/>
      <c r="M315" s="76"/>
    </row>
    <row r="316" spans="1:13" s="77" customFormat="1" x14ac:dyDescent="0.15">
      <c r="A316" s="71"/>
      <c r="B316" s="88" t="s">
        <v>948</v>
      </c>
      <c r="C316" s="86" t="s">
        <v>1239</v>
      </c>
      <c r="D316" s="86" t="s">
        <v>1087</v>
      </c>
      <c r="E316" s="86">
        <v>0</v>
      </c>
      <c r="F316" s="86"/>
      <c r="G316" s="87"/>
      <c r="H316" s="76"/>
      <c r="I316" s="76"/>
      <c r="J316" s="76"/>
      <c r="K316" s="76"/>
      <c r="L316" s="76"/>
      <c r="M316" s="76"/>
    </row>
    <row r="317" spans="1:13" s="77" customFormat="1" x14ac:dyDescent="0.15">
      <c r="A317" s="71"/>
      <c r="B317" s="88" t="s">
        <v>29</v>
      </c>
      <c r="C317" s="86" t="s">
        <v>1075</v>
      </c>
      <c r="D317" s="86" t="s">
        <v>1211</v>
      </c>
      <c r="E317" s="86">
        <v>0</v>
      </c>
      <c r="F317" s="86"/>
      <c r="G317" s="87"/>
      <c r="H317" s="76"/>
      <c r="I317" s="76"/>
      <c r="J317" s="76"/>
      <c r="K317" s="76"/>
      <c r="L317" s="76"/>
      <c r="M317" s="76"/>
    </row>
    <row r="318" spans="1:13" s="77" customFormat="1" x14ac:dyDescent="0.15">
      <c r="A318" s="71"/>
      <c r="B318" s="88" t="s">
        <v>30</v>
      </c>
      <c r="C318" s="86" t="s">
        <v>1240</v>
      </c>
      <c r="D318" s="86" t="s">
        <v>1211</v>
      </c>
      <c r="E318" s="86">
        <v>0</v>
      </c>
      <c r="F318" s="86"/>
      <c r="G318" s="87"/>
      <c r="H318" s="76"/>
      <c r="I318" s="76"/>
      <c r="J318" s="76"/>
      <c r="K318" s="76"/>
      <c r="L318" s="76"/>
      <c r="M318" s="76"/>
    </row>
    <row r="319" spans="1:13" s="77" customFormat="1" x14ac:dyDescent="0.15">
      <c r="A319" s="71"/>
      <c r="B319" s="88" t="s">
        <v>38</v>
      </c>
      <c r="C319" s="86" t="s">
        <v>1241</v>
      </c>
      <c r="D319" s="86" t="s">
        <v>1087</v>
      </c>
      <c r="E319" s="86">
        <v>0</v>
      </c>
      <c r="F319" s="86"/>
      <c r="G319" s="87" t="s">
        <v>1086</v>
      </c>
      <c r="H319" s="76"/>
      <c r="I319" s="76"/>
      <c r="J319" s="76"/>
      <c r="K319" s="76"/>
      <c r="L319" s="76"/>
      <c r="M319" s="76"/>
    </row>
    <row r="320" spans="1:13" s="77" customFormat="1" x14ac:dyDescent="0.15">
      <c r="A320" s="71"/>
      <c r="B320" s="88" t="s">
        <v>39</v>
      </c>
      <c r="C320" s="86" t="s">
        <v>1242</v>
      </c>
      <c r="D320" s="86" t="s">
        <v>1169</v>
      </c>
      <c r="E320" s="86">
        <v>0</v>
      </c>
      <c r="F320" s="86"/>
      <c r="G320" s="87" t="s">
        <v>1243</v>
      </c>
      <c r="H320" s="76"/>
      <c r="I320" s="76"/>
      <c r="J320" s="76"/>
      <c r="K320" s="76"/>
      <c r="L320" s="76"/>
      <c r="M320" s="76"/>
    </row>
    <row r="321" spans="1:13" s="76" customFormat="1" x14ac:dyDescent="0.15">
      <c r="A321" s="71"/>
      <c r="B321" s="88" t="s">
        <v>42</v>
      </c>
      <c r="C321" s="86" t="s">
        <v>1084</v>
      </c>
      <c r="D321" s="86" t="s">
        <v>1211</v>
      </c>
      <c r="E321" s="86">
        <v>0</v>
      </c>
      <c r="F321" s="86"/>
      <c r="G321" s="87"/>
    </row>
    <row r="322" spans="1:13" s="77" customFormat="1" x14ac:dyDescent="0.15">
      <c r="A322" s="71"/>
      <c r="B322" s="88" t="s">
        <v>43</v>
      </c>
      <c r="C322" s="86" t="s">
        <v>1149</v>
      </c>
      <c r="D322" s="86" t="s">
        <v>1087</v>
      </c>
      <c r="E322" s="86">
        <v>0</v>
      </c>
      <c r="F322" s="86"/>
      <c r="G322" s="87"/>
      <c r="H322" s="76"/>
      <c r="I322" s="76"/>
      <c r="J322" s="76"/>
      <c r="K322" s="76"/>
      <c r="L322" s="76"/>
      <c r="M322" s="76"/>
    </row>
    <row r="323" spans="1:13" s="77" customFormat="1" x14ac:dyDescent="0.15">
      <c r="A323" s="71"/>
      <c r="B323" s="88" t="s">
        <v>44</v>
      </c>
      <c r="C323" s="86" t="s">
        <v>1100</v>
      </c>
      <c r="D323" s="86" t="s">
        <v>1211</v>
      </c>
      <c r="E323" s="86">
        <v>0</v>
      </c>
      <c r="F323" s="86"/>
      <c r="G323" s="87"/>
      <c r="H323" s="76"/>
      <c r="I323" s="76"/>
      <c r="J323" s="76"/>
      <c r="K323" s="76"/>
      <c r="L323" s="76"/>
      <c r="M323" s="76"/>
    </row>
    <row r="324" spans="1:13" s="77" customFormat="1" x14ac:dyDescent="0.15">
      <c r="A324" s="71"/>
      <c r="B324" s="88" t="s">
        <v>45</v>
      </c>
      <c r="C324" s="86" t="s">
        <v>1244</v>
      </c>
      <c r="D324" s="86" t="s">
        <v>1087</v>
      </c>
      <c r="E324" s="86">
        <v>0</v>
      </c>
      <c r="F324" s="86"/>
      <c r="G324" s="87"/>
      <c r="H324" s="76"/>
      <c r="I324" s="76"/>
      <c r="J324" s="76"/>
      <c r="K324" s="76"/>
      <c r="L324" s="76"/>
      <c r="M324" s="76"/>
    </row>
    <row r="325" spans="1:13" s="77" customFormat="1" x14ac:dyDescent="0.15">
      <c r="A325" s="71"/>
      <c r="B325" s="88" t="s">
        <v>46</v>
      </c>
      <c r="C325" s="86" t="s">
        <v>1245</v>
      </c>
      <c r="D325" s="86" t="s">
        <v>1211</v>
      </c>
      <c r="E325" s="86">
        <v>0</v>
      </c>
      <c r="F325" s="86"/>
      <c r="G325" s="87"/>
      <c r="H325" s="76"/>
      <c r="I325" s="76"/>
      <c r="J325" s="76"/>
      <c r="K325" s="76"/>
      <c r="L325" s="76"/>
      <c r="M325" s="76"/>
    </row>
    <row r="326" spans="1:13" s="77" customFormat="1" x14ac:dyDescent="0.15">
      <c r="A326" s="71"/>
      <c r="B326" s="88" t="s">
        <v>47</v>
      </c>
      <c r="C326" s="86" t="s">
        <v>1114</v>
      </c>
      <c r="D326" s="86" t="s">
        <v>1087</v>
      </c>
      <c r="E326" s="86">
        <v>0</v>
      </c>
      <c r="F326" s="86"/>
      <c r="G326" s="87"/>
      <c r="H326" s="76"/>
      <c r="I326" s="76"/>
      <c r="J326" s="76"/>
      <c r="K326" s="76"/>
      <c r="L326" s="76"/>
      <c r="M326" s="76"/>
    </row>
    <row r="327" spans="1:13" s="77" customFormat="1" x14ac:dyDescent="0.15">
      <c r="A327" s="71"/>
      <c r="B327" s="88" t="s">
        <v>48</v>
      </c>
      <c r="C327" s="86" t="s">
        <v>1532</v>
      </c>
      <c r="D327" s="86" t="s">
        <v>1211</v>
      </c>
      <c r="E327" s="86">
        <v>0</v>
      </c>
      <c r="F327" s="86"/>
      <c r="G327" s="87"/>
      <c r="H327" s="76"/>
      <c r="I327" s="76"/>
      <c r="J327" s="76"/>
      <c r="K327" s="76"/>
      <c r="L327" s="76"/>
      <c r="M327" s="76"/>
    </row>
    <row r="328" spans="1:13" s="77" customFormat="1" x14ac:dyDescent="0.15">
      <c r="A328" s="71"/>
      <c r="B328" s="88" t="s">
        <v>49</v>
      </c>
      <c r="C328" s="86" t="s">
        <v>1246</v>
      </c>
      <c r="D328" s="86" t="s">
        <v>1087</v>
      </c>
      <c r="E328" s="86">
        <v>0</v>
      </c>
      <c r="F328" s="86"/>
      <c r="G328" s="87"/>
      <c r="H328" s="76"/>
      <c r="I328" s="76"/>
      <c r="J328" s="76"/>
      <c r="K328" s="76"/>
      <c r="L328" s="76"/>
      <c r="M328" s="76"/>
    </row>
    <row r="329" spans="1:13" s="77" customFormat="1" x14ac:dyDescent="0.15">
      <c r="A329" s="71"/>
      <c r="B329" s="88" t="s">
        <v>50</v>
      </c>
      <c r="C329" s="86" t="s">
        <v>1247</v>
      </c>
      <c r="D329" s="86" t="s">
        <v>1211</v>
      </c>
      <c r="E329" s="86">
        <v>0</v>
      </c>
      <c r="F329" s="86"/>
      <c r="G329" s="87"/>
      <c r="H329" s="76"/>
      <c r="I329" s="76"/>
      <c r="J329" s="76"/>
      <c r="K329" s="76"/>
      <c r="L329" s="76"/>
      <c r="M329" s="76"/>
    </row>
    <row r="330" spans="1:13" s="77" customFormat="1" x14ac:dyDescent="0.15">
      <c r="A330" s="71"/>
      <c r="B330" s="88" t="s">
        <v>51</v>
      </c>
      <c r="C330" s="86" t="s">
        <v>1248</v>
      </c>
      <c r="D330" s="86" t="s">
        <v>1087</v>
      </c>
      <c r="E330" s="86">
        <v>0</v>
      </c>
      <c r="F330" s="86"/>
      <c r="G330" s="87"/>
      <c r="H330" s="76"/>
      <c r="I330" s="76"/>
      <c r="J330" s="76"/>
      <c r="K330" s="76"/>
      <c r="L330" s="76"/>
      <c r="M330" s="76"/>
    </row>
    <row r="331" spans="1:13" s="77" customFormat="1" x14ac:dyDescent="0.15">
      <c r="A331" s="71"/>
      <c r="B331" s="88" t="s">
        <v>52</v>
      </c>
      <c r="C331" s="86" t="s">
        <v>1249</v>
      </c>
      <c r="D331" s="86" t="s">
        <v>1211</v>
      </c>
      <c r="E331" s="86">
        <v>0</v>
      </c>
      <c r="F331" s="86"/>
      <c r="G331" s="87"/>
      <c r="H331" s="76"/>
      <c r="I331" s="76"/>
      <c r="J331" s="76"/>
      <c r="K331" s="76"/>
      <c r="L331" s="76"/>
      <c r="M331" s="76"/>
    </row>
    <row r="332" spans="1:13" s="77" customFormat="1" x14ac:dyDescent="0.15">
      <c r="A332" s="71"/>
      <c r="B332" s="88" t="s">
        <v>53</v>
      </c>
      <c r="C332" s="86" t="s">
        <v>1250</v>
      </c>
      <c r="D332" s="86" t="s">
        <v>1087</v>
      </c>
      <c r="E332" s="86">
        <v>0</v>
      </c>
      <c r="F332" s="86"/>
      <c r="G332" s="87"/>
      <c r="H332" s="76"/>
      <c r="I332" s="76"/>
      <c r="J332" s="76"/>
      <c r="K332" s="76"/>
      <c r="L332" s="76"/>
      <c r="M332" s="76"/>
    </row>
    <row r="333" spans="1:13" s="77" customFormat="1" x14ac:dyDescent="0.15">
      <c r="A333" s="71"/>
      <c r="B333" s="88" t="s">
        <v>54</v>
      </c>
      <c r="C333" s="86" t="s">
        <v>1251</v>
      </c>
      <c r="D333" s="86" t="s">
        <v>1211</v>
      </c>
      <c r="E333" s="86">
        <v>0</v>
      </c>
      <c r="F333" s="86"/>
      <c r="G333" s="87"/>
      <c r="H333" s="76"/>
      <c r="I333" s="76"/>
      <c r="J333" s="76"/>
      <c r="K333" s="76"/>
      <c r="L333" s="76"/>
      <c r="M333" s="76"/>
    </row>
    <row r="334" spans="1:13" s="77" customFormat="1" x14ac:dyDescent="0.15">
      <c r="A334" s="71"/>
      <c r="B334" s="88" t="s">
        <v>55</v>
      </c>
      <c r="C334" s="86" t="s">
        <v>1252</v>
      </c>
      <c r="D334" s="86" t="s">
        <v>1087</v>
      </c>
      <c r="E334" s="86">
        <v>0</v>
      </c>
      <c r="F334" s="86"/>
      <c r="G334" s="87"/>
      <c r="H334" s="76"/>
      <c r="I334" s="76"/>
      <c r="J334" s="76"/>
      <c r="K334" s="76"/>
      <c r="L334" s="76"/>
      <c r="M334" s="76"/>
    </row>
    <row r="335" spans="1:13" s="77" customFormat="1" x14ac:dyDescent="0.15">
      <c r="A335" s="71"/>
      <c r="B335" s="88" t="s">
        <v>56</v>
      </c>
      <c r="C335" s="86" t="s">
        <v>1253</v>
      </c>
      <c r="D335" s="86" t="s">
        <v>1211</v>
      </c>
      <c r="E335" s="86">
        <v>0</v>
      </c>
      <c r="F335" s="86"/>
      <c r="G335" s="87"/>
      <c r="H335" s="76"/>
      <c r="I335" s="76"/>
      <c r="J335" s="76"/>
      <c r="K335" s="76"/>
      <c r="L335" s="76"/>
      <c r="M335" s="76"/>
    </row>
    <row r="336" spans="1:13" s="77" customFormat="1" x14ac:dyDescent="0.15">
      <c r="A336" s="71"/>
      <c r="B336" s="88" t="s">
        <v>57</v>
      </c>
      <c r="C336" s="86" t="s">
        <v>1262</v>
      </c>
      <c r="D336" s="86" t="s">
        <v>1087</v>
      </c>
      <c r="E336" s="86">
        <v>0</v>
      </c>
      <c r="F336" s="86"/>
      <c r="G336" s="87"/>
      <c r="H336" s="76"/>
      <c r="I336" s="76"/>
      <c r="J336" s="76"/>
      <c r="K336" s="76"/>
      <c r="L336" s="76"/>
      <c r="M336" s="76"/>
    </row>
    <row r="337" spans="1:13" s="77" customFormat="1" x14ac:dyDescent="0.15">
      <c r="A337" s="71"/>
      <c r="B337" s="88" t="s">
        <v>58</v>
      </c>
      <c r="C337" s="86" t="s">
        <v>1254</v>
      </c>
      <c r="D337" s="86" t="s">
        <v>1211</v>
      </c>
      <c r="E337" s="86">
        <v>0</v>
      </c>
      <c r="F337" s="86"/>
      <c r="G337" s="87"/>
      <c r="H337" s="76"/>
      <c r="I337" s="76"/>
      <c r="J337" s="76"/>
      <c r="K337" s="76"/>
      <c r="L337" s="76"/>
      <c r="M337" s="76"/>
    </row>
    <row r="338" spans="1:13" s="77" customFormat="1" x14ac:dyDescent="0.15">
      <c r="A338" s="71"/>
      <c r="B338" s="88" t="s">
        <v>59</v>
      </c>
      <c r="C338" s="86" t="s">
        <v>1255</v>
      </c>
      <c r="D338" s="86" t="s">
        <v>1087</v>
      </c>
      <c r="E338" s="86">
        <v>0</v>
      </c>
      <c r="F338" s="86"/>
      <c r="G338" s="87"/>
      <c r="H338" s="76"/>
      <c r="I338" s="76"/>
      <c r="J338" s="76"/>
      <c r="K338" s="76"/>
      <c r="L338" s="76"/>
      <c r="M338" s="76"/>
    </row>
    <row r="339" spans="1:13" s="77" customFormat="1" x14ac:dyDescent="0.15">
      <c r="A339" s="71"/>
      <c r="B339" s="88" t="s">
        <v>60</v>
      </c>
      <c r="C339" s="86" t="s">
        <v>1256</v>
      </c>
      <c r="D339" s="86" t="s">
        <v>1211</v>
      </c>
      <c r="E339" s="86">
        <v>0</v>
      </c>
      <c r="F339" s="86"/>
      <c r="G339" s="87"/>
      <c r="H339" s="76"/>
      <c r="I339" s="76"/>
      <c r="J339" s="76"/>
      <c r="K339" s="76"/>
      <c r="L339" s="76"/>
      <c r="M339" s="76"/>
    </row>
    <row r="340" spans="1:13" s="77" customFormat="1" x14ac:dyDescent="0.15">
      <c r="A340" s="71"/>
      <c r="B340" s="88" t="s">
        <v>61</v>
      </c>
      <c r="C340" s="86" t="s">
        <v>1257</v>
      </c>
      <c r="D340" s="86" t="s">
        <v>1087</v>
      </c>
      <c r="E340" s="86">
        <v>0</v>
      </c>
      <c r="F340" s="86"/>
      <c r="G340" s="87"/>
      <c r="H340" s="76"/>
      <c r="I340" s="76"/>
      <c r="J340" s="76"/>
      <c r="K340" s="76"/>
      <c r="L340" s="76"/>
      <c r="M340" s="76"/>
    </row>
    <row r="341" spans="1:13" s="77" customFormat="1" x14ac:dyDescent="0.15">
      <c r="A341" s="71"/>
      <c r="B341" s="88" t="s">
        <v>949</v>
      </c>
      <c r="C341" s="86" t="s">
        <v>1215</v>
      </c>
      <c r="D341" s="86" t="s">
        <v>211</v>
      </c>
      <c r="E341" s="86">
        <v>0</v>
      </c>
      <c r="F341" s="86"/>
      <c r="G341" s="87"/>
      <c r="H341" s="76"/>
      <c r="I341" s="76"/>
      <c r="J341" s="76"/>
      <c r="K341" s="76"/>
      <c r="L341" s="76"/>
      <c r="M341" s="76"/>
    </row>
    <row r="342" spans="1:13" s="77" customFormat="1" x14ac:dyDescent="0.15">
      <c r="A342" s="71"/>
      <c r="B342" s="88" t="s">
        <v>950</v>
      </c>
      <c r="C342" s="86" t="s">
        <v>1258</v>
      </c>
      <c r="D342" s="86" t="s">
        <v>211</v>
      </c>
      <c r="E342" s="86">
        <v>0</v>
      </c>
      <c r="F342" s="86"/>
      <c r="G342" s="87" t="s">
        <v>1259</v>
      </c>
      <c r="H342" s="76"/>
      <c r="I342" s="76"/>
      <c r="J342" s="76"/>
      <c r="K342" s="76"/>
      <c r="L342" s="76"/>
      <c r="M342" s="76"/>
    </row>
    <row r="343" spans="1:13" s="76" customFormat="1" x14ac:dyDescent="0.15">
      <c r="A343" s="71"/>
      <c r="B343" s="84" t="s">
        <v>184</v>
      </c>
      <c r="C343" s="86" t="s">
        <v>1260</v>
      </c>
      <c r="D343" s="86" t="s">
        <v>211</v>
      </c>
      <c r="E343" s="86" t="s">
        <v>1261</v>
      </c>
      <c r="F343" s="86"/>
      <c r="G343" s="87"/>
    </row>
    <row r="344" spans="1:13" s="77" customFormat="1" ht="18" thickBot="1" x14ac:dyDescent="0.2">
      <c r="A344" s="71"/>
      <c r="B344" s="89"/>
      <c r="C344" s="90"/>
      <c r="D344" s="90"/>
      <c r="E344" s="90"/>
      <c r="F344" s="90"/>
      <c r="G344" s="91"/>
      <c r="H344" s="76"/>
      <c r="I344" s="76"/>
      <c r="J344" s="76"/>
      <c r="K344" s="76"/>
      <c r="L344" s="76"/>
      <c r="M344" s="76"/>
    </row>
    <row r="345" spans="1:13" s="77" customFormat="1" x14ac:dyDescent="0.15">
      <c r="A345" s="71"/>
      <c r="B345" s="351" t="s">
        <v>15</v>
      </c>
      <c r="C345" s="352"/>
      <c r="D345" s="352"/>
      <c r="E345" s="352"/>
      <c r="F345" s="352"/>
      <c r="G345" s="353"/>
      <c r="H345" s="76"/>
      <c r="I345" s="76"/>
      <c r="J345" s="76"/>
      <c r="K345" s="76"/>
      <c r="L345" s="76"/>
      <c r="M345" s="76"/>
    </row>
    <row r="346" spans="1:13" s="77" customFormat="1" x14ac:dyDescent="0.15">
      <c r="A346" s="71" t="s">
        <v>867</v>
      </c>
      <c r="B346" s="184">
        <v>1</v>
      </c>
      <c r="C346" s="100" t="s">
        <v>845</v>
      </c>
      <c r="D346" s="100"/>
      <c r="E346" s="100"/>
      <c r="F346" s="100"/>
      <c r="G346" s="185"/>
      <c r="H346" s="76"/>
      <c r="I346" s="76"/>
      <c r="J346" s="76"/>
      <c r="K346" s="76"/>
      <c r="L346" s="76"/>
      <c r="M346" s="76"/>
    </row>
    <row r="347" spans="1:13" s="77" customFormat="1" x14ac:dyDescent="0.15">
      <c r="A347" s="71"/>
      <c r="B347" s="184">
        <v>2</v>
      </c>
      <c r="C347" s="100" t="s">
        <v>951</v>
      </c>
      <c r="D347" s="100" t="s">
        <v>952</v>
      </c>
      <c r="E347" s="100"/>
      <c r="F347" s="100"/>
      <c r="G347" s="185"/>
      <c r="H347" s="76"/>
      <c r="I347" s="76"/>
      <c r="J347" s="76"/>
      <c r="K347" s="76"/>
      <c r="L347" s="76"/>
      <c r="M347" s="76"/>
    </row>
    <row r="348" spans="1:13" s="76" customFormat="1" x14ac:dyDescent="0.15">
      <c r="A348" s="71"/>
      <c r="B348" s="92">
        <v>3</v>
      </c>
      <c r="C348" s="93" t="s">
        <v>184</v>
      </c>
      <c r="D348" s="93"/>
      <c r="E348" s="93"/>
      <c r="F348" s="93"/>
      <c r="G348" s="94"/>
    </row>
    <row r="349" spans="1:13" s="7" customFormat="1" ht="18" thickBot="1" x14ac:dyDescent="0.2"/>
    <row r="350" spans="1:13" s="77" customFormat="1" x14ac:dyDescent="0.15">
      <c r="A350" s="71"/>
      <c r="B350" s="72" t="s">
        <v>903</v>
      </c>
      <c r="C350" s="73" t="s">
        <v>953</v>
      </c>
      <c r="D350" s="74" t="s">
        <v>954</v>
      </c>
      <c r="E350" s="73" t="s">
        <v>1044</v>
      </c>
      <c r="F350" s="74" t="s">
        <v>822</v>
      </c>
      <c r="G350" s="75"/>
      <c r="H350" s="76"/>
      <c r="I350" s="76"/>
      <c r="J350" s="76"/>
      <c r="K350" s="76"/>
      <c r="L350" s="76"/>
      <c r="M350" s="76"/>
    </row>
    <row r="351" spans="1:13" s="77" customFormat="1" ht="18" thickBot="1" x14ac:dyDescent="0.2">
      <c r="A351" s="71"/>
      <c r="B351" s="78" t="s">
        <v>824</v>
      </c>
      <c r="C351" s="79"/>
      <c r="D351" s="80" t="s">
        <v>955</v>
      </c>
      <c r="E351" s="79" t="s">
        <v>956</v>
      </c>
      <c r="F351" s="80"/>
      <c r="G351" s="81"/>
      <c r="H351" s="76"/>
      <c r="I351" s="76"/>
      <c r="J351" s="76"/>
      <c r="K351" s="76"/>
      <c r="L351" s="76"/>
      <c r="M351" s="76"/>
    </row>
    <row r="352" spans="1:13" s="77" customFormat="1" x14ac:dyDescent="0.15">
      <c r="A352" s="71"/>
      <c r="B352" s="72" t="s">
        <v>0</v>
      </c>
      <c r="C352" s="82" t="s">
        <v>1</v>
      </c>
      <c r="D352" s="82" t="s">
        <v>2</v>
      </c>
      <c r="E352" s="82"/>
      <c r="F352" s="82" t="s">
        <v>3</v>
      </c>
      <c r="G352" s="83" t="s">
        <v>4</v>
      </c>
      <c r="H352" s="76"/>
      <c r="I352" s="76"/>
      <c r="J352" s="76"/>
      <c r="K352" s="76"/>
      <c r="L352" s="76"/>
      <c r="M352" s="76"/>
    </row>
    <row r="353" spans="1:13" s="77" customFormat="1" x14ac:dyDescent="0.15">
      <c r="A353" s="71"/>
      <c r="B353" s="84" t="s">
        <v>795</v>
      </c>
      <c r="C353" s="86" t="s">
        <v>1127</v>
      </c>
      <c r="D353" s="86" t="s">
        <v>211</v>
      </c>
      <c r="E353" s="86" t="s">
        <v>1141</v>
      </c>
      <c r="F353" s="86"/>
      <c r="G353" s="87" t="s">
        <v>1162</v>
      </c>
      <c r="H353" s="76"/>
      <c r="I353" s="76"/>
      <c r="J353" s="76"/>
      <c r="K353" s="76"/>
      <c r="L353" s="76"/>
      <c r="M353" s="76"/>
    </row>
    <row r="354" spans="1:13" s="76" customFormat="1" x14ac:dyDescent="0.15">
      <c r="A354" s="71"/>
      <c r="B354" s="84" t="s">
        <v>845</v>
      </c>
      <c r="C354" s="86" t="s">
        <v>1110</v>
      </c>
      <c r="D354" s="86" t="s">
        <v>211</v>
      </c>
      <c r="E354" s="86">
        <v>0</v>
      </c>
      <c r="F354" s="86"/>
      <c r="G354" s="87"/>
    </row>
    <row r="355" spans="1:13" s="77" customFormat="1" x14ac:dyDescent="0.15">
      <c r="A355" s="71"/>
      <c r="B355" s="84" t="s">
        <v>7</v>
      </c>
      <c r="C355" s="85" t="s">
        <v>1190</v>
      </c>
      <c r="D355" s="85" t="s">
        <v>211</v>
      </c>
      <c r="E355" s="86">
        <v>0</v>
      </c>
      <c r="F355" s="86"/>
      <c r="G355" s="87" t="s">
        <v>1081</v>
      </c>
      <c r="H355" s="76"/>
      <c r="I355" s="76"/>
      <c r="J355" s="76"/>
      <c r="K355" s="76"/>
      <c r="L355" s="76"/>
      <c r="M355" s="76"/>
    </row>
    <row r="356" spans="1:13" s="77" customFormat="1" x14ac:dyDescent="0.15">
      <c r="A356" s="71"/>
      <c r="B356" s="84" t="s">
        <v>940</v>
      </c>
      <c r="C356" s="86" t="s">
        <v>1232</v>
      </c>
      <c r="D356" s="86" t="s">
        <v>1219</v>
      </c>
      <c r="E356" s="86" t="s">
        <v>1072</v>
      </c>
      <c r="F356" s="86"/>
      <c r="G356" s="87"/>
      <c r="H356" s="76"/>
      <c r="I356" s="76"/>
      <c r="J356" s="76"/>
      <c r="K356" s="76"/>
      <c r="L356" s="76"/>
      <c r="M356" s="76"/>
    </row>
    <row r="357" spans="1:13" s="77" customFormat="1" x14ac:dyDescent="0.15">
      <c r="A357" s="71"/>
      <c r="B357" s="84" t="s">
        <v>957</v>
      </c>
      <c r="C357" s="86" t="s">
        <v>1233</v>
      </c>
      <c r="D357" s="86" t="s">
        <v>1073</v>
      </c>
      <c r="E357" s="86" t="s">
        <v>1072</v>
      </c>
      <c r="F357" s="86"/>
      <c r="G357" s="87"/>
      <c r="H357" s="76"/>
      <c r="I357" s="76"/>
      <c r="J357" s="76"/>
      <c r="K357" s="76"/>
      <c r="L357" s="76"/>
      <c r="M357" s="76"/>
    </row>
    <row r="358" spans="1:13" s="77" customFormat="1" x14ac:dyDescent="0.15">
      <c r="A358" s="71"/>
      <c r="B358" s="84" t="s">
        <v>32</v>
      </c>
      <c r="C358" s="86" t="s">
        <v>1112</v>
      </c>
      <c r="D358" s="86" t="s">
        <v>1211</v>
      </c>
      <c r="E358" s="86">
        <v>0</v>
      </c>
      <c r="F358" s="86"/>
      <c r="G358" s="87"/>
      <c r="H358" s="76"/>
      <c r="I358" s="76"/>
      <c r="J358" s="76"/>
      <c r="K358" s="76"/>
      <c r="L358" s="76"/>
      <c r="M358" s="76"/>
    </row>
    <row r="359" spans="1:13" s="77" customFormat="1" x14ac:dyDescent="0.15">
      <c r="A359" s="71"/>
      <c r="B359" s="84" t="s">
        <v>942</v>
      </c>
      <c r="C359" s="86" t="s">
        <v>1223</v>
      </c>
      <c r="D359" s="86" t="s">
        <v>1211</v>
      </c>
      <c r="E359" s="86">
        <v>0</v>
      </c>
      <c r="F359" s="86"/>
      <c r="G359" s="87"/>
      <c r="H359" s="76"/>
      <c r="I359" s="76"/>
      <c r="J359" s="76"/>
      <c r="K359" s="76"/>
      <c r="L359" s="76"/>
      <c r="M359" s="76"/>
    </row>
    <row r="360" spans="1:13" s="77" customFormat="1" x14ac:dyDescent="0.15">
      <c r="A360" s="71"/>
      <c r="B360" s="84" t="s">
        <v>815</v>
      </c>
      <c r="C360" s="86" t="s">
        <v>1222</v>
      </c>
      <c r="D360" s="86" t="s">
        <v>1211</v>
      </c>
      <c r="E360" s="86">
        <v>0</v>
      </c>
      <c r="F360" s="86"/>
      <c r="G360" s="87"/>
      <c r="H360" s="76"/>
      <c r="I360" s="76"/>
      <c r="J360" s="76"/>
      <c r="K360" s="76"/>
      <c r="L360" s="76"/>
      <c r="M360" s="76"/>
    </row>
    <row r="361" spans="1:13" s="77" customFormat="1" x14ac:dyDescent="0.15">
      <c r="A361" s="71"/>
      <c r="B361" s="84" t="s">
        <v>34</v>
      </c>
      <c r="C361" s="86" t="s">
        <v>1113</v>
      </c>
      <c r="D361" s="86" t="s">
        <v>1211</v>
      </c>
      <c r="E361" s="86">
        <v>0</v>
      </c>
      <c r="F361" s="86"/>
      <c r="G361" s="87"/>
      <c r="H361" s="76"/>
      <c r="I361" s="76"/>
      <c r="J361" s="76"/>
      <c r="K361" s="76"/>
      <c r="L361" s="76"/>
      <c r="M361" s="76"/>
    </row>
    <row r="362" spans="1:13" s="77" customFormat="1" x14ac:dyDescent="0.15">
      <c r="A362" s="71"/>
      <c r="B362" s="84" t="s">
        <v>943</v>
      </c>
      <c r="C362" s="86" t="s">
        <v>1234</v>
      </c>
      <c r="D362" s="86" t="s">
        <v>1087</v>
      </c>
      <c r="E362" s="86">
        <v>0</v>
      </c>
      <c r="F362" s="86"/>
      <c r="G362" s="87"/>
      <c r="H362" s="76"/>
      <c r="I362" s="76"/>
      <c r="J362" s="76"/>
      <c r="K362" s="76"/>
      <c r="L362" s="76"/>
      <c r="M362" s="76"/>
    </row>
    <row r="363" spans="1:13" s="77" customFormat="1" x14ac:dyDescent="0.15">
      <c r="A363" s="71"/>
      <c r="B363" s="84" t="s">
        <v>944</v>
      </c>
      <c r="C363" s="86" t="s">
        <v>1235</v>
      </c>
      <c r="D363" s="86" t="s">
        <v>1087</v>
      </c>
      <c r="E363" s="86">
        <v>0</v>
      </c>
      <c r="F363" s="86"/>
      <c r="G363" s="87"/>
      <c r="H363" s="76"/>
      <c r="I363" s="76"/>
      <c r="J363" s="76"/>
      <c r="K363" s="76"/>
      <c r="L363" s="76"/>
      <c r="M363" s="76"/>
    </row>
    <row r="364" spans="1:13" s="77" customFormat="1" x14ac:dyDescent="0.15">
      <c r="A364" s="71"/>
      <c r="B364" s="88" t="s">
        <v>35</v>
      </c>
      <c r="C364" s="86" t="s">
        <v>1236</v>
      </c>
      <c r="D364" s="86" t="s">
        <v>1211</v>
      </c>
      <c r="E364" s="86">
        <v>0</v>
      </c>
      <c r="F364" s="86"/>
      <c r="G364" s="87"/>
      <c r="H364" s="76"/>
      <c r="I364" s="76"/>
      <c r="J364" s="76"/>
      <c r="K364" s="76"/>
      <c r="L364" s="76"/>
      <c r="M364" s="76"/>
    </row>
    <row r="365" spans="1:13" s="77" customFormat="1" x14ac:dyDescent="0.15">
      <c r="A365" s="71"/>
      <c r="B365" s="88" t="s">
        <v>33</v>
      </c>
      <c r="C365" s="86" t="s">
        <v>1237</v>
      </c>
      <c r="D365" s="86" t="s">
        <v>1211</v>
      </c>
      <c r="E365" s="86">
        <v>0</v>
      </c>
      <c r="F365" s="86"/>
      <c r="G365" s="87"/>
      <c r="H365" s="76"/>
      <c r="I365" s="76"/>
      <c r="J365" s="76"/>
      <c r="K365" s="76"/>
      <c r="L365" s="76"/>
      <c r="M365" s="76"/>
    </row>
    <row r="366" spans="1:13" s="77" customFormat="1" x14ac:dyDescent="0.15">
      <c r="A366" s="71"/>
      <c r="B366" s="88" t="s">
        <v>945</v>
      </c>
      <c r="C366" s="86" t="s">
        <v>1238</v>
      </c>
      <c r="D366" s="86" t="s">
        <v>1211</v>
      </c>
      <c r="E366" s="86">
        <v>0</v>
      </c>
      <c r="F366" s="86"/>
      <c r="G366" s="87"/>
      <c r="H366" s="76"/>
      <c r="I366" s="76"/>
      <c r="J366" s="76"/>
      <c r="K366" s="76"/>
      <c r="L366" s="76"/>
      <c r="M366" s="76"/>
    </row>
    <row r="367" spans="1:13" s="77" customFormat="1" x14ac:dyDescent="0.15">
      <c r="A367" s="71"/>
      <c r="B367" s="88" t="s">
        <v>946</v>
      </c>
      <c r="C367" s="86" t="s">
        <v>1148</v>
      </c>
      <c r="D367" s="86" t="s">
        <v>1211</v>
      </c>
      <c r="E367" s="86">
        <v>0</v>
      </c>
      <c r="F367" s="86"/>
      <c r="G367" s="87"/>
      <c r="H367" s="76"/>
      <c r="I367" s="76"/>
      <c r="J367" s="76"/>
      <c r="K367" s="76"/>
      <c r="L367" s="76"/>
      <c r="M367" s="76"/>
    </row>
    <row r="368" spans="1:13" s="77" customFormat="1" x14ac:dyDescent="0.15">
      <c r="A368" s="71"/>
      <c r="B368" s="88" t="s">
        <v>947</v>
      </c>
      <c r="C368" s="86" t="s">
        <v>1531</v>
      </c>
      <c r="D368" s="86" t="s">
        <v>1087</v>
      </c>
      <c r="E368" s="86">
        <v>0</v>
      </c>
      <c r="F368" s="86"/>
      <c r="G368" s="87"/>
      <c r="H368" s="76"/>
      <c r="I368" s="76"/>
      <c r="J368" s="76"/>
      <c r="K368" s="76"/>
      <c r="L368" s="76"/>
      <c r="M368" s="76"/>
    </row>
    <row r="369" spans="1:13" s="77" customFormat="1" x14ac:dyDescent="0.15">
      <c r="A369" s="71"/>
      <c r="B369" s="88" t="s">
        <v>948</v>
      </c>
      <c r="C369" s="86" t="s">
        <v>1239</v>
      </c>
      <c r="D369" s="86" t="s">
        <v>1087</v>
      </c>
      <c r="E369" s="86">
        <v>0</v>
      </c>
      <c r="F369" s="86"/>
      <c r="G369" s="87"/>
      <c r="H369" s="76"/>
      <c r="I369" s="76"/>
      <c r="J369" s="76"/>
      <c r="K369" s="76"/>
      <c r="L369" s="76"/>
      <c r="M369" s="76"/>
    </row>
    <row r="370" spans="1:13" s="77" customFormat="1" x14ac:dyDescent="0.15">
      <c r="A370" s="71"/>
      <c r="B370" s="88" t="s">
        <v>29</v>
      </c>
      <c r="C370" s="86" t="s">
        <v>1075</v>
      </c>
      <c r="D370" s="86" t="s">
        <v>1211</v>
      </c>
      <c r="E370" s="86">
        <v>0</v>
      </c>
      <c r="F370" s="86"/>
      <c r="G370" s="87"/>
      <c r="H370" s="76"/>
      <c r="I370" s="76"/>
      <c r="J370" s="76"/>
      <c r="K370" s="76"/>
      <c r="L370" s="76"/>
      <c r="M370" s="76"/>
    </row>
    <row r="371" spans="1:13" s="77" customFormat="1" x14ac:dyDescent="0.15">
      <c r="A371" s="71"/>
      <c r="B371" s="88" t="s">
        <v>30</v>
      </c>
      <c r="C371" s="86" t="s">
        <v>1240</v>
      </c>
      <c r="D371" s="86" t="s">
        <v>1211</v>
      </c>
      <c r="E371" s="86">
        <v>0</v>
      </c>
      <c r="F371" s="86"/>
      <c r="G371" s="87"/>
      <c r="H371" s="76"/>
      <c r="I371" s="76"/>
      <c r="J371" s="76"/>
      <c r="K371" s="76"/>
      <c r="L371" s="76"/>
      <c r="M371" s="76"/>
    </row>
    <row r="372" spans="1:13" s="77" customFormat="1" x14ac:dyDescent="0.15">
      <c r="A372" s="71"/>
      <c r="B372" s="88" t="s">
        <v>38</v>
      </c>
      <c r="C372" s="86" t="s">
        <v>1241</v>
      </c>
      <c r="D372" s="86" t="s">
        <v>1087</v>
      </c>
      <c r="E372" s="86">
        <v>0</v>
      </c>
      <c r="F372" s="86"/>
      <c r="G372" s="87" t="s">
        <v>1086</v>
      </c>
      <c r="H372" s="76"/>
      <c r="I372" s="76"/>
      <c r="J372" s="76"/>
      <c r="K372" s="76"/>
      <c r="L372" s="76"/>
      <c r="M372" s="76"/>
    </row>
    <row r="373" spans="1:13" s="77" customFormat="1" x14ac:dyDescent="0.15">
      <c r="A373" s="71"/>
      <c r="B373" s="88" t="s">
        <v>39</v>
      </c>
      <c r="C373" s="86" t="s">
        <v>1242</v>
      </c>
      <c r="D373" s="86" t="s">
        <v>1169</v>
      </c>
      <c r="E373" s="86">
        <v>0</v>
      </c>
      <c r="F373" s="86"/>
      <c r="G373" s="87" t="s">
        <v>1243</v>
      </c>
      <c r="H373" s="76"/>
      <c r="I373" s="76"/>
      <c r="J373" s="76"/>
      <c r="K373" s="76"/>
      <c r="L373" s="76"/>
      <c r="M373" s="76"/>
    </row>
    <row r="374" spans="1:13" s="76" customFormat="1" x14ac:dyDescent="0.15">
      <c r="A374" s="71"/>
      <c r="B374" s="88" t="s">
        <v>42</v>
      </c>
      <c r="C374" s="86" t="s">
        <v>1084</v>
      </c>
      <c r="D374" s="86" t="s">
        <v>1211</v>
      </c>
      <c r="E374" s="86">
        <v>0</v>
      </c>
      <c r="F374" s="86"/>
      <c r="G374" s="87"/>
    </row>
    <row r="375" spans="1:13" s="77" customFormat="1" x14ac:dyDescent="0.15">
      <c r="A375" s="71"/>
      <c r="B375" s="88" t="s">
        <v>43</v>
      </c>
      <c r="C375" s="86" t="s">
        <v>1149</v>
      </c>
      <c r="D375" s="86" t="s">
        <v>1087</v>
      </c>
      <c r="E375" s="86">
        <v>0</v>
      </c>
      <c r="F375" s="86"/>
      <c r="G375" s="87"/>
      <c r="H375" s="76"/>
      <c r="I375" s="76"/>
      <c r="J375" s="76"/>
      <c r="K375" s="76"/>
      <c r="L375" s="76"/>
      <c r="M375" s="76"/>
    </row>
    <row r="376" spans="1:13" s="77" customFormat="1" x14ac:dyDescent="0.15">
      <c r="A376" s="71"/>
      <c r="B376" s="88" t="s">
        <v>44</v>
      </c>
      <c r="C376" s="86" t="s">
        <v>1100</v>
      </c>
      <c r="D376" s="86" t="s">
        <v>1211</v>
      </c>
      <c r="E376" s="86">
        <v>0</v>
      </c>
      <c r="F376" s="86"/>
      <c r="G376" s="87"/>
      <c r="H376" s="76"/>
      <c r="I376" s="76"/>
      <c r="J376" s="76"/>
      <c r="K376" s="76"/>
      <c r="L376" s="76"/>
      <c r="M376" s="76"/>
    </row>
    <row r="377" spans="1:13" s="77" customFormat="1" x14ac:dyDescent="0.15">
      <c r="A377" s="71"/>
      <c r="B377" s="88" t="s">
        <v>45</v>
      </c>
      <c r="C377" s="86" t="s">
        <v>1244</v>
      </c>
      <c r="D377" s="86" t="s">
        <v>1087</v>
      </c>
      <c r="E377" s="86">
        <v>0</v>
      </c>
      <c r="F377" s="86"/>
      <c r="G377" s="87"/>
      <c r="H377" s="76"/>
      <c r="I377" s="76"/>
      <c r="J377" s="76"/>
      <c r="K377" s="76"/>
      <c r="L377" s="76"/>
      <c r="M377" s="76"/>
    </row>
    <row r="378" spans="1:13" s="77" customFormat="1" x14ac:dyDescent="0.15">
      <c r="A378" s="71"/>
      <c r="B378" s="88" t="s">
        <v>46</v>
      </c>
      <c r="C378" s="86" t="s">
        <v>1245</v>
      </c>
      <c r="D378" s="86" t="s">
        <v>1211</v>
      </c>
      <c r="E378" s="86">
        <v>0</v>
      </c>
      <c r="F378" s="86"/>
      <c r="G378" s="87"/>
      <c r="H378" s="76"/>
      <c r="I378" s="76"/>
      <c r="J378" s="76"/>
      <c r="K378" s="76"/>
      <c r="L378" s="76"/>
      <c r="M378" s="76"/>
    </row>
    <row r="379" spans="1:13" s="77" customFormat="1" x14ac:dyDescent="0.15">
      <c r="A379" s="71"/>
      <c r="B379" s="88" t="s">
        <v>47</v>
      </c>
      <c r="C379" s="86" t="s">
        <v>1114</v>
      </c>
      <c r="D379" s="86" t="s">
        <v>1087</v>
      </c>
      <c r="E379" s="86">
        <v>0</v>
      </c>
      <c r="F379" s="86"/>
      <c r="G379" s="87"/>
      <c r="H379" s="76"/>
      <c r="I379" s="76"/>
      <c r="J379" s="76"/>
      <c r="K379" s="76"/>
      <c r="L379" s="76"/>
      <c r="M379" s="76"/>
    </row>
    <row r="380" spans="1:13" s="77" customFormat="1" x14ac:dyDescent="0.15">
      <c r="A380" s="71"/>
      <c r="B380" s="88" t="s">
        <v>48</v>
      </c>
      <c r="C380" s="86" t="s">
        <v>1532</v>
      </c>
      <c r="D380" s="86" t="s">
        <v>1211</v>
      </c>
      <c r="E380" s="86">
        <v>0</v>
      </c>
      <c r="F380" s="86"/>
      <c r="G380" s="87"/>
      <c r="H380" s="76"/>
      <c r="I380" s="76"/>
      <c r="J380" s="76"/>
      <c r="K380" s="76"/>
      <c r="L380" s="76"/>
      <c r="M380" s="76"/>
    </row>
    <row r="381" spans="1:13" s="77" customFormat="1" x14ac:dyDescent="0.15">
      <c r="A381" s="71"/>
      <c r="B381" s="88" t="s">
        <v>49</v>
      </c>
      <c r="C381" s="86" t="s">
        <v>1246</v>
      </c>
      <c r="D381" s="86" t="s">
        <v>1087</v>
      </c>
      <c r="E381" s="86">
        <v>0</v>
      </c>
      <c r="F381" s="86"/>
      <c r="G381" s="87"/>
      <c r="H381" s="76"/>
      <c r="I381" s="76"/>
      <c r="J381" s="76"/>
      <c r="K381" s="76"/>
      <c r="L381" s="76"/>
      <c r="M381" s="76"/>
    </row>
    <row r="382" spans="1:13" s="77" customFormat="1" x14ac:dyDescent="0.15">
      <c r="A382" s="71"/>
      <c r="B382" s="88" t="s">
        <v>50</v>
      </c>
      <c r="C382" s="86" t="s">
        <v>1247</v>
      </c>
      <c r="D382" s="86" t="s">
        <v>1211</v>
      </c>
      <c r="E382" s="86">
        <v>0</v>
      </c>
      <c r="F382" s="86"/>
      <c r="G382" s="87"/>
      <c r="H382" s="76"/>
      <c r="I382" s="76"/>
      <c r="J382" s="76"/>
      <c r="K382" s="76"/>
      <c r="L382" s="76"/>
      <c r="M382" s="76"/>
    </row>
    <row r="383" spans="1:13" s="77" customFormat="1" x14ac:dyDescent="0.15">
      <c r="A383" s="71"/>
      <c r="B383" s="88" t="s">
        <v>51</v>
      </c>
      <c r="C383" s="86" t="s">
        <v>1248</v>
      </c>
      <c r="D383" s="86" t="s">
        <v>1087</v>
      </c>
      <c r="E383" s="86">
        <v>0</v>
      </c>
      <c r="F383" s="86"/>
      <c r="G383" s="87"/>
      <c r="H383" s="76"/>
      <c r="I383" s="76"/>
      <c r="J383" s="76"/>
      <c r="K383" s="76"/>
      <c r="L383" s="76"/>
      <c r="M383" s="76"/>
    </row>
    <row r="384" spans="1:13" s="77" customFormat="1" x14ac:dyDescent="0.15">
      <c r="A384" s="71"/>
      <c r="B384" s="88" t="s">
        <v>52</v>
      </c>
      <c r="C384" s="86" t="s">
        <v>1249</v>
      </c>
      <c r="D384" s="86" t="s">
        <v>1211</v>
      </c>
      <c r="E384" s="86">
        <v>0</v>
      </c>
      <c r="F384" s="86"/>
      <c r="G384" s="87"/>
      <c r="H384" s="76"/>
      <c r="I384" s="76"/>
      <c r="J384" s="76"/>
      <c r="K384" s="76"/>
      <c r="L384" s="76"/>
      <c r="M384" s="76"/>
    </row>
    <row r="385" spans="1:13" s="77" customFormat="1" x14ac:dyDescent="0.15">
      <c r="A385" s="71"/>
      <c r="B385" s="88" t="s">
        <v>53</v>
      </c>
      <c r="C385" s="86" t="s">
        <v>1250</v>
      </c>
      <c r="D385" s="86" t="s">
        <v>1087</v>
      </c>
      <c r="E385" s="86">
        <v>0</v>
      </c>
      <c r="F385" s="86"/>
      <c r="G385" s="87"/>
      <c r="H385" s="76"/>
      <c r="I385" s="76"/>
      <c r="J385" s="76"/>
      <c r="K385" s="76"/>
      <c r="L385" s="76"/>
      <c r="M385" s="76"/>
    </row>
    <row r="386" spans="1:13" s="77" customFormat="1" x14ac:dyDescent="0.15">
      <c r="A386" s="71"/>
      <c r="B386" s="88" t="s">
        <v>54</v>
      </c>
      <c r="C386" s="86" t="s">
        <v>1251</v>
      </c>
      <c r="D386" s="86" t="s">
        <v>1211</v>
      </c>
      <c r="E386" s="86">
        <v>0</v>
      </c>
      <c r="F386" s="86"/>
      <c r="G386" s="87"/>
      <c r="H386" s="76"/>
      <c r="I386" s="76"/>
      <c r="J386" s="76"/>
      <c r="K386" s="76"/>
      <c r="L386" s="76"/>
      <c r="M386" s="76"/>
    </row>
    <row r="387" spans="1:13" s="77" customFormat="1" x14ac:dyDescent="0.15">
      <c r="A387" s="71"/>
      <c r="B387" s="88" t="s">
        <v>55</v>
      </c>
      <c r="C387" s="86" t="s">
        <v>1252</v>
      </c>
      <c r="D387" s="86" t="s">
        <v>1087</v>
      </c>
      <c r="E387" s="86">
        <v>0</v>
      </c>
      <c r="F387" s="86"/>
      <c r="G387" s="87"/>
      <c r="H387" s="76"/>
      <c r="I387" s="76"/>
      <c r="J387" s="76"/>
      <c r="K387" s="76"/>
      <c r="L387" s="76"/>
      <c r="M387" s="76"/>
    </row>
    <row r="388" spans="1:13" s="77" customFormat="1" x14ac:dyDescent="0.15">
      <c r="A388" s="71"/>
      <c r="B388" s="88" t="s">
        <v>56</v>
      </c>
      <c r="C388" s="86" t="s">
        <v>1253</v>
      </c>
      <c r="D388" s="86" t="s">
        <v>1211</v>
      </c>
      <c r="E388" s="86">
        <v>0</v>
      </c>
      <c r="F388" s="86"/>
      <c r="G388" s="87"/>
      <c r="H388" s="76"/>
      <c r="I388" s="76"/>
      <c r="J388" s="76"/>
      <c r="K388" s="76"/>
      <c r="L388" s="76"/>
      <c r="M388" s="76"/>
    </row>
    <row r="389" spans="1:13" s="77" customFormat="1" x14ac:dyDescent="0.15">
      <c r="A389" s="71"/>
      <c r="B389" s="88" t="s">
        <v>57</v>
      </c>
      <c r="C389" s="86" t="s">
        <v>1262</v>
      </c>
      <c r="D389" s="86" t="s">
        <v>1087</v>
      </c>
      <c r="E389" s="86">
        <v>0</v>
      </c>
      <c r="F389" s="86"/>
      <c r="G389" s="87"/>
      <c r="H389" s="76"/>
      <c r="I389" s="76"/>
      <c r="J389" s="76"/>
      <c r="K389" s="76"/>
      <c r="L389" s="76"/>
      <c r="M389" s="76"/>
    </row>
    <row r="390" spans="1:13" s="77" customFormat="1" x14ac:dyDescent="0.15">
      <c r="A390" s="71"/>
      <c r="B390" s="88" t="s">
        <v>58</v>
      </c>
      <c r="C390" s="86" t="s">
        <v>1254</v>
      </c>
      <c r="D390" s="86" t="s">
        <v>1211</v>
      </c>
      <c r="E390" s="86">
        <v>0</v>
      </c>
      <c r="F390" s="86"/>
      <c r="G390" s="87"/>
      <c r="H390" s="76"/>
      <c r="I390" s="76"/>
      <c r="J390" s="76"/>
      <c r="K390" s="76"/>
      <c r="L390" s="76"/>
      <c r="M390" s="76"/>
    </row>
    <row r="391" spans="1:13" s="77" customFormat="1" x14ac:dyDescent="0.15">
      <c r="A391" s="71"/>
      <c r="B391" s="88" t="s">
        <v>59</v>
      </c>
      <c r="C391" s="86" t="s">
        <v>1255</v>
      </c>
      <c r="D391" s="86" t="s">
        <v>1087</v>
      </c>
      <c r="E391" s="86">
        <v>0</v>
      </c>
      <c r="F391" s="86"/>
      <c r="G391" s="87"/>
      <c r="H391" s="76"/>
      <c r="I391" s="76"/>
      <c r="J391" s="76"/>
      <c r="K391" s="76"/>
      <c r="L391" s="76"/>
      <c r="M391" s="76"/>
    </row>
    <row r="392" spans="1:13" s="77" customFormat="1" x14ac:dyDescent="0.15">
      <c r="A392" s="71"/>
      <c r="B392" s="88" t="s">
        <v>60</v>
      </c>
      <c r="C392" s="86" t="s">
        <v>1256</v>
      </c>
      <c r="D392" s="86" t="s">
        <v>1211</v>
      </c>
      <c r="E392" s="86">
        <v>0</v>
      </c>
      <c r="F392" s="86"/>
      <c r="G392" s="87"/>
      <c r="H392" s="76"/>
      <c r="I392" s="76"/>
      <c r="J392" s="76"/>
      <c r="K392" s="76"/>
      <c r="L392" s="76"/>
      <c r="M392" s="76"/>
    </row>
    <row r="393" spans="1:13" s="77" customFormat="1" x14ac:dyDescent="0.15">
      <c r="A393" s="71"/>
      <c r="B393" s="88" t="s">
        <v>61</v>
      </c>
      <c r="C393" s="86" t="s">
        <v>1257</v>
      </c>
      <c r="D393" s="86" t="s">
        <v>1087</v>
      </c>
      <c r="E393" s="86">
        <v>0</v>
      </c>
      <c r="F393" s="86"/>
      <c r="G393" s="87"/>
      <c r="H393" s="76"/>
      <c r="I393" s="76"/>
      <c r="J393" s="76"/>
      <c r="K393" s="76"/>
      <c r="L393" s="76"/>
      <c r="M393" s="76"/>
    </row>
    <row r="394" spans="1:13" s="77" customFormat="1" x14ac:dyDescent="0.15">
      <c r="A394" s="71"/>
      <c r="B394" s="88" t="s">
        <v>958</v>
      </c>
      <c r="C394" s="86" t="s">
        <v>1215</v>
      </c>
      <c r="D394" s="86" t="s">
        <v>211</v>
      </c>
      <c r="E394" s="86">
        <v>0</v>
      </c>
      <c r="F394" s="86"/>
      <c r="G394" s="87"/>
      <c r="H394" s="76"/>
      <c r="I394" s="76"/>
      <c r="J394" s="76"/>
      <c r="K394" s="76"/>
      <c r="L394" s="76"/>
      <c r="M394" s="76"/>
    </row>
    <row r="395" spans="1:13" s="77" customFormat="1" x14ac:dyDescent="0.15">
      <c r="A395" s="71"/>
      <c r="B395" s="88" t="s">
        <v>959</v>
      </c>
      <c r="C395" s="86" t="s">
        <v>1258</v>
      </c>
      <c r="D395" s="86" t="s">
        <v>211</v>
      </c>
      <c r="E395" s="86">
        <v>0</v>
      </c>
      <c r="F395" s="86"/>
      <c r="G395" s="87" t="s">
        <v>1259</v>
      </c>
      <c r="H395" s="76"/>
      <c r="I395" s="76"/>
      <c r="J395" s="76"/>
      <c r="K395" s="76"/>
      <c r="L395" s="76"/>
      <c r="M395" s="76"/>
    </row>
    <row r="396" spans="1:13" s="76" customFormat="1" x14ac:dyDescent="0.15">
      <c r="A396" s="71"/>
      <c r="B396" s="84" t="s">
        <v>184</v>
      </c>
      <c r="C396" s="86" t="s">
        <v>1260</v>
      </c>
      <c r="D396" s="86" t="s">
        <v>211</v>
      </c>
      <c r="E396" s="86" t="s">
        <v>1261</v>
      </c>
      <c r="F396" s="86"/>
      <c r="G396" s="87"/>
    </row>
    <row r="397" spans="1:13" s="77" customFormat="1" ht="18" thickBot="1" x14ac:dyDescent="0.2">
      <c r="A397" s="71"/>
      <c r="B397" s="89"/>
      <c r="C397" s="90"/>
      <c r="D397" s="90"/>
      <c r="E397" s="90"/>
      <c r="F397" s="90"/>
      <c r="G397" s="91"/>
      <c r="H397" s="76"/>
      <c r="I397" s="76"/>
      <c r="J397" s="76"/>
      <c r="K397" s="76"/>
      <c r="L397" s="76"/>
      <c r="M397" s="76"/>
    </row>
    <row r="398" spans="1:13" s="77" customFormat="1" x14ac:dyDescent="0.15">
      <c r="A398" s="71"/>
      <c r="B398" s="351" t="s">
        <v>15</v>
      </c>
      <c r="C398" s="352"/>
      <c r="D398" s="352"/>
      <c r="E398" s="352"/>
      <c r="F398" s="352"/>
      <c r="G398" s="353"/>
      <c r="H398" s="76"/>
      <c r="I398" s="76"/>
      <c r="J398" s="76"/>
      <c r="K398" s="76"/>
      <c r="L398" s="76"/>
      <c r="M398" s="76"/>
    </row>
    <row r="399" spans="1:13" s="77" customFormat="1" x14ac:dyDescent="0.15">
      <c r="A399" s="71" t="s">
        <v>935</v>
      </c>
      <c r="B399" s="184">
        <v>1</v>
      </c>
      <c r="C399" s="100" t="s">
        <v>960</v>
      </c>
      <c r="D399" s="100" t="s">
        <v>870</v>
      </c>
      <c r="E399" s="100"/>
      <c r="F399" s="100"/>
      <c r="G399" s="185"/>
      <c r="H399" s="76"/>
      <c r="I399" s="76"/>
      <c r="J399" s="76"/>
      <c r="K399" s="76"/>
      <c r="L399" s="76"/>
      <c r="M399" s="76"/>
    </row>
    <row r="400" spans="1:13" s="77" customFormat="1" x14ac:dyDescent="0.15">
      <c r="A400" s="71"/>
      <c r="B400" s="184">
        <v>2</v>
      </c>
      <c r="C400" s="100" t="s">
        <v>798</v>
      </c>
      <c r="D400" s="100" t="s">
        <v>843</v>
      </c>
      <c r="E400" s="100" t="s">
        <v>961</v>
      </c>
      <c r="F400" s="100"/>
      <c r="G400" s="185"/>
      <c r="H400" s="76"/>
      <c r="I400" s="76"/>
      <c r="J400" s="76"/>
      <c r="K400" s="76"/>
      <c r="L400" s="76"/>
      <c r="M400" s="76"/>
    </row>
    <row r="401" spans="1:13" s="76" customFormat="1" x14ac:dyDescent="0.15">
      <c r="A401" s="71"/>
      <c r="B401" s="92">
        <v>3</v>
      </c>
      <c r="C401" s="93" t="s">
        <v>184</v>
      </c>
      <c r="D401" s="93"/>
      <c r="E401" s="93"/>
      <c r="F401" s="93"/>
      <c r="G401" s="94"/>
    </row>
    <row r="402" spans="1:13" s="77" customFormat="1" ht="18" thickBot="1" x14ac:dyDescent="0.2">
      <c r="A402" s="71"/>
      <c r="B402" s="186"/>
      <c r="C402" s="179"/>
      <c r="D402" s="179"/>
      <c r="E402" s="179"/>
      <c r="F402" s="179"/>
      <c r="G402" s="181"/>
      <c r="H402" s="76"/>
      <c r="I402" s="76"/>
      <c r="J402" s="76"/>
      <c r="K402" s="76"/>
      <c r="L402" s="76"/>
      <c r="M402" s="76"/>
    </row>
    <row r="403" spans="1:13" s="7" customFormat="1" ht="18" thickBot="1" x14ac:dyDescent="0.2"/>
    <row r="404" spans="1:13" s="7" customFormat="1" x14ac:dyDescent="0.15">
      <c r="A404" s="2"/>
      <c r="B404" s="3" t="s">
        <v>903</v>
      </c>
      <c r="C404" s="4" t="s">
        <v>962</v>
      </c>
      <c r="D404" s="5" t="s">
        <v>954</v>
      </c>
      <c r="E404" s="4" t="s">
        <v>1045</v>
      </c>
      <c r="F404" s="5" t="s">
        <v>822</v>
      </c>
      <c r="G404" s="6"/>
    </row>
    <row r="405" spans="1:13" s="7" customFormat="1" ht="18" thickBot="1" x14ac:dyDescent="0.2">
      <c r="A405" s="2"/>
      <c r="B405" s="8" t="s">
        <v>925</v>
      </c>
      <c r="C405" s="9"/>
      <c r="D405" s="10" t="s">
        <v>963</v>
      </c>
      <c r="E405" s="9" t="s">
        <v>906</v>
      </c>
      <c r="F405" s="10"/>
      <c r="G405" s="11"/>
    </row>
    <row r="406" spans="1:13" s="7" customFormat="1" x14ac:dyDescent="0.15">
      <c r="A406" s="2"/>
      <c r="B406" s="12" t="s">
        <v>0</v>
      </c>
      <c r="C406" s="13" t="s">
        <v>1</v>
      </c>
      <c r="D406" s="13" t="s">
        <v>2</v>
      </c>
      <c r="E406" s="13"/>
      <c r="F406" s="13" t="s">
        <v>3</v>
      </c>
      <c r="G406" s="13" t="s">
        <v>4</v>
      </c>
    </row>
    <row r="407" spans="1:13" s="7" customFormat="1" x14ac:dyDescent="0.15">
      <c r="A407" s="2"/>
      <c r="B407" s="14" t="s">
        <v>16</v>
      </c>
      <c r="C407" s="15" t="s">
        <v>1163</v>
      </c>
      <c r="D407" s="15" t="s">
        <v>211</v>
      </c>
      <c r="E407" s="15">
        <v>0</v>
      </c>
      <c r="F407" s="15"/>
      <c r="G407" s="16" t="s">
        <v>1077</v>
      </c>
    </row>
    <row r="408" spans="1:13" s="7" customFormat="1" x14ac:dyDescent="0.15">
      <c r="A408" s="2"/>
      <c r="B408" s="14" t="s">
        <v>835</v>
      </c>
      <c r="C408" s="15" t="s">
        <v>1164</v>
      </c>
      <c r="D408" s="15" t="s">
        <v>211</v>
      </c>
      <c r="E408" s="15">
        <v>0</v>
      </c>
      <c r="F408" s="15"/>
      <c r="G408" s="16" t="s">
        <v>1165</v>
      </c>
    </row>
    <row r="409" spans="1:13" s="7" customFormat="1" x14ac:dyDescent="0.15">
      <c r="A409" s="2"/>
      <c r="B409" s="14" t="s">
        <v>868</v>
      </c>
      <c r="C409" s="15" t="s">
        <v>1133</v>
      </c>
      <c r="D409" s="15" t="s">
        <v>211</v>
      </c>
      <c r="E409" s="15">
        <v>0</v>
      </c>
      <c r="F409" s="15"/>
      <c r="G409" s="16" t="s">
        <v>1182</v>
      </c>
    </row>
    <row r="410" spans="1:13" s="7" customFormat="1" x14ac:dyDescent="0.15">
      <c r="A410" s="2"/>
      <c r="B410" s="14" t="s">
        <v>827</v>
      </c>
      <c r="C410" s="15" t="s">
        <v>1187</v>
      </c>
      <c r="D410" s="15" t="s">
        <v>211</v>
      </c>
      <c r="E410" s="15">
        <v>0</v>
      </c>
      <c r="F410" s="15"/>
      <c r="G410" s="16"/>
    </row>
    <row r="411" spans="1:13" s="7" customFormat="1" x14ac:dyDescent="0.15">
      <c r="A411" s="2"/>
      <c r="B411" s="14" t="s">
        <v>843</v>
      </c>
      <c r="C411" s="15" t="s">
        <v>1190</v>
      </c>
      <c r="D411" s="15" t="s">
        <v>211</v>
      </c>
      <c r="E411" s="15">
        <v>0</v>
      </c>
      <c r="F411" s="15"/>
      <c r="G411" s="16" t="s">
        <v>1081</v>
      </c>
    </row>
    <row r="412" spans="1:13" s="7" customFormat="1" x14ac:dyDescent="0.15">
      <c r="A412" s="2"/>
      <c r="B412" s="14" t="s">
        <v>328</v>
      </c>
      <c r="C412" s="15" t="s">
        <v>1450</v>
      </c>
      <c r="D412" s="15" t="s">
        <v>1131</v>
      </c>
      <c r="E412" s="15" t="s">
        <v>1074</v>
      </c>
      <c r="F412" s="15"/>
      <c r="G412" s="16"/>
    </row>
    <row r="413" spans="1:13" s="7" customFormat="1" x14ac:dyDescent="0.15">
      <c r="A413" s="2"/>
      <c r="B413" s="14" t="s">
        <v>964</v>
      </c>
      <c r="C413" s="15" t="s">
        <v>1147</v>
      </c>
      <c r="D413" s="15" t="s">
        <v>211</v>
      </c>
      <c r="E413" s="15">
        <v>0</v>
      </c>
      <c r="F413" s="15"/>
      <c r="G413" s="16"/>
    </row>
    <row r="414" spans="1:13" s="7" customFormat="1" x14ac:dyDescent="0.15">
      <c r="A414" s="2"/>
      <c r="B414" s="14" t="s">
        <v>788</v>
      </c>
      <c r="C414" s="15" t="s">
        <v>1110</v>
      </c>
      <c r="D414" s="15" t="s">
        <v>211</v>
      </c>
      <c r="E414" s="15">
        <v>0</v>
      </c>
      <c r="F414" s="15"/>
      <c r="G414" s="16"/>
    </row>
    <row r="415" spans="1:13" s="7" customFormat="1" x14ac:dyDescent="0.15">
      <c r="A415" s="2"/>
      <c r="B415" s="14" t="s">
        <v>830</v>
      </c>
      <c r="C415" s="15" t="s">
        <v>1221</v>
      </c>
      <c r="D415" s="15" t="s">
        <v>211</v>
      </c>
      <c r="E415" s="15">
        <v>0</v>
      </c>
      <c r="F415" s="15"/>
      <c r="G415" s="16"/>
    </row>
    <row r="416" spans="1:13" s="7" customFormat="1" x14ac:dyDescent="0.15">
      <c r="A416" s="2"/>
      <c r="B416" s="14" t="s">
        <v>949</v>
      </c>
      <c r="C416" s="15" t="s">
        <v>1215</v>
      </c>
      <c r="D416" s="15" t="s">
        <v>211</v>
      </c>
      <c r="E416" s="15">
        <v>0</v>
      </c>
      <c r="F416" s="15"/>
      <c r="G416" s="16"/>
    </row>
    <row r="417" spans="1:7" s="7" customFormat="1" x14ac:dyDescent="0.15">
      <c r="A417" s="2"/>
      <c r="B417" s="20" t="s">
        <v>9</v>
      </c>
      <c r="C417" s="21" t="s">
        <v>1195</v>
      </c>
      <c r="D417" s="21" t="s">
        <v>1087</v>
      </c>
      <c r="E417" s="21">
        <v>0</v>
      </c>
      <c r="F417" s="21"/>
      <c r="G417" s="22" t="s">
        <v>1196</v>
      </c>
    </row>
    <row r="418" spans="1:7" s="7" customFormat="1" x14ac:dyDescent="0.15">
      <c r="A418" s="2"/>
      <c r="B418" s="17" t="s">
        <v>386</v>
      </c>
      <c r="C418" s="18" t="s">
        <v>1191</v>
      </c>
      <c r="D418" s="18" t="s">
        <v>211</v>
      </c>
      <c r="E418" s="18">
        <v>0</v>
      </c>
      <c r="F418" s="18"/>
      <c r="G418" s="19" t="s">
        <v>1192</v>
      </c>
    </row>
    <row r="419" spans="1:7" s="7" customFormat="1" x14ac:dyDescent="0.15">
      <c r="A419" s="2"/>
      <c r="B419" s="17" t="s">
        <v>124</v>
      </c>
      <c r="C419" s="18" t="s">
        <v>1216</v>
      </c>
      <c r="D419" s="18" t="s">
        <v>211</v>
      </c>
      <c r="E419" s="18">
        <v>0</v>
      </c>
      <c r="F419" s="18"/>
      <c r="G419" s="19"/>
    </row>
    <row r="420" spans="1:7" s="7" customFormat="1" x14ac:dyDescent="0.15">
      <c r="A420" s="2"/>
      <c r="B420" s="20" t="s">
        <v>813</v>
      </c>
      <c r="C420" s="18" t="s">
        <v>1217</v>
      </c>
      <c r="D420" s="18" t="s">
        <v>211</v>
      </c>
      <c r="E420" s="18">
        <v>0</v>
      </c>
      <c r="F420" s="18"/>
      <c r="G420" s="19" t="s">
        <v>1082</v>
      </c>
    </row>
    <row r="421" spans="1:7" s="7" customFormat="1" x14ac:dyDescent="0.15">
      <c r="A421" s="2"/>
      <c r="B421" s="17" t="s">
        <v>965</v>
      </c>
      <c r="C421" s="18" t="s">
        <v>1263</v>
      </c>
      <c r="D421" s="18" t="s">
        <v>211</v>
      </c>
      <c r="E421" s="18" t="s">
        <v>1141</v>
      </c>
      <c r="F421" s="18"/>
      <c r="G421" s="19"/>
    </row>
    <row r="422" spans="1:7" s="7" customFormat="1" x14ac:dyDescent="0.15">
      <c r="A422" s="2"/>
      <c r="B422" s="17" t="s">
        <v>126</v>
      </c>
      <c r="C422" s="18" t="s">
        <v>1264</v>
      </c>
      <c r="D422" s="18" t="s">
        <v>211</v>
      </c>
      <c r="E422" s="18" t="s">
        <v>1265</v>
      </c>
      <c r="F422" s="18"/>
      <c r="G422" s="19"/>
    </row>
    <row r="423" spans="1:7" s="7" customFormat="1" x14ac:dyDescent="0.15">
      <c r="A423" s="2"/>
      <c r="B423" s="17" t="s">
        <v>127</v>
      </c>
      <c r="C423" s="18" t="s">
        <v>1266</v>
      </c>
      <c r="D423" s="18" t="s">
        <v>1211</v>
      </c>
      <c r="E423" s="18">
        <v>0</v>
      </c>
      <c r="F423" s="18"/>
      <c r="G423" s="19"/>
    </row>
    <row r="424" spans="1:7" s="7" customFormat="1" x14ac:dyDescent="0.15">
      <c r="A424" s="2"/>
      <c r="B424" s="17" t="s">
        <v>966</v>
      </c>
      <c r="C424" s="18" t="s">
        <v>1533</v>
      </c>
      <c r="D424" s="18" t="s">
        <v>1087</v>
      </c>
      <c r="E424" s="18">
        <v>0</v>
      </c>
      <c r="F424" s="18"/>
      <c r="G424" s="19"/>
    </row>
    <row r="425" spans="1:7" s="7" customFormat="1" x14ac:dyDescent="0.15">
      <c r="A425" s="2"/>
      <c r="B425" s="20" t="s">
        <v>967</v>
      </c>
      <c r="C425" s="18" t="s">
        <v>1140</v>
      </c>
      <c r="D425" s="18" t="s">
        <v>1169</v>
      </c>
      <c r="E425" s="18">
        <v>0</v>
      </c>
      <c r="F425" s="18"/>
      <c r="G425" s="19"/>
    </row>
    <row r="426" spans="1:7" s="7" customFormat="1" x14ac:dyDescent="0.15">
      <c r="A426" s="2"/>
      <c r="B426" s="17" t="s">
        <v>129</v>
      </c>
      <c r="C426" s="18" t="s">
        <v>1267</v>
      </c>
      <c r="D426" s="18" t="s">
        <v>1169</v>
      </c>
      <c r="E426" s="18">
        <v>0</v>
      </c>
      <c r="F426" s="18"/>
      <c r="G426" s="19"/>
    </row>
    <row r="427" spans="1:7" s="7" customFormat="1" x14ac:dyDescent="0.15">
      <c r="A427" s="2"/>
      <c r="B427" s="17" t="s">
        <v>968</v>
      </c>
      <c r="C427" s="18" t="s">
        <v>1090</v>
      </c>
      <c r="D427" s="18" t="s">
        <v>1169</v>
      </c>
      <c r="E427" s="18">
        <v>0</v>
      </c>
      <c r="F427" s="18"/>
      <c r="G427" s="19"/>
    </row>
    <row r="428" spans="1:7" s="7" customFormat="1" x14ac:dyDescent="0.15">
      <c r="A428" s="2"/>
      <c r="B428" s="17" t="s">
        <v>913</v>
      </c>
      <c r="C428" s="18" t="s">
        <v>1200</v>
      </c>
      <c r="D428" s="18" t="s">
        <v>1087</v>
      </c>
      <c r="E428" s="18">
        <v>0</v>
      </c>
      <c r="F428" s="18"/>
      <c r="G428" s="19"/>
    </row>
    <row r="429" spans="1:7" s="7" customFormat="1" x14ac:dyDescent="0.15">
      <c r="A429" s="2"/>
      <c r="B429" s="17" t="s">
        <v>969</v>
      </c>
      <c r="C429" s="18" t="s">
        <v>1137</v>
      </c>
      <c r="D429" s="18" t="s">
        <v>1087</v>
      </c>
      <c r="E429" s="18">
        <v>0</v>
      </c>
      <c r="F429" s="18"/>
      <c r="G429" s="19"/>
    </row>
    <row r="430" spans="1:7" s="7" customFormat="1" x14ac:dyDescent="0.15">
      <c r="A430" s="2"/>
      <c r="B430" s="17" t="s">
        <v>970</v>
      </c>
      <c r="C430" s="18" t="s">
        <v>1268</v>
      </c>
      <c r="D430" s="18" t="s">
        <v>1211</v>
      </c>
      <c r="E430" s="18">
        <v>0</v>
      </c>
      <c r="F430" s="18"/>
      <c r="G430" s="19"/>
    </row>
    <row r="431" spans="1:7" s="7" customFormat="1" x14ac:dyDescent="0.15">
      <c r="A431" s="2"/>
      <c r="B431" s="20" t="s">
        <v>971</v>
      </c>
      <c r="C431" s="18" t="s">
        <v>1269</v>
      </c>
      <c r="D431" s="18" t="s">
        <v>1073</v>
      </c>
      <c r="E431" s="18" t="s">
        <v>1072</v>
      </c>
      <c r="F431" s="18"/>
      <c r="G431" s="19" t="s">
        <v>1270</v>
      </c>
    </row>
    <row r="432" spans="1:7" s="7" customFormat="1" x14ac:dyDescent="0.15">
      <c r="A432" s="2"/>
      <c r="B432" s="14" t="s">
        <v>972</v>
      </c>
      <c r="C432" s="18" t="s">
        <v>1271</v>
      </c>
      <c r="D432" s="18" t="s">
        <v>1345</v>
      </c>
      <c r="E432" s="18">
        <v>0</v>
      </c>
      <c r="F432" s="18"/>
      <c r="G432" s="19"/>
    </row>
    <row r="433" spans="1:12" s="7" customFormat="1" x14ac:dyDescent="0.15">
      <c r="A433" s="2"/>
      <c r="B433" s="17" t="s">
        <v>775</v>
      </c>
      <c r="C433" s="18" t="s">
        <v>1224</v>
      </c>
      <c r="D433" s="18" t="s">
        <v>1169</v>
      </c>
      <c r="E433" s="18">
        <v>0</v>
      </c>
      <c r="F433" s="18"/>
      <c r="G433" s="19" t="s">
        <v>1111</v>
      </c>
    </row>
    <row r="434" spans="1:12" s="7" customFormat="1" x14ac:dyDescent="0.15">
      <c r="A434" s="2"/>
      <c r="B434" s="17" t="s">
        <v>897</v>
      </c>
      <c r="C434" s="18" t="s">
        <v>1230</v>
      </c>
      <c r="D434" s="18" t="s">
        <v>1169</v>
      </c>
      <c r="E434" s="18">
        <v>0</v>
      </c>
      <c r="F434" s="18"/>
      <c r="G434" s="19"/>
    </row>
    <row r="435" spans="1:12" s="7" customFormat="1" x14ac:dyDescent="0.15">
      <c r="A435" s="2"/>
      <c r="B435" s="17" t="s">
        <v>973</v>
      </c>
      <c r="C435" s="18" t="s">
        <v>1272</v>
      </c>
      <c r="D435" s="18" t="s">
        <v>1169</v>
      </c>
      <c r="E435" s="18">
        <v>0</v>
      </c>
      <c r="F435" s="18"/>
      <c r="G435" s="19"/>
    </row>
    <row r="436" spans="1:12" s="7" customFormat="1" ht="18" thickBot="1" x14ac:dyDescent="0.2">
      <c r="A436" s="2"/>
      <c r="B436" s="17"/>
      <c r="C436" s="18"/>
      <c r="D436" s="18"/>
      <c r="E436" s="18"/>
      <c r="F436" s="18"/>
      <c r="G436" s="19"/>
    </row>
    <row r="437" spans="1:12" s="7" customFormat="1" x14ac:dyDescent="0.15">
      <c r="A437" s="2"/>
      <c r="B437" s="327" t="s">
        <v>15</v>
      </c>
      <c r="C437" s="328"/>
      <c r="D437" s="328"/>
      <c r="E437" s="328"/>
      <c r="F437" s="328"/>
      <c r="G437" s="329"/>
    </row>
    <row r="438" spans="1:12" s="7" customFormat="1" x14ac:dyDescent="0.15">
      <c r="A438" s="2" t="s">
        <v>867</v>
      </c>
      <c r="B438" s="20">
        <v>1</v>
      </c>
      <c r="C438" s="23" t="s">
        <v>974</v>
      </c>
      <c r="D438" s="21" t="s">
        <v>868</v>
      </c>
      <c r="E438" s="21" t="s">
        <v>7</v>
      </c>
      <c r="F438" s="21" t="s">
        <v>845</v>
      </c>
      <c r="G438" s="22" t="s">
        <v>936</v>
      </c>
      <c r="H438" s="7" t="s">
        <v>796</v>
      </c>
      <c r="I438" s="7" t="s">
        <v>976</v>
      </c>
      <c r="J438" s="7" t="s">
        <v>884</v>
      </c>
      <c r="K438" s="7" t="s">
        <v>977</v>
      </c>
      <c r="L438" s="7" t="s">
        <v>978</v>
      </c>
    </row>
    <row r="439" spans="1:12" s="7" customFormat="1" x14ac:dyDescent="0.15">
      <c r="A439" s="2"/>
      <c r="B439" s="20">
        <v>2</v>
      </c>
      <c r="C439" s="21" t="s">
        <v>901</v>
      </c>
      <c r="D439" s="21" t="s">
        <v>979</v>
      </c>
      <c r="E439" s="21"/>
      <c r="F439" s="21"/>
      <c r="G439" s="22"/>
    </row>
    <row r="440" spans="1:12" s="7" customFormat="1" x14ac:dyDescent="0.15">
      <c r="A440" s="2" t="s">
        <v>794</v>
      </c>
      <c r="B440" s="17">
        <v>3</v>
      </c>
      <c r="C440" s="18" t="s">
        <v>972</v>
      </c>
      <c r="D440" s="18"/>
      <c r="E440" s="18"/>
      <c r="F440" s="18"/>
      <c r="G440" s="19"/>
    </row>
    <row r="441" spans="1:12" s="7" customFormat="1" ht="18" thickBot="1" x14ac:dyDescent="0.2">
      <c r="A441" s="2"/>
      <c r="B441" s="24"/>
      <c r="C441" s="9"/>
      <c r="D441" s="9"/>
      <c r="E441" s="9"/>
      <c r="F441" s="9"/>
      <c r="G441" s="11"/>
    </row>
    <row r="442" spans="1:12" s="7" customFormat="1" ht="18" thickBot="1" x14ac:dyDescent="0.2"/>
    <row r="443" spans="1:12" s="7" customFormat="1" x14ac:dyDescent="0.15">
      <c r="A443" s="2"/>
      <c r="B443" s="3" t="s">
        <v>820</v>
      </c>
      <c r="C443" s="4" t="s">
        <v>980</v>
      </c>
      <c r="D443" s="5" t="s">
        <v>981</v>
      </c>
      <c r="E443" s="4" t="s">
        <v>1046</v>
      </c>
      <c r="F443" s="5" t="s">
        <v>822</v>
      </c>
      <c r="G443" s="6"/>
    </row>
    <row r="444" spans="1:12" s="7" customFormat="1" ht="18" thickBot="1" x14ac:dyDescent="0.2">
      <c r="A444" s="2"/>
      <c r="B444" s="8" t="s">
        <v>905</v>
      </c>
      <c r="C444" s="9"/>
      <c r="D444" s="10" t="s">
        <v>826</v>
      </c>
      <c r="E444" s="9" t="s">
        <v>982</v>
      </c>
      <c r="F444" s="10"/>
      <c r="G444" s="11"/>
    </row>
    <row r="445" spans="1:12" s="7" customFormat="1" x14ac:dyDescent="0.15">
      <c r="A445" s="2"/>
      <c r="B445" s="12" t="s">
        <v>0</v>
      </c>
      <c r="C445" s="13" t="s">
        <v>1</v>
      </c>
      <c r="D445" s="13" t="s">
        <v>2</v>
      </c>
      <c r="E445" s="13"/>
      <c r="F445" s="13" t="s">
        <v>3</v>
      </c>
      <c r="G445" s="13" t="s">
        <v>4</v>
      </c>
    </row>
    <row r="446" spans="1:12" s="7" customFormat="1" x14ac:dyDescent="0.15">
      <c r="A446" s="2"/>
      <c r="B446" s="14" t="s">
        <v>5</v>
      </c>
      <c r="C446" s="15" t="s">
        <v>1127</v>
      </c>
      <c r="D446" s="15" t="s">
        <v>211</v>
      </c>
      <c r="E446" s="15" t="s">
        <v>1141</v>
      </c>
      <c r="F446" s="15"/>
      <c r="G446" s="16" t="s">
        <v>1162</v>
      </c>
    </row>
    <row r="447" spans="1:12" s="7" customFormat="1" x14ac:dyDescent="0.15">
      <c r="A447" s="2"/>
      <c r="B447" s="14" t="s">
        <v>877</v>
      </c>
      <c r="C447" s="15" t="s">
        <v>1163</v>
      </c>
      <c r="D447" s="15" t="s">
        <v>211</v>
      </c>
      <c r="E447" s="15">
        <v>0</v>
      </c>
      <c r="F447" s="15"/>
      <c r="G447" s="16" t="s">
        <v>1077</v>
      </c>
    </row>
    <row r="448" spans="1:12" s="7" customFormat="1" x14ac:dyDescent="0.15">
      <c r="A448" s="2"/>
      <c r="B448" s="14" t="s">
        <v>872</v>
      </c>
      <c r="C448" s="15" t="s">
        <v>1164</v>
      </c>
      <c r="D448" s="15" t="s">
        <v>211</v>
      </c>
      <c r="E448" s="15">
        <v>0</v>
      </c>
      <c r="F448" s="15"/>
      <c r="G448" s="16" t="s">
        <v>1165</v>
      </c>
    </row>
    <row r="449" spans="1:7" s="7" customFormat="1" x14ac:dyDescent="0.15">
      <c r="A449" s="2"/>
      <c r="B449" s="14" t="s">
        <v>868</v>
      </c>
      <c r="C449" s="15" t="s">
        <v>1133</v>
      </c>
      <c r="D449" s="15" t="s">
        <v>211</v>
      </c>
      <c r="E449" s="15">
        <v>0</v>
      </c>
      <c r="F449" s="15"/>
      <c r="G449" s="16" t="s">
        <v>1182</v>
      </c>
    </row>
    <row r="450" spans="1:7" s="7" customFormat="1" x14ac:dyDescent="0.15">
      <c r="A450" s="2"/>
      <c r="B450" s="14" t="s">
        <v>796</v>
      </c>
      <c r="C450" s="15" t="s">
        <v>1187</v>
      </c>
      <c r="D450" s="15" t="s">
        <v>211</v>
      </c>
      <c r="E450" s="15">
        <v>0</v>
      </c>
      <c r="F450" s="15"/>
      <c r="G450" s="16"/>
    </row>
    <row r="451" spans="1:7" s="7" customFormat="1" x14ac:dyDescent="0.15">
      <c r="A451" s="2"/>
      <c r="B451" s="14" t="s">
        <v>843</v>
      </c>
      <c r="C451" s="15" t="s">
        <v>1190</v>
      </c>
      <c r="D451" s="15" t="s">
        <v>211</v>
      </c>
      <c r="E451" s="15">
        <v>0</v>
      </c>
      <c r="F451" s="15"/>
      <c r="G451" s="16" t="s">
        <v>1081</v>
      </c>
    </row>
    <row r="452" spans="1:7" s="7" customFormat="1" x14ac:dyDescent="0.15">
      <c r="A452" s="2"/>
      <c r="B452" s="14" t="s">
        <v>328</v>
      </c>
      <c r="C452" s="15" t="s">
        <v>1450</v>
      </c>
      <c r="D452" s="15" t="s">
        <v>1131</v>
      </c>
      <c r="E452" s="15" t="s">
        <v>1074</v>
      </c>
      <c r="F452" s="15"/>
      <c r="G452" s="16"/>
    </row>
    <row r="453" spans="1:7" s="7" customFormat="1" x14ac:dyDescent="0.15">
      <c r="A453" s="2"/>
      <c r="B453" s="14" t="s">
        <v>936</v>
      </c>
      <c r="C453" s="15" t="s">
        <v>1147</v>
      </c>
      <c r="D453" s="15" t="s">
        <v>211</v>
      </c>
      <c r="E453" s="15">
        <v>0</v>
      </c>
      <c r="F453" s="15"/>
      <c r="G453" s="16"/>
    </row>
    <row r="454" spans="1:7" s="7" customFormat="1" x14ac:dyDescent="0.15">
      <c r="A454" s="2"/>
      <c r="B454" s="14" t="s">
        <v>761</v>
      </c>
      <c r="C454" s="15" t="s">
        <v>1110</v>
      </c>
      <c r="D454" s="15" t="s">
        <v>211</v>
      </c>
      <c r="E454" s="15">
        <v>0</v>
      </c>
      <c r="F454" s="15"/>
      <c r="G454" s="16"/>
    </row>
    <row r="455" spans="1:7" s="7" customFormat="1" x14ac:dyDescent="0.15">
      <c r="A455" s="2"/>
      <c r="B455" s="14" t="s">
        <v>983</v>
      </c>
      <c r="C455" s="15" t="s">
        <v>1221</v>
      </c>
      <c r="D455" s="15" t="s">
        <v>211</v>
      </c>
      <c r="E455" s="15">
        <v>0</v>
      </c>
      <c r="F455" s="15"/>
      <c r="G455" s="16"/>
    </row>
    <row r="456" spans="1:7" s="7" customFormat="1" x14ac:dyDescent="0.15">
      <c r="A456" s="2"/>
      <c r="B456" s="14" t="s">
        <v>984</v>
      </c>
      <c r="C456" s="15" t="s">
        <v>1215</v>
      </c>
      <c r="D456" s="15" t="s">
        <v>211</v>
      </c>
      <c r="E456" s="15">
        <v>0</v>
      </c>
      <c r="F456" s="15"/>
      <c r="G456" s="16"/>
    </row>
    <row r="457" spans="1:7" s="7" customFormat="1" x14ac:dyDescent="0.15">
      <c r="A457" s="2"/>
      <c r="B457" s="20" t="s">
        <v>9</v>
      </c>
      <c r="C457" s="21" t="s">
        <v>1195</v>
      </c>
      <c r="D457" s="21" t="s">
        <v>1087</v>
      </c>
      <c r="E457" s="21">
        <v>0</v>
      </c>
      <c r="F457" s="21"/>
      <c r="G457" s="22" t="s">
        <v>1196</v>
      </c>
    </row>
    <row r="458" spans="1:7" s="7" customFormat="1" x14ac:dyDescent="0.15">
      <c r="A458" s="2"/>
      <c r="B458" s="17" t="s">
        <v>386</v>
      </c>
      <c r="C458" s="18" t="s">
        <v>1191</v>
      </c>
      <c r="D458" s="18" t="s">
        <v>211</v>
      </c>
      <c r="E458" s="18">
        <v>0</v>
      </c>
      <c r="F458" s="18"/>
      <c r="G458" s="19" t="s">
        <v>1192</v>
      </c>
    </row>
    <row r="459" spans="1:7" s="7" customFormat="1" x14ac:dyDescent="0.15">
      <c r="A459" s="2"/>
      <c r="B459" s="17" t="s">
        <v>124</v>
      </c>
      <c r="C459" s="18" t="s">
        <v>1216</v>
      </c>
      <c r="D459" s="18" t="s">
        <v>211</v>
      </c>
      <c r="E459" s="18">
        <v>0</v>
      </c>
      <c r="F459" s="18"/>
      <c r="G459" s="19"/>
    </row>
    <row r="460" spans="1:7" s="7" customFormat="1" x14ac:dyDescent="0.15">
      <c r="A460" s="2"/>
      <c r="B460" s="20" t="s">
        <v>813</v>
      </c>
      <c r="C460" s="18" t="s">
        <v>1217</v>
      </c>
      <c r="D460" s="18" t="s">
        <v>211</v>
      </c>
      <c r="E460" s="18">
        <v>0</v>
      </c>
      <c r="F460" s="18"/>
      <c r="G460" s="19" t="s">
        <v>1082</v>
      </c>
    </row>
    <row r="461" spans="1:7" s="7" customFormat="1" x14ac:dyDescent="0.15">
      <c r="A461" s="2"/>
      <c r="B461" s="17" t="s">
        <v>985</v>
      </c>
      <c r="C461" s="18" t="s">
        <v>1263</v>
      </c>
      <c r="D461" s="18" t="s">
        <v>211</v>
      </c>
      <c r="E461" s="18" t="s">
        <v>1141</v>
      </c>
      <c r="F461" s="18"/>
      <c r="G461" s="19"/>
    </row>
    <row r="462" spans="1:7" s="7" customFormat="1" x14ac:dyDescent="0.15">
      <c r="A462" s="2"/>
      <c r="B462" s="17" t="s">
        <v>126</v>
      </c>
      <c r="C462" s="18" t="s">
        <v>1264</v>
      </c>
      <c r="D462" s="18" t="s">
        <v>211</v>
      </c>
      <c r="E462" s="18" t="s">
        <v>1265</v>
      </c>
      <c r="F462" s="18"/>
      <c r="G462" s="19"/>
    </row>
    <row r="463" spans="1:7" s="7" customFormat="1" x14ac:dyDescent="0.15">
      <c r="A463" s="2"/>
      <c r="B463" s="17" t="s">
        <v>127</v>
      </c>
      <c r="C463" s="18" t="s">
        <v>1266</v>
      </c>
      <c r="D463" s="18" t="s">
        <v>1211</v>
      </c>
      <c r="E463" s="18">
        <v>0</v>
      </c>
      <c r="F463" s="18"/>
      <c r="G463" s="19"/>
    </row>
    <row r="464" spans="1:7" s="7" customFormat="1" x14ac:dyDescent="0.15">
      <c r="A464" s="2"/>
      <c r="B464" s="17" t="s">
        <v>966</v>
      </c>
      <c r="C464" s="18" t="s">
        <v>1533</v>
      </c>
      <c r="D464" s="18" t="s">
        <v>1087</v>
      </c>
      <c r="E464" s="18">
        <v>0</v>
      </c>
      <c r="F464" s="18"/>
      <c r="G464" s="19"/>
    </row>
    <row r="465" spans="1:13" s="7" customFormat="1" x14ac:dyDescent="0.15">
      <c r="A465" s="2"/>
      <c r="B465" s="20" t="s">
        <v>866</v>
      </c>
      <c r="C465" s="18" t="s">
        <v>1140</v>
      </c>
      <c r="D465" s="18" t="s">
        <v>1169</v>
      </c>
      <c r="E465" s="18">
        <v>0</v>
      </c>
      <c r="F465" s="18"/>
      <c r="G465" s="19"/>
    </row>
    <row r="466" spans="1:13" s="7" customFormat="1" x14ac:dyDescent="0.15">
      <c r="A466" s="2"/>
      <c r="B466" s="17" t="s">
        <v>129</v>
      </c>
      <c r="C466" s="18" t="s">
        <v>1267</v>
      </c>
      <c r="D466" s="18" t="s">
        <v>1169</v>
      </c>
      <c r="E466" s="18">
        <v>0</v>
      </c>
      <c r="F466" s="18"/>
      <c r="G466" s="19"/>
    </row>
    <row r="467" spans="1:13" s="7" customFormat="1" x14ac:dyDescent="0.15">
      <c r="A467" s="2"/>
      <c r="B467" s="17" t="s">
        <v>968</v>
      </c>
      <c r="C467" s="18" t="s">
        <v>1090</v>
      </c>
      <c r="D467" s="18" t="s">
        <v>1169</v>
      </c>
      <c r="E467" s="18">
        <v>0</v>
      </c>
      <c r="F467" s="18"/>
      <c r="G467" s="19"/>
    </row>
    <row r="468" spans="1:13" s="7" customFormat="1" x14ac:dyDescent="0.15">
      <c r="A468" s="2"/>
      <c r="B468" s="17" t="s">
        <v>986</v>
      </c>
      <c r="C468" s="18" t="s">
        <v>1200</v>
      </c>
      <c r="D468" s="18" t="s">
        <v>1087</v>
      </c>
      <c r="E468" s="18">
        <v>0</v>
      </c>
      <c r="F468" s="18"/>
      <c r="G468" s="19"/>
    </row>
    <row r="469" spans="1:13" s="7" customFormat="1" x14ac:dyDescent="0.15">
      <c r="A469" s="2"/>
      <c r="B469" s="17" t="s">
        <v>969</v>
      </c>
      <c r="C469" s="18" t="s">
        <v>1137</v>
      </c>
      <c r="D469" s="18" t="s">
        <v>1087</v>
      </c>
      <c r="E469" s="18">
        <v>0</v>
      </c>
      <c r="F469" s="18"/>
      <c r="G469" s="19"/>
    </row>
    <row r="470" spans="1:13" s="7" customFormat="1" x14ac:dyDescent="0.15">
      <c r="A470" s="2"/>
      <c r="B470" s="17" t="s">
        <v>970</v>
      </c>
      <c r="C470" s="18" t="s">
        <v>1268</v>
      </c>
      <c r="D470" s="18" t="s">
        <v>1211</v>
      </c>
      <c r="E470" s="18">
        <v>0</v>
      </c>
      <c r="F470" s="18"/>
      <c r="G470" s="19"/>
    </row>
    <row r="471" spans="1:13" s="7" customFormat="1" x14ac:dyDescent="0.15">
      <c r="A471" s="2"/>
      <c r="B471" s="20" t="s">
        <v>987</v>
      </c>
      <c r="C471" s="18" t="s">
        <v>1269</v>
      </c>
      <c r="D471" s="18" t="s">
        <v>1073</v>
      </c>
      <c r="E471" s="18" t="s">
        <v>1072</v>
      </c>
      <c r="F471" s="18"/>
      <c r="G471" s="19" t="s">
        <v>1270</v>
      </c>
    </row>
    <row r="472" spans="1:13" s="7" customFormat="1" x14ac:dyDescent="0.15">
      <c r="A472" s="2"/>
      <c r="B472" s="14" t="s">
        <v>988</v>
      </c>
      <c r="C472" s="18" t="s">
        <v>1271</v>
      </c>
      <c r="D472" s="18" t="s">
        <v>1345</v>
      </c>
      <c r="E472" s="18">
        <v>0</v>
      </c>
      <c r="F472" s="18"/>
      <c r="G472" s="19"/>
    </row>
    <row r="473" spans="1:13" s="7" customFormat="1" x14ac:dyDescent="0.15">
      <c r="A473" s="2"/>
      <c r="B473" s="17" t="s">
        <v>919</v>
      </c>
      <c r="C473" s="18" t="s">
        <v>1224</v>
      </c>
      <c r="D473" s="18" t="s">
        <v>1169</v>
      </c>
      <c r="E473" s="18">
        <v>0</v>
      </c>
      <c r="F473" s="18"/>
      <c r="G473" s="19" t="s">
        <v>1111</v>
      </c>
    </row>
    <row r="474" spans="1:13" s="7" customFormat="1" x14ac:dyDescent="0.15">
      <c r="A474" s="2"/>
      <c r="B474" s="17" t="s">
        <v>989</v>
      </c>
      <c r="C474" s="18" t="s">
        <v>1230</v>
      </c>
      <c r="D474" s="18" t="s">
        <v>1169</v>
      </c>
      <c r="E474" s="18">
        <v>0</v>
      </c>
      <c r="F474" s="18"/>
      <c r="G474" s="19"/>
    </row>
    <row r="475" spans="1:13" s="7" customFormat="1" x14ac:dyDescent="0.15">
      <c r="A475" s="2"/>
      <c r="B475" s="17" t="s">
        <v>973</v>
      </c>
      <c r="C475" s="18" t="s">
        <v>1272</v>
      </c>
      <c r="D475" s="18" t="s">
        <v>1169</v>
      </c>
      <c r="E475" s="18">
        <v>0</v>
      </c>
      <c r="F475" s="18"/>
      <c r="G475" s="19"/>
    </row>
    <row r="476" spans="1:13" s="7" customFormat="1" ht="18" thickBot="1" x14ac:dyDescent="0.2">
      <c r="A476" s="2"/>
      <c r="B476" s="17"/>
      <c r="C476" s="18"/>
      <c r="D476" s="18"/>
      <c r="E476" s="18"/>
      <c r="F476" s="18"/>
      <c r="G476" s="19"/>
    </row>
    <row r="477" spans="1:13" s="7" customFormat="1" x14ac:dyDescent="0.15">
      <c r="A477" s="2"/>
      <c r="B477" s="327" t="s">
        <v>15</v>
      </c>
      <c r="C477" s="328"/>
      <c r="D477" s="328"/>
      <c r="E477" s="328"/>
      <c r="F477" s="328"/>
      <c r="G477" s="329"/>
    </row>
    <row r="478" spans="1:13" s="7" customFormat="1" x14ac:dyDescent="0.15">
      <c r="A478" s="2" t="s">
        <v>867</v>
      </c>
      <c r="B478" s="20">
        <v>1</v>
      </c>
      <c r="C478" s="23" t="s">
        <v>990</v>
      </c>
      <c r="D478" s="23" t="s">
        <v>877</v>
      </c>
      <c r="E478" s="21" t="s">
        <v>123</v>
      </c>
      <c r="F478" s="21" t="s">
        <v>7</v>
      </c>
      <c r="G478" s="22" t="s">
        <v>797</v>
      </c>
      <c r="H478" s="7" t="s">
        <v>936</v>
      </c>
      <c r="I478" s="7" t="s">
        <v>796</v>
      </c>
      <c r="J478" s="7" t="s">
        <v>975</v>
      </c>
      <c r="K478" s="7" t="s">
        <v>884</v>
      </c>
      <c r="L478" s="7" t="s">
        <v>991</v>
      </c>
      <c r="M478" s="7" t="s">
        <v>828</v>
      </c>
    </row>
    <row r="479" spans="1:13" s="7" customFormat="1" x14ac:dyDescent="0.15">
      <c r="A479" s="2"/>
      <c r="B479" s="20">
        <v>2</v>
      </c>
      <c r="C479" s="21" t="s">
        <v>795</v>
      </c>
      <c r="D479" s="21" t="s">
        <v>992</v>
      </c>
      <c r="E479" s="21" t="s">
        <v>878</v>
      </c>
      <c r="F479" s="21"/>
      <c r="G479" s="22"/>
    </row>
    <row r="480" spans="1:13" s="7" customFormat="1" x14ac:dyDescent="0.15">
      <c r="A480" s="2" t="s">
        <v>794</v>
      </c>
      <c r="B480" s="17">
        <v>3</v>
      </c>
      <c r="C480" s="18" t="s">
        <v>795</v>
      </c>
      <c r="D480" s="18" t="s">
        <v>988</v>
      </c>
      <c r="E480" s="18"/>
      <c r="F480" s="18"/>
      <c r="G480" s="19"/>
    </row>
    <row r="481" spans="1:7" s="7" customFormat="1" ht="18" thickBot="1" x14ac:dyDescent="0.2">
      <c r="A481" s="2"/>
      <c r="B481" s="24"/>
      <c r="C481" s="9"/>
      <c r="D481" s="9"/>
      <c r="E481" s="9"/>
      <c r="F481" s="9"/>
      <c r="G481" s="11"/>
    </row>
  </sheetData>
  <mergeCells count="11">
    <mergeCell ref="B247:G247"/>
    <mergeCell ref="B50:G50"/>
    <mergeCell ref="B79:G79"/>
    <mergeCell ref="B109:G109"/>
    <mergeCell ref="B155:G155"/>
    <mergeCell ref="B202:G202"/>
    <mergeCell ref="B293:G293"/>
    <mergeCell ref="B345:G345"/>
    <mergeCell ref="B398:G398"/>
    <mergeCell ref="B437:G437"/>
    <mergeCell ref="B477:G477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82"/>
  <sheetViews>
    <sheetView topLeftCell="A3164" zoomScaleNormal="100" workbookViewId="0">
      <selection sqref="A1:XFD3184"/>
    </sheetView>
  </sheetViews>
  <sheetFormatPr defaultColWidth="9" defaultRowHeight="17.25" x14ac:dyDescent="0.15"/>
  <cols>
    <col min="1" max="1" width="4.875" style="1" customWidth="1"/>
    <col min="2" max="2" width="17.25" style="1" customWidth="1"/>
    <col min="3" max="3" width="29.875" style="1" bestFit="1" customWidth="1"/>
    <col min="4" max="4" width="15.5" style="1" customWidth="1"/>
    <col min="5" max="5" width="32.375" style="1" bestFit="1" customWidth="1"/>
    <col min="6" max="6" width="14.25" style="1" customWidth="1"/>
    <col min="7" max="7" width="60.625" style="1" customWidth="1"/>
    <col min="8" max="8" width="19.375" style="1" customWidth="1"/>
    <col min="9" max="9" width="14.375" style="1" customWidth="1"/>
    <col min="10" max="16384" width="9" style="1"/>
  </cols>
  <sheetData>
    <row r="1" spans="1:7" ht="18" thickBot="1" x14ac:dyDescent="0.2"/>
    <row r="2" spans="1:7" s="76" customFormat="1" x14ac:dyDescent="0.15">
      <c r="A2" s="71"/>
      <c r="B2" s="72" t="s">
        <v>563</v>
      </c>
      <c r="C2" s="73" t="s">
        <v>622</v>
      </c>
      <c r="D2" s="74" t="s">
        <v>515</v>
      </c>
      <c r="E2" s="236" t="s">
        <v>711</v>
      </c>
      <c r="F2" s="74" t="s">
        <v>567</v>
      </c>
      <c r="G2" s="75"/>
    </row>
    <row r="3" spans="1:7" s="76" customFormat="1" ht="18" thickBot="1" x14ac:dyDescent="0.2">
      <c r="A3" s="71"/>
      <c r="B3" s="178" t="s">
        <v>570</v>
      </c>
      <c r="C3" s="179"/>
      <c r="D3" s="180" t="s">
        <v>568</v>
      </c>
      <c r="E3" s="179" t="s">
        <v>615</v>
      </c>
      <c r="F3" s="180"/>
      <c r="G3" s="181"/>
    </row>
    <row r="4" spans="1:7" s="76" customFormat="1" x14ac:dyDescent="0.15">
      <c r="A4" s="71"/>
      <c r="B4" s="182" t="s">
        <v>571</v>
      </c>
      <c r="C4" s="183" t="s">
        <v>572</v>
      </c>
      <c r="D4" s="183" t="s">
        <v>573</v>
      </c>
      <c r="E4" s="183"/>
      <c r="F4" s="183" t="s">
        <v>3</v>
      </c>
      <c r="G4" s="237" t="s">
        <v>4</v>
      </c>
    </row>
    <row r="5" spans="1:7" s="76" customFormat="1" x14ac:dyDescent="0.15">
      <c r="A5" s="71"/>
      <c r="B5" s="184" t="s">
        <v>496</v>
      </c>
      <c r="C5" s="100" t="s">
        <v>1534</v>
      </c>
      <c r="D5" s="100" t="s">
        <v>211</v>
      </c>
      <c r="E5" s="100">
        <v>0</v>
      </c>
      <c r="F5" s="100"/>
      <c r="G5" s="185"/>
    </row>
    <row r="6" spans="1:7" s="76" customFormat="1" x14ac:dyDescent="0.15">
      <c r="A6" s="71"/>
      <c r="B6" s="184" t="s">
        <v>497</v>
      </c>
      <c r="C6" s="100" t="s">
        <v>1535</v>
      </c>
      <c r="D6" s="100" t="s">
        <v>211</v>
      </c>
      <c r="E6" s="100">
        <v>0</v>
      </c>
      <c r="F6" s="100"/>
      <c r="G6" s="185"/>
    </row>
    <row r="7" spans="1:7" s="76" customFormat="1" x14ac:dyDescent="0.15">
      <c r="A7" s="71"/>
      <c r="B7" s="184" t="s">
        <v>574</v>
      </c>
      <c r="C7" s="100" t="s">
        <v>1273</v>
      </c>
      <c r="D7" s="100" t="s">
        <v>211</v>
      </c>
      <c r="E7" s="100">
        <v>0</v>
      </c>
      <c r="F7" s="100"/>
      <c r="G7" s="185" t="s">
        <v>1274</v>
      </c>
    </row>
    <row r="8" spans="1:7" s="76" customFormat="1" x14ac:dyDescent="0.15">
      <c r="A8" s="71"/>
      <c r="B8" s="184" t="s">
        <v>575</v>
      </c>
      <c r="C8" s="100" t="s">
        <v>1275</v>
      </c>
      <c r="D8" s="100" t="s">
        <v>1073</v>
      </c>
      <c r="E8" s="100" t="s">
        <v>1072</v>
      </c>
      <c r="F8" s="100"/>
      <c r="G8" s="185"/>
    </row>
    <row r="9" spans="1:7" s="76" customFormat="1" x14ac:dyDescent="0.15">
      <c r="A9" s="71"/>
      <c r="B9" s="84" t="s">
        <v>576</v>
      </c>
      <c r="C9" s="86" t="s">
        <v>1260</v>
      </c>
      <c r="D9" s="86" t="s">
        <v>211</v>
      </c>
      <c r="E9" s="86" t="s">
        <v>1261</v>
      </c>
      <c r="F9" s="86"/>
      <c r="G9" s="87"/>
    </row>
    <row r="10" spans="1:7" s="76" customFormat="1" ht="18" thickBot="1" x14ac:dyDescent="0.2">
      <c r="A10" s="71"/>
      <c r="B10" s="238"/>
      <c r="C10" s="79"/>
      <c r="D10" s="79"/>
      <c r="E10" s="79"/>
      <c r="F10" s="79"/>
      <c r="G10" s="81"/>
    </row>
    <row r="11" spans="1:7" s="76" customFormat="1" x14ac:dyDescent="0.15">
      <c r="A11" s="71"/>
      <c r="B11" s="324" t="s">
        <v>577</v>
      </c>
      <c r="C11" s="325"/>
      <c r="D11" s="325"/>
      <c r="E11" s="325"/>
      <c r="F11" s="325"/>
      <c r="G11" s="326"/>
    </row>
    <row r="12" spans="1:7" s="76" customFormat="1" x14ac:dyDescent="0.15">
      <c r="A12" s="71" t="s">
        <v>298</v>
      </c>
      <c r="B12" s="88">
        <v>1</v>
      </c>
      <c r="C12" s="86" t="s">
        <v>574</v>
      </c>
      <c r="D12" s="86"/>
      <c r="E12" s="86"/>
      <c r="F12" s="86"/>
      <c r="G12" s="87"/>
    </row>
    <row r="13" spans="1:7" s="76" customFormat="1" x14ac:dyDescent="0.15">
      <c r="A13" s="71"/>
      <c r="B13" s="92">
        <v>2</v>
      </c>
      <c r="C13" s="93" t="s">
        <v>496</v>
      </c>
      <c r="D13" s="93" t="s">
        <v>497</v>
      </c>
      <c r="E13" s="93"/>
      <c r="F13" s="93"/>
      <c r="G13" s="94"/>
    </row>
    <row r="14" spans="1:7" s="76" customFormat="1" x14ac:dyDescent="0.15">
      <c r="A14" s="71"/>
      <c r="B14" s="92">
        <v>3</v>
      </c>
      <c r="C14" s="93" t="s">
        <v>576</v>
      </c>
      <c r="D14" s="93"/>
      <c r="E14" s="93"/>
      <c r="F14" s="93"/>
      <c r="G14" s="94"/>
    </row>
    <row r="15" spans="1:7" s="76" customFormat="1" ht="18" thickBot="1" x14ac:dyDescent="0.2">
      <c r="A15" s="71"/>
      <c r="B15" s="89"/>
      <c r="C15" s="90"/>
      <c r="D15" s="90"/>
      <c r="E15" s="90"/>
      <c r="F15" s="90"/>
      <c r="G15" s="91"/>
    </row>
    <row r="16" spans="1:7" s="7" customFormat="1" x14ac:dyDescent="0.15"/>
    <row r="17" spans="1:7" s="7" customFormat="1" ht="18" thickBot="1" x14ac:dyDescent="0.2"/>
    <row r="18" spans="1:7" s="7" customFormat="1" x14ac:dyDescent="0.15">
      <c r="A18" s="2"/>
      <c r="B18" s="3" t="s">
        <v>563</v>
      </c>
      <c r="C18" s="4" t="s">
        <v>623</v>
      </c>
      <c r="D18" s="5" t="s">
        <v>515</v>
      </c>
      <c r="E18" s="4" t="s">
        <v>712</v>
      </c>
      <c r="F18" s="5" t="s">
        <v>567</v>
      </c>
      <c r="G18" s="6"/>
    </row>
    <row r="19" spans="1:7" s="7" customFormat="1" ht="18" thickBot="1" x14ac:dyDescent="0.2">
      <c r="A19" s="2"/>
      <c r="B19" s="8" t="s">
        <v>570</v>
      </c>
      <c r="C19" s="9"/>
      <c r="D19" s="10" t="s">
        <v>568</v>
      </c>
      <c r="E19" s="9" t="s">
        <v>615</v>
      </c>
      <c r="F19" s="10"/>
      <c r="G19" s="11"/>
    </row>
    <row r="20" spans="1:7" s="7" customFormat="1" x14ac:dyDescent="0.15">
      <c r="A20" s="2"/>
      <c r="B20" s="12" t="s">
        <v>0</v>
      </c>
      <c r="C20" s="13" t="s">
        <v>1</v>
      </c>
      <c r="D20" s="13" t="s">
        <v>2</v>
      </c>
      <c r="E20" s="13"/>
      <c r="F20" s="13" t="s">
        <v>3</v>
      </c>
      <c r="G20" s="13" t="s">
        <v>4</v>
      </c>
    </row>
    <row r="21" spans="1:7" s="7" customFormat="1" x14ac:dyDescent="0.15">
      <c r="A21" s="2"/>
      <c r="B21" s="33" t="s">
        <v>149</v>
      </c>
      <c r="C21" s="18" t="s">
        <v>1127</v>
      </c>
      <c r="D21" s="18" t="s">
        <v>211</v>
      </c>
      <c r="E21" s="18" t="s">
        <v>1141</v>
      </c>
      <c r="F21" s="18"/>
      <c r="G21" s="19" t="s">
        <v>1162</v>
      </c>
    </row>
    <row r="22" spans="1:7" s="7" customFormat="1" x14ac:dyDescent="0.15">
      <c r="A22" s="2"/>
      <c r="B22" s="33" t="s">
        <v>18</v>
      </c>
      <c r="C22" s="18" t="s">
        <v>1190</v>
      </c>
      <c r="D22" s="18" t="s">
        <v>211</v>
      </c>
      <c r="E22" s="18">
        <v>0</v>
      </c>
      <c r="F22" s="18"/>
      <c r="G22" s="19" t="s">
        <v>1081</v>
      </c>
    </row>
    <row r="23" spans="1:7" s="7" customFormat="1" x14ac:dyDescent="0.15">
      <c r="A23" s="2"/>
      <c r="B23" s="142" t="s">
        <v>498</v>
      </c>
      <c r="C23" s="18" t="s">
        <v>1276</v>
      </c>
      <c r="D23" s="18" t="s">
        <v>1131</v>
      </c>
      <c r="E23" s="18" t="s">
        <v>1074</v>
      </c>
      <c r="F23" s="18"/>
      <c r="G23" s="19"/>
    </row>
    <row r="24" spans="1:7" s="7" customFormat="1" x14ac:dyDescent="0.15">
      <c r="A24" s="2"/>
      <c r="B24" s="142" t="s">
        <v>181</v>
      </c>
      <c r="C24" s="18" t="s">
        <v>1091</v>
      </c>
      <c r="D24" s="18" t="s">
        <v>1131</v>
      </c>
      <c r="E24" s="18" t="s">
        <v>1074</v>
      </c>
      <c r="F24" s="18"/>
      <c r="G24" s="19"/>
    </row>
    <row r="25" spans="1:7" s="7" customFormat="1" x14ac:dyDescent="0.15">
      <c r="A25" s="2"/>
      <c r="B25" s="142" t="s">
        <v>499</v>
      </c>
      <c r="C25" s="18" t="s">
        <v>1536</v>
      </c>
      <c r="D25" s="18" t="s">
        <v>1172</v>
      </c>
      <c r="E25" s="18">
        <v>0</v>
      </c>
      <c r="F25" s="18"/>
      <c r="G25" s="19"/>
    </row>
    <row r="26" spans="1:7" s="7" customFormat="1" x14ac:dyDescent="0.15">
      <c r="A26" s="2"/>
      <c r="B26" s="142" t="s">
        <v>500</v>
      </c>
      <c r="C26" s="18" t="s">
        <v>1537</v>
      </c>
      <c r="D26" s="18" t="s">
        <v>1172</v>
      </c>
      <c r="E26" s="18">
        <v>0</v>
      </c>
      <c r="F26" s="18"/>
      <c r="G26" s="19"/>
    </row>
    <row r="27" spans="1:7" s="7" customFormat="1" x14ac:dyDescent="0.15">
      <c r="A27" s="2"/>
      <c r="B27" s="142" t="s">
        <v>501</v>
      </c>
      <c r="C27" s="18" t="s">
        <v>1538</v>
      </c>
      <c r="D27" s="18" t="s">
        <v>1172</v>
      </c>
      <c r="E27" s="18">
        <v>0</v>
      </c>
      <c r="F27" s="18"/>
      <c r="G27" s="19"/>
    </row>
    <row r="28" spans="1:7" s="7" customFormat="1" x14ac:dyDescent="0.15">
      <c r="A28" s="2"/>
      <c r="B28" s="142" t="s">
        <v>502</v>
      </c>
      <c r="C28" s="18" t="s">
        <v>1539</v>
      </c>
      <c r="D28" s="18" t="s">
        <v>1172</v>
      </c>
      <c r="E28" s="18">
        <v>0</v>
      </c>
      <c r="F28" s="18"/>
      <c r="G28" s="19"/>
    </row>
    <row r="29" spans="1:7" s="7" customFormat="1" ht="18" thickBot="1" x14ac:dyDescent="0.2">
      <c r="A29" s="2"/>
      <c r="B29" s="20"/>
      <c r="C29" s="21"/>
      <c r="D29" s="21"/>
      <c r="E29" s="21"/>
      <c r="F29" s="21"/>
      <c r="G29" s="22"/>
    </row>
    <row r="30" spans="1:7" s="7" customFormat="1" ht="19.5" customHeight="1" x14ac:dyDescent="0.15">
      <c r="A30" s="2"/>
      <c r="B30" s="314" t="s">
        <v>15</v>
      </c>
      <c r="C30" s="315"/>
      <c r="D30" s="315"/>
      <c r="E30" s="315"/>
      <c r="F30" s="315"/>
      <c r="G30" s="316"/>
    </row>
    <row r="31" spans="1:7" s="7" customFormat="1" x14ac:dyDescent="0.15">
      <c r="A31" s="2" t="s">
        <v>62</v>
      </c>
      <c r="B31" s="20">
        <v>1</v>
      </c>
      <c r="C31" s="21" t="s">
        <v>149</v>
      </c>
      <c r="D31" s="21" t="s">
        <v>18</v>
      </c>
      <c r="E31" s="21"/>
      <c r="F31" s="21"/>
      <c r="G31" s="22"/>
    </row>
    <row r="32" spans="1:7" s="7" customFormat="1" ht="18" thickBot="1" x14ac:dyDescent="0.2">
      <c r="A32" s="2"/>
      <c r="B32" s="24"/>
      <c r="C32" s="9"/>
      <c r="D32" s="9"/>
      <c r="E32" s="9"/>
      <c r="F32" s="9"/>
      <c r="G32" s="11"/>
    </row>
    <row r="33" spans="1:7" s="7" customFormat="1" x14ac:dyDescent="0.15"/>
    <row r="34" spans="1:7" s="7" customFormat="1" x14ac:dyDescent="0.15">
      <c r="A34" s="2"/>
    </row>
    <row r="35" spans="1:7" s="7" customFormat="1" ht="18" thickBot="1" x14ac:dyDescent="0.2"/>
    <row r="36" spans="1:7" s="7" customFormat="1" x14ac:dyDescent="0.15">
      <c r="A36" s="2"/>
      <c r="B36" s="3" t="s">
        <v>563</v>
      </c>
      <c r="C36" s="4" t="s">
        <v>624</v>
      </c>
      <c r="D36" s="5" t="s">
        <v>515</v>
      </c>
      <c r="E36" s="4" t="s">
        <v>1008</v>
      </c>
      <c r="F36" s="5" t="s">
        <v>567</v>
      </c>
      <c r="G36" s="6"/>
    </row>
    <row r="37" spans="1:7" s="7" customFormat="1" ht="18" thickBot="1" x14ac:dyDescent="0.2">
      <c r="A37" s="2"/>
      <c r="B37" s="8" t="s">
        <v>570</v>
      </c>
      <c r="C37" s="9"/>
      <c r="D37" s="10" t="s">
        <v>568</v>
      </c>
      <c r="E37" s="9" t="s">
        <v>615</v>
      </c>
      <c r="F37" s="10"/>
      <c r="G37" s="11"/>
    </row>
    <row r="38" spans="1:7" s="7" customFormat="1" x14ac:dyDescent="0.15">
      <c r="A38" s="2"/>
      <c r="B38" s="12" t="s">
        <v>0</v>
      </c>
      <c r="C38" s="13" t="s">
        <v>1</v>
      </c>
      <c r="D38" s="13" t="s">
        <v>2</v>
      </c>
      <c r="E38" s="13"/>
      <c r="F38" s="13" t="s">
        <v>3</v>
      </c>
      <c r="G38" s="13" t="s">
        <v>4</v>
      </c>
    </row>
    <row r="39" spans="1:7" s="7" customFormat="1" x14ac:dyDescent="0.15">
      <c r="A39" s="2"/>
      <c r="B39" s="33" t="s">
        <v>109</v>
      </c>
      <c r="C39" s="18" t="s">
        <v>1163</v>
      </c>
      <c r="D39" s="18" t="s">
        <v>211</v>
      </c>
      <c r="E39" s="18">
        <v>0</v>
      </c>
      <c r="F39" s="18"/>
      <c r="G39" s="19" t="s">
        <v>1077</v>
      </c>
    </row>
    <row r="40" spans="1:7" s="7" customFormat="1" x14ac:dyDescent="0.15">
      <c r="A40" s="2"/>
      <c r="B40" s="142" t="s">
        <v>498</v>
      </c>
      <c r="C40" s="18" t="s">
        <v>1276</v>
      </c>
      <c r="D40" s="18" t="s">
        <v>1131</v>
      </c>
      <c r="E40" s="18" t="s">
        <v>1074</v>
      </c>
      <c r="F40" s="18"/>
      <c r="G40" s="19"/>
    </row>
    <row r="41" spans="1:7" s="7" customFormat="1" x14ac:dyDescent="0.15">
      <c r="A41" s="2"/>
      <c r="B41" s="142" t="s">
        <v>182</v>
      </c>
      <c r="C41" s="18" t="s">
        <v>1091</v>
      </c>
      <c r="D41" s="18" t="s">
        <v>1131</v>
      </c>
      <c r="E41" s="18" t="s">
        <v>1074</v>
      </c>
      <c r="F41" s="18"/>
      <c r="G41" s="19"/>
    </row>
    <row r="42" spans="1:7" s="7" customFormat="1" x14ac:dyDescent="0.15">
      <c r="A42" s="2"/>
      <c r="B42" s="142" t="s">
        <v>503</v>
      </c>
      <c r="C42" s="18" t="s">
        <v>1277</v>
      </c>
      <c r="D42" s="18" t="s">
        <v>1172</v>
      </c>
      <c r="E42" s="18">
        <v>0</v>
      </c>
      <c r="F42" s="18"/>
      <c r="G42" s="19"/>
    </row>
    <row r="43" spans="1:7" s="7" customFormat="1" x14ac:dyDescent="0.15">
      <c r="A43" s="2"/>
      <c r="B43" s="142" t="s">
        <v>504</v>
      </c>
      <c r="C43" s="18" t="s">
        <v>1540</v>
      </c>
      <c r="D43" s="18" t="s">
        <v>1172</v>
      </c>
      <c r="E43" s="18">
        <v>0</v>
      </c>
      <c r="F43" s="18"/>
      <c r="G43" s="19"/>
    </row>
    <row r="44" spans="1:7" s="7" customFormat="1" x14ac:dyDescent="0.15">
      <c r="A44" s="2"/>
      <c r="B44" s="142"/>
      <c r="C44" s="18"/>
      <c r="D44" s="18"/>
      <c r="E44" s="18"/>
      <c r="F44" s="18"/>
      <c r="G44" s="19"/>
    </row>
    <row r="45" spans="1:7" s="7" customFormat="1" ht="18" thickBot="1" x14ac:dyDescent="0.2">
      <c r="A45" s="2"/>
      <c r="B45" s="20"/>
      <c r="C45" s="21"/>
      <c r="D45" s="21"/>
      <c r="E45" s="21"/>
      <c r="F45" s="21"/>
      <c r="G45" s="22"/>
    </row>
    <row r="46" spans="1:7" s="7" customFormat="1" ht="19.5" customHeight="1" x14ac:dyDescent="0.15">
      <c r="A46" s="2"/>
      <c r="B46" s="314" t="s">
        <v>15</v>
      </c>
      <c r="C46" s="315"/>
      <c r="D46" s="315"/>
      <c r="E46" s="315"/>
      <c r="F46" s="315"/>
      <c r="G46" s="316"/>
    </row>
    <row r="47" spans="1:7" s="7" customFormat="1" x14ac:dyDescent="0.15">
      <c r="A47" s="2" t="s">
        <v>62</v>
      </c>
      <c r="B47" s="20">
        <v>1</v>
      </c>
      <c r="C47" s="21" t="s">
        <v>109</v>
      </c>
      <c r="D47" s="21" t="s">
        <v>498</v>
      </c>
      <c r="E47" s="21" t="s">
        <v>182</v>
      </c>
      <c r="F47" s="21"/>
      <c r="G47" s="22"/>
    </row>
    <row r="48" spans="1:7" s="7" customFormat="1" ht="18" thickBot="1" x14ac:dyDescent="0.2">
      <c r="A48" s="2"/>
      <c r="B48" s="24"/>
      <c r="C48" s="9"/>
      <c r="D48" s="9"/>
      <c r="E48" s="9"/>
      <c r="F48" s="9"/>
      <c r="G48" s="11"/>
    </row>
    <row r="49" spans="1:7" s="7" customFormat="1" ht="18" thickBot="1" x14ac:dyDescent="0.2"/>
    <row r="50" spans="1:7" s="7" customFormat="1" x14ac:dyDescent="0.15">
      <c r="A50" s="2"/>
      <c r="B50" s="3" t="s">
        <v>563</v>
      </c>
      <c r="C50" s="4" t="s">
        <v>556</v>
      </c>
      <c r="D50" s="5" t="s">
        <v>515</v>
      </c>
      <c r="E50" s="4" t="s">
        <v>713</v>
      </c>
      <c r="F50" s="5" t="s">
        <v>567</v>
      </c>
      <c r="G50" s="6" t="s">
        <v>543</v>
      </c>
    </row>
    <row r="51" spans="1:7" s="7" customFormat="1" ht="18" thickBot="1" x14ac:dyDescent="0.2">
      <c r="A51" s="2"/>
      <c r="B51" s="8" t="s">
        <v>570</v>
      </c>
      <c r="C51" s="9"/>
      <c r="D51" s="10" t="s">
        <v>568</v>
      </c>
      <c r="E51" s="9" t="s">
        <v>615</v>
      </c>
      <c r="F51" s="10"/>
      <c r="G51" s="11"/>
    </row>
    <row r="52" spans="1:7" s="7" customFormat="1" x14ac:dyDescent="0.15">
      <c r="A52" s="2"/>
      <c r="B52" s="12" t="s">
        <v>0</v>
      </c>
      <c r="C52" s="13" t="s">
        <v>1</v>
      </c>
      <c r="D52" s="13" t="s">
        <v>2</v>
      </c>
      <c r="E52" s="13"/>
      <c r="F52" s="13" t="s">
        <v>3</v>
      </c>
      <c r="G52" s="13" t="s">
        <v>4</v>
      </c>
    </row>
    <row r="53" spans="1:7" s="7" customFormat="1" x14ac:dyDescent="0.15">
      <c r="A53" s="2"/>
      <c r="B53" s="14" t="s">
        <v>7</v>
      </c>
      <c r="C53" s="15" t="s">
        <v>1190</v>
      </c>
      <c r="D53" s="15" t="s">
        <v>211</v>
      </c>
      <c r="E53" s="15">
        <v>0</v>
      </c>
      <c r="F53" s="15"/>
      <c r="G53" s="16" t="s">
        <v>1081</v>
      </c>
    </row>
    <row r="54" spans="1:7" s="7" customFormat="1" x14ac:dyDescent="0.15">
      <c r="A54" s="2"/>
      <c r="B54" s="14" t="s">
        <v>78</v>
      </c>
      <c r="C54" s="15" t="s">
        <v>1189</v>
      </c>
      <c r="D54" s="15" t="s">
        <v>211</v>
      </c>
      <c r="E54" s="15">
        <v>0</v>
      </c>
      <c r="F54" s="15"/>
      <c r="G54" s="16"/>
    </row>
    <row r="55" spans="1:7" s="7" customFormat="1" x14ac:dyDescent="0.15">
      <c r="A55" s="2"/>
      <c r="B55" s="14" t="s">
        <v>79</v>
      </c>
      <c r="C55" s="15" t="s">
        <v>1278</v>
      </c>
      <c r="D55" s="15" t="s">
        <v>211</v>
      </c>
      <c r="E55" s="15">
        <v>0</v>
      </c>
      <c r="F55" s="15"/>
      <c r="G55" s="16" t="s">
        <v>1279</v>
      </c>
    </row>
    <row r="56" spans="1:7" s="7" customFormat="1" x14ac:dyDescent="0.15">
      <c r="A56" s="2"/>
      <c r="B56" s="14" t="s">
        <v>80</v>
      </c>
      <c r="C56" s="15" t="s">
        <v>1280</v>
      </c>
      <c r="D56" s="15" t="s">
        <v>211</v>
      </c>
      <c r="E56" s="15">
        <v>0</v>
      </c>
      <c r="F56" s="15"/>
      <c r="G56" s="16" t="s">
        <v>1281</v>
      </c>
    </row>
    <row r="57" spans="1:7" s="7" customFormat="1" x14ac:dyDescent="0.15">
      <c r="A57" s="2"/>
      <c r="B57" s="14" t="s">
        <v>81</v>
      </c>
      <c r="C57" s="15" t="s">
        <v>1282</v>
      </c>
      <c r="D57" s="15" t="s">
        <v>211</v>
      </c>
      <c r="E57" s="15" t="s">
        <v>1141</v>
      </c>
      <c r="F57" s="15"/>
      <c r="G57" s="16"/>
    </row>
    <row r="58" spans="1:7" s="7" customFormat="1" x14ac:dyDescent="0.15">
      <c r="A58" s="2"/>
      <c r="B58" s="25" t="s">
        <v>82</v>
      </c>
      <c r="C58" s="26" t="s">
        <v>1541</v>
      </c>
      <c r="D58" s="26" t="s">
        <v>211</v>
      </c>
      <c r="E58" s="26">
        <v>0</v>
      </c>
      <c r="F58" s="26"/>
      <c r="G58" s="27"/>
    </row>
    <row r="59" spans="1:7" s="7" customFormat="1" x14ac:dyDescent="0.15">
      <c r="A59" s="2"/>
      <c r="B59" s="17" t="s">
        <v>83</v>
      </c>
      <c r="C59" s="18" t="s">
        <v>1283</v>
      </c>
      <c r="D59" s="18" t="s">
        <v>211</v>
      </c>
      <c r="E59" s="18">
        <v>0</v>
      </c>
      <c r="F59" s="18"/>
      <c r="G59" s="19"/>
    </row>
    <row r="60" spans="1:7" s="7" customFormat="1" x14ac:dyDescent="0.15">
      <c r="A60" s="2"/>
      <c r="B60" s="17" t="s">
        <v>84</v>
      </c>
      <c r="C60" s="18" t="s">
        <v>1284</v>
      </c>
      <c r="D60" s="18" t="s">
        <v>211</v>
      </c>
      <c r="E60" s="18">
        <v>0</v>
      </c>
      <c r="F60" s="18"/>
      <c r="G60" s="19"/>
    </row>
    <row r="61" spans="1:7" s="7" customFormat="1" x14ac:dyDescent="0.15">
      <c r="A61" s="2"/>
      <c r="B61" s="17" t="s">
        <v>85</v>
      </c>
      <c r="C61" s="18" t="s">
        <v>1542</v>
      </c>
      <c r="D61" s="18" t="s">
        <v>211</v>
      </c>
      <c r="E61" s="18">
        <v>0</v>
      </c>
      <c r="F61" s="18"/>
      <c r="G61" s="19"/>
    </row>
    <row r="62" spans="1:7" s="7" customFormat="1" x14ac:dyDescent="0.15">
      <c r="A62" s="2"/>
      <c r="B62" s="20" t="s">
        <v>86</v>
      </c>
      <c r="C62" s="21" t="s">
        <v>1543</v>
      </c>
      <c r="D62" s="21" t="s">
        <v>211</v>
      </c>
      <c r="E62" s="21">
        <v>0</v>
      </c>
      <c r="F62" s="21"/>
      <c r="G62" s="19"/>
    </row>
    <row r="63" spans="1:7" s="7" customFormat="1" x14ac:dyDescent="0.15">
      <c r="A63" s="2"/>
      <c r="B63" s="20" t="s">
        <v>87</v>
      </c>
      <c r="C63" s="21" t="s">
        <v>1285</v>
      </c>
      <c r="D63" s="21" t="s">
        <v>211</v>
      </c>
      <c r="E63" s="21">
        <v>0</v>
      </c>
      <c r="F63" s="21"/>
      <c r="G63" s="19"/>
    </row>
    <row r="64" spans="1:7" s="7" customFormat="1" x14ac:dyDescent="0.15">
      <c r="A64" s="2"/>
      <c r="B64" s="20" t="s">
        <v>88</v>
      </c>
      <c r="C64" s="21" t="s">
        <v>1286</v>
      </c>
      <c r="D64" s="21" t="s">
        <v>211</v>
      </c>
      <c r="E64" s="21">
        <v>0</v>
      </c>
      <c r="F64" s="21"/>
      <c r="G64" s="19"/>
    </row>
    <row r="65" spans="1:7" s="7" customFormat="1" x14ac:dyDescent="0.15">
      <c r="A65" s="2"/>
      <c r="B65" s="20" t="s">
        <v>89</v>
      </c>
      <c r="C65" s="21" t="s">
        <v>1544</v>
      </c>
      <c r="D65" s="21" t="s">
        <v>211</v>
      </c>
      <c r="E65" s="21">
        <v>0</v>
      </c>
      <c r="F65" s="21"/>
      <c r="G65" s="19"/>
    </row>
    <row r="66" spans="1:7" s="7" customFormat="1" x14ac:dyDescent="0.15">
      <c r="A66" s="2"/>
      <c r="B66" s="20" t="s">
        <v>90</v>
      </c>
      <c r="C66" s="21" t="s">
        <v>1545</v>
      </c>
      <c r="D66" s="21" t="s">
        <v>211</v>
      </c>
      <c r="E66" s="21">
        <v>0</v>
      </c>
      <c r="F66" s="21"/>
      <c r="G66" s="19"/>
    </row>
    <row r="67" spans="1:7" s="7" customFormat="1" x14ac:dyDescent="0.15">
      <c r="A67" s="2"/>
      <c r="B67" s="17" t="s">
        <v>91</v>
      </c>
      <c r="C67" s="18" t="s">
        <v>1546</v>
      </c>
      <c r="D67" s="18" t="s">
        <v>211</v>
      </c>
      <c r="E67" s="18">
        <v>0</v>
      </c>
      <c r="F67" s="18"/>
      <c r="G67" s="19"/>
    </row>
    <row r="68" spans="1:7" s="7" customFormat="1" x14ac:dyDescent="0.15">
      <c r="A68" s="2"/>
      <c r="B68" s="17" t="s">
        <v>92</v>
      </c>
      <c r="C68" s="18" t="s">
        <v>1547</v>
      </c>
      <c r="D68" s="18" t="s">
        <v>211</v>
      </c>
      <c r="E68" s="18">
        <v>0</v>
      </c>
      <c r="F68" s="18"/>
      <c r="G68" s="19"/>
    </row>
    <row r="69" spans="1:7" s="7" customFormat="1" x14ac:dyDescent="0.15">
      <c r="A69" s="2"/>
      <c r="B69" s="17"/>
      <c r="C69" s="18"/>
      <c r="D69" s="18"/>
      <c r="E69" s="18"/>
      <c r="F69" s="18"/>
      <c r="G69" s="19"/>
    </row>
    <row r="70" spans="1:7" s="7" customFormat="1" ht="18" thickBot="1" x14ac:dyDescent="0.2">
      <c r="A70" s="2"/>
      <c r="B70" s="17"/>
      <c r="C70" s="18"/>
      <c r="D70" s="18"/>
      <c r="E70" s="18"/>
      <c r="F70" s="18"/>
      <c r="G70" s="19"/>
    </row>
    <row r="71" spans="1:7" s="7" customFormat="1" x14ac:dyDescent="0.15">
      <c r="A71" s="2"/>
      <c r="B71" s="327" t="s">
        <v>15</v>
      </c>
      <c r="C71" s="328"/>
      <c r="D71" s="328"/>
      <c r="E71" s="328"/>
      <c r="F71" s="328"/>
      <c r="G71" s="329"/>
    </row>
    <row r="72" spans="1:7" s="7" customFormat="1" x14ac:dyDescent="0.15">
      <c r="A72" s="2" t="s">
        <v>62</v>
      </c>
      <c r="B72" s="20">
        <v>1</v>
      </c>
      <c r="C72" s="21" t="s">
        <v>18</v>
      </c>
      <c r="D72" s="21" t="s">
        <v>93</v>
      </c>
      <c r="E72" s="21" t="s">
        <v>94</v>
      </c>
      <c r="F72" s="21" t="s">
        <v>95</v>
      </c>
      <c r="G72" s="22" t="s">
        <v>96</v>
      </c>
    </row>
    <row r="73" spans="1:7" s="7" customFormat="1" x14ac:dyDescent="0.15">
      <c r="A73" s="2"/>
      <c r="B73" s="20"/>
      <c r="C73" s="21"/>
      <c r="D73" s="21"/>
      <c r="E73" s="21"/>
      <c r="F73" s="21"/>
      <c r="G73" s="22"/>
    </row>
    <row r="74" spans="1:7" s="7" customFormat="1" ht="18" thickBot="1" x14ac:dyDescent="0.2">
      <c r="A74" s="2"/>
      <c r="B74" s="24"/>
      <c r="C74" s="9"/>
      <c r="D74" s="9"/>
      <c r="E74" s="9"/>
      <c r="F74" s="9"/>
      <c r="G74" s="11"/>
    </row>
    <row r="76" spans="1:7" ht="18" thickBot="1" x14ac:dyDescent="0.2"/>
    <row r="77" spans="1:7" s="7" customFormat="1" x14ac:dyDescent="0.15">
      <c r="A77" s="2"/>
      <c r="B77" s="3" t="s">
        <v>563</v>
      </c>
      <c r="C77" s="4" t="s">
        <v>557</v>
      </c>
      <c r="D77" s="5" t="s">
        <v>515</v>
      </c>
      <c r="E77" s="4" t="s">
        <v>1009</v>
      </c>
      <c r="F77" s="5" t="s">
        <v>567</v>
      </c>
      <c r="G77" s="6"/>
    </row>
    <row r="78" spans="1:7" s="7" customFormat="1" ht="18" thickBot="1" x14ac:dyDescent="0.2">
      <c r="A78" s="2"/>
      <c r="B78" s="8" t="s">
        <v>570</v>
      </c>
      <c r="C78" s="9"/>
      <c r="D78" s="10" t="s">
        <v>568</v>
      </c>
      <c r="E78" s="9" t="s">
        <v>615</v>
      </c>
      <c r="F78" s="10"/>
      <c r="G78" s="11"/>
    </row>
    <row r="79" spans="1:7" s="7" customFormat="1" x14ac:dyDescent="0.15">
      <c r="A79" s="2"/>
      <c r="B79" s="12" t="s">
        <v>0</v>
      </c>
      <c r="C79" s="13" t="s">
        <v>1</v>
      </c>
      <c r="D79" s="13" t="s">
        <v>2</v>
      </c>
      <c r="E79" s="13"/>
      <c r="F79" s="13" t="s">
        <v>3</v>
      </c>
      <c r="G79" s="13" t="s">
        <v>4</v>
      </c>
    </row>
    <row r="80" spans="1:7" s="7" customFormat="1" x14ac:dyDescent="0.15">
      <c r="A80" s="2"/>
      <c r="B80" s="14" t="s">
        <v>5</v>
      </c>
      <c r="C80" s="15" t="s">
        <v>1127</v>
      </c>
      <c r="D80" s="15" t="s">
        <v>211</v>
      </c>
      <c r="E80" s="15" t="s">
        <v>1141</v>
      </c>
      <c r="F80" s="15"/>
      <c r="G80" s="16" t="s">
        <v>1162</v>
      </c>
    </row>
    <row r="81" spans="1:7" s="7" customFormat="1" x14ac:dyDescent="0.15">
      <c r="A81" s="2"/>
      <c r="B81" s="14" t="s">
        <v>111</v>
      </c>
      <c r="C81" s="15" t="s">
        <v>1164</v>
      </c>
      <c r="D81" s="15" t="s">
        <v>211</v>
      </c>
      <c r="E81" s="15">
        <v>0</v>
      </c>
      <c r="F81" s="15"/>
      <c r="G81" s="16" t="s">
        <v>1165</v>
      </c>
    </row>
    <row r="82" spans="1:7" s="7" customFormat="1" x14ac:dyDescent="0.15">
      <c r="A82" s="2"/>
      <c r="B82" s="14" t="s">
        <v>6</v>
      </c>
      <c r="C82" s="15" t="s">
        <v>1163</v>
      </c>
      <c r="D82" s="15" t="s">
        <v>211</v>
      </c>
      <c r="E82" s="15">
        <v>0</v>
      </c>
      <c r="F82" s="15"/>
      <c r="G82" s="16" t="s">
        <v>1077</v>
      </c>
    </row>
    <row r="83" spans="1:7" s="7" customFormat="1" x14ac:dyDescent="0.15">
      <c r="A83" s="2"/>
      <c r="B83" s="31" t="s">
        <v>17</v>
      </c>
      <c r="C83" s="15" t="s">
        <v>1422</v>
      </c>
      <c r="D83" s="15" t="s">
        <v>1287</v>
      </c>
      <c r="E83" s="15" t="s">
        <v>1072</v>
      </c>
      <c r="F83" s="15"/>
      <c r="G83" s="16" t="s">
        <v>1288</v>
      </c>
    </row>
    <row r="84" spans="1:7" s="7" customFormat="1" x14ac:dyDescent="0.15">
      <c r="A84" s="2"/>
      <c r="B84" s="32" t="s">
        <v>63</v>
      </c>
      <c r="C84" s="15" t="s">
        <v>1289</v>
      </c>
      <c r="D84" s="15" t="s">
        <v>1073</v>
      </c>
      <c r="E84" s="15" t="s">
        <v>1072</v>
      </c>
      <c r="F84" s="15"/>
      <c r="G84" s="16" t="s">
        <v>1290</v>
      </c>
    </row>
    <row r="85" spans="1:7" s="7" customFormat="1" x14ac:dyDescent="0.15">
      <c r="A85" s="2"/>
      <c r="B85" s="32" t="s">
        <v>64</v>
      </c>
      <c r="C85" s="15" t="s">
        <v>1548</v>
      </c>
      <c r="D85" s="15" t="s">
        <v>1092</v>
      </c>
      <c r="E85" s="15" t="s">
        <v>1072</v>
      </c>
      <c r="F85" s="15"/>
      <c r="G85" s="16"/>
    </row>
    <row r="86" spans="1:7" s="7" customFormat="1" x14ac:dyDescent="0.15">
      <c r="A86" s="2"/>
      <c r="B86" s="32" t="s">
        <v>65</v>
      </c>
      <c r="C86" s="18" t="s">
        <v>1291</v>
      </c>
      <c r="D86" s="18" t="s">
        <v>211</v>
      </c>
      <c r="E86" s="18" t="s">
        <v>1141</v>
      </c>
      <c r="F86" s="18"/>
      <c r="G86" s="19"/>
    </row>
    <row r="87" spans="1:7" s="7" customFormat="1" x14ac:dyDescent="0.15">
      <c r="A87" s="2"/>
      <c r="B87" s="33" t="s">
        <v>188</v>
      </c>
      <c r="C87" s="18" t="s">
        <v>1292</v>
      </c>
      <c r="D87" s="18" t="s">
        <v>1287</v>
      </c>
      <c r="E87" s="18" t="s">
        <v>1072</v>
      </c>
      <c r="F87" s="18"/>
      <c r="G87" s="19"/>
    </row>
    <row r="88" spans="1:7" s="7" customFormat="1" x14ac:dyDescent="0.15">
      <c r="A88" s="2"/>
      <c r="B88" s="32" t="s">
        <v>66</v>
      </c>
      <c r="C88" s="18" t="s">
        <v>1293</v>
      </c>
      <c r="D88" s="18" t="s">
        <v>211</v>
      </c>
      <c r="E88" s="18">
        <v>0</v>
      </c>
      <c r="F88" s="18"/>
      <c r="G88" s="19"/>
    </row>
    <row r="89" spans="1:7" s="7" customFormat="1" x14ac:dyDescent="0.15">
      <c r="A89" s="2"/>
      <c r="B89" s="32" t="s">
        <v>70</v>
      </c>
      <c r="C89" s="21" t="s">
        <v>1294</v>
      </c>
      <c r="D89" s="21" t="s">
        <v>1131</v>
      </c>
      <c r="E89" s="21" t="s">
        <v>1074</v>
      </c>
      <c r="F89" s="21"/>
      <c r="G89" s="22" t="s">
        <v>1295</v>
      </c>
    </row>
    <row r="90" spans="1:7" s="7" customFormat="1" x14ac:dyDescent="0.15">
      <c r="A90" s="2"/>
      <c r="B90" s="32" t="s">
        <v>23</v>
      </c>
      <c r="C90" s="21" t="s">
        <v>1091</v>
      </c>
      <c r="D90" s="21" t="s">
        <v>1131</v>
      </c>
      <c r="E90" s="21" t="s">
        <v>1074</v>
      </c>
      <c r="F90" s="21"/>
      <c r="G90" s="22"/>
    </row>
    <row r="91" spans="1:7" s="7" customFormat="1" x14ac:dyDescent="0.15">
      <c r="A91" s="2"/>
      <c r="B91" s="32" t="s">
        <v>189</v>
      </c>
      <c r="C91" s="18" t="s">
        <v>1296</v>
      </c>
      <c r="D91" s="18" t="s">
        <v>1169</v>
      </c>
      <c r="E91" s="18">
        <v>0</v>
      </c>
      <c r="F91" s="18"/>
      <c r="G91" s="19"/>
    </row>
    <row r="92" spans="1:7" s="7" customFormat="1" x14ac:dyDescent="0.15">
      <c r="A92" s="2"/>
      <c r="B92" s="32" t="s">
        <v>68</v>
      </c>
      <c r="C92" s="21" t="s">
        <v>1297</v>
      </c>
      <c r="D92" s="21" t="s">
        <v>1169</v>
      </c>
      <c r="E92" s="21">
        <v>0</v>
      </c>
      <c r="F92" s="21"/>
      <c r="G92" s="22" t="s">
        <v>1298</v>
      </c>
    </row>
    <row r="93" spans="1:7" s="7" customFormat="1" x14ac:dyDescent="0.15">
      <c r="A93" s="2"/>
      <c r="B93" s="32" t="s">
        <v>69</v>
      </c>
      <c r="C93" s="21" t="s">
        <v>1126</v>
      </c>
      <c r="D93" s="21" t="s">
        <v>1087</v>
      </c>
      <c r="E93" s="21">
        <v>0</v>
      </c>
      <c r="F93" s="21"/>
      <c r="G93" s="22"/>
    </row>
    <row r="94" spans="1:7" s="7" customFormat="1" x14ac:dyDescent="0.15">
      <c r="A94" s="2"/>
      <c r="B94" s="32" t="s">
        <v>190</v>
      </c>
      <c r="C94" s="18" t="s">
        <v>1166</v>
      </c>
      <c r="D94" s="18" t="s">
        <v>1087</v>
      </c>
      <c r="E94" s="18">
        <v>0</v>
      </c>
      <c r="F94" s="18"/>
      <c r="G94" s="19"/>
    </row>
    <row r="95" spans="1:7" s="7" customFormat="1" x14ac:dyDescent="0.15">
      <c r="A95" s="2"/>
      <c r="B95" s="32" t="s">
        <v>512</v>
      </c>
      <c r="C95" s="18" t="s">
        <v>1167</v>
      </c>
      <c r="D95" s="18" t="s">
        <v>1087</v>
      </c>
      <c r="E95" s="18">
        <v>0</v>
      </c>
      <c r="F95" s="18"/>
      <c r="G95" s="19"/>
    </row>
    <row r="96" spans="1:7" s="7" customFormat="1" x14ac:dyDescent="0.15">
      <c r="A96" s="2"/>
      <c r="B96" s="32" t="s">
        <v>513</v>
      </c>
      <c r="C96" s="18" t="s">
        <v>1299</v>
      </c>
      <c r="D96" s="18" t="s">
        <v>1169</v>
      </c>
      <c r="E96" s="18">
        <v>0</v>
      </c>
      <c r="F96" s="18"/>
      <c r="G96" s="19"/>
    </row>
    <row r="97" spans="1:7" s="7" customFormat="1" x14ac:dyDescent="0.15">
      <c r="A97" s="2"/>
      <c r="B97" s="32" t="s">
        <v>363</v>
      </c>
      <c r="C97" s="18" t="s">
        <v>1171</v>
      </c>
      <c r="D97" s="18" t="s">
        <v>1169</v>
      </c>
      <c r="E97" s="18">
        <v>0</v>
      </c>
      <c r="F97" s="18"/>
      <c r="G97" s="19"/>
    </row>
    <row r="98" spans="1:7" s="7" customFormat="1" ht="15" customHeight="1" x14ac:dyDescent="0.15">
      <c r="A98" s="2"/>
      <c r="B98" s="14" t="s">
        <v>312</v>
      </c>
      <c r="C98" s="18" t="s">
        <v>1168</v>
      </c>
      <c r="D98" s="18" t="s">
        <v>1169</v>
      </c>
      <c r="E98" s="18">
        <v>0</v>
      </c>
      <c r="F98" s="18"/>
      <c r="G98" s="19"/>
    </row>
    <row r="99" spans="1:7" s="7" customFormat="1" x14ac:dyDescent="0.15">
      <c r="A99" s="2"/>
      <c r="B99" s="32" t="s">
        <v>72</v>
      </c>
      <c r="C99" s="18" t="s">
        <v>1300</v>
      </c>
      <c r="D99" s="18" t="s">
        <v>1092</v>
      </c>
      <c r="E99" s="18" t="s">
        <v>1072</v>
      </c>
      <c r="F99" s="18"/>
      <c r="G99" s="19"/>
    </row>
    <row r="100" spans="1:7" s="7" customFormat="1" x14ac:dyDescent="0.15">
      <c r="A100" s="2"/>
      <c r="B100" s="32" t="s">
        <v>73</v>
      </c>
      <c r="C100" s="18" t="s">
        <v>1549</v>
      </c>
      <c r="D100" s="18" t="s">
        <v>1301</v>
      </c>
      <c r="E100" s="18" t="s">
        <v>1072</v>
      </c>
      <c r="F100" s="18"/>
      <c r="G100" s="19"/>
    </row>
    <row r="101" spans="1:7" s="7" customFormat="1" x14ac:dyDescent="0.15">
      <c r="A101" s="2"/>
      <c r="B101" s="32" t="s">
        <v>74</v>
      </c>
      <c r="C101" s="18" t="s">
        <v>1550</v>
      </c>
      <c r="D101" s="18" t="s">
        <v>1073</v>
      </c>
      <c r="E101" s="18" t="s">
        <v>1072</v>
      </c>
      <c r="F101" s="18"/>
      <c r="G101" s="19"/>
    </row>
    <row r="102" spans="1:7" s="7" customFormat="1" x14ac:dyDescent="0.15">
      <c r="A102" s="2"/>
      <c r="B102" s="32" t="s">
        <v>514</v>
      </c>
      <c r="C102" s="18" t="s">
        <v>1302</v>
      </c>
      <c r="D102" s="18" t="s">
        <v>1403</v>
      </c>
      <c r="E102" s="18" t="s">
        <v>1303</v>
      </c>
      <c r="F102" s="18"/>
      <c r="G102" s="19"/>
    </row>
    <row r="103" spans="1:7" s="7" customFormat="1" x14ac:dyDescent="0.15">
      <c r="B103" s="32" t="s">
        <v>67</v>
      </c>
      <c r="C103" s="18" t="s">
        <v>1406</v>
      </c>
      <c r="D103" s="18" t="s">
        <v>1092</v>
      </c>
      <c r="E103" s="18" t="s">
        <v>1072</v>
      </c>
      <c r="F103" s="18"/>
      <c r="G103" s="19" t="s">
        <v>1304</v>
      </c>
    </row>
    <row r="104" spans="1:7" s="7" customFormat="1" ht="18" thickBot="1" x14ac:dyDescent="0.2">
      <c r="B104" s="17"/>
      <c r="C104" s="18"/>
      <c r="D104" s="18"/>
      <c r="E104" s="18"/>
      <c r="F104" s="18"/>
      <c r="G104" s="19"/>
    </row>
    <row r="105" spans="1:7" s="7" customFormat="1" x14ac:dyDescent="0.15">
      <c r="B105" s="327" t="s">
        <v>15</v>
      </c>
      <c r="C105" s="328"/>
      <c r="D105" s="328"/>
      <c r="E105" s="328"/>
      <c r="F105" s="328"/>
      <c r="G105" s="329"/>
    </row>
    <row r="106" spans="1:7" s="7" customFormat="1" x14ac:dyDescent="0.15">
      <c r="A106" s="7" t="s">
        <v>62</v>
      </c>
      <c r="B106" s="20">
        <v>1</v>
      </c>
      <c r="C106" s="21" t="s">
        <v>22</v>
      </c>
      <c r="D106" s="21" t="s">
        <v>16</v>
      </c>
      <c r="E106" s="21" t="s">
        <v>17</v>
      </c>
      <c r="F106" s="21"/>
      <c r="G106" s="22"/>
    </row>
    <row r="107" spans="1:7" s="7" customFormat="1" x14ac:dyDescent="0.15">
      <c r="A107" s="2"/>
      <c r="B107" s="17">
        <v>2</v>
      </c>
      <c r="C107" s="21" t="s">
        <v>22</v>
      </c>
      <c r="D107" s="18" t="s">
        <v>111</v>
      </c>
      <c r="E107" s="18"/>
      <c r="F107" s="18"/>
      <c r="G107" s="19"/>
    </row>
    <row r="108" spans="1:7" s="7" customFormat="1" ht="18" thickBot="1" x14ac:dyDescent="0.2">
      <c r="A108" s="2"/>
      <c r="B108" s="24"/>
      <c r="C108" s="9"/>
      <c r="D108" s="9"/>
      <c r="E108" s="9"/>
      <c r="F108" s="9"/>
      <c r="G108" s="11"/>
    </row>
    <row r="109" spans="1:7" s="7" customFormat="1" ht="18" thickBot="1" x14ac:dyDescent="0.2">
      <c r="A109" s="2"/>
    </row>
    <row r="110" spans="1:7" s="7" customFormat="1" x14ac:dyDescent="0.15">
      <c r="A110" s="2"/>
      <c r="B110" s="3" t="s">
        <v>563</v>
      </c>
      <c r="C110" s="4" t="s">
        <v>642</v>
      </c>
      <c r="D110" s="5" t="s">
        <v>515</v>
      </c>
      <c r="E110" s="21" t="s">
        <v>593</v>
      </c>
      <c r="F110" s="5" t="s">
        <v>567</v>
      </c>
      <c r="G110" s="6"/>
    </row>
    <row r="111" spans="1:7" s="7" customFormat="1" ht="18" thickBot="1" x14ac:dyDescent="0.2">
      <c r="A111" s="2"/>
      <c r="B111" s="8" t="s">
        <v>570</v>
      </c>
      <c r="C111" s="9"/>
      <c r="D111" s="10" t="s">
        <v>568</v>
      </c>
      <c r="E111" s="9" t="s">
        <v>615</v>
      </c>
      <c r="F111" s="10"/>
      <c r="G111" s="11"/>
    </row>
    <row r="112" spans="1:7" s="7" customFormat="1" x14ac:dyDescent="0.15">
      <c r="A112" s="2"/>
      <c r="B112" s="12" t="s">
        <v>0</v>
      </c>
      <c r="C112" s="13" t="s">
        <v>1</v>
      </c>
      <c r="D112" s="13" t="s">
        <v>2</v>
      </c>
      <c r="E112" s="13"/>
      <c r="F112" s="13" t="s">
        <v>3</v>
      </c>
      <c r="G112" s="13" t="s">
        <v>4</v>
      </c>
    </row>
    <row r="113" spans="1:7" s="7" customFormat="1" x14ac:dyDescent="0.15">
      <c r="A113" s="2"/>
      <c r="B113" s="14" t="s">
        <v>6</v>
      </c>
      <c r="C113" s="15" t="s">
        <v>1163</v>
      </c>
      <c r="D113" s="15" t="s">
        <v>211</v>
      </c>
      <c r="E113" s="15">
        <v>0</v>
      </c>
      <c r="F113" s="15"/>
      <c r="G113" s="16" t="s">
        <v>1077</v>
      </c>
    </row>
    <row r="114" spans="1:7" s="7" customFormat="1" x14ac:dyDescent="0.15">
      <c r="A114" s="2"/>
      <c r="B114" s="31" t="s">
        <v>194</v>
      </c>
      <c r="C114" s="15" t="s">
        <v>1164</v>
      </c>
      <c r="D114" s="15" t="s">
        <v>211</v>
      </c>
      <c r="E114" s="15">
        <v>0</v>
      </c>
      <c r="F114" s="15"/>
      <c r="G114" s="16" t="s">
        <v>1165</v>
      </c>
    </row>
    <row r="115" spans="1:7" s="7" customFormat="1" x14ac:dyDescent="0.15">
      <c r="A115" s="2"/>
      <c r="B115" s="14" t="s">
        <v>23</v>
      </c>
      <c r="C115" s="15" t="s">
        <v>1091</v>
      </c>
      <c r="D115" s="15" t="s">
        <v>1131</v>
      </c>
      <c r="E115" s="15" t="s">
        <v>1074</v>
      </c>
      <c r="F115" s="15"/>
      <c r="G115" s="16"/>
    </row>
    <row r="116" spans="1:7" s="7" customFormat="1" x14ac:dyDescent="0.15">
      <c r="A116" s="2"/>
      <c r="B116" s="14" t="s">
        <v>68</v>
      </c>
      <c r="C116" s="15" t="s">
        <v>1297</v>
      </c>
      <c r="D116" s="15" t="s">
        <v>1169</v>
      </c>
      <c r="E116" s="15">
        <v>0</v>
      </c>
      <c r="F116" s="15"/>
      <c r="G116" s="16" t="s">
        <v>1298</v>
      </c>
    </row>
    <row r="117" spans="1:7" s="7" customFormat="1" x14ac:dyDescent="0.15">
      <c r="A117" s="2"/>
      <c r="B117" s="14" t="s">
        <v>315</v>
      </c>
      <c r="C117" s="15" t="s">
        <v>1150</v>
      </c>
      <c r="D117" s="15" t="s">
        <v>1169</v>
      </c>
      <c r="E117" s="15">
        <v>0</v>
      </c>
      <c r="F117" s="15"/>
      <c r="G117" s="16" t="s">
        <v>1312</v>
      </c>
    </row>
    <row r="118" spans="1:7" s="7" customFormat="1" x14ac:dyDescent="0.15">
      <c r="A118" s="2"/>
      <c r="B118" s="20" t="s">
        <v>316</v>
      </c>
      <c r="C118" s="21" t="s">
        <v>1305</v>
      </c>
      <c r="D118" s="21" t="s">
        <v>1169</v>
      </c>
      <c r="E118" s="21">
        <v>0</v>
      </c>
      <c r="F118" s="21"/>
      <c r="G118" s="22"/>
    </row>
    <row r="119" spans="1:7" s="7" customFormat="1" x14ac:dyDescent="0.15">
      <c r="A119" s="2"/>
      <c r="B119" s="20" t="s">
        <v>317</v>
      </c>
      <c r="C119" s="21" t="s">
        <v>1306</v>
      </c>
      <c r="D119" s="21" t="s">
        <v>1169</v>
      </c>
      <c r="E119" s="21">
        <v>0</v>
      </c>
      <c r="F119" s="21"/>
      <c r="G119" s="22"/>
    </row>
    <row r="120" spans="1:7" s="7" customFormat="1" x14ac:dyDescent="0.15">
      <c r="B120" s="20" t="s">
        <v>318</v>
      </c>
      <c r="C120" s="21" t="s">
        <v>1307</v>
      </c>
      <c r="D120" s="21" t="s">
        <v>1169</v>
      </c>
      <c r="E120" s="21">
        <v>0</v>
      </c>
      <c r="F120" s="21"/>
      <c r="G120" s="22"/>
    </row>
    <row r="121" spans="1:7" s="7" customFormat="1" x14ac:dyDescent="0.15">
      <c r="B121" s="20" t="s">
        <v>319</v>
      </c>
      <c r="C121" s="21" t="s">
        <v>1551</v>
      </c>
      <c r="D121" s="21" t="s">
        <v>1169</v>
      </c>
      <c r="E121" s="21">
        <v>0</v>
      </c>
      <c r="F121" s="21"/>
      <c r="G121" s="22"/>
    </row>
    <row r="122" spans="1:7" s="7" customFormat="1" x14ac:dyDescent="0.15">
      <c r="A122" s="2"/>
      <c r="B122" s="17" t="s">
        <v>175</v>
      </c>
      <c r="C122" s="18" t="s">
        <v>1129</v>
      </c>
      <c r="D122" s="18" t="s">
        <v>1169</v>
      </c>
      <c r="E122" s="18">
        <v>0</v>
      </c>
      <c r="F122" s="18"/>
      <c r="G122" s="19"/>
    </row>
    <row r="123" spans="1:7" s="7" customFormat="1" x14ac:dyDescent="0.15">
      <c r="A123" s="2"/>
      <c r="B123" s="17" t="s">
        <v>176</v>
      </c>
      <c r="C123" s="18" t="s">
        <v>1132</v>
      </c>
      <c r="D123" s="18" t="s">
        <v>1169</v>
      </c>
      <c r="E123" s="18">
        <v>0</v>
      </c>
      <c r="F123" s="18"/>
      <c r="G123" s="19"/>
    </row>
    <row r="124" spans="1:7" s="7" customFormat="1" x14ac:dyDescent="0.15">
      <c r="B124" s="17" t="s">
        <v>320</v>
      </c>
      <c r="C124" s="18" t="s">
        <v>1115</v>
      </c>
      <c r="D124" s="18" t="s">
        <v>1169</v>
      </c>
      <c r="E124" s="18">
        <v>0</v>
      </c>
      <c r="F124" s="18"/>
      <c r="G124" s="19" t="s">
        <v>1308</v>
      </c>
    </row>
    <row r="125" spans="1:7" s="7" customFormat="1" x14ac:dyDescent="0.15">
      <c r="B125" s="17" t="s">
        <v>180</v>
      </c>
      <c r="C125" s="18" t="s">
        <v>1309</v>
      </c>
      <c r="D125" s="18" t="s">
        <v>1169</v>
      </c>
      <c r="E125" s="18">
        <v>0</v>
      </c>
      <c r="F125" s="18"/>
      <c r="G125" s="19" t="s">
        <v>1310</v>
      </c>
    </row>
    <row r="126" spans="1:7" s="7" customFormat="1" ht="18" thickBot="1" x14ac:dyDescent="0.2">
      <c r="A126" s="2"/>
      <c r="B126" s="17"/>
      <c r="C126" s="18"/>
      <c r="D126" s="18"/>
      <c r="E126" s="18"/>
      <c r="F126" s="18"/>
      <c r="G126" s="19"/>
    </row>
    <row r="127" spans="1:7" s="7" customFormat="1" x14ac:dyDescent="0.15">
      <c r="A127" s="2"/>
      <c r="B127" s="327" t="s">
        <v>15</v>
      </c>
      <c r="C127" s="328"/>
      <c r="D127" s="328"/>
      <c r="E127" s="328"/>
      <c r="F127" s="328"/>
      <c r="G127" s="329"/>
    </row>
    <row r="128" spans="1:7" s="7" customFormat="1" x14ac:dyDescent="0.15">
      <c r="A128" s="2" t="s">
        <v>62</v>
      </c>
      <c r="B128" s="20">
        <v>1</v>
      </c>
      <c r="C128" s="21" t="s">
        <v>194</v>
      </c>
      <c r="D128" s="21" t="s">
        <v>182</v>
      </c>
      <c r="E128" s="21"/>
      <c r="F128" s="21"/>
      <c r="G128" s="22"/>
    </row>
    <row r="129" spans="1:7" s="7" customFormat="1" x14ac:dyDescent="0.15">
      <c r="A129" s="2"/>
      <c r="B129" s="17">
        <v>2</v>
      </c>
      <c r="C129" s="18" t="s">
        <v>16</v>
      </c>
      <c r="D129" s="18" t="s">
        <v>194</v>
      </c>
      <c r="E129" s="18"/>
      <c r="F129" s="18"/>
      <c r="G129" s="19"/>
    </row>
    <row r="130" spans="1:7" s="7" customFormat="1" ht="18" thickBot="1" x14ac:dyDescent="0.2">
      <c r="A130" s="2"/>
      <c r="B130" s="24"/>
      <c r="C130" s="9"/>
      <c r="D130" s="9"/>
      <c r="E130" s="9"/>
      <c r="F130" s="9"/>
      <c r="G130" s="11"/>
    </row>
    <row r="131" spans="1:7" s="7" customFormat="1" x14ac:dyDescent="0.15">
      <c r="A131" s="2"/>
    </row>
    <row r="132" spans="1:7" s="7" customFormat="1" ht="18" thickBot="1" x14ac:dyDescent="0.2">
      <c r="A132" s="2"/>
    </row>
    <row r="133" spans="1:7" s="7" customFormat="1" x14ac:dyDescent="0.15">
      <c r="A133" s="2"/>
      <c r="B133" s="3" t="s">
        <v>563</v>
      </c>
      <c r="C133" s="4" t="s">
        <v>642</v>
      </c>
      <c r="D133" s="5" t="s">
        <v>515</v>
      </c>
      <c r="E133" s="21" t="s">
        <v>1010</v>
      </c>
      <c r="F133" s="5" t="s">
        <v>567</v>
      </c>
      <c r="G133" s="6"/>
    </row>
    <row r="134" spans="1:7" s="7" customFormat="1" ht="18" thickBot="1" x14ac:dyDescent="0.2">
      <c r="A134" s="2"/>
      <c r="B134" s="8" t="s">
        <v>570</v>
      </c>
      <c r="C134" s="9"/>
      <c r="D134" s="10" t="s">
        <v>568</v>
      </c>
      <c r="E134" s="9" t="s">
        <v>615</v>
      </c>
      <c r="F134" s="10"/>
      <c r="G134" s="11"/>
    </row>
    <row r="135" spans="1:7" s="7" customFormat="1" x14ac:dyDescent="0.15">
      <c r="A135" s="2"/>
      <c r="B135" s="12" t="s">
        <v>0</v>
      </c>
      <c r="C135" s="13" t="s">
        <v>1</v>
      </c>
      <c r="D135" s="13" t="s">
        <v>2</v>
      </c>
      <c r="E135" s="13"/>
      <c r="F135" s="13" t="s">
        <v>3</v>
      </c>
      <c r="G135" s="13" t="s">
        <v>4</v>
      </c>
    </row>
    <row r="136" spans="1:7" s="7" customFormat="1" x14ac:dyDescent="0.15">
      <c r="B136" s="14" t="s">
        <v>22</v>
      </c>
      <c r="C136" s="15" t="s">
        <v>1127</v>
      </c>
      <c r="D136" s="15" t="s">
        <v>211</v>
      </c>
      <c r="E136" s="15" t="s">
        <v>1141</v>
      </c>
      <c r="F136" s="15"/>
      <c r="G136" s="16" t="s">
        <v>1162</v>
      </c>
    </row>
    <row r="137" spans="1:7" s="7" customFormat="1" x14ac:dyDescent="0.15">
      <c r="A137" s="2"/>
      <c r="B137" s="14" t="s">
        <v>6</v>
      </c>
      <c r="C137" s="15" t="s">
        <v>1163</v>
      </c>
      <c r="D137" s="15" t="s">
        <v>211</v>
      </c>
      <c r="E137" s="15">
        <v>0</v>
      </c>
      <c r="F137" s="15"/>
      <c r="G137" s="16" t="s">
        <v>1077</v>
      </c>
    </row>
    <row r="138" spans="1:7" s="7" customFormat="1" x14ac:dyDescent="0.15">
      <c r="A138" s="2"/>
      <c r="B138" s="31" t="s">
        <v>194</v>
      </c>
      <c r="C138" s="15" t="s">
        <v>1164</v>
      </c>
      <c r="D138" s="15" t="s">
        <v>211</v>
      </c>
      <c r="E138" s="15">
        <v>0</v>
      </c>
      <c r="F138" s="15"/>
      <c r="G138" s="16" t="s">
        <v>1165</v>
      </c>
    </row>
    <row r="139" spans="1:7" s="7" customFormat="1" x14ac:dyDescent="0.15">
      <c r="A139" s="2"/>
      <c r="B139" s="14" t="s">
        <v>23</v>
      </c>
      <c r="C139" s="15" t="s">
        <v>1091</v>
      </c>
      <c r="D139" s="15" t="s">
        <v>1131</v>
      </c>
      <c r="E139" s="15" t="s">
        <v>1074</v>
      </c>
      <c r="F139" s="15"/>
      <c r="G139" s="16"/>
    </row>
    <row r="140" spans="1:7" s="7" customFormat="1" x14ac:dyDescent="0.15">
      <c r="A140" s="2"/>
      <c r="B140" s="14" t="s">
        <v>68</v>
      </c>
      <c r="C140" s="15" t="s">
        <v>1297</v>
      </c>
      <c r="D140" s="15" t="s">
        <v>1169</v>
      </c>
      <c r="E140" s="15">
        <v>0</v>
      </c>
      <c r="F140" s="15"/>
      <c r="G140" s="16" t="s">
        <v>1298</v>
      </c>
    </row>
    <row r="141" spans="1:7" s="7" customFormat="1" x14ac:dyDescent="0.15">
      <c r="A141" s="2"/>
      <c r="B141" s="14" t="s">
        <v>315</v>
      </c>
      <c r="C141" s="15" t="s">
        <v>1150</v>
      </c>
      <c r="D141" s="15" t="s">
        <v>1169</v>
      </c>
      <c r="E141" s="15">
        <v>0</v>
      </c>
      <c r="F141" s="15"/>
      <c r="G141" s="16" t="s">
        <v>1312</v>
      </c>
    </row>
    <row r="142" spans="1:7" s="7" customFormat="1" x14ac:dyDescent="0.15">
      <c r="A142" s="2"/>
      <c r="B142" s="20" t="s">
        <v>316</v>
      </c>
      <c r="C142" s="21" t="s">
        <v>1305</v>
      </c>
      <c r="D142" s="21" t="s">
        <v>1169</v>
      </c>
      <c r="E142" s="21">
        <v>0</v>
      </c>
      <c r="F142" s="21"/>
      <c r="G142" s="22"/>
    </row>
    <row r="143" spans="1:7" s="7" customFormat="1" x14ac:dyDescent="0.15">
      <c r="A143" s="2"/>
      <c r="B143" s="20" t="s">
        <v>317</v>
      </c>
      <c r="C143" s="21" t="s">
        <v>1306</v>
      </c>
      <c r="D143" s="21" t="s">
        <v>1169</v>
      </c>
      <c r="E143" s="21">
        <v>0</v>
      </c>
      <c r="F143" s="21"/>
      <c r="G143" s="22"/>
    </row>
    <row r="144" spans="1:7" s="7" customFormat="1" x14ac:dyDescent="0.15">
      <c r="B144" s="20" t="s">
        <v>318</v>
      </c>
      <c r="C144" s="21" t="s">
        <v>1307</v>
      </c>
      <c r="D144" s="21" t="s">
        <v>1169</v>
      </c>
      <c r="E144" s="21">
        <v>0</v>
      </c>
      <c r="F144" s="21"/>
      <c r="G144" s="22"/>
    </row>
    <row r="145" spans="1:7" s="7" customFormat="1" x14ac:dyDescent="0.15">
      <c r="B145" s="20" t="s">
        <v>319</v>
      </c>
      <c r="C145" s="21" t="s">
        <v>1551</v>
      </c>
      <c r="D145" s="21" t="s">
        <v>1169</v>
      </c>
      <c r="E145" s="21">
        <v>0</v>
      </c>
      <c r="F145" s="21"/>
      <c r="G145" s="22"/>
    </row>
    <row r="146" spans="1:7" s="7" customFormat="1" x14ac:dyDescent="0.15">
      <c r="A146" s="2"/>
      <c r="B146" s="17" t="s">
        <v>175</v>
      </c>
      <c r="C146" s="18" t="s">
        <v>1129</v>
      </c>
      <c r="D146" s="18" t="s">
        <v>1169</v>
      </c>
      <c r="E146" s="18">
        <v>0</v>
      </c>
      <c r="F146" s="18"/>
      <c r="G146" s="19"/>
    </row>
    <row r="147" spans="1:7" s="7" customFormat="1" x14ac:dyDescent="0.15">
      <c r="A147" s="2"/>
      <c r="B147" s="17" t="s">
        <v>176</v>
      </c>
      <c r="C147" s="18" t="s">
        <v>1132</v>
      </c>
      <c r="D147" s="18" t="s">
        <v>1169</v>
      </c>
      <c r="E147" s="18">
        <v>0</v>
      </c>
      <c r="F147" s="18"/>
      <c r="G147" s="19"/>
    </row>
    <row r="148" spans="1:7" s="7" customFormat="1" x14ac:dyDescent="0.15">
      <c r="B148" s="17" t="s">
        <v>320</v>
      </c>
      <c r="C148" s="18" t="s">
        <v>1115</v>
      </c>
      <c r="D148" s="18" t="s">
        <v>1169</v>
      </c>
      <c r="E148" s="18">
        <v>0</v>
      </c>
      <c r="F148" s="18"/>
      <c r="G148" s="19" t="s">
        <v>1308</v>
      </c>
    </row>
    <row r="149" spans="1:7" s="7" customFormat="1" x14ac:dyDescent="0.15">
      <c r="B149" s="17" t="s">
        <v>180</v>
      </c>
      <c r="C149" s="18" t="s">
        <v>1309</v>
      </c>
      <c r="D149" s="18" t="s">
        <v>1169</v>
      </c>
      <c r="E149" s="18">
        <v>0</v>
      </c>
      <c r="F149" s="18"/>
      <c r="G149" s="19" t="s">
        <v>1310</v>
      </c>
    </row>
    <row r="150" spans="1:7" s="7" customFormat="1" ht="18" thickBot="1" x14ac:dyDescent="0.2">
      <c r="A150" s="2"/>
      <c r="B150" s="17"/>
      <c r="C150" s="18"/>
      <c r="D150" s="18"/>
      <c r="E150" s="18"/>
      <c r="F150" s="18"/>
      <c r="G150" s="19"/>
    </row>
    <row r="151" spans="1:7" s="7" customFormat="1" x14ac:dyDescent="0.15">
      <c r="A151" s="2"/>
      <c r="B151" s="327" t="s">
        <v>15</v>
      </c>
      <c r="C151" s="328"/>
      <c r="D151" s="328"/>
      <c r="E151" s="328"/>
      <c r="F151" s="328"/>
      <c r="G151" s="329"/>
    </row>
    <row r="152" spans="1:7" s="7" customFormat="1" x14ac:dyDescent="0.15">
      <c r="A152" s="2" t="s">
        <v>62</v>
      </c>
      <c r="B152" s="20">
        <v>1</v>
      </c>
      <c r="C152" s="21" t="s">
        <v>22</v>
      </c>
      <c r="D152" s="21" t="s">
        <v>194</v>
      </c>
      <c r="E152" s="21" t="s">
        <v>182</v>
      </c>
      <c r="F152" s="21"/>
      <c r="G152" s="22"/>
    </row>
    <row r="153" spans="1:7" s="7" customFormat="1" x14ac:dyDescent="0.15">
      <c r="A153" s="2"/>
      <c r="B153" s="17">
        <v>2</v>
      </c>
      <c r="C153" s="21" t="s">
        <v>22</v>
      </c>
      <c r="D153" s="18" t="s">
        <v>109</v>
      </c>
      <c r="E153" s="18" t="s">
        <v>194</v>
      </c>
      <c r="F153" s="18"/>
      <c r="G153" s="19"/>
    </row>
    <row r="154" spans="1:7" s="7" customFormat="1" ht="18" thickBot="1" x14ac:dyDescent="0.2">
      <c r="A154" s="2"/>
      <c r="B154" s="24"/>
      <c r="C154" s="9"/>
      <c r="D154" s="9"/>
      <c r="E154" s="9"/>
      <c r="F154" s="9"/>
      <c r="G154" s="11"/>
    </row>
    <row r="155" spans="1:7" s="7" customFormat="1" x14ac:dyDescent="0.15">
      <c r="A155" s="2"/>
    </row>
    <row r="156" spans="1:7" s="7" customFormat="1" x14ac:dyDescent="0.15">
      <c r="A156" s="2"/>
    </row>
    <row r="157" spans="1:7" ht="18" thickBot="1" x14ac:dyDescent="0.2"/>
    <row r="158" spans="1:7" s="7" customFormat="1" x14ac:dyDescent="0.15">
      <c r="A158" s="2"/>
      <c r="B158" s="3" t="s">
        <v>563</v>
      </c>
      <c r="C158" s="4" t="s">
        <v>644</v>
      </c>
      <c r="D158" s="5" t="s">
        <v>515</v>
      </c>
      <c r="E158" s="21" t="s">
        <v>594</v>
      </c>
      <c r="F158" s="5" t="s">
        <v>567</v>
      </c>
      <c r="G158" s="6"/>
    </row>
    <row r="159" spans="1:7" s="7" customFormat="1" ht="18" thickBot="1" x14ac:dyDescent="0.2">
      <c r="A159" s="2"/>
      <c r="B159" s="8" t="s">
        <v>570</v>
      </c>
      <c r="C159" s="9"/>
      <c r="D159" s="10" t="s">
        <v>568</v>
      </c>
      <c r="E159" s="9" t="s">
        <v>615</v>
      </c>
      <c r="F159" s="10"/>
      <c r="G159" s="11"/>
    </row>
    <row r="160" spans="1:7" s="7" customFormat="1" x14ac:dyDescent="0.15">
      <c r="A160" s="2"/>
      <c r="B160" s="12" t="s">
        <v>0</v>
      </c>
      <c r="C160" s="13" t="s">
        <v>1</v>
      </c>
      <c r="D160" s="13" t="s">
        <v>2</v>
      </c>
      <c r="E160" s="13"/>
      <c r="F160" s="13" t="s">
        <v>3</v>
      </c>
      <c r="G160" s="13" t="s">
        <v>4</v>
      </c>
    </row>
    <row r="161" spans="1:7" s="7" customFormat="1" x14ac:dyDescent="0.15">
      <c r="A161" s="2"/>
      <c r="B161" s="14" t="s">
        <v>6</v>
      </c>
      <c r="C161" s="15" t="s">
        <v>1163</v>
      </c>
      <c r="D161" s="15" t="s">
        <v>211</v>
      </c>
      <c r="E161" s="15">
        <v>0</v>
      </c>
      <c r="F161" s="15"/>
      <c r="G161" s="16" t="s">
        <v>1077</v>
      </c>
    </row>
    <row r="162" spans="1:7" s="7" customFormat="1" x14ac:dyDescent="0.15">
      <c r="A162" s="2"/>
      <c r="B162" s="14" t="s">
        <v>111</v>
      </c>
      <c r="C162" s="15" t="s">
        <v>1164</v>
      </c>
      <c r="D162" s="15" t="s">
        <v>211</v>
      </c>
      <c r="E162" s="15">
        <v>0</v>
      </c>
      <c r="F162" s="15"/>
      <c r="G162" s="16" t="s">
        <v>1165</v>
      </c>
    </row>
    <row r="163" spans="1:7" s="7" customFormat="1" x14ac:dyDescent="0.15">
      <c r="A163" s="2"/>
      <c r="B163" s="114" t="s">
        <v>329</v>
      </c>
      <c r="C163" s="235" t="s">
        <v>1311</v>
      </c>
      <c r="D163" s="235" t="s">
        <v>211</v>
      </c>
      <c r="E163" s="15">
        <v>0</v>
      </c>
      <c r="F163" s="15"/>
      <c r="G163" s="16"/>
    </row>
    <row r="164" spans="1:7" s="7" customFormat="1" x14ac:dyDescent="0.15">
      <c r="A164" s="2"/>
      <c r="B164" s="25" t="s">
        <v>328</v>
      </c>
      <c r="C164" s="26" t="s">
        <v>1450</v>
      </c>
      <c r="D164" s="26" t="s">
        <v>1131</v>
      </c>
      <c r="E164" s="26" t="s">
        <v>1074</v>
      </c>
      <c r="F164" s="26"/>
      <c r="G164" s="27"/>
    </row>
    <row r="165" spans="1:7" s="7" customFormat="1" x14ac:dyDescent="0.15">
      <c r="A165" s="2"/>
      <c r="B165" s="17" t="s">
        <v>24</v>
      </c>
      <c r="C165" s="18" t="s">
        <v>1151</v>
      </c>
      <c r="D165" s="18" t="s">
        <v>1169</v>
      </c>
      <c r="E165" s="18">
        <v>0</v>
      </c>
      <c r="F165" s="18"/>
      <c r="G165" s="19" t="s">
        <v>1116</v>
      </c>
    </row>
    <row r="166" spans="1:7" s="7" customFormat="1" x14ac:dyDescent="0.15">
      <c r="A166" s="2"/>
      <c r="B166" s="17" t="s">
        <v>25</v>
      </c>
      <c r="C166" s="18" t="s">
        <v>1150</v>
      </c>
      <c r="D166" s="18" t="s">
        <v>1169</v>
      </c>
      <c r="E166" s="18">
        <v>0</v>
      </c>
      <c r="F166" s="18"/>
      <c r="G166" s="19" t="s">
        <v>1312</v>
      </c>
    </row>
    <row r="167" spans="1:7" s="7" customFormat="1" x14ac:dyDescent="0.15">
      <c r="A167" s="2"/>
      <c r="B167" s="17" t="s">
        <v>26</v>
      </c>
      <c r="C167" s="18" t="s">
        <v>1152</v>
      </c>
      <c r="D167" s="18" t="s">
        <v>1169</v>
      </c>
      <c r="E167" s="18">
        <v>0</v>
      </c>
      <c r="F167" s="18"/>
      <c r="G167" s="19" t="s">
        <v>1323</v>
      </c>
    </row>
    <row r="168" spans="1:7" s="7" customFormat="1" x14ac:dyDescent="0.15">
      <c r="A168" s="2"/>
      <c r="B168" s="20" t="s">
        <v>27</v>
      </c>
      <c r="C168" s="21" t="s">
        <v>1313</v>
      </c>
      <c r="D168" s="21" t="s">
        <v>1169</v>
      </c>
      <c r="E168" s="21">
        <v>0</v>
      </c>
      <c r="F168" s="21"/>
      <c r="G168" s="22" t="s">
        <v>1314</v>
      </c>
    </row>
    <row r="169" spans="1:7" s="7" customFormat="1" x14ac:dyDescent="0.15">
      <c r="A169" s="2"/>
      <c r="B169" s="20" t="s">
        <v>493</v>
      </c>
      <c r="C169" s="21" t="s">
        <v>1117</v>
      </c>
      <c r="D169" s="21" t="s">
        <v>1169</v>
      </c>
      <c r="E169" s="21">
        <v>0</v>
      </c>
      <c r="F169" s="21"/>
      <c r="G169" s="22"/>
    </row>
    <row r="170" spans="1:7" s="7" customFormat="1" x14ac:dyDescent="0.15">
      <c r="A170" s="2"/>
      <c r="B170" s="20" t="s">
        <v>494</v>
      </c>
      <c r="C170" s="21" t="s">
        <v>1315</v>
      </c>
      <c r="D170" s="21" t="s">
        <v>1169</v>
      </c>
      <c r="E170" s="21">
        <v>0</v>
      </c>
      <c r="F170" s="21"/>
      <c r="G170" s="22"/>
    </row>
    <row r="171" spans="1:7" s="7" customFormat="1" x14ac:dyDescent="0.15">
      <c r="A171" s="2"/>
      <c r="B171" s="20" t="s">
        <v>321</v>
      </c>
      <c r="C171" s="21" t="s">
        <v>1316</v>
      </c>
      <c r="D171" s="21" t="s">
        <v>1169</v>
      </c>
      <c r="E171" s="21">
        <v>0</v>
      </c>
      <c r="F171" s="21"/>
      <c r="G171" s="22"/>
    </row>
    <row r="172" spans="1:7" s="7" customFormat="1" x14ac:dyDescent="0.15">
      <c r="A172" s="2"/>
      <c r="B172" s="20" t="s">
        <v>322</v>
      </c>
      <c r="C172" s="21" t="s">
        <v>1317</v>
      </c>
      <c r="D172" s="21" t="s">
        <v>1169</v>
      </c>
      <c r="E172" s="21">
        <v>0</v>
      </c>
      <c r="F172" s="21"/>
      <c r="G172" s="22"/>
    </row>
    <row r="173" spans="1:7" s="7" customFormat="1" x14ac:dyDescent="0.15">
      <c r="A173" s="2"/>
      <c r="B173" s="20" t="s">
        <v>330</v>
      </c>
      <c r="C173" s="21" t="s">
        <v>1318</v>
      </c>
      <c r="D173" s="21" t="s">
        <v>1169</v>
      </c>
      <c r="E173" s="21">
        <v>0</v>
      </c>
      <c r="F173" s="21"/>
      <c r="G173" s="22"/>
    </row>
    <row r="174" spans="1:7" s="7" customFormat="1" x14ac:dyDescent="0.15">
      <c r="A174" s="2"/>
      <c r="B174" s="20" t="s">
        <v>495</v>
      </c>
      <c r="C174" s="21" t="s">
        <v>1153</v>
      </c>
      <c r="D174" s="21" t="s">
        <v>1169</v>
      </c>
      <c r="E174" s="21">
        <v>0</v>
      </c>
      <c r="F174" s="21"/>
      <c r="G174" s="22"/>
    </row>
    <row r="175" spans="1:7" s="7" customFormat="1" x14ac:dyDescent="0.15">
      <c r="A175" s="2"/>
      <c r="B175" s="20" t="s">
        <v>323</v>
      </c>
      <c r="C175" s="21" t="s">
        <v>1319</v>
      </c>
      <c r="D175" s="21" t="s">
        <v>1169</v>
      </c>
      <c r="E175" s="21">
        <v>0</v>
      </c>
      <c r="F175" s="21"/>
      <c r="G175" s="22"/>
    </row>
    <row r="176" spans="1:7" s="7" customFormat="1" x14ac:dyDescent="0.15">
      <c r="A176" s="2"/>
      <c r="B176" s="20" t="s">
        <v>324</v>
      </c>
      <c r="C176" s="21" t="s">
        <v>1320</v>
      </c>
      <c r="D176" s="21" t="s">
        <v>1169</v>
      </c>
      <c r="E176" s="21">
        <v>0</v>
      </c>
      <c r="F176" s="21"/>
      <c r="G176" s="22"/>
    </row>
    <row r="177" spans="1:7" s="7" customFormat="1" x14ac:dyDescent="0.15">
      <c r="A177" s="2"/>
      <c r="B177" s="20" t="s">
        <v>325</v>
      </c>
      <c r="C177" s="21" t="s">
        <v>1154</v>
      </c>
      <c r="D177" s="21" t="s">
        <v>1169</v>
      </c>
      <c r="E177" s="21">
        <v>0</v>
      </c>
      <c r="F177" s="21"/>
      <c r="G177" s="22"/>
    </row>
    <row r="178" spans="1:7" s="7" customFormat="1" x14ac:dyDescent="0.15">
      <c r="A178" s="2"/>
      <c r="B178" s="20" t="s">
        <v>326</v>
      </c>
      <c r="C178" s="21" t="s">
        <v>1321</v>
      </c>
      <c r="D178" s="21" t="s">
        <v>1169</v>
      </c>
      <c r="E178" s="21">
        <v>0</v>
      </c>
      <c r="F178" s="21"/>
      <c r="G178" s="22"/>
    </row>
    <row r="179" spans="1:7" s="7" customFormat="1" ht="18" thickBot="1" x14ac:dyDescent="0.2">
      <c r="A179" s="2"/>
      <c r="B179" s="20"/>
      <c r="C179" s="21"/>
      <c r="D179" s="21"/>
      <c r="E179" s="21"/>
      <c r="F179" s="21"/>
      <c r="G179" s="22"/>
    </row>
    <row r="180" spans="1:7" s="7" customFormat="1" x14ac:dyDescent="0.15">
      <c r="A180" s="2"/>
      <c r="B180" s="327" t="s">
        <v>15</v>
      </c>
      <c r="C180" s="328"/>
      <c r="D180" s="328"/>
      <c r="E180" s="328"/>
      <c r="F180" s="328"/>
      <c r="G180" s="329"/>
    </row>
    <row r="181" spans="1:7" s="7" customFormat="1" x14ac:dyDescent="0.15">
      <c r="A181" s="2" t="s">
        <v>62</v>
      </c>
      <c r="B181" s="20">
        <v>1</v>
      </c>
      <c r="C181" s="21" t="s">
        <v>120</v>
      </c>
      <c r="D181" s="21" t="s">
        <v>328</v>
      </c>
      <c r="E181" s="21"/>
      <c r="F181" s="21"/>
      <c r="G181" s="22"/>
    </row>
    <row r="182" spans="1:7" s="7" customFormat="1" x14ac:dyDescent="0.15">
      <c r="A182" s="2"/>
      <c r="B182" s="20">
        <v>2</v>
      </c>
      <c r="C182" s="21" t="s">
        <v>109</v>
      </c>
      <c r="D182" s="21" t="s">
        <v>111</v>
      </c>
      <c r="E182" s="21" t="s">
        <v>328</v>
      </c>
      <c r="F182" s="21"/>
      <c r="G182" s="21"/>
    </row>
    <row r="183" spans="1:7" s="7" customFormat="1" ht="18" thickBot="1" x14ac:dyDescent="0.2">
      <c r="A183" s="2"/>
      <c r="B183" s="24"/>
      <c r="C183" s="9"/>
      <c r="D183" s="9"/>
      <c r="E183" s="9"/>
      <c r="F183" s="9"/>
      <c r="G183" s="11"/>
    </row>
    <row r="184" spans="1:7" s="7" customFormat="1" x14ac:dyDescent="0.15">
      <c r="A184" s="2"/>
    </row>
    <row r="185" spans="1:7" s="7" customFormat="1" ht="18" thickBot="1" x14ac:dyDescent="0.2">
      <c r="A185" s="2"/>
    </row>
    <row r="186" spans="1:7" s="7" customFormat="1" x14ac:dyDescent="0.15">
      <c r="A186" s="2"/>
      <c r="B186" s="3" t="s">
        <v>563</v>
      </c>
      <c r="C186" s="165" t="s">
        <v>650</v>
      </c>
      <c r="D186" s="165" t="s">
        <v>515</v>
      </c>
      <c r="E186" s="21" t="s">
        <v>1011</v>
      </c>
      <c r="F186" s="5" t="s">
        <v>567</v>
      </c>
      <c r="G186" s="6" t="s">
        <v>547</v>
      </c>
    </row>
    <row r="187" spans="1:7" s="7" customFormat="1" ht="18" thickBot="1" x14ac:dyDescent="0.2">
      <c r="A187" s="2"/>
      <c r="B187" s="34" t="s">
        <v>570</v>
      </c>
      <c r="C187" s="18"/>
      <c r="D187" s="35" t="s">
        <v>568</v>
      </c>
      <c r="E187" s="18" t="s">
        <v>615</v>
      </c>
      <c r="F187" s="35"/>
      <c r="G187" s="19"/>
    </row>
    <row r="188" spans="1:7" s="7" customFormat="1" x14ac:dyDescent="0.15">
      <c r="A188" s="2"/>
      <c r="B188" s="3" t="s">
        <v>0</v>
      </c>
      <c r="C188" s="5" t="s">
        <v>1</v>
      </c>
      <c r="D188" s="5" t="s">
        <v>2</v>
      </c>
      <c r="E188" s="5"/>
      <c r="F188" s="5" t="s">
        <v>3</v>
      </c>
      <c r="G188" s="36" t="s">
        <v>4</v>
      </c>
    </row>
    <row r="189" spans="1:7" s="7" customFormat="1" x14ac:dyDescent="0.15">
      <c r="A189" s="2"/>
      <c r="B189" s="20" t="s">
        <v>109</v>
      </c>
      <c r="C189" s="21" t="s">
        <v>1163</v>
      </c>
      <c r="D189" s="21" t="s">
        <v>211</v>
      </c>
      <c r="E189" s="21">
        <v>0</v>
      </c>
      <c r="F189" s="21"/>
      <c r="G189" s="22" t="s">
        <v>1077</v>
      </c>
    </row>
    <row r="190" spans="1:7" s="7" customFormat="1" x14ac:dyDescent="0.15">
      <c r="A190" s="2"/>
      <c r="B190" s="20" t="s">
        <v>111</v>
      </c>
      <c r="C190" s="21" t="s">
        <v>1164</v>
      </c>
      <c r="D190" s="21" t="s">
        <v>211</v>
      </c>
      <c r="E190" s="21">
        <v>0</v>
      </c>
      <c r="F190" s="21"/>
      <c r="G190" s="22" t="s">
        <v>1165</v>
      </c>
    </row>
    <row r="191" spans="1:7" s="7" customFormat="1" x14ac:dyDescent="0.15">
      <c r="A191" s="2"/>
      <c r="B191" s="20" t="s">
        <v>23</v>
      </c>
      <c r="C191" s="21" t="s">
        <v>1091</v>
      </c>
      <c r="D191" s="21" t="s">
        <v>1131</v>
      </c>
      <c r="E191" s="21" t="s">
        <v>1074</v>
      </c>
      <c r="F191" s="21"/>
      <c r="G191" s="22"/>
    </row>
    <row r="192" spans="1:7" s="7" customFormat="1" x14ac:dyDescent="0.15">
      <c r="A192" s="2"/>
      <c r="B192" s="17" t="s">
        <v>312</v>
      </c>
      <c r="C192" s="18" t="s">
        <v>1168</v>
      </c>
      <c r="D192" s="18" t="s">
        <v>1169</v>
      </c>
      <c r="E192" s="18">
        <v>0</v>
      </c>
      <c r="F192" s="18"/>
      <c r="G192" s="19"/>
    </row>
    <row r="193" spans="1:7" s="7" customFormat="1" x14ac:dyDescent="0.15">
      <c r="A193" s="2"/>
      <c r="B193" s="17" t="s">
        <v>303</v>
      </c>
      <c r="C193" s="18" t="s">
        <v>1170</v>
      </c>
      <c r="D193" s="18" t="s">
        <v>1169</v>
      </c>
      <c r="E193" s="18">
        <v>0</v>
      </c>
      <c r="F193" s="18"/>
      <c r="G193" s="19"/>
    </row>
    <row r="194" spans="1:7" s="7" customFormat="1" x14ac:dyDescent="0.15">
      <c r="A194" s="2"/>
      <c r="B194" s="20" t="s">
        <v>313</v>
      </c>
      <c r="C194" s="21" t="s">
        <v>1185</v>
      </c>
      <c r="D194" s="21" t="s">
        <v>1169</v>
      </c>
      <c r="E194" s="21">
        <v>0</v>
      </c>
      <c r="F194" s="21"/>
      <c r="G194" s="22"/>
    </row>
    <row r="195" spans="1:7" s="7" customFormat="1" x14ac:dyDescent="0.15">
      <c r="A195" s="2"/>
      <c r="B195" s="20" t="s">
        <v>305</v>
      </c>
      <c r="C195" s="21" t="s">
        <v>1181</v>
      </c>
      <c r="D195" s="21" t="s">
        <v>1169</v>
      </c>
      <c r="E195" s="21">
        <v>0</v>
      </c>
      <c r="F195" s="21"/>
      <c r="G195" s="22"/>
    </row>
    <row r="196" spans="1:7" s="7" customFormat="1" x14ac:dyDescent="0.15">
      <c r="A196" s="2"/>
      <c r="B196" s="20" t="s">
        <v>306</v>
      </c>
      <c r="C196" s="21" t="s">
        <v>1128</v>
      </c>
      <c r="D196" s="21" t="s">
        <v>1169</v>
      </c>
      <c r="E196" s="21">
        <v>0</v>
      </c>
      <c r="F196" s="21"/>
      <c r="G196" s="22"/>
    </row>
    <row r="197" spans="1:7" s="7" customFormat="1" x14ac:dyDescent="0.15">
      <c r="A197" s="2"/>
      <c r="B197" s="17" t="s">
        <v>307</v>
      </c>
      <c r="C197" s="18" t="s">
        <v>1173</v>
      </c>
      <c r="D197" s="18" t="s">
        <v>1169</v>
      </c>
      <c r="E197" s="18">
        <v>0</v>
      </c>
      <c r="F197" s="18"/>
      <c r="G197" s="19"/>
    </row>
    <row r="198" spans="1:7" s="7" customFormat="1" x14ac:dyDescent="0.15">
      <c r="A198" s="2"/>
      <c r="B198" s="17" t="s">
        <v>308</v>
      </c>
      <c r="C198" s="18" t="s">
        <v>1175</v>
      </c>
      <c r="D198" s="18" t="s">
        <v>1169</v>
      </c>
      <c r="E198" s="18">
        <v>0</v>
      </c>
      <c r="F198" s="18"/>
      <c r="G198" s="19"/>
    </row>
    <row r="199" spans="1:7" s="7" customFormat="1" x14ac:dyDescent="0.15">
      <c r="A199" s="2"/>
      <c r="B199" s="17" t="s">
        <v>314</v>
      </c>
      <c r="C199" s="18" t="s">
        <v>1089</v>
      </c>
      <c r="D199" s="18" t="s">
        <v>1169</v>
      </c>
      <c r="E199" s="18">
        <v>0</v>
      </c>
      <c r="F199" s="18"/>
      <c r="G199" s="19"/>
    </row>
    <row r="200" spans="1:7" s="7" customFormat="1" x14ac:dyDescent="0.15">
      <c r="A200" s="2"/>
      <c r="B200" s="17" t="s">
        <v>310</v>
      </c>
      <c r="C200" s="18" t="s">
        <v>1174</v>
      </c>
      <c r="D200" s="18" t="s">
        <v>1169</v>
      </c>
      <c r="E200" s="18">
        <v>0</v>
      </c>
      <c r="F200" s="18"/>
      <c r="G200" s="19"/>
    </row>
    <row r="201" spans="1:7" s="7" customFormat="1" x14ac:dyDescent="0.15">
      <c r="A201" s="2"/>
      <c r="B201" s="20"/>
      <c r="C201" s="21"/>
      <c r="D201" s="21"/>
      <c r="E201" s="21"/>
      <c r="F201" s="21"/>
      <c r="G201" s="22"/>
    </row>
    <row r="202" spans="1:7" s="7" customFormat="1" x14ac:dyDescent="0.15">
      <c r="A202" s="2"/>
      <c r="B202" s="20"/>
      <c r="C202" s="21"/>
      <c r="D202" s="21"/>
      <c r="E202" s="21"/>
      <c r="F202" s="21"/>
      <c r="G202" s="22"/>
    </row>
    <row r="203" spans="1:7" s="7" customFormat="1" ht="18" thickBot="1" x14ac:dyDescent="0.2">
      <c r="A203" s="2"/>
      <c r="B203" s="24"/>
      <c r="C203" s="9"/>
      <c r="D203" s="9"/>
      <c r="E203" s="9"/>
      <c r="F203" s="9"/>
      <c r="G203" s="11"/>
    </row>
    <row r="204" spans="1:7" s="7" customFormat="1" x14ac:dyDescent="0.15">
      <c r="A204" s="2"/>
      <c r="B204" s="327" t="s">
        <v>15</v>
      </c>
      <c r="C204" s="328"/>
      <c r="D204" s="328"/>
      <c r="E204" s="328"/>
      <c r="F204" s="328"/>
      <c r="G204" s="329"/>
    </row>
    <row r="205" spans="1:7" s="7" customFormat="1" x14ac:dyDescent="0.15">
      <c r="A205" s="2" t="s">
        <v>62</v>
      </c>
      <c r="B205" s="20">
        <v>1</v>
      </c>
      <c r="C205" s="21" t="s">
        <v>111</v>
      </c>
      <c r="D205" s="21" t="s">
        <v>23</v>
      </c>
      <c r="E205" s="21"/>
      <c r="F205" s="21"/>
      <c r="G205" s="22"/>
    </row>
    <row r="206" spans="1:7" s="7" customFormat="1" ht="18" thickBot="1" x14ac:dyDescent="0.2">
      <c r="A206" s="2"/>
      <c r="B206" s="24"/>
      <c r="C206" s="9"/>
      <c r="D206" s="9"/>
      <c r="E206" s="9"/>
      <c r="F206" s="9"/>
      <c r="G206" s="11"/>
    </row>
    <row r="207" spans="1:7" s="7" customFormat="1" ht="18" thickBot="1" x14ac:dyDescent="0.2">
      <c r="A207" s="2"/>
    </row>
    <row r="208" spans="1:7" s="7" customFormat="1" x14ac:dyDescent="0.15">
      <c r="A208" s="2"/>
      <c r="B208" s="3" t="s">
        <v>563</v>
      </c>
      <c r="C208" s="4" t="s">
        <v>548</v>
      </c>
      <c r="D208" s="5" t="s">
        <v>515</v>
      </c>
      <c r="E208" s="21" t="s">
        <v>1012</v>
      </c>
      <c r="F208" s="5" t="s">
        <v>567</v>
      </c>
      <c r="G208" s="6" t="s">
        <v>547</v>
      </c>
    </row>
    <row r="209" spans="1:7" s="7" customFormat="1" ht="18" thickBot="1" x14ac:dyDescent="0.2">
      <c r="A209" s="2"/>
      <c r="B209" s="34" t="s">
        <v>570</v>
      </c>
      <c r="C209" s="18"/>
      <c r="D209" s="35" t="s">
        <v>568</v>
      </c>
      <c r="E209" s="18" t="s">
        <v>615</v>
      </c>
      <c r="F209" s="35"/>
      <c r="G209" s="19"/>
    </row>
    <row r="210" spans="1:7" s="7" customFormat="1" x14ac:dyDescent="0.15">
      <c r="A210" s="2"/>
      <c r="B210" s="3" t="s">
        <v>0</v>
      </c>
      <c r="C210" s="5" t="s">
        <v>1</v>
      </c>
      <c r="D210" s="5" t="s">
        <v>2</v>
      </c>
      <c r="E210" s="5"/>
      <c r="F210" s="5" t="s">
        <v>3</v>
      </c>
      <c r="G210" s="36" t="s">
        <v>4</v>
      </c>
    </row>
    <row r="211" spans="1:7" s="7" customFormat="1" x14ac:dyDescent="0.15">
      <c r="B211" s="14" t="s">
        <v>22</v>
      </c>
      <c r="C211" s="15" t="s">
        <v>1127</v>
      </c>
      <c r="D211" s="15" t="s">
        <v>211</v>
      </c>
      <c r="E211" s="15" t="s">
        <v>1141</v>
      </c>
      <c r="F211" s="15"/>
      <c r="G211" s="16" t="s">
        <v>1162</v>
      </c>
    </row>
    <row r="212" spans="1:7" s="7" customFormat="1" x14ac:dyDescent="0.15">
      <c r="A212" s="2"/>
      <c r="B212" s="20" t="s">
        <v>6</v>
      </c>
      <c r="C212" s="21" t="s">
        <v>1163</v>
      </c>
      <c r="D212" s="21" t="s">
        <v>211</v>
      </c>
      <c r="E212" s="21">
        <v>0</v>
      </c>
      <c r="F212" s="21"/>
      <c r="G212" s="22" t="s">
        <v>1077</v>
      </c>
    </row>
    <row r="213" spans="1:7" s="7" customFormat="1" x14ac:dyDescent="0.15">
      <c r="A213" s="2"/>
      <c r="B213" s="20" t="s">
        <v>111</v>
      </c>
      <c r="C213" s="21" t="s">
        <v>1164</v>
      </c>
      <c r="D213" s="21" t="s">
        <v>211</v>
      </c>
      <c r="E213" s="21">
        <v>0</v>
      </c>
      <c r="F213" s="21"/>
      <c r="G213" s="22" t="s">
        <v>1165</v>
      </c>
    </row>
    <row r="214" spans="1:7" s="7" customFormat="1" x14ac:dyDescent="0.15">
      <c r="A214" s="2"/>
      <c r="B214" s="20" t="s">
        <v>23</v>
      </c>
      <c r="C214" s="21" t="s">
        <v>1091</v>
      </c>
      <c r="D214" s="21" t="s">
        <v>1131</v>
      </c>
      <c r="E214" s="21" t="s">
        <v>1074</v>
      </c>
      <c r="F214" s="21"/>
      <c r="G214" s="22"/>
    </row>
    <row r="215" spans="1:7" s="7" customFormat="1" x14ac:dyDescent="0.15">
      <c r="A215" s="2"/>
      <c r="B215" s="17" t="s">
        <v>312</v>
      </c>
      <c r="C215" s="18" t="s">
        <v>1168</v>
      </c>
      <c r="D215" s="18" t="s">
        <v>1169</v>
      </c>
      <c r="E215" s="18">
        <v>0</v>
      </c>
      <c r="F215" s="18"/>
      <c r="G215" s="19"/>
    </row>
    <row r="216" spans="1:7" s="7" customFormat="1" x14ac:dyDescent="0.15">
      <c r="A216" s="2"/>
      <c r="B216" s="17" t="s">
        <v>303</v>
      </c>
      <c r="C216" s="18" t="s">
        <v>1170</v>
      </c>
      <c r="D216" s="18" t="s">
        <v>1169</v>
      </c>
      <c r="E216" s="18">
        <v>0</v>
      </c>
      <c r="F216" s="18"/>
      <c r="G216" s="19"/>
    </row>
    <row r="217" spans="1:7" s="7" customFormat="1" x14ac:dyDescent="0.15">
      <c r="A217" s="2"/>
      <c r="B217" s="20" t="s">
        <v>313</v>
      </c>
      <c r="C217" s="21" t="s">
        <v>1185</v>
      </c>
      <c r="D217" s="21" t="s">
        <v>1169</v>
      </c>
      <c r="E217" s="21">
        <v>0</v>
      </c>
      <c r="F217" s="21"/>
      <c r="G217" s="22"/>
    </row>
    <row r="218" spans="1:7" s="7" customFormat="1" x14ac:dyDescent="0.15">
      <c r="A218" s="2"/>
      <c r="B218" s="20" t="s">
        <v>305</v>
      </c>
      <c r="C218" s="21" t="s">
        <v>1181</v>
      </c>
      <c r="D218" s="21" t="s">
        <v>1169</v>
      </c>
      <c r="E218" s="21">
        <v>0</v>
      </c>
      <c r="F218" s="21"/>
      <c r="G218" s="22"/>
    </row>
    <row r="219" spans="1:7" s="7" customFormat="1" x14ac:dyDescent="0.15">
      <c r="A219" s="2"/>
      <c r="B219" s="20" t="s">
        <v>306</v>
      </c>
      <c r="C219" s="21" t="s">
        <v>1128</v>
      </c>
      <c r="D219" s="21" t="s">
        <v>1169</v>
      </c>
      <c r="E219" s="21">
        <v>0</v>
      </c>
      <c r="F219" s="21"/>
      <c r="G219" s="22"/>
    </row>
    <row r="220" spans="1:7" s="7" customFormat="1" x14ac:dyDescent="0.15">
      <c r="A220" s="2"/>
      <c r="B220" s="17" t="s">
        <v>307</v>
      </c>
      <c r="C220" s="18" t="s">
        <v>1173</v>
      </c>
      <c r="D220" s="18" t="s">
        <v>1169</v>
      </c>
      <c r="E220" s="18">
        <v>0</v>
      </c>
      <c r="F220" s="18"/>
      <c r="G220" s="19"/>
    </row>
    <row r="221" spans="1:7" s="7" customFormat="1" x14ac:dyDescent="0.15">
      <c r="A221" s="2"/>
      <c r="B221" s="17" t="s">
        <v>308</v>
      </c>
      <c r="C221" s="18" t="s">
        <v>1175</v>
      </c>
      <c r="D221" s="18" t="s">
        <v>1169</v>
      </c>
      <c r="E221" s="18">
        <v>0</v>
      </c>
      <c r="F221" s="18"/>
      <c r="G221" s="19"/>
    </row>
    <row r="222" spans="1:7" s="7" customFormat="1" x14ac:dyDescent="0.15">
      <c r="A222" s="2"/>
      <c r="B222" s="17" t="s">
        <v>314</v>
      </c>
      <c r="C222" s="18" t="s">
        <v>1089</v>
      </c>
      <c r="D222" s="18" t="s">
        <v>1169</v>
      </c>
      <c r="E222" s="18">
        <v>0</v>
      </c>
      <c r="F222" s="18"/>
      <c r="G222" s="19"/>
    </row>
    <row r="223" spans="1:7" s="7" customFormat="1" x14ac:dyDescent="0.15">
      <c r="A223" s="2"/>
      <c r="B223" s="17" t="s">
        <v>310</v>
      </c>
      <c r="C223" s="18" t="s">
        <v>1174</v>
      </c>
      <c r="D223" s="18" t="s">
        <v>1169</v>
      </c>
      <c r="E223" s="18">
        <v>0</v>
      </c>
      <c r="F223" s="18"/>
      <c r="G223" s="19"/>
    </row>
    <row r="224" spans="1:7" s="7" customFormat="1" ht="18" thickBot="1" x14ac:dyDescent="0.2">
      <c r="A224" s="2"/>
      <c r="B224" s="24"/>
      <c r="C224" s="9"/>
      <c r="D224" s="9"/>
      <c r="E224" s="9"/>
      <c r="F224" s="9"/>
      <c r="G224" s="11"/>
    </row>
    <row r="225" spans="1:7" s="7" customFormat="1" x14ac:dyDescent="0.15">
      <c r="A225" s="2"/>
      <c r="B225" s="327" t="s">
        <v>15</v>
      </c>
      <c r="C225" s="328"/>
      <c r="D225" s="328"/>
      <c r="E225" s="328"/>
      <c r="F225" s="328"/>
      <c r="G225" s="329"/>
    </row>
    <row r="226" spans="1:7" s="7" customFormat="1" x14ac:dyDescent="0.15">
      <c r="A226" s="2" t="s">
        <v>62</v>
      </c>
      <c r="B226" s="20">
        <v>1</v>
      </c>
      <c r="C226" s="21" t="s">
        <v>22</v>
      </c>
      <c r="D226" s="21" t="s">
        <v>111</v>
      </c>
      <c r="E226" s="21" t="s">
        <v>23</v>
      </c>
      <c r="F226" s="21"/>
      <c r="G226" s="22"/>
    </row>
    <row r="227" spans="1:7" s="7" customFormat="1" ht="18" thickBot="1" x14ac:dyDescent="0.2">
      <c r="A227" s="2"/>
      <c r="B227" s="24"/>
      <c r="C227" s="9"/>
      <c r="D227" s="9"/>
      <c r="E227" s="9"/>
      <c r="F227" s="9"/>
      <c r="G227" s="11"/>
    </row>
    <row r="228" spans="1:7" ht="18" thickBot="1" x14ac:dyDescent="0.2"/>
    <row r="229" spans="1:7" s="7" customFormat="1" x14ac:dyDescent="0.15">
      <c r="A229" s="2"/>
      <c r="B229" s="3" t="s">
        <v>563</v>
      </c>
      <c r="C229" s="4" t="s">
        <v>643</v>
      </c>
      <c r="D229" s="5" t="s">
        <v>515</v>
      </c>
      <c r="E229" s="4" t="s">
        <v>1013</v>
      </c>
      <c r="F229" s="5" t="s">
        <v>567</v>
      </c>
      <c r="G229" s="6"/>
    </row>
    <row r="230" spans="1:7" s="7" customFormat="1" ht="18" thickBot="1" x14ac:dyDescent="0.2">
      <c r="A230" s="2"/>
      <c r="B230" s="8" t="s">
        <v>570</v>
      </c>
      <c r="C230" s="9"/>
      <c r="D230" s="10" t="s">
        <v>568</v>
      </c>
      <c r="E230" s="9" t="s">
        <v>615</v>
      </c>
      <c r="F230" s="10"/>
      <c r="G230" s="11"/>
    </row>
    <row r="231" spans="1:7" s="7" customFormat="1" x14ac:dyDescent="0.15">
      <c r="A231" s="2"/>
      <c r="B231" s="12" t="s">
        <v>0</v>
      </c>
      <c r="C231" s="13" t="s">
        <v>1</v>
      </c>
      <c r="D231" s="13" t="s">
        <v>2</v>
      </c>
      <c r="E231" s="13"/>
      <c r="F231" s="13" t="s">
        <v>3</v>
      </c>
      <c r="G231" s="13" t="s">
        <v>4</v>
      </c>
    </row>
    <row r="232" spans="1:7" s="7" customFormat="1" x14ac:dyDescent="0.15">
      <c r="A232" s="2"/>
      <c r="B232" s="14" t="s">
        <v>6</v>
      </c>
      <c r="C232" s="15" t="s">
        <v>1163</v>
      </c>
      <c r="D232" s="15" t="s">
        <v>211</v>
      </c>
      <c r="E232" s="15">
        <v>0</v>
      </c>
      <c r="F232" s="15"/>
      <c r="G232" s="16" t="s">
        <v>1077</v>
      </c>
    </row>
    <row r="233" spans="1:7" s="7" customFormat="1" x14ac:dyDescent="0.15">
      <c r="A233" s="2"/>
      <c r="B233" s="14" t="s">
        <v>111</v>
      </c>
      <c r="C233" s="15" t="s">
        <v>1164</v>
      </c>
      <c r="D233" s="15" t="s">
        <v>211</v>
      </c>
      <c r="E233" s="15">
        <v>0</v>
      </c>
      <c r="F233" s="15"/>
      <c r="G233" s="16" t="s">
        <v>1165</v>
      </c>
    </row>
    <row r="234" spans="1:7" s="7" customFormat="1" x14ac:dyDescent="0.15">
      <c r="A234" s="2"/>
      <c r="B234" s="14" t="s">
        <v>113</v>
      </c>
      <c r="C234" s="15" t="s">
        <v>1187</v>
      </c>
      <c r="D234" s="15" t="s">
        <v>211</v>
      </c>
      <c r="E234" s="15">
        <v>0</v>
      </c>
      <c r="F234" s="15"/>
      <c r="G234" s="16"/>
    </row>
    <row r="235" spans="1:7" s="7" customFormat="1" x14ac:dyDescent="0.15">
      <c r="A235" s="2"/>
      <c r="B235" s="14" t="s">
        <v>23</v>
      </c>
      <c r="C235" s="15" t="s">
        <v>1091</v>
      </c>
      <c r="D235" s="15" t="s">
        <v>1131</v>
      </c>
      <c r="E235" s="15" t="s">
        <v>1074</v>
      </c>
      <c r="F235" s="15"/>
      <c r="G235" s="16"/>
    </row>
    <row r="236" spans="1:7" s="7" customFormat="1" x14ac:dyDescent="0.15">
      <c r="A236" s="2"/>
      <c r="B236" s="25" t="s">
        <v>331</v>
      </c>
      <c r="C236" s="26" t="s">
        <v>1322</v>
      </c>
      <c r="D236" s="26" t="s">
        <v>1169</v>
      </c>
      <c r="E236" s="26">
        <v>0</v>
      </c>
      <c r="F236" s="26"/>
      <c r="G236" s="27"/>
    </row>
    <row r="237" spans="1:7" s="7" customFormat="1" x14ac:dyDescent="0.15">
      <c r="A237" s="2"/>
      <c r="B237" s="17" t="s">
        <v>24</v>
      </c>
      <c r="C237" s="18" t="s">
        <v>1151</v>
      </c>
      <c r="D237" s="18" t="s">
        <v>1169</v>
      </c>
      <c r="E237" s="18">
        <v>0</v>
      </c>
      <c r="F237" s="18"/>
      <c r="G237" s="19" t="s">
        <v>1116</v>
      </c>
    </row>
    <row r="238" spans="1:7" s="7" customFormat="1" x14ac:dyDescent="0.15">
      <c r="A238" s="2"/>
      <c r="B238" s="17" t="s">
        <v>25</v>
      </c>
      <c r="C238" s="18" t="s">
        <v>1150</v>
      </c>
      <c r="D238" s="18" t="s">
        <v>1169</v>
      </c>
      <c r="E238" s="18">
        <v>0</v>
      </c>
      <c r="F238" s="18"/>
      <c r="G238" s="19" t="s">
        <v>1312</v>
      </c>
    </row>
    <row r="239" spans="1:7" s="7" customFormat="1" x14ac:dyDescent="0.15">
      <c r="A239" s="2"/>
      <c r="B239" s="20" t="s">
        <v>26</v>
      </c>
      <c r="C239" s="21" t="s">
        <v>1152</v>
      </c>
      <c r="D239" s="21" t="s">
        <v>1169</v>
      </c>
      <c r="E239" s="21">
        <v>0</v>
      </c>
      <c r="F239" s="21"/>
      <c r="G239" s="22" t="s">
        <v>1323</v>
      </c>
    </row>
    <row r="240" spans="1:7" s="7" customFormat="1" x14ac:dyDescent="0.15">
      <c r="A240" s="2"/>
      <c r="B240" s="20" t="s">
        <v>27</v>
      </c>
      <c r="C240" s="21" t="s">
        <v>1313</v>
      </c>
      <c r="D240" s="21" t="s">
        <v>1169</v>
      </c>
      <c r="E240" s="21">
        <v>0</v>
      </c>
      <c r="F240" s="21"/>
      <c r="G240" s="22" t="s">
        <v>1314</v>
      </c>
    </row>
    <row r="241" spans="1:7" s="7" customFormat="1" x14ac:dyDescent="0.15">
      <c r="A241" s="2"/>
      <c r="B241" s="17" t="s">
        <v>175</v>
      </c>
      <c r="C241" s="18" t="s">
        <v>1129</v>
      </c>
      <c r="D241" s="18" t="s">
        <v>1169</v>
      </c>
      <c r="E241" s="18">
        <v>0</v>
      </c>
      <c r="F241" s="18"/>
      <c r="G241" s="19"/>
    </row>
    <row r="242" spans="1:7" s="7" customFormat="1" x14ac:dyDescent="0.15">
      <c r="A242" s="2"/>
      <c r="B242" s="17" t="s">
        <v>176</v>
      </c>
      <c r="C242" s="18" t="s">
        <v>1132</v>
      </c>
      <c r="D242" s="18" t="s">
        <v>1169</v>
      </c>
      <c r="E242" s="18">
        <v>0</v>
      </c>
      <c r="F242" s="18"/>
      <c r="G242" s="19"/>
    </row>
    <row r="243" spans="1:7" s="7" customFormat="1" x14ac:dyDescent="0.15">
      <c r="B243" s="17" t="s">
        <v>177</v>
      </c>
      <c r="C243" s="18" t="s">
        <v>1143</v>
      </c>
      <c r="D243" s="18" t="s">
        <v>1169</v>
      </c>
      <c r="E243" s="18">
        <v>0</v>
      </c>
      <c r="F243" s="18"/>
      <c r="G243" s="19"/>
    </row>
    <row r="244" spans="1:7" s="7" customFormat="1" x14ac:dyDescent="0.15">
      <c r="A244" s="2"/>
      <c r="B244" s="17" t="s">
        <v>178</v>
      </c>
      <c r="C244" s="18" t="s">
        <v>1324</v>
      </c>
      <c r="D244" s="18" t="s">
        <v>1172</v>
      </c>
      <c r="E244" s="18">
        <v>0</v>
      </c>
      <c r="F244" s="18"/>
      <c r="G244" s="19"/>
    </row>
    <row r="245" spans="1:7" s="7" customFormat="1" x14ac:dyDescent="0.15">
      <c r="B245" s="17" t="s">
        <v>332</v>
      </c>
      <c r="C245" s="18" t="s">
        <v>1325</v>
      </c>
      <c r="D245" s="18" t="s">
        <v>1169</v>
      </c>
      <c r="E245" s="18">
        <v>0</v>
      </c>
      <c r="F245" s="18"/>
      <c r="G245" s="19" t="s">
        <v>1326</v>
      </c>
    </row>
    <row r="246" spans="1:7" s="7" customFormat="1" x14ac:dyDescent="0.15">
      <c r="B246" s="17" t="s">
        <v>180</v>
      </c>
      <c r="C246" s="18" t="s">
        <v>1309</v>
      </c>
      <c r="D246" s="18" t="s">
        <v>1169</v>
      </c>
      <c r="E246" s="18">
        <v>0</v>
      </c>
      <c r="F246" s="18"/>
      <c r="G246" s="19" t="s">
        <v>1310</v>
      </c>
    </row>
    <row r="247" spans="1:7" s="7" customFormat="1" ht="18" thickBot="1" x14ac:dyDescent="0.2">
      <c r="A247" s="2"/>
      <c r="B247" s="17"/>
      <c r="C247" s="18"/>
      <c r="D247" s="18"/>
      <c r="E247" s="18"/>
      <c r="F247" s="18"/>
      <c r="G247" s="19"/>
    </row>
    <row r="248" spans="1:7" s="7" customFormat="1" x14ac:dyDescent="0.15">
      <c r="A248" s="2"/>
      <c r="B248" s="327" t="s">
        <v>15</v>
      </c>
      <c r="C248" s="328"/>
      <c r="D248" s="328"/>
      <c r="E248" s="328"/>
      <c r="F248" s="328"/>
      <c r="G248" s="329"/>
    </row>
    <row r="249" spans="1:7" s="7" customFormat="1" x14ac:dyDescent="0.15">
      <c r="A249" s="2" t="s">
        <v>62</v>
      </c>
      <c r="B249" s="20">
        <v>1</v>
      </c>
      <c r="C249" s="21" t="s">
        <v>113</v>
      </c>
      <c r="D249" s="21" t="s">
        <v>110</v>
      </c>
      <c r="E249" s="21"/>
      <c r="F249" s="21"/>
      <c r="G249" s="22"/>
    </row>
    <row r="250" spans="1:7" s="7" customFormat="1" x14ac:dyDescent="0.15">
      <c r="A250" s="2"/>
      <c r="B250" s="17">
        <v>2</v>
      </c>
      <c r="C250" s="18" t="s">
        <v>109</v>
      </c>
      <c r="D250" s="18" t="s">
        <v>111</v>
      </c>
      <c r="E250" s="21" t="s">
        <v>110</v>
      </c>
      <c r="F250" s="18"/>
      <c r="G250" s="19"/>
    </row>
    <row r="251" spans="1:7" s="7" customFormat="1" ht="18" thickBot="1" x14ac:dyDescent="0.2">
      <c r="A251" s="2"/>
      <c r="B251" s="24"/>
      <c r="C251" s="9"/>
      <c r="D251" s="9"/>
      <c r="E251" s="9"/>
      <c r="F251" s="9"/>
      <c r="G251" s="11"/>
    </row>
    <row r="252" spans="1:7" s="7" customFormat="1" ht="18" thickBot="1" x14ac:dyDescent="0.2">
      <c r="A252" s="2"/>
    </row>
    <row r="253" spans="1:7" s="7" customFormat="1" x14ac:dyDescent="0.15">
      <c r="A253" s="2"/>
      <c r="B253" s="3" t="s">
        <v>563</v>
      </c>
      <c r="C253" s="4" t="s">
        <v>561</v>
      </c>
      <c r="D253" s="5" t="s">
        <v>515</v>
      </c>
      <c r="E253" s="21" t="s">
        <v>714</v>
      </c>
      <c r="F253" s="5" t="s">
        <v>567</v>
      </c>
      <c r="G253" s="6"/>
    </row>
    <row r="254" spans="1:7" s="7" customFormat="1" ht="18" thickBot="1" x14ac:dyDescent="0.2">
      <c r="A254" s="2"/>
      <c r="B254" s="8" t="s">
        <v>570</v>
      </c>
      <c r="C254" s="9"/>
      <c r="D254" s="10" t="s">
        <v>568</v>
      </c>
      <c r="E254" s="9" t="s">
        <v>615</v>
      </c>
      <c r="F254" s="10"/>
      <c r="G254" s="11"/>
    </row>
    <row r="255" spans="1:7" s="7" customFormat="1" x14ac:dyDescent="0.15">
      <c r="A255" s="2"/>
      <c r="B255" s="12" t="s">
        <v>0</v>
      </c>
      <c r="C255" s="13" t="s">
        <v>1</v>
      </c>
      <c r="D255" s="13" t="s">
        <v>2</v>
      </c>
      <c r="E255" s="13"/>
      <c r="F255" s="13" t="s">
        <v>3</v>
      </c>
      <c r="G255" s="13" t="s">
        <v>4</v>
      </c>
    </row>
    <row r="256" spans="1:7" s="7" customFormat="1" x14ac:dyDescent="0.15">
      <c r="A256" s="2"/>
      <c r="B256" s="14" t="s">
        <v>5</v>
      </c>
      <c r="C256" s="15" t="s">
        <v>1127</v>
      </c>
      <c r="D256" s="15" t="s">
        <v>211</v>
      </c>
      <c r="E256" s="15" t="s">
        <v>1141</v>
      </c>
      <c r="F256" s="15"/>
      <c r="G256" s="16" t="s">
        <v>1162</v>
      </c>
    </row>
    <row r="257" spans="1:7" s="7" customFormat="1" x14ac:dyDescent="0.15">
      <c r="A257" s="2"/>
      <c r="B257" s="14" t="s">
        <v>6</v>
      </c>
      <c r="C257" s="15" t="s">
        <v>1163</v>
      </c>
      <c r="D257" s="15" t="s">
        <v>211</v>
      </c>
      <c r="E257" s="15">
        <v>0</v>
      </c>
      <c r="F257" s="15"/>
      <c r="G257" s="16" t="s">
        <v>1077</v>
      </c>
    </row>
    <row r="258" spans="1:7" s="7" customFormat="1" x14ac:dyDescent="0.15">
      <c r="A258" s="2"/>
      <c r="B258" s="14" t="s">
        <v>111</v>
      </c>
      <c r="C258" s="15" t="s">
        <v>1164</v>
      </c>
      <c r="D258" s="15" t="s">
        <v>211</v>
      </c>
      <c r="E258" s="15">
        <v>0</v>
      </c>
      <c r="F258" s="15"/>
      <c r="G258" s="16" t="s">
        <v>1165</v>
      </c>
    </row>
    <row r="259" spans="1:7" s="7" customFormat="1" x14ac:dyDescent="0.15">
      <c r="A259" s="2"/>
      <c r="B259" s="14" t="s">
        <v>113</v>
      </c>
      <c r="C259" s="15" t="s">
        <v>1187</v>
      </c>
      <c r="D259" s="15" t="s">
        <v>211</v>
      </c>
      <c r="E259" s="15">
        <v>0</v>
      </c>
      <c r="F259" s="15"/>
      <c r="G259" s="16"/>
    </row>
    <row r="260" spans="1:7" s="7" customFormat="1" x14ac:dyDescent="0.15">
      <c r="A260" s="2"/>
      <c r="B260" s="14" t="s">
        <v>23</v>
      </c>
      <c r="C260" s="15" t="s">
        <v>1091</v>
      </c>
      <c r="D260" s="15" t="s">
        <v>1131</v>
      </c>
      <c r="E260" s="15" t="s">
        <v>1074</v>
      </c>
      <c r="F260" s="15"/>
      <c r="G260" s="16"/>
    </row>
    <row r="261" spans="1:7" s="7" customFormat="1" x14ac:dyDescent="0.15">
      <c r="A261" s="2"/>
      <c r="B261" s="25" t="s">
        <v>331</v>
      </c>
      <c r="C261" s="26" t="s">
        <v>1322</v>
      </c>
      <c r="D261" s="26" t="s">
        <v>1169</v>
      </c>
      <c r="E261" s="26">
        <v>0</v>
      </c>
      <c r="F261" s="26"/>
      <c r="G261" s="27"/>
    </row>
    <row r="262" spans="1:7" s="7" customFormat="1" x14ac:dyDescent="0.15">
      <c r="A262" s="2"/>
      <c r="B262" s="17" t="s">
        <v>24</v>
      </c>
      <c r="C262" s="18" t="s">
        <v>1151</v>
      </c>
      <c r="D262" s="18" t="s">
        <v>1169</v>
      </c>
      <c r="E262" s="18">
        <v>0</v>
      </c>
      <c r="F262" s="18"/>
      <c r="G262" s="19" t="s">
        <v>1116</v>
      </c>
    </row>
    <row r="263" spans="1:7" s="7" customFormat="1" x14ac:dyDescent="0.15">
      <c r="A263" s="2"/>
      <c r="B263" s="17" t="s">
        <v>25</v>
      </c>
      <c r="C263" s="18" t="s">
        <v>1150</v>
      </c>
      <c r="D263" s="18" t="s">
        <v>1169</v>
      </c>
      <c r="E263" s="18">
        <v>0</v>
      </c>
      <c r="F263" s="18"/>
      <c r="G263" s="19" t="s">
        <v>1312</v>
      </c>
    </row>
    <row r="264" spans="1:7" s="7" customFormat="1" x14ac:dyDescent="0.15">
      <c r="A264" s="2"/>
      <c r="B264" s="20" t="s">
        <v>26</v>
      </c>
      <c r="C264" s="21" t="s">
        <v>1152</v>
      </c>
      <c r="D264" s="21" t="s">
        <v>1169</v>
      </c>
      <c r="E264" s="21">
        <v>0</v>
      </c>
      <c r="F264" s="21"/>
      <c r="G264" s="22" t="s">
        <v>1323</v>
      </c>
    </row>
    <row r="265" spans="1:7" s="7" customFormat="1" x14ac:dyDescent="0.15">
      <c r="A265" s="2"/>
      <c r="B265" s="20" t="s">
        <v>27</v>
      </c>
      <c r="C265" s="21" t="s">
        <v>1313</v>
      </c>
      <c r="D265" s="21" t="s">
        <v>1169</v>
      </c>
      <c r="E265" s="21">
        <v>0</v>
      </c>
      <c r="F265" s="21"/>
      <c r="G265" s="22" t="s">
        <v>1314</v>
      </c>
    </row>
    <row r="266" spans="1:7" s="7" customFormat="1" x14ac:dyDescent="0.15">
      <c r="A266" s="2"/>
      <c r="B266" s="17" t="s">
        <v>175</v>
      </c>
      <c r="C266" s="18" t="s">
        <v>1129</v>
      </c>
      <c r="D266" s="18" t="s">
        <v>1169</v>
      </c>
      <c r="E266" s="18">
        <v>0</v>
      </c>
      <c r="F266" s="18"/>
      <c r="G266" s="19"/>
    </row>
    <row r="267" spans="1:7" s="7" customFormat="1" x14ac:dyDescent="0.15">
      <c r="A267" s="2"/>
      <c r="B267" s="17" t="s">
        <v>176</v>
      </c>
      <c r="C267" s="18" t="s">
        <v>1132</v>
      </c>
      <c r="D267" s="18" t="s">
        <v>1169</v>
      </c>
      <c r="E267" s="18">
        <v>0</v>
      </c>
      <c r="F267" s="18"/>
      <c r="G267" s="19"/>
    </row>
    <row r="268" spans="1:7" s="7" customFormat="1" x14ac:dyDescent="0.15">
      <c r="B268" s="17" t="s">
        <v>177</v>
      </c>
      <c r="C268" s="18" t="s">
        <v>1143</v>
      </c>
      <c r="D268" s="18" t="s">
        <v>1169</v>
      </c>
      <c r="E268" s="18">
        <v>0</v>
      </c>
      <c r="F268" s="18"/>
      <c r="G268" s="19"/>
    </row>
    <row r="269" spans="1:7" s="7" customFormat="1" x14ac:dyDescent="0.15">
      <c r="A269" s="2"/>
      <c r="B269" s="17" t="s">
        <v>178</v>
      </c>
      <c r="C269" s="18" t="s">
        <v>1324</v>
      </c>
      <c r="D269" s="18" t="s">
        <v>1172</v>
      </c>
      <c r="E269" s="18">
        <v>0</v>
      </c>
      <c r="F269" s="18"/>
      <c r="G269" s="19"/>
    </row>
    <row r="270" spans="1:7" s="7" customFormat="1" x14ac:dyDescent="0.15">
      <c r="B270" s="17" t="s">
        <v>332</v>
      </c>
      <c r="C270" s="18" t="s">
        <v>1325</v>
      </c>
      <c r="D270" s="18" t="s">
        <v>1169</v>
      </c>
      <c r="E270" s="18">
        <v>0</v>
      </c>
      <c r="F270" s="18"/>
      <c r="G270" s="19" t="s">
        <v>1326</v>
      </c>
    </row>
    <row r="271" spans="1:7" s="7" customFormat="1" x14ac:dyDescent="0.15">
      <c r="B271" s="17" t="s">
        <v>180</v>
      </c>
      <c r="C271" s="18" t="s">
        <v>1309</v>
      </c>
      <c r="D271" s="18" t="s">
        <v>1169</v>
      </c>
      <c r="E271" s="18">
        <v>0</v>
      </c>
      <c r="F271" s="18"/>
      <c r="G271" s="19" t="s">
        <v>1310</v>
      </c>
    </row>
    <row r="272" spans="1:7" s="7" customFormat="1" ht="18" thickBot="1" x14ac:dyDescent="0.2">
      <c r="A272" s="2"/>
      <c r="B272" s="17"/>
      <c r="C272" s="18"/>
      <c r="D272" s="18"/>
      <c r="E272" s="18"/>
      <c r="F272" s="18"/>
      <c r="G272" s="19"/>
    </row>
    <row r="273" spans="1:7" s="7" customFormat="1" x14ac:dyDescent="0.15">
      <c r="A273" s="2"/>
      <c r="B273" s="327" t="s">
        <v>15</v>
      </c>
      <c r="C273" s="328"/>
      <c r="D273" s="328"/>
      <c r="E273" s="328"/>
      <c r="F273" s="328"/>
      <c r="G273" s="329"/>
    </row>
    <row r="274" spans="1:7" s="7" customFormat="1" x14ac:dyDescent="0.15">
      <c r="A274" s="2" t="s">
        <v>62</v>
      </c>
      <c r="B274" s="20">
        <v>1</v>
      </c>
      <c r="C274" s="21" t="s">
        <v>22</v>
      </c>
      <c r="D274" s="21" t="s">
        <v>113</v>
      </c>
      <c r="E274" s="21" t="s">
        <v>182</v>
      </c>
      <c r="F274" s="21"/>
      <c r="G274" s="22"/>
    </row>
    <row r="275" spans="1:7" s="7" customFormat="1" x14ac:dyDescent="0.15">
      <c r="A275" s="2"/>
      <c r="B275" s="20">
        <v>2</v>
      </c>
      <c r="C275" s="21" t="s">
        <v>22</v>
      </c>
      <c r="D275" s="21" t="s">
        <v>16</v>
      </c>
      <c r="E275" s="21" t="s">
        <v>111</v>
      </c>
      <c r="F275" s="21" t="s">
        <v>182</v>
      </c>
      <c r="G275" s="22"/>
    </row>
    <row r="276" spans="1:7" s="7" customFormat="1" ht="18" thickBot="1" x14ac:dyDescent="0.2">
      <c r="A276" s="2"/>
      <c r="B276" s="24"/>
      <c r="C276" s="9"/>
      <c r="D276" s="9"/>
      <c r="E276" s="9"/>
      <c r="F276" s="9"/>
      <c r="G276" s="11"/>
    </row>
    <row r="277" spans="1:7" s="7" customFormat="1" x14ac:dyDescent="0.15">
      <c r="A277" s="2"/>
    </row>
    <row r="278" spans="1:7" s="7" customFormat="1" x14ac:dyDescent="0.15">
      <c r="A278" s="2"/>
    </row>
    <row r="279" spans="1:7" ht="18" thickBot="1" x14ac:dyDescent="0.2"/>
    <row r="280" spans="1:7" s="7" customFormat="1" x14ac:dyDescent="0.15">
      <c r="A280" s="2"/>
      <c r="B280" s="3" t="s">
        <v>563</v>
      </c>
      <c r="C280" s="4" t="s">
        <v>662</v>
      </c>
      <c r="D280" s="5" t="s">
        <v>515</v>
      </c>
      <c r="E280" s="21" t="s">
        <v>1014</v>
      </c>
      <c r="F280" s="5" t="s">
        <v>567</v>
      </c>
      <c r="G280" s="6" t="s">
        <v>663</v>
      </c>
    </row>
    <row r="281" spans="1:7" ht="18" thickBot="1" x14ac:dyDescent="0.2">
      <c r="B281" s="137" t="s">
        <v>664</v>
      </c>
      <c r="C281" s="113"/>
      <c r="D281" s="138" t="s">
        <v>566</v>
      </c>
      <c r="E281" s="113" t="s">
        <v>615</v>
      </c>
      <c r="F281" s="138"/>
      <c r="G281" s="139"/>
    </row>
    <row r="282" spans="1:7" x14ac:dyDescent="0.15">
      <c r="B282" s="135" t="s">
        <v>0</v>
      </c>
      <c r="C282" s="136" t="s">
        <v>1</v>
      </c>
      <c r="D282" s="136" t="s">
        <v>2</v>
      </c>
      <c r="E282" s="136"/>
      <c r="F282" s="136" t="s">
        <v>3</v>
      </c>
      <c r="G282" s="140" t="s">
        <v>4</v>
      </c>
    </row>
    <row r="283" spans="1:7" x14ac:dyDescent="0.15">
      <c r="B283" s="33" t="s">
        <v>6</v>
      </c>
      <c r="C283" s="29" t="s">
        <v>1093</v>
      </c>
      <c r="D283" s="29" t="s">
        <v>423</v>
      </c>
      <c r="E283" s="132">
        <v>0</v>
      </c>
      <c r="F283" s="29"/>
      <c r="G283" s="141" t="s">
        <v>1327</v>
      </c>
    </row>
    <row r="284" spans="1:7" x14ac:dyDescent="0.15">
      <c r="B284" s="33" t="s">
        <v>194</v>
      </c>
      <c r="C284" s="29" t="s">
        <v>1328</v>
      </c>
      <c r="D284" s="29" t="s">
        <v>423</v>
      </c>
      <c r="E284" s="132">
        <v>0</v>
      </c>
      <c r="F284" s="29"/>
      <c r="G284" s="141" t="s">
        <v>1329</v>
      </c>
    </row>
    <row r="285" spans="1:7" x14ac:dyDescent="0.15">
      <c r="B285" s="33" t="s">
        <v>112</v>
      </c>
      <c r="C285" s="29" t="s">
        <v>1085</v>
      </c>
      <c r="D285" s="29" t="s">
        <v>423</v>
      </c>
      <c r="E285" s="132">
        <v>0</v>
      </c>
      <c r="F285" s="29"/>
      <c r="G285" s="141" t="s">
        <v>1509</v>
      </c>
    </row>
    <row r="286" spans="1:7" x14ac:dyDescent="0.15">
      <c r="B286" s="33" t="s">
        <v>23</v>
      </c>
      <c r="C286" s="29" t="s">
        <v>1094</v>
      </c>
      <c r="D286" s="29" t="s">
        <v>1552</v>
      </c>
      <c r="E286" s="29" t="s">
        <v>1095</v>
      </c>
      <c r="F286" s="29"/>
      <c r="G286" s="141"/>
    </row>
    <row r="287" spans="1:7" x14ac:dyDescent="0.15">
      <c r="B287" s="188" t="s">
        <v>302</v>
      </c>
      <c r="C287" s="189" t="s">
        <v>1330</v>
      </c>
      <c r="D287" s="189" t="s">
        <v>1331</v>
      </c>
      <c r="E287" s="190">
        <v>0</v>
      </c>
      <c r="F287" s="189"/>
      <c r="G287" s="139"/>
    </row>
    <row r="288" spans="1:7" x14ac:dyDescent="0.15">
      <c r="B288" s="142" t="s">
        <v>303</v>
      </c>
      <c r="C288" s="113" t="s">
        <v>1332</v>
      </c>
      <c r="D288" s="113" t="s">
        <v>1331</v>
      </c>
      <c r="E288" s="133">
        <v>0</v>
      </c>
      <c r="F288" s="113"/>
      <c r="G288" s="139"/>
    </row>
    <row r="289" spans="1:7" x14ac:dyDescent="0.15">
      <c r="B289" s="33" t="s">
        <v>304</v>
      </c>
      <c r="C289" s="29" t="s">
        <v>1553</v>
      </c>
      <c r="D289" s="29" t="s">
        <v>1331</v>
      </c>
      <c r="E289" s="132">
        <v>0</v>
      </c>
      <c r="F289" s="29"/>
      <c r="G289" s="141"/>
    </row>
    <row r="290" spans="1:7" x14ac:dyDescent="0.15">
      <c r="B290" s="33" t="s">
        <v>305</v>
      </c>
      <c r="C290" s="29" t="s">
        <v>1554</v>
      </c>
      <c r="D290" s="29" t="s">
        <v>1331</v>
      </c>
      <c r="E290" s="132">
        <v>0</v>
      </c>
      <c r="F290" s="29"/>
      <c r="G290" s="141"/>
    </row>
    <row r="291" spans="1:7" x14ac:dyDescent="0.15">
      <c r="B291" s="33" t="s">
        <v>306</v>
      </c>
      <c r="C291" s="29" t="s">
        <v>1555</v>
      </c>
      <c r="D291" s="29" t="s">
        <v>1331</v>
      </c>
      <c r="E291" s="132">
        <v>0</v>
      </c>
      <c r="F291" s="29"/>
      <c r="G291" s="141"/>
    </row>
    <row r="292" spans="1:7" x14ac:dyDescent="0.15">
      <c r="B292" s="142" t="s">
        <v>307</v>
      </c>
      <c r="C292" s="113" t="s">
        <v>1556</v>
      </c>
      <c r="D292" s="113" t="s">
        <v>1331</v>
      </c>
      <c r="E292" s="133">
        <v>0</v>
      </c>
      <c r="F292" s="113"/>
      <c r="G292" s="139"/>
    </row>
    <row r="293" spans="1:7" x14ac:dyDescent="0.15">
      <c r="B293" s="142" t="s">
        <v>308</v>
      </c>
      <c r="C293" s="113" t="s">
        <v>1333</v>
      </c>
      <c r="D293" s="113" t="s">
        <v>1331</v>
      </c>
      <c r="E293" s="133">
        <v>0</v>
      </c>
      <c r="F293" s="113"/>
      <c r="G293" s="139"/>
    </row>
    <row r="294" spans="1:7" x14ac:dyDescent="0.15">
      <c r="B294" s="142" t="s">
        <v>309</v>
      </c>
      <c r="C294" s="113" t="s">
        <v>1557</v>
      </c>
      <c r="D294" s="113" t="s">
        <v>1331</v>
      </c>
      <c r="E294" s="133">
        <v>0</v>
      </c>
      <c r="F294" s="113"/>
      <c r="G294" s="139"/>
    </row>
    <row r="295" spans="1:7" x14ac:dyDescent="0.15">
      <c r="B295" s="142" t="s">
        <v>310</v>
      </c>
      <c r="C295" s="113" t="s">
        <v>1558</v>
      </c>
      <c r="D295" s="113" t="s">
        <v>1331</v>
      </c>
      <c r="E295" s="133">
        <v>0</v>
      </c>
      <c r="F295" s="113"/>
      <c r="G295" s="139"/>
    </row>
    <row r="296" spans="1:7" ht="18" thickBot="1" x14ac:dyDescent="0.2">
      <c r="B296" s="143"/>
      <c r="C296" s="144"/>
      <c r="D296" s="144"/>
      <c r="E296" s="144"/>
      <c r="F296" s="144"/>
      <c r="G296" s="145"/>
    </row>
    <row r="297" spans="1:7" x14ac:dyDescent="0.15">
      <c r="B297" s="349" t="s">
        <v>15</v>
      </c>
      <c r="C297" s="350"/>
      <c r="D297" s="350"/>
      <c r="E297" s="350"/>
      <c r="F297" s="350"/>
      <c r="G297" s="350"/>
    </row>
    <row r="298" spans="1:7" x14ac:dyDescent="0.15">
      <c r="B298" s="134">
        <v>1</v>
      </c>
      <c r="C298" s="29" t="s">
        <v>112</v>
      </c>
      <c r="D298" s="29" t="s">
        <v>23</v>
      </c>
      <c r="E298" s="29"/>
      <c r="F298" s="29"/>
      <c r="G298" s="141"/>
    </row>
    <row r="299" spans="1:7" ht="18" thickBot="1" x14ac:dyDescent="0.2">
      <c r="B299" s="143"/>
      <c r="C299" s="144"/>
      <c r="D299" s="144"/>
      <c r="E299" s="144"/>
      <c r="F299" s="144"/>
      <c r="G299" s="145"/>
    </row>
    <row r="300" spans="1:7" ht="18" thickBot="1" x14ac:dyDescent="0.2"/>
    <row r="301" spans="1:7" s="7" customFormat="1" x14ac:dyDescent="0.15">
      <c r="A301" s="2"/>
      <c r="B301" s="3" t="s">
        <v>563</v>
      </c>
      <c r="C301" s="4" t="s">
        <v>658</v>
      </c>
      <c r="D301" s="5" t="s">
        <v>515</v>
      </c>
      <c r="E301" s="21" t="s">
        <v>715</v>
      </c>
      <c r="F301" s="5" t="s">
        <v>567</v>
      </c>
      <c r="G301" s="6"/>
    </row>
    <row r="302" spans="1:7" s="7" customFormat="1" ht="18" thickBot="1" x14ac:dyDescent="0.2">
      <c r="A302" s="2"/>
      <c r="B302" s="8" t="s">
        <v>570</v>
      </c>
      <c r="C302" s="9"/>
      <c r="D302" s="10" t="s">
        <v>568</v>
      </c>
      <c r="E302" s="9" t="s">
        <v>615</v>
      </c>
      <c r="F302" s="10"/>
      <c r="G302" s="11"/>
    </row>
    <row r="303" spans="1:7" s="7" customFormat="1" x14ac:dyDescent="0.15">
      <c r="A303" s="2"/>
      <c r="B303" s="12" t="s">
        <v>0</v>
      </c>
      <c r="C303" s="13" t="s">
        <v>1</v>
      </c>
      <c r="D303" s="13" t="s">
        <v>2</v>
      </c>
      <c r="E303" s="13"/>
      <c r="F303" s="13" t="s">
        <v>3</v>
      </c>
      <c r="G303" s="13" t="s">
        <v>4</v>
      </c>
    </row>
    <row r="304" spans="1:7" s="7" customFormat="1" x14ac:dyDescent="0.15">
      <c r="A304" s="2"/>
      <c r="B304" s="14" t="s">
        <v>6</v>
      </c>
      <c r="C304" s="15" t="s">
        <v>1163</v>
      </c>
      <c r="D304" s="15" t="s">
        <v>211</v>
      </c>
      <c r="E304" s="15">
        <v>0</v>
      </c>
      <c r="F304" s="15"/>
      <c r="G304" s="16" t="s">
        <v>1077</v>
      </c>
    </row>
    <row r="305" spans="1:7" s="7" customFormat="1" ht="14.25" customHeight="1" x14ac:dyDescent="0.15">
      <c r="A305" s="2"/>
      <c r="B305" s="14" t="s">
        <v>111</v>
      </c>
      <c r="C305" s="15" t="s">
        <v>1164</v>
      </c>
      <c r="D305" s="15" t="s">
        <v>211</v>
      </c>
      <c r="E305" s="15">
        <v>0</v>
      </c>
      <c r="F305" s="15"/>
      <c r="G305" s="16" t="s">
        <v>1165</v>
      </c>
    </row>
    <row r="306" spans="1:7" s="7" customFormat="1" x14ac:dyDescent="0.15">
      <c r="A306" s="2"/>
      <c r="B306" s="14" t="s">
        <v>113</v>
      </c>
      <c r="C306" s="15" t="s">
        <v>1187</v>
      </c>
      <c r="D306" s="15" t="s">
        <v>211</v>
      </c>
      <c r="E306" s="15">
        <v>0</v>
      </c>
      <c r="F306" s="15"/>
      <c r="G306" s="16"/>
    </row>
    <row r="307" spans="1:7" s="7" customFormat="1" x14ac:dyDescent="0.15">
      <c r="A307" s="2"/>
      <c r="B307" s="14" t="s">
        <v>154</v>
      </c>
      <c r="C307" s="15" t="s">
        <v>1133</v>
      </c>
      <c r="D307" s="15" t="s">
        <v>211</v>
      </c>
      <c r="E307" s="15">
        <v>0</v>
      </c>
      <c r="F307" s="15"/>
      <c r="G307" s="16" t="s">
        <v>1182</v>
      </c>
    </row>
    <row r="308" spans="1:7" s="7" customFormat="1" x14ac:dyDescent="0.15">
      <c r="A308" s="2"/>
      <c r="B308" s="14" t="s">
        <v>23</v>
      </c>
      <c r="C308" s="15" t="s">
        <v>1091</v>
      </c>
      <c r="D308" s="15" t="s">
        <v>1131</v>
      </c>
      <c r="E308" s="15" t="s">
        <v>1074</v>
      </c>
      <c r="F308" s="15"/>
      <c r="G308" s="16"/>
    </row>
    <row r="309" spans="1:7" s="7" customFormat="1" x14ac:dyDescent="0.15">
      <c r="A309" s="2"/>
      <c r="B309" s="17" t="s">
        <v>24</v>
      </c>
      <c r="C309" s="18" t="s">
        <v>1151</v>
      </c>
      <c r="D309" s="18" t="s">
        <v>1169</v>
      </c>
      <c r="E309" s="18">
        <v>0</v>
      </c>
      <c r="F309" s="18"/>
      <c r="G309" s="19" t="s">
        <v>1116</v>
      </c>
    </row>
    <row r="310" spans="1:7" s="7" customFormat="1" x14ac:dyDescent="0.15">
      <c r="A310" s="2"/>
      <c r="B310" s="163" t="s">
        <v>25</v>
      </c>
      <c r="C310" s="164" t="s">
        <v>1150</v>
      </c>
      <c r="D310" s="164" t="s">
        <v>1169</v>
      </c>
      <c r="E310" s="164">
        <v>0</v>
      </c>
      <c r="F310" s="164"/>
      <c r="G310" s="107" t="s">
        <v>1312</v>
      </c>
    </row>
    <row r="311" spans="1:7" s="7" customFormat="1" x14ac:dyDescent="0.15">
      <c r="A311" s="2"/>
      <c r="B311" s="153" t="s">
        <v>26</v>
      </c>
      <c r="C311" s="154" t="s">
        <v>1152</v>
      </c>
      <c r="D311" s="154" t="s">
        <v>1169</v>
      </c>
      <c r="E311" s="154">
        <v>0</v>
      </c>
      <c r="F311" s="154"/>
      <c r="G311" s="155" t="s">
        <v>1323</v>
      </c>
    </row>
    <row r="312" spans="1:7" s="7" customFormat="1" x14ac:dyDescent="0.15">
      <c r="A312" s="2"/>
      <c r="B312" s="20" t="s">
        <v>27</v>
      </c>
      <c r="C312" s="21" t="s">
        <v>1313</v>
      </c>
      <c r="D312" s="21" t="s">
        <v>1169</v>
      </c>
      <c r="E312" s="21">
        <v>0</v>
      </c>
      <c r="F312" s="21"/>
      <c r="G312" s="22" t="s">
        <v>1314</v>
      </c>
    </row>
    <row r="313" spans="1:7" s="7" customFormat="1" x14ac:dyDescent="0.15">
      <c r="A313" s="2"/>
      <c r="B313" s="17" t="s">
        <v>175</v>
      </c>
      <c r="C313" s="18" t="s">
        <v>1129</v>
      </c>
      <c r="D313" s="18" t="s">
        <v>1169</v>
      </c>
      <c r="E313" s="18">
        <v>0</v>
      </c>
      <c r="F313" s="18"/>
      <c r="G313" s="19"/>
    </row>
    <row r="314" spans="1:7" s="7" customFormat="1" x14ac:dyDescent="0.15">
      <c r="A314" s="2"/>
      <c r="B314" s="17" t="s">
        <v>176</v>
      </c>
      <c r="C314" s="18" t="s">
        <v>1132</v>
      </c>
      <c r="D314" s="18" t="s">
        <v>1169</v>
      </c>
      <c r="E314" s="18">
        <v>0</v>
      </c>
      <c r="F314" s="18"/>
      <c r="G314" s="19"/>
    </row>
    <row r="315" spans="1:7" s="7" customFormat="1" x14ac:dyDescent="0.15">
      <c r="B315" s="17" t="s">
        <v>177</v>
      </c>
      <c r="C315" s="18" t="s">
        <v>1143</v>
      </c>
      <c r="D315" s="18" t="s">
        <v>1169</v>
      </c>
      <c r="E315" s="18">
        <v>0</v>
      </c>
      <c r="F315" s="18"/>
      <c r="G315" s="19"/>
    </row>
    <row r="316" spans="1:7" s="7" customFormat="1" x14ac:dyDescent="0.15">
      <c r="A316" s="2"/>
      <c r="B316" s="17" t="s">
        <v>178</v>
      </c>
      <c r="C316" s="18" t="s">
        <v>1324</v>
      </c>
      <c r="D316" s="18" t="s">
        <v>1172</v>
      </c>
      <c r="E316" s="18">
        <v>0</v>
      </c>
      <c r="F316" s="18"/>
      <c r="G316" s="19"/>
    </row>
    <row r="317" spans="1:7" s="7" customFormat="1" x14ac:dyDescent="0.15">
      <c r="B317" s="17" t="s">
        <v>179</v>
      </c>
      <c r="C317" s="18" t="s">
        <v>1325</v>
      </c>
      <c r="D317" s="18" t="s">
        <v>1169</v>
      </c>
      <c r="E317" s="18">
        <v>0</v>
      </c>
      <c r="F317" s="18"/>
      <c r="G317" s="19" t="s">
        <v>1326</v>
      </c>
    </row>
    <row r="318" spans="1:7" s="7" customFormat="1" x14ac:dyDescent="0.15">
      <c r="B318" s="17" t="s">
        <v>180</v>
      </c>
      <c r="C318" s="18" t="s">
        <v>1309</v>
      </c>
      <c r="D318" s="18" t="s">
        <v>1169</v>
      </c>
      <c r="E318" s="18">
        <v>0</v>
      </c>
      <c r="F318" s="18"/>
      <c r="G318" s="19" t="s">
        <v>1310</v>
      </c>
    </row>
    <row r="319" spans="1:7" s="7" customFormat="1" ht="18" thickBot="1" x14ac:dyDescent="0.2">
      <c r="A319" s="2"/>
      <c r="B319" s="17"/>
      <c r="C319" s="18"/>
      <c r="D319" s="18"/>
      <c r="E319" s="18"/>
      <c r="F319" s="18"/>
      <c r="G319" s="19"/>
    </row>
    <row r="320" spans="1:7" s="7" customFormat="1" x14ac:dyDescent="0.15">
      <c r="A320" s="2"/>
      <c r="B320" s="327" t="s">
        <v>15</v>
      </c>
      <c r="C320" s="328"/>
      <c r="D320" s="328"/>
      <c r="E320" s="328"/>
      <c r="F320" s="328"/>
      <c r="G320" s="329"/>
    </row>
    <row r="321" spans="1:7" s="7" customFormat="1" x14ac:dyDescent="0.15">
      <c r="A321" s="2" t="s">
        <v>62</v>
      </c>
      <c r="B321" s="20">
        <v>1</v>
      </c>
      <c r="C321" s="21" t="s">
        <v>112</v>
      </c>
      <c r="D321" s="21" t="s">
        <v>120</v>
      </c>
      <c r="E321" s="21" t="s">
        <v>181</v>
      </c>
      <c r="F321" s="21"/>
      <c r="G321" s="22"/>
    </row>
    <row r="322" spans="1:7" s="7" customFormat="1" x14ac:dyDescent="0.15">
      <c r="A322" s="2"/>
      <c r="B322" s="17">
        <v>2</v>
      </c>
      <c r="C322" s="18" t="s">
        <v>109</v>
      </c>
      <c r="D322" s="18" t="s">
        <v>111</v>
      </c>
      <c r="E322" s="21" t="s">
        <v>182</v>
      </c>
      <c r="F322" s="18"/>
      <c r="G322" s="19"/>
    </row>
    <row r="323" spans="1:7" s="7" customFormat="1" ht="18" thickBot="1" x14ac:dyDescent="0.2">
      <c r="A323" s="2"/>
      <c r="B323" s="24"/>
      <c r="C323" s="9"/>
      <c r="D323" s="9"/>
      <c r="E323" s="9"/>
      <c r="F323" s="9"/>
      <c r="G323" s="11"/>
    </row>
    <row r="324" spans="1:7" ht="18" thickBot="1" x14ac:dyDescent="0.2"/>
    <row r="325" spans="1:7" s="7" customFormat="1" x14ac:dyDescent="0.15">
      <c r="A325" s="2"/>
      <c r="B325" s="3" t="s">
        <v>563</v>
      </c>
      <c r="C325" s="4" t="s">
        <v>660</v>
      </c>
      <c r="D325" s="5" t="s">
        <v>515</v>
      </c>
      <c r="E325" s="21" t="s">
        <v>716</v>
      </c>
      <c r="F325" s="5" t="s">
        <v>567</v>
      </c>
      <c r="G325" s="6"/>
    </row>
    <row r="326" spans="1:7" s="7" customFormat="1" ht="18" thickBot="1" x14ac:dyDescent="0.2">
      <c r="A326" s="2"/>
      <c r="B326" s="8" t="s">
        <v>570</v>
      </c>
      <c r="C326" s="9"/>
      <c r="D326" s="10" t="s">
        <v>568</v>
      </c>
      <c r="E326" s="9" t="s">
        <v>615</v>
      </c>
      <c r="F326" s="10"/>
      <c r="G326" s="11"/>
    </row>
    <row r="327" spans="1:7" s="7" customFormat="1" x14ac:dyDescent="0.15">
      <c r="A327" s="2"/>
      <c r="B327" s="12" t="s">
        <v>0</v>
      </c>
      <c r="C327" s="13" t="s">
        <v>1</v>
      </c>
      <c r="D327" s="13" t="s">
        <v>2</v>
      </c>
      <c r="E327" s="13"/>
      <c r="F327" s="13" t="s">
        <v>3</v>
      </c>
      <c r="G327" s="13" t="s">
        <v>4</v>
      </c>
    </row>
    <row r="328" spans="1:7" s="7" customFormat="1" x14ac:dyDescent="0.15">
      <c r="A328" s="2"/>
      <c r="B328" s="14" t="s">
        <v>6</v>
      </c>
      <c r="C328" s="15" t="s">
        <v>1163</v>
      </c>
      <c r="D328" s="15" t="s">
        <v>211</v>
      </c>
      <c r="E328" s="15">
        <v>0</v>
      </c>
      <c r="F328" s="15"/>
      <c r="G328" s="16" t="s">
        <v>1077</v>
      </c>
    </row>
    <row r="329" spans="1:7" s="7" customFormat="1" x14ac:dyDescent="0.15">
      <c r="A329" s="2"/>
      <c r="B329" s="14" t="s">
        <v>111</v>
      </c>
      <c r="C329" s="15" t="s">
        <v>1164</v>
      </c>
      <c r="D329" s="15" t="s">
        <v>211</v>
      </c>
      <c r="E329" s="15">
        <v>0</v>
      </c>
      <c r="F329" s="15"/>
      <c r="G329" s="16" t="s">
        <v>1165</v>
      </c>
    </row>
    <row r="330" spans="1:7" s="7" customFormat="1" x14ac:dyDescent="0.15">
      <c r="A330" s="2"/>
      <c r="B330" s="114" t="s">
        <v>458</v>
      </c>
      <c r="C330" s="235" t="s">
        <v>1085</v>
      </c>
      <c r="D330" s="235" t="s">
        <v>211</v>
      </c>
      <c r="E330" s="15">
        <v>0</v>
      </c>
      <c r="F330" s="15"/>
      <c r="G330" s="16" t="s">
        <v>1182</v>
      </c>
    </row>
    <row r="331" spans="1:7" s="7" customFormat="1" x14ac:dyDescent="0.15">
      <c r="A331" s="2"/>
      <c r="B331" s="114" t="s">
        <v>329</v>
      </c>
      <c r="C331" s="235" t="s">
        <v>1187</v>
      </c>
      <c r="D331" s="235" t="s">
        <v>211</v>
      </c>
      <c r="E331" s="15">
        <v>0</v>
      </c>
      <c r="F331" s="15"/>
      <c r="G331" s="16"/>
    </row>
    <row r="332" spans="1:7" s="7" customFormat="1" x14ac:dyDescent="0.15">
      <c r="A332" s="2"/>
      <c r="B332" s="114" t="s">
        <v>492</v>
      </c>
      <c r="C332" s="235" t="s">
        <v>1559</v>
      </c>
      <c r="D332" s="235" t="s">
        <v>1131</v>
      </c>
      <c r="E332" s="15" t="s">
        <v>1074</v>
      </c>
      <c r="F332" s="15"/>
      <c r="G332" s="16"/>
    </row>
    <row r="333" spans="1:7" s="7" customFormat="1" x14ac:dyDescent="0.15">
      <c r="A333" s="2"/>
      <c r="B333" s="17" t="s">
        <v>24</v>
      </c>
      <c r="C333" s="18" t="s">
        <v>1151</v>
      </c>
      <c r="D333" s="18" t="s">
        <v>1169</v>
      </c>
      <c r="E333" s="18">
        <v>0</v>
      </c>
      <c r="F333" s="18"/>
      <c r="G333" s="19" t="s">
        <v>1116</v>
      </c>
    </row>
    <row r="334" spans="1:7" s="7" customFormat="1" x14ac:dyDescent="0.15">
      <c r="A334" s="2"/>
      <c r="B334" s="17" t="s">
        <v>25</v>
      </c>
      <c r="C334" s="18" t="s">
        <v>1150</v>
      </c>
      <c r="D334" s="18" t="s">
        <v>1169</v>
      </c>
      <c r="E334" s="18">
        <v>0</v>
      </c>
      <c r="F334" s="18"/>
      <c r="G334" s="19" t="s">
        <v>1312</v>
      </c>
    </row>
    <row r="335" spans="1:7" s="7" customFormat="1" x14ac:dyDescent="0.15">
      <c r="A335" s="2"/>
      <c r="B335" s="17" t="s">
        <v>26</v>
      </c>
      <c r="C335" s="18" t="s">
        <v>1152</v>
      </c>
      <c r="D335" s="18" t="s">
        <v>1169</v>
      </c>
      <c r="E335" s="18">
        <v>0</v>
      </c>
      <c r="F335" s="18"/>
      <c r="G335" s="19" t="s">
        <v>1323</v>
      </c>
    </row>
    <row r="336" spans="1:7" s="7" customFormat="1" x14ac:dyDescent="0.15">
      <c r="A336" s="2"/>
      <c r="B336" s="20" t="s">
        <v>27</v>
      </c>
      <c r="C336" s="21" t="s">
        <v>1313</v>
      </c>
      <c r="D336" s="21" t="s">
        <v>1169</v>
      </c>
      <c r="E336" s="21">
        <v>0</v>
      </c>
      <c r="F336" s="21"/>
      <c r="G336" s="22" t="s">
        <v>1314</v>
      </c>
    </row>
    <row r="337" spans="1:7" s="7" customFormat="1" x14ac:dyDescent="0.15">
      <c r="A337" s="2"/>
      <c r="B337" s="20" t="s">
        <v>493</v>
      </c>
      <c r="C337" s="21" t="s">
        <v>1117</v>
      </c>
      <c r="D337" s="21" t="s">
        <v>1169</v>
      </c>
      <c r="E337" s="21">
        <v>0</v>
      </c>
      <c r="F337" s="21"/>
      <c r="G337" s="22"/>
    </row>
    <row r="338" spans="1:7" s="7" customFormat="1" x14ac:dyDescent="0.15">
      <c r="A338" s="2"/>
      <c r="B338" s="20" t="s">
        <v>494</v>
      </c>
      <c r="C338" s="21" t="s">
        <v>1315</v>
      </c>
      <c r="D338" s="21" t="s">
        <v>1169</v>
      </c>
      <c r="E338" s="21">
        <v>0</v>
      </c>
      <c r="F338" s="21"/>
      <c r="G338" s="22"/>
    </row>
    <row r="339" spans="1:7" s="7" customFormat="1" x14ac:dyDescent="0.15">
      <c r="A339" s="2"/>
      <c r="B339" s="20" t="s">
        <v>321</v>
      </c>
      <c r="C339" s="21" t="s">
        <v>1316</v>
      </c>
      <c r="D339" s="21" t="s">
        <v>1169</v>
      </c>
      <c r="E339" s="21">
        <v>0</v>
      </c>
      <c r="F339" s="21"/>
      <c r="G339" s="22"/>
    </row>
    <row r="340" spans="1:7" s="7" customFormat="1" x14ac:dyDescent="0.15">
      <c r="A340" s="2"/>
      <c r="B340" s="20" t="s">
        <v>322</v>
      </c>
      <c r="C340" s="21" t="s">
        <v>1317</v>
      </c>
      <c r="D340" s="21" t="s">
        <v>1169</v>
      </c>
      <c r="E340" s="21">
        <v>0</v>
      </c>
      <c r="F340" s="21"/>
      <c r="G340" s="22"/>
    </row>
    <row r="341" spans="1:7" s="7" customFormat="1" x14ac:dyDescent="0.15">
      <c r="A341" s="2"/>
      <c r="B341" s="20" t="s">
        <v>330</v>
      </c>
      <c r="C341" s="21" t="s">
        <v>1318</v>
      </c>
      <c r="D341" s="21" t="s">
        <v>1169</v>
      </c>
      <c r="E341" s="21">
        <v>0</v>
      </c>
      <c r="F341" s="21"/>
      <c r="G341" s="22"/>
    </row>
    <row r="342" spans="1:7" s="7" customFormat="1" x14ac:dyDescent="0.15">
      <c r="A342" s="2"/>
      <c r="B342" s="20" t="s">
        <v>495</v>
      </c>
      <c r="C342" s="21" t="s">
        <v>1153</v>
      </c>
      <c r="D342" s="21" t="s">
        <v>1169</v>
      </c>
      <c r="E342" s="21">
        <v>0</v>
      </c>
      <c r="F342" s="21"/>
      <c r="G342" s="22"/>
    </row>
    <row r="343" spans="1:7" s="7" customFormat="1" x14ac:dyDescent="0.15">
      <c r="A343" s="2"/>
      <c r="B343" s="20" t="s">
        <v>323</v>
      </c>
      <c r="C343" s="21" t="s">
        <v>1319</v>
      </c>
      <c r="D343" s="21" t="s">
        <v>1169</v>
      </c>
      <c r="E343" s="21">
        <v>0</v>
      </c>
      <c r="F343" s="21"/>
      <c r="G343" s="22"/>
    </row>
    <row r="344" spans="1:7" s="7" customFormat="1" x14ac:dyDescent="0.15">
      <c r="A344" s="2"/>
      <c r="B344" s="20" t="s">
        <v>324</v>
      </c>
      <c r="C344" s="21" t="s">
        <v>1320</v>
      </c>
      <c r="D344" s="21" t="s">
        <v>1169</v>
      </c>
      <c r="E344" s="21">
        <v>0</v>
      </c>
      <c r="F344" s="21"/>
      <c r="G344" s="22"/>
    </row>
    <row r="345" spans="1:7" s="7" customFormat="1" x14ac:dyDescent="0.15">
      <c r="A345" s="2"/>
      <c r="B345" s="20" t="s">
        <v>325</v>
      </c>
      <c r="C345" s="21" t="s">
        <v>1154</v>
      </c>
      <c r="D345" s="21" t="s">
        <v>1169</v>
      </c>
      <c r="E345" s="21">
        <v>0</v>
      </c>
      <c r="F345" s="21"/>
      <c r="G345" s="22"/>
    </row>
    <row r="346" spans="1:7" s="7" customFormat="1" x14ac:dyDescent="0.15">
      <c r="A346" s="2"/>
      <c r="B346" s="20" t="s">
        <v>326</v>
      </c>
      <c r="C346" s="21" t="s">
        <v>1321</v>
      </c>
      <c r="D346" s="21" t="s">
        <v>1169</v>
      </c>
      <c r="E346" s="21">
        <v>0</v>
      </c>
      <c r="F346" s="21"/>
      <c r="G346" s="22"/>
    </row>
    <row r="347" spans="1:7" s="7" customFormat="1" ht="18" thickBot="1" x14ac:dyDescent="0.2">
      <c r="A347" s="2"/>
      <c r="B347" s="20"/>
      <c r="C347" s="21"/>
      <c r="D347" s="21"/>
      <c r="E347" s="21"/>
      <c r="F347" s="21"/>
      <c r="G347" s="22"/>
    </row>
    <row r="348" spans="1:7" s="7" customFormat="1" x14ac:dyDescent="0.15">
      <c r="A348" s="2"/>
      <c r="B348" s="327" t="s">
        <v>15</v>
      </c>
      <c r="C348" s="328"/>
      <c r="D348" s="328"/>
      <c r="E348" s="328"/>
      <c r="F348" s="328"/>
      <c r="G348" s="329"/>
    </row>
    <row r="349" spans="1:7" s="7" customFormat="1" x14ac:dyDescent="0.15">
      <c r="A349" s="2" t="s">
        <v>62</v>
      </c>
      <c r="B349" s="20">
        <v>1</v>
      </c>
      <c r="C349" s="21" t="s">
        <v>123</v>
      </c>
      <c r="D349" s="21" t="s">
        <v>327</v>
      </c>
      <c r="E349" s="21" t="s">
        <v>243</v>
      </c>
      <c r="F349" s="21"/>
      <c r="G349" s="22"/>
    </row>
    <row r="350" spans="1:7" s="7" customFormat="1" x14ac:dyDescent="0.15">
      <c r="A350" s="2"/>
      <c r="B350" s="20">
        <v>2</v>
      </c>
      <c r="C350" s="21" t="s">
        <v>109</v>
      </c>
      <c r="D350" s="21" t="s">
        <v>111</v>
      </c>
      <c r="E350" s="21" t="s">
        <v>328</v>
      </c>
      <c r="F350" s="21"/>
      <c r="G350" s="21"/>
    </row>
    <row r="351" spans="1:7" s="7" customFormat="1" ht="18" thickBot="1" x14ac:dyDescent="0.2">
      <c r="A351" s="2"/>
      <c r="B351" s="24"/>
      <c r="C351" s="9"/>
      <c r="D351" s="9"/>
      <c r="E351" s="9"/>
      <c r="F351" s="9"/>
      <c r="G351" s="11"/>
    </row>
    <row r="352" spans="1:7" s="7" customFormat="1" x14ac:dyDescent="0.15">
      <c r="A352" s="2"/>
    </row>
    <row r="353" spans="1:7" s="7" customFormat="1" ht="18" thickBot="1" x14ac:dyDescent="0.2">
      <c r="A353" s="2"/>
    </row>
    <row r="354" spans="1:7" s="7" customFormat="1" x14ac:dyDescent="0.15">
      <c r="A354" s="2"/>
      <c r="B354" s="3" t="s">
        <v>563</v>
      </c>
      <c r="C354" s="4" t="s">
        <v>578</v>
      </c>
      <c r="D354" s="5" t="s">
        <v>515</v>
      </c>
      <c r="E354" s="21" t="s">
        <v>1015</v>
      </c>
      <c r="F354" s="5" t="s">
        <v>567</v>
      </c>
      <c r="G354" s="6"/>
    </row>
    <row r="355" spans="1:7" s="7" customFormat="1" ht="18" thickBot="1" x14ac:dyDescent="0.2">
      <c r="A355" s="2"/>
      <c r="B355" s="34" t="s">
        <v>570</v>
      </c>
      <c r="C355" s="18"/>
      <c r="D355" s="35" t="s">
        <v>568</v>
      </c>
      <c r="E355" s="18" t="s">
        <v>615</v>
      </c>
      <c r="F355" s="35"/>
      <c r="G355" s="19"/>
    </row>
    <row r="356" spans="1:7" s="7" customFormat="1" x14ac:dyDescent="0.15">
      <c r="A356" s="2"/>
      <c r="B356" s="3" t="s">
        <v>0</v>
      </c>
      <c r="C356" s="5" t="s">
        <v>1</v>
      </c>
      <c r="D356" s="5" t="s">
        <v>2</v>
      </c>
      <c r="E356" s="5"/>
      <c r="F356" s="5" t="s">
        <v>3</v>
      </c>
      <c r="G356" s="36" t="s">
        <v>4</v>
      </c>
    </row>
    <row r="357" spans="1:7" s="7" customFormat="1" x14ac:dyDescent="0.15">
      <c r="A357" s="2"/>
      <c r="B357" s="20" t="s">
        <v>6</v>
      </c>
      <c r="C357" s="21" t="s">
        <v>1163</v>
      </c>
      <c r="D357" s="21" t="s">
        <v>211</v>
      </c>
      <c r="E357" s="21">
        <v>0</v>
      </c>
      <c r="F357" s="21"/>
      <c r="G357" s="22" t="s">
        <v>1077</v>
      </c>
    </row>
    <row r="358" spans="1:7" s="7" customFormat="1" x14ac:dyDescent="0.15">
      <c r="A358" s="2"/>
      <c r="B358" s="20" t="s">
        <v>111</v>
      </c>
      <c r="C358" s="21" t="s">
        <v>1164</v>
      </c>
      <c r="D358" s="21" t="s">
        <v>211</v>
      </c>
      <c r="E358" s="21">
        <v>0</v>
      </c>
      <c r="F358" s="21"/>
      <c r="G358" s="22" t="s">
        <v>1165</v>
      </c>
    </row>
    <row r="359" spans="1:7" s="7" customFormat="1" x14ac:dyDescent="0.15">
      <c r="A359" s="2"/>
      <c r="B359" s="20" t="s">
        <v>120</v>
      </c>
      <c r="C359" s="21" t="s">
        <v>1187</v>
      </c>
      <c r="D359" s="21" t="s">
        <v>211</v>
      </c>
      <c r="E359" s="21">
        <v>0</v>
      </c>
      <c r="F359" s="21"/>
      <c r="G359" s="22"/>
    </row>
    <row r="360" spans="1:7" s="7" customFormat="1" x14ac:dyDescent="0.15">
      <c r="A360" s="2"/>
      <c r="B360" s="20" t="s">
        <v>7</v>
      </c>
      <c r="C360" s="21" t="s">
        <v>1190</v>
      </c>
      <c r="D360" s="21" t="s">
        <v>211</v>
      </c>
      <c r="E360" s="21">
        <v>0</v>
      </c>
      <c r="F360" s="21"/>
      <c r="G360" s="22" t="s">
        <v>1081</v>
      </c>
    </row>
    <row r="361" spans="1:7" s="7" customFormat="1" x14ac:dyDescent="0.15">
      <c r="A361" s="2"/>
      <c r="B361" s="20" t="s">
        <v>114</v>
      </c>
      <c r="C361" s="21" t="s">
        <v>1155</v>
      </c>
      <c r="D361" s="21" t="s">
        <v>211</v>
      </c>
      <c r="E361" s="21">
        <v>0</v>
      </c>
      <c r="F361" s="21"/>
      <c r="G361" s="22"/>
    </row>
    <row r="362" spans="1:7" s="7" customFormat="1" x14ac:dyDescent="0.15">
      <c r="A362" s="2"/>
      <c r="B362" s="20" t="s">
        <v>118</v>
      </c>
      <c r="C362" s="21" t="s">
        <v>1188</v>
      </c>
      <c r="D362" s="21" t="s">
        <v>211</v>
      </c>
      <c r="E362" s="21">
        <v>0</v>
      </c>
      <c r="F362" s="21"/>
      <c r="G362" s="22"/>
    </row>
    <row r="363" spans="1:7" s="7" customFormat="1" x14ac:dyDescent="0.15">
      <c r="A363" s="2"/>
      <c r="B363" s="20" t="s">
        <v>186</v>
      </c>
      <c r="C363" s="21" t="s">
        <v>1189</v>
      </c>
      <c r="D363" s="21" t="s">
        <v>211</v>
      </c>
      <c r="E363" s="21">
        <v>0</v>
      </c>
      <c r="F363" s="21"/>
      <c r="G363" s="22"/>
    </row>
    <row r="364" spans="1:7" s="7" customFormat="1" x14ac:dyDescent="0.15">
      <c r="A364" s="2"/>
      <c r="B364" s="20" t="s">
        <v>41</v>
      </c>
      <c r="C364" s="21" t="s">
        <v>1258</v>
      </c>
      <c r="D364" s="21" t="s">
        <v>211</v>
      </c>
      <c r="E364" s="21">
        <v>0</v>
      </c>
      <c r="F364" s="21"/>
      <c r="G364" s="22" t="s">
        <v>1259</v>
      </c>
    </row>
    <row r="365" spans="1:7" s="7" customFormat="1" x14ac:dyDescent="0.15">
      <c r="A365" s="2"/>
      <c r="B365" s="20" t="s">
        <v>8</v>
      </c>
      <c r="C365" s="21" t="s">
        <v>1193</v>
      </c>
      <c r="D365" s="21" t="s">
        <v>1087</v>
      </c>
      <c r="E365" s="21">
        <v>0</v>
      </c>
      <c r="F365" s="21"/>
      <c r="G365" s="22" t="s">
        <v>1194</v>
      </c>
    </row>
    <row r="366" spans="1:7" s="7" customFormat="1" x14ac:dyDescent="0.15">
      <c r="A366" s="2"/>
      <c r="B366" s="20" t="s">
        <v>9</v>
      </c>
      <c r="C366" s="21" t="s">
        <v>1195</v>
      </c>
      <c r="D366" s="21" t="s">
        <v>1087</v>
      </c>
      <c r="E366" s="21">
        <v>0</v>
      </c>
      <c r="F366" s="21"/>
      <c r="G366" s="22" t="s">
        <v>1196</v>
      </c>
    </row>
    <row r="367" spans="1:7" s="7" customFormat="1" x14ac:dyDescent="0.15">
      <c r="A367" s="2"/>
      <c r="B367" s="20" t="s">
        <v>10</v>
      </c>
      <c r="C367" s="21" t="s">
        <v>1197</v>
      </c>
      <c r="D367" s="21" t="s">
        <v>1087</v>
      </c>
      <c r="E367" s="21">
        <v>0</v>
      </c>
      <c r="F367" s="21"/>
      <c r="G367" s="22" t="s">
        <v>1144</v>
      </c>
    </row>
    <row r="368" spans="1:7" s="7" customFormat="1" x14ac:dyDescent="0.15">
      <c r="A368" s="2"/>
      <c r="B368" s="20" t="s">
        <v>11</v>
      </c>
      <c r="C368" s="21" t="s">
        <v>1198</v>
      </c>
      <c r="D368" s="21" t="s">
        <v>1087</v>
      </c>
      <c r="E368" s="21">
        <v>0</v>
      </c>
      <c r="F368" s="21"/>
      <c r="G368" s="22" t="s">
        <v>1080</v>
      </c>
    </row>
    <row r="369" spans="1:8" s="7" customFormat="1" x14ac:dyDescent="0.15">
      <c r="A369" s="2"/>
      <c r="B369" s="20" t="s">
        <v>116</v>
      </c>
      <c r="C369" s="21" t="s">
        <v>1213</v>
      </c>
      <c r="D369" s="21" t="s">
        <v>1169</v>
      </c>
      <c r="E369" s="21">
        <v>0</v>
      </c>
      <c r="F369" s="21"/>
      <c r="G369" s="22"/>
    </row>
    <row r="370" spans="1:8" s="7" customFormat="1" x14ac:dyDescent="0.15">
      <c r="A370" s="2"/>
      <c r="B370" s="20" t="s">
        <v>12</v>
      </c>
      <c r="C370" s="21" t="s">
        <v>1143</v>
      </c>
      <c r="D370" s="21" t="s">
        <v>1169</v>
      </c>
      <c r="E370" s="21">
        <v>0</v>
      </c>
      <c r="F370" s="21"/>
      <c r="G370" s="22"/>
    </row>
    <row r="371" spans="1:8" s="7" customFormat="1" x14ac:dyDescent="0.15">
      <c r="A371" s="2"/>
      <c r="B371" s="20" t="s">
        <v>13</v>
      </c>
      <c r="C371" s="21" t="s">
        <v>1205</v>
      </c>
      <c r="D371" s="21" t="s">
        <v>1169</v>
      </c>
      <c r="E371" s="21">
        <v>0</v>
      </c>
      <c r="F371" s="21"/>
      <c r="G371" s="22"/>
    </row>
    <row r="372" spans="1:8" s="7" customFormat="1" x14ac:dyDescent="0.15">
      <c r="A372" s="2"/>
      <c r="B372" s="20" t="s">
        <v>14</v>
      </c>
      <c r="C372" s="21" t="s">
        <v>1206</v>
      </c>
      <c r="D372" s="21" t="s">
        <v>1169</v>
      </c>
      <c r="E372" s="21">
        <v>0</v>
      </c>
      <c r="F372" s="21"/>
      <c r="G372" s="22"/>
    </row>
    <row r="373" spans="1:8" s="7" customFormat="1" ht="18" thickBot="1" x14ac:dyDescent="0.2">
      <c r="A373" s="2"/>
      <c r="B373" s="24"/>
      <c r="C373" s="9"/>
      <c r="D373" s="9"/>
      <c r="E373" s="9"/>
      <c r="F373" s="9"/>
      <c r="G373" s="11"/>
    </row>
    <row r="374" spans="1:8" s="7" customFormat="1" x14ac:dyDescent="0.15">
      <c r="A374" s="2"/>
      <c r="B374" s="327" t="s">
        <v>15</v>
      </c>
      <c r="C374" s="328"/>
      <c r="D374" s="328"/>
      <c r="E374" s="328"/>
      <c r="F374" s="328"/>
      <c r="G374" s="329"/>
    </row>
    <row r="375" spans="1:8" s="7" customFormat="1" x14ac:dyDescent="0.15">
      <c r="A375" s="2" t="s">
        <v>62</v>
      </c>
      <c r="B375" s="20">
        <v>1</v>
      </c>
      <c r="C375" s="23" t="s">
        <v>113</v>
      </c>
      <c r="D375" s="21" t="s">
        <v>114</v>
      </c>
      <c r="E375" s="21" t="s">
        <v>118</v>
      </c>
      <c r="F375" s="21"/>
      <c r="G375" s="21"/>
    </row>
    <row r="376" spans="1:8" s="7" customFormat="1" x14ac:dyDescent="0.15">
      <c r="A376" s="2"/>
      <c r="B376" s="17">
        <v>2</v>
      </c>
      <c r="C376" s="37" t="s">
        <v>16</v>
      </c>
      <c r="D376" s="18" t="s">
        <v>111</v>
      </c>
      <c r="E376" s="18" t="s">
        <v>18</v>
      </c>
      <c r="F376" s="18"/>
      <c r="G376" s="38"/>
    </row>
    <row r="377" spans="1:8" s="7" customFormat="1" ht="18" thickBot="1" x14ac:dyDescent="0.2">
      <c r="A377" s="2"/>
      <c r="B377" s="24"/>
      <c r="C377" s="9"/>
      <c r="D377" s="9"/>
      <c r="E377" s="9"/>
      <c r="F377" s="9"/>
      <c r="G377" s="11"/>
    </row>
    <row r="378" spans="1:8" ht="18" thickBot="1" x14ac:dyDescent="0.2"/>
    <row r="379" spans="1:8" s="7" customFormat="1" x14ac:dyDescent="0.15">
      <c r="A379" s="2"/>
      <c r="B379" s="3" t="s">
        <v>563</v>
      </c>
      <c r="C379" s="4" t="s">
        <v>647</v>
      </c>
      <c r="D379" s="5" t="s">
        <v>648</v>
      </c>
      <c r="E379" s="21" t="s">
        <v>1016</v>
      </c>
      <c r="F379" s="5" t="s">
        <v>567</v>
      </c>
      <c r="G379" s="6" t="s">
        <v>562</v>
      </c>
      <c r="H379" s="7" t="str">
        <f>"create or replace view "&amp;C379</f>
        <v>create or replace view vi_dt_pd_asac_posi</v>
      </c>
    </row>
    <row r="380" spans="1:8" s="7" customFormat="1" ht="18" thickBot="1" x14ac:dyDescent="0.2">
      <c r="B380" s="34" t="s">
        <v>570</v>
      </c>
      <c r="C380" s="18"/>
      <c r="D380" s="35" t="s">
        <v>568</v>
      </c>
      <c r="E380" s="18" t="s">
        <v>615</v>
      </c>
      <c r="F380" s="35"/>
      <c r="G380" s="19"/>
      <c r="H380" s="11" t="str">
        <f>"/* "&amp;E379&amp;"*/  as "</f>
        <v xml:space="preserve">/* 报表_资管报表_视图-数据-产品-资产账户-持仓*/  as </v>
      </c>
    </row>
    <row r="381" spans="1:8" s="7" customFormat="1" x14ac:dyDescent="0.15">
      <c r="B381" s="3" t="s">
        <v>0</v>
      </c>
      <c r="C381" s="5" t="s">
        <v>572</v>
      </c>
      <c r="D381" s="5" t="s">
        <v>2</v>
      </c>
      <c r="E381" s="5"/>
      <c r="F381" s="5" t="s">
        <v>3</v>
      </c>
      <c r="G381" s="36" t="s">
        <v>4</v>
      </c>
      <c r="H381" s="13" t="s">
        <v>474</v>
      </c>
    </row>
    <row r="382" spans="1:8" s="7" customFormat="1" x14ac:dyDescent="0.15">
      <c r="B382" s="194" t="s">
        <v>22</v>
      </c>
      <c r="C382" s="195" t="s">
        <v>1127</v>
      </c>
      <c r="D382" s="13" t="s">
        <v>211</v>
      </c>
      <c r="E382" s="13" t="s">
        <v>1096</v>
      </c>
      <c r="F382" s="13"/>
      <c r="G382" s="111" t="s">
        <v>1334</v>
      </c>
      <c r="H382" s="247"/>
    </row>
    <row r="383" spans="1:8" s="7" customFormat="1" x14ac:dyDescent="0.15">
      <c r="A383" s="2"/>
      <c r="B383" s="194" t="s">
        <v>6</v>
      </c>
      <c r="C383" s="195" t="s">
        <v>1163</v>
      </c>
      <c r="D383" s="195" t="s">
        <v>211</v>
      </c>
      <c r="E383" s="195">
        <v>0</v>
      </c>
      <c r="F383" s="195"/>
      <c r="G383" s="196" t="s">
        <v>1077</v>
      </c>
      <c r="H383" s="107" t="str">
        <f t="shared" ref="H383:H408" si="0">"ifnull("&amp;IF(I383&lt;&gt;"",I383,IF(F383&lt;&gt;"",F383,"t")&amp;"."&amp;C383)&amp;","&amp;E383&amp;") as "&amp;C383&amp;",/*"&amp;B383&amp;"*/"</f>
        <v>ifnull(t.co_no,0) as co_no,/*机构编号*/</v>
      </c>
    </row>
    <row r="384" spans="1:8" s="7" customFormat="1" x14ac:dyDescent="0.15">
      <c r="A384" s="2"/>
      <c r="B384" s="194" t="s">
        <v>111</v>
      </c>
      <c r="C384" s="195" t="s">
        <v>1164</v>
      </c>
      <c r="D384" s="195" t="s">
        <v>211</v>
      </c>
      <c r="E384" s="195">
        <v>0</v>
      </c>
      <c r="F384" s="195"/>
      <c r="G384" s="196" t="s">
        <v>1165</v>
      </c>
      <c r="H384" s="107" t="str">
        <f t="shared" si="0"/>
        <v>ifnull(t.pd_no,0) as pd_no,/*产品编号*/</v>
      </c>
    </row>
    <row r="385" spans="1:8" s="7" customFormat="1" x14ac:dyDescent="0.15">
      <c r="A385" s="2"/>
      <c r="B385" s="194" t="s">
        <v>120</v>
      </c>
      <c r="C385" s="195" t="s">
        <v>1187</v>
      </c>
      <c r="D385" s="195" t="s">
        <v>211</v>
      </c>
      <c r="E385" s="195">
        <v>0</v>
      </c>
      <c r="F385" s="195"/>
      <c r="G385" s="196"/>
      <c r="H385" s="107" t="str">
        <f t="shared" si="0"/>
        <v>ifnull(t.asset_acco_no,0) as asset_acco_no,/*资产账户编号*/</v>
      </c>
    </row>
    <row r="386" spans="1:8" s="7" customFormat="1" x14ac:dyDescent="0.15">
      <c r="B386" s="194" t="s">
        <v>7</v>
      </c>
      <c r="C386" s="195" t="s">
        <v>1190</v>
      </c>
      <c r="D386" s="195" t="s">
        <v>211</v>
      </c>
      <c r="E386" s="195">
        <v>0</v>
      </c>
      <c r="F386" s="195"/>
      <c r="G386" s="196" t="s">
        <v>1081</v>
      </c>
      <c r="H386" s="107" t="str">
        <f t="shared" si="0"/>
        <v>ifnull(t.exch_no,0) as exch_no,/*市场编号*/</v>
      </c>
    </row>
    <row r="387" spans="1:8" s="7" customFormat="1" x14ac:dyDescent="0.15">
      <c r="B387" s="194" t="s">
        <v>114</v>
      </c>
      <c r="C387" s="195" t="s">
        <v>1155</v>
      </c>
      <c r="D387" s="195" t="s">
        <v>211</v>
      </c>
      <c r="E387" s="195">
        <v>0</v>
      </c>
      <c r="F387" s="195"/>
      <c r="G387" s="196"/>
      <c r="H387" s="107" t="str">
        <f t="shared" si="0"/>
        <v>ifnull(t.stock_acco_no,0) as stock_acco_no,/*股东代码编号*/</v>
      </c>
    </row>
    <row r="388" spans="1:8" s="7" customFormat="1" x14ac:dyDescent="0.15">
      <c r="B388" s="194" t="s">
        <v>118</v>
      </c>
      <c r="C388" s="195" t="s">
        <v>1188</v>
      </c>
      <c r="D388" s="195" t="s">
        <v>211</v>
      </c>
      <c r="E388" s="195">
        <v>0</v>
      </c>
      <c r="F388" s="195"/>
      <c r="G388" s="196"/>
      <c r="H388" s="107" t="str">
        <f t="shared" si="0"/>
        <v>ifnull(t.stock_code_no,0) as stock_code_no,/*证券代码编号*/</v>
      </c>
    </row>
    <row r="389" spans="1:8" s="7" customFormat="1" x14ac:dyDescent="0.15">
      <c r="A389" s="2"/>
      <c r="B389" s="20" t="s">
        <v>399</v>
      </c>
      <c r="C389" s="21" t="s">
        <v>1193</v>
      </c>
      <c r="D389" s="21" t="s">
        <v>1087</v>
      </c>
      <c r="E389" s="21">
        <v>0</v>
      </c>
      <c r="F389" s="21"/>
      <c r="G389" s="22" t="s">
        <v>1194</v>
      </c>
      <c r="H389" s="107" t="str">
        <f t="shared" si="0"/>
        <v>ifnull(t.begin_qty,0) as begin_qty,/*期初数量*/</v>
      </c>
    </row>
    <row r="390" spans="1:8" s="7" customFormat="1" x14ac:dyDescent="0.15">
      <c r="A390" s="2"/>
      <c r="B390" s="20" t="s">
        <v>415</v>
      </c>
      <c r="C390" s="21" t="s">
        <v>1195</v>
      </c>
      <c r="D390" s="21" t="s">
        <v>1087</v>
      </c>
      <c r="E390" s="21">
        <v>0</v>
      </c>
      <c r="F390" s="21"/>
      <c r="G390" s="22" t="s">
        <v>1196</v>
      </c>
      <c r="H390" s="107" t="str">
        <f t="shared" si="0"/>
        <v>ifnull(t.curr_qty,0) as curr_qty,/*当前数量*/</v>
      </c>
    </row>
    <row r="391" spans="1:8" s="7" customFormat="1" x14ac:dyDescent="0.15">
      <c r="B391" s="20" t="s">
        <v>400</v>
      </c>
      <c r="C391" s="21" t="s">
        <v>1197</v>
      </c>
      <c r="D391" s="21" t="s">
        <v>1087</v>
      </c>
      <c r="E391" s="21">
        <v>0</v>
      </c>
      <c r="F391" s="21"/>
      <c r="G391" s="22" t="s">
        <v>1144</v>
      </c>
      <c r="H391" s="107" t="str">
        <f t="shared" si="0"/>
        <v>ifnull(t.frozen_qty,0) as frozen_qty,/*冻结数量*/</v>
      </c>
    </row>
    <row r="392" spans="1:8" s="7" customFormat="1" x14ac:dyDescent="0.15">
      <c r="B392" s="20" t="s">
        <v>401</v>
      </c>
      <c r="C392" s="21" t="s">
        <v>1198</v>
      </c>
      <c r="D392" s="21" t="s">
        <v>1087</v>
      </c>
      <c r="E392" s="21">
        <v>0</v>
      </c>
      <c r="F392" s="21"/>
      <c r="G392" s="22" t="s">
        <v>1080</v>
      </c>
      <c r="H392" s="107" t="str">
        <f t="shared" si="0"/>
        <v>ifnull(t.unfroz_qty,0) as unfroz_qty,/*解冻数量*/</v>
      </c>
    </row>
    <row r="393" spans="1:8" s="7" customFormat="1" x14ac:dyDescent="0.15">
      <c r="B393" s="20" t="s">
        <v>402</v>
      </c>
      <c r="C393" s="21" t="s">
        <v>1083</v>
      </c>
      <c r="D393" s="21" t="s">
        <v>1087</v>
      </c>
      <c r="E393" s="21">
        <v>0</v>
      </c>
      <c r="F393" s="21"/>
      <c r="G393" s="22"/>
      <c r="H393" s="107" t="str">
        <f t="shared" si="0"/>
        <v>ifnull(t.comm_frozen_qty,0) as comm_frozen_qty,/*指令冻结数量*/</v>
      </c>
    </row>
    <row r="394" spans="1:8" s="7" customFormat="1" x14ac:dyDescent="0.15">
      <c r="B394" s="20" t="s">
        <v>403</v>
      </c>
      <c r="C394" s="21" t="s">
        <v>1135</v>
      </c>
      <c r="D394" s="21" t="s">
        <v>1087</v>
      </c>
      <c r="E394" s="21">
        <v>0</v>
      </c>
      <c r="F394" s="21"/>
      <c r="G394" s="22"/>
      <c r="H394" s="107" t="str">
        <f t="shared" si="0"/>
        <v>ifnull(t.comm_unfroz_qty,0) as comm_unfroz_qty,/*指令解冻数量*/</v>
      </c>
    </row>
    <row r="395" spans="1:8" s="7" customFormat="1" x14ac:dyDescent="0.15">
      <c r="B395" s="20" t="s">
        <v>404</v>
      </c>
      <c r="C395" s="21" t="s">
        <v>1335</v>
      </c>
      <c r="D395" s="21" t="s">
        <v>1087</v>
      </c>
      <c r="E395" s="21">
        <v>0</v>
      </c>
      <c r="F395" s="21"/>
      <c r="G395" s="22"/>
      <c r="H395" s="107" t="str">
        <f t="shared" si="0"/>
        <v>ifnull(t.comm_capt_qty,0) as comm_capt_qty,/*指令占用数量*/</v>
      </c>
    </row>
    <row r="396" spans="1:8" s="7" customFormat="1" x14ac:dyDescent="0.15">
      <c r="B396" s="20" t="s">
        <v>405</v>
      </c>
      <c r="C396" s="21" t="s">
        <v>1199</v>
      </c>
      <c r="D396" s="21" t="s">
        <v>1087</v>
      </c>
      <c r="E396" s="21">
        <v>0</v>
      </c>
      <c r="F396" s="21"/>
      <c r="G396" s="22"/>
      <c r="H396" s="107" t="str">
        <f t="shared" si="0"/>
        <v>ifnull(t.comm_releas_qty,0) as comm_releas_qty,/*指令释放数量*/</v>
      </c>
    </row>
    <row r="397" spans="1:8" s="7" customFormat="1" x14ac:dyDescent="0.15">
      <c r="B397" s="20" t="s">
        <v>406</v>
      </c>
      <c r="C397" s="21" t="s">
        <v>1145</v>
      </c>
      <c r="D397" s="21" t="s">
        <v>1087</v>
      </c>
      <c r="E397" s="21">
        <v>0</v>
      </c>
      <c r="F397" s="21"/>
      <c r="G397" s="22"/>
      <c r="H397" s="107" t="str">
        <f t="shared" si="0"/>
        <v>ifnull(t.trade_frozen_qty,0) as trade_frozen_qty,/*交易冻结数量*/</v>
      </c>
    </row>
    <row r="398" spans="1:8" s="7" customFormat="1" x14ac:dyDescent="0.15">
      <c r="B398" s="20" t="s">
        <v>407</v>
      </c>
      <c r="C398" s="21" t="s">
        <v>1136</v>
      </c>
      <c r="D398" s="21" t="s">
        <v>1087</v>
      </c>
      <c r="E398" s="21">
        <v>0</v>
      </c>
      <c r="F398" s="21"/>
      <c r="G398" s="22"/>
      <c r="H398" s="107" t="str">
        <f t="shared" si="0"/>
        <v>ifnull(t.trade_unfroz_qty,0) as trade_unfroz_qty,/*交易解冻数量*/</v>
      </c>
    </row>
    <row r="399" spans="1:8" s="7" customFormat="1" x14ac:dyDescent="0.15">
      <c r="B399" s="20" t="s">
        <v>408</v>
      </c>
      <c r="C399" s="21" t="s">
        <v>1200</v>
      </c>
      <c r="D399" s="21" t="s">
        <v>1087</v>
      </c>
      <c r="E399" s="21">
        <v>0</v>
      </c>
      <c r="F399" s="21"/>
      <c r="G399" s="22"/>
      <c r="H399" s="107" t="str">
        <f t="shared" si="0"/>
        <v>ifnull(t.trade_capt_qty,0) as trade_capt_qty,/*交易占用数量*/</v>
      </c>
    </row>
    <row r="400" spans="1:8" s="7" customFormat="1" x14ac:dyDescent="0.15">
      <c r="B400" s="20" t="s">
        <v>409</v>
      </c>
      <c r="C400" s="21" t="s">
        <v>1201</v>
      </c>
      <c r="D400" s="21" t="s">
        <v>1087</v>
      </c>
      <c r="E400" s="21">
        <v>0</v>
      </c>
      <c r="F400" s="21"/>
      <c r="G400" s="22"/>
      <c r="H400" s="107" t="str">
        <f t="shared" si="0"/>
        <v>ifnull(t.trade_releas_qty,0) as trade_releas_qty,/*交易释放数量*/</v>
      </c>
    </row>
    <row r="401" spans="1:8" s="7" customFormat="1" x14ac:dyDescent="0.15">
      <c r="B401" s="248" t="s">
        <v>140</v>
      </c>
      <c r="C401" s="249" t="s">
        <v>1137</v>
      </c>
      <c r="D401" s="249" t="s">
        <v>1087</v>
      </c>
      <c r="E401" s="249">
        <v>0</v>
      </c>
      <c r="F401" s="249"/>
      <c r="G401" s="250"/>
      <c r="H401" s="107" t="str">
        <f t="shared" si="0"/>
        <v>ifnull(t.strike_capt_qty,0) as strike_capt_qty,/*成交占用数量*/</v>
      </c>
    </row>
    <row r="402" spans="1:8" s="7" customFormat="1" x14ac:dyDescent="0.15">
      <c r="B402" s="248" t="s">
        <v>139</v>
      </c>
      <c r="C402" s="249" t="s">
        <v>1138</v>
      </c>
      <c r="D402" s="249" t="s">
        <v>1087</v>
      </c>
      <c r="E402" s="249">
        <v>0</v>
      </c>
      <c r="F402" s="249"/>
      <c r="G402" s="250"/>
      <c r="H402" s="107" t="str">
        <f t="shared" si="0"/>
        <v>ifnull(t.strike_releas_qty,0) as strike_releas_qty,/*成交释放数量*/</v>
      </c>
    </row>
    <row r="403" spans="1:8" s="7" customFormat="1" x14ac:dyDescent="0.15">
      <c r="B403" s="20" t="s">
        <v>412</v>
      </c>
      <c r="C403" s="21" t="s">
        <v>1202</v>
      </c>
      <c r="D403" s="21" t="s">
        <v>1087</v>
      </c>
      <c r="E403" s="21">
        <v>0</v>
      </c>
      <c r="F403" s="21"/>
      <c r="G403" s="22"/>
      <c r="H403" s="107" t="str">
        <f t="shared" si="0"/>
        <v>ifnull(t.strike_frozen_qty,0) as strike_frozen_qty,/*成交冻结数量*/</v>
      </c>
    </row>
    <row r="404" spans="1:8" s="7" customFormat="1" x14ac:dyDescent="0.15">
      <c r="B404" s="20" t="s">
        <v>413</v>
      </c>
      <c r="C404" s="21" t="s">
        <v>1139</v>
      </c>
      <c r="D404" s="21" t="s">
        <v>1087</v>
      </c>
      <c r="E404" s="21">
        <v>0</v>
      </c>
      <c r="F404" s="21"/>
      <c r="G404" s="22"/>
      <c r="H404" s="107" t="str">
        <f t="shared" si="0"/>
        <v>ifnull(t.strike_unfroz_qty,0) as strike_unfroz_qty,/*成交解冻数量*/</v>
      </c>
    </row>
    <row r="405" spans="1:8" s="7" customFormat="1" x14ac:dyDescent="0.15">
      <c r="B405" s="20" t="s">
        <v>177</v>
      </c>
      <c r="C405" s="15" t="s">
        <v>1143</v>
      </c>
      <c r="D405" s="15" t="s">
        <v>1169</v>
      </c>
      <c r="E405" s="15">
        <v>0</v>
      </c>
      <c r="F405" s="15"/>
      <c r="G405" s="16"/>
      <c r="H405" s="107" t="str">
        <f t="shared" si="0"/>
        <v>ifnull(t.realize_pandl,0) as realize_pandl,/*实现盈亏*/</v>
      </c>
    </row>
    <row r="406" spans="1:8" s="7" customFormat="1" x14ac:dyDescent="0.15">
      <c r="B406" s="20" t="s">
        <v>414</v>
      </c>
      <c r="C406" s="15" t="s">
        <v>1213</v>
      </c>
      <c r="D406" s="15" t="s">
        <v>1169</v>
      </c>
      <c r="E406" s="15">
        <v>0</v>
      </c>
      <c r="F406" s="15"/>
      <c r="G406" s="16"/>
      <c r="H406" s="107" t="str">
        <f t="shared" si="0"/>
        <v>ifnull(t.cost_amt,0) as cost_amt,/*成本金额*/</v>
      </c>
    </row>
    <row r="407" spans="1:8" s="7" customFormat="1" x14ac:dyDescent="0.15">
      <c r="B407" s="20" t="s">
        <v>13</v>
      </c>
      <c r="C407" s="15" t="s">
        <v>1205</v>
      </c>
      <c r="D407" s="15" t="s">
        <v>1169</v>
      </c>
      <c r="E407" s="15">
        <v>0</v>
      </c>
      <c r="F407" s="15"/>
      <c r="G407" s="16"/>
      <c r="H407" s="107" t="str">
        <f t="shared" si="0"/>
        <v>ifnull(t.intrst_cost_amt,0) as intrst_cost_amt,/*利息成本金额*/</v>
      </c>
    </row>
    <row r="408" spans="1:8" s="7" customFormat="1" x14ac:dyDescent="0.15">
      <c r="B408" s="20" t="s">
        <v>14</v>
      </c>
      <c r="C408" s="15" t="s">
        <v>1206</v>
      </c>
      <c r="D408" s="15" t="s">
        <v>1169</v>
      </c>
      <c r="E408" s="15">
        <v>0</v>
      </c>
      <c r="F408" s="15"/>
      <c r="G408" s="16"/>
      <c r="H408" s="107" t="str">
        <f t="shared" si="0"/>
        <v>ifnull(t.intrst_pandl,0) as intrst_pandl,/*利息收益*/</v>
      </c>
    </row>
    <row r="409" spans="1:8" s="7" customFormat="1" ht="18" thickBot="1" x14ac:dyDescent="0.2">
      <c r="B409" s="14"/>
      <c r="C409" s="15"/>
      <c r="D409" s="15"/>
      <c r="E409" s="15"/>
      <c r="F409" s="15"/>
      <c r="G409" s="16"/>
    </row>
    <row r="410" spans="1:8" s="7" customFormat="1" x14ac:dyDescent="0.15">
      <c r="B410" s="327" t="s">
        <v>15</v>
      </c>
      <c r="C410" s="328"/>
      <c r="D410" s="328"/>
      <c r="E410" s="328"/>
      <c r="F410" s="328"/>
      <c r="G410" s="329"/>
    </row>
    <row r="411" spans="1:8" s="7" customFormat="1" x14ac:dyDescent="0.15">
      <c r="A411" s="7" t="s">
        <v>62</v>
      </c>
      <c r="B411" s="20">
        <v>1</v>
      </c>
      <c r="C411" s="21" t="s">
        <v>120</v>
      </c>
      <c r="D411" s="21" t="s">
        <v>114</v>
      </c>
      <c r="E411" s="21" t="s">
        <v>118</v>
      </c>
      <c r="F411" s="29"/>
      <c r="G411" s="141"/>
    </row>
    <row r="412" spans="1:8" s="7" customFormat="1" x14ac:dyDescent="0.15">
      <c r="B412" s="20">
        <v>2</v>
      </c>
      <c r="C412" s="21" t="s">
        <v>109</v>
      </c>
      <c r="D412" s="21" t="s">
        <v>111</v>
      </c>
      <c r="E412" s="21"/>
      <c r="F412" s="29"/>
      <c r="G412" s="141"/>
    </row>
    <row r="413" spans="1:8" s="7" customFormat="1" ht="18" thickBot="1" x14ac:dyDescent="0.2">
      <c r="B413" s="24"/>
      <c r="C413" s="9"/>
      <c r="D413" s="9"/>
      <c r="E413" s="9"/>
      <c r="F413" s="9"/>
      <c r="G413" s="11"/>
    </row>
    <row r="414" spans="1:8" s="7" customFormat="1" x14ac:dyDescent="0.15"/>
    <row r="415" spans="1:8" s="7" customFormat="1" ht="18" thickBot="1" x14ac:dyDescent="0.2"/>
    <row r="416" spans="1:8" s="7" customFormat="1" x14ac:dyDescent="0.15">
      <c r="A416" s="2"/>
      <c r="B416" s="3" t="s">
        <v>563</v>
      </c>
      <c r="C416" s="147" t="s">
        <v>578</v>
      </c>
      <c r="D416" s="147" t="s">
        <v>515</v>
      </c>
      <c r="E416" s="21" t="s">
        <v>1015</v>
      </c>
      <c r="F416" s="5" t="s">
        <v>567</v>
      </c>
      <c r="G416" s="6"/>
    </row>
    <row r="417" spans="1:7" s="7" customFormat="1" ht="18" thickBot="1" x14ac:dyDescent="0.2">
      <c r="A417" s="2"/>
      <c r="B417" s="34" t="s">
        <v>570</v>
      </c>
      <c r="C417" s="18"/>
      <c r="D417" s="35" t="s">
        <v>568</v>
      </c>
      <c r="E417" s="18" t="s">
        <v>615</v>
      </c>
      <c r="F417" s="35"/>
      <c r="G417" s="19"/>
    </row>
    <row r="418" spans="1:7" s="7" customFormat="1" x14ac:dyDescent="0.15">
      <c r="A418" s="2"/>
      <c r="B418" s="3" t="s">
        <v>0</v>
      </c>
      <c r="C418" s="5" t="s">
        <v>1</v>
      </c>
      <c r="D418" s="5" t="s">
        <v>2</v>
      </c>
      <c r="E418" s="5"/>
      <c r="F418" s="5" t="s">
        <v>3</v>
      </c>
      <c r="G418" s="36" t="s">
        <v>4</v>
      </c>
    </row>
    <row r="419" spans="1:7" s="7" customFormat="1" x14ac:dyDescent="0.15">
      <c r="A419" s="2"/>
      <c r="B419" s="20" t="s">
        <v>6</v>
      </c>
      <c r="C419" s="21" t="s">
        <v>1163</v>
      </c>
      <c r="D419" s="21" t="s">
        <v>211</v>
      </c>
      <c r="E419" s="21">
        <v>0</v>
      </c>
      <c r="F419" s="21"/>
      <c r="G419" s="22" t="s">
        <v>1077</v>
      </c>
    </row>
    <row r="420" spans="1:7" s="7" customFormat="1" x14ac:dyDescent="0.15">
      <c r="A420" s="2"/>
      <c r="B420" s="20" t="s">
        <v>111</v>
      </c>
      <c r="C420" s="21" t="s">
        <v>1164</v>
      </c>
      <c r="D420" s="21" t="s">
        <v>211</v>
      </c>
      <c r="E420" s="21">
        <v>0</v>
      </c>
      <c r="F420" s="21"/>
      <c r="G420" s="22" t="s">
        <v>1165</v>
      </c>
    </row>
    <row r="421" spans="1:7" s="7" customFormat="1" x14ac:dyDescent="0.15">
      <c r="A421" s="2"/>
      <c r="B421" s="20" t="s">
        <v>113</v>
      </c>
      <c r="C421" s="21" t="s">
        <v>1187</v>
      </c>
      <c r="D421" s="21" t="s">
        <v>211</v>
      </c>
      <c r="E421" s="21">
        <v>0</v>
      </c>
      <c r="F421" s="21"/>
      <c r="G421" s="22"/>
    </row>
    <row r="422" spans="1:7" s="7" customFormat="1" x14ac:dyDescent="0.15">
      <c r="A422" s="2"/>
      <c r="B422" s="20" t="s">
        <v>7</v>
      </c>
      <c r="C422" s="21" t="s">
        <v>1190</v>
      </c>
      <c r="D422" s="21" t="s">
        <v>211</v>
      </c>
      <c r="E422" s="21">
        <v>0</v>
      </c>
      <c r="F422" s="21"/>
      <c r="G422" s="22" t="s">
        <v>1081</v>
      </c>
    </row>
    <row r="423" spans="1:7" s="7" customFormat="1" x14ac:dyDescent="0.15">
      <c r="A423" s="2"/>
      <c r="B423" s="20" t="s">
        <v>114</v>
      </c>
      <c r="C423" s="21" t="s">
        <v>1155</v>
      </c>
      <c r="D423" s="21" t="s">
        <v>211</v>
      </c>
      <c r="E423" s="21">
        <v>0</v>
      </c>
      <c r="F423" s="21"/>
      <c r="G423" s="22"/>
    </row>
    <row r="424" spans="1:7" s="7" customFormat="1" x14ac:dyDescent="0.15">
      <c r="A424" s="2"/>
      <c r="B424" s="20" t="s">
        <v>115</v>
      </c>
      <c r="C424" s="21" t="s">
        <v>1188</v>
      </c>
      <c r="D424" s="21" t="s">
        <v>211</v>
      </c>
      <c r="E424" s="21">
        <v>0</v>
      </c>
      <c r="F424" s="21"/>
      <c r="G424" s="22"/>
    </row>
    <row r="425" spans="1:7" s="7" customFormat="1" x14ac:dyDescent="0.15">
      <c r="A425" s="2"/>
      <c r="B425" s="20" t="s">
        <v>186</v>
      </c>
      <c r="C425" s="21" t="s">
        <v>1189</v>
      </c>
      <c r="D425" s="21" t="s">
        <v>211</v>
      </c>
      <c r="E425" s="21">
        <v>0</v>
      </c>
      <c r="F425" s="21"/>
      <c r="G425" s="22"/>
    </row>
    <row r="426" spans="1:7" s="7" customFormat="1" x14ac:dyDescent="0.15">
      <c r="A426" s="2"/>
      <c r="B426" s="20" t="s">
        <v>41</v>
      </c>
      <c r="C426" s="21" t="s">
        <v>1258</v>
      </c>
      <c r="D426" s="21" t="s">
        <v>211</v>
      </c>
      <c r="E426" s="21">
        <v>0</v>
      </c>
      <c r="F426" s="21"/>
      <c r="G426" s="22" t="s">
        <v>1259</v>
      </c>
    </row>
    <row r="427" spans="1:7" s="7" customFormat="1" x14ac:dyDescent="0.15">
      <c r="A427" s="2"/>
      <c r="B427" s="20" t="s">
        <v>8</v>
      </c>
      <c r="C427" s="21" t="s">
        <v>1193</v>
      </c>
      <c r="D427" s="21" t="s">
        <v>1087</v>
      </c>
      <c r="E427" s="21">
        <v>0</v>
      </c>
      <c r="F427" s="21"/>
      <c r="G427" s="22" t="s">
        <v>1194</v>
      </c>
    </row>
    <row r="428" spans="1:7" s="7" customFormat="1" x14ac:dyDescent="0.15">
      <c r="A428" s="2"/>
      <c r="B428" s="20" t="s">
        <v>9</v>
      </c>
      <c r="C428" s="21" t="s">
        <v>1195</v>
      </c>
      <c r="D428" s="21" t="s">
        <v>1087</v>
      </c>
      <c r="E428" s="21">
        <v>0</v>
      </c>
      <c r="F428" s="21"/>
      <c r="G428" s="22" t="s">
        <v>1196</v>
      </c>
    </row>
    <row r="429" spans="1:7" s="7" customFormat="1" x14ac:dyDescent="0.15">
      <c r="A429" s="2"/>
      <c r="B429" s="20" t="s">
        <v>10</v>
      </c>
      <c r="C429" s="21" t="s">
        <v>1197</v>
      </c>
      <c r="D429" s="21" t="s">
        <v>1087</v>
      </c>
      <c r="E429" s="21">
        <v>0</v>
      </c>
      <c r="F429" s="21"/>
      <c r="G429" s="22" t="s">
        <v>1144</v>
      </c>
    </row>
    <row r="430" spans="1:7" s="7" customFormat="1" x14ac:dyDescent="0.15">
      <c r="A430" s="2"/>
      <c r="B430" s="20" t="s">
        <v>11</v>
      </c>
      <c r="C430" s="21" t="s">
        <v>1198</v>
      </c>
      <c r="D430" s="21" t="s">
        <v>1087</v>
      </c>
      <c r="E430" s="21">
        <v>0</v>
      </c>
      <c r="F430" s="21"/>
      <c r="G430" s="22" t="s">
        <v>1080</v>
      </c>
    </row>
    <row r="431" spans="1:7" s="7" customFormat="1" x14ac:dyDescent="0.15">
      <c r="A431" s="2"/>
      <c r="B431" s="20" t="s">
        <v>116</v>
      </c>
      <c r="C431" s="21" t="s">
        <v>1213</v>
      </c>
      <c r="D431" s="21" t="s">
        <v>1169</v>
      </c>
      <c r="E431" s="21">
        <v>0</v>
      </c>
      <c r="F431" s="21"/>
      <c r="G431" s="22"/>
    </row>
    <row r="432" spans="1:7" s="7" customFormat="1" x14ac:dyDescent="0.15">
      <c r="A432" s="2"/>
      <c r="B432" s="20" t="s">
        <v>12</v>
      </c>
      <c r="C432" s="21" t="s">
        <v>1143</v>
      </c>
      <c r="D432" s="21" t="s">
        <v>1169</v>
      </c>
      <c r="E432" s="21">
        <v>0</v>
      </c>
      <c r="F432" s="21"/>
      <c r="G432" s="22"/>
    </row>
    <row r="433" spans="1:7" s="7" customFormat="1" x14ac:dyDescent="0.15">
      <c r="A433" s="2"/>
      <c r="B433" s="20" t="s">
        <v>13</v>
      </c>
      <c r="C433" s="21" t="s">
        <v>1205</v>
      </c>
      <c r="D433" s="21" t="s">
        <v>1169</v>
      </c>
      <c r="E433" s="21">
        <v>0</v>
      </c>
      <c r="F433" s="21"/>
      <c r="G433" s="22"/>
    </row>
    <row r="434" spans="1:7" s="7" customFormat="1" x14ac:dyDescent="0.15">
      <c r="A434" s="2"/>
      <c r="B434" s="20" t="s">
        <v>14</v>
      </c>
      <c r="C434" s="21" t="s">
        <v>1206</v>
      </c>
      <c r="D434" s="21" t="s">
        <v>1169</v>
      </c>
      <c r="E434" s="21">
        <v>0</v>
      </c>
      <c r="F434" s="21"/>
      <c r="G434" s="22"/>
    </row>
    <row r="435" spans="1:7" s="7" customFormat="1" ht="18" thickBot="1" x14ac:dyDescent="0.2">
      <c r="A435" s="2"/>
      <c r="B435" s="24"/>
      <c r="C435" s="9"/>
      <c r="D435" s="9"/>
      <c r="E435" s="9"/>
      <c r="F435" s="9"/>
      <c r="G435" s="11"/>
    </row>
    <row r="436" spans="1:7" s="7" customFormat="1" x14ac:dyDescent="0.15">
      <c r="A436" s="2"/>
      <c r="B436" s="327" t="s">
        <v>15</v>
      </c>
      <c r="C436" s="328"/>
      <c r="D436" s="328"/>
      <c r="E436" s="328"/>
      <c r="F436" s="328"/>
      <c r="G436" s="329"/>
    </row>
    <row r="437" spans="1:7" s="7" customFormat="1" x14ac:dyDescent="0.15">
      <c r="A437" s="2" t="s">
        <v>62</v>
      </c>
      <c r="B437" s="20">
        <v>1</v>
      </c>
      <c r="C437" s="23" t="s">
        <v>113</v>
      </c>
      <c r="D437" s="21" t="s">
        <v>114</v>
      </c>
      <c r="E437" s="21" t="s">
        <v>115</v>
      </c>
      <c r="F437" s="21"/>
      <c r="G437" s="21"/>
    </row>
    <row r="438" spans="1:7" s="7" customFormat="1" x14ac:dyDescent="0.15">
      <c r="A438" s="2"/>
      <c r="B438" s="17">
        <v>2</v>
      </c>
      <c r="C438" s="37" t="s">
        <v>16</v>
      </c>
      <c r="D438" s="18" t="s">
        <v>111</v>
      </c>
      <c r="E438" s="18" t="s">
        <v>18</v>
      </c>
      <c r="F438" s="18"/>
      <c r="G438" s="38"/>
    </row>
    <row r="439" spans="1:7" s="7" customFormat="1" ht="18" thickBot="1" x14ac:dyDescent="0.2">
      <c r="A439" s="2"/>
      <c r="B439" s="24"/>
      <c r="C439" s="9"/>
      <c r="D439" s="9"/>
      <c r="E439" s="9"/>
      <c r="F439" s="9"/>
      <c r="G439" s="11"/>
    </row>
    <row r="440" spans="1:7" ht="18" thickBot="1" x14ac:dyDescent="0.2"/>
    <row r="441" spans="1:7" s="7" customFormat="1" x14ac:dyDescent="0.15">
      <c r="A441" s="2"/>
      <c r="B441" s="3" t="s">
        <v>563</v>
      </c>
      <c r="C441" s="147" t="s">
        <v>564</v>
      </c>
      <c r="D441" s="147" t="s">
        <v>515</v>
      </c>
      <c r="E441" s="21" t="s">
        <v>595</v>
      </c>
      <c r="F441" s="5" t="s">
        <v>567</v>
      </c>
      <c r="G441" s="6"/>
    </row>
    <row r="442" spans="1:7" s="7" customFormat="1" ht="18" thickBot="1" x14ac:dyDescent="0.2">
      <c r="A442" s="2"/>
      <c r="B442" s="34" t="s">
        <v>570</v>
      </c>
      <c r="C442" s="18"/>
      <c r="D442" s="35" t="s">
        <v>568</v>
      </c>
      <c r="E442" s="18" t="s">
        <v>615</v>
      </c>
      <c r="F442" s="35"/>
      <c r="G442" s="19"/>
    </row>
    <row r="443" spans="1:7" s="7" customFormat="1" x14ac:dyDescent="0.15">
      <c r="A443" s="2"/>
      <c r="B443" s="3" t="s">
        <v>0</v>
      </c>
      <c r="C443" s="5" t="s">
        <v>1</v>
      </c>
      <c r="D443" s="5" t="s">
        <v>2</v>
      </c>
      <c r="E443" s="5"/>
      <c r="F443" s="5" t="s">
        <v>3</v>
      </c>
      <c r="G443" s="36" t="s">
        <v>4</v>
      </c>
    </row>
    <row r="444" spans="1:7" s="7" customFormat="1" x14ac:dyDescent="0.15">
      <c r="A444" s="2"/>
      <c r="B444" s="20" t="s">
        <v>6</v>
      </c>
      <c r="C444" s="21" t="s">
        <v>1163</v>
      </c>
      <c r="D444" s="21" t="s">
        <v>211</v>
      </c>
      <c r="E444" s="21">
        <v>0</v>
      </c>
      <c r="F444" s="21"/>
      <c r="G444" s="22" t="s">
        <v>1077</v>
      </c>
    </row>
    <row r="445" spans="1:7" s="7" customFormat="1" x14ac:dyDescent="0.15">
      <c r="A445" s="2"/>
      <c r="B445" s="20" t="s">
        <v>111</v>
      </c>
      <c r="C445" s="21" t="s">
        <v>1164</v>
      </c>
      <c r="D445" s="21" t="s">
        <v>211</v>
      </c>
      <c r="E445" s="21">
        <v>0</v>
      </c>
      <c r="F445" s="21"/>
      <c r="G445" s="22" t="s">
        <v>1165</v>
      </c>
    </row>
    <row r="446" spans="1:7" s="7" customFormat="1" x14ac:dyDescent="0.15">
      <c r="A446" s="2"/>
      <c r="B446" s="20" t="s">
        <v>112</v>
      </c>
      <c r="C446" s="21" t="s">
        <v>1133</v>
      </c>
      <c r="D446" s="21" t="s">
        <v>211</v>
      </c>
      <c r="E446" s="21">
        <v>0</v>
      </c>
      <c r="F446" s="21"/>
      <c r="G446" s="22" t="s">
        <v>1182</v>
      </c>
    </row>
    <row r="447" spans="1:7" s="7" customFormat="1" x14ac:dyDescent="0.15">
      <c r="A447" s="2"/>
      <c r="B447" s="20" t="s">
        <v>113</v>
      </c>
      <c r="C447" s="21" t="s">
        <v>1187</v>
      </c>
      <c r="D447" s="21" t="s">
        <v>211</v>
      </c>
      <c r="E447" s="21">
        <v>0</v>
      </c>
      <c r="F447" s="21"/>
      <c r="G447" s="22"/>
    </row>
    <row r="448" spans="1:7" s="7" customFormat="1" x14ac:dyDescent="0.15">
      <c r="A448" s="2"/>
      <c r="B448" s="20" t="s">
        <v>7</v>
      </c>
      <c r="C448" s="21" t="s">
        <v>1190</v>
      </c>
      <c r="D448" s="21" t="s">
        <v>211</v>
      </c>
      <c r="E448" s="21">
        <v>0</v>
      </c>
      <c r="F448" s="21"/>
      <c r="G448" s="22" t="s">
        <v>1081</v>
      </c>
    </row>
    <row r="449" spans="1:7" s="7" customFormat="1" x14ac:dyDescent="0.15">
      <c r="A449" s="2"/>
      <c r="B449" s="20" t="s">
        <v>114</v>
      </c>
      <c r="C449" s="21" t="s">
        <v>1155</v>
      </c>
      <c r="D449" s="21" t="s">
        <v>211</v>
      </c>
      <c r="E449" s="21">
        <v>0</v>
      </c>
      <c r="F449" s="21"/>
      <c r="G449" s="22"/>
    </row>
    <row r="450" spans="1:7" s="7" customFormat="1" x14ac:dyDescent="0.15">
      <c r="A450" s="2"/>
      <c r="B450" s="20" t="s">
        <v>115</v>
      </c>
      <c r="C450" s="21" t="s">
        <v>1188</v>
      </c>
      <c r="D450" s="21" t="s">
        <v>211</v>
      </c>
      <c r="E450" s="21">
        <v>0</v>
      </c>
      <c r="F450" s="21"/>
      <c r="G450" s="22"/>
    </row>
    <row r="451" spans="1:7" s="7" customFormat="1" x14ac:dyDescent="0.15">
      <c r="A451" s="2"/>
      <c r="B451" s="20" t="s">
        <v>93</v>
      </c>
      <c r="C451" s="21" t="s">
        <v>1189</v>
      </c>
      <c r="D451" s="21" t="s">
        <v>211</v>
      </c>
      <c r="E451" s="21">
        <v>0</v>
      </c>
      <c r="F451" s="21"/>
      <c r="G451" s="22"/>
    </row>
    <row r="452" spans="1:7" s="7" customFormat="1" x14ac:dyDescent="0.15">
      <c r="A452" s="2"/>
      <c r="B452" s="20" t="s">
        <v>41</v>
      </c>
      <c r="C452" s="21" t="s">
        <v>1258</v>
      </c>
      <c r="D452" s="21" t="s">
        <v>211</v>
      </c>
      <c r="E452" s="21">
        <v>0</v>
      </c>
      <c r="F452" s="21"/>
      <c r="G452" s="22" t="s">
        <v>1259</v>
      </c>
    </row>
    <row r="453" spans="1:7" s="7" customFormat="1" x14ac:dyDescent="0.15">
      <c r="A453" s="2"/>
      <c r="B453" s="20" t="s">
        <v>8</v>
      </c>
      <c r="C453" s="21" t="s">
        <v>1193</v>
      </c>
      <c r="D453" s="21" t="s">
        <v>1087</v>
      </c>
      <c r="E453" s="21">
        <v>0</v>
      </c>
      <c r="F453" s="21"/>
      <c r="G453" s="22" t="s">
        <v>1194</v>
      </c>
    </row>
    <row r="454" spans="1:7" s="7" customFormat="1" x14ac:dyDescent="0.15">
      <c r="A454" s="2"/>
      <c r="B454" s="20" t="s">
        <v>9</v>
      </c>
      <c r="C454" s="21" t="s">
        <v>1195</v>
      </c>
      <c r="D454" s="21" t="s">
        <v>1087</v>
      </c>
      <c r="E454" s="21">
        <v>0</v>
      </c>
      <c r="F454" s="21"/>
      <c r="G454" s="22" t="s">
        <v>1196</v>
      </c>
    </row>
    <row r="455" spans="1:7" s="7" customFormat="1" x14ac:dyDescent="0.15">
      <c r="A455" s="2"/>
      <c r="B455" s="20" t="s">
        <v>10</v>
      </c>
      <c r="C455" s="21" t="s">
        <v>1197</v>
      </c>
      <c r="D455" s="21" t="s">
        <v>1087</v>
      </c>
      <c r="E455" s="21">
        <v>0</v>
      </c>
      <c r="F455" s="21"/>
      <c r="G455" s="22" t="s">
        <v>1144</v>
      </c>
    </row>
    <row r="456" spans="1:7" s="7" customFormat="1" x14ac:dyDescent="0.15">
      <c r="A456" s="2"/>
      <c r="B456" s="20" t="s">
        <v>11</v>
      </c>
      <c r="C456" s="21" t="s">
        <v>1198</v>
      </c>
      <c r="D456" s="21" t="s">
        <v>1087</v>
      </c>
      <c r="E456" s="21">
        <v>0</v>
      </c>
      <c r="F456" s="21"/>
      <c r="G456" s="22" t="s">
        <v>1080</v>
      </c>
    </row>
    <row r="457" spans="1:7" s="7" customFormat="1" x14ac:dyDescent="0.15">
      <c r="A457" s="2"/>
      <c r="B457" s="20" t="s">
        <v>116</v>
      </c>
      <c r="C457" s="21" t="s">
        <v>1213</v>
      </c>
      <c r="D457" s="21" t="s">
        <v>1169</v>
      </c>
      <c r="E457" s="21">
        <v>0</v>
      </c>
      <c r="F457" s="21"/>
      <c r="G457" s="22"/>
    </row>
    <row r="458" spans="1:7" s="7" customFormat="1" x14ac:dyDescent="0.15">
      <c r="A458" s="2"/>
      <c r="B458" s="20" t="s">
        <v>12</v>
      </c>
      <c r="C458" s="21" t="s">
        <v>1143</v>
      </c>
      <c r="D458" s="21" t="s">
        <v>1169</v>
      </c>
      <c r="E458" s="21">
        <v>0</v>
      </c>
      <c r="F458" s="21"/>
      <c r="G458" s="22"/>
    </row>
    <row r="459" spans="1:7" s="7" customFormat="1" x14ac:dyDescent="0.15">
      <c r="A459" s="2"/>
      <c r="B459" s="20" t="s">
        <v>13</v>
      </c>
      <c r="C459" s="21" t="s">
        <v>1205</v>
      </c>
      <c r="D459" s="21" t="s">
        <v>1169</v>
      </c>
      <c r="E459" s="21">
        <v>0</v>
      </c>
      <c r="F459" s="21"/>
      <c r="G459" s="22"/>
    </row>
    <row r="460" spans="1:7" s="7" customFormat="1" x14ac:dyDescent="0.15">
      <c r="A460" s="2"/>
      <c r="B460" s="20" t="s">
        <v>14</v>
      </c>
      <c r="C460" s="21" t="s">
        <v>1206</v>
      </c>
      <c r="D460" s="21" t="s">
        <v>1169</v>
      </c>
      <c r="E460" s="21">
        <v>0</v>
      </c>
      <c r="F460" s="21"/>
      <c r="G460" s="22"/>
    </row>
    <row r="461" spans="1:7" s="7" customFormat="1" ht="18" thickBot="1" x14ac:dyDescent="0.2">
      <c r="A461" s="2"/>
      <c r="B461" s="24"/>
      <c r="C461" s="9"/>
      <c r="D461" s="9"/>
      <c r="E461" s="9"/>
      <c r="F461" s="9"/>
      <c r="G461" s="11"/>
    </row>
    <row r="462" spans="1:7" s="7" customFormat="1" x14ac:dyDescent="0.15">
      <c r="A462" s="2"/>
      <c r="B462" s="327" t="s">
        <v>15</v>
      </c>
      <c r="C462" s="328"/>
      <c r="D462" s="328"/>
      <c r="E462" s="328"/>
      <c r="F462" s="328"/>
      <c r="G462" s="329"/>
    </row>
    <row r="463" spans="1:7" s="7" customFormat="1" x14ac:dyDescent="0.15">
      <c r="A463" s="2" t="s">
        <v>62</v>
      </c>
      <c r="B463" s="20">
        <v>1</v>
      </c>
      <c r="C463" s="23" t="s">
        <v>112</v>
      </c>
      <c r="D463" s="21" t="s">
        <v>113</v>
      </c>
      <c r="E463" s="21" t="s">
        <v>114</v>
      </c>
      <c r="F463" s="21" t="s">
        <v>118</v>
      </c>
      <c r="G463" s="21"/>
    </row>
    <row r="464" spans="1:7" s="7" customFormat="1" x14ac:dyDescent="0.15">
      <c r="A464" s="2"/>
      <c r="B464" s="17">
        <v>2</v>
      </c>
      <c r="C464" s="37" t="s">
        <v>109</v>
      </c>
      <c r="D464" s="18" t="s">
        <v>111</v>
      </c>
      <c r="E464" s="18" t="s">
        <v>18</v>
      </c>
      <c r="F464" s="18"/>
      <c r="G464" s="38"/>
    </row>
    <row r="465" spans="1:7" s="7" customFormat="1" ht="18" thickBot="1" x14ac:dyDescent="0.2">
      <c r="A465" s="2"/>
      <c r="B465" s="24"/>
      <c r="C465" s="9"/>
      <c r="D465" s="9"/>
      <c r="E465" s="9"/>
      <c r="F465" s="9"/>
      <c r="G465" s="11"/>
    </row>
    <row r="466" spans="1:7" ht="18" thickBot="1" x14ac:dyDescent="0.2"/>
    <row r="467" spans="1:7" s="7" customFormat="1" x14ac:dyDescent="0.15">
      <c r="B467" s="3" t="s">
        <v>563</v>
      </c>
      <c r="C467" s="4" t="s">
        <v>565</v>
      </c>
      <c r="D467" s="5" t="s">
        <v>515</v>
      </c>
      <c r="E467" s="21" t="s">
        <v>1017</v>
      </c>
      <c r="F467" s="5" t="s">
        <v>567</v>
      </c>
      <c r="G467" s="6"/>
    </row>
    <row r="468" spans="1:7" s="7" customFormat="1" ht="18" thickBot="1" x14ac:dyDescent="0.2">
      <c r="B468" s="34" t="s">
        <v>570</v>
      </c>
      <c r="C468" s="18"/>
      <c r="D468" s="35" t="s">
        <v>568</v>
      </c>
      <c r="E468" s="18" t="s">
        <v>615</v>
      </c>
      <c r="F468" s="35"/>
      <c r="G468" s="19"/>
    </row>
    <row r="469" spans="1:7" s="7" customFormat="1" x14ac:dyDescent="0.15">
      <c r="B469" s="3" t="s">
        <v>0</v>
      </c>
      <c r="C469" s="5" t="s">
        <v>1</v>
      </c>
      <c r="D469" s="5" t="s">
        <v>2</v>
      </c>
      <c r="E469" s="5"/>
      <c r="F469" s="5" t="s">
        <v>3</v>
      </c>
      <c r="G469" s="36" t="s">
        <v>4</v>
      </c>
    </row>
    <row r="470" spans="1:7" s="7" customFormat="1" x14ac:dyDescent="0.15">
      <c r="A470" s="2"/>
      <c r="B470" s="20" t="s">
        <v>6</v>
      </c>
      <c r="C470" s="21" t="s">
        <v>1163</v>
      </c>
      <c r="D470" s="21" t="s">
        <v>211</v>
      </c>
      <c r="E470" s="21">
        <v>0</v>
      </c>
      <c r="F470" s="21"/>
      <c r="G470" s="22" t="s">
        <v>1077</v>
      </c>
    </row>
    <row r="471" spans="1:7" s="7" customFormat="1" x14ac:dyDescent="0.15">
      <c r="A471" s="2"/>
      <c r="B471" s="20" t="s">
        <v>111</v>
      </c>
      <c r="C471" s="21" t="s">
        <v>1164</v>
      </c>
      <c r="D471" s="21" t="s">
        <v>211</v>
      </c>
      <c r="E471" s="21">
        <v>0</v>
      </c>
      <c r="F471" s="21"/>
      <c r="G471" s="22" t="s">
        <v>1165</v>
      </c>
    </row>
    <row r="472" spans="1:7" s="7" customFormat="1" x14ac:dyDescent="0.15">
      <c r="A472" s="2"/>
      <c r="B472" s="20" t="s">
        <v>123</v>
      </c>
      <c r="C472" s="21" t="s">
        <v>1133</v>
      </c>
      <c r="D472" s="21" t="s">
        <v>211</v>
      </c>
      <c r="E472" s="21">
        <v>0</v>
      </c>
      <c r="F472" s="21"/>
      <c r="G472" s="22" t="s">
        <v>1182</v>
      </c>
    </row>
    <row r="473" spans="1:7" s="7" customFormat="1" x14ac:dyDescent="0.15">
      <c r="A473" s="2"/>
      <c r="B473" s="20" t="s">
        <v>120</v>
      </c>
      <c r="C473" s="21" t="s">
        <v>1187</v>
      </c>
      <c r="D473" s="21" t="s">
        <v>211</v>
      </c>
      <c r="E473" s="21">
        <v>0</v>
      </c>
      <c r="F473" s="21"/>
      <c r="G473" s="22"/>
    </row>
    <row r="474" spans="1:7" s="7" customFormat="1" x14ac:dyDescent="0.15">
      <c r="B474" s="20" t="s">
        <v>7</v>
      </c>
      <c r="C474" s="21" t="s">
        <v>1190</v>
      </c>
      <c r="D474" s="21" t="s">
        <v>211</v>
      </c>
      <c r="E474" s="21">
        <v>0</v>
      </c>
      <c r="F474" s="21"/>
      <c r="G474" s="22" t="s">
        <v>1081</v>
      </c>
    </row>
    <row r="475" spans="1:7" s="7" customFormat="1" x14ac:dyDescent="0.15">
      <c r="B475" s="20" t="s">
        <v>114</v>
      </c>
      <c r="C475" s="21" t="s">
        <v>1155</v>
      </c>
      <c r="D475" s="21" t="s">
        <v>211</v>
      </c>
      <c r="E475" s="21">
        <v>0</v>
      </c>
      <c r="F475" s="21"/>
      <c r="G475" s="22"/>
    </row>
    <row r="476" spans="1:7" s="7" customFormat="1" x14ac:dyDescent="0.15">
      <c r="B476" s="20" t="s">
        <v>118</v>
      </c>
      <c r="C476" s="21" t="s">
        <v>1188</v>
      </c>
      <c r="D476" s="21" t="s">
        <v>211</v>
      </c>
      <c r="E476" s="21">
        <v>0</v>
      </c>
      <c r="F476" s="21"/>
      <c r="G476" s="22"/>
    </row>
    <row r="477" spans="1:7" s="7" customFormat="1" x14ac:dyDescent="0.15">
      <c r="A477" s="2"/>
      <c r="B477" s="20" t="s">
        <v>399</v>
      </c>
      <c r="C477" s="21" t="s">
        <v>1193</v>
      </c>
      <c r="D477" s="21" t="s">
        <v>1087</v>
      </c>
      <c r="E477" s="21">
        <v>0</v>
      </c>
      <c r="F477" s="21"/>
      <c r="G477" s="22" t="s">
        <v>1194</v>
      </c>
    </row>
    <row r="478" spans="1:7" s="7" customFormat="1" x14ac:dyDescent="0.15">
      <c r="A478" s="2"/>
      <c r="B478" s="20" t="s">
        <v>156</v>
      </c>
      <c r="C478" s="21" t="s">
        <v>1195</v>
      </c>
      <c r="D478" s="21" t="s">
        <v>1087</v>
      </c>
      <c r="E478" s="21">
        <v>0</v>
      </c>
      <c r="F478" s="21"/>
      <c r="G478" s="22" t="s">
        <v>1196</v>
      </c>
    </row>
    <row r="479" spans="1:7" s="7" customFormat="1" x14ac:dyDescent="0.15">
      <c r="B479" s="20" t="s">
        <v>400</v>
      </c>
      <c r="C479" s="21" t="s">
        <v>1197</v>
      </c>
      <c r="D479" s="21" t="s">
        <v>1087</v>
      </c>
      <c r="E479" s="21">
        <v>0</v>
      </c>
      <c r="F479" s="21"/>
      <c r="G479" s="22" t="s">
        <v>1144</v>
      </c>
    </row>
    <row r="480" spans="1:7" s="7" customFormat="1" x14ac:dyDescent="0.15">
      <c r="B480" s="20" t="s">
        <v>401</v>
      </c>
      <c r="C480" s="21" t="s">
        <v>1198</v>
      </c>
      <c r="D480" s="21" t="s">
        <v>1087</v>
      </c>
      <c r="E480" s="21">
        <v>0</v>
      </c>
      <c r="F480" s="21"/>
      <c r="G480" s="22" t="s">
        <v>1080</v>
      </c>
    </row>
    <row r="481" spans="2:7" s="7" customFormat="1" x14ac:dyDescent="0.15">
      <c r="B481" s="20" t="s">
        <v>402</v>
      </c>
      <c r="C481" s="21" t="s">
        <v>1083</v>
      </c>
      <c r="D481" s="21" t="s">
        <v>1087</v>
      </c>
      <c r="E481" s="21">
        <v>0</v>
      </c>
      <c r="F481" s="21"/>
      <c r="G481" s="22"/>
    </row>
    <row r="482" spans="2:7" s="7" customFormat="1" x14ac:dyDescent="0.15">
      <c r="B482" s="20" t="s">
        <v>403</v>
      </c>
      <c r="C482" s="21" t="s">
        <v>1135</v>
      </c>
      <c r="D482" s="21" t="s">
        <v>1087</v>
      </c>
      <c r="E482" s="21">
        <v>0</v>
      </c>
      <c r="F482" s="21"/>
      <c r="G482" s="22"/>
    </row>
    <row r="483" spans="2:7" s="7" customFormat="1" x14ac:dyDescent="0.15">
      <c r="B483" s="20" t="s">
        <v>404</v>
      </c>
      <c r="C483" s="21" t="s">
        <v>1335</v>
      </c>
      <c r="D483" s="21" t="s">
        <v>1087</v>
      </c>
      <c r="E483" s="21">
        <v>0</v>
      </c>
      <c r="F483" s="21"/>
      <c r="G483" s="22"/>
    </row>
    <row r="484" spans="2:7" s="7" customFormat="1" x14ac:dyDescent="0.15">
      <c r="B484" s="20" t="s">
        <v>405</v>
      </c>
      <c r="C484" s="21" t="s">
        <v>1199</v>
      </c>
      <c r="D484" s="21" t="s">
        <v>1087</v>
      </c>
      <c r="E484" s="21">
        <v>0</v>
      </c>
      <c r="F484" s="21"/>
      <c r="G484" s="22"/>
    </row>
    <row r="485" spans="2:7" s="7" customFormat="1" x14ac:dyDescent="0.15">
      <c r="B485" s="20" t="s">
        <v>417</v>
      </c>
      <c r="C485" s="21" t="s">
        <v>1145</v>
      </c>
      <c r="D485" s="21" t="s">
        <v>1087</v>
      </c>
      <c r="E485" s="21">
        <v>0</v>
      </c>
      <c r="F485" s="21"/>
      <c r="G485" s="22"/>
    </row>
    <row r="486" spans="2:7" s="7" customFormat="1" x14ac:dyDescent="0.15">
      <c r="B486" s="20" t="s">
        <v>407</v>
      </c>
      <c r="C486" s="21" t="s">
        <v>1136</v>
      </c>
      <c r="D486" s="21" t="s">
        <v>1087</v>
      </c>
      <c r="E486" s="21">
        <v>0</v>
      </c>
      <c r="F486" s="21"/>
      <c r="G486" s="22"/>
    </row>
    <row r="487" spans="2:7" s="7" customFormat="1" x14ac:dyDescent="0.15">
      <c r="B487" s="20" t="s">
        <v>138</v>
      </c>
      <c r="C487" s="21" t="s">
        <v>1200</v>
      </c>
      <c r="D487" s="21" t="s">
        <v>1087</v>
      </c>
      <c r="E487" s="21">
        <v>0</v>
      </c>
      <c r="F487" s="21"/>
      <c r="G487" s="22"/>
    </row>
    <row r="488" spans="2:7" s="7" customFormat="1" x14ac:dyDescent="0.15">
      <c r="B488" s="20" t="s">
        <v>409</v>
      </c>
      <c r="C488" s="21" t="s">
        <v>1201</v>
      </c>
      <c r="D488" s="21" t="s">
        <v>1087</v>
      </c>
      <c r="E488" s="21">
        <v>0</v>
      </c>
      <c r="F488" s="21"/>
      <c r="G488" s="22"/>
    </row>
    <row r="489" spans="2:7" s="7" customFormat="1" x14ac:dyDescent="0.15">
      <c r="B489" s="20" t="s">
        <v>410</v>
      </c>
      <c r="C489" s="21" t="s">
        <v>1137</v>
      </c>
      <c r="D489" s="21" t="s">
        <v>1087</v>
      </c>
      <c r="E489" s="21">
        <v>0</v>
      </c>
      <c r="F489" s="21"/>
      <c r="G489" s="22"/>
    </row>
    <row r="490" spans="2:7" s="7" customFormat="1" x14ac:dyDescent="0.15">
      <c r="B490" s="20" t="s">
        <v>411</v>
      </c>
      <c r="C490" s="21" t="s">
        <v>1138</v>
      </c>
      <c r="D490" s="21" t="s">
        <v>1087</v>
      </c>
      <c r="E490" s="21">
        <v>0</v>
      </c>
      <c r="F490" s="21"/>
      <c r="G490" s="22"/>
    </row>
    <row r="491" spans="2:7" s="7" customFormat="1" x14ac:dyDescent="0.15">
      <c r="B491" s="20" t="s">
        <v>412</v>
      </c>
      <c r="C491" s="21" t="s">
        <v>1202</v>
      </c>
      <c r="D491" s="21" t="s">
        <v>1087</v>
      </c>
      <c r="E491" s="21">
        <v>0</v>
      </c>
      <c r="F491" s="21"/>
      <c r="G491" s="22"/>
    </row>
    <row r="492" spans="2:7" s="7" customFormat="1" x14ac:dyDescent="0.15">
      <c r="B492" s="20" t="s">
        <v>413</v>
      </c>
      <c r="C492" s="21" t="s">
        <v>1139</v>
      </c>
      <c r="D492" s="21" t="s">
        <v>1087</v>
      </c>
      <c r="E492" s="21">
        <v>0</v>
      </c>
      <c r="F492" s="21"/>
      <c r="G492" s="22"/>
    </row>
    <row r="493" spans="2:7" s="7" customFormat="1" x14ac:dyDescent="0.15">
      <c r="B493" s="20" t="s">
        <v>153</v>
      </c>
      <c r="C493" s="15" t="s">
        <v>1143</v>
      </c>
      <c r="D493" s="15" t="s">
        <v>1169</v>
      </c>
      <c r="E493" s="15">
        <v>0</v>
      </c>
      <c r="F493" s="15"/>
      <c r="G493" s="16"/>
    </row>
    <row r="494" spans="2:7" s="7" customFormat="1" x14ac:dyDescent="0.15">
      <c r="B494" s="20" t="s">
        <v>414</v>
      </c>
      <c r="C494" s="15" t="s">
        <v>1213</v>
      </c>
      <c r="D494" s="15" t="s">
        <v>1169</v>
      </c>
      <c r="E494" s="15">
        <v>0</v>
      </c>
      <c r="F494" s="15"/>
      <c r="G494" s="16"/>
    </row>
    <row r="495" spans="2:7" s="7" customFormat="1" x14ac:dyDescent="0.15">
      <c r="B495" s="20" t="s">
        <v>13</v>
      </c>
      <c r="C495" s="15" t="s">
        <v>1205</v>
      </c>
      <c r="D495" s="15" t="s">
        <v>1169</v>
      </c>
      <c r="E495" s="15">
        <v>0</v>
      </c>
      <c r="F495" s="15"/>
      <c r="G495" s="16"/>
    </row>
    <row r="496" spans="2:7" s="7" customFormat="1" x14ac:dyDescent="0.15">
      <c r="B496" s="20" t="s">
        <v>14</v>
      </c>
      <c r="C496" s="15" t="s">
        <v>1206</v>
      </c>
      <c r="D496" s="15" t="s">
        <v>1169</v>
      </c>
      <c r="E496" s="15">
        <v>0</v>
      </c>
      <c r="F496" s="15"/>
      <c r="G496" s="16"/>
    </row>
    <row r="497" spans="1:7" s="7" customFormat="1" ht="18" thickBot="1" x14ac:dyDescent="0.2">
      <c r="B497" s="20"/>
      <c r="C497" s="15"/>
      <c r="D497" s="15"/>
      <c r="E497" s="15"/>
      <c r="F497" s="15"/>
      <c r="G497" s="16"/>
    </row>
    <row r="498" spans="1:7" s="7" customFormat="1" x14ac:dyDescent="0.15">
      <c r="B498" s="327" t="s">
        <v>15</v>
      </c>
      <c r="C498" s="328"/>
      <c r="D498" s="328"/>
      <c r="E498" s="328"/>
      <c r="F498" s="328"/>
      <c r="G498" s="329"/>
    </row>
    <row r="499" spans="1:7" s="7" customFormat="1" x14ac:dyDescent="0.15">
      <c r="A499" s="7" t="s">
        <v>62</v>
      </c>
      <c r="B499" s="20">
        <v>1</v>
      </c>
      <c r="C499" s="21" t="s">
        <v>123</v>
      </c>
      <c r="D499" s="21" t="s">
        <v>120</v>
      </c>
      <c r="E499" s="21" t="s">
        <v>114</v>
      </c>
      <c r="F499" s="21" t="s">
        <v>118</v>
      </c>
      <c r="G499" s="29"/>
    </row>
    <row r="500" spans="1:7" s="7" customFormat="1" x14ac:dyDescent="0.15">
      <c r="B500" s="20">
        <v>2</v>
      </c>
      <c r="C500" s="21" t="s">
        <v>109</v>
      </c>
      <c r="D500" s="21" t="s">
        <v>111</v>
      </c>
      <c r="E500" s="21"/>
      <c r="F500" s="29"/>
      <c r="G500" s="141"/>
    </row>
    <row r="501" spans="1:7" s="7" customFormat="1" ht="18" thickBot="1" x14ac:dyDescent="0.2">
      <c r="B501" s="24"/>
      <c r="C501" s="9"/>
      <c r="D501" s="9"/>
      <c r="E501" s="9"/>
      <c r="F501" s="9"/>
      <c r="G501" s="11"/>
    </row>
    <row r="502" spans="1:7" s="7" customFormat="1" x14ac:dyDescent="0.15"/>
    <row r="503" spans="1:7" s="7" customFormat="1" ht="18" thickBot="1" x14ac:dyDescent="0.2"/>
    <row r="504" spans="1:7" s="7" customFormat="1" x14ac:dyDescent="0.15">
      <c r="A504" s="2"/>
      <c r="B504" s="3" t="s">
        <v>563</v>
      </c>
      <c r="C504" s="151" t="s">
        <v>431</v>
      </c>
      <c r="D504" s="151" t="s">
        <v>648</v>
      </c>
      <c r="E504" s="21" t="s">
        <v>1018</v>
      </c>
      <c r="F504" s="5" t="s">
        <v>567</v>
      </c>
      <c r="G504" s="6"/>
    </row>
    <row r="505" spans="1:7" s="7" customFormat="1" ht="18" thickBot="1" x14ac:dyDescent="0.2">
      <c r="A505" s="2"/>
      <c r="B505" s="34" t="s">
        <v>570</v>
      </c>
      <c r="C505" s="18"/>
      <c r="D505" s="35" t="s">
        <v>568</v>
      </c>
      <c r="E505" s="18" t="s">
        <v>615</v>
      </c>
      <c r="F505" s="35"/>
      <c r="G505" s="19"/>
    </row>
    <row r="506" spans="1:7" s="7" customFormat="1" x14ac:dyDescent="0.15">
      <c r="A506" s="2"/>
      <c r="B506" s="3" t="s">
        <v>0</v>
      </c>
      <c r="C506" s="5" t="s">
        <v>1</v>
      </c>
      <c r="D506" s="5" t="s">
        <v>2</v>
      </c>
      <c r="E506" s="5"/>
      <c r="F506" s="5" t="s">
        <v>3</v>
      </c>
      <c r="G506" s="36" t="s">
        <v>4</v>
      </c>
    </row>
    <row r="507" spans="1:7" s="7" customFormat="1" x14ac:dyDescent="0.15">
      <c r="A507" s="2"/>
      <c r="B507" s="14" t="s">
        <v>5</v>
      </c>
      <c r="C507" s="15" t="s">
        <v>1127</v>
      </c>
      <c r="D507" s="15" t="s">
        <v>211</v>
      </c>
      <c r="E507" s="15" t="s">
        <v>1141</v>
      </c>
      <c r="F507" s="15"/>
      <c r="G507" s="16" t="s">
        <v>1162</v>
      </c>
    </row>
    <row r="508" spans="1:7" s="7" customFormat="1" x14ac:dyDescent="0.15">
      <c r="A508" s="2"/>
      <c r="B508" s="20" t="s">
        <v>6</v>
      </c>
      <c r="C508" s="21" t="s">
        <v>1163</v>
      </c>
      <c r="D508" s="21" t="s">
        <v>211</v>
      </c>
      <c r="E508" s="21">
        <v>0</v>
      </c>
      <c r="F508" s="21"/>
      <c r="G508" s="22" t="s">
        <v>1077</v>
      </c>
    </row>
    <row r="509" spans="1:7" s="7" customFormat="1" x14ac:dyDescent="0.15">
      <c r="A509" s="2"/>
      <c r="B509" s="20" t="s">
        <v>111</v>
      </c>
      <c r="C509" s="21" t="s">
        <v>1164</v>
      </c>
      <c r="D509" s="21" t="s">
        <v>211</v>
      </c>
      <c r="E509" s="21">
        <v>0</v>
      </c>
      <c r="F509" s="21"/>
      <c r="G509" s="22" t="s">
        <v>1165</v>
      </c>
    </row>
    <row r="510" spans="1:7" s="7" customFormat="1" x14ac:dyDescent="0.15">
      <c r="A510" s="2"/>
      <c r="B510" s="20" t="s">
        <v>112</v>
      </c>
      <c r="C510" s="21" t="s">
        <v>1133</v>
      </c>
      <c r="D510" s="21" t="s">
        <v>211</v>
      </c>
      <c r="E510" s="21">
        <v>0</v>
      </c>
      <c r="F510" s="21"/>
      <c r="G510" s="22" t="s">
        <v>1182</v>
      </c>
    </row>
    <row r="511" spans="1:7" s="7" customFormat="1" x14ac:dyDescent="0.15">
      <c r="A511" s="2"/>
      <c r="B511" s="20" t="s">
        <v>120</v>
      </c>
      <c r="C511" s="21" t="s">
        <v>1187</v>
      </c>
      <c r="D511" s="21" t="s">
        <v>211</v>
      </c>
      <c r="E511" s="21">
        <v>0</v>
      </c>
      <c r="F511" s="21"/>
      <c r="G511" s="22"/>
    </row>
    <row r="512" spans="1:7" s="7" customFormat="1" x14ac:dyDescent="0.15">
      <c r="A512" s="2"/>
      <c r="B512" s="20" t="s">
        <v>7</v>
      </c>
      <c r="C512" s="21" t="s">
        <v>1190</v>
      </c>
      <c r="D512" s="21" t="s">
        <v>211</v>
      </c>
      <c r="E512" s="21">
        <v>0</v>
      </c>
      <c r="F512" s="21"/>
      <c r="G512" s="22" t="s">
        <v>1081</v>
      </c>
    </row>
    <row r="513" spans="1:7" s="7" customFormat="1" x14ac:dyDescent="0.15">
      <c r="A513" s="2"/>
      <c r="B513" s="20" t="s">
        <v>114</v>
      </c>
      <c r="C513" s="21" t="s">
        <v>1155</v>
      </c>
      <c r="D513" s="21" t="s">
        <v>211</v>
      </c>
      <c r="E513" s="21">
        <v>0</v>
      </c>
      <c r="F513" s="21"/>
      <c r="G513" s="22"/>
    </row>
    <row r="514" spans="1:7" s="7" customFormat="1" x14ac:dyDescent="0.15">
      <c r="A514" s="2"/>
      <c r="B514" s="20" t="s">
        <v>118</v>
      </c>
      <c r="C514" s="21" t="s">
        <v>1188</v>
      </c>
      <c r="D514" s="21" t="s">
        <v>211</v>
      </c>
      <c r="E514" s="21">
        <v>0</v>
      </c>
      <c r="F514" s="21"/>
      <c r="G514" s="22"/>
    </row>
    <row r="515" spans="1:7" s="7" customFormat="1" x14ac:dyDescent="0.15">
      <c r="A515" s="2"/>
      <c r="B515" s="20" t="s">
        <v>93</v>
      </c>
      <c r="C515" s="21" t="s">
        <v>1189</v>
      </c>
      <c r="D515" s="21" t="s">
        <v>211</v>
      </c>
      <c r="E515" s="21">
        <v>0</v>
      </c>
      <c r="F515" s="21"/>
      <c r="G515" s="22"/>
    </row>
    <row r="516" spans="1:7" s="7" customFormat="1" x14ac:dyDescent="0.15">
      <c r="A516" s="2"/>
      <c r="B516" s="20" t="s">
        <v>41</v>
      </c>
      <c r="C516" s="21" t="s">
        <v>1258</v>
      </c>
      <c r="D516" s="21" t="s">
        <v>211</v>
      </c>
      <c r="E516" s="21">
        <v>0</v>
      </c>
      <c r="F516" s="21"/>
      <c r="G516" s="22" t="s">
        <v>1259</v>
      </c>
    </row>
    <row r="517" spans="1:7" s="7" customFormat="1" x14ac:dyDescent="0.15">
      <c r="A517" s="2"/>
      <c r="B517" s="20" t="s">
        <v>8</v>
      </c>
      <c r="C517" s="21" t="s">
        <v>1193</v>
      </c>
      <c r="D517" s="21" t="s">
        <v>1087</v>
      </c>
      <c r="E517" s="21">
        <v>0</v>
      </c>
      <c r="F517" s="21"/>
      <c r="G517" s="22" t="s">
        <v>1194</v>
      </c>
    </row>
    <row r="518" spans="1:7" s="7" customFormat="1" x14ac:dyDescent="0.15">
      <c r="A518" s="2"/>
      <c r="B518" s="20" t="s">
        <v>9</v>
      </c>
      <c r="C518" s="21" t="s">
        <v>1195</v>
      </c>
      <c r="D518" s="21" t="s">
        <v>1087</v>
      </c>
      <c r="E518" s="21">
        <v>0</v>
      </c>
      <c r="F518" s="21"/>
      <c r="G518" s="22" t="s">
        <v>1196</v>
      </c>
    </row>
    <row r="519" spans="1:7" s="7" customFormat="1" x14ac:dyDescent="0.15">
      <c r="A519" s="2"/>
      <c r="B519" s="20" t="s">
        <v>10</v>
      </c>
      <c r="C519" s="21" t="s">
        <v>1197</v>
      </c>
      <c r="D519" s="21" t="s">
        <v>1087</v>
      </c>
      <c r="E519" s="21">
        <v>0</v>
      </c>
      <c r="F519" s="21"/>
      <c r="G519" s="22" t="s">
        <v>1144</v>
      </c>
    </row>
    <row r="520" spans="1:7" s="7" customFormat="1" x14ac:dyDescent="0.15">
      <c r="A520" s="2"/>
      <c r="B520" s="20" t="s">
        <v>11</v>
      </c>
      <c r="C520" s="21" t="s">
        <v>1198</v>
      </c>
      <c r="D520" s="21" t="s">
        <v>1087</v>
      </c>
      <c r="E520" s="21">
        <v>0</v>
      </c>
      <c r="F520" s="21"/>
      <c r="G520" s="22" t="s">
        <v>1080</v>
      </c>
    </row>
    <row r="521" spans="1:7" s="7" customFormat="1" x14ac:dyDescent="0.15">
      <c r="A521" s="2"/>
      <c r="B521" s="20" t="s">
        <v>116</v>
      </c>
      <c r="C521" s="21" t="s">
        <v>1213</v>
      </c>
      <c r="D521" s="21" t="s">
        <v>1169</v>
      </c>
      <c r="E521" s="21">
        <v>0</v>
      </c>
      <c r="F521" s="21"/>
      <c r="G521" s="22"/>
    </row>
    <row r="522" spans="1:7" s="7" customFormat="1" x14ac:dyDescent="0.15">
      <c r="A522" s="2"/>
      <c r="B522" s="20" t="s">
        <v>12</v>
      </c>
      <c r="C522" s="21" t="s">
        <v>1143</v>
      </c>
      <c r="D522" s="21" t="s">
        <v>1169</v>
      </c>
      <c r="E522" s="21">
        <v>0</v>
      </c>
      <c r="F522" s="21"/>
      <c r="G522" s="22"/>
    </row>
    <row r="523" spans="1:7" s="7" customFormat="1" x14ac:dyDescent="0.15">
      <c r="A523" s="2"/>
      <c r="B523" s="20" t="s">
        <v>13</v>
      </c>
      <c r="C523" s="21" t="s">
        <v>1205</v>
      </c>
      <c r="D523" s="21" t="s">
        <v>1169</v>
      </c>
      <c r="E523" s="21">
        <v>0</v>
      </c>
      <c r="F523" s="21"/>
      <c r="G523" s="22"/>
    </row>
    <row r="524" spans="1:7" s="7" customFormat="1" x14ac:dyDescent="0.15">
      <c r="A524" s="2"/>
      <c r="B524" s="20" t="s">
        <v>14</v>
      </c>
      <c r="C524" s="21" t="s">
        <v>1206</v>
      </c>
      <c r="D524" s="21" t="s">
        <v>1169</v>
      </c>
      <c r="E524" s="21">
        <v>0</v>
      </c>
      <c r="F524" s="21"/>
      <c r="G524" s="22"/>
    </row>
    <row r="525" spans="1:7" s="7" customFormat="1" ht="18" thickBot="1" x14ac:dyDescent="0.2">
      <c r="A525" s="2"/>
      <c r="B525" s="24"/>
      <c r="C525" s="9"/>
      <c r="D525" s="9"/>
      <c r="E525" s="9"/>
      <c r="F525" s="9"/>
      <c r="G525" s="11"/>
    </row>
    <row r="526" spans="1:7" s="7" customFormat="1" x14ac:dyDescent="0.15">
      <c r="A526" s="2"/>
      <c r="B526" s="327" t="s">
        <v>15</v>
      </c>
      <c r="C526" s="328"/>
      <c r="D526" s="328"/>
      <c r="E526" s="328"/>
      <c r="F526" s="328"/>
      <c r="G526" s="329"/>
    </row>
    <row r="527" spans="1:7" s="7" customFormat="1" x14ac:dyDescent="0.15">
      <c r="A527" s="2" t="s">
        <v>62</v>
      </c>
      <c r="B527" s="20">
        <v>1</v>
      </c>
      <c r="C527" s="23" t="s">
        <v>22</v>
      </c>
      <c r="D527" s="23" t="s">
        <v>112</v>
      </c>
      <c r="E527" s="21" t="s">
        <v>121</v>
      </c>
      <c r="F527" s="21" t="s">
        <v>114</v>
      </c>
      <c r="G527" s="21" t="s">
        <v>118</v>
      </c>
    </row>
    <row r="528" spans="1:7" s="7" customFormat="1" x14ac:dyDescent="0.15">
      <c r="A528" s="2"/>
      <c r="B528" s="17">
        <v>2</v>
      </c>
      <c r="C528" s="23" t="s">
        <v>22</v>
      </c>
      <c r="D528" s="37" t="s">
        <v>122</v>
      </c>
      <c r="E528" s="18" t="s">
        <v>111</v>
      </c>
      <c r="F528" s="18" t="s">
        <v>18</v>
      </c>
      <c r="G528" s="38"/>
    </row>
    <row r="529" spans="1:7" s="7" customFormat="1" ht="18" thickBot="1" x14ac:dyDescent="0.2">
      <c r="A529" s="2"/>
      <c r="B529" s="24"/>
      <c r="C529" s="9"/>
      <c r="D529" s="9"/>
      <c r="E529" s="9"/>
      <c r="F529" s="9"/>
      <c r="G529" s="11"/>
    </row>
    <row r="530" spans="1:7" ht="18" thickBot="1" x14ac:dyDescent="0.2"/>
    <row r="531" spans="1:7" s="7" customFormat="1" x14ac:dyDescent="0.15">
      <c r="A531" s="2"/>
      <c r="B531" s="3" t="s">
        <v>563</v>
      </c>
      <c r="C531" s="147" t="s">
        <v>667</v>
      </c>
      <c r="D531" s="147" t="s">
        <v>515</v>
      </c>
      <c r="E531" s="21" t="s">
        <v>1019</v>
      </c>
      <c r="F531" s="5" t="s">
        <v>567</v>
      </c>
      <c r="G531" s="6"/>
    </row>
    <row r="532" spans="1:7" s="7" customFormat="1" ht="18" thickBot="1" x14ac:dyDescent="0.2">
      <c r="A532" s="2"/>
      <c r="B532" s="34" t="s">
        <v>570</v>
      </c>
      <c r="C532" s="18"/>
      <c r="D532" s="35" t="s">
        <v>568</v>
      </c>
      <c r="E532" s="18" t="s">
        <v>615</v>
      </c>
      <c r="F532" s="35"/>
      <c r="G532" s="19"/>
    </row>
    <row r="533" spans="1:7" s="7" customFormat="1" x14ac:dyDescent="0.15">
      <c r="A533" s="2"/>
      <c r="B533" s="3" t="s">
        <v>0</v>
      </c>
      <c r="C533" s="5" t="s">
        <v>1</v>
      </c>
      <c r="D533" s="5" t="s">
        <v>2</v>
      </c>
      <c r="E533" s="5"/>
      <c r="F533" s="5" t="s">
        <v>3</v>
      </c>
      <c r="G533" s="36" t="s">
        <v>4</v>
      </c>
    </row>
    <row r="534" spans="1:7" s="7" customFormat="1" x14ac:dyDescent="0.15">
      <c r="A534" s="2"/>
      <c r="B534" s="20" t="s">
        <v>122</v>
      </c>
      <c r="C534" s="21" t="s">
        <v>1163</v>
      </c>
      <c r="D534" s="21" t="s">
        <v>211</v>
      </c>
      <c r="E534" s="21">
        <v>0</v>
      </c>
      <c r="F534" s="21"/>
      <c r="G534" s="22" t="s">
        <v>1077</v>
      </c>
    </row>
    <row r="535" spans="1:7" s="7" customFormat="1" x14ac:dyDescent="0.15">
      <c r="A535" s="2"/>
      <c r="B535" s="20" t="s">
        <v>111</v>
      </c>
      <c r="C535" s="21" t="s">
        <v>1164</v>
      </c>
      <c r="D535" s="21" t="s">
        <v>211</v>
      </c>
      <c r="E535" s="21">
        <v>0</v>
      </c>
      <c r="F535" s="21"/>
      <c r="G535" s="22" t="s">
        <v>1165</v>
      </c>
    </row>
    <row r="536" spans="1:7" s="7" customFormat="1" x14ac:dyDescent="0.15">
      <c r="A536" s="2"/>
      <c r="B536" s="20" t="s">
        <v>154</v>
      </c>
      <c r="C536" s="21" t="s">
        <v>1133</v>
      </c>
      <c r="D536" s="21" t="s">
        <v>211</v>
      </c>
      <c r="E536" s="21">
        <v>0</v>
      </c>
      <c r="F536" s="21"/>
      <c r="G536" s="22" t="s">
        <v>1182</v>
      </c>
    </row>
    <row r="537" spans="1:7" s="7" customFormat="1" x14ac:dyDescent="0.15">
      <c r="A537" s="2"/>
      <c r="B537" s="20" t="s">
        <v>113</v>
      </c>
      <c r="C537" s="21" t="s">
        <v>1187</v>
      </c>
      <c r="D537" s="21" t="s">
        <v>211</v>
      </c>
      <c r="E537" s="21">
        <v>0</v>
      </c>
      <c r="F537" s="21"/>
      <c r="G537" s="22"/>
    </row>
    <row r="538" spans="1:7" s="7" customFormat="1" x14ac:dyDescent="0.15">
      <c r="A538" s="2"/>
      <c r="B538" s="20" t="s">
        <v>7</v>
      </c>
      <c r="C538" s="21" t="s">
        <v>1190</v>
      </c>
      <c r="D538" s="21" t="s">
        <v>211</v>
      </c>
      <c r="E538" s="21">
        <v>0</v>
      </c>
      <c r="F538" s="21"/>
      <c r="G538" s="22" t="s">
        <v>1081</v>
      </c>
    </row>
    <row r="539" spans="1:7" s="7" customFormat="1" x14ac:dyDescent="0.15">
      <c r="A539" s="2"/>
      <c r="B539" s="20" t="s">
        <v>201</v>
      </c>
      <c r="C539" s="21" t="s">
        <v>1155</v>
      </c>
      <c r="D539" s="21" t="s">
        <v>211</v>
      </c>
      <c r="E539" s="21">
        <v>0</v>
      </c>
      <c r="F539" s="21"/>
      <c r="G539" s="22"/>
    </row>
    <row r="540" spans="1:7" s="7" customFormat="1" x14ac:dyDescent="0.15">
      <c r="A540" s="2"/>
      <c r="B540" s="20" t="s">
        <v>202</v>
      </c>
      <c r="C540" s="21" t="s">
        <v>1188</v>
      </c>
      <c r="D540" s="21" t="s">
        <v>211</v>
      </c>
      <c r="E540" s="21">
        <v>0</v>
      </c>
      <c r="F540" s="21"/>
      <c r="G540" s="22"/>
    </row>
    <row r="541" spans="1:7" s="7" customFormat="1" x14ac:dyDescent="0.15">
      <c r="A541" s="2"/>
      <c r="B541" s="20" t="s">
        <v>8</v>
      </c>
      <c r="C541" s="21" t="s">
        <v>1193</v>
      </c>
      <c r="D541" s="21" t="s">
        <v>1087</v>
      </c>
      <c r="E541" s="21">
        <v>0</v>
      </c>
      <c r="F541" s="21"/>
      <c r="G541" s="22" t="s">
        <v>1194</v>
      </c>
    </row>
    <row r="542" spans="1:7" s="7" customFormat="1" x14ac:dyDescent="0.15">
      <c r="A542" s="2"/>
      <c r="B542" s="20" t="s">
        <v>9</v>
      </c>
      <c r="C542" s="21" t="s">
        <v>1195</v>
      </c>
      <c r="D542" s="21" t="s">
        <v>1087</v>
      </c>
      <c r="E542" s="21">
        <v>0</v>
      </c>
      <c r="F542" s="21"/>
      <c r="G542" s="22" t="s">
        <v>1196</v>
      </c>
    </row>
    <row r="543" spans="1:7" s="7" customFormat="1" x14ac:dyDescent="0.15">
      <c r="A543" s="2"/>
      <c r="B543" s="20" t="s">
        <v>76</v>
      </c>
      <c r="C543" s="21" t="s">
        <v>1118</v>
      </c>
      <c r="D543" s="21" t="s">
        <v>1087</v>
      </c>
      <c r="E543" s="21">
        <v>0</v>
      </c>
      <c r="F543" s="21"/>
      <c r="G543" s="22"/>
    </row>
    <row r="544" spans="1:7" s="7" customFormat="1" x14ac:dyDescent="0.15">
      <c r="A544" s="2"/>
      <c r="B544" s="20" t="s">
        <v>77</v>
      </c>
      <c r="C544" s="21" t="s">
        <v>1336</v>
      </c>
      <c r="D544" s="21" t="s">
        <v>1087</v>
      </c>
      <c r="E544" s="21">
        <v>0</v>
      </c>
      <c r="F544" s="21"/>
      <c r="G544" s="22"/>
    </row>
    <row r="545" spans="1:7" s="7" customFormat="1" ht="18" thickBot="1" x14ac:dyDescent="0.2">
      <c r="A545" s="2"/>
      <c r="B545" s="24"/>
      <c r="C545" s="9"/>
      <c r="D545" s="9"/>
      <c r="E545" s="9"/>
      <c r="F545" s="9"/>
      <c r="G545" s="11"/>
    </row>
    <row r="546" spans="1:7" s="7" customFormat="1" ht="18.75" customHeight="1" x14ac:dyDescent="0.15">
      <c r="A546" s="2"/>
      <c r="B546" s="327" t="s">
        <v>15</v>
      </c>
      <c r="C546" s="328"/>
      <c r="D546" s="328"/>
      <c r="E546" s="328"/>
      <c r="F546" s="328"/>
      <c r="G546" s="329"/>
    </row>
    <row r="547" spans="1:7" s="7" customFormat="1" x14ac:dyDescent="0.15">
      <c r="A547" s="2" t="s">
        <v>62</v>
      </c>
      <c r="B547" s="20">
        <v>1</v>
      </c>
      <c r="C547" s="21" t="s">
        <v>154</v>
      </c>
      <c r="D547" s="21" t="s">
        <v>120</v>
      </c>
      <c r="E547" s="21" t="s">
        <v>201</v>
      </c>
      <c r="F547" s="21" t="s">
        <v>202</v>
      </c>
      <c r="G547" s="22"/>
    </row>
    <row r="548" spans="1:7" s="7" customFormat="1" x14ac:dyDescent="0.15">
      <c r="A548" s="2"/>
      <c r="B548" s="20"/>
      <c r="C548" s="23"/>
      <c r="D548" s="21"/>
      <c r="E548" s="21"/>
      <c r="F548" s="21"/>
      <c r="G548" s="22"/>
    </row>
    <row r="549" spans="1:7" s="2" customFormat="1" ht="18" thickBot="1" x14ac:dyDescent="0.2"/>
    <row r="550" spans="1:7" s="7" customFormat="1" x14ac:dyDescent="0.15">
      <c r="A550" s="2"/>
      <c r="B550" s="3" t="s">
        <v>563</v>
      </c>
      <c r="C550" s="147" t="s">
        <v>668</v>
      </c>
      <c r="D550" s="147" t="s">
        <v>515</v>
      </c>
      <c r="E550" s="21" t="s">
        <v>596</v>
      </c>
      <c r="F550" s="5" t="s">
        <v>567</v>
      </c>
      <c r="G550" s="6"/>
    </row>
    <row r="551" spans="1:7" s="7" customFormat="1" ht="18" thickBot="1" x14ac:dyDescent="0.2">
      <c r="A551" s="2"/>
      <c r="B551" s="8" t="s">
        <v>570</v>
      </c>
      <c r="C551" s="9"/>
      <c r="D551" s="10" t="s">
        <v>568</v>
      </c>
      <c r="E551" s="9" t="s">
        <v>615</v>
      </c>
      <c r="F551" s="10"/>
      <c r="G551" s="11"/>
    </row>
    <row r="552" spans="1:7" s="7" customFormat="1" x14ac:dyDescent="0.15">
      <c r="A552" s="2"/>
      <c r="B552" s="12" t="s">
        <v>0</v>
      </c>
      <c r="C552" s="13" t="s">
        <v>1</v>
      </c>
      <c r="D552" s="13" t="s">
        <v>2</v>
      </c>
      <c r="E552" s="13"/>
      <c r="F552" s="13" t="s">
        <v>3</v>
      </c>
      <c r="G552" s="13" t="s">
        <v>4</v>
      </c>
    </row>
    <row r="553" spans="1:7" s="7" customFormat="1" x14ac:dyDescent="0.15">
      <c r="A553" s="2"/>
      <c r="B553" s="14" t="s">
        <v>5</v>
      </c>
      <c r="C553" s="15" t="s">
        <v>1127</v>
      </c>
      <c r="D553" s="15" t="s">
        <v>211</v>
      </c>
      <c r="E553" s="15" t="s">
        <v>1141</v>
      </c>
      <c r="F553" s="15"/>
      <c r="G553" s="16" t="s">
        <v>1162</v>
      </c>
    </row>
    <row r="554" spans="1:7" s="7" customFormat="1" x14ac:dyDescent="0.15">
      <c r="A554" s="2"/>
      <c r="B554" s="20" t="s">
        <v>203</v>
      </c>
      <c r="C554" s="21" t="s">
        <v>1163</v>
      </c>
      <c r="D554" s="21" t="s">
        <v>211</v>
      </c>
      <c r="E554" s="21">
        <v>0</v>
      </c>
      <c r="F554" s="21"/>
      <c r="G554" s="22" t="s">
        <v>1077</v>
      </c>
    </row>
    <row r="555" spans="1:7" s="7" customFormat="1" x14ac:dyDescent="0.15">
      <c r="A555" s="2"/>
      <c r="B555" s="20" t="s">
        <v>111</v>
      </c>
      <c r="C555" s="21" t="s">
        <v>1164</v>
      </c>
      <c r="D555" s="21" t="s">
        <v>211</v>
      </c>
      <c r="E555" s="21">
        <v>0</v>
      </c>
      <c r="F555" s="21"/>
      <c r="G555" s="22" t="s">
        <v>1165</v>
      </c>
    </row>
    <row r="556" spans="1:7" s="7" customFormat="1" x14ac:dyDescent="0.15">
      <c r="A556" s="2"/>
      <c r="B556" s="20" t="s">
        <v>154</v>
      </c>
      <c r="C556" s="21" t="s">
        <v>1133</v>
      </c>
      <c r="D556" s="21" t="s">
        <v>211</v>
      </c>
      <c r="E556" s="21">
        <v>0</v>
      </c>
      <c r="F556" s="21"/>
      <c r="G556" s="22" t="s">
        <v>1182</v>
      </c>
    </row>
    <row r="557" spans="1:7" s="7" customFormat="1" x14ac:dyDescent="0.15">
      <c r="A557" s="2"/>
      <c r="B557" s="20" t="s">
        <v>204</v>
      </c>
      <c r="C557" s="21" t="s">
        <v>1187</v>
      </c>
      <c r="D557" s="21" t="s">
        <v>211</v>
      </c>
      <c r="E557" s="21">
        <v>0</v>
      </c>
      <c r="F557" s="21"/>
      <c r="G557" s="22"/>
    </row>
    <row r="558" spans="1:7" s="7" customFormat="1" x14ac:dyDescent="0.15">
      <c r="A558" s="2"/>
      <c r="B558" s="20" t="s">
        <v>7</v>
      </c>
      <c r="C558" s="21" t="s">
        <v>1190</v>
      </c>
      <c r="D558" s="21" t="s">
        <v>211</v>
      </c>
      <c r="E558" s="21">
        <v>0</v>
      </c>
      <c r="F558" s="21"/>
      <c r="G558" s="22" t="s">
        <v>1081</v>
      </c>
    </row>
    <row r="559" spans="1:7" s="7" customFormat="1" x14ac:dyDescent="0.15">
      <c r="A559" s="2"/>
      <c r="B559" s="20" t="s">
        <v>114</v>
      </c>
      <c r="C559" s="21" t="s">
        <v>1155</v>
      </c>
      <c r="D559" s="21" t="s">
        <v>211</v>
      </c>
      <c r="E559" s="21">
        <v>0</v>
      </c>
      <c r="F559" s="21"/>
      <c r="G559" s="22"/>
    </row>
    <row r="560" spans="1:7" s="7" customFormat="1" x14ac:dyDescent="0.15">
      <c r="A560" s="2"/>
      <c r="B560" s="20" t="s">
        <v>118</v>
      </c>
      <c r="C560" s="21" t="s">
        <v>1188</v>
      </c>
      <c r="D560" s="21" t="s">
        <v>211</v>
      </c>
      <c r="E560" s="21">
        <v>0</v>
      </c>
      <c r="F560" s="21"/>
      <c r="G560" s="22"/>
    </row>
    <row r="561" spans="1:7" s="7" customFormat="1" x14ac:dyDescent="0.15">
      <c r="A561" s="2"/>
      <c r="B561" s="20" t="s">
        <v>8</v>
      </c>
      <c r="C561" s="21" t="s">
        <v>1193</v>
      </c>
      <c r="D561" s="21" t="s">
        <v>1087</v>
      </c>
      <c r="E561" s="21">
        <v>0</v>
      </c>
      <c r="F561" s="21"/>
      <c r="G561" s="22" t="s">
        <v>1194</v>
      </c>
    </row>
    <row r="562" spans="1:7" s="7" customFormat="1" x14ac:dyDescent="0.15">
      <c r="A562" s="2"/>
      <c r="B562" s="20" t="s">
        <v>9</v>
      </c>
      <c r="C562" s="21" t="s">
        <v>1195</v>
      </c>
      <c r="D562" s="21" t="s">
        <v>1087</v>
      </c>
      <c r="E562" s="21">
        <v>0</v>
      </c>
      <c r="F562" s="21"/>
      <c r="G562" s="22" t="s">
        <v>1196</v>
      </c>
    </row>
    <row r="563" spans="1:7" s="7" customFormat="1" x14ac:dyDescent="0.15">
      <c r="A563" s="2"/>
      <c r="B563" s="20" t="s">
        <v>76</v>
      </c>
      <c r="C563" s="21" t="s">
        <v>1118</v>
      </c>
      <c r="D563" s="21" t="s">
        <v>1087</v>
      </c>
      <c r="E563" s="21">
        <v>0</v>
      </c>
      <c r="F563" s="21"/>
      <c r="G563" s="22"/>
    </row>
    <row r="564" spans="1:7" s="7" customFormat="1" x14ac:dyDescent="0.15">
      <c r="A564" s="2"/>
      <c r="B564" s="20" t="s">
        <v>77</v>
      </c>
      <c r="C564" s="21" t="s">
        <v>1336</v>
      </c>
      <c r="D564" s="21" t="s">
        <v>1087</v>
      </c>
      <c r="E564" s="21">
        <v>0</v>
      </c>
      <c r="F564" s="21"/>
      <c r="G564" s="22"/>
    </row>
    <row r="565" spans="1:7" s="7" customFormat="1" ht="18" thickBot="1" x14ac:dyDescent="0.2">
      <c r="A565" s="2"/>
      <c r="B565" s="17"/>
      <c r="C565" s="18"/>
      <c r="D565" s="18"/>
      <c r="E565" s="18"/>
      <c r="F565" s="18"/>
      <c r="G565" s="19"/>
    </row>
    <row r="566" spans="1:7" s="7" customFormat="1" x14ac:dyDescent="0.15">
      <c r="A566" s="2"/>
      <c r="B566" s="327" t="s">
        <v>15</v>
      </c>
      <c r="C566" s="328"/>
      <c r="D566" s="328"/>
      <c r="E566" s="328"/>
      <c r="F566" s="328"/>
      <c r="G566" s="329"/>
    </row>
    <row r="567" spans="1:7" s="7" customFormat="1" x14ac:dyDescent="0.15">
      <c r="A567" s="2" t="s">
        <v>205</v>
      </c>
      <c r="B567" s="20">
        <v>1</v>
      </c>
      <c r="C567" s="21" t="s">
        <v>22</v>
      </c>
      <c r="D567" s="21" t="s">
        <v>154</v>
      </c>
      <c r="E567" s="21" t="s">
        <v>120</v>
      </c>
      <c r="F567" s="21" t="s">
        <v>114</v>
      </c>
      <c r="G567" s="21" t="s">
        <v>118</v>
      </c>
    </row>
    <row r="568" spans="1:7" s="7" customFormat="1" x14ac:dyDescent="0.15">
      <c r="A568" s="2"/>
      <c r="B568" s="20"/>
      <c r="C568" s="23"/>
      <c r="D568" s="21"/>
      <c r="E568" s="21"/>
      <c r="F568" s="21"/>
      <c r="G568" s="22"/>
    </row>
    <row r="569" spans="1:7" ht="18" thickBot="1" x14ac:dyDescent="0.2"/>
    <row r="570" spans="1:7" s="7" customFormat="1" x14ac:dyDescent="0.15">
      <c r="A570" s="2"/>
      <c r="B570" s="3" t="s">
        <v>563</v>
      </c>
      <c r="C570" s="4" t="s">
        <v>656</v>
      </c>
      <c r="D570" s="5" t="s">
        <v>515</v>
      </c>
      <c r="E570" s="21" t="s">
        <v>1020</v>
      </c>
      <c r="F570" s="5" t="s">
        <v>567</v>
      </c>
      <c r="G570" s="6"/>
    </row>
    <row r="571" spans="1:7" s="7" customFormat="1" ht="18" thickBot="1" x14ac:dyDescent="0.2">
      <c r="A571" s="2"/>
      <c r="B571" s="34" t="s">
        <v>570</v>
      </c>
      <c r="C571" s="18"/>
      <c r="D571" s="35" t="s">
        <v>568</v>
      </c>
      <c r="E571" s="18" t="s">
        <v>615</v>
      </c>
      <c r="F571" s="35"/>
      <c r="G571" s="19"/>
    </row>
    <row r="572" spans="1:7" s="7" customFormat="1" x14ac:dyDescent="0.15">
      <c r="A572" s="2"/>
      <c r="B572" s="3" t="s">
        <v>0</v>
      </c>
      <c r="C572" s="5" t="s">
        <v>1</v>
      </c>
      <c r="D572" s="5" t="s">
        <v>2</v>
      </c>
      <c r="E572" s="5"/>
      <c r="F572" s="5" t="s">
        <v>3</v>
      </c>
      <c r="G572" s="36" t="s">
        <v>4</v>
      </c>
    </row>
    <row r="573" spans="1:7" s="7" customFormat="1" x14ac:dyDescent="0.15">
      <c r="A573" s="2"/>
      <c r="B573" s="20" t="s">
        <v>6</v>
      </c>
      <c r="C573" s="21" t="s">
        <v>1163</v>
      </c>
      <c r="D573" s="21" t="s">
        <v>211</v>
      </c>
      <c r="E573" s="21">
        <v>0</v>
      </c>
      <c r="F573" s="21"/>
      <c r="G573" s="22" t="s">
        <v>1077</v>
      </c>
    </row>
    <row r="574" spans="1:7" s="7" customFormat="1" x14ac:dyDescent="0.15">
      <c r="A574" s="2"/>
      <c r="B574" s="20" t="s">
        <v>111</v>
      </c>
      <c r="C574" s="21" t="s">
        <v>1164</v>
      </c>
      <c r="D574" s="21" t="s">
        <v>211</v>
      </c>
      <c r="E574" s="21">
        <v>0</v>
      </c>
      <c r="F574" s="21"/>
      <c r="G574" s="22" t="s">
        <v>1165</v>
      </c>
    </row>
    <row r="575" spans="1:7" s="7" customFormat="1" x14ac:dyDescent="0.15">
      <c r="A575" s="2"/>
      <c r="B575" s="20" t="s">
        <v>154</v>
      </c>
      <c r="C575" s="21" t="s">
        <v>1133</v>
      </c>
      <c r="D575" s="21" t="s">
        <v>211</v>
      </c>
      <c r="E575" s="21">
        <v>0</v>
      </c>
      <c r="F575" s="21"/>
      <c r="G575" s="22" t="s">
        <v>1182</v>
      </c>
    </row>
    <row r="576" spans="1:7" s="7" customFormat="1" x14ac:dyDescent="0.15">
      <c r="A576" s="2"/>
      <c r="B576" s="20" t="s">
        <v>113</v>
      </c>
      <c r="C576" s="21" t="s">
        <v>1187</v>
      </c>
      <c r="D576" s="21" t="s">
        <v>211</v>
      </c>
      <c r="E576" s="21">
        <v>0</v>
      </c>
      <c r="F576" s="21"/>
      <c r="G576" s="22"/>
    </row>
    <row r="577" spans="1:7" s="7" customFormat="1" x14ac:dyDescent="0.15">
      <c r="A577" s="2"/>
      <c r="B577" s="20" t="s">
        <v>7</v>
      </c>
      <c r="C577" s="21" t="s">
        <v>1190</v>
      </c>
      <c r="D577" s="21" t="s">
        <v>211</v>
      </c>
      <c r="E577" s="21">
        <v>0</v>
      </c>
      <c r="F577" s="21"/>
      <c r="G577" s="22" t="s">
        <v>1081</v>
      </c>
    </row>
    <row r="578" spans="1:7" s="7" customFormat="1" x14ac:dyDescent="0.15">
      <c r="A578" s="2"/>
      <c r="B578" s="20" t="s">
        <v>114</v>
      </c>
      <c r="C578" s="21" t="s">
        <v>1155</v>
      </c>
      <c r="D578" s="21" t="s">
        <v>211</v>
      </c>
      <c r="E578" s="21">
        <v>0</v>
      </c>
      <c r="F578" s="21"/>
      <c r="G578" s="22"/>
    </row>
    <row r="579" spans="1:7" s="7" customFormat="1" x14ac:dyDescent="0.15">
      <c r="A579" s="2"/>
      <c r="B579" s="20" t="s">
        <v>118</v>
      </c>
      <c r="C579" s="21" t="s">
        <v>1188</v>
      </c>
      <c r="D579" s="21" t="s">
        <v>211</v>
      </c>
      <c r="E579" s="21">
        <v>0</v>
      </c>
      <c r="F579" s="21"/>
      <c r="G579" s="22"/>
    </row>
    <row r="580" spans="1:7" s="7" customFormat="1" x14ac:dyDescent="0.15">
      <c r="A580" s="2"/>
      <c r="B580" s="20" t="s">
        <v>19</v>
      </c>
      <c r="C580" s="21" t="s">
        <v>1337</v>
      </c>
      <c r="D580" s="21" t="s">
        <v>1219</v>
      </c>
      <c r="E580" s="21" t="s">
        <v>1072</v>
      </c>
      <c r="F580" s="21"/>
      <c r="G580" s="22" t="s">
        <v>1338</v>
      </c>
    </row>
    <row r="581" spans="1:7" s="7" customFormat="1" x14ac:dyDescent="0.15">
      <c r="A581" s="2"/>
      <c r="B581" s="20" t="s">
        <v>214</v>
      </c>
      <c r="C581" s="21" t="s">
        <v>1339</v>
      </c>
      <c r="D581" s="21" t="s">
        <v>211</v>
      </c>
      <c r="E581" s="21">
        <v>0</v>
      </c>
      <c r="F581" s="21"/>
      <c r="G581" s="22"/>
    </row>
    <row r="582" spans="1:7" s="7" customFormat="1" x14ac:dyDescent="0.15">
      <c r="A582" s="2"/>
      <c r="B582" s="20" t="s">
        <v>213</v>
      </c>
      <c r="C582" s="21" t="s">
        <v>1340</v>
      </c>
      <c r="D582" s="21" t="s">
        <v>1219</v>
      </c>
      <c r="E582" s="21" t="s">
        <v>1072</v>
      </c>
      <c r="F582" s="21"/>
      <c r="G582" s="22"/>
    </row>
    <row r="583" spans="1:7" s="7" customFormat="1" x14ac:dyDescent="0.15">
      <c r="A583" s="2"/>
      <c r="B583" s="20" t="s">
        <v>94</v>
      </c>
      <c r="C583" s="21" t="s">
        <v>1278</v>
      </c>
      <c r="D583" s="21" t="s">
        <v>211</v>
      </c>
      <c r="E583" s="21">
        <v>0</v>
      </c>
      <c r="F583" s="21"/>
      <c r="G583" s="22" t="s">
        <v>1279</v>
      </c>
    </row>
    <row r="584" spans="1:7" s="7" customFormat="1" x14ac:dyDescent="0.15">
      <c r="A584" s="2"/>
      <c r="B584" s="20" t="s">
        <v>333</v>
      </c>
      <c r="C584" s="21" t="s">
        <v>1341</v>
      </c>
      <c r="D584" s="21" t="s">
        <v>1087</v>
      </c>
      <c r="E584" s="21">
        <v>0</v>
      </c>
      <c r="F584" s="21"/>
      <c r="G584" s="22"/>
    </row>
    <row r="585" spans="1:7" s="7" customFormat="1" x14ac:dyDescent="0.15">
      <c r="A585" s="2"/>
      <c r="B585" s="20" t="s">
        <v>334</v>
      </c>
      <c r="C585" s="21" t="s">
        <v>1342</v>
      </c>
      <c r="D585" s="21" t="s">
        <v>1169</v>
      </c>
      <c r="E585" s="21">
        <v>0</v>
      </c>
      <c r="F585" s="21"/>
      <c r="G585" s="22"/>
    </row>
    <row r="586" spans="1:7" s="7" customFormat="1" x14ac:dyDescent="0.15">
      <c r="A586" s="2"/>
      <c r="B586" s="20" t="s">
        <v>335</v>
      </c>
      <c r="C586" s="21" t="s">
        <v>1560</v>
      </c>
      <c r="D586" s="21" t="s">
        <v>1172</v>
      </c>
      <c r="E586" s="21">
        <v>0</v>
      </c>
      <c r="F586" s="21"/>
      <c r="G586" s="22"/>
    </row>
    <row r="587" spans="1:7" s="7" customFormat="1" x14ac:dyDescent="0.15">
      <c r="A587" s="2"/>
      <c r="B587" s="20" t="s">
        <v>336</v>
      </c>
      <c r="C587" s="21" t="s">
        <v>1343</v>
      </c>
      <c r="D587" s="21" t="s">
        <v>211</v>
      </c>
      <c r="E587" s="21" t="s">
        <v>1141</v>
      </c>
      <c r="F587" s="21"/>
      <c r="G587" s="22"/>
    </row>
    <row r="588" spans="1:7" s="7" customFormat="1" x14ac:dyDescent="0.15">
      <c r="A588" s="2"/>
      <c r="B588" s="20" t="s">
        <v>337</v>
      </c>
      <c r="C588" s="21" t="s">
        <v>1344</v>
      </c>
      <c r="D588" s="21" t="s">
        <v>1345</v>
      </c>
      <c r="E588" s="21">
        <v>0</v>
      </c>
      <c r="F588" s="21"/>
      <c r="G588" s="22"/>
    </row>
    <row r="589" spans="1:7" s="7" customFormat="1" x14ac:dyDescent="0.15">
      <c r="A589" s="2"/>
      <c r="B589" s="20" t="s">
        <v>338</v>
      </c>
      <c r="C589" s="21" t="s">
        <v>1346</v>
      </c>
      <c r="D589" s="21" t="s">
        <v>1345</v>
      </c>
      <c r="E589" s="21">
        <v>0</v>
      </c>
      <c r="F589" s="21"/>
      <c r="G589" s="22"/>
    </row>
    <row r="590" spans="1:7" s="7" customFormat="1" x14ac:dyDescent="0.15">
      <c r="A590" s="2"/>
      <c r="B590" s="20" t="s">
        <v>339</v>
      </c>
      <c r="C590" s="21" t="s">
        <v>1347</v>
      </c>
      <c r="D590" s="21" t="s">
        <v>211</v>
      </c>
      <c r="E590" s="21">
        <v>0</v>
      </c>
      <c r="F590" s="21"/>
      <c r="G590" s="22"/>
    </row>
    <row r="591" spans="1:7" s="7" customFormat="1" x14ac:dyDescent="0.15">
      <c r="A591" s="2"/>
      <c r="B591" s="20" t="s">
        <v>340</v>
      </c>
      <c r="C591" s="21" t="s">
        <v>1348</v>
      </c>
      <c r="D591" s="21" t="s">
        <v>211</v>
      </c>
      <c r="E591" s="21">
        <v>0</v>
      </c>
      <c r="F591" s="21"/>
      <c r="G591" s="22"/>
    </row>
    <row r="592" spans="1:7" s="7" customFormat="1" x14ac:dyDescent="0.15">
      <c r="A592" s="2"/>
      <c r="B592" s="20" t="s">
        <v>341</v>
      </c>
      <c r="C592" s="21" t="s">
        <v>1349</v>
      </c>
      <c r="D592" s="21" t="s">
        <v>211</v>
      </c>
      <c r="E592" s="21">
        <v>0</v>
      </c>
      <c r="F592" s="21"/>
      <c r="G592" s="22"/>
    </row>
    <row r="593" spans="1:7" s="7" customFormat="1" x14ac:dyDescent="0.15">
      <c r="A593" s="2"/>
      <c r="B593" s="20" t="s">
        <v>342</v>
      </c>
      <c r="C593" s="21" t="s">
        <v>1350</v>
      </c>
      <c r="D593" s="21" t="s">
        <v>1169</v>
      </c>
      <c r="E593" s="21">
        <v>0</v>
      </c>
      <c r="F593" s="21"/>
      <c r="G593" s="22"/>
    </row>
    <row r="594" spans="1:7" s="7" customFormat="1" x14ac:dyDescent="0.15">
      <c r="A594" s="2"/>
      <c r="B594" s="20" t="s">
        <v>343</v>
      </c>
      <c r="C594" s="21" t="s">
        <v>1351</v>
      </c>
      <c r="D594" s="21" t="s">
        <v>1169</v>
      </c>
      <c r="E594" s="21">
        <v>0</v>
      </c>
      <c r="F594" s="21"/>
      <c r="G594" s="22"/>
    </row>
    <row r="595" spans="1:7" s="7" customFormat="1" x14ac:dyDescent="0.15">
      <c r="A595" s="2"/>
      <c r="B595" s="20" t="s">
        <v>344</v>
      </c>
      <c r="C595" s="21" t="s">
        <v>1352</v>
      </c>
      <c r="D595" s="21" t="s">
        <v>211</v>
      </c>
      <c r="E595" s="21">
        <v>0</v>
      </c>
      <c r="F595" s="21"/>
      <c r="G595" s="22"/>
    </row>
    <row r="596" spans="1:7" s="7" customFormat="1" x14ac:dyDescent="0.15">
      <c r="A596" s="2"/>
      <c r="B596" s="20" t="s">
        <v>345</v>
      </c>
      <c r="C596" s="21" t="s">
        <v>1353</v>
      </c>
      <c r="D596" s="21" t="s">
        <v>1403</v>
      </c>
      <c r="E596" s="21" t="s">
        <v>1303</v>
      </c>
      <c r="F596" s="21"/>
      <c r="G596" s="22" t="s">
        <v>1354</v>
      </c>
    </row>
    <row r="597" spans="1:7" s="7" customFormat="1" ht="18" thickBot="1" x14ac:dyDescent="0.2">
      <c r="A597" s="2"/>
      <c r="B597" s="24"/>
      <c r="C597" s="9"/>
      <c r="D597" s="9"/>
      <c r="E597" s="9"/>
      <c r="F597" s="9"/>
      <c r="G597" s="11"/>
    </row>
    <row r="598" spans="1:7" s="7" customFormat="1" x14ac:dyDescent="0.15">
      <c r="A598" s="2"/>
      <c r="B598" s="327" t="s">
        <v>15</v>
      </c>
      <c r="C598" s="328"/>
      <c r="D598" s="328"/>
      <c r="E598" s="328"/>
      <c r="F598" s="328"/>
      <c r="G598" s="329"/>
    </row>
    <row r="599" spans="1:7" s="7" customFormat="1" x14ac:dyDescent="0.15">
      <c r="A599" s="2"/>
      <c r="B599" s="20">
        <v>1</v>
      </c>
      <c r="C599" s="21" t="s">
        <v>113</v>
      </c>
      <c r="D599" s="21" t="s">
        <v>114</v>
      </c>
      <c r="E599" s="21" t="s">
        <v>118</v>
      </c>
      <c r="F599" s="22" t="s">
        <v>94</v>
      </c>
      <c r="G599" s="22"/>
    </row>
    <row r="600" spans="1:7" s="7" customFormat="1" x14ac:dyDescent="0.15">
      <c r="A600" s="2"/>
      <c r="B600" s="20">
        <v>2</v>
      </c>
      <c r="C600" s="21" t="s">
        <v>16</v>
      </c>
      <c r="D600" s="21" t="s">
        <v>111</v>
      </c>
      <c r="E600" s="21" t="s">
        <v>154</v>
      </c>
      <c r="F600" s="21"/>
      <c r="G600" s="21"/>
    </row>
    <row r="601" spans="1:7" s="7" customFormat="1" x14ac:dyDescent="0.15">
      <c r="A601" s="2"/>
      <c r="B601" s="17">
        <v>3</v>
      </c>
      <c r="C601" s="18" t="s">
        <v>344</v>
      </c>
      <c r="D601" s="18" t="s">
        <v>346</v>
      </c>
      <c r="E601" s="18"/>
      <c r="F601" s="18"/>
      <c r="G601" s="18"/>
    </row>
    <row r="602" spans="1:7" s="7" customFormat="1" ht="18" thickBot="1" x14ac:dyDescent="0.2">
      <c r="A602" s="2"/>
      <c r="B602" s="24"/>
      <c r="C602" s="9"/>
      <c r="D602" s="9"/>
      <c r="E602" s="9"/>
      <c r="F602" s="9"/>
      <c r="G602" s="11"/>
    </row>
    <row r="603" spans="1:7" s="7" customFormat="1" ht="18" thickBot="1" x14ac:dyDescent="0.2">
      <c r="A603" s="2"/>
    </row>
    <row r="604" spans="1:7" s="7" customFormat="1" x14ac:dyDescent="0.15">
      <c r="A604" s="2"/>
      <c r="B604" s="3" t="s">
        <v>563</v>
      </c>
      <c r="C604" s="4" t="s">
        <v>657</v>
      </c>
      <c r="D604" s="5" t="s">
        <v>515</v>
      </c>
      <c r="E604" s="21" t="s">
        <v>614</v>
      </c>
      <c r="F604" s="5" t="s">
        <v>567</v>
      </c>
      <c r="G604" s="6"/>
    </row>
    <row r="605" spans="1:7" s="7" customFormat="1" ht="18" thickBot="1" x14ac:dyDescent="0.2">
      <c r="A605" s="2"/>
      <c r="B605" s="34" t="s">
        <v>570</v>
      </c>
      <c r="C605" s="18"/>
      <c r="D605" s="35" t="s">
        <v>568</v>
      </c>
      <c r="E605" s="18" t="s">
        <v>615</v>
      </c>
      <c r="F605" s="35"/>
      <c r="G605" s="19"/>
    </row>
    <row r="606" spans="1:7" s="7" customFormat="1" x14ac:dyDescent="0.15">
      <c r="A606" s="2"/>
      <c r="B606" s="3" t="s">
        <v>0</v>
      </c>
      <c r="C606" s="5" t="s">
        <v>1</v>
      </c>
      <c r="D606" s="5" t="s">
        <v>2</v>
      </c>
      <c r="E606" s="5"/>
      <c r="F606" s="5" t="s">
        <v>3</v>
      </c>
      <c r="G606" s="36" t="s">
        <v>4</v>
      </c>
    </row>
    <row r="607" spans="1:7" s="7" customFormat="1" x14ac:dyDescent="0.15">
      <c r="A607" s="2"/>
      <c r="B607" s="20" t="s">
        <v>5</v>
      </c>
      <c r="C607" s="21" t="s">
        <v>1127</v>
      </c>
      <c r="D607" s="21" t="s">
        <v>211</v>
      </c>
      <c r="E607" s="21" t="s">
        <v>1141</v>
      </c>
      <c r="F607" s="21"/>
      <c r="G607" s="22" t="s">
        <v>1162</v>
      </c>
    </row>
    <row r="608" spans="1:7" s="7" customFormat="1" x14ac:dyDescent="0.15">
      <c r="A608" s="2"/>
      <c r="B608" s="20" t="s">
        <v>6</v>
      </c>
      <c r="C608" s="21" t="s">
        <v>1163</v>
      </c>
      <c r="D608" s="21" t="s">
        <v>211</v>
      </c>
      <c r="E608" s="21">
        <v>0</v>
      </c>
      <c r="F608" s="21"/>
      <c r="G608" s="22" t="s">
        <v>1077</v>
      </c>
    </row>
    <row r="609" spans="1:7" s="7" customFormat="1" x14ac:dyDescent="0.15">
      <c r="A609" s="2"/>
      <c r="B609" s="20" t="s">
        <v>111</v>
      </c>
      <c r="C609" s="21" t="s">
        <v>1164</v>
      </c>
      <c r="D609" s="21" t="s">
        <v>211</v>
      </c>
      <c r="E609" s="21">
        <v>0</v>
      </c>
      <c r="F609" s="21"/>
      <c r="G609" s="22" t="s">
        <v>1165</v>
      </c>
    </row>
    <row r="610" spans="1:7" s="7" customFormat="1" x14ac:dyDescent="0.15">
      <c r="A610" s="2"/>
      <c r="B610" s="20" t="s">
        <v>154</v>
      </c>
      <c r="C610" s="21" t="s">
        <v>1133</v>
      </c>
      <c r="D610" s="21" t="s">
        <v>211</v>
      </c>
      <c r="E610" s="21">
        <v>0</v>
      </c>
      <c r="F610" s="21"/>
      <c r="G610" s="22" t="s">
        <v>1182</v>
      </c>
    </row>
    <row r="611" spans="1:7" s="7" customFormat="1" x14ac:dyDescent="0.15">
      <c r="A611" s="2"/>
      <c r="B611" s="20" t="s">
        <v>120</v>
      </c>
      <c r="C611" s="21" t="s">
        <v>1187</v>
      </c>
      <c r="D611" s="21" t="s">
        <v>211</v>
      </c>
      <c r="E611" s="21">
        <v>0</v>
      </c>
      <c r="F611" s="21"/>
      <c r="G611" s="22"/>
    </row>
    <row r="612" spans="1:7" s="7" customFormat="1" x14ac:dyDescent="0.15">
      <c r="A612" s="2"/>
      <c r="B612" s="20" t="s">
        <v>182</v>
      </c>
      <c r="C612" s="21" t="s">
        <v>1091</v>
      </c>
      <c r="D612" s="21" t="s">
        <v>1131</v>
      </c>
      <c r="E612" s="21" t="s">
        <v>1074</v>
      </c>
      <c r="F612" s="21"/>
      <c r="G612" s="22"/>
    </row>
    <row r="613" spans="1:7" s="7" customFormat="1" x14ac:dyDescent="0.15">
      <c r="A613" s="2"/>
      <c r="B613" s="20" t="s">
        <v>243</v>
      </c>
      <c r="C613" s="21" t="s">
        <v>1450</v>
      </c>
      <c r="D613" s="21" t="s">
        <v>1131</v>
      </c>
      <c r="E613" s="21" t="s">
        <v>1074</v>
      </c>
      <c r="F613" s="21"/>
      <c r="G613" s="22"/>
    </row>
    <row r="614" spans="1:7" s="7" customFormat="1" x14ac:dyDescent="0.15">
      <c r="A614" s="2"/>
      <c r="B614" s="20" t="s">
        <v>488</v>
      </c>
      <c r="C614" s="21" t="s">
        <v>1561</v>
      </c>
      <c r="D614" s="21" t="s">
        <v>1172</v>
      </c>
      <c r="E614" s="21">
        <v>0</v>
      </c>
      <c r="F614" s="21"/>
      <c r="G614" s="22"/>
    </row>
    <row r="615" spans="1:7" s="7" customFormat="1" x14ac:dyDescent="0.15">
      <c r="A615" s="2"/>
      <c r="B615" s="20" t="s">
        <v>7</v>
      </c>
      <c r="C615" s="21" t="s">
        <v>1190</v>
      </c>
      <c r="D615" s="21" t="s">
        <v>211</v>
      </c>
      <c r="E615" s="21">
        <v>0</v>
      </c>
      <c r="F615" s="21"/>
      <c r="G615" s="22" t="s">
        <v>1081</v>
      </c>
    </row>
    <row r="616" spans="1:7" s="7" customFormat="1" x14ac:dyDescent="0.15">
      <c r="A616" s="2"/>
      <c r="B616" s="20" t="s">
        <v>114</v>
      </c>
      <c r="C616" s="21" t="s">
        <v>1155</v>
      </c>
      <c r="D616" s="21" t="s">
        <v>211</v>
      </c>
      <c r="E616" s="21">
        <v>0</v>
      </c>
      <c r="F616" s="21"/>
      <c r="G616" s="22"/>
    </row>
    <row r="617" spans="1:7" s="7" customFormat="1" x14ac:dyDescent="0.15">
      <c r="A617" s="2"/>
      <c r="B617" s="20" t="s">
        <v>118</v>
      </c>
      <c r="C617" s="21" t="s">
        <v>1188</v>
      </c>
      <c r="D617" s="21" t="s">
        <v>211</v>
      </c>
      <c r="E617" s="21">
        <v>0</v>
      </c>
      <c r="F617" s="21"/>
      <c r="G617" s="22"/>
    </row>
    <row r="618" spans="1:7" s="7" customFormat="1" x14ac:dyDescent="0.15">
      <c r="A618" s="2"/>
      <c r="B618" s="20" t="s">
        <v>214</v>
      </c>
      <c r="C618" s="21" t="s">
        <v>1339</v>
      </c>
      <c r="D618" s="21" t="s">
        <v>211</v>
      </c>
      <c r="E618" s="21">
        <v>0</v>
      </c>
      <c r="F618" s="21"/>
      <c r="G618" s="22"/>
    </row>
    <row r="619" spans="1:7" s="7" customFormat="1" x14ac:dyDescent="0.15">
      <c r="A619" s="2"/>
      <c r="B619" s="20" t="s">
        <v>261</v>
      </c>
      <c r="C619" s="21" t="s">
        <v>1355</v>
      </c>
      <c r="D619" s="21" t="s">
        <v>1345</v>
      </c>
      <c r="E619" s="21">
        <v>0</v>
      </c>
      <c r="F619" s="21"/>
      <c r="G619" s="22" t="s">
        <v>1356</v>
      </c>
    </row>
    <row r="620" spans="1:7" s="7" customFormat="1" x14ac:dyDescent="0.15">
      <c r="A620" s="2"/>
      <c r="B620" s="20" t="s">
        <v>94</v>
      </c>
      <c r="C620" s="21" t="s">
        <v>1278</v>
      </c>
      <c r="D620" s="21" t="s">
        <v>211</v>
      </c>
      <c r="E620" s="21">
        <v>0</v>
      </c>
      <c r="F620" s="21"/>
      <c r="G620" s="22" t="s">
        <v>1279</v>
      </c>
    </row>
    <row r="621" spans="1:7" s="7" customFormat="1" x14ac:dyDescent="0.15">
      <c r="A621" s="2"/>
      <c r="B621" s="20" t="s">
        <v>333</v>
      </c>
      <c r="C621" s="21" t="s">
        <v>1341</v>
      </c>
      <c r="D621" s="21" t="s">
        <v>1087</v>
      </c>
      <c r="E621" s="21">
        <v>0</v>
      </c>
      <c r="F621" s="21"/>
      <c r="G621" s="22"/>
    </row>
    <row r="622" spans="1:7" s="7" customFormat="1" x14ac:dyDescent="0.15">
      <c r="A622" s="2"/>
      <c r="B622" s="20" t="s">
        <v>334</v>
      </c>
      <c r="C622" s="21" t="s">
        <v>1342</v>
      </c>
      <c r="D622" s="21" t="s">
        <v>1169</v>
      </c>
      <c r="E622" s="21">
        <v>0</v>
      </c>
      <c r="F622" s="21"/>
      <c r="G622" s="22"/>
    </row>
    <row r="623" spans="1:7" s="7" customFormat="1" x14ac:dyDescent="0.15">
      <c r="A623" s="2"/>
      <c r="B623" s="20" t="s">
        <v>335</v>
      </c>
      <c r="C623" s="21" t="s">
        <v>1560</v>
      </c>
      <c r="D623" s="21" t="s">
        <v>1172</v>
      </c>
      <c r="E623" s="21">
        <v>0</v>
      </c>
      <c r="F623" s="21"/>
      <c r="G623" s="22"/>
    </row>
    <row r="624" spans="1:7" s="7" customFormat="1" x14ac:dyDescent="0.15">
      <c r="A624" s="2"/>
      <c r="B624" s="20" t="s">
        <v>336</v>
      </c>
      <c r="C624" s="21" t="s">
        <v>1343</v>
      </c>
      <c r="D624" s="21" t="s">
        <v>211</v>
      </c>
      <c r="E624" s="21" t="s">
        <v>1141</v>
      </c>
      <c r="F624" s="21"/>
      <c r="G624" s="22"/>
    </row>
    <row r="625" spans="1:7" s="7" customFormat="1" x14ac:dyDescent="0.15">
      <c r="A625" s="2"/>
      <c r="B625" s="20" t="s">
        <v>489</v>
      </c>
      <c r="C625" s="21" t="s">
        <v>1344</v>
      </c>
      <c r="D625" s="21" t="s">
        <v>1345</v>
      </c>
      <c r="E625" s="21">
        <v>0</v>
      </c>
      <c r="F625" s="21"/>
      <c r="G625" s="22"/>
    </row>
    <row r="626" spans="1:7" s="7" customFormat="1" x14ac:dyDescent="0.15">
      <c r="A626" s="2"/>
      <c r="B626" s="20" t="s">
        <v>338</v>
      </c>
      <c r="C626" s="21" t="s">
        <v>1346</v>
      </c>
      <c r="D626" s="21" t="s">
        <v>1345</v>
      </c>
      <c r="E626" s="21">
        <v>0</v>
      </c>
      <c r="F626" s="21"/>
      <c r="G626" s="22"/>
    </row>
    <row r="627" spans="1:7" s="7" customFormat="1" x14ac:dyDescent="0.15">
      <c r="A627" s="2"/>
      <c r="B627" s="20" t="s">
        <v>339</v>
      </c>
      <c r="C627" s="21" t="s">
        <v>1347</v>
      </c>
      <c r="D627" s="21" t="s">
        <v>211</v>
      </c>
      <c r="E627" s="21">
        <v>0</v>
      </c>
      <c r="F627" s="21"/>
      <c r="G627" s="22"/>
    </row>
    <row r="628" spans="1:7" s="7" customFormat="1" x14ac:dyDescent="0.15">
      <c r="A628" s="2"/>
      <c r="B628" s="20" t="s">
        <v>340</v>
      </c>
      <c r="C628" s="21" t="s">
        <v>1348</v>
      </c>
      <c r="D628" s="21" t="s">
        <v>211</v>
      </c>
      <c r="E628" s="21">
        <v>0</v>
      </c>
      <c r="F628" s="21"/>
      <c r="G628" s="22"/>
    </row>
    <row r="629" spans="1:7" s="7" customFormat="1" x14ac:dyDescent="0.15">
      <c r="A629" s="2"/>
      <c r="B629" s="20" t="s">
        <v>341</v>
      </c>
      <c r="C629" s="21" t="s">
        <v>1349</v>
      </c>
      <c r="D629" s="21" t="s">
        <v>211</v>
      </c>
      <c r="E629" s="21">
        <v>0</v>
      </c>
      <c r="F629" s="21"/>
      <c r="G629" s="22"/>
    </row>
    <row r="630" spans="1:7" s="7" customFormat="1" x14ac:dyDescent="0.15">
      <c r="A630" s="2"/>
      <c r="B630" s="20" t="s">
        <v>342</v>
      </c>
      <c r="C630" s="21" t="s">
        <v>1350</v>
      </c>
      <c r="D630" s="21" t="s">
        <v>1169</v>
      </c>
      <c r="E630" s="21">
        <v>0</v>
      </c>
      <c r="F630" s="21"/>
      <c r="G630" s="22"/>
    </row>
    <row r="631" spans="1:7" s="7" customFormat="1" x14ac:dyDescent="0.15">
      <c r="A631" s="2"/>
      <c r="B631" s="20" t="s">
        <v>343</v>
      </c>
      <c r="C631" s="21" t="s">
        <v>1351</v>
      </c>
      <c r="D631" s="21" t="s">
        <v>1169</v>
      </c>
      <c r="E631" s="21">
        <v>0</v>
      </c>
      <c r="F631" s="21"/>
      <c r="G631" s="22"/>
    </row>
    <row r="632" spans="1:7" s="7" customFormat="1" x14ac:dyDescent="0.15">
      <c r="A632" s="2"/>
      <c r="B632" s="20" t="s">
        <v>344</v>
      </c>
      <c r="C632" s="21" t="s">
        <v>1352</v>
      </c>
      <c r="D632" s="21" t="s">
        <v>211</v>
      </c>
      <c r="E632" s="21">
        <v>0</v>
      </c>
      <c r="F632" s="21"/>
      <c r="G632" s="22"/>
    </row>
    <row r="633" spans="1:7" s="7" customFormat="1" x14ac:dyDescent="0.15">
      <c r="A633" s="2"/>
      <c r="B633" s="20" t="s">
        <v>345</v>
      </c>
      <c r="C633" s="21" t="s">
        <v>1353</v>
      </c>
      <c r="D633" s="21" t="s">
        <v>1403</v>
      </c>
      <c r="E633" s="21" t="s">
        <v>1303</v>
      </c>
      <c r="F633" s="21"/>
      <c r="G633" s="22" t="s">
        <v>1354</v>
      </c>
    </row>
    <row r="634" spans="1:7" s="7" customFormat="1" ht="18" thickBot="1" x14ac:dyDescent="0.2">
      <c r="A634" s="2"/>
      <c r="B634" s="24"/>
      <c r="C634" s="9"/>
      <c r="D634" s="9"/>
      <c r="E634" s="9"/>
      <c r="F634" s="9"/>
      <c r="G634" s="11"/>
    </row>
    <row r="635" spans="1:7" s="7" customFormat="1" x14ac:dyDescent="0.15">
      <c r="A635" s="2"/>
      <c r="B635" s="327" t="s">
        <v>15</v>
      </c>
      <c r="C635" s="328"/>
      <c r="D635" s="328"/>
      <c r="E635" s="328"/>
      <c r="F635" s="328"/>
      <c r="G635" s="329"/>
    </row>
    <row r="636" spans="1:7" s="7" customFormat="1" x14ac:dyDescent="0.15">
      <c r="A636" s="2"/>
      <c r="B636" s="20">
        <v>1</v>
      </c>
      <c r="C636" s="21" t="s">
        <v>22</v>
      </c>
      <c r="D636" s="21" t="s">
        <v>120</v>
      </c>
      <c r="E636" s="21" t="s">
        <v>114</v>
      </c>
      <c r="F636" s="21" t="s">
        <v>118</v>
      </c>
      <c r="G636" s="22" t="s">
        <v>94</v>
      </c>
    </row>
    <row r="637" spans="1:7" s="7" customFormat="1" x14ac:dyDescent="0.15">
      <c r="A637" s="2"/>
      <c r="B637" s="20">
        <v>2</v>
      </c>
      <c r="C637" s="21" t="s">
        <v>22</v>
      </c>
      <c r="D637" s="21" t="s">
        <v>109</v>
      </c>
      <c r="E637" s="21" t="s">
        <v>111</v>
      </c>
      <c r="F637" s="21" t="s">
        <v>154</v>
      </c>
      <c r="G637" s="22"/>
    </row>
    <row r="638" spans="1:7" s="7" customFormat="1" x14ac:dyDescent="0.15">
      <c r="A638" s="2"/>
      <c r="B638" s="17">
        <v>3</v>
      </c>
      <c r="C638" s="18" t="s">
        <v>344</v>
      </c>
      <c r="D638" s="18" t="s">
        <v>346</v>
      </c>
      <c r="E638" s="18"/>
      <c r="F638" s="18"/>
      <c r="G638" s="19"/>
    </row>
    <row r="639" spans="1:7" s="7" customFormat="1" ht="18" thickBot="1" x14ac:dyDescent="0.2">
      <c r="A639" s="2"/>
      <c r="B639" s="24"/>
      <c r="C639" s="9"/>
      <c r="D639" s="9"/>
      <c r="E639" s="9"/>
      <c r="F639" s="9"/>
      <c r="G639" s="11"/>
    </row>
    <row r="640" spans="1:7" s="7" customFormat="1" ht="18" thickBot="1" x14ac:dyDescent="0.2">
      <c r="A640" s="2"/>
    </row>
    <row r="641" spans="2:8" s="7" customFormat="1" x14ac:dyDescent="0.15">
      <c r="B641" s="3" t="s">
        <v>563</v>
      </c>
      <c r="C641" s="147" t="s">
        <v>421</v>
      </c>
      <c r="D641" s="147" t="s">
        <v>515</v>
      </c>
      <c r="E641" s="21" t="s">
        <v>717</v>
      </c>
      <c r="F641" s="5" t="s">
        <v>567</v>
      </c>
      <c r="G641" s="6"/>
      <c r="H641" s="6" t="str">
        <f>"create or replace view "&amp;C641</f>
        <v>create or replace view vi_tdserp_strike</v>
      </c>
    </row>
    <row r="642" spans="2:8" s="7" customFormat="1" ht="18" thickBot="1" x14ac:dyDescent="0.2">
      <c r="B642" s="34" t="s">
        <v>570</v>
      </c>
      <c r="C642" s="18"/>
      <c r="D642" s="35" t="s">
        <v>568</v>
      </c>
      <c r="E642" s="18" t="s">
        <v>615</v>
      </c>
      <c r="F642" s="35"/>
      <c r="G642" s="19"/>
      <c r="H642" s="11" t="str">
        <f>"/* "&amp;E641&amp;"*/  as "</f>
        <v xml:space="preserve">/* 报表_资管报表_交易证券-报盘-成交表*/  as </v>
      </c>
    </row>
    <row r="643" spans="2:8" s="7" customFormat="1" x14ac:dyDescent="0.15">
      <c r="B643" s="3" t="s">
        <v>0</v>
      </c>
      <c r="C643" s="5" t="s">
        <v>1</v>
      </c>
      <c r="D643" s="5" t="s">
        <v>2</v>
      </c>
      <c r="E643" s="5"/>
      <c r="F643" s="5" t="s">
        <v>3</v>
      </c>
      <c r="G643" s="36" t="s">
        <v>4</v>
      </c>
      <c r="H643" s="13" t="s">
        <v>474</v>
      </c>
    </row>
    <row r="644" spans="2:8" s="7" customFormat="1" x14ac:dyDescent="0.15">
      <c r="B644" s="20" t="s">
        <v>21</v>
      </c>
      <c r="C644" s="21" t="s">
        <v>1357</v>
      </c>
      <c r="D644" s="21" t="s">
        <v>211</v>
      </c>
      <c r="E644" s="21">
        <v>0</v>
      </c>
      <c r="F644" s="21"/>
      <c r="G644" s="22" t="s">
        <v>1358</v>
      </c>
      <c r="H644" s="107" t="str">
        <f t="shared" ref="H644:H691" si="1">"ifnull("&amp;IF(I644&lt;&gt;"",I644,IF(F644&lt;&gt;"",F644,"t")&amp;"."&amp;C644)&amp;","&amp;E644&amp;") as "&amp;C644&amp;",/*"&amp;B644&amp;"*/"</f>
        <v>ifnull(t.opor_no,0) as opor_no,/*操作员编号*/</v>
      </c>
    </row>
    <row r="645" spans="2:8" s="7" customFormat="1" x14ac:dyDescent="0.15">
      <c r="B645" s="20" t="s">
        <v>149</v>
      </c>
      <c r="C645" s="21" t="s">
        <v>1127</v>
      </c>
      <c r="D645" s="21" t="s">
        <v>211</v>
      </c>
      <c r="E645" s="21" t="s">
        <v>1141</v>
      </c>
      <c r="F645" s="21"/>
      <c r="G645" s="22" t="s">
        <v>1162</v>
      </c>
      <c r="H645" s="107" t="str">
        <f t="shared" si="1"/>
        <v>ifnull(t.init_date,date_format(curdate(),'%Y%m%d')) as init_date,/*初始化日期*/</v>
      </c>
    </row>
    <row r="646" spans="2:8" s="7" customFormat="1" x14ac:dyDescent="0.15">
      <c r="B646" s="20" t="s">
        <v>6</v>
      </c>
      <c r="C646" s="21" t="s">
        <v>1163</v>
      </c>
      <c r="D646" s="21" t="s">
        <v>211</v>
      </c>
      <c r="E646" s="21">
        <v>0</v>
      </c>
      <c r="F646" s="21"/>
      <c r="G646" s="22" t="s">
        <v>1077</v>
      </c>
      <c r="H646" s="107" t="str">
        <f t="shared" si="1"/>
        <v>ifnull(t.co_no,0) as co_no,/*机构编号*/</v>
      </c>
    </row>
    <row r="647" spans="2:8" s="7" customFormat="1" x14ac:dyDescent="0.15">
      <c r="B647" s="20" t="s">
        <v>111</v>
      </c>
      <c r="C647" s="21" t="s">
        <v>1164</v>
      </c>
      <c r="D647" s="21" t="s">
        <v>211</v>
      </c>
      <c r="E647" s="21">
        <v>0</v>
      </c>
      <c r="F647" s="21"/>
      <c r="G647" s="22" t="s">
        <v>1165</v>
      </c>
      <c r="H647" s="107" t="str">
        <f t="shared" si="1"/>
        <v>ifnull(t.pd_no,0) as pd_no,/*产品编号*/</v>
      </c>
    </row>
    <row r="648" spans="2:8" s="7" customFormat="1" x14ac:dyDescent="0.15">
      <c r="B648" s="20" t="s">
        <v>123</v>
      </c>
      <c r="C648" s="21" t="s">
        <v>1133</v>
      </c>
      <c r="D648" s="21" t="s">
        <v>211</v>
      </c>
      <c r="E648" s="21">
        <v>0</v>
      </c>
      <c r="F648" s="21"/>
      <c r="G648" s="22" t="s">
        <v>1182</v>
      </c>
      <c r="H648" s="107" t="str">
        <f t="shared" si="1"/>
        <v>ifnull(t.exch_group_no,0) as exch_group_no,/*交易组编号*/</v>
      </c>
    </row>
    <row r="649" spans="2:8" s="7" customFormat="1" x14ac:dyDescent="0.15">
      <c r="B649" s="20" t="s">
        <v>113</v>
      </c>
      <c r="C649" s="21" t="s">
        <v>1187</v>
      </c>
      <c r="D649" s="21" t="s">
        <v>211</v>
      </c>
      <c r="E649" s="21">
        <v>0</v>
      </c>
      <c r="F649" s="21"/>
      <c r="G649" s="22"/>
      <c r="H649" s="107" t="str">
        <f t="shared" si="1"/>
        <v>ifnull(t.asset_acco_no,0) as asset_acco_no,/*资产账户编号*/</v>
      </c>
    </row>
    <row r="650" spans="2:8" s="7" customFormat="1" x14ac:dyDescent="0.15">
      <c r="B650" s="20" t="s">
        <v>98</v>
      </c>
      <c r="C650" s="21" t="s">
        <v>1359</v>
      </c>
      <c r="D650" s="21" t="s">
        <v>211</v>
      </c>
      <c r="E650" s="21">
        <v>0</v>
      </c>
      <c r="F650" s="21"/>
      <c r="G650" s="22" t="s">
        <v>1562</v>
      </c>
      <c r="H650" s="107" t="str">
        <f t="shared" si="1"/>
        <v>ifnull(t.pass_no,0) as pass_no,/*通道编号*/</v>
      </c>
    </row>
    <row r="651" spans="2:8" s="7" customFormat="1" x14ac:dyDescent="0.15">
      <c r="B651" s="20" t="s">
        <v>260</v>
      </c>
      <c r="C651" s="21" t="s">
        <v>1119</v>
      </c>
      <c r="D651" s="21" t="s">
        <v>1287</v>
      </c>
      <c r="E651" s="21" t="s">
        <v>1072</v>
      </c>
      <c r="F651" s="21"/>
      <c r="G651" s="22"/>
      <c r="H651" s="107" t="str">
        <f t="shared" si="1"/>
        <v>ifnull(t.out_acco," ") as out_acco,/*外部账号*/</v>
      </c>
    </row>
    <row r="652" spans="2:8" s="7" customFormat="1" x14ac:dyDescent="0.15">
      <c r="B652" s="20" t="s">
        <v>7</v>
      </c>
      <c r="C652" s="21" t="s">
        <v>1190</v>
      </c>
      <c r="D652" s="21" t="s">
        <v>211</v>
      </c>
      <c r="E652" s="21">
        <v>0</v>
      </c>
      <c r="F652" s="21" t="s">
        <v>28</v>
      </c>
      <c r="G652" s="22" t="s">
        <v>1081</v>
      </c>
      <c r="H652" s="107" t="str">
        <f t="shared" si="1"/>
        <v>ifnull(Y.exch_no,0) as exch_no,/*市场编号*/</v>
      </c>
    </row>
    <row r="653" spans="2:8" s="7" customFormat="1" x14ac:dyDescent="0.15">
      <c r="B653" s="20" t="s">
        <v>114</v>
      </c>
      <c r="C653" s="21" t="s">
        <v>1155</v>
      </c>
      <c r="D653" s="21" t="s">
        <v>211</v>
      </c>
      <c r="E653" s="21">
        <v>0</v>
      </c>
      <c r="F653" s="21"/>
      <c r="G653" s="22"/>
      <c r="H653" s="107" t="str">
        <f t="shared" si="1"/>
        <v>ifnull(t.stock_acco_no,0) as stock_acco_no,/*股东代码编号*/</v>
      </c>
    </row>
    <row r="654" spans="2:8" s="7" customFormat="1" x14ac:dyDescent="0.15">
      <c r="B654" s="20" t="s">
        <v>115</v>
      </c>
      <c r="C654" s="21" t="s">
        <v>1188</v>
      </c>
      <c r="D654" s="21" t="s">
        <v>211</v>
      </c>
      <c r="E654" s="21">
        <v>0</v>
      </c>
      <c r="F654" s="21"/>
      <c r="G654" s="22"/>
      <c r="H654" s="107" t="str">
        <f t="shared" si="1"/>
        <v>ifnull(t.stock_code_no,0) as stock_code_no,/*证券代码编号*/</v>
      </c>
    </row>
    <row r="655" spans="2:8" s="7" customFormat="1" x14ac:dyDescent="0.15">
      <c r="B655" s="20" t="s">
        <v>78</v>
      </c>
      <c r="C655" s="21" t="s">
        <v>1189</v>
      </c>
      <c r="D655" s="21" t="s">
        <v>211</v>
      </c>
      <c r="E655" s="21">
        <v>0</v>
      </c>
      <c r="F655" s="21"/>
      <c r="G655" s="22"/>
      <c r="H655" s="107" t="str">
        <f t="shared" si="1"/>
        <v>ifnull(t.stock_type,0) as stock_type,/*证券类型*/</v>
      </c>
    </row>
    <row r="656" spans="2:8" s="7" customFormat="1" x14ac:dyDescent="0.15">
      <c r="B656" s="20" t="s">
        <v>41</v>
      </c>
      <c r="C656" s="21" t="s">
        <v>1071</v>
      </c>
      <c r="D656" s="21" t="s">
        <v>423</v>
      </c>
      <c r="E656" s="21">
        <v>0</v>
      </c>
      <c r="F656" s="21"/>
      <c r="G656" s="22" t="s">
        <v>1360</v>
      </c>
      <c r="H656" s="107" t="str">
        <f t="shared" si="1"/>
        <v>ifnull(t.asset_type,0) as asset_type,/*资产类型*/</v>
      </c>
    </row>
    <row r="657" spans="2:8" s="7" customFormat="1" x14ac:dyDescent="0.15">
      <c r="B657" s="20" t="s">
        <v>261</v>
      </c>
      <c r="C657" s="21" t="s">
        <v>1355</v>
      </c>
      <c r="D657" s="21" t="s">
        <v>1345</v>
      </c>
      <c r="E657" s="21">
        <v>0</v>
      </c>
      <c r="F657" s="21"/>
      <c r="G657" s="22" t="s">
        <v>1356</v>
      </c>
      <c r="H657" s="107" t="str">
        <f t="shared" si="1"/>
        <v>ifnull(t.comm_id,0) as comm_id,/*指令序号*/</v>
      </c>
    </row>
    <row r="658" spans="2:8" s="7" customFormat="1" x14ac:dyDescent="0.15">
      <c r="B658" s="20" t="s">
        <v>270</v>
      </c>
      <c r="C658" s="21" t="s">
        <v>1361</v>
      </c>
      <c r="D658" s="21" t="s">
        <v>211</v>
      </c>
      <c r="E658" s="21">
        <v>0</v>
      </c>
      <c r="F658" s="21"/>
      <c r="G658" s="22"/>
      <c r="H658" s="107" t="str">
        <f t="shared" si="1"/>
        <v>ifnull(t.comm_batch_no,0) as comm_batch_no,/*指令批号*/</v>
      </c>
    </row>
    <row r="659" spans="2:8" s="7" customFormat="1" x14ac:dyDescent="0.15">
      <c r="B659" s="20" t="s">
        <v>276</v>
      </c>
      <c r="C659" s="21" t="s">
        <v>1362</v>
      </c>
      <c r="D659" s="21" t="s">
        <v>211</v>
      </c>
      <c r="E659" s="21" t="s">
        <v>1141</v>
      </c>
      <c r="F659" s="21"/>
      <c r="G659" s="22" t="s">
        <v>1363</v>
      </c>
      <c r="H659" s="107" t="str">
        <f t="shared" si="1"/>
        <v>ifnull(t.strike_date,date_format(curdate(),'%Y%m%d')) as strike_date,/*成交日期*/</v>
      </c>
    </row>
    <row r="660" spans="2:8" s="7" customFormat="1" x14ac:dyDescent="0.15">
      <c r="B660" s="20" t="s">
        <v>275</v>
      </c>
      <c r="C660" s="21" t="s">
        <v>1364</v>
      </c>
      <c r="D660" s="21" t="s">
        <v>211</v>
      </c>
      <c r="E660" s="21" t="s">
        <v>1265</v>
      </c>
      <c r="F660" s="21"/>
      <c r="G660" s="22" t="s">
        <v>1365</v>
      </c>
      <c r="H660" s="107" t="str">
        <f t="shared" si="1"/>
        <v>ifnull(t.strike_time,date_format(curtime(),'%H%i%s')) as strike_time,/*成交时间*/</v>
      </c>
    </row>
    <row r="661" spans="2:8" s="7" customFormat="1" x14ac:dyDescent="0.15">
      <c r="B661" s="20" t="s">
        <v>20</v>
      </c>
      <c r="C661" s="21" t="s">
        <v>1269</v>
      </c>
      <c r="D661" s="21" t="s">
        <v>1073</v>
      </c>
      <c r="E661" s="21" t="s">
        <v>1072</v>
      </c>
      <c r="F661" s="21" t="s">
        <v>28</v>
      </c>
      <c r="G661" s="22" t="s">
        <v>1270</v>
      </c>
      <c r="H661" s="107" t="str">
        <f t="shared" si="1"/>
        <v>ifnull(Y.strike_no," ") as strike_no,/*成交编号*/</v>
      </c>
    </row>
    <row r="662" spans="2:8" s="7" customFormat="1" x14ac:dyDescent="0.15">
      <c r="B662" s="20" t="s">
        <v>97</v>
      </c>
      <c r="C662" s="21" t="s">
        <v>1366</v>
      </c>
      <c r="D662" s="21" t="s">
        <v>211</v>
      </c>
      <c r="E662" s="21" t="s">
        <v>1141</v>
      </c>
      <c r="F662" s="21"/>
      <c r="G662" s="22" t="s">
        <v>1367</v>
      </c>
      <c r="H662" s="107" t="str">
        <f t="shared" si="1"/>
        <v>ifnull(t.report_date,date_format(curdate(),'%Y%m%d')) as report_date,/*申报日期*/</v>
      </c>
    </row>
    <row r="663" spans="2:8" s="7" customFormat="1" x14ac:dyDescent="0.15">
      <c r="B663" s="20" t="s">
        <v>99</v>
      </c>
      <c r="C663" s="21" t="s">
        <v>1563</v>
      </c>
      <c r="D663" s="21" t="s">
        <v>1287</v>
      </c>
      <c r="E663" s="21" t="s">
        <v>1072</v>
      </c>
      <c r="F663" s="21"/>
      <c r="G663" s="22" t="s">
        <v>1368</v>
      </c>
      <c r="H663" s="107" t="str">
        <f t="shared" si="1"/>
        <v>ifnull(t.report_no," ") as report_no,/*申报编号*/</v>
      </c>
    </row>
    <row r="664" spans="2:8" s="7" customFormat="1" x14ac:dyDescent="0.15">
      <c r="B664" s="20" t="s">
        <v>269</v>
      </c>
      <c r="C664" s="21" t="s">
        <v>1369</v>
      </c>
      <c r="D664" s="21" t="s">
        <v>211</v>
      </c>
      <c r="E664" s="21" t="s">
        <v>1141</v>
      </c>
      <c r="F664" s="21"/>
      <c r="G664" s="22" t="s">
        <v>1162</v>
      </c>
      <c r="H664" s="107" t="str">
        <f t="shared" si="1"/>
        <v>ifnull(t.order_date,date_format(curdate(),'%Y%m%d')) as order_date,/*订单日期*/</v>
      </c>
    </row>
    <row r="665" spans="2:8" s="7" customFormat="1" x14ac:dyDescent="0.15">
      <c r="B665" s="20" t="s">
        <v>271</v>
      </c>
      <c r="C665" s="21" t="s">
        <v>1120</v>
      </c>
      <c r="D665" s="21" t="s">
        <v>211</v>
      </c>
      <c r="E665" s="21" t="s">
        <v>1265</v>
      </c>
      <c r="F665" s="21"/>
      <c r="G665" s="22" t="s">
        <v>1370</v>
      </c>
      <c r="H665" s="107" t="str">
        <f t="shared" si="1"/>
        <v>ifnull(t.order_time,date_format(curtime(),'%H%i%s')) as order_time,/*订单时间*/</v>
      </c>
    </row>
    <row r="666" spans="2:8" s="7" customFormat="1" x14ac:dyDescent="0.15">
      <c r="B666" s="20" t="s">
        <v>173</v>
      </c>
      <c r="C666" s="21" t="s">
        <v>1371</v>
      </c>
      <c r="D666" s="21" t="s">
        <v>1345</v>
      </c>
      <c r="E666" s="21">
        <v>0</v>
      </c>
      <c r="F666" s="21"/>
      <c r="G666" s="22"/>
      <c r="H666" s="107" t="str">
        <f t="shared" si="1"/>
        <v>ifnull(t.order_id,0) as order_id,/*订单序号*/</v>
      </c>
    </row>
    <row r="667" spans="2:8" s="7" customFormat="1" x14ac:dyDescent="0.15">
      <c r="B667" s="20" t="s">
        <v>94</v>
      </c>
      <c r="C667" s="21" t="s">
        <v>1278</v>
      </c>
      <c r="D667" s="21" t="s">
        <v>211</v>
      </c>
      <c r="E667" s="21">
        <v>0</v>
      </c>
      <c r="F667" s="21"/>
      <c r="G667" s="22" t="s">
        <v>1279</v>
      </c>
      <c r="H667" s="107" t="str">
        <f t="shared" si="1"/>
        <v>ifnull(t.order_dir,0) as order_dir,/*订单方向*/</v>
      </c>
    </row>
    <row r="668" spans="2:8" s="7" customFormat="1" x14ac:dyDescent="0.15">
      <c r="B668" s="20" t="s">
        <v>262</v>
      </c>
      <c r="C668" s="21" t="s">
        <v>1372</v>
      </c>
      <c r="D668" s="21" t="s">
        <v>1211</v>
      </c>
      <c r="E668" s="21">
        <v>0</v>
      </c>
      <c r="F668" s="21"/>
      <c r="G668" s="22" t="s">
        <v>1373</v>
      </c>
      <c r="H668" s="107" t="str">
        <f t="shared" si="1"/>
        <v>ifnull(t.order_price,0) as order_price,/*订单价格*/</v>
      </c>
    </row>
    <row r="669" spans="2:8" s="7" customFormat="1" x14ac:dyDescent="0.15">
      <c r="B669" s="20" t="s">
        <v>272</v>
      </c>
      <c r="C669" s="21" t="s">
        <v>1374</v>
      </c>
      <c r="D669" s="21" t="s">
        <v>1087</v>
      </c>
      <c r="E669" s="21">
        <v>0</v>
      </c>
      <c r="F669" s="21"/>
      <c r="G669" s="22" t="s">
        <v>1375</v>
      </c>
      <c r="H669" s="107" t="str">
        <f t="shared" si="1"/>
        <v>ifnull(t.order_qty,0) as order_qty,/*订单数量*/</v>
      </c>
    </row>
    <row r="670" spans="2:8" s="7" customFormat="1" x14ac:dyDescent="0.15">
      <c r="B670" s="20" t="s">
        <v>38</v>
      </c>
      <c r="C670" s="21" t="s">
        <v>1241</v>
      </c>
      <c r="D670" s="21" t="s">
        <v>1087</v>
      </c>
      <c r="E670" s="21">
        <v>0</v>
      </c>
      <c r="F670" s="21"/>
      <c r="G670" s="22" t="s">
        <v>1086</v>
      </c>
      <c r="H670" s="107" t="str">
        <f t="shared" si="1"/>
        <v>ifnull(t.strike_qty,0) as strike_qty,/*成交数量*/</v>
      </c>
    </row>
    <row r="671" spans="2:8" s="7" customFormat="1" x14ac:dyDescent="0.15">
      <c r="B671" s="20" t="s">
        <v>100</v>
      </c>
      <c r="C671" s="21" t="s">
        <v>1376</v>
      </c>
      <c r="D671" s="21" t="s">
        <v>1211</v>
      </c>
      <c r="E671" s="21">
        <v>0</v>
      </c>
      <c r="F671" s="21"/>
      <c r="G671" s="22" t="s">
        <v>1377</v>
      </c>
      <c r="H671" s="107" t="str">
        <f t="shared" si="1"/>
        <v>ifnull(t.strike_price,0) as strike_price,/*成交价格*/</v>
      </c>
    </row>
    <row r="672" spans="2:8" s="7" customFormat="1" x14ac:dyDescent="0.15">
      <c r="B672" s="20" t="s">
        <v>277</v>
      </c>
      <c r="C672" s="21" t="s">
        <v>1242</v>
      </c>
      <c r="D672" s="21" t="s">
        <v>1169</v>
      </c>
      <c r="E672" s="21">
        <v>0</v>
      </c>
      <c r="F672" s="21"/>
      <c r="G672" s="22" t="s">
        <v>1243</v>
      </c>
      <c r="H672" s="107" t="str">
        <f t="shared" si="1"/>
        <v>ifnull(t.strike_amt,0) as strike_amt,/*成交金额*/</v>
      </c>
    </row>
    <row r="673" spans="2:8" s="7" customFormat="1" x14ac:dyDescent="0.15">
      <c r="B673" s="20" t="s">
        <v>263</v>
      </c>
      <c r="C673" s="21" t="s">
        <v>1378</v>
      </c>
      <c r="D673" s="21" t="s">
        <v>1169</v>
      </c>
      <c r="E673" s="21">
        <v>0</v>
      </c>
      <c r="F673" s="21"/>
      <c r="G673" s="22" t="s">
        <v>1379</v>
      </c>
      <c r="H673" s="107" t="str">
        <f t="shared" si="1"/>
        <v>ifnull(t.all_fee,0) as all_fee,/*全部费用*/</v>
      </c>
    </row>
    <row r="674" spans="2:8" s="7" customFormat="1" x14ac:dyDescent="0.15">
      <c r="B674" s="20" t="s">
        <v>102</v>
      </c>
      <c r="C674" s="21" t="s">
        <v>1380</v>
      </c>
      <c r="D674" s="21" t="s">
        <v>1169</v>
      </c>
      <c r="E674" s="21">
        <v>0</v>
      </c>
      <c r="F674" s="21"/>
      <c r="G674" s="22" t="s">
        <v>1381</v>
      </c>
      <c r="H674" s="107" t="str">
        <f t="shared" si="1"/>
        <v>ifnull(t.stamp_tax,0) as stamp_tax,/*印花税*/</v>
      </c>
    </row>
    <row r="675" spans="2:8" s="7" customFormat="1" x14ac:dyDescent="0.15">
      <c r="B675" s="20" t="s">
        <v>103</v>
      </c>
      <c r="C675" s="21" t="s">
        <v>1382</v>
      </c>
      <c r="D675" s="21" t="s">
        <v>1169</v>
      </c>
      <c r="E675" s="21">
        <v>0</v>
      </c>
      <c r="F675" s="21"/>
      <c r="G675" s="22"/>
      <c r="H675" s="107" t="str">
        <f t="shared" si="1"/>
        <v>ifnull(t.trans_fee,0) as trans_fee,/*过户费*/</v>
      </c>
    </row>
    <row r="676" spans="2:8" s="7" customFormat="1" x14ac:dyDescent="0.15">
      <c r="B676" s="20" t="s">
        <v>104</v>
      </c>
      <c r="C676" s="21" t="s">
        <v>1383</v>
      </c>
      <c r="D676" s="21" t="s">
        <v>1169</v>
      </c>
      <c r="E676" s="21">
        <v>0</v>
      </c>
      <c r="F676" s="21"/>
      <c r="G676" s="22" t="s">
        <v>1384</v>
      </c>
      <c r="H676" s="107" t="str">
        <f t="shared" si="1"/>
        <v>ifnull(t.brkage_fee,0) as brkage_fee,/*经手费*/</v>
      </c>
    </row>
    <row r="677" spans="2:8" s="7" customFormat="1" x14ac:dyDescent="0.15">
      <c r="B677" s="20" t="s">
        <v>105</v>
      </c>
      <c r="C677" s="21" t="s">
        <v>1385</v>
      </c>
      <c r="D677" s="21" t="s">
        <v>1169</v>
      </c>
      <c r="E677" s="21">
        <v>0</v>
      </c>
      <c r="F677" s="21"/>
      <c r="G677" s="22" t="s">
        <v>1564</v>
      </c>
      <c r="H677" s="107" t="str">
        <f t="shared" si="1"/>
        <v>ifnull(t.SEC_charges,0) as SEC_charges,/*证管费*/</v>
      </c>
    </row>
    <row r="678" spans="2:8" s="7" customFormat="1" x14ac:dyDescent="0.15">
      <c r="B678" s="20" t="s">
        <v>106</v>
      </c>
      <c r="C678" s="21" t="s">
        <v>1386</v>
      </c>
      <c r="D678" s="21" t="s">
        <v>1169</v>
      </c>
      <c r="E678" s="21">
        <v>0</v>
      </c>
      <c r="F678" s="21"/>
      <c r="G678" s="22" t="s">
        <v>1387</v>
      </c>
      <c r="H678" s="107" t="str">
        <f t="shared" si="1"/>
        <v>ifnull(t.other_fee,0) as other_fee,/*其他费用*/</v>
      </c>
    </row>
    <row r="679" spans="2:8" s="7" customFormat="1" x14ac:dyDescent="0.15">
      <c r="B679" s="20" t="s">
        <v>107</v>
      </c>
      <c r="C679" s="21" t="s">
        <v>1388</v>
      </c>
      <c r="D679" s="21" t="s">
        <v>1169</v>
      </c>
      <c r="E679" s="21">
        <v>0</v>
      </c>
      <c r="F679" s="21"/>
      <c r="G679" s="22" t="s">
        <v>1389</v>
      </c>
      <c r="H679" s="107" t="str">
        <f t="shared" si="1"/>
        <v>ifnull(t.trade_commis,0) as trade_commis,/*交易佣金*/</v>
      </c>
    </row>
    <row r="680" spans="2:8" s="7" customFormat="1" x14ac:dyDescent="0.15">
      <c r="B680" s="20" t="s">
        <v>108</v>
      </c>
      <c r="C680" s="21" t="s">
        <v>1390</v>
      </c>
      <c r="D680" s="21" t="s">
        <v>1169</v>
      </c>
      <c r="E680" s="21">
        <v>0</v>
      </c>
      <c r="F680" s="21"/>
      <c r="G680" s="22" t="s">
        <v>1391</v>
      </c>
      <c r="H680" s="107" t="str">
        <f t="shared" si="1"/>
        <v>ifnull(t.other_commis,0) as other_commis,/*其他佣金*/</v>
      </c>
    </row>
    <row r="681" spans="2:8" s="7" customFormat="1" x14ac:dyDescent="0.15">
      <c r="B681" s="20" t="s">
        <v>259</v>
      </c>
      <c r="C681" s="21" t="s">
        <v>1392</v>
      </c>
      <c r="D681" s="21" t="s">
        <v>211</v>
      </c>
      <c r="E681" s="21">
        <v>0</v>
      </c>
      <c r="F681" s="21"/>
      <c r="G681" s="22"/>
      <c r="H681" s="107" t="str">
        <f t="shared" si="1"/>
        <v>ifnull(t.net_price_flag,0) as net_price_flag,/*净价标志*/</v>
      </c>
    </row>
    <row r="682" spans="2:8" s="7" customFormat="1" x14ac:dyDescent="0.15">
      <c r="B682" s="20" t="s">
        <v>264</v>
      </c>
      <c r="C682" s="21" t="s">
        <v>1393</v>
      </c>
      <c r="D682" s="21" t="s">
        <v>211</v>
      </c>
      <c r="E682" s="21">
        <v>0</v>
      </c>
      <c r="F682" s="21"/>
      <c r="G682" s="22"/>
      <c r="H682" s="107" t="str">
        <f t="shared" si="1"/>
        <v>ifnull(t.intrst_days,0) as intrst_days,/*计息天数*/</v>
      </c>
    </row>
    <row r="683" spans="2:8" s="7" customFormat="1" x14ac:dyDescent="0.15">
      <c r="B683" s="20" t="s">
        <v>273</v>
      </c>
      <c r="C683" s="21" t="s">
        <v>1394</v>
      </c>
      <c r="D683" s="21" t="s">
        <v>1211</v>
      </c>
      <c r="E683" s="21">
        <v>0</v>
      </c>
      <c r="F683" s="21"/>
      <c r="G683" s="22"/>
      <c r="H683" s="107" t="str">
        <f t="shared" si="1"/>
        <v>ifnull(t.par_value,0) as par_value,/*票面面值*/</v>
      </c>
    </row>
    <row r="684" spans="2:8" s="7" customFormat="1" x14ac:dyDescent="0.15">
      <c r="B684" s="20" t="s">
        <v>258</v>
      </c>
      <c r="C684" s="21" t="s">
        <v>1395</v>
      </c>
      <c r="D684" s="21" t="s">
        <v>1172</v>
      </c>
      <c r="E684" s="21">
        <v>0</v>
      </c>
      <c r="F684" s="21"/>
      <c r="G684" s="22"/>
      <c r="H684" s="107" t="str">
        <f t="shared" si="1"/>
        <v>ifnull(t.bond_accr_intrst,0) as bond_accr_intrst,/*债券计提利息*/</v>
      </c>
    </row>
    <row r="685" spans="2:8" s="7" customFormat="1" x14ac:dyDescent="0.15">
      <c r="B685" s="20" t="s">
        <v>265</v>
      </c>
      <c r="C685" s="21" t="s">
        <v>1396</v>
      </c>
      <c r="D685" s="21" t="s">
        <v>211</v>
      </c>
      <c r="E685" s="21">
        <v>0</v>
      </c>
      <c r="F685" s="21"/>
      <c r="G685" s="22"/>
      <c r="H685" s="107" t="str">
        <f t="shared" si="1"/>
        <v>ifnull(t.bond_rate_type,0) as bond_rate_type,/*债券利率类型*/</v>
      </c>
    </row>
    <row r="686" spans="2:8" s="7" customFormat="1" x14ac:dyDescent="0.15">
      <c r="B686" s="20" t="s">
        <v>274</v>
      </c>
      <c r="C686" s="21" t="s">
        <v>1565</v>
      </c>
      <c r="D686" s="21" t="s">
        <v>1172</v>
      </c>
      <c r="E686" s="21">
        <v>0</v>
      </c>
      <c r="F686" s="21"/>
      <c r="G686" s="22"/>
      <c r="H686" s="107" t="str">
        <f t="shared" si="1"/>
        <v>ifnull(t.impawn_ratio,0) as impawn_ratio,/*质押比例*/</v>
      </c>
    </row>
    <row r="687" spans="2:8" s="7" customFormat="1" x14ac:dyDescent="0.15">
      <c r="B687" s="20" t="s">
        <v>174</v>
      </c>
      <c r="C687" s="21" t="s">
        <v>1397</v>
      </c>
      <c r="D687" s="21" t="s">
        <v>211</v>
      </c>
      <c r="E687" s="21">
        <v>0</v>
      </c>
      <c r="F687" s="21"/>
      <c r="G687" s="22"/>
      <c r="H687" s="107" t="str">
        <f t="shared" si="1"/>
        <v>ifnull(t.trade_code_no,0) as trade_code_no,/*交易代码编号*/</v>
      </c>
    </row>
    <row r="688" spans="2:8" s="7" customFormat="1" x14ac:dyDescent="0.15">
      <c r="B688" s="20" t="s">
        <v>214</v>
      </c>
      <c r="C688" s="21" t="s">
        <v>1339</v>
      </c>
      <c r="D688" s="21" t="s">
        <v>211</v>
      </c>
      <c r="E688" s="21">
        <v>0</v>
      </c>
      <c r="F688" s="21"/>
      <c r="G688" s="22"/>
      <c r="H688" s="107" t="str">
        <f t="shared" si="1"/>
        <v>ifnull(t.target_code_no,0) as target_code_no,/*标的代码编号*/</v>
      </c>
    </row>
    <row r="689" spans="1:8" s="7" customFormat="1" x14ac:dyDescent="0.15">
      <c r="B689" s="20" t="s">
        <v>266</v>
      </c>
      <c r="C689" s="21" t="s">
        <v>1398</v>
      </c>
      <c r="D689" s="21" t="s">
        <v>1403</v>
      </c>
      <c r="E689" s="21" t="s">
        <v>1072</v>
      </c>
      <c r="F689" s="21"/>
      <c r="G689" s="22"/>
      <c r="H689" s="107" t="str">
        <f t="shared" si="1"/>
        <v>ifnull(t.order_oper_way," ") as order_oper_way,/*订单操作方式*/</v>
      </c>
    </row>
    <row r="690" spans="1:8" s="7" customFormat="1" x14ac:dyDescent="0.15">
      <c r="B690" s="20" t="s">
        <v>267</v>
      </c>
      <c r="C690" s="21" t="s">
        <v>1566</v>
      </c>
      <c r="D690" s="21" t="s">
        <v>211</v>
      </c>
      <c r="E690" s="21">
        <v>0</v>
      </c>
      <c r="F690" s="21"/>
      <c r="G690" s="22" t="s">
        <v>1567</v>
      </c>
      <c r="H690" s="107" t="str">
        <f t="shared" si="1"/>
        <v>ifnull(t.exter_comm_flag,0) as exter_comm_flag,/*体外指令标志*/</v>
      </c>
    </row>
    <row r="691" spans="1:8" s="7" customFormat="1" x14ac:dyDescent="0.15">
      <c r="B691" s="17" t="s">
        <v>268</v>
      </c>
      <c r="C691" s="26" t="s">
        <v>1568</v>
      </c>
      <c r="D691" s="26" t="s">
        <v>211</v>
      </c>
      <c r="E691" s="26">
        <v>0</v>
      </c>
      <c r="F691" s="26"/>
      <c r="G691" s="27" t="s">
        <v>1399</v>
      </c>
      <c r="H691" s="107" t="str">
        <f t="shared" si="1"/>
        <v>ifnull(t.record_valid_flag,0) as record_valid_flag,/*记录有效标志*/</v>
      </c>
    </row>
    <row r="692" spans="1:8" s="7" customFormat="1" ht="18" thickBot="1" x14ac:dyDescent="0.2">
      <c r="B692" s="20"/>
      <c r="C692" s="21"/>
      <c r="D692" s="21"/>
      <c r="E692" s="21"/>
      <c r="F692" s="21"/>
      <c r="G692" s="22"/>
      <c r="H692" s="107"/>
    </row>
    <row r="693" spans="1:8" s="7" customFormat="1" x14ac:dyDescent="0.15">
      <c r="B693" s="327" t="s">
        <v>15</v>
      </c>
      <c r="C693" s="328"/>
      <c r="D693" s="328"/>
      <c r="E693" s="328"/>
      <c r="F693" s="328"/>
      <c r="G693" s="329"/>
    </row>
    <row r="694" spans="1:8" s="7" customFormat="1" x14ac:dyDescent="0.15">
      <c r="A694" s="7" t="s">
        <v>62</v>
      </c>
      <c r="B694" s="20">
        <v>1</v>
      </c>
      <c r="C694" s="21" t="s">
        <v>98</v>
      </c>
      <c r="D694" s="21" t="s">
        <v>260</v>
      </c>
      <c r="E694" s="21" t="s">
        <v>7</v>
      </c>
      <c r="F694" s="21" t="s">
        <v>101</v>
      </c>
      <c r="G694" s="22" t="s">
        <v>20</v>
      </c>
      <c r="H694" s="7" t="s">
        <v>79</v>
      </c>
    </row>
    <row r="695" spans="1:8" s="7" customFormat="1" x14ac:dyDescent="0.15">
      <c r="B695" s="20">
        <v>2</v>
      </c>
      <c r="C695" s="21" t="s">
        <v>22</v>
      </c>
      <c r="D695" s="21" t="s">
        <v>109</v>
      </c>
      <c r="E695" s="21" t="s">
        <v>111</v>
      </c>
      <c r="F695" s="21" t="s">
        <v>123</v>
      </c>
      <c r="G695" s="22"/>
    </row>
    <row r="696" spans="1:8" s="7" customFormat="1" x14ac:dyDescent="0.15">
      <c r="B696" s="17">
        <v>3</v>
      </c>
      <c r="C696" s="18" t="s">
        <v>269</v>
      </c>
      <c r="D696" s="18"/>
      <c r="E696" s="18"/>
      <c r="F696" s="18"/>
      <c r="G696" s="19"/>
    </row>
    <row r="697" spans="1:8" s="7" customFormat="1" ht="18" thickBot="1" x14ac:dyDescent="0.2">
      <c r="B697" s="24">
        <v>4</v>
      </c>
      <c r="C697" s="9" t="s">
        <v>267</v>
      </c>
      <c r="D697" s="9" t="s">
        <v>268</v>
      </c>
      <c r="E697" s="9"/>
      <c r="F697" s="9"/>
      <c r="G697" s="11"/>
    </row>
    <row r="698" spans="1:8" ht="18" thickBot="1" x14ac:dyDescent="0.2"/>
    <row r="699" spans="1:8" s="7" customFormat="1" x14ac:dyDescent="0.15">
      <c r="B699" s="3" t="s">
        <v>563</v>
      </c>
      <c r="C699" s="147" t="s">
        <v>710</v>
      </c>
      <c r="D699" s="147" t="s">
        <v>515</v>
      </c>
      <c r="E699" s="21" t="s">
        <v>718</v>
      </c>
      <c r="F699" s="5" t="s">
        <v>567</v>
      </c>
      <c r="G699" s="6"/>
      <c r="H699" s="6" t="str">
        <f>"create or replace view "&amp;C699</f>
        <v>create or replace view vi_tdserp_strike_his</v>
      </c>
    </row>
    <row r="700" spans="1:8" s="7" customFormat="1" ht="18" thickBot="1" x14ac:dyDescent="0.2">
      <c r="B700" s="34" t="s">
        <v>570</v>
      </c>
      <c r="C700" s="18"/>
      <c r="D700" s="35" t="s">
        <v>568</v>
      </c>
      <c r="E700" s="18" t="s">
        <v>615</v>
      </c>
      <c r="F700" s="35"/>
      <c r="G700" s="19"/>
      <c r="H700" s="11" t="str">
        <f>"/* "&amp;E699&amp;"*/  as "</f>
        <v xml:space="preserve">/* 报表_资管报表_交易证券-报盘-成交表-历史*/  as </v>
      </c>
    </row>
    <row r="701" spans="1:8" s="7" customFormat="1" x14ac:dyDescent="0.15">
      <c r="B701" s="3" t="s">
        <v>0</v>
      </c>
      <c r="C701" s="5" t="s">
        <v>1</v>
      </c>
      <c r="D701" s="5" t="s">
        <v>2</v>
      </c>
      <c r="E701" s="5"/>
      <c r="F701" s="5" t="s">
        <v>3</v>
      </c>
      <c r="G701" s="36" t="s">
        <v>4</v>
      </c>
      <c r="H701" s="13" t="s">
        <v>474</v>
      </c>
    </row>
    <row r="702" spans="1:8" s="7" customFormat="1" x14ac:dyDescent="0.15">
      <c r="B702" s="20" t="s">
        <v>21</v>
      </c>
      <c r="C702" s="21" t="s">
        <v>1357</v>
      </c>
      <c r="D702" s="21" t="s">
        <v>211</v>
      </c>
      <c r="E702" s="21">
        <v>0</v>
      </c>
      <c r="F702" s="21"/>
      <c r="G702" s="22" t="s">
        <v>1358</v>
      </c>
      <c r="H702" s="107" t="str">
        <f t="shared" ref="H702:H749" si="2">"ifnull("&amp;IF(I702&lt;&gt;"",I702,IF(F702&lt;&gt;"",F702,"t")&amp;"."&amp;C702)&amp;","&amp;E702&amp;") as "&amp;C702&amp;",/*"&amp;B702&amp;"*/"</f>
        <v>ifnull(t.opor_no,0) as opor_no,/*操作员编号*/</v>
      </c>
    </row>
    <row r="703" spans="1:8" s="7" customFormat="1" x14ac:dyDescent="0.15">
      <c r="B703" s="20" t="s">
        <v>22</v>
      </c>
      <c r="C703" s="21" t="s">
        <v>1127</v>
      </c>
      <c r="D703" s="21" t="s">
        <v>211</v>
      </c>
      <c r="E703" s="21" t="s">
        <v>1141</v>
      </c>
      <c r="F703" s="21"/>
      <c r="G703" s="22" t="s">
        <v>1162</v>
      </c>
      <c r="H703" s="107" t="str">
        <f t="shared" si="2"/>
        <v>ifnull(t.init_date,date_format(curdate(),'%Y%m%d')) as init_date,/*初始化日期*/</v>
      </c>
    </row>
    <row r="704" spans="1:8" s="7" customFormat="1" x14ac:dyDescent="0.15">
      <c r="B704" s="20" t="s">
        <v>6</v>
      </c>
      <c r="C704" s="21" t="s">
        <v>1163</v>
      </c>
      <c r="D704" s="21" t="s">
        <v>211</v>
      </c>
      <c r="E704" s="21">
        <v>0</v>
      </c>
      <c r="F704" s="21"/>
      <c r="G704" s="22" t="s">
        <v>1077</v>
      </c>
      <c r="H704" s="107" t="str">
        <f t="shared" si="2"/>
        <v>ifnull(t.co_no,0) as co_no,/*机构编号*/</v>
      </c>
    </row>
    <row r="705" spans="2:8" s="7" customFormat="1" x14ac:dyDescent="0.15">
      <c r="B705" s="20" t="s">
        <v>111</v>
      </c>
      <c r="C705" s="21" t="s">
        <v>1164</v>
      </c>
      <c r="D705" s="21" t="s">
        <v>211</v>
      </c>
      <c r="E705" s="21">
        <v>0</v>
      </c>
      <c r="F705" s="21"/>
      <c r="G705" s="22" t="s">
        <v>1165</v>
      </c>
      <c r="H705" s="107" t="str">
        <f t="shared" si="2"/>
        <v>ifnull(t.pd_no,0) as pd_no,/*产品编号*/</v>
      </c>
    </row>
    <row r="706" spans="2:8" s="7" customFormat="1" x14ac:dyDescent="0.15">
      <c r="B706" s="20" t="s">
        <v>123</v>
      </c>
      <c r="C706" s="21" t="s">
        <v>1133</v>
      </c>
      <c r="D706" s="21" t="s">
        <v>211</v>
      </c>
      <c r="E706" s="21">
        <v>0</v>
      </c>
      <c r="F706" s="21"/>
      <c r="G706" s="22" t="s">
        <v>1182</v>
      </c>
      <c r="H706" s="107" t="str">
        <f t="shared" si="2"/>
        <v>ifnull(t.exch_group_no,0) as exch_group_no,/*交易组编号*/</v>
      </c>
    </row>
    <row r="707" spans="2:8" s="7" customFormat="1" x14ac:dyDescent="0.15">
      <c r="B707" s="20" t="s">
        <v>113</v>
      </c>
      <c r="C707" s="21" t="s">
        <v>1187</v>
      </c>
      <c r="D707" s="21" t="s">
        <v>211</v>
      </c>
      <c r="E707" s="21">
        <v>0</v>
      </c>
      <c r="F707" s="21"/>
      <c r="G707" s="22"/>
      <c r="H707" s="107" t="str">
        <f t="shared" si="2"/>
        <v>ifnull(t.asset_acco_no,0) as asset_acco_no,/*资产账户编号*/</v>
      </c>
    </row>
    <row r="708" spans="2:8" s="7" customFormat="1" x14ac:dyDescent="0.15">
      <c r="B708" s="20" t="s">
        <v>98</v>
      </c>
      <c r="C708" s="21" t="s">
        <v>1359</v>
      </c>
      <c r="D708" s="21" t="s">
        <v>211</v>
      </c>
      <c r="E708" s="21">
        <v>0</v>
      </c>
      <c r="F708" s="21"/>
      <c r="G708" s="22" t="s">
        <v>1562</v>
      </c>
      <c r="H708" s="107" t="str">
        <f t="shared" si="2"/>
        <v>ifnull(t.pass_no,0) as pass_no,/*通道编号*/</v>
      </c>
    </row>
    <row r="709" spans="2:8" s="7" customFormat="1" x14ac:dyDescent="0.15">
      <c r="B709" s="20" t="s">
        <v>260</v>
      </c>
      <c r="C709" s="21" t="s">
        <v>1119</v>
      </c>
      <c r="D709" s="21" t="s">
        <v>1287</v>
      </c>
      <c r="E709" s="21" t="s">
        <v>1072</v>
      </c>
      <c r="F709" s="21"/>
      <c r="G709" s="22"/>
      <c r="H709" s="107" t="str">
        <f t="shared" si="2"/>
        <v>ifnull(t.out_acco," ") as out_acco,/*外部账号*/</v>
      </c>
    </row>
    <row r="710" spans="2:8" s="7" customFormat="1" x14ac:dyDescent="0.15">
      <c r="B710" s="20" t="s">
        <v>7</v>
      </c>
      <c r="C710" s="21" t="s">
        <v>1190</v>
      </c>
      <c r="D710" s="21" t="s">
        <v>211</v>
      </c>
      <c r="E710" s="21">
        <v>0</v>
      </c>
      <c r="F710" s="21" t="s">
        <v>28</v>
      </c>
      <c r="G710" s="22" t="s">
        <v>1081</v>
      </c>
      <c r="H710" s="107" t="str">
        <f t="shared" si="2"/>
        <v>ifnull(Y.exch_no,0) as exch_no,/*市场编号*/</v>
      </c>
    </row>
    <row r="711" spans="2:8" s="7" customFormat="1" x14ac:dyDescent="0.15">
      <c r="B711" s="20" t="s">
        <v>114</v>
      </c>
      <c r="C711" s="21" t="s">
        <v>1155</v>
      </c>
      <c r="D711" s="21" t="s">
        <v>211</v>
      </c>
      <c r="E711" s="21">
        <v>0</v>
      </c>
      <c r="F711" s="21"/>
      <c r="G711" s="22"/>
      <c r="H711" s="107" t="str">
        <f t="shared" si="2"/>
        <v>ifnull(t.stock_acco_no,0) as stock_acco_no,/*股东代码编号*/</v>
      </c>
    </row>
    <row r="712" spans="2:8" s="7" customFormat="1" x14ac:dyDescent="0.15">
      <c r="B712" s="20" t="s">
        <v>115</v>
      </c>
      <c r="C712" s="21" t="s">
        <v>1188</v>
      </c>
      <c r="D712" s="21" t="s">
        <v>211</v>
      </c>
      <c r="E712" s="21">
        <v>0</v>
      </c>
      <c r="F712" s="21"/>
      <c r="G712" s="22"/>
      <c r="H712" s="107" t="str">
        <f t="shared" si="2"/>
        <v>ifnull(t.stock_code_no,0) as stock_code_no,/*证券代码编号*/</v>
      </c>
    </row>
    <row r="713" spans="2:8" s="7" customFormat="1" x14ac:dyDescent="0.15">
      <c r="B713" s="20" t="s">
        <v>78</v>
      </c>
      <c r="C713" s="21" t="s">
        <v>1189</v>
      </c>
      <c r="D713" s="21" t="s">
        <v>211</v>
      </c>
      <c r="E713" s="21">
        <v>0</v>
      </c>
      <c r="F713" s="21"/>
      <c r="G713" s="22"/>
      <c r="H713" s="107" t="str">
        <f t="shared" si="2"/>
        <v>ifnull(t.stock_type,0) as stock_type,/*证券类型*/</v>
      </c>
    </row>
    <row r="714" spans="2:8" s="7" customFormat="1" x14ac:dyDescent="0.15">
      <c r="B714" s="20" t="s">
        <v>41</v>
      </c>
      <c r="C714" s="21" t="s">
        <v>1071</v>
      </c>
      <c r="D714" s="21" t="s">
        <v>423</v>
      </c>
      <c r="E714" s="21">
        <v>0</v>
      </c>
      <c r="F714" s="21"/>
      <c r="G714" s="22" t="s">
        <v>1360</v>
      </c>
      <c r="H714" s="107" t="str">
        <f t="shared" si="2"/>
        <v>ifnull(t.asset_type,0) as asset_type,/*资产类型*/</v>
      </c>
    </row>
    <row r="715" spans="2:8" s="7" customFormat="1" x14ac:dyDescent="0.15">
      <c r="B715" s="20" t="s">
        <v>261</v>
      </c>
      <c r="C715" s="21" t="s">
        <v>1355</v>
      </c>
      <c r="D715" s="21" t="s">
        <v>1345</v>
      </c>
      <c r="E715" s="21">
        <v>0</v>
      </c>
      <c r="F715" s="21"/>
      <c r="G715" s="22" t="s">
        <v>1356</v>
      </c>
      <c r="H715" s="107" t="str">
        <f t="shared" si="2"/>
        <v>ifnull(t.comm_id,0) as comm_id,/*指令序号*/</v>
      </c>
    </row>
    <row r="716" spans="2:8" s="7" customFormat="1" x14ac:dyDescent="0.15">
      <c r="B716" s="20" t="s">
        <v>270</v>
      </c>
      <c r="C716" s="21" t="s">
        <v>1361</v>
      </c>
      <c r="D716" s="21" t="s">
        <v>211</v>
      </c>
      <c r="E716" s="21">
        <v>0</v>
      </c>
      <c r="F716" s="21"/>
      <c r="G716" s="22"/>
      <c r="H716" s="107" t="str">
        <f t="shared" si="2"/>
        <v>ifnull(t.comm_batch_no,0) as comm_batch_no,/*指令批号*/</v>
      </c>
    </row>
    <row r="717" spans="2:8" s="7" customFormat="1" x14ac:dyDescent="0.15">
      <c r="B717" s="20" t="s">
        <v>276</v>
      </c>
      <c r="C717" s="21" t="s">
        <v>1362</v>
      </c>
      <c r="D717" s="21" t="s">
        <v>211</v>
      </c>
      <c r="E717" s="21" t="s">
        <v>1141</v>
      </c>
      <c r="F717" s="21"/>
      <c r="G717" s="22" t="s">
        <v>1363</v>
      </c>
      <c r="H717" s="107" t="str">
        <f t="shared" si="2"/>
        <v>ifnull(t.strike_date,date_format(curdate(),'%Y%m%d')) as strike_date,/*成交日期*/</v>
      </c>
    </row>
    <row r="718" spans="2:8" s="7" customFormat="1" x14ac:dyDescent="0.15">
      <c r="B718" s="20" t="s">
        <v>275</v>
      </c>
      <c r="C718" s="21" t="s">
        <v>1364</v>
      </c>
      <c r="D718" s="21" t="s">
        <v>211</v>
      </c>
      <c r="E718" s="21" t="s">
        <v>1265</v>
      </c>
      <c r="F718" s="21"/>
      <c r="G718" s="22" t="s">
        <v>1365</v>
      </c>
      <c r="H718" s="107" t="str">
        <f t="shared" si="2"/>
        <v>ifnull(t.strike_time,date_format(curtime(),'%H%i%s')) as strike_time,/*成交时间*/</v>
      </c>
    </row>
    <row r="719" spans="2:8" s="7" customFormat="1" x14ac:dyDescent="0.15">
      <c r="B719" s="20" t="s">
        <v>20</v>
      </c>
      <c r="C719" s="21" t="s">
        <v>1269</v>
      </c>
      <c r="D719" s="21" t="s">
        <v>1073</v>
      </c>
      <c r="E719" s="21" t="s">
        <v>1072</v>
      </c>
      <c r="F719" s="21" t="s">
        <v>28</v>
      </c>
      <c r="G719" s="22" t="s">
        <v>1270</v>
      </c>
      <c r="H719" s="107" t="str">
        <f t="shared" si="2"/>
        <v>ifnull(Y.strike_no," ") as strike_no,/*成交编号*/</v>
      </c>
    </row>
    <row r="720" spans="2:8" s="7" customFormat="1" x14ac:dyDescent="0.15">
      <c r="B720" s="20" t="s">
        <v>97</v>
      </c>
      <c r="C720" s="21" t="s">
        <v>1366</v>
      </c>
      <c r="D720" s="21" t="s">
        <v>211</v>
      </c>
      <c r="E720" s="21" t="s">
        <v>1141</v>
      </c>
      <c r="F720" s="21"/>
      <c r="G720" s="22" t="s">
        <v>1367</v>
      </c>
      <c r="H720" s="107" t="str">
        <f t="shared" si="2"/>
        <v>ifnull(t.report_date,date_format(curdate(),'%Y%m%d')) as report_date,/*申报日期*/</v>
      </c>
    </row>
    <row r="721" spans="2:8" s="7" customFormat="1" x14ac:dyDescent="0.15">
      <c r="B721" s="20" t="s">
        <v>99</v>
      </c>
      <c r="C721" s="21" t="s">
        <v>1563</v>
      </c>
      <c r="D721" s="21" t="s">
        <v>1287</v>
      </c>
      <c r="E721" s="21" t="s">
        <v>1072</v>
      </c>
      <c r="F721" s="21"/>
      <c r="G721" s="22" t="s">
        <v>1368</v>
      </c>
      <c r="H721" s="107" t="str">
        <f t="shared" si="2"/>
        <v>ifnull(t.report_no," ") as report_no,/*申报编号*/</v>
      </c>
    </row>
    <row r="722" spans="2:8" s="7" customFormat="1" x14ac:dyDescent="0.15">
      <c r="B722" s="20" t="s">
        <v>269</v>
      </c>
      <c r="C722" s="21" t="s">
        <v>1369</v>
      </c>
      <c r="D722" s="21" t="s">
        <v>211</v>
      </c>
      <c r="E722" s="21" t="s">
        <v>1141</v>
      </c>
      <c r="F722" s="21"/>
      <c r="G722" s="22" t="s">
        <v>1162</v>
      </c>
      <c r="H722" s="107" t="str">
        <f t="shared" si="2"/>
        <v>ifnull(t.order_date,date_format(curdate(),'%Y%m%d')) as order_date,/*订单日期*/</v>
      </c>
    </row>
    <row r="723" spans="2:8" s="7" customFormat="1" x14ac:dyDescent="0.15">
      <c r="B723" s="20" t="s">
        <v>271</v>
      </c>
      <c r="C723" s="21" t="s">
        <v>1120</v>
      </c>
      <c r="D723" s="21" t="s">
        <v>211</v>
      </c>
      <c r="E723" s="21" t="s">
        <v>1265</v>
      </c>
      <c r="F723" s="21"/>
      <c r="G723" s="22" t="s">
        <v>1370</v>
      </c>
      <c r="H723" s="107" t="str">
        <f t="shared" si="2"/>
        <v>ifnull(t.order_time,date_format(curtime(),'%H%i%s')) as order_time,/*订单时间*/</v>
      </c>
    </row>
    <row r="724" spans="2:8" s="7" customFormat="1" x14ac:dyDescent="0.15">
      <c r="B724" s="20" t="s">
        <v>173</v>
      </c>
      <c r="C724" s="21" t="s">
        <v>1371</v>
      </c>
      <c r="D724" s="21" t="s">
        <v>1345</v>
      </c>
      <c r="E724" s="21">
        <v>0</v>
      </c>
      <c r="F724" s="21"/>
      <c r="G724" s="22"/>
      <c r="H724" s="107" t="str">
        <f t="shared" si="2"/>
        <v>ifnull(t.order_id,0) as order_id,/*订单序号*/</v>
      </c>
    </row>
    <row r="725" spans="2:8" s="7" customFormat="1" x14ac:dyDescent="0.15">
      <c r="B725" s="20" t="s">
        <v>94</v>
      </c>
      <c r="C725" s="21" t="s">
        <v>1278</v>
      </c>
      <c r="D725" s="21" t="s">
        <v>211</v>
      </c>
      <c r="E725" s="21">
        <v>0</v>
      </c>
      <c r="F725" s="21"/>
      <c r="G725" s="22" t="s">
        <v>1279</v>
      </c>
      <c r="H725" s="107" t="str">
        <f t="shared" si="2"/>
        <v>ifnull(t.order_dir,0) as order_dir,/*订单方向*/</v>
      </c>
    </row>
    <row r="726" spans="2:8" s="7" customFormat="1" x14ac:dyDescent="0.15">
      <c r="B726" s="20" t="s">
        <v>262</v>
      </c>
      <c r="C726" s="21" t="s">
        <v>1372</v>
      </c>
      <c r="D726" s="21" t="s">
        <v>1211</v>
      </c>
      <c r="E726" s="21">
        <v>0</v>
      </c>
      <c r="F726" s="21"/>
      <c r="G726" s="22" t="s">
        <v>1373</v>
      </c>
      <c r="H726" s="107" t="str">
        <f t="shared" si="2"/>
        <v>ifnull(t.order_price,0) as order_price,/*订单价格*/</v>
      </c>
    </row>
    <row r="727" spans="2:8" s="7" customFormat="1" x14ac:dyDescent="0.15">
      <c r="B727" s="20" t="s">
        <v>272</v>
      </c>
      <c r="C727" s="21" t="s">
        <v>1374</v>
      </c>
      <c r="D727" s="21" t="s">
        <v>1087</v>
      </c>
      <c r="E727" s="21">
        <v>0</v>
      </c>
      <c r="F727" s="21"/>
      <c r="G727" s="22" t="s">
        <v>1375</v>
      </c>
      <c r="H727" s="107" t="str">
        <f t="shared" si="2"/>
        <v>ifnull(t.order_qty,0) as order_qty,/*订单数量*/</v>
      </c>
    </row>
    <row r="728" spans="2:8" s="7" customFormat="1" x14ac:dyDescent="0.15">
      <c r="B728" s="20" t="s">
        <v>38</v>
      </c>
      <c r="C728" s="21" t="s">
        <v>1241</v>
      </c>
      <c r="D728" s="21" t="s">
        <v>1087</v>
      </c>
      <c r="E728" s="21">
        <v>0</v>
      </c>
      <c r="F728" s="21"/>
      <c r="G728" s="22" t="s">
        <v>1086</v>
      </c>
      <c r="H728" s="107" t="str">
        <f t="shared" si="2"/>
        <v>ifnull(t.strike_qty,0) as strike_qty,/*成交数量*/</v>
      </c>
    </row>
    <row r="729" spans="2:8" s="7" customFormat="1" x14ac:dyDescent="0.15">
      <c r="B729" s="20" t="s">
        <v>100</v>
      </c>
      <c r="C729" s="21" t="s">
        <v>1376</v>
      </c>
      <c r="D729" s="21" t="s">
        <v>1211</v>
      </c>
      <c r="E729" s="21">
        <v>0</v>
      </c>
      <c r="F729" s="21"/>
      <c r="G729" s="22" t="s">
        <v>1377</v>
      </c>
      <c r="H729" s="107" t="str">
        <f t="shared" si="2"/>
        <v>ifnull(t.strike_price,0) as strike_price,/*成交价格*/</v>
      </c>
    </row>
    <row r="730" spans="2:8" s="7" customFormat="1" x14ac:dyDescent="0.15">
      <c r="B730" s="20" t="s">
        <v>277</v>
      </c>
      <c r="C730" s="21" t="s">
        <v>1242</v>
      </c>
      <c r="D730" s="21" t="s">
        <v>1169</v>
      </c>
      <c r="E730" s="21">
        <v>0</v>
      </c>
      <c r="F730" s="21"/>
      <c r="G730" s="22" t="s">
        <v>1243</v>
      </c>
      <c r="H730" s="107" t="str">
        <f t="shared" si="2"/>
        <v>ifnull(t.strike_amt,0) as strike_amt,/*成交金额*/</v>
      </c>
    </row>
    <row r="731" spans="2:8" s="7" customFormat="1" x14ac:dyDescent="0.15">
      <c r="B731" s="20" t="s">
        <v>263</v>
      </c>
      <c r="C731" s="21" t="s">
        <v>1378</v>
      </c>
      <c r="D731" s="21" t="s">
        <v>1169</v>
      </c>
      <c r="E731" s="21">
        <v>0</v>
      </c>
      <c r="F731" s="21"/>
      <c r="G731" s="22" t="s">
        <v>1379</v>
      </c>
      <c r="H731" s="107" t="str">
        <f t="shared" si="2"/>
        <v>ifnull(t.all_fee,0) as all_fee,/*全部费用*/</v>
      </c>
    </row>
    <row r="732" spans="2:8" s="7" customFormat="1" x14ac:dyDescent="0.15">
      <c r="B732" s="20" t="s">
        <v>102</v>
      </c>
      <c r="C732" s="21" t="s">
        <v>1380</v>
      </c>
      <c r="D732" s="21" t="s">
        <v>1169</v>
      </c>
      <c r="E732" s="21">
        <v>0</v>
      </c>
      <c r="F732" s="21"/>
      <c r="G732" s="22" t="s">
        <v>1381</v>
      </c>
      <c r="H732" s="107" t="str">
        <f t="shared" si="2"/>
        <v>ifnull(t.stamp_tax,0) as stamp_tax,/*印花税*/</v>
      </c>
    </row>
    <row r="733" spans="2:8" s="7" customFormat="1" x14ac:dyDescent="0.15">
      <c r="B733" s="20" t="s">
        <v>103</v>
      </c>
      <c r="C733" s="21" t="s">
        <v>1382</v>
      </c>
      <c r="D733" s="21" t="s">
        <v>1169</v>
      </c>
      <c r="E733" s="21">
        <v>0</v>
      </c>
      <c r="F733" s="21"/>
      <c r="G733" s="22"/>
      <c r="H733" s="107" t="str">
        <f t="shared" si="2"/>
        <v>ifnull(t.trans_fee,0) as trans_fee,/*过户费*/</v>
      </c>
    </row>
    <row r="734" spans="2:8" s="7" customFormat="1" x14ac:dyDescent="0.15">
      <c r="B734" s="20" t="s">
        <v>104</v>
      </c>
      <c r="C734" s="21" t="s">
        <v>1383</v>
      </c>
      <c r="D734" s="21" t="s">
        <v>1169</v>
      </c>
      <c r="E734" s="21">
        <v>0</v>
      </c>
      <c r="F734" s="21"/>
      <c r="G734" s="22" t="s">
        <v>1384</v>
      </c>
      <c r="H734" s="107" t="str">
        <f t="shared" si="2"/>
        <v>ifnull(t.brkage_fee,0) as brkage_fee,/*经手费*/</v>
      </c>
    </row>
    <row r="735" spans="2:8" s="7" customFormat="1" x14ac:dyDescent="0.15">
      <c r="B735" s="20" t="s">
        <v>105</v>
      </c>
      <c r="C735" s="21" t="s">
        <v>1385</v>
      </c>
      <c r="D735" s="21" t="s">
        <v>1169</v>
      </c>
      <c r="E735" s="21">
        <v>0</v>
      </c>
      <c r="F735" s="21"/>
      <c r="G735" s="22" t="s">
        <v>1564</v>
      </c>
      <c r="H735" s="107" t="str">
        <f t="shared" si="2"/>
        <v>ifnull(t.SEC_charges,0) as SEC_charges,/*证管费*/</v>
      </c>
    </row>
    <row r="736" spans="2:8" s="7" customFormat="1" x14ac:dyDescent="0.15">
      <c r="B736" s="20" t="s">
        <v>106</v>
      </c>
      <c r="C736" s="21" t="s">
        <v>1386</v>
      </c>
      <c r="D736" s="21" t="s">
        <v>1169</v>
      </c>
      <c r="E736" s="21">
        <v>0</v>
      </c>
      <c r="F736" s="21"/>
      <c r="G736" s="22" t="s">
        <v>1387</v>
      </c>
      <c r="H736" s="107" t="str">
        <f t="shared" si="2"/>
        <v>ifnull(t.other_fee,0) as other_fee,/*其他费用*/</v>
      </c>
    </row>
    <row r="737" spans="1:8" s="7" customFormat="1" x14ac:dyDescent="0.15">
      <c r="B737" s="20" t="s">
        <v>107</v>
      </c>
      <c r="C737" s="21" t="s">
        <v>1388</v>
      </c>
      <c r="D737" s="21" t="s">
        <v>1169</v>
      </c>
      <c r="E737" s="21">
        <v>0</v>
      </c>
      <c r="F737" s="21"/>
      <c r="G737" s="22" t="s">
        <v>1389</v>
      </c>
      <c r="H737" s="107" t="str">
        <f t="shared" si="2"/>
        <v>ifnull(t.trade_commis,0) as trade_commis,/*交易佣金*/</v>
      </c>
    </row>
    <row r="738" spans="1:8" s="7" customFormat="1" x14ac:dyDescent="0.15">
      <c r="B738" s="20" t="s">
        <v>108</v>
      </c>
      <c r="C738" s="21" t="s">
        <v>1390</v>
      </c>
      <c r="D738" s="21" t="s">
        <v>1169</v>
      </c>
      <c r="E738" s="21">
        <v>0</v>
      </c>
      <c r="F738" s="21"/>
      <c r="G738" s="22" t="s">
        <v>1391</v>
      </c>
      <c r="H738" s="107" t="str">
        <f t="shared" si="2"/>
        <v>ifnull(t.other_commis,0) as other_commis,/*其他佣金*/</v>
      </c>
    </row>
    <row r="739" spans="1:8" s="7" customFormat="1" x14ac:dyDescent="0.15">
      <c r="B739" s="20" t="s">
        <v>259</v>
      </c>
      <c r="C739" s="21" t="s">
        <v>1392</v>
      </c>
      <c r="D739" s="21" t="s">
        <v>211</v>
      </c>
      <c r="E739" s="21">
        <v>0</v>
      </c>
      <c r="F739" s="21"/>
      <c r="G739" s="22"/>
      <c r="H739" s="107" t="str">
        <f t="shared" si="2"/>
        <v>ifnull(t.net_price_flag,0) as net_price_flag,/*净价标志*/</v>
      </c>
    </row>
    <row r="740" spans="1:8" s="7" customFormat="1" x14ac:dyDescent="0.15">
      <c r="B740" s="20" t="s">
        <v>264</v>
      </c>
      <c r="C740" s="21" t="s">
        <v>1393</v>
      </c>
      <c r="D740" s="21" t="s">
        <v>211</v>
      </c>
      <c r="E740" s="21">
        <v>0</v>
      </c>
      <c r="F740" s="21"/>
      <c r="G740" s="22"/>
      <c r="H740" s="107" t="str">
        <f t="shared" si="2"/>
        <v>ifnull(t.intrst_days,0) as intrst_days,/*计息天数*/</v>
      </c>
    </row>
    <row r="741" spans="1:8" s="7" customFormat="1" x14ac:dyDescent="0.15">
      <c r="B741" s="20" t="s">
        <v>273</v>
      </c>
      <c r="C741" s="21" t="s">
        <v>1394</v>
      </c>
      <c r="D741" s="21" t="s">
        <v>1211</v>
      </c>
      <c r="E741" s="21">
        <v>0</v>
      </c>
      <c r="F741" s="21"/>
      <c r="G741" s="22"/>
      <c r="H741" s="107" t="str">
        <f t="shared" si="2"/>
        <v>ifnull(t.par_value,0) as par_value,/*票面面值*/</v>
      </c>
    </row>
    <row r="742" spans="1:8" s="7" customFormat="1" x14ac:dyDescent="0.15">
      <c r="B742" s="20" t="s">
        <v>258</v>
      </c>
      <c r="C742" s="21" t="s">
        <v>1395</v>
      </c>
      <c r="D742" s="21" t="s">
        <v>1172</v>
      </c>
      <c r="E742" s="21">
        <v>0</v>
      </c>
      <c r="F742" s="21"/>
      <c r="G742" s="22"/>
      <c r="H742" s="107" t="str">
        <f t="shared" si="2"/>
        <v>ifnull(t.bond_accr_intrst,0) as bond_accr_intrst,/*债券计提利息*/</v>
      </c>
    </row>
    <row r="743" spans="1:8" s="7" customFormat="1" x14ac:dyDescent="0.15">
      <c r="B743" s="20" t="s">
        <v>265</v>
      </c>
      <c r="C743" s="21" t="s">
        <v>1396</v>
      </c>
      <c r="D743" s="21" t="s">
        <v>211</v>
      </c>
      <c r="E743" s="21">
        <v>0</v>
      </c>
      <c r="F743" s="21"/>
      <c r="G743" s="22"/>
      <c r="H743" s="107" t="str">
        <f t="shared" si="2"/>
        <v>ifnull(t.bond_rate_type,0) as bond_rate_type,/*债券利率类型*/</v>
      </c>
    </row>
    <row r="744" spans="1:8" s="7" customFormat="1" x14ac:dyDescent="0.15">
      <c r="B744" s="20" t="s">
        <v>274</v>
      </c>
      <c r="C744" s="21" t="s">
        <v>1565</v>
      </c>
      <c r="D744" s="21" t="s">
        <v>1172</v>
      </c>
      <c r="E744" s="21">
        <v>0</v>
      </c>
      <c r="F744" s="21"/>
      <c r="G744" s="22"/>
      <c r="H744" s="107" t="str">
        <f t="shared" si="2"/>
        <v>ifnull(t.impawn_ratio,0) as impawn_ratio,/*质押比例*/</v>
      </c>
    </row>
    <row r="745" spans="1:8" s="7" customFormat="1" x14ac:dyDescent="0.15">
      <c r="B745" s="20" t="s">
        <v>174</v>
      </c>
      <c r="C745" s="21" t="s">
        <v>1397</v>
      </c>
      <c r="D745" s="21" t="s">
        <v>211</v>
      </c>
      <c r="E745" s="21">
        <v>0</v>
      </c>
      <c r="F745" s="21"/>
      <c r="G745" s="22"/>
      <c r="H745" s="107" t="str">
        <f t="shared" si="2"/>
        <v>ifnull(t.trade_code_no,0) as trade_code_no,/*交易代码编号*/</v>
      </c>
    </row>
    <row r="746" spans="1:8" s="7" customFormat="1" x14ac:dyDescent="0.15">
      <c r="B746" s="20" t="s">
        <v>214</v>
      </c>
      <c r="C746" s="21" t="s">
        <v>1339</v>
      </c>
      <c r="D746" s="21" t="s">
        <v>211</v>
      </c>
      <c r="E746" s="21">
        <v>0</v>
      </c>
      <c r="F746" s="21"/>
      <c r="G746" s="22"/>
      <c r="H746" s="107" t="str">
        <f t="shared" si="2"/>
        <v>ifnull(t.target_code_no,0) as target_code_no,/*标的代码编号*/</v>
      </c>
    </row>
    <row r="747" spans="1:8" s="7" customFormat="1" x14ac:dyDescent="0.15">
      <c r="B747" s="20" t="s">
        <v>266</v>
      </c>
      <c r="C747" s="21" t="s">
        <v>1398</v>
      </c>
      <c r="D747" s="21" t="s">
        <v>1403</v>
      </c>
      <c r="E747" s="21" t="s">
        <v>1072</v>
      </c>
      <c r="F747" s="21"/>
      <c r="G747" s="22"/>
      <c r="H747" s="107" t="str">
        <f t="shared" si="2"/>
        <v>ifnull(t.order_oper_way," ") as order_oper_way,/*订单操作方式*/</v>
      </c>
    </row>
    <row r="748" spans="1:8" s="7" customFormat="1" x14ac:dyDescent="0.15">
      <c r="B748" s="20" t="s">
        <v>267</v>
      </c>
      <c r="C748" s="21" t="s">
        <v>1566</v>
      </c>
      <c r="D748" s="21" t="s">
        <v>211</v>
      </c>
      <c r="E748" s="21">
        <v>0</v>
      </c>
      <c r="F748" s="21"/>
      <c r="G748" s="22" t="s">
        <v>1567</v>
      </c>
      <c r="H748" s="107" t="str">
        <f t="shared" si="2"/>
        <v>ifnull(t.exter_comm_flag,0) as exter_comm_flag,/*体外指令标志*/</v>
      </c>
    </row>
    <row r="749" spans="1:8" s="7" customFormat="1" x14ac:dyDescent="0.15">
      <c r="B749" s="17" t="s">
        <v>268</v>
      </c>
      <c r="C749" s="26" t="s">
        <v>1568</v>
      </c>
      <c r="D749" s="26" t="s">
        <v>211</v>
      </c>
      <c r="E749" s="26">
        <v>0</v>
      </c>
      <c r="F749" s="26"/>
      <c r="G749" s="27" t="s">
        <v>1399</v>
      </c>
      <c r="H749" s="107" t="str">
        <f t="shared" si="2"/>
        <v>ifnull(t.record_valid_flag,0) as record_valid_flag,/*记录有效标志*/</v>
      </c>
    </row>
    <row r="750" spans="1:8" s="7" customFormat="1" ht="18" thickBot="1" x14ac:dyDescent="0.2">
      <c r="B750" s="20"/>
      <c r="C750" s="21"/>
      <c r="D750" s="21"/>
      <c r="E750" s="21"/>
      <c r="F750" s="21"/>
      <c r="G750" s="22"/>
      <c r="H750" s="107"/>
    </row>
    <row r="751" spans="1:8" s="7" customFormat="1" x14ac:dyDescent="0.15">
      <c r="B751" s="327" t="s">
        <v>15</v>
      </c>
      <c r="C751" s="328"/>
      <c r="D751" s="328"/>
      <c r="E751" s="328"/>
      <c r="F751" s="328"/>
      <c r="G751" s="329"/>
    </row>
    <row r="752" spans="1:8" s="7" customFormat="1" x14ac:dyDescent="0.15">
      <c r="A752" s="7" t="s">
        <v>62</v>
      </c>
      <c r="B752" s="20">
        <v>1</v>
      </c>
      <c r="C752" s="21" t="s">
        <v>98</v>
      </c>
      <c r="D752" s="21" t="s">
        <v>260</v>
      </c>
      <c r="E752" s="21" t="s">
        <v>7</v>
      </c>
      <c r="F752" s="21" t="s">
        <v>101</v>
      </c>
      <c r="G752" s="22" t="s">
        <v>20</v>
      </c>
      <c r="H752" s="7" t="s">
        <v>79</v>
      </c>
    </row>
    <row r="753" spans="1:8" s="7" customFormat="1" x14ac:dyDescent="0.15">
      <c r="B753" s="20">
        <v>2</v>
      </c>
      <c r="C753" s="21" t="s">
        <v>22</v>
      </c>
      <c r="D753" s="21" t="s">
        <v>109</v>
      </c>
      <c r="E753" s="21" t="s">
        <v>111</v>
      </c>
      <c r="F753" s="21" t="s">
        <v>123</v>
      </c>
      <c r="G753" s="22"/>
    </row>
    <row r="754" spans="1:8" s="7" customFormat="1" x14ac:dyDescent="0.15">
      <c r="B754" s="17">
        <v>3</v>
      </c>
      <c r="C754" s="18" t="s">
        <v>269</v>
      </c>
      <c r="D754" s="18"/>
      <c r="E754" s="18"/>
      <c r="F754" s="18"/>
      <c r="G754" s="19"/>
    </row>
    <row r="755" spans="1:8" s="7" customFormat="1" ht="18" thickBot="1" x14ac:dyDescent="0.2">
      <c r="B755" s="24">
        <v>4</v>
      </c>
      <c r="C755" s="9" t="s">
        <v>267</v>
      </c>
      <c r="D755" s="9" t="s">
        <v>268</v>
      </c>
      <c r="E755" s="9"/>
      <c r="F755" s="9"/>
      <c r="G755" s="11"/>
    </row>
    <row r="756" spans="1:8" ht="18" thickBot="1" x14ac:dyDescent="0.2"/>
    <row r="757" spans="1:8" s="7" customFormat="1" x14ac:dyDescent="0.15">
      <c r="A757" s="2"/>
      <c r="B757" s="39" t="s">
        <v>563</v>
      </c>
      <c r="C757" s="108" t="s">
        <v>616</v>
      </c>
      <c r="D757" s="40" t="s">
        <v>515</v>
      </c>
      <c r="E757" s="21" t="s">
        <v>597</v>
      </c>
      <c r="F757" s="40" t="s">
        <v>567</v>
      </c>
      <c r="G757" s="41"/>
      <c r="H757" s="6" t="str">
        <f>"create or replace view "&amp;C757</f>
        <v>create or replace view vi_tdset0_stock_posi_detail</v>
      </c>
    </row>
    <row r="758" spans="1:8" s="7" customFormat="1" ht="18" thickBot="1" x14ac:dyDescent="0.2">
      <c r="A758" s="2"/>
      <c r="B758" s="42" t="s">
        <v>570</v>
      </c>
      <c r="C758" s="43"/>
      <c r="D758" s="44" t="s">
        <v>568</v>
      </c>
      <c r="E758" s="43" t="s">
        <v>615</v>
      </c>
      <c r="F758" s="44"/>
      <c r="G758" s="45"/>
      <c r="H758" s="11" t="str">
        <f>"# "&amp;E757</f>
        <v># 报表_资管报表_交易证券-T0-证券持仓明细表</v>
      </c>
    </row>
    <row r="759" spans="1:8" s="7" customFormat="1" x14ac:dyDescent="0.15">
      <c r="A759" s="2"/>
      <c r="B759" s="39" t="s">
        <v>0</v>
      </c>
      <c r="C759" s="40" t="s">
        <v>1</v>
      </c>
      <c r="D759" s="40" t="s">
        <v>2</v>
      </c>
      <c r="E759" s="40"/>
      <c r="F759" s="40" t="s">
        <v>3</v>
      </c>
      <c r="G759" s="46" t="s">
        <v>4</v>
      </c>
      <c r="H759" s="13" t="s">
        <v>283</v>
      </c>
    </row>
    <row r="760" spans="1:8" s="152" customFormat="1" x14ac:dyDescent="0.15">
      <c r="B760" s="153" t="s">
        <v>22</v>
      </c>
      <c r="C760" s="154" t="s">
        <v>1127</v>
      </c>
      <c r="D760" s="154" t="s">
        <v>211</v>
      </c>
      <c r="E760" s="154" t="s">
        <v>1141</v>
      </c>
      <c r="F760" s="154"/>
      <c r="G760" s="155" t="s">
        <v>1162</v>
      </c>
      <c r="H760" s="107"/>
    </row>
    <row r="761" spans="1:8" s="7" customFormat="1" x14ac:dyDescent="0.15">
      <c r="A761" s="2"/>
      <c r="B761" s="47" t="s">
        <v>21</v>
      </c>
      <c r="C761" s="48" t="s">
        <v>1357</v>
      </c>
      <c r="D761" s="48" t="s">
        <v>211</v>
      </c>
      <c r="E761" s="48">
        <v>0</v>
      </c>
      <c r="F761" s="48"/>
      <c r="G761" s="49" t="s">
        <v>1358</v>
      </c>
      <c r="H761" s="107" t="str">
        <f t="shared" ref="H761:H780" si="3">IF(F761&lt;&gt;"",F761,"t."&amp;C761)&amp;" as "&amp;C761&amp;",/*"&amp;B761&amp;"*/"</f>
        <v>t.opor_no as opor_no,/*操作员编号*/</v>
      </c>
    </row>
    <row r="762" spans="1:8" s="7" customFormat="1" x14ac:dyDescent="0.15">
      <c r="A762" s="2"/>
      <c r="B762" s="47" t="s">
        <v>6</v>
      </c>
      <c r="C762" s="48" t="s">
        <v>1163</v>
      </c>
      <c r="D762" s="48" t="s">
        <v>211</v>
      </c>
      <c r="E762" s="48">
        <v>0</v>
      </c>
      <c r="F762" s="48"/>
      <c r="G762" s="49" t="s">
        <v>1077</v>
      </c>
      <c r="H762" s="107" t="str">
        <f t="shared" si="3"/>
        <v>t.co_no as co_no,/*机构编号*/</v>
      </c>
    </row>
    <row r="763" spans="1:8" s="7" customFormat="1" x14ac:dyDescent="0.15">
      <c r="A763" s="2"/>
      <c r="B763" s="47" t="s">
        <v>111</v>
      </c>
      <c r="C763" s="48" t="s">
        <v>1164</v>
      </c>
      <c r="D763" s="48" t="s">
        <v>211</v>
      </c>
      <c r="E763" s="48">
        <v>0</v>
      </c>
      <c r="F763" s="48"/>
      <c r="G763" s="49" t="s">
        <v>1165</v>
      </c>
      <c r="H763" s="107" t="str">
        <f t="shared" si="3"/>
        <v>t.pd_no as pd_no,/*产品编号*/</v>
      </c>
    </row>
    <row r="764" spans="1:8" s="7" customFormat="1" x14ac:dyDescent="0.15">
      <c r="A764" s="2"/>
      <c r="B764" s="47" t="s">
        <v>123</v>
      </c>
      <c r="C764" s="48" t="s">
        <v>1133</v>
      </c>
      <c r="D764" s="48" t="s">
        <v>211</v>
      </c>
      <c r="E764" s="48">
        <v>0</v>
      </c>
      <c r="F764" s="48"/>
      <c r="G764" s="49" t="s">
        <v>1182</v>
      </c>
      <c r="H764" s="107" t="str">
        <f t="shared" si="3"/>
        <v>t.exch_group_no as exch_group_no,/*交易组编号*/</v>
      </c>
    </row>
    <row r="765" spans="1:8" s="7" customFormat="1" x14ac:dyDescent="0.15">
      <c r="A765" s="2"/>
      <c r="B765" s="50" t="s">
        <v>121</v>
      </c>
      <c r="C765" s="51" t="s">
        <v>1187</v>
      </c>
      <c r="D765" s="51" t="s">
        <v>211</v>
      </c>
      <c r="E765" s="51">
        <v>0</v>
      </c>
      <c r="F765" s="51"/>
      <c r="G765" s="52"/>
      <c r="H765" s="107" t="str">
        <f t="shared" si="3"/>
        <v>t.asset_acco_no as asset_acco_no,/*资产账户编号*/</v>
      </c>
    </row>
    <row r="766" spans="1:8" s="7" customFormat="1" x14ac:dyDescent="0.15">
      <c r="A766" s="2"/>
      <c r="B766" s="47" t="s">
        <v>7</v>
      </c>
      <c r="C766" s="48" t="s">
        <v>1190</v>
      </c>
      <c r="D766" s="48" t="s">
        <v>211</v>
      </c>
      <c r="E766" s="48">
        <v>0</v>
      </c>
      <c r="F766" s="48"/>
      <c r="G766" s="49" t="s">
        <v>1081</v>
      </c>
      <c r="H766" s="107" t="str">
        <f t="shared" si="3"/>
        <v>t.exch_no as exch_no,/*市场编号*/</v>
      </c>
    </row>
    <row r="767" spans="1:8" s="7" customFormat="1" x14ac:dyDescent="0.15">
      <c r="A767" s="2"/>
      <c r="B767" s="50" t="s">
        <v>114</v>
      </c>
      <c r="C767" s="51" t="s">
        <v>1155</v>
      </c>
      <c r="D767" s="51" t="s">
        <v>211</v>
      </c>
      <c r="E767" s="51">
        <v>0</v>
      </c>
      <c r="F767" s="51"/>
      <c r="G767" s="52"/>
      <c r="H767" s="107" t="str">
        <f t="shared" si="3"/>
        <v>t.stock_acco_no as stock_acco_no,/*股东代码编号*/</v>
      </c>
    </row>
    <row r="768" spans="1:8" s="7" customFormat="1" x14ac:dyDescent="0.15">
      <c r="A768" s="2"/>
      <c r="B768" s="50" t="s">
        <v>118</v>
      </c>
      <c r="C768" s="51" t="s">
        <v>1188</v>
      </c>
      <c r="D768" s="51" t="s">
        <v>211</v>
      </c>
      <c r="E768" s="51">
        <v>0</v>
      </c>
      <c r="F768" s="51"/>
      <c r="G768" s="52"/>
      <c r="H768" s="107" t="str">
        <f t="shared" si="3"/>
        <v>t.stock_code_no as stock_code_no,/*证券代码编号*/</v>
      </c>
    </row>
    <row r="769" spans="1:8" s="7" customFormat="1" x14ac:dyDescent="0.15">
      <c r="A769" s="2"/>
      <c r="B769" s="47" t="s">
        <v>124</v>
      </c>
      <c r="C769" s="48" t="s">
        <v>1216</v>
      </c>
      <c r="D769" s="48" t="s">
        <v>211</v>
      </c>
      <c r="E769" s="48">
        <v>0</v>
      </c>
      <c r="F769" s="48"/>
      <c r="G769" s="49"/>
      <c r="H769" s="107" t="str">
        <f t="shared" si="3"/>
        <v>t.lngsht_type as lngsht_type,/*多空类型*/</v>
      </c>
    </row>
    <row r="770" spans="1:8" s="7" customFormat="1" x14ac:dyDescent="0.15">
      <c r="A770" s="2"/>
      <c r="B770" s="47" t="s">
        <v>9</v>
      </c>
      <c r="C770" s="48" t="s">
        <v>1195</v>
      </c>
      <c r="D770" s="48" t="s">
        <v>1087</v>
      </c>
      <c r="E770" s="48">
        <v>0</v>
      </c>
      <c r="F770" s="48"/>
      <c r="G770" s="49" t="s">
        <v>1196</v>
      </c>
      <c r="H770" s="107" t="str">
        <f t="shared" si="3"/>
        <v>t.curr_qty as curr_qty,/*当前数量*/</v>
      </c>
    </row>
    <row r="771" spans="1:8" s="7" customFormat="1" x14ac:dyDescent="0.15">
      <c r="A771" s="2"/>
      <c r="B771" s="47" t="s">
        <v>125</v>
      </c>
      <c r="C771" s="48" t="s">
        <v>1263</v>
      </c>
      <c r="D771" s="48" t="s">
        <v>211</v>
      </c>
      <c r="E771" s="48" t="s">
        <v>1141</v>
      </c>
      <c r="F771" s="48"/>
      <c r="G771" s="49"/>
      <c r="H771" s="107" t="str">
        <f t="shared" si="3"/>
        <v>t.open_posi_date as open_posi_date,/*开仓日期*/</v>
      </c>
    </row>
    <row r="772" spans="1:8" s="7" customFormat="1" x14ac:dyDescent="0.15">
      <c r="A772" s="2"/>
      <c r="B772" s="47" t="s">
        <v>126</v>
      </c>
      <c r="C772" s="48" t="s">
        <v>1264</v>
      </c>
      <c r="D772" s="48" t="s">
        <v>211</v>
      </c>
      <c r="E772" s="48" t="s">
        <v>1265</v>
      </c>
      <c r="F772" s="48"/>
      <c r="G772" s="49"/>
      <c r="H772" s="107" t="str">
        <f t="shared" si="3"/>
        <v>t.open_posi_time as open_posi_time,/*开仓时间*/</v>
      </c>
    </row>
    <row r="773" spans="1:8" s="7" customFormat="1" x14ac:dyDescent="0.15">
      <c r="A773" s="2"/>
      <c r="B773" s="47" t="s">
        <v>127</v>
      </c>
      <c r="C773" s="48" t="s">
        <v>1266</v>
      </c>
      <c r="D773" s="48" t="s">
        <v>1211</v>
      </c>
      <c r="E773" s="48">
        <v>0</v>
      </c>
      <c r="F773" s="48"/>
      <c r="G773" s="49"/>
      <c r="H773" s="107" t="str">
        <f t="shared" si="3"/>
        <v>t.open_posi_price as open_posi_price,/*开仓价格*/</v>
      </c>
    </row>
    <row r="774" spans="1:8" s="7" customFormat="1" x14ac:dyDescent="0.15">
      <c r="A774" s="2"/>
      <c r="B774" s="47" t="s">
        <v>128</v>
      </c>
      <c r="C774" s="48" t="s">
        <v>1569</v>
      </c>
      <c r="D774" s="48" t="s">
        <v>1169</v>
      </c>
      <c r="E774" s="48">
        <v>0</v>
      </c>
      <c r="F774" s="48"/>
      <c r="G774" s="49"/>
      <c r="H774" s="107" t="str">
        <f t="shared" si="3"/>
        <v>t.open_posi_value as open_posi_value,/*开仓市值*/</v>
      </c>
    </row>
    <row r="775" spans="1:8" s="7" customFormat="1" x14ac:dyDescent="0.15">
      <c r="A775" s="2"/>
      <c r="B775" s="47" t="s">
        <v>129</v>
      </c>
      <c r="C775" s="48" t="s">
        <v>1267</v>
      </c>
      <c r="D775" s="48" t="s">
        <v>1169</v>
      </c>
      <c r="E775" s="48">
        <v>0</v>
      </c>
      <c r="F775" s="48"/>
      <c r="G775" s="49"/>
      <c r="H775" s="107" t="str">
        <f t="shared" si="3"/>
        <v>t.open_posi_fee as open_posi_fee,/*开仓费用*/</v>
      </c>
    </row>
    <row r="776" spans="1:8" s="7" customFormat="1" x14ac:dyDescent="0.15">
      <c r="A776" s="2"/>
      <c r="B776" s="47" t="s">
        <v>130</v>
      </c>
      <c r="C776" s="48" t="s">
        <v>1400</v>
      </c>
      <c r="D776" s="48" t="s">
        <v>1087</v>
      </c>
      <c r="E776" s="48">
        <v>0</v>
      </c>
      <c r="F776" s="48"/>
      <c r="G776" s="49"/>
      <c r="H776" s="107" t="str">
        <f t="shared" si="3"/>
        <v>t.close_posi_qty as close_posi_qty,/*平仓数量*/</v>
      </c>
    </row>
    <row r="777" spans="1:8" s="7" customFormat="1" x14ac:dyDescent="0.15">
      <c r="A777" s="2"/>
      <c r="B777" s="47" t="s">
        <v>131</v>
      </c>
      <c r="C777" s="48" t="s">
        <v>1401</v>
      </c>
      <c r="D777" s="48" t="s">
        <v>1169</v>
      </c>
      <c r="E777" s="48">
        <v>0</v>
      </c>
      <c r="F777" s="48"/>
      <c r="G777" s="49"/>
      <c r="H777" s="107" t="str">
        <f t="shared" si="3"/>
        <v>t.close_posi_market_value as close_posi_market_value,/*平仓市值*/</v>
      </c>
    </row>
    <row r="778" spans="1:8" s="7" customFormat="1" x14ac:dyDescent="0.15">
      <c r="A778" s="2"/>
      <c r="B778" s="47" t="s">
        <v>132</v>
      </c>
      <c r="C778" s="48" t="s">
        <v>1090</v>
      </c>
      <c r="D778" s="48" t="s">
        <v>1169</v>
      </c>
      <c r="E778" s="48">
        <v>0</v>
      </c>
      <c r="F778" s="48"/>
      <c r="G778" s="49"/>
      <c r="H778" s="107" t="str">
        <f t="shared" si="3"/>
        <v>t.close_posi_fee as close_posi_fee,/*平仓费用*/</v>
      </c>
    </row>
    <row r="779" spans="1:8" s="7" customFormat="1" x14ac:dyDescent="0.15">
      <c r="A779" s="2"/>
      <c r="B779" s="47" t="s">
        <v>20</v>
      </c>
      <c r="C779" s="48" t="s">
        <v>1269</v>
      </c>
      <c r="D779" s="48" t="s">
        <v>1073</v>
      </c>
      <c r="E779" s="48" t="s">
        <v>1072</v>
      </c>
      <c r="F779" s="48"/>
      <c r="G779" s="49" t="s">
        <v>1270</v>
      </c>
      <c r="H779" s="107" t="str">
        <f t="shared" si="3"/>
        <v>t.strike_no as strike_no,/*成交编号*/</v>
      </c>
    </row>
    <row r="780" spans="1:8" s="7" customFormat="1" x14ac:dyDescent="0.15">
      <c r="A780" s="2"/>
      <c r="B780" s="47" t="s">
        <v>12</v>
      </c>
      <c r="C780" s="48" t="s">
        <v>1143</v>
      </c>
      <c r="D780" s="48" t="s">
        <v>1331</v>
      </c>
      <c r="E780" s="48">
        <v>0</v>
      </c>
      <c r="F780" s="48"/>
      <c r="G780" s="49"/>
      <c r="H780" s="107" t="str">
        <f t="shared" si="3"/>
        <v>t.realize_pandl as realize_pandl,/*实现盈亏*/</v>
      </c>
    </row>
    <row r="781" spans="1:8" s="7" customFormat="1" x14ac:dyDescent="0.15">
      <c r="A781" s="2"/>
      <c r="B781" s="47" t="s">
        <v>1048</v>
      </c>
      <c r="C781" s="48" t="s">
        <v>1570</v>
      </c>
      <c r="D781" s="48" t="s">
        <v>1331</v>
      </c>
      <c r="E781" s="48">
        <v>0</v>
      </c>
      <c r="F781" s="48"/>
      <c r="G781" s="49"/>
      <c r="H781" s="107"/>
    </row>
    <row r="782" spans="1:8" s="7" customFormat="1" x14ac:dyDescent="0.15">
      <c r="A782" s="2"/>
      <c r="B782" s="47" t="s">
        <v>133</v>
      </c>
      <c r="C782" s="48" t="s">
        <v>1402</v>
      </c>
      <c r="D782" s="48" t="s">
        <v>1403</v>
      </c>
      <c r="E782" s="48" t="s">
        <v>1303</v>
      </c>
      <c r="F782" s="48"/>
      <c r="G782" s="49" t="s">
        <v>1404</v>
      </c>
      <c r="H782" s="107" t="str">
        <f>IF(F782&lt;&gt;"",F782,"t."&amp;C782)&amp;" as "&amp;C782&amp;",/*"&amp;B782&amp;"*/"</f>
        <v>t.posi_status as posi_status,/*持仓状态*/</v>
      </c>
    </row>
    <row r="783" spans="1:8" s="7" customFormat="1" ht="18" thickBot="1" x14ac:dyDescent="0.2">
      <c r="A783" s="2"/>
      <c r="B783" s="53" t="s">
        <v>134</v>
      </c>
      <c r="C783" s="54" t="s">
        <v>1406</v>
      </c>
      <c r="D783" s="54" t="s">
        <v>1092</v>
      </c>
      <c r="E783" s="54" t="s">
        <v>1072</v>
      </c>
      <c r="F783" s="54"/>
      <c r="G783" s="55" t="s">
        <v>1304</v>
      </c>
      <c r="H783" s="107" t="str">
        <f>IF(F783&lt;&gt;"",F783,"t."&amp;C783)&amp;" as "&amp;C783&amp;",/*"&amp;B783&amp;"*/"</f>
        <v>t.remark_info as remark_info,/*备注信息*/</v>
      </c>
    </row>
    <row r="784" spans="1:8" s="7" customFormat="1" ht="18" thickBot="1" x14ac:dyDescent="0.2">
      <c r="A784" s="2"/>
      <c r="B784" s="156" t="s">
        <v>311</v>
      </c>
      <c r="C784" s="157" t="s">
        <v>1405</v>
      </c>
      <c r="D784" s="157" t="s">
        <v>1169</v>
      </c>
      <c r="E784" s="157">
        <v>0</v>
      </c>
      <c r="F784" s="157"/>
      <c r="G784" s="158"/>
      <c r="H784" s="107" t="str">
        <f>IF(F784&lt;&gt;"",F784,"t."&amp;C784)&amp;" as "&amp;C784&amp;",/*"&amp;B784&amp;"*/"</f>
        <v>t.un_close_marke_value as un_close_marke_value,/*未平仓市值*/</v>
      </c>
    </row>
    <row r="785" spans="1:15" s="7" customFormat="1" x14ac:dyDescent="0.15">
      <c r="A785" s="2"/>
      <c r="B785" s="340" t="s">
        <v>15</v>
      </c>
      <c r="C785" s="341"/>
      <c r="D785" s="341"/>
      <c r="E785" s="341"/>
      <c r="F785" s="341"/>
      <c r="G785" s="342"/>
      <c r="H785" s="107"/>
    </row>
    <row r="786" spans="1:15" s="56" customFormat="1" x14ac:dyDescent="0.35">
      <c r="A786" s="2"/>
      <c r="B786" s="47">
        <v>1</v>
      </c>
      <c r="C786" s="48" t="s">
        <v>135</v>
      </c>
      <c r="D786" s="48" t="s">
        <v>123</v>
      </c>
      <c r="E786" s="48" t="s">
        <v>121</v>
      </c>
      <c r="F786" s="48" t="s">
        <v>114</v>
      </c>
      <c r="G786" s="48" t="s">
        <v>118</v>
      </c>
      <c r="H786" s="107"/>
      <c r="I786" s="7"/>
      <c r="J786" s="7"/>
      <c r="K786" s="7"/>
      <c r="L786" s="7"/>
      <c r="M786" s="7"/>
      <c r="N786" s="7"/>
      <c r="O786" s="7"/>
    </row>
    <row r="787" spans="1:15" s="56" customFormat="1" x14ac:dyDescent="0.35">
      <c r="A787" s="2"/>
      <c r="B787" s="47">
        <v>2</v>
      </c>
      <c r="C787" s="48" t="s">
        <v>109</v>
      </c>
      <c r="D787" s="48" t="s">
        <v>111</v>
      </c>
      <c r="E787" s="48" t="s">
        <v>123</v>
      </c>
      <c r="F787" s="48"/>
      <c r="G787" s="49"/>
      <c r="H787" s="107"/>
      <c r="I787" s="7"/>
      <c r="J787" s="7"/>
      <c r="K787" s="7"/>
      <c r="L787" s="7"/>
      <c r="M787" s="7"/>
      <c r="N787" s="7"/>
      <c r="O787" s="7"/>
    </row>
    <row r="788" spans="1:15" s="7" customFormat="1" ht="18" thickBot="1" x14ac:dyDescent="0.2">
      <c r="A788" s="2"/>
      <c r="B788" s="53"/>
      <c r="C788" s="54"/>
      <c r="D788" s="54"/>
      <c r="E788" s="54"/>
      <c r="F788" s="54"/>
      <c r="G788" s="55"/>
    </row>
    <row r="789" spans="1:15" ht="18" thickBot="1" x14ac:dyDescent="0.2"/>
    <row r="790" spans="1:15" s="7" customFormat="1" x14ac:dyDescent="0.15">
      <c r="A790" s="2"/>
      <c r="B790" s="39" t="s">
        <v>563</v>
      </c>
      <c r="C790" s="108" t="s">
        <v>617</v>
      </c>
      <c r="D790" s="40" t="s">
        <v>515</v>
      </c>
      <c r="E790" s="21" t="s">
        <v>1047</v>
      </c>
      <c r="F790" s="40" t="s">
        <v>567</v>
      </c>
      <c r="G790" s="41"/>
      <c r="H790" s="6" t="str">
        <f>"create or replace view "&amp;C790</f>
        <v>create or replace view vi_tdset0_stock_posi_detail_his</v>
      </c>
    </row>
    <row r="791" spans="1:15" s="7" customFormat="1" ht="18" thickBot="1" x14ac:dyDescent="0.2">
      <c r="A791" s="2"/>
      <c r="B791" s="42" t="s">
        <v>570</v>
      </c>
      <c r="C791" s="43"/>
      <c r="D791" s="44" t="s">
        <v>568</v>
      </c>
      <c r="E791" s="43" t="s">
        <v>615</v>
      </c>
      <c r="F791" s="44"/>
      <c r="G791" s="45"/>
      <c r="H791" s="11" t="str">
        <f>"# "&amp;E790</f>
        <v># 报表_资管报表_交易证券-T0-历史证券持仓明细表</v>
      </c>
    </row>
    <row r="792" spans="1:15" s="7" customFormat="1" x14ac:dyDescent="0.15">
      <c r="A792" s="2"/>
      <c r="B792" s="39" t="s">
        <v>0</v>
      </c>
      <c r="C792" s="40" t="s">
        <v>1</v>
      </c>
      <c r="D792" s="40" t="s">
        <v>2</v>
      </c>
      <c r="E792" s="40"/>
      <c r="F792" s="40" t="s">
        <v>3</v>
      </c>
      <c r="G792" s="46" t="s">
        <v>4</v>
      </c>
      <c r="H792" s="13" t="s">
        <v>283</v>
      </c>
    </row>
    <row r="793" spans="1:15" s="56" customFormat="1" x14ac:dyDescent="0.35">
      <c r="A793" s="2"/>
      <c r="B793" s="47" t="s">
        <v>22</v>
      </c>
      <c r="C793" s="48" t="s">
        <v>1127</v>
      </c>
      <c r="D793" s="48" t="s">
        <v>211</v>
      </c>
      <c r="E793" s="48" t="s">
        <v>1141</v>
      </c>
      <c r="F793" s="48"/>
      <c r="G793" s="49" t="s">
        <v>1162</v>
      </c>
      <c r="H793" s="107" t="str">
        <f t="shared" ref="H793:H813" si="4">IF(F793&lt;&gt;"",F793,"t."&amp;C793)&amp;" as "&amp;C793&amp;",/*"&amp;B793&amp;"*/"</f>
        <v>t.init_date as init_date,/*初始化日期*/</v>
      </c>
      <c r="I793" s="7"/>
      <c r="J793" s="7"/>
      <c r="K793" s="7"/>
      <c r="L793" s="7"/>
      <c r="M793" s="7"/>
      <c r="N793" s="7"/>
      <c r="O793" s="7"/>
    </row>
    <row r="794" spans="1:15" s="7" customFormat="1" x14ac:dyDescent="0.15">
      <c r="A794" s="2"/>
      <c r="B794" s="47" t="s">
        <v>21</v>
      </c>
      <c r="C794" s="48" t="s">
        <v>1357</v>
      </c>
      <c r="D794" s="48" t="s">
        <v>211</v>
      </c>
      <c r="E794" s="48">
        <v>0</v>
      </c>
      <c r="F794" s="48"/>
      <c r="G794" s="49" t="s">
        <v>1358</v>
      </c>
      <c r="H794" s="107" t="str">
        <f t="shared" si="4"/>
        <v>t.opor_no as opor_no,/*操作员编号*/</v>
      </c>
    </row>
    <row r="795" spans="1:15" s="7" customFormat="1" x14ac:dyDescent="0.15">
      <c r="A795" s="2"/>
      <c r="B795" s="47" t="s">
        <v>6</v>
      </c>
      <c r="C795" s="48" t="s">
        <v>1163</v>
      </c>
      <c r="D795" s="48" t="s">
        <v>211</v>
      </c>
      <c r="E795" s="48">
        <v>0</v>
      </c>
      <c r="F795" s="48"/>
      <c r="G795" s="49" t="s">
        <v>1077</v>
      </c>
      <c r="H795" s="107" t="str">
        <f t="shared" si="4"/>
        <v>t.co_no as co_no,/*机构编号*/</v>
      </c>
    </row>
    <row r="796" spans="1:15" s="7" customFormat="1" x14ac:dyDescent="0.15">
      <c r="A796" s="2"/>
      <c r="B796" s="47" t="s">
        <v>111</v>
      </c>
      <c r="C796" s="48" t="s">
        <v>1164</v>
      </c>
      <c r="D796" s="48" t="s">
        <v>211</v>
      </c>
      <c r="E796" s="48">
        <v>0</v>
      </c>
      <c r="F796" s="48"/>
      <c r="G796" s="49" t="s">
        <v>1165</v>
      </c>
      <c r="H796" s="107" t="str">
        <f t="shared" si="4"/>
        <v>t.pd_no as pd_no,/*产品编号*/</v>
      </c>
    </row>
    <row r="797" spans="1:15" s="7" customFormat="1" x14ac:dyDescent="0.15">
      <c r="A797" s="2"/>
      <c r="B797" s="47" t="s">
        <v>123</v>
      </c>
      <c r="C797" s="48" t="s">
        <v>1133</v>
      </c>
      <c r="D797" s="48" t="s">
        <v>211</v>
      </c>
      <c r="E797" s="48">
        <v>0</v>
      </c>
      <c r="F797" s="48"/>
      <c r="G797" s="49" t="s">
        <v>1182</v>
      </c>
      <c r="H797" s="107" t="str">
        <f t="shared" si="4"/>
        <v>t.exch_group_no as exch_group_no,/*交易组编号*/</v>
      </c>
    </row>
    <row r="798" spans="1:15" s="7" customFormat="1" x14ac:dyDescent="0.15">
      <c r="A798" s="2"/>
      <c r="B798" s="50" t="s">
        <v>121</v>
      </c>
      <c r="C798" s="51" t="s">
        <v>1187</v>
      </c>
      <c r="D798" s="51" t="s">
        <v>211</v>
      </c>
      <c r="E798" s="51">
        <v>0</v>
      </c>
      <c r="F798" s="51"/>
      <c r="G798" s="52"/>
      <c r="H798" s="107" t="str">
        <f t="shared" si="4"/>
        <v>t.asset_acco_no as asset_acco_no,/*资产账户编号*/</v>
      </c>
    </row>
    <row r="799" spans="1:15" s="7" customFormat="1" x14ac:dyDescent="0.15">
      <c r="A799" s="2"/>
      <c r="B799" s="47" t="s">
        <v>7</v>
      </c>
      <c r="C799" s="48" t="s">
        <v>1190</v>
      </c>
      <c r="D799" s="48" t="s">
        <v>211</v>
      </c>
      <c r="E799" s="48">
        <v>0</v>
      </c>
      <c r="F799" s="48"/>
      <c r="G799" s="49" t="s">
        <v>1081</v>
      </c>
      <c r="H799" s="107" t="str">
        <f t="shared" si="4"/>
        <v>t.exch_no as exch_no,/*市场编号*/</v>
      </c>
    </row>
    <row r="800" spans="1:15" s="7" customFormat="1" x14ac:dyDescent="0.15">
      <c r="A800" s="2"/>
      <c r="B800" s="50" t="s">
        <v>114</v>
      </c>
      <c r="C800" s="51" t="s">
        <v>1155</v>
      </c>
      <c r="D800" s="51" t="s">
        <v>211</v>
      </c>
      <c r="E800" s="51">
        <v>0</v>
      </c>
      <c r="F800" s="51"/>
      <c r="G800" s="52"/>
      <c r="H800" s="107" t="str">
        <f t="shared" si="4"/>
        <v>t.stock_acco_no as stock_acco_no,/*股东代码编号*/</v>
      </c>
    </row>
    <row r="801" spans="1:8" s="7" customFormat="1" x14ac:dyDescent="0.15">
      <c r="A801" s="2"/>
      <c r="B801" s="50" t="s">
        <v>118</v>
      </c>
      <c r="C801" s="51" t="s">
        <v>1188</v>
      </c>
      <c r="D801" s="51" t="s">
        <v>211</v>
      </c>
      <c r="E801" s="51">
        <v>0</v>
      </c>
      <c r="F801" s="51"/>
      <c r="G801" s="52"/>
      <c r="H801" s="107" t="str">
        <f t="shared" si="4"/>
        <v>t.stock_code_no as stock_code_no,/*证券代码编号*/</v>
      </c>
    </row>
    <row r="802" spans="1:8" s="7" customFormat="1" x14ac:dyDescent="0.15">
      <c r="A802" s="2"/>
      <c r="B802" s="47" t="s">
        <v>124</v>
      </c>
      <c r="C802" s="48" t="s">
        <v>1216</v>
      </c>
      <c r="D802" s="48" t="s">
        <v>211</v>
      </c>
      <c r="E802" s="48">
        <v>0</v>
      </c>
      <c r="F802" s="48"/>
      <c r="G802" s="49"/>
      <c r="H802" s="107" t="str">
        <f t="shared" si="4"/>
        <v>t.lngsht_type as lngsht_type,/*多空类型*/</v>
      </c>
    </row>
    <row r="803" spans="1:8" s="7" customFormat="1" x14ac:dyDescent="0.15">
      <c r="A803" s="2"/>
      <c r="B803" s="47" t="s">
        <v>9</v>
      </c>
      <c r="C803" s="48" t="s">
        <v>1195</v>
      </c>
      <c r="D803" s="48" t="s">
        <v>1087</v>
      </c>
      <c r="E803" s="48">
        <v>0</v>
      </c>
      <c r="F803" s="48"/>
      <c r="G803" s="49" t="s">
        <v>1196</v>
      </c>
      <c r="H803" s="107" t="str">
        <f t="shared" si="4"/>
        <v>t.curr_qty as curr_qty,/*当前数量*/</v>
      </c>
    </row>
    <row r="804" spans="1:8" s="7" customFormat="1" x14ac:dyDescent="0.15">
      <c r="A804" s="2"/>
      <c r="B804" s="47" t="s">
        <v>125</v>
      </c>
      <c r="C804" s="48" t="s">
        <v>1263</v>
      </c>
      <c r="D804" s="48" t="s">
        <v>211</v>
      </c>
      <c r="E804" s="48" t="s">
        <v>1141</v>
      </c>
      <c r="F804" s="48"/>
      <c r="G804" s="49"/>
      <c r="H804" s="107" t="str">
        <f t="shared" si="4"/>
        <v>t.open_posi_date as open_posi_date,/*开仓日期*/</v>
      </c>
    </row>
    <row r="805" spans="1:8" s="7" customFormat="1" x14ac:dyDescent="0.15">
      <c r="A805" s="2"/>
      <c r="B805" s="47" t="s">
        <v>126</v>
      </c>
      <c r="C805" s="48" t="s">
        <v>1264</v>
      </c>
      <c r="D805" s="48" t="s">
        <v>211</v>
      </c>
      <c r="E805" s="48" t="s">
        <v>1265</v>
      </c>
      <c r="F805" s="48"/>
      <c r="G805" s="49"/>
      <c r="H805" s="107" t="str">
        <f t="shared" si="4"/>
        <v>t.open_posi_time as open_posi_time,/*开仓时间*/</v>
      </c>
    </row>
    <row r="806" spans="1:8" s="7" customFormat="1" x14ac:dyDescent="0.15">
      <c r="A806" s="2"/>
      <c r="B806" s="47" t="s">
        <v>127</v>
      </c>
      <c r="C806" s="48" t="s">
        <v>1266</v>
      </c>
      <c r="D806" s="48" t="s">
        <v>1211</v>
      </c>
      <c r="E806" s="48">
        <v>0</v>
      </c>
      <c r="F806" s="48"/>
      <c r="G806" s="49"/>
      <c r="H806" s="107" t="str">
        <f t="shared" si="4"/>
        <v>t.open_posi_price as open_posi_price,/*开仓价格*/</v>
      </c>
    </row>
    <row r="807" spans="1:8" s="7" customFormat="1" x14ac:dyDescent="0.15">
      <c r="A807" s="2"/>
      <c r="B807" s="47" t="s">
        <v>128</v>
      </c>
      <c r="C807" s="48" t="s">
        <v>1569</v>
      </c>
      <c r="D807" s="48" t="s">
        <v>1169</v>
      </c>
      <c r="E807" s="48">
        <v>0</v>
      </c>
      <c r="F807" s="48"/>
      <c r="G807" s="49"/>
      <c r="H807" s="107" t="str">
        <f t="shared" si="4"/>
        <v>t.open_posi_value as open_posi_value,/*开仓市值*/</v>
      </c>
    </row>
    <row r="808" spans="1:8" s="7" customFormat="1" x14ac:dyDescent="0.15">
      <c r="A808" s="2"/>
      <c r="B808" s="47" t="s">
        <v>129</v>
      </c>
      <c r="C808" s="48" t="s">
        <v>1267</v>
      </c>
      <c r="D808" s="48" t="s">
        <v>1169</v>
      </c>
      <c r="E808" s="48">
        <v>0</v>
      </c>
      <c r="F808" s="48"/>
      <c r="G808" s="49"/>
      <c r="H808" s="107" t="str">
        <f t="shared" si="4"/>
        <v>t.open_posi_fee as open_posi_fee,/*开仓费用*/</v>
      </c>
    </row>
    <row r="809" spans="1:8" s="7" customFormat="1" x14ac:dyDescent="0.15">
      <c r="A809" s="2"/>
      <c r="B809" s="47" t="s">
        <v>130</v>
      </c>
      <c r="C809" s="48" t="s">
        <v>1400</v>
      </c>
      <c r="D809" s="48" t="s">
        <v>1087</v>
      </c>
      <c r="E809" s="48">
        <v>0</v>
      </c>
      <c r="F809" s="48"/>
      <c r="G809" s="49"/>
      <c r="H809" s="107" t="str">
        <f t="shared" si="4"/>
        <v>t.close_posi_qty as close_posi_qty,/*平仓数量*/</v>
      </c>
    </row>
    <row r="810" spans="1:8" s="7" customFormat="1" x14ac:dyDescent="0.15">
      <c r="A810" s="2"/>
      <c r="B810" s="47" t="s">
        <v>131</v>
      </c>
      <c r="C810" s="48" t="s">
        <v>1401</v>
      </c>
      <c r="D810" s="48" t="s">
        <v>1169</v>
      </c>
      <c r="E810" s="48">
        <v>0</v>
      </c>
      <c r="F810" s="48"/>
      <c r="G810" s="49"/>
      <c r="H810" s="107" t="str">
        <f t="shared" si="4"/>
        <v>t.close_posi_market_value as close_posi_market_value,/*平仓市值*/</v>
      </c>
    </row>
    <row r="811" spans="1:8" s="7" customFormat="1" x14ac:dyDescent="0.15">
      <c r="A811" s="2"/>
      <c r="B811" s="47" t="s">
        <v>132</v>
      </c>
      <c r="C811" s="48" t="s">
        <v>1090</v>
      </c>
      <c r="D811" s="48" t="s">
        <v>1169</v>
      </c>
      <c r="E811" s="48">
        <v>0</v>
      </c>
      <c r="F811" s="48"/>
      <c r="G811" s="49"/>
      <c r="H811" s="107" t="str">
        <f t="shared" si="4"/>
        <v>t.close_posi_fee as close_posi_fee,/*平仓费用*/</v>
      </c>
    </row>
    <row r="812" spans="1:8" s="7" customFormat="1" x14ac:dyDescent="0.15">
      <c r="A812" s="2"/>
      <c r="B812" s="47" t="s">
        <v>20</v>
      </c>
      <c r="C812" s="48" t="s">
        <v>1269</v>
      </c>
      <c r="D812" s="48" t="s">
        <v>1073</v>
      </c>
      <c r="E812" s="48" t="s">
        <v>1072</v>
      </c>
      <c r="F812" s="48"/>
      <c r="G812" s="49" t="s">
        <v>1270</v>
      </c>
      <c r="H812" s="107" t="str">
        <f t="shared" si="4"/>
        <v>t.strike_no as strike_no,/*成交编号*/</v>
      </c>
    </row>
    <row r="813" spans="1:8" s="7" customFormat="1" x14ac:dyDescent="0.15">
      <c r="A813" s="2"/>
      <c r="B813" s="47" t="s">
        <v>12</v>
      </c>
      <c r="C813" s="48" t="s">
        <v>1143</v>
      </c>
      <c r="D813" s="48" t="s">
        <v>1169</v>
      </c>
      <c r="E813" s="48">
        <v>0</v>
      </c>
      <c r="F813" s="48"/>
      <c r="G813" s="49"/>
      <c r="H813" s="107" t="str">
        <f t="shared" si="4"/>
        <v>t.realize_pandl as realize_pandl,/*实现盈亏*/</v>
      </c>
    </row>
    <row r="814" spans="1:8" s="7" customFormat="1" x14ac:dyDescent="0.15">
      <c r="A814" s="2"/>
      <c r="B814" s="47" t="s">
        <v>1048</v>
      </c>
      <c r="C814" s="48" t="s">
        <v>1570</v>
      </c>
      <c r="D814" s="48" t="s">
        <v>1331</v>
      </c>
      <c r="E814" s="48">
        <v>0</v>
      </c>
      <c r="F814" s="48"/>
      <c r="G814" s="49"/>
      <c r="H814" s="107"/>
    </row>
    <row r="815" spans="1:8" s="7" customFormat="1" x14ac:dyDescent="0.15">
      <c r="A815" s="2"/>
      <c r="B815" s="47" t="s">
        <v>133</v>
      </c>
      <c r="C815" s="48" t="s">
        <v>1402</v>
      </c>
      <c r="D815" s="48" t="s">
        <v>1403</v>
      </c>
      <c r="E815" s="48" t="s">
        <v>1303</v>
      </c>
      <c r="F815" s="48"/>
      <c r="G815" s="49" t="s">
        <v>1404</v>
      </c>
      <c r="H815" s="107" t="str">
        <f>IF(F815&lt;&gt;"",F815,"t."&amp;C815)&amp;" as "&amp;C815&amp;",/*"&amp;B815&amp;"*/"</f>
        <v>t.posi_status as posi_status,/*持仓状态*/</v>
      </c>
    </row>
    <row r="816" spans="1:8" s="7" customFormat="1" ht="18" thickBot="1" x14ac:dyDescent="0.2">
      <c r="A816" s="2"/>
      <c r="B816" s="53" t="s">
        <v>134</v>
      </c>
      <c r="C816" s="54" t="s">
        <v>1406</v>
      </c>
      <c r="D816" s="54" t="s">
        <v>1092</v>
      </c>
      <c r="E816" s="54" t="s">
        <v>1072</v>
      </c>
      <c r="F816" s="54"/>
      <c r="G816" s="55" t="s">
        <v>1304</v>
      </c>
      <c r="H816" s="107" t="str">
        <f>IF(F816&lt;&gt;"",F816,"t."&amp;C816)&amp;" as "&amp;C816&amp;",/*"&amp;B816&amp;"*/"</f>
        <v>t.remark_info as remark_info,/*备注信息*/</v>
      </c>
    </row>
    <row r="817" spans="1:15" s="7" customFormat="1" ht="18" thickBot="1" x14ac:dyDescent="0.2">
      <c r="A817" s="2"/>
      <c r="B817" s="156" t="s">
        <v>311</v>
      </c>
      <c r="C817" s="157" t="s">
        <v>1405</v>
      </c>
      <c r="D817" s="157" t="s">
        <v>1169</v>
      </c>
      <c r="E817" s="157">
        <v>0</v>
      </c>
      <c r="F817" s="157"/>
      <c r="G817" s="158"/>
      <c r="H817" s="107" t="str">
        <f>IF(F817&lt;&gt;"",F817,"t."&amp;C817)&amp;" as "&amp;C817&amp;",/*"&amp;B817&amp;"*/"</f>
        <v>t.un_close_marke_value as un_close_marke_value,/*未平仓市值*/</v>
      </c>
    </row>
    <row r="818" spans="1:15" s="7" customFormat="1" x14ac:dyDescent="0.15">
      <c r="A818" s="2"/>
      <c r="B818" s="340" t="s">
        <v>15</v>
      </c>
      <c r="C818" s="341"/>
      <c r="D818" s="341"/>
      <c r="E818" s="341"/>
      <c r="F818" s="341"/>
      <c r="G818" s="342"/>
    </row>
    <row r="819" spans="1:15" s="56" customFormat="1" x14ac:dyDescent="0.35">
      <c r="A819" s="2"/>
      <c r="B819" s="47">
        <v>1</v>
      </c>
      <c r="C819" s="48" t="s">
        <v>135</v>
      </c>
      <c r="D819" s="48" t="s">
        <v>123</v>
      </c>
      <c r="E819" s="48" t="s">
        <v>121</v>
      </c>
      <c r="F819" s="48" t="s">
        <v>114</v>
      </c>
      <c r="G819" s="48" t="s">
        <v>118</v>
      </c>
      <c r="H819" s="7"/>
      <c r="I819" s="7"/>
      <c r="J819" s="7"/>
      <c r="K819" s="7"/>
      <c r="L819" s="7"/>
      <c r="M819" s="7"/>
      <c r="N819" s="7"/>
      <c r="O819" s="7"/>
    </row>
    <row r="820" spans="1:15" s="56" customFormat="1" x14ac:dyDescent="0.35">
      <c r="A820" s="2"/>
      <c r="B820" s="47">
        <v>2</v>
      </c>
      <c r="C820" s="48" t="s">
        <v>109</v>
      </c>
      <c r="D820" s="48" t="s">
        <v>111</v>
      </c>
      <c r="E820" s="48" t="s">
        <v>123</v>
      </c>
      <c r="F820" s="48"/>
      <c r="G820" s="49"/>
      <c r="H820" s="7"/>
      <c r="I820" s="7"/>
      <c r="J820" s="7"/>
      <c r="K820" s="7"/>
      <c r="L820" s="7"/>
      <c r="M820" s="7"/>
      <c r="N820" s="7"/>
      <c r="O820" s="7"/>
    </row>
    <row r="821" spans="1:15" s="7" customFormat="1" ht="18" thickBot="1" x14ac:dyDescent="0.2">
      <c r="A821" s="2"/>
      <c r="B821" s="53"/>
      <c r="C821" s="54"/>
      <c r="D821" s="54"/>
      <c r="E821" s="54"/>
      <c r="F821" s="54"/>
      <c r="G821" s="55"/>
    </row>
    <row r="824" spans="1:15" ht="18" thickBot="1" x14ac:dyDescent="0.2"/>
    <row r="825" spans="1:15" s="7" customFormat="1" x14ac:dyDescent="0.15">
      <c r="A825" s="2"/>
      <c r="B825" s="39" t="s">
        <v>563</v>
      </c>
      <c r="C825" s="108" t="s">
        <v>618</v>
      </c>
      <c r="D825" s="40" t="s">
        <v>515</v>
      </c>
      <c r="E825" s="21" t="s">
        <v>719</v>
      </c>
      <c r="F825" s="40" t="s">
        <v>567</v>
      </c>
      <c r="G825" s="41"/>
    </row>
    <row r="826" spans="1:15" s="7" customFormat="1" ht="18" thickBot="1" x14ac:dyDescent="0.2">
      <c r="A826" s="2"/>
      <c r="B826" s="57" t="s">
        <v>570</v>
      </c>
      <c r="C826" s="54"/>
      <c r="D826" s="58" t="s">
        <v>568</v>
      </c>
      <c r="E826" s="54" t="s">
        <v>615</v>
      </c>
      <c r="F826" s="58"/>
      <c r="G826" s="55"/>
    </row>
    <row r="827" spans="1:15" s="7" customFormat="1" x14ac:dyDescent="0.15">
      <c r="A827" s="2"/>
      <c r="B827" s="59" t="s">
        <v>0</v>
      </c>
      <c r="C827" s="60" t="s">
        <v>1</v>
      </c>
      <c r="D827" s="60" t="s">
        <v>2</v>
      </c>
      <c r="E827" s="60"/>
      <c r="F827" s="60" t="s">
        <v>3</v>
      </c>
      <c r="G827" s="60" t="s">
        <v>4</v>
      </c>
    </row>
    <row r="828" spans="1:15" s="7" customFormat="1" x14ac:dyDescent="0.15">
      <c r="A828" s="2"/>
      <c r="B828" s="61" t="s">
        <v>16</v>
      </c>
      <c r="C828" s="62" t="s">
        <v>1163</v>
      </c>
      <c r="D828" s="62" t="s">
        <v>211</v>
      </c>
      <c r="E828" s="62">
        <v>0</v>
      </c>
      <c r="F828" s="62"/>
      <c r="G828" s="63" t="s">
        <v>1077</v>
      </c>
    </row>
    <row r="829" spans="1:15" s="7" customFormat="1" x14ac:dyDescent="0.15">
      <c r="A829" s="2"/>
      <c r="B829" s="61" t="s">
        <v>21</v>
      </c>
      <c r="C829" s="62" t="s">
        <v>1357</v>
      </c>
      <c r="D829" s="62" t="s">
        <v>211</v>
      </c>
      <c r="E829" s="62">
        <v>0</v>
      </c>
      <c r="F829" s="62"/>
      <c r="G829" s="63" t="s">
        <v>1358</v>
      </c>
    </row>
    <row r="830" spans="1:15" s="7" customFormat="1" x14ac:dyDescent="0.15">
      <c r="A830" s="2"/>
      <c r="B830" s="47" t="s">
        <v>111</v>
      </c>
      <c r="C830" s="62" t="s">
        <v>1164</v>
      </c>
      <c r="D830" s="62" t="s">
        <v>211</v>
      </c>
      <c r="E830" s="62">
        <v>0</v>
      </c>
      <c r="F830" s="62"/>
      <c r="G830" s="63" t="s">
        <v>1165</v>
      </c>
    </row>
    <row r="831" spans="1:15" s="7" customFormat="1" x14ac:dyDescent="0.15">
      <c r="A831" s="2"/>
      <c r="B831" s="47" t="s">
        <v>123</v>
      </c>
      <c r="C831" s="62" t="s">
        <v>1133</v>
      </c>
      <c r="D831" s="62" t="s">
        <v>211</v>
      </c>
      <c r="E831" s="62">
        <v>0</v>
      </c>
      <c r="F831" s="62"/>
      <c r="G831" s="63" t="s">
        <v>1182</v>
      </c>
    </row>
    <row r="832" spans="1:15" s="7" customFormat="1" x14ac:dyDescent="0.15">
      <c r="A832" s="2"/>
      <c r="B832" s="50" t="s">
        <v>121</v>
      </c>
      <c r="C832" s="62" t="s">
        <v>1187</v>
      </c>
      <c r="D832" s="62" t="s">
        <v>211</v>
      </c>
      <c r="E832" s="62">
        <v>0</v>
      </c>
      <c r="F832" s="62"/>
      <c r="G832" s="63"/>
    </row>
    <row r="833" spans="1:7" s="7" customFormat="1" x14ac:dyDescent="0.15">
      <c r="A833" s="2"/>
      <c r="B833" s="50" t="s">
        <v>114</v>
      </c>
      <c r="C833" s="62" t="s">
        <v>1155</v>
      </c>
      <c r="D833" s="62" t="s">
        <v>211</v>
      </c>
      <c r="E833" s="62">
        <v>0</v>
      </c>
      <c r="F833" s="62"/>
      <c r="G833" s="63"/>
    </row>
    <row r="834" spans="1:7" s="7" customFormat="1" x14ac:dyDescent="0.15">
      <c r="A834" s="2"/>
      <c r="B834" s="50" t="s">
        <v>115</v>
      </c>
      <c r="C834" s="64" t="s">
        <v>1188</v>
      </c>
      <c r="D834" s="64" t="s">
        <v>211</v>
      </c>
      <c r="E834" s="64">
        <v>0</v>
      </c>
      <c r="F834" s="64"/>
      <c r="G834" s="65"/>
    </row>
    <row r="835" spans="1:7" s="7" customFormat="1" x14ac:dyDescent="0.15">
      <c r="A835" s="2"/>
      <c r="B835" s="61" t="s">
        <v>18</v>
      </c>
      <c r="C835" s="62" t="s">
        <v>1190</v>
      </c>
      <c r="D835" s="62" t="s">
        <v>211</v>
      </c>
      <c r="E835" s="62">
        <v>0</v>
      </c>
      <c r="F835" s="62"/>
      <c r="G835" s="63" t="s">
        <v>1081</v>
      </c>
    </row>
    <row r="836" spans="1:7" s="7" customFormat="1" x14ac:dyDescent="0.15">
      <c r="A836" s="2"/>
      <c r="B836" s="47" t="s">
        <v>206</v>
      </c>
      <c r="C836" s="48" t="s">
        <v>1407</v>
      </c>
      <c r="D836" s="48" t="s">
        <v>1087</v>
      </c>
      <c r="E836" s="48">
        <v>0</v>
      </c>
      <c r="F836" s="48"/>
      <c r="G836" s="49"/>
    </row>
    <row r="837" spans="1:7" s="7" customFormat="1" x14ac:dyDescent="0.15">
      <c r="A837" s="2"/>
      <c r="B837" s="66" t="s">
        <v>158</v>
      </c>
      <c r="C837" s="43" t="s">
        <v>1201</v>
      </c>
      <c r="D837" s="43" t="s">
        <v>1087</v>
      </c>
      <c r="E837" s="43">
        <v>0</v>
      </c>
      <c r="F837" s="43"/>
      <c r="G837" s="45"/>
    </row>
    <row r="838" spans="1:7" s="7" customFormat="1" x14ac:dyDescent="0.15">
      <c r="A838" s="2"/>
      <c r="B838" s="66" t="s">
        <v>138</v>
      </c>
      <c r="C838" s="43" t="s">
        <v>1200</v>
      </c>
      <c r="D838" s="43" t="s">
        <v>1087</v>
      </c>
      <c r="E838" s="43">
        <v>0</v>
      </c>
      <c r="F838" s="43"/>
      <c r="G838" s="45"/>
    </row>
    <row r="839" spans="1:7" s="7" customFormat="1" x14ac:dyDescent="0.15">
      <c r="A839" s="2"/>
      <c r="B839" s="66" t="s">
        <v>139</v>
      </c>
      <c r="C839" s="43" t="s">
        <v>1138</v>
      </c>
      <c r="D839" s="43" t="s">
        <v>1087</v>
      </c>
      <c r="E839" s="43">
        <v>0</v>
      </c>
      <c r="F839" s="43"/>
      <c r="G839" s="45"/>
    </row>
    <row r="840" spans="1:7" s="7" customFormat="1" x14ac:dyDescent="0.15">
      <c r="A840" s="2"/>
      <c r="B840" s="66" t="s">
        <v>140</v>
      </c>
      <c r="C840" s="43" t="s">
        <v>1137</v>
      </c>
      <c r="D840" s="43" t="s">
        <v>1087</v>
      </c>
      <c r="E840" s="43">
        <v>0</v>
      </c>
      <c r="F840" s="43"/>
      <c r="G840" s="45"/>
    </row>
    <row r="841" spans="1:7" s="7" customFormat="1" x14ac:dyDescent="0.15">
      <c r="A841" s="2"/>
      <c r="B841" s="66" t="s">
        <v>141</v>
      </c>
      <c r="C841" s="43" t="s">
        <v>1408</v>
      </c>
      <c r="D841" s="43" t="s">
        <v>1169</v>
      </c>
      <c r="E841" s="43">
        <v>0</v>
      </c>
      <c r="F841" s="43"/>
      <c r="G841" s="45"/>
    </row>
    <row r="842" spans="1:7" s="7" customFormat="1" x14ac:dyDescent="0.15">
      <c r="A842" s="2"/>
      <c r="B842" s="66" t="s">
        <v>207</v>
      </c>
      <c r="C842" s="43" t="s">
        <v>1409</v>
      </c>
      <c r="D842" s="43" t="s">
        <v>1169</v>
      </c>
      <c r="E842" s="43">
        <v>0</v>
      </c>
      <c r="F842" s="43"/>
      <c r="G842" s="45"/>
    </row>
    <row r="843" spans="1:7" s="7" customFormat="1" x14ac:dyDescent="0.15">
      <c r="A843" s="2"/>
      <c r="B843" s="66" t="s">
        <v>159</v>
      </c>
      <c r="C843" s="43" t="s">
        <v>1410</v>
      </c>
      <c r="D843" s="43" t="s">
        <v>1169</v>
      </c>
      <c r="E843" s="43">
        <v>0</v>
      </c>
      <c r="F843" s="43"/>
      <c r="G843" s="45"/>
    </row>
    <row r="844" spans="1:7" s="7" customFormat="1" x14ac:dyDescent="0.15">
      <c r="A844" s="2"/>
      <c r="B844" s="66" t="s">
        <v>208</v>
      </c>
      <c r="C844" s="43" t="s">
        <v>1097</v>
      </c>
      <c r="D844" s="43" t="s">
        <v>1087</v>
      </c>
      <c r="E844" s="43">
        <v>0</v>
      </c>
      <c r="F844" s="43"/>
      <c r="G844" s="45"/>
    </row>
    <row r="845" spans="1:7" s="7" customFormat="1" x14ac:dyDescent="0.15">
      <c r="A845" s="2"/>
      <c r="B845" s="66" t="s">
        <v>144</v>
      </c>
      <c r="C845" s="43" t="s">
        <v>1411</v>
      </c>
      <c r="D845" s="43" t="s">
        <v>1087</v>
      </c>
      <c r="E845" s="43">
        <v>0</v>
      </c>
      <c r="F845" s="43"/>
      <c r="G845" s="45"/>
    </row>
    <row r="846" spans="1:7" s="7" customFormat="1" x14ac:dyDescent="0.15">
      <c r="A846" s="2"/>
      <c r="B846" s="66" t="s">
        <v>145</v>
      </c>
      <c r="C846" s="43" t="s">
        <v>1412</v>
      </c>
      <c r="D846" s="43" t="s">
        <v>1087</v>
      </c>
      <c r="E846" s="43">
        <v>0</v>
      </c>
      <c r="F846" s="43"/>
      <c r="G846" s="45"/>
    </row>
    <row r="847" spans="1:7" s="7" customFormat="1" x14ac:dyDescent="0.15">
      <c r="A847" s="2"/>
      <c r="B847" s="66" t="s">
        <v>209</v>
      </c>
      <c r="C847" s="43" t="s">
        <v>1413</v>
      </c>
      <c r="D847" s="43" t="s">
        <v>1087</v>
      </c>
      <c r="E847" s="43">
        <v>0</v>
      </c>
      <c r="F847" s="43"/>
      <c r="G847" s="45"/>
    </row>
    <row r="848" spans="1:7" s="7" customFormat="1" x14ac:dyDescent="0.15">
      <c r="A848" s="2"/>
      <c r="B848" s="66" t="s">
        <v>147</v>
      </c>
      <c r="C848" s="43" t="s">
        <v>1414</v>
      </c>
      <c r="D848" s="43" t="s">
        <v>1403</v>
      </c>
      <c r="E848" s="43" t="s">
        <v>1072</v>
      </c>
      <c r="F848" s="43"/>
      <c r="G848" s="45" t="s">
        <v>1415</v>
      </c>
    </row>
    <row r="849" spans="1:7" s="7" customFormat="1" x14ac:dyDescent="0.15">
      <c r="A849" s="2"/>
      <c r="B849" s="66" t="s">
        <v>148</v>
      </c>
      <c r="C849" s="43" t="s">
        <v>1416</v>
      </c>
      <c r="D849" s="43" t="s">
        <v>211</v>
      </c>
      <c r="E849" s="43">
        <v>0</v>
      </c>
      <c r="F849" s="43"/>
      <c r="G849" s="45" t="s">
        <v>1571</v>
      </c>
    </row>
    <row r="850" spans="1:7" s="7" customFormat="1" ht="18" thickBot="1" x14ac:dyDescent="0.2">
      <c r="A850" s="2"/>
      <c r="B850" s="66" t="s">
        <v>134</v>
      </c>
      <c r="C850" s="43" t="s">
        <v>1406</v>
      </c>
      <c r="D850" s="43" t="s">
        <v>1092</v>
      </c>
      <c r="E850" s="43" t="s">
        <v>1072</v>
      </c>
      <c r="F850" s="43"/>
      <c r="G850" s="45" t="s">
        <v>1304</v>
      </c>
    </row>
    <row r="851" spans="1:7" s="7" customFormat="1" x14ac:dyDescent="0.15">
      <c r="A851" s="2"/>
      <c r="B851" s="340" t="s">
        <v>15</v>
      </c>
      <c r="C851" s="341"/>
      <c r="D851" s="341"/>
      <c r="E851" s="341"/>
      <c r="F851" s="341"/>
      <c r="G851" s="342"/>
    </row>
    <row r="852" spans="1:7" s="7" customFormat="1" x14ac:dyDescent="0.15">
      <c r="A852" s="2"/>
      <c r="B852" s="47"/>
      <c r="C852" s="48"/>
      <c r="D852" s="48"/>
      <c r="E852" s="48"/>
      <c r="F852" s="48"/>
      <c r="G852" s="49"/>
    </row>
    <row r="853" spans="1:7" s="7" customFormat="1" x14ac:dyDescent="0.15">
      <c r="A853" s="2" t="s">
        <v>62</v>
      </c>
      <c r="B853" s="47">
        <v>1</v>
      </c>
      <c r="C853" s="48" t="s">
        <v>21</v>
      </c>
      <c r="D853" s="48" t="s">
        <v>123</v>
      </c>
      <c r="E853" s="48" t="s">
        <v>121</v>
      </c>
      <c r="F853" s="48" t="s">
        <v>115</v>
      </c>
      <c r="G853" s="48" t="s">
        <v>114</v>
      </c>
    </row>
    <row r="854" spans="1:7" s="7" customFormat="1" x14ac:dyDescent="0.15">
      <c r="A854" s="2"/>
      <c r="B854" s="66">
        <v>2</v>
      </c>
      <c r="C854" s="61" t="s">
        <v>109</v>
      </c>
      <c r="D854" s="47" t="s">
        <v>111</v>
      </c>
      <c r="E854" s="43"/>
      <c r="F854" s="43"/>
      <c r="G854" s="45"/>
    </row>
    <row r="855" spans="1:7" s="7" customFormat="1" ht="18" thickBot="1" x14ac:dyDescent="0.2">
      <c r="A855" s="2"/>
      <c r="B855" s="66">
        <v>3</v>
      </c>
      <c r="C855" s="43" t="s">
        <v>147</v>
      </c>
      <c r="D855" s="43" t="s">
        <v>148</v>
      </c>
      <c r="E855" s="54"/>
      <c r="F855" s="54"/>
      <c r="G855" s="55"/>
    </row>
    <row r="856" spans="1:7" ht="18" thickBot="1" x14ac:dyDescent="0.2"/>
    <row r="857" spans="1:7" s="7" customFormat="1" x14ac:dyDescent="0.15">
      <c r="A857" s="2"/>
      <c r="B857" s="39" t="s">
        <v>563</v>
      </c>
      <c r="C857" s="108" t="s">
        <v>621</v>
      </c>
      <c r="D857" s="40" t="s">
        <v>515</v>
      </c>
      <c r="E857" s="21" t="s">
        <v>598</v>
      </c>
      <c r="F857" s="40" t="s">
        <v>567</v>
      </c>
      <c r="G857" s="41"/>
    </row>
    <row r="858" spans="1:7" s="7" customFormat="1" ht="18" thickBot="1" x14ac:dyDescent="0.2">
      <c r="A858" s="2"/>
      <c r="B858" s="57" t="s">
        <v>570</v>
      </c>
      <c r="C858" s="54"/>
      <c r="D858" s="58" t="s">
        <v>568</v>
      </c>
      <c r="E858" s="54" t="s">
        <v>615</v>
      </c>
      <c r="F858" s="58"/>
      <c r="G858" s="55"/>
    </row>
    <row r="859" spans="1:7" s="7" customFormat="1" x14ac:dyDescent="0.15">
      <c r="A859" s="2"/>
      <c r="B859" s="59" t="s">
        <v>0</v>
      </c>
      <c r="C859" s="60" t="s">
        <v>1</v>
      </c>
      <c r="D859" s="60" t="s">
        <v>2</v>
      </c>
      <c r="E859" s="60"/>
      <c r="F859" s="60" t="s">
        <v>3</v>
      </c>
      <c r="G859" s="60" t="s">
        <v>4</v>
      </c>
    </row>
    <row r="860" spans="1:7" s="7" customFormat="1" x14ac:dyDescent="0.15">
      <c r="A860" s="2"/>
      <c r="B860" s="61" t="s">
        <v>22</v>
      </c>
      <c r="C860" s="62" t="s">
        <v>1127</v>
      </c>
      <c r="D860" s="62" t="s">
        <v>211</v>
      </c>
      <c r="E860" s="62" t="s">
        <v>1141</v>
      </c>
      <c r="F860" s="62"/>
      <c r="G860" s="63" t="s">
        <v>1162</v>
      </c>
    </row>
    <row r="861" spans="1:7" s="7" customFormat="1" x14ac:dyDescent="0.15">
      <c r="A861" s="2"/>
      <c r="B861" s="61" t="s">
        <v>122</v>
      </c>
      <c r="C861" s="62" t="s">
        <v>1163</v>
      </c>
      <c r="D861" s="62" t="s">
        <v>211</v>
      </c>
      <c r="E861" s="62">
        <v>0</v>
      </c>
      <c r="F861" s="62"/>
      <c r="G861" s="63" t="s">
        <v>1077</v>
      </c>
    </row>
    <row r="862" spans="1:7" s="7" customFormat="1" x14ac:dyDescent="0.15">
      <c r="A862" s="2"/>
      <c r="B862" s="61" t="s">
        <v>21</v>
      </c>
      <c r="C862" s="62" t="s">
        <v>1357</v>
      </c>
      <c r="D862" s="62" t="s">
        <v>211</v>
      </c>
      <c r="E862" s="62">
        <v>0</v>
      </c>
      <c r="F862" s="62"/>
      <c r="G862" s="63" t="s">
        <v>1358</v>
      </c>
    </row>
    <row r="863" spans="1:7" s="7" customFormat="1" x14ac:dyDescent="0.15">
      <c r="A863" s="2"/>
      <c r="B863" s="47" t="s">
        <v>111</v>
      </c>
      <c r="C863" s="62" t="s">
        <v>1164</v>
      </c>
      <c r="D863" s="62" t="s">
        <v>211</v>
      </c>
      <c r="E863" s="62">
        <v>0</v>
      </c>
      <c r="F863" s="62"/>
      <c r="G863" s="63" t="s">
        <v>1165</v>
      </c>
    </row>
    <row r="864" spans="1:7" s="7" customFormat="1" x14ac:dyDescent="0.15">
      <c r="A864" s="2"/>
      <c r="B864" s="47" t="s">
        <v>123</v>
      </c>
      <c r="C864" s="62" t="s">
        <v>1133</v>
      </c>
      <c r="D864" s="62" t="s">
        <v>211</v>
      </c>
      <c r="E864" s="62">
        <v>0</v>
      </c>
      <c r="F864" s="62"/>
      <c r="G864" s="63" t="s">
        <v>1182</v>
      </c>
    </row>
    <row r="865" spans="1:7" s="7" customFormat="1" x14ac:dyDescent="0.15">
      <c r="A865" s="2"/>
      <c r="B865" s="50" t="s">
        <v>113</v>
      </c>
      <c r="C865" s="62" t="s">
        <v>1187</v>
      </c>
      <c r="D865" s="62" t="s">
        <v>211</v>
      </c>
      <c r="E865" s="62">
        <v>0</v>
      </c>
      <c r="F865" s="62"/>
      <c r="G865" s="63"/>
    </row>
    <row r="866" spans="1:7" s="7" customFormat="1" x14ac:dyDescent="0.15">
      <c r="A866" s="2"/>
      <c r="B866" s="50" t="s">
        <v>114</v>
      </c>
      <c r="C866" s="62" t="s">
        <v>1155</v>
      </c>
      <c r="D866" s="62" t="s">
        <v>211</v>
      </c>
      <c r="E866" s="62">
        <v>0</v>
      </c>
      <c r="F866" s="62"/>
      <c r="G866" s="63"/>
    </row>
    <row r="867" spans="1:7" s="7" customFormat="1" x14ac:dyDescent="0.15">
      <c r="A867" s="2"/>
      <c r="B867" s="61" t="s">
        <v>210</v>
      </c>
      <c r="C867" s="62" t="s">
        <v>1191</v>
      </c>
      <c r="D867" s="62" t="s">
        <v>211</v>
      </c>
      <c r="E867" s="62">
        <v>0</v>
      </c>
      <c r="F867" s="62"/>
      <c r="G867" s="63" t="s">
        <v>1192</v>
      </c>
    </row>
    <row r="868" spans="1:7" s="7" customFormat="1" x14ac:dyDescent="0.15">
      <c r="A868" s="2"/>
      <c r="B868" s="50" t="s">
        <v>115</v>
      </c>
      <c r="C868" s="62" t="s">
        <v>1188</v>
      </c>
      <c r="D868" s="62" t="s">
        <v>211</v>
      </c>
      <c r="E868" s="62">
        <v>0</v>
      </c>
      <c r="F868" s="62"/>
      <c r="G868" s="63"/>
    </row>
    <row r="869" spans="1:7" s="7" customFormat="1" x14ac:dyDescent="0.15">
      <c r="A869" s="2"/>
      <c r="B869" s="61" t="s">
        <v>18</v>
      </c>
      <c r="C869" s="62" t="s">
        <v>1190</v>
      </c>
      <c r="D869" s="62" t="s">
        <v>211</v>
      </c>
      <c r="E869" s="62">
        <v>0</v>
      </c>
      <c r="F869" s="62"/>
      <c r="G869" s="63" t="s">
        <v>1081</v>
      </c>
    </row>
    <row r="870" spans="1:7" s="7" customFormat="1" x14ac:dyDescent="0.15">
      <c r="A870" s="2"/>
      <c r="B870" s="47" t="s">
        <v>136</v>
      </c>
      <c r="C870" s="64" t="s">
        <v>1407</v>
      </c>
      <c r="D870" s="64" t="s">
        <v>1087</v>
      </c>
      <c r="E870" s="64">
        <v>0</v>
      </c>
      <c r="F870" s="64"/>
      <c r="G870" s="65"/>
    </row>
    <row r="871" spans="1:7" s="7" customFormat="1" x14ac:dyDescent="0.15">
      <c r="A871" s="2"/>
      <c r="B871" s="66" t="s">
        <v>137</v>
      </c>
      <c r="C871" s="62" t="s">
        <v>1201</v>
      </c>
      <c r="D871" s="62" t="s">
        <v>1087</v>
      </c>
      <c r="E871" s="62">
        <v>0</v>
      </c>
      <c r="F871" s="62"/>
      <c r="G871" s="63"/>
    </row>
    <row r="872" spans="1:7" s="7" customFormat="1" x14ac:dyDescent="0.15">
      <c r="A872" s="2"/>
      <c r="B872" s="66" t="s">
        <v>138</v>
      </c>
      <c r="C872" s="48" t="s">
        <v>1200</v>
      </c>
      <c r="D872" s="48" t="s">
        <v>1087</v>
      </c>
      <c r="E872" s="48">
        <v>0</v>
      </c>
      <c r="F872" s="48"/>
      <c r="G872" s="49"/>
    </row>
    <row r="873" spans="1:7" s="7" customFormat="1" x14ac:dyDescent="0.15">
      <c r="A873" s="2"/>
      <c r="B873" s="66" t="s">
        <v>139</v>
      </c>
      <c r="C873" s="43" t="s">
        <v>1138</v>
      </c>
      <c r="D873" s="43" t="s">
        <v>1087</v>
      </c>
      <c r="E873" s="43">
        <v>0</v>
      </c>
      <c r="F873" s="43"/>
      <c r="G873" s="45"/>
    </row>
    <row r="874" spans="1:7" s="7" customFormat="1" x14ac:dyDescent="0.15">
      <c r="A874" s="2"/>
      <c r="B874" s="66" t="s">
        <v>140</v>
      </c>
      <c r="C874" s="43" t="s">
        <v>1137</v>
      </c>
      <c r="D874" s="43" t="s">
        <v>1087</v>
      </c>
      <c r="E874" s="43">
        <v>0</v>
      </c>
      <c r="F874" s="43"/>
      <c r="G874" s="45"/>
    </row>
    <row r="875" spans="1:7" s="7" customFormat="1" x14ac:dyDescent="0.15">
      <c r="A875" s="2"/>
      <c r="B875" s="66" t="s">
        <v>141</v>
      </c>
      <c r="C875" s="43" t="s">
        <v>1408</v>
      </c>
      <c r="D875" s="43" t="s">
        <v>1169</v>
      </c>
      <c r="E875" s="43">
        <v>0</v>
      </c>
      <c r="F875" s="43"/>
      <c r="G875" s="45"/>
    </row>
    <row r="876" spans="1:7" s="7" customFormat="1" x14ac:dyDescent="0.15">
      <c r="A876" s="2"/>
      <c r="B876" s="66" t="s">
        <v>142</v>
      </c>
      <c r="C876" s="43" t="s">
        <v>1409</v>
      </c>
      <c r="D876" s="43" t="s">
        <v>1169</v>
      </c>
      <c r="E876" s="43">
        <v>0</v>
      </c>
      <c r="F876" s="43"/>
      <c r="G876" s="45"/>
    </row>
    <row r="877" spans="1:7" s="7" customFormat="1" x14ac:dyDescent="0.15">
      <c r="A877" s="2"/>
      <c r="B877" s="66" t="s">
        <v>159</v>
      </c>
      <c r="C877" s="43" t="s">
        <v>1410</v>
      </c>
      <c r="D877" s="43" t="s">
        <v>1169</v>
      </c>
      <c r="E877" s="43">
        <v>0</v>
      </c>
      <c r="F877" s="43"/>
      <c r="G877" s="45"/>
    </row>
    <row r="878" spans="1:7" s="7" customFormat="1" x14ac:dyDescent="0.15">
      <c r="A878" s="2"/>
      <c r="B878" s="66" t="s">
        <v>143</v>
      </c>
      <c r="C878" s="43" t="s">
        <v>1097</v>
      </c>
      <c r="D878" s="43" t="s">
        <v>1087</v>
      </c>
      <c r="E878" s="43">
        <v>0</v>
      </c>
      <c r="F878" s="43"/>
      <c r="G878" s="45"/>
    </row>
    <row r="879" spans="1:7" s="7" customFormat="1" x14ac:dyDescent="0.15">
      <c r="A879" s="2"/>
      <c r="B879" s="66" t="s">
        <v>144</v>
      </c>
      <c r="C879" s="43" t="s">
        <v>1411</v>
      </c>
      <c r="D879" s="43" t="s">
        <v>1087</v>
      </c>
      <c r="E879" s="43">
        <v>0</v>
      </c>
      <c r="F879" s="43"/>
      <c r="G879" s="45"/>
    </row>
    <row r="880" spans="1:7" s="7" customFormat="1" x14ac:dyDescent="0.15">
      <c r="A880" s="2"/>
      <c r="B880" s="66" t="s">
        <v>145</v>
      </c>
      <c r="C880" s="43" t="s">
        <v>1412</v>
      </c>
      <c r="D880" s="43" t="s">
        <v>1087</v>
      </c>
      <c r="E880" s="43">
        <v>0</v>
      </c>
      <c r="F880" s="43"/>
      <c r="G880" s="45"/>
    </row>
    <row r="881" spans="1:15" s="7" customFormat="1" x14ac:dyDescent="0.15">
      <c r="A881" s="2"/>
      <c r="B881" s="66" t="s">
        <v>146</v>
      </c>
      <c r="C881" s="43" t="s">
        <v>1413</v>
      </c>
      <c r="D881" s="43" t="s">
        <v>1087</v>
      </c>
      <c r="E881" s="43">
        <v>0</v>
      </c>
      <c r="F881" s="43"/>
      <c r="G881" s="45"/>
    </row>
    <row r="882" spans="1:15" s="7" customFormat="1" x14ac:dyDescent="0.15">
      <c r="A882" s="2"/>
      <c r="B882" s="66" t="s">
        <v>147</v>
      </c>
      <c r="C882" s="43" t="s">
        <v>1414</v>
      </c>
      <c r="D882" s="43" t="s">
        <v>1403</v>
      </c>
      <c r="E882" s="43" t="s">
        <v>1072</v>
      </c>
      <c r="F882" s="43"/>
      <c r="G882" s="45" t="s">
        <v>1415</v>
      </c>
    </row>
    <row r="883" spans="1:15" s="7" customFormat="1" x14ac:dyDescent="0.15">
      <c r="A883" s="2"/>
      <c r="B883" s="66" t="s">
        <v>148</v>
      </c>
      <c r="C883" s="43" t="s">
        <v>1416</v>
      </c>
      <c r="D883" s="43" t="s">
        <v>211</v>
      </c>
      <c r="E883" s="43">
        <v>0</v>
      </c>
      <c r="F883" s="43"/>
      <c r="G883" s="45" t="s">
        <v>1571</v>
      </c>
    </row>
    <row r="884" spans="1:15" s="7" customFormat="1" ht="18" thickBot="1" x14ac:dyDescent="0.2">
      <c r="A884" s="2"/>
      <c r="B884" s="66" t="s">
        <v>134</v>
      </c>
      <c r="C884" s="43" t="s">
        <v>1406</v>
      </c>
      <c r="D884" s="43" t="s">
        <v>1092</v>
      </c>
      <c r="E884" s="43" t="s">
        <v>1072</v>
      </c>
      <c r="F884" s="43"/>
      <c r="G884" s="45" t="s">
        <v>1304</v>
      </c>
    </row>
    <row r="885" spans="1:15" s="7" customFormat="1" x14ac:dyDescent="0.15">
      <c r="A885" s="2"/>
      <c r="B885" s="340" t="s">
        <v>15</v>
      </c>
      <c r="C885" s="341"/>
      <c r="D885" s="341"/>
      <c r="E885" s="341"/>
      <c r="F885" s="341"/>
      <c r="G885" s="342"/>
    </row>
    <row r="886" spans="1:15" s="7" customFormat="1" x14ac:dyDescent="0.15">
      <c r="A886" s="2" t="s">
        <v>62</v>
      </c>
      <c r="B886" s="47">
        <v>1</v>
      </c>
      <c r="C886" s="48" t="s">
        <v>22</v>
      </c>
      <c r="D886" s="48" t="s">
        <v>21</v>
      </c>
      <c r="E886" s="48" t="s">
        <v>123</v>
      </c>
      <c r="F886" s="43" t="s">
        <v>113</v>
      </c>
      <c r="G886" s="43" t="s">
        <v>115</v>
      </c>
      <c r="H886" s="50" t="s">
        <v>114</v>
      </c>
    </row>
    <row r="887" spans="1:15" s="7" customFormat="1" x14ac:dyDescent="0.15">
      <c r="A887" s="2"/>
      <c r="B887" s="66">
        <v>2</v>
      </c>
      <c r="C887" s="43" t="s">
        <v>147</v>
      </c>
      <c r="D887" s="43" t="s">
        <v>148</v>
      </c>
      <c r="E887" s="43"/>
      <c r="F887" s="43"/>
      <c r="G887" s="45"/>
    </row>
    <row r="888" spans="1:15" s="7" customFormat="1" ht="18" thickBot="1" x14ac:dyDescent="0.2">
      <c r="A888" s="2"/>
      <c r="B888" s="53"/>
      <c r="C888" s="54"/>
      <c r="D888" s="54"/>
      <c r="E888" s="54"/>
      <c r="F888" s="54"/>
      <c r="G888" s="55"/>
    </row>
    <row r="890" spans="1:15" ht="18" thickBot="1" x14ac:dyDescent="0.2"/>
    <row r="891" spans="1:15" s="56" customFormat="1" x14ac:dyDescent="0.35">
      <c r="A891" s="2"/>
      <c r="B891" s="39" t="s">
        <v>563</v>
      </c>
      <c r="C891" s="108" t="s">
        <v>619</v>
      </c>
      <c r="D891" s="40" t="s">
        <v>515</v>
      </c>
      <c r="E891" s="21" t="s">
        <v>599</v>
      </c>
      <c r="F891" s="40" t="s">
        <v>567</v>
      </c>
      <c r="G891" s="41"/>
      <c r="H891" s="7"/>
      <c r="I891" s="7"/>
      <c r="J891" s="7"/>
      <c r="K891" s="7"/>
      <c r="L891" s="7"/>
      <c r="M891" s="7"/>
      <c r="N891" s="7"/>
      <c r="O891" s="7"/>
    </row>
    <row r="892" spans="1:15" s="56" customFormat="1" ht="18" thickBot="1" x14ac:dyDescent="0.4">
      <c r="A892" s="2"/>
      <c r="B892" s="42" t="s">
        <v>570</v>
      </c>
      <c r="C892" s="43"/>
      <c r="D892" s="44" t="s">
        <v>568</v>
      </c>
      <c r="E892" s="43" t="s">
        <v>615</v>
      </c>
      <c r="F892" s="44"/>
      <c r="G892" s="45"/>
      <c r="H892" s="7"/>
      <c r="I892" s="7"/>
      <c r="J892" s="7"/>
      <c r="K892" s="7"/>
      <c r="L892" s="7"/>
      <c r="M892" s="7"/>
      <c r="N892" s="7"/>
      <c r="O892" s="7"/>
    </row>
    <row r="893" spans="1:15" s="56" customFormat="1" x14ac:dyDescent="0.35">
      <c r="A893" s="2"/>
      <c r="B893" s="39" t="s">
        <v>0</v>
      </c>
      <c r="C893" s="40" t="s">
        <v>1</v>
      </c>
      <c r="D893" s="40" t="s">
        <v>2</v>
      </c>
      <c r="E893" s="40"/>
      <c r="F893" s="40" t="s">
        <v>3</v>
      </c>
      <c r="G893" s="46" t="s">
        <v>4</v>
      </c>
      <c r="H893" s="7"/>
      <c r="I893" s="7"/>
      <c r="J893" s="7"/>
      <c r="K893" s="7"/>
      <c r="L893" s="7"/>
      <c r="M893" s="7"/>
      <c r="N893" s="7"/>
      <c r="O893" s="7"/>
    </row>
    <row r="894" spans="1:15" s="56" customFormat="1" x14ac:dyDescent="0.35">
      <c r="A894" s="2"/>
      <c r="B894" s="67" t="s">
        <v>149</v>
      </c>
      <c r="C894" s="48" t="s">
        <v>1127</v>
      </c>
      <c r="D894" s="48" t="s">
        <v>211</v>
      </c>
      <c r="E894" s="48" t="s">
        <v>1141</v>
      </c>
      <c r="F894" s="48"/>
      <c r="G894" s="49" t="s">
        <v>1162</v>
      </c>
      <c r="H894" s="7"/>
      <c r="I894" s="7"/>
      <c r="J894" s="7"/>
      <c r="K894" s="7"/>
      <c r="L894" s="7"/>
      <c r="M894" s="7"/>
      <c r="N894" s="7"/>
      <c r="O894" s="7"/>
    </row>
    <row r="895" spans="1:15" s="56" customFormat="1" x14ac:dyDescent="0.35">
      <c r="A895" s="2"/>
      <c r="B895" s="67" t="s">
        <v>21</v>
      </c>
      <c r="C895" s="48" t="s">
        <v>1357</v>
      </c>
      <c r="D895" s="48" t="s">
        <v>211</v>
      </c>
      <c r="E895" s="48">
        <v>0</v>
      </c>
      <c r="F895" s="48"/>
      <c r="G895" s="49" t="s">
        <v>1358</v>
      </c>
      <c r="H895" s="7"/>
      <c r="I895" s="7"/>
      <c r="J895" s="7"/>
      <c r="K895" s="7"/>
      <c r="L895" s="7"/>
      <c r="M895" s="7"/>
      <c r="N895" s="7"/>
      <c r="O895" s="7"/>
    </row>
    <row r="896" spans="1:15" s="56" customFormat="1" x14ac:dyDescent="0.35">
      <c r="A896" s="2"/>
      <c r="B896" s="47" t="s">
        <v>6</v>
      </c>
      <c r="C896" s="48" t="s">
        <v>1163</v>
      </c>
      <c r="D896" s="48" t="s">
        <v>211</v>
      </c>
      <c r="E896" s="48">
        <v>0</v>
      </c>
      <c r="F896" s="48"/>
      <c r="G896" s="49" t="s">
        <v>1077</v>
      </c>
      <c r="H896" s="7"/>
      <c r="I896" s="7"/>
      <c r="J896" s="7"/>
      <c r="K896" s="7"/>
      <c r="L896" s="7"/>
      <c r="M896" s="7"/>
      <c r="N896" s="7"/>
      <c r="O896" s="7"/>
    </row>
    <row r="897" spans="1:15" s="56" customFormat="1" x14ac:dyDescent="0.35">
      <c r="A897" s="2"/>
      <c r="B897" s="47" t="s">
        <v>111</v>
      </c>
      <c r="C897" s="48" t="s">
        <v>1164</v>
      </c>
      <c r="D897" s="48" t="s">
        <v>211</v>
      </c>
      <c r="E897" s="48">
        <v>0</v>
      </c>
      <c r="F897" s="48"/>
      <c r="G897" s="49" t="s">
        <v>1165</v>
      </c>
      <c r="H897" s="7"/>
      <c r="I897" s="7"/>
      <c r="J897" s="7"/>
      <c r="K897" s="7"/>
      <c r="L897" s="7"/>
      <c r="M897" s="7"/>
      <c r="N897" s="7"/>
      <c r="O897" s="7"/>
    </row>
    <row r="898" spans="1:15" s="56" customFormat="1" x14ac:dyDescent="0.35">
      <c r="A898" s="2"/>
      <c r="B898" s="47" t="s">
        <v>123</v>
      </c>
      <c r="C898" s="48" t="s">
        <v>1133</v>
      </c>
      <c r="D898" s="48" t="s">
        <v>211</v>
      </c>
      <c r="E898" s="48">
        <v>0</v>
      </c>
      <c r="F898" s="48"/>
      <c r="G898" s="49" t="s">
        <v>1182</v>
      </c>
      <c r="H898" s="7"/>
      <c r="I898" s="7"/>
      <c r="J898" s="7"/>
      <c r="K898" s="7"/>
      <c r="L898" s="7"/>
      <c r="M898" s="7"/>
      <c r="N898" s="7"/>
      <c r="O898" s="7"/>
    </row>
    <row r="899" spans="1:15" s="56" customFormat="1" x14ac:dyDescent="0.35">
      <c r="A899" s="2"/>
      <c r="B899" s="50" t="s">
        <v>121</v>
      </c>
      <c r="C899" s="51" t="s">
        <v>1187</v>
      </c>
      <c r="D899" s="51" t="s">
        <v>211</v>
      </c>
      <c r="E899" s="51">
        <v>0</v>
      </c>
      <c r="F899" s="51"/>
      <c r="G899" s="52"/>
      <c r="H899" s="7"/>
      <c r="I899" s="7"/>
      <c r="J899" s="7"/>
      <c r="K899" s="7"/>
      <c r="L899" s="7"/>
      <c r="M899" s="7"/>
      <c r="N899" s="7"/>
      <c r="O899" s="7"/>
    </row>
    <row r="900" spans="1:15" s="56" customFormat="1" x14ac:dyDescent="0.35">
      <c r="A900" s="2"/>
      <c r="B900" s="47" t="s">
        <v>18</v>
      </c>
      <c r="C900" s="48" t="s">
        <v>1190</v>
      </c>
      <c r="D900" s="48" t="s">
        <v>211</v>
      </c>
      <c r="E900" s="48">
        <v>0</v>
      </c>
      <c r="F900" s="48"/>
      <c r="G900" s="49" t="s">
        <v>1081</v>
      </c>
      <c r="H900" s="7"/>
      <c r="I900" s="7"/>
      <c r="J900" s="7"/>
      <c r="K900" s="7"/>
      <c r="L900" s="7"/>
      <c r="M900" s="7"/>
      <c r="N900" s="7"/>
      <c r="O900" s="7"/>
    </row>
    <row r="901" spans="1:15" s="56" customFormat="1" x14ac:dyDescent="0.35">
      <c r="A901" s="2"/>
      <c r="B901" s="50" t="s">
        <v>114</v>
      </c>
      <c r="C901" s="51" t="s">
        <v>1155</v>
      </c>
      <c r="D901" s="51" t="s">
        <v>211</v>
      </c>
      <c r="E901" s="51">
        <v>0</v>
      </c>
      <c r="F901" s="51"/>
      <c r="G901" s="52"/>
      <c r="H901" s="7"/>
      <c r="I901" s="7"/>
      <c r="J901" s="7"/>
      <c r="K901" s="7"/>
      <c r="L901" s="7"/>
      <c r="M901" s="7"/>
      <c r="N901" s="7"/>
      <c r="O901" s="7"/>
    </row>
    <row r="902" spans="1:15" s="56" customFormat="1" x14ac:dyDescent="0.35">
      <c r="A902" s="2"/>
      <c r="B902" s="50" t="s">
        <v>118</v>
      </c>
      <c r="C902" s="51" t="s">
        <v>1188</v>
      </c>
      <c r="D902" s="51" t="s">
        <v>211</v>
      </c>
      <c r="E902" s="51">
        <v>0</v>
      </c>
      <c r="F902" s="51"/>
      <c r="G902" s="52"/>
      <c r="H902" s="7"/>
      <c r="I902" s="7"/>
      <c r="J902" s="7"/>
      <c r="K902" s="7"/>
      <c r="L902" s="7"/>
      <c r="M902" s="7"/>
      <c r="N902" s="7"/>
      <c r="O902" s="7"/>
    </row>
    <row r="903" spans="1:15" s="56" customFormat="1" x14ac:dyDescent="0.35">
      <c r="A903" s="2"/>
      <c r="B903" s="47" t="s">
        <v>150</v>
      </c>
      <c r="C903" s="48" t="s">
        <v>1417</v>
      </c>
      <c r="D903" s="48" t="s">
        <v>1087</v>
      </c>
      <c r="E903" s="48">
        <v>0</v>
      </c>
      <c r="F903" s="48"/>
      <c r="G903" s="49"/>
      <c r="H903" s="7"/>
      <c r="I903" s="7"/>
      <c r="J903" s="7"/>
      <c r="K903" s="7"/>
      <c r="L903" s="7"/>
      <c r="M903" s="7"/>
      <c r="N903" s="7"/>
      <c r="O903" s="7"/>
    </row>
    <row r="904" spans="1:15" s="56" customFormat="1" x14ac:dyDescent="0.35">
      <c r="A904" s="2"/>
      <c r="B904" s="47" t="s">
        <v>151</v>
      </c>
      <c r="C904" s="48" t="s">
        <v>1418</v>
      </c>
      <c r="D904" s="48" t="s">
        <v>1087</v>
      </c>
      <c r="E904" s="48">
        <v>0</v>
      </c>
      <c r="F904" s="48"/>
      <c r="G904" s="49"/>
      <c r="H904" s="7"/>
      <c r="I904" s="7"/>
      <c r="J904" s="7"/>
      <c r="K904" s="7"/>
      <c r="L904" s="7"/>
      <c r="M904" s="7"/>
      <c r="N904" s="7"/>
      <c r="O904" s="7"/>
    </row>
    <row r="905" spans="1:15" s="56" customFormat="1" x14ac:dyDescent="0.35">
      <c r="A905" s="2"/>
      <c r="B905" s="47" t="s">
        <v>152</v>
      </c>
      <c r="C905" s="48" t="s">
        <v>1378</v>
      </c>
      <c r="D905" s="48" t="s">
        <v>1169</v>
      </c>
      <c r="E905" s="48">
        <v>0</v>
      </c>
      <c r="F905" s="48"/>
      <c r="G905" s="49" t="s">
        <v>1379</v>
      </c>
      <c r="H905" s="7"/>
      <c r="I905" s="7"/>
      <c r="J905" s="7"/>
      <c r="K905" s="7"/>
      <c r="L905" s="7"/>
      <c r="M905" s="7"/>
      <c r="N905" s="7"/>
      <c r="O905" s="7"/>
    </row>
    <row r="906" spans="1:15" s="56" customFormat="1" x14ac:dyDescent="0.35">
      <c r="A906" s="2"/>
      <c r="B906" s="47" t="s">
        <v>131</v>
      </c>
      <c r="C906" s="48" t="s">
        <v>1401</v>
      </c>
      <c r="D906" s="48" t="s">
        <v>1169</v>
      </c>
      <c r="E906" s="48">
        <v>0</v>
      </c>
      <c r="F906" s="48"/>
      <c r="G906" s="49"/>
      <c r="H906" s="7"/>
      <c r="I906" s="7"/>
      <c r="J906" s="7"/>
      <c r="K906" s="7"/>
      <c r="L906" s="7"/>
      <c r="M906" s="7"/>
      <c r="N906" s="7"/>
      <c r="O906" s="7"/>
    </row>
    <row r="907" spans="1:15" s="56" customFormat="1" x14ac:dyDescent="0.35">
      <c r="A907" s="2"/>
      <c r="B907" s="47" t="s">
        <v>153</v>
      </c>
      <c r="C907" s="48" t="s">
        <v>1143</v>
      </c>
      <c r="D907" s="48" t="s">
        <v>1169</v>
      </c>
      <c r="E907" s="48">
        <v>0</v>
      </c>
      <c r="F907" s="48"/>
      <c r="G907" s="49"/>
      <c r="H907" s="7"/>
      <c r="I907" s="7"/>
      <c r="J907" s="7"/>
      <c r="K907" s="7"/>
      <c r="L907" s="7"/>
      <c r="M907" s="7"/>
      <c r="N907" s="7"/>
      <c r="O907" s="7"/>
    </row>
    <row r="908" spans="1:15" s="56" customFormat="1" ht="18" thickBot="1" x14ac:dyDescent="0.4">
      <c r="A908" s="2"/>
      <c r="B908" s="53"/>
      <c r="C908" s="54"/>
      <c r="D908" s="54"/>
      <c r="E908" s="54"/>
      <c r="F908" s="54"/>
      <c r="G908" s="55"/>
      <c r="H908" s="7"/>
      <c r="I908" s="7"/>
      <c r="J908" s="7"/>
      <c r="K908" s="7"/>
      <c r="L908" s="7"/>
      <c r="M908" s="7"/>
      <c r="N908" s="7"/>
      <c r="O908" s="7"/>
    </row>
    <row r="909" spans="1:15" s="56" customFormat="1" x14ac:dyDescent="0.35">
      <c r="A909" s="2"/>
      <c r="B909" s="340" t="s">
        <v>15</v>
      </c>
      <c r="C909" s="341"/>
      <c r="D909" s="341"/>
      <c r="E909" s="341"/>
      <c r="F909" s="341"/>
      <c r="G909" s="342"/>
      <c r="H909" s="7"/>
      <c r="I909" s="7"/>
      <c r="J909" s="7"/>
      <c r="K909" s="7"/>
      <c r="L909" s="7"/>
      <c r="M909" s="7"/>
      <c r="N909" s="7"/>
      <c r="O909" s="7"/>
    </row>
    <row r="910" spans="1:15" s="56" customFormat="1" x14ac:dyDescent="0.35">
      <c r="A910" s="2"/>
      <c r="B910" s="47">
        <v>1</v>
      </c>
      <c r="C910" s="48" t="s">
        <v>149</v>
      </c>
      <c r="D910" s="48" t="s">
        <v>121</v>
      </c>
      <c r="E910" s="48" t="s">
        <v>114</v>
      </c>
      <c r="F910" s="48" t="s">
        <v>118</v>
      </c>
      <c r="G910" s="49"/>
      <c r="H910" s="7"/>
      <c r="I910" s="7"/>
      <c r="J910" s="7"/>
      <c r="K910" s="7"/>
      <c r="L910" s="7"/>
      <c r="M910" s="7"/>
      <c r="N910" s="7"/>
      <c r="O910" s="7"/>
    </row>
    <row r="911" spans="1:15" s="56" customFormat="1" x14ac:dyDescent="0.35">
      <c r="A911" s="2"/>
      <c r="B911" s="47">
        <v>2</v>
      </c>
      <c r="C911" s="48" t="s">
        <v>149</v>
      </c>
      <c r="D911" s="48" t="s">
        <v>109</v>
      </c>
      <c r="E911" s="48" t="s">
        <v>111</v>
      </c>
      <c r="F911" s="48" t="s">
        <v>123</v>
      </c>
      <c r="G911" s="49"/>
      <c r="H911" s="7"/>
      <c r="I911" s="7"/>
      <c r="J911" s="7"/>
      <c r="K911" s="7"/>
      <c r="L911" s="7"/>
      <c r="M911" s="7"/>
      <c r="N911" s="7"/>
      <c r="O911" s="7"/>
    </row>
    <row r="912" spans="1:15" s="56" customFormat="1" ht="18" thickBot="1" x14ac:dyDescent="0.4">
      <c r="A912" s="2"/>
      <c r="B912" s="53"/>
      <c r="C912" s="54"/>
      <c r="D912" s="54"/>
      <c r="E912" s="54"/>
      <c r="F912" s="54"/>
      <c r="G912" s="55"/>
      <c r="H912" s="7"/>
      <c r="I912" s="7"/>
      <c r="J912" s="7"/>
      <c r="K912" s="7"/>
      <c r="L912" s="7"/>
      <c r="M912" s="7"/>
      <c r="N912" s="7"/>
      <c r="O912" s="7"/>
    </row>
    <row r="913" spans="1:15" ht="18" thickBot="1" x14ac:dyDescent="0.2"/>
    <row r="914" spans="1:15" s="56" customFormat="1" x14ac:dyDescent="0.35">
      <c r="A914" s="2"/>
      <c r="B914" s="39" t="s">
        <v>563</v>
      </c>
      <c r="C914" s="108" t="s">
        <v>620</v>
      </c>
      <c r="D914" s="40" t="s">
        <v>515</v>
      </c>
      <c r="E914" s="21" t="s">
        <v>720</v>
      </c>
      <c r="F914" s="40" t="s">
        <v>567</v>
      </c>
      <c r="G914" s="41"/>
      <c r="H914" s="7"/>
      <c r="I914" s="7"/>
      <c r="J914" s="7"/>
      <c r="K914" s="7"/>
      <c r="L914" s="7"/>
      <c r="M914" s="7"/>
      <c r="N914" s="7"/>
      <c r="O914" s="7"/>
    </row>
    <row r="915" spans="1:15" s="56" customFormat="1" ht="18" thickBot="1" x14ac:dyDescent="0.4">
      <c r="A915" s="2"/>
      <c r="B915" s="42" t="s">
        <v>570</v>
      </c>
      <c r="C915" s="43"/>
      <c r="D915" s="44" t="s">
        <v>568</v>
      </c>
      <c r="E915" s="43" t="s">
        <v>615</v>
      </c>
      <c r="F915" s="44"/>
      <c r="G915" s="45"/>
      <c r="H915" s="7"/>
      <c r="I915" s="7"/>
      <c r="J915" s="7"/>
      <c r="K915" s="7"/>
      <c r="L915" s="7"/>
      <c r="M915" s="7"/>
      <c r="N915" s="7"/>
      <c r="O915" s="7"/>
    </row>
    <row r="916" spans="1:15" s="56" customFormat="1" x14ac:dyDescent="0.35">
      <c r="A916" s="2"/>
      <c r="B916" s="39" t="s">
        <v>0</v>
      </c>
      <c r="C916" s="40" t="s">
        <v>1</v>
      </c>
      <c r="D916" s="40" t="s">
        <v>2</v>
      </c>
      <c r="E916" s="40"/>
      <c r="F916" s="40" t="s">
        <v>3</v>
      </c>
      <c r="G916" s="46" t="s">
        <v>4</v>
      </c>
      <c r="H916" s="7"/>
      <c r="I916" s="7"/>
      <c r="J916" s="7"/>
      <c r="K916" s="7"/>
      <c r="L916" s="7"/>
      <c r="M916" s="7"/>
      <c r="N916" s="7"/>
      <c r="O916" s="7"/>
    </row>
    <row r="917" spans="1:15" s="56" customFormat="1" x14ac:dyDescent="0.35">
      <c r="A917" s="2"/>
      <c r="B917" s="47" t="s">
        <v>22</v>
      </c>
      <c r="C917" s="48" t="s">
        <v>1127</v>
      </c>
      <c r="D917" s="48" t="s">
        <v>211</v>
      </c>
      <c r="E917" s="48" t="s">
        <v>1141</v>
      </c>
      <c r="F917" s="48"/>
      <c r="G917" s="49" t="s">
        <v>1162</v>
      </c>
      <c r="H917" s="7"/>
      <c r="I917" s="7"/>
      <c r="J917" s="7"/>
      <c r="K917" s="7"/>
      <c r="L917" s="7"/>
      <c r="M917" s="7"/>
      <c r="N917" s="7"/>
      <c r="O917" s="7"/>
    </row>
    <row r="918" spans="1:15" s="56" customFormat="1" x14ac:dyDescent="0.35">
      <c r="A918" s="2"/>
      <c r="B918" s="47" t="s">
        <v>21</v>
      </c>
      <c r="C918" s="48" t="s">
        <v>1357</v>
      </c>
      <c r="D918" s="48" t="s">
        <v>211</v>
      </c>
      <c r="E918" s="48">
        <v>0</v>
      </c>
      <c r="F918" s="48"/>
      <c r="G918" s="49" t="s">
        <v>1358</v>
      </c>
      <c r="H918" s="7"/>
      <c r="I918" s="7"/>
      <c r="J918" s="7"/>
      <c r="K918" s="7"/>
      <c r="L918" s="7"/>
      <c r="M918" s="7"/>
      <c r="N918" s="7"/>
      <c r="O918" s="7"/>
    </row>
    <row r="919" spans="1:15" s="56" customFormat="1" x14ac:dyDescent="0.35">
      <c r="A919" s="2"/>
      <c r="B919" s="47" t="s">
        <v>6</v>
      </c>
      <c r="C919" s="48" t="s">
        <v>1163</v>
      </c>
      <c r="D919" s="48" t="s">
        <v>211</v>
      </c>
      <c r="E919" s="48">
        <v>0</v>
      </c>
      <c r="F919" s="48"/>
      <c r="G919" s="49" t="s">
        <v>1077</v>
      </c>
      <c r="H919" s="7"/>
      <c r="I919" s="7"/>
      <c r="J919" s="7"/>
      <c r="K919" s="7"/>
      <c r="L919" s="7"/>
      <c r="M919" s="7"/>
      <c r="N919" s="7"/>
      <c r="O919" s="7"/>
    </row>
    <row r="920" spans="1:15" s="56" customFormat="1" x14ac:dyDescent="0.35">
      <c r="A920" s="2"/>
      <c r="B920" s="47" t="s">
        <v>111</v>
      </c>
      <c r="C920" s="48" t="s">
        <v>1164</v>
      </c>
      <c r="D920" s="48" t="s">
        <v>211</v>
      </c>
      <c r="E920" s="48">
        <v>0</v>
      </c>
      <c r="F920" s="48"/>
      <c r="G920" s="49" t="s">
        <v>1165</v>
      </c>
      <c r="H920" s="7"/>
      <c r="I920" s="7"/>
      <c r="J920" s="7"/>
      <c r="K920" s="7"/>
      <c r="L920" s="7"/>
      <c r="M920" s="7"/>
      <c r="N920" s="7"/>
      <c r="O920" s="7"/>
    </row>
    <row r="921" spans="1:15" s="56" customFormat="1" x14ac:dyDescent="0.35">
      <c r="A921" s="2"/>
      <c r="B921" s="47" t="s">
        <v>154</v>
      </c>
      <c r="C921" s="48" t="s">
        <v>1133</v>
      </c>
      <c r="D921" s="48" t="s">
        <v>211</v>
      </c>
      <c r="E921" s="48">
        <v>0</v>
      </c>
      <c r="F921" s="48"/>
      <c r="G921" s="49" t="s">
        <v>1182</v>
      </c>
      <c r="H921" s="7"/>
      <c r="I921" s="7"/>
      <c r="J921" s="7"/>
      <c r="K921" s="7"/>
      <c r="L921" s="7"/>
      <c r="M921" s="7"/>
      <c r="N921" s="7"/>
      <c r="O921" s="7"/>
    </row>
    <row r="922" spans="1:15" s="56" customFormat="1" x14ac:dyDescent="0.35">
      <c r="A922" s="2"/>
      <c r="B922" s="50" t="s">
        <v>120</v>
      </c>
      <c r="C922" s="51" t="s">
        <v>1187</v>
      </c>
      <c r="D922" s="51" t="s">
        <v>211</v>
      </c>
      <c r="E922" s="51">
        <v>0</v>
      </c>
      <c r="F922" s="51"/>
      <c r="G922" s="52"/>
      <c r="H922" s="7"/>
      <c r="I922" s="7"/>
      <c r="J922" s="7"/>
      <c r="K922" s="7"/>
      <c r="L922" s="7"/>
      <c r="M922" s="7"/>
      <c r="N922" s="7"/>
      <c r="O922" s="7"/>
    </row>
    <row r="923" spans="1:15" s="56" customFormat="1" x14ac:dyDescent="0.35">
      <c r="A923" s="2"/>
      <c r="B923" s="47" t="s">
        <v>18</v>
      </c>
      <c r="C923" s="48" t="s">
        <v>1190</v>
      </c>
      <c r="D923" s="48" t="s">
        <v>211</v>
      </c>
      <c r="E923" s="48">
        <v>0</v>
      </c>
      <c r="F923" s="48"/>
      <c r="G923" s="49" t="s">
        <v>1081</v>
      </c>
      <c r="H923" s="7"/>
      <c r="I923" s="7"/>
      <c r="J923" s="7"/>
      <c r="K923" s="7"/>
      <c r="L923" s="7"/>
      <c r="M923" s="7"/>
      <c r="N923" s="7"/>
      <c r="O923" s="7"/>
    </row>
    <row r="924" spans="1:15" s="56" customFormat="1" x14ac:dyDescent="0.35">
      <c r="A924" s="2"/>
      <c r="B924" s="50" t="s">
        <v>114</v>
      </c>
      <c r="C924" s="51" t="s">
        <v>1155</v>
      </c>
      <c r="D924" s="51" t="s">
        <v>211</v>
      </c>
      <c r="E924" s="51">
        <v>0</v>
      </c>
      <c r="F924" s="51"/>
      <c r="G924" s="52"/>
      <c r="H924" s="7"/>
      <c r="I924" s="7"/>
      <c r="J924" s="7"/>
      <c r="K924" s="7"/>
      <c r="L924" s="7"/>
      <c r="M924" s="7"/>
      <c r="N924" s="7"/>
      <c r="O924" s="7"/>
    </row>
    <row r="925" spans="1:15" s="56" customFormat="1" x14ac:dyDescent="0.35">
      <c r="A925" s="2"/>
      <c r="B925" s="50" t="s">
        <v>118</v>
      </c>
      <c r="C925" s="51" t="s">
        <v>1188</v>
      </c>
      <c r="D925" s="51" t="s">
        <v>211</v>
      </c>
      <c r="E925" s="51">
        <v>0</v>
      </c>
      <c r="F925" s="51"/>
      <c r="G925" s="52"/>
      <c r="H925" s="7"/>
      <c r="I925" s="7"/>
      <c r="J925" s="7"/>
      <c r="K925" s="7"/>
      <c r="L925" s="7"/>
      <c r="M925" s="7"/>
      <c r="N925" s="7"/>
      <c r="O925" s="7"/>
    </row>
    <row r="926" spans="1:15" s="56" customFormat="1" x14ac:dyDescent="0.35">
      <c r="A926" s="2"/>
      <c r="B926" s="47" t="s">
        <v>155</v>
      </c>
      <c r="C926" s="48" t="s">
        <v>1572</v>
      </c>
      <c r="D926" s="48" t="s">
        <v>1087</v>
      </c>
      <c r="E926" s="48">
        <v>0</v>
      </c>
      <c r="F926" s="48"/>
      <c r="G926" s="49"/>
      <c r="H926" s="7"/>
      <c r="I926" s="7"/>
      <c r="J926" s="7"/>
      <c r="K926" s="7"/>
      <c r="L926" s="7"/>
      <c r="M926" s="7"/>
      <c r="N926" s="7"/>
      <c r="O926" s="7"/>
    </row>
    <row r="927" spans="1:15" s="56" customFormat="1" x14ac:dyDescent="0.35">
      <c r="A927" s="2"/>
      <c r="B927" s="47" t="s">
        <v>156</v>
      </c>
      <c r="C927" s="48" t="s">
        <v>1195</v>
      </c>
      <c r="D927" s="48" t="s">
        <v>1087</v>
      </c>
      <c r="E927" s="48">
        <v>0</v>
      </c>
      <c r="F927" s="48"/>
      <c r="G927" s="49" t="s">
        <v>1196</v>
      </c>
      <c r="H927" s="7"/>
      <c r="I927" s="7"/>
      <c r="J927" s="7"/>
      <c r="K927" s="7"/>
      <c r="L927" s="7"/>
      <c r="M927" s="7"/>
      <c r="N927" s="7"/>
      <c r="O927" s="7"/>
    </row>
    <row r="928" spans="1:15" s="56" customFormat="1" x14ac:dyDescent="0.35">
      <c r="A928" s="2"/>
      <c r="B928" s="47" t="s">
        <v>152</v>
      </c>
      <c r="C928" s="48" t="s">
        <v>1378</v>
      </c>
      <c r="D928" s="48" t="s">
        <v>1169</v>
      </c>
      <c r="E928" s="48">
        <v>0</v>
      </c>
      <c r="F928" s="48"/>
      <c r="G928" s="49" t="s">
        <v>1379</v>
      </c>
      <c r="H928" s="7"/>
      <c r="I928" s="7"/>
      <c r="J928" s="7"/>
      <c r="K928" s="7"/>
      <c r="L928" s="7"/>
      <c r="M928" s="7"/>
      <c r="N928" s="7"/>
      <c r="O928" s="7"/>
    </row>
    <row r="929" spans="1:15" s="56" customFormat="1" x14ac:dyDescent="0.35">
      <c r="A929" s="2"/>
      <c r="B929" s="47" t="s">
        <v>157</v>
      </c>
      <c r="C929" s="48" t="s">
        <v>1143</v>
      </c>
      <c r="D929" s="48" t="s">
        <v>1169</v>
      </c>
      <c r="E929" s="48">
        <v>0</v>
      </c>
      <c r="F929" s="48"/>
      <c r="G929" s="49"/>
      <c r="H929" s="7"/>
      <c r="I929" s="7"/>
      <c r="J929" s="7"/>
      <c r="K929" s="7"/>
      <c r="L929" s="7"/>
      <c r="M929" s="7"/>
      <c r="N929" s="7"/>
      <c r="O929" s="7"/>
    </row>
    <row r="930" spans="1:15" s="56" customFormat="1" ht="18" thickBot="1" x14ac:dyDescent="0.4">
      <c r="A930" s="2"/>
      <c r="B930" s="53"/>
      <c r="C930" s="54"/>
      <c r="D930" s="54"/>
      <c r="E930" s="54"/>
      <c r="F930" s="54"/>
      <c r="G930" s="55"/>
      <c r="H930" s="7"/>
      <c r="I930" s="7"/>
      <c r="J930" s="7"/>
      <c r="K930" s="7"/>
      <c r="L930" s="7"/>
      <c r="M930" s="7"/>
      <c r="N930" s="7"/>
      <c r="O930" s="7"/>
    </row>
    <row r="931" spans="1:15" s="56" customFormat="1" x14ac:dyDescent="0.35">
      <c r="A931" s="2"/>
      <c r="B931" s="340" t="s">
        <v>15</v>
      </c>
      <c r="C931" s="341"/>
      <c r="D931" s="341"/>
      <c r="E931" s="341"/>
      <c r="F931" s="341"/>
      <c r="G931" s="342"/>
      <c r="H931" s="7"/>
      <c r="I931" s="7"/>
      <c r="J931" s="7"/>
      <c r="K931" s="7"/>
      <c r="L931" s="7"/>
      <c r="M931" s="7"/>
      <c r="N931" s="7"/>
      <c r="O931" s="7"/>
    </row>
    <row r="932" spans="1:15" s="56" customFormat="1" x14ac:dyDescent="0.35">
      <c r="A932" s="2"/>
      <c r="B932" s="47">
        <v>1</v>
      </c>
      <c r="C932" s="48" t="s">
        <v>22</v>
      </c>
      <c r="D932" s="48" t="s">
        <v>113</v>
      </c>
      <c r="E932" s="48" t="s">
        <v>114</v>
      </c>
      <c r="F932" s="48" t="s">
        <v>118</v>
      </c>
      <c r="G932" s="49"/>
      <c r="H932" s="7"/>
      <c r="I932" s="7"/>
      <c r="J932" s="7"/>
      <c r="K932" s="7"/>
      <c r="L932" s="7"/>
      <c r="M932" s="7"/>
      <c r="N932" s="7"/>
      <c r="O932" s="7"/>
    </row>
    <row r="933" spans="1:15" s="56" customFormat="1" x14ac:dyDescent="0.35">
      <c r="A933" s="2"/>
      <c r="B933" s="47">
        <v>2</v>
      </c>
      <c r="C933" s="48" t="s">
        <v>22</v>
      </c>
      <c r="D933" s="48" t="s">
        <v>16</v>
      </c>
      <c r="E933" s="48" t="s">
        <v>111</v>
      </c>
      <c r="F933" s="48" t="s">
        <v>154</v>
      </c>
      <c r="G933" s="49"/>
      <c r="H933" s="7"/>
      <c r="I933" s="7"/>
      <c r="J933" s="7"/>
      <c r="K933" s="7"/>
      <c r="L933" s="7"/>
      <c r="M933" s="7"/>
      <c r="N933" s="7"/>
      <c r="O933" s="7"/>
    </row>
    <row r="934" spans="1:15" s="56" customFormat="1" ht="18" thickBot="1" x14ac:dyDescent="0.4">
      <c r="A934" s="2"/>
      <c r="B934" s="53"/>
      <c r="C934" s="54"/>
      <c r="D934" s="54"/>
      <c r="E934" s="54"/>
      <c r="F934" s="54"/>
      <c r="G934" s="55"/>
      <c r="H934" s="7"/>
      <c r="I934" s="7"/>
      <c r="J934" s="7"/>
      <c r="K934" s="7"/>
      <c r="L934" s="7"/>
      <c r="M934" s="7"/>
      <c r="N934" s="7"/>
      <c r="O934" s="7"/>
    </row>
    <row r="935" spans="1:15" ht="18" thickBot="1" x14ac:dyDescent="0.2"/>
    <row r="936" spans="1:15" s="56" customFormat="1" x14ac:dyDescent="0.35">
      <c r="A936" s="2"/>
      <c r="B936" s="39" t="s">
        <v>563</v>
      </c>
      <c r="C936" s="108" t="s">
        <v>544</v>
      </c>
      <c r="D936" s="40" t="s">
        <v>515</v>
      </c>
      <c r="E936" s="21" t="s">
        <v>721</v>
      </c>
      <c r="F936" s="40" t="s">
        <v>567</v>
      </c>
      <c r="G936" s="41"/>
      <c r="H936" s="6" t="str">
        <f>"create or replace view "&amp;C936</f>
        <v>create or replace view vi_tdset0_trade_total_his</v>
      </c>
      <c r="I936" s="7"/>
      <c r="J936" s="7"/>
      <c r="K936" s="7"/>
      <c r="L936" s="7"/>
      <c r="M936" s="7"/>
      <c r="N936" s="7"/>
      <c r="O936" s="7"/>
    </row>
    <row r="937" spans="1:15" s="56" customFormat="1" ht="18" thickBot="1" x14ac:dyDescent="0.4">
      <c r="A937" s="2"/>
      <c r="B937" s="57" t="s">
        <v>570</v>
      </c>
      <c r="C937" s="54"/>
      <c r="D937" s="58" t="s">
        <v>568</v>
      </c>
      <c r="E937" s="54" t="s">
        <v>615</v>
      </c>
      <c r="F937" s="58"/>
      <c r="G937" s="55"/>
      <c r="H937" s="11" t="str">
        <f>"# "&amp;E936</f>
        <v># 报表_资管报表_历史交易证券-T0-账户交易信息表</v>
      </c>
      <c r="I937" s="7"/>
      <c r="J937" s="7"/>
      <c r="K937" s="7"/>
      <c r="L937" s="7"/>
      <c r="M937" s="7"/>
      <c r="N937" s="7"/>
      <c r="O937" s="7"/>
    </row>
    <row r="938" spans="1:15" s="56" customFormat="1" x14ac:dyDescent="0.35">
      <c r="A938" s="2"/>
      <c r="B938" s="59" t="s">
        <v>0</v>
      </c>
      <c r="C938" s="60" t="s">
        <v>1</v>
      </c>
      <c r="D938" s="60" t="s">
        <v>2</v>
      </c>
      <c r="E938" s="60"/>
      <c r="F938" s="60" t="s">
        <v>3</v>
      </c>
      <c r="G938" s="60" t="s">
        <v>4</v>
      </c>
      <c r="H938" s="13" t="s">
        <v>283</v>
      </c>
      <c r="I938" s="7"/>
      <c r="J938" s="7"/>
      <c r="K938" s="7"/>
      <c r="L938" s="7"/>
      <c r="M938" s="7"/>
      <c r="N938" s="7"/>
      <c r="O938" s="7"/>
    </row>
    <row r="939" spans="1:15" s="56" customFormat="1" x14ac:dyDescent="0.35">
      <c r="A939" s="2"/>
      <c r="B939" s="61" t="s">
        <v>21</v>
      </c>
      <c r="C939" s="62" t="s">
        <v>1357</v>
      </c>
      <c r="D939" s="62" t="s">
        <v>211</v>
      </c>
      <c r="E939" s="62">
        <v>0</v>
      </c>
      <c r="F939" s="62"/>
      <c r="G939" s="63" t="s">
        <v>1358</v>
      </c>
      <c r="H939" s="107" t="str">
        <f t="shared" ref="H939:H954" si="5">IF(F939&lt;&gt;"",F939,"t."&amp;C939)&amp;" as "&amp;C939&amp;",/*"&amp;B939&amp;"*/"</f>
        <v>t.opor_no as opor_no,/*操作员编号*/</v>
      </c>
      <c r="I939" s="7"/>
      <c r="J939" s="7"/>
      <c r="K939" s="7"/>
      <c r="L939" s="7"/>
      <c r="M939" s="7"/>
      <c r="N939" s="7"/>
      <c r="O939" s="7"/>
    </row>
    <row r="940" spans="1:15" s="56" customFormat="1" x14ac:dyDescent="0.35">
      <c r="A940" s="2"/>
      <c r="B940" s="61" t="s">
        <v>5</v>
      </c>
      <c r="C940" s="62" t="s">
        <v>1127</v>
      </c>
      <c r="D940" s="62" t="s">
        <v>211</v>
      </c>
      <c r="E940" s="62" t="s">
        <v>1141</v>
      </c>
      <c r="F940" s="62"/>
      <c r="G940" s="63" t="s">
        <v>1162</v>
      </c>
      <c r="H940" s="107" t="str">
        <f t="shared" si="5"/>
        <v>t.init_date as init_date,/*初始化日期*/</v>
      </c>
      <c r="I940" s="7"/>
      <c r="J940" s="7"/>
      <c r="K940" s="7"/>
      <c r="L940" s="7"/>
      <c r="M940" s="7"/>
      <c r="N940" s="7"/>
      <c r="O940" s="7"/>
    </row>
    <row r="941" spans="1:15" s="56" customFormat="1" x14ac:dyDescent="0.35">
      <c r="A941" s="2"/>
      <c r="B941" s="61" t="s">
        <v>6</v>
      </c>
      <c r="C941" s="62" t="s">
        <v>1163</v>
      </c>
      <c r="D941" s="62" t="s">
        <v>211</v>
      </c>
      <c r="E941" s="62">
        <v>0</v>
      </c>
      <c r="F941" s="62"/>
      <c r="G941" s="63" t="s">
        <v>1077</v>
      </c>
      <c r="H941" s="107" t="str">
        <f t="shared" si="5"/>
        <v>t.co_no as co_no,/*机构编号*/</v>
      </c>
      <c r="I941" s="7"/>
      <c r="J941" s="7"/>
      <c r="K941" s="7"/>
      <c r="L941" s="7"/>
      <c r="M941" s="7"/>
      <c r="N941" s="7"/>
      <c r="O941" s="7"/>
    </row>
    <row r="942" spans="1:15" s="56" customFormat="1" x14ac:dyDescent="0.35">
      <c r="A942" s="2"/>
      <c r="B942" s="61" t="s">
        <v>111</v>
      </c>
      <c r="C942" s="62" t="s">
        <v>1164</v>
      </c>
      <c r="D942" s="62" t="s">
        <v>211</v>
      </c>
      <c r="E942" s="62">
        <v>0</v>
      </c>
      <c r="F942" s="62"/>
      <c r="G942" s="63" t="s">
        <v>1165</v>
      </c>
      <c r="H942" s="107" t="str">
        <f t="shared" si="5"/>
        <v>t.pd_no as pd_no,/*产品编号*/</v>
      </c>
      <c r="I942" s="7"/>
      <c r="J942" s="7"/>
      <c r="K942" s="7"/>
      <c r="L942" s="7"/>
      <c r="M942" s="7"/>
      <c r="N942" s="7"/>
      <c r="O942" s="7"/>
    </row>
    <row r="943" spans="1:15" s="56" customFormat="1" x14ac:dyDescent="0.35">
      <c r="A943" s="2"/>
      <c r="B943" s="61" t="s">
        <v>154</v>
      </c>
      <c r="C943" s="62" t="s">
        <v>1133</v>
      </c>
      <c r="D943" s="62" t="s">
        <v>211</v>
      </c>
      <c r="E943" s="62">
        <v>0</v>
      </c>
      <c r="F943" s="62"/>
      <c r="G943" s="63" t="s">
        <v>1182</v>
      </c>
      <c r="H943" s="107" t="str">
        <f t="shared" si="5"/>
        <v>t.exch_group_no as exch_group_no,/*交易组编号*/</v>
      </c>
      <c r="I943" s="7"/>
      <c r="J943" s="7"/>
      <c r="K943" s="7"/>
      <c r="L943" s="7"/>
      <c r="M943" s="7"/>
      <c r="N943" s="7"/>
      <c r="O943" s="7"/>
    </row>
    <row r="944" spans="1:15" s="56" customFormat="1" x14ac:dyDescent="0.35">
      <c r="A944" s="2"/>
      <c r="B944" s="68" t="s">
        <v>160</v>
      </c>
      <c r="C944" s="69" t="s">
        <v>1187</v>
      </c>
      <c r="D944" s="69" t="s">
        <v>211</v>
      </c>
      <c r="E944" s="69">
        <v>0</v>
      </c>
      <c r="F944" s="69"/>
      <c r="G944" s="70"/>
      <c r="H944" s="107" t="str">
        <f t="shared" si="5"/>
        <v>t.asset_acco_no as asset_acco_no,/*资产账户编号*/</v>
      </c>
      <c r="I944" s="7"/>
      <c r="J944" s="7"/>
      <c r="K944" s="7"/>
      <c r="L944" s="7"/>
      <c r="M944" s="7"/>
      <c r="N944" s="7"/>
      <c r="O944" s="7"/>
    </row>
    <row r="945" spans="1:15" s="56" customFormat="1" x14ac:dyDescent="0.35">
      <c r="A945" s="2"/>
      <c r="B945" s="66" t="s">
        <v>161</v>
      </c>
      <c r="C945" s="43" t="s">
        <v>1151</v>
      </c>
      <c r="D945" s="43" t="s">
        <v>1169</v>
      </c>
      <c r="E945" s="43">
        <v>0</v>
      </c>
      <c r="F945" s="43"/>
      <c r="G945" s="45" t="s">
        <v>1116</v>
      </c>
      <c r="H945" s="107" t="str">
        <f t="shared" si="5"/>
        <v>t.begin_amt as begin_amt,/*期初金额*/</v>
      </c>
      <c r="I945" s="7"/>
      <c r="J945" s="7"/>
      <c r="K945" s="7"/>
      <c r="L945" s="7"/>
      <c r="M945" s="7"/>
      <c r="N945" s="7"/>
      <c r="O945" s="7"/>
    </row>
    <row r="946" spans="1:15" s="56" customFormat="1" x14ac:dyDescent="0.35">
      <c r="A946" s="2"/>
      <c r="B946" s="66" t="s">
        <v>162</v>
      </c>
      <c r="C946" s="43" t="s">
        <v>1214</v>
      </c>
      <c r="D946" s="43" t="s">
        <v>1169</v>
      </c>
      <c r="E946" s="43">
        <v>0</v>
      </c>
      <c r="F946" s="43"/>
      <c r="G946" s="45"/>
      <c r="H946" s="107" t="str">
        <f t="shared" si="5"/>
        <v>t.posi_market_value as posi_market_value,/*持仓市值*/</v>
      </c>
      <c r="I946" s="7"/>
      <c r="J946" s="7"/>
      <c r="K946" s="7"/>
      <c r="L946" s="7"/>
      <c r="M946" s="7"/>
      <c r="N946" s="7"/>
      <c r="O946" s="7"/>
    </row>
    <row r="947" spans="1:15" s="56" customFormat="1" x14ac:dyDescent="0.35">
      <c r="A947" s="2"/>
      <c r="B947" s="66" t="s">
        <v>163</v>
      </c>
      <c r="C947" s="43" t="s">
        <v>1419</v>
      </c>
      <c r="D947" s="43" t="s">
        <v>1169</v>
      </c>
      <c r="E947" s="43">
        <v>0</v>
      </c>
      <c r="F947" s="43"/>
      <c r="G947" s="45"/>
      <c r="H947" s="107" t="str">
        <f t="shared" si="5"/>
        <v>t.trade_amt as trade_amt,/*交易金额*/</v>
      </c>
      <c r="I947" s="7"/>
      <c r="J947" s="7"/>
      <c r="K947" s="7"/>
      <c r="L947" s="7"/>
      <c r="M947" s="7"/>
      <c r="N947" s="7"/>
      <c r="O947" s="7"/>
    </row>
    <row r="948" spans="1:15" s="56" customFormat="1" x14ac:dyDescent="0.35">
      <c r="A948" s="2"/>
      <c r="B948" s="47" t="s">
        <v>152</v>
      </c>
      <c r="C948" s="48" t="s">
        <v>1378</v>
      </c>
      <c r="D948" s="48" t="s">
        <v>1169</v>
      </c>
      <c r="E948" s="48">
        <v>0</v>
      </c>
      <c r="F948" s="48"/>
      <c r="G948" s="49" t="s">
        <v>1379</v>
      </c>
      <c r="H948" s="107" t="str">
        <f t="shared" si="5"/>
        <v>t.all_fee as all_fee,/*全部费用*/</v>
      </c>
      <c r="I948" s="7"/>
      <c r="J948" s="7"/>
      <c r="K948" s="7"/>
      <c r="L948" s="7"/>
      <c r="M948" s="7"/>
      <c r="N948" s="7"/>
      <c r="O948" s="7"/>
    </row>
    <row r="949" spans="1:15" s="56" customFormat="1" x14ac:dyDescent="0.35">
      <c r="A949" s="2"/>
      <c r="B949" s="66" t="s">
        <v>131</v>
      </c>
      <c r="C949" s="43" t="s">
        <v>1401</v>
      </c>
      <c r="D949" s="43" t="s">
        <v>1169</v>
      </c>
      <c r="E949" s="43">
        <v>0</v>
      </c>
      <c r="F949" s="43"/>
      <c r="G949" s="45"/>
      <c r="H949" s="107" t="str">
        <f t="shared" si="5"/>
        <v>t.close_posi_market_value as close_posi_market_value,/*平仓市值*/</v>
      </c>
      <c r="I949" s="7"/>
      <c r="J949" s="7"/>
      <c r="K949" s="7"/>
      <c r="L949" s="7"/>
      <c r="M949" s="7"/>
      <c r="N949" s="7"/>
      <c r="O949" s="7"/>
    </row>
    <row r="950" spans="1:15" s="56" customFormat="1" x14ac:dyDescent="0.35">
      <c r="A950" s="2"/>
      <c r="B950" s="66" t="s">
        <v>157</v>
      </c>
      <c r="C950" s="43" t="s">
        <v>1143</v>
      </c>
      <c r="D950" s="43" t="s">
        <v>1169</v>
      </c>
      <c r="E950" s="43">
        <v>0</v>
      </c>
      <c r="F950" s="43"/>
      <c r="G950" s="45"/>
      <c r="H950" s="107" t="str">
        <f t="shared" si="5"/>
        <v>t.realize_pandl as realize_pandl,/*实现盈亏*/</v>
      </c>
      <c r="I950" s="7"/>
      <c r="J950" s="7"/>
      <c r="K950" s="7"/>
      <c r="L950" s="7"/>
      <c r="M950" s="7"/>
      <c r="N950" s="7"/>
      <c r="O950" s="7"/>
    </row>
    <row r="951" spans="1:15" s="56" customFormat="1" x14ac:dyDescent="0.35">
      <c r="A951" s="2"/>
      <c r="B951" s="105" t="s">
        <v>280</v>
      </c>
      <c r="C951" s="109" t="s">
        <v>1573</v>
      </c>
      <c r="D951" s="109" t="s">
        <v>1087</v>
      </c>
      <c r="E951" s="109">
        <v>0</v>
      </c>
      <c r="F951" s="109"/>
      <c r="G951" s="110"/>
      <c r="H951" s="107" t="str">
        <f t="shared" si="5"/>
        <v>t.buy_qty as buy_qty,/*买入数量*/</v>
      </c>
      <c r="I951" s="7"/>
      <c r="J951" s="7"/>
      <c r="K951" s="7"/>
      <c r="L951" s="7"/>
      <c r="M951" s="7"/>
      <c r="N951" s="7"/>
      <c r="O951" s="7"/>
    </row>
    <row r="952" spans="1:15" s="56" customFormat="1" x14ac:dyDescent="0.35">
      <c r="A952" s="2"/>
      <c r="B952" s="105" t="s">
        <v>281</v>
      </c>
      <c r="C952" s="109" t="s">
        <v>1420</v>
      </c>
      <c r="D952" s="109" t="s">
        <v>1087</v>
      </c>
      <c r="E952" s="109">
        <v>0</v>
      </c>
      <c r="F952" s="109"/>
      <c r="G952" s="110"/>
      <c r="H952" s="107" t="str">
        <f t="shared" si="5"/>
        <v>t.sell_qty as sell_qty,/*卖出数量*/</v>
      </c>
      <c r="I952" s="7"/>
      <c r="J952" s="7"/>
      <c r="K952" s="7"/>
      <c r="L952" s="7"/>
      <c r="M952" s="7"/>
      <c r="N952" s="7"/>
      <c r="O952" s="7"/>
    </row>
    <row r="953" spans="1:15" s="56" customFormat="1" x14ac:dyDescent="0.35">
      <c r="A953" s="2"/>
      <c r="B953" s="105" t="s">
        <v>282</v>
      </c>
      <c r="C953" s="109" t="s">
        <v>1574</v>
      </c>
      <c r="D953" s="109" t="s">
        <v>1169</v>
      </c>
      <c r="E953" s="109">
        <v>0</v>
      </c>
      <c r="F953" s="109"/>
      <c r="G953" s="110"/>
      <c r="H953" s="107" t="str">
        <f t="shared" si="5"/>
        <v>t.buy_amt as buy_amt,/*买入金额*/</v>
      </c>
      <c r="I953" s="7"/>
      <c r="J953" s="7"/>
      <c r="K953" s="7"/>
      <c r="L953" s="7"/>
      <c r="M953" s="7"/>
      <c r="N953" s="7"/>
      <c r="O953" s="7"/>
    </row>
    <row r="954" spans="1:15" s="56" customFormat="1" x14ac:dyDescent="0.35">
      <c r="A954" s="2"/>
      <c r="B954" s="105" t="s">
        <v>706</v>
      </c>
      <c r="C954" s="109" t="s">
        <v>1421</v>
      </c>
      <c r="D954" s="109" t="s">
        <v>1169</v>
      </c>
      <c r="E954" s="109">
        <v>0</v>
      </c>
      <c r="F954" s="109"/>
      <c r="G954" s="110"/>
      <c r="H954" s="107" t="str">
        <f t="shared" si="5"/>
        <v>t.sell_amt as sell_amt,/*销售金额*/</v>
      </c>
      <c r="I954" s="7"/>
      <c r="J954" s="7"/>
      <c r="K954" s="7"/>
      <c r="L954" s="7"/>
      <c r="M954" s="7"/>
      <c r="N954" s="7"/>
      <c r="O954" s="7"/>
    </row>
    <row r="955" spans="1:15" s="56" customFormat="1" ht="18" thickBot="1" x14ac:dyDescent="0.4">
      <c r="A955" s="2"/>
      <c r="B955" s="66"/>
      <c r="C955" s="43"/>
      <c r="D955" s="43"/>
      <c r="E955" s="43"/>
      <c r="F955" s="43"/>
      <c r="G955" s="45"/>
      <c r="H955" s="7"/>
      <c r="I955" s="7"/>
      <c r="J955" s="7"/>
      <c r="K955" s="7"/>
      <c r="L955" s="7"/>
      <c r="M955" s="7"/>
      <c r="N955" s="7"/>
      <c r="O955" s="7"/>
    </row>
    <row r="956" spans="1:15" s="56" customFormat="1" x14ac:dyDescent="0.35">
      <c r="A956" s="2"/>
      <c r="B956" s="340" t="s">
        <v>15</v>
      </c>
      <c r="C956" s="341"/>
      <c r="D956" s="341"/>
      <c r="E956" s="341"/>
      <c r="F956" s="341"/>
      <c r="G956" s="342"/>
      <c r="H956" s="7"/>
      <c r="I956" s="7"/>
      <c r="J956" s="7"/>
      <c r="K956" s="7"/>
      <c r="L956" s="7"/>
      <c r="M956" s="7"/>
      <c r="N956" s="7"/>
      <c r="O956" s="7"/>
    </row>
    <row r="957" spans="1:15" s="56" customFormat="1" x14ac:dyDescent="0.35">
      <c r="A957" s="2"/>
      <c r="B957" s="47">
        <v>1</v>
      </c>
      <c r="C957" s="48" t="s">
        <v>22</v>
      </c>
      <c r="D957" s="48" t="s">
        <v>160</v>
      </c>
      <c r="E957" s="48"/>
      <c r="F957" s="48"/>
      <c r="G957" s="49"/>
      <c r="H957" s="7"/>
      <c r="I957" s="7"/>
      <c r="J957" s="7"/>
      <c r="K957" s="7"/>
      <c r="L957" s="7"/>
      <c r="M957" s="7"/>
      <c r="N957" s="7"/>
      <c r="O957" s="7"/>
    </row>
    <row r="958" spans="1:15" s="56" customFormat="1" x14ac:dyDescent="0.35">
      <c r="A958" s="2"/>
      <c r="B958" s="47">
        <v>2</v>
      </c>
      <c r="C958" s="48" t="s">
        <v>22</v>
      </c>
      <c r="D958" s="48" t="s">
        <v>16</v>
      </c>
      <c r="E958" s="61" t="s">
        <v>111</v>
      </c>
      <c r="F958" s="61" t="s">
        <v>154</v>
      </c>
      <c r="G958" s="68" t="s">
        <v>113</v>
      </c>
      <c r="H958" s="7"/>
      <c r="I958" s="7"/>
      <c r="J958" s="7"/>
      <c r="K958" s="7"/>
      <c r="L958" s="7"/>
      <c r="M958" s="7"/>
      <c r="N958" s="7"/>
      <c r="O958" s="7"/>
    </row>
    <row r="959" spans="1:15" s="56" customFormat="1" ht="18" thickBot="1" x14ac:dyDescent="0.4">
      <c r="A959" s="2"/>
      <c r="B959" s="53"/>
      <c r="C959" s="54"/>
      <c r="D959" s="54"/>
      <c r="E959" s="54"/>
      <c r="F959" s="54"/>
      <c r="G959" s="55"/>
      <c r="H959" s="7"/>
      <c r="I959" s="7"/>
      <c r="J959" s="7"/>
      <c r="K959" s="7"/>
      <c r="L959" s="7"/>
      <c r="M959" s="7"/>
      <c r="N959" s="7"/>
      <c r="O959" s="7"/>
    </row>
    <row r="961" spans="1:7" ht="18" thickBot="1" x14ac:dyDescent="0.2"/>
    <row r="962" spans="1:7" s="7" customFormat="1" x14ac:dyDescent="0.15">
      <c r="A962" s="2"/>
      <c r="B962" s="3" t="s">
        <v>563</v>
      </c>
      <c r="C962" s="146" t="s">
        <v>640</v>
      </c>
      <c r="D962" s="146" t="s">
        <v>515</v>
      </c>
      <c r="E962" s="146" t="s">
        <v>600</v>
      </c>
      <c r="F962" s="5" t="s">
        <v>567</v>
      </c>
      <c r="G962" s="6" t="s">
        <v>560</v>
      </c>
    </row>
    <row r="963" spans="1:7" s="7" customFormat="1" ht="15.75" customHeight="1" thickBot="1" x14ac:dyDescent="0.2">
      <c r="A963" s="2"/>
      <c r="B963" s="8" t="s">
        <v>570</v>
      </c>
      <c r="C963" s="9"/>
      <c r="D963" s="10" t="s">
        <v>568</v>
      </c>
      <c r="E963" s="9" t="s">
        <v>615</v>
      </c>
      <c r="F963" s="10"/>
      <c r="G963" s="11"/>
    </row>
    <row r="964" spans="1:7" s="7" customFormat="1" ht="15" customHeight="1" x14ac:dyDescent="0.15">
      <c r="A964" s="2"/>
      <c r="B964" s="12" t="s">
        <v>0</v>
      </c>
      <c r="C964" s="13" t="s">
        <v>1</v>
      </c>
      <c r="D964" s="13" t="s">
        <v>2</v>
      </c>
      <c r="E964" s="13"/>
      <c r="F964" s="13" t="s">
        <v>3</v>
      </c>
      <c r="G964" s="13" t="s">
        <v>4</v>
      </c>
    </row>
    <row r="965" spans="1:7" s="7" customFormat="1" ht="15" customHeight="1" x14ac:dyDescent="0.15">
      <c r="A965" s="2"/>
      <c r="B965" s="14" t="s">
        <v>111</v>
      </c>
      <c r="C965" s="15" t="s">
        <v>1164</v>
      </c>
      <c r="D965" s="15" t="s">
        <v>211</v>
      </c>
      <c r="E965" s="15">
        <v>0</v>
      </c>
      <c r="F965" s="15"/>
      <c r="G965" s="16" t="s">
        <v>1165</v>
      </c>
    </row>
    <row r="966" spans="1:7" s="7" customFormat="1" ht="15" customHeight="1" x14ac:dyDescent="0.15">
      <c r="A966" s="2"/>
      <c r="B966" s="14" t="s">
        <v>6</v>
      </c>
      <c r="C966" s="15" t="s">
        <v>1163</v>
      </c>
      <c r="D966" s="15" t="s">
        <v>211</v>
      </c>
      <c r="E966" s="15">
        <v>0</v>
      </c>
      <c r="F966" s="15"/>
      <c r="G966" s="16" t="s">
        <v>1077</v>
      </c>
    </row>
    <row r="967" spans="1:7" s="7" customFormat="1" ht="15" customHeight="1" x14ac:dyDescent="0.15">
      <c r="A967" s="2"/>
      <c r="B967" s="31" t="s">
        <v>187</v>
      </c>
      <c r="C967" s="15" t="s">
        <v>1422</v>
      </c>
      <c r="D967" s="15" t="s">
        <v>1287</v>
      </c>
      <c r="E967" s="15" t="s">
        <v>1072</v>
      </c>
      <c r="F967" s="15"/>
      <c r="G967" s="16" t="s">
        <v>1288</v>
      </c>
    </row>
    <row r="968" spans="1:7" s="7" customFormat="1" ht="15" customHeight="1" x14ac:dyDescent="0.15">
      <c r="A968" s="2"/>
      <c r="B968" s="32" t="s">
        <v>63</v>
      </c>
      <c r="C968" s="15" t="s">
        <v>1289</v>
      </c>
      <c r="D968" s="15" t="s">
        <v>1073</v>
      </c>
      <c r="E968" s="15" t="s">
        <v>1072</v>
      </c>
      <c r="F968" s="15"/>
      <c r="G968" s="16" t="s">
        <v>1290</v>
      </c>
    </row>
    <row r="969" spans="1:7" s="7" customFormat="1" ht="15" customHeight="1" x14ac:dyDescent="0.15">
      <c r="A969" s="2"/>
      <c r="B969" s="32" t="s">
        <v>64</v>
      </c>
      <c r="C969" s="15" t="s">
        <v>1548</v>
      </c>
      <c r="D969" s="15" t="s">
        <v>1092</v>
      </c>
      <c r="E969" s="15" t="s">
        <v>1072</v>
      </c>
      <c r="F969" s="15"/>
      <c r="G969" s="16"/>
    </row>
    <row r="970" spans="1:7" s="7" customFormat="1" ht="15" customHeight="1" x14ac:dyDescent="0.15">
      <c r="A970" s="2"/>
      <c r="B970" s="33" t="s">
        <v>188</v>
      </c>
      <c r="C970" s="18" t="s">
        <v>1292</v>
      </c>
      <c r="D970" s="18" t="s">
        <v>1287</v>
      </c>
      <c r="E970" s="18" t="s">
        <v>1072</v>
      </c>
      <c r="F970" s="18"/>
      <c r="G970" s="19"/>
    </row>
    <row r="971" spans="1:7" s="7" customFormat="1" ht="15" customHeight="1" x14ac:dyDescent="0.15">
      <c r="A971" s="2"/>
      <c r="B971" s="32" t="s">
        <v>65</v>
      </c>
      <c r="C971" s="18" t="s">
        <v>1291</v>
      </c>
      <c r="D971" s="18" t="s">
        <v>211</v>
      </c>
      <c r="E971" s="18" t="s">
        <v>1141</v>
      </c>
      <c r="F971" s="18"/>
      <c r="G971" s="19"/>
    </row>
    <row r="972" spans="1:7" s="7" customFormat="1" ht="15" customHeight="1" x14ac:dyDescent="0.15">
      <c r="A972" s="2"/>
      <c r="B972" s="32" t="s">
        <v>66</v>
      </c>
      <c r="C972" s="18" t="s">
        <v>1293</v>
      </c>
      <c r="D972" s="18" t="s">
        <v>211</v>
      </c>
      <c r="E972" s="18">
        <v>0</v>
      </c>
      <c r="F972" s="18"/>
      <c r="G972" s="19"/>
    </row>
    <row r="973" spans="1:7" s="7" customFormat="1" ht="15" customHeight="1" x14ac:dyDescent="0.15">
      <c r="A973" s="2"/>
      <c r="B973" s="32" t="s">
        <v>70</v>
      </c>
      <c r="C973" s="21" t="s">
        <v>1294</v>
      </c>
      <c r="D973" s="21" t="s">
        <v>1131</v>
      </c>
      <c r="E973" s="21" t="s">
        <v>1074</v>
      </c>
      <c r="F973" s="21"/>
      <c r="G973" s="22" t="s">
        <v>1295</v>
      </c>
    </row>
    <row r="974" spans="1:7" s="7" customFormat="1" ht="15" customHeight="1" x14ac:dyDescent="0.15">
      <c r="A974" s="2"/>
      <c r="B974" s="32" t="s">
        <v>23</v>
      </c>
      <c r="C974" s="21" t="s">
        <v>1091</v>
      </c>
      <c r="D974" s="21" t="s">
        <v>1131</v>
      </c>
      <c r="E974" s="21" t="s">
        <v>1074</v>
      </c>
      <c r="F974" s="21"/>
      <c r="G974" s="22"/>
    </row>
    <row r="975" spans="1:7" s="7" customFormat="1" ht="15" customHeight="1" x14ac:dyDescent="0.15">
      <c r="A975" s="2"/>
      <c r="B975" s="32" t="s">
        <v>189</v>
      </c>
      <c r="C975" s="18" t="s">
        <v>1296</v>
      </c>
      <c r="D975" s="18" t="s">
        <v>1169</v>
      </c>
      <c r="E975" s="18">
        <v>0</v>
      </c>
      <c r="F975" s="18"/>
      <c r="G975" s="19"/>
    </row>
    <row r="976" spans="1:7" s="7" customFormat="1" ht="15" customHeight="1" x14ac:dyDescent="0.15">
      <c r="A976" s="2"/>
      <c r="B976" s="32" t="s">
        <v>68</v>
      </c>
      <c r="C976" s="21" t="s">
        <v>1297</v>
      </c>
      <c r="D976" s="21" t="s">
        <v>1169</v>
      </c>
      <c r="E976" s="21">
        <v>0</v>
      </c>
      <c r="F976" s="21"/>
      <c r="G976" s="22" t="s">
        <v>1298</v>
      </c>
    </row>
    <row r="977" spans="1:7" s="7" customFormat="1" ht="15" customHeight="1" x14ac:dyDescent="0.15">
      <c r="A977" s="2"/>
      <c r="B977" s="159" t="s">
        <v>69</v>
      </c>
      <c r="C977" s="160" t="s">
        <v>1126</v>
      </c>
      <c r="D977" s="160" t="s">
        <v>1087</v>
      </c>
      <c r="E977" s="160">
        <v>0</v>
      </c>
      <c r="F977" s="160"/>
      <c r="G977" s="161"/>
    </row>
    <row r="978" spans="1:7" s="7" customFormat="1" ht="15" customHeight="1" x14ac:dyDescent="0.15">
      <c r="A978" s="2"/>
      <c r="B978" s="17" t="s">
        <v>190</v>
      </c>
      <c r="C978" s="18" t="s">
        <v>1166</v>
      </c>
      <c r="D978" s="18" t="s">
        <v>1087</v>
      </c>
      <c r="E978" s="18">
        <v>0</v>
      </c>
      <c r="F978" s="18"/>
      <c r="G978" s="19"/>
    </row>
    <row r="979" spans="1:7" s="7" customFormat="1" ht="15" customHeight="1" x14ac:dyDescent="0.15">
      <c r="A979" s="2"/>
      <c r="B979" s="163" t="s">
        <v>191</v>
      </c>
      <c r="C979" s="164" t="s">
        <v>1167</v>
      </c>
      <c r="D979" s="164" t="s">
        <v>1087</v>
      </c>
      <c r="E979" s="164">
        <v>0</v>
      </c>
      <c r="F979" s="164"/>
      <c r="G979" s="107"/>
    </row>
    <row r="980" spans="1:7" s="7" customFormat="1" ht="15" customHeight="1" x14ac:dyDescent="0.15">
      <c r="A980" s="2"/>
      <c r="B980" s="163" t="s">
        <v>192</v>
      </c>
      <c r="C980" s="164" t="s">
        <v>1299</v>
      </c>
      <c r="D980" s="164" t="s">
        <v>1169</v>
      </c>
      <c r="E980" s="164">
        <v>0</v>
      </c>
      <c r="F980" s="164"/>
      <c r="G980" s="107"/>
    </row>
    <row r="981" spans="1:7" s="7" customFormat="1" ht="15" customHeight="1" x14ac:dyDescent="0.15">
      <c r="A981" s="2"/>
      <c r="B981" s="153" t="s">
        <v>193</v>
      </c>
      <c r="C981" s="154" t="s">
        <v>1171</v>
      </c>
      <c r="D981" s="154" t="s">
        <v>1169</v>
      </c>
      <c r="E981" s="154">
        <v>0</v>
      </c>
      <c r="F981" s="154"/>
      <c r="G981" s="155"/>
    </row>
    <row r="982" spans="1:7" s="7" customFormat="1" ht="15" customHeight="1" x14ac:dyDescent="0.15">
      <c r="A982" s="2"/>
      <c r="B982" s="32" t="s">
        <v>72</v>
      </c>
      <c r="C982" s="18" t="s">
        <v>1300</v>
      </c>
      <c r="D982" s="18" t="s">
        <v>1092</v>
      </c>
      <c r="E982" s="18" t="s">
        <v>1072</v>
      </c>
      <c r="F982" s="18"/>
      <c r="G982" s="19"/>
    </row>
    <row r="983" spans="1:7" s="7" customFormat="1" ht="15" customHeight="1" x14ac:dyDescent="0.15">
      <c r="A983" s="2"/>
      <c r="B983" s="32" t="s">
        <v>73</v>
      </c>
      <c r="C983" s="18" t="s">
        <v>1549</v>
      </c>
      <c r="D983" s="18" t="s">
        <v>1301</v>
      </c>
      <c r="E983" s="18" t="s">
        <v>1072</v>
      </c>
      <c r="F983" s="18"/>
      <c r="G983" s="19"/>
    </row>
    <row r="984" spans="1:7" s="7" customFormat="1" ht="15" customHeight="1" x14ac:dyDescent="0.15">
      <c r="A984" s="2"/>
      <c r="B984" s="32" t="s">
        <v>74</v>
      </c>
      <c r="C984" s="18" t="s">
        <v>1550</v>
      </c>
      <c r="D984" s="18" t="s">
        <v>1073</v>
      </c>
      <c r="E984" s="18" t="s">
        <v>1072</v>
      </c>
      <c r="F984" s="18"/>
      <c r="G984" s="19"/>
    </row>
    <row r="985" spans="1:7" s="7" customFormat="1" ht="15" customHeight="1" x14ac:dyDescent="0.15">
      <c r="A985" s="2"/>
      <c r="B985" s="32" t="s">
        <v>67</v>
      </c>
      <c r="C985" s="18" t="s">
        <v>1406</v>
      </c>
      <c r="D985" s="18" t="s">
        <v>1092</v>
      </c>
      <c r="E985" s="18" t="s">
        <v>1072</v>
      </c>
      <c r="F985" s="18"/>
      <c r="G985" s="19" t="s">
        <v>1304</v>
      </c>
    </row>
    <row r="986" spans="1:7" s="7" customFormat="1" ht="15.75" customHeight="1" thickBot="1" x14ac:dyDescent="0.2">
      <c r="A986" s="2"/>
      <c r="B986" s="17"/>
      <c r="C986" s="18"/>
      <c r="D986" s="18"/>
      <c r="E986" s="18"/>
      <c r="F986" s="18"/>
      <c r="G986" s="19"/>
    </row>
    <row r="987" spans="1:7" s="7" customFormat="1" ht="15" customHeight="1" x14ac:dyDescent="0.15">
      <c r="A987" s="2"/>
      <c r="B987" s="327" t="s">
        <v>15</v>
      </c>
      <c r="C987" s="328"/>
      <c r="D987" s="328"/>
      <c r="E987" s="328"/>
      <c r="F987" s="328"/>
      <c r="G987" s="329"/>
    </row>
    <row r="988" spans="1:7" s="7" customFormat="1" ht="15" customHeight="1" x14ac:dyDescent="0.15">
      <c r="A988" s="2" t="s">
        <v>62</v>
      </c>
      <c r="B988" s="20">
        <v>1</v>
      </c>
      <c r="C988" s="21" t="s">
        <v>109</v>
      </c>
      <c r="D988" s="21" t="s">
        <v>17</v>
      </c>
      <c r="E988" s="21"/>
      <c r="F988" s="21"/>
      <c r="G988" s="22"/>
    </row>
    <row r="989" spans="1:7" s="7" customFormat="1" ht="15" customHeight="1" x14ac:dyDescent="0.15">
      <c r="A989" s="2"/>
      <c r="B989" s="17">
        <v>2</v>
      </c>
      <c r="C989" s="18" t="s">
        <v>111</v>
      </c>
      <c r="D989" s="18"/>
      <c r="E989" s="18"/>
      <c r="F989" s="18"/>
      <c r="G989" s="19"/>
    </row>
    <row r="990" spans="1:7" s="7" customFormat="1" ht="15.75" customHeight="1" thickBot="1" x14ac:dyDescent="0.2">
      <c r="A990" s="2"/>
      <c r="B990" s="24"/>
      <c r="C990" s="9"/>
      <c r="D990" s="9"/>
      <c r="E990" s="9"/>
      <c r="F990" s="9"/>
      <c r="G990" s="11"/>
    </row>
    <row r="991" spans="1:7" ht="18" thickBot="1" x14ac:dyDescent="0.2"/>
    <row r="992" spans="1:7" s="7" customFormat="1" x14ac:dyDescent="0.15">
      <c r="B992" s="3" t="s">
        <v>563</v>
      </c>
      <c r="C992" s="146" t="s">
        <v>632</v>
      </c>
      <c r="D992" s="146" t="s">
        <v>515</v>
      </c>
      <c r="E992" s="21" t="s">
        <v>1021</v>
      </c>
      <c r="F992" s="5" t="s">
        <v>567</v>
      </c>
      <c r="G992" s="6"/>
    </row>
    <row r="993" spans="1:7" s="7" customFormat="1" ht="18" thickBot="1" x14ac:dyDescent="0.2">
      <c r="B993" s="34" t="s">
        <v>570</v>
      </c>
      <c r="C993" s="18"/>
      <c r="D993" s="35" t="s">
        <v>568</v>
      </c>
      <c r="E993" s="18" t="s">
        <v>615</v>
      </c>
      <c r="F993" s="35"/>
      <c r="G993" s="19"/>
    </row>
    <row r="994" spans="1:7" s="7" customFormat="1" x14ac:dyDescent="0.15">
      <c r="B994" s="3" t="s">
        <v>0</v>
      </c>
      <c r="C994" s="5" t="s">
        <v>1</v>
      </c>
      <c r="D994" s="5" t="s">
        <v>2</v>
      </c>
      <c r="E994" s="5"/>
      <c r="F994" s="5" t="s">
        <v>3</v>
      </c>
      <c r="G994" s="36" t="s">
        <v>4</v>
      </c>
    </row>
    <row r="995" spans="1:7" s="7" customFormat="1" x14ac:dyDescent="0.15">
      <c r="B995" s="20" t="s">
        <v>123</v>
      </c>
      <c r="C995" s="21" t="s">
        <v>1133</v>
      </c>
      <c r="D995" s="21" t="s">
        <v>211</v>
      </c>
      <c r="E995" s="21">
        <v>0</v>
      </c>
      <c r="F995" s="21"/>
      <c r="G995" s="22" t="s">
        <v>1182</v>
      </c>
    </row>
    <row r="996" spans="1:7" s="7" customFormat="1" x14ac:dyDescent="0.15">
      <c r="B996" s="20" t="s">
        <v>6</v>
      </c>
      <c r="C996" s="21" t="s">
        <v>1163</v>
      </c>
      <c r="D996" s="21" t="s">
        <v>211</v>
      </c>
      <c r="E996" s="21">
        <v>0</v>
      </c>
      <c r="F996" s="21"/>
      <c r="G996" s="22" t="s">
        <v>1077</v>
      </c>
    </row>
    <row r="997" spans="1:7" s="7" customFormat="1" x14ac:dyDescent="0.15">
      <c r="B997" s="33" t="s">
        <v>164</v>
      </c>
      <c r="C997" s="21" t="s">
        <v>1423</v>
      </c>
      <c r="D997" s="21" t="s">
        <v>1287</v>
      </c>
      <c r="E997" s="21" t="s">
        <v>1072</v>
      </c>
      <c r="F997" s="21"/>
      <c r="G997" s="22" t="s">
        <v>1424</v>
      </c>
    </row>
    <row r="998" spans="1:7" s="7" customFormat="1" x14ac:dyDescent="0.15">
      <c r="B998" s="33" t="s">
        <v>165</v>
      </c>
      <c r="C998" s="21" t="s">
        <v>1425</v>
      </c>
      <c r="D998" s="21" t="s">
        <v>1073</v>
      </c>
      <c r="E998" s="21" t="s">
        <v>1072</v>
      </c>
      <c r="F998" s="21"/>
      <c r="G998" s="22"/>
    </row>
    <row r="999" spans="1:7" s="7" customFormat="1" x14ac:dyDescent="0.15">
      <c r="B999" s="33" t="s">
        <v>166</v>
      </c>
      <c r="C999" s="21" t="s">
        <v>1426</v>
      </c>
      <c r="D999" s="21" t="s">
        <v>1403</v>
      </c>
      <c r="E999" s="21" t="s">
        <v>1303</v>
      </c>
      <c r="F999" s="21"/>
      <c r="G999" s="22"/>
    </row>
    <row r="1000" spans="1:7" s="7" customFormat="1" x14ac:dyDescent="0.15">
      <c r="B1000" s="33" t="s">
        <v>167</v>
      </c>
      <c r="C1000" s="21" t="s">
        <v>1427</v>
      </c>
      <c r="D1000" s="21" t="s">
        <v>211</v>
      </c>
      <c r="E1000" s="21">
        <v>0</v>
      </c>
      <c r="F1000" s="21"/>
      <c r="G1000" s="22"/>
    </row>
    <row r="1001" spans="1:7" s="7" customFormat="1" x14ac:dyDescent="0.15">
      <c r="B1001" s="33" t="s">
        <v>111</v>
      </c>
      <c r="C1001" s="21" t="s">
        <v>1164</v>
      </c>
      <c r="D1001" s="21" t="s">
        <v>211</v>
      </c>
      <c r="E1001" s="21">
        <v>0</v>
      </c>
      <c r="F1001" s="21"/>
      <c r="G1001" s="22" t="s">
        <v>1165</v>
      </c>
    </row>
    <row r="1002" spans="1:7" s="7" customFormat="1" ht="15" customHeight="1" x14ac:dyDescent="0.15">
      <c r="A1002" s="2"/>
      <c r="B1002" s="32" t="s">
        <v>189</v>
      </c>
      <c r="C1002" s="18" t="s">
        <v>1296</v>
      </c>
      <c r="D1002" s="18" t="s">
        <v>1169</v>
      </c>
      <c r="E1002" s="18">
        <v>0</v>
      </c>
      <c r="F1002" s="18"/>
      <c r="G1002" s="19"/>
    </row>
    <row r="1003" spans="1:7" s="7" customFormat="1" x14ac:dyDescent="0.15">
      <c r="B1003" s="33" t="s">
        <v>168</v>
      </c>
      <c r="C1003" s="21" t="s">
        <v>1428</v>
      </c>
      <c r="D1003" s="21" t="s">
        <v>1169</v>
      </c>
      <c r="E1003" s="21">
        <v>0</v>
      </c>
      <c r="F1003" s="21"/>
      <c r="G1003" s="22"/>
    </row>
    <row r="1004" spans="1:7" s="7" customFormat="1" x14ac:dyDescent="0.15">
      <c r="B1004" s="33" t="s">
        <v>169</v>
      </c>
      <c r="C1004" s="21" t="s">
        <v>1435</v>
      </c>
      <c r="D1004" s="21" t="s">
        <v>1087</v>
      </c>
      <c r="E1004" s="21">
        <v>0</v>
      </c>
      <c r="F1004" s="21"/>
      <c r="G1004" s="22"/>
    </row>
    <row r="1005" spans="1:7" s="7" customFormat="1" ht="15" customHeight="1" x14ac:dyDescent="0.15">
      <c r="A1005" s="2"/>
      <c r="B1005" s="17" t="s">
        <v>455</v>
      </c>
      <c r="C1005" s="18" t="s">
        <v>1429</v>
      </c>
      <c r="D1005" s="18" t="s">
        <v>1087</v>
      </c>
      <c r="E1005" s="18">
        <v>0</v>
      </c>
      <c r="F1005" s="18"/>
      <c r="G1005" s="19"/>
    </row>
    <row r="1006" spans="1:7" s="7" customFormat="1" ht="15" customHeight="1" x14ac:dyDescent="0.15">
      <c r="A1006" s="2"/>
      <c r="B1006" s="20" t="s">
        <v>193</v>
      </c>
      <c r="C1006" s="21" t="s">
        <v>1171</v>
      </c>
      <c r="D1006" s="21" t="s">
        <v>1169</v>
      </c>
      <c r="E1006" s="21">
        <v>0</v>
      </c>
      <c r="F1006" s="21"/>
      <c r="G1006" s="22"/>
    </row>
    <row r="1007" spans="1:7" s="7" customFormat="1" x14ac:dyDescent="0.15">
      <c r="B1007" s="31" t="s">
        <v>170</v>
      </c>
      <c r="C1007" s="21" t="s">
        <v>1430</v>
      </c>
      <c r="D1007" s="21" t="s">
        <v>1073</v>
      </c>
      <c r="E1007" s="21" t="s">
        <v>1072</v>
      </c>
      <c r="F1007" s="21"/>
      <c r="G1007" s="22"/>
    </row>
    <row r="1008" spans="1:7" s="7" customFormat="1" x14ac:dyDescent="0.15">
      <c r="B1008" s="31" t="s">
        <v>71</v>
      </c>
      <c r="C1008" s="21" t="s">
        <v>1431</v>
      </c>
      <c r="D1008" s="21" t="s">
        <v>1432</v>
      </c>
      <c r="E1008" s="21" t="s">
        <v>1072</v>
      </c>
      <c r="F1008" s="21"/>
      <c r="G1008" s="22"/>
    </row>
    <row r="1009" spans="1:7" s="7" customFormat="1" x14ac:dyDescent="0.15">
      <c r="B1009" s="20" t="s">
        <v>171</v>
      </c>
      <c r="C1009" s="29" t="s">
        <v>1433</v>
      </c>
      <c r="D1009" s="21" t="s">
        <v>1073</v>
      </c>
      <c r="E1009" s="21" t="s">
        <v>1072</v>
      </c>
      <c r="F1009" s="21"/>
      <c r="G1009" s="22" t="s">
        <v>1434</v>
      </c>
    </row>
    <row r="1010" spans="1:7" s="7" customFormat="1" x14ac:dyDescent="0.15">
      <c r="B1010" s="20" t="s">
        <v>172</v>
      </c>
      <c r="C1010" s="21" t="s">
        <v>1121</v>
      </c>
      <c r="D1010" s="21" t="s">
        <v>1172</v>
      </c>
      <c r="E1010" s="21">
        <v>0</v>
      </c>
      <c r="F1010" s="21"/>
      <c r="G1010" s="22"/>
    </row>
    <row r="1011" spans="1:7" s="7" customFormat="1" x14ac:dyDescent="0.15">
      <c r="B1011" s="33" t="s">
        <v>67</v>
      </c>
      <c r="C1011" s="21" t="s">
        <v>1406</v>
      </c>
      <c r="D1011" s="21" t="s">
        <v>1092</v>
      </c>
      <c r="E1011" s="21" t="s">
        <v>1072</v>
      </c>
      <c r="F1011" s="21"/>
      <c r="G1011" s="22" t="s">
        <v>1304</v>
      </c>
    </row>
    <row r="1012" spans="1:7" s="7" customFormat="1" ht="18" thickBot="1" x14ac:dyDescent="0.2">
      <c r="B1012" s="24"/>
      <c r="C1012" s="9"/>
      <c r="D1012" s="9"/>
      <c r="E1012" s="9"/>
      <c r="F1012" s="9"/>
      <c r="G1012" s="11"/>
    </row>
    <row r="1013" spans="1:7" s="7" customFormat="1" x14ac:dyDescent="0.15">
      <c r="B1013" s="327" t="s">
        <v>15</v>
      </c>
      <c r="C1013" s="328"/>
      <c r="D1013" s="328"/>
      <c r="E1013" s="328"/>
      <c r="F1013" s="328"/>
      <c r="G1013" s="329"/>
    </row>
    <row r="1014" spans="1:7" s="7" customFormat="1" x14ac:dyDescent="0.15">
      <c r="A1014" s="7" t="s">
        <v>62</v>
      </c>
      <c r="B1014" s="20">
        <v>1</v>
      </c>
      <c r="C1014" s="21" t="s">
        <v>109</v>
      </c>
      <c r="D1014" s="21" t="s">
        <v>164</v>
      </c>
      <c r="E1014" s="21"/>
      <c r="F1014" s="21"/>
      <c r="G1014" s="22"/>
    </row>
    <row r="1015" spans="1:7" s="7" customFormat="1" x14ac:dyDescent="0.15">
      <c r="B1015" s="20">
        <v>2</v>
      </c>
      <c r="C1015" s="21" t="s">
        <v>123</v>
      </c>
      <c r="D1015" s="21"/>
      <c r="E1015" s="21"/>
      <c r="F1015" s="21"/>
      <c r="G1015" s="22"/>
    </row>
    <row r="1016" spans="1:7" s="7" customFormat="1" x14ac:dyDescent="0.15">
      <c r="B1016" s="20">
        <v>3</v>
      </c>
      <c r="C1016" s="21" t="s">
        <v>111</v>
      </c>
      <c r="D1016" s="21"/>
      <c r="E1016" s="21"/>
      <c r="F1016" s="21"/>
      <c r="G1016" s="22"/>
    </row>
    <row r="1017" spans="1:7" s="7" customFormat="1" ht="18" thickBot="1" x14ac:dyDescent="0.2">
      <c r="B1017" s="24"/>
      <c r="C1017" s="9"/>
      <c r="D1017" s="9"/>
      <c r="E1017" s="9"/>
      <c r="F1017" s="9"/>
      <c r="G1017" s="11"/>
    </row>
    <row r="1018" spans="1:7" ht="18" thickBot="1" x14ac:dyDescent="0.2"/>
    <row r="1019" spans="1:7" s="7" customFormat="1" x14ac:dyDescent="0.15">
      <c r="B1019" s="3" t="s">
        <v>563</v>
      </c>
      <c r="C1019" s="4" t="s">
        <v>633</v>
      </c>
      <c r="D1019" s="5" t="s">
        <v>515</v>
      </c>
      <c r="E1019" s="21" t="s">
        <v>601</v>
      </c>
      <c r="F1019" s="5" t="s">
        <v>567</v>
      </c>
      <c r="G1019" s="6"/>
    </row>
    <row r="1020" spans="1:7" s="7" customFormat="1" ht="18" thickBot="1" x14ac:dyDescent="0.2">
      <c r="B1020" s="34" t="s">
        <v>570</v>
      </c>
      <c r="C1020" s="18"/>
      <c r="D1020" s="35" t="s">
        <v>568</v>
      </c>
      <c r="E1020" s="18" t="s">
        <v>615</v>
      </c>
      <c r="F1020" s="35"/>
      <c r="G1020" s="19"/>
    </row>
    <row r="1021" spans="1:7" s="7" customFormat="1" x14ac:dyDescent="0.15">
      <c r="B1021" s="3" t="s">
        <v>0</v>
      </c>
      <c r="C1021" s="5" t="s">
        <v>1</v>
      </c>
      <c r="D1021" s="5" t="s">
        <v>2</v>
      </c>
      <c r="E1021" s="5"/>
      <c r="F1021" s="5" t="s">
        <v>3</v>
      </c>
      <c r="G1021" s="36" t="s">
        <v>4</v>
      </c>
    </row>
    <row r="1022" spans="1:7" s="7" customFormat="1" x14ac:dyDescent="0.15">
      <c r="A1022" s="2"/>
      <c r="B1022" s="14" t="s">
        <v>5</v>
      </c>
      <c r="C1022" s="15" t="s">
        <v>1127</v>
      </c>
      <c r="D1022" s="15" t="s">
        <v>211</v>
      </c>
      <c r="E1022" s="15" t="s">
        <v>1141</v>
      </c>
      <c r="F1022" s="15"/>
      <c r="G1022" s="16" t="s">
        <v>1162</v>
      </c>
    </row>
    <row r="1023" spans="1:7" s="7" customFormat="1" x14ac:dyDescent="0.15">
      <c r="B1023" s="20" t="s">
        <v>154</v>
      </c>
      <c r="C1023" s="21" t="s">
        <v>1133</v>
      </c>
      <c r="D1023" s="21" t="s">
        <v>211</v>
      </c>
      <c r="E1023" s="21">
        <v>0</v>
      </c>
      <c r="F1023" s="21"/>
      <c r="G1023" s="22" t="s">
        <v>1182</v>
      </c>
    </row>
    <row r="1024" spans="1:7" s="7" customFormat="1" x14ac:dyDescent="0.15">
      <c r="B1024" s="20" t="s">
        <v>6</v>
      </c>
      <c r="C1024" s="21" t="s">
        <v>1163</v>
      </c>
      <c r="D1024" s="21" t="s">
        <v>211</v>
      </c>
      <c r="E1024" s="21">
        <v>0</v>
      </c>
      <c r="F1024" s="21"/>
      <c r="G1024" s="22" t="s">
        <v>1077</v>
      </c>
    </row>
    <row r="1025" spans="1:7" s="7" customFormat="1" x14ac:dyDescent="0.15">
      <c r="B1025" s="33" t="s">
        <v>164</v>
      </c>
      <c r="C1025" s="21" t="s">
        <v>1423</v>
      </c>
      <c r="D1025" s="21" t="s">
        <v>1287</v>
      </c>
      <c r="E1025" s="21" t="s">
        <v>1072</v>
      </c>
      <c r="F1025" s="21"/>
      <c r="G1025" s="22" t="s">
        <v>1424</v>
      </c>
    </row>
    <row r="1026" spans="1:7" s="7" customFormat="1" x14ac:dyDescent="0.15">
      <c r="B1026" s="33" t="s">
        <v>165</v>
      </c>
      <c r="C1026" s="21" t="s">
        <v>1425</v>
      </c>
      <c r="D1026" s="21" t="s">
        <v>1073</v>
      </c>
      <c r="E1026" s="21" t="s">
        <v>1072</v>
      </c>
      <c r="F1026" s="21"/>
      <c r="G1026" s="22"/>
    </row>
    <row r="1027" spans="1:7" s="7" customFormat="1" x14ac:dyDescent="0.15">
      <c r="B1027" s="33" t="s">
        <v>166</v>
      </c>
      <c r="C1027" s="21" t="s">
        <v>1426</v>
      </c>
      <c r="D1027" s="21" t="s">
        <v>1403</v>
      </c>
      <c r="E1027" s="21" t="s">
        <v>1303</v>
      </c>
      <c r="F1027" s="21"/>
      <c r="G1027" s="22"/>
    </row>
    <row r="1028" spans="1:7" s="7" customFormat="1" x14ac:dyDescent="0.15">
      <c r="B1028" s="33" t="s">
        <v>167</v>
      </c>
      <c r="C1028" s="21" t="s">
        <v>1427</v>
      </c>
      <c r="D1028" s="21" t="s">
        <v>211</v>
      </c>
      <c r="E1028" s="21">
        <v>0</v>
      </c>
      <c r="F1028" s="21"/>
      <c r="G1028" s="22"/>
    </row>
    <row r="1029" spans="1:7" s="7" customFormat="1" x14ac:dyDescent="0.15">
      <c r="B1029" s="33" t="s">
        <v>111</v>
      </c>
      <c r="C1029" s="21" t="s">
        <v>1164</v>
      </c>
      <c r="D1029" s="21" t="s">
        <v>211</v>
      </c>
      <c r="E1029" s="21">
        <v>0</v>
      </c>
      <c r="F1029" s="21"/>
      <c r="G1029" s="22" t="s">
        <v>1165</v>
      </c>
    </row>
    <row r="1030" spans="1:7" s="7" customFormat="1" ht="15" customHeight="1" x14ac:dyDescent="0.15">
      <c r="A1030" s="2"/>
      <c r="B1030" s="32" t="s">
        <v>189</v>
      </c>
      <c r="C1030" s="18" t="s">
        <v>1296</v>
      </c>
      <c r="D1030" s="18" t="s">
        <v>1169</v>
      </c>
      <c r="E1030" s="18">
        <v>0</v>
      </c>
      <c r="F1030" s="18"/>
      <c r="G1030" s="19"/>
    </row>
    <row r="1031" spans="1:7" s="7" customFormat="1" x14ac:dyDescent="0.15">
      <c r="B1031" s="33" t="s">
        <v>460</v>
      </c>
      <c r="C1031" s="21" t="s">
        <v>1428</v>
      </c>
      <c r="D1031" s="21" t="s">
        <v>1169</v>
      </c>
      <c r="E1031" s="21">
        <v>0</v>
      </c>
      <c r="F1031" s="21"/>
      <c r="G1031" s="22"/>
    </row>
    <row r="1032" spans="1:7" s="7" customFormat="1" x14ac:dyDescent="0.15">
      <c r="B1032" s="33" t="s">
        <v>169</v>
      </c>
      <c r="C1032" s="21" t="s">
        <v>1435</v>
      </c>
      <c r="D1032" s="21" t="s">
        <v>1087</v>
      </c>
      <c r="E1032" s="21">
        <v>0</v>
      </c>
      <c r="F1032" s="21"/>
      <c r="G1032" s="22"/>
    </row>
    <row r="1033" spans="1:7" s="7" customFormat="1" ht="15" customHeight="1" x14ac:dyDescent="0.15">
      <c r="A1033" s="2"/>
      <c r="B1033" s="17" t="s">
        <v>455</v>
      </c>
      <c r="C1033" s="18" t="s">
        <v>1429</v>
      </c>
      <c r="D1033" s="18" t="s">
        <v>1087</v>
      </c>
      <c r="E1033" s="18">
        <v>0</v>
      </c>
      <c r="F1033" s="18"/>
      <c r="G1033" s="19"/>
    </row>
    <row r="1034" spans="1:7" s="7" customFormat="1" ht="15" customHeight="1" x14ac:dyDescent="0.15">
      <c r="A1034" s="2"/>
      <c r="B1034" s="20" t="s">
        <v>193</v>
      </c>
      <c r="C1034" s="21" t="s">
        <v>1171</v>
      </c>
      <c r="D1034" s="21" t="s">
        <v>1169</v>
      </c>
      <c r="E1034" s="21">
        <v>0</v>
      </c>
      <c r="F1034" s="21"/>
      <c r="G1034" s="22"/>
    </row>
    <row r="1035" spans="1:7" s="7" customFormat="1" ht="15" customHeight="1" x14ac:dyDescent="0.15">
      <c r="A1035" s="2"/>
      <c r="B1035" s="20" t="s">
        <v>312</v>
      </c>
      <c r="C1035" s="21" t="s">
        <v>1168</v>
      </c>
      <c r="D1035" s="21" t="s">
        <v>1169</v>
      </c>
      <c r="E1035" s="21">
        <v>0</v>
      </c>
      <c r="F1035" s="21"/>
      <c r="G1035" s="22"/>
    </row>
    <row r="1036" spans="1:7" s="7" customFormat="1" x14ac:dyDescent="0.15">
      <c r="B1036" s="31" t="s">
        <v>170</v>
      </c>
      <c r="C1036" s="21" t="s">
        <v>1430</v>
      </c>
      <c r="D1036" s="21" t="s">
        <v>1073</v>
      </c>
      <c r="E1036" s="21" t="s">
        <v>1072</v>
      </c>
      <c r="F1036" s="21"/>
      <c r="G1036" s="22"/>
    </row>
    <row r="1037" spans="1:7" s="7" customFormat="1" x14ac:dyDescent="0.15">
      <c r="B1037" s="31" t="s">
        <v>71</v>
      </c>
      <c r="C1037" s="21" t="s">
        <v>1431</v>
      </c>
      <c r="D1037" s="21" t="s">
        <v>1432</v>
      </c>
      <c r="E1037" s="21" t="s">
        <v>1072</v>
      </c>
      <c r="F1037" s="21"/>
      <c r="G1037" s="22"/>
    </row>
    <row r="1038" spans="1:7" s="7" customFormat="1" x14ac:dyDescent="0.15">
      <c r="B1038" s="20" t="s">
        <v>171</v>
      </c>
      <c r="C1038" s="29" t="s">
        <v>1433</v>
      </c>
      <c r="D1038" s="21" t="s">
        <v>1073</v>
      </c>
      <c r="E1038" s="21" t="s">
        <v>1072</v>
      </c>
      <c r="F1038" s="21"/>
      <c r="G1038" s="22" t="s">
        <v>1434</v>
      </c>
    </row>
    <row r="1039" spans="1:7" s="7" customFormat="1" x14ac:dyDescent="0.15">
      <c r="B1039" s="20" t="s">
        <v>198</v>
      </c>
      <c r="C1039" s="21" t="s">
        <v>1121</v>
      </c>
      <c r="D1039" s="21" t="s">
        <v>1172</v>
      </c>
      <c r="E1039" s="21">
        <v>0</v>
      </c>
      <c r="F1039" s="21"/>
      <c r="G1039" s="22"/>
    </row>
    <row r="1040" spans="1:7" s="7" customFormat="1" x14ac:dyDescent="0.15">
      <c r="B1040" s="33" t="s">
        <v>67</v>
      </c>
      <c r="C1040" s="21" t="s">
        <v>1406</v>
      </c>
      <c r="D1040" s="21" t="s">
        <v>1092</v>
      </c>
      <c r="E1040" s="21" t="s">
        <v>1072</v>
      </c>
      <c r="F1040" s="21"/>
      <c r="G1040" s="22" t="s">
        <v>1304</v>
      </c>
    </row>
    <row r="1041" spans="1:7" s="7" customFormat="1" ht="18" thickBot="1" x14ac:dyDescent="0.2">
      <c r="B1041" s="24"/>
      <c r="C1041" s="9"/>
      <c r="D1041" s="9"/>
      <c r="E1041" s="9"/>
      <c r="F1041" s="9"/>
      <c r="G1041" s="11"/>
    </row>
    <row r="1042" spans="1:7" s="7" customFormat="1" x14ac:dyDescent="0.15">
      <c r="B1042" s="327" t="s">
        <v>15</v>
      </c>
      <c r="C1042" s="328"/>
      <c r="D1042" s="328"/>
      <c r="E1042" s="328"/>
      <c r="F1042" s="328"/>
      <c r="G1042" s="329"/>
    </row>
    <row r="1043" spans="1:7" s="7" customFormat="1" x14ac:dyDescent="0.15">
      <c r="A1043" s="7" t="s">
        <v>62</v>
      </c>
      <c r="B1043" s="20">
        <v>1</v>
      </c>
      <c r="C1043" s="21" t="s">
        <v>22</v>
      </c>
      <c r="D1043" s="21" t="s">
        <v>16</v>
      </c>
      <c r="E1043" s="21" t="s">
        <v>164</v>
      </c>
      <c r="F1043" s="21"/>
      <c r="G1043" s="22"/>
    </row>
    <row r="1044" spans="1:7" s="7" customFormat="1" x14ac:dyDescent="0.15">
      <c r="B1044" s="20">
        <v>2</v>
      </c>
      <c r="C1044" s="21" t="s">
        <v>22</v>
      </c>
      <c r="D1044" s="21" t="s">
        <v>154</v>
      </c>
      <c r="E1044" s="21"/>
      <c r="F1044" s="21"/>
      <c r="G1044" s="22"/>
    </row>
    <row r="1045" spans="1:7" s="7" customFormat="1" x14ac:dyDescent="0.15">
      <c r="B1045" s="20">
        <v>3</v>
      </c>
      <c r="C1045" s="21" t="s">
        <v>22</v>
      </c>
      <c r="D1045" s="21" t="s">
        <v>111</v>
      </c>
      <c r="E1045" s="21"/>
      <c r="F1045" s="21"/>
      <c r="G1045" s="22"/>
    </row>
    <row r="1046" spans="1:7" s="7" customFormat="1" ht="18" thickBot="1" x14ac:dyDescent="0.2">
      <c r="B1046" s="24"/>
      <c r="C1046" s="9"/>
      <c r="D1046" s="9"/>
      <c r="E1046" s="9"/>
      <c r="F1046" s="9"/>
      <c r="G1046" s="11"/>
    </row>
    <row r="1047" spans="1:7" s="7" customFormat="1" ht="18" thickBot="1" x14ac:dyDescent="0.2"/>
    <row r="1048" spans="1:7" s="7" customFormat="1" x14ac:dyDescent="0.15">
      <c r="A1048" s="2"/>
      <c r="B1048" s="3" t="s">
        <v>563</v>
      </c>
      <c r="C1048" s="148" t="s">
        <v>641</v>
      </c>
      <c r="D1048" s="40" t="s">
        <v>515</v>
      </c>
      <c r="E1048" s="21" t="s">
        <v>722</v>
      </c>
      <c r="F1048" s="5" t="s">
        <v>567</v>
      </c>
      <c r="G1048" s="6"/>
    </row>
    <row r="1049" spans="1:7" s="7" customFormat="1" ht="15.75" customHeight="1" thickBot="1" x14ac:dyDescent="0.2">
      <c r="A1049" s="2"/>
      <c r="B1049" s="34" t="s">
        <v>570</v>
      </c>
      <c r="C1049" s="18"/>
      <c r="D1049" s="35" t="s">
        <v>568</v>
      </c>
      <c r="E1049" s="18" t="s">
        <v>615</v>
      </c>
      <c r="F1049" s="35"/>
      <c r="G1049" s="19"/>
    </row>
    <row r="1050" spans="1:7" s="7" customFormat="1" ht="15" customHeight="1" x14ac:dyDescent="0.15">
      <c r="A1050" s="2"/>
      <c r="B1050" s="3" t="s">
        <v>0</v>
      </c>
      <c r="C1050" s="5" t="s">
        <v>1</v>
      </c>
      <c r="D1050" s="5" t="s">
        <v>2</v>
      </c>
      <c r="E1050" s="5"/>
      <c r="F1050" s="5" t="s">
        <v>3</v>
      </c>
      <c r="G1050" s="36" t="s">
        <v>4</v>
      </c>
    </row>
    <row r="1051" spans="1:7" s="7" customFormat="1" ht="15" customHeight="1" x14ac:dyDescent="0.15">
      <c r="A1051" s="2"/>
      <c r="B1051" s="20" t="s">
        <v>6</v>
      </c>
      <c r="C1051" s="21" t="s">
        <v>1163</v>
      </c>
      <c r="D1051" s="21" t="s">
        <v>211</v>
      </c>
      <c r="E1051" s="21">
        <v>0</v>
      </c>
      <c r="F1051" s="21"/>
      <c r="G1051" s="22" t="s">
        <v>1077</v>
      </c>
    </row>
    <row r="1052" spans="1:7" s="7" customFormat="1" ht="15" customHeight="1" x14ac:dyDescent="0.15">
      <c r="A1052" s="2"/>
      <c r="B1052" s="31" t="s">
        <v>194</v>
      </c>
      <c r="C1052" s="21" t="s">
        <v>1164</v>
      </c>
      <c r="D1052" s="21" t="s">
        <v>211</v>
      </c>
      <c r="E1052" s="21">
        <v>0</v>
      </c>
      <c r="F1052" s="21"/>
      <c r="G1052" s="22" t="s">
        <v>1165</v>
      </c>
    </row>
    <row r="1053" spans="1:7" s="7" customFormat="1" ht="15" customHeight="1" x14ac:dyDescent="0.15">
      <c r="A1053" s="2"/>
      <c r="B1053" s="20" t="s">
        <v>195</v>
      </c>
      <c r="C1053" s="21" t="s">
        <v>1436</v>
      </c>
      <c r="D1053" s="21" t="s">
        <v>211</v>
      </c>
      <c r="E1053" s="21">
        <v>0</v>
      </c>
      <c r="F1053" s="21"/>
      <c r="G1053" s="22"/>
    </row>
    <row r="1054" spans="1:7" s="7" customFormat="1" ht="15" customHeight="1" x14ac:dyDescent="0.15">
      <c r="A1054" s="2"/>
      <c r="B1054" s="31" t="s">
        <v>196</v>
      </c>
      <c r="C1054" s="21" t="s">
        <v>1430</v>
      </c>
      <c r="D1054" s="21" t="s">
        <v>1073</v>
      </c>
      <c r="E1054" s="21" t="s">
        <v>1072</v>
      </c>
      <c r="F1054" s="21"/>
      <c r="G1054" s="22"/>
    </row>
    <row r="1055" spans="1:7" s="7" customFormat="1" ht="15" customHeight="1" x14ac:dyDescent="0.15">
      <c r="A1055" s="2"/>
      <c r="B1055" s="31" t="s">
        <v>71</v>
      </c>
      <c r="C1055" s="21" t="s">
        <v>1431</v>
      </c>
      <c r="D1055" s="21" t="s">
        <v>1432</v>
      </c>
      <c r="E1055" s="21" t="s">
        <v>1072</v>
      </c>
      <c r="F1055" s="21"/>
      <c r="G1055" s="22"/>
    </row>
    <row r="1056" spans="1:7" s="7" customFormat="1" ht="15" customHeight="1" x14ac:dyDescent="0.15">
      <c r="B1056" s="20" t="s">
        <v>171</v>
      </c>
      <c r="C1056" s="29" t="s">
        <v>1433</v>
      </c>
      <c r="D1056" s="21" t="s">
        <v>1073</v>
      </c>
      <c r="E1056" s="21" t="s">
        <v>1072</v>
      </c>
      <c r="F1056" s="21"/>
      <c r="G1056" s="22" t="s">
        <v>1434</v>
      </c>
    </row>
    <row r="1057" spans="1:7" s="7" customFormat="1" ht="15" customHeight="1" x14ac:dyDescent="0.15">
      <c r="B1057" s="20" t="s">
        <v>197</v>
      </c>
      <c r="C1057" s="21" t="s">
        <v>1575</v>
      </c>
      <c r="D1057" s="21" t="s">
        <v>211</v>
      </c>
      <c r="E1057" s="21">
        <v>0</v>
      </c>
      <c r="F1057" s="21"/>
      <c r="G1057" s="22" t="s">
        <v>1576</v>
      </c>
    </row>
    <row r="1058" spans="1:7" s="7" customFormat="1" ht="15" customHeight="1" x14ac:dyDescent="0.15">
      <c r="B1058" s="20" t="s">
        <v>198</v>
      </c>
      <c r="C1058" s="21" t="s">
        <v>1121</v>
      </c>
      <c r="D1058" s="21" t="s">
        <v>1172</v>
      </c>
      <c r="E1058" s="21">
        <v>0</v>
      </c>
      <c r="F1058" s="21"/>
      <c r="G1058" s="22"/>
    </row>
    <row r="1059" spans="1:7" s="7" customFormat="1" ht="15" customHeight="1" x14ac:dyDescent="0.15">
      <c r="B1059" s="20" t="s">
        <v>199</v>
      </c>
      <c r="C1059" s="18" t="s">
        <v>1577</v>
      </c>
      <c r="D1059" s="18" t="s">
        <v>1073</v>
      </c>
      <c r="E1059" s="18" t="s">
        <v>1072</v>
      </c>
      <c r="F1059" s="18"/>
      <c r="G1059" s="19"/>
    </row>
    <row r="1060" spans="1:7" s="7" customFormat="1" ht="15" customHeight="1" x14ac:dyDescent="0.15">
      <c r="A1060" s="2"/>
      <c r="B1060" s="20" t="s">
        <v>75</v>
      </c>
      <c r="C1060" s="18" t="s">
        <v>1302</v>
      </c>
      <c r="D1060" s="18" t="s">
        <v>1403</v>
      </c>
      <c r="E1060" s="18" t="s">
        <v>1303</v>
      </c>
      <c r="F1060" s="18"/>
      <c r="G1060" s="19"/>
    </row>
    <row r="1061" spans="1:7" s="7" customFormat="1" ht="15.75" customHeight="1" thickBot="1" x14ac:dyDescent="0.2">
      <c r="A1061" s="2"/>
      <c r="B1061" s="24"/>
      <c r="C1061" s="9"/>
      <c r="D1061" s="9"/>
      <c r="E1061" s="9"/>
      <c r="F1061" s="9"/>
      <c r="G1061" s="11"/>
    </row>
    <row r="1062" spans="1:7" s="7" customFormat="1" ht="15" customHeight="1" x14ac:dyDescent="0.15">
      <c r="A1062" s="2"/>
      <c r="B1062" s="327" t="s">
        <v>15</v>
      </c>
      <c r="C1062" s="328"/>
      <c r="D1062" s="328"/>
      <c r="E1062" s="328"/>
      <c r="F1062" s="328"/>
      <c r="G1062" s="329"/>
    </row>
    <row r="1063" spans="1:7" s="7" customFormat="1" ht="15" customHeight="1" x14ac:dyDescent="0.15">
      <c r="A1063" s="2" t="s">
        <v>62</v>
      </c>
      <c r="B1063" s="20">
        <v>1</v>
      </c>
      <c r="C1063" s="21" t="s">
        <v>194</v>
      </c>
      <c r="D1063" s="21"/>
      <c r="E1063" s="21"/>
      <c r="F1063" s="21"/>
      <c r="G1063" s="22"/>
    </row>
    <row r="1064" spans="1:7" s="7" customFormat="1" ht="15" customHeight="1" x14ac:dyDescent="0.15">
      <c r="A1064" s="2"/>
      <c r="B1064" s="17">
        <v>2</v>
      </c>
      <c r="C1064" s="18" t="s">
        <v>200</v>
      </c>
      <c r="D1064" s="18"/>
      <c r="E1064" s="18"/>
      <c r="F1064" s="18"/>
      <c r="G1064" s="19"/>
    </row>
    <row r="1065" spans="1:7" s="7" customFormat="1" ht="15.75" customHeight="1" thickBot="1" x14ac:dyDescent="0.2">
      <c r="A1065" s="2"/>
      <c r="B1065" s="24"/>
      <c r="C1065" s="9"/>
      <c r="D1065" s="9"/>
      <c r="E1065" s="9"/>
      <c r="F1065" s="9"/>
      <c r="G1065" s="11"/>
    </row>
    <row r="1066" spans="1:7" ht="18" thickBot="1" x14ac:dyDescent="0.2"/>
    <row r="1067" spans="1:7" s="7" customFormat="1" x14ac:dyDescent="0.15">
      <c r="B1067" s="3" t="s">
        <v>563</v>
      </c>
      <c r="C1067" s="21" t="s">
        <v>558</v>
      </c>
      <c r="D1067" s="5" t="s">
        <v>515</v>
      </c>
      <c r="E1067" s="21" t="s">
        <v>602</v>
      </c>
      <c r="F1067" s="5" t="s">
        <v>567</v>
      </c>
      <c r="G1067" s="6" t="s">
        <v>634</v>
      </c>
    </row>
    <row r="1068" spans="1:7" s="7" customFormat="1" ht="18" thickBot="1" x14ac:dyDescent="0.2">
      <c r="B1068" s="8" t="s">
        <v>570</v>
      </c>
      <c r="C1068" s="9"/>
      <c r="D1068" s="10" t="s">
        <v>568</v>
      </c>
      <c r="E1068" s="9" t="s">
        <v>615</v>
      </c>
      <c r="F1068" s="10"/>
      <c r="G1068" s="11"/>
    </row>
    <row r="1069" spans="1:7" s="7" customFormat="1" x14ac:dyDescent="0.15">
      <c r="B1069" s="12" t="s">
        <v>0</v>
      </c>
      <c r="C1069" s="13" t="s">
        <v>1</v>
      </c>
      <c r="D1069" s="13" t="s">
        <v>2</v>
      </c>
      <c r="E1069" s="13"/>
      <c r="F1069" s="13" t="s">
        <v>3</v>
      </c>
      <c r="G1069" s="13" t="s">
        <v>4</v>
      </c>
    </row>
    <row r="1070" spans="1:7" s="7" customFormat="1" x14ac:dyDescent="0.15">
      <c r="B1070" s="14" t="s">
        <v>16</v>
      </c>
      <c r="C1070" s="15" t="s">
        <v>1163</v>
      </c>
      <c r="D1070" s="15" t="s">
        <v>211</v>
      </c>
      <c r="E1070" s="15">
        <v>0</v>
      </c>
      <c r="F1070" s="15"/>
      <c r="G1070" s="16" t="s">
        <v>1077</v>
      </c>
    </row>
    <row r="1071" spans="1:7" s="7" customFormat="1" x14ac:dyDescent="0.15">
      <c r="B1071" s="14" t="s">
        <v>135</v>
      </c>
      <c r="C1071" s="15" t="s">
        <v>1357</v>
      </c>
      <c r="D1071" s="15" t="s">
        <v>211</v>
      </c>
      <c r="E1071" s="15">
        <v>0</v>
      </c>
      <c r="F1071" s="15"/>
      <c r="G1071" s="16" t="s">
        <v>1358</v>
      </c>
    </row>
    <row r="1072" spans="1:7" s="7" customFormat="1" x14ac:dyDescent="0.15">
      <c r="B1072" s="14" t="s">
        <v>299</v>
      </c>
      <c r="C1072" s="102" t="s">
        <v>1578</v>
      </c>
      <c r="D1072" s="15" t="s">
        <v>1345</v>
      </c>
      <c r="E1072" s="15">
        <v>0</v>
      </c>
      <c r="F1072" s="15"/>
      <c r="G1072" s="16"/>
    </row>
    <row r="1073" spans="1:7" s="7" customFormat="1" x14ac:dyDescent="0.15">
      <c r="B1073" s="20" t="s">
        <v>300</v>
      </c>
      <c r="C1073" s="115" t="s">
        <v>1579</v>
      </c>
      <c r="D1073" s="115" t="s">
        <v>1073</v>
      </c>
      <c r="E1073" s="115" t="s">
        <v>1072</v>
      </c>
      <c r="F1073" s="115" t="s">
        <v>28</v>
      </c>
      <c r="G1073" s="116"/>
    </row>
    <row r="1074" spans="1:7" s="7" customFormat="1" x14ac:dyDescent="0.15">
      <c r="B1074" s="17" t="s">
        <v>301</v>
      </c>
      <c r="C1074" s="29" t="s">
        <v>1580</v>
      </c>
      <c r="D1074" s="29" t="s">
        <v>1432</v>
      </c>
      <c r="E1074" s="115" t="s">
        <v>1072</v>
      </c>
      <c r="F1074" s="115"/>
      <c r="G1074" s="116"/>
    </row>
    <row r="1075" spans="1:7" s="7" customFormat="1" ht="18" thickBot="1" x14ac:dyDescent="0.2">
      <c r="B1075" s="14"/>
      <c r="C1075" s="15"/>
      <c r="D1075" s="15"/>
      <c r="E1075" s="15"/>
      <c r="F1075" s="15"/>
      <c r="G1075" s="16"/>
    </row>
    <row r="1076" spans="1:7" s="7" customFormat="1" x14ac:dyDescent="0.15">
      <c r="B1076" s="327" t="s">
        <v>15</v>
      </c>
      <c r="C1076" s="328"/>
      <c r="D1076" s="328"/>
      <c r="E1076" s="328"/>
      <c r="F1076" s="328"/>
      <c r="G1076" s="329"/>
    </row>
    <row r="1077" spans="1:7" s="7" customFormat="1" x14ac:dyDescent="0.15">
      <c r="A1077" s="7" t="s">
        <v>298</v>
      </c>
      <c r="B1077" s="14">
        <v>1</v>
      </c>
      <c r="C1077" s="21" t="s">
        <v>135</v>
      </c>
      <c r="D1077" s="21" t="s">
        <v>299</v>
      </c>
      <c r="E1077" s="28"/>
      <c r="F1077" s="15"/>
      <c r="G1077" s="16"/>
    </row>
    <row r="1078" spans="1:7" s="7" customFormat="1" x14ac:dyDescent="0.15">
      <c r="B1078" s="17">
        <v>2</v>
      </c>
      <c r="C1078" s="18" t="s">
        <v>16</v>
      </c>
      <c r="D1078" s="18"/>
      <c r="E1078" s="18"/>
      <c r="F1078" s="18"/>
      <c r="G1078" s="19"/>
    </row>
    <row r="1079" spans="1:7" s="7" customFormat="1" ht="18" thickBot="1" x14ac:dyDescent="0.2">
      <c r="B1079" s="24"/>
      <c r="C1079" s="9"/>
      <c r="D1079" s="9"/>
      <c r="E1079" s="9"/>
      <c r="F1079" s="9"/>
      <c r="G1079" s="11"/>
    </row>
    <row r="1080" spans="1:7" s="7" customFormat="1" x14ac:dyDescent="0.15"/>
    <row r="1081" spans="1:7" s="7" customFormat="1" ht="18" thickBot="1" x14ac:dyDescent="0.2"/>
    <row r="1082" spans="1:7" s="7" customFormat="1" x14ac:dyDescent="0.15">
      <c r="B1082" s="117" t="s">
        <v>563</v>
      </c>
      <c r="C1082" s="21" t="s">
        <v>635</v>
      </c>
      <c r="D1082" s="118" t="s">
        <v>515</v>
      </c>
      <c r="E1082" s="21" t="s">
        <v>581</v>
      </c>
      <c r="F1082" s="118" t="s">
        <v>567</v>
      </c>
      <c r="G1082" s="119" t="s">
        <v>636</v>
      </c>
    </row>
    <row r="1083" spans="1:7" s="7" customFormat="1" ht="18" thickBot="1" x14ac:dyDescent="0.2">
      <c r="B1083" s="120" t="s">
        <v>570</v>
      </c>
      <c r="C1083" s="121"/>
      <c r="D1083" s="122" t="s">
        <v>568</v>
      </c>
      <c r="E1083" s="121" t="s">
        <v>615</v>
      </c>
      <c r="F1083" s="122"/>
      <c r="G1083" s="123"/>
    </row>
    <row r="1084" spans="1:7" s="7" customFormat="1" x14ac:dyDescent="0.15">
      <c r="B1084" s="124" t="s">
        <v>0</v>
      </c>
      <c r="C1084" s="125" t="s">
        <v>1</v>
      </c>
      <c r="D1084" s="125" t="s">
        <v>2</v>
      </c>
      <c r="E1084" s="125"/>
      <c r="F1084" s="125" t="s">
        <v>3</v>
      </c>
      <c r="G1084" s="125" t="s">
        <v>4</v>
      </c>
    </row>
    <row r="1085" spans="1:7" s="7" customFormat="1" x14ac:dyDescent="0.15">
      <c r="B1085" s="126" t="s">
        <v>135</v>
      </c>
      <c r="C1085" s="29" t="s">
        <v>1357</v>
      </c>
      <c r="D1085" s="115" t="s">
        <v>211</v>
      </c>
      <c r="E1085" s="115">
        <v>0</v>
      </c>
      <c r="F1085" s="115" t="s">
        <v>28</v>
      </c>
      <c r="G1085" s="116" t="s">
        <v>1358</v>
      </c>
    </row>
    <row r="1086" spans="1:7" s="7" customFormat="1" x14ac:dyDescent="0.15">
      <c r="B1086" s="126" t="s">
        <v>6</v>
      </c>
      <c r="C1086" s="29" t="s">
        <v>1163</v>
      </c>
      <c r="D1086" s="115" t="s">
        <v>211</v>
      </c>
      <c r="E1086" s="115">
        <v>0</v>
      </c>
      <c r="F1086" s="115" t="s">
        <v>28</v>
      </c>
      <c r="G1086" s="116" t="s">
        <v>1077</v>
      </c>
    </row>
    <row r="1087" spans="1:7" s="7" customFormat="1" x14ac:dyDescent="0.15">
      <c r="B1087" s="126" t="s">
        <v>290</v>
      </c>
      <c r="C1087" s="127" t="s">
        <v>1437</v>
      </c>
      <c r="D1087" s="115" t="s">
        <v>211</v>
      </c>
      <c r="E1087" s="115">
        <v>0</v>
      </c>
      <c r="F1087" s="115"/>
      <c r="G1087" s="116"/>
    </row>
    <row r="1088" spans="1:7" s="7" customFormat="1" ht="18" thickBot="1" x14ac:dyDescent="0.2">
      <c r="B1088" s="126"/>
      <c r="C1088" s="115"/>
      <c r="D1088" s="115"/>
      <c r="E1088" s="115"/>
      <c r="F1088" s="115"/>
      <c r="G1088" s="116"/>
    </row>
    <row r="1089" spans="1:7" s="7" customFormat="1" x14ac:dyDescent="0.15">
      <c r="B1089" s="333" t="s">
        <v>15</v>
      </c>
      <c r="C1089" s="334"/>
      <c r="D1089" s="334"/>
      <c r="E1089" s="334"/>
      <c r="F1089" s="334"/>
      <c r="G1089" s="335"/>
    </row>
    <row r="1090" spans="1:7" s="7" customFormat="1" x14ac:dyDescent="0.15">
      <c r="A1090" s="7" t="s">
        <v>298</v>
      </c>
      <c r="B1090" s="126">
        <v>1</v>
      </c>
      <c r="C1090" s="115" t="s">
        <v>135</v>
      </c>
      <c r="D1090" s="115" t="s">
        <v>6</v>
      </c>
      <c r="E1090" s="115"/>
      <c r="F1090" s="115"/>
      <c r="G1090" s="116"/>
    </row>
    <row r="1091" spans="1:7" s="7" customFormat="1" ht="18" thickBot="1" x14ac:dyDescent="0.2">
      <c r="B1091" s="128"/>
      <c r="C1091" s="121"/>
      <c r="D1091" s="121"/>
      <c r="E1091" s="121"/>
      <c r="F1091" s="121"/>
      <c r="G1091" s="123"/>
    </row>
    <row r="1092" spans="1:7" s="7" customFormat="1" x14ac:dyDescent="0.15"/>
    <row r="1093" spans="1:7" s="7" customFormat="1" ht="18" thickBot="1" x14ac:dyDescent="0.2"/>
    <row r="1094" spans="1:7" s="7" customFormat="1" x14ac:dyDescent="0.15">
      <c r="B1094" s="117" t="s">
        <v>563</v>
      </c>
      <c r="C1094" s="21" t="s">
        <v>637</v>
      </c>
      <c r="D1094" s="118" t="s">
        <v>515</v>
      </c>
      <c r="E1094" s="21" t="s">
        <v>1022</v>
      </c>
      <c r="F1094" s="118" t="s">
        <v>567</v>
      </c>
      <c r="G1094" s="119" t="s">
        <v>559</v>
      </c>
    </row>
    <row r="1095" spans="1:7" s="7" customFormat="1" ht="18" thickBot="1" x14ac:dyDescent="0.2">
      <c r="B1095" s="120" t="s">
        <v>570</v>
      </c>
      <c r="C1095" s="121"/>
      <c r="D1095" s="122" t="s">
        <v>568</v>
      </c>
      <c r="E1095" s="121" t="s">
        <v>615</v>
      </c>
      <c r="F1095" s="122"/>
      <c r="G1095" s="123"/>
    </row>
    <row r="1096" spans="1:7" s="7" customFormat="1" x14ac:dyDescent="0.15">
      <c r="B1096" s="124" t="s">
        <v>0</v>
      </c>
      <c r="C1096" s="125" t="s">
        <v>1</v>
      </c>
      <c r="D1096" s="125" t="s">
        <v>2</v>
      </c>
      <c r="E1096" s="125"/>
      <c r="F1096" s="125" t="s">
        <v>3</v>
      </c>
      <c r="G1096" s="125" t="s">
        <v>4</v>
      </c>
    </row>
    <row r="1097" spans="1:7" s="7" customFormat="1" x14ac:dyDescent="0.15">
      <c r="B1097" s="126" t="s">
        <v>135</v>
      </c>
      <c r="C1097" s="29" t="s">
        <v>1357</v>
      </c>
      <c r="D1097" s="115" t="s">
        <v>211</v>
      </c>
      <c r="E1097" s="115">
        <v>0</v>
      </c>
      <c r="F1097" s="115" t="s">
        <v>28</v>
      </c>
      <c r="G1097" s="116" t="s">
        <v>1358</v>
      </c>
    </row>
    <row r="1098" spans="1:7" s="7" customFormat="1" x14ac:dyDescent="0.15">
      <c r="B1098" s="126" t="s">
        <v>16</v>
      </c>
      <c r="C1098" s="127" t="s">
        <v>1163</v>
      </c>
      <c r="D1098" s="115" t="s">
        <v>211</v>
      </c>
      <c r="E1098" s="115">
        <v>0</v>
      </c>
      <c r="F1098" s="115"/>
      <c r="G1098" s="116" t="s">
        <v>1077</v>
      </c>
    </row>
    <row r="1099" spans="1:7" s="7" customFormat="1" x14ac:dyDescent="0.15">
      <c r="B1099" s="126" t="s">
        <v>111</v>
      </c>
      <c r="C1099" s="127" t="s">
        <v>1164</v>
      </c>
      <c r="D1099" s="115" t="s">
        <v>211</v>
      </c>
      <c r="E1099" s="115">
        <v>0</v>
      </c>
      <c r="F1099" s="115"/>
      <c r="G1099" s="116" t="s">
        <v>1165</v>
      </c>
    </row>
    <row r="1100" spans="1:7" s="7" customFormat="1" x14ac:dyDescent="0.15">
      <c r="B1100" s="126" t="s">
        <v>290</v>
      </c>
      <c r="C1100" s="127" t="s">
        <v>1437</v>
      </c>
      <c r="D1100" s="115" t="s">
        <v>211</v>
      </c>
      <c r="E1100" s="115">
        <v>0</v>
      </c>
      <c r="F1100" s="115"/>
      <c r="G1100" s="116"/>
    </row>
    <row r="1101" spans="1:7" s="7" customFormat="1" ht="18" thickBot="1" x14ac:dyDescent="0.2">
      <c r="B1101" s="126"/>
      <c r="C1101" s="115"/>
      <c r="D1101" s="115"/>
      <c r="E1101" s="115"/>
      <c r="F1101" s="115"/>
      <c r="G1101" s="116"/>
    </row>
    <row r="1102" spans="1:7" s="7" customFormat="1" x14ac:dyDescent="0.15">
      <c r="B1102" s="333" t="s">
        <v>15</v>
      </c>
      <c r="C1102" s="334"/>
      <c r="D1102" s="334"/>
      <c r="E1102" s="334"/>
      <c r="F1102" s="334"/>
      <c r="G1102" s="335"/>
    </row>
    <row r="1103" spans="1:7" s="7" customFormat="1" x14ac:dyDescent="0.15">
      <c r="A1103" s="7" t="s">
        <v>298</v>
      </c>
      <c r="B1103" s="126">
        <v>1</v>
      </c>
      <c r="C1103" s="115" t="s">
        <v>21</v>
      </c>
      <c r="D1103" s="115" t="s">
        <v>111</v>
      </c>
      <c r="E1103" s="115"/>
      <c r="F1103" s="115"/>
      <c r="G1103" s="116"/>
    </row>
    <row r="1104" spans="1:7" s="7" customFormat="1" x14ac:dyDescent="0.15">
      <c r="B1104" s="129">
        <v>2</v>
      </c>
      <c r="C1104" s="130" t="s">
        <v>16</v>
      </c>
      <c r="D1104" s="130" t="s">
        <v>21</v>
      </c>
      <c r="E1104" s="115" t="s">
        <v>111</v>
      </c>
      <c r="F1104" s="130"/>
      <c r="G1104" s="131"/>
    </row>
    <row r="1105" spans="1:7" s="7" customFormat="1" ht="18" thickBot="1" x14ac:dyDescent="0.2">
      <c r="B1105" s="128"/>
      <c r="C1105" s="121"/>
      <c r="D1105" s="121"/>
      <c r="E1105" s="121"/>
      <c r="F1105" s="121"/>
      <c r="G1105" s="123"/>
    </row>
    <row r="1106" spans="1:7" s="7" customFormat="1" x14ac:dyDescent="0.15"/>
    <row r="1107" spans="1:7" s="7" customFormat="1" ht="18" thickBot="1" x14ac:dyDescent="0.2"/>
    <row r="1108" spans="1:7" s="7" customFormat="1" x14ac:dyDescent="0.15">
      <c r="B1108" s="117" t="s">
        <v>563</v>
      </c>
      <c r="C1108" s="21" t="s">
        <v>638</v>
      </c>
      <c r="D1108" s="118" t="s">
        <v>515</v>
      </c>
      <c r="E1108" s="21" t="s">
        <v>582</v>
      </c>
      <c r="F1108" s="118" t="s">
        <v>567</v>
      </c>
      <c r="G1108" s="119" t="s">
        <v>639</v>
      </c>
    </row>
    <row r="1109" spans="1:7" s="7" customFormat="1" ht="18" thickBot="1" x14ac:dyDescent="0.2">
      <c r="B1109" s="120" t="s">
        <v>570</v>
      </c>
      <c r="C1109" s="121"/>
      <c r="D1109" s="122" t="s">
        <v>568</v>
      </c>
      <c r="E1109" s="121" t="s">
        <v>615</v>
      </c>
      <c r="F1109" s="122"/>
      <c r="G1109" s="123"/>
    </row>
    <row r="1110" spans="1:7" s="7" customFormat="1" x14ac:dyDescent="0.15">
      <c r="B1110" s="124" t="s">
        <v>0</v>
      </c>
      <c r="C1110" s="125" t="s">
        <v>1</v>
      </c>
      <c r="D1110" s="125" t="s">
        <v>2</v>
      </c>
      <c r="E1110" s="125"/>
      <c r="F1110" s="125" t="s">
        <v>3</v>
      </c>
      <c r="G1110" s="125" t="s">
        <v>4</v>
      </c>
    </row>
    <row r="1111" spans="1:7" s="7" customFormat="1" x14ac:dyDescent="0.15">
      <c r="B1111" s="126" t="s">
        <v>135</v>
      </c>
      <c r="C1111" s="29" t="s">
        <v>1357</v>
      </c>
      <c r="D1111" s="115" t="s">
        <v>211</v>
      </c>
      <c r="E1111" s="115">
        <v>0</v>
      </c>
      <c r="F1111" s="115" t="s">
        <v>28</v>
      </c>
      <c r="G1111" s="116" t="s">
        <v>1358</v>
      </c>
    </row>
    <row r="1112" spans="1:7" s="7" customFormat="1" x14ac:dyDescent="0.15">
      <c r="B1112" s="126" t="s">
        <v>16</v>
      </c>
      <c r="C1112" s="29" t="s">
        <v>1163</v>
      </c>
      <c r="D1112" s="115" t="s">
        <v>211</v>
      </c>
      <c r="E1112" s="115">
        <v>0</v>
      </c>
      <c r="F1112" s="115"/>
      <c r="G1112" s="116" t="s">
        <v>1077</v>
      </c>
    </row>
    <row r="1113" spans="1:7" s="7" customFormat="1" x14ac:dyDescent="0.15">
      <c r="B1113" s="126" t="s">
        <v>111</v>
      </c>
      <c r="C1113" s="29" t="s">
        <v>1164</v>
      </c>
      <c r="D1113" s="115" t="s">
        <v>211</v>
      </c>
      <c r="E1113" s="115">
        <v>0</v>
      </c>
      <c r="F1113" s="115"/>
      <c r="G1113" s="116" t="s">
        <v>1165</v>
      </c>
    </row>
    <row r="1114" spans="1:7" s="7" customFormat="1" x14ac:dyDescent="0.15">
      <c r="B1114" s="126" t="s">
        <v>154</v>
      </c>
      <c r="C1114" s="29" t="s">
        <v>1133</v>
      </c>
      <c r="D1114" s="115" t="s">
        <v>211</v>
      </c>
      <c r="E1114" s="115">
        <v>0</v>
      </c>
      <c r="F1114" s="115"/>
      <c r="G1114" s="116" t="s">
        <v>1182</v>
      </c>
    </row>
    <row r="1115" spans="1:7" s="7" customFormat="1" x14ac:dyDescent="0.15">
      <c r="B1115" s="126" t="s">
        <v>290</v>
      </c>
      <c r="C1115" s="127" t="s">
        <v>1437</v>
      </c>
      <c r="D1115" s="115" t="s">
        <v>211</v>
      </c>
      <c r="E1115" s="115">
        <v>0</v>
      </c>
      <c r="F1115" s="115"/>
      <c r="G1115" s="116"/>
    </row>
    <row r="1116" spans="1:7" s="7" customFormat="1" ht="18" thickBot="1" x14ac:dyDescent="0.2">
      <c r="B1116" s="126"/>
      <c r="C1116" s="115"/>
      <c r="D1116" s="115"/>
      <c r="E1116" s="115"/>
      <c r="F1116" s="115"/>
      <c r="G1116" s="116"/>
    </row>
    <row r="1117" spans="1:7" s="7" customFormat="1" x14ac:dyDescent="0.15">
      <c r="B1117" s="333" t="s">
        <v>15</v>
      </c>
      <c r="C1117" s="334"/>
      <c r="D1117" s="334"/>
      <c r="E1117" s="334"/>
      <c r="F1117" s="334"/>
      <c r="G1117" s="335"/>
    </row>
    <row r="1118" spans="1:7" s="7" customFormat="1" x14ac:dyDescent="0.15">
      <c r="A1118" s="7" t="s">
        <v>298</v>
      </c>
      <c r="B1118" s="126">
        <v>1</v>
      </c>
      <c r="C1118" s="115" t="s">
        <v>135</v>
      </c>
      <c r="D1118" s="115" t="s">
        <v>154</v>
      </c>
      <c r="E1118" s="115"/>
      <c r="F1118" s="115"/>
      <c r="G1118" s="116"/>
    </row>
    <row r="1119" spans="1:7" s="7" customFormat="1" x14ac:dyDescent="0.15">
      <c r="B1119" s="129">
        <v>2</v>
      </c>
      <c r="C1119" s="130" t="s">
        <v>6</v>
      </c>
      <c r="D1119" s="130" t="s">
        <v>21</v>
      </c>
      <c r="E1119" s="130" t="s">
        <v>111</v>
      </c>
      <c r="F1119" s="130" t="s">
        <v>154</v>
      </c>
      <c r="G1119" s="131"/>
    </row>
    <row r="1120" spans="1:7" s="7" customFormat="1" ht="18" thickBot="1" x14ac:dyDescent="0.2">
      <c r="B1120" s="128"/>
      <c r="C1120" s="121"/>
      <c r="D1120" s="121"/>
      <c r="E1120" s="121"/>
      <c r="F1120" s="121"/>
      <c r="G1120" s="123"/>
    </row>
    <row r="1121" spans="1:13" ht="18" thickBot="1" x14ac:dyDescent="0.2"/>
    <row r="1122" spans="1:13" s="76" customFormat="1" x14ac:dyDescent="0.15">
      <c r="A1122" s="71"/>
      <c r="B1122" s="72" t="s">
        <v>563</v>
      </c>
      <c r="C1122" s="149" t="s">
        <v>545</v>
      </c>
      <c r="D1122" s="150" t="s">
        <v>515</v>
      </c>
      <c r="E1122" s="21" t="s">
        <v>1023</v>
      </c>
      <c r="F1122" s="74" t="s">
        <v>567</v>
      </c>
      <c r="G1122" s="75"/>
    </row>
    <row r="1123" spans="1:13" s="76" customFormat="1" ht="18" thickBot="1" x14ac:dyDescent="0.2">
      <c r="A1123" s="71"/>
      <c r="B1123" s="78" t="s">
        <v>570</v>
      </c>
      <c r="C1123" s="79"/>
      <c r="D1123" s="80" t="s">
        <v>568</v>
      </c>
      <c r="E1123" s="79" t="s">
        <v>615</v>
      </c>
      <c r="F1123" s="80"/>
      <c r="G1123" s="81"/>
    </row>
    <row r="1124" spans="1:13" s="76" customFormat="1" x14ac:dyDescent="0.15">
      <c r="A1124" s="71"/>
      <c r="B1124" s="72" t="s">
        <v>0</v>
      </c>
      <c r="C1124" s="82" t="s">
        <v>1</v>
      </c>
      <c r="D1124" s="82" t="s">
        <v>2</v>
      </c>
      <c r="E1124" s="82"/>
      <c r="F1124" s="82" t="s">
        <v>3</v>
      </c>
      <c r="G1124" s="83" t="s">
        <v>4</v>
      </c>
    </row>
    <row r="1125" spans="1:13" s="76" customFormat="1" x14ac:dyDescent="0.15">
      <c r="A1125" s="71"/>
      <c r="B1125" s="84" t="s">
        <v>7</v>
      </c>
      <c r="C1125" s="85" t="s">
        <v>1190</v>
      </c>
      <c r="D1125" s="85" t="s">
        <v>211</v>
      </c>
      <c r="E1125" s="86">
        <v>0</v>
      </c>
      <c r="F1125" s="86"/>
      <c r="G1125" s="95" t="s">
        <v>1081</v>
      </c>
    </row>
    <row r="1126" spans="1:13" s="76" customFormat="1" x14ac:dyDescent="0.15">
      <c r="A1126" s="71"/>
      <c r="B1126" s="84" t="s">
        <v>19</v>
      </c>
      <c r="C1126" s="85" t="s">
        <v>1337</v>
      </c>
      <c r="D1126" s="86" t="s">
        <v>1219</v>
      </c>
      <c r="E1126" s="86" t="s">
        <v>1072</v>
      </c>
      <c r="F1126" s="86"/>
      <c r="G1126" s="87" t="s">
        <v>1338</v>
      </c>
    </row>
    <row r="1127" spans="1:13" s="76" customFormat="1" x14ac:dyDescent="0.15">
      <c r="A1127" s="71"/>
      <c r="B1127" s="84" t="s">
        <v>212</v>
      </c>
      <c r="C1127" s="85" t="s">
        <v>1098</v>
      </c>
      <c r="D1127" s="86" t="s">
        <v>1219</v>
      </c>
      <c r="E1127" s="86" t="s">
        <v>1072</v>
      </c>
      <c r="F1127" s="86"/>
      <c r="G1127" s="87" t="s">
        <v>1438</v>
      </c>
    </row>
    <row r="1128" spans="1:13" s="76" customFormat="1" x14ac:dyDescent="0.15">
      <c r="A1128" s="71"/>
      <c r="B1128" s="84" t="s">
        <v>213</v>
      </c>
      <c r="C1128" s="85" t="s">
        <v>1340</v>
      </c>
      <c r="D1128" s="86" t="s">
        <v>1219</v>
      </c>
      <c r="E1128" s="86" t="s">
        <v>1072</v>
      </c>
      <c r="F1128" s="86"/>
      <c r="G1128" s="87"/>
    </row>
    <row r="1129" spans="1:13" s="77" customFormat="1" x14ac:dyDescent="0.15">
      <c r="A1129" s="71"/>
      <c r="B1129" s="84" t="s">
        <v>118</v>
      </c>
      <c r="C1129" s="85" t="s">
        <v>1188</v>
      </c>
      <c r="D1129" s="86" t="s">
        <v>211</v>
      </c>
      <c r="E1129" s="86">
        <v>0</v>
      </c>
      <c r="F1129" s="86"/>
      <c r="G1129" s="87"/>
      <c r="H1129" s="76"/>
      <c r="I1129" s="76"/>
      <c r="J1129" s="76"/>
      <c r="K1129" s="76"/>
      <c r="L1129" s="76"/>
      <c r="M1129" s="76"/>
    </row>
    <row r="1130" spans="1:13" s="76" customFormat="1" x14ac:dyDescent="0.15">
      <c r="A1130" s="71"/>
      <c r="B1130" s="84" t="s">
        <v>174</v>
      </c>
      <c r="C1130" s="85" t="s">
        <v>1397</v>
      </c>
      <c r="D1130" s="86" t="s">
        <v>211</v>
      </c>
      <c r="E1130" s="86">
        <v>0</v>
      </c>
      <c r="F1130" s="86"/>
      <c r="G1130" s="87"/>
    </row>
    <row r="1131" spans="1:13" s="76" customFormat="1" x14ac:dyDescent="0.15">
      <c r="A1131" s="71"/>
      <c r="B1131" s="84" t="s">
        <v>214</v>
      </c>
      <c r="C1131" s="85" t="s">
        <v>1339</v>
      </c>
      <c r="D1131" s="86" t="s">
        <v>211</v>
      </c>
      <c r="E1131" s="86">
        <v>0</v>
      </c>
      <c r="F1131" s="86"/>
      <c r="G1131" s="87"/>
    </row>
    <row r="1132" spans="1:13" s="76" customFormat="1" x14ac:dyDescent="0.15">
      <c r="A1132" s="71"/>
      <c r="B1132" s="84" t="s">
        <v>183</v>
      </c>
      <c r="C1132" s="85" t="s">
        <v>1122</v>
      </c>
      <c r="D1132" s="86" t="s">
        <v>1073</v>
      </c>
      <c r="E1132" s="86" t="s">
        <v>1072</v>
      </c>
      <c r="F1132" s="86"/>
      <c r="G1132" s="95"/>
    </row>
    <row r="1133" spans="1:13" s="76" customFormat="1" x14ac:dyDescent="0.15">
      <c r="A1133" s="71"/>
      <c r="B1133" s="96" t="s">
        <v>215</v>
      </c>
      <c r="C1133" s="97" t="s">
        <v>1581</v>
      </c>
      <c r="D1133" s="97" t="s">
        <v>211</v>
      </c>
      <c r="E1133" s="97" t="s">
        <v>1141</v>
      </c>
      <c r="F1133" s="97"/>
      <c r="G1133" s="98"/>
    </row>
    <row r="1134" spans="1:13" s="76" customFormat="1" x14ac:dyDescent="0.15">
      <c r="A1134" s="71"/>
      <c r="B1134" s="96" t="s">
        <v>216</v>
      </c>
      <c r="C1134" s="97" t="s">
        <v>1582</v>
      </c>
      <c r="D1134" s="97" t="s">
        <v>211</v>
      </c>
      <c r="E1134" s="97" t="s">
        <v>1141</v>
      </c>
      <c r="F1134" s="97"/>
      <c r="G1134" s="98"/>
    </row>
    <row r="1135" spans="1:13" s="76" customFormat="1" x14ac:dyDescent="0.15">
      <c r="A1135" s="71"/>
      <c r="B1135" s="96" t="s">
        <v>217</v>
      </c>
      <c r="C1135" s="97" t="s">
        <v>1439</v>
      </c>
      <c r="D1135" s="97" t="s">
        <v>211</v>
      </c>
      <c r="E1135" s="97" t="s">
        <v>1141</v>
      </c>
      <c r="F1135" s="97"/>
      <c r="G1135" s="98"/>
    </row>
    <row r="1136" spans="1:13" s="76" customFormat="1" x14ac:dyDescent="0.15">
      <c r="A1136" s="71"/>
      <c r="B1136" s="96" t="s">
        <v>218</v>
      </c>
      <c r="C1136" s="97" t="s">
        <v>1583</v>
      </c>
      <c r="D1136" s="97" t="s">
        <v>211</v>
      </c>
      <c r="E1136" s="97" t="s">
        <v>1141</v>
      </c>
      <c r="F1136" s="97"/>
      <c r="G1136" s="98"/>
    </row>
    <row r="1137" spans="1:7" s="76" customFormat="1" x14ac:dyDescent="0.15">
      <c r="A1137" s="71"/>
      <c r="B1137" s="96" t="s">
        <v>219</v>
      </c>
      <c r="C1137" s="97" t="s">
        <v>1440</v>
      </c>
      <c r="D1137" s="97" t="s">
        <v>211</v>
      </c>
      <c r="E1137" s="97" t="s">
        <v>1141</v>
      </c>
      <c r="F1137" s="97"/>
      <c r="G1137" s="98"/>
    </row>
    <row r="1138" spans="1:7" s="76" customFormat="1" x14ac:dyDescent="0.15">
      <c r="A1138" s="71"/>
      <c r="B1138" s="96" t="s">
        <v>220</v>
      </c>
      <c r="C1138" s="97" t="s">
        <v>1441</v>
      </c>
      <c r="D1138" s="97" t="s">
        <v>1087</v>
      </c>
      <c r="E1138" s="97">
        <v>0</v>
      </c>
      <c r="F1138" s="97"/>
      <c r="G1138" s="98"/>
    </row>
    <row r="1139" spans="1:7" s="76" customFormat="1" x14ac:dyDescent="0.15">
      <c r="A1139" s="71"/>
      <c r="B1139" s="96" t="s">
        <v>221</v>
      </c>
      <c r="C1139" s="97" t="s">
        <v>1442</v>
      </c>
      <c r="D1139" s="97" t="s">
        <v>1211</v>
      </c>
      <c r="E1139" s="97">
        <v>0</v>
      </c>
      <c r="F1139" s="97"/>
      <c r="G1139" s="98"/>
    </row>
    <row r="1140" spans="1:7" s="76" customFormat="1" x14ac:dyDescent="0.15">
      <c r="A1140" s="71"/>
      <c r="B1140" s="96" t="s">
        <v>222</v>
      </c>
      <c r="C1140" s="97" t="s">
        <v>1394</v>
      </c>
      <c r="D1140" s="97" t="s">
        <v>1211</v>
      </c>
      <c r="E1140" s="97">
        <v>0</v>
      </c>
      <c r="F1140" s="97"/>
      <c r="G1140" s="98"/>
    </row>
    <row r="1141" spans="1:7" s="76" customFormat="1" x14ac:dyDescent="0.15">
      <c r="A1141" s="71"/>
      <c r="B1141" s="96" t="s">
        <v>223</v>
      </c>
      <c r="C1141" s="97" t="s">
        <v>1443</v>
      </c>
      <c r="D1141" s="97" t="s">
        <v>1172</v>
      </c>
      <c r="E1141" s="97">
        <v>0</v>
      </c>
      <c r="F1141" s="97"/>
      <c r="G1141" s="98"/>
    </row>
    <row r="1142" spans="1:7" s="76" customFormat="1" x14ac:dyDescent="0.15">
      <c r="A1142" s="71"/>
      <c r="B1142" s="96" t="s">
        <v>224</v>
      </c>
      <c r="C1142" s="97" t="s">
        <v>1393</v>
      </c>
      <c r="D1142" s="97" t="s">
        <v>211</v>
      </c>
      <c r="E1142" s="97">
        <v>0</v>
      </c>
      <c r="F1142" s="97"/>
      <c r="G1142" s="98"/>
    </row>
    <row r="1143" spans="1:7" s="76" customFormat="1" x14ac:dyDescent="0.15">
      <c r="A1143" s="71"/>
      <c r="B1143" s="96" t="s">
        <v>225</v>
      </c>
      <c r="C1143" s="97" t="s">
        <v>1444</v>
      </c>
      <c r="D1143" s="97" t="s">
        <v>211</v>
      </c>
      <c r="E1143" s="97">
        <v>0</v>
      </c>
      <c r="F1143" s="97"/>
      <c r="G1143" s="98"/>
    </row>
    <row r="1144" spans="1:7" s="76" customFormat="1" x14ac:dyDescent="0.15">
      <c r="A1144" s="71"/>
      <c r="B1144" s="96" t="s">
        <v>226</v>
      </c>
      <c r="C1144" s="97" t="s">
        <v>1395</v>
      </c>
      <c r="D1144" s="97" t="s">
        <v>1172</v>
      </c>
      <c r="E1144" s="97">
        <v>0</v>
      </c>
      <c r="F1144" s="97"/>
      <c r="G1144" s="98"/>
    </row>
    <row r="1145" spans="1:7" s="76" customFormat="1" x14ac:dyDescent="0.15">
      <c r="A1145" s="71"/>
      <c r="B1145" s="96" t="s">
        <v>227</v>
      </c>
      <c r="C1145" s="97" t="s">
        <v>1396</v>
      </c>
      <c r="D1145" s="97" t="s">
        <v>211</v>
      </c>
      <c r="E1145" s="97">
        <v>0</v>
      </c>
      <c r="F1145" s="97"/>
      <c r="G1145" s="98"/>
    </row>
    <row r="1146" spans="1:7" s="76" customFormat="1" x14ac:dyDescent="0.15">
      <c r="A1146" s="71"/>
      <c r="B1146" s="96" t="s">
        <v>228</v>
      </c>
      <c r="C1146" s="97" t="s">
        <v>1445</v>
      </c>
      <c r="D1146" s="97" t="s">
        <v>211</v>
      </c>
      <c r="E1146" s="97">
        <v>0</v>
      </c>
      <c r="F1146" s="97"/>
      <c r="G1146" s="98" t="s">
        <v>1446</v>
      </c>
    </row>
    <row r="1147" spans="1:7" s="76" customFormat="1" x14ac:dyDescent="0.15">
      <c r="A1147" s="71"/>
      <c r="B1147" s="96" t="s">
        <v>229</v>
      </c>
      <c r="C1147" s="97" t="s">
        <v>1392</v>
      </c>
      <c r="D1147" s="97" t="s">
        <v>211</v>
      </c>
      <c r="E1147" s="97">
        <v>0</v>
      </c>
      <c r="F1147" s="97"/>
      <c r="G1147" s="98"/>
    </row>
    <row r="1148" spans="1:7" s="76" customFormat="1" x14ac:dyDescent="0.15">
      <c r="A1148" s="71"/>
      <c r="B1148" s="84" t="s">
        <v>230</v>
      </c>
      <c r="C1148" s="86" t="s">
        <v>1076</v>
      </c>
      <c r="D1148" s="86" t="s">
        <v>211</v>
      </c>
      <c r="E1148" s="86" t="s">
        <v>1141</v>
      </c>
      <c r="F1148" s="86"/>
      <c r="G1148" s="95"/>
    </row>
    <row r="1149" spans="1:7" s="76" customFormat="1" x14ac:dyDescent="0.15">
      <c r="A1149" s="71"/>
      <c r="B1149" s="88" t="s">
        <v>231</v>
      </c>
      <c r="C1149" s="86" t="s">
        <v>1584</v>
      </c>
      <c r="D1149" s="86" t="s">
        <v>211</v>
      </c>
      <c r="E1149" s="86">
        <v>0</v>
      </c>
      <c r="F1149" s="86"/>
      <c r="G1149" s="87"/>
    </row>
    <row r="1150" spans="1:7" s="76" customFormat="1" x14ac:dyDescent="0.15">
      <c r="A1150" s="71"/>
      <c r="B1150" s="88" t="s">
        <v>232</v>
      </c>
      <c r="C1150" s="86" t="s">
        <v>1585</v>
      </c>
      <c r="D1150" s="86" t="s">
        <v>211</v>
      </c>
      <c r="E1150" s="86" t="s">
        <v>1141</v>
      </c>
      <c r="F1150" s="86"/>
      <c r="G1150" s="87"/>
    </row>
    <row r="1151" spans="1:7" s="76" customFormat="1" x14ac:dyDescent="0.15">
      <c r="A1151" s="71"/>
      <c r="B1151" s="88" t="s">
        <v>233</v>
      </c>
      <c r="C1151" s="86" t="s">
        <v>1447</v>
      </c>
      <c r="D1151" s="86" t="s">
        <v>211</v>
      </c>
      <c r="E1151" s="86" t="s">
        <v>1141</v>
      </c>
      <c r="F1151" s="86"/>
      <c r="G1151" s="87"/>
    </row>
    <row r="1152" spans="1:7" s="76" customFormat="1" x14ac:dyDescent="0.15">
      <c r="A1152" s="71"/>
      <c r="B1152" s="88" t="s">
        <v>234</v>
      </c>
      <c r="C1152" s="86" t="s">
        <v>1448</v>
      </c>
      <c r="D1152" s="86" t="s">
        <v>211</v>
      </c>
      <c r="E1152" s="86" t="s">
        <v>1141</v>
      </c>
      <c r="F1152" s="86"/>
      <c r="G1152" s="87"/>
    </row>
    <row r="1153" spans="1:11" s="76" customFormat="1" x14ac:dyDescent="0.15">
      <c r="A1153" s="71"/>
      <c r="B1153" s="88" t="s">
        <v>235</v>
      </c>
      <c r="C1153" s="86" t="s">
        <v>1586</v>
      </c>
      <c r="D1153" s="86" t="s">
        <v>211</v>
      </c>
      <c r="E1153" s="86" t="s">
        <v>1141</v>
      </c>
      <c r="F1153" s="86"/>
      <c r="G1153" s="87"/>
    </row>
    <row r="1154" spans="1:11" s="76" customFormat="1" x14ac:dyDescent="0.15">
      <c r="A1154" s="71"/>
      <c r="B1154" s="88" t="s">
        <v>236</v>
      </c>
      <c r="C1154" s="86" t="s">
        <v>1565</v>
      </c>
      <c r="D1154" s="86" t="s">
        <v>1172</v>
      </c>
      <c r="E1154" s="86">
        <v>0</v>
      </c>
      <c r="F1154" s="86"/>
      <c r="G1154" s="87"/>
    </row>
    <row r="1155" spans="1:11" s="7" customFormat="1" x14ac:dyDescent="0.15">
      <c r="A1155" s="71"/>
      <c r="B1155" s="30" t="s">
        <v>184</v>
      </c>
      <c r="C1155" s="21" t="s">
        <v>1260</v>
      </c>
      <c r="D1155" s="21" t="s">
        <v>211</v>
      </c>
      <c r="E1155" s="21" t="s">
        <v>1261</v>
      </c>
      <c r="F1155" s="21"/>
      <c r="G1155" s="22"/>
      <c r="H1155" s="7" t="s">
        <v>237</v>
      </c>
      <c r="I1155" s="7" t="s">
        <v>238</v>
      </c>
      <c r="J1155" s="7" t="s">
        <v>211</v>
      </c>
      <c r="K1155" s="7" t="s">
        <v>211</v>
      </c>
    </row>
    <row r="1156" spans="1:11" s="76" customFormat="1" ht="18" thickBot="1" x14ac:dyDescent="0.2">
      <c r="A1156" s="71"/>
      <c r="B1156" s="92"/>
      <c r="C1156" s="93"/>
      <c r="D1156" s="93"/>
      <c r="E1156" s="93"/>
      <c r="F1156" s="93"/>
      <c r="G1156" s="94"/>
    </row>
    <row r="1157" spans="1:11" s="76" customFormat="1" x14ac:dyDescent="0.15">
      <c r="A1157" s="71"/>
      <c r="B1157" s="324" t="s">
        <v>15</v>
      </c>
      <c r="C1157" s="325"/>
      <c r="D1157" s="325"/>
      <c r="E1157" s="325"/>
      <c r="F1157" s="325"/>
      <c r="G1157" s="326"/>
    </row>
    <row r="1158" spans="1:11" s="76" customFormat="1" x14ac:dyDescent="0.15">
      <c r="A1158" s="71" t="s">
        <v>62</v>
      </c>
      <c r="B1158" s="88">
        <v>1</v>
      </c>
      <c r="C1158" s="86" t="s">
        <v>18</v>
      </c>
      <c r="D1158" s="86" t="s">
        <v>19</v>
      </c>
      <c r="E1158" s="86"/>
      <c r="F1158" s="86"/>
      <c r="G1158" s="87"/>
    </row>
    <row r="1159" spans="1:11" s="76" customFormat="1" x14ac:dyDescent="0.15">
      <c r="A1159" s="71"/>
      <c r="B1159" s="88">
        <v>2</v>
      </c>
      <c r="C1159" s="86" t="s">
        <v>118</v>
      </c>
      <c r="D1159" s="86"/>
      <c r="E1159" s="86"/>
      <c r="F1159" s="86"/>
      <c r="G1159" s="87"/>
    </row>
    <row r="1160" spans="1:11" s="76" customFormat="1" x14ac:dyDescent="0.15">
      <c r="A1160" s="71"/>
      <c r="B1160" s="88">
        <v>3</v>
      </c>
      <c r="C1160" s="86" t="s">
        <v>174</v>
      </c>
      <c r="D1160" s="86"/>
      <c r="E1160" s="86"/>
      <c r="F1160" s="86"/>
      <c r="G1160" s="87"/>
    </row>
    <row r="1161" spans="1:11" s="76" customFormat="1" x14ac:dyDescent="0.15">
      <c r="A1161" s="71"/>
      <c r="B1161" s="88">
        <v>4</v>
      </c>
      <c r="C1161" s="86" t="s">
        <v>184</v>
      </c>
      <c r="D1161" s="86"/>
      <c r="E1161" s="86"/>
      <c r="F1161" s="86"/>
      <c r="G1161" s="87"/>
    </row>
    <row r="1162" spans="1:11" s="76" customFormat="1" ht="18" thickBot="1" x14ac:dyDescent="0.2">
      <c r="A1162" s="71"/>
      <c r="B1162" s="89"/>
      <c r="C1162" s="90"/>
      <c r="D1162" s="90"/>
      <c r="E1162" s="90"/>
      <c r="F1162" s="90"/>
      <c r="G1162" s="91"/>
    </row>
    <row r="1163" spans="1:11" ht="18" thickBot="1" x14ac:dyDescent="0.2"/>
    <row r="1164" spans="1:11" x14ac:dyDescent="0.15">
      <c r="B1164" s="72" t="s">
        <v>563</v>
      </c>
      <c r="C1164" s="149" t="s">
        <v>625</v>
      </c>
      <c r="D1164" s="150" t="s">
        <v>515</v>
      </c>
      <c r="E1164" s="21" t="s">
        <v>1024</v>
      </c>
      <c r="F1164" s="74" t="s">
        <v>567</v>
      </c>
      <c r="G1164" s="75"/>
    </row>
    <row r="1165" spans="1:11" ht="18" thickBot="1" x14ac:dyDescent="0.2">
      <c r="B1165" s="78" t="s">
        <v>570</v>
      </c>
      <c r="C1165" s="79"/>
      <c r="D1165" s="80" t="s">
        <v>568</v>
      </c>
      <c r="E1165" s="79" t="s">
        <v>615</v>
      </c>
      <c r="F1165" s="80"/>
      <c r="G1165" s="81"/>
    </row>
    <row r="1166" spans="1:11" x14ac:dyDescent="0.15">
      <c r="B1166" s="72" t="s">
        <v>0</v>
      </c>
      <c r="C1166" s="82" t="s">
        <v>1</v>
      </c>
      <c r="D1166" s="82" t="s">
        <v>2</v>
      </c>
      <c r="E1166" s="82"/>
      <c r="F1166" s="82" t="s">
        <v>3</v>
      </c>
      <c r="G1166" s="83" t="s">
        <v>4</v>
      </c>
    </row>
    <row r="1167" spans="1:11" x14ac:dyDescent="0.15">
      <c r="B1167" s="84" t="s">
        <v>118</v>
      </c>
      <c r="C1167" s="85" t="s">
        <v>1188</v>
      </c>
      <c r="D1167" s="86" t="s">
        <v>211</v>
      </c>
      <c r="E1167" s="86">
        <v>0</v>
      </c>
      <c r="F1167" s="86"/>
      <c r="G1167" s="87"/>
    </row>
    <row r="1168" spans="1:11" x14ac:dyDescent="0.15">
      <c r="B1168" s="84" t="s">
        <v>7</v>
      </c>
      <c r="C1168" s="85" t="s">
        <v>1190</v>
      </c>
      <c r="D1168" s="85" t="s">
        <v>211</v>
      </c>
      <c r="E1168" s="86">
        <v>0</v>
      </c>
      <c r="F1168" s="86"/>
      <c r="G1168" s="87" t="s">
        <v>1081</v>
      </c>
    </row>
    <row r="1169" spans="2:7" x14ac:dyDescent="0.15">
      <c r="B1169" s="84" t="s">
        <v>239</v>
      </c>
      <c r="C1169" s="85" t="s">
        <v>1337</v>
      </c>
      <c r="D1169" s="86" t="s">
        <v>1219</v>
      </c>
      <c r="E1169" s="86" t="s">
        <v>1072</v>
      </c>
      <c r="F1169" s="86"/>
      <c r="G1169" s="87" t="s">
        <v>1338</v>
      </c>
    </row>
    <row r="1170" spans="2:7" x14ac:dyDescent="0.15">
      <c r="B1170" s="84" t="s">
        <v>240</v>
      </c>
      <c r="C1170" s="86" t="s">
        <v>1122</v>
      </c>
      <c r="D1170" s="86" t="s">
        <v>1073</v>
      </c>
      <c r="E1170" s="86" t="s">
        <v>1072</v>
      </c>
      <c r="F1170" s="86"/>
      <c r="G1170" s="87"/>
    </row>
    <row r="1171" spans="2:7" x14ac:dyDescent="0.15">
      <c r="B1171" s="84" t="s">
        <v>241</v>
      </c>
      <c r="C1171" s="85" t="s">
        <v>1449</v>
      </c>
      <c r="D1171" s="85" t="s">
        <v>1301</v>
      </c>
      <c r="E1171" s="86" t="s">
        <v>1072</v>
      </c>
      <c r="F1171" s="86"/>
      <c r="G1171" s="87"/>
    </row>
    <row r="1172" spans="2:7" x14ac:dyDescent="0.15">
      <c r="B1172" s="84" t="s">
        <v>78</v>
      </c>
      <c r="C1172" s="85" t="s">
        <v>1189</v>
      </c>
      <c r="D1172" s="86" t="s">
        <v>211</v>
      </c>
      <c r="E1172" s="86">
        <v>0</v>
      </c>
      <c r="F1172" s="86"/>
      <c r="G1172" s="87"/>
    </row>
    <row r="1173" spans="2:7" x14ac:dyDescent="0.15">
      <c r="B1173" s="84" t="s">
        <v>242</v>
      </c>
      <c r="C1173" s="85" t="s">
        <v>1258</v>
      </c>
      <c r="D1173" s="86" t="s">
        <v>211</v>
      </c>
      <c r="E1173" s="86">
        <v>0</v>
      </c>
      <c r="F1173" s="86"/>
      <c r="G1173" s="87" t="s">
        <v>1259</v>
      </c>
    </row>
    <row r="1174" spans="2:7" x14ac:dyDescent="0.15">
      <c r="B1174" s="84" t="s">
        <v>222</v>
      </c>
      <c r="C1174" s="86" t="s">
        <v>1394</v>
      </c>
      <c r="D1174" s="86" t="s">
        <v>1211</v>
      </c>
      <c r="E1174" s="86">
        <v>0</v>
      </c>
      <c r="F1174" s="86"/>
      <c r="G1174" s="87"/>
    </row>
    <row r="1175" spans="2:7" x14ac:dyDescent="0.15">
      <c r="B1175" s="88" t="s">
        <v>23</v>
      </c>
      <c r="C1175" s="86" t="s">
        <v>1091</v>
      </c>
      <c r="D1175" s="86" t="s">
        <v>1131</v>
      </c>
      <c r="E1175" s="86" t="s">
        <v>1074</v>
      </c>
      <c r="F1175" s="86"/>
      <c r="G1175" s="87"/>
    </row>
    <row r="1176" spans="2:7" x14ac:dyDescent="0.15">
      <c r="B1176" s="99" t="s">
        <v>243</v>
      </c>
      <c r="C1176" s="100" t="s">
        <v>1450</v>
      </c>
      <c r="D1176" s="100" t="s">
        <v>1131</v>
      </c>
      <c r="E1176" s="100" t="s">
        <v>1074</v>
      </c>
      <c r="F1176" s="100"/>
      <c r="G1176" s="101"/>
    </row>
    <row r="1177" spans="2:7" x14ac:dyDescent="0.15">
      <c r="B1177" s="99" t="s">
        <v>252</v>
      </c>
      <c r="C1177" s="100" t="s">
        <v>1451</v>
      </c>
      <c r="D1177" s="100" t="s">
        <v>1087</v>
      </c>
      <c r="E1177" s="100">
        <v>0</v>
      </c>
      <c r="F1177" s="100"/>
      <c r="G1177" s="101"/>
    </row>
    <row r="1178" spans="2:7" x14ac:dyDescent="0.15">
      <c r="B1178" s="99" t="s">
        <v>253</v>
      </c>
      <c r="C1178" s="100" t="s">
        <v>1587</v>
      </c>
      <c r="D1178" s="100" t="s">
        <v>1087</v>
      </c>
      <c r="E1178" s="100">
        <v>0</v>
      </c>
      <c r="F1178" s="100"/>
      <c r="G1178" s="101"/>
    </row>
    <row r="1179" spans="2:7" x14ac:dyDescent="0.15">
      <c r="B1179" s="170" t="s">
        <v>254</v>
      </c>
      <c r="C1179" s="239" t="s">
        <v>1588</v>
      </c>
      <c r="D1179" s="239" t="s">
        <v>211</v>
      </c>
      <c r="E1179" s="239">
        <v>0</v>
      </c>
      <c r="F1179" s="239"/>
      <c r="G1179" s="240"/>
    </row>
    <row r="1180" spans="2:7" x14ac:dyDescent="0.15">
      <c r="B1180" s="170" t="s">
        <v>255</v>
      </c>
      <c r="C1180" s="239" t="s">
        <v>1452</v>
      </c>
      <c r="D1180" s="239" t="s">
        <v>211</v>
      </c>
      <c r="E1180" s="239">
        <v>0</v>
      </c>
      <c r="F1180" s="239"/>
      <c r="G1180" s="240"/>
    </row>
    <row r="1181" spans="2:7" x14ac:dyDescent="0.15">
      <c r="B1181" s="84" t="s">
        <v>244</v>
      </c>
      <c r="C1181" s="86" t="s">
        <v>1589</v>
      </c>
      <c r="D1181" s="86" t="s">
        <v>211</v>
      </c>
      <c r="E1181" s="86">
        <v>0</v>
      </c>
      <c r="F1181" s="86"/>
      <c r="G1181" s="95" t="s">
        <v>1461</v>
      </c>
    </row>
    <row r="1182" spans="2:7" x14ac:dyDescent="0.15">
      <c r="B1182" s="84" t="s">
        <v>245</v>
      </c>
      <c r="C1182" s="86" t="s">
        <v>1453</v>
      </c>
      <c r="D1182" s="86" t="s">
        <v>211</v>
      </c>
      <c r="E1182" s="86">
        <v>0</v>
      </c>
      <c r="F1182" s="86"/>
      <c r="G1182" s="95" t="s">
        <v>1590</v>
      </c>
    </row>
    <row r="1183" spans="2:7" x14ac:dyDescent="0.15">
      <c r="B1183" s="20" t="s">
        <v>246</v>
      </c>
      <c r="C1183" s="102" t="s">
        <v>1454</v>
      </c>
      <c r="D1183" s="102" t="s">
        <v>211</v>
      </c>
      <c r="E1183" s="102">
        <v>0</v>
      </c>
      <c r="F1183" s="102"/>
      <c r="G1183" s="22"/>
    </row>
    <row r="1184" spans="2:7" x14ac:dyDescent="0.15">
      <c r="B1184" s="20" t="s">
        <v>247</v>
      </c>
      <c r="C1184" s="102" t="s">
        <v>1462</v>
      </c>
      <c r="D1184" s="102" t="s">
        <v>1087</v>
      </c>
      <c r="E1184" s="102">
        <v>0</v>
      </c>
      <c r="F1184" s="102"/>
      <c r="G1184" s="22"/>
    </row>
    <row r="1185" spans="2:7" x14ac:dyDescent="0.15">
      <c r="B1185" s="20" t="s">
        <v>256</v>
      </c>
      <c r="C1185" s="102" t="s">
        <v>1099</v>
      </c>
      <c r="D1185" s="102" t="s">
        <v>1087</v>
      </c>
      <c r="E1185" s="102">
        <v>0</v>
      </c>
      <c r="F1185" s="102"/>
      <c r="G1185" s="22"/>
    </row>
    <row r="1186" spans="2:7" x14ac:dyDescent="0.15">
      <c r="B1186" s="99" t="s">
        <v>257</v>
      </c>
      <c r="C1186" s="100" t="s">
        <v>1455</v>
      </c>
      <c r="D1186" s="100" t="s">
        <v>211</v>
      </c>
      <c r="E1186" s="100">
        <v>0</v>
      </c>
      <c r="F1186" s="100"/>
      <c r="G1186" s="101" t="s">
        <v>1591</v>
      </c>
    </row>
    <row r="1187" spans="2:7" x14ac:dyDescent="0.15">
      <c r="B1187" s="14" t="s">
        <v>248</v>
      </c>
      <c r="C1187" s="103" t="s">
        <v>1456</v>
      </c>
      <c r="D1187" s="15" t="s">
        <v>1211</v>
      </c>
      <c r="E1187" s="15">
        <v>0</v>
      </c>
      <c r="F1187" s="15" t="s">
        <v>28</v>
      </c>
      <c r="G1187" s="16" t="s">
        <v>1457</v>
      </c>
    </row>
    <row r="1188" spans="2:7" x14ac:dyDescent="0.15">
      <c r="B1188" s="14" t="s">
        <v>249</v>
      </c>
      <c r="C1188" s="103" t="s">
        <v>1458</v>
      </c>
      <c r="D1188" s="15" t="s">
        <v>1211</v>
      </c>
      <c r="E1188" s="15">
        <v>0</v>
      </c>
      <c r="F1188" s="15" t="s">
        <v>28</v>
      </c>
      <c r="G1188" s="16" t="s">
        <v>1592</v>
      </c>
    </row>
    <row r="1189" spans="2:7" x14ac:dyDescent="0.15">
      <c r="B1189" s="14" t="s">
        <v>250</v>
      </c>
      <c r="C1189" s="103" t="s">
        <v>1593</v>
      </c>
      <c r="D1189" s="15" t="s">
        <v>1211</v>
      </c>
      <c r="E1189" s="15">
        <v>0</v>
      </c>
      <c r="F1189" s="15"/>
      <c r="G1189" s="16"/>
    </row>
    <row r="1190" spans="2:7" x14ac:dyDescent="0.15">
      <c r="B1190" s="84" t="s">
        <v>29</v>
      </c>
      <c r="C1190" s="86" t="s">
        <v>1075</v>
      </c>
      <c r="D1190" s="86" t="s">
        <v>1211</v>
      </c>
      <c r="E1190" s="86">
        <v>0</v>
      </c>
      <c r="F1190" s="86"/>
      <c r="G1190" s="87"/>
    </row>
    <row r="1191" spans="2:7" x14ac:dyDescent="0.15">
      <c r="B1191" s="84" t="s">
        <v>30</v>
      </c>
      <c r="C1191" s="86" t="s">
        <v>1240</v>
      </c>
      <c r="D1191" s="86" t="s">
        <v>1211</v>
      </c>
      <c r="E1191" s="86">
        <v>0</v>
      </c>
      <c r="F1191" s="86"/>
      <c r="G1191" s="87"/>
    </row>
    <row r="1192" spans="2:7" x14ac:dyDescent="0.15">
      <c r="B1192" s="84" t="s">
        <v>32</v>
      </c>
      <c r="C1192" s="86" t="s">
        <v>1112</v>
      </c>
      <c r="D1192" s="86" t="s">
        <v>1211</v>
      </c>
      <c r="E1192" s="86">
        <v>0</v>
      </c>
      <c r="F1192" s="86"/>
      <c r="G1192" s="87"/>
    </row>
    <row r="1193" spans="2:7" x14ac:dyDescent="0.15">
      <c r="B1193" s="84" t="s">
        <v>40</v>
      </c>
      <c r="C1193" s="86" t="s">
        <v>1459</v>
      </c>
      <c r="D1193" s="86" t="s">
        <v>1211</v>
      </c>
      <c r="E1193" s="86">
        <v>0</v>
      </c>
      <c r="F1193" s="86"/>
      <c r="G1193" s="87"/>
    </row>
    <row r="1194" spans="2:7" x14ac:dyDescent="0.15">
      <c r="B1194" s="84" t="s">
        <v>251</v>
      </c>
      <c r="C1194" s="86" t="s">
        <v>1460</v>
      </c>
      <c r="D1194" s="86" t="s">
        <v>1403</v>
      </c>
      <c r="E1194" s="86" t="s">
        <v>1303</v>
      </c>
      <c r="F1194" s="86"/>
      <c r="G1194" s="87"/>
    </row>
    <row r="1195" spans="2:7" x14ac:dyDescent="0.15">
      <c r="B1195" s="84" t="s">
        <v>184</v>
      </c>
      <c r="C1195" s="86" t="s">
        <v>1260</v>
      </c>
      <c r="D1195" s="86" t="s">
        <v>211</v>
      </c>
      <c r="E1195" s="86" t="s">
        <v>1261</v>
      </c>
      <c r="F1195" s="86"/>
      <c r="G1195" s="87"/>
    </row>
    <row r="1196" spans="2:7" ht="18" thickBot="1" x14ac:dyDescent="0.2">
      <c r="B1196" s="92"/>
      <c r="C1196" s="93"/>
      <c r="D1196" s="93"/>
      <c r="E1196" s="93"/>
      <c r="F1196" s="93"/>
      <c r="G1196" s="94"/>
    </row>
    <row r="1197" spans="2:7" x14ac:dyDescent="0.15">
      <c r="B1197" s="324" t="s">
        <v>15</v>
      </c>
      <c r="C1197" s="325"/>
      <c r="D1197" s="325"/>
      <c r="E1197" s="325"/>
      <c r="F1197" s="325"/>
      <c r="G1197" s="326"/>
    </row>
    <row r="1198" spans="2:7" x14ac:dyDescent="0.15">
      <c r="B1198" s="88">
        <v>1</v>
      </c>
      <c r="C1198" s="86" t="s">
        <v>7</v>
      </c>
      <c r="D1198" s="86" t="s">
        <v>239</v>
      </c>
      <c r="E1198" s="86"/>
      <c r="F1198" s="86"/>
      <c r="G1198" s="87"/>
    </row>
    <row r="1199" spans="2:7" x14ac:dyDescent="0.15">
      <c r="B1199" s="88">
        <v>2</v>
      </c>
      <c r="C1199" s="86" t="s">
        <v>118</v>
      </c>
      <c r="D1199" s="86"/>
      <c r="E1199" s="86"/>
      <c r="F1199" s="86"/>
      <c r="G1199" s="87"/>
    </row>
    <row r="1200" spans="2:7" x14ac:dyDescent="0.15">
      <c r="B1200" s="88">
        <v>3</v>
      </c>
      <c r="C1200" s="86" t="s">
        <v>184</v>
      </c>
      <c r="D1200" s="86"/>
      <c r="E1200" s="86"/>
      <c r="F1200" s="86"/>
      <c r="G1200" s="87"/>
    </row>
    <row r="1201" spans="1:8" ht="18" thickBot="1" x14ac:dyDescent="0.2">
      <c r="B1201" s="89"/>
      <c r="C1201" s="90"/>
      <c r="D1201" s="90"/>
      <c r="E1201" s="90"/>
      <c r="F1201" s="90"/>
      <c r="G1201" s="91"/>
    </row>
    <row r="1202" spans="1:8" ht="18" thickBot="1" x14ac:dyDescent="0.2"/>
    <row r="1203" spans="1:8" x14ac:dyDescent="0.15">
      <c r="B1203" s="147" t="s">
        <v>563</v>
      </c>
      <c r="C1203" s="147" t="s">
        <v>670</v>
      </c>
      <c r="D1203" s="147" t="s">
        <v>515</v>
      </c>
      <c r="E1203" s="21" t="s">
        <v>723</v>
      </c>
      <c r="F1203" s="147" t="s">
        <v>567</v>
      </c>
      <c r="G1203" s="147" t="s">
        <v>671</v>
      </c>
      <c r="H1203" s="6" t="str">
        <f>"create or replace view "&amp;C1203</f>
        <v>create or replace view vi_basesedt_stock_quot</v>
      </c>
    </row>
    <row r="1204" spans="1:8" ht="18" thickBot="1" x14ac:dyDescent="0.2">
      <c r="B1204" s="78" t="s">
        <v>570</v>
      </c>
      <c r="C1204" s="79"/>
      <c r="D1204" s="80" t="s">
        <v>568</v>
      </c>
      <c r="E1204" s="79" t="s">
        <v>615</v>
      </c>
      <c r="F1204" s="80"/>
      <c r="G1204" s="81"/>
      <c r="H1204" s="11" t="str">
        <f>"/* "&amp;E1203&amp;"*/  as "</f>
        <v xml:space="preserve">/* 报表_资管报表_视图-证券基础数据-证券行情表*/  as </v>
      </c>
    </row>
    <row r="1205" spans="1:8" x14ac:dyDescent="0.15">
      <c r="B1205" s="72" t="s">
        <v>0</v>
      </c>
      <c r="C1205" s="82" t="s">
        <v>1</v>
      </c>
      <c r="D1205" s="82" t="s">
        <v>2</v>
      </c>
      <c r="E1205" s="82"/>
      <c r="F1205" s="82" t="s">
        <v>3</v>
      </c>
      <c r="G1205" s="83" t="s">
        <v>4</v>
      </c>
      <c r="H1205" s="13" t="s">
        <v>474</v>
      </c>
    </row>
    <row r="1206" spans="1:8" s="76" customFormat="1" x14ac:dyDescent="0.15">
      <c r="A1206" s="71"/>
      <c r="B1206" s="194" t="s">
        <v>185</v>
      </c>
      <c r="C1206" s="195" t="s">
        <v>1188</v>
      </c>
      <c r="D1206" s="195" t="s">
        <v>211</v>
      </c>
      <c r="E1206" s="195">
        <v>0</v>
      </c>
      <c r="F1206" s="195" t="s">
        <v>440</v>
      </c>
      <c r="G1206" s="196"/>
      <c r="H1206" s="107" t="str">
        <f t="shared" ref="H1206:H1237" si="6">"ifnull("&amp;IF(I1206&lt;&gt;"",I1206,IF(F1206&lt;&gt;"",F1206,"t")&amp;"."&amp;C1206)&amp;","&amp;E1206&amp;") as "&amp;C1206&amp;",/*"&amp;B1206&amp;"*/"</f>
        <v>ifnull(t.stock_code_no,0) as stock_code_no,/*证券代码编号*/</v>
      </c>
    </row>
    <row r="1207" spans="1:8" s="76" customFormat="1" x14ac:dyDescent="0.15">
      <c r="A1207" s="71"/>
      <c r="B1207" s="194" t="s">
        <v>7</v>
      </c>
      <c r="C1207" s="195" t="s">
        <v>1190</v>
      </c>
      <c r="D1207" s="195" t="s">
        <v>211</v>
      </c>
      <c r="E1207" s="195">
        <v>0</v>
      </c>
      <c r="F1207" s="195" t="s">
        <v>440</v>
      </c>
      <c r="G1207" s="196" t="s">
        <v>1081</v>
      </c>
      <c r="H1207" s="107" t="str">
        <f t="shared" si="6"/>
        <v>ifnull(t.exch_no,0) as exch_no,/*市场编号*/</v>
      </c>
    </row>
    <row r="1208" spans="1:8" s="76" customFormat="1" x14ac:dyDescent="0.15">
      <c r="A1208" s="71"/>
      <c r="B1208" s="194" t="s">
        <v>239</v>
      </c>
      <c r="C1208" s="195" t="s">
        <v>1337</v>
      </c>
      <c r="D1208" s="195" t="s">
        <v>1219</v>
      </c>
      <c r="E1208" s="195" t="s">
        <v>1072</v>
      </c>
      <c r="F1208" s="195" t="s">
        <v>440</v>
      </c>
      <c r="G1208" s="196" t="s">
        <v>1338</v>
      </c>
      <c r="H1208" s="107" t="str">
        <f t="shared" si="6"/>
        <v>ifnull(t.stock_code," ") as stock_code,/*证券代码*/</v>
      </c>
    </row>
    <row r="1209" spans="1:8" s="76" customFormat="1" x14ac:dyDescent="0.15">
      <c r="A1209" s="71"/>
      <c r="B1209" s="194" t="s">
        <v>240</v>
      </c>
      <c r="C1209" s="195" t="s">
        <v>1122</v>
      </c>
      <c r="D1209" s="195" t="s">
        <v>1073</v>
      </c>
      <c r="E1209" s="195" t="s">
        <v>1072</v>
      </c>
      <c r="F1209" s="195" t="s">
        <v>440</v>
      </c>
      <c r="G1209" s="196"/>
      <c r="H1209" s="107" t="str">
        <f t="shared" si="6"/>
        <v>ifnull(t.stock_name," ") as stock_name,/*证券名称*/</v>
      </c>
    </row>
    <row r="1210" spans="1:8" s="76" customFormat="1" x14ac:dyDescent="0.15">
      <c r="A1210" s="71"/>
      <c r="B1210" s="194" t="s">
        <v>241</v>
      </c>
      <c r="C1210" s="195" t="s">
        <v>1449</v>
      </c>
      <c r="D1210" s="195" t="s">
        <v>1301</v>
      </c>
      <c r="E1210" s="195" t="s">
        <v>1072</v>
      </c>
      <c r="F1210" s="195" t="s">
        <v>440</v>
      </c>
      <c r="G1210" s="196"/>
      <c r="H1210" s="107" t="str">
        <f t="shared" si="6"/>
        <v>ifnull(t.pinyin_short," ") as pinyin_short,/*拼音简称*/</v>
      </c>
    </row>
    <row r="1211" spans="1:8" s="76" customFormat="1" x14ac:dyDescent="0.15">
      <c r="A1211" s="71"/>
      <c r="B1211" s="194" t="s">
        <v>78</v>
      </c>
      <c r="C1211" s="195" t="s">
        <v>1189</v>
      </c>
      <c r="D1211" s="195" t="s">
        <v>211</v>
      </c>
      <c r="E1211" s="195">
        <v>0</v>
      </c>
      <c r="F1211" s="195" t="s">
        <v>440</v>
      </c>
      <c r="G1211" s="196"/>
      <c r="H1211" s="107" t="str">
        <f t="shared" si="6"/>
        <v>ifnull(t.stock_type,0) as stock_type,/*证券类型*/</v>
      </c>
    </row>
    <row r="1212" spans="1:8" s="76" customFormat="1" x14ac:dyDescent="0.15">
      <c r="A1212" s="71"/>
      <c r="B1212" s="194" t="s">
        <v>242</v>
      </c>
      <c r="C1212" s="195" t="s">
        <v>1258</v>
      </c>
      <c r="D1212" s="195" t="s">
        <v>211</v>
      </c>
      <c r="E1212" s="195">
        <v>0</v>
      </c>
      <c r="F1212" s="195" t="s">
        <v>440</v>
      </c>
      <c r="G1212" s="196" t="s">
        <v>1259</v>
      </c>
      <c r="H1212" s="107" t="str">
        <f t="shared" si="6"/>
        <v>ifnull(t.asset_type,0) as asset_type,/*资产类型*/</v>
      </c>
    </row>
    <row r="1213" spans="1:8" s="76" customFormat="1" x14ac:dyDescent="0.15">
      <c r="A1213" s="71"/>
      <c r="B1213" s="194" t="s">
        <v>222</v>
      </c>
      <c r="C1213" s="195" t="s">
        <v>1394</v>
      </c>
      <c r="D1213" s="195" t="s">
        <v>1211</v>
      </c>
      <c r="E1213" s="195">
        <v>0</v>
      </c>
      <c r="F1213" s="195" t="s">
        <v>440</v>
      </c>
      <c r="G1213" s="196"/>
      <c r="H1213" s="107" t="str">
        <f t="shared" si="6"/>
        <v>ifnull(t.par_value,0) as par_value,/*票面面值*/</v>
      </c>
    </row>
    <row r="1214" spans="1:8" s="76" customFormat="1" x14ac:dyDescent="0.15">
      <c r="A1214" s="71"/>
      <c r="B1214" s="194" t="s">
        <v>23</v>
      </c>
      <c r="C1214" s="195" t="s">
        <v>1091</v>
      </c>
      <c r="D1214" s="195" t="s">
        <v>1131</v>
      </c>
      <c r="E1214" s="195" t="s">
        <v>1074</v>
      </c>
      <c r="F1214" s="195" t="s">
        <v>440</v>
      </c>
      <c r="G1214" s="196"/>
      <c r="H1214" s="107" t="str">
        <f t="shared" si="6"/>
        <v>ifnull(t.crncy_type,"CNY") as crncy_type,/*本币币种*/</v>
      </c>
    </row>
    <row r="1215" spans="1:8" s="76" customFormat="1" x14ac:dyDescent="0.15">
      <c r="A1215" s="71"/>
      <c r="B1215" s="167" t="s">
        <v>243</v>
      </c>
      <c r="C1215" s="242" t="s">
        <v>1450</v>
      </c>
      <c r="D1215" s="242" t="s">
        <v>1131</v>
      </c>
      <c r="E1215" s="242" t="s">
        <v>1074</v>
      </c>
      <c r="F1215" s="195" t="s">
        <v>440</v>
      </c>
      <c r="G1215" s="243"/>
      <c r="H1215" s="107" t="str">
        <f t="shared" si="6"/>
        <v>ifnull(t.exch_crncy_type,"CNY") as exch_crncy_type,/*交易币种*/</v>
      </c>
    </row>
    <row r="1216" spans="1:8" s="76" customFormat="1" x14ac:dyDescent="0.15">
      <c r="A1216" s="71"/>
      <c r="B1216" s="167" t="s">
        <v>252</v>
      </c>
      <c r="C1216" s="242" t="s">
        <v>1451</v>
      </c>
      <c r="D1216" s="242" t="s">
        <v>1087</v>
      </c>
      <c r="E1216" s="242">
        <v>0</v>
      </c>
      <c r="F1216" s="195" t="s">
        <v>440</v>
      </c>
      <c r="G1216" s="243"/>
      <c r="H1216" s="107" t="str">
        <f t="shared" si="6"/>
        <v>ifnull(t.total_stock_issue,0) as total_stock_issue,/*总股本*/</v>
      </c>
    </row>
    <row r="1217" spans="1:17" s="76" customFormat="1" x14ac:dyDescent="0.15">
      <c r="A1217" s="71"/>
      <c r="B1217" s="167" t="s">
        <v>253</v>
      </c>
      <c r="C1217" s="242" t="s">
        <v>1587</v>
      </c>
      <c r="D1217" s="242" t="s">
        <v>1087</v>
      </c>
      <c r="E1217" s="242">
        <v>0</v>
      </c>
      <c r="F1217" s="195" t="s">
        <v>440</v>
      </c>
      <c r="G1217" s="243"/>
      <c r="H1217" s="107" t="str">
        <f t="shared" si="6"/>
        <v>ifnull(t.circl_stock_capit,0) as circl_stock_capit,/*流通股本*/</v>
      </c>
    </row>
    <row r="1218" spans="1:17" s="76" customFormat="1" x14ac:dyDescent="0.15">
      <c r="A1218" s="71"/>
      <c r="B1218" s="226" t="s">
        <v>254</v>
      </c>
      <c r="C1218" s="106" t="s">
        <v>1588</v>
      </c>
      <c r="D1218" s="106" t="s">
        <v>211</v>
      </c>
      <c r="E1218" s="106">
        <v>0</v>
      </c>
      <c r="F1218" s="230" t="s">
        <v>440</v>
      </c>
      <c r="G1218" s="244"/>
      <c r="H1218" s="107" t="str">
        <f t="shared" si="6"/>
        <v>ifnull(t.capit_reback_days,0) as capit_reback_days,/*资金回转天数*/</v>
      </c>
    </row>
    <row r="1219" spans="1:17" s="76" customFormat="1" x14ac:dyDescent="0.15">
      <c r="A1219" s="71"/>
      <c r="B1219" s="226" t="s">
        <v>255</v>
      </c>
      <c r="C1219" s="106" t="s">
        <v>1452</v>
      </c>
      <c r="D1219" s="106" t="s">
        <v>211</v>
      </c>
      <c r="E1219" s="106">
        <v>0</v>
      </c>
      <c r="F1219" s="230" t="s">
        <v>440</v>
      </c>
      <c r="G1219" s="244"/>
      <c r="H1219" s="107" t="str">
        <f t="shared" si="6"/>
        <v>ifnull(t.posi_reback_days,0) as posi_reback_days,/*持仓回转天数*/</v>
      </c>
    </row>
    <row r="1220" spans="1:17" s="76" customFormat="1" x14ac:dyDescent="0.15">
      <c r="A1220" s="71"/>
      <c r="B1220" s="194" t="s">
        <v>244</v>
      </c>
      <c r="C1220" s="195" t="s">
        <v>1589</v>
      </c>
      <c r="D1220" s="195" t="s">
        <v>211</v>
      </c>
      <c r="E1220" s="195">
        <v>0</v>
      </c>
      <c r="F1220" s="195" t="s">
        <v>440</v>
      </c>
      <c r="G1220" s="196" t="s">
        <v>1461</v>
      </c>
      <c r="H1220" s="107" t="str">
        <f t="shared" si="6"/>
        <v>ifnull(t.type_unit,0) as type_unit,/*类型单位*/</v>
      </c>
    </row>
    <row r="1221" spans="1:17" s="76" customFormat="1" x14ac:dyDescent="0.15">
      <c r="A1221" s="71"/>
      <c r="B1221" s="194" t="s">
        <v>245</v>
      </c>
      <c r="C1221" s="195" t="s">
        <v>1453</v>
      </c>
      <c r="D1221" s="195" t="s">
        <v>211</v>
      </c>
      <c r="E1221" s="195">
        <v>0</v>
      </c>
      <c r="F1221" s="195" t="s">
        <v>440</v>
      </c>
      <c r="G1221" s="196" t="s">
        <v>1590</v>
      </c>
      <c r="H1221" s="107" t="str">
        <f t="shared" si="6"/>
        <v>ifnull(t.report_unit,0) as report_unit,/*申报单位*/</v>
      </c>
    </row>
    <row r="1222" spans="1:17" s="28" customFormat="1" x14ac:dyDescent="0.15">
      <c r="A1222" s="71"/>
      <c r="B1222" s="194" t="s">
        <v>246</v>
      </c>
      <c r="C1222" s="195" t="s">
        <v>1454</v>
      </c>
      <c r="D1222" s="195" t="s">
        <v>211</v>
      </c>
      <c r="E1222" s="195">
        <v>0</v>
      </c>
      <c r="F1222" s="195" t="s">
        <v>440</v>
      </c>
      <c r="G1222" s="196"/>
      <c r="H1222" s="107" t="str">
        <f t="shared" si="6"/>
        <v>ifnull(t.min_unit,0) as min_unit,/*最小单位*/</v>
      </c>
      <c r="I1222" s="7"/>
      <c r="J1222" s="7"/>
      <c r="K1222" s="7"/>
      <c r="L1222" s="7"/>
      <c r="M1222" s="7"/>
      <c r="N1222" s="7"/>
      <c r="O1222" s="7"/>
      <c r="P1222" s="7"/>
      <c r="Q1222" s="7"/>
    </row>
    <row r="1223" spans="1:17" s="28" customFormat="1" x14ac:dyDescent="0.15">
      <c r="A1223" s="71"/>
      <c r="B1223" s="194" t="s">
        <v>247</v>
      </c>
      <c r="C1223" s="195" t="s">
        <v>1462</v>
      </c>
      <c r="D1223" s="195" t="s">
        <v>1087</v>
      </c>
      <c r="E1223" s="195">
        <v>0</v>
      </c>
      <c r="F1223" s="195" t="s">
        <v>440</v>
      </c>
      <c r="G1223" s="196"/>
      <c r="H1223" s="107" t="str">
        <f t="shared" si="6"/>
        <v>ifnull(t.max_qty,0) as max_qty,/*最大数量*/</v>
      </c>
      <c r="I1223" s="7"/>
      <c r="J1223" s="7"/>
      <c r="K1223" s="7"/>
      <c r="L1223" s="7"/>
      <c r="M1223" s="7"/>
      <c r="N1223" s="7"/>
      <c r="O1223" s="7"/>
      <c r="P1223" s="7"/>
      <c r="Q1223" s="7"/>
    </row>
    <row r="1224" spans="1:17" s="28" customFormat="1" x14ac:dyDescent="0.15">
      <c r="A1224" s="71"/>
      <c r="B1224" s="194" t="s">
        <v>256</v>
      </c>
      <c r="C1224" s="195" t="s">
        <v>1099</v>
      </c>
      <c r="D1224" s="195" t="s">
        <v>1087</v>
      </c>
      <c r="E1224" s="195">
        <v>0</v>
      </c>
      <c r="F1224" s="195" t="s">
        <v>440</v>
      </c>
      <c r="G1224" s="196"/>
      <c r="H1224" s="107" t="str">
        <f t="shared" si="6"/>
        <v>ifnull(t.min_qty,0) as min_qty,/*最小数量*/</v>
      </c>
      <c r="I1224" s="7"/>
      <c r="J1224" s="7"/>
      <c r="K1224" s="7"/>
      <c r="L1224" s="7"/>
      <c r="M1224" s="7"/>
      <c r="N1224" s="7"/>
      <c r="O1224" s="7"/>
      <c r="P1224" s="7"/>
      <c r="Q1224" s="7"/>
    </row>
    <row r="1225" spans="1:17" s="76" customFormat="1" x14ac:dyDescent="0.15">
      <c r="A1225" s="71"/>
      <c r="B1225" s="167" t="s">
        <v>257</v>
      </c>
      <c r="C1225" s="242" t="s">
        <v>1455</v>
      </c>
      <c r="D1225" s="242" t="s">
        <v>211</v>
      </c>
      <c r="E1225" s="242">
        <v>0</v>
      </c>
      <c r="F1225" s="195" t="s">
        <v>440</v>
      </c>
      <c r="G1225" s="243" t="s">
        <v>1591</v>
      </c>
      <c r="H1225" s="107" t="str">
        <f t="shared" si="6"/>
        <v>ifnull(t.is_order_dir_flag,0) as is_order_dir_flag,/*区分订单方向标志*/</v>
      </c>
    </row>
    <row r="1226" spans="1:17" s="28" customFormat="1" x14ac:dyDescent="0.15">
      <c r="A1226" s="71"/>
      <c r="B1226" s="167" t="s">
        <v>248</v>
      </c>
      <c r="C1226" s="168" t="s">
        <v>1456</v>
      </c>
      <c r="D1226" s="168" t="s">
        <v>1211</v>
      </c>
      <c r="E1226" s="168">
        <v>0</v>
      </c>
      <c r="F1226" s="195" t="s">
        <v>440</v>
      </c>
      <c r="G1226" s="169" t="s">
        <v>1457</v>
      </c>
      <c r="H1226" s="107" t="str">
        <f t="shared" si="6"/>
        <v>ifnull(t.price_up,0) as price_up,/*价格上限*/</v>
      </c>
    </row>
    <row r="1227" spans="1:17" s="28" customFormat="1" x14ac:dyDescent="0.15">
      <c r="A1227" s="71"/>
      <c r="B1227" s="167" t="s">
        <v>249</v>
      </c>
      <c r="C1227" s="168" t="s">
        <v>1458</v>
      </c>
      <c r="D1227" s="168" t="s">
        <v>1211</v>
      </c>
      <c r="E1227" s="168">
        <v>0</v>
      </c>
      <c r="F1227" s="195" t="s">
        <v>440</v>
      </c>
      <c r="G1227" s="169" t="s">
        <v>1592</v>
      </c>
      <c r="H1227" s="107" t="str">
        <f t="shared" si="6"/>
        <v>ifnull(t.price_down,0) as price_down,/*价格下限*/</v>
      </c>
    </row>
    <row r="1228" spans="1:17" s="28" customFormat="1" x14ac:dyDescent="0.15">
      <c r="A1228" s="71"/>
      <c r="B1228" s="167" t="s">
        <v>250</v>
      </c>
      <c r="C1228" s="168" t="s">
        <v>1593</v>
      </c>
      <c r="D1228" s="168" t="s">
        <v>1211</v>
      </c>
      <c r="E1228" s="168">
        <v>0</v>
      </c>
      <c r="F1228" s="195" t="s">
        <v>440</v>
      </c>
      <c r="G1228" s="169"/>
      <c r="H1228" s="107" t="str">
        <f t="shared" si="6"/>
        <v>ifnull(t.step_price,0) as step_price,/*最小价差*/</v>
      </c>
    </row>
    <row r="1229" spans="1:17" s="77" customFormat="1" x14ac:dyDescent="0.15">
      <c r="A1229" s="71"/>
      <c r="B1229" s="194" t="s">
        <v>29</v>
      </c>
      <c r="C1229" s="195" t="s">
        <v>1075</v>
      </c>
      <c r="D1229" s="195" t="s">
        <v>1211</v>
      </c>
      <c r="E1229" s="195">
        <v>0</v>
      </c>
      <c r="F1229" s="195" t="s">
        <v>440</v>
      </c>
      <c r="G1229" s="196"/>
      <c r="H1229" s="107" t="str">
        <f t="shared" si="6"/>
        <v>ifnull(t.up_limit_price,0) as up_limit_price,/*涨停价*/</v>
      </c>
      <c r="I1229" s="76"/>
      <c r="J1229" s="76"/>
      <c r="K1229" s="76"/>
      <c r="L1229" s="76"/>
      <c r="M1229" s="76"/>
    </row>
    <row r="1230" spans="1:17" s="77" customFormat="1" x14ac:dyDescent="0.15">
      <c r="A1230" s="71"/>
      <c r="B1230" s="194" t="s">
        <v>30</v>
      </c>
      <c r="C1230" s="195" t="s">
        <v>1240</v>
      </c>
      <c r="D1230" s="195" t="s">
        <v>1211</v>
      </c>
      <c r="E1230" s="195">
        <v>0</v>
      </c>
      <c r="F1230" s="195" t="s">
        <v>440</v>
      </c>
      <c r="G1230" s="196"/>
      <c r="H1230" s="107" t="str">
        <f t="shared" si="6"/>
        <v>ifnull(t.down_limit_price,0) as down_limit_price,/*跌停价*/</v>
      </c>
      <c r="I1230" s="76"/>
      <c r="J1230" s="76"/>
      <c r="K1230" s="76"/>
      <c r="L1230" s="76"/>
      <c r="M1230" s="76"/>
    </row>
    <row r="1231" spans="1:17" s="28" customFormat="1" x14ac:dyDescent="0.15">
      <c r="A1231" s="71"/>
      <c r="B1231" s="194" t="s">
        <v>32</v>
      </c>
      <c r="C1231" s="195" t="s">
        <v>1112</v>
      </c>
      <c r="D1231" s="195" t="s">
        <v>1211</v>
      </c>
      <c r="E1231" s="195">
        <v>0</v>
      </c>
      <c r="F1231" s="195" t="s">
        <v>440</v>
      </c>
      <c r="G1231" s="196"/>
      <c r="H1231" s="107" t="str">
        <f t="shared" si="6"/>
        <v>ifnull(t.pre_close_price,0) as pre_close_price,/*昨收盘价*/</v>
      </c>
      <c r="I1231" s="7"/>
      <c r="J1231" s="7"/>
      <c r="K1231" s="7"/>
      <c r="L1231" s="7"/>
      <c r="M1231" s="7"/>
    </row>
    <row r="1232" spans="1:17" s="76" customFormat="1" x14ac:dyDescent="0.15">
      <c r="A1232" s="71"/>
      <c r="B1232" s="194" t="s">
        <v>40</v>
      </c>
      <c r="C1232" s="195" t="s">
        <v>1459</v>
      </c>
      <c r="D1232" s="195" t="s">
        <v>1211</v>
      </c>
      <c r="E1232" s="195">
        <v>0</v>
      </c>
      <c r="F1232" s="195" t="s">
        <v>440</v>
      </c>
      <c r="G1232" s="196"/>
      <c r="H1232" s="107" t="str">
        <f t="shared" si="6"/>
        <v>ifnull(t.fair_price,0) as fair_price,/*公允价格*/</v>
      </c>
    </row>
    <row r="1233" spans="1:13" s="76" customFormat="1" x14ac:dyDescent="0.15">
      <c r="A1233" s="71"/>
      <c r="B1233" s="194" t="s">
        <v>251</v>
      </c>
      <c r="C1233" s="195" t="s">
        <v>1460</v>
      </c>
      <c r="D1233" s="195" t="s">
        <v>1403</v>
      </c>
      <c r="E1233" s="195" t="s">
        <v>1303</v>
      </c>
      <c r="F1233" s="195" t="s">
        <v>440</v>
      </c>
      <c r="G1233" s="196"/>
      <c r="H1233" s="107" t="str">
        <f t="shared" si="6"/>
        <v>ifnull(t.stop_status,"0") as stop_status,/*停牌标志*/</v>
      </c>
    </row>
    <row r="1234" spans="1:13" s="28" customFormat="1" x14ac:dyDescent="0.15">
      <c r="A1234" s="71"/>
      <c r="B1234" s="153" t="s">
        <v>35</v>
      </c>
      <c r="C1234" s="154" t="s">
        <v>1236</v>
      </c>
      <c r="D1234" s="154" t="s">
        <v>1211</v>
      </c>
      <c r="E1234" s="154">
        <v>0</v>
      </c>
      <c r="F1234" s="154" t="s">
        <v>441</v>
      </c>
      <c r="G1234" s="155"/>
      <c r="H1234" s="107" t="str">
        <f t="shared" si="6"/>
        <v>ifnull(a.last_price,0) as last_price,/*最新价*/</v>
      </c>
      <c r="I1234" s="7"/>
      <c r="J1234" s="7"/>
      <c r="K1234" s="7"/>
      <c r="L1234" s="7"/>
      <c r="M1234" s="7"/>
    </row>
    <row r="1235" spans="1:13" s="28" customFormat="1" x14ac:dyDescent="0.15">
      <c r="A1235" s="71"/>
      <c r="B1235" s="153" t="s">
        <v>33</v>
      </c>
      <c r="C1235" s="154" t="s">
        <v>1237</v>
      </c>
      <c r="D1235" s="154" t="s">
        <v>1211</v>
      </c>
      <c r="E1235" s="154">
        <v>0</v>
      </c>
      <c r="F1235" s="154" t="s">
        <v>441</v>
      </c>
      <c r="G1235" s="155"/>
      <c r="H1235" s="107" t="str">
        <f t="shared" si="6"/>
        <v>ifnull(a.today_open_price,0) as today_open_price,/*今开盘价*/</v>
      </c>
      <c r="I1235" s="7"/>
      <c r="J1235" s="7"/>
      <c r="K1235" s="7"/>
      <c r="L1235" s="7"/>
      <c r="M1235" s="7"/>
    </row>
    <row r="1236" spans="1:13" s="28" customFormat="1" x14ac:dyDescent="0.15">
      <c r="A1236" s="71"/>
      <c r="B1236" s="153" t="s">
        <v>34</v>
      </c>
      <c r="C1236" s="154" t="s">
        <v>1113</v>
      </c>
      <c r="D1236" s="154" t="s">
        <v>1211</v>
      </c>
      <c r="E1236" s="154">
        <v>0</v>
      </c>
      <c r="F1236" s="154" t="s">
        <v>441</v>
      </c>
      <c r="G1236" s="155"/>
      <c r="H1236" s="107" t="str">
        <f t="shared" si="6"/>
        <v>ifnull(a.today_close_price,0) as today_close_price,/*今收盘价*/</v>
      </c>
      <c r="I1236" s="7"/>
      <c r="J1236" s="7"/>
      <c r="K1236" s="7"/>
      <c r="L1236" s="7"/>
      <c r="M1236" s="7"/>
    </row>
    <row r="1237" spans="1:13" s="28" customFormat="1" x14ac:dyDescent="0.15">
      <c r="A1237" s="71"/>
      <c r="B1237" s="153" t="s">
        <v>36</v>
      </c>
      <c r="C1237" s="154" t="s">
        <v>1463</v>
      </c>
      <c r="D1237" s="154" t="s">
        <v>1211</v>
      </c>
      <c r="E1237" s="154">
        <v>0</v>
      </c>
      <c r="F1237" s="154" t="s">
        <v>441</v>
      </c>
      <c r="G1237" s="155"/>
      <c r="H1237" s="107" t="str">
        <f t="shared" si="6"/>
        <v>ifnull(a.today_max_price,0) as today_max_price,/*今最高价*/</v>
      </c>
      <c r="I1237" s="7"/>
      <c r="J1237" s="7"/>
      <c r="K1237" s="7"/>
      <c r="L1237" s="7"/>
      <c r="M1237" s="7"/>
    </row>
    <row r="1238" spans="1:13" s="28" customFormat="1" x14ac:dyDescent="0.15">
      <c r="A1238" s="71"/>
      <c r="B1238" s="153" t="s">
        <v>37</v>
      </c>
      <c r="C1238" s="154" t="s">
        <v>1464</v>
      </c>
      <c r="D1238" s="154" t="s">
        <v>1211</v>
      </c>
      <c r="E1238" s="154">
        <v>0</v>
      </c>
      <c r="F1238" s="154" t="s">
        <v>441</v>
      </c>
      <c r="G1238" s="155"/>
      <c r="H1238" s="107" t="str">
        <f t="shared" ref="H1238:H1269" si="7">"ifnull("&amp;IF(I1238&lt;&gt;"",I1238,IF(F1238&lt;&gt;"",F1238,"t")&amp;"."&amp;C1238)&amp;","&amp;E1238&amp;") as "&amp;C1238&amp;",/*"&amp;B1238&amp;"*/"</f>
        <v>ifnull(a.today_min_price,0) as today_min_price,/*今最低价*/</v>
      </c>
      <c r="I1238" s="7"/>
      <c r="J1238" s="7"/>
      <c r="K1238" s="7"/>
      <c r="L1238" s="7"/>
      <c r="M1238" s="7"/>
    </row>
    <row r="1239" spans="1:13" s="28" customFormat="1" x14ac:dyDescent="0.15">
      <c r="A1239" s="71"/>
      <c r="B1239" s="153" t="s">
        <v>42</v>
      </c>
      <c r="C1239" s="154" t="s">
        <v>1084</v>
      </c>
      <c r="D1239" s="154" t="s">
        <v>1211</v>
      </c>
      <c r="E1239" s="154">
        <v>0</v>
      </c>
      <c r="F1239" s="154" t="s">
        <v>441</v>
      </c>
      <c r="G1239" s="155"/>
      <c r="H1239" s="107" t="str">
        <f t="shared" si="7"/>
        <v>ifnull(a.buy_price_1,0) as buy_price_1,/*买一价*/</v>
      </c>
      <c r="I1239" s="7"/>
      <c r="J1239" s="7"/>
      <c r="K1239" s="7"/>
      <c r="L1239" s="7"/>
      <c r="M1239" s="7"/>
    </row>
    <row r="1240" spans="1:13" s="28" customFormat="1" x14ac:dyDescent="0.15">
      <c r="A1240" s="71"/>
      <c r="B1240" s="153" t="s">
        <v>43</v>
      </c>
      <c r="C1240" s="154" t="s">
        <v>1149</v>
      </c>
      <c r="D1240" s="154" t="s">
        <v>1087</v>
      </c>
      <c r="E1240" s="154">
        <v>0</v>
      </c>
      <c r="F1240" s="154" t="s">
        <v>441</v>
      </c>
      <c r="G1240" s="155"/>
      <c r="H1240" s="107" t="str">
        <f t="shared" si="7"/>
        <v>ifnull(a.buy_qty_1,0) as buy_qty_1,/*买一量*/</v>
      </c>
      <c r="I1240" s="7"/>
      <c r="J1240" s="7"/>
      <c r="K1240" s="7"/>
      <c r="L1240" s="7"/>
      <c r="M1240" s="7"/>
    </row>
    <row r="1241" spans="1:13" s="28" customFormat="1" x14ac:dyDescent="0.15">
      <c r="A1241" s="71"/>
      <c r="B1241" s="153" t="s">
        <v>44</v>
      </c>
      <c r="C1241" s="154" t="s">
        <v>1100</v>
      </c>
      <c r="D1241" s="154" t="s">
        <v>1211</v>
      </c>
      <c r="E1241" s="154">
        <v>0</v>
      </c>
      <c r="F1241" s="154" t="s">
        <v>441</v>
      </c>
      <c r="G1241" s="155"/>
      <c r="H1241" s="107" t="str">
        <f t="shared" si="7"/>
        <v>ifnull(a.buy_price_2,0) as buy_price_2,/*买二价*/</v>
      </c>
      <c r="I1241" s="7"/>
      <c r="J1241" s="7"/>
      <c r="K1241" s="7"/>
      <c r="L1241" s="7"/>
      <c r="M1241" s="7"/>
    </row>
    <row r="1242" spans="1:13" s="28" customFormat="1" x14ac:dyDescent="0.15">
      <c r="A1242" s="71"/>
      <c r="B1242" s="153" t="s">
        <v>45</v>
      </c>
      <c r="C1242" s="154" t="s">
        <v>1244</v>
      </c>
      <c r="D1242" s="154" t="s">
        <v>1087</v>
      </c>
      <c r="E1242" s="154">
        <v>0</v>
      </c>
      <c r="F1242" s="154" t="s">
        <v>441</v>
      </c>
      <c r="G1242" s="155"/>
      <c r="H1242" s="107" t="str">
        <f t="shared" si="7"/>
        <v>ifnull(a.buy_qty_2,0) as buy_qty_2,/*买二量*/</v>
      </c>
      <c r="I1242" s="7"/>
      <c r="J1242" s="7"/>
      <c r="K1242" s="7"/>
      <c r="L1242" s="7"/>
      <c r="M1242" s="7"/>
    </row>
    <row r="1243" spans="1:13" s="28" customFormat="1" x14ac:dyDescent="0.15">
      <c r="A1243" s="71"/>
      <c r="B1243" s="153" t="s">
        <v>46</v>
      </c>
      <c r="C1243" s="154" t="s">
        <v>1245</v>
      </c>
      <c r="D1243" s="154" t="s">
        <v>1211</v>
      </c>
      <c r="E1243" s="154">
        <v>0</v>
      </c>
      <c r="F1243" s="154" t="s">
        <v>441</v>
      </c>
      <c r="G1243" s="155"/>
      <c r="H1243" s="107" t="str">
        <f t="shared" si="7"/>
        <v>ifnull(a.buy_price_3,0) as buy_price_3,/*买三价*/</v>
      </c>
      <c r="I1243" s="7"/>
      <c r="J1243" s="7"/>
      <c r="K1243" s="7"/>
      <c r="L1243" s="7"/>
      <c r="M1243" s="7"/>
    </row>
    <row r="1244" spans="1:13" s="28" customFormat="1" x14ac:dyDescent="0.15">
      <c r="A1244" s="71"/>
      <c r="B1244" s="153" t="s">
        <v>47</v>
      </c>
      <c r="C1244" s="154" t="s">
        <v>1114</v>
      </c>
      <c r="D1244" s="154" t="s">
        <v>1087</v>
      </c>
      <c r="E1244" s="154">
        <v>0</v>
      </c>
      <c r="F1244" s="154" t="s">
        <v>441</v>
      </c>
      <c r="G1244" s="155"/>
      <c r="H1244" s="107" t="str">
        <f t="shared" si="7"/>
        <v>ifnull(a.buy_qty_3,0) as buy_qty_3,/*买三量*/</v>
      </c>
      <c r="I1244" s="7"/>
      <c r="J1244" s="7"/>
      <c r="K1244" s="7"/>
      <c r="L1244" s="7"/>
      <c r="M1244" s="7"/>
    </row>
    <row r="1245" spans="1:13" s="28" customFormat="1" x14ac:dyDescent="0.15">
      <c r="A1245" s="71"/>
      <c r="B1245" s="153" t="s">
        <v>48</v>
      </c>
      <c r="C1245" s="154" t="s">
        <v>1532</v>
      </c>
      <c r="D1245" s="154" t="s">
        <v>1211</v>
      </c>
      <c r="E1245" s="154">
        <v>0</v>
      </c>
      <c r="F1245" s="154" t="s">
        <v>441</v>
      </c>
      <c r="G1245" s="155"/>
      <c r="H1245" s="107" t="str">
        <f t="shared" si="7"/>
        <v>ifnull(a.buy_price_4,0) as buy_price_4,/*买四价*/</v>
      </c>
      <c r="I1245" s="7"/>
      <c r="J1245" s="7"/>
      <c r="K1245" s="7"/>
      <c r="L1245" s="7"/>
      <c r="M1245" s="7"/>
    </row>
    <row r="1246" spans="1:13" s="28" customFormat="1" x14ac:dyDescent="0.15">
      <c r="A1246" s="71"/>
      <c r="B1246" s="153" t="s">
        <v>49</v>
      </c>
      <c r="C1246" s="154" t="s">
        <v>1246</v>
      </c>
      <c r="D1246" s="154" t="s">
        <v>1087</v>
      </c>
      <c r="E1246" s="154">
        <v>0</v>
      </c>
      <c r="F1246" s="154" t="s">
        <v>441</v>
      </c>
      <c r="G1246" s="155"/>
      <c r="H1246" s="107" t="str">
        <f t="shared" si="7"/>
        <v>ifnull(a.buy_qty_4,0) as buy_qty_4,/*买四量*/</v>
      </c>
      <c r="I1246" s="7"/>
      <c r="J1246" s="7"/>
      <c r="K1246" s="7"/>
      <c r="L1246" s="7"/>
      <c r="M1246" s="7"/>
    </row>
    <row r="1247" spans="1:13" s="28" customFormat="1" x14ac:dyDescent="0.15">
      <c r="A1247" s="71"/>
      <c r="B1247" s="153" t="s">
        <v>50</v>
      </c>
      <c r="C1247" s="154" t="s">
        <v>1247</v>
      </c>
      <c r="D1247" s="154" t="s">
        <v>1211</v>
      </c>
      <c r="E1247" s="154">
        <v>0</v>
      </c>
      <c r="F1247" s="154" t="s">
        <v>441</v>
      </c>
      <c r="G1247" s="155"/>
      <c r="H1247" s="107" t="str">
        <f t="shared" si="7"/>
        <v>ifnull(a.buy_price_5,0) as buy_price_5,/*买五价*/</v>
      </c>
      <c r="I1247" s="7"/>
      <c r="J1247" s="7"/>
      <c r="K1247" s="7"/>
      <c r="L1247" s="7"/>
      <c r="M1247" s="7"/>
    </row>
    <row r="1248" spans="1:13" s="28" customFormat="1" x14ac:dyDescent="0.15">
      <c r="A1248" s="71"/>
      <c r="B1248" s="153" t="s">
        <v>51</v>
      </c>
      <c r="C1248" s="154" t="s">
        <v>1248</v>
      </c>
      <c r="D1248" s="154" t="s">
        <v>1087</v>
      </c>
      <c r="E1248" s="154">
        <v>0</v>
      </c>
      <c r="F1248" s="154" t="s">
        <v>441</v>
      </c>
      <c r="G1248" s="155"/>
      <c r="H1248" s="107" t="str">
        <f t="shared" si="7"/>
        <v>ifnull(a.buy_qty_5,0) as buy_qty_5,/*买五量*/</v>
      </c>
      <c r="I1248" s="7"/>
      <c r="J1248" s="7"/>
      <c r="K1248" s="7"/>
      <c r="L1248" s="7"/>
      <c r="M1248" s="7"/>
    </row>
    <row r="1249" spans="1:13" s="28" customFormat="1" x14ac:dyDescent="0.15">
      <c r="A1249" s="71"/>
      <c r="B1249" s="153" t="s">
        <v>52</v>
      </c>
      <c r="C1249" s="154" t="s">
        <v>1249</v>
      </c>
      <c r="D1249" s="154" t="s">
        <v>1211</v>
      </c>
      <c r="E1249" s="154">
        <v>0</v>
      </c>
      <c r="F1249" s="154" t="s">
        <v>441</v>
      </c>
      <c r="G1249" s="155"/>
      <c r="H1249" s="107" t="str">
        <f t="shared" si="7"/>
        <v>ifnull(a.sell_price_1,0) as sell_price_1,/*卖一价*/</v>
      </c>
      <c r="I1249" s="7"/>
      <c r="J1249" s="7"/>
      <c r="K1249" s="7"/>
      <c r="L1249" s="7"/>
      <c r="M1249" s="7"/>
    </row>
    <row r="1250" spans="1:13" s="28" customFormat="1" x14ac:dyDescent="0.15">
      <c r="A1250" s="71"/>
      <c r="B1250" s="153" t="s">
        <v>53</v>
      </c>
      <c r="C1250" s="154" t="s">
        <v>1250</v>
      </c>
      <c r="D1250" s="154" t="s">
        <v>1087</v>
      </c>
      <c r="E1250" s="154">
        <v>0</v>
      </c>
      <c r="F1250" s="154" t="s">
        <v>441</v>
      </c>
      <c r="G1250" s="155"/>
      <c r="H1250" s="107" t="str">
        <f t="shared" si="7"/>
        <v>ifnull(a.sell_qty_1,0) as sell_qty_1,/*卖一量*/</v>
      </c>
      <c r="I1250" s="7"/>
      <c r="J1250" s="7"/>
      <c r="K1250" s="7"/>
      <c r="L1250" s="7"/>
      <c r="M1250" s="7"/>
    </row>
    <row r="1251" spans="1:13" s="28" customFormat="1" x14ac:dyDescent="0.15">
      <c r="A1251" s="71"/>
      <c r="B1251" s="153" t="s">
        <v>54</v>
      </c>
      <c r="C1251" s="154" t="s">
        <v>1251</v>
      </c>
      <c r="D1251" s="154" t="s">
        <v>1211</v>
      </c>
      <c r="E1251" s="154">
        <v>0</v>
      </c>
      <c r="F1251" s="154" t="s">
        <v>441</v>
      </c>
      <c r="G1251" s="155"/>
      <c r="H1251" s="107" t="str">
        <f t="shared" si="7"/>
        <v>ifnull(a.sell_price_2,0) as sell_price_2,/*卖二价*/</v>
      </c>
      <c r="I1251" s="7"/>
      <c r="J1251" s="7"/>
      <c r="K1251" s="7"/>
      <c r="L1251" s="7"/>
      <c r="M1251" s="7"/>
    </row>
    <row r="1252" spans="1:13" s="28" customFormat="1" x14ac:dyDescent="0.15">
      <c r="A1252" s="71"/>
      <c r="B1252" s="153" t="s">
        <v>55</v>
      </c>
      <c r="C1252" s="154" t="s">
        <v>1252</v>
      </c>
      <c r="D1252" s="154" t="s">
        <v>1087</v>
      </c>
      <c r="E1252" s="154">
        <v>0</v>
      </c>
      <c r="F1252" s="154" t="s">
        <v>441</v>
      </c>
      <c r="G1252" s="155"/>
      <c r="H1252" s="107" t="str">
        <f t="shared" si="7"/>
        <v>ifnull(a.sell_qty_2,0) as sell_qty_2,/*卖二量*/</v>
      </c>
      <c r="I1252" s="7"/>
      <c r="J1252" s="7"/>
      <c r="K1252" s="7"/>
      <c r="L1252" s="7"/>
      <c r="M1252" s="7"/>
    </row>
    <row r="1253" spans="1:13" s="28" customFormat="1" x14ac:dyDescent="0.15">
      <c r="A1253" s="71"/>
      <c r="B1253" s="153" t="s">
        <v>56</v>
      </c>
      <c r="C1253" s="154" t="s">
        <v>1253</v>
      </c>
      <c r="D1253" s="154" t="s">
        <v>1211</v>
      </c>
      <c r="E1253" s="154">
        <v>0</v>
      </c>
      <c r="F1253" s="154" t="s">
        <v>441</v>
      </c>
      <c r="G1253" s="155"/>
      <c r="H1253" s="107" t="str">
        <f t="shared" si="7"/>
        <v>ifnull(a.sell_price_3,0) as sell_price_3,/*卖三价*/</v>
      </c>
      <c r="I1253" s="7"/>
      <c r="J1253" s="7"/>
      <c r="K1253" s="7"/>
      <c r="L1253" s="7"/>
      <c r="M1253" s="7"/>
    </row>
    <row r="1254" spans="1:13" s="28" customFormat="1" x14ac:dyDescent="0.15">
      <c r="A1254" s="71"/>
      <c r="B1254" s="153" t="s">
        <v>57</v>
      </c>
      <c r="C1254" s="154" t="s">
        <v>1262</v>
      </c>
      <c r="D1254" s="154" t="s">
        <v>1087</v>
      </c>
      <c r="E1254" s="154">
        <v>0</v>
      </c>
      <c r="F1254" s="154" t="s">
        <v>441</v>
      </c>
      <c r="G1254" s="155"/>
      <c r="H1254" s="107" t="str">
        <f t="shared" si="7"/>
        <v>ifnull(a.sell_qty_3,0) as sell_qty_3,/*卖三量*/</v>
      </c>
      <c r="I1254" s="7"/>
      <c r="J1254" s="7"/>
      <c r="K1254" s="7"/>
      <c r="L1254" s="7"/>
      <c r="M1254" s="7"/>
    </row>
    <row r="1255" spans="1:13" s="28" customFormat="1" x14ac:dyDescent="0.15">
      <c r="A1255" s="71"/>
      <c r="B1255" s="153" t="s">
        <v>58</v>
      </c>
      <c r="C1255" s="154" t="s">
        <v>1254</v>
      </c>
      <c r="D1255" s="154" t="s">
        <v>1211</v>
      </c>
      <c r="E1255" s="154">
        <v>0</v>
      </c>
      <c r="F1255" s="154" t="s">
        <v>441</v>
      </c>
      <c r="G1255" s="155"/>
      <c r="H1255" s="107" t="str">
        <f t="shared" si="7"/>
        <v>ifnull(a.sell_price_4,0) as sell_price_4,/*卖四价*/</v>
      </c>
      <c r="I1255" s="7"/>
      <c r="J1255" s="7"/>
      <c r="K1255" s="7"/>
      <c r="L1255" s="7"/>
      <c r="M1255" s="7"/>
    </row>
    <row r="1256" spans="1:13" s="28" customFormat="1" x14ac:dyDescent="0.15">
      <c r="A1256" s="71"/>
      <c r="B1256" s="153" t="s">
        <v>59</v>
      </c>
      <c r="C1256" s="154" t="s">
        <v>1255</v>
      </c>
      <c r="D1256" s="154" t="s">
        <v>1087</v>
      </c>
      <c r="E1256" s="154">
        <v>0</v>
      </c>
      <c r="F1256" s="154" t="s">
        <v>441</v>
      </c>
      <c r="G1256" s="155"/>
      <c r="H1256" s="107" t="str">
        <f t="shared" si="7"/>
        <v>ifnull(a.sell_qty_4,0) as sell_qty_4,/*卖四量*/</v>
      </c>
      <c r="I1256" s="7"/>
      <c r="J1256" s="7"/>
      <c r="K1256" s="7"/>
      <c r="L1256" s="7"/>
      <c r="M1256" s="7"/>
    </row>
    <row r="1257" spans="1:13" s="28" customFormat="1" x14ac:dyDescent="0.15">
      <c r="A1257" s="71"/>
      <c r="B1257" s="153" t="s">
        <v>60</v>
      </c>
      <c r="C1257" s="154" t="s">
        <v>1256</v>
      </c>
      <c r="D1257" s="154" t="s">
        <v>1211</v>
      </c>
      <c r="E1257" s="154">
        <v>0</v>
      </c>
      <c r="F1257" s="154" t="s">
        <v>441</v>
      </c>
      <c r="G1257" s="155"/>
      <c r="H1257" s="107" t="str">
        <f t="shared" si="7"/>
        <v>ifnull(a.sell_price_5,0) as sell_price_5,/*卖五价*/</v>
      </c>
      <c r="I1257" s="7"/>
      <c r="J1257" s="7"/>
      <c r="K1257" s="7"/>
      <c r="L1257" s="7"/>
      <c r="M1257" s="7"/>
    </row>
    <row r="1258" spans="1:13" s="28" customFormat="1" x14ac:dyDescent="0.15">
      <c r="A1258" s="71"/>
      <c r="B1258" s="153" t="s">
        <v>61</v>
      </c>
      <c r="C1258" s="154" t="s">
        <v>1257</v>
      </c>
      <c r="D1258" s="154" t="s">
        <v>1087</v>
      </c>
      <c r="E1258" s="154">
        <v>0</v>
      </c>
      <c r="F1258" s="154" t="s">
        <v>441</v>
      </c>
      <c r="G1258" s="155"/>
      <c r="H1258" s="107" t="str">
        <f t="shared" si="7"/>
        <v>ifnull(a.sell_qty_5,0) as sell_qty_5,/*卖五量*/</v>
      </c>
      <c r="I1258" s="7"/>
      <c r="J1258" s="7"/>
      <c r="K1258" s="7"/>
      <c r="L1258" s="7"/>
      <c r="M1258" s="7"/>
    </row>
    <row r="1259" spans="1:13" s="28" customFormat="1" x14ac:dyDescent="0.15">
      <c r="A1259" s="71"/>
      <c r="B1259" s="153" t="s">
        <v>38</v>
      </c>
      <c r="C1259" s="154" t="s">
        <v>1241</v>
      </c>
      <c r="D1259" s="154" t="s">
        <v>1087</v>
      </c>
      <c r="E1259" s="154">
        <v>0</v>
      </c>
      <c r="F1259" s="154" t="s">
        <v>441</v>
      </c>
      <c r="G1259" s="155" t="s">
        <v>1086</v>
      </c>
      <c r="H1259" s="107" t="str">
        <f t="shared" si="7"/>
        <v>ifnull(a.strike_qty,0) as strike_qty,/*成交数量*/</v>
      </c>
      <c r="I1259" s="7"/>
      <c r="J1259" s="7"/>
      <c r="K1259" s="7"/>
      <c r="L1259" s="7"/>
      <c r="M1259" s="7"/>
    </row>
    <row r="1260" spans="1:13" s="28" customFormat="1" x14ac:dyDescent="0.15">
      <c r="A1260" s="71"/>
      <c r="B1260" s="153" t="s">
        <v>39</v>
      </c>
      <c r="C1260" s="154" t="s">
        <v>1242</v>
      </c>
      <c r="D1260" s="154" t="s">
        <v>1169</v>
      </c>
      <c r="E1260" s="154">
        <v>0</v>
      </c>
      <c r="F1260" s="154" t="s">
        <v>441</v>
      </c>
      <c r="G1260" s="155" t="s">
        <v>1243</v>
      </c>
      <c r="H1260" s="107" t="str">
        <f t="shared" si="7"/>
        <v>ifnull(a.strike_amt,0) as strike_amt,/*成交金额*/</v>
      </c>
      <c r="I1260" s="7"/>
      <c r="J1260" s="7"/>
      <c r="K1260" s="7"/>
      <c r="L1260" s="7"/>
      <c r="M1260" s="7"/>
    </row>
    <row r="1261" spans="1:13" s="28" customFormat="1" x14ac:dyDescent="0.15">
      <c r="A1261" s="71"/>
      <c r="B1261" s="153" t="s">
        <v>31</v>
      </c>
      <c r="C1261" s="154" t="s">
        <v>1465</v>
      </c>
      <c r="D1261" s="154" t="s">
        <v>1172</v>
      </c>
      <c r="E1261" s="154">
        <v>0</v>
      </c>
      <c r="F1261" s="154" t="s">
        <v>441</v>
      </c>
      <c r="G1261" s="155"/>
      <c r="H1261" s="107" t="str">
        <f t="shared" si="7"/>
        <v>ifnull(a.pe_ratio,0) as pe_ratio,/*市盈率*/</v>
      </c>
      <c r="I1261" s="7"/>
      <c r="J1261" s="7"/>
      <c r="K1261" s="7"/>
      <c r="L1261" s="7"/>
      <c r="M1261" s="7"/>
    </row>
    <row r="1262" spans="1:13" s="76" customFormat="1" x14ac:dyDescent="0.15">
      <c r="A1262" s="71"/>
      <c r="B1262" s="153" t="s">
        <v>184</v>
      </c>
      <c r="C1262" s="154" t="s">
        <v>1260</v>
      </c>
      <c r="D1262" s="154" t="s">
        <v>211</v>
      </c>
      <c r="E1262" s="154" t="s">
        <v>1261</v>
      </c>
      <c r="F1262" s="154" t="s">
        <v>441</v>
      </c>
      <c r="G1262" s="155"/>
      <c r="H1262" s="107" t="str">
        <f t="shared" si="7"/>
        <v>ifnull(a.time_stamp,unix_timestamp()) as time_stamp,/*时间戳*/</v>
      </c>
    </row>
    <row r="1263" spans="1:13" s="76" customFormat="1" x14ac:dyDescent="0.15">
      <c r="A1263" s="17" t="s">
        <v>7</v>
      </c>
      <c r="B1263" s="147" t="s">
        <v>505</v>
      </c>
      <c r="C1263" s="147" t="s">
        <v>1098</v>
      </c>
      <c r="D1263" s="147" t="s">
        <v>1219</v>
      </c>
      <c r="E1263" s="147" t="s">
        <v>1072</v>
      </c>
      <c r="F1263" s="147" t="s">
        <v>454</v>
      </c>
      <c r="G1263" s="147" t="s">
        <v>1438</v>
      </c>
      <c r="H1263" s="107" t="str">
        <f t="shared" si="7"/>
        <v>ifnull(b.trade_code," ") as trade_code,/*交易代码*/</v>
      </c>
    </row>
    <row r="1264" spans="1:13" s="76" customFormat="1" x14ac:dyDescent="0.15">
      <c r="A1264" s="71"/>
      <c r="B1264" s="147" t="s">
        <v>213</v>
      </c>
      <c r="C1264" s="147" t="s">
        <v>1340</v>
      </c>
      <c r="D1264" s="147" t="s">
        <v>1219</v>
      </c>
      <c r="E1264" s="147" t="s">
        <v>1072</v>
      </c>
      <c r="F1264" s="147" t="s">
        <v>454</v>
      </c>
      <c r="G1264" s="147"/>
      <c r="H1264" s="107" t="str">
        <f t="shared" si="7"/>
        <v>ifnull(b.target_code," ") as target_code,/*标的代码*/</v>
      </c>
    </row>
    <row r="1265" spans="1:8" s="76" customFormat="1" x14ac:dyDescent="0.15">
      <c r="A1265" s="71"/>
      <c r="B1265" s="147" t="s">
        <v>174</v>
      </c>
      <c r="C1265" s="147" t="s">
        <v>1397</v>
      </c>
      <c r="D1265" s="147" t="s">
        <v>211</v>
      </c>
      <c r="E1265" s="147">
        <v>0</v>
      </c>
      <c r="F1265" s="147" t="s">
        <v>454</v>
      </c>
      <c r="G1265" s="147"/>
      <c r="H1265" s="107" t="str">
        <f t="shared" si="7"/>
        <v>ifnull(b.trade_code_no,0) as trade_code_no,/*交易代码编号*/</v>
      </c>
    </row>
    <row r="1266" spans="1:8" s="76" customFormat="1" x14ac:dyDescent="0.15">
      <c r="A1266" s="71"/>
      <c r="B1266" s="147" t="s">
        <v>214</v>
      </c>
      <c r="C1266" s="147" t="s">
        <v>1339</v>
      </c>
      <c r="D1266" s="147" t="s">
        <v>211</v>
      </c>
      <c r="E1266" s="147">
        <v>0</v>
      </c>
      <c r="F1266" s="147" t="s">
        <v>454</v>
      </c>
      <c r="G1266" s="147"/>
      <c r="H1266" s="107" t="str">
        <f t="shared" si="7"/>
        <v>ifnull(b.target_code_no,0) as target_code_no,/*标的代码编号*/</v>
      </c>
    </row>
    <row r="1267" spans="1:8" s="76" customFormat="1" x14ac:dyDescent="0.15">
      <c r="A1267" s="241" t="s">
        <v>215</v>
      </c>
      <c r="B1267" s="147" t="s">
        <v>215</v>
      </c>
      <c r="C1267" s="147" t="s">
        <v>1581</v>
      </c>
      <c r="D1267" s="147" t="s">
        <v>211</v>
      </c>
      <c r="E1267" s="147" t="s">
        <v>1141</v>
      </c>
      <c r="F1267" s="147" t="s">
        <v>454</v>
      </c>
      <c r="G1267" s="147"/>
      <c r="H1267" s="107" t="str">
        <f t="shared" si="7"/>
        <v>ifnull(b.issue_date,date_format(curdate(),'%Y%m%d')) as issue_date,/*发行日期*/</v>
      </c>
    </row>
    <row r="1268" spans="1:8" s="76" customFormat="1" x14ac:dyDescent="0.15">
      <c r="A1268" s="241" t="s">
        <v>216</v>
      </c>
      <c r="B1268" s="147" t="s">
        <v>216</v>
      </c>
      <c r="C1268" s="147" t="s">
        <v>1582</v>
      </c>
      <c r="D1268" s="147" t="s">
        <v>211</v>
      </c>
      <c r="E1268" s="147" t="s">
        <v>1141</v>
      </c>
      <c r="F1268" s="147" t="s">
        <v>454</v>
      </c>
      <c r="G1268" s="147"/>
      <c r="H1268" s="107" t="str">
        <f t="shared" si="7"/>
        <v>ifnull(b.end_date,date_format(curdate(),'%Y%m%d')) as end_date,/*结束日期*/</v>
      </c>
    </row>
    <row r="1269" spans="1:8" s="76" customFormat="1" x14ac:dyDescent="0.15">
      <c r="A1269" s="241" t="s">
        <v>217</v>
      </c>
      <c r="B1269" s="147" t="s">
        <v>217</v>
      </c>
      <c r="C1269" s="147" t="s">
        <v>1439</v>
      </c>
      <c r="D1269" s="147" t="s">
        <v>211</v>
      </c>
      <c r="E1269" s="147" t="s">
        <v>1141</v>
      </c>
      <c r="F1269" s="147" t="s">
        <v>454</v>
      </c>
      <c r="G1269" s="147"/>
      <c r="H1269" s="107" t="str">
        <f t="shared" si="7"/>
        <v>ifnull(b.value_date,date_format(curdate(),'%Y%m%d')) as value_date,/*起息日期*/</v>
      </c>
    </row>
    <row r="1270" spans="1:8" s="76" customFormat="1" x14ac:dyDescent="0.15">
      <c r="A1270" s="241" t="s">
        <v>218</v>
      </c>
      <c r="B1270" s="147" t="s">
        <v>218</v>
      </c>
      <c r="C1270" s="147" t="s">
        <v>1583</v>
      </c>
      <c r="D1270" s="147" t="s">
        <v>211</v>
      </c>
      <c r="E1270" s="147" t="s">
        <v>1141</v>
      </c>
      <c r="F1270" s="147" t="s">
        <v>454</v>
      </c>
      <c r="G1270" s="147"/>
      <c r="H1270" s="107" t="str">
        <f t="shared" ref="H1270:H1287" si="8">"ifnull("&amp;IF(I1270&lt;&gt;"",I1270,IF(F1270&lt;&gt;"",F1270,"t")&amp;"."&amp;C1270)&amp;","&amp;E1270&amp;") as "&amp;C1270&amp;",/*"&amp;B1270&amp;"*/"</f>
        <v>ifnull(b.next_value_date,date_format(curdate(),'%Y%m%d')) as next_value_date,/*下一起息日期*/</v>
      </c>
    </row>
    <row r="1271" spans="1:8" s="76" customFormat="1" x14ac:dyDescent="0.15">
      <c r="A1271" s="241" t="s">
        <v>219</v>
      </c>
      <c r="B1271" s="147" t="s">
        <v>219</v>
      </c>
      <c r="C1271" s="147" t="s">
        <v>1440</v>
      </c>
      <c r="D1271" s="147" t="s">
        <v>211</v>
      </c>
      <c r="E1271" s="147" t="s">
        <v>1141</v>
      </c>
      <c r="F1271" s="147" t="s">
        <v>454</v>
      </c>
      <c r="G1271" s="147"/>
      <c r="H1271" s="107" t="str">
        <f t="shared" si="8"/>
        <v>ifnull(b.begin_trade_date,date_format(curdate(),'%Y%m%d')) as begin_trade_date,/*上市日期*/</v>
      </c>
    </row>
    <row r="1272" spans="1:8" s="76" customFormat="1" x14ac:dyDescent="0.15">
      <c r="A1272" s="241" t="s">
        <v>220</v>
      </c>
      <c r="B1272" s="147" t="s">
        <v>220</v>
      </c>
      <c r="C1272" s="147" t="s">
        <v>1441</v>
      </c>
      <c r="D1272" s="147" t="s">
        <v>1087</v>
      </c>
      <c r="E1272" s="147">
        <v>0</v>
      </c>
      <c r="F1272" s="147" t="s">
        <v>454</v>
      </c>
      <c r="G1272" s="147"/>
      <c r="H1272" s="107" t="str">
        <f t="shared" si="8"/>
        <v>ifnull(b.bond_limit,0) as bond_limit,/*债券期限*/</v>
      </c>
    </row>
    <row r="1273" spans="1:8" s="76" customFormat="1" x14ac:dyDescent="0.15">
      <c r="A1273" s="241" t="s">
        <v>221</v>
      </c>
      <c r="B1273" s="147" t="s">
        <v>221</v>
      </c>
      <c r="C1273" s="147" t="s">
        <v>1442</v>
      </c>
      <c r="D1273" s="147" t="s">
        <v>1211</v>
      </c>
      <c r="E1273" s="147">
        <v>0</v>
      </c>
      <c r="F1273" s="147" t="s">
        <v>454</v>
      </c>
      <c r="G1273" s="147"/>
      <c r="H1273" s="107" t="str">
        <f t="shared" si="8"/>
        <v>ifnull(b.issue_price,0) as issue_price,/*发行价*/</v>
      </c>
    </row>
    <row r="1274" spans="1:8" s="76" customFormat="1" x14ac:dyDescent="0.15">
      <c r="A1274" s="241" t="s">
        <v>223</v>
      </c>
      <c r="B1274" s="147" t="s">
        <v>223</v>
      </c>
      <c r="C1274" s="147" t="s">
        <v>1443</v>
      </c>
      <c r="D1274" s="147" t="s">
        <v>1172</v>
      </c>
      <c r="E1274" s="147">
        <v>0</v>
      </c>
      <c r="F1274" s="147" t="s">
        <v>454</v>
      </c>
      <c r="G1274" s="147"/>
      <c r="H1274" s="107" t="str">
        <f t="shared" si="8"/>
        <v>ifnull(b.intrst_ratio,0) as intrst_ratio,/*年利率*/</v>
      </c>
    </row>
    <row r="1275" spans="1:8" s="76" customFormat="1" x14ac:dyDescent="0.15">
      <c r="A1275" s="241" t="s">
        <v>224</v>
      </c>
      <c r="B1275" s="147" t="s">
        <v>224</v>
      </c>
      <c r="C1275" s="147" t="s">
        <v>1393</v>
      </c>
      <c r="D1275" s="147" t="s">
        <v>211</v>
      </c>
      <c r="E1275" s="147">
        <v>0</v>
      </c>
      <c r="F1275" s="147" t="s">
        <v>454</v>
      </c>
      <c r="G1275" s="147"/>
      <c r="H1275" s="107" t="str">
        <f t="shared" si="8"/>
        <v>ifnull(b.intrst_days,0) as intrst_days,/*计息天数*/</v>
      </c>
    </row>
    <row r="1276" spans="1:8" s="76" customFormat="1" x14ac:dyDescent="0.15">
      <c r="A1276" s="241" t="s">
        <v>225</v>
      </c>
      <c r="B1276" s="147" t="s">
        <v>225</v>
      </c>
      <c r="C1276" s="147" t="s">
        <v>1444</v>
      </c>
      <c r="D1276" s="147" t="s">
        <v>211</v>
      </c>
      <c r="E1276" s="147">
        <v>0</v>
      </c>
      <c r="F1276" s="147" t="s">
        <v>454</v>
      </c>
      <c r="G1276" s="147"/>
      <c r="H1276" s="107" t="str">
        <f t="shared" si="8"/>
        <v>ifnull(b.pay_inteval,0) as pay_inteval,/*付息间隔*/</v>
      </c>
    </row>
    <row r="1277" spans="1:8" s="76" customFormat="1" x14ac:dyDescent="0.15">
      <c r="A1277" s="17" t="s">
        <v>226</v>
      </c>
      <c r="B1277" s="147" t="s">
        <v>226</v>
      </c>
      <c r="C1277" s="147" t="s">
        <v>1395</v>
      </c>
      <c r="D1277" s="147" t="s">
        <v>1172</v>
      </c>
      <c r="E1277" s="147">
        <v>0</v>
      </c>
      <c r="F1277" s="147" t="s">
        <v>454</v>
      </c>
      <c r="G1277" s="147"/>
      <c r="H1277" s="107" t="str">
        <f t="shared" si="8"/>
        <v>ifnull(b.bond_accr_intrst,0) as bond_accr_intrst,/*债券计提利息*/</v>
      </c>
    </row>
    <row r="1278" spans="1:8" s="76" customFormat="1" x14ac:dyDescent="0.15">
      <c r="A1278" s="241" t="s">
        <v>227</v>
      </c>
      <c r="B1278" s="147" t="s">
        <v>227</v>
      </c>
      <c r="C1278" s="147" t="s">
        <v>1396</v>
      </c>
      <c r="D1278" s="147" t="s">
        <v>211</v>
      </c>
      <c r="E1278" s="147">
        <v>0</v>
      </c>
      <c r="F1278" s="147" t="s">
        <v>454</v>
      </c>
      <c r="G1278" s="147"/>
      <c r="H1278" s="107" t="str">
        <f t="shared" si="8"/>
        <v>ifnull(b.bond_rate_type,0) as bond_rate_type,/*债券利率类型*/</v>
      </c>
    </row>
    <row r="1279" spans="1:8" s="76" customFormat="1" x14ac:dyDescent="0.15">
      <c r="A1279" s="241" t="s">
        <v>228</v>
      </c>
      <c r="B1279" s="147" t="s">
        <v>228</v>
      </c>
      <c r="C1279" s="147" t="s">
        <v>1445</v>
      </c>
      <c r="D1279" s="147" t="s">
        <v>211</v>
      </c>
      <c r="E1279" s="147">
        <v>0</v>
      </c>
      <c r="F1279" s="147" t="s">
        <v>454</v>
      </c>
      <c r="G1279" s="147" t="s">
        <v>1446</v>
      </c>
      <c r="H1279" s="107" t="str">
        <f t="shared" si="8"/>
        <v>ifnull(b.inteval_days,0) as inteval_days,/*间隔天数*/</v>
      </c>
    </row>
    <row r="1280" spans="1:8" s="76" customFormat="1" x14ac:dyDescent="0.15">
      <c r="A1280" s="241" t="s">
        <v>229</v>
      </c>
      <c r="B1280" s="147" t="s">
        <v>229</v>
      </c>
      <c r="C1280" s="147" t="s">
        <v>1392</v>
      </c>
      <c r="D1280" s="147" t="s">
        <v>211</v>
      </c>
      <c r="E1280" s="147">
        <v>0</v>
      </c>
      <c r="F1280" s="147" t="s">
        <v>454</v>
      </c>
      <c r="G1280" s="147"/>
      <c r="H1280" s="107" t="str">
        <f t="shared" si="8"/>
        <v>ifnull(b.net_price_flag,0) as net_price_flag,/*净价标志*/</v>
      </c>
    </row>
    <row r="1281" spans="1:8" s="76" customFormat="1" x14ac:dyDescent="0.15">
      <c r="A1281" s="17" t="s">
        <v>230</v>
      </c>
      <c r="B1281" s="147" t="s">
        <v>230</v>
      </c>
      <c r="C1281" s="147" t="s">
        <v>1076</v>
      </c>
      <c r="D1281" s="147" t="s">
        <v>211</v>
      </c>
      <c r="E1281" s="147" t="s">
        <v>1141</v>
      </c>
      <c r="F1281" s="147" t="s">
        <v>454</v>
      </c>
      <c r="G1281" s="147"/>
      <c r="H1281" s="107" t="str">
        <f t="shared" si="8"/>
        <v>ifnull(b.last_trade_date,date_format(curdate(),'%Y%m%d')) as last_trade_date,/*最后交易日*/</v>
      </c>
    </row>
    <row r="1282" spans="1:8" s="76" customFormat="1" x14ac:dyDescent="0.15">
      <c r="A1282" s="30" t="s">
        <v>231</v>
      </c>
      <c r="B1282" s="147" t="s">
        <v>231</v>
      </c>
      <c r="C1282" s="147" t="s">
        <v>1584</v>
      </c>
      <c r="D1282" s="147" t="s">
        <v>211</v>
      </c>
      <c r="E1282" s="147">
        <v>0</v>
      </c>
      <c r="F1282" s="147" t="s">
        <v>454</v>
      </c>
      <c r="G1282" s="147"/>
      <c r="H1282" s="107" t="str">
        <f t="shared" si="8"/>
        <v>ifnull(b.rights_type,0) as rights_type,/*权益类型*/</v>
      </c>
    </row>
    <row r="1283" spans="1:8" s="76" customFormat="1" x14ac:dyDescent="0.15">
      <c r="A1283" s="126" t="s">
        <v>232</v>
      </c>
      <c r="B1283" s="147" t="s">
        <v>232</v>
      </c>
      <c r="C1283" s="147" t="s">
        <v>1585</v>
      </c>
      <c r="D1283" s="147" t="s">
        <v>211</v>
      </c>
      <c r="E1283" s="147" t="s">
        <v>1141</v>
      </c>
      <c r="F1283" s="147" t="s">
        <v>454</v>
      </c>
      <c r="G1283" s="147"/>
      <c r="H1283" s="107" t="str">
        <f t="shared" si="8"/>
        <v>ifnull(b.trans_begin_date,date_format(curdate(),'%Y%m%d')) as trans_begin_date,/*转股开始日期*/</v>
      </c>
    </row>
    <row r="1284" spans="1:8" s="76" customFormat="1" x14ac:dyDescent="0.15">
      <c r="A1284" s="126" t="s">
        <v>233</v>
      </c>
      <c r="B1284" s="147" t="s">
        <v>233</v>
      </c>
      <c r="C1284" s="147" t="s">
        <v>1447</v>
      </c>
      <c r="D1284" s="147" t="s">
        <v>211</v>
      </c>
      <c r="E1284" s="147" t="s">
        <v>1141</v>
      </c>
      <c r="F1284" s="147" t="s">
        <v>454</v>
      </c>
      <c r="G1284" s="147"/>
      <c r="H1284" s="107" t="str">
        <f t="shared" si="8"/>
        <v>ifnull(b.trans_end_date,date_format(curdate(),'%Y%m%d')) as trans_end_date,/*转股结束日期*/</v>
      </c>
    </row>
    <row r="1285" spans="1:8" s="76" customFormat="1" x14ac:dyDescent="0.15">
      <c r="A1285" s="126" t="s">
        <v>234</v>
      </c>
      <c r="B1285" s="147" t="s">
        <v>234</v>
      </c>
      <c r="C1285" s="147" t="s">
        <v>1448</v>
      </c>
      <c r="D1285" s="147" t="s">
        <v>211</v>
      </c>
      <c r="E1285" s="147" t="s">
        <v>1141</v>
      </c>
      <c r="F1285" s="147" t="s">
        <v>454</v>
      </c>
      <c r="G1285" s="147"/>
      <c r="H1285" s="107" t="str">
        <f t="shared" si="8"/>
        <v>ifnull(b.exec_begin_date,date_format(curdate(),'%Y%m%d')) as exec_begin_date,/*行权开始日期*/</v>
      </c>
    </row>
    <row r="1286" spans="1:8" s="76" customFormat="1" x14ac:dyDescent="0.15">
      <c r="A1286" s="126" t="s">
        <v>235</v>
      </c>
      <c r="B1286" s="147" t="s">
        <v>235</v>
      </c>
      <c r="C1286" s="147" t="s">
        <v>1586</v>
      </c>
      <c r="D1286" s="147" t="s">
        <v>211</v>
      </c>
      <c r="E1286" s="147" t="s">
        <v>1141</v>
      </c>
      <c r="F1286" s="147" t="s">
        <v>454</v>
      </c>
      <c r="G1286" s="147"/>
      <c r="H1286" s="107" t="str">
        <f t="shared" si="8"/>
        <v>ifnull(b.exec_end_date,date_format(curdate(),'%Y%m%d')) as exec_end_date,/*行权结束日期*/</v>
      </c>
    </row>
    <row r="1287" spans="1:8" s="76" customFormat="1" x14ac:dyDescent="0.15">
      <c r="A1287" s="126" t="s">
        <v>236</v>
      </c>
      <c r="B1287" s="147" t="s">
        <v>236</v>
      </c>
      <c r="C1287" s="147" t="s">
        <v>1565</v>
      </c>
      <c r="D1287" s="147" t="s">
        <v>1172</v>
      </c>
      <c r="E1287" s="147">
        <v>0</v>
      </c>
      <c r="F1287" s="147" t="s">
        <v>454</v>
      </c>
      <c r="G1287" s="147"/>
      <c r="H1287" s="107" t="str">
        <f t="shared" si="8"/>
        <v>ifnull(b.impawn_ratio,0) as impawn_ratio,/*质押比例*/</v>
      </c>
    </row>
    <row r="1288" spans="1:8" x14ac:dyDescent="0.15">
      <c r="B1288" s="104"/>
      <c r="C1288" s="93"/>
      <c r="D1288" s="93"/>
      <c r="E1288" s="93"/>
      <c r="F1288" s="93"/>
      <c r="G1288" s="94"/>
    </row>
    <row r="1289" spans="1:8" ht="18" thickBot="1" x14ac:dyDescent="0.2">
      <c r="B1289" s="89"/>
      <c r="C1289" s="90"/>
      <c r="D1289" s="90"/>
      <c r="E1289" s="90"/>
      <c r="F1289" s="90"/>
      <c r="G1289" s="91"/>
      <c r="H1289" s="1" t="s">
        <v>278</v>
      </c>
    </row>
    <row r="1290" spans="1:8" x14ac:dyDescent="0.15">
      <c r="B1290" s="324" t="s">
        <v>15</v>
      </c>
      <c r="C1290" s="325"/>
      <c r="D1290" s="325"/>
      <c r="E1290" s="325"/>
      <c r="F1290" s="325"/>
      <c r="G1290" s="326"/>
      <c r="H1290" s="1" t="s">
        <v>279</v>
      </c>
    </row>
    <row r="1291" spans="1:8" x14ac:dyDescent="0.15">
      <c r="B1291" s="88">
        <v>1</v>
      </c>
      <c r="C1291" s="86" t="s">
        <v>185</v>
      </c>
      <c r="D1291" s="86"/>
      <c r="E1291" s="86"/>
      <c r="F1291" s="86"/>
      <c r="G1291" s="87"/>
    </row>
    <row r="1292" spans="1:8" x14ac:dyDescent="0.15">
      <c r="B1292" s="92">
        <v>2</v>
      </c>
      <c r="C1292" s="93" t="s">
        <v>18</v>
      </c>
      <c r="D1292" s="93" t="s">
        <v>19</v>
      </c>
      <c r="E1292" s="93"/>
      <c r="F1292" s="93"/>
      <c r="G1292" s="94"/>
    </row>
    <row r="1293" spans="1:8" x14ac:dyDescent="0.15">
      <c r="B1293" s="92">
        <v>3</v>
      </c>
      <c r="C1293" s="93" t="s">
        <v>184</v>
      </c>
      <c r="D1293" s="93"/>
      <c r="E1293" s="93"/>
      <c r="F1293" s="93"/>
      <c r="G1293" s="94"/>
    </row>
    <row r="1294" spans="1:8" ht="18" thickBot="1" x14ac:dyDescent="0.2">
      <c r="B1294" s="89"/>
      <c r="C1294" s="90"/>
      <c r="D1294" s="90"/>
      <c r="E1294" s="90"/>
      <c r="F1294" s="90"/>
      <c r="G1294" s="91"/>
    </row>
    <row r="1295" spans="1:8" ht="18" thickBot="1" x14ac:dyDescent="0.2"/>
    <row r="1296" spans="1:8" x14ac:dyDescent="0.15">
      <c r="B1296" s="72" t="s">
        <v>563</v>
      </c>
      <c r="C1296" s="73" t="s">
        <v>626</v>
      </c>
      <c r="D1296" s="74" t="s">
        <v>648</v>
      </c>
      <c r="E1296" s="21" t="s">
        <v>1025</v>
      </c>
      <c r="F1296" s="74" t="s">
        <v>567</v>
      </c>
      <c r="G1296" s="75" t="s">
        <v>672</v>
      </c>
      <c r="H1296" s="6" t="str">
        <f>"create or replace view "&amp;C1296</f>
        <v>create or replace view vi_basesedt_stock_quot_his</v>
      </c>
    </row>
    <row r="1297" spans="2:8" ht="18" thickBot="1" x14ac:dyDescent="0.2">
      <c r="B1297" s="78" t="s">
        <v>570</v>
      </c>
      <c r="C1297" s="79"/>
      <c r="D1297" s="80" t="s">
        <v>568</v>
      </c>
      <c r="E1297" s="79" t="s">
        <v>615</v>
      </c>
      <c r="F1297" s="80"/>
      <c r="G1297" s="81"/>
      <c r="H1297" s="11" t="str">
        <f>"# "&amp;E1296</f>
        <v># 报表_资管报表_视图-证券基础数据-历史证券行情表</v>
      </c>
    </row>
    <row r="1298" spans="2:8" x14ac:dyDescent="0.15">
      <c r="B1298" s="72" t="s">
        <v>0</v>
      </c>
      <c r="C1298" s="82" t="s">
        <v>1</v>
      </c>
      <c r="D1298" s="82" t="s">
        <v>2</v>
      </c>
      <c r="E1298" s="82"/>
      <c r="F1298" s="82" t="s">
        <v>3</v>
      </c>
      <c r="G1298" s="83" t="s">
        <v>4</v>
      </c>
      <c r="H1298" s="13" t="s">
        <v>283</v>
      </c>
    </row>
    <row r="1299" spans="2:8" x14ac:dyDescent="0.15">
      <c r="B1299" s="84" t="s">
        <v>115</v>
      </c>
      <c r="C1299" s="85" t="s">
        <v>1188</v>
      </c>
      <c r="D1299" s="86" t="s">
        <v>211</v>
      </c>
      <c r="E1299" s="86">
        <v>0</v>
      </c>
      <c r="F1299" s="86"/>
      <c r="G1299" s="87"/>
      <c r="H1299" s="107" t="str">
        <f t="shared" ref="H1299:H1339" si="9">IF(F1299&lt;&gt;"",F1299,"t."&amp;C1299)&amp;" as "&amp;C1299&amp;",/*"&amp;B1299&amp;"*/"</f>
        <v>t.stock_code_no as stock_code_no,/*证券代码编号*/</v>
      </c>
    </row>
    <row r="1300" spans="2:8" x14ac:dyDescent="0.15">
      <c r="B1300" s="84" t="s">
        <v>18</v>
      </c>
      <c r="C1300" s="85" t="s">
        <v>1190</v>
      </c>
      <c r="D1300" s="86" t="s">
        <v>211</v>
      </c>
      <c r="E1300" s="86">
        <v>0</v>
      </c>
      <c r="F1300" s="86"/>
      <c r="G1300" s="87" t="s">
        <v>1081</v>
      </c>
      <c r="H1300" s="107" t="str">
        <f t="shared" si="9"/>
        <v>t.exch_no as exch_no,/*市场编号*/</v>
      </c>
    </row>
    <row r="1301" spans="2:8" x14ac:dyDescent="0.15">
      <c r="B1301" s="84" t="s">
        <v>19</v>
      </c>
      <c r="C1301" s="85" t="s">
        <v>1337</v>
      </c>
      <c r="D1301" s="86" t="s">
        <v>1219</v>
      </c>
      <c r="E1301" s="86" t="s">
        <v>1072</v>
      </c>
      <c r="F1301" s="86"/>
      <c r="G1301" s="87" t="s">
        <v>1338</v>
      </c>
      <c r="H1301" s="107" t="str">
        <f t="shared" si="9"/>
        <v>t.stock_code as stock_code,/*证券代码*/</v>
      </c>
    </row>
    <row r="1302" spans="2:8" x14ac:dyDescent="0.15">
      <c r="B1302" s="84" t="s">
        <v>183</v>
      </c>
      <c r="C1302" s="85" t="s">
        <v>1122</v>
      </c>
      <c r="D1302" s="86" t="s">
        <v>1073</v>
      </c>
      <c r="E1302" s="86" t="s">
        <v>1072</v>
      </c>
      <c r="F1302" s="86"/>
      <c r="G1302" s="87"/>
      <c r="H1302" s="107" t="str">
        <f t="shared" si="9"/>
        <v>t.stock_name as stock_name,/*证券名称*/</v>
      </c>
    </row>
    <row r="1303" spans="2:8" x14ac:dyDescent="0.15">
      <c r="B1303" s="84" t="s">
        <v>40</v>
      </c>
      <c r="C1303" s="86" t="s">
        <v>1459</v>
      </c>
      <c r="D1303" s="86" t="s">
        <v>1211</v>
      </c>
      <c r="E1303" s="86">
        <v>0</v>
      </c>
      <c r="F1303" s="86"/>
      <c r="G1303" s="87"/>
      <c r="H1303" s="107" t="str">
        <f t="shared" si="9"/>
        <v>t.fair_price as fair_price,/*公允价格*/</v>
      </c>
    </row>
    <row r="1304" spans="2:8" x14ac:dyDescent="0.15">
      <c r="B1304" s="84" t="s">
        <v>29</v>
      </c>
      <c r="C1304" s="86" t="s">
        <v>1075</v>
      </c>
      <c r="D1304" s="86" t="s">
        <v>1211</v>
      </c>
      <c r="E1304" s="86">
        <v>0</v>
      </c>
      <c r="F1304" s="86"/>
      <c r="G1304" s="87"/>
      <c r="H1304" s="107" t="str">
        <f t="shared" si="9"/>
        <v>t.up_limit_price as up_limit_price,/*涨停价*/</v>
      </c>
    </row>
    <row r="1305" spans="2:8" x14ac:dyDescent="0.15">
      <c r="B1305" s="84" t="s">
        <v>30</v>
      </c>
      <c r="C1305" s="86" t="s">
        <v>1240</v>
      </c>
      <c r="D1305" s="86" t="s">
        <v>1211</v>
      </c>
      <c r="E1305" s="86">
        <v>0</v>
      </c>
      <c r="F1305" s="86"/>
      <c r="G1305" s="87"/>
      <c r="H1305" s="107" t="str">
        <f t="shared" si="9"/>
        <v>t.down_limit_price as down_limit_price,/*跌停价*/</v>
      </c>
    </row>
    <row r="1306" spans="2:8" x14ac:dyDescent="0.15">
      <c r="B1306" s="84" t="s">
        <v>35</v>
      </c>
      <c r="C1306" s="86" t="s">
        <v>1236</v>
      </c>
      <c r="D1306" s="86" t="s">
        <v>1211</v>
      </c>
      <c r="E1306" s="86">
        <v>0</v>
      </c>
      <c r="F1306" s="86"/>
      <c r="G1306" s="87"/>
      <c r="H1306" s="107" t="str">
        <f t="shared" si="9"/>
        <v>t.last_price as last_price,/*最新价*/</v>
      </c>
    </row>
    <row r="1307" spans="2:8" x14ac:dyDescent="0.15">
      <c r="B1307" s="84" t="s">
        <v>32</v>
      </c>
      <c r="C1307" s="86" t="s">
        <v>1112</v>
      </c>
      <c r="D1307" s="86" t="s">
        <v>1211</v>
      </c>
      <c r="E1307" s="86">
        <v>0</v>
      </c>
      <c r="F1307" s="86"/>
      <c r="G1307" s="87"/>
      <c r="H1307" s="107" t="str">
        <f t="shared" si="9"/>
        <v>t.pre_close_price as pre_close_price,/*昨收盘价*/</v>
      </c>
    </row>
    <row r="1308" spans="2:8" x14ac:dyDescent="0.15">
      <c r="B1308" s="84" t="s">
        <v>33</v>
      </c>
      <c r="C1308" s="86" t="s">
        <v>1237</v>
      </c>
      <c r="D1308" s="86" t="s">
        <v>1211</v>
      </c>
      <c r="E1308" s="86">
        <v>0</v>
      </c>
      <c r="F1308" s="86"/>
      <c r="G1308" s="87"/>
      <c r="H1308" s="107" t="str">
        <f t="shared" si="9"/>
        <v>t.today_open_price as today_open_price,/*今开盘价*/</v>
      </c>
    </row>
    <row r="1309" spans="2:8" x14ac:dyDescent="0.15">
      <c r="B1309" s="84" t="s">
        <v>34</v>
      </c>
      <c r="C1309" s="86" t="s">
        <v>1113</v>
      </c>
      <c r="D1309" s="86" t="s">
        <v>1211</v>
      </c>
      <c r="E1309" s="86">
        <v>0</v>
      </c>
      <c r="F1309" s="86"/>
      <c r="G1309" s="87"/>
      <c r="H1309" s="107" t="str">
        <f t="shared" si="9"/>
        <v>t.today_close_price as today_close_price,/*今收盘价*/</v>
      </c>
    </row>
    <row r="1310" spans="2:8" x14ac:dyDescent="0.15">
      <c r="B1310" s="84" t="s">
        <v>36</v>
      </c>
      <c r="C1310" s="86" t="s">
        <v>1463</v>
      </c>
      <c r="D1310" s="86" t="s">
        <v>1211</v>
      </c>
      <c r="E1310" s="86">
        <v>0</v>
      </c>
      <c r="F1310" s="86"/>
      <c r="G1310" s="87"/>
      <c r="H1310" s="107" t="str">
        <f t="shared" si="9"/>
        <v>t.today_max_price as today_max_price,/*今最高价*/</v>
      </c>
    </row>
    <row r="1311" spans="2:8" x14ac:dyDescent="0.15">
      <c r="B1311" s="84" t="s">
        <v>37</v>
      </c>
      <c r="C1311" s="86" t="s">
        <v>1464</v>
      </c>
      <c r="D1311" s="86" t="s">
        <v>1211</v>
      </c>
      <c r="E1311" s="86">
        <v>0</v>
      </c>
      <c r="F1311" s="86"/>
      <c r="G1311" s="87"/>
      <c r="H1311" s="107" t="str">
        <f t="shared" si="9"/>
        <v>t.today_min_price as today_min_price,/*今最低价*/</v>
      </c>
    </row>
    <row r="1312" spans="2:8" x14ac:dyDescent="0.15">
      <c r="B1312" s="88" t="s">
        <v>42</v>
      </c>
      <c r="C1312" s="86" t="s">
        <v>1084</v>
      </c>
      <c r="D1312" s="86" t="s">
        <v>1211</v>
      </c>
      <c r="E1312" s="86">
        <v>0</v>
      </c>
      <c r="F1312" s="86"/>
      <c r="G1312" s="87"/>
      <c r="H1312" s="107" t="str">
        <f t="shared" si="9"/>
        <v>t.buy_price_1 as buy_price_1,/*买一价*/</v>
      </c>
    </row>
    <row r="1313" spans="2:8" x14ac:dyDescent="0.15">
      <c r="B1313" s="88" t="s">
        <v>43</v>
      </c>
      <c r="C1313" s="86" t="s">
        <v>1149</v>
      </c>
      <c r="D1313" s="86" t="s">
        <v>1087</v>
      </c>
      <c r="E1313" s="86">
        <v>0</v>
      </c>
      <c r="F1313" s="86"/>
      <c r="G1313" s="87"/>
      <c r="H1313" s="107" t="str">
        <f t="shared" si="9"/>
        <v>t.buy_qty_1 as buy_qty_1,/*买一量*/</v>
      </c>
    </row>
    <row r="1314" spans="2:8" x14ac:dyDescent="0.15">
      <c r="B1314" s="88" t="s">
        <v>44</v>
      </c>
      <c r="C1314" s="86" t="s">
        <v>1100</v>
      </c>
      <c r="D1314" s="86" t="s">
        <v>1211</v>
      </c>
      <c r="E1314" s="86">
        <v>0</v>
      </c>
      <c r="F1314" s="86"/>
      <c r="G1314" s="87"/>
      <c r="H1314" s="107" t="str">
        <f t="shared" si="9"/>
        <v>t.buy_price_2 as buy_price_2,/*买二价*/</v>
      </c>
    </row>
    <row r="1315" spans="2:8" x14ac:dyDescent="0.15">
      <c r="B1315" s="88" t="s">
        <v>45</v>
      </c>
      <c r="C1315" s="86" t="s">
        <v>1244</v>
      </c>
      <c r="D1315" s="86" t="s">
        <v>1087</v>
      </c>
      <c r="E1315" s="86">
        <v>0</v>
      </c>
      <c r="F1315" s="86"/>
      <c r="G1315" s="87"/>
      <c r="H1315" s="107" t="str">
        <f t="shared" si="9"/>
        <v>t.buy_qty_2 as buy_qty_2,/*买二量*/</v>
      </c>
    </row>
    <row r="1316" spans="2:8" x14ac:dyDescent="0.15">
      <c r="B1316" s="88" t="s">
        <v>46</v>
      </c>
      <c r="C1316" s="86" t="s">
        <v>1245</v>
      </c>
      <c r="D1316" s="86" t="s">
        <v>1211</v>
      </c>
      <c r="E1316" s="86">
        <v>0</v>
      </c>
      <c r="F1316" s="86"/>
      <c r="G1316" s="87"/>
      <c r="H1316" s="107" t="str">
        <f t="shared" si="9"/>
        <v>t.buy_price_3 as buy_price_3,/*买三价*/</v>
      </c>
    </row>
    <row r="1317" spans="2:8" x14ac:dyDescent="0.15">
      <c r="B1317" s="88" t="s">
        <v>47</v>
      </c>
      <c r="C1317" s="86" t="s">
        <v>1114</v>
      </c>
      <c r="D1317" s="86" t="s">
        <v>1087</v>
      </c>
      <c r="E1317" s="86">
        <v>0</v>
      </c>
      <c r="F1317" s="86"/>
      <c r="G1317" s="87"/>
      <c r="H1317" s="107" t="str">
        <f t="shared" si="9"/>
        <v>t.buy_qty_3 as buy_qty_3,/*买三量*/</v>
      </c>
    </row>
    <row r="1318" spans="2:8" x14ac:dyDescent="0.15">
      <c r="B1318" s="88" t="s">
        <v>48</v>
      </c>
      <c r="C1318" s="86" t="s">
        <v>1532</v>
      </c>
      <c r="D1318" s="86" t="s">
        <v>1211</v>
      </c>
      <c r="E1318" s="86">
        <v>0</v>
      </c>
      <c r="F1318" s="86"/>
      <c r="G1318" s="87"/>
      <c r="H1318" s="107" t="str">
        <f t="shared" si="9"/>
        <v>t.buy_price_4 as buy_price_4,/*买四价*/</v>
      </c>
    </row>
    <row r="1319" spans="2:8" x14ac:dyDescent="0.15">
      <c r="B1319" s="88" t="s">
        <v>49</v>
      </c>
      <c r="C1319" s="86" t="s">
        <v>1246</v>
      </c>
      <c r="D1319" s="86" t="s">
        <v>1087</v>
      </c>
      <c r="E1319" s="86">
        <v>0</v>
      </c>
      <c r="F1319" s="86"/>
      <c r="G1319" s="87"/>
      <c r="H1319" s="107" t="str">
        <f t="shared" si="9"/>
        <v>t.buy_qty_4 as buy_qty_4,/*买四量*/</v>
      </c>
    </row>
    <row r="1320" spans="2:8" x14ac:dyDescent="0.15">
      <c r="B1320" s="88" t="s">
        <v>50</v>
      </c>
      <c r="C1320" s="86" t="s">
        <v>1247</v>
      </c>
      <c r="D1320" s="86" t="s">
        <v>1211</v>
      </c>
      <c r="E1320" s="86">
        <v>0</v>
      </c>
      <c r="F1320" s="86"/>
      <c r="G1320" s="87"/>
      <c r="H1320" s="107" t="str">
        <f t="shared" si="9"/>
        <v>t.buy_price_5 as buy_price_5,/*买五价*/</v>
      </c>
    </row>
    <row r="1321" spans="2:8" x14ac:dyDescent="0.15">
      <c r="B1321" s="88" t="s">
        <v>51</v>
      </c>
      <c r="C1321" s="86" t="s">
        <v>1248</v>
      </c>
      <c r="D1321" s="86" t="s">
        <v>1087</v>
      </c>
      <c r="E1321" s="86">
        <v>0</v>
      </c>
      <c r="F1321" s="86"/>
      <c r="G1321" s="87"/>
      <c r="H1321" s="107" t="str">
        <f t="shared" si="9"/>
        <v>t.buy_qty_5 as buy_qty_5,/*买五量*/</v>
      </c>
    </row>
    <row r="1322" spans="2:8" x14ac:dyDescent="0.15">
      <c r="B1322" s="88" t="s">
        <v>52</v>
      </c>
      <c r="C1322" s="86" t="s">
        <v>1249</v>
      </c>
      <c r="D1322" s="86" t="s">
        <v>1211</v>
      </c>
      <c r="E1322" s="86">
        <v>0</v>
      </c>
      <c r="F1322" s="86"/>
      <c r="G1322" s="87"/>
      <c r="H1322" s="107" t="str">
        <f t="shared" si="9"/>
        <v>t.sell_price_1 as sell_price_1,/*卖一价*/</v>
      </c>
    </row>
    <row r="1323" spans="2:8" x14ac:dyDescent="0.15">
      <c r="B1323" s="88" t="s">
        <v>53</v>
      </c>
      <c r="C1323" s="86" t="s">
        <v>1250</v>
      </c>
      <c r="D1323" s="86" t="s">
        <v>1087</v>
      </c>
      <c r="E1323" s="86">
        <v>0</v>
      </c>
      <c r="F1323" s="86"/>
      <c r="G1323" s="87"/>
      <c r="H1323" s="107" t="str">
        <f t="shared" si="9"/>
        <v>t.sell_qty_1 as sell_qty_1,/*卖一量*/</v>
      </c>
    </row>
    <row r="1324" spans="2:8" x14ac:dyDescent="0.15">
      <c r="B1324" s="88" t="s">
        <v>54</v>
      </c>
      <c r="C1324" s="86" t="s">
        <v>1251</v>
      </c>
      <c r="D1324" s="86" t="s">
        <v>1211</v>
      </c>
      <c r="E1324" s="86">
        <v>0</v>
      </c>
      <c r="F1324" s="86"/>
      <c r="G1324" s="87"/>
      <c r="H1324" s="107" t="str">
        <f t="shared" si="9"/>
        <v>t.sell_price_2 as sell_price_2,/*卖二价*/</v>
      </c>
    </row>
    <row r="1325" spans="2:8" x14ac:dyDescent="0.15">
      <c r="B1325" s="88" t="s">
        <v>55</v>
      </c>
      <c r="C1325" s="86" t="s">
        <v>1252</v>
      </c>
      <c r="D1325" s="86" t="s">
        <v>1087</v>
      </c>
      <c r="E1325" s="86">
        <v>0</v>
      </c>
      <c r="F1325" s="86"/>
      <c r="G1325" s="87"/>
      <c r="H1325" s="107" t="str">
        <f t="shared" si="9"/>
        <v>t.sell_qty_2 as sell_qty_2,/*卖二量*/</v>
      </c>
    </row>
    <row r="1326" spans="2:8" x14ac:dyDescent="0.15">
      <c r="B1326" s="88" t="s">
        <v>56</v>
      </c>
      <c r="C1326" s="86" t="s">
        <v>1253</v>
      </c>
      <c r="D1326" s="86" t="s">
        <v>1211</v>
      </c>
      <c r="E1326" s="86">
        <v>0</v>
      </c>
      <c r="F1326" s="86"/>
      <c r="G1326" s="87"/>
      <c r="H1326" s="107" t="str">
        <f t="shared" si="9"/>
        <v>t.sell_price_3 as sell_price_3,/*卖三价*/</v>
      </c>
    </row>
    <row r="1327" spans="2:8" x14ac:dyDescent="0.15">
      <c r="B1327" s="88" t="s">
        <v>57</v>
      </c>
      <c r="C1327" s="86" t="s">
        <v>1262</v>
      </c>
      <c r="D1327" s="86" t="s">
        <v>1087</v>
      </c>
      <c r="E1327" s="86">
        <v>0</v>
      </c>
      <c r="F1327" s="86"/>
      <c r="G1327" s="87"/>
      <c r="H1327" s="107" t="str">
        <f t="shared" si="9"/>
        <v>t.sell_qty_3 as sell_qty_3,/*卖三量*/</v>
      </c>
    </row>
    <row r="1328" spans="2:8" x14ac:dyDescent="0.15">
      <c r="B1328" s="88" t="s">
        <v>58</v>
      </c>
      <c r="C1328" s="86" t="s">
        <v>1254</v>
      </c>
      <c r="D1328" s="86" t="s">
        <v>1211</v>
      </c>
      <c r="E1328" s="86">
        <v>0</v>
      </c>
      <c r="F1328" s="86"/>
      <c r="G1328" s="87"/>
      <c r="H1328" s="107" t="str">
        <f t="shared" si="9"/>
        <v>t.sell_price_4 as sell_price_4,/*卖四价*/</v>
      </c>
    </row>
    <row r="1329" spans="2:8" x14ac:dyDescent="0.15">
      <c r="B1329" s="88" t="s">
        <v>59</v>
      </c>
      <c r="C1329" s="86" t="s">
        <v>1255</v>
      </c>
      <c r="D1329" s="86" t="s">
        <v>1087</v>
      </c>
      <c r="E1329" s="86">
        <v>0</v>
      </c>
      <c r="F1329" s="86"/>
      <c r="G1329" s="87"/>
      <c r="H1329" s="107" t="str">
        <f t="shared" si="9"/>
        <v>t.sell_qty_4 as sell_qty_4,/*卖四量*/</v>
      </c>
    </row>
    <row r="1330" spans="2:8" x14ac:dyDescent="0.15">
      <c r="B1330" s="88" t="s">
        <v>60</v>
      </c>
      <c r="C1330" s="86" t="s">
        <v>1256</v>
      </c>
      <c r="D1330" s="86" t="s">
        <v>1211</v>
      </c>
      <c r="E1330" s="86">
        <v>0</v>
      </c>
      <c r="F1330" s="86"/>
      <c r="G1330" s="87"/>
      <c r="H1330" s="107" t="str">
        <f t="shared" si="9"/>
        <v>t.sell_price_5 as sell_price_5,/*卖五价*/</v>
      </c>
    </row>
    <row r="1331" spans="2:8" x14ac:dyDescent="0.15">
      <c r="B1331" s="88" t="s">
        <v>61</v>
      </c>
      <c r="C1331" s="86" t="s">
        <v>1257</v>
      </c>
      <c r="D1331" s="86" t="s">
        <v>1087</v>
      </c>
      <c r="E1331" s="86">
        <v>0</v>
      </c>
      <c r="F1331" s="86"/>
      <c r="G1331" s="87"/>
      <c r="H1331" s="107" t="str">
        <f t="shared" si="9"/>
        <v>t.sell_qty_5 as sell_qty_5,/*卖五量*/</v>
      </c>
    </row>
    <row r="1332" spans="2:8" x14ac:dyDescent="0.15">
      <c r="B1332" s="84" t="s">
        <v>38</v>
      </c>
      <c r="C1332" s="86" t="s">
        <v>1241</v>
      </c>
      <c r="D1332" s="86" t="s">
        <v>1087</v>
      </c>
      <c r="E1332" s="86">
        <v>0</v>
      </c>
      <c r="F1332" s="86"/>
      <c r="G1332" s="87" t="s">
        <v>1086</v>
      </c>
      <c r="H1332" s="107" t="str">
        <f t="shared" si="9"/>
        <v>t.strike_qty as strike_qty,/*成交数量*/</v>
      </c>
    </row>
    <row r="1333" spans="2:8" x14ac:dyDescent="0.15">
      <c r="B1333" s="84" t="s">
        <v>39</v>
      </c>
      <c r="C1333" s="86" t="s">
        <v>1242</v>
      </c>
      <c r="D1333" s="86" t="s">
        <v>1169</v>
      </c>
      <c r="E1333" s="86">
        <v>0</v>
      </c>
      <c r="F1333" s="86"/>
      <c r="G1333" s="87" t="s">
        <v>1243</v>
      </c>
      <c r="H1333" s="107" t="str">
        <f t="shared" si="9"/>
        <v>t.strike_amt as strike_amt,/*成交金额*/</v>
      </c>
    </row>
    <row r="1334" spans="2:8" x14ac:dyDescent="0.15">
      <c r="B1334" s="84" t="s">
        <v>31</v>
      </c>
      <c r="C1334" s="86" t="s">
        <v>1465</v>
      </c>
      <c r="D1334" s="86" t="s">
        <v>1172</v>
      </c>
      <c r="E1334" s="86">
        <v>0</v>
      </c>
      <c r="F1334" s="86"/>
      <c r="G1334" s="87"/>
      <c r="H1334" s="107" t="str">
        <f t="shared" si="9"/>
        <v>t.pe_ratio as pe_ratio,/*市盈率*/</v>
      </c>
    </row>
    <row r="1335" spans="2:8" x14ac:dyDescent="0.15">
      <c r="B1335" s="84" t="s">
        <v>184</v>
      </c>
      <c r="C1335" s="86" t="s">
        <v>1260</v>
      </c>
      <c r="D1335" s="86" t="s">
        <v>211</v>
      </c>
      <c r="E1335" s="86" t="s">
        <v>1261</v>
      </c>
      <c r="F1335" s="86"/>
      <c r="G1335" s="87"/>
      <c r="H1335" s="107" t="str">
        <f t="shared" si="9"/>
        <v>t.time_stamp as time_stamp,/*时间戳*/</v>
      </c>
    </row>
    <row r="1336" spans="2:8" x14ac:dyDescent="0.15">
      <c r="B1336" s="105" t="s">
        <v>258</v>
      </c>
      <c r="C1336" s="106" t="s">
        <v>1395</v>
      </c>
      <c r="D1336" s="93" t="s">
        <v>1466</v>
      </c>
      <c r="E1336" s="93">
        <v>0</v>
      </c>
      <c r="F1336" s="93"/>
      <c r="G1336" s="94"/>
      <c r="H1336" s="107" t="str">
        <f t="shared" si="9"/>
        <v>t.bond_accr_intrst as bond_accr_intrst,/*债券计提利息*/</v>
      </c>
    </row>
    <row r="1337" spans="2:8" x14ac:dyDescent="0.15">
      <c r="B1337" s="105" t="s">
        <v>259</v>
      </c>
      <c r="C1337" s="106" t="s">
        <v>1392</v>
      </c>
      <c r="D1337" s="93" t="s">
        <v>423</v>
      </c>
      <c r="E1337" s="93">
        <v>0</v>
      </c>
      <c r="F1337" s="93"/>
      <c r="G1337" s="94"/>
      <c r="H1337" s="107" t="str">
        <f t="shared" si="9"/>
        <v>t.net_price_flag as net_price_flag,/*净价标志*/</v>
      </c>
    </row>
    <row r="1338" spans="2:8" x14ac:dyDescent="0.15">
      <c r="B1338" s="105" t="s">
        <v>41</v>
      </c>
      <c r="C1338" s="106" t="s">
        <v>1258</v>
      </c>
      <c r="D1338" s="93" t="s">
        <v>423</v>
      </c>
      <c r="E1338" s="93">
        <v>0</v>
      </c>
      <c r="F1338" s="93"/>
      <c r="G1338" s="94" t="s">
        <v>1360</v>
      </c>
      <c r="H1338" s="107" t="str">
        <f t="shared" si="9"/>
        <v>t.asset_type as asset_type,/*资产类型*/</v>
      </c>
    </row>
    <row r="1339" spans="2:8" x14ac:dyDescent="0.15">
      <c r="B1339" s="105" t="s">
        <v>93</v>
      </c>
      <c r="C1339" s="106" t="s">
        <v>1189</v>
      </c>
      <c r="D1339" s="93" t="s">
        <v>423</v>
      </c>
      <c r="E1339" s="93">
        <v>0</v>
      </c>
      <c r="F1339" s="93"/>
      <c r="G1339" s="94"/>
      <c r="H1339" s="107" t="str">
        <f t="shared" si="9"/>
        <v>t.stock_type as stock_type,/*证券类型*/</v>
      </c>
    </row>
    <row r="1340" spans="2:8" x14ac:dyDescent="0.15">
      <c r="B1340" s="104"/>
      <c r="C1340" s="93"/>
      <c r="D1340" s="93"/>
      <c r="E1340" s="93"/>
      <c r="F1340" s="93"/>
      <c r="G1340" s="94"/>
    </row>
    <row r="1341" spans="2:8" ht="18" thickBot="1" x14ac:dyDescent="0.2">
      <c r="B1341" s="89"/>
      <c r="C1341" s="90"/>
      <c r="D1341" s="90"/>
      <c r="E1341" s="90"/>
      <c r="F1341" s="90"/>
      <c r="G1341" s="91"/>
      <c r="H1341" s="1" t="s">
        <v>278</v>
      </c>
    </row>
    <row r="1342" spans="2:8" x14ac:dyDescent="0.15">
      <c r="B1342" s="324" t="s">
        <v>15</v>
      </c>
      <c r="C1342" s="325"/>
      <c r="D1342" s="325"/>
      <c r="E1342" s="325"/>
      <c r="F1342" s="325"/>
      <c r="G1342" s="326"/>
      <c r="H1342" s="1" t="s">
        <v>279</v>
      </c>
    </row>
    <row r="1343" spans="2:8" x14ac:dyDescent="0.15">
      <c r="B1343" s="88">
        <v>1</v>
      </c>
      <c r="C1343" s="86" t="s">
        <v>185</v>
      </c>
      <c r="D1343" s="86"/>
      <c r="E1343" s="86"/>
      <c r="F1343" s="86"/>
      <c r="G1343" s="87"/>
    </row>
    <row r="1344" spans="2:8" x14ac:dyDescent="0.15">
      <c r="B1344" s="92">
        <v>2</v>
      </c>
      <c r="C1344" s="93" t="s">
        <v>18</v>
      </c>
      <c r="D1344" s="93" t="s">
        <v>19</v>
      </c>
      <c r="E1344" s="93"/>
      <c r="F1344" s="93"/>
      <c r="G1344" s="94"/>
    </row>
    <row r="1345" spans="2:8" x14ac:dyDescent="0.15">
      <c r="B1345" s="92">
        <v>3</v>
      </c>
      <c r="C1345" s="93" t="s">
        <v>184</v>
      </c>
      <c r="D1345" s="93"/>
      <c r="E1345" s="93"/>
      <c r="F1345" s="93"/>
      <c r="G1345" s="94"/>
    </row>
    <row r="1346" spans="2:8" ht="18" thickBot="1" x14ac:dyDescent="0.2">
      <c r="B1346" s="89"/>
      <c r="C1346" s="90"/>
      <c r="D1346" s="90"/>
      <c r="E1346" s="90"/>
      <c r="F1346" s="90"/>
      <c r="G1346" s="91"/>
    </row>
    <row r="1349" spans="2:8" ht="18" thickBot="1" x14ac:dyDescent="0.2"/>
    <row r="1350" spans="2:8" s="7" customFormat="1" x14ac:dyDescent="0.15">
      <c r="B1350" s="3" t="s">
        <v>563</v>
      </c>
      <c r="C1350" s="4" t="s">
        <v>630</v>
      </c>
      <c r="D1350" s="5" t="s">
        <v>515</v>
      </c>
      <c r="E1350" s="21" t="s">
        <v>604</v>
      </c>
      <c r="F1350" s="5" t="s">
        <v>567</v>
      </c>
      <c r="G1350" s="6" t="s">
        <v>546</v>
      </c>
      <c r="H1350" s="6" t="str">
        <f>"create or replace view "&amp;C1350</f>
        <v>create or replace view vi_user_opor_info</v>
      </c>
    </row>
    <row r="1351" spans="2:8" s="7" customFormat="1" ht="18" thickBot="1" x14ac:dyDescent="0.2">
      <c r="B1351" s="8" t="s">
        <v>570</v>
      </c>
      <c r="C1351" s="9"/>
      <c r="D1351" s="10" t="s">
        <v>568</v>
      </c>
      <c r="E1351" s="9" t="s">
        <v>615</v>
      </c>
      <c r="F1351" s="10"/>
      <c r="G1351" s="11"/>
      <c r="H1351" s="11" t="str">
        <f>"# "&amp;E1350</f>
        <v># 报表_资管报表_视图-公共-用户-操作员信息表</v>
      </c>
    </row>
    <row r="1352" spans="2:8" s="7" customFormat="1" x14ac:dyDescent="0.15">
      <c r="B1352" s="12" t="s">
        <v>0</v>
      </c>
      <c r="C1352" s="13" t="s">
        <v>1</v>
      </c>
      <c r="D1352" s="13" t="s">
        <v>2</v>
      </c>
      <c r="E1352" s="13"/>
      <c r="F1352" s="13" t="s">
        <v>3</v>
      </c>
      <c r="G1352" s="111" t="s">
        <v>4</v>
      </c>
      <c r="H1352" s="13" t="s">
        <v>283</v>
      </c>
    </row>
    <row r="1353" spans="2:8" s="7" customFormat="1" x14ac:dyDescent="0.15">
      <c r="B1353" s="14" t="s">
        <v>16</v>
      </c>
      <c r="C1353" s="15" t="s">
        <v>1163</v>
      </c>
      <c r="D1353" s="15" t="s">
        <v>211</v>
      </c>
      <c r="E1353" s="15">
        <v>0</v>
      </c>
      <c r="F1353" s="15"/>
      <c r="G1353" s="16" t="s">
        <v>1077</v>
      </c>
      <c r="H1353" s="107" t="str">
        <f t="shared" ref="H1353:H1368" si="10">IF(F1353&lt;&gt;"",F1353,"t."&amp;C1353)&amp;" as "&amp;C1353&amp;",/*"&amp;B1353&amp;"*/"</f>
        <v>t.co_no as co_no,/*机构编号*/</v>
      </c>
    </row>
    <row r="1354" spans="2:8" s="7" customFormat="1" x14ac:dyDescent="0.15">
      <c r="B1354" s="14" t="s">
        <v>135</v>
      </c>
      <c r="C1354" s="15" t="s">
        <v>1357</v>
      </c>
      <c r="D1354" s="15" t="s">
        <v>211</v>
      </c>
      <c r="E1354" s="15">
        <v>0</v>
      </c>
      <c r="F1354" s="15"/>
      <c r="G1354" s="16" t="s">
        <v>1358</v>
      </c>
      <c r="H1354" s="107" t="str">
        <f t="shared" si="10"/>
        <v>t.opor_no as opor_no,/*操作员编号*/</v>
      </c>
    </row>
    <row r="1355" spans="2:8" s="7" customFormat="1" x14ac:dyDescent="0.15">
      <c r="B1355" s="14" t="s">
        <v>284</v>
      </c>
      <c r="C1355" s="112" t="s">
        <v>1467</v>
      </c>
      <c r="D1355" s="15" t="s">
        <v>1073</v>
      </c>
      <c r="E1355" s="15" t="s">
        <v>1072</v>
      </c>
      <c r="F1355" s="15"/>
      <c r="G1355" s="16"/>
      <c r="H1355" s="107" t="str">
        <f t="shared" si="10"/>
        <v>t.opor_name as opor_name,/*操作员名称*/</v>
      </c>
    </row>
    <row r="1356" spans="2:8" s="7" customFormat="1" x14ac:dyDescent="0.15">
      <c r="B1356" s="14" t="s">
        <v>285</v>
      </c>
      <c r="C1356" s="15" t="s">
        <v>1468</v>
      </c>
      <c r="D1356" s="15" t="s">
        <v>211</v>
      </c>
      <c r="E1356" s="15">
        <v>0</v>
      </c>
      <c r="F1356" s="15"/>
      <c r="G1356" s="16"/>
      <c r="H1356" s="107" t="str">
        <f t="shared" si="10"/>
        <v>t.opor_type as opor_type,/*操作员类型*/</v>
      </c>
    </row>
    <row r="1357" spans="2:8" s="7" customFormat="1" x14ac:dyDescent="0.15">
      <c r="B1357" s="14" t="s">
        <v>286</v>
      </c>
      <c r="C1357" s="29" t="s">
        <v>1594</v>
      </c>
      <c r="D1357" s="15" t="s">
        <v>1073</v>
      </c>
      <c r="E1357" s="15" t="s">
        <v>1072</v>
      </c>
      <c r="F1357" s="15"/>
      <c r="G1357" s="16" t="s">
        <v>1595</v>
      </c>
      <c r="H1357" s="107" t="str">
        <f t="shared" si="10"/>
        <v>t.opor_pwd as opor_pwd,/*操作员密码*/</v>
      </c>
    </row>
    <row r="1358" spans="2:8" s="7" customFormat="1" x14ac:dyDescent="0.15">
      <c r="B1358" s="14" t="s">
        <v>287</v>
      </c>
      <c r="C1358" s="15" t="s">
        <v>1469</v>
      </c>
      <c r="D1358" s="15" t="s">
        <v>1403</v>
      </c>
      <c r="E1358" s="15" t="s">
        <v>1303</v>
      </c>
      <c r="F1358" s="15"/>
      <c r="G1358" s="16"/>
      <c r="H1358" s="107" t="str">
        <f t="shared" si="10"/>
        <v>t.opor_status as opor_status,/*操作员状态*/</v>
      </c>
    </row>
    <row r="1359" spans="2:8" s="7" customFormat="1" x14ac:dyDescent="0.15">
      <c r="B1359" s="14" t="s">
        <v>288</v>
      </c>
      <c r="C1359" s="15" t="s">
        <v>1596</v>
      </c>
      <c r="D1359" s="15" t="s">
        <v>211</v>
      </c>
      <c r="E1359" s="15">
        <v>0</v>
      </c>
      <c r="F1359" s="15"/>
      <c r="G1359" s="16"/>
      <c r="H1359" s="107" t="str">
        <f t="shared" si="10"/>
        <v>t.create_opor as create_opor,/*创建者*/</v>
      </c>
    </row>
    <row r="1360" spans="2:8" s="7" customFormat="1" x14ac:dyDescent="0.15">
      <c r="B1360" s="17" t="s">
        <v>289</v>
      </c>
      <c r="C1360" s="29" t="s">
        <v>1597</v>
      </c>
      <c r="D1360" s="15" t="s">
        <v>1092</v>
      </c>
      <c r="E1360" s="15" t="s">
        <v>1072</v>
      </c>
      <c r="F1360" s="15"/>
      <c r="G1360" s="16"/>
      <c r="H1360" s="107" t="str">
        <f t="shared" si="10"/>
        <v>t.conta_addr as conta_addr,/*联系地址*/</v>
      </c>
    </row>
    <row r="1361" spans="1:8" s="7" customFormat="1" x14ac:dyDescent="0.15">
      <c r="B1361" s="17" t="s">
        <v>290</v>
      </c>
      <c r="C1361" s="113" t="s">
        <v>1437</v>
      </c>
      <c r="D1361" s="15" t="s">
        <v>211</v>
      </c>
      <c r="E1361" s="15">
        <v>0</v>
      </c>
      <c r="F1361" s="15"/>
      <c r="G1361" s="16"/>
      <c r="H1361" s="107" t="str">
        <f t="shared" si="10"/>
        <v>t.oper_rights as oper_rights,/*操作权限*/</v>
      </c>
    </row>
    <row r="1362" spans="1:8" s="7" customFormat="1" x14ac:dyDescent="0.15">
      <c r="B1362" s="21" t="s">
        <v>291</v>
      </c>
      <c r="C1362" s="102" t="s">
        <v>1470</v>
      </c>
      <c r="D1362" s="15" t="s">
        <v>1301</v>
      </c>
      <c r="E1362" s="15" t="s">
        <v>1072</v>
      </c>
      <c r="F1362" s="15"/>
      <c r="G1362" s="16"/>
      <c r="H1362" s="107" t="str">
        <f t="shared" si="10"/>
        <v>t.phone_number as phone_number,/*电话*/</v>
      </c>
    </row>
    <row r="1363" spans="1:8" s="7" customFormat="1" x14ac:dyDescent="0.15">
      <c r="B1363" s="14" t="s">
        <v>292</v>
      </c>
      <c r="C1363" s="29" t="s">
        <v>1471</v>
      </c>
      <c r="D1363" s="15" t="s">
        <v>1092</v>
      </c>
      <c r="E1363" s="15" t="s">
        <v>1072</v>
      </c>
      <c r="F1363" s="15"/>
      <c r="G1363" s="16"/>
      <c r="H1363" s="107" t="str">
        <f t="shared" si="10"/>
        <v>t.email as email,/*EMAIL*/</v>
      </c>
    </row>
    <row r="1364" spans="1:8" s="7" customFormat="1" x14ac:dyDescent="0.15">
      <c r="B1364" s="14" t="s">
        <v>293</v>
      </c>
      <c r="C1364" s="29" t="s">
        <v>1472</v>
      </c>
      <c r="D1364" s="15" t="s">
        <v>211</v>
      </c>
      <c r="E1364" s="15">
        <v>0</v>
      </c>
      <c r="F1364" s="15"/>
      <c r="G1364" s="16"/>
      <c r="H1364" s="107" t="str">
        <f t="shared" si="10"/>
        <v>t.is_trader as is_trader,/*是否交易员*/</v>
      </c>
    </row>
    <row r="1365" spans="1:8" s="7" customFormat="1" x14ac:dyDescent="0.15">
      <c r="B1365" s="14" t="s">
        <v>294</v>
      </c>
      <c r="C1365" s="113" t="s">
        <v>1473</v>
      </c>
      <c r="D1365" s="15" t="s">
        <v>211</v>
      </c>
      <c r="E1365" s="15">
        <v>0</v>
      </c>
      <c r="F1365" s="15"/>
      <c r="G1365" s="16"/>
      <c r="H1365" s="107" t="str">
        <f t="shared" si="10"/>
        <v>t.trader_no as trader_no,/*交易员编号*/</v>
      </c>
    </row>
    <row r="1366" spans="1:8" s="7" customFormat="1" x14ac:dyDescent="0.15">
      <c r="B1366" s="114" t="s">
        <v>295</v>
      </c>
      <c r="C1366" s="113" t="s">
        <v>1598</v>
      </c>
      <c r="D1366" s="21" t="s">
        <v>1073</v>
      </c>
      <c r="E1366" s="21" t="s">
        <v>1072</v>
      </c>
      <c r="F1366" s="21"/>
      <c r="G1366" s="22"/>
      <c r="H1366" s="107" t="str">
        <f t="shared" si="10"/>
        <v>t.allow_login_type as allow_login_type,/*允许登录方式*/</v>
      </c>
    </row>
    <row r="1367" spans="1:8" s="7" customFormat="1" x14ac:dyDescent="0.15">
      <c r="B1367" s="20" t="s">
        <v>296</v>
      </c>
      <c r="C1367" s="113" t="s">
        <v>1474</v>
      </c>
      <c r="D1367" s="21" t="s">
        <v>1092</v>
      </c>
      <c r="E1367" s="21" t="s">
        <v>1072</v>
      </c>
      <c r="F1367" s="21"/>
      <c r="G1367" s="22"/>
      <c r="H1367" s="107" t="str">
        <f t="shared" si="10"/>
        <v>t.allow_oper_ip_addr as allow_oper_ip_addr,/*允许操作IP*/</v>
      </c>
    </row>
    <row r="1368" spans="1:8" s="7" customFormat="1" x14ac:dyDescent="0.15">
      <c r="B1368" s="20" t="s">
        <v>297</v>
      </c>
      <c r="C1368" s="113" t="s">
        <v>1599</v>
      </c>
      <c r="D1368" s="21" t="s">
        <v>1092</v>
      </c>
      <c r="E1368" s="21" t="s">
        <v>1072</v>
      </c>
      <c r="F1368" s="21"/>
      <c r="G1368" s="22"/>
      <c r="H1368" s="107" t="str">
        <f t="shared" si="10"/>
        <v>t.allow_oper_mac as allow_oper_mac,/*允许操作MAC*/</v>
      </c>
    </row>
    <row r="1369" spans="1:8" s="7" customFormat="1" ht="18" thickBot="1" x14ac:dyDescent="0.2">
      <c r="B1369" s="17"/>
      <c r="C1369" s="18"/>
      <c r="D1369" s="18"/>
      <c r="E1369" s="18"/>
      <c r="F1369" s="18"/>
      <c r="G1369" s="19"/>
    </row>
    <row r="1370" spans="1:8" s="7" customFormat="1" x14ac:dyDescent="0.15">
      <c r="B1370" s="327" t="s">
        <v>15</v>
      </c>
      <c r="C1370" s="328"/>
      <c r="D1370" s="328"/>
      <c r="E1370" s="328"/>
      <c r="F1370" s="328"/>
      <c r="G1370" s="329"/>
    </row>
    <row r="1371" spans="1:8" s="7" customFormat="1" x14ac:dyDescent="0.15">
      <c r="A1371" s="7" t="s">
        <v>298</v>
      </c>
      <c r="B1371" s="20">
        <v>1</v>
      </c>
      <c r="C1371" s="21" t="s">
        <v>135</v>
      </c>
      <c r="D1371" s="21"/>
      <c r="E1371" s="21"/>
      <c r="F1371" s="21"/>
      <c r="G1371" s="22"/>
    </row>
    <row r="1372" spans="1:8" s="7" customFormat="1" x14ac:dyDescent="0.15">
      <c r="B1372" s="17">
        <v>2</v>
      </c>
      <c r="C1372" s="18" t="s">
        <v>294</v>
      </c>
      <c r="D1372" s="18"/>
      <c r="E1372" s="18"/>
      <c r="F1372" s="18"/>
      <c r="G1372" s="19"/>
    </row>
    <row r="1373" spans="1:8" s="7" customFormat="1" x14ac:dyDescent="0.15">
      <c r="B1373" s="17">
        <v>3</v>
      </c>
      <c r="C1373" s="18" t="s">
        <v>16</v>
      </c>
      <c r="D1373" s="18"/>
      <c r="E1373" s="18"/>
      <c r="F1373" s="18"/>
      <c r="G1373" s="19"/>
    </row>
    <row r="1374" spans="1:8" s="7" customFormat="1" ht="18" thickBot="1" x14ac:dyDescent="0.2">
      <c r="B1374" s="24"/>
      <c r="C1374" s="9"/>
      <c r="D1374" s="9"/>
      <c r="E1374" s="9"/>
      <c r="F1374" s="9"/>
      <c r="G1374" s="11"/>
    </row>
    <row r="1375" spans="1:8" s="7" customFormat="1" x14ac:dyDescent="0.15"/>
    <row r="1376" spans="1:8" s="7" customFormat="1" ht="18" thickBot="1" x14ac:dyDescent="0.2">
      <c r="A1376" s="2"/>
    </row>
    <row r="1377" spans="1:14" s="7" customFormat="1" x14ac:dyDescent="0.15">
      <c r="A1377" s="2"/>
      <c r="B1377" s="3" t="s">
        <v>563</v>
      </c>
      <c r="C1377" s="4" t="s">
        <v>673</v>
      </c>
      <c r="D1377" s="5" t="s">
        <v>515</v>
      </c>
      <c r="E1377" s="21" t="s">
        <v>583</v>
      </c>
      <c r="F1377" s="5" t="s">
        <v>567</v>
      </c>
      <c r="G1377" s="6" t="s">
        <v>546</v>
      </c>
      <c r="H1377" s="6" t="str">
        <f>"create or replace view "&amp;C1377</f>
        <v>create or replace view vi_rptasset_qry_pd_asset</v>
      </c>
    </row>
    <row r="1378" spans="1:14" s="7" customFormat="1" ht="18" thickBot="1" x14ac:dyDescent="0.2">
      <c r="A1378" s="2"/>
      <c r="B1378" s="34" t="s">
        <v>570</v>
      </c>
      <c r="C1378" s="18"/>
      <c r="D1378" s="35" t="s">
        <v>568</v>
      </c>
      <c r="E1378" s="18" t="s">
        <v>615</v>
      </c>
      <c r="F1378" s="35"/>
      <c r="G1378" s="19"/>
      <c r="H1378" s="11" t="str">
        <f>"/* "&amp;E1377&amp;"*/  as "</f>
        <v xml:space="preserve">/* 报表_资管报表_视图-查询产品资产*/  as </v>
      </c>
    </row>
    <row r="1379" spans="1:14" s="7" customFormat="1" x14ac:dyDescent="0.15">
      <c r="A1379" s="2"/>
      <c r="B1379" s="3" t="s">
        <v>0</v>
      </c>
      <c r="C1379" s="5" t="s">
        <v>1</v>
      </c>
      <c r="D1379" s="5" t="s">
        <v>2</v>
      </c>
      <c r="E1379" s="5"/>
      <c r="F1379" s="5" t="s">
        <v>3</v>
      </c>
      <c r="G1379" s="36" t="s">
        <v>4</v>
      </c>
      <c r="H1379" s="13" t="s">
        <v>474</v>
      </c>
    </row>
    <row r="1380" spans="1:14" s="166" customFormat="1" ht="17.25" customHeight="1" x14ac:dyDescent="0.15">
      <c r="B1380" s="167" t="s">
        <v>22</v>
      </c>
      <c r="C1380" s="168" t="s">
        <v>1127</v>
      </c>
      <c r="D1380" s="168" t="s">
        <v>211</v>
      </c>
      <c r="E1380" s="168" t="s">
        <v>1141</v>
      </c>
      <c r="F1380" s="168"/>
      <c r="G1380" s="169" t="s">
        <v>1162</v>
      </c>
      <c r="H1380" s="107" t="str">
        <f t="shared" ref="H1380:H1401" si="11">"ifnull("&amp;IF(I1380&lt;&gt;"",I1380,IF(F1380&lt;&gt;"",F1380,"t")&amp;"."&amp;C1380)&amp;","&amp;E1380&amp;") as "&amp;C1380&amp;",/*"&amp;B1380&amp;"*/"</f>
        <v>ifnull(t.init_date,date_format(curdate(),'%Y%m%d')) as init_date,/*初始化日期*/</v>
      </c>
      <c r="J1380" s="166" t="s">
        <v>237</v>
      </c>
      <c r="K1380" s="166" t="s">
        <v>238</v>
      </c>
      <c r="L1380" s="166" t="s">
        <v>211</v>
      </c>
      <c r="M1380" s="166" t="s">
        <v>211</v>
      </c>
      <c r="N1380" s="166">
        <v>1211</v>
      </c>
    </row>
    <row r="1381" spans="1:14" s="166" customFormat="1" ht="17.25" customHeight="1" x14ac:dyDescent="0.15">
      <c r="B1381" s="167" t="s">
        <v>111</v>
      </c>
      <c r="C1381" s="168" t="s">
        <v>1164</v>
      </c>
      <c r="D1381" s="168" t="s">
        <v>211</v>
      </c>
      <c r="E1381" s="168">
        <v>0</v>
      </c>
      <c r="F1381" s="168"/>
      <c r="G1381" s="169" t="s">
        <v>1329</v>
      </c>
      <c r="H1381" s="107" t="str">
        <f t="shared" si="11"/>
        <v>ifnull(t.pd_no,0) as pd_no,/*产品编号*/</v>
      </c>
      <c r="J1381" s="166" t="s">
        <v>237</v>
      </c>
      <c r="K1381" s="166" t="s">
        <v>238</v>
      </c>
      <c r="L1381" s="166" t="s">
        <v>211</v>
      </c>
      <c r="M1381" s="166" t="s">
        <v>211</v>
      </c>
      <c r="N1381" s="166">
        <v>1112</v>
      </c>
    </row>
    <row r="1382" spans="1:14" s="166" customFormat="1" ht="17.25" customHeight="1" x14ac:dyDescent="0.15">
      <c r="B1382" s="170" t="s">
        <v>373</v>
      </c>
      <c r="C1382" s="171" t="s">
        <v>1126</v>
      </c>
      <c r="D1382" s="171" t="s">
        <v>1087</v>
      </c>
      <c r="E1382" s="171">
        <v>0</v>
      </c>
      <c r="F1382" s="171"/>
      <c r="G1382" s="172"/>
      <c r="H1382" s="107" t="str">
        <f t="shared" si="11"/>
        <v>ifnull(t.pd_all_share,0) as pd_all_share,/*产品总份额*/</v>
      </c>
      <c r="J1382" s="166" t="s">
        <v>347</v>
      </c>
      <c r="K1382" s="166" t="s">
        <v>348</v>
      </c>
      <c r="L1382" s="166" t="s">
        <v>349</v>
      </c>
      <c r="M1382" s="166" t="s">
        <v>349</v>
      </c>
      <c r="N1382" s="166">
        <v>1149</v>
      </c>
    </row>
    <row r="1383" spans="1:14" s="166" customFormat="1" ht="17.25" customHeight="1" x14ac:dyDescent="0.15">
      <c r="B1383" s="170" t="s">
        <v>374</v>
      </c>
      <c r="C1383" s="171" t="s">
        <v>1170</v>
      </c>
      <c r="D1383" s="171" t="s">
        <v>1169</v>
      </c>
      <c r="E1383" s="171">
        <v>0</v>
      </c>
      <c r="F1383" s="171"/>
      <c r="G1383" s="172"/>
      <c r="H1383" s="107" t="str">
        <f t="shared" si="11"/>
        <v>ifnull(t.nav_asset,0) as nav_asset,/*净资产*/</v>
      </c>
      <c r="J1383" s="166" t="s">
        <v>347</v>
      </c>
      <c r="K1383" s="166" t="s">
        <v>348</v>
      </c>
      <c r="L1383" s="166" t="s">
        <v>349</v>
      </c>
      <c r="M1383" s="166" t="s">
        <v>349</v>
      </c>
      <c r="N1383" s="166">
        <v>1741</v>
      </c>
    </row>
    <row r="1384" spans="1:14" s="166" customFormat="1" ht="17.25" customHeight="1" x14ac:dyDescent="0.15">
      <c r="B1384" s="170" t="s">
        <v>362</v>
      </c>
      <c r="C1384" s="171" t="s">
        <v>1078</v>
      </c>
      <c r="D1384" s="171" t="s">
        <v>1169</v>
      </c>
      <c r="E1384" s="171">
        <v>0</v>
      </c>
      <c r="F1384" s="171"/>
      <c r="G1384" s="172"/>
      <c r="H1384" s="107" t="str">
        <f t="shared" si="11"/>
        <v>ifnull(t.unit_nav,0) as unit_nav,/*单位净值*/</v>
      </c>
      <c r="J1384" s="166" t="s">
        <v>347</v>
      </c>
      <c r="K1384" s="166" t="s">
        <v>351</v>
      </c>
      <c r="L1384" s="166" t="s">
        <v>349</v>
      </c>
      <c r="M1384" s="166" t="s">
        <v>349</v>
      </c>
      <c r="N1384" s="166">
        <v>1244</v>
      </c>
    </row>
    <row r="1385" spans="1:14" s="166" customFormat="1" ht="17.25" customHeight="1" x14ac:dyDescent="0.15">
      <c r="B1385" s="170" t="s">
        <v>193</v>
      </c>
      <c r="C1385" s="171" t="s">
        <v>1171</v>
      </c>
      <c r="D1385" s="171" t="s">
        <v>1169</v>
      </c>
      <c r="E1385" s="171">
        <v>0</v>
      </c>
      <c r="F1385" s="171"/>
      <c r="G1385" s="172"/>
      <c r="H1385" s="107" t="str">
        <f t="shared" si="11"/>
        <v>ifnull(t.pre_nav,0) as pre_nav,/*昨日净值*/</v>
      </c>
      <c r="J1385" s="166" t="s">
        <v>352</v>
      </c>
      <c r="K1385" s="166" t="s">
        <v>348</v>
      </c>
      <c r="L1385" s="166" t="s">
        <v>349</v>
      </c>
      <c r="M1385" s="166" t="s">
        <v>349</v>
      </c>
      <c r="N1385" s="166">
        <v>2595</v>
      </c>
    </row>
    <row r="1386" spans="1:14" s="166" customFormat="1" ht="17.25" customHeight="1" x14ac:dyDescent="0.15">
      <c r="B1386" s="170" t="s">
        <v>470</v>
      </c>
      <c r="C1386" s="171" t="s">
        <v>1088</v>
      </c>
      <c r="D1386" s="171" t="s">
        <v>1172</v>
      </c>
      <c r="E1386" s="171">
        <v>0</v>
      </c>
      <c r="F1386" s="171"/>
      <c r="G1386" s="172"/>
      <c r="H1386" s="107" t="str">
        <f t="shared" si="11"/>
        <v>ifnull(t.nav_fluct,0) as nav_fluct,/*净值波动*/</v>
      </c>
      <c r="J1386" s="166" t="s">
        <v>347</v>
      </c>
      <c r="K1386" s="166" t="s">
        <v>351</v>
      </c>
      <c r="L1386" s="166" t="s">
        <v>349</v>
      </c>
      <c r="M1386" s="166" t="s">
        <v>349</v>
      </c>
      <c r="N1386" s="166">
        <v>1739</v>
      </c>
    </row>
    <row r="1387" spans="1:14" s="166" customFormat="1" ht="17.25" customHeight="1" x14ac:dyDescent="0.15">
      <c r="B1387" s="170" t="s">
        <v>313</v>
      </c>
      <c r="C1387" s="171" t="s">
        <v>1185</v>
      </c>
      <c r="D1387" s="171" t="s">
        <v>1169</v>
      </c>
      <c r="E1387" s="171">
        <v>0</v>
      </c>
      <c r="F1387" s="171"/>
      <c r="G1387" s="172"/>
      <c r="H1387" s="107" t="str">
        <f t="shared" si="11"/>
        <v>ifnull(t.cash_asset,0) as cash_asset,/*现金资产*/</v>
      </c>
      <c r="J1387" s="166" t="s">
        <v>352</v>
      </c>
      <c r="K1387" s="166" t="s">
        <v>351</v>
      </c>
      <c r="L1387" s="166" t="s">
        <v>349</v>
      </c>
      <c r="M1387" s="166" t="s">
        <v>349</v>
      </c>
      <c r="N1387" s="166">
        <v>2309</v>
      </c>
    </row>
    <row r="1388" spans="1:14" s="166" customFormat="1" ht="17.25" customHeight="1" x14ac:dyDescent="0.15">
      <c r="B1388" s="170" t="s">
        <v>377</v>
      </c>
      <c r="C1388" s="171" t="s">
        <v>1181</v>
      </c>
      <c r="D1388" s="171" t="s">
        <v>1169</v>
      </c>
      <c r="E1388" s="171">
        <v>0</v>
      </c>
      <c r="F1388" s="171"/>
      <c r="G1388" s="172"/>
      <c r="H1388" s="107" t="str">
        <f t="shared" si="11"/>
        <v>ifnull(t.stock_asset,0) as stock_asset,/*股票资产*/</v>
      </c>
      <c r="J1388" s="166" t="s">
        <v>352</v>
      </c>
      <c r="K1388" s="166" t="s">
        <v>348</v>
      </c>
      <c r="L1388" s="166" t="s">
        <v>349</v>
      </c>
      <c r="M1388" s="166" t="s">
        <v>349</v>
      </c>
      <c r="N1388" s="166">
        <v>1511</v>
      </c>
    </row>
    <row r="1389" spans="1:14" s="166" customFormat="1" ht="17.25" customHeight="1" x14ac:dyDescent="0.15">
      <c r="B1389" s="170" t="s">
        <v>353</v>
      </c>
      <c r="C1389" s="171" t="s">
        <v>1173</v>
      </c>
      <c r="D1389" s="171" t="s">
        <v>1169</v>
      </c>
      <c r="E1389" s="171">
        <v>0</v>
      </c>
      <c r="F1389" s="171"/>
      <c r="G1389" s="172"/>
      <c r="H1389" s="107" t="str">
        <f t="shared" si="11"/>
        <v>ifnull(t.bond_asset,0) as bond_asset,/*债券资产*/</v>
      </c>
      <c r="J1389" s="166" t="s">
        <v>347</v>
      </c>
      <c r="K1389" s="166" t="s">
        <v>348</v>
      </c>
      <c r="L1389" s="166" t="s">
        <v>349</v>
      </c>
      <c r="M1389" s="166" t="s">
        <v>349</v>
      </c>
      <c r="N1389" s="166">
        <v>2402</v>
      </c>
    </row>
    <row r="1390" spans="1:14" s="166" customFormat="1" ht="17.25" customHeight="1" x14ac:dyDescent="0.15">
      <c r="B1390" s="170" t="s">
        <v>378</v>
      </c>
      <c r="C1390" s="171" t="s">
        <v>1128</v>
      </c>
      <c r="D1390" s="171" t="s">
        <v>1169</v>
      </c>
      <c r="E1390" s="171">
        <v>0</v>
      </c>
      <c r="F1390" s="171"/>
      <c r="G1390" s="172"/>
      <c r="H1390" s="107" t="str">
        <f t="shared" si="11"/>
        <v>ifnull(t.fund_asset,0) as fund_asset,/*基金资产*/</v>
      </c>
      <c r="J1390" s="166" t="s">
        <v>347</v>
      </c>
      <c r="K1390" s="166" t="s">
        <v>348</v>
      </c>
      <c r="L1390" s="166" t="s">
        <v>349</v>
      </c>
      <c r="M1390" s="166" t="s">
        <v>349</v>
      </c>
      <c r="N1390" s="166">
        <v>1618</v>
      </c>
    </row>
    <row r="1391" spans="1:14" s="166" customFormat="1" ht="17.25" customHeight="1" x14ac:dyDescent="0.15">
      <c r="B1391" s="170" t="s">
        <v>471</v>
      </c>
      <c r="C1391" s="171" t="s">
        <v>1089</v>
      </c>
      <c r="D1391" s="171" t="s">
        <v>1169</v>
      </c>
      <c r="E1391" s="171">
        <v>0</v>
      </c>
      <c r="F1391" s="171"/>
      <c r="G1391" s="172"/>
      <c r="H1391" s="107" t="str">
        <f t="shared" si="11"/>
        <v>ifnull(t.repo_asset,0) as repo_asset,/*回购资产*/</v>
      </c>
      <c r="J1391" s="166" t="s">
        <v>347</v>
      </c>
      <c r="K1391" s="166" t="s">
        <v>348</v>
      </c>
      <c r="L1391" s="166" t="s">
        <v>349</v>
      </c>
      <c r="M1391" s="166" t="s">
        <v>349</v>
      </c>
      <c r="N1391" s="166">
        <v>1599</v>
      </c>
    </row>
    <row r="1392" spans="1:14" s="166" customFormat="1" ht="17.25" customHeight="1" x14ac:dyDescent="0.15">
      <c r="B1392" s="170" t="s">
        <v>472</v>
      </c>
      <c r="C1392" s="171" t="s">
        <v>1174</v>
      </c>
      <c r="D1392" s="171" t="s">
        <v>1169</v>
      </c>
      <c r="E1392" s="171">
        <v>0</v>
      </c>
      <c r="F1392" s="171"/>
      <c r="G1392" s="172"/>
      <c r="H1392" s="107" t="str">
        <f t="shared" si="11"/>
        <v>ifnull(t.other_asset,0) as other_asset,/*其他资产*/</v>
      </c>
      <c r="J1392" s="166" t="s">
        <v>352</v>
      </c>
      <c r="K1392" s="166" t="s">
        <v>348</v>
      </c>
      <c r="L1392" s="166" t="s">
        <v>349</v>
      </c>
      <c r="M1392" s="166" t="s">
        <v>349</v>
      </c>
      <c r="N1392" s="166">
        <v>1997</v>
      </c>
    </row>
    <row r="1393" spans="1:14" s="166" customFormat="1" ht="17.25" customHeight="1" x14ac:dyDescent="0.15">
      <c r="B1393" s="170" t="s">
        <v>176</v>
      </c>
      <c r="C1393" s="171" t="s">
        <v>1132</v>
      </c>
      <c r="D1393" s="171" t="s">
        <v>1169</v>
      </c>
      <c r="E1393" s="171">
        <v>0</v>
      </c>
      <c r="F1393" s="171"/>
      <c r="G1393" s="172"/>
      <c r="H1393" s="107" t="str">
        <f t="shared" si="11"/>
        <v>ifnull(t.total_payab_amt,0) as total_payab_amt,/*累计应付金额*/</v>
      </c>
      <c r="J1393" s="166" t="s">
        <v>347</v>
      </c>
      <c r="K1393" s="166" t="s">
        <v>351</v>
      </c>
      <c r="L1393" s="166" t="s">
        <v>349</v>
      </c>
      <c r="M1393" s="166" t="s">
        <v>349</v>
      </c>
      <c r="N1393" s="166">
        <v>1842</v>
      </c>
    </row>
    <row r="1394" spans="1:14" s="166" customFormat="1" ht="17.25" customHeight="1" x14ac:dyDescent="0.15">
      <c r="B1394" s="170" t="s">
        <v>175</v>
      </c>
      <c r="C1394" s="171" t="s">
        <v>1129</v>
      </c>
      <c r="D1394" s="171" t="s">
        <v>1169</v>
      </c>
      <c r="E1394" s="171">
        <v>0</v>
      </c>
      <c r="F1394" s="171"/>
      <c r="G1394" s="172"/>
      <c r="H1394" s="107" t="str">
        <f t="shared" si="11"/>
        <v>ifnull(t.total_rece_amt,0) as total_rece_amt,/*累计应收金额*/</v>
      </c>
      <c r="J1394" s="166" t="s">
        <v>347</v>
      </c>
      <c r="K1394" s="166" t="s">
        <v>348</v>
      </c>
      <c r="L1394" s="166" t="s">
        <v>349</v>
      </c>
      <c r="M1394" s="166" t="s">
        <v>349</v>
      </c>
      <c r="N1394" s="166">
        <v>1843</v>
      </c>
    </row>
    <row r="1395" spans="1:14" s="166" customFormat="1" ht="17.25" customHeight="1" x14ac:dyDescent="0.15">
      <c r="B1395" s="170" t="s">
        <v>473</v>
      </c>
      <c r="C1395" s="171" t="s">
        <v>1130</v>
      </c>
      <c r="D1395" s="171" t="s">
        <v>1169</v>
      </c>
      <c r="E1395" s="171">
        <v>0</v>
      </c>
      <c r="F1395" s="171"/>
      <c r="G1395" s="172"/>
      <c r="H1395" s="107" t="str">
        <f t="shared" si="11"/>
        <v>ifnull(t.assign_avail_amt,0) as assign_avail_amt,/*可分配金额*/</v>
      </c>
      <c r="J1395" s="166" t="s">
        <v>352</v>
      </c>
      <c r="K1395" s="166" t="s">
        <v>348</v>
      </c>
      <c r="L1395" s="166" t="s">
        <v>349</v>
      </c>
      <c r="M1395" s="166" t="s">
        <v>349</v>
      </c>
      <c r="N1395" s="166">
        <v>1774</v>
      </c>
    </row>
    <row r="1396" spans="1:14" s="166" customFormat="1" ht="17.25" customHeight="1" x14ac:dyDescent="0.15">
      <c r="B1396" s="170" t="s">
        <v>182</v>
      </c>
      <c r="C1396" s="171" t="s">
        <v>1091</v>
      </c>
      <c r="D1396" s="171" t="s">
        <v>1131</v>
      </c>
      <c r="E1396" s="171" t="s">
        <v>1074</v>
      </c>
      <c r="F1396" s="171"/>
      <c r="G1396" s="172"/>
      <c r="H1396" s="107" t="str">
        <f t="shared" si="11"/>
        <v>ifnull(t.crncy_type,"CNY") as crncy_type,/*本币币种*/</v>
      </c>
      <c r="J1396" s="166" t="s">
        <v>354</v>
      </c>
      <c r="K1396" s="166" t="s">
        <v>355</v>
      </c>
      <c r="L1396" s="166" t="s">
        <v>356</v>
      </c>
      <c r="M1396" s="166" t="s">
        <v>354</v>
      </c>
      <c r="N1396" s="166">
        <v>1041</v>
      </c>
    </row>
    <row r="1397" spans="1:14" s="166" customFormat="1" ht="17.25" customHeight="1" x14ac:dyDescent="0.15">
      <c r="B1397" s="170" t="s">
        <v>381</v>
      </c>
      <c r="C1397" s="171" t="s">
        <v>1176</v>
      </c>
      <c r="D1397" s="171" t="s">
        <v>1169</v>
      </c>
      <c r="E1397" s="171">
        <v>0</v>
      </c>
      <c r="F1397" s="171"/>
      <c r="G1397" s="172"/>
      <c r="H1397" s="107" t="str">
        <f t="shared" si="11"/>
        <v>ifnull(t.today_pandl,0) as today_pandl,/*当日盈亏*/</v>
      </c>
      <c r="J1397" s="166" t="s">
        <v>347</v>
      </c>
      <c r="K1397" s="166" t="s">
        <v>348</v>
      </c>
      <c r="L1397" s="166" t="s">
        <v>349</v>
      </c>
      <c r="M1397" s="166" t="s">
        <v>349</v>
      </c>
      <c r="N1397" s="166">
        <v>1274</v>
      </c>
    </row>
    <row r="1398" spans="1:14" s="166" customFormat="1" ht="17.25" customHeight="1" x14ac:dyDescent="0.15">
      <c r="B1398" s="170" t="s">
        <v>382</v>
      </c>
      <c r="C1398" s="171" t="s">
        <v>1177</v>
      </c>
      <c r="D1398" s="171" t="s">
        <v>1172</v>
      </c>
      <c r="E1398" s="171">
        <v>0</v>
      </c>
      <c r="F1398" s="171"/>
      <c r="G1398" s="172"/>
      <c r="H1398" s="107" t="str">
        <f t="shared" si="11"/>
        <v>ifnull(t.daily_pandl_ratio,0) as daily_pandl_ratio,/*当日收益率*/</v>
      </c>
      <c r="J1398" s="166" t="s">
        <v>347</v>
      </c>
      <c r="K1398" s="166" t="s">
        <v>348</v>
      </c>
      <c r="L1398" s="166" t="s">
        <v>349</v>
      </c>
      <c r="M1398" s="166" t="s">
        <v>349</v>
      </c>
    </row>
    <row r="1399" spans="1:14" s="166" customFormat="1" ht="17.25" customHeight="1" x14ac:dyDescent="0.15">
      <c r="B1399" s="170" t="s">
        <v>383</v>
      </c>
      <c r="C1399" s="171" t="s">
        <v>1178</v>
      </c>
      <c r="D1399" s="171" t="s">
        <v>1169</v>
      </c>
      <c r="E1399" s="171">
        <v>0</v>
      </c>
      <c r="F1399" s="171"/>
      <c r="G1399" s="172"/>
      <c r="H1399" s="107" t="str">
        <f t="shared" si="11"/>
        <v>ifnull(t.cash_out_amt,0) as cash_out_amt,/*可提现金额*/</v>
      </c>
      <c r="J1399" s="166" t="s">
        <v>347</v>
      </c>
      <c r="K1399" s="166" t="s">
        <v>351</v>
      </c>
      <c r="L1399" s="166" t="s">
        <v>349</v>
      </c>
      <c r="M1399" s="166" t="s">
        <v>349</v>
      </c>
    </row>
    <row r="1400" spans="1:14" s="166" customFormat="1" ht="17.25" customHeight="1" x14ac:dyDescent="0.15">
      <c r="B1400" s="170" t="s">
        <v>384</v>
      </c>
      <c r="C1400" s="171" t="s">
        <v>1179</v>
      </c>
      <c r="D1400" s="171" t="s">
        <v>1172</v>
      </c>
      <c r="E1400" s="171">
        <v>0</v>
      </c>
      <c r="F1400" s="171"/>
      <c r="G1400" s="172"/>
      <c r="H1400" s="107" t="str">
        <f t="shared" si="11"/>
        <v>ifnull(t.stock_asset_ratio,0) as stock_asset_ratio,/*股票资产占比*/</v>
      </c>
      <c r="J1400" s="166" t="s">
        <v>347</v>
      </c>
      <c r="K1400" s="166" t="s">
        <v>351</v>
      </c>
      <c r="L1400" s="166" t="s">
        <v>349</v>
      </c>
      <c r="M1400" s="166" t="s">
        <v>349</v>
      </c>
      <c r="N1400" s="166">
        <v>1512</v>
      </c>
    </row>
    <row r="1401" spans="1:14" s="166" customFormat="1" ht="17.25" customHeight="1" x14ac:dyDescent="0.15">
      <c r="B1401" s="170" t="s">
        <v>385</v>
      </c>
      <c r="C1401" s="171" t="s">
        <v>1180</v>
      </c>
      <c r="D1401" s="171" t="s">
        <v>1172</v>
      </c>
      <c r="E1401" s="171">
        <v>0</v>
      </c>
      <c r="F1401" s="171"/>
      <c r="G1401" s="172"/>
      <c r="H1401" s="107" t="str">
        <f t="shared" si="11"/>
        <v>ifnull(t.securities_ratio,0) as securities_ratio,/*证券占比*/</v>
      </c>
      <c r="J1401" s="166" t="s">
        <v>352</v>
      </c>
      <c r="K1401" s="166" t="s">
        <v>348</v>
      </c>
      <c r="L1401" s="166" t="s">
        <v>349</v>
      </c>
      <c r="M1401" s="166" t="s">
        <v>349</v>
      </c>
    </row>
    <row r="1402" spans="1:14" s="7" customFormat="1" ht="18" thickBot="1" x14ac:dyDescent="0.2">
      <c r="A1402" s="2"/>
      <c r="B1402" s="24"/>
      <c r="C1402" s="9"/>
      <c r="D1402" s="9"/>
      <c r="E1402" s="9"/>
      <c r="F1402" s="9"/>
      <c r="G1402" s="11"/>
    </row>
    <row r="1403" spans="1:14" s="7" customFormat="1" x14ac:dyDescent="0.15">
      <c r="A1403" s="2"/>
      <c r="B1403" s="327" t="s">
        <v>15</v>
      </c>
      <c r="C1403" s="328"/>
      <c r="D1403" s="328"/>
      <c r="E1403" s="328"/>
      <c r="F1403" s="328"/>
      <c r="G1403" s="329"/>
    </row>
    <row r="1404" spans="1:14" s="7" customFormat="1" ht="18" thickBot="1" x14ac:dyDescent="0.2">
      <c r="A1404" s="2"/>
      <c r="B1404" s="24"/>
      <c r="C1404" s="9"/>
      <c r="D1404" s="9"/>
      <c r="E1404" s="9"/>
      <c r="F1404" s="9"/>
      <c r="G1404" s="11"/>
    </row>
    <row r="1405" spans="1:14" ht="18" thickBot="1" x14ac:dyDescent="0.2"/>
    <row r="1406" spans="1:14" s="7" customFormat="1" x14ac:dyDescent="0.15">
      <c r="A1406" s="2"/>
      <c r="B1406" s="3" t="s">
        <v>563</v>
      </c>
      <c r="C1406" s="4" t="s">
        <v>673</v>
      </c>
      <c r="D1406" s="5" t="s">
        <v>515</v>
      </c>
      <c r="E1406" s="21" t="s">
        <v>583</v>
      </c>
      <c r="F1406" s="5" t="s">
        <v>567</v>
      </c>
      <c r="G1406" s="6" t="s">
        <v>631</v>
      </c>
      <c r="H1406" s="6" t="str">
        <f>"create or replace view "&amp;C1406</f>
        <v>create or replace view vi_rptasset_qry_pd_asset</v>
      </c>
    </row>
    <row r="1407" spans="1:14" s="7" customFormat="1" ht="18" thickBot="1" x14ac:dyDescent="0.2">
      <c r="A1407" s="2"/>
      <c r="B1407" s="34" t="s">
        <v>570</v>
      </c>
      <c r="C1407" s="18"/>
      <c r="D1407" s="35" t="s">
        <v>568</v>
      </c>
      <c r="E1407" s="18" t="s">
        <v>615</v>
      </c>
      <c r="F1407" s="35"/>
      <c r="G1407" s="19"/>
      <c r="H1407" s="11" t="str">
        <f>"/* "&amp;E1406&amp;"*/  as "</f>
        <v xml:space="preserve">/* 报表_资管报表_视图-查询产品资产*/  as </v>
      </c>
    </row>
    <row r="1408" spans="1:14" s="7" customFormat="1" x14ac:dyDescent="0.15">
      <c r="A1408" s="2"/>
      <c r="B1408" s="3" t="s">
        <v>0</v>
      </c>
      <c r="C1408" s="5" t="s">
        <v>1</v>
      </c>
      <c r="D1408" s="5" t="s">
        <v>2</v>
      </c>
      <c r="E1408" s="5"/>
      <c r="F1408" s="5" t="s">
        <v>3</v>
      </c>
      <c r="G1408" s="36" t="s">
        <v>4</v>
      </c>
      <c r="H1408" s="13" t="s">
        <v>474</v>
      </c>
    </row>
    <row r="1409" spans="1:14" s="166" customFormat="1" ht="17.25" customHeight="1" x14ac:dyDescent="0.15">
      <c r="A1409" s="166" t="s">
        <v>579</v>
      </c>
      <c r="B1409" s="167" t="s">
        <v>22</v>
      </c>
      <c r="C1409" s="168" t="s">
        <v>1127</v>
      </c>
      <c r="D1409" s="168" t="s">
        <v>211</v>
      </c>
      <c r="E1409" s="168" t="s">
        <v>1141</v>
      </c>
      <c r="F1409" s="168"/>
      <c r="G1409" s="169" t="s">
        <v>1162</v>
      </c>
      <c r="H1409" s="107" t="str">
        <f t="shared" ref="H1409:H1431" si="12">"ifnull("&amp;IF(I1409&lt;&gt;"",I1409,IF(F1409&lt;&gt;"",F1409,"t")&amp;"."&amp;C1409)&amp;","&amp;E1409&amp;") as "&amp;C1409&amp;",/*"&amp;B1409&amp;"*/"</f>
        <v>ifnull(t.init_date,date_format(curdate(),'%Y%m%d')) as init_date,/*初始化日期*/</v>
      </c>
      <c r="J1409" s="166" t="s">
        <v>237</v>
      </c>
      <c r="K1409" s="166" t="s">
        <v>238</v>
      </c>
      <c r="L1409" s="166" t="s">
        <v>211</v>
      </c>
      <c r="M1409" s="166" t="s">
        <v>211</v>
      </c>
      <c r="N1409" s="166">
        <v>1211</v>
      </c>
    </row>
    <row r="1410" spans="1:14" s="166" customFormat="1" ht="17.25" customHeight="1" x14ac:dyDescent="0.15">
      <c r="A1410" s="166" t="s">
        <v>579</v>
      </c>
      <c r="B1410" s="167" t="s">
        <v>111</v>
      </c>
      <c r="C1410" s="168" t="s">
        <v>1164</v>
      </c>
      <c r="D1410" s="168" t="s">
        <v>211</v>
      </c>
      <c r="E1410" s="168">
        <v>0</v>
      </c>
      <c r="F1410" s="168"/>
      <c r="G1410" s="169" t="s">
        <v>1329</v>
      </c>
      <c r="H1410" s="107" t="str">
        <f t="shared" si="12"/>
        <v>ifnull(t.pd_no,0) as pd_no,/*产品编号*/</v>
      </c>
      <c r="J1410" s="166" t="s">
        <v>237</v>
      </c>
      <c r="K1410" s="166" t="s">
        <v>238</v>
      </c>
      <c r="L1410" s="166" t="s">
        <v>211</v>
      </c>
      <c r="M1410" s="166" t="s">
        <v>211</v>
      </c>
      <c r="N1410" s="166">
        <v>1112</v>
      </c>
    </row>
    <row r="1411" spans="1:14" s="166" customFormat="1" ht="17.25" customHeight="1" x14ac:dyDescent="0.15">
      <c r="A1411" s="166" t="s">
        <v>579</v>
      </c>
      <c r="B1411" s="167" t="s">
        <v>154</v>
      </c>
      <c r="C1411" s="168" t="s">
        <v>1133</v>
      </c>
      <c r="D1411" s="168" t="s">
        <v>211</v>
      </c>
      <c r="E1411" s="168">
        <v>0</v>
      </c>
      <c r="F1411" s="168"/>
      <c r="G1411" s="169" t="s">
        <v>1509</v>
      </c>
      <c r="H1411" s="107" t="str">
        <f t="shared" si="12"/>
        <v>ifnull(t.exch_group_no,0) as exch_group_no,/*交易组编号*/</v>
      </c>
      <c r="J1411" s="166" t="s">
        <v>358</v>
      </c>
      <c r="K1411" s="166" t="s">
        <v>359</v>
      </c>
      <c r="L1411" s="166" t="s">
        <v>360</v>
      </c>
      <c r="M1411" s="166" t="s">
        <v>361</v>
      </c>
      <c r="N1411" s="166">
        <v>1700</v>
      </c>
    </row>
    <row r="1412" spans="1:14" s="166" customFormat="1" ht="17.25" customHeight="1" x14ac:dyDescent="0.15">
      <c r="A1412" s="166" t="s">
        <v>579</v>
      </c>
      <c r="B1412" s="162" t="s">
        <v>303</v>
      </c>
      <c r="C1412" s="171" t="s">
        <v>1170</v>
      </c>
      <c r="D1412" s="171" t="s">
        <v>1169</v>
      </c>
      <c r="E1412" s="171">
        <v>0</v>
      </c>
      <c r="F1412" s="171"/>
      <c r="G1412" s="172"/>
      <c r="H1412" s="107" t="str">
        <f t="shared" si="12"/>
        <v>ifnull(t.nav_asset,0) as nav_asset,/*净资产*/</v>
      </c>
      <c r="J1412" s="166" t="s">
        <v>352</v>
      </c>
      <c r="K1412" s="166" t="s">
        <v>351</v>
      </c>
      <c r="L1412" s="166" t="s">
        <v>349</v>
      </c>
      <c r="M1412" s="166" t="s">
        <v>349</v>
      </c>
      <c r="N1412" s="166">
        <v>1741</v>
      </c>
    </row>
    <row r="1413" spans="1:14" s="7" customFormat="1" x14ac:dyDescent="0.15">
      <c r="A1413" s="166" t="s">
        <v>579</v>
      </c>
      <c r="B1413" s="162" t="s">
        <v>169</v>
      </c>
      <c r="C1413" s="160" t="s">
        <v>1435</v>
      </c>
      <c r="D1413" s="160" t="s">
        <v>1087</v>
      </c>
      <c r="E1413" s="160">
        <v>0</v>
      </c>
      <c r="F1413" s="160"/>
      <c r="G1413" s="161"/>
      <c r="H1413" s="107" t="str">
        <f t="shared" si="12"/>
        <v>ifnull(t.exch_group_pd_share,0) as exch_group_pd_share,/*交易组产品份额*/</v>
      </c>
      <c r="J1413" s="7" t="s">
        <v>352</v>
      </c>
      <c r="K1413" s="7" t="s">
        <v>351</v>
      </c>
      <c r="L1413" s="7" t="s">
        <v>349</v>
      </c>
      <c r="M1413" s="7" t="s">
        <v>349</v>
      </c>
      <c r="N1413" s="7">
        <v>1702</v>
      </c>
    </row>
    <row r="1414" spans="1:14" s="166" customFormat="1" ht="17.25" customHeight="1" x14ac:dyDescent="0.15">
      <c r="A1414" s="166" t="s">
        <v>579</v>
      </c>
      <c r="B1414" s="162" t="s">
        <v>362</v>
      </c>
      <c r="C1414" s="171" t="s">
        <v>1078</v>
      </c>
      <c r="D1414" s="171" t="s">
        <v>1169</v>
      </c>
      <c r="E1414" s="171">
        <v>0</v>
      </c>
      <c r="F1414" s="171"/>
      <c r="G1414" s="172"/>
      <c r="H1414" s="107" t="str">
        <f t="shared" si="12"/>
        <v>ifnull(t.unit_nav,0) as unit_nav,/*单位净值*/</v>
      </c>
      <c r="J1414" s="166" t="s">
        <v>352</v>
      </c>
      <c r="K1414" s="166" t="s">
        <v>351</v>
      </c>
      <c r="L1414" s="166" t="s">
        <v>349</v>
      </c>
      <c r="M1414" s="166" t="s">
        <v>349</v>
      </c>
      <c r="N1414" s="166">
        <v>1244</v>
      </c>
    </row>
    <row r="1415" spans="1:14" s="166" customFormat="1" ht="17.25" customHeight="1" x14ac:dyDescent="0.15">
      <c r="A1415" s="166" t="s">
        <v>579</v>
      </c>
      <c r="B1415" s="162" t="s">
        <v>363</v>
      </c>
      <c r="C1415" s="171" t="s">
        <v>1171</v>
      </c>
      <c r="D1415" s="171" t="s">
        <v>1169</v>
      </c>
      <c r="E1415" s="171">
        <v>0</v>
      </c>
      <c r="F1415" s="171"/>
      <c r="G1415" s="172"/>
      <c r="H1415" s="107" t="str">
        <f t="shared" si="12"/>
        <v>ifnull(t.pre_nav,0) as pre_nav,/*昨日净值*/</v>
      </c>
      <c r="J1415" s="166" t="s">
        <v>352</v>
      </c>
      <c r="K1415" s="166" t="s">
        <v>351</v>
      </c>
      <c r="L1415" s="166" t="s">
        <v>349</v>
      </c>
      <c r="M1415" s="166" t="s">
        <v>349</v>
      </c>
      <c r="N1415" s="166">
        <v>2595</v>
      </c>
    </row>
    <row r="1416" spans="1:14" s="166" customFormat="1" ht="17.25" customHeight="1" x14ac:dyDescent="0.15">
      <c r="A1416" s="166" t="s">
        <v>579</v>
      </c>
      <c r="B1416" s="162" t="s">
        <v>364</v>
      </c>
      <c r="C1416" s="171" t="s">
        <v>1088</v>
      </c>
      <c r="D1416" s="171" t="s">
        <v>1172</v>
      </c>
      <c r="E1416" s="171">
        <v>0</v>
      </c>
      <c r="F1416" s="171"/>
      <c r="G1416" s="172"/>
      <c r="H1416" s="107" t="str">
        <f t="shared" si="12"/>
        <v>ifnull(t.nav_fluct,0) as nav_fluct,/*净值波动*/</v>
      </c>
      <c r="J1416" s="166" t="s">
        <v>352</v>
      </c>
      <c r="K1416" s="166" t="s">
        <v>351</v>
      </c>
      <c r="L1416" s="166" t="s">
        <v>349</v>
      </c>
      <c r="M1416" s="166" t="s">
        <v>349</v>
      </c>
      <c r="N1416" s="166">
        <v>1739</v>
      </c>
    </row>
    <row r="1417" spans="1:14" s="166" customFormat="1" ht="17.25" customHeight="1" x14ac:dyDescent="0.15">
      <c r="A1417" s="166" t="s">
        <v>579</v>
      </c>
      <c r="B1417" s="162" t="s">
        <v>304</v>
      </c>
      <c r="C1417" s="171" t="s">
        <v>1185</v>
      </c>
      <c r="D1417" s="171" t="s">
        <v>1169</v>
      </c>
      <c r="E1417" s="171">
        <v>0</v>
      </c>
      <c r="F1417" s="171"/>
      <c r="G1417" s="172"/>
      <c r="H1417" s="107" t="str">
        <f t="shared" si="12"/>
        <v>ifnull(t.cash_asset,0) as cash_asset,/*现金资产*/</v>
      </c>
      <c r="J1417" s="166" t="s">
        <v>352</v>
      </c>
      <c r="K1417" s="166" t="s">
        <v>351</v>
      </c>
      <c r="L1417" s="166" t="s">
        <v>349</v>
      </c>
      <c r="M1417" s="166" t="s">
        <v>349</v>
      </c>
      <c r="N1417" s="166">
        <v>2309</v>
      </c>
    </row>
    <row r="1418" spans="1:14" s="166" customFormat="1" ht="17.25" customHeight="1" x14ac:dyDescent="0.15">
      <c r="A1418" s="166" t="s">
        <v>579</v>
      </c>
      <c r="B1418" s="162" t="s">
        <v>305</v>
      </c>
      <c r="C1418" s="171" t="s">
        <v>1181</v>
      </c>
      <c r="D1418" s="171" t="s">
        <v>1169</v>
      </c>
      <c r="E1418" s="171">
        <v>0</v>
      </c>
      <c r="F1418" s="171"/>
      <c r="G1418" s="172"/>
      <c r="H1418" s="107" t="str">
        <f t="shared" si="12"/>
        <v>ifnull(t.stock_asset,0) as stock_asset,/*股票资产*/</v>
      </c>
      <c r="J1418" s="166" t="s">
        <v>352</v>
      </c>
      <c r="K1418" s="166" t="s">
        <v>351</v>
      </c>
      <c r="L1418" s="166" t="s">
        <v>349</v>
      </c>
      <c r="M1418" s="166" t="s">
        <v>349</v>
      </c>
      <c r="N1418" s="166">
        <v>1511</v>
      </c>
    </row>
    <row r="1419" spans="1:14" s="166" customFormat="1" ht="17.25" customHeight="1" x14ac:dyDescent="0.15">
      <c r="A1419" s="166" t="s">
        <v>579</v>
      </c>
      <c r="B1419" s="162" t="s">
        <v>307</v>
      </c>
      <c r="C1419" s="171" t="s">
        <v>1173</v>
      </c>
      <c r="D1419" s="171" t="s">
        <v>1169</v>
      </c>
      <c r="E1419" s="171">
        <v>0</v>
      </c>
      <c r="F1419" s="171"/>
      <c r="G1419" s="172"/>
      <c r="H1419" s="107" t="str">
        <f t="shared" si="12"/>
        <v>ifnull(t.bond_asset,0) as bond_asset,/*债券资产*/</v>
      </c>
      <c r="J1419" s="166" t="s">
        <v>352</v>
      </c>
      <c r="K1419" s="166" t="s">
        <v>351</v>
      </c>
      <c r="L1419" s="166" t="s">
        <v>349</v>
      </c>
      <c r="M1419" s="166" t="s">
        <v>349</v>
      </c>
      <c r="N1419" s="166">
        <v>2402</v>
      </c>
    </row>
    <row r="1420" spans="1:14" s="166" customFormat="1" ht="17.25" customHeight="1" x14ac:dyDescent="0.15">
      <c r="A1420" s="166" t="s">
        <v>579</v>
      </c>
      <c r="B1420" s="162" t="s">
        <v>306</v>
      </c>
      <c r="C1420" s="171" t="s">
        <v>1128</v>
      </c>
      <c r="D1420" s="171" t="s">
        <v>1169</v>
      </c>
      <c r="E1420" s="171">
        <v>0</v>
      </c>
      <c r="F1420" s="171"/>
      <c r="G1420" s="172"/>
      <c r="H1420" s="107" t="str">
        <f t="shared" si="12"/>
        <v>ifnull(t.fund_asset,0) as fund_asset,/*基金资产*/</v>
      </c>
      <c r="J1420" s="166" t="s">
        <v>352</v>
      </c>
      <c r="K1420" s="166" t="s">
        <v>351</v>
      </c>
      <c r="L1420" s="166" t="s">
        <v>349</v>
      </c>
      <c r="M1420" s="166" t="s">
        <v>349</v>
      </c>
      <c r="N1420" s="166">
        <v>1618</v>
      </c>
    </row>
    <row r="1421" spans="1:14" s="166" customFormat="1" ht="17.25" customHeight="1" x14ac:dyDescent="0.15">
      <c r="A1421" s="166" t="s">
        <v>579</v>
      </c>
      <c r="B1421" s="162" t="s">
        <v>309</v>
      </c>
      <c r="C1421" s="171" t="s">
        <v>1089</v>
      </c>
      <c r="D1421" s="171" t="s">
        <v>1169</v>
      </c>
      <c r="E1421" s="171">
        <v>0</v>
      </c>
      <c r="F1421" s="171"/>
      <c r="G1421" s="172"/>
      <c r="H1421" s="107" t="str">
        <f t="shared" si="12"/>
        <v>ifnull(t.repo_asset,0) as repo_asset,/*回购资产*/</v>
      </c>
      <c r="J1421" s="166" t="s">
        <v>352</v>
      </c>
      <c r="K1421" s="166" t="s">
        <v>351</v>
      </c>
      <c r="L1421" s="166" t="s">
        <v>349</v>
      </c>
      <c r="M1421" s="166" t="s">
        <v>349</v>
      </c>
      <c r="N1421" s="166">
        <v>1599</v>
      </c>
    </row>
    <row r="1422" spans="1:14" s="166" customFormat="1" ht="17.25" customHeight="1" x14ac:dyDescent="0.15">
      <c r="A1422" s="166" t="s">
        <v>579</v>
      </c>
      <c r="B1422" s="162" t="s">
        <v>310</v>
      </c>
      <c r="C1422" s="171" t="s">
        <v>1174</v>
      </c>
      <c r="D1422" s="171" t="s">
        <v>1169</v>
      </c>
      <c r="E1422" s="171">
        <v>0</v>
      </c>
      <c r="F1422" s="171"/>
      <c r="G1422" s="172"/>
      <c r="H1422" s="107" t="str">
        <f t="shared" si="12"/>
        <v>ifnull(t.other_asset,0) as other_asset,/*其他资产*/</v>
      </c>
      <c r="J1422" s="166" t="s">
        <v>352</v>
      </c>
      <c r="K1422" s="166" t="s">
        <v>351</v>
      </c>
      <c r="L1422" s="166" t="s">
        <v>349</v>
      </c>
      <c r="M1422" s="166" t="s">
        <v>349</v>
      </c>
      <c r="N1422" s="166">
        <v>1997</v>
      </c>
    </row>
    <row r="1423" spans="1:14" s="166" customFormat="1" ht="17.25" customHeight="1" x14ac:dyDescent="0.15">
      <c r="A1423" s="166" t="s">
        <v>579</v>
      </c>
      <c r="B1423" s="162" t="s">
        <v>176</v>
      </c>
      <c r="C1423" s="171" t="s">
        <v>1132</v>
      </c>
      <c r="D1423" s="171" t="s">
        <v>1169</v>
      </c>
      <c r="E1423" s="171">
        <v>0</v>
      </c>
      <c r="F1423" s="171"/>
      <c r="G1423" s="172"/>
      <c r="H1423" s="107" t="str">
        <f t="shared" si="12"/>
        <v>ifnull(t.total_payab_amt,0) as total_payab_amt,/*累计应付金额*/</v>
      </c>
      <c r="J1423" s="166" t="s">
        <v>352</v>
      </c>
      <c r="K1423" s="166" t="s">
        <v>351</v>
      </c>
      <c r="L1423" s="166" t="s">
        <v>349</v>
      </c>
      <c r="M1423" s="166" t="s">
        <v>349</v>
      </c>
      <c r="N1423" s="166">
        <v>1842</v>
      </c>
    </row>
    <row r="1424" spans="1:14" s="166" customFormat="1" ht="17.25" customHeight="1" x14ac:dyDescent="0.15">
      <c r="A1424" s="166" t="s">
        <v>579</v>
      </c>
      <c r="B1424" s="162" t="s">
        <v>175</v>
      </c>
      <c r="C1424" s="171" t="s">
        <v>1129</v>
      </c>
      <c r="D1424" s="171" t="s">
        <v>1169</v>
      </c>
      <c r="E1424" s="171">
        <v>0</v>
      </c>
      <c r="F1424" s="171"/>
      <c r="G1424" s="172"/>
      <c r="H1424" s="107" t="str">
        <f t="shared" si="12"/>
        <v>ifnull(t.total_rece_amt,0) as total_rece_amt,/*累计应收金额*/</v>
      </c>
      <c r="J1424" s="166" t="s">
        <v>352</v>
      </c>
      <c r="K1424" s="166" t="s">
        <v>351</v>
      </c>
      <c r="L1424" s="166" t="s">
        <v>349</v>
      </c>
      <c r="M1424" s="166" t="s">
        <v>349</v>
      </c>
      <c r="N1424" s="166">
        <v>1843</v>
      </c>
    </row>
    <row r="1425" spans="1:14" s="166" customFormat="1" ht="17.25" customHeight="1" x14ac:dyDescent="0.15">
      <c r="A1425" s="166" t="s">
        <v>579</v>
      </c>
      <c r="B1425" s="162" t="s">
        <v>365</v>
      </c>
      <c r="C1425" s="171" t="s">
        <v>1130</v>
      </c>
      <c r="D1425" s="171" t="s">
        <v>1169</v>
      </c>
      <c r="E1425" s="171">
        <v>0</v>
      </c>
      <c r="F1425" s="171"/>
      <c r="G1425" s="172"/>
      <c r="H1425" s="107" t="str">
        <f t="shared" si="12"/>
        <v>ifnull(t.assign_avail_amt,0) as assign_avail_amt,/*可分配金额*/</v>
      </c>
      <c r="J1425" s="166" t="s">
        <v>352</v>
      </c>
      <c r="K1425" s="166" t="s">
        <v>351</v>
      </c>
      <c r="L1425" s="166" t="s">
        <v>349</v>
      </c>
      <c r="M1425" s="166" t="s">
        <v>349</v>
      </c>
      <c r="N1425" s="166">
        <v>1774</v>
      </c>
    </row>
    <row r="1426" spans="1:14" s="166" customFormat="1" ht="17.25" customHeight="1" x14ac:dyDescent="0.15">
      <c r="A1426" s="166" t="s">
        <v>579</v>
      </c>
      <c r="B1426" s="173" t="s">
        <v>23</v>
      </c>
      <c r="C1426" s="171" t="s">
        <v>1091</v>
      </c>
      <c r="D1426" s="171" t="s">
        <v>1131</v>
      </c>
      <c r="E1426" s="171" t="s">
        <v>1074</v>
      </c>
      <c r="F1426" s="171"/>
      <c r="G1426" s="172"/>
      <c r="H1426" s="107" t="str">
        <f t="shared" si="12"/>
        <v>ifnull(t.crncy_type,"CNY") as crncy_type,/*本币币种*/</v>
      </c>
      <c r="J1426" s="166" t="s">
        <v>354</v>
      </c>
      <c r="K1426" s="166" t="s">
        <v>355</v>
      </c>
      <c r="L1426" s="166" t="s">
        <v>356</v>
      </c>
      <c r="M1426" s="166" t="s">
        <v>354</v>
      </c>
      <c r="N1426" s="166">
        <v>1041</v>
      </c>
    </row>
    <row r="1427" spans="1:14" s="166" customFormat="1" ht="17.25" customHeight="1" x14ac:dyDescent="0.15">
      <c r="A1427" s="166" t="s">
        <v>579</v>
      </c>
      <c r="B1427" s="173" t="s">
        <v>367</v>
      </c>
      <c r="C1427" s="171" t="s">
        <v>1176</v>
      </c>
      <c r="D1427" s="171" t="s">
        <v>1169</v>
      </c>
      <c r="E1427" s="171">
        <v>0</v>
      </c>
      <c r="F1427" s="171"/>
      <c r="G1427" s="172"/>
      <c r="H1427" s="107" t="str">
        <f t="shared" si="12"/>
        <v>ifnull(t.today_pandl,0) as today_pandl,/*当日盈亏*/</v>
      </c>
      <c r="J1427" s="166" t="s">
        <v>352</v>
      </c>
      <c r="K1427" s="166" t="s">
        <v>351</v>
      </c>
      <c r="L1427" s="166" t="s">
        <v>349</v>
      </c>
      <c r="M1427" s="166" t="s">
        <v>349</v>
      </c>
      <c r="N1427" s="166">
        <v>1274</v>
      </c>
    </row>
    <row r="1428" spans="1:14" s="166" customFormat="1" ht="17.25" customHeight="1" x14ac:dyDescent="0.15">
      <c r="A1428" s="166" t="s">
        <v>579</v>
      </c>
      <c r="B1428" s="173" t="s">
        <v>368</v>
      </c>
      <c r="C1428" s="171" t="s">
        <v>1177</v>
      </c>
      <c r="D1428" s="171" t="s">
        <v>1172</v>
      </c>
      <c r="E1428" s="171">
        <v>0</v>
      </c>
      <c r="F1428" s="171"/>
      <c r="G1428" s="172"/>
      <c r="H1428" s="107" t="str">
        <f t="shared" si="12"/>
        <v>ifnull(t.daily_pandl_ratio,0) as daily_pandl_ratio,/*当日收益率*/</v>
      </c>
      <c r="J1428" s="166" t="s">
        <v>352</v>
      </c>
      <c r="K1428" s="166" t="s">
        <v>351</v>
      </c>
      <c r="L1428" s="166" t="s">
        <v>349</v>
      </c>
      <c r="M1428" s="166" t="s">
        <v>349</v>
      </c>
    </row>
    <row r="1429" spans="1:14" s="166" customFormat="1" ht="17.25" customHeight="1" x14ac:dyDescent="0.15">
      <c r="A1429" s="166" t="s">
        <v>579</v>
      </c>
      <c r="B1429" s="162" t="s">
        <v>369</v>
      </c>
      <c r="C1429" s="171" t="s">
        <v>1475</v>
      </c>
      <c r="D1429" s="171" t="s">
        <v>1169</v>
      </c>
      <c r="E1429" s="171">
        <v>0</v>
      </c>
      <c r="F1429" s="171"/>
      <c r="G1429" s="172"/>
      <c r="H1429" s="107" t="str">
        <f t="shared" si="12"/>
        <v>ifnull(t.total_realiz_pandl,0) as total_realiz_pandl,/*累计实现收益*/</v>
      </c>
      <c r="J1429" s="166" t="s">
        <v>352</v>
      </c>
      <c r="K1429" s="166" t="s">
        <v>351</v>
      </c>
      <c r="L1429" s="166" t="s">
        <v>349</v>
      </c>
      <c r="M1429" s="166" t="s">
        <v>349</v>
      </c>
      <c r="N1429" s="166">
        <v>1840</v>
      </c>
    </row>
    <row r="1430" spans="1:14" s="166" customFormat="1" ht="17.25" customHeight="1" x14ac:dyDescent="0.15">
      <c r="A1430" s="166" t="s">
        <v>579</v>
      </c>
      <c r="B1430" s="174" t="s">
        <v>370</v>
      </c>
      <c r="C1430" s="171" t="s">
        <v>1183</v>
      </c>
      <c r="D1430" s="171" t="s">
        <v>1172</v>
      </c>
      <c r="E1430" s="171">
        <v>0</v>
      </c>
      <c r="F1430" s="171"/>
      <c r="G1430" s="172"/>
      <c r="H1430" s="107" t="str">
        <f t="shared" si="12"/>
        <v>ifnull(t.total_realiz_pandl_ratio,0) as total_realiz_pandl_ratio,/*累计收益率*/</v>
      </c>
      <c r="J1430" s="166" t="s">
        <v>352</v>
      </c>
      <c r="K1430" s="166" t="s">
        <v>351</v>
      </c>
      <c r="L1430" s="166" t="s">
        <v>349</v>
      </c>
      <c r="M1430" s="166" t="s">
        <v>349</v>
      </c>
      <c r="N1430" s="166">
        <v>1841</v>
      </c>
    </row>
    <row r="1431" spans="1:14" s="166" customFormat="1" ht="17.25" customHeight="1" x14ac:dyDescent="0.15">
      <c r="A1431" s="166" t="s">
        <v>579</v>
      </c>
      <c r="B1431" s="174" t="s">
        <v>371</v>
      </c>
      <c r="C1431" s="171" t="s">
        <v>1184</v>
      </c>
      <c r="D1431" s="171" t="s">
        <v>1172</v>
      </c>
      <c r="E1431" s="171">
        <v>0</v>
      </c>
      <c r="F1431" s="171"/>
      <c r="G1431" s="172"/>
      <c r="H1431" s="107" t="str">
        <f t="shared" si="12"/>
        <v>ifnull(t.posi_ratio,0) as posi_ratio,/*持股比例*/</v>
      </c>
      <c r="J1431" s="166" t="s">
        <v>352</v>
      </c>
      <c r="K1431" s="166" t="s">
        <v>351</v>
      </c>
      <c r="L1431" s="166" t="s">
        <v>349</v>
      </c>
      <c r="M1431" s="166" t="s">
        <v>349</v>
      </c>
      <c r="N1431" s="166">
        <v>1208</v>
      </c>
    </row>
    <row r="1432" spans="1:14" s="7" customFormat="1" ht="18" thickBot="1" x14ac:dyDescent="0.2">
      <c r="A1432" s="2"/>
      <c r="B1432" s="24"/>
      <c r="C1432" s="9"/>
      <c r="D1432" s="9"/>
      <c r="E1432" s="9"/>
      <c r="F1432" s="9"/>
      <c r="G1432" s="11"/>
    </row>
    <row r="1433" spans="1:14" s="7" customFormat="1" x14ac:dyDescent="0.15">
      <c r="A1433" s="2"/>
      <c r="B1433" s="327" t="s">
        <v>15</v>
      </c>
      <c r="C1433" s="328"/>
      <c r="D1433" s="328"/>
      <c r="E1433" s="328"/>
      <c r="F1433" s="328"/>
      <c r="G1433" s="329"/>
    </row>
    <row r="1434" spans="1:14" s="7" customFormat="1" ht="18" thickBot="1" x14ac:dyDescent="0.2">
      <c r="A1434" s="2"/>
      <c r="B1434" s="24"/>
      <c r="C1434" s="9"/>
      <c r="D1434" s="9"/>
      <c r="E1434" s="9"/>
      <c r="F1434" s="9"/>
      <c r="G1434" s="11"/>
    </row>
    <row r="1435" spans="1:14" ht="18" thickBot="1" x14ac:dyDescent="0.2"/>
    <row r="1436" spans="1:14" s="7" customFormat="1" x14ac:dyDescent="0.15">
      <c r="A1436" s="2"/>
      <c r="B1436" s="3" t="s">
        <v>563</v>
      </c>
      <c r="C1436" s="4" t="s">
        <v>674</v>
      </c>
      <c r="D1436" s="5" t="s">
        <v>515</v>
      </c>
      <c r="E1436" s="21" t="s">
        <v>605</v>
      </c>
      <c r="F1436" s="5" t="s">
        <v>567</v>
      </c>
      <c r="G1436" s="6"/>
    </row>
    <row r="1437" spans="1:14" s="7" customFormat="1" ht="18" thickBot="1" x14ac:dyDescent="0.2">
      <c r="A1437" s="2"/>
      <c r="B1437" s="34" t="s">
        <v>570</v>
      </c>
      <c r="C1437" s="18"/>
      <c r="D1437" s="35" t="s">
        <v>568</v>
      </c>
      <c r="E1437" s="18" t="s">
        <v>615</v>
      </c>
      <c r="F1437" s="35"/>
      <c r="G1437" s="19"/>
    </row>
    <row r="1438" spans="1:14" s="7" customFormat="1" x14ac:dyDescent="0.15">
      <c r="A1438" s="2"/>
      <c r="B1438" s="3" t="s">
        <v>0</v>
      </c>
      <c r="C1438" s="5" t="s">
        <v>1</v>
      </c>
      <c r="D1438" s="5" t="s">
        <v>2</v>
      </c>
      <c r="E1438" s="5"/>
      <c r="F1438" s="5" t="s">
        <v>3</v>
      </c>
      <c r="G1438" s="36" t="s">
        <v>4</v>
      </c>
    </row>
    <row r="1439" spans="1:14" s="166" customFormat="1" ht="17.25" customHeight="1" x14ac:dyDescent="0.15">
      <c r="B1439" s="167" t="s">
        <v>22</v>
      </c>
      <c r="C1439" s="168" t="s">
        <v>1127</v>
      </c>
      <c r="D1439" s="168" t="s">
        <v>211</v>
      </c>
      <c r="E1439" s="168" t="s">
        <v>1141</v>
      </c>
      <c r="F1439" s="168" t="s">
        <v>357</v>
      </c>
      <c r="G1439" s="169" t="s">
        <v>1162</v>
      </c>
      <c r="J1439" s="166" t="s">
        <v>237</v>
      </c>
      <c r="K1439" s="166" t="s">
        <v>238</v>
      </c>
      <c r="L1439" s="166" t="s">
        <v>211</v>
      </c>
      <c r="M1439" s="166" t="s">
        <v>211</v>
      </c>
      <c r="N1439" s="166">
        <v>1211</v>
      </c>
    </row>
    <row r="1440" spans="1:14" s="166" customFormat="1" ht="17.25" customHeight="1" x14ac:dyDescent="0.15">
      <c r="B1440" s="167" t="s">
        <v>111</v>
      </c>
      <c r="C1440" s="168" t="s">
        <v>1164</v>
      </c>
      <c r="D1440" s="168" t="s">
        <v>211</v>
      </c>
      <c r="E1440" s="168">
        <v>0</v>
      </c>
      <c r="F1440" s="168" t="s">
        <v>350</v>
      </c>
      <c r="G1440" s="169" t="s">
        <v>1329</v>
      </c>
      <c r="J1440" s="166" t="s">
        <v>237</v>
      </c>
      <c r="K1440" s="166" t="s">
        <v>238</v>
      </c>
      <c r="L1440" s="166" t="s">
        <v>211</v>
      </c>
      <c r="M1440" s="166" t="s">
        <v>211</v>
      </c>
      <c r="N1440" s="166">
        <v>1112</v>
      </c>
    </row>
    <row r="1441" spans="2:14" s="166" customFormat="1" ht="17.25" customHeight="1" x14ac:dyDescent="0.15">
      <c r="B1441" s="170" t="s">
        <v>373</v>
      </c>
      <c r="C1441" s="171" t="s">
        <v>1126</v>
      </c>
      <c r="D1441" s="171" t="s">
        <v>1087</v>
      </c>
      <c r="E1441" s="171">
        <v>0</v>
      </c>
      <c r="F1441" s="171" t="s">
        <v>350</v>
      </c>
      <c r="G1441" s="172"/>
      <c r="J1441" s="166" t="s">
        <v>352</v>
      </c>
      <c r="K1441" s="166" t="s">
        <v>351</v>
      </c>
      <c r="L1441" s="166" t="s">
        <v>349</v>
      </c>
      <c r="M1441" s="166" t="s">
        <v>349</v>
      </c>
      <c r="N1441" s="166">
        <v>1149</v>
      </c>
    </row>
    <row r="1442" spans="2:14" s="166" customFormat="1" ht="17.25" customHeight="1" x14ac:dyDescent="0.15">
      <c r="B1442" s="170" t="s">
        <v>374</v>
      </c>
      <c r="C1442" s="171" t="s">
        <v>1170</v>
      </c>
      <c r="D1442" s="171" t="s">
        <v>1169</v>
      </c>
      <c r="E1442" s="171">
        <v>0</v>
      </c>
      <c r="F1442" s="171" t="s">
        <v>350</v>
      </c>
      <c r="G1442" s="172"/>
      <c r="J1442" s="166" t="s">
        <v>352</v>
      </c>
      <c r="K1442" s="166" t="s">
        <v>351</v>
      </c>
      <c r="L1442" s="166" t="s">
        <v>349</v>
      </c>
      <c r="M1442" s="166" t="s">
        <v>349</v>
      </c>
      <c r="N1442" s="166">
        <v>1741</v>
      </c>
    </row>
    <row r="1443" spans="2:14" s="166" customFormat="1" ht="17.25" customHeight="1" x14ac:dyDescent="0.15">
      <c r="B1443" s="170" t="s">
        <v>375</v>
      </c>
      <c r="C1443" s="171" t="s">
        <v>1078</v>
      </c>
      <c r="D1443" s="171" t="s">
        <v>1169</v>
      </c>
      <c r="E1443" s="171">
        <v>0</v>
      </c>
      <c r="F1443" s="171" t="s">
        <v>350</v>
      </c>
      <c r="G1443" s="172"/>
      <c r="J1443" s="166" t="s">
        <v>352</v>
      </c>
      <c r="K1443" s="166" t="s">
        <v>351</v>
      </c>
      <c r="L1443" s="166" t="s">
        <v>349</v>
      </c>
      <c r="M1443" s="166" t="s">
        <v>349</v>
      </c>
      <c r="N1443" s="166">
        <v>1244</v>
      </c>
    </row>
    <row r="1444" spans="2:14" s="166" customFormat="1" ht="17.25" customHeight="1" x14ac:dyDescent="0.15">
      <c r="B1444" s="170" t="s">
        <v>193</v>
      </c>
      <c r="C1444" s="171" t="s">
        <v>1171</v>
      </c>
      <c r="D1444" s="171" t="s">
        <v>1169</v>
      </c>
      <c r="E1444" s="171">
        <v>0</v>
      </c>
      <c r="F1444" s="171"/>
      <c r="G1444" s="172"/>
      <c r="J1444" s="166" t="s">
        <v>352</v>
      </c>
      <c r="K1444" s="166" t="s">
        <v>351</v>
      </c>
      <c r="L1444" s="166" t="s">
        <v>349</v>
      </c>
      <c r="M1444" s="166" t="s">
        <v>349</v>
      </c>
      <c r="N1444" s="166">
        <v>2595</v>
      </c>
    </row>
    <row r="1445" spans="2:14" s="166" customFormat="1" ht="17.25" customHeight="1" x14ac:dyDescent="0.15">
      <c r="B1445" s="170" t="s">
        <v>376</v>
      </c>
      <c r="C1445" s="171" t="s">
        <v>1088</v>
      </c>
      <c r="D1445" s="171" t="s">
        <v>1172</v>
      </c>
      <c r="E1445" s="171">
        <v>0</v>
      </c>
      <c r="F1445" s="171"/>
      <c r="G1445" s="172"/>
      <c r="J1445" s="166" t="s">
        <v>352</v>
      </c>
      <c r="K1445" s="166" t="s">
        <v>351</v>
      </c>
      <c r="L1445" s="166" t="s">
        <v>349</v>
      </c>
      <c r="M1445" s="166" t="s">
        <v>349</v>
      </c>
      <c r="N1445" s="166">
        <v>1739</v>
      </c>
    </row>
    <row r="1446" spans="2:14" s="166" customFormat="1" ht="17.25" customHeight="1" x14ac:dyDescent="0.15">
      <c r="B1446" s="170" t="s">
        <v>313</v>
      </c>
      <c r="C1446" s="171" t="s">
        <v>1185</v>
      </c>
      <c r="D1446" s="171" t="s">
        <v>1169</v>
      </c>
      <c r="E1446" s="171">
        <v>0</v>
      </c>
      <c r="F1446" s="171"/>
      <c r="G1446" s="172"/>
      <c r="J1446" s="166" t="s">
        <v>352</v>
      </c>
      <c r="K1446" s="166" t="s">
        <v>351</v>
      </c>
      <c r="L1446" s="166" t="s">
        <v>349</v>
      </c>
      <c r="M1446" s="166" t="s">
        <v>349</v>
      </c>
      <c r="N1446" s="166">
        <v>2309</v>
      </c>
    </row>
    <row r="1447" spans="2:14" s="166" customFormat="1" ht="17.25" customHeight="1" x14ac:dyDescent="0.15">
      <c r="B1447" s="170" t="s">
        <v>377</v>
      </c>
      <c r="C1447" s="171" t="s">
        <v>1181</v>
      </c>
      <c r="D1447" s="171" t="s">
        <v>1169</v>
      </c>
      <c r="E1447" s="171">
        <v>0</v>
      </c>
      <c r="F1447" s="171" t="s">
        <v>350</v>
      </c>
      <c r="G1447" s="172"/>
      <c r="J1447" s="166" t="s">
        <v>347</v>
      </c>
      <c r="K1447" s="166" t="s">
        <v>351</v>
      </c>
      <c r="L1447" s="166" t="s">
        <v>349</v>
      </c>
      <c r="M1447" s="166" t="s">
        <v>349</v>
      </c>
      <c r="N1447" s="166">
        <v>1511</v>
      </c>
    </row>
    <row r="1448" spans="2:14" s="166" customFormat="1" ht="17.25" customHeight="1" x14ac:dyDescent="0.15">
      <c r="B1448" s="170" t="s">
        <v>353</v>
      </c>
      <c r="C1448" s="171" t="s">
        <v>1173</v>
      </c>
      <c r="D1448" s="171" t="s">
        <v>1169</v>
      </c>
      <c r="E1448" s="171">
        <v>0</v>
      </c>
      <c r="F1448" s="171" t="s">
        <v>350</v>
      </c>
      <c r="G1448" s="172"/>
      <c r="J1448" s="166" t="s">
        <v>347</v>
      </c>
      <c r="K1448" s="166" t="s">
        <v>351</v>
      </c>
      <c r="L1448" s="166" t="s">
        <v>349</v>
      </c>
      <c r="M1448" s="166" t="s">
        <v>349</v>
      </c>
      <c r="N1448" s="166">
        <v>2402</v>
      </c>
    </row>
    <row r="1449" spans="2:14" s="166" customFormat="1" ht="17.25" customHeight="1" x14ac:dyDescent="0.15">
      <c r="B1449" s="170" t="s">
        <v>378</v>
      </c>
      <c r="C1449" s="171" t="s">
        <v>1128</v>
      </c>
      <c r="D1449" s="171" t="s">
        <v>1169</v>
      </c>
      <c r="E1449" s="171">
        <v>0</v>
      </c>
      <c r="F1449" s="171" t="s">
        <v>350</v>
      </c>
      <c r="G1449" s="172"/>
      <c r="J1449" s="166" t="s">
        <v>352</v>
      </c>
      <c r="K1449" s="166" t="s">
        <v>351</v>
      </c>
      <c r="L1449" s="166" t="s">
        <v>349</v>
      </c>
      <c r="M1449" s="166" t="s">
        <v>349</v>
      </c>
      <c r="N1449" s="166">
        <v>1618</v>
      </c>
    </row>
    <row r="1450" spans="2:14" s="166" customFormat="1" ht="17.25" customHeight="1" x14ac:dyDescent="0.15">
      <c r="B1450" s="170" t="s">
        <v>314</v>
      </c>
      <c r="C1450" s="171" t="s">
        <v>1089</v>
      </c>
      <c r="D1450" s="171" t="s">
        <v>1169</v>
      </c>
      <c r="E1450" s="171">
        <v>0</v>
      </c>
      <c r="F1450" s="171"/>
      <c r="G1450" s="172"/>
      <c r="J1450" s="166" t="s">
        <v>347</v>
      </c>
      <c r="K1450" s="166" t="s">
        <v>351</v>
      </c>
      <c r="L1450" s="166" t="s">
        <v>349</v>
      </c>
      <c r="M1450" s="166" t="s">
        <v>349</v>
      </c>
      <c r="N1450" s="166">
        <v>1599</v>
      </c>
    </row>
    <row r="1451" spans="2:14" s="166" customFormat="1" ht="17.25" customHeight="1" x14ac:dyDescent="0.15">
      <c r="B1451" s="170" t="s">
        <v>379</v>
      </c>
      <c r="C1451" s="171" t="s">
        <v>1174</v>
      </c>
      <c r="D1451" s="171" t="s">
        <v>1169</v>
      </c>
      <c r="E1451" s="171">
        <v>0</v>
      </c>
      <c r="F1451" s="171" t="s">
        <v>350</v>
      </c>
      <c r="G1451" s="172"/>
      <c r="J1451" s="166" t="s">
        <v>352</v>
      </c>
      <c r="K1451" s="166" t="s">
        <v>351</v>
      </c>
      <c r="L1451" s="166" t="s">
        <v>349</v>
      </c>
      <c r="M1451" s="166" t="s">
        <v>349</v>
      </c>
      <c r="N1451" s="166">
        <v>1997</v>
      </c>
    </row>
    <row r="1452" spans="2:14" s="166" customFormat="1" ht="17.25" customHeight="1" x14ac:dyDescent="0.15">
      <c r="B1452" s="170" t="s">
        <v>176</v>
      </c>
      <c r="C1452" s="171" t="s">
        <v>1132</v>
      </c>
      <c r="D1452" s="171" t="s">
        <v>1169</v>
      </c>
      <c r="E1452" s="171">
        <v>0</v>
      </c>
      <c r="F1452" s="171" t="s">
        <v>350</v>
      </c>
      <c r="G1452" s="172"/>
      <c r="J1452" s="166" t="s">
        <v>352</v>
      </c>
      <c r="K1452" s="166" t="s">
        <v>351</v>
      </c>
      <c r="L1452" s="166" t="s">
        <v>349</v>
      </c>
      <c r="M1452" s="166" t="s">
        <v>349</v>
      </c>
      <c r="N1452" s="166">
        <v>1842</v>
      </c>
    </row>
    <row r="1453" spans="2:14" s="166" customFormat="1" ht="17.25" customHeight="1" x14ac:dyDescent="0.15">
      <c r="B1453" s="170" t="s">
        <v>175</v>
      </c>
      <c r="C1453" s="171" t="s">
        <v>1129</v>
      </c>
      <c r="D1453" s="171" t="s">
        <v>1169</v>
      </c>
      <c r="E1453" s="171">
        <v>0</v>
      </c>
      <c r="F1453" s="171" t="s">
        <v>350</v>
      </c>
      <c r="G1453" s="172"/>
      <c r="J1453" s="166" t="s">
        <v>352</v>
      </c>
      <c r="K1453" s="166" t="s">
        <v>351</v>
      </c>
      <c r="L1453" s="166" t="s">
        <v>349</v>
      </c>
      <c r="M1453" s="166" t="s">
        <v>349</v>
      </c>
      <c r="N1453" s="166">
        <v>1843</v>
      </c>
    </row>
    <row r="1454" spans="2:14" s="166" customFormat="1" ht="17.25" customHeight="1" x14ac:dyDescent="0.15">
      <c r="B1454" s="170" t="s">
        <v>380</v>
      </c>
      <c r="C1454" s="171" t="s">
        <v>1130</v>
      </c>
      <c r="D1454" s="171" t="s">
        <v>1169</v>
      </c>
      <c r="E1454" s="171">
        <v>0</v>
      </c>
      <c r="F1454" s="171"/>
      <c r="G1454" s="172"/>
      <c r="J1454" s="166" t="s">
        <v>352</v>
      </c>
      <c r="K1454" s="166" t="s">
        <v>351</v>
      </c>
      <c r="L1454" s="166" t="s">
        <v>349</v>
      </c>
      <c r="M1454" s="166" t="s">
        <v>349</v>
      </c>
      <c r="N1454" s="166">
        <v>1774</v>
      </c>
    </row>
    <row r="1455" spans="2:14" s="166" customFormat="1" ht="17.25" customHeight="1" x14ac:dyDescent="0.15">
      <c r="B1455" s="170" t="s">
        <v>182</v>
      </c>
      <c r="C1455" s="171" t="s">
        <v>1091</v>
      </c>
      <c r="D1455" s="171" t="s">
        <v>1131</v>
      </c>
      <c r="E1455" s="171" t="s">
        <v>1074</v>
      </c>
      <c r="F1455" s="171" t="s">
        <v>366</v>
      </c>
      <c r="G1455" s="172"/>
      <c r="J1455" s="166" t="s">
        <v>354</v>
      </c>
      <c r="K1455" s="166" t="s">
        <v>355</v>
      </c>
      <c r="L1455" s="166" t="s">
        <v>356</v>
      </c>
      <c r="M1455" s="166" t="s">
        <v>354</v>
      </c>
      <c r="N1455" s="166">
        <v>1041</v>
      </c>
    </row>
    <row r="1456" spans="2:14" s="166" customFormat="1" ht="17.25" customHeight="1" x14ac:dyDescent="0.15">
      <c r="B1456" s="170" t="s">
        <v>381</v>
      </c>
      <c r="C1456" s="171" t="s">
        <v>1176</v>
      </c>
      <c r="D1456" s="171" t="s">
        <v>1169</v>
      </c>
      <c r="E1456" s="171">
        <v>0</v>
      </c>
      <c r="F1456" s="171"/>
      <c r="G1456" s="172"/>
      <c r="J1456" s="166" t="s">
        <v>352</v>
      </c>
      <c r="K1456" s="166" t="s">
        <v>351</v>
      </c>
      <c r="L1456" s="166" t="s">
        <v>349</v>
      </c>
      <c r="M1456" s="166" t="s">
        <v>349</v>
      </c>
      <c r="N1456" s="166">
        <v>1274</v>
      </c>
    </row>
    <row r="1457" spans="1:14" s="166" customFormat="1" ht="17.25" customHeight="1" x14ac:dyDescent="0.15">
      <c r="B1457" s="170" t="s">
        <v>382</v>
      </c>
      <c r="C1457" s="171" t="s">
        <v>1177</v>
      </c>
      <c r="D1457" s="171" t="s">
        <v>1172</v>
      </c>
      <c r="E1457" s="171">
        <v>0</v>
      </c>
      <c r="F1457" s="171" t="s">
        <v>350</v>
      </c>
      <c r="G1457" s="172"/>
      <c r="J1457" s="166" t="s">
        <v>352</v>
      </c>
      <c r="K1457" s="166" t="s">
        <v>351</v>
      </c>
      <c r="L1457" s="166" t="s">
        <v>349</v>
      </c>
      <c r="M1457" s="166" t="s">
        <v>349</v>
      </c>
    </row>
    <row r="1458" spans="1:14" s="166" customFormat="1" ht="17.25" customHeight="1" x14ac:dyDescent="0.15">
      <c r="B1458" s="170" t="s">
        <v>383</v>
      </c>
      <c r="C1458" s="171" t="s">
        <v>1178</v>
      </c>
      <c r="D1458" s="171" t="s">
        <v>1169</v>
      </c>
      <c r="E1458" s="171">
        <v>0</v>
      </c>
      <c r="F1458" s="171"/>
      <c r="G1458" s="172"/>
      <c r="J1458" s="166" t="s">
        <v>352</v>
      </c>
      <c r="K1458" s="166" t="s">
        <v>351</v>
      </c>
      <c r="L1458" s="166" t="s">
        <v>349</v>
      </c>
      <c r="M1458" s="166" t="s">
        <v>349</v>
      </c>
    </row>
    <row r="1459" spans="1:14" s="166" customFormat="1" ht="17.25" customHeight="1" x14ac:dyDescent="0.15">
      <c r="B1459" s="170" t="s">
        <v>384</v>
      </c>
      <c r="C1459" s="171" t="s">
        <v>1179</v>
      </c>
      <c r="D1459" s="171" t="s">
        <v>1172</v>
      </c>
      <c r="E1459" s="171">
        <v>0</v>
      </c>
      <c r="F1459" s="171"/>
      <c r="G1459" s="172"/>
      <c r="J1459" s="166" t="s">
        <v>352</v>
      </c>
      <c r="K1459" s="166" t="s">
        <v>351</v>
      </c>
      <c r="L1459" s="166" t="s">
        <v>349</v>
      </c>
      <c r="M1459" s="166" t="s">
        <v>349</v>
      </c>
      <c r="N1459" s="166">
        <v>1512</v>
      </c>
    </row>
    <row r="1460" spans="1:14" s="166" customFormat="1" ht="17.25" customHeight="1" x14ac:dyDescent="0.15">
      <c r="B1460" s="170" t="s">
        <v>385</v>
      </c>
      <c r="C1460" s="171" t="s">
        <v>1180</v>
      </c>
      <c r="D1460" s="171" t="s">
        <v>1172</v>
      </c>
      <c r="E1460" s="171">
        <v>0</v>
      </c>
      <c r="F1460" s="171"/>
      <c r="G1460" s="172"/>
      <c r="J1460" s="166" t="s">
        <v>352</v>
      </c>
      <c r="K1460" s="166" t="s">
        <v>351</v>
      </c>
      <c r="L1460" s="166" t="s">
        <v>349</v>
      </c>
      <c r="M1460" s="166" t="s">
        <v>349</v>
      </c>
    </row>
    <row r="1461" spans="1:14" s="7" customFormat="1" ht="18" thickBot="1" x14ac:dyDescent="0.2">
      <c r="A1461" s="2"/>
      <c r="B1461" s="24"/>
      <c r="C1461" s="9"/>
      <c r="D1461" s="9"/>
      <c r="E1461" s="9"/>
      <c r="F1461" s="9"/>
      <c r="G1461" s="11"/>
    </row>
    <row r="1462" spans="1:14" s="7" customFormat="1" x14ac:dyDescent="0.15">
      <c r="A1462" s="2"/>
      <c r="B1462" s="327" t="s">
        <v>15</v>
      </c>
      <c r="C1462" s="328"/>
      <c r="D1462" s="328"/>
      <c r="E1462" s="328"/>
      <c r="F1462" s="328"/>
      <c r="G1462" s="329"/>
    </row>
    <row r="1463" spans="1:14" s="7" customFormat="1" ht="18" thickBot="1" x14ac:dyDescent="0.2">
      <c r="A1463" s="2"/>
      <c r="B1463" s="24"/>
      <c r="C1463" s="9"/>
      <c r="D1463" s="9"/>
      <c r="E1463" s="9"/>
      <c r="F1463" s="9"/>
      <c r="G1463" s="11"/>
    </row>
    <row r="1464" spans="1:14" ht="18" thickBot="1" x14ac:dyDescent="0.2"/>
    <row r="1465" spans="1:14" s="7" customFormat="1" x14ac:dyDescent="0.15">
      <c r="A1465" s="2"/>
      <c r="B1465" s="3" t="s">
        <v>563</v>
      </c>
      <c r="C1465" s="4" t="s">
        <v>707</v>
      </c>
      <c r="D1465" s="5" t="s">
        <v>515</v>
      </c>
      <c r="E1465" s="21" t="s">
        <v>1026</v>
      </c>
      <c r="F1465" s="5" t="s">
        <v>567</v>
      </c>
      <c r="G1465" s="6"/>
    </row>
    <row r="1466" spans="1:14" s="7" customFormat="1" ht="18" thickBot="1" x14ac:dyDescent="0.2">
      <c r="A1466" s="2"/>
      <c r="B1466" s="34" t="s">
        <v>570</v>
      </c>
      <c r="C1466" s="18"/>
      <c r="D1466" s="35" t="s">
        <v>568</v>
      </c>
      <c r="E1466" s="18" t="s">
        <v>615</v>
      </c>
      <c r="F1466" s="35"/>
      <c r="G1466" s="19"/>
    </row>
    <row r="1467" spans="1:14" s="7" customFormat="1" x14ac:dyDescent="0.15">
      <c r="A1467" s="2"/>
      <c r="B1467" s="3" t="s">
        <v>0</v>
      </c>
      <c r="C1467" s="5" t="s">
        <v>1</v>
      </c>
      <c r="D1467" s="5" t="s">
        <v>2</v>
      </c>
      <c r="E1467" s="5"/>
      <c r="F1467" s="5" t="s">
        <v>3</v>
      </c>
      <c r="G1467" s="36" t="s">
        <v>4</v>
      </c>
    </row>
    <row r="1468" spans="1:14" s="166" customFormat="1" ht="17.25" customHeight="1" x14ac:dyDescent="0.15">
      <c r="B1468" s="167" t="s">
        <v>22</v>
      </c>
      <c r="C1468" s="168" t="s">
        <v>1127</v>
      </c>
      <c r="D1468" s="168" t="s">
        <v>211</v>
      </c>
      <c r="E1468" s="168" t="s">
        <v>1141</v>
      </c>
      <c r="F1468" s="168" t="s">
        <v>357</v>
      </c>
      <c r="G1468" s="169" t="s">
        <v>1162</v>
      </c>
      <c r="J1468" s="166" t="s">
        <v>237</v>
      </c>
      <c r="K1468" s="166" t="s">
        <v>238</v>
      </c>
      <c r="L1468" s="166" t="s">
        <v>211</v>
      </c>
      <c r="M1468" s="166" t="s">
        <v>211</v>
      </c>
      <c r="N1468" s="166">
        <v>1211</v>
      </c>
    </row>
    <row r="1469" spans="1:14" s="166" customFormat="1" ht="17.25" customHeight="1" x14ac:dyDescent="0.15">
      <c r="B1469" s="167" t="s">
        <v>111</v>
      </c>
      <c r="C1469" s="168" t="s">
        <v>1164</v>
      </c>
      <c r="D1469" s="168" t="s">
        <v>211</v>
      </c>
      <c r="E1469" s="168">
        <v>0</v>
      </c>
      <c r="F1469" s="168" t="s">
        <v>350</v>
      </c>
      <c r="G1469" s="169" t="s">
        <v>1329</v>
      </c>
      <c r="J1469" s="166" t="s">
        <v>237</v>
      </c>
      <c r="K1469" s="166" t="s">
        <v>238</v>
      </c>
      <c r="L1469" s="166" t="s">
        <v>211</v>
      </c>
      <c r="M1469" s="166" t="s">
        <v>211</v>
      </c>
      <c r="N1469" s="166">
        <v>1112</v>
      </c>
    </row>
    <row r="1470" spans="1:14" s="166" customFormat="1" ht="17.25" customHeight="1" x14ac:dyDescent="0.15">
      <c r="B1470" s="167" t="s">
        <v>154</v>
      </c>
      <c r="C1470" s="168" t="s">
        <v>1133</v>
      </c>
      <c r="D1470" s="168" t="s">
        <v>211</v>
      </c>
      <c r="E1470" s="168">
        <v>0</v>
      </c>
      <c r="F1470" s="168" t="s">
        <v>350</v>
      </c>
      <c r="G1470" s="169" t="s">
        <v>1509</v>
      </c>
      <c r="J1470" s="166" t="s">
        <v>358</v>
      </c>
      <c r="K1470" s="166" t="s">
        <v>359</v>
      </c>
      <c r="L1470" s="166" t="s">
        <v>360</v>
      </c>
      <c r="M1470" s="166" t="s">
        <v>361</v>
      </c>
      <c r="N1470" s="166">
        <v>1700</v>
      </c>
    </row>
    <row r="1471" spans="1:14" s="166" customFormat="1" ht="17.25" customHeight="1" x14ac:dyDescent="0.15">
      <c r="B1471" s="162" t="s">
        <v>303</v>
      </c>
      <c r="C1471" s="171" t="s">
        <v>1170</v>
      </c>
      <c r="D1471" s="171" t="s">
        <v>1169</v>
      </c>
      <c r="E1471" s="171">
        <v>0</v>
      </c>
      <c r="F1471" s="171" t="s">
        <v>350</v>
      </c>
      <c r="G1471" s="172"/>
      <c r="J1471" s="166" t="s">
        <v>352</v>
      </c>
      <c r="K1471" s="166" t="s">
        <v>351</v>
      </c>
      <c r="L1471" s="166" t="s">
        <v>349</v>
      </c>
      <c r="M1471" s="166" t="s">
        <v>349</v>
      </c>
      <c r="N1471" s="166">
        <v>1741</v>
      </c>
    </row>
    <row r="1472" spans="1:14" s="7" customFormat="1" x14ac:dyDescent="0.15">
      <c r="B1472" s="162" t="s">
        <v>169</v>
      </c>
      <c r="C1472" s="160" t="s">
        <v>1435</v>
      </c>
      <c r="D1472" s="160" t="s">
        <v>1087</v>
      </c>
      <c r="E1472" s="160">
        <v>0</v>
      </c>
      <c r="F1472" s="160"/>
      <c r="G1472" s="161"/>
      <c r="J1472" s="7" t="s">
        <v>352</v>
      </c>
      <c r="K1472" s="7" t="s">
        <v>351</v>
      </c>
      <c r="L1472" s="7" t="s">
        <v>349</v>
      </c>
      <c r="M1472" s="7" t="s">
        <v>349</v>
      </c>
      <c r="N1472" s="7">
        <v>1702</v>
      </c>
    </row>
    <row r="1473" spans="2:14" s="7" customFormat="1" x14ac:dyDescent="0.15">
      <c r="B1473" s="162" t="s">
        <v>121</v>
      </c>
      <c r="C1473" s="267" t="s">
        <v>1311</v>
      </c>
      <c r="D1473" s="267" t="s">
        <v>423</v>
      </c>
      <c r="E1473" s="267">
        <v>0</v>
      </c>
      <c r="F1473" s="267"/>
      <c r="G1473" s="268"/>
    </row>
    <row r="1474" spans="2:14" s="166" customFormat="1" ht="17.25" customHeight="1" x14ac:dyDescent="0.15">
      <c r="B1474" s="162" t="s">
        <v>375</v>
      </c>
      <c r="C1474" s="171" t="s">
        <v>1078</v>
      </c>
      <c r="D1474" s="171" t="s">
        <v>1169</v>
      </c>
      <c r="E1474" s="171">
        <v>0</v>
      </c>
      <c r="F1474" s="171" t="s">
        <v>350</v>
      </c>
      <c r="G1474" s="172"/>
      <c r="J1474" s="166" t="s">
        <v>352</v>
      </c>
      <c r="K1474" s="166" t="s">
        <v>351</v>
      </c>
      <c r="L1474" s="166" t="s">
        <v>349</v>
      </c>
      <c r="M1474" s="166" t="s">
        <v>349</v>
      </c>
      <c r="N1474" s="166">
        <v>1244</v>
      </c>
    </row>
    <row r="1475" spans="2:14" s="166" customFormat="1" ht="17.25" customHeight="1" x14ac:dyDescent="0.15">
      <c r="B1475" s="162" t="s">
        <v>363</v>
      </c>
      <c r="C1475" s="171" t="s">
        <v>1171</v>
      </c>
      <c r="D1475" s="171" t="s">
        <v>1169</v>
      </c>
      <c r="E1475" s="171">
        <v>0</v>
      </c>
      <c r="F1475" s="171"/>
      <c r="G1475" s="172"/>
      <c r="J1475" s="166" t="s">
        <v>352</v>
      </c>
      <c r="K1475" s="166" t="s">
        <v>351</v>
      </c>
      <c r="L1475" s="166" t="s">
        <v>349</v>
      </c>
      <c r="M1475" s="166" t="s">
        <v>349</v>
      </c>
      <c r="N1475" s="166">
        <v>2595</v>
      </c>
    </row>
    <row r="1476" spans="2:14" s="166" customFormat="1" ht="17.25" customHeight="1" x14ac:dyDescent="0.15">
      <c r="B1476" s="162" t="s">
        <v>364</v>
      </c>
      <c r="C1476" s="171" t="s">
        <v>1088</v>
      </c>
      <c r="D1476" s="171" t="s">
        <v>1172</v>
      </c>
      <c r="E1476" s="171">
        <v>0</v>
      </c>
      <c r="F1476" s="171"/>
      <c r="G1476" s="172"/>
      <c r="J1476" s="166" t="s">
        <v>352</v>
      </c>
      <c r="K1476" s="166" t="s">
        <v>351</v>
      </c>
      <c r="L1476" s="166" t="s">
        <v>349</v>
      </c>
      <c r="M1476" s="166" t="s">
        <v>349</v>
      </c>
      <c r="N1476" s="166">
        <v>1739</v>
      </c>
    </row>
    <row r="1477" spans="2:14" s="166" customFormat="1" ht="17.25" customHeight="1" x14ac:dyDescent="0.15">
      <c r="B1477" s="162" t="s">
        <v>304</v>
      </c>
      <c r="C1477" s="171" t="s">
        <v>1185</v>
      </c>
      <c r="D1477" s="171" t="s">
        <v>1169</v>
      </c>
      <c r="E1477" s="171">
        <v>0</v>
      </c>
      <c r="F1477" s="171"/>
      <c r="G1477" s="172"/>
      <c r="J1477" s="166" t="s">
        <v>352</v>
      </c>
      <c r="K1477" s="166" t="s">
        <v>351</v>
      </c>
      <c r="L1477" s="166" t="s">
        <v>349</v>
      </c>
      <c r="M1477" s="166" t="s">
        <v>349</v>
      </c>
      <c r="N1477" s="166">
        <v>2309</v>
      </c>
    </row>
    <row r="1478" spans="2:14" s="166" customFormat="1" ht="17.25" customHeight="1" x14ac:dyDescent="0.15">
      <c r="B1478" s="162" t="s">
        <v>305</v>
      </c>
      <c r="C1478" s="171" t="s">
        <v>1181</v>
      </c>
      <c r="D1478" s="171" t="s">
        <v>1169</v>
      </c>
      <c r="E1478" s="171">
        <v>0</v>
      </c>
      <c r="F1478" s="171" t="s">
        <v>350</v>
      </c>
      <c r="G1478" s="172"/>
      <c r="J1478" s="166" t="s">
        <v>352</v>
      </c>
      <c r="K1478" s="166" t="s">
        <v>351</v>
      </c>
      <c r="L1478" s="166" t="s">
        <v>349</v>
      </c>
      <c r="M1478" s="166" t="s">
        <v>349</v>
      </c>
      <c r="N1478" s="166">
        <v>1511</v>
      </c>
    </row>
    <row r="1479" spans="2:14" s="166" customFormat="1" ht="17.25" customHeight="1" x14ac:dyDescent="0.15">
      <c r="B1479" s="162" t="s">
        <v>307</v>
      </c>
      <c r="C1479" s="171" t="s">
        <v>1173</v>
      </c>
      <c r="D1479" s="171" t="s">
        <v>1169</v>
      </c>
      <c r="E1479" s="171">
        <v>0</v>
      </c>
      <c r="F1479" s="171" t="s">
        <v>350</v>
      </c>
      <c r="G1479" s="172"/>
      <c r="J1479" s="166" t="s">
        <v>352</v>
      </c>
      <c r="K1479" s="166" t="s">
        <v>351</v>
      </c>
      <c r="L1479" s="166" t="s">
        <v>349</v>
      </c>
      <c r="M1479" s="166" t="s">
        <v>349</v>
      </c>
      <c r="N1479" s="166">
        <v>2402</v>
      </c>
    </row>
    <row r="1480" spans="2:14" s="166" customFormat="1" ht="17.25" customHeight="1" x14ac:dyDescent="0.15">
      <c r="B1480" s="162" t="s">
        <v>306</v>
      </c>
      <c r="C1480" s="171" t="s">
        <v>1128</v>
      </c>
      <c r="D1480" s="171" t="s">
        <v>1169</v>
      </c>
      <c r="E1480" s="171">
        <v>0</v>
      </c>
      <c r="F1480" s="171" t="s">
        <v>350</v>
      </c>
      <c r="G1480" s="172"/>
      <c r="J1480" s="166" t="s">
        <v>352</v>
      </c>
      <c r="K1480" s="166" t="s">
        <v>351</v>
      </c>
      <c r="L1480" s="166" t="s">
        <v>349</v>
      </c>
      <c r="M1480" s="166" t="s">
        <v>349</v>
      </c>
      <c r="N1480" s="166">
        <v>1618</v>
      </c>
    </row>
    <row r="1481" spans="2:14" s="166" customFormat="1" ht="17.25" customHeight="1" x14ac:dyDescent="0.15">
      <c r="B1481" s="162" t="s">
        <v>309</v>
      </c>
      <c r="C1481" s="171" t="s">
        <v>1089</v>
      </c>
      <c r="D1481" s="171" t="s">
        <v>1169</v>
      </c>
      <c r="E1481" s="171">
        <v>0</v>
      </c>
      <c r="F1481" s="171"/>
      <c r="G1481" s="172"/>
      <c r="J1481" s="166" t="s">
        <v>352</v>
      </c>
      <c r="K1481" s="166" t="s">
        <v>351</v>
      </c>
      <c r="L1481" s="166" t="s">
        <v>349</v>
      </c>
      <c r="M1481" s="166" t="s">
        <v>349</v>
      </c>
      <c r="N1481" s="166">
        <v>1599</v>
      </c>
    </row>
    <row r="1482" spans="2:14" s="166" customFormat="1" ht="17.25" customHeight="1" x14ac:dyDescent="0.15">
      <c r="B1482" s="162" t="s">
        <v>310</v>
      </c>
      <c r="C1482" s="171" t="s">
        <v>1174</v>
      </c>
      <c r="D1482" s="171" t="s">
        <v>1169</v>
      </c>
      <c r="E1482" s="171">
        <v>0</v>
      </c>
      <c r="F1482" s="171" t="s">
        <v>350</v>
      </c>
      <c r="G1482" s="172"/>
      <c r="J1482" s="166" t="s">
        <v>352</v>
      </c>
      <c r="K1482" s="166" t="s">
        <v>351</v>
      </c>
      <c r="L1482" s="166" t="s">
        <v>349</v>
      </c>
      <c r="M1482" s="166" t="s">
        <v>349</v>
      </c>
      <c r="N1482" s="166">
        <v>1997</v>
      </c>
    </row>
    <row r="1483" spans="2:14" s="166" customFormat="1" ht="17.25" customHeight="1" x14ac:dyDescent="0.15">
      <c r="B1483" s="162" t="s">
        <v>176</v>
      </c>
      <c r="C1483" s="171" t="s">
        <v>1132</v>
      </c>
      <c r="D1483" s="171" t="s">
        <v>1169</v>
      </c>
      <c r="E1483" s="171">
        <v>0</v>
      </c>
      <c r="F1483" s="171" t="s">
        <v>350</v>
      </c>
      <c r="G1483" s="172"/>
      <c r="J1483" s="166" t="s">
        <v>352</v>
      </c>
      <c r="K1483" s="166" t="s">
        <v>351</v>
      </c>
      <c r="L1483" s="166" t="s">
        <v>349</v>
      </c>
      <c r="M1483" s="166" t="s">
        <v>349</v>
      </c>
      <c r="N1483" s="166">
        <v>1842</v>
      </c>
    </row>
    <row r="1484" spans="2:14" s="166" customFormat="1" ht="17.25" customHeight="1" x14ac:dyDescent="0.15">
      <c r="B1484" s="162" t="s">
        <v>175</v>
      </c>
      <c r="C1484" s="171" t="s">
        <v>1129</v>
      </c>
      <c r="D1484" s="171" t="s">
        <v>1169</v>
      </c>
      <c r="E1484" s="171">
        <v>0</v>
      </c>
      <c r="F1484" s="171" t="s">
        <v>350</v>
      </c>
      <c r="G1484" s="172"/>
      <c r="J1484" s="166" t="s">
        <v>352</v>
      </c>
      <c r="K1484" s="166" t="s">
        <v>351</v>
      </c>
      <c r="L1484" s="166" t="s">
        <v>349</v>
      </c>
      <c r="M1484" s="166" t="s">
        <v>349</v>
      </c>
      <c r="N1484" s="166">
        <v>1843</v>
      </c>
    </row>
    <row r="1485" spans="2:14" s="166" customFormat="1" ht="17.25" customHeight="1" x14ac:dyDescent="0.15">
      <c r="B1485" s="162" t="s">
        <v>365</v>
      </c>
      <c r="C1485" s="171" t="s">
        <v>1130</v>
      </c>
      <c r="D1485" s="171" t="s">
        <v>1169</v>
      </c>
      <c r="E1485" s="171">
        <v>0</v>
      </c>
      <c r="F1485" s="171"/>
      <c r="G1485" s="172"/>
      <c r="J1485" s="166" t="s">
        <v>352</v>
      </c>
      <c r="K1485" s="166" t="s">
        <v>351</v>
      </c>
      <c r="L1485" s="166" t="s">
        <v>349</v>
      </c>
      <c r="M1485" s="166" t="s">
        <v>349</v>
      </c>
      <c r="N1485" s="166">
        <v>1774</v>
      </c>
    </row>
    <row r="1486" spans="2:14" s="166" customFormat="1" ht="17.25" customHeight="1" x14ac:dyDescent="0.15">
      <c r="B1486" s="173" t="s">
        <v>23</v>
      </c>
      <c r="C1486" s="171" t="s">
        <v>1091</v>
      </c>
      <c r="D1486" s="171" t="s">
        <v>1131</v>
      </c>
      <c r="E1486" s="171" t="s">
        <v>1074</v>
      </c>
      <c r="F1486" s="171" t="s">
        <v>366</v>
      </c>
      <c r="G1486" s="172"/>
      <c r="J1486" s="166" t="s">
        <v>354</v>
      </c>
      <c r="K1486" s="166" t="s">
        <v>355</v>
      </c>
      <c r="L1486" s="166" t="s">
        <v>356</v>
      </c>
      <c r="M1486" s="166" t="s">
        <v>354</v>
      </c>
      <c r="N1486" s="166">
        <v>1041</v>
      </c>
    </row>
    <row r="1487" spans="2:14" s="166" customFormat="1" ht="17.25" customHeight="1" x14ac:dyDescent="0.15">
      <c r="B1487" s="173" t="s">
        <v>367</v>
      </c>
      <c r="C1487" s="171" t="s">
        <v>1176</v>
      </c>
      <c r="D1487" s="171" t="s">
        <v>1169</v>
      </c>
      <c r="E1487" s="171">
        <v>0</v>
      </c>
      <c r="F1487" s="171"/>
      <c r="G1487" s="172"/>
      <c r="J1487" s="166" t="s">
        <v>352</v>
      </c>
      <c r="K1487" s="166" t="s">
        <v>351</v>
      </c>
      <c r="L1487" s="166" t="s">
        <v>349</v>
      </c>
      <c r="M1487" s="166" t="s">
        <v>349</v>
      </c>
      <c r="N1487" s="166">
        <v>1274</v>
      </c>
    </row>
    <row r="1488" spans="2:14" s="166" customFormat="1" ht="17.25" customHeight="1" x14ac:dyDescent="0.15">
      <c r="B1488" s="173" t="s">
        <v>368</v>
      </c>
      <c r="C1488" s="171" t="s">
        <v>1177</v>
      </c>
      <c r="D1488" s="171" t="s">
        <v>1172</v>
      </c>
      <c r="E1488" s="171">
        <v>0</v>
      </c>
      <c r="F1488" s="171" t="s">
        <v>350</v>
      </c>
      <c r="G1488" s="172"/>
      <c r="J1488" s="166" t="s">
        <v>352</v>
      </c>
      <c r="K1488" s="166" t="s">
        <v>351</v>
      </c>
      <c r="L1488" s="166" t="s">
        <v>349</v>
      </c>
      <c r="M1488" s="166" t="s">
        <v>349</v>
      </c>
    </row>
    <row r="1489" spans="1:14" s="166" customFormat="1" ht="17.25" customHeight="1" x14ac:dyDescent="0.15">
      <c r="B1489" s="162" t="s">
        <v>369</v>
      </c>
      <c r="C1489" s="171" t="s">
        <v>1475</v>
      </c>
      <c r="D1489" s="171" t="s">
        <v>1169</v>
      </c>
      <c r="E1489" s="171">
        <v>0</v>
      </c>
      <c r="F1489" s="171"/>
      <c r="G1489" s="172"/>
      <c r="J1489" s="166" t="s">
        <v>352</v>
      </c>
      <c r="K1489" s="166" t="s">
        <v>351</v>
      </c>
      <c r="L1489" s="166" t="s">
        <v>349</v>
      </c>
      <c r="M1489" s="166" t="s">
        <v>349</v>
      </c>
      <c r="N1489" s="166">
        <v>1840</v>
      </c>
    </row>
    <row r="1490" spans="1:14" s="166" customFormat="1" ht="17.25" customHeight="1" x14ac:dyDescent="0.15">
      <c r="B1490" s="174" t="s">
        <v>370</v>
      </c>
      <c r="C1490" s="171" t="s">
        <v>1183</v>
      </c>
      <c r="D1490" s="171" t="s">
        <v>1172</v>
      </c>
      <c r="E1490" s="171">
        <v>0</v>
      </c>
      <c r="F1490" s="171"/>
      <c r="G1490" s="172"/>
      <c r="J1490" s="166" t="s">
        <v>352</v>
      </c>
      <c r="K1490" s="166" t="s">
        <v>351</v>
      </c>
      <c r="L1490" s="166" t="s">
        <v>349</v>
      </c>
      <c r="M1490" s="166" t="s">
        <v>349</v>
      </c>
      <c r="N1490" s="166">
        <v>1841</v>
      </c>
    </row>
    <row r="1491" spans="1:14" s="166" customFormat="1" ht="17.25" customHeight="1" x14ac:dyDescent="0.15">
      <c r="B1491" s="174" t="s">
        <v>371</v>
      </c>
      <c r="C1491" s="171" t="s">
        <v>1184</v>
      </c>
      <c r="D1491" s="171" t="s">
        <v>1172</v>
      </c>
      <c r="E1491" s="171">
        <v>0</v>
      </c>
      <c r="F1491" s="171"/>
      <c r="G1491" s="172"/>
      <c r="J1491" s="166" t="s">
        <v>352</v>
      </c>
      <c r="K1491" s="166" t="s">
        <v>351</v>
      </c>
      <c r="L1491" s="166" t="s">
        <v>349</v>
      </c>
      <c r="M1491" s="166" t="s">
        <v>349</v>
      </c>
      <c r="N1491" s="166">
        <v>1208</v>
      </c>
    </row>
    <row r="1492" spans="1:14" s="7" customFormat="1" ht="18" thickBot="1" x14ac:dyDescent="0.2">
      <c r="A1492" s="2"/>
      <c r="B1492" s="24"/>
      <c r="C1492" s="9"/>
      <c r="D1492" s="9"/>
      <c r="E1492" s="9"/>
      <c r="F1492" s="9"/>
      <c r="G1492" s="11"/>
    </row>
    <row r="1493" spans="1:14" s="7" customFormat="1" x14ac:dyDescent="0.15">
      <c r="A1493" s="2"/>
      <c r="B1493" s="327" t="s">
        <v>15</v>
      </c>
      <c r="C1493" s="328"/>
      <c r="D1493" s="328"/>
      <c r="E1493" s="328"/>
      <c r="F1493" s="328"/>
      <c r="G1493" s="329"/>
    </row>
    <row r="1494" spans="1:14" s="7" customFormat="1" ht="18" thickBot="1" x14ac:dyDescent="0.2">
      <c r="A1494" s="2"/>
      <c r="B1494" s="24"/>
      <c r="C1494" s="9"/>
      <c r="D1494" s="9"/>
      <c r="E1494" s="9"/>
      <c r="F1494" s="9"/>
      <c r="G1494" s="11"/>
    </row>
    <row r="1495" spans="1:14" ht="18" thickBot="1" x14ac:dyDescent="0.2"/>
    <row r="1496" spans="1:14" s="7" customFormat="1" x14ac:dyDescent="0.15">
      <c r="A1496" s="2"/>
      <c r="B1496" s="3" t="s">
        <v>563</v>
      </c>
      <c r="C1496" s="4" t="s">
        <v>709</v>
      </c>
      <c r="D1496" s="5" t="s">
        <v>515</v>
      </c>
      <c r="E1496" s="21" t="s">
        <v>708</v>
      </c>
      <c r="F1496" s="5" t="s">
        <v>567</v>
      </c>
      <c r="G1496" s="6"/>
    </row>
    <row r="1497" spans="1:14" s="7" customFormat="1" ht="18" thickBot="1" x14ac:dyDescent="0.2">
      <c r="A1497" s="2"/>
      <c r="B1497" s="34" t="s">
        <v>570</v>
      </c>
      <c r="C1497" s="18"/>
      <c r="D1497" s="35" t="s">
        <v>568</v>
      </c>
      <c r="E1497" s="18" t="s">
        <v>615</v>
      </c>
      <c r="F1497" s="35"/>
      <c r="G1497" s="19"/>
    </row>
    <row r="1498" spans="1:14" s="7" customFormat="1" x14ac:dyDescent="0.15">
      <c r="A1498" s="2"/>
      <c r="B1498" s="3" t="s">
        <v>0</v>
      </c>
      <c r="C1498" s="5" t="s">
        <v>1</v>
      </c>
      <c r="D1498" s="5" t="s">
        <v>2</v>
      </c>
      <c r="E1498" s="5"/>
      <c r="F1498" s="5" t="s">
        <v>3</v>
      </c>
      <c r="G1498" s="36" t="s">
        <v>4</v>
      </c>
    </row>
    <row r="1499" spans="1:14" s="166" customFormat="1" ht="17.25" customHeight="1" x14ac:dyDescent="0.15">
      <c r="B1499" s="167" t="s">
        <v>22</v>
      </c>
      <c r="C1499" s="168" t="s">
        <v>1127</v>
      </c>
      <c r="D1499" s="168" t="s">
        <v>211</v>
      </c>
      <c r="E1499" s="168" t="s">
        <v>1141</v>
      </c>
      <c r="F1499" s="168" t="s">
        <v>357</v>
      </c>
      <c r="G1499" s="169" t="s">
        <v>1162</v>
      </c>
      <c r="J1499" s="166" t="s">
        <v>237</v>
      </c>
      <c r="K1499" s="166" t="s">
        <v>238</v>
      </c>
      <c r="L1499" s="166" t="s">
        <v>211</v>
      </c>
      <c r="M1499" s="166" t="s">
        <v>211</v>
      </c>
      <c r="N1499" s="166">
        <v>1211</v>
      </c>
    </row>
    <row r="1500" spans="1:14" s="166" customFormat="1" ht="17.25" customHeight="1" x14ac:dyDescent="0.15">
      <c r="B1500" s="167" t="s">
        <v>111</v>
      </c>
      <c r="C1500" s="168" t="s">
        <v>1164</v>
      </c>
      <c r="D1500" s="168" t="s">
        <v>211</v>
      </c>
      <c r="E1500" s="168">
        <v>0</v>
      </c>
      <c r="F1500" s="168" t="s">
        <v>350</v>
      </c>
      <c r="G1500" s="169" t="s">
        <v>1329</v>
      </c>
      <c r="J1500" s="166" t="s">
        <v>237</v>
      </c>
      <c r="K1500" s="166" t="s">
        <v>238</v>
      </c>
      <c r="L1500" s="166" t="s">
        <v>211</v>
      </c>
      <c r="M1500" s="166" t="s">
        <v>211</v>
      </c>
      <c r="N1500" s="166">
        <v>1112</v>
      </c>
    </row>
    <row r="1501" spans="1:14" s="166" customFormat="1" ht="17.25" customHeight="1" x14ac:dyDescent="0.15">
      <c r="B1501" s="167" t="s">
        <v>154</v>
      </c>
      <c r="C1501" s="168" t="s">
        <v>1133</v>
      </c>
      <c r="D1501" s="168" t="s">
        <v>211</v>
      </c>
      <c r="E1501" s="168">
        <v>0</v>
      </c>
      <c r="F1501" s="168" t="s">
        <v>350</v>
      </c>
      <c r="G1501" s="169" t="s">
        <v>1509</v>
      </c>
      <c r="J1501" s="166" t="s">
        <v>358</v>
      </c>
      <c r="K1501" s="166" t="s">
        <v>359</v>
      </c>
      <c r="L1501" s="166" t="s">
        <v>360</v>
      </c>
      <c r="M1501" s="166" t="s">
        <v>361</v>
      </c>
      <c r="N1501" s="166">
        <v>1700</v>
      </c>
    </row>
    <row r="1502" spans="1:14" s="166" customFormat="1" ht="17.25" customHeight="1" x14ac:dyDescent="0.15">
      <c r="B1502" s="162" t="s">
        <v>303</v>
      </c>
      <c r="C1502" s="171" t="s">
        <v>1170</v>
      </c>
      <c r="D1502" s="171" t="s">
        <v>1169</v>
      </c>
      <c r="E1502" s="171">
        <v>0</v>
      </c>
      <c r="F1502" s="171" t="s">
        <v>350</v>
      </c>
      <c r="G1502" s="172"/>
      <c r="J1502" s="166" t="s">
        <v>352</v>
      </c>
      <c r="K1502" s="166" t="s">
        <v>351</v>
      </c>
      <c r="L1502" s="166" t="s">
        <v>349</v>
      </c>
      <c r="M1502" s="166" t="s">
        <v>349</v>
      </c>
      <c r="N1502" s="166">
        <v>1741</v>
      </c>
    </row>
    <row r="1503" spans="1:14" s="7" customFormat="1" x14ac:dyDescent="0.15">
      <c r="B1503" s="162" t="s">
        <v>169</v>
      </c>
      <c r="C1503" s="160" t="s">
        <v>1435</v>
      </c>
      <c r="D1503" s="160" t="s">
        <v>1087</v>
      </c>
      <c r="E1503" s="160">
        <v>0</v>
      </c>
      <c r="F1503" s="160"/>
      <c r="G1503" s="161"/>
      <c r="J1503" s="7" t="s">
        <v>352</v>
      </c>
      <c r="K1503" s="7" t="s">
        <v>351</v>
      </c>
      <c r="L1503" s="7" t="s">
        <v>349</v>
      </c>
      <c r="M1503" s="7" t="s">
        <v>349</v>
      </c>
      <c r="N1503" s="7">
        <v>1702</v>
      </c>
    </row>
    <row r="1504" spans="1:14" s="166" customFormat="1" ht="17.25" customHeight="1" x14ac:dyDescent="0.15">
      <c r="B1504" s="162" t="s">
        <v>375</v>
      </c>
      <c r="C1504" s="171" t="s">
        <v>1078</v>
      </c>
      <c r="D1504" s="171" t="s">
        <v>1169</v>
      </c>
      <c r="E1504" s="171">
        <v>0</v>
      </c>
      <c r="F1504" s="171" t="s">
        <v>350</v>
      </c>
      <c r="G1504" s="172"/>
      <c r="J1504" s="166" t="s">
        <v>352</v>
      </c>
      <c r="K1504" s="166" t="s">
        <v>351</v>
      </c>
      <c r="L1504" s="166" t="s">
        <v>349</v>
      </c>
      <c r="M1504" s="166" t="s">
        <v>349</v>
      </c>
      <c r="N1504" s="166">
        <v>1244</v>
      </c>
    </row>
    <row r="1505" spans="2:14" s="166" customFormat="1" ht="17.25" customHeight="1" x14ac:dyDescent="0.15">
      <c r="B1505" s="162" t="s">
        <v>363</v>
      </c>
      <c r="C1505" s="171" t="s">
        <v>1171</v>
      </c>
      <c r="D1505" s="171" t="s">
        <v>1169</v>
      </c>
      <c r="E1505" s="171">
        <v>0</v>
      </c>
      <c r="F1505" s="171"/>
      <c r="G1505" s="172"/>
      <c r="J1505" s="166" t="s">
        <v>352</v>
      </c>
      <c r="K1505" s="166" t="s">
        <v>351</v>
      </c>
      <c r="L1505" s="166" t="s">
        <v>349</v>
      </c>
      <c r="M1505" s="166" t="s">
        <v>349</v>
      </c>
      <c r="N1505" s="166">
        <v>2595</v>
      </c>
    </row>
    <row r="1506" spans="2:14" s="166" customFormat="1" ht="17.25" customHeight="1" x14ac:dyDescent="0.15">
      <c r="B1506" s="162" t="s">
        <v>364</v>
      </c>
      <c r="C1506" s="171" t="s">
        <v>1088</v>
      </c>
      <c r="D1506" s="171" t="s">
        <v>1172</v>
      </c>
      <c r="E1506" s="171">
        <v>0</v>
      </c>
      <c r="F1506" s="171"/>
      <c r="G1506" s="172"/>
      <c r="J1506" s="166" t="s">
        <v>352</v>
      </c>
      <c r="K1506" s="166" t="s">
        <v>351</v>
      </c>
      <c r="L1506" s="166" t="s">
        <v>349</v>
      </c>
      <c r="M1506" s="166" t="s">
        <v>349</v>
      </c>
      <c r="N1506" s="166">
        <v>1739</v>
      </c>
    </row>
    <row r="1507" spans="2:14" s="166" customFormat="1" ht="17.25" customHeight="1" x14ac:dyDescent="0.15">
      <c r="B1507" s="162" t="s">
        <v>304</v>
      </c>
      <c r="C1507" s="171" t="s">
        <v>1185</v>
      </c>
      <c r="D1507" s="171" t="s">
        <v>1169</v>
      </c>
      <c r="E1507" s="171">
        <v>0</v>
      </c>
      <c r="F1507" s="171"/>
      <c r="G1507" s="172"/>
      <c r="J1507" s="166" t="s">
        <v>352</v>
      </c>
      <c r="K1507" s="166" t="s">
        <v>351</v>
      </c>
      <c r="L1507" s="166" t="s">
        <v>349</v>
      </c>
      <c r="M1507" s="166" t="s">
        <v>349</v>
      </c>
      <c r="N1507" s="166">
        <v>2309</v>
      </c>
    </row>
    <row r="1508" spans="2:14" s="166" customFormat="1" ht="17.25" customHeight="1" x14ac:dyDescent="0.15">
      <c r="B1508" s="162" t="s">
        <v>305</v>
      </c>
      <c r="C1508" s="171" t="s">
        <v>1181</v>
      </c>
      <c r="D1508" s="171" t="s">
        <v>1169</v>
      </c>
      <c r="E1508" s="171">
        <v>0</v>
      </c>
      <c r="F1508" s="171" t="s">
        <v>350</v>
      </c>
      <c r="G1508" s="172"/>
      <c r="J1508" s="166" t="s">
        <v>352</v>
      </c>
      <c r="K1508" s="166" t="s">
        <v>351</v>
      </c>
      <c r="L1508" s="166" t="s">
        <v>349</v>
      </c>
      <c r="M1508" s="166" t="s">
        <v>349</v>
      </c>
      <c r="N1508" s="166">
        <v>1511</v>
      </c>
    </row>
    <row r="1509" spans="2:14" s="166" customFormat="1" ht="17.25" customHeight="1" x14ac:dyDescent="0.15">
      <c r="B1509" s="162" t="s">
        <v>307</v>
      </c>
      <c r="C1509" s="171" t="s">
        <v>1173</v>
      </c>
      <c r="D1509" s="171" t="s">
        <v>1169</v>
      </c>
      <c r="E1509" s="171">
        <v>0</v>
      </c>
      <c r="F1509" s="171" t="s">
        <v>350</v>
      </c>
      <c r="G1509" s="172"/>
      <c r="J1509" s="166" t="s">
        <v>352</v>
      </c>
      <c r="K1509" s="166" t="s">
        <v>351</v>
      </c>
      <c r="L1509" s="166" t="s">
        <v>349</v>
      </c>
      <c r="M1509" s="166" t="s">
        <v>349</v>
      </c>
      <c r="N1509" s="166">
        <v>2402</v>
      </c>
    </row>
    <row r="1510" spans="2:14" s="166" customFormat="1" ht="17.25" customHeight="1" x14ac:dyDescent="0.15">
      <c r="B1510" s="162" t="s">
        <v>306</v>
      </c>
      <c r="C1510" s="171" t="s">
        <v>1128</v>
      </c>
      <c r="D1510" s="171" t="s">
        <v>1169</v>
      </c>
      <c r="E1510" s="171">
        <v>0</v>
      </c>
      <c r="F1510" s="171" t="s">
        <v>350</v>
      </c>
      <c r="G1510" s="172"/>
      <c r="J1510" s="166" t="s">
        <v>352</v>
      </c>
      <c r="K1510" s="166" t="s">
        <v>351</v>
      </c>
      <c r="L1510" s="166" t="s">
        <v>349</v>
      </c>
      <c r="M1510" s="166" t="s">
        <v>349</v>
      </c>
      <c r="N1510" s="166">
        <v>1618</v>
      </c>
    </row>
    <row r="1511" spans="2:14" s="166" customFormat="1" ht="17.25" customHeight="1" x14ac:dyDescent="0.15">
      <c r="B1511" s="162" t="s">
        <v>309</v>
      </c>
      <c r="C1511" s="171" t="s">
        <v>1089</v>
      </c>
      <c r="D1511" s="171" t="s">
        <v>1169</v>
      </c>
      <c r="E1511" s="171">
        <v>0</v>
      </c>
      <c r="F1511" s="171"/>
      <c r="G1511" s="172"/>
      <c r="J1511" s="166" t="s">
        <v>352</v>
      </c>
      <c r="K1511" s="166" t="s">
        <v>351</v>
      </c>
      <c r="L1511" s="166" t="s">
        <v>349</v>
      </c>
      <c r="M1511" s="166" t="s">
        <v>349</v>
      </c>
      <c r="N1511" s="166">
        <v>1599</v>
      </c>
    </row>
    <row r="1512" spans="2:14" s="166" customFormat="1" ht="17.25" customHeight="1" x14ac:dyDescent="0.15">
      <c r="B1512" s="162" t="s">
        <v>310</v>
      </c>
      <c r="C1512" s="171" t="s">
        <v>1174</v>
      </c>
      <c r="D1512" s="171" t="s">
        <v>1169</v>
      </c>
      <c r="E1512" s="171">
        <v>0</v>
      </c>
      <c r="F1512" s="171" t="s">
        <v>350</v>
      </c>
      <c r="G1512" s="172"/>
      <c r="J1512" s="166" t="s">
        <v>352</v>
      </c>
      <c r="K1512" s="166" t="s">
        <v>351</v>
      </c>
      <c r="L1512" s="166" t="s">
        <v>349</v>
      </c>
      <c r="M1512" s="166" t="s">
        <v>349</v>
      </c>
      <c r="N1512" s="166">
        <v>1997</v>
      </c>
    </row>
    <row r="1513" spans="2:14" s="166" customFormat="1" ht="17.25" customHeight="1" x14ac:dyDescent="0.15">
      <c r="B1513" s="162" t="s">
        <v>176</v>
      </c>
      <c r="C1513" s="171" t="s">
        <v>1132</v>
      </c>
      <c r="D1513" s="171" t="s">
        <v>1169</v>
      </c>
      <c r="E1513" s="171">
        <v>0</v>
      </c>
      <c r="F1513" s="171" t="s">
        <v>350</v>
      </c>
      <c r="G1513" s="172"/>
      <c r="J1513" s="166" t="s">
        <v>352</v>
      </c>
      <c r="K1513" s="166" t="s">
        <v>351</v>
      </c>
      <c r="L1513" s="166" t="s">
        <v>349</v>
      </c>
      <c r="M1513" s="166" t="s">
        <v>349</v>
      </c>
      <c r="N1513" s="166">
        <v>1842</v>
      </c>
    </row>
    <row r="1514" spans="2:14" s="166" customFormat="1" ht="17.25" customHeight="1" x14ac:dyDescent="0.15">
      <c r="B1514" s="162" t="s">
        <v>175</v>
      </c>
      <c r="C1514" s="171" t="s">
        <v>1129</v>
      </c>
      <c r="D1514" s="171" t="s">
        <v>1169</v>
      </c>
      <c r="E1514" s="171">
        <v>0</v>
      </c>
      <c r="F1514" s="171" t="s">
        <v>350</v>
      </c>
      <c r="G1514" s="172"/>
      <c r="J1514" s="166" t="s">
        <v>352</v>
      </c>
      <c r="K1514" s="166" t="s">
        <v>351</v>
      </c>
      <c r="L1514" s="166" t="s">
        <v>349</v>
      </c>
      <c r="M1514" s="166" t="s">
        <v>349</v>
      </c>
      <c r="N1514" s="166">
        <v>1843</v>
      </c>
    </row>
    <row r="1515" spans="2:14" s="166" customFormat="1" ht="17.25" customHeight="1" x14ac:dyDescent="0.15">
      <c r="B1515" s="162" t="s">
        <v>365</v>
      </c>
      <c r="C1515" s="171" t="s">
        <v>1130</v>
      </c>
      <c r="D1515" s="171" t="s">
        <v>1169</v>
      </c>
      <c r="E1515" s="171">
        <v>0</v>
      </c>
      <c r="F1515" s="171"/>
      <c r="G1515" s="172"/>
      <c r="J1515" s="166" t="s">
        <v>352</v>
      </c>
      <c r="K1515" s="166" t="s">
        <v>351</v>
      </c>
      <c r="L1515" s="166" t="s">
        <v>349</v>
      </c>
      <c r="M1515" s="166" t="s">
        <v>349</v>
      </c>
      <c r="N1515" s="166">
        <v>1774</v>
      </c>
    </row>
    <row r="1516" spans="2:14" s="166" customFormat="1" ht="17.25" customHeight="1" x14ac:dyDescent="0.15">
      <c r="B1516" s="173" t="s">
        <v>23</v>
      </c>
      <c r="C1516" s="171" t="s">
        <v>1091</v>
      </c>
      <c r="D1516" s="171" t="s">
        <v>1131</v>
      </c>
      <c r="E1516" s="171" t="s">
        <v>1074</v>
      </c>
      <c r="F1516" s="171" t="s">
        <v>366</v>
      </c>
      <c r="G1516" s="172"/>
      <c r="J1516" s="166" t="s">
        <v>354</v>
      </c>
      <c r="K1516" s="166" t="s">
        <v>355</v>
      </c>
      <c r="L1516" s="166" t="s">
        <v>356</v>
      </c>
      <c r="M1516" s="166" t="s">
        <v>354</v>
      </c>
      <c r="N1516" s="166">
        <v>1041</v>
      </c>
    </row>
    <row r="1517" spans="2:14" s="166" customFormat="1" ht="17.25" customHeight="1" x14ac:dyDescent="0.15">
      <c r="B1517" s="173" t="s">
        <v>367</v>
      </c>
      <c r="C1517" s="171" t="s">
        <v>1176</v>
      </c>
      <c r="D1517" s="171" t="s">
        <v>1169</v>
      </c>
      <c r="E1517" s="171">
        <v>0</v>
      </c>
      <c r="F1517" s="171"/>
      <c r="G1517" s="172"/>
      <c r="J1517" s="166" t="s">
        <v>352</v>
      </c>
      <c r="K1517" s="166" t="s">
        <v>351</v>
      </c>
      <c r="L1517" s="166" t="s">
        <v>349</v>
      </c>
      <c r="M1517" s="166" t="s">
        <v>349</v>
      </c>
      <c r="N1517" s="166">
        <v>1274</v>
      </c>
    </row>
    <row r="1518" spans="2:14" s="166" customFormat="1" ht="17.25" customHeight="1" x14ac:dyDescent="0.15">
      <c r="B1518" s="173" t="s">
        <v>368</v>
      </c>
      <c r="C1518" s="171" t="s">
        <v>1177</v>
      </c>
      <c r="D1518" s="171" t="s">
        <v>1172</v>
      </c>
      <c r="E1518" s="171">
        <v>0</v>
      </c>
      <c r="F1518" s="171" t="s">
        <v>350</v>
      </c>
      <c r="G1518" s="172"/>
      <c r="J1518" s="166" t="s">
        <v>352</v>
      </c>
      <c r="K1518" s="166" t="s">
        <v>351</v>
      </c>
      <c r="L1518" s="166" t="s">
        <v>349</v>
      </c>
      <c r="M1518" s="166" t="s">
        <v>349</v>
      </c>
    </row>
    <row r="1519" spans="2:14" s="166" customFormat="1" ht="17.25" customHeight="1" x14ac:dyDescent="0.15">
      <c r="B1519" s="162" t="s">
        <v>369</v>
      </c>
      <c r="C1519" s="171" t="s">
        <v>1475</v>
      </c>
      <c r="D1519" s="171" t="s">
        <v>1169</v>
      </c>
      <c r="E1519" s="171">
        <v>0</v>
      </c>
      <c r="F1519" s="171"/>
      <c r="G1519" s="172"/>
      <c r="J1519" s="166" t="s">
        <v>352</v>
      </c>
      <c r="K1519" s="166" t="s">
        <v>351</v>
      </c>
      <c r="L1519" s="166" t="s">
        <v>349</v>
      </c>
      <c r="M1519" s="166" t="s">
        <v>349</v>
      </c>
      <c r="N1519" s="166">
        <v>1840</v>
      </c>
    </row>
    <row r="1520" spans="2:14" s="166" customFormat="1" ht="17.25" customHeight="1" x14ac:dyDescent="0.15">
      <c r="B1520" s="174" t="s">
        <v>370</v>
      </c>
      <c r="C1520" s="171" t="s">
        <v>1183</v>
      </c>
      <c r="D1520" s="171" t="s">
        <v>1172</v>
      </c>
      <c r="E1520" s="171">
        <v>0</v>
      </c>
      <c r="F1520" s="171"/>
      <c r="G1520" s="172"/>
      <c r="J1520" s="166" t="s">
        <v>352</v>
      </c>
      <c r="K1520" s="166" t="s">
        <v>351</v>
      </c>
      <c r="L1520" s="166" t="s">
        <v>349</v>
      </c>
      <c r="M1520" s="166" t="s">
        <v>349</v>
      </c>
      <c r="N1520" s="166">
        <v>1841</v>
      </c>
    </row>
    <row r="1521" spans="1:14" s="166" customFormat="1" ht="17.25" customHeight="1" x14ac:dyDescent="0.15">
      <c r="B1521" s="174" t="s">
        <v>371</v>
      </c>
      <c r="C1521" s="171" t="s">
        <v>1184</v>
      </c>
      <c r="D1521" s="171" t="s">
        <v>1172</v>
      </c>
      <c r="E1521" s="171">
        <v>0</v>
      </c>
      <c r="F1521" s="171"/>
      <c r="G1521" s="172"/>
      <c r="J1521" s="166" t="s">
        <v>352</v>
      </c>
      <c r="K1521" s="166" t="s">
        <v>351</v>
      </c>
      <c r="L1521" s="166" t="s">
        <v>349</v>
      </c>
      <c r="M1521" s="166" t="s">
        <v>349</v>
      </c>
      <c r="N1521" s="166">
        <v>1208</v>
      </c>
    </row>
    <row r="1522" spans="1:14" s="7" customFormat="1" ht="18" thickBot="1" x14ac:dyDescent="0.2">
      <c r="A1522" s="2"/>
      <c r="B1522" s="24"/>
      <c r="C1522" s="9"/>
      <c r="D1522" s="9"/>
      <c r="E1522" s="9"/>
      <c r="F1522" s="9"/>
      <c r="G1522" s="11"/>
    </row>
    <row r="1523" spans="1:14" s="7" customFormat="1" x14ac:dyDescent="0.15">
      <c r="A1523" s="2"/>
      <c r="B1523" s="327" t="s">
        <v>15</v>
      </c>
      <c r="C1523" s="328"/>
      <c r="D1523" s="328"/>
      <c r="E1523" s="328"/>
      <c r="F1523" s="328"/>
      <c r="G1523" s="329"/>
    </row>
    <row r="1524" spans="1:14" s="7" customFormat="1" ht="18" thickBot="1" x14ac:dyDescent="0.2">
      <c r="A1524" s="2"/>
      <c r="B1524" s="24"/>
      <c r="C1524" s="9"/>
      <c r="D1524" s="9"/>
      <c r="E1524" s="9"/>
      <c r="F1524" s="9"/>
      <c r="G1524" s="11"/>
    </row>
    <row r="1525" spans="1:14" s="2" customFormat="1" ht="18" thickBot="1" x14ac:dyDescent="0.2"/>
    <row r="1526" spans="1:14" s="7" customFormat="1" x14ac:dyDescent="0.15">
      <c r="A1526" s="2"/>
      <c r="B1526" s="3" t="s">
        <v>563</v>
      </c>
      <c r="C1526" s="4" t="s">
        <v>675</v>
      </c>
      <c r="D1526" s="5" t="s">
        <v>515</v>
      </c>
      <c r="E1526" s="21" t="s">
        <v>724</v>
      </c>
      <c r="F1526" s="5" t="s">
        <v>567</v>
      </c>
      <c r="G1526" s="6"/>
      <c r="H1526" s="6" t="str">
        <f>"create or replace view "&amp;C1526</f>
        <v>create or replace view vi_rptasset_qry_pd_posi</v>
      </c>
    </row>
    <row r="1527" spans="1:14" s="7" customFormat="1" ht="18" thickBot="1" x14ac:dyDescent="0.2">
      <c r="A1527" s="2"/>
      <c r="B1527" s="34" t="s">
        <v>570</v>
      </c>
      <c r="C1527" s="18"/>
      <c r="D1527" s="35" t="s">
        <v>568</v>
      </c>
      <c r="E1527" s="18" t="s">
        <v>615</v>
      </c>
      <c r="F1527" s="35"/>
      <c r="G1527" s="19"/>
      <c r="H1527" s="11" t="str">
        <f>"/* "&amp;E1526&amp;"*/  as "</f>
        <v xml:space="preserve">/* 报表_资管报表_视图-查询-产品-证券持仓*/  as </v>
      </c>
    </row>
    <row r="1528" spans="1:14" s="7" customFormat="1" x14ac:dyDescent="0.15">
      <c r="A1528" s="2"/>
      <c r="B1528" s="3" t="s">
        <v>0</v>
      </c>
      <c r="C1528" s="5" t="s">
        <v>1</v>
      </c>
      <c r="D1528" s="5" t="s">
        <v>2</v>
      </c>
      <c r="E1528" s="5"/>
      <c r="F1528" s="5" t="s">
        <v>3</v>
      </c>
      <c r="G1528" s="36" t="s">
        <v>4</v>
      </c>
      <c r="H1528" s="13" t="s">
        <v>474</v>
      </c>
    </row>
    <row r="1529" spans="1:14" s="7" customFormat="1" ht="17.25" customHeight="1" x14ac:dyDescent="0.15">
      <c r="A1529" s="175"/>
      <c r="B1529" s="176" t="s">
        <v>478</v>
      </c>
      <c r="C1529" s="176" t="s">
        <v>1476</v>
      </c>
      <c r="D1529" s="176" t="s">
        <v>1345</v>
      </c>
      <c r="E1529" s="176">
        <v>0</v>
      </c>
      <c r="F1529" s="176"/>
      <c r="G1529" s="176"/>
      <c r="H1529" s="107" t="str">
        <f t="shared" ref="H1529:H1554" si="13">"ifnull("&amp;IF(I1529&lt;&gt;"",I1529,IF(F1529&lt;&gt;"",F1529,"t")&amp;"."&amp;C1529)&amp;","&amp;E1529&amp;") as "&amp;C1529&amp;",/*"&amp;B1529&amp;"*/"</f>
        <v>ifnull(t.row_id,0) as row_id,/*记录序号*/</v>
      </c>
      <c r="J1529" s="7" t="s">
        <v>358</v>
      </c>
      <c r="K1529" s="7" t="s">
        <v>359</v>
      </c>
      <c r="L1529" s="7" t="s">
        <v>360</v>
      </c>
      <c r="M1529" s="7" t="s">
        <v>361</v>
      </c>
      <c r="N1529" s="7">
        <v>1629</v>
      </c>
    </row>
    <row r="1530" spans="1:14" s="7" customFormat="1" ht="17.25" customHeight="1" x14ac:dyDescent="0.15">
      <c r="A1530" s="175"/>
      <c r="B1530" s="176" t="s">
        <v>5</v>
      </c>
      <c r="C1530" s="176" t="s">
        <v>1127</v>
      </c>
      <c r="D1530" s="176" t="s">
        <v>211</v>
      </c>
      <c r="E1530" s="176" t="s">
        <v>1141</v>
      </c>
      <c r="F1530" s="176"/>
      <c r="G1530" s="176" t="s">
        <v>1162</v>
      </c>
      <c r="H1530" s="107" t="str">
        <f t="shared" si="13"/>
        <v>ifnull(t.init_date,date_format(curdate(),'%Y%m%d')) as init_date,/*初始化日期*/</v>
      </c>
      <c r="J1530" s="7" t="s">
        <v>237</v>
      </c>
      <c r="K1530" s="7" t="s">
        <v>238</v>
      </c>
      <c r="L1530" s="7" t="s">
        <v>211</v>
      </c>
      <c r="M1530" s="7" t="s">
        <v>211</v>
      </c>
      <c r="N1530" s="7">
        <v>1211</v>
      </c>
    </row>
    <row r="1531" spans="1:14" s="7" customFormat="1" ht="17.25" customHeight="1" x14ac:dyDescent="0.15">
      <c r="A1531" s="175"/>
      <c r="B1531" s="176" t="s">
        <v>6</v>
      </c>
      <c r="C1531" s="176" t="s">
        <v>1163</v>
      </c>
      <c r="D1531" s="176" t="s">
        <v>211</v>
      </c>
      <c r="E1531" s="176">
        <v>0</v>
      </c>
      <c r="F1531" s="176"/>
      <c r="G1531" s="176" t="s">
        <v>1077</v>
      </c>
      <c r="H1531" s="107" t="str">
        <f t="shared" si="13"/>
        <v>ifnull(t.co_no,0) as co_no,/*机构编号*/</v>
      </c>
      <c r="J1531" s="7" t="s">
        <v>237</v>
      </c>
      <c r="K1531" s="7" t="s">
        <v>238</v>
      </c>
      <c r="L1531" s="7" t="s">
        <v>211</v>
      </c>
      <c r="M1531" s="7" t="s">
        <v>211</v>
      </c>
      <c r="N1531" s="7">
        <v>1606</v>
      </c>
    </row>
    <row r="1532" spans="1:14" s="7" customFormat="1" ht="17.25" customHeight="1" x14ac:dyDescent="0.15">
      <c r="A1532" s="175"/>
      <c r="B1532" s="176" t="s">
        <v>111</v>
      </c>
      <c r="C1532" s="176" t="s">
        <v>1164</v>
      </c>
      <c r="D1532" s="176" t="s">
        <v>211</v>
      </c>
      <c r="E1532" s="176">
        <v>0</v>
      </c>
      <c r="F1532" s="176"/>
      <c r="G1532" s="176" t="s">
        <v>1165</v>
      </c>
      <c r="H1532" s="107" t="str">
        <f t="shared" si="13"/>
        <v>ifnull(t.pd_no,0) as pd_no,/*产品编号*/</v>
      </c>
      <c r="J1532" s="7" t="s">
        <v>237</v>
      </c>
      <c r="K1532" s="7" t="s">
        <v>238</v>
      </c>
      <c r="L1532" s="7" t="s">
        <v>211</v>
      </c>
      <c r="M1532" s="7" t="s">
        <v>211</v>
      </c>
      <c r="N1532" s="7">
        <v>1112</v>
      </c>
    </row>
    <row r="1533" spans="1:14" s="7" customFormat="1" ht="17.25" customHeight="1" x14ac:dyDescent="0.15">
      <c r="A1533" s="175"/>
      <c r="B1533" s="176" t="s">
        <v>113</v>
      </c>
      <c r="C1533" s="176" t="s">
        <v>1187</v>
      </c>
      <c r="D1533" s="176" t="s">
        <v>211</v>
      </c>
      <c r="E1533" s="176">
        <v>0</v>
      </c>
      <c r="F1533" s="176"/>
      <c r="G1533" s="176"/>
      <c r="H1533" s="107" t="str">
        <f t="shared" si="13"/>
        <v>ifnull(t.asset_acco_no,0) as asset_acco_no,/*资产账户编号*/</v>
      </c>
      <c r="J1533" s="7" t="s">
        <v>237</v>
      </c>
      <c r="K1533" s="7" t="s">
        <v>238</v>
      </c>
      <c r="L1533" s="7" t="s">
        <v>211</v>
      </c>
      <c r="M1533" s="7" t="s">
        <v>211</v>
      </c>
      <c r="N1533" s="7">
        <v>2534</v>
      </c>
    </row>
    <row r="1534" spans="1:14" s="7" customFormat="1" ht="17.25" customHeight="1" x14ac:dyDescent="0.15">
      <c r="A1534" s="175"/>
      <c r="B1534" s="176" t="s">
        <v>115</v>
      </c>
      <c r="C1534" s="176" t="s">
        <v>1188</v>
      </c>
      <c r="D1534" s="176" t="s">
        <v>211</v>
      </c>
      <c r="E1534" s="176">
        <v>0</v>
      </c>
      <c r="F1534" s="176"/>
      <c r="G1534" s="176"/>
      <c r="H1534" s="107" t="str">
        <f t="shared" si="13"/>
        <v>ifnull(t.stock_code_no,0) as stock_code_no,/*证券代码编号*/</v>
      </c>
      <c r="J1534" s="7" t="s">
        <v>237</v>
      </c>
      <c r="K1534" s="7" t="s">
        <v>238</v>
      </c>
      <c r="L1534" s="7" t="s">
        <v>211</v>
      </c>
      <c r="M1534" s="7" t="s">
        <v>211</v>
      </c>
      <c r="N1534" s="7">
        <v>2430</v>
      </c>
    </row>
    <row r="1535" spans="1:14" s="7" customFormat="1" ht="17.25" customHeight="1" x14ac:dyDescent="0.15">
      <c r="A1535" s="175"/>
      <c r="B1535" s="176" t="s">
        <v>93</v>
      </c>
      <c r="C1535" s="176" t="s">
        <v>1189</v>
      </c>
      <c r="D1535" s="176" t="s">
        <v>211</v>
      </c>
      <c r="E1535" s="176">
        <v>0</v>
      </c>
      <c r="F1535" s="176"/>
      <c r="G1535" s="176"/>
      <c r="H1535" s="107" t="str">
        <f t="shared" si="13"/>
        <v>ifnull(t.stock_type,0) as stock_type,/*证券类型*/</v>
      </c>
      <c r="J1535" s="7" t="s">
        <v>237</v>
      </c>
      <c r="K1535" s="7" t="s">
        <v>238</v>
      </c>
      <c r="L1535" s="7" t="s">
        <v>211</v>
      </c>
      <c r="M1535" s="7" t="s">
        <v>211</v>
      </c>
      <c r="N1535" s="7">
        <v>2433</v>
      </c>
    </row>
    <row r="1536" spans="1:14" s="7" customFormat="1" ht="17.25" customHeight="1" x14ac:dyDescent="0.15">
      <c r="A1536" s="175"/>
      <c r="B1536" s="176" t="s">
        <v>7</v>
      </c>
      <c r="C1536" s="176" t="s">
        <v>1190</v>
      </c>
      <c r="D1536" s="176" t="s">
        <v>211</v>
      </c>
      <c r="E1536" s="176">
        <v>0</v>
      </c>
      <c r="F1536" s="176"/>
      <c r="G1536" s="176" t="s">
        <v>1081</v>
      </c>
      <c r="H1536" s="107" t="str">
        <f t="shared" si="13"/>
        <v>ifnull(t.exch_no,0) as exch_no,/*市场编号*/</v>
      </c>
      <c r="J1536" s="7" t="s">
        <v>237</v>
      </c>
      <c r="K1536" s="7" t="s">
        <v>238</v>
      </c>
      <c r="L1536" s="7" t="s">
        <v>211</v>
      </c>
      <c r="M1536" s="7" t="s">
        <v>211</v>
      </c>
      <c r="N1536" s="7">
        <v>2155</v>
      </c>
    </row>
    <row r="1537" spans="1:14" s="7" customFormat="1" ht="17.25" customHeight="1" x14ac:dyDescent="0.15">
      <c r="A1537" s="175"/>
      <c r="B1537" s="165" t="s">
        <v>162</v>
      </c>
      <c r="C1537" s="165" t="s">
        <v>1214</v>
      </c>
      <c r="D1537" s="165" t="s">
        <v>1169</v>
      </c>
      <c r="E1537" s="165">
        <v>0</v>
      </c>
      <c r="F1537" s="165"/>
      <c r="G1537" s="165"/>
      <c r="H1537" s="107" t="str">
        <f t="shared" si="13"/>
        <v>ifnull(t.posi_market_value,0) as posi_market_value,/*持仓市值*/</v>
      </c>
      <c r="J1537" s="7" t="s">
        <v>352</v>
      </c>
      <c r="K1537" s="7" t="s">
        <v>351</v>
      </c>
      <c r="L1537" s="7" t="s">
        <v>349</v>
      </c>
      <c r="M1537" s="7" t="s">
        <v>349</v>
      </c>
      <c r="N1537" s="7">
        <v>1202</v>
      </c>
    </row>
    <row r="1538" spans="1:14" s="7" customFormat="1" ht="17.25" customHeight="1" x14ac:dyDescent="0.15">
      <c r="A1538" s="175"/>
      <c r="B1538" s="176" t="s">
        <v>386</v>
      </c>
      <c r="C1538" s="176" t="s">
        <v>1191</v>
      </c>
      <c r="D1538" s="176" t="s">
        <v>211</v>
      </c>
      <c r="E1538" s="176">
        <v>0</v>
      </c>
      <c r="F1538" s="176"/>
      <c r="G1538" s="176" t="s">
        <v>1192</v>
      </c>
      <c r="H1538" s="107" t="str">
        <f t="shared" si="13"/>
        <v>ifnull(t.invest_type,0) as invest_type,/*投资类型*/</v>
      </c>
      <c r="J1538" s="7" t="s">
        <v>237</v>
      </c>
      <c r="K1538" s="7" t="s">
        <v>238</v>
      </c>
      <c r="L1538" s="7" t="s">
        <v>211</v>
      </c>
      <c r="M1538" s="7" t="s">
        <v>211</v>
      </c>
      <c r="N1538" s="7">
        <v>2237</v>
      </c>
    </row>
    <row r="1539" spans="1:14" s="7" customFormat="1" ht="17.25" customHeight="1" x14ac:dyDescent="0.15">
      <c r="A1539" s="175"/>
      <c r="B1539" s="176" t="s">
        <v>8</v>
      </c>
      <c r="C1539" s="176" t="s">
        <v>1193</v>
      </c>
      <c r="D1539" s="176" t="s">
        <v>1087</v>
      </c>
      <c r="E1539" s="176">
        <v>0</v>
      </c>
      <c r="F1539" s="176"/>
      <c r="G1539" s="176" t="s">
        <v>1194</v>
      </c>
      <c r="H1539" s="107" t="str">
        <f t="shared" si="13"/>
        <v>ifnull(t.begin_qty,0) as begin_qty,/*期初数量*/</v>
      </c>
      <c r="J1539" s="7" t="s">
        <v>352</v>
      </c>
      <c r="K1539" s="7" t="s">
        <v>351</v>
      </c>
      <c r="L1539" s="7" t="s">
        <v>349</v>
      </c>
      <c r="M1539" s="7" t="s">
        <v>349</v>
      </c>
      <c r="N1539" s="7">
        <v>1986</v>
      </c>
    </row>
    <row r="1540" spans="1:14" s="7" customFormat="1" ht="17.25" customHeight="1" x14ac:dyDescent="0.15">
      <c r="A1540" s="175"/>
      <c r="B1540" s="176" t="s">
        <v>9</v>
      </c>
      <c r="C1540" s="176" t="s">
        <v>1195</v>
      </c>
      <c r="D1540" s="176" t="s">
        <v>1087</v>
      </c>
      <c r="E1540" s="176">
        <v>0</v>
      </c>
      <c r="F1540" s="176"/>
      <c r="G1540" s="176" t="s">
        <v>1196</v>
      </c>
      <c r="H1540" s="107" t="str">
        <f t="shared" si="13"/>
        <v>ifnull(t.curr_qty,0) as curr_qty,/*当前数量*/</v>
      </c>
      <c r="J1540" s="7" t="s">
        <v>352</v>
      </c>
      <c r="K1540" s="7" t="s">
        <v>351</v>
      </c>
      <c r="L1540" s="7" t="s">
        <v>349</v>
      </c>
      <c r="M1540" s="7" t="s">
        <v>349</v>
      </c>
      <c r="N1540" s="7">
        <v>1262</v>
      </c>
    </row>
    <row r="1541" spans="1:14" s="7" customFormat="1" ht="17.25" customHeight="1" x14ac:dyDescent="0.15">
      <c r="A1541" s="175"/>
      <c r="B1541" s="176" t="s">
        <v>10</v>
      </c>
      <c r="C1541" s="176" t="s">
        <v>1197</v>
      </c>
      <c r="D1541" s="176" t="s">
        <v>1087</v>
      </c>
      <c r="E1541" s="176">
        <v>0</v>
      </c>
      <c r="F1541" s="176"/>
      <c r="G1541" s="176" t="s">
        <v>1144</v>
      </c>
      <c r="H1541" s="107" t="str">
        <f t="shared" si="13"/>
        <v>ifnull(t.frozen_qty,0) as frozen_qty,/*冻结数量*/</v>
      </c>
      <c r="J1541" s="7" t="s">
        <v>352</v>
      </c>
      <c r="K1541" s="7" t="s">
        <v>351</v>
      </c>
      <c r="L1541" s="7" t="s">
        <v>349</v>
      </c>
      <c r="M1541" s="7" t="s">
        <v>349</v>
      </c>
      <c r="N1541" s="7">
        <v>1317</v>
      </c>
    </row>
    <row r="1542" spans="1:14" s="7" customFormat="1" ht="17.25" customHeight="1" x14ac:dyDescent="0.15">
      <c r="A1542" s="175"/>
      <c r="B1542" s="176" t="s">
        <v>11</v>
      </c>
      <c r="C1542" s="176" t="s">
        <v>1198</v>
      </c>
      <c r="D1542" s="176" t="s">
        <v>1087</v>
      </c>
      <c r="E1542" s="176">
        <v>0</v>
      </c>
      <c r="F1542" s="176"/>
      <c r="G1542" s="176" t="s">
        <v>1080</v>
      </c>
      <c r="H1542" s="107" t="str">
        <f t="shared" si="13"/>
        <v>ifnull(t.unfroz_qty,0) as unfroz_qty,/*解冻数量*/</v>
      </c>
      <c r="J1542" s="7" t="s">
        <v>352</v>
      </c>
      <c r="K1542" s="7" t="s">
        <v>351</v>
      </c>
      <c r="L1542" s="7" t="s">
        <v>349</v>
      </c>
      <c r="M1542" s="7" t="s">
        <v>349</v>
      </c>
      <c r="N1542" s="7">
        <v>1721</v>
      </c>
    </row>
    <row r="1543" spans="1:14" s="7" customFormat="1" ht="17.25" customHeight="1" x14ac:dyDescent="0.15">
      <c r="A1543" s="175"/>
      <c r="B1543" s="176" t="s">
        <v>387</v>
      </c>
      <c r="C1543" s="176" t="s">
        <v>1203</v>
      </c>
      <c r="D1543" s="176" t="s">
        <v>1087</v>
      </c>
      <c r="E1543" s="176">
        <v>0</v>
      </c>
      <c r="F1543" s="176"/>
      <c r="G1543" s="176"/>
      <c r="H1543" s="107" t="str">
        <f t="shared" si="13"/>
        <v>ifnull(t.buy_pre_sett_qty,0) as buy_pre_sett_qty,/*买入待交割数量*/</v>
      </c>
      <c r="J1543" s="7" t="s">
        <v>352</v>
      </c>
      <c r="K1543" s="7" t="s">
        <v>351</v>
      </c>
      <c r="L1543" s="7" t="s">
        <v>349</v>
      </c>
      <c r="M1543" s="7" t="s">
        <v>349</v>
      </c>
      <c r="N1543" s="7">
        <v>1875</v>
      </c>
    </row>
    <row r="1544" spans="1:14" s="7" customFormat="1" ht="17.25" customHeight="1" x14ac:dyDescent="0.15">
      <c r="A1544" s="175"/>
      <c r="B1544" s="176" t="s">
        <v>388</v>
      </c>
      <c r="C1544" s="176" t="s">
        <v>1204</v>
      </c>
      <c r="D1544" s="176" t="s">
        <v>1087</v>
      </c>
      <c r="E1544" s="176">
        <v>0</v>
      </c>
      <c r="F1544" s="176"/>
      <c r="G1544" s="176"/>
      <c r="H1544" s="107" t="str">
        <f t="shared" si="13"/>
        <v>ifnull(t.sell_pre_sett_qty,0) as sell_pre_sett_qty,/*卖出待交割数量*/</v>
      </c>
      <c r="J1544" s="7" t="s">
        <v>352</v>
      </c>
      <c r="K1544" s="7" t="s">
        <v>351</v>
      </c>
      <c r="L1544" s="7" t="s">
        <v>349</v>
      </c>
      <c r="M1544" s="7" t="s">
        <v>349</v>
      </c>
      <c r="N1544" s="7">
        <v>1891</v>
      </c>
    </row>
    <row r="1545" spans="1:14" s="7" customFormat="1" ht="17.25" customHeight="1" x14ac:dyDescent="0.15">
      <c r="A1545" s="175"/>
      <c r="B1545" s="176" t="s">
        <v>116</v>
      </c>
      <c r="C1545" s="176" t="s">
        <v>1213</v>
      </c>
      <c r="D1545" s="176" t="s">
        <v>1169</v>
      </c>
      <c r="E1545" s="176">
        <v>0</v>
      </c>
      <c r="F1545" s="176"/>
      <c r="G1545" s="176"/>
      <c r="H1545" s="107" t="str">
        <f t="shared" si="13"/>
        <v>ifnull(t.cost_amt,0) as cost_amt,/*成本金额*/</v>
      </c>
      <c r="J1545" s="7" t="s">
        <v>352</v>
      </c>
      <c r="K1545" s="7" t="s">
        <v>351</v>
      </c>
      <c r="L1545" s="7" t="s">
        <v>349</v>
      </c>
      <c r="M1545" s="7" t="s">
        <v>349</v>
      </c>
      <c r="N1545" s="7">
        <v>1163</v>
      </c>
    </row>
    <row r="1546" spans="1:14" s="7" customFormat="1" ht="17.25" customHeight="1" x14ac:dyDescent="0.15">
      <c r="A1546" s="175"/>
      <c r="B1546" s="176" t="s">
        <v>12</v>
      </c>
      <c r="C1546" s="176" t="s">
        <v>1143</v>
      </c>
      <c r="D1546" s="176" t="s">
        <v>1169</v>
      </c>
      <c r="E1546" s="176">
        <v>0</v>
      </c>
      <c r="F1546" s="176"/>
      <c r="G1546" s="176"/>
      <c r="H1546" s="107" t="str">
        <f t="shared" si="13"/>
        <v>ifnull(t.realize_pandl,0) as realize_pandl,/*实现盈亏*/</v>
      </c>
      <c r="J1546" s="7" t="s">
        <v>352</v>
      </c>
      <c r="K1546" s="7" t="s">
        <v>351</v>
      </c>
      <c r="L1546" s="7" t="s">
        <v>349</v>
      </c>
      <c r="M1546" s="7" t="s">
        <v>349</v>
      </c>
      <c r="N1546" s="7">
        <v>2153</v>
      </c>
    </row>
    <row r="1547" spans="1:14" s="7" customFormat="1" ht="17.25" customHeight="1" x14ac:dyDescent="0.15">
      <c r="A1547" s="175"/>
      <c r="B1547" s="176" t="s">
        <v>13</v>
      </c>
      <c r="C1547" s="176" t="s">
        <v>1205</v>
      </c>
      <c r="D1547" s="176" t="s">
        <v>1169</v>
      </c>
      <c r="E1547" s="176">
        <v>0</v>
      </c>
      <c r="F1547" s="176"/>
      <c r="G1547" s="176"/>
      <c r="H1547" s="107" t="str">
        <f t="shared" si="13"/>
        <v>ifnull(t.intrst_cost_amt,0) as intrst_cost_amt,/*利息成本金额*/</v>
      </c>
      <c r="J1547" s="7" t="s">
        <v>352</v>
      </c>
      <c r="K1547" s="7" t="s">
        <v>351</v>
      </c>
      <c r="L1547" s="7" t="s">
        <v>349</v>
      </c>
      <c r="M1547" s="7" t="s">
        <v>349</v>
      </c>
      <c r="N1547" s="7">
        <v>1852</v>
      </c>
    </row>
    <row r="1548" spans="1:14" s="7" customFormat="1" ht="17.25" customHeight="1" x14ac:dyDescent="0.15">
      <c r="A1548" s="175"/>
      <c r="B1548" s="176" t="s">
        <v>14</v>
      </c>
      <c r="C1548" s="176" t="s">
        <v>1206</v>
      </c>
      <c r="D1548" s="176" t="s">
        <v>1169</v>
      </c>
      <c r="E1548" s="176">
        <v>0</v>
      </c>
      <c r="F1548" s="176"/>
      <c r="G1548" s="176"/>
      <c r="H1548" s="107" t="str">
        <f t="shared" si="13"/>
        <v>ifnull(t.intrst_pandl,0) as intrst_pandl,/*利息收益*/</v>
      </c>
      <c r="J1548" s="7" t="s">
        <v>352</v>
      </c>
      <c r="K1548" s="7" t="s">
        <v>351</v>
      </c>
      <c r="L1548" s="7" t="s">
        <v>349</v>
      </c>
      <c r="M1548" s="7" t="s">
        <v>349</v>
      </c>
      <c r="N1548" s="7">
        <v>1857</v>
      </c>
    </row>
    <row r="1549" spans="1:14" s="7" customFormat="1" ht="17.25" customHeight="1" x14ac:dyDescent="0.15">
      <c r="A1549" s="175"/>
      <c r="B1549" s="176" t="s">
        <v>479</v>
      </c>
      <c r="C1549" s="176" t="s">
        <v>1207</v>
      </c>
      <c r="D1549" s="176" t="s">
        <v>1087</v>
      </c>
      <c r="E1549" s="176">
        <v>0</v>
      </c>
      <c r="F1549" s="176"/>
      <c r="G1549" s="176"/>
      <c r="H1549" s="107" t="str">
        <f t="shared" si="13"/>
        <v>ifnull(t.avail_qty,0) as avail_qty,/*可用数量*/</v>
      </c>
      <c r="J1549" s="7" t="s">
        <v>352</v>
      </c>
      <c r="K1549" s="7" t="s">
        <v>351</v>
      </c>
      <c r="L1549" s="7" t="s">
        <v>349</v>
      </c>
      <c r="M1549" s="7" t="s">
        <v>349</v>
      </c>
      <c r="N1549" s="7">
        <v>1782</v>
      </c>
    </row>
    <row r="1550" spans="1:14" s="7" customFormat="1" ht="17.25" customHeight="1" x14ac:dyDescent="0.15">
      <c r="A1550" s="175"/>
      <c r="B1550" s="165" t="s">
        <v>480</v>
      </c>
      <c r="C1550" s="165" t="s">
        <v>1079</v>
      </c>
      <c r="D1550" s="165" t="s">
        <v>1172</v>
      </c>
      <c r="E1550" s="165">
        <v>0</v>
      </c>
      <c r="F1550" s="165"/>
      <c r="G1550" s="165"/>
      <c r="H1550" s="107" t="str">
        <f t="shared" si="13"/>
        <v>ifnull(t.posi_nav_ratio,0) as posi_nav_ratio,/*持仓净值占比*/</v>
      </c>
      <c r="J1550" s="7" t="s">
        <v>352</v>
      </c>
      <c r="K1550" s="7" t="s">
        <v>351</v>
      </c>
      <c r="L1550" s="7" t="s">
        <v>349</v>
      </c>
      <c r="M1550" s="7" t="s">
        <v>349</v>
      </c>
      <c r="N1550" s="7">
        <v>1197</v>
      </c>
    </row>
    <row r="1551" spans="1:14" s="7" customFormat="1" ht="17.25" customHeight="1" x14ac:dyDescent="0.15">
      <c r="A1551" s="175"/>
      <c r="B1551" s="176" t="s">
        <v>374</v>
      </c>
      <c r="C1551" s="176" t="s">
        <v>1170</v>
      </c>
      <c r="D1551" s="176" t="s">
        <v>1169</v>
      </c>
      <c r="E1551" s="176">
        <v>0</v>
      </c>
      <c r="F1551" s="176"/>
      <c r="G1551" s="176"/>
      <c r="H1551" s="107" t="str">
        <f t="shared" si="13"/>
        <v>ifnull(t.nav_asset,0) as nav_asset,/*净资产*/</v>
      </c>
      <c r="J1551" s="7" t="s">
        <v>352</v>
      </c>
      <c r="K1551" s="7" t="s">
        <v>351</v>
      </c>
      <c r="L1551" s="7" t="s">
        <v>349</v>
      </c>
      <c r="M1551" s="7" t="s">
        <v>349</v>
      </c>
      <c r="N1551" s="7">
        <v>1741</v>
      </c>
    </row>
    <row r="1552" spans="1:14" s="7" customFormat="1" ht="17.25" customHeight="1" x14ac:dyDescent="0.15">
      <c r="A1552" s="175"/>
      <c r="B1552" s="176" t="s">
        <v>481</v>
      </c>
      <c r="C1552" s="176" t="s">
        <v>1209</v>
      </c>
      <c r="D1552" s="176" t="s">
        <v>1169</v>
      </c>
      <c r="E1552" s="176">
        <v>0</v>
      </c>
      <c r="F1552" s="176"/>
      <c r="G1552" s="176"/>
      <c r="H1552" s="107" t="str">
        <f t="shared" si="13"/>
        <v>ifnull(t.bond_receivable_amt,0) as bond_receivable_amt,/*债券应收利息*/</v>
      </c>
      <c r="J1552" s="7" t="s">
        <v>352</v>
      </c>
      <c r="K1552" s="7" t="s">
        <v>351</v>
      </c>
      <c r="L1552" s="7" t="s">
        <v>349</v>
      </c>
      <c r="M1552" s="7" t="s">
        <v>349</v>
      </c>
    </row>
    <row r="1553" spans="1:14" s="7" customFormat="1" ht="17.25" customHeight="1" x14ac:dyDescent="0.15">
      <c r="A1553" s="175"/>
      <c r="B1553" s="176" t="s">
        <v>482</v>
      </c>
      <c r="C1553" s="176" t="s">
        <v>1208</v>
      </c>
      <c r="D1553" s="176" t="s">
        <v>1087</v>
      </c>
      <c r="E1553" s="176">
        <v>0</v>
      </c>
      <c r="F1553" s="176"/>
      <c r="G1553" s="176"/>
      <c r="H1553" s="107" t="str">
        <f t="shared" si="13"/>
        <v>ifnull(t.impawn_qty,0) as impawn_qty,/*质押数量*/</v>
      </c>
      <c r="J1553" s="7" t="s">
        <v>352</v>
      </c>
      <c r="K1553" s="7" t="s">
        <v>351</v>
      </c>
      <c r="L1553" s="7" t="s">
        <v>349</v>
      </c>
      <c r="M1553" s="7" t="s">
        <v>349</v>
      </c>
      <c r="N1553" s="7">
        <v>2511</v>
      </c>
    </row>
    <row r="1554" spans="1:14" s="7" customFormat="1" ht="17.25" customHeight="1" x14ac:dyDescent="0.15">
      <c r="A1554" s="175"/>
      <c r="B1554" s="165" t="s">
        <v>477</v>
      </c>
      <c r="C1554" s="165" t="s">
        <v>1530</v>
      </c>
      <c r="D1554" s="165" t="s">
        <v>1169</v>
      </c>
      <c r="E1554" s="165">
        <v>0</v>
      </c>
      <c r="F1554" s="165"/>
      <c r="G1554" s="165"/>
      <c r="H1554" s="107" t="str">
        <f t="shared" si="13"/>
        <v>ifnull(t.full_holding_amt,0) as full_holding_amt,/*全价持仓市值*/</v>
      </c>
      <c r="J1554" s="7" t="s">
        <v>352</v>
      </c>
      <c r="K1554" s="7" t="s">
        <v>351</v>
      </c>
      <c r="L1554" s="7" t="s">
        <v>349</v>
      </c>
      <c r="M1554" s="7" t="s">
        <v>349</v>
      </c>
    </row>
    <row r="1555" spans="1:14" s="7" customFormat="1" ht="17.25" customHeight="1" thickBot="1" x14ac:dyDescent="0.2">
      <c r="A1555" s="175"/>
      <c r="B1555" s="147"/>
      <c r="C1555" s="147"/>
      <c r="D1555" s="147"/>
      <c r="E1555" s="147"/>
      <c r="F1555" s="147"/>
      <c r="G1555" s="147"/>
      <c r="H1555" s="166"/>
    </row>
    <row r="1556" spans="1:14" s="7" customFormat="1" x14ac:dyDescent="0.15">
      <c r="A1556" s="2"/>
      <c r="B1556" s="327" t="s">
        <v>15</v>
      </c>
      <c r="C1556" s="328"/>
      <c r="D1556" s="328"/>
      <c r="E1556" s="328"/>
      <c r="F1556" s="328"/>
      <c r="G1556" s="329"/>
    </row>
    <row r="1557" spans="1:14" s="7" customFormat="1" ht="17.25" customHeight="1" thickBot="1" x14ac:dyDescent="0.2">
      <c r="A1557" s="2"/>
      <c r="B1557" s="24"/>
      <c r="C1557" s="9"/>
      <c r="D1557" s="9"/>
      <c r="E1557" s="9"/>
      <c r="F1557" s="9"/>
      <c r="G1557" s="11"/>
    </row>
    <row r="1558" spans="1:14" ht="17.25" customHeight="1" thickBot="1" x14ac:dyDescent="0.2"/>
    <row r="1559" spans="1:14" s="7" customFormat="1" ht="17.25" customHeight="1" x14ac:dyDescent="0.15">
      <c r="A1559" s="2"/>
      <c r="B1559" s="3" t="s">
        <v>563</v>
      </c>
      <c r="C1559" s="4" t="s">
        <v>676</v>
      </c>
      <c r="D1559" s="5" t="s">
        <v>515</v>
      </c>
      <c r="E1559" s="21" t="s">
        <v>606</v>
      </c>
      <c r="F1559" s="5" t="s">
        <v>567</v>
      </c>
      <c r="G1559" s="6"/>
      <c r="H1559" s="6" t="str">
        <f>"create or replace view "&amp;C1559</f>
        <v>create or replace view vi_rptasset_qry_exgrp_posi</v>
      </c>
    </row>
    <row r="1560" spans="1:14" s="7" customFormat="1" ht="18" thickBot="1" x14ac:dyDescent="0.2">
      <c r="A1560" s="2"/>
      <c r="B1560" s="34" t="s">
        <v>570</v>
      </c>
      <c r="C1560" s="18"/>
      <c r="D1560" s="35" t="s">
        <v>568</v>
      </c>
      <c r="E1560" s="18" t="s">
        <v>615</v>
      </c>
      <c r="F1560" s="35"/>
      <c r="G1560" s="19"/>
      <c r="H1560" s="11" t="str">
        <f>"/* "&amp;E1559&amp;"*/  as "</f>
        <v xml:space="preserve">/* 报表_资管报表_视图-查询-交易组-证券持仓*/  as </v>
      </c>
    </row>
    <row r="1561" spans="1:14" s="7" customFormat="1" x14ac:dyDescent="0.15">
      <c r="A1561" s="2"/>
      <c r="B1561" s="3" t="s">
        <v>0</v>
      </c>
      <c r="C1561" s="5" t="s">
        <v>1</v>
      </c>
      <c r="D1561" s="5" t="s">
        <v>2</v>
      </c>
      <c r="E1561" s="5"/>
      <c r="F1561" s="5" t="s">
        <v>3</v>
      </c>
      <c r="G1561" s="36" t="s">
        <v>4</v>
      </c>
      <c r="H1561" s="13" t="s">
        <v>474</v>
      </c>
    </row>
    <row r="1562" spans="1:14" s="7" customFormat="1" ht="17.25" customHeight="1" x14ac:dyDescent="0.15">
      <c r="A1562" s="175" t="s">
        <v>580</v>
      </c>
      <c r="B1562" s="176" t="s">
        <v>478</v>
      </c>
      <c r="C1562" s="176" t="s">
        <v>1476</v>
      </c>
      <c r="D1562" s="176" t="s">
        <v>1345</v>
      </c>
      <c r="E1562" s="176">
        <v>0</v>
      </c>
      <c r="F1562" s="176"/>
      <c r="G1562" s="176"/>
      <c r="H1562" s="107" t="str">
        <f t="shared" ref="H1562:H1591" si="14">"ifnull("&amp;IF(I1562&lt;&gt;"",I1562,IF(F1562&lt;&gt;"",F1562,"t")&amp;"."&amp;C1562)&amp;","&amp;E1562&amp;") as "&amp;C1562&amp;",/*"&amp;B1562&amp;"*/"</f>
        <v>ifnull(t.row_id,0) as row_id,/*记录序号*/</v>
      </c>
      <c r="J1562" s="7" t="s">
        <v>358</v>
      </c>
      <c r="K1562" s="7" t="s">
        <v>359</v>
      </c>
      <c r="L1562" s="7" t="s">
        <v>360</v>
      </c>
      <c r="M1562" s="7" t="s">
        <v>361</v>
      </c>
      <c r="N1562" s="7">
        <v>1629</v>
      </c>
    </row>
    <row r="1563" spans="1:14" s="7" customFormat="1" ht="17.25" customHeight="1" x14ac:dyDescent="0.15">
      <c r="A1563" s="175" t="s">
        <v>580</v>
      </c>
      <c r="B1563" s="176" t="s">
        <v>5</v>
      </c>
      <c r="C1563" s="176" t="s">
        <v>1127</v>
      </c>
      <c r="D1563" s="176" t="s">
        <v>211</v>
      </c>
      <c r="E1563" s="176" t="s">
        <v>1141</v>
      </c>
      <c r="F1563" s="176"/>
      <c r="G1563" s="176" t="s">
        <v>1162</v>
      </c>
      <c r="H1563" s="107" t="str">
        <f t="shared" si="14"/>
        <v>ifnull(t.init_date,date_format(curdate(),'%Y%m%d')) as init_date,/*初始化日期*/</v>
      </c>
      <c r="J1563" s="7" t="s">
        <v>237</v>
      </c>
      <c r="K1563" s="7" t="s">
        <v>238</v>
      </c>
      <c r="L1563" s="7" t="s">
        <v>211</v>
      </c>
      <c r="M1563" s="7" t="s">
        <v>211</v>
      </c>
      <c r="N1563" s="7">
        <v>1211</v>
      </c>
    </row>
    <row r="1564" spans="1:14" s="7" customFormat="1" ht="17.25" customHeight="1" x14ac:dyDescent="0.15">
      <c r="A1564" s="175" t="s">
        <v>580</v>
      </c>
      <c r="B1564" s="176" t="s">
        <v>6</v>
      </c>
      <c r="C1564" s="176" t="s">
        <v>1163</v>
      </c>
      <c r="D1564" s="176" t="s">
        <v>211</v>
      </c>
      <c r="E1564" s="176">
        <v>0</v>
      </c>
      <c r="F1564" s="176"/>
      <c r="G1564" s="176" t="s">
        <v>1077</v>
      </c>
      <c r="H1564" s="107" t="str">
        <f t="shared" si="14"/>
        <v>ifnull(t.co_no,0) as co_no,/*机构编号*/</v>
      </c>
      <c r="J1564" s="7" t="s">
        <v>237</v>
      </c>
      <c r="K1564" s="7" t="s">
        <v>238</v>
      </c>
      <c r="L1564" s="7" t="s">
        <v>211</v>
      </c>
      <c r="M1564" s="7" t="s">
        <v>211</v>
      </c>
      <c r="N1564" s="7">
        <v>1606</v>
      </c>
    </row>
    <row r="1565" spans="1:14" s="7" customFormat="1" ht="17.25" customHeight="1" x14ac:dyDescent="0.15">
      <c r="A1565" s="175" t="s">
        <v>580</v>
      </c>
      <c r="B1565" s="176" t="s">
        <v>111</v>
      </c>
      <c r="C1565" s="176" t="s">
        <v>1164</v>
      </c>
      <c r="D1565" s="176" t="s">
        <v>211</v>
      </c>
      <c r="E1565" s="176">
        <v>0</v>
      </c>
      <c r="F1565" s="176"/>
      <c r="G1565" s="176" t="s">
        <v>1165</v>
      </c>
      <c r="H1565" s="107" t="str">
        <f t="shared" si="14"/>
        <v>ifnull(t.pd_no,0) as pd_no,/*产品编号*/</v>
      </c>
      <c r="J1565" s="7" t="s">
        <v>237</v>
      </c>
      <c r="K1565" s="7" t="s">
        <v>238</v>
      </c>
      <c r="L1565" s="7" t="s">
        <v>211</v>
      </c>
      <c r="M1565" s="7" t="s">
        <v>211</v>
      </c>
      <c r="N1565" s="7">
        <v>1112</v>
      </c>
    </row>
    <row r="1566" spans="1:14" s="7" customFormat="1" ht="17.25" customHeight="1" x14ac:dyDescent="0.15">
      <c r="A1566" s="175"/>
      <c r="B1566" s="176" t="s">
        <v>120</v>
      </c>
      <c r="C1566" s="176" t="s">
        <v>1187</v>
      </c>
      <c r="D1566" s="176" t="s">
        <v>211</v>
      </c>
      <c r="E1566" s="176">
        <v>0</v>
      </c>
      <c r="F1566" s="176"/>
      <c r="G1566" s="176"/>
      <c r="H1566" s="107" t="str">
        <f t="shared" si="14"/>
        <v>ifnull(t.asset_acco_no,0) as asset_acco_no,/*资产账户编号*/</v>
      </c>
      <c r="J1566" s="7" t="s">
        <v>237</v>
      </c>
      <c r="K1566" s="7" t="s">
        <v>238</v>
      </c>
      <c r="L1566" s="7" t="s">
        <v>211</v>
      </c>
      <c r="M1566" s="7" t="s">
        <v>211</v>
      </c>
      <c r="N1566" s="7">
        <v>2534</v>
      </c>
    </row>
    <row r="1567" spans="1:14" s="7" customFormat="1" ht="17.25" customHeight="1" x14ac:dyDescent="0.15">
      <c r="A1567" s="175" t="s">
        <v>580</v>
      </c>
      <c r="B1567" s="176" t="s">
        <v>154</v>
      </c>
      <c r="C1567" s="176" t="s">
        <v>1133</v>
      </c>
      <c r="D1567" s="176" t="s">
        <v>211</v>
      </c>
      <c r="E1567" s="176">
        <v>0</v>
      </c>
      <c r="F1567" s="176"/>
      <c r="G1567" s="176" t="s">
        <v>1182</v>
      </c>
      <c r="H1567" s="107" t="str">
        <f t="shared" si="14"/>
        <v>ifnull(t.exch_group_no,0) as exch_group_no,/*交易组编号*/</v>
      </c>
      <c r="J1567" s="7" t="s">
        <v>358</v>
      </c>
      <c r="K1567" s="7" t="s">
        <v>359</v>
      </c>
      <c r="L1567" s="7" t="s">
        <v>360</v>
      </c>
      <c r="M1567" s="7" t="s">
        <v>361</v>
      </c>
      <c r="N1567" s="7">
        <v>1700</v>
      </c>
    </row>
    <row r="1568" spans="1:14" s="7" customFormat="1" ht="17.25" customHeight="1" x14ac:dyDescent="0.15">
      <c r="A1568" s="175" t="s">
        <v>580</v>
      </c>
      <c r="B1568" s="176" t="s">
        <v>7</v>
      </c>
      <c r="C1568" s="176" t="s">
        <v>1190</v>
      </c>
      <c r="D1568" s="176" t="s">
        <v>211</v>
      </c>
      <c r="E1568" s="176">
        <v>0</v>
      </c>
      <c r="F1568" s="176"/>
      <c r="G1568" s="176" t="s">
        <v>1081</v>
      </c>
      <c r="H1568" s="107" t="str">
        <f t="shared" si="14"/>
        <v>ifnull(t.exch_no,0) as exch_no,/*市场编号*/</v>
      </c>
      <c r="J1568" s="7" t="s">
        <v>237</v>
      </c>
      <c r="K1568" s="7" t="s">
        <v>238</v>
      </c>
      <c r="L1568" s="7" t="s">
        <v>211</v>
      </c>
      <c r="M1568" s="7" t="s">
        <v>211</v>
      </c>
      <c r="N1568" s="7">
        <v>2155</v>
      </c>
    </row>
    <row r="1569" spans="1:14" s="7" customFormat="1" ht="17.25" customHeight="1" x14ac:dyDescent="0.15">
      <c r="A1569" s="175" t="s">
        <v>580</v>
      </c>
      <c r="B1569" s="176" t="s">
        <v>386</v>
      </c>
      <c r="C1569" s="176" t="s">
        <v>1191</v>
      </c>
      <c r="D1569" s="176" t="s">
        <v>211</v>
      </c>
      <c r="E1569" s="176">
        <v>0</v>
      </c>
      <c r="F1569" s="176"/>
      <c r="G1569" s="176" t="s">
        <v>1192</v>
      </c>
      <c r="H1569" s="107" t="str">
        <f t="shared" si="14"/>
        <v>ifnull(t.invest_type,0) as invest_type,/*投资类型*/</v>
      </c>
      <c r="J1569" s="7" t="s">
        <v>237</v>
      </c>
      <c r="K1569" s="7" t="s">
        <v>238</v>
      </c>
      <c r="L1569" s="7" t="s">
        <v>211</v>
      </c>
      <c r="M1569" s="7" t="s">
        <v>211</v>
      </c>
      <c r="N1569" s="7">
        <v>2237</v>
      </c>
    </row>
    <row r="1570" spans="1:14" s="7" customFormat="1" ht="17.25" customHeight="1" x14ac:dyDescent="0.15">
      <c r="A1570" s="175" t="s">
        <v>580</v>
      </c>
      <c r="B1570" s="176" t="s">
        <v>186</v>
      </c>
      <c r="C1570" s="176" t="s">
        <v>1189</v>
      </c>
      <c r="D1570" s="176" t="s">
        <v>211</v>
      </c>
      <c r="E1570" s="176">
        <v>0</v>
      </c>
      <c r="F1570" s="176"/>
      <c r="G1570" s="176"/>
      <c r="H1570" s="107" t="str">
        <f t="shared" si="14"/>
        <v>ifnull(t.stock_type,0) as stock_type,/*证券类型*/</v>
      </c>
      <c r="J1570" s="7" t="s">
        <v>237</v>
      </c>
      <c r="K1570" s="7" t="s">
        <v>238</v>
      </c>
      <c r="L1570" s="7" t="s">
        <v>211</v>
      </c>
      <c r="M1570" s="7" t="s">
        <v>211</v>
      </c>
      <c r="N1570" s="7">
        <v>2433</v>
      </c>
    </row>
    <row r="1571" spans="1:14" s="7" customFormat="1" ht="17.25" customHeight="1" x14ac:dyDescent="0.15">
      <c r="A1571" s="175" t="s">
        <v>580</v>
      </c>
      <c r="B1571" s="165" t="s">
        <v>162</v>
      </c>
      <c r="C1571" s="165" t="s">
        <v>1214</v>
      </c>
      <c r="D1571" s="165" t="s">
        <v>1169</v>
      </c>
      <c r="E1571" s="165">
        <v>0</v>
      </c>
      <c r="F1571" s="165"/>
      <c r="G1571" s="165"/>
      <c r="H1571" s="107" t="str">
        <f t="shared" si="14"/>
        <v>ifnull(t.posi_market_value,0) as posi_market_value,/*持仓市值*/</v>
      </c>
      <c r="J1571" s="7" t="s">
        <v>352</v>
      </c>
      <c r="K1571" s="7" t="s">
        <v>351</v>
      </c>
      <c r="L1571" s="7" t="s">
        <v>349</v>
      </c>
      <c r="M1571" s="7" t="s">
        <v>349</v>
      </c>
      <c r="N1571" s="7">
        <v>1202</v>
      </c>
    </row>
    <row r="1572" spans="1:14" s="7" customFormat="1" ht="17.25" customHeight="1" x14ac:dyDescent="0.15">
      <c r="A1572" s="175" t="s">
        <v>580</v>
      </c>
      <c r="B1572" s="176" t="s">
        <v>8</v>
      </c>
      <c r="C1572" s="176" t="s">
        <v>1193</v>
      </c>
      <c r="D1572" s="176" t="s">
        <v>1087</v>
      </c>
      <c r="E1572" s="176">
        <v>0</v>
      </c>
      <c r="F1572" s="176"/>
      <c r="G1572" s="176" t="s">
        <v>1194</v>
      </c>
      <c r="H1572" s="107" t="str">
        <f t="shared" si="14"/>
        <v>ifnull(t.begin_qty,0) as begin_qty,/*期初数量*/</v>
      </c>
      <c r="J1572" s="7" t="s">
        <v>352</v>
      </c>
      <c r="K1572" s="7" t="s">
        <v>351</v>
      </c>
      <c r="L1572" s="7" t="s">
        <v>349</v>
      </c>
      <c r="M1572" s="7" t="s">
        <v>349</v>
      </c>
      <c r="N1572" s="7">
        <v>1986</v>
      </c>
    </row>
    <row r="1573" spans="1:14" s="7" customFormat="1" ht="17.25" customHeight="1" x14ac:dyDescent="0.15">
      <c r="A1573" s="175" t="s">
        <v>580</v>
      </c>
      <c r="B1573" s="176" t="s">
        <v>9</v>
      </c>
      <c r="C1573" s="176" t="s">
        <v>1195</v>
      </c>
      <c r="D1573" s="176" t="s">
        <v>1087</v>
      </c>
      <c r="E1573" s="176">
        <v>0</v>
      </c>
      <c r="F1573" s="176"/>
      <c r="G1573" s="176" t="s">
        <v>1196</v>
      </c>
      <c r="H1573" s="107" t="str">
        <f t="shared" si="14"/>
        <v>ifnull(t.curr_qty,0) as curr_qty,/*当前数量*/</v>
      </c>
      <c r="J1573" s="7" t="s">
        <v>352</v>
      </c>
      <c r="K1573" s="7" t="s">
        <v>351</v>
      </c>
      <c r="L1573" s="7" t="s">
        <v>349</v>
      </c>
      <c r="M1573" s="7" t="s">
        <v>349</v>
      </c>
      <c r="N1573" s="7">
        <v>1262</v>
      </c>
    </row>
    <row r="1574" spans="1:14" s="7" customFormat="1" ht="17.25" customHeight="1" x14ac:dyDescent="0.15">
      <c r="A1574" s="175" t="s">
        <v>580</v>
      </c>
      <c r="B1574" s="176" t="s">
        <v>10</v>
      </c>
      <c r="C1574" s="176" t="s">
        <v>1197</v>
      </c>
      <c r="D1574" s="176" t="s">
        <v>1087</v>
      </c>
      <c r="E1574" s="176">
        <v>0</v>
      </c>
      <c r="F1574" s="176"/>
      <c r="G1574" s="176" t="s">
        <v>1144</v>
      </c>
      <c r="H1574" s="107" t="str">
        <f t="shared" si="14"/>
        <v>ifnull(t.frozen_qty,0) as frozen_qty,/*冻结数量*/</v>
      </c>
      <c r="J1574" s="7" t="s">
        <v>352</v>
      </c>
      <c r="K1574" s="7" t="s">
        <v>351</v>
      </c>
      <c r="L1574" s="7" t="s">
        <v>349</v>
      </c>
      <c r="M1574" s="7" t="s">
        <v>349</v>
      </c>
      <c r="N1574" s="7">
        <v>1317</v>
      </c>
    </row>
    <row r="1575" spans="1:14" s="7" customFormat="1" ht="17.25" customHeight="1" x14ac:dyDescent="0.15">
      <c r="A1575" s="175" t="s">
        <v>580</v>
      </c>
      <c r="B1575" s="176" t="s">
        <v>11</v>
      </c>
      <c r="C1575" s="176" t="s">
        <v>1198</v>
      </c>
      <c r="D1575" s="176" t="s">
        <v>1087</v>
      </c>
      <c r="E1575" s="176">
        <v>0</v>
      </c>
      <c r="F1575" s="176"/>
      <c r="G1575" s="176" t="s">
        <v>1080</v>
      </c>
      <c r="H1575" s="107" t="str">
        <f t="shared" si="14"/>
        <v>ifnull(t.unfroz_qty,0) as unfroz_qty,/*解冻数量*/</v>
      </c>
      <c r="J1575" s="7" t="s">
        <v>352</v>
      </c>
      <c r="K1575" s="7" t="s">
        <v>351</v>
      </c>
      <c r="L1575" s="7" t="s">
        <v>349</v>
      </c>
      <c r="M1575" s="7" t="s">
        <v>349</v>
      </c>
      <c r="N1575" s="7">
        <v>1721</v>
      </c>
    </row>
    <row r="1576" spans="1:14" s="7" customFormat="1" ht="17.25" customHeight="1" x14ac:dyDescent="0.15">
      <c r="A1576" s="175" t="s">
        <v>580</v>
      </c>
      <c r="B1576" s="176" t="s">
        <v>116</v>
      </c>
      <c r="C1576" s="176" t="s">
        <v>1213</v>
      </c>
      <c r="D1576" s="176" t="s">
        <v>1169</v>
      </c>
      <c r="E1576" s="176">
        <v>0</v>
      </c>
      <c r="F1576" s="176"/>
      <c r="G1576" s="176"/>
      <c r="H1576" s="107" t="str">
        <f t="shared" si="14"/>
        <v>ifnull(t.cost_amt,0) as cost_amt,/*成本金额*/</v>
      </c>
      <c r="J1576" s="7" t="s">
        <v>352</v>
      </c>
      <c r="K1576" s="7" t="s">
        <v>351</v>
      </c>
      <c r="L1576" s="7" t="s">
        <v>483</v>
      </c>
      <c r="M1576" s="7" t="s">
        <v>349</v>
      </c>
      <c r="N1576" s="7">
        <v>1163</v>
      </c>
    </row>
    <row r="1577" spans="1:14" s="7" customFormat="1" ht="17.25" customHeight="1" x14ac:dyDescent="0.15">
      <c r="A1577" s="175" t="s">
        <v>580</v>
      </c>
      <c r="B1577" s="176" t="s">
        <v>12</v>
      </c>
      <c r="C1577" s="176" t="s">
        <v>1143</v>
      </c>
      <c r="D1577" s="176" t="s">
        <v>1169</v>
      </c>
      <c r="E1577" s="176">
        <v>0</v>
      </c>
      <c r="F1577" s="176"/>
      <c r="G1577" s="176"/>
      <c r="H1577" s="107" t="str">
        <f t="shared" si="14"/>
        <v>ifnull(t.realize_pandl,0) as realize_pandl,/*实现盈亏*/</v>
      </c>
      <c r="J1577" s="7" t="s">
        <v>352</v>
      </c>
      <c r="K1577" s="7" t="s">
        <v>351</v>
      </c>
      <c r="L1577" s="7" t="s">
        <v>349</v>
      </c>
      <c r="M1577" s="7" t="s">
        <v>349</v>
      </c>
      <c r="N1577" s="7">
        <v>2153</v>
      </c>
    </row>
    <row r="1578" spans="1:14" s="7" customFormat="1" ht="17.25" customHeight="1" x14ac:dyDescent="0.15">
      <c r="A1578" s="175" t="s">
        <v>580</v>
      </c>
      <c r="B1578" s="176" t="s">
        <v>13</v>
      </c>
      <c r="C1578" s="176" t="s">
        <v>1205</v>
      </c>
      <c r="D1578" s="176" t="s">
        <v>1169</v>
      </c>
      <c r="E1578" s="176">
        <v>0</v>
      </c>
      <c r="F1578" s="176"/>
      <c r="G1578" s="176"/>
      <c r="H1578" s="107" t="str">
        <f t="shared" si="14"/>
        <v>ifnull(t.intrst_cost_amt,0) as intrst_cost_amt,/*利息成本金额*/</v>
      </c>
      <c r="J1578" s="7" t="s">
        <v>352</v>
      </c>
      <c r="K1578" s="7" t="s">
        <v>351</v>
      </c>
      <c r="L1578" s="7" t="s">
        <v>349</v>
      </c>
      <c r="M1578" s="7" t="s">
        <v>349</v>
      </c>
      <c r="N1578" s="7">
        <v>1852</v>
      </c>
    </row>
    <row r="1579" spans="1:14" s="7" customFormat="1" ht="17.25" customHeight="1" x14ac:dyDescent="0.15">
      <c r="A1579" s="175" t="s">
        <v>580</v>
      </c>
      <c r="B1579" s="176" t="s">
        <v>14</v>
      </c>
      <c r="C1579" s="176" t="s">
        <v>1206</v>
      </c>
      <c r="D1579" s="176" t="s">
        <v>1169</v>
      </c>
      <c r="E1579" s="176">
        <v>0</v>
      </c>
      <c r="F1579" s="176"/>
      <c r="G1579" s="176"/>
      <c r="H1579" s="107" t="str">
        <f t="shared" si="14"/>
        <v>ifnull(t.intrst_pandl,0) as intrst_pandl,/*利息收益*/</v>
      </c>
      <c r="J1579" s="7" t="s">
        <v>352</v>
      </c>
      <c r="K1579" s="7" t="s">
        <v>351</v>
      </c>
      <c r="L1579" s="7" t="s">
        <v>349</v>
      </c>
      <c r="M1579" s="7" t="s">
        <v>349</v>
      </c>
      <c r="N1579" s="7">
        <v>1857</v>
      </c>
    </row>
    <row r="1580" spans="1:14" s="7" customFormat="1" ht="17.25" customHeight="1" x14ac:dyDescent="0.15">
      <c r="A1580" s="175" t="s">
        <v>580</v>
      </c>
      <c r="B1580" s="176" t="s">
        <v>389</v>
      </c>
      <c r="C1580" s="176" t="s">
        <v>1477</v>
      </c>
      <c r="D1580" s="176" t="s">
        <v>1211</v>
      </c>
      <c r="E1580" s="176">
        <v>0</v>
      </c>
      <c r="F1580" s="176"/>
      <c r="G1580" s="176" t="s">
        <v>1478</v>
      </c>
      <c r="H1580" s="107" t="str">
        <f t="shared" si="14"/>
        <v>ifnull(t.cost_price,0) as cost_price,/*成本价*/</v>
      </c>
      <c r="J1580" s="7" t="s">
        <v>352</v>
      </c>
      <c r="K1580" s="7" t="s">
        <v>351</v>
      </c>
      <c r="L1580" s="7" t="s">
        <v>349</v>
      </c>
      <c r="M1580" s="7" t="s">
        <v>349</v>
      </c>
      <c r="N1580" s="7">
        <v>1162</v>
      </c>
    </row>
    <row r="1581" spans="1:14" s="7" customFormat="1" ht="17.25" customHeight="1" x14ac:dyDescent="0.15">
      <c r="A1581" s="175" t="s">
        <v>580</v>
      </c>
      <c r="B1581" s="176" t="s">
        <v>439</v>
      </c>
      <c r="C1581" s="176" t="s">
        <v>1236</v>
      </c>
      <c r="D1581" s="176" t="s">
        <v>1211</v>
      </c>
      <c r="E1581" s="176">
        <v>0</v>
      </c>
      <c r="F1581" s="176"/>
      <c r="G1581" s="176"/>
      <c r="H1581" s="107" t="str">
        <f t="shared" si="14"/>
        <v>ifnull(t.last_price,0) as last_price,/*最新价*/</v>
      </c>
      <c r="J1581" s="7" t="s">
        <v>352</v>
      </c>
      <c r="K1581" s="7" t="s">
        <v>351</v>
      </c>
      <c r="L1581" s="7" t="s">
        <v>349</v>
      </c>
      <c r="M1581" s="7" t="s">
        <v>349</v>
      </c>
      <c r="N1581" s="7">
        <v>2586</v>
      </c>
    </row>
    <row r="1582" spans="1:14" s="7" customFormat="1" ht="17.25" customHeight="1" x14ac:dyDescent="0.15">
      <c r="A1582" s="175" t="s">
        <v>580</v>
      </c>
      <c r="B1582" s="176" t="s">
        <v>445</v>
      </c>
      <c r="C1582" s="176" t="s">
        <v>1479</v>
      </c>
      <c r="D1582" s="176" t="s">
        <v>1169</v>
      </c>
      <c r="E1582" s="176">
        <v>0</v>
      </c>
      <c r="F1582" s="176"/>
      <c r="G1582" s="176"/>
      <c r="H1582" s="107" t="str">
        <f t="shared" si="14"/>
        <v>ifnull(t.float_pandl,0) as float_pandl,/*浮动盈亏*/</v>
      </c>
      <c r="J1582" s="7" t="s">
        <v>352</v>
      </c>
      <c r="K1582" s="7" t="s">
        <v>351</v>
      </c>
      <c r="L1582" s="7" t="s">
        <v>349</v>
      </c>
      <c r="M1582" s="7" t="s">
        <v>349</v>
      </c>
      <c r="N1582" s="7">
        <v>1461</v>
      </c>
    </row>
    <row r="1583" spans="1:14" s="7" customFormat="1" ht="17.25" customHeight="1" x14ac:dyDescent="0.15">
      <c r="A1583" s="175" t="s">
        <v>580</v>
      </c>
      <c r="B1583" s="176" t="s">
        <v>484</v>
      </c>
      <c r="C1583" s="176" t="s">
        <v>1483</v>
      </c>
      <c r="D1583" s="176" t="s">
        <v>1172</v>
      </c>
      <c r="E1583" s="176">
        <v>0</v>
      </c>
      <c r="F1583" s="176"/>
      <c r="G1583" s="176"/>
      <c r="H1583" s="107" t="str">
        <f t="shared" si="14"/>
        <v>ifnull(t.pandl_ratio,0) as pandl_ratio,/*盈亏比例*/</v>
      </c>
      <c r="J1583" s="7" t="s">
        <v>352</v>
      </c>
      <c r="K1583" s="7" t="s">
        <v>351</v>
      </c>
      <c r="L1583" s="7" t="s">
        <v>349</v>
      </c>
      <c r="M1583" s="7" t="s">
        <v>349</v>
      </c>
      <c r="N1583" s="7">
        <v>2346</v>
      </c>
    </row>
    <row r="1584" spans="1:14" s="7" customFormat="1" ht="17.25" customHeight="1" x14ac:dyDescent="0.15">
      <c r="A1584" s="175" t="s">
        <v>580</v>
      </c>
      <c r="B1584" s="176" t="s">
        <v>475</v>
      </c>
      <c r="C1584" s="176" t="s">
        <v>1480</v>
      </c>
      <c r="D1584" s="176" t="s">
        <v>1087</v>
      </c>
      <c r="E1584" s="176">
        <v>0</v>
      </c>
      <c r="F1584" s="176"/>
      <c r="G1584" s="176" t="s">
        <v>1481</v>
      </c>
      <c r="H1584" s="107" t="str">
        <f t="shared" si="14"/>
        <v>ifnull(t.trade_avail_qty,0) as trade_avail_qty,/*交易端可用数量*/</v>
      </c>
      <c r="J1584" s="7" t="s">
        <v>352</v>
      </c>
      <c r="K1584" s="7" t="s">
        <v>351</v>
      </c>
      <c r="L1584" s="7" t="s">
        <v>349</v>
      </c>
      <c r="M1584" s="7" t="s">
        <v>349</v>
      </c>
      <c r="N1584" s="7">
        <v>1677</v>
      </c>
    </row>
    <row r="1585" spans="1:14" s="7" customFormat="1" ht="17.25" customHeight="1" x14ac:dyDescent="0.15">
      <c r="A1585" s="175" t="s">
        <v>580</v>
      </c>
      <c r="B1585" s="176" t="s">
        <v>476</v>
      </c>
      <c r="C1585" s="176" t="s">
        <v>1482</v>
      </c>
      <c r="D1585" s="176" t="s">
        <v>1087</v>
      </c>
      <c r="E1585" s="176">
        <v>0</v>
      </c>
      <c r="F1585" s="176"/>
      <c r="G1585" s="176" t="s">
        <v>1481</v>
      </c>
      <c r="H1585" s="107" t="str">
        <f t="shared" si="14"/>
        <v>ifnull(t.comm_avail_qty,0) as comm_avail_qty,/*指令端可用数量*/</v>
      </c>
      <c r="J1585" s="7" t="s">
        <v>352</v>
      </c>
      <c r="K1585" s="7" t="s">
        <v>351</v>
      </c>
      <c r="L1585" s="7" t="s">
        <v>349</v>
      </c>
      <c r="M1585" s="7" t="s">
        <v>483</v>
      </c>
      <c r="N1585" s="7">
        <v>2459</v>
      </c>
    </row>
    <row r="1586" spans="1:14" s="7" customFormat="1" ht="17.25" customHeight="1" x14ac:dyDescent="0.15">
      <c r="A1586" s="175" t="s">
        <v>580</v>
      </c>
      <c r="B1586" s="176" t="s">
        <v>485</v>
      </c>
      <c r="C1586" s="176" t="s">
        <v>1112</v>
      </c>
      <c r="D1586" s="176" t="s">
        <v>1211</v>
      </c>
      <c r="E1586" s="176">
        <v>0</v>
      </c>
      <c r="F1586" s="176"/>
      <c r="G1586" s="176"/>
      <c r="H1586" s="107" t="str">
        <f t="shared" si="14"/>
        <v>ifnull(t.pre_close_price,0) as pre_close_price,/*昨收盘价*/</v>
      </c>
      <c r="J1586" s="7" t="s">
        <v>352</v>
      </c>
      <c r="K1586" s="7" t="s">
        <v>351</v>
      </c>
      <c r="L1586" s="7" t="s">
        <v>349</v>
      </c>
      <c r="M1586" s="7" t="s">
        <v>483</v>
      </c>
      <c r="N1586" s="7">
        <v>2597</v>
      </c>
    </row>
    <row r="1587" spans="1:14" s="7" customFormat="1" ht="17.25" customHeight="1" x14ac:dyDescent="0.15">
      <c r="A1587" s="175" t="s">
        <v>580</v>
      </c>
      <c r="B1587" s="165" t="s">
        <v>480</v>
      </c>
      <c r="C1587" s="165" t="s">
        <v>1079</v>
      </c>
      <c r="D1587" s="165" t="s">
        <v>1172</v>
      </c>
      <c r="E1587" s="165">
        <v>0</v>
      </c>
      <c r="F1587" s="165"/>
      <c r="G1587" s="165"/>
      <c r="H1587" s="107" t="str">
        <f t="shared" si="14"/>
        <v>ifnull(t.posi_nav_ratio,0) as posi_nav_ratio,/*持仓净值占比*/</v>
      </c>
      <c r="J1587" s="7" t="s">
        <v>352</v>
      </c>
      <c r="K1587" s="7" t="s">
        <v>351</v>
      </c>
      <c r="L1587" s="7" t="s">
        <v>349</v>
      </c>
      <c r="M1587" s="7" t="s">
        <v>349</v>
      </c>
      <c r="N1587" s="7">
        <v>1197</v>
      </c>
    </row>
    <row r="1588" spans="1:14" s="7" customFormat="1" ht="17.25" customHeight="1" x14ac:dyDescent="0.15">
      <c r="A1588" s="175" t="s">
        <v>580</v>
      </c>
      <c r="B1588" s="176" t="s">
        <v>374</v>
      </c>
      <c r="C1588" s="176" t="s">
        <v>1170</v>
      </c>
      <c r="D1588" s="176" t="s">
        <v>1169</v>
      </c>
      <c r="E1588" s="176">
        <v>0</v>
      </c>
      <c r="F1588" s="176"/>
      <c r="G1588" s="176"/>
      <c r="H1588" s="107" t="str">
        <f t="shared" si="14"/>
        <v>ifnull(t.nav_asset,0) as nav_asset,/*净资产*/</v>
      </c>
      <c r="J1588" s="7" t="s">
        <v>352</v>
      </c>
      <c r="K1588" s="7" t="s">
        <v>351</v>
      </c>
      <c r="L1588" s="7" t="s">
        <v>483</v>
      </c>
      <c r="M1588" s="7" t="s">
        <v>349</v>
      </c>
      <c r="N1588" s="7">
        <v>1741</v>
      </c>
    </row>
    <row r="1589" spans="1:14" s="7" customFormat="1" ht="17.25" customHeight="1" x14ac:dyDescent="0.15">
      <c r="A1589" s="175" t="s">
        <v>580</v>
      </c>
      <c r="B1589" s="176" t="s">
        <v>481</v>
      </c>
      <c r="C1589" s="176" t="s">
        <v>1209</v>
      </c>
      <c r="D1589" s="176" t="s">
        <v>1169</v>
      </c>
      <c r="E1589" s="176">
        <v>0</v>
      </c>
      <c r="F1589" s="176"/>
      <c r="G1589" s="176"/>
      <c r="H1589" s="107" t="str">
        <f t="shared" si="14"/>
        <v>ifnull(t.bond_receivable_amt,0) as bond_receivable_amt,/*债券应收利息*/</v>
      </c>
      <c r="J1589" s="7" t="s">
        <v>352</v>
      </c>
      <c r="K1589" s="7" t="s">
        <v>351</v>
      </c>
      <c r="L1589" s="7" t="s">
        <v>349</v>
      </c>
      <c r="M1589" s="7" t="s">
        <v>483</v>
      </c>
    </row>
    <row r="1590" spans="1:14" s="7" customFormat="1" ht="17.25" customHeight="1" x14ac:dyDescent="0.15">
      <c r="A1590" s="175" t="s">
        <v>580</v>
      </c>
      <c r="B1590" s="176" t="s">
        <v>482</v>
      </c>
      <c r="C1590" s="176" t="s">
        <v>1208</v>
      </c>
      <c r="D1590" s="176" t="s">
        <v>1087</v>
      </c>
      <c r="E1590" s="176">
        <v>0</v>
      </c>
      <c r="F1590" s="176"/>
      <c r="G1590" s="176"/>
      <c r="H1590" s="107" t="str">
        <f t="shared" si="14"/>
        <v>ifnull(t.impawn_qty,0) as impawn_qty,/*质押数量*/</v>
      </c>
      <c r="J1590" s="7" t="s">
        <v>352</v>
      </c>
      <c r="K1590" s="7" t="s">
        <v>351</v>
      </c>
      <c r="L1590" s="7" t="s">
        <v>349</v>
      </c>
      <c r="M1590" s="7" t="s">
        <v>349</v>
      </c>
      <c r="N1590" s="7">
        <v>2511</v>
      </c>
    </row>
    <row r="1591" spans="1:14" s="7" customFormat="1" ht="17.25" customHeight="1" x14ac:dyDescent="0.15">
      <c r="A1591" s="175" t="s">
        <v>580</v>
      </c>
      <c r="B1591" s="165" t="s">
        <v>477</v>
      </c>
      <c r="C1591" s="165" t="s">
        <v>1530</v>
      </c>
      <c r="D1591" s="165" t="s">
        <v>1169</v>
      </c>
      <c r="E1591" s="165">
        <v>0</v>
      </c>
      <c r="F1591" s="165"/>
      <c r="G1591" s="165"/>
      <c r="H1591" s="107" t="str">
        <f t="shared" si="14"/>
        <v>ifnull(t.full_holding_amt,0) as full_holding_amt,/*全价持仓市值*/</v>
      </c>
      <c r="J1591" s="7" t="s">
        <v>352</v>
      </c>
      <c r="K1591" s="7" t="s">
        <v>351</v>
      </c>
      <c r="L1591" s="7" t="s">
        <v>349</v>
      </c>
      <c r="M1591" s="7" t="s">
        <v>349</v>
      </c>
    </row>
    <row r="1592" spans="1:14" s="7" customFormat="1" ht="17.25" customHeight="1" x14ac:dyDescent="0.15">
      <c r="A1592" s="175"/>
      <c r="B1592" s="147"/>
      <c r="C1592" s="147"/>
      <c r="D1592" s="147"/>
      <c r="E1592" s="147"/>
      <c r="F1592" s="147"/>
      <c r="G1592" s="147"/>
      <c r="H1592" s="232"/>
    </row>
    <row r="1593" spans="1:14" s="7" customFormat="1" x14ac:dyDescent="0.15">
      <c r="A1593" s="2"/>
      <c r="B1593" s="337" t="s">
        <v>15</v>
      </c>
      <c r="C1593" s="338"/>
      <c r="D1593" s="338"/>
      <c r="E1593" s="338"/>
      <c r="F1593" s="338"/>
      <c r="G1593" s="339"/>
    </row>
    <row r="1594" spans="1:14" s="7" customFormat="1" ht="18" thickBot="1" x14ac:dyDescent="0.2">
      <c r="A1594" s="2"/>
      <c r="B1594" s="24"/>
      <c r="C1594" s="9"/>
      <c r="D1594" s="9"/>
      <c r="E1594" s="9"/>
      <c r="F1594" s="9"/>
      <c r="G1594" s="11"/>
    </row>
    <row r="1595" spans="1:14" ht="18" thickBot="1" x14ac:dyDescent="0.2"/>
    <row r="1596" spans="1:14" s="7" customFormat="1" x14ac:dyDescent="0.15">
      <c r="A1596" s="2"/>
      <c r="B1596" s="3" t="s">
        <v>563</v>
      </c>
      <c r="C1596" s="4" t="s">
        <v>677</v>
      </c>
      <c r="D1596" s="5" t="s">
        <v>515</v>
      </c>
      <c r="E1596" s="21" t="s">
        <v>1027</v>
      </c>
      <c r="F1596" s="5" t="s">
        <v>567</v>
      </c>
      <c r="G1596" s="6"/>
      <c r="H1596" s="6" t="str">
        <f>"create or replace view "&amp;C1596</f>
        <v>create or replace view vi_rptasset_qry_pd_posi_his</v>
      </c>
    </row>
    <row r="1597" spans="1:14" s="7" customFormat="1" ht="18" thickBot="1" x14ac:dyDescent="0.2">
      <c r="A1597" s="2"/>
      <c r="B1597" s="34" t="s">
        <v>570</v>
      </c>
      <c r="C1597" s="18"/>
      <c r="D1597" s="35" t="s">
        <v>568</v>
      </c>
      <c r="E1597" s="18" t="s">
        <v>615</v>
      </c>
      <c r="F1597" s="35"/>
      <c r="G1597" s="19"/>
      <c r="H1597" s="11" t="str">
        <f>"/* "&amp;E1596&amp;"*/  as "</f>
        <v xml:space="preserve">/* 报表_资管报表_视图-查询-产品-证券持仓-历史*/  as </v>
      </c>
    </row>
    <row r="1598" spans="1:14" s="7" customFormat="1" x14ac:dyDescent="0.15">
      <c r="A1598" s="2"/>
      <c r="B1598" s="3" t="s">
        <v>0</v>
      </c>
      <c r="C1598" s="5" t="s">
        <v>1</v>
      </c>
      <c r="D1598" s="5" t="s">
        <v>2</v>
      </c>
      <c r="E1598" s="5"/>
      <c r="F1598" s="5" t="s">
        <v>3</v>
      </c>
      <c r="G1598" s="36" t="s">
        <v>4</v>
      </c>
      <c r="H1598" s="13" t="s">
        <v>474</v>
      </c>
    </row>
    <row r="1599" spans="1:14" s="7" customFormat="1" ht="17.25" customHeight="1" x14ac:dyDescent="0.15">
      <c r="A1599" s="175"/>
      <c r="B1599" s="147" t="s">
        <v>478</v>
      </c>
      <c r="C1599" s="147" t="s">
        <v>1476</v>
      </c>
      <c r="D1599" s="147" t="s">
        <v>1345</v>
      </c>
      <c r="E1599" s="147">
        <v>0</v>
      </c>
      <c r="F1599" s="147" t="s">
        <v>350</v>
      </c>
      <c r="G1599" s="147"/>
      <c r="H1599" s="107" t="str">
        <f t="shared" ref="H1599:H1624" si="15">"ifnull("&amp;IF(I1599&lt;&gt;"",I1599,IF(F1599&lt;&gt;"",F1599,"t")&amp;"."&amp;C1599)&amp;","&amp;E1599&amp;") as "&amp;C1599&amp;",/*"&amp;B1599&amp;"*/"</f>
        <v>ifnull(input.row_id,0) as row_id,/*记录序号*/</v>
      </c>
      <c r="J1599" s="7" t="s">
        <v>358</v>
      </c>
      <c r="K1599" s="7" t="s">
        <v>359</v>
      </c>
      <c r="L1599" s="7" t="s">
        <v>360</v>
      </c>
      <c r="M1599" s="7" t="s">
        <v>361</v>
      </c>
      <c r="N1599" s="7">
        <v>1629</v>
      </c>
    </row>
    <row r="1600" spans="1:14" s="7" customFormat="1" ht="17.25" customHeight="1" x14ac:dyDescent="0.15">
      <c r="A1600" s="175"/>
      <c r="B1600" s="147" t="s">
        <v>5</v>
      </c>
      <c r="C1600" s="147" t="s">
        <v>1127</v>
      </c>
      <c r="D1600" s="147" t="s">
        <v>211</v>
      </c>
      <c r="E1600" s="147" t="s">
        <v>1141</v>
      </c>
      <c r="F1600" s="147" t="s">
        <v>357</v>
      </c>
      <c r="G1600" s="147" t="s">
        <v>1162</v>
      </c>
      <c r="H1600" s="107" t="str">
        <f t="shared" si="15"/>
        <v>ifnull(datepicker.init_date,date_format(curdate(),'%Y%m%d')) as init_date,/*初始化日期*/</v>
      </c>
      <c r="J1600" s="7" t="s">
        <v>237</v>
      </c>
      <c r="K1600" s="7" t="s">
        <v>238</v>
      </c>
      <c r="L1600" s="7" t="s">
        <v>211</v>
      </c>
      <c r="M1600" s="7" t="s">
        <v>211</v>
      </c>
      <c r="N1600" s="7">
        <v>1211</v>
      </c>
    </row>
    <row r="1601" spans="1:14" s="7" customFormat="1" ht="17.25" customHeight="1" x14ac:dyDescent="0.15">
      <c r="A1601" s="175"/>
      <c r="B1601" s="147" t="s">
        <v>6</v>
      </c>
      <c r="C1601" s="147" t="s">
        <v>1163</v>
      </c>
      <c r="D1601" s="147" t="s">
        <v>211</v>
      </c>
      <c r="E1601" s="147">
        <v>0</v>
      </c>
      <c r="F1601" s="147" t="s">
        <v>350</v>
      </c>
      <c r="G1601" s="147" t="s">
        <v>1077</v>
      </c>
      <c r="H1601" s="107" t="str">
        <f t="shared" si="15"/>
        <v>ifnull(input.co_no,0) as co_no,/*机构编号*/</v>
      </c>
      <c r="J1601" s="7" t="s">
        <v>237</v>
      </c>
      <c r="K1601" s="7" t="s">
        <v>238</v>
      </c>
      <c r="L1601" s="7" t="s">
        <v>211</v>
      </c>
      <c r="M1601" s="7" t="s">
        <v>211</v>
      </c>
      <c r="N1601" s="7">
        <v>1606</v>
      </c>
    </row>
    <row r="1602" spans="1:14" s="7" customFormat="1" ht="17.25" customHeight="1" x14ac:dyDescent="0.15">
      <c r="A1602" s="175"/>
      <c r="B1602" s="147" t="s">
        <v>111</v>
      </c>
      <c r="C1602" s="147" t="s">
        <v>1164</v>
      </c>
      <c r="D1602" s="147" t="s">
        <v>211</v>
      </c>
      <c r="E1602" s="147">
        <v>0</v>
      </c>
      <c r="F1602" s="147" t="s">
        <v>350</v>
      </c>
      <c r="G1602" s="147" t="s">
        <v>1165</v>
      </c>
      <c r="H1602" s="107" t="str">
        <f t="shared" si="15"/>
        <v>ifnull(input.pd_no,0) as pd_no,/*产品编号*/</v>
      </c>
      <c r="J1602" s="7" t="s">
        <v>237</v>
      </c>
      <c r="K1602" s="7" t="s">
        <v>238</v>
      </c>
      <c r="L1602" s="7" t="s">
        <v>211</v>
      </c>
      <c r="M1602" s="7" t="s">
        <v>211</v>
      </c>
      <c r="N1602" s="7">
        <v>1112</v>
      </c>
    </row>
    <row r="1603" spans="1:14" s="7" customFormat="1" ht="17.25" customHeight="1" x14ac:dyDescent="0.15">
      <c r="A1603" s="175"/>
      <c r="B1603" s="147" t="s">
        <v>120</v>
      </c>
      <c r="C1603" s="147" t="s">
        <v>1187</v>
      </c>
      <c r="D1603" s="147" t="s">
        <v>211</v>
      </c>
      <c r="E1603" s="147">
        <v>0</v>
      </c>
      <c r="F1603" s="147" t="s">
        <v>350</v>
      </c>
      <c r="G1603" s="147"/>
      <c r="H1603" s="107" t="str">
        <f t="shared" si="15"/>
        <v>ifnull(input.asset_acco_no,0) as asset_acco_no,/*资产账户编号*/</v>
      </c>
      <c r="J1603" s="7" t="s">
        <v>237</v>
      </c>
      <c r="K1603" s="7" t="s">
        <v>238</v>
      </c>
      <c r="L1603" s="7" t="s">
        <v>211</v>
      </c>
      <c r="M1603" s="7" t="s">
        <v>211</v>
      </c>
      <c r="N1603" s="7">
        <v>2534</v>
      </c>
    </row>
    <row r="1604" spans="1:14" s="7" customFormat="1" ht="17.25" customHeight="1" x14ac:dyDescent="0.15">
      <c r="A1604" s="175"/>
      <c r="B1604" s="147" t="s">
        <v>118</v>
      </c>
      <c r="C1604" s="147" t="s">
        <v>1188</v>
      </c>
      <c r="D1604" s="147" t="s">
        <v>211</v>
      </c>
      <c r="E1604" s="147">
        <v>0</v>
      </c>
      <c r="F1604" s="147" t="s">
        <v>350</v>
      </c>
      <c r="G1604" s="147"/>
      <c r="H1604" s="107" t="str">
        <f t="shared" si="15"/>
        <v>ifnull(input.stock_code_no,0) as stock_code_no,/*证券代码编号*/</v>
      </c>
      <c r="J1604" s="7" t="s">
        <v>237</v>
      </c>
      <c r="K1604" s="7" t="s">
        <v>238</v>
      </c>
      <c r="L1604" s="7" t="s">
        <v>211</v>
      </c>
      <c r="M1604" s="7" t="s">
        <v>211</v>
      </c>
      <c r="N1604" s="7">
        <v>2430</v>
      </c>
    </row>
    <row r="1605" spans="1:14" s="7" customFormat="1" ht="17.25" customHeight="1" x14ac:dyDescent="0.15">
      <c r="A1605" s="175"/>
      <c r="B1605" s="147" t="s">
        <v>186</v>
      </c>
      <c r="C1605" s="147" t="s">
        <v>1189</v>
      </c>
      <c r="D1605" s="147" t="s">
        <v>211</v>
      </c>
      <c r="E1605" s="147">
        <v>0</v>
      </c>
      <c r="F1605" s="147" t="s">
        <v>366</v>
      </c>
      <c r="G1605" s="147"/>
      <c r="H1605" s="107" t="str">
        <f t="shared" si="15"/>
        <v>ifnull(select.stock_type,0) as stock_type,/*证券类型*/</v>
      </c>
      <c r="J1605" s="7" t="s">
        <v>237</v>
      </c>
      <c r="K1605" s="7" t="s">
        <v>238</v>
      </c>
      <c r="L1605" s="7" t="s">
        <v>211</v>
      </c>
      <c r="M1605" s="7" t="s">
        <v>211</v>
      </c>
      <c r="N1605" s="7">
        <v>2433</v>
      </c>
    </row>
    <row r="1606" spans="1:14" s="7" customFormat="1" ht="17.25" customHeight="1" x14ac:dyDescent="0.15">
      <c r="A1606" s="175"/>
      <c r="B1606" s="147" t="s">
        <v>7</v>
      </c>
      <c r="C1606" s="147" t="s">
        <v>1190</v>
      </c>
      <c r="D1606" s="147" t="s">
        <v>211</v>
      </c>
      <c r="E1606" s="147">
        <v>0</v>
      </c>
      <c r="F1606" s="147" t="s">
        <v>366</v>
      </c>
      <c r="G1606" s="147" t="s">
        <v>1081</v>
      </c>
      <c r="H1606" s="107" t="str">
        <f t="shared" si="15"/>
        <v>ifnull(select.exch_no,0) as exch_no,/*市场编号*/</v>
      </c>
      <c r="J1606" s="7" t="s">
        <v>237</v>
      </c>
      <c r="K1606" s="7" t="s">
        <v>238</v>
      </c>
      <c r="L1606" s="7" t="s">
        <v>211</v>
      </c>
      <c r="M1606" s="7" t="s">
        <v>211</v>
      </c>
      <c r="N1606" s="7">
        <v>2155</v>
      </c>
    </row>
    <row r="1607" spans="1:14" s="7" customFormat="1" ht="17.25" customHeight="1" x14ac:dyDescent="0.15">
      <c r="A1607" s="175"/>
      <c r="B1607" s="147" t="s">
        <v>162</v>
      </c>
      <c r="C1607" s="147" t="s">
        <v>1214</v>
      </c>
      <c r="D1607" s="147" t="s">
        <v>1169</v>
      </c>
      <c r="E1607" s="147">
        <v>0</v>
      </c>
      <c r="F1607" s="147"/>
      <c r="G1607" s="147"/>
      <c r="H1607" s="107" t="str">
        <f t="shared" si="15"/>
        <v>ifnull(t.posi_market_value,0) as posi_market_value,/*持仓市值*/</v>
      </c>
      <c r="J1607" s="7" t="s">
        <v>352</v>
      </c>
      <c r="K1607" s="7" t="s">
        <v>351</v>
      </c>
      <c r="L1607" s="7" t="s">
        <v>349</v>
      </c>
      <c r="M1607" s="7" t="s">
        <v>349</v>
      </c>
      <c r="N1607" s="7">
        <v>1202</v>
      </c>
    </row>
    <row r="1608" spans="1:14" s="7" customFormat="1" ht="17.25" customHeight="1" x14ac:dyDescent="0.15">
      <c r="A1608" s="175"/>
      <c r="B1608" s="147" t="s">
        <v>386</v>
      </c>
      <c r="C1608" s="147" t="s">
        <v>1191</v>
      </c>
      <c r="D1608" s="147" t="s">
        <v>211</v>
      </c>
      <c r="E1608" s="147">
        <v>0</v>
      </c>
      <c r="F1608" s="147" t="s">
        <v>366</v>
      </c>
      <c r="G1608" s="147" t="s">
        <v>1192</v>
      </c>
      <c r="H1608" s="107" t="str">
        <f t="shared" si="15"/>
        <v>ifnull(select.invest_type,0) as invest_type,/*投资类型*/</v>
      </c>
      <c r="J1608" s="7" t="s">
        <v>237</v>
      </c>
      <c r="K1608" s="7" t="s">
        <v>238</v>
      </c>
      <c r="L1608" s="7" t="s">
        <v>211</v>
      </c>
      <c r="M1608" s="7" t="s">
        <v>211</v>
      </c>
      <c r="N1608" s="7">
        <v>2237</v>
      </c>
    </row>
    <row r="1609" spans="1:14" s="7" customFormat="1" ht="17.25" customHeight="1" x14ac:dyDescent="0.15">
      <c r="A1609" s="175"/>
      <c r="B1609" s="147" t="s">
        <v>8</v>
      </c>
      <c r="C1609" s="147" t="s">
        <v>1193</v>
      </c>
      <c r="D1609" s="147" t="s">
        <v>1087</v>
      </c>
      <c r="E1609" s="147">
        <v>0</v>
      </c>
      <c r="F1609" s="147" t="s">
        <v>350</v>
      </c>
      <c r="G1609" s="147" t="s">
        <v>1194</v>
      </c>
      <c r="H1609" s="107" t="str">
        <f t="shared" si="15"/>
        <v>ifnull(input.begin_qty,0) as begin_qty,/*期初数量*/</v>
      </c>
      <c r="J1609" s="7" t="s">
        <v>352</v>
      </c>
      <c r="K1609" s="7" t="s">
        <v>351</v>
      </c>
      <c r="L1609" s="7" t="s">
        <v>349</v>
      </c>
      <c r="M1609" s="7" t="s">
        <v>349</v>
      </c>
      <c r="N1609" s="7">
        <v>1986</v>
      </c>
    </row>
    <row r="1610" spans="1:14" s="7" customFormat="1" ht="17.25" customHeight="1" x14ac:dyDescent="0.15">
      <c r="A1610" s="175"/>
      <c r="B1610" s="147" t="s">
        <v>9</v>
      </c>
      <c r="C1610" s="147" t="s">
        <v>1195</v>
      </c>
      <c r="D1610" s="147" t="s">
        <v>1087</v>
      </c>
      <c r="E1610" s="147">
        <v>0</v>
      </c>
      <c r="F1610" s="147" t="s">
        <v>350</v>
      </c>
      <c r="G1610" s="147" t="s">
        <v>1196</v>
      </c>
      <c r="H1610" s="107" t="str">
        <f t="shared" si="15"/>
        <v>ifnull(input.curr_qty,0) as curr_qty,/*当前数量*/</v>
      </c>
      <c r="J1610" s="7" t="s">
        <v>352</v>
      </c>
      <c r="K1610" s="7" t="s">
        <v>351</v>
      </c>
      <c r="L1610" s="7" t="s">
        <v>349</v>
      </c>
      <c r="M1610" s="7" t="s">
        <v>349</v>
      </c>
      <c r="N1610" s="7">
        <v>1262</v>
      </c>
    </row>
    <row r="1611" spans="1:14" s="7" customFormat="1" ht="17.25" customHeight="1" x14ac:dyDescent="0.15">
      <c r="A1611" s="175"/>
      <c r="B1611" s="147" t="s">
        <v>10</v>
      </c>
      <c r="C1611" s="147" t="s">
        <v>1197</v>
      </c>
      <c r="D1611" s="147" t="s">
        <v>1087</v>
      </c>
      <c r="E1611" s="147">
        <v>0</v>
      </c>
      <c r="F1611" s="147" t="s">
        <v>350</v>
      </c>
      <c r="G1611" s="147" t="s">
        <v>1144</v>
      </c>
      <c r="H1611" s="107" t="str">
        <f t="shared" si="15"/>
        <v>ifnull(input.frozen_qty,0) as frozen_qty,/*冻结数量*/</v>
      </c>
      <c r="J1611" s="7" t="s">
        <v>352</v>
      </c>
      <c r="K1611" s="7" t="s">
        <v>351</v>
      </c>
      <c r="L1611" s="7" t="s">
        <v>349</v>
      </c>
      <c r="M1611" s="7" t="s">
        <v>349</v>
      </c>
      <c r="N1611" s="7">
        <v>1317</v>
      </c>
    </row>
    <row r="1612" spans="1:14" s="7" customFormat="1" ht="17.25" customHeight="1" x14ac:dyDescent="0.15">
      <c r="A1612" s="175"/>
      <c r="B1612" s="147" t="s">
        <v>11</v>
      </c>
      <c r="C1612" s="147" t="s">
        <v>1198</v>
      </c>
      <c r="D1612" s="147" t="s">
        <v>1087</v>
      </c>
      <c r="E1612" s="147">
        <v>0</v>
      </c>
      <c r="F1612" s="147" t="s">
        <v>350</v>
      </c>
      <c r="G1612" s="147" t="s">
        <v>1080</v>
      </c>
      <c r="H1612" s="107" t="str">
        <f t="shared" si="15"/>
        <v>ifnull(input.unfroz_qty,0) as unfroz_qty,/*解冻数量*/</v>
      </c>
      <c r="J1612" s="7" t="s">
        <v>352</v>
      </c>
      <c r="K1612" s="7" t="s">
        <v>351</v>
      </c>
      <c r="L1612" s="7" t="s">
        <v>349</v>
      </c>
      <c r="M1612" s="7" t="s">
        <v>349</v>
      </c>
      <c r="N1612" s="7">
        <v>1721</v>
      </c>
    </row>
    <row r="1613" spans="1:14" s="7" customFormat="1" ht="17.25" customHeight="1" x14ac:dyDescent="0.15">
      <c r="A1613" s="175"/>
      <c r="B1613" s="147" t="s">
        <v>387</v>
      </c>
      <c r="C1613" s="147" t="s">
        <v>1203</v>
      </c>
      <c r="D1613" s="147" t="s">
        <v>1087</v>
      </c>
      <c r="E1613" s="147">
        <v>0</v>
      </c>
      <c r="F1613" s="147" t="s">
        <v>350</v>
      </c>
      <c r="G1613" s="147"/>
      <c r="H1613" s="107" t="str">
        <f t="shared" si="15"/>
        <v>ifnull(input.buy_pre_sett_qty,0) as buy_pre_sett_qty,/*买入待交割数量*/</v>
      </c>
      <c r="J1613" s="7" t="s">
        <v>352</v>
      </c>
      <c r="K1613" s="7" t="s">
        <v>351</v>
      </c>
      <c r="L1613" s="7" t="s">
        <v>349</v>
      </c>
      <c r="M1613" s="7" t="s">
        <v>349</v>
      </c>
      <c r="N1613" s="7">
        <v>1875</v>
      </c>
    </row>
    <row r="1614" spans="1:14" s="7" customFormat="1" ht="17.25" customHeight="1" x14ac:dyDescent="0.15">
      <c r="A1614" s="175"/>
      <c r="B1614" s="147" t="s">
        <v>388</v>
      </c>
      <c r="C1614" s="147" t="s">
        <v>1204</v>
      </c>
      <c r="D1614" s="147" t="s">
        <v>1087</v>
      </c>
      <c r="E1614" s="147">
        <v>0</v>
      </c>
      <c r="F1614" s="147" t="s">
        <v>350</v>
      </c>
      <c r="G1614" s="147"/>
      <c r="H1614" s="107" t="str">
        <f t="shared" si="15"/>
        <v>ifnull(input.sell_pre_sett_qty,0) as sell_pre_sett_qty,/*卖出待交割数量*/</v>
      </c>
      <c r="J1614" s="7" t="s">
        <v>352</v>
      </c>
      <c r="K1614" s="7" t="s">
        <v>351</v>
      </c>
      <c r="L1614" s="7" t="s">
        <v>349</v>
      </c>
      <c r="M1614" s="7" t="s">
        <v>349</v>
      </c>
      <c r="N1614" s="7">
        <v>1891</v>
      </c>
    </row>
    <row r="1615" spans="1:14" s="7" customFormat="1" ht="17.25" customHeight="1" x14ac:dyDescent="0.15">
      <c r="A1615" s="175"/>
      <c r="B1615" s="147" t="s">
        <v>116</v>
      </c>
      <c r="C1615" s="147" t="s">
        <v>1213</v>
      </c>
      <c r="D1615" s="147" t="s">
        <v>1169</v>
      </c>
      <c r="E1615" s="147">
        <v>0</v>
      </c>
      <c r="F1615" s="147" t="s">
        <v>350</v>
      </c>
      <c r="G1615" s="147"/>
      <c r="H1615" s="107" t="str">
        <f t="shared" si="15"/>
        <v>ifnull(input.cost_amt,0) as cost_amt,/*成本金额*/</v>
      </c>
      <c r="J1615" s="7" t="s">
        <v>352</v>
      </c>
      <c r="K1615" s="7" t="s">
        <v>351</v>
      </c>
      <c r="L1615" s="7" t="s">
        <v>349</v>
      </c>
      <c r="M1615" s="7" t="s">
        <v>349</v>
      </c>
      <c r="N1615" s="7">
        <v>1163</v>
      </c>
    </row>
    <row r="1616" spans="1:14" s="7" customFormat="1" ht="17.25" customHeight="1" x14ac:dyDescent="0.15">
      <c r="A1616" s="175"/>
      <c r="B1616" s="147" t="s">
        <v>12</v>
      </c>
      <c r="C1616" s="147" t="s">
        <v>1143</v>
      </c>
      <c r="D1616" s="147" t="s">
        <v>1169</v>
      </c>
      <c r="E1616" s="147">
        <v>0</v>
      </c>
      <c r="F1616" s="147" t="s">
        <v>350</v>
      </c>
      <c r="G1616" s="147"/>
      <c r="H1616" s="107" t="str">
        <f t="shared" si="15"/>
        <v>ifnull(input.realize_pandl,0) as realize_pandl,/*实现盈亏*/</v>
      </c>
      <c r="J1616" s="7" t="s">
        <v>352</v>
      </c>
      <c r="K1616" s="7" t="s">
        <v>351</v>
      </c>
      <c r="L1616" s="7" t="s">
        <v>349</v>
      </c>
      <c r="M1616" s="7" t="s">
        <v>349</v>
      </c>
      <c r="N1616" s="7">
        <v>2153</v>
      </c>
    </row>
    <row r="1617" spans="1:14" s="7" customFormat="1" ht="17.25" customHeight="1" x14ac:dyDescent="0.15">
      <c r="A1617" s="175"/>
      <c r="B1617" s="147" t="s">
        <v>13</v>
      </c>
      <c r="C1617" s="147" t="s">
        <v>1205</v>
      </c>
      <c r="D1617" s="147" t="s">
        <v>1169</v>
      </c>
      <c r="E1617" s="147">
        <v>0</v>
      </c>
      <c r="F1617" s="147" t="s">
        <v>350</v>
      </c>
      <c r="G1617" s="147"/>
      <c r="H1617" s="107" t="str">
        <f t="shared" si="15"/>
        <v>ifnull(input.intrst_cost_amt,0) as intrst_cost_amt,/*利息成本金额*/</v>
      </c>
      <c r="J1617" s="7" t="s">
        <v>352</v>
      </c>
      <c r="K1617" s="7" t="s">
        <v>351</v>
      </c>
      <c r="L1617" s="7" t="s">
        <v>349</v>
      </c>
      <c r="M1617" s="7" t="s">
        <v>349</v>
      </c>
      <c r="N1617" s="7">
        <v>1852</v>
      </c>
    </row>
    <row r="1618" spans="1:14" s="7" customFormat="1" ht="17.25" customHeight="1" x14ac:dyDescent="0.15">
      <c r="A1618" s="175"/>
      <c r="B1618" s="147" t="s">
        <v>14</v>
      </c>
      <c r="C1618" s="147" t="s">
        <v>1206</v>
      </c>
      <c r="D1618" s="147" t="s">
        <v>1169</v>
      </c>
      <c r="E1618" s="147">
        <v>0</v>
      </c>
      <c r="F1618" s="147" t="s">
        <v>350</v>
      </c>
      <c r="G1618" s="147"/>
      <c r="H1618" s="107" t="str">
        <f t="shared" si="15"/>
        <v>ifnull(input.intrst_pandl,0) as intrst_pandl,/*利息收益*/</v>
      </c>
      <c r="J1618" s="7" t="s">
        <v>352</v>
      </c>
      <c r="K1618" s="7" t="s">
        <v>351</v>
      </c>
      <c r="L1618" s="7" t="s">
        <v>349</v>
      </c>
      <c r="M1618" s="7" t="s">
        <v>349</v>
      </c>
      <c r="N1618" s="7">
        <v>1857</v>
      </c>
    </row>
    <row r="1619" spans="1:14" s="7" customFormat="1" ht="17.25" customHeight="1" x14ac:dyDescent="0.15">
      <c r="A1619" s="175"/>
      <c r="B1619" s="147" t="s">
        <v>479</v>
      </c>
      <c r="C1619" s="147" t="s">
        <v>1207</v>
      </c>
      <c r="D1619" s="147" t="s">
        <v>1087</v>
      </c>
      <c r="E1619" s="147">
        <v>0</v>
      </c>
      <c r="F1619" s="147" t="s">
        <v>350</v>
      </c>
      <c r="G1619" s="147"/>
      <c r="H1619" s="107" t="str">
        <f t="shared" si="15"/>
        <v>ifnull(input.avail_qty,0) as avail_qty,/*可用数量*/</v>
      </c>
      <c r="J1619" s="7" t="s">
        <v>352</v>
      </c>
      <c r="K1619" s="7" t="s">
        <v>351</v>
      </c>
      <c r="L1619" s="7" t="s">
        <v>349</v>
      </c>
      <c r="M1619" s="7" t="s">
        <v>349</v>
      </c>
      <c r="N1619" s="7">
        <v>1782</v>
      </c>
    </row>
    <row r="1620" spans="1:14" s="7" customFormat="1" ht="17.25" customHeight="1" x14ac:dyDescent="0.15">
      <c r="A1620" s="175"/>
      <c r="B1620" s="147" t="s">
        <v>480</v>
      </c>
      <c r="C1620" s="147" t="s">
        <v>1079</v>
      </c>
      <c r="D1620" s="147" t="s">
        <v>1172</v>
      </c>
      <c r="E1620" s="147">
        <v>0</v>
      </c>
      <c r="F1620" s="147"/>
      <c r="G1620" s="147"/>
      <c r="H1620" s="107" t="str">
        <f t="shared" si="15"/>
        <v>ifnull(t.posi_nav_ratio,0) as posi_nav_ratio,/*持仓净值占比*/</v>
      </c>
      <c r="J1620" s="7" t="s">
        <v>352</v>
      </c>
      <c r="K1620" s="7" t="s">
        <v>351</v>
      </c>
      <c r="L1620" s="7" t="s">
        <v>349</v>
      </c>
      <c r="M1620" s="7" t="s">
        <v>349</v>
      </c>
      <c r="N1620" s="7">
        <v>1197</v>
      </c>
    </row>
    <row r="1621" spans="1:14" s="7" customFormat="1" ht="17.25" customHeight="1" x14ac:dyDescent="0.15">
      <c r="A1621" s="175"/>
      <c r="B1621" s="147" t="s">
        <v>374</v>
      </c>
      <c r="C1621" s="147" t="s">
        <v>1170</v>
      </c>
      <c r="D1621" s="147" t="s">
        <v>1169</v>
      </c>
      <c r="E1621" s="147">
        <v>0</v>
      </c>
      <c r="F1621" s="147" t="s">
        <v>350</v>
      </c>
      <c r="G1621" s="147"/>
      <c r="H1621" s="107" t="str">
        <f t="shared" si="15"/>
        <v>ifnull(input.nav_asset,0) as nav_asset,/*净资产*/</v>
      </c>
      <c r="J1621" s="7" t="s">
        <v>352</v>
      </c>
      <c r="K1621" s="7" t="s">
        <v>351</v>
      </c>
      <c r="L1621" s="7" t="s">
        <v>349</v>
      </c>
      <c r="M1621" s="7" t="s">
        <v>349</v>
      </c>
      <c r="N1621" s="7">
        <v>1741</v>
      </c>
    </row>
    <row r="1622" spans="1:14" s="7" customFormat="1" ht="17.25" customHeight="1" x14ac:dyDescent="0.15">
      <c r="A1622" s="175"/>
      <c r="B1622" s="147" t="s">
        <v>481</v>
      </c>
      <c r="C1622" s="147" t="s">
        <v>1209</v>
      </c>
      <c r="D1622" s="147" t="s">
        <v>1169</v>
      </c>
      <c r="E1622" s="147">
        <v>0</v>
      </c>
      <c r="F1622" s="147"/>
      <c r="G1622" s="147"/>
      <c r="H1622" s="107" t="str">
        <f t="shared" si="15"/>
        <v>ifnull(t.bond_receivable_amt,0) as bond_receivable_amt,/*债券应收利息*/</v>
      </c>
      <c r="J1622" s="7" t="s">
        <v>352</v>
      </c>
      <c r="K1622" s="7" t="s">
        <v>351</v>
      </c>
      <c r="L1622" s="7" t="s">
        <v>349</v>
      </c>
      <c r="M1622" s="7" t="s">
        <v>349</v>
      </c>
    </row>
    <row r="1623" spans="1:14" s="7" customFormat="1" ht="17.25" customHeight="1" x14ac:dyDescent="0.15">
      <c r="A1623" s="175"/>
      <c r="B1623" s="147" t="s">
        <v>482</v>
      </c>
      <c r="C1623" s="147" t="s">
        <v>1208</v>
      </c>
      <c r="D1623" s="147" t="s">
        <v>1087</v>
      </c>
      <c r="E1623" s="147">
        <v>0</v>
      </c>
      <c r="F1623" s="147" t="s">
        <v>350</v>
      </c>
      <c r="G1623" s="147"/>
      <c r="H1623" s="107" t="str">
        <f t="shared" si="15"/>
        <v>ifnull(input.impawn_qty,0) as impawn_qty,/*质押数量*/</v>
      </c>
      <c r="J1623" s="7" t="s">
        <v>352</v>
      </c>
      <c r="K1623" s="7" t="s">
        <v>351</v>
      </c>
      <c r="L1623" s="7" t="s">
        <v>349</v>
      </c>
      <c r="M1623" s="7" t="s">
        <v>349</v>
      </c>
      <c r="N1623" s="7">
        <v>2511</v>
      </c>
    </row>
    <row r="1624" spans="1:14" s="7" customFormat="1" ht="17.25" customHeight="1" x14ac:dyDescent="0.15">
      <c r="A1624" s="175"/>
      <c r="B1624" s="147" t="s">
        <v>477</v>
      </c>
      <c r="C1624" s="147" t="s">
        <v>1530</v>
      </c>
      <c r="D1624" s="147" t="s">
        <v>1169</v>
      </c>
      <c r="E1624" s="147">
        <v>0</v>
      </c>
      <c r="F1624" s="147"/>
      <c r="G1624" s="147"/>
      <c r="H1624" s="107" t="str">
        <f t="shared" si="15"/>
        <v>ifnull(t.full_holding_amt,0) as full_holding_amt,/*全价持仓市值*/</v>
      </c>
      <c r="J1624" s="7" t="s">
        <v>352</v>
      </c>
      <c r="K1624" s="7" t="s">
        <v>351</v>
      </c>
      <c r="L1624" s="7" t="s">
        <v>349</v>
      </c>
      <c r="M1624" s="7" t="s">
        <v>349</v>
      </c>
    </row>
    <row r="1625" spans="1:14" s="7" customFormat="1" ht="17.25" customHeight="1" x14ac:dyDescent="0.15">
      <c r="A1625" s="175"/>
      <c r="B1625" s="147"/>
      <c r="C1625" s="147"/>
      <c r="D1625" s="147"/>
      <c r="E1625" s="147"/>
      <c r="F1625" s="147"/>
      <c r="G1625" s="147"/>
    </row>
    <row r="1626" spans="1:14" s="7" customFormat="1" x14ac:dyDescent="0.15">
      <c r="A1626" s="175"/>
      <c r="B1626" s="147"/>
      <c r="C1626" s="147"/>
      <c r="D1626" s="147"/>
      <c r="E1626" s="147"/>
      <c r="F1626" s="147"/>
      <c r="G1626" s="147"/>
    </row>
    <row r="1627" spans="1:14" s="7" customFormat="1" ht="17.25" customHeight="1" thickBot="1" x14ac:dyDescent="0.2">
      <c r="A1627" s="2"/>
      <c r="B1627" s="24"/>
      <c r="C1627" s="9"/>
      <c r="D1627" s="9"/>
      <c r="E1627" s="9"/>
      <c r="F1627" s="9"/>
      <c r="G1627" s="11"/>
    </row>
    <row r="1628" spans="1:14" s="7" customFormat="1" x14ac:dyDescent="0.15">
      <c r="A1628" s="2"/>
      <c r="B1628" s="327" t="s">
        <v>15</v>
      </c>
      <c r="C1628" s="328"/>
      <c r="D1628" s="328"/>
      <c r="E1628" s="328"/>
      <c r="F1628" s="328"/>
      <c r="G1628" s="329"/>
    </row>
    <row r="1629" spans="1:14" s="7" customFormat="1" ht="18" thickBot="1" x14ac:dyDescent="0.2">
      <c r="A1629" s="2"/>
      <c r="B1629" s="24"/>
      <c r="C1629" s="9"/>
      <c r="D1629" s="9"/>
      <c r="E1629" s="9"/>
      <c r="F1629" s="9"/>
      <c r="G1629" s="11"/>
    </row>
    <row r="1630" spans="1:14" ht="18" thickBot="1" x14ac:dyDescent="0.2"/>
    <row r="1631" spans="1:14" s="7" customFormat="1" x14ac:dyDescent="0.15">
      <c r="A1631" s="2"/>
      <c r="B1631" s="3" t="s">
        <v>563</v>
      </c>
      <c r="C1631" s="4" t="s">
        <v>678</v>
      </c>
      <c r="D1631" s="5" t="s">
        <v>515</v>
      </c>
      <c r="E1631" s="21" t="s">
        <v>1028</v>
      </c>
      <c r="F1631" s="5" t="s">
        <v>567</v>
      </c>
      <c r="G1631" s="6"/>
      <c r="H1631" s="6" t="str">
        <f>"create or replace view "&amp;C1631</f>
        <v>create or replace view vi_rptasset_qry_exgrp_posi_his</v>
      </c>
    </row>
    <row r="1632" spans="1:14" s="7" customFormat="1" ht="18" thickBot="1" x14ac:dyDescent="0.2">
      <c r="A1632" s="2"/>
      <c r="B1632" s="34" t="s">
        <v>570</v>
      </c>
      <c r="C1632" s="18"/>
      <c r="D1632" s="35" t="s">
        <v>568</v>
      </c>
      <c r="E1632" s="18" t="s">
        <v>615</v>
      </c>
      <c r="F1632" s="35"/>
      <c r="G1632" s="19"/>
      <c r="H1632" s="11" t="str">
        <f>"/* "&amp;E1631&amp;"*/  as "</f>
        <v xml:space="preserve">/* 报表_资管报表_视图-查询-交易组-证券持仓-历史*/  as </v>
      </c>
    </row>
    <row r="1633" spans="1:14" s="7" customFormat="1" x14ac:dyDescent="0.15">
      <c r="A1633" s="2"/>
      <c r="B1633" s="3" t="s">
        <v>0</v>
      </c>
      <c r="C1633" s="5" t="s">
        <v>1</v>
      </c>
      <c r="D1633" s="5" t="s">
        <v>2</v>
      </c>
      <c r="E1633" s="5"/>
      <c r="F1633" s="5" t="s">
        <v>3</v>
      </c>
      <c r="G1633" s="36" t="s">
        <v>4</v>
      </c>
      <c r="H1633" s="13" t="s">
        <v>474</v>
      </c>
    </row>
    <row r="1634" spans="1:14" s="7" customFormat="1" ht="17.25" customHeight="1" x14ac:dyDescent="0.15">
      <c r="A1634" s="175" t="s">
        <v>580</v>
      </c>
      <c r="B1634" s="147" t="s">
        <v>478</v>
      </c>
      <c r="C1634" s="147" t="s">
        <v>1476</v>
      </c>
      <c r="D1634" s="147" t="s">
        <v>1345</v>
      </c>
      <c r="E1634" s="147">
        <v>0</v>
      </c>
      <c r="F1634" s="147" t="s">
        <v>350</v>
      </c>
      <c r="G1634" s="147"/>
      <c r="H1634" s="107" t="str">
        <f t="shared" ref="H1634:H1663" si="16">"ifnull("&amp;IF(I1634&lt;&gt;"",I1634,IF(F1634&lt;&gt;"",F1634,"t")&amp;"."&amp;C1634)&amp;","&amp;E1634&amp;") as "&amp;C1634&amp;",/*"&amp;B1634&amp;"*/"</f>
        <v>ifnull(input.row_id,0) as row_id,/*记录序号*/</v>
      </c>
      <c r="J1634" s="7" t="s">
        <v>358</v>
      </c>
      <c r="K1634" s="7" t="s">
        <v>359</v>
      </c>
      <c r="L1634" s="7" t="s">
        <v>360</v>
      </c>
      <c r="M1634" s="7" t="s">
        <v>361</v>
      </c>
      <c r="N1634" s="7">
        <v>1629</v>
      </c>
    </row>
    <row r="1635" spans="1:14" s="7" customFormat="1" ht="17.25" customHeight="1" x14ac:dyDescent="0.15">
      <c r="A1635" s="175" t="s">
        <v>580</v>
      </c>
      <c r="B1635" s="147" t="s">
        <v>5</v>
      </c>
      <c r="C1635" s="147" t="s">
        <v>1127</v>
      </c>
      <c r="D1635" s="147" t="s">
        <v>211</v>
      </c>
      <c r="E1635" s="147" t="s">
        <v>1141</v>
      </c>
      <c r="F1635" s="147" t="s">
        <v>357</v>
      </c>
      <c r="G1635" s="147" t="s">
        <v>1162</v>
      </c>
      <c r="H1635" s="107" t="str">
        <f t="shared" si="16"/>
        <v>ifnull(datepicker.init_date,date_format(curdate(),'%Y%m%d')) as init_date,/*初始化日期*/</v>
      </c>
      <c r="J1635" s="7" t="s">
        <v>486</v>
      </c>
      <c r="K1635" s="7" t="s">
        <v>238</v>
      </c>
      <c r="L1635" s="7" t="s">
        <v>211</v>
      </c>
      <c r="M1635" s="7" t="s">
        <v>211</v>
      </c>
      <c r="N1635" s="7">
        <v>1211</v>
      </c>
    </row>
    <row r="1636" spans="1:14" s="7" customFormat="1" ht="17.25" customHeight="1" x14ac:dyDescent="0.15">
      <c r="A1636" s="175" t="s">
        <v>580</v>
      </c>
      <c r="B1636" s="147" t="s">
        <v>6</v>
      </c>
      <c r="C1636" s="147" t="s">
        <v>1163</v>
      </c>
      <c r="D1636" s="147" t="s">
        <v>211</v>
      </c>
      <c r="E1636" s="147">
        <v>0</v>
      </c>
      <c r="F1636" s="147" t="s">
        <v>350</v>
      </c>
      <c r="G1636" s="147" t="s">
        <v>1077</v>
      </c>
      <c r="H1636" s="107" t="str">
        <f t="shared" si="16"/>
        <v>ifnull(input.co_no,0) as co_no,/*机构编号*/</v>
      </c>
      <c r="J1636" s="7" t="s">
        <v>237</v>
      </c>
      <c r="K1636" s="7" t="s">
        <v>238</v>
      </c>
      <c r="L1636" s="7" t="s">
        <v>211</v>
      </c>
      <c r="M1636" s="7" t="s">
        <v>211</v>
      </c>
      <c r="N1636" s="7">
        <v>1606</v>
      </c>
    </row>
    <row r="1637" spans="1:14" s="7" customFormat="1" ht="17.25" customHeight="1" x14ac:dyDescent="0.15">
      <c r="A1637" s="175" t="s">
        <v>580</v>
      </c>
      <c r="B1637" s="147" t="s">
        <v>111</v>
      </c>
      <c r="C1637" s="147" t="s">
        <v>1164</v>
      </c>
      <c r="D1637" s="147" t="s">
        <v>211</v>
      </c>
      <c r="E1637" s="147">
        <v>0</v>
      </c>
      <c r="F1637" s="147" t="s">
        <v>350</v>
      </c>
      <c r="G1637" s="147" t="s">
        <v>1165</v>
      </c>
      <c r="H1637" s="107" t="str">
        <f t="shared" si="16"/>
        <v>ifnull(input.pd_no,0) as pd_no,/*产品编号*/</v>
      </c>
      <c r="J1637" s="7" t="s">
        <v>486</v>
      </c>
      <c r="K1637" s="7" t="s">
        <v>238</v>
      </c>
      <c r="L1637" s="7" t="s">
        <v>211</v>
      </c>
      <c r="M1637" s="7" t="s">
        <v>211</v>
      </c>
      <c r="N1637" s="7">
        <v>1112</v>
      </c>
    </row>
    <row r="1638" spans="1:14" s="7" customFormat="1" ht="17.25" customHeight="1" x14ac:dyDescent="0.15">
      <c r="A1638" s="175"/>
      <c r="B1638" s="147" t="s">
        <v>120</v>
      </c>
      <c r="C1638" s="147" t="s">
        <v>1187</v>
      </c>
      <c r="D1638" s="147" t="s">
        <v>211</v>
      </c>
      <c r="E1638" s="147">
        <v>0</v>
      </c>
      <c r="F1638" s="147" t="s">
        <v>350</v>
      </c>
      <c r="G1638" s="147"/>
      <c r="H1638" s="107" t="str">
        <f t="shared" si="16"/>
        <v>ifnull(input.asset_acco_no,0) as asset_acco_no,/*资产账户编号*/</v>
      </c>
      <c r="J1638" s="7" t="s">
        <v>486</v>
      </c>
      <c r="K1638" s="7" t="s">
        <v>238</v>
      </c>
      <c r="L1638" s="7" t="s">
        <v>211</v>
      </c>
      <c r="M1638" s="7" t="s">
        <v>211</v>
      </c>
      <c r="N1638" s="7">
        <v>2534</v>
      </c>
    </row>
    <row r="1639" spans="1:14" s="7" customFormat="1" ht="17.25" customHeight="1" x14ac:dyDescent="0.15">
      <c r="A1639" s="175" t="s">
        <v>580</v>
      </c>
      <c r="B1639" s="147" t="s">
        <v>154</v>
      </c>
      <c r="C1639" s="147" t="s">
        <v>1133</v>
      </c>
      <c r="D1639" s="147" t="s">
        <v>211</v>
      </c>
      <c r="E1639" s="147">
        <v>0</v>
      </c>
      <c r="F1639" s="147" t="s">
        <v>350</v>
      </c>
      <c r="G1639" s="147" t="s">
        <v>1182</v>
      </c>
      <c r="H1639" s="107" t="str">
        <f t="shared" si="16"/>
        <v>ifnull(input.exch_group_no,0) as exch_group_no,/*交易组编号*/</v>
      </c>
      <c r="J1639" s="7" t="s">
        <v>358</v>
      </c>
      <c r="K1639" s="7" t="s">
        <v>359</v>
      </c>
      <c r="L1639" s="7" t="s">
        <v>360</v>
      </c>
      <c r="M1639" s="7" t="s">
        <v>361</v>
      </c>
      <c r="N1639" s="7">
        <v>1700</v>
      </c>
    </row>
    <row r="1640" spans="1:14" s="7" customFormat="1" ht="17.25" customHeight="1" x14ac:dyDescent="0.15">
      <c r="A1640" s="175" t="s">
        <v>580</v>
      </c>
      <c r="B1640" s="147" t="s">
        <v>7</v>
      </c>
      <c r="C1640" s="147" t="s">
        <v>1190</v>
      </c>
      <c r="D1640" s="147" t="s">
        <v>211</v>
      </c>
      <c r="E1640" s="147">
        <v>0</v>
      </c>
      <c r="F1640" s="147" t="s">
        <v>366</v>
      </c>
      <c r="G1640" s="147" t="s">
        <v>1081</v>
      </c>
      <c r="H1640" s="107" t="str">
        <f t="shared" si="16"/>
        <v>ifnull(select.exch_no,0) as exch_no,/*市场编号*/</v>
      </c>
      <c r="J1640" s="7" t="s">
        <v>486</v>
      </c>
      <c r="K1640" s="7" t="s">
        <v>238</v>
      </c>
      <c r="L1640" s="7" t="s">
        <v>211</v>
      </c>
      <c r="M1640" s="7" t="s">
        <v>211</v>
      </c>
      <c r="N1640" s="7">
        <v>2155</v>
      </c>
    </row>
    <row r="1641" spans="1:14" s="7" customFormat="1" ht="17.25" customHeight="1" x14ac:dyDescent="0.15">
      <c r="A1641" s="175" t="s">
        <v>580</v>
      </c>
      <c r="B1641" s="147" t="s">
        <v>386</v>
      </c>
      <c r="C1641" s="147" t="s">
        <v>1191</v>
      </c>
      <c r="D1641" s="147" t="s">
        <v>211</v>
      </c>
      <c r="E1641" s="147">
        <v>0</v>
      </c>
      <c r="F1641" s="147" t="s">
        <v>366</v>
      </c>
      <c r="G1641" s="147" t="s">
        <v>1192</v>
      </c>
      <c r="H1641" s="107" t="str">
        <f t="shared" si="16"/>
        <v>ifnull(select.invest_type,0) as invest_type,/*投资类型*/</v>
      </c>
      <c r="J1641" s="7" t="s">
        <v>486</v>
      </c>
      <c r="K1641" s="7" t="s">
        <v>238</v>
      </c>
      <c r="L1641" s="7" t="s">
        <v>211</v>
      </c>
      <c r="M1641" s="7" t="s">
        <v>211</v>
      </c>
      <c r="N1641" s="7">
        <v>2237</v>
      </c>
    </row>
    <row r="1642" spans="1:14" s="7" customFormat="1" ht="17.25" customHeight="1" x14ac:dyDescent="0.15">
      <c r="A1642" s="175" t="s">
        <v>580</v>
      </c>
      <c r="B1642" s="147" t="s">
        <v>186</v>
      </c>
      <c r="C1642" s="147" t="s">
        <v>1189</v>
      </c>
      <c r="D1642" s="147" t="s">
        <v>211</v>
      </c>
      <c r="E1642" s="147">
        <v>0</v>
      </c>
      <c r="F1642" s="147" t="s">
        <v>366</v>
      </c>
      <c r="G1642" s="147"/>
      <c r="H1642" s="107" t="str">
        <f t="shared" si="16"/>
        <v>ifnull(select.stock_type,0) as stock_type,/*证券类型*/</v>
      </c>
      <c r="J1642" s="7" t="s">
        <v>486</v>
      </c>
      <c r="K1642" s="7" t="s">
        <v>238</v>
      </c>
      <c r="L1642" s="7" t="s">
        <v>211</v>
      </c>
      <c r="M1642" s="7" t="s">
        <v>211</v>
      </c>
      <c r="N1642" s="7">
        <v>2433</v>
      </c>
    </row>
    <row r="1643" spans="1:14" s="7" customFormat="1" ht="17.25" customHeight="1" x14ac:dyDescent="0.15">
      <c r="A1643" s="175" t="s">
        <v>580</v>
      </c>
      <c r="B1643" s="147" t="s">
        <v>162</v>
      </c>
      <c r="C1643" s="147" t="s">
        <v>1214</v>
      </c>
      <c r="D1643" s="147" t="s">
        <v>1169</v>
      </c>
      <c r="E1643" s="147">
        <v>0</v>
      </c>
      <c r="F1643" s="147"/>
      <c r="G1643" s="147"/>
      <c r="H1643" s="107" t="str">
        <f t="shared" si="16"/>
        <v>ifnull(t.posi_market_value,0) as posi_market_value,/*持仓市值*/</v>
      </c>
      <c r="J1643" s="7" t="s">
        <v>352</v>
      </c>
      <c r="K1643" s="7" t="s">
        <v>351</v>
      </c>
      <c r="L1643" s="7" t="s">
        <v>349</v>
      </c>
      <c r="M1643" s="7" t="s">
        <v>349</v>
      </c>
      <c r="N1643" s="7">
        <v>1202</v>
      </c>
    </row>
    <row r="1644" spans="1:14" s="7" customFormat="1" ht="17.25" customHeight="1" x14ac:dyDescent="0.15">
      <c r="A1644" s="175" t="s">
        <v>580</v>
      </c>
      <c r="B1644" s="147" t="s">
        <v>8</v>
      </c>
      <c r="C1644" s="147" t="s">
        <v>1193</v>
      </c>
      <c r="D1644" s="147" t="s">
        <v>1087</v>
      </c>
      <c r="E1644" s="147">
        <v>0</v>
      </c>
      <c r="F1644" s="147" t="s">
        <v>350</v>
      </c>
      <c r="G1644" s="147" t="s">
        <v>1194</v>
      </c>
      <c r="H1644" s="107" t="str">
        <f t="shared" si="16"/>
        <v>ifnull(input.begin_qty,0) as begin_qty,/*期初数量*/</v>
      </c>
      <c r="J1644" s="7" t="s">
        <v>352</v>
      </c>
      <c r="K1644" s="7" t="s">
        <v>351</v>
      </c>
      <c r="L1644" s="7" t="s">
        <v>349</v>
      </c>
      <c r="M1644" s="7" t="s">
        <v>349</v>
      </c>
      <c r="N1644" s="7">
        <v>1986</v>
      </c>
    </row>
    <row r="1645" spans="1:14" s="7" customFormat="1" ht="17.25" customHeight="1" x14ac:dyDescent="0.15">
      <c r="A1645" s="175" t="s">
        <v>580</v>
      </c>
      <c r="B1645" s="147" t="s">
        <v>9</v>
      </c>
      <c r="C1645" s="147" t="s">
        <v>1195</v>
      </c>
      <c r="D1645" s="147" t="s">
        <v>1087</v>
      </c>
      <c r="E1645" s="147">
        <v>0</v>
      </c>
      <c r="F1645" s="147" t="s">
        <v>350</v>
      </c>
      <c r="G1645" s="147" t="s">
        <v>1196</v>
      </c>
      <c r="H1645" s="107" t="str">
        <f t="shared" si="16"/>
        <v>ifnull(input.curr_qty,0) as curr_qty,/*当前数量*/</v>
      </c>
      <c r="J1645" s="7" t="s">
        <v>352</v>
      </c>
      <c r="K1645" s="7" t="s">
        <v>351</v>
      </c>
      <c r="L1645" s="7" t="s">
        <v>349</v>
      </c>
      <c r="M1645" s="7" t="s">
        <v>349</v>
      </c>
      <c r="N1645" s="7">
        <v>1262</v>
      </c>
    </row>
    <row r="1646" spans="1:14" s="7" customFormat="1" ht="17.25" customHeight="1" x14ac:dyDescent="0.15">
      <c r="A1646" s="175" t="s">
        <v>580</v>
      </c>
      <c r="B1646" s="147" t="s">
        <v>10</v>
      </c>
      <c r="C1646" s="147" t="s">
        <v>1197</v>
      </c>
      <c r="D1646" s="147" t="s">
        <v>1087</v>
      </c>
      <c r="E1646" s="147">
        <v>0</v>
      </c>
      <c r="F1646" s="147" t="s">
        <v>350</v>
      </c>
      <c r="G1646" s="147" t="s">
        <v>1144</v>
      </c>
      <c r="H1646" s="107" t="str">
        <f t="shared" si="16"/>
        <v>ifnull(input.frozen_qty,0) as frozen_qty,/*冻结数量*/</v>
      </c>
      <c r="J1646" s="7" t="s">
        <v>352</v>
      </c>
      <c r="K1646" s="7" t="s">
        <v>351</v>
      </c>
      <c r="L1646" s="7" t="s">
        <v>349</v>
      </c>
      <c r="M1646" s="7" t="s">
        <v>349</v>
      </c>
      <c r="N1646" s="7">
        <v>1317</v>
      </c>
    </row>
    <row r="1647" spans="1:14" s="7" customFormat="1" ht="17.25" customHeight="1" x14ac:dyDescent="0.15">
      <c r="A1647" s="175" t="s">
        <v>580</v>
      </c>
      <c r="B1647" s="147" t="s">
        <v>11</v>
      </c>
      <c r="C1647" s="147" t="s">
        <v>1198</v>
      </c>
      <c r="D1647" s="147" t="s">
        <v>1087</v>
      </c>
      <c r="E1647" s="147">
        <v>0</v>
      </c>
      <c r="F1647" s="147" t="s">
        <v>350</v>
      </c>
      <c r="G1647" s="147" t="s">
        <v>1080</v>
      </c>
      <c r="H1647" s="107" t="str">
        <f t="shared" si="16"/>
        <v>ifnull(input.unfroz_qty,0) as unfroz_qty,/*解冻数量*/</v>
      </c>
      <c r="J1647" s="7" t="s">
        <v>352</v>
      </c>
      <c r="K1647" s="7" t="s">
        <v>351</v>
      </c>
      <c r="L1647" s="7" t="s">
        <v>349</v>
      </c>
      <c r="M1647" s="7" t="s">
        <v>349</v>
      </c>
      <c r="N1647" s="7">
        <v>1721</v>
      </c>
    </row>
    <row r="1648" spans="1:14" s="7" customFormat="1" ht="17.25" customHeight="1" x14ac:dyDescent="0.15">
      <c r="A1648" s="175" t="s">
        <v>580</v>
      </c>
      <c r="B1648" s="147" t="s">
        <v>116</v>
      </c>
      <c r="C1648" s="147" t="s">
        <v>1213</v>
      </c>
      <c r="D1648" s="147" t="s">
        <v>1169</v>
      </c>
      <c r="E1648" s="147">
        <v>0</v>
      </c>
      <c r="F1648" s="147" t="s">
        <v>350</v>
      </c>
      <c r="G1648" s="147"/>
      <c r="H1648" s="107" t="str">
        <f t="shared" si="16"/>
        <v>ifnull(input.cost_amt,0) as cost_amt,/*成本金额*/</v>
      </c>
      <c r="J1648" s="7" t="s">
        <v>352</v>
      </c>
      <c r="K1648" s="7" t="s">
        <v>351</v>
      </c>
      <c r="L1648" s="7" t="s">
        <v>349</v>
      </c>
      <c r="M1648" s="7" t="s">
        <v>349</v>
      </c>
      <c r="N1648" s="7">
        <v>1163</v>
      </c>
    </row>
    <row r="1649" spans="1:14" s="7" customFormat="1" ht="17.25" customHeight="1" x14ac:dyDescent="0.15">
      <c r="A1649" s="175" t="s">
        <v>580</v>
      </c>
      <c r="B1649" s="147" t="s">
        <v>12</v>
      </c>
      <c r="C1649" s="147" t="s">
        <v>1143</v>
      </c>
      <c r="D1649" s="147" t="s">
        <v>1169</v>
      </c>
      <c r="E1649" s="147">
        <v>0</v>
      </c>
      <c r="F1649" s="147" t="s">
        <v>350</v>
      </c>
      <c r="G1649" s="147"/>
      <c r="H1649" s="107" t="str">
        <f t="shared" si="16"/>
        <v>ifnull(input.realize_pandl,0) as realize_pandl,/*实现盈亏*/</v>
      </c>
      <c r="J1649" s="7" t="s">
        <v>352</v>
      </c>
      <c r="K1649" s="7" t="s">
        <v>351</v>
      </c>
      <c r="L1649" s="7" t="s">
        <v>349</v>
      </c>
      <c r="M1649" s="7" t="s">
        <v>349</v>
      </c>
      <c r="N1649" s="7">
        <v>2153</v>
      </c>
    </row>
    <row r="1650" spans="1:14" s="7" customFormat="1" ht="17.25" customHeight="1" x14ac:dyDescent="0.15">
      <c r="A1650" s="175" t="s">
        <v>580</v>
      </c>
      <c r="B1650" s="147" t="s">
        <v>13</v>
      </c>
      <c r="C1650" s="147" t="s">
        <v>1205</v>
      </c>
      <c r="D1650" s="147" t="s">
        <v>1169</v>
      </c>
      <c r="E1650" s="147">
        <v>0</v>
      </c>
      <c r="F1650" s="147" t="s">
        <v>350</v>
      </c>
      <c r="G1650" s="147"/>
      <c r="H1650" s="107" t="str">
        <f t="shared" si="16"/>
        <v>ifnull(input.intrst_cost_amt,0) as intrst_cost_amt,/*利息成本金额*/</v>
      </c>
      <c r="J1650" s="7" t="s">
        <v>352</v>
      </c>
      <c r="K1650" s="7" t="s">
        <v>351</v>
      </c>
      <c r="L1650" s="7" t="s">
        <v>349</v>
      </c>
      <c r="M1650" s="7" t="s">
        <v>349</v>
      </c>
      <c r="N1650" s="7">
        <v>1852</v>
      </c>
    </row>
    <row r="1651" spans="1:14" s="7" customFormat="1" ht="17.25" customHeight="1" x14ac:dyDescent="0.15">
      <c r="A1651" s="175" t="s">
        <v>580</v>
      </c>
      <c r="B1651" s="147" t="s">
        <v>14</v>
      </c>
      <c r="C1651" s="147" t="s">
        <v>1206</v>
      </c>
      <c r="D1651" s="147" t="s">
        <v>1169</v>
      </c>
      <c r="E1651" s="147">
        <v>0</v>
      </c>
      <c r="F1651" s="147" t="s">
        <v>350</v>
      </c>
      <c r="G1651" s="147"/>
      <c r="H1651" s="107" t="str">
        <f t="shared" si="16"/>
        <v>ifnull(input.intrst_pandl,0) as intrst_pandl,/*利息收益*/</v>
      </c>
      <c r="J1651" s="7" t="s">
        <v>352</v>
      </c>
      <c r="K1651" s="7" t="s">
        <v>351</v>
      </c>
      <c r="L1651" s="7" t="s">
        <v>349</v>
      </c>
      <c r="M1651" s="7" t="s">
        <v>349</v>
      </c>
      <c r="N1651" s="7">
        <v>1857</v>
      </c>
    </row>
    <row r="1652" spans="1:14" s="7" customFormat="1" ht="17.25" customHeight="1" x14ac:dyDescent="0.15">
      <c r="A1652" s="175" t="s">
        <v>580</v>
      </c>
      <c r="B1652" s="147" t="s">
        <v>389</v>
      </c>
      <c r="C1652" s="147" t="s">
        <v>1477</v>
      </c>
      <c r="D1652" s="147" t="s">
        <v>1211</v>
      </c>
      <c r="E1652" s="147">
        <v>0</v>
      </c>
      <c r="F1652" s="147" t="s">
        <v>350</v>
      </c>
      <c r="G1652" s="147" t="s">
        <v>1478</v>
      </c>
      <c r="H1652" s="107" t="str">
        <f t="shared" si="16"/>
        <v>ifnull(input.cost_price,0) as cost_price,/*成本价*/</v>
      </c>
      <c r="J1652" s="7" t="s">
        <v>352</v>
      </c>
      <c r="K1652" s="7" t="s">
        <v>351</v>
      </c>
      <c r="L1652" s="7" t="s">
        <v>349</v>
      </c>
      <c r="M1652" s="7" t="s">
        <v>349</v>
      </c>
      <c r="N1652" s="7">
        <v>1162</v>
      </c>
    </row>
    <row r="1653" spans="1:14" s="7" customFormat="1" ht="17.25" customHeight="1" x14ac:dyDescent="0.15">
      <c r="A1653" s="175" t="s">
        <v>580</v>
      </c>
      <c r="B1653" s="147" t="s">
        <v>439</v>
      </c>
      <c r="C1653" s="147" t="s">
        <v>1236</v>
      </c>
      <c r="D1653" s="147" t="s">
        <v>1211</v>
      </c>
      <c r="E1653" s="147">
        <v>0</v>
      </c>
      <c r="F1653" s="147" t="s">
        <v>350</v>
      </c>
      <c r="G1653" s="147"/>
      <c r="H1653" s="107" t="str">
        <f t="shared" si="16"/>
        <v>ifnull(input.last_price,0) as last_price,/*最新价*/</v>
      </c>
      <c r="J1653" s="7" t="s">
        <v>352</v>
      </c>
      <c r="K1653" s="7" t="s">
        <v>351</v>
      </c>
      <c r="L1653" s="7" t="s">
        <v>349</v>
      </c>
      <c r="M1653" s="7" t="s">
        <v>349</v>
      </c>
      <c r="N1653" s="7">
        <v>2586</v>
      </c>
    </row>
    <row r="1654" spans="1:14" s="7" customFormat="1" ht="17.25" customHeight="1" x14ac:dyDescent="0.15">
      <c r="A1654" s="175" t="s">
        <v>580</v>
      </c>
      <c r="B1654" s="147" t="s">
        <v>445</v>
      </c>
      <c r="C1654" s="147" t="s">
        <v>1479</v>
      </c>
      <c r="D1654" s="147" t="s">
        <v>1169</v>
      </c>
      <c r="E1654" s="147">
        <v>0</v>
      </c>
      <c r="F1654" s="147"/>
      <c r="G1654" s="147"/>
      <c r="H1654" s="107" t="str">
        <f t="shared" si="16"/>
        <v>ifnull(t.float_pandl,0) as float_pandl,/*浮动盈亏*/</v>
      </c>
      <c r="J1654" s="7" t="s">
        <v>352</v>
      </c>
      <c r="K1654" s="7" t="s">
        <v>351</v>
      </c>
      <c r="L1654" s="7" t="s">
        <v>349</v>
      </c>
      <c r="M1654" s="7" t="s">
        <v>349</v>
      </c>
      <c r="N1654" s="7">
        <v>1461</v>
      </c>
    </row>
    <row r="1655" spans="1:14" s="7" customFormat="1" ht="17.25" customHeight="1" x14ac:dyDescent="0.15">
      <c r="A1655" s="175" t="s">
        <v>580</v>
      </c>
      <c r="B1655" s="147" t="s">
        <v>484</v>
      </c>
      <c r="C1655" s="147" t="s">
        <v>1483</v>
      </c>
      <c r="D1655" s="147" t="s">
        <v>1172</v>
      </c>
      <c r="E1655" s="147">
        <v>0</v>
      </c>
      <c r="F1655" s="147"/>
      <c r="G1655" s="147"/>
      <c r="H1655" s="107" t="str">
        <f t="shared" si="16"/>
        <v>ifnull(t.pandl_ratio,0) as pandl_ratio,/*盈亏比例*/</v>
      </c>
      <c r="J1655" s="7" t="s">
        <v>352</v>
      </c>
      <c r="K1655" s="7" t="s">
        <v>351</v>
      </c>
      <c r="L1655" s="7" t="s">
        <v>349</v>
      </c>
      <c r="M1655" s="7" t="s">
        <v>349</v>
      </c>
      <c r="N1655" s="7">
        <v>2346</v>
      </c>
    </row>
    <row r="1656" spans="1:14" s="7" customFormat="1" ht="17.25" customHeight="1" x14ac:dyDescent="0.15">
      <c r="A1656" s="175" t="s">
        <v>580</v>
      </c>
      <c r="B1656" s="147" t="s">
        <v>475</v>
      </c>
      <c r="C1656" s="147" t="s">
        <v>1480</v>
      </c>
      <c r="D1656" s="147" t="s">
        <v>1087</v>
      </c>
      <c r="E1656" s="147">
        <v>0</v>
      </c>
      <c r="F1656" s="147"/>
      <c r="G1656" s="147" t="s">
        <v>1481</v>
      </c>
      <c r="H1656" s="107" t="str">
        <f t="shared" si="16"/>
        <v>ifnull(t.trade_avail_qty,0) as trade_avail_qty,/*交易端可用数量*/</v>
      </c>
      <c r="J1656" s="7" t="s">
        <v>352</v>
      </c>
      <c r="K1656" s="7" t="s">
        <v>351</v>
      </c>
      <c r="L1656" s="7" t="s">
        <v>349</v>
      </c>
      <c r="M1656" s="7" t="s">
        <v>349</v>
      </c>
      <c r="N1656" s="7">
        <v>1677</v>
      </c>
    </row>
    <row r="1657" spans="1:14" s="7" customFormat="1" ht="17.25" customHeight="1" x14ac:dyDescent="0.15">
      <c r="A1657" s="175" t="s">
        <v>580</v>
      </c>
      <c r="B1657" s="147" t="s">
        <v>476</v>
      </c>
      <c r="C1657" s="147" t="s">
        <v>1482</v>
      </c>
      <c r="D1657" s="147" t="s">
        <v>1087</v>
      </c>
      <c r="E1657" s="147">
        <v>0</v>
      </c>
      <c r="F1657" s="147"/>
      <c r="G1657" s="147" t="s">
        <v>1481</v>
      </c>
      <c r="H1657" s="107" t="str">
        <f t="shared" si="16"/>
        <v>ifnull(t.comm_avail_qty,0) as comm_avail_qty,/*指令端可用数量*/</v>
      </c>
      <c r="J1657" s="7" t="s">
        <v>352</v>
      </c>
      <c r="K1657" s="7" t="s">
        <v>351</v>
      </c>
      <c r="L1657" s="7" t="s">
        <v>349</v>
      </c>
      <c r="M1657" s="7" t="s">
        <v>349</v>
      </c>
      <c r="N1657" s="7">
        <v>2459</v>
      </c>
    </row>
    <row r="1658" spans="1:14" s="7" customFormat="1" ht="17.25" customHeight="1" x14ac:dyDescent="0.15">
      <c r="A1658" s="175" t="s">
        <v>580</v>
      </c>
      <c r="B1658" s="147" t="s">
        <v>485</v>
      </c>
      <c r="C1658" s="147" t="s">
        <v>1112</v>
      </c>
      <c r="D1658" s="147" t="s">
        <v>1211</v>
      </c>
      <c r="E1658" s="147">
        <v>0</v>
      </c>
      <c r="F1658" s="147" t="s">
        <v>350</v>
      </c>
      <c r="G1658" s="147"/>
      <c r="H1658" s="107" t="str">
        <f t="shared" si="16"/>
        <v>ifnull(input.pre_close_price,0) as pre_close_price,/*昨收盘价*/</v>
      </c>
      <c r="J1658" s="7" t="s">
        <v>352</v>
      </c>
      <c r="K1658" s="7" t="s">
        <v>351</v>
      </c>
      <c r="L1658" s="7" t="s">
        <v>349</v>
      </c>
      <c r="M1658" s="7" t="s">
        <v>349</v>
      </c>
      <c r="N1658" s="7">
        <v>2597</v>
      </c>
    </row>
    <row r="1659" spans="1:14" s="7" customFormat="1" ht="17.25" customHeight="1" x14ac:dyDescent="0.15">
      <c r="A1659" s="175" t="s">
        <v>580</v>
      </c>
      <c r="B1659" s="147" t="s">
        <v>480</v>
      </c>
      <c r="C1659" s="147" t="s">
        <v>1079</v>
      </c>
      <c r="D1659" s="147" t="s">
        <v>1172</v>
      </c>
      <c r="E1659" s="147">
        <v>0</v>
      </c>
      <c r="F1659" s="147"/>
      <c r="G1659" s="147"/>
      <c r="H1659" s="107" t="str">
        <f t="shared" si="16"/>
        <v>ifnull(t.posi_nav_ratio,0) as posi_nav_ratio,/*持仓净值占比*/</v>
      </c>
      <c r="J1659" s="7" t="s">
        <v>352</v>
      </c>
      <c r="K1659" s="7" t="s">
        <v>351</v>
      </c>
      <c r="L1659" s="7" t="s">
        <v>349</v>
      </c>
      <c r="M1659" s="7" t="s">
        <v>349</v>
      </c>
      <c r="N1659" s="7">
        <v>1197</v>
      </c>
    </row>
    <row r="1660" spans="1:14" s="7" customFormat="1" ht="17.25" customHeight="1" x14ac:dyDescent="0.15">
      <c r="A1660" s="175" t="s">
        <v>580</v>
      </c>
      <c r="B1660" s="147" t="s">
        <v>374</v>
      </c>
      <c r="C1660" s="147" t="s">
        <v>1170</v>
      </c>
      <c r="D1660" s="147" t="s">
        <v>1169</v>
      </c>
      <c r="E1660" s="147">
        <v>0</v>
      </c>
      <c r="F1660" s="147" t="s">
        <v>350</v>
      </c>
      <c r="G1660" s="147"/>
      <c r="H1660" s="107" t="str">
        <f t="shared" si="16"/>
        <v>ifnull(input.nav_asset,0) as nav_asset,/*净资产*/</v>
      </c>
      <c r="J1660" s="7" t="s">
        <v>352</v>
      </c>
      <c r="K1660" s="7" t="s">
        <v>351</v>
      </c>
      <c r="L1660" s="7" t="s">
        <v>349</v>
      </c>
      <c r="M1660" s="7" t="s">
        <v>349</v>
      </c>
      <c r="N1660" s="7">
        <v>1741</v>
      </c>
    </row>
    <row r="1661" spans="1:14" s="7" customFormat="1" ht="17.25" customHeight="1" x14ac:dyDescent="0.15">
      <c r="A1661" s="175" t="s">
        <v>580</v>
      </c>
      <c r="B1661" s="147" t="s">
        <v>481</v>
      </c>
      <c r="C1661" s="147" t="s">
        <v>1209</v>
      </c>
      <c r="D1661" s="147" t="s">
        <v>1169</v>
      </c>
      <c r="E1661" s="147">
        <v>0</v>
      </c>
      <c r="F1661" s="147"/>
      <c r="G1661" s="147"/>
      <c r="H1661" s="107" t="str">
        <f t="shared" si="16"/>
        <v>ifnull(t.bond_receivable_amt,0) as bond_receivable_amt,/*债券应收利息*/</v>
      </c>
      <c r="J1661" s="7" t="s">
        <v>352</v>
      </c>
      <c r="K1661" s="7" t="s">
        <v>351</v>
      </c>
      <c r="L1661" s="7" t="s">
        <v>349</v>
      </c>
      <c r="M1661" s="7" t="s">
        <v>349</v>
      </c>
    </row>
    <row r="1662" spans="1:14" s="7" customFormat="1" ht="17.25" customHeight="1" x14ac:dyDescent="0.15">
      <c r="A1662" s="175" t="s">
        <v>580</v>
      </c>
      <c r="B1662" s="147" t="s">
        <v>487</v>
      </c>
      <c r="C1662" s="147" t="s">
        <v>1208</v>
      </c>
      <c r="D1662" s="147" t="s">
        <v>1087</v>
      </c>
      <c r="E1662" s="147">
        <v>0</v>
      </c>
      <c r="F1662" s="147" t="s">
        <v>350</v>
      </c>
      <c r="G1662" s="147"/>
      <c r="H1662" s="107" t="str">
        <f t="shared" si="16"/>
        <v>ifnull(input.impawn_qty,0) as impawn_qty,/*质押数量*/</v>
      </c>
      <c r="J1662" s="7" t="s">
        <v>352</v>
      </c>
      <c r="K1662" s="7" t="s">
        <v>351</v>
      </c>
      <c r="L1662" s="7" t="s">
        <v>349</v>
      </c>
      <c r="M1662" s="7" t="s">
        <v>349</v>
      </c>
      <c r="N1662" s="7">
        <v>2511</v>
      </c>
    </row>
    <row r="1663" spans="1:14" s="7" customFormat="1" ht="17.25" customHeight="1" x14ac:dyDescent="0.15">
      <c r="A1663" s="175" t="s">
        <v>580</v>
      </c>
      <c r="B1663" s="147" t="s">
        <v>477</v>
      </c>
      <c r="C1663" s="147" t="s">
        <v>1530</v>
      </c>
      <c r="D1663" s="147" t="s">
        <v>1169</v>
      </c>
      <c r="E1663" s="147">
        <v>0</v>
      </c>
      <c r="F1663" s="147"/>
      <c r="G1663" s="147"/>
      <c r="H1663" s="107" t="str">
        <f t="shared" si="16"/>
        <v>ifnull(t.full_holding_amt,0) as full_holding_amt,/*全价持仓市值*/</v>
      </c>
      <c r="J1663" s="7" t="s">
        <v>352</v>
      </c>
      <c r="K1663" s="7" t="s">
        <v>351</v>
      </c>
      <c r="L1663" s="7" t="s">
        <v>349</v>
      </c>
      <c r="M1663" s="7" t="s">
        <v>349</v>
      </c>
    </row>
    <row r="1664" spans="1:14" s="7" customFormat="1" ht="17.25" customHeight="1" thickBot="1" x14ac:dyDescent="0.2">
      <c r="A1664" s="2"/>
      <c r="B1664" s="24"/>
      <c r="C1664" s="9"/>
      <c r="D1664" s="9"/>
      <c r="E1664" s="9"/>
      <c r="F1664" s="9"/>
      <c r="G1664" s="11"/>
    </row>
    <row r="1665" spans="1:7" s="7" customFormat="1" x14ac:dyDescent="0.15">
      <c r="A1665" s="2"/>
      <c r="B1665" s="327" t="s">
        <v>15</v>
      </c>
      <c r="C1665" s="328"/>
      <c r="D1665" s="328"/>
      <c r="E1665" s="328"/>
      <c r="F1665" s="328"/>
      <c r="G1665" s="329"/>
    </row>
    <row r="1666" spans="1:7" s="7" customFormat="1" ht="17.25" customHeight="1" thickBot="1" x14ac:dyDescent="0.2">
      <c r="A1666" s="2"/>
      <c r="B1666" s="24"/>
      <c r="C1666" s="9"/>
      <c r="D1666" s="9"/>
      <c r="E1666" s="9"/>
      <c r="F1666" s="9"/>
      <c r="G1666" s="11"/>
    </row>
    <row r="1667" spans="1:7" ht="17.25" customHeight="1" thickBot="1" x14ac:dyDescent="0.2"/>
    <row r="1668" spans="1:7" s="7" customFormat="1" ht="17.25" customHeight="1" x14ac:dyDescent="0.15">
      <c r="A1668" s="2"/>
      <c r="B1668" s="3" t="s">
        <v>563</v>
      </c>
      <c r="C1668" s="4" t="s">
        <v>667</v>
      </c>
      <c r="D1668" s="5" t="s">
        <v>515</v>
      </c>
      <c r="E1668" s="21" t="s">
        <v>1019</v>
      </c>
      <c r="F1668" s="5" t="s">
        <v>567</v>
      </c>
      <c r="G1668" s="6"/>
    </row>
    <row r="1669" spans="1:7" s="7" customFormat="1" ht="17.25" customHeight="1" thickBot="1" x14ac:dyDescent="0.2">
      <c r="A1669" s="2"/>
      <c r="B1669" s="34" t="s">
        <v>570</v>
      </c>
      <c r="C1669" s="18"/>
      <c r="D1669" s="35" t="s">
        <v>568</v>
      </c>
      <c r="E1669" s="18" t="s">
        <v>615</v>
      </c>
      <c r="F1669" s="35"/>
      <c r="G1669" s="19"/>
    </row>
    <row r="1670" spans="1:7" s="7" customFormat="1" x14ac:dyDescent="0.15">
      <c r="A1670" s="2"/>
      <c r="B1670" s="3" t="s">
        <v>0</v>
      </c>
      <c r="C1670" s="5" t="s">
        <v>1</v>
      </c>
      <c r="D1670" s="5" t="s">
        <v>2</v>
      </c>
      <c r="E1670" s="5"/>
      <c r="F1670" s="5" t="s">
        <v>3</v>
      </c>
      <c r="G1670" s="36" t="s">
        <v>4</v>
      </c>
    </row>
    <row r="1671" spans="1:7" s="7" customFormat="1" x14ac:dyDescent="0.15">
      <c r="A1671" s="2"/>
      <c r="B1671" s="20" t="s">
        <v>16</v>
      </c>
      <c r="C1671" s="21" t="s">
        <v>1163</v>
      </c>
      <c r="D1671" s="21" t="s">
        <v>211</v>
      </c>
      <c r="E1671" s="21">
        <v>0</v>
      </c>
      <c r="F1671" s="21"/>
      <c r="G1671" s="22" t="s">
        <v>1077</v>
      </c>
    </row>
    <row r="1672" spans="1:7" s="7" customFormat="1" x14ac:dyDescent="0.15">
      <c r="A1672" s="2"/>
      <c r="B1672" s="20" t="s">
        <v>111</v>
      </c>
      <c r="C1672" s="21" t="s">
        <v>1164</v>
      </c>
      <c r="D1672" s="21" t="s">
        <v>211</v>
      </c>
      <c r="E1672" s="21">
        <v>0</v>
      </c>
      <c r="F1672" s="21"/>
      <c r="G1672" s="22" t="s">
        <v>1165</v>
      </c>
    </row>
    <row r="1673" spans="1:7" s="7" customFormat="1" x14ac:dyDescent="0.15">
      <c r="A1673" s="2"/>
      <c r="B1673" s="20" t="s">
        <v>154</v>
      </c>
      <c r="C1673" s="21" t="s">
        <v>1133</v>
      </c>
      <c r="D1673" s="21" t="s">
        <v>211</v>
      </c>
      <c r="E1673" s="21">
        <v>0</v>
      </c>
      <c r="F1673" s="21"/>
      <c r="G1673" s="22" t="s">
        <v>1182</v>
      </c>
    </row>
    <row r="1674" spans="1:7" s="7" customFormat="1" x14ac:dyDescent="0.15">
      <c r="A1674" s="2"/>
      <c r="B1674" s="20" t="s">
        <v>121</v>
      </c>
      <c r="C1674" s="21" t="s">
        <v>1187</v>
      </c>
      <c r="D1674" s="21" t="s">
        <v>211</v>
      </c>
      <c r="E1674" s="21">
        <v>0</v>
      </c>
      <c r="F1674" s="21"/>
      <c r="G1674" s="22"/>
    </row>
    <row r="1675" spans="1:7" s="7" customFormat="1" x14ac:dyDescent="0.15">
      <c r="A1675" s="2"/>
      <c r="B1675" s="20" t="s">
        <v>7</v>
      </c>
      <c r="C1675" s="21" t="s">
        <v>1190</v>
      </c>
      <c r="D1675" s="21" t="s">
        <v>211</v>
      </c>
      <c r="E1675" s="21">
        <v>0</v>
      </c>
      <c r="F1675" s="21"/>
      <c r="G1675" s="22" t="s">
        <v>1081</v>
      </c>
    </row>
    <row r="1676" spans="1:7" s="7" customFormat="1" x14ac:dyDescent="0.15">
      <c r="A1676" s="2"/>
      <c r="B1676" s="20" t="s">
        <v>114</v>
      </c>
      <c r="C1676" s="21" t="s">
        <v>1155</v>
      </c>
      <c r="D1676" s="21" t="s">
        <v>211</v>
      </c>
      <c r="E1676" s="21">
        <v>0</v>
      </c>
      <c r="F1676" s="21"/>
      <c r="G1676" s="22"/>
    </row>
    <row r="1677" spans="1:7" s="7" customFormat="1" x14ac:dyDescent="0.15">
      <c r="A1677" s="2"/>
      <c r="B1677" s="20" t="s">
        <v>118</v>
      </c>
      <c r="C1677" s="21" t="s">
        <v>1188</v>
      </c>
      <c r="D1677" s="21" t="s">
        <v>211</v>
      </c>
      <c r="E1677" s="21">
        <v>0</v>
      </c>
      <c r="F1677" s="21"/>
      <c r="G1677" s="22"/>
    </row>
    <row r="1678" spans="1:7" s="7" customFormat="1" x14ac:dyDescent="0.15">
      <c r="A1678" s="2"/>
      <c r="B1678" s="20" t="s">
        <v>8</v>
      </c>
      <c r="C1678" s="21" t="s">
        <v>1193</v>
      </c>
      <c r="D1678" s="21" t="s">
        <v>1087</v>
      </c>
      <c r="E1678" s="21">
        <v>0</v>
      </c>
      <c r="F1678" s="21"/>
      <c r="G1678" s="22" t="s">
        <v>1194</v>
      </c>
    </row>
    <row r="1679" spans="1:7" s="7" customFormat="1" x14ac:dyDescent="0.15">
      <c r="A1679" s="2"/>
      <c r="B1679" s="20" t="s">
        <v>9</v>
      </c>
      <c r="C1679" s="21" t="s">
        <v>1195</v>
      </c>
      <c r="D1679" s="21" t="s">
        <v>1087</v>
      </c>
      <c r="E1679" s="21">
        <v>0</v>
      </c>
      <c r="F1679" s="21"/>
      <c r="G1679" s="22" t="s">
        <v>1196</v>
      </c>
    </row>
    <row r="1680" spans="1:7" s="7" customFormat="1" x14ac:dyDescent="0.15">
      <c r="A1680" s="2"/>
      <c r="B1680" s="20" t="s">
        <v>76</v>
      </c>
      <c r="C1680" s="21" t="s">
        <v>1118</v>
      </c>
      <c r="D1680" s="21" t="s">
        <v>1087</v>
      </c>
      <c r="E1680" s="21">
        <v>0</v>
      </c>
      <c r="F1680" s="21"/>
      <c r="G1680" s="22"/>
    </row>
    <row r="1681" spans="1:7" s="7" customFormat="1" x14ac:dyDescent="0.15">
      <c r="A1681" s="2"/>
      <c r="B1681" s="20" t="s">
        <v>77</v>
      </c>
      <c r="C1681" s="21" t="s">
        <v>1336</v>
      </c>
      <c r="D1681" s="21" t="s">
        <v>1087</v>
      </c>
      <c r="E1681" s="21">
        <v>0</v>
      </c>
      <c r="F1681" s="21"/>
      <c r="G1681" s="22"/>
    </row>
    <row r="1682" spans="1:7" s="7" customFormat="1" ht="18" thickBot="1" x14ac:dyDescent="0.2">
      <c r="A1682" s="2"/>
      <c r="B1682" s="24"/>
      <c r="C1682" s="9"/>
      <c r="D1682" s="9"/>
      <c r="E1682" s="9"/>
      <c r="F1682" s="9"/>
      <c r="G1682" s="11"/>
    </row>
    <row r="1683" spans="1:7" s="7" customFormat="1" ht="18.75" customHeight="1" x14ac:dyDescent="0.15">
      <c r="A1683" s="2"/>
      <c r="B1683" s="327" t="s">
        <v>15</v>
      </c>
      <c r="C1683" s="328"/>
      <c r="D1683" s="328"/>
      <c r="E1683" s="328"/>
      <c r="F1683" s="328"/>
      <c r="G1683" s="329"/>
    </row>
    <row r="1684" spans="1:7" s="7" customFormat="1" x14ac:dyDescent="0.15">
      <c r="A1684" s="2" t="s">
        <v>62</v>
      </c>
      <c r="B1684" s="20">
        <v>1</v>
      </c>
      <c r="C1684" s="21" t="s">
        <v>154</v>
      </c>
      <c r="D1684" s="21" t="s">
        <v>121</v>
      </c>
      <c r="E1684" s="21" t="s">
        <v>114</v>
      </c>
      <c r="F1684" s="21" t="s">
        <v>118</v>
      </c>
      <c r="G1684" s="22"/>
    </row>
    <row r="1685" spans="1:7" s="7" customFormat="1" x14ac:dyDescent="0.15">
      <c r="A1685" s="2"/>
      <c r="B1685" s="20"/>
      <c r="C1685" s="23"/>
      <c r="D1685" s="21"/>
      <c r="E1685" s="21"/>
      <c r="F1685" s="21"/>
      <c r="G1685" s="22"/>
    </row>
    <row r="1686" spans="1:7" s="7" customFormat="1" x14ac:dyDescent="0.15">
      <c r="A1686" s="2"/>
    </row>
    <row r="1687" spans="1:7" s="7" customFormat="1" ht="18" thickBot="1" x14ac:dyDescent="0.2">
      <c r="A1687" s="2"/>
    </row>
    <row r="1688" spans="1:7" s="7" customFormat="1" x14ac:dyDescent="0.15">
      <c r="A1688" s="2"/>
      <c r="B1688" s="3" t="s">
        <v>563</v>
      </c>
      <c r="C1688" s="4" t="s">
        <v>668</v>
      </c>
      <c r="D1688" s="5" t="s">
        <v>515</v>
      </c>
      <c r="E1688" s="21" t="s">
        <v>596</v>
      </c>
      <c r="F1688" s="5" t="s">
        <v>567</v>
      </c>
      <c r="G1688" s="6"/>
    </row>
    <row r="1689" spans="1:7" s="7" customFormat="1" ht="18" thickBot="1" x14ac:dyDescent="0.2">
      <c r="A1689" s="2"/>
      <c r="B1689" s="8" t="s">
        <v>570</v>
      </c>
      <c r="C1689" s="9"/>
      <c r="D1689" s="10" t="s">
        <v>568</v>
      </c>
      <c r="E1689" s="9" t="s">
        <v>615</v>
      </c>
      <c r="F1689" s="10"/>
      <c r="G1689" s="11"/>
    </row>
    <row r="1690" spans="1:7" s="7" customFormat="1" x14ac:dyDescent="0.15">
      <c r="A1690" s="2"/>
      <c r="B1690" s="12" t="s">
        <v>0</v>
      </c>
      <c r="C1690" s="13" t="s">
        <v>1</v>
      </c>
      <c r="D1690" s="13" t="s">
        <v>2</v>
      </c>
      <c r="E1690" s="13"/>
      <c r="F1690" s="13" t="s">
        <v>3</v>
      </c>
      <c r="G1690" s="13" t="s">
        <v>4</v>
      </c>
    </row>
    <row r="1691" spans="1:7" s="7" customFormat="1" x14ac:dyDescent="0.15">
      <c r="A1691" s="2"/>
      <c r="B1691" s="14" t="s">
        <v>5</v>
      </c>
      <c r="C1691" s="15" t="s">
        <v>1127</v>
      </c>
      <c r="D1691" s="15" t="s">
        <v>211</v>
      </c>
      <c r="E1691" s="15" t="s">
        <v>1141</v>
      </c>
      <c r="F1691" s="15"/>
      <c r="G1691" s="16" t="s">
        <v>1162</v>
      </c>
    </row>
    <row r="1692" spans="1:7" s="7" customFormat="1" x14ac:dyDescent="0.15">
      <c r="A1692" s="2"/>
      <c r="B1692" s="20" t="s">
        <v>16</v>
      </c>
      <c r="C1692" s="21" t="s">
        <v>1163</v>
      </c>
      <c r="D1692" s="21" t="s">
        <v>211</v>
      </c>
      <c r="E1692" s="21">
        <v>0</v>
      </c>
      <c r="F1692" s="21"/>
      <c r="G1692" s="22" t="s">
        <v>1077</v>
      </c>
    </row>
    <row r="1693" spans="1:7" s="7" customFormat="1" x14ac:dyDescent="0.15">
      <c r="A1693" s="2"/>
      <c r="B1693" s="20" t="s">
        <v>111</v>
      </c>
      <c r="C1693" s="21" t="s">
        <v>1164</v>
      </c>
      <c r="D1693" s="21" t="s">
        <v>211</v>
      </c>
      <c r="E1693" s="21">
        <v>0</v>
      </c>
      <c r="F1693" s="21"/>
      <c r="G1693" s="22" t="s">
        <v>1165</v>
      </c>
    </row>
    <row r="1694" spans="1:7" s="7" customFormat="1" x14ac:dyDescent="0.15">
      <c r="A1694" s="2"/>
      <c r="B1694" s="20" t="s">
        <v>154</v>
      </c>
      <c r="C1694" s="21" t="s">
        <v>1133</v>
      </c>
      <c r="D1694" s="21" t="s">
        <v>211</v>
      </c>
      <c r="E1694" s="21">
        <v>0</v>
      </c>
      <c r="F1694" s="21"/>
      <c r="G1694" s="22" t="s">
        <v>1182</v>
      </c>
    </row>
    <row r="1695" spans="1:7" s="7" customFormat="1" x14ac:dyDescent="0.15">
      <c r="A1695" s="2"/>
      <c r="B1695" s="20" t="s">
        <v>121</v>
      </c>
      <c r="C1695" s="21" t="s">
        <v>1187</v>
      </c>
      <c r="D1695" s="21" t="s">
        <v>211</v>
      </c>
      <c r="E1695" s="21">
        <v>0</v>
      </c>
      <c r="F1695" s="21"/>
      <c r="G1695" s="22"/>
    </row>
    <row r="1696" spans="1:7" s="7" customFormat="1" x14ac:dyDescent="0.15">
      <c r="A1696" s="2"/>
      <c r="B1696" s="20" t="s">
        <v>7</v>
      </c>
      <c r="C1696" s="21" t="s">
        <v>1190</v>
      </c>
      <c r="D1696" s="21" t="s">
        <v>211</v>
      </c>
      <c r="E1696" s="21">
        <v>0</v>
      </c>
      <c r="F1696" s="21"/>
      <c r="G1696" s="22" t="s">
        <v>1081</v>
      </c>
    </row>
    <row r="1697" spans="1:7" s="7" customFormat="1" x14ac:dyDescent="0.15">
      <c r="A1697" s="2"/>
      <c r="B1697" s="20" t="s">
        <v>114</v>
      </c>
      <c r="C1697" s="21" t="s">
        <v>1155</v>
      </c>
      <c r="D1697" s="21" t="s">
        <v>211</v>
      </c>
      <c r="E1697" s="21">
        <v>0</v>
      </c>
      <c r="F1697" s="21"/>
      <c r="G1697" s="22"/>
    </row>
    <row r="1698" spans="1:7" s="7" customFormat="1" x14ac:dyDescent="0.15">
      <c r="A1698" s="2"/>
      <c r="B1698" s="20" t="s">
        <v>118</v>
      </c>
      <c r="C1698" s="21" t="s">
        <v>1188</v>
      </c>
      <c r="D1698" s="21" t="s">
        <v>211</v>
      </c>
      <c r="E1698" s="21">
        <v>0</v>
      </c>
      <c r="F1698" s="21"/>
      <c r="G1698" s="22"/>
    </row>
    <row r="1699" spans="1:7" s="7" customFormat="1" x14ac:dyDescent="0.15">
      <c r="A1699" s="2"/>
      <c r="B1699" s="20" t="s">
        <v>8</v>
      </c>
      <c r="C1699" s="21" t="s">
        <v>1193</v>
      </c>
      <c r="D1699" s="21" t="s">
        <v>1087</v>
      </c>
      <c r="E1699" s="21">
        <v>0</v>
      </c>
      <c r="F1699" s="21"/>
      <c r="G1699" s="22" t="s">
        <v>1194</v>
      </c>
    </row>
    <row r="1700" spans="1:7" s="7" customFormat="1" x14ac:dyDescent="0.15">
      <c r="A1700" s="2"/>
      <c r="B1700" s="20" t="s">
        <v>9</v>
      </c>
      <c r="C1700" s="21" t="s">
        <v>1195</v>
      </c>
      <c r="D1700" s="21" t="s">
        <v>1087</v>
      </c>
      <c r="E1700" s="21">
        <v>0</v>
      </c>
      <c r="F1700" s="21"/>
      <c r="G1700" s="22" t="s">
        <v>1196</v>
      </c>
    </row>
    <row r="1701" spans="1:7" s="7" customFormat="1" x14ac:dyDescent="0.15">
      <c r="A1701" s="2"/>
      <c r="B1701" s="20" t="s">
        <v>76</v>
      </c>
      <c r="C1701" s="21" t="s">
        <v>1118</v>
      </c>
      <c r="D1701" s="21" t="s">
        <v>1087</v>
      </c>
      <c r="E1701" s="21">
        <v>0</v>
      </c>
      <c r="F1701" s="21"/>
      <c r="G1701" s="22"/>
    </row>
    <row r="1702" spans="1:7" s="7" customFormat="1" x14ac:dyDescent="0.15">
      <c r="A1702" s="2"/>
      <c r="B1702" s="20" t="s">
        <v>77</v>
      </c>
      <c r="C1702" s="21" t="s">
        <v>1336</v>
      </c>
      <c r="D1702" s="21" t="s">
        <v>1087</v>
      </c>
      <c r="E1702" s="21">
        <v>0</v>
      </c>
      <c r="F1702" s="21"/>
      <c r="G1702" s="22"/>
    </row>
    <row r="1703" spans="1:7" s="7" customFormat="1" ht="18" thickBot="1" x14ac:dyDescent="0.2">
      <c r="A1703" s="2"/>
      <c r="B1703" s="17"/>
      <c r="C1703" s="18"/>
      <c r="D1703" s="18"/>
      <c r="E1703" s="18"/>
      <c r="F1703" s="18"/>
      <c r="G1703" s="19"/>
    </row>
    <row r="1704" spans="1:7" s="7" customFormat="1" x14ac:dyDescent="0.15">
      <c r="A1704" s="2"/>
      <c r="B1704" s="327" t="s">
        <v>15</v>
      </c>
      <c r="C1704" s="328"/>
      <c r="D1704" s="328"/>
      <c r="E1704" s="328"/>
      <c r="F1704" s="328"/>
      <c r="G1704" s="329"/>
    </row>
    <row r="1705" spans="1:7" s="7" customFormat="1" x14ac:dyDescent="0.15">
      <c r="A1705" s="2" t="s">
        <v>62</v>
      </c>
      <c r="B1705" s="20">
        <v>1</v>
      </c>
      <c r="C1705" s="21" t="s">
        <v>22</v>
      </c>
      <c r="D1705" s="21" t="s">
        <v>154</v>
      </c>
      <c r="E1705" s="21" t="s">
        <v>121</v>
      </c>
      <c r="F1705" s="21" t="s">
        <v>114</v>
      </c>
      <c r="G1705" s="21" t="s">
        <v>118</v>
      </c>
    </row>
    <row r="1706" spans="1:7" s="7" customFormat="1" x14ac:dyDescent="0.15">
      <c r="A1706" s="2"/>
      <c r="B1706" s="20"/>
      <c r="C1706" s="23"/>
      <c r="D1706" s="21"/>
      <c r="E1706" s="21"/>
      <c r="F1706" s="21"/>
      <c r="G1706" s="22"/>
    </row>
    <row r="1707" spans="1:7" s="2" customFormat="1" x14ac:dyDescent="0.15"/>
    <row r="1708" spans="1:7" s="2" customFormat="1" ht="18" thickBot="1" x14ac:dyDescent="0.2"/>
    <row r="1709" spans="1:7" s="7" customFormat="1" x14ac:dyDescent="0.15">
      <c r="A1709" s="2"/>
      <c r="B1709" s="3" t="s">
        <v>563</v>
      </c>
      <c r="C1709" s="4" t="s">
        <v>578</v>
      </c>
      <c r="D1709" s="5" t="s">
        <v>515</v>
      </c>
      <c r="E1709" s="21" t="s">
        <v>1015</v>
      </c>
      <c r="F1709" s="5" t="s">
        <v>567</v>
      </c>
      <c r="G1709" s="6"/>
    </row>
    <row r="1710" spans="1:7" s="7" customFormat="1" ht="18" thickBot="1" x14ac:dyDescent="0.2">
      <c r="A1710" s="2"/>
      <c r="B1710" s="34" t="s">
        <v>570</v>
      </c>
      <c r="C1710" s="18"/>
      <c r="D1710" s="35" t="s">
        <v>568</v>
      </c>
      <c r="E1710" s="18" t="s">
        <v>615</v>
      </c>
      <c r="F1710" s="35"/>
      <c r="G1710" s="19"/>
    </row>
    <row r="1711" spans="1:7" s="7" customFormat="1" x14ac:dyDescent="0.15">
      <c r="A1711" s="2"/>
      <c r="B1711" s="3" t="s">
        <v>0</v>
      </c>
      <c r="C1711" s="5" t="s">
        <v>1</v>
      </c>
      <c r="D1711" s="5" t="s">
        <v>2</v>
      </c>
      <c r="E1711" s="5"/>
      <c r="F1711" s="5" t="s">
        <v>3</v>
      </c>
      <c r="G1711" s="36" t="s">
        <v>4</v>
      </c>
    </row>
    <row r="1712" spans="1:7" s="7" customFormat="1" x14ac:dyDescent="0.15">
      <c r="A1712" s="2"/>
      <c r="B1712" s="20" t="s">
        <v>6</v>
      </c>
      <c r="C1712" s="21" t="s">
        <v>1163</v>
      </c>
      <c r="D1712" s="21" t="s">
        <v>211</v>
      </c>
      <c r="E1712" s="21">
        <v>0</v>
      </c>
      <c r="F1712" s="21"/>
      <c r="G1712" s="22" t="s">
        <v>1077</v>
      </c>
    </row>
    <row r="1713" spans="1:7" s="7" customFormat="1" x14ac:dyDescent="0.15">
      <c r="A1713" s="2"/>
      <c r="B1713" s="20" t="s">
        <v>111</v>
      </c>
      <c r="C1713" s="21" t="s">
        <v>1164</v>
      </c>
      <c r="D1713" s="21" t="s">
        <v>211</v>
      </c>
      <c r="E1713" s="21">
        <v>0</v>
      </c>
      <c r="F1713" s="21"/>
      <c r="G1713" s="22" t="s">
        <v>1165</v>
      </c>
    </row>
    <row r="1714" spans="1:7" s="7" customFormat="1" x14ac:dyDescent="0.15">
      <c r="A1714" s="2"/>
      <c r="B1714" s="20" t="s">
        <v>121</v>
      </c>
      <c r="C1714" s="21" t="s">
        <v>1187</v>
      </c>
      <c r="D1714" s="21" t="s">
        <v>211</v>
      </c>
      <c r="E1714" s="21">
        <v>0</v>
      </c>
      <c r="F1714" s="21"/>
      <c r="G1714" s="22"/>
    </row>
    <row r="1715" spans="1:7" s="7" customFormat="1" x14ac:dyDescent="0.15">
      <c r="A1715" s="2"/>
      <c r="B1715" s="20" t="s">
        <v>7</v>
      </c>
      <c r="C1715" s="21" t="s">
        <v>1190</v>
      </c>
      <c r="D1715" s="21" t="s">
        <v>211</v>
      </c>
      <c r="E1715" s="21">
        <v>0</v>
      </c>
      <c r="F1715" s="21"/>
      <c r="G1715" s="22" t="s">
        <v>1081</v>
      </c>
    </row>
    <row r="1716" spans="1:7" s="7" customFormat="1" x14ac:dyDescent="0.15">
      <c r="A1716" s="2"/>
      <c r="B1716" s="20" t="s">
        <v>114</v>
      </c>
      <c r="C1716" s="21" t="s">
        <v>1155</v>
      </c>
      <c r="D1716" s="21" t="s">
        <v>211</v>
      </c>
      <c r="E1716" s="21">
        <v>0</v>
      </c>
      <c r="F1716" s="21"/>
      <c r="G1716" s="22"/>
    </row>
    <row r="1717" spans="1:7" s="7" customFormat="1" x14ac:dyDescent="0.15">
      <c r="A1717" s="2"/>
      <c r="B1717" s="20" t="s">
        <v>118</v>
      </c>
      <c r="C1717" s="21" t="s">
        <v>1188</v>
      </c>
      <c r="D1717" s="21" t="s">
        <v>211</v>
      </c>
      <c r="E1717" s="21">
        <v>0</v>
      </c>
      <c r="F1717" s="21"/>
      <c r="G1717" s="22"/>
    </row>
    <row r="1718" spans="1:7" s="7" customFormat="1" x14ac:dyDescent="0.15">
      <c r="A1718" s="2"/>
      <c r="B1718" s="20" t="s">
        <v>93</v>
      </c>
      <c r="C1718" s="21" t="s">
        <v>1189</v>
      </c>
      <c r="D1718" s="21" t="s">
        <v>211</v>
      </c>
      <c r="E1718" s="21">
        <v>0</v>
      </c>
      <c r="F1718" s="21"/>
      <c r="G1718" s="22"/>
    </row>
    <row r="1719" spans="1:7" s="7" customFormat="1" x14ac:dyDescent="0.15">
      <c r="A1719" s="2"/>
      <c r="B1719" s="20" t="s">
        <v>41</v>
      </c>
      <c r="C1719" s="21" t="s">
        <v>1258</v>
      </c>
      <c r="D1719" s="21" t="s">
        <v>211</v>
      </c>
      <c r="E1719" s="21">
        <v>0</v>
      </c>
      <c r="F1719" s="21"/>
      <c r="G1719" s="22" t="s">
        <v>1259</v>
      </c>
    </row>
    <row r="1720" spans="1:7" s="7" customFormat="1" x14ac:dyDescent="0.15">
      <c r="A1720" s="2"/>
      <c r="B1720" s="20" t="s">
        <v>8</v>
      </c>
      <c r="C1720" s="21" t="s">
        <v>1193</v>
      </c>
      <c r="D1720" s="21" t="s">
        <v>1087</v>
      </c>
      <c r="E1720" s="21">
        <v>0</v>
      </c>
      <c r="F1720" s="21"/>
      <c r="G1720" s="22" t="s">
        <v>1194</v>
      </c>
    </row>
    <row r="1721" spans="1:7" s="7" customFormat="1" x14ac:dyDescent="0.15">
      <c r="A1721" s="2"/>
      <c r="B1721" s="20" t="s">
        <v>9</v>
      </c>
      <c r="C1721" s="21" t="s">
        <v>1195</v>
      </c>
      <c r="D1721" s="21" t="s">
        <v>1087</v>
      </c>
      <c r="E1721" s="21">
        <v>0</v>
      </c>
      <c r="F1721" s="21"/>
      <c r="G1721" s="22" t="s">
        <v>1196</v>
      </c>
    </row>
    <row r="1722" spans="1:7" s="7" customFormat="1" x14ac:dyDescent="0.15">
      <c r="A1722" s="2"/>
      <c r="B1722" s="20" t="s">
        <v>10</v>
      </c>
      <c r="C1722" s="21" t="s">
        <v>1197</v>
      </c>
      <c r="D1722" s="21" t="s">
        <v>1087</v>
      </c>
      <c r="E1722" s="21">
        <v>0</v>
      </c>
      <c r="F1722" s="21"/>
      <c r="G1722" s="22" t="s">
        <v>1144</v>
      </c>
    </row>
    <row r="1723" spans="1:7" s="7" customFormat="1" x14ac:dyDescent="0.15">
      <c r="A1723" s="2"/>
      <c r="B1723" s="20" t="s">
        <v>11</v>
      </c>
      <c r="C1723" s="21" t="s">
        <v>1198</v>
      </c>
      <c r="D1723" s="21" t="s">
        <v>1087</v>
      </c>
      <c r="E1723" s="21">
        <v>0</v>
      </c>
      <c r="F1723" s="21"/>
      <c r="G1723" s="22" t="s">
        <v>1080</v>
      </c>
    </row>
    <row r="1724" spans="1:7" s="7" customFormat="1" x14ac:dyDescent="0.15">
      <c r="A1724" s="2"/>
      <c r="B1724" s="20" t="s">
        <v>116</v>
      </c>
      <c r="C1724" s="21" t="s">
        <v>1213</v>
      </c>
      <c r="D1724" s="21" t="s">
        <v>1169</v>
      </c>
      <c r="E1724" s="21">
        <v>0</v>
      </c>
      <c r="F1724" s="21"/>
      <c r="G1724" s="22"/>
    </row>
    <row r="1725" spans="1:7" s="7" customFormat="1" x14ac:dyDescent="0.15">
      <c r="A1725" s="2"/>
      <c r="B1725" s="20" t="s">
        <v>12</v>
      </c>
      <c r="C1725" s="21" t="s">
        <v>1143</v>
      </c>
      <c r="D1725" s="21" t="s">
        <v>1169</v>
      </c>
      <c r="E1725" s="21">
        <v>0</v>
      </c>
      <c r="F1725" s="21"/>
      <c r="G1725" s="22"/>
    </row>
    <row r="1726" spans="1:7" s="7" customFormat="1" x14ac:dyDescent="0.15">
      <c r="A1726" s="2"/>
      <c r="B1726" s="20" t="s">
        <v>13</v>
      </c>
      <c r="C1726" s="21" t="s">
        <v>1205</v>
      </c>
      <c r="D1726" s="21" t="s">
        <v>1169</v>
      </c>
      <c r="E1726" s="21">
        <v>0</v>
      </c>
      <c r="F1726" s="21"/>
      <c r="G1726" s="22"/>
    </row>
    <row r="1727" spans="1:7" s="7" customFormat="1" x14ac:dyDescent="0.15">
      <c r="A1727" s="2"/>
      <c r="B1727" s="20" t="s">
        <v>14</v>
      </c>
      <c r="C1727" s="21" t="s">
        <v>1206</v>
      </c>
      <c r="D1727" s="21" t="s">
        <v>1169</v>
      </c>
      <c r="E1727" s="21">
        <v>0</v>
      </c>
      <c r="F1727" s="21"/>
      <c r="G1727" s="22"/>
    </row>
    <row r="1728" spans="1:7" s="7" customFormat="1" ht="18" thickBot="1" x14ac:dyDescent="0.2">
      <c r="A1728" s="2"/>
      <c r="B1728" s="24"/>
      <c r="C1728" s="9"/>
      <c r="D1728" s="9"/>
      <c r="E1728" s="9"/>
      <c r="F1728" s="9"/>
      <c r="G1728" s="11"/>
    </row>
    <row r="1729" spans="1:7" s="7" customFormat="1" x14ac:dyDescent="0.15">
      <c r="A1729" s="2"/>
      <c r="B1729" s="327" t="s">
        <v>15</v>
      </c>
      <c r="C1729" s="328"/>
      <c r="D1729" s="328"/>
      <c r="E1729" s="328"/>
      <c r="F1729" s="328"/>
      <c r="G1729" s="329"/>
    </row>
    <row r="1730" spans="1:7" s="7" customFormat="1" x14ac:dyDescent="0.15">
      <c r="A1730" s="2" t="s">
        <v>62</v>
      </c>
      <c r="B1730" s="20">
        <v>1</v>
      </c>
      <c r="C1730" s="23" t="s">
        <v>121</v>
      </c>
      <c r="D1730" s="21" t="s">
        <v>114</v>
      </c>
      <c r="E1730" s="21" t="s">
        <v>118</v>
      </c>
      <c r="F1730" s="21"/>
      <c r="G1730" s="21"/>
    </row>
    <row r="1731" spans="1:7" s="7" customFormat="1" x14ac:dyDescent="0.15">
      <c r="A1731" s="2"/>
      <c r="B1731" s="17">
        <v>2</v>
      </c>
      <c r="C1731" s="37" t="s">
        <v>16</v>
      </c>
      <c r="D1731" s="18" t="s">
        <v>111</v>
      </c>
      <c r="E1731" s="18" t="s">
        <v>18</v>
      </c>
      <c r="F1731" s="18"/>
      <c r="G1731" s="38"/>
    </row>
    <row r="1732" spans="1:7" s="7" customFormat="1" ht="18" thickBot="1" x14ac:dyDescent="0.2">
      <c r="A1732" s="2"/>
      <c r="B1732" s="24"/>
      <c r="C1732" s="9"/>
      <c r="D1732" s="9"/>
      <c r="E1732" s="9"/>
      <c r="F1732" s="9"/>
      <c r="G1732" s="11"/>
    </row>
    <row r="1733" spans="1:7" s="7" customFormat="1" x14ac:dyDescent="0.15">
      <c r="A1733" s="2"/>
    </row>
    <row r="1734" spans="1:7" s="7" customFormat="1" ht="18" thickBot="1" x14ac:dyDescent="0.2">
      <c r="A1734" s="2"/>
    </row>
    <row r="1735" spans="1:7" s="7" customFormat="1" x14ac:dyDescent="0.15">
      <c r="A1735" s="2"/>
      <c r="B1735" s="3" t="s">
        <v>563</v>
      </c>
      <c r="C1735" s="4" t="s">
        <v>645</v>
      </c>
      <c r="D1735" s="5" t="s">
        <v>515</v>
      </c>
      <c r="E1735" s="21" t="s">
        <v>1029</v>
      </c>
      <c r="F1735" s="5" t="s">
        <v>567</v>
      </c>
      <c r="G1735" s="6"/>
    </row>
    <row r="1736" spans="1:7" s="7" customFormat="1" ht="18" thickBot="1" x14ac:dyDescent="0.2">
      <c r="A1736" s="2"/>
      <c r="B1736" s="34" t="s">
        <v>570</v>
      </c>
      <c r="C1736" s="18"/>
      <c r="D1736" s="35" t="s">
        <v>568</v>
      </c>
      <c r="E1736" s="18" t="s">
        <v>615</v>
      </c>
      <c r="F1736" s="35"/>
      <c r="G1736" s="19"/>
    </row>
    <row r="1737" spans="1:7" s="7" customFormat="1" x14ac:dyDescent="0.15">
      <c r="A1737" s="2"/>
      <c r="B1737" s="3" t="s">
        <v>0</v>
      </c>
      <c r="C1737" s="5" t="s">
        <v>1</v>
      </c>
      <c r="D1737" s="5" t="s">
        <v>2</v>
      </c>
      <c r="E1737" s="5"/>
      <c r="F1737" s="5" t="s">
        <v>3</v>
      </c>
      <c r="G1737" s="36" t="s">
        <v>4</v>
      </c>
    </row>
    <row r="1738" spans="1:7" s="7" customFormat="1" x14ac:dyDescent="0.15">
      <c r="A1738" s="2"/>
      <c r="B1738" s="14" t="s">
        <v>5</v>
      </c>
      <c r="C1738" s="15" t="s">
        <v>1127</v>
      </c>
      <c r="D1738" s="15" t="s">
        <v>211</v>
      </c>
      <c r="E1738" s="15" t="s">
        <v>1141</v>
      </c>
      <c r="F1738" s="15"/>
      <c r="G1738" s="16" t="s">
        <v>1162</v>
      </c>
    </row>
    <row r="1739" spans="1:7" s="7" customFormat="1" x14ac:dyDescent="0.15">
      <c r="A1739" s="2"/>
      <c r="B1739" s="20" t="s">
        <v>6</v>
      </c>
      <c r="C1739" s="21" t="s">
        <v>1163</v>
      </c>
      <c r="D1739" s="21" t="s">
        <v>211</v>
      </c>
      <c r="E1739" s="21">
        <v>0</v>
      </c>
      <c r="F1739" s="21"/>
      <c r="G1739" s="22" t="s">
        <v>1077</v>
      </c>
    </row>
    <row r="1740" spans="1:7" s="7" customFormat="1" x14ac:dyDescent="0.15">
      <c r="A1740" s="2"/>
      <c r="B1740" s="20" t="s">
        <v>111</v>
      </c>
      <c r="C1740" s="21" t="s">
        <v>1164</v>
      </c>
      <c r="D1740" s="21" t="s">
        <v>211</v>
      </c>
      <c r="E1740" s="21">
        <v>0</v>
      </c>
      <c r="F1740" s="21"/>
      <c r="G1740" s="22" t="s">
        <v>1165</v>
      </c>
    </row>
    <row r="1741" spans="1:7" s="7" customFormat="1" x14ac:dyDescent="0.15">
      <c r="A1741" s="2"/>
      <c r="B1741" s="20" t="s">
        <v>121</v>
      </c>
      <c r="C1741" s="21" t="s">
        <v>1187</v>
      </c>
      <c r="D1741" s="21" t="s">
        <v>211</v>
      </c>
      <c r="E1741" s="21">
        <v>0</v>
      </c>
      <c r="F1741" s="21"/>
      <c r="G1741" s="22"/>
    </row>
    <row r="1742" spans="1:7" s="7" customFormat="1" x14ac:dyDescent="0.15">
      <c r="A1742" s="2"/>
      <c r="B1742" s="20" t="s">
        <v>7</v>
      </c>
      <c r="C1742" s="21" t="s">
        <v>1190</v>
      </c>
      <c r="D1742" s="21" t="s">
        <v>211</v>
      </c>
      <c r="E1742" s="21">
        <v>0</v>
      </c>
      <c r="F1742" s="21"/>
      <c r="G1742" s="22" t="s">
        <v>1081</v>
      </c>
    </row>
    <row r="1743" spans="1:7" s="7" customFormat="1" x14ac:dyDescent="0.15">
      <c r="A1743" s="2"/>
      <c r="B1743" s="20" t="s">
        <v>114</v>
      </c>
      <c r="C1743" s="21" t="s">
        <v>1155</v>
      </c>
      <c r="D1743" s="21" t="s">
        <v>211</v>
      </c>
      <c r="E1743" s="21">
        <v>0</v>
      </c>
      <c r="F1743" s="21"/>
      <c r="G1743" s="22"/>
    </row>
    <row r="1744" spans="1:7" s="7" customFormat="1" x14ac:dyDescent="0.15">
      <c r="A1744" s="2"/>
      <c r="B1744" s="20" t="s">
        <v>118</v>
      </c>
      <c r="C1744" s="21" t="s">
        <v>1188</v>
      </c>
      <c r="D1744" s="21" t="s">
        <v>211</v>
      </c>
      <c r="E1744" s="21">
        <v>0</v>
      </c>
      <c r="F1744" s="21"/>
      <c r="G1744" s="22"/>
    </row>
    <row r="1745" spans="1:7" s="7" customFormat="1" x14ac:dyDescent="0.15">
      <c r="A1745" s="2"/>
      <c r="B1745" s="20" t="s">
        <v>93</v>
      </c>
      <c r="C1745" s="21" t="s">
        <v>1189</v>
      </c>
      <c r="D1745" s="21" t="s">
        <v>211</v>
      </c>
      <c r="E1745" s="21">
        <v>0</v>
      </c>
      <c r="F1745" s="21"/>
      <c r="G1745" s="22"/>
    </row>
    <row r="1746" spans="1:7" s="7" customFormat="1" x14ac:dyDescent="0.15">
      <c r="A1746" s="2"/>
      <c r="B1746" s="20" t="s">
        <v>41</v>
      </c>
      <c r="C1746" s="21" t="s">
        <v>1258</v>
      </c>
      <c r="D1746" s="21" t="s">
        <v>211</v>
      </c>
      <c r="E1746" s="21">
        <v>0</v>
      </c>
      <c r="F1746" s="21"/>
      <c r="G1746" s="22" t="s">
        <v>1259</v>
      </c>
    </row>
    <row r="1747" spans="1:7" s="7" customFormat="1" x14ac:dyDescent="0.15">
      <c r="A1747" s="2"/>
      <c r="B1747" s="20" t="s">
        <v>8</v>
      </c>
      <c r="C1747" s="21" t="s">
        <v>1193</v>
      </c>
      <c r="D1747" s="21" t="s">
        <v>1087</v>
      </c>
      <c r="E1747" s="21">
        <v>0</v>
      </c>
      <c r="F1747" s="21"/>
      <c r="G1747" s="22" t="s">
        <v>1194</v>
      </c>
    </row>
    <row r="1748" spans="1:7" s="7" customFormat="1" x14ac:dyDescent="0.15">
      <c r="A1748" s="2"/>
      <c r="B1748" s="20" t="s">
        <v>9</v>
      </c>
      <c r="C1748" s="21" t="s">
        <v>1195</v>
      </c>
      <c r="D1748" s="21" t="s">
        <v>1087</v>
      </c>
      <c r="E1748" s="21">
        <v>0</v>
      </c>
      <c r="F1748" s="21"/>
      <c r="G1748" s="22" t="s">
        <v>1196</v>
      </c>
    </row>
    <row r="1749" spans="1:7" s="7" customFormat="1" x14ac:dyDescent="0.15">
      <c r="A1749" s="2"/>
      <c r="B1749" s="20" t="s">
        <v>10</v>
      </c>
      <c r="C1749" s="21" t="s">
        <v>1197</v>
      </c>
      <c r="D1749" s="21" t="s">
        <v>1087</v>
      </c>
      <c r="E1749" s="21">
        <v>0</v>
      </c>
      <c r="F1749" s="21"/>
      <c r="G1749" s="22" t="s">
        <v>1144</v>
      </c>
    </row>
    <row r="1750" spans="1:7" s="7" customFormat="1" x14ac:dyDescent="0.15">
      <c r="A1750" s="2"/>
      <c r="B1750" s="20" t="s">
        <v>11</v>
      </c>
      <c r="C1750" s="21" t="s">
        <v>1198</v>
      </c>
      <c r="D1750" s="21" t="s">
        <v>1087</v>
      </c>
      <c r="E1750" s="21">
        <v>0</v>
      </c>
      <c r="F1750" s="21"/>
      <c r="G1750" s="22" t="s">
        <v>1080</v>
      </c>
    </row>
    <row r="1751" spans="1:7" s="7" customFormat="1" x14ac:dyDescent="0.15">
      <c r="A1751" s="2"/>
      <c r="B1751" s="20" t="s">
        <v>116</v>
      </c>
      <c r="C1751" s="21" t="s">
        <v>1213</v>
      </c>
      <c r="D1751" s="21" t="s">
        <v>1169</v>
      </c>
      <c r="E1751" s="21">
        <v>0</v>
      </c>
      <c r="F1751" s="21"/>
      <c r="G1751" s="22"/>
    </row>
    <row r="1752" spans="1:7" s="7" customFormat="1" x14ac:dyDescent="0.15">
      <c r="A1752" s="2"/>
      <c r="B1752" s="20" t="s">
        <v>12</v>
      </c>
      <c r="C1752" s="21" t="s">
        <v>1143</v>
      </c>
      <c r="D1752" s="21" t="s">
        <v>1169</v>
      </c>
      <c r="E1752" s="21">
        <v>0</v>
      </c>
      <c r="F1752" s="21"/>
      <c r="G1752" s="22"/>
    </row>
    <row r="1753" spans="1:7" s="7" customFormat="1" x14ac:dyDescent="0.15">
      <c r="A1753" s="2"/>
      <c r="B1753" s="20" t="s">
        <v>13</v>
      </c>
      <c r="C1753" s="21" t="s">
        <v>1205</v>
      </c>
      <c r="D1753" s="21" t="s">
        <v>1169</v>
      </c>
      <c r="E1753" s="21">
        <v>0</v>
      </c>
      <c r="F1753" s="21"/>
      <c r="G1753" s="22"/>
    </row>
    <row r="1754" spans="1:7" s="7" customFormat="1" x14ac:dyDescent="0.15">
      <c r="A1754" s="2"/>
      <c r="B1754" s="20" t="s">
        <v>14</v>
      </c>
      <c r="C1754" s="21" t="s">
        <v>1206</v>
      </c>
      <c r="D1754" s="21" t="s">
        <v>1169</v>
      </c>
      <c r="E1754" s="21">
        <v>0</v>
      </c>
      <c r="F1754" s="21"/>
      <c r="G1754" s="22"/>
    </row>
    <row r="1755" spans="1:7" s="7" customFormat="1" ht="18" thickBot="1" x14ac:dyDescent="0.2">
      <c r="A1755" s="2"/>
      <c r="B1755" s="24" t="s">
        <v>374</v>
      </c>
      <c r="C1755" s="18" t="s">
        <v>1170</v>
      </c>
      <c r="D1755" s="21" t="s">
        <v>1331</v>
      </c>
      <c r="E1755" s="18">
        <v>0</v>
      </c>
      <c r="F1755" s="18"/>
      <c r="G1755" s="19"/>
    </row>
    <row r="1756" spans="1:7" s="7" customFormat="1" x14ac:dyDescent="0.15">
      <c r="A1756" s="2"/>
      <c r="B1756" s="17" t="s">
        <v>742</v>
      </c>
      <c r="C1756" s="18" t="s">
        <v>1208</v>
      </c>
      <c r="D1756" s="21" t="s">
        <v>1087</v>
      </c>
      <c r="E1756" s="18">
        <v>0</v>
      </c>
      <c r="F1756" s="18"/>
      <c r="G1756" s="19"/>
    </row>
    <row r="1757" spans="1:7" s="7" customFormat="1" x14ac:dyDescent="0.15">
      <c r="A1757" s="2"/>
      <c r="B1757" s="96" t="s">
        <v>226</v>
      </c>
      <c r="C1757" s="97" t="s">
        <v>1395</v>
      </c>
      <c r="D1757" s="97" t="s">
        <v>1172</v>
      </c>
      <c r="E1757" s="18">
        <v>0</v>
      </c>
      <c r="F1757" s="18"/>
      <c r="G1757" s="19"/>
    </row>
    <row r="1758" spans="1:7" s="7" customFormat="1" x14ac:dyDescent="0.15">
      <c r="A1758" s="2"/>
      <c r="B1758" s="96" t="s">
        <v>227</v>
      </c>
      <c r="C1758" s="97" t="s">
        <v>1396</v>
      </c>
      <c r="D1758" s="97" t="s">
        <v>211</v>
      </c>
      <c r="E1758" s="18">
        <v>0</v>
      </c>
      <c r="F1758" s="18"/>
      <c r="G1758" s="19"/>
    </row>
    <row r="1759" spans="1:7" s="7" customFormat="1" x14ac:dyDescent="0.15">
      <c r="A1759" s="2"/>
      <c r="B1759" s="17" t="s">
        <v>744</v>
      </c>
      <c r="C1759" s="18" t="s">
        <v>1210</v>
      </c>
      <c r="D1759" s="21" t="s">
        <v>1484</v>
      </c>
      <c r="E1759" s="18">
        <v>0</v>
      </c>
      <c r="F1759" s="18"/>
      <c r="G1759" s="19"/>
    </row>
    <row r="1760" spans="1:7" s="7" customFormat="1" x14ac:dyDescent="0.15">
      <c r="A1760" s="2"/>
      <c r="B1760" s="17" t="s">
        <v>743</v>
      </c>
      <c r="C1760" s="18" t="s">
        <v>1212</v>
      </c>
      <c r="D1760" s="21" t="s">
        <v>1484</v>
      </c>
      <c r="E1760" s="18">
        <v>0</v>
      </c>
      <c r="F1760" s="18"/>
      <c r="G1760" s="19"/>
    </row>
    <row r="1761" spans="1:13" s="7" customFormat="1" x14ac:dyDescent="0.15">
      <c r="A1761" s="2"/>
      <c r="B1761" s="17"/>
      <c r="C1761" s="18"/>
      <c r="D1761" s="18"/>
      <c r="E1761" s="18"/>
      <c r="F1761" s="18"/>
      <c r="G1761" s="19"/>
    </row>
    <row r="1762" spans="1:13" s="7" customFormat="1" ht="18" thickBot="1" x14ac:dyDescent="0.2">
      <c r="A1762" s="2"/>
      <c r="B1762" s="17"/>
      <c r="C1762" s="9"/>
      <c r="D1762" s="9"/>
      <c r="E1762" s="9"/>
      <c r="F1762" s="9"/>
      <c r="G1762" s="11"/>
    </row>
    <row r="1763" spans="1:13" s="7" customFormat="1" x14ac:dyDescent="0.15">
      <c r="A1763" s="2"/>
      <c r="B1763" s="327" t="s">
        <v>15</v>
      </c>
      <c r="C1763" s="328"/>
      <c r="D1763" s="328"/>
      <c r="E1763" s="328"/>
      <c r="F1763" s="328"/>
      <c r="G1763" s="329"/>
    </row>
    <row r="1764" spans="1:13" s="7" customFormat="1" x14ac:dyDescent="0.15">
      <c r="A1764" s="2" t="s">
        <v>62</v>
      </c>
      <c r="B1764" s="20">
        <v>1</v>
      </c>
      <c r="C1764" s="23" t="s">
        <v>22</v>
      </c>
      <c r="D1764" s="23" t="s">
        <v>121</v>
      </c>
      <c r="E1764" s="21" t="s">
        <v>114</v>
      </c>
      <c r="F1764" s="21" t="s">
        <v>118</v>
      </c>
      <c r="G1764" s="21"/>
    </row>
    <row r="1765" spans="1:13" s="7" customFormat="1" x14ac:dyDescent="0.15">
      <c r="A1765" s="2"/>
      <c r="B1765" s="17">
        <v>2</v>
      </c>
      <c r="C1765" s="23" t="s">
        <v>22</v>
      </c>
      <c r="D1765" s="37" t="s">
        <v>16</v>
      </c>
      <c r="E1765" s="18" t="s">
        <v>111</v>
      </c>
      <c r="F1765" s="18" t="s">
        <v>18</v>
      </c>
      <c r="G1765" s="38"/>
    </row>
    <row r="1766" spans="1:13" s="7" customFormat="1" ht="18" thickBot="1" x14ac:dyDescent="0.2">
      <c r="A1766" s="2"/>
      <c r="B1766" s="24"/>
      <c r="C1766" s="9"/>
      <c r="D1766" s="9"/>
      <c r="E1766" s="9"/>
      <c r="F1766" s="9"/>
      <c r="G1766" s="11"/>
    </row>
    <row r="1767" spans="1:13" s="7" customFormat="1" x14ac:dyDescent="0.15">
      <c r="A1767" s="2"/>
    </row>
    <row r="1768" spans="1:13" ht="18" thickBot="1" x14ac:dyDescent="0.2"/>
    <row r="1769" spans="1:13" s="76" customFormat="1" x14ac:dyDescent="0.15">
      <c r="A1769" s="71"/>
      <c r="B1769" s="72" t="s">
        <v>563</v>
      </c>
      <c r="C1769" s="73" t="s">
        <v>545</v>
      </c>
      <c r="D1769" s="74" t="s">
        <v>515</v>
      </c>
      <c r="E1769" s="21" t="s">
        <v>603</v>
      </c>
      <c r="F1769" s="74" t="s">
        <v>567</v>
      </c>
      <c r="G1769" s="75"/>
    </row>
    <row r="1770" spans="1:13" s="76" customFormat="1" ht="18" thickBot="1" x14ac:dyDescent="0.2">
      <c r="A1770" s="71"/>
      <c r="B1770" s="78" t="s">
        <v>570</v>
      </c>
      <c r="C1770" s="79"/>
      <c r="D1770" s="80" t="s">
        <v>568</v>
      </c>
      <c r="E1770" s="79" t="s">
        <v>615</v>
      </c>
      <c r="F1770" s="80"/>
      <c r="G1770" s="81"/>
    </row>
    <row r="1771" spans="1:13" s="76" customFormat="1" x14ac:dyDescent="0.15">
      <c r="A1771" s="71"/>
      <c r="B1771" s="72" t="s">
        <v>0</v>
      </c>
      <c r="C1771" s="82" t="s">
        <v>1</v>
      </c>
      <c r="D1771" s="82" t="s">
        <v>2</v>
      </c>
      <c r="E1771" s="82"/>
      <c r="F1771" s="82" t="s">
        <v>3</v>
      </c>
      <c r="G1771" s="83" t="s">
        <v>4</v>
      </c>
    </row>
    <row r="1772" spans="1:13" s="76" customFormat="1" x14ac:dyDescent="0.15">
      <c r="A1772" s="71"/>
      <c r="B1772" s="84" t="s">
        <v>7</v>
      </c>
      <c r="C1772" s="85" t="s">
        <v>1190</v>
      </c>
      <c r="D1772" s="85" t="s">
        <v>211</v>
      </c>
      <c r="E1772" s="86">
        <v>0</v>
      </c>
      <c r="F1772" s="86"/>
      <c r="G1772" s="95" t="s">
        <v>1081</v>
      </c>
    </row>
    <row r="1773" spans="1:13" s="76" customFormat="1" x14ac:dyDescent="0.15">
      <c r="A1773" s="71"/>
      <c r="B1773" s="84" t="s">
        <v>19</v>
      </c>
      <c r="C1773" s="85" t="s">
        <v>1337</v>
      </c>
      <c r="D1773" s="86" t="s">
        <v>1219</v>
      </c>
      <c r="E1773" s="86" t="s">
        <v>1072</v>
      </c>
      <c r="F1773" s="86"/>
      <c r="G1773" s="87" t="s">
        <v>1338</v>
      </c>
    </row>
    <row r="1774" spans="1:13" s="76" customFormat="1" x14ac:dyDescent="0.15">
      <c r="A1774" s="71"/>
      <c r="B1774" s="84" t="s">
        <v>212</v>
      </c>
      <c r="C1774" s="85" t="s">
        <v>1098</v>
      </c>
      <c r="D1774" s="86" t="s">
        <v>1219</v>
      </c>
      <c r="E1774" s="86" t="s">
        <v>1072</v>
      </c>
      <c r="F1774" s="86"/>
      <c r="G1774" s="87" t="s">
        <v>1438</v>
      </c>
    </row>
    <row r="1775" spans="1:13" s="76" customFormat="1" x14ac:dyDescent="0.15">
      <c r="A1775" s="71"/>
      <c r="B1775" s="84" t="s">
        <v>213</v>
      </c>
      <c r="C1775" s="85" t="s">
        <v>1340</v>
      </c>
      <c r="D1775" s="86" t="s">
        <v>1219</v>
      </c>
      <c r="E1775" s="86" t="s">
        <v>1072</v>
      </c>
      <c r="F1775" s="86"/>
      <c r="G1775" s="87"/>
    </row>
    <row r="1776" spans="1:13" s="77" customFormat="1" x14ac:dyDescent="0.15">
      <c r="A1776" s="71"/>
      <c r="B1776" s="84" t="s">
        <v>115</v>
      </c>
      <c r="C1776" s="85" t="s">
        <v>1188</v>
      </c>
      <c r="D1776" s="86" t="s">
        <v>211</v>
      </c>
      <c r="E1776" s="86">
        <v>0</v>
      </c>
      <c r="F1776" s="86"/>
      <c r="G1776" s="87"/>
      <c r="H1776" s="76"/>
      <c r="I1776" s="76"/>
      <c r="J1776" s="76"/>
      <c r="K1776" s="76"/>
      <c r="L1776" s="76"/>
      <c r="M1776" s="76"/>
    </row>
    <row r="1777" spans="1:7" s="76" customFormat="1" x14ac:dyDescent="0.15">
      <c r="A1777" s="71"/>
      <c r="B1777" s="84" t="s">
        <v>174</v>
      </c>
      <c r="C1777" s="85" t="s">
        <v>1397</v>
      </c>
      <c r="D1777" s="86" t="s">
        <v>211</v>
      </c>
      <c r="E1777" s="86">
        <v>0</v>
      </c>
      <c r="F1777" s="86"/>
      <c r="G1777" s="87"/>
    </row>
    <row r="1778" spans="1:7" s="76" customFormat="1" x14ac:dyDescent="0.15">
      <c r="A1778" s="71"/>
      <c r="B1778" s="84" t="s">
        <v>214</v>
      </c>
      <c r="C1778" s="85" t="s">
        <v>1339</v>
      </c>
      <c r="D1778" s="86" t="s">
        <v>211</v>
      </c>
      <c r="E1778" s="86">
        <v>0</v>
      </c>
      <c r="F1778" s="86"/>
      <c r="G1778" s="87"/>
    </row>
    <row r="1779" spans="1:7" s="76" customFormat="1" x14ac:dyDescent="0.15">
      <c r="A1779" s="71"/>
      <c r="B1779" s="84" t="s">
        <v>183</v>
      </c>
      <c r="C1779" s="85" t="s">
        <v>1122</v>
      </c>
      <c r="D1779" s="86" t="s">
        <v>1073</v>
      </c>
      <c r="E1779" s="86" t="s">
        <v>1072</v>
      </c>
      <c r="F1779" s="86"/>
      <c r="G1779" s="95"/>
    </row>
    <row r="1780" spans="1:7" s="76" customFormat="1" x14ac:dyDescent="0.15">
      <c r="A1780" s="71"/>
      <c r="B1780" s="96" t="s">
        <v>215</v>
      </c>
      <c r="C1780" s="97" t="s">
        <v>1581</v>
      </c>
      <c r="D1780" s="97" t="s">
        <v>211</v>
      </c>
      <c r="E1780" s="97" t="s">
        <v>1141</v>
      </c>
      <c r="F1780" s="97"/>
      <c r="G1780" s="98"/>
    </row>
    <row r="1781" spans="1:7" s="76" customFormat="1" x14ac:dyDescent="0.15">
      <c r="A1781" s="71"/>
      <c r="B1781" s="96" t="s">
        <v>216</v>
      </c>
      <c r="C1781" s="97" t="s">
        <v>1582</v>
      </c>
      <c r="D1781" s="97" t="s">
        <v>211</v>
      </c>
      <c r="E1781" s="97" t="s">
        <v>1141</v>
      </c>
      <c r="F1781" s="97"/>
      <c r="G1781" s="98"/>
    </row>
    <row r="1782" spans="1:7" s="76" customFormat="1" x14ac:dyDescent="0.15">
      <c r="A1782" s="71"/>
      <c r="B1782" s="96" t="s">
        <v>217</v>
      </c>
      <c r="C1782" s="97" t="s">
        <v>1439</v>
      </c>
      <c r="D1782" s="97" t="s">
        <v>211</v>
      </c>
      <c r="E1782" s="97" t="s">
        <v>1141</v>
      </c>
      <c r="F1782" s="97"/>
      <c r="G1782" s="98"/>
    </row>
    <row r="1783" spans="1:7" s="76" customFormat="1" x14ac:dyDescent="0.15">
      <c r="A1783" s="71"/>
      <c r="B1783" s="96" t="s">
        <v>218</v>
      </c>
      <c r="C1783" s="97" t="s">
        <v>1583</v>
      </c>
      <c r="D1783" s="97" t="s">
        <v>211</v>
      </c>
      <c r="E1783" s="97" t="s">
        <v>1141</v>
      </c>
      <c r="F1783" s="97"/>
      <c r="G1783" s="98"/>
    </row>
    <row r="1784" spans="1:7" s="76" customFormat="1" x14ac:dyDescent="0.15">
      <c r="A1784" s="71"/>
      <c r="B1784" s="96" t="s">
        <v>219</v>
      </c>
      <c r="C1784" s="97" t="s">
        <v>1440</v>
      </c>
      <c r="D1784" s="97" t="s">
        <v>211</v>
      </c>
      <c r="E1784" s="97" t="s">
        <v>1141</v>
      </c>
      <c r="F1784" s="97"/>
      <c r="G1784" s="98"/>
    </row>
    <row r="1785" spans="1:7" s="76" customFormat="1" x14ac:dyDescent="0.15">
      <c r="A1785" s="71"/>
      <c r="B1785" s="96" t="s">
        <v>220</v>
      </c>
      <c r="C1785" s="97" t="s">
        <v>1441</v>
      </c>
      <c r="D1785" s="97" t="s">
        <v>1087</v>
      </c>
      <c r="E1785" s="97">
        <v>0</v>
      </c>
      <c r="F1785" s="97"/>
      <c r="G1785" s="98"/>
    </row>
    <row r="1786" spans="1:7" s="76" customFormat="1" x14ac:dyDescent="0.15">
      <c r="A1786" s="71"/>
      <c r="B1786" s="96" t="s">
        <v>221</v>
      </c>
      <c r="C1786" s="97" t="s">
        <v>1442</v>
      </c>
      <c r="D1786" s="97" t="s">
        <v>1211</v>
      </c>
      <c r="E1786" s="97">
        <v>0</v>
      </c>
      <c r="F1786" s="97"/>
      <c r="G1786" s="98"/>
    </row>
    <row r="1787" spans="1:7" s="76" customFormat="1" x14ac:dyDescent="0.15">
      <c r="A1787" s="71"/>
      <c r="B1787" s="96" t="s">
        <v>222</v>
      </c>
      <c r="C1787" s="97" t="s">
        <v>1394</v>
      </c>
      <c r="D1787" s="97" t="s">
        <v>1211</v>
      </c>
      <c r="E1787" s="97">
        <v>0</v>
      </c>
      <c r="F1787" s="97"/>
      <c r="G1787" s="98"/>
    </row>
    <row r="1788" spans="1:7" s="76" customFormat="1" x14ac:dyDescent="0.15">
      <c r="A1788" s="71"/>
      <c r="B1788" s="96" t="s">
        <v>223</v>
      </c>
      <c r="C1788" s="97" t="s">
        <v>1443</v>
      </c>
      <c r="D1788" s="97" t="s">
        <v>1172</v>
      </c>
      <c r="E1788" s="97">
        <v>0</v>
      </c>
      <c r="F1788" s="97"/>
      <c r="G1788" s="98"/>
    </row>
    <row r="1789" spans="1:7" s="76" customFormat="1" x14ac:dyDescent="0.15">
      <c r="A1789" s="71"/>
      <c r="B1789" s="96" t="s">
        <v>224</v>
      </c>
      <c r="C1789" s="97" t="s">
        <v>1393</v>
      </c>
      <c r="D1789" s="97" t="s">
        <v>211</v>
      </c>
      <c r="E1789" s="97">
        <v>0</v>
      </c>
      <c r="F1789" s="97"/>
      <c r="G1789" s="98"/>
    </row>
    <row r="1790" spans="1:7" s="76" customFormat="1" x14ac:dyDescent="0.15">
      <c r="A1790" s="71"/>
      <c r="B1790" s="96" t="s">
        <v>225</v>
      </c>
      <c r="C1790" s="97" t="s">
        <v>1444</v>
      </c>
      <c r="D1790" s="97" t="s">
        <v>211</v>
      </c>
      <c r="E1790" s="97">
        <v>0</v>
      </c>
      <c r="F1790" s="97"/>
      <c r="G1790" s="98"/>
    </row>
    <row r="1791" spans="1:7" s="76" customFormat="1" x14ac:dyDescent="0.15">
      <c r="A1791" s="71"/>
      <c r="B1791" s="96" t="s">
        <v>226</v>
      </c>
      <c r="C1791" s="97" t="s">
        <v>1395</v>
      </c>
      <c r="D1791" s="97" t="s">
        <v>1172</v>
      </c>
      <c r="E1791" s="97">
        <v>0</v>
      </c>
      <c r="F1791" s="97"/>
      <c r="G1791" s="98"/>
    </row>
    <row r="1792" spans="1:7" s="76" customFormat="1" x14ac:dyDescent="0.15">
      <c r="A1792" s="71"/>
      <c r="B1792" s="96" t="s">
        <v>227</v>
      </c>
      <c r="C1792" s="97" t="s">
        <v>1396</v>
      </c>
      <c r="D1792" s="97" t="s">
        <v>211</v>
      </c>
      <c r="E1792" s="97">
        <v>0</v>
      </c>
      <c r="F1792" s="97"/>
      <c r="G1792" s="98"/>
    </row>
    <row r="1793" spans="1:11" s="76" customFormat="1" x14ac:dyDescent="0.15">
      <c r="A1793" s="71"/>
      <c r="B1793" s="96" t="s">
        <v>228</v>
      </c>
      <c r="C1793" s="97" t="s">
        <v>1445</v>
      </c>
      <c r="D1793" s="97" t="s">
        <v>211</v>
      </c>
      <c r="E1793" s="97">
        <v>0</v>
      </c>
      <c r="F1793" s="97"/>
      <c r="G1793" s="98" t="s">
        <v>1446</v>
      </c>
    </row>
    <row r="1794" spans="1:11" s="76" customFormat="1" x14ac:dyDescent="0.15">
      <c r="A1794" s="71"/>
      <c r="B1794" s="96" t="s">
        <v>229</v>
      </c>
      <c r="C1794" s="97" t="s">
        <v>1392</v>
      </c>
      <c r="D1794" s="97" t="s">
        <v>211</v>
      </c>
      <c r="E1794" s="97">
        <v>0</v>
      </c>
      <c r="F1794" s="97"/>
      <c r="G1794" s="98"/>
    </row>
    <row r="1795" spans="1:11" s="76" customFormat="1" x14ac:dyDescent="0.15">
      <c r="A1795" s="71"/>
      <c r="B1795" s="84" t="s">
        <v>230</v>
      </c>
      <c r="C1795" s="86" t="s">
        <v>1076</v>
      </c>
      <c r="D1795" s="86" t="s">
        <v>211</v>
      </c>
      <c r="E1795" s="86" t="s">
        <v>1141</v>
      </c>
      <c r="F1795" s="86"/>
      <c r="G1795" s="95"/>
    </row>
    <row r="1796" spans="1:11" s="76" customFormat="1" x14ac:dyDescent="0.15">
      <c r="A1796" s="71"/>
      <c r="B1796" s="88" t="s">
        <v>231</v>
      </c>
      <c r="C1796" s="86" t="s">
        <v>1584</v>
      </c>
      <c r="D1796" s="86" t="s">
        <v>211</v>
      </c>
      <c r="E1796" s="86">
        <v>0</v>
      </c>
      <c r="F1796" s="86"/>
      <c r="G1796" s="87"/>
    </row>
    <row r="1797" spans="1:11" s="76" customFormat="1" x14ac:dyDescent="0.15">
      <c r="A1797" s="71"/>
      <c r="B1797" s="88" t="s">
        <v>232</v>
      </c>
      <c r="C1797" s="86" t="s">
        <v>1585</v>
      </c>
      <c r="D1797" s="86" t="s">
        <v>211</v>
      </c>
      <c r="E1797" s="86" t="s">
        <v>1141</v>
      </c>
      <c r="F1797" s="86"/>
      <c r="G1797" s="87"/>
    </row>
    <row r="1798" spans="1:11" s="76" customFormat="1" x14ac:dyDescent="0.15">
      <c r="A1798" s="71"/>
      <c r="B1798" s="88" t="s">
        <v>233</v>
      </c>
      <c r="C1798" s="86" t="s">
        <v>1447</v>
      </c>
      <c r="D1798" s="86" t="s">
        <v>211</v>
      </c>
      <c r="E1798" s="86" t="s">
        <v>1141</v>
      </c>
      <c r="F1798" s="86"/>
      <c r="G1798" s="87"/>
    </row>
    <row r="1799" spans="1:11" s="76" customFormat="1" x14ac:dyDescent="0.15">
      <c r="A1799" s="71"/>
      <c r="B1799" s="88" t="s">
        <v>234</v>
      </c>
      <c r="C1799" s="86" t="s">
        <v>1448</v>
      </c>
      <c r="D1799" s="86" t="s">
        <v>211</v>
      </c>
      <c r="E1799" s="86" t="s">
        <v>1141</v>
      </c>
      <c r="F1799" s="86"/>
      <c r="G1799" s="87"/>
    </row>
    <row r="1800" spans="1:11" s="76" customFormat="1" x14ac:dyDescent="0.15">
      <c r="A1800" s="71"/>
      <c r="B1800" s="88" t="s">
        <v>235</v>
      </c>
      <c r="C1800" s="86" t="s">
        <v>1586</v>
      </c>
      <c r="D1800" s="86" t="s">
        <v>211</v>
      </c>
      <c r="E1800" s="86" t="s">
        <v>1141</v>
      </c>
      <c r="F1800" s="86"/>
      <c r="G1800" s="87"/>
    </row>
    <row r="1801" spans="1:11" s="76" customFormat="1" x14ac:dyDescent="0.15">
      <c r="A1801" s="71"/>
      <c r="B1801" s="88" t="s">
        <v>236</v>
      </c>
      <c r="C1801" s="86" t="s">
        <v>1565</v>
      </c>
      <c r="D1801" s="86" t="s">
        <v>1172</v>
      </c>
      <c r="E1801" s="86">
        <v>0</v>
      </c>
      <c r="F1801" s="86"/>
      <c r="G1801" s="87"/>
    </row>
    <row r="1802" spans="1:11" s="7" customFormat="1" x14ac:dyDescent="0.15">
      <c r="A1802" s="71"/>
      <c r="B1802" s="30" t="s">
        <v>184</v>
      </c>
      <c r="C1802" s="21" t="s">
        <v>1260</v>
      </c>
      <c r="D1802" s="21" t="s">
        <v>211</v>
      </c>
      <c r="E1802" s="21" t="s">
        <v>1261</v>
      </c>
      <c r="F1802" s="21"/>
      <c r="G1802" s="22"/>
      <c r="H1802" s="7" t="s">
        <v>237</v>
      </c>
      <c r="I1802" s="7" t="s">
        <v>238</v>
      </c>
      <c r="J1802" s="7" t="s">
        <v>211</v>
      </c>
      <c r="K1802" s="7" t="s">
        <v>211</v>
      </c>
    </row>
    <row r="1803" spans="1:11" s="76" customFormat="1" ht="18" thickBot="1" x14ac:dyDescent="0.2">
      <c r="A1803" s="71"/>
      <c r="B1803" s="92"/>
      <c r="C1803" s="93"/>
      <c r="D1803" s="93"/>
      <c r="E1803" s="93"/>
      <c r="F1803" s="93"/>
      <c r="G1803" s="94"/>
    </row>
    <row r="1804" spans="1:11" s="76" customFormat="1" x14ac:dyDescent="0.15">
      <c r="A1804" s="71"/>
      <c r="B1804" s="324" t="s">
        <v>15</v>
      </c>
      <c r="C1804" s="325"/>
      <c r="D1804" s="325"/>
      <c r="E1804" s="325"/>
      <c r="F1804" s="325"/>
      <c r="G1804" s="326"/>
    </row>
    <row r="1805" spans="1:11" s="76" customFormat="1" x14ac:dyDescent="0.15">
      <c r="A1805" s="71" t="s">
        <v>62</v>
      </c>
      <c r="B1805" s="88">
        <v>1</v>
      </c>
      <c r="C1805" s="86" t="s">
        <v>18</v>
      </c>
      <c r="D1805" s="86" t="s">
        <v>19</v>
      </c>
      <c r="E1805" s="86"/>
      <c r="F1805" s="86"/>
      <c r="G1805" s="87"/>
    </row>
    <row r="1806" spans="1:11" s="76" customFormat="1" x14ac:dyDescent="0.15">
      <c r="A1806" s="71"/>
      <c r="B1806" s="88">
        <v>2</v>
      </c>
      <c r="C1806" s="86" t="s">
        <v>115</v>
      </c>
      <c r="D1806" s="86"/>
      <c r="E1806" s="86"/>
      <c r="F1806" s="86"/>
      <c r="G1806" s="87"/>
    </row>
    <row r="1807" spans="1:11" s="76" customFormat="1" x14ac:dyDescent="0.15">
      <c r="A1807" s="71"/>
      <c r="B1807" s="88">
        <v>3</v>
      </c>
      <c r="C1807" s="86" t="s">
        <v>174</v>
      </c>
      <c r="D1807" s="86"/>
      <c r="E1807" s="86"/>
      <c r="F1807" s="86"/>
      <c r="G1807" s="87"/>
    </row>
    <row r="1808" spans="1:11" s="76" customFormat="1" x14ac:dyDescent="0.15">
      <c r="A1808" s="71"/>
      <c r="B1808" s="88">
        <v>4</v>
      </c>
      <c r="C1808" s="86" t="s">
        <v>184</v>
      </c>
      <c r="D1808" s="86"/>
      <c r="E1808" s="86"/>
      <c r="F1808" s="86"/>
      <c r="G1808" s="87"/>
    </row>
    <row r="1809" spans="1:13" s="76" customFormat="1" ht="18" thickBot="1" x14ac:dyDescent="0.2">
      <c r="A1809" s="71"/>
      <c r="B1809" s="89"/>
      <c r="C1809" s="90"/>
      <c r="D1809" s="90"/>
      <c r="E1809" s="90"/>
      <c r="F1809" s="90"/>
      <c r="G1809" s="91"/>
    </row>
    <row r="1810" spans="1:13" s="76" customFormat="1" x14ac:dyDescent="0.15">
      <c r="A1810" s="71"/>
    </row>
    <row r="1811" spans="1:13" s="76" customFormat="1" x14ac:dyDescent="0.15">
      <c r="A1811" s="71"/>
    </row>
    <row r="1812" spans="1:13" ht="18" thickBot="1" x14ac:dyDescent="0.2"/>
    <row r="1813" spans="1:13" s="76" customFormat="1" x14ac:dyDescent="0.15">
      <c r="A1813" s="71"/>
      <c r="B1813" s="72" t="s">
        <v>563</v>
      </c>
      <c r="C1813" s="177" t="s">
        <v>627</v>
      </c>
      <c r="D1813" s="74" t="s">
        <v>515</v>
      </c>
      <c r="E1813" s="21" t="s">
        <v>607</v>
      </c>
      <c r="F1813" s="74" t="s">
        <v>567</v>
      </c>
      <c r="G1813" s="75"/>
    </row>
    <row r="1814" spans="1:13" s="76" customFormat="1" ht="18" thickBot="1" x14ac:dyDescent="0.2">
      <c r="A1814" s="71"/>
      <c r="B1814" s="178" t="s">
        <v>570</v>
      </c>
      <c r="C1814" s="179"/>
      <c r="D1814" s="180" t="s">
        <v>568</v>
      </c>
      <c r="E1814" s="179" t="s">
        <v>615</v>
      </c>
      <c r="F1814" s="180"/>
      <c r="G1814" s="181"/>
    </row>
    <row r="1815" spans="1:13" s="76" customFormat="1" x14ac:dyDescent="0.15">
      <c r="A1815" s="71"/>
      <c r="B1815" s="182" t="s">
        <v>0</v>
      </c>
      <c r="C1815" s="183" t="s">
        <v>1</v>
      </c>
      <c r="D1815" s="183" t="s">
        <v>2</v>
      </c>
      <c r="E1815" s="183"/>
      <c r="F1815" s="183" t="s">
        <v>3</v>
      </c>
      <c r="G1815" s="183" t="s">
        <v>4</v>
      </c>
    </row>
    <row r="1816" spans="1:13" s="77" customFormat="1" x14ac:dyDescent="0.15">
      <c r="A1816" s="71"/>
      <c r="B1816" s="84" t="s">
        <v>118</v>
      </c>
      <c r="C1816" s="85" t="s">
        <v>1188</v>
      </c>
      <c r="D1816" s="86" t="s">
        <v>211</v>
      </c>
      <c r="E1816" s="86">
        <v>0</v>
      </c>
      <c r="F1816" s="86"/>
      <c r="G1816" s="87"/>
      <c r="H1816" s="76"/>
      <c r="I1816" s="76"/>
      <c r="J1816" s="76"/>
      <c r="K1816" s="76"/>
      <c r="L1816" s="76"/>
      <c r="M1816" s="76"/>
    </row>
    <row r="1817" spans="1:13" s="76" customFormat="1" x14ac:dyDescent="0.15">
      <c r="A1817" s="71"/>
      <c r="B1817" s="184" t="s">
        <v>7</v>
      </c>
      <c r="C1817" s="85" t="s">
        <v>1190</v>
      </c>
      <c r="D1817" s="100" t="s">
        <v>211</v>
      </c>
      <c r="E1817" s="100">
        <v>0</v>
      </c>
      <c r="F1817" s="100"/>
      <c r="G1817" s="185" t="s">
        <v>1081</v>
      </c>
    </row>
    <row r="1818" spans="1:13" s="76" customFormat="1" x14ac:dyDescent="0.15">
      <c r="A1818" s="71"/>
      <c r="B1818" s="184" t="s">
        <v>390</v>
      </c>
      <c r="C1818" s="100" t="s">
        <v>1600</v>
      </c>
      <c r="D1818" s="100" t="s">
        <v>211</v>
      </c>
      <c r="E1818" s="100" t="s">
        <v>1141</v>
      </c>
      <c r="F1818" s="100"/>
      <c r="G1818" s="185"/>
    </row>
    <row r="1819" spans="1:13" s="76" customFormat="1" x14ac:dyDescent="0.15">
      <c r="A1819" s="71"/>
      <c r="B1819" s="184" t="s">
        <v>223</v>
      </c>
      <c r="C1819" s="86" t="s">
        <v>1443</v>
      </c>
      <c r="D1819" s="100" t="s">
        <v>1172</v>
      </c>
      <c r="E1819" s="100">
        <v>0</v>
      </c>
      <c r="F1819" s="100"/>
      <c r="G1819" s="185"/>
    </row>
    <row r="1820" spans="1:13" s="76" customFormat="1" x14ac:dyDescent="0.15">
      <c r="A1820" s="71"/>
      <c r="B1820" s="184" t="s">
        <v>184</v>
      </c>
      <c r="C1820" s="100" t="s">
        <v>1260</v>
      </c>
      <c r="D1820" s="100" t="s">
        <v>211</v>
      </c>
      <c r="E1820" s="100" t="s">
        <v>1261</v>
      </c>
      <c r="F1820" s="100"/>
      <c r="G1820" s="185"/>
    </row>
    <row r="1821" spans="1:13" s="76" customFormat="1" ht="18" thickBot="1" x14ac:dyDescent="0.2">
      <c r="A1821" s="71"/>
      <c r="B1821" s="184"/>
      <c r="C1821" s="100"/>
      <c r="D1821" s="100"/>
      <c r="E1821" s="100"/>
      <c r="F1821" s="100"/>
      <c r="G1821" s="185"/>
    </row>
    <row r="1822" spans="1:13" s="76" customFormat="1" x14ac:dyDescent="0.15">
      <c r="A1822" s="71"/>
      <c r="B1822" s="324" t="s">
        <v>15</v>
      </c>
      <c r="C1822" s="325"/>
      <c r="D1822" s="325"/>
      <c r="E1822" s="325"/>
      <c r="F1822" s="325"/>
      <c r="G1822" s="336"/>
    </row>
    <row r="1823" spans="1:13" s="76" customFormat="1" x14ac:dyDescent="0.15">
      <c r="A1823" s="71" t="s">
        <v>62</v>
      </c>
      <c r="B1823" s="184">
        <v>1</v>
      </c>
      <c r="C1823" s="100" t="s">
        <v>115</v>
      </c>
      <c r="D1823" s="100" t="s">
        <v>390</v>
      </c>
      <c r="E1823" s="100"/>
      <c r="F1823" s="100"/>
      <c r="G1823" s="185"/>
    </row>
    <row r="1824" spans="1:13" s="76" customFormat="1" x14ac:dyDescent="0.15">
      <c r="A1824" s="71"/>
      <c r="B1824" s="184">
        <v>2</v>
      </c>
      <c r="C1824" s="100" t="s">
        <v>7</v>
      </c>
      <c r="D1824" s="100"/>
      <c r="E1824" s="100"/>
      <c r="F1824" s="100"/>
      <c r="G1824" s="185"/>
    </row>
    <row r="1825" spans="1:13" s="76" customFormat="1" x14ac:dyDescent="0.15">
      <c r="A1825" s="71"/>
      <c r="B1825" s="92">
        <v>3</v>
      </c>
      <c r="C1825" s="93" t="s">
        <v>184</v>
      </c>
      <c r="D1825" s="93"/>
      <c r="E1825" s="93"/>
      <c r="F1825" s="93"/>
      <c r="G1825" s="94"/>
    </row>
    <row r="1826" spans="1:13" s="76" customFormat="1" ht="18" thickBot="1" x14ac:dyDescent="0.2">
      <c r="A1826" s="71"/>
      <c r="B1826" s="186"/>
      <c r="C1826" s="179"/>
      <c r="D1826" s="179"/>
      <c r="E1826" s="179"/>
      <c r="F1826" s="179"/>
      <c r="G1826" s="181"/>
    </row>
    <row r="1827" spans="1:13" s="76" customFormat="1" x14ac:dyDescent="0.15">
      <c r="A1827" s="71"/>
    </row>
    <row r="1828" spans="1:13" s="76" customFormat="1" x14ac:dyDescent="0.15">
      <c r="A1828" s="71"/>
    </row>
    <row r="1829" spans="1:13" ht="18" thickBot="1" x14ac:dyDescent="0.2"/>
    <row r="1830" spans="1:13" s="76" customFormat="1" x14ac:dyDescent="0.15">
      <c r="A1830" s="71"/>
      <c r="B1830" s="72" t="s">
        <v>563</v>
      </c>
      <c r="C1830" s="73" t="s">
        <v>628</v>
      </c>
      <c r="D1830" s="74" t="s">
        <v>515</v>
      </c>
      <c r="E1830" s="21" t="s">
        <v>725</v>
      </c>
      <c r="F1830" s="74" t="s">
        <v>567</v>
      </c>
      <c r="G1830" s="75"/>
    </row>
    <row r="1831" spans="1:13" s="76" customFormat="1" ht="18" thickBot="1" x14ac:dyDescent="0.2">
      <c r="A1831" s="71"/>
      <c r="B1831" s="78" t="s">
        <v>570</v>
      </c>
      <c r="C1831" s="79"/>
      <c r="D1831" s="80" t="s">
        <v>568</v>
      </c>
      <c r="E1831" s="79" t="s">
        <v>615</v>
      </c>
      <c r="F1831" s="80"/>
      <c r="G1831" s="81"/>
    </row>
    <row r="1832" spans="1:13" s="76" customFormat="1" x14ac:dyDescent="0.15">
      <c r="A1832" s="71"/>
      <c r="B1832" s="72" t="s">
        <v>0</v>
      </c>
      <c r="C1832" s="82" t="s">
        <v>1</v>
      </c>
      <c r="D1832" s="82" t="s">
        <v>2</v>
      </c>
      <c r="E1832" s="82"/>
      <c r="F1832" s="82" t="s">
        <v>3</v>
      </c>
      <c r="G1832" s="83" t="s">
        <v>4</v>
      </c>
    </row>
    <row r="1833" spans="1:13" s="77" customFormat="1" x14ac:dyDescent="0.15">
      <c r="A1833" s="71"/>
      <c r="B1833" s="84" t="s">
        <v>118</v>
      </c>
      <c r="C1833" s="85" t="s">
        <v>1188</v>
      </c>
      <c r="D1833" s="86" t="s">
        <v>211</v>
      </c>
      <c r="E1833" s="86">
        <v>0</v>
      </c>
      <c r="F1833" s="86"/>
      <c r="G1833" s="87"/>
      <c r="H1833" s="76"/>
      <c r="I1833" s="76"/>
      <c r="J1833" s="76"/>
      <c r="K1833" s="76"/>
      <c r="L1833" s="76"/>
      <c r="M1833" s="76"/>
    </row>
    <row r="1834" spans="1:13" s="76" customFormat="1" x14ac:dyDescent="0.15">
      <c r="A1834" s="71"/>
      <c r="B1834" s="84" t="s">
        <v>7</v>
      </c>
      <c r="C1834" s="85" t="s">
        <v>1190</v>
      </c>
      <c r="D1834" s="85" t="s">
        <v>211</v>
      </c>
      <c r="E1834" s="86">
        <v>0</v>
      </c>
      <c r="F1834" s="86"/>
      <c r="G1834" s="87" t="s">
        <v>1081</v>
      </c>
    </row>
    <row r="1835" spans="1:13" s="76" customFormat="1" x14ac:dyDescent="0.15">
      <c r="A1835" s="71"/>
      <c r="B1835" s="84" t="s">
        <v>391</v>
      </c>
      <c r="C1835" s="85" t="s">
        <v>1601</v>
      </c>
      <c r="D1835" s="86" t="s">
        <v>1073</v>
      </c>
      <c r="E1835" s="86" t="s">
        <v>1072</v>
      </c>
      <c r="F1835" s="86"/>
      <c r="G1835" s="87"/>
    </row>
    <row r="1836" spans="1:13" s="76" customFormat="1" x14ac:dyDescent="0.15">
      <c r="A1836" s="71"/>
      <c r="B1836" s="84" t="s">
        <v>6</v>
      </c>
      <c r="C1836" s="86" t="s">
        <v>1163</v>
      </c>
      <c r="D1836" s="86" t="s">
        <v>211</v>
      </c>
      <c r="E1836" s="86">
        <v>0</v>
      </c>
      <c r="F1836" s="86"/>
      <c r="G1836" s="87" t="s">
        <v>1077</v>
      </c>
    </row>
    <row r="1837" spans="1:13" s="76" customFormat="1" x14ac:dyDescent="0.15">
      <c r="A1837" s="71"/>
      <c r="B1837" s="84" t="s">
        <v>392</v>
      </c>
      <c r="C1837" s="86" t="s">
        <v>1485</v>
      </c>
      <c r="D1837" s="86" t="s">
        <v>211</v>
      </c>
      <c r="E1837" s="86">
        <v>0</v>
      </c>
      <c r="F1837" s="86"/>
      <c r="G1837" s="87"/>
    </row>
    <row r="1838" spans="1:13" s="76" customFormat="1" ht="18" thickBot="1" x14ac:dyDescent="0.2">
      <c r="A1838" s="71"/>
      <c r="B1838" s="89"/>
      <c r="C1838" s="90"/>
      <c r="D1838" s="90"/>
      <c r="E1838" s="90"/>
      <c r="F1838" s="90"/>
      <c r="G1838" s="91"/>
    </row>
    <row r="1839" spans="1:13" s="76" customFormat="1" x14ac:dyDescent="0.15">
      <c r="A1839" s="71"/>
      <c r="B1839" s="324" t="s">
        <v>15</v>
      </c>
      <c r="C1839" s="325"/>
      <c r="D1839" s="325"/>
      <c r="E1839" s="325"/>
      <c r="F1839" s="325"/>
      <c r="G1839" s="326"/>
    </row>
    <row r="1840" spans="1:13" s="76" customFormat="1" x14ac:dyDescent="0.15">
      <c r="A1840" s="71" t="s">
        <v>62</v>
      </c>
      <c r="B1840" s="184">
        <v>1</v>
      </c>
      <c r="C1840" s="86" t="s">
        <v>118</v>
      </c>
      <c r="D1840" s="86" t="s">
        <v>391</v>
      </c>
      <c r="E1840" s="86" t="s">
        <v>6</v>
      </c>
      <c r="F1840" s="86"/>
      <c r="G1840" s="87"/>
    </row>
    <row r="1841" spans="1:13" s="76" customFormat="1" x14ac:dyDescent="0.15">
      <c r="A1841" s="71"/>
      <c r="B1841" s="184">
        <v>2</v>
      </c>
      <c r="C1841" s="86" t="s">
        <v>18</v>
      </c>
      <c r="D1841" s="86"/>
      <c r="E1841" s="86"/>
      <c r="F1841" s="86"/>
      <c r="G1841" s="87"/>
    </row>
    <row r="1842" spans="1:13" s="76" customFormat="1" x14ac:dyDescent="0.15">
      <c r="A1842" s="71"/>
      <c r="B1842" s="92"/>
      <c r="C1842" s="93"/>
      <c r="D1842" s="93"/>
      <c r="E1842" s="93"/>
      <c r="F1842" s="93"/>
      <c r="G1842" s="94"/>
    </row>
    <row r="1843" spans="1:13" s="76" customFormat="1" ht="18" thickBot="1" x14ac:dyDescent="0.2">
      <c r="A1843" s="71"/>
    </row>
    <row r="1844" spans="1:13" s="76" customFormat="1" x14ac:dyDescent="0.15">
      <c r="A1844" s="71"/>
      <c r="B1844" s="72" t="s">
        <v>563</v>
      </c>
      <c r="C1844" s="73" t="s">
        <v>629</v>
      </c>
      <c r="D1844" s="74" t="s">
        <v>515</v>
      </c>
      <c r="E1844" s="21" t="s">
        <v>726</v>
      </c>
      <c r="F1844" s="74" t="s">
        <v>567</v>
      </c>
      <c r="G1844" s="75"/>
    </row>
    <row r="1845" spans="1:13" s="76" customFormat="1" ht="18" thickBot="1" x14ac:dyDescent="0.2">
      <c r="A1845" s="71"/>
      <c r="B1845" s="78" t="s">
        <v>570</v>
      </c>
      <c r="C1845" s="79"/>
      <c r="D1845" s="80" t="s">
        <v>568</v>
      </c>
      <c r="E1845" s="79" t="s">
        <v>615</v>
      </c>
      <c r="F1845" s="80"/>
      <c r="G1845" s="81"/>
    </row>
    <row r="1846" spans="1:13" s="76" customFormat="1" x14ac:dyDescent="0.15">
      <c r="A1846" s="71"/>
      <c r="B1846" s="72" t="s">
        <v>0</v>
      </c>
      <c r="C1846" s="82" t="s">
        <v>1</v>
      </c>
      <c r="D1846" s="82" t="s">
        <v>2</v>
      </c>
      <c r="E1846" s="82"/>
      <c r="F1846" s="82" t="s">
        <v>3</v>
      </c>
      <c r="G1846" s="83" t="s">
        <v>4</v>
      </c>
    </row>
    <row r="1847" spans="1:13" s="77" customFormat="1" x14ac:dyDescent="0.15">
      <c r="A1847" s="71"/>
      <c r="B1847" s="84" t="s">
        <v>118</v>
      </c>
      <c r="C1847" s="85" t="s">
        <v>1188</v>
      </c>
      <c r="D1847" s="86" t="s">
        <v>211</v>
      </c>
      <c r="E1847" s="86">
        <v>0</v>
      </c>
      <c r="F1847" s="86"/>
      <c r="G1847" s="87"/>
      <c r="H1847" s="76"/>
      <c r="I1847" s="76"/>
      <c r="J1847" s="76"/>
      <c r="K1847" s="76"/>
      <c r="L1847" s="76"/>
      <c r="M1847" s="76"/>
    </row>
    <row r="1848" spans="1:13" s="76" customFormat="1" x14ac:dyDescent="0.15">
      <c r="A1848" s="71"/>
      <c r="B1848" s="184" t="s">
        <v>7</v>
      </c>
      <c r="C1848" s="85" t="s">
        <v>1190</v>
      </c>
      <c r="D1848" s="100" t="s">
        <v>211</v>
      </c>
      <c r="E1848" s="100">
        <v>0</v>
      </c>
      <c r="F1848" s="100"/>
      <c r="G1848" s="185" t="s">
        <v>1081</v>
      </c>
    </row>
    <row r="1849" spans="1:13" s="76" customFormat="1" x14ac:dyDescent="0.15">
      <c r="A1849" s="71"/>
      <c r="B1849" s="84" t="s">
        <v>393</v>
      </c>
      <c r="C1849" s="85" t="s">
        <v>1602</v>
      </c>
      <c r="D1849" s="86" t="s">
        <v>211</v>
      </c>
      <c r="E1849" s="86">
        <v>0</v>
      </c>
      <c r="F1849" s="86"/>
      <c r="G1849" s="87"/>
    </row>
    <row r="1850" spans="1:13" s="76" customFormat="1" x14ac:dyDescent="0.15">
      <c r="A1850" s="71"/>
      <c r="B1850" s="84" t="s">
        <v>394</v>
      </c>
      <c r="C1850" s="86" t="s">
        <v>1603</v>
      </c>
      <c r="D1850" s="86" t="s">
        <v>211</v>
      </c>
      <c r="E1850" s="86">
        <v>0</v>
      </c>
      <c r="F1850" s="86"/>
      <c r="G1850" s="87"/>
    </row>
    <row r="1851" spans="1:13" s="76" customFormat="1" x14ac:dyDescent="0.15">
      <c r="A1851" s="71"/>
      <c r="B1851" s="84" t="s">
        <v>395</v>
      </c>
      <c r="C1851" s="86" t="s">
        <v>1604</v>
      </c>
      <c r="D1851" s="86" t="s">
        <v>211</v>
      </c>
      <c r="E1851" s="86">
        <v>0</v>
      </c>
      <c r="F1851" s="86"/>
      <c r="G1851" s="87"/>
    </row>
    <row r="1852" spans="1:13" s="7" customFormat="1" x14ac:dyDescent="0.15">
      <c r="A1852" s="71"/>
      <c r="B1852" s="31" t="s">
        <v>396</v>
      </c>
      <c r="C1852" s="21" t="s">
        <v>1605</v>
      </c>
      <c r="D1852" s="21" t="s">
        <v>1172</v>
      </c>
      <c r="E1852" s="21">
        <v>0</v>
      </c>
      <c r="F1852" s="21"/>
      <c r="G1852" s="22"/>
    </row>
    <row r="1853" spans="1:13" s="7" customFormat="1" x14ac:dyDescent="0.15">
      <c r="A1853" s="71"/>
      <c r="B1853" s="187" t="s">
        <v>397</v>
      </c>
      <c r="C1853" s="18" t="s">
        <v>1606</v>
      </c>
      <c r="D1853" s="18" t="s">
        <v>1169</v>
      </c>
      <c r="E1853" s="18">
        <v>0</v>
      </c>
      <c r="F1853" s="18"/>
      <c r="G1853" s="19"/>
    </row>
    <row r="1854" spans="1:13" s="7" customFormat="1" x14ac:dyDescent="0.15">
      <c r="A1854" s="71"/>
      <c r="B1854" s="187" t="s">
        <v>398</v>
      </c>
      <c r="C1854" s="18" t="s">
        <v>1607</v>
      </c>
      <c r="D1854" s="18" t="s">
        <v>1172</v>
      </c>
      <c r="E1854" s="18">
        <v>0</v>
      </c>
      <c r="F1854" s="18"/>
      <c r="G1854" s="19"/>
    </row>
    <row r="1855" spans="1:13" s="76" customFormat="1" ht="18" thickBot="1" x14ac:dyDescent="0.2">
      <c r="A1855" s="71"/>
      <c r="B1855" s="92"/>
      <c r="C1855" s="93"/>
      <c r="D1855" s="93"/>
      <c r="E1855" s="93"/>
      <c r="F1855" s="93"/>
      <c r="G1855" s="94"/>
    </row>
    <row r="1856" spans="1:13" s="76" customFormat="1" x14ac:dyDescent="0.15">
      <c r="A1856" s="71"/>
      <c r="B1856" s="324" t="s">
        <v>15</v>
      </c>
      <c r="C1856" s="325"/>
      <c r="D1856" s="325"/>
      <c r="E1856" s="325"/>
      <c r="F1856" s="325"/>
      <c r="G1856" s="326"/>
    </row>
    <row r="1857" spans="1:7" s="7" customFormat="1" x14ac:dyDescent="0.15">
      <c r="A1857" s="71" t="s">
        <v>62</v>
      </c>
      <c r="B1857" s="20">
        <v>1</v>
      </c>
      <c r="C1857" s="21" t="s">
        <v>115</v>
      </c>
      <c r="D1857" s="21" t="s">
        <v>393</v>
      </c>
      <c r="E1857" s="21"/>
      <c r="F1857" s="21"/>
      <c r="G1857" s="22"/>
    </row>
    <row r="1858" spans="1:7" s="7" customFormat="1" x14ac:dyDescent="0.15">
      <c r="A1858" s="71"/>
      <c r="B1858" s="20"/>
      <c r="C1858" s="21"/>
      <c r="D1858" s="21"/>
      <c r="E1858" s="21"/>
      <c r="F1858" s="21"/>
      <c r="G1858" s="22"/>
    </row>
    <row r="1859" spans="1:7" s="7" customFormat="1" x14ac:dyDescent="0.15">
      <c r="A1859" s="71"/>
      <c r="B1859" s="20"/>
      <c r="C1859" s="21"/>
      <c r="D1859" s="21"/>
      <c r="E1859" s="21"/>
      <c r="F1859" s="21"/>
      <c r="G1859" s="22"/>
    </row>
    <row r="1860" spans="1:7" s="76" customFormat="1" x14ac:dyDescent="0.15">
      <c r="A1860" s="71"/>
    </row>
    <row r="1861" spans="1:7" ht="18" thickBot="1" x14ac:dyDescent="0.2"/>
    <row r="1862" spans="1:7" s="7" customFormat="1" x14ac:dyDescent="0.15">
      <c r="B1862" s="3" t="s">
        <v>563</v>
      </c>
      <c r="C1862" s="4" t="s">
        <v>565</v>
      </c>
      <c r="D1862" s="5" t="s">
        <v>515</v>
      </c>
      <c r="E1862" s="21" t="s">
        <v>1017</v>
      </c>
      <c r="F1862" s="5" t="s">
        <v>567</v>
      </c>
      <c r="G1862" s="6"/>
    </row>
    <row r="1863" spans="1:7" s="7" customFormat="1" ht="18" thickBot="1" x14ac:dyDescent="0.2">
      <c r="B1863" s="34" t="s">
        <v>570</v>
      </c>
      <c r="C1863" s="18"/>
      <c r="D1863" s="35" t="s">
        <v>568</v>
      </c>
      <c r="E1863" s="18" t="s">
        <v>615</v>
      </c>
      <c r="F1863" s="35"/>
      <c r="G1863" s="19"/>
    </row>
    <row r="1864" spans="1:7" s="7" customFormat="1" x14ac:dyDescent="0.15">
      <c r="B1864" s="3" t="s">
        <v>0</v>
      </c>
      <c r="C1864" s="5" t="s">
        <v>1</v>
      </c>
      <c r="D1864" s="5" t="s">
        <v>2</v>
      </c>
      <c r="E1864" s="5"/>
      <c r="F1864" s="5" t="s">
        <v>3</v>
      </c>
      <c r="G1864" s="36" t="s">
        <v>4</v>
      </c>
    </row>
    <row r="1865" spans="1:7" s="7" customFormat="1" x14ac:dyDescent="0.15">
      <c r="A1865" s="2"/>
      <c r="B1865" s="20" t="s">
        <v>6</v>
      </c>
      <c r="C1865" s="21" t="s">
        <v>1163</v>
      </c>
      <c r="D1865" s="21" t="s">
        <v>211</v>
      </c>
      <c r="E1865" s="21">
        <v>0</v>
      </c>
      <c r="F1865" s="21"/>
      <c r="G1865" s="22" t="s">
        <v>1077</v>
      </c>
    </row>
    <row r="1866" spans="1:7" s="7" customFormat="1" x14ac:dyDescent="0.15">
      <c r="A1866" s="2"/>
      <c r="B1866" s="20" t="s">
        <v>111</v>
      </c>
      <c r="C1866" s="21" t="s">
        <v>1164</v>
      </c>
      <c r="D1866" s="21" t="s">
        <v>211</v>
      </c>
      <c r="E1866" s="21">
        <v>0</v>
      </c>
      <c r="F1866" s="21"/>
      <c r="G1866" s="22" t="s">
        <v>1165</v>
      </c>
    </row>
    <row r="1867" spans="1:7" s="7" customFormat="1" x14ac:dyDescent="0.15">
      <c r="A1867" s="2"/>
      <c r="B1867" s="20" t="s">
        <v>123</v>
      </c>
      <c r="C1867" s="21" t="s">
        <v>1133</v>
      </c>
      <c r="D1867" s="21" t="s">
        <v>211</v>
      </c>
      <c r="E1867" s="21">
        <v>0</v>
      </c>
      <c r="F1867" s="21"/>
      <c r="G1867" s="22" t="s">
        <v>1182</v>
      </c>
    </row>
    <row r="1868" spans="1:7" s="7" customFormat="1" x14ac:dyDescent="0.15">
      <c r="A1868" s="2"/>
      <c r="B1868" s="20" t="s">
        <v>120</v>
      </c>
      <c r="C1868" s="21" t="s">
        <v>1187</v>
      </c>
      <c r="D1868" s="21" t="s">
        <v>211</v>
      </c>
      <c r="E1868" s="21">
        <v>0</v>
      </c>
      <c r="F1868" s="21"/>
      <c r="G1868" s="22"/>
    </row>
    <row r="1869" spans="1:7" s="7" customFormat="1" x14ac:dyDescent="0.15">
      <c r="B1869" s="20" t="s">
        <v>7</v>
      </c>
      <c r="C1869" s="21" t="s">
        <v>1190</v>
      </c>
      <c r="D1869" s="21" t="s">
        <v>211</v>
      </c>
      <c r="E1869" s="21">
        <v>0</v>
      </c>
      <c r="F1869" s="21"/>
      <c r="G1869" s="22" t="s">
        <v>1081</v>
      </c>
    </row>
    <row r="1870" spans="1:7" s="7" customFormat="1" x14ac:dyDescent="0.15">
      <c r="B1870" s="20" t="s">
        <v>114</v>
      </c>
      <c r="C1870" s="21" t="s">
        <v>1155</v>
      </c>
      <c r="D1870" s="21" t="s">
        <v>211</v>
      </c>
      <c r="E1870" s="21">
        <v>0</v>
      </c>
      <c r="F1870" s="21"/>
      <c r="G1870" s="22"/>
    </row>
    <row r="1871" spans="1:7" s="7" customFormat="1" x14ac:dyDescent="0.15">
      <c r="B1871" s="20" t="s">
        <v>115</v>
      </c>
      <c r="C1871" s="21" t="s">
        <v>1188</v>
      </c>
      <c r="D1871" s="21" t="s">
        <v>211</v>
      </c>
      <c r="E1871" s="21">
        <v>0</v>
      </c>
      <c r="F1871" s="21"/>
      <c r="G1871" s="22"/>
    </row>
    <row r="1872" spans="1:7" s="7" customFormat="1" x14ac:dyDescent="0.15">
      <c r="A1872" s="2"/>
      <c r="B1872" s="20" t="s">
        <v>399</v>
      </c>
      <c r="C1872" s="21" t="s">
        <v>1193</v>
      </c>
      <c r="D1872" s="21" t="s">
        <v>1087</v>
      </c>
      <c r="E1872" s="21">
        <v>0</v>
      </c>
      <c r="F1872" s="21"/>
      <c r="G1872" s="22" t="s">
        <v>1194</v>
      </c>
    </row>
    <row r="1873" spans="1:7" s="7" customFormat="1" x14ac:dyDescent="0.15">
      <c r="A1873" s="2"/>
      <c r="B1873" s="20" t="s">
        <v>156</v>
      </c>
      <c r="C1873" s="21" t="s">
        <v>1195</v>
      </c>
      <c r="D1873" s="21" t="s">
        <v>1087</v>
      </c>
      <c r="E1873" s="21">
        <v>0</v>
      </c>
      <c r="F1873" s="21"/>
      <c r="G1873" s="22" t="s">
        <v>1196</v>
      </c>
    </row>
    <row r="1874" spans="1:7" s="7" customFormat="1" x14ac:dyDescent="0.15">
      <c r="B1874" s="20" t="s">
        <v>400</v>
      </c>
      <c r="C1874" s="21" t="s">
        <v>1197</v>
      </c>
      <c r="D1874" s="21" t="s">
        <v>1087</v>
      </c>
      <c r="E1874" s="21">
        <v>0</v>
      </c>
      <c r="F1874" s="21"/>
      <c r="G1874" s="22" t="s">
        <v>1144</v>
      </c>
    </row>
    <row r="1875" spans="1:7" s="7" customFormat="1" x14ac:dyDescent="0.15">
      <c r="B1875" s="20" t="s">
        <v>401</v>
      </c>
      <c r="C1875" s="21" t="s">
        <v>1198</v>
      </c>
      <c r="D1875" s="21" t="s">
        <v>1087</v>
      </c>
      <c r="E1875" s="21">
        <v>0</v>
      </c>
      <c r="F1875" s="21"/>
      <c r="G1875" s="22" t="s">
        <v>1080</v>
      </c>
    </row>
    <row r="1876" spans="1:7" s="7" customFormat="1" x14ac:dyDescent="0.15">
      <c r="B1876" s="20" t="s">
        <v>402</v>
      </c>
      <c r="C1876" s="21" t="s">
        <v>1083</v>
      </c>
      <c r="D1876" s="21" t="s">
        <v>1087</v>
      </c>
      <c r="E1876" s="21">
        <v>0</v>
      </c>
      <c r="F1876" s="21"/>
      <c r="G1876" s="22"/>
    </row>
    <row r="1877" spans="1:7" s="7" customFormat="1" x14ac:dyDescent="0.15">
      <c r="B1877" s="20" t="s">
        <v>403</v>
      </c>
      <c r="C1877" s="21" t="s">
        <v>1135</v>
      </c>
      <c r="D1877" s="21" t="s">
        <v>1087</v>
      </c>
      <c r="E1877" s="21">
        <v>0</v>
      </c>
      <c r="F1877" s="21"/>
      <c r="G1877" s="22"/>
    </row>
    <row r="1878" spans="1:7" s="7" customFormat="1" x14ac:dyDescent="0.15">
      <c r="B1878" s="20" t="s">
        <v>404</v>
      </c>
      <c r="C1878" s="21" t="s">
        <v>1335</v>
      </c>
      <c r="D1878" s="21" t="s">
        <v>1087</v>
      </c>
      <c r="E1878" s="21">
        <v>0</v>
      </c>
      <c r="F1878" s="21"/>
      <c r="G1878" s="22"/>
    </row>
    <row r="1879" spans="1:7" s="7" customFormat="1" x14ac:dyDescent="0.15">
      <c r="B1879" s="20" t="s">
        <v>405</v>
      </c>
      <c r="C1879" s="21" t="s">
        <v>1199</v>
      </c>
      <c r="D1879" s="21" t="s">
        <v>1087</v>
      </c>
      <c r="E1879" s="21">
        <v>0</v>
      </c>
      <c r="F1879" s="21"/>
      <c r="G1879" s="22"/>
    </row>
    <row r="1880" spans="1:7" s="7" customFormat="1" x14ac:dyDescent="0.15">
      <c r="B1880" s="20" t="s">
        <v>406</v>
      </c>
      <c r="C1880" s="21" t="s">
        <v>1145</v>
      </c>
      <c r="D1880" s="21" t="s">
        <v>1087</v>
      </c>
      <c r="E1880" s="21">
        <v>0</v>
      </c>
      <c r="F1880" s="21"/>
      <c r="G1880" s="22"/>
    </row>
    <row r="1881" spans="1:7" s="7" customFormat="1" x14ac:dyDescent="0.15">
      <c r="B1881" s="20" t="s">
        <v>407</v>
      </c>
      <c r="C1881" s="21" t="s">
        <v>1136</v>
      </c>
      <c r="D1881" s="21" t="s">
        <v>1087</v>
      </c>
      <c r="E1881" s="21">
        <v>0</v>
      </c>
      <c r="F1881" s="21"/>
      <c r="G1881" s="22"/>
    </row>
    <row r="1882" spans="1:7" s="7" customFormat="1" x14ac:dyDescent="0.15">
      <c r="B1882" s="20" t="s">
        <v>408</v>
      </c>
      <c r="C1882" s="21" t="s">
        <v>1200</v>
      </c>
      <c r="D1882" s="21" t="s">
        <v>1087</v>
      </c>
      <c r="E1882" s="21">
        <v>0</v>
      </c>
      <c r="F1882" s="21"/>
      <c r="G1882" s="22"/>
    </row>
    <row r="1883" spans="1:7" s="7" customFormat="1" x14ac:dyDescent="0.15">
      <c r="B1883" s="20" t="s">
        <v>409</v>
      </c>
      <c r="C1883" s="21" t="s">
        <v>1201</v>
      </c>
      <c r="D1883" s="21" t="s">
        <v>1087</v>
      </c>
      <c r="E1883" s="21">
        <v>0</v>
      </c>
      <c r="F1883" s="21"/>
      <c r="G1883" s="22"/>
    </row>
    <row r="1884" spans="1:7" s="7" customFormat="1" x14ac:dyDescent="0.15">
      <c r="B1884" s="20" t="s">
        <v>410</v>
      </c>
      <c r="C1884" s="21" t="s">
        <v>1137</v>
      </c>
      <c r="D1884" s="21" t="s">
        <v>1087</v>
      </c>
      <c r="E1884" s="21">
        <v>0</v>
      </c>
      <c r="F1884" s="21"/>
      <c r="G1884" s="22"/>
    </row>
    <row r="1885" spans="1:7" s="7" customFormat="1" x14ac:dyDescent="0.15">
      <c r="B1885" s="20" t="s">
        <v>411</v>
      </c>
      <c r="C1885" s="21" t="s">
        <v>1138</v>
      </c>
      <c r="D1885" s="21" t="s">
        <v>1087</v>
      </c>
      <c r="E1885" s="21">
        <v>0</v>
      </c>
      <c r="F1885" s="21"/>
      <c r="G1885" s="22"/>
    </row>
    <row r="1886" spans="1:7" s="7" customFormat="1" x14ac:dyDescent="0.15">
      <c r="B1886" s="20" t="s">
        <v>412</v>
      </c>
      <c r="C1886" s="21" t="s">
        <v>1202</v>
      </c>
      <c r="D1886" s="21" t="s">
        <v>1087</v>
      </c>
      <c r="E1886" s="21">
        <v>0</v>
      </c>
      <c r="F1886" s="21"/>
      <c r="G1886" s="22"/>
    </row>
    <row r="1887" spans="1:7" s="7" customFormat="1" x14ac:dyDescent="0.15">
      <c r="B1887" s="20" t="s">
        <v>413</v>
      </c>
      <c r="C1887" s="21" t="s">
        <v>1139</v>
      </c>
      <c r="D1887" s="21" t="s">
        <v>1087</v>
      </c>
      <c r="E1887" s="21">
        <v>0</v>
      </c>
      <c r="F1887" s="21"/>
      <c r="G1887" s="22"/>
    </row>
    <row r="1888" spans="1:7" s="7" customFormat="1" x14ac:dyDescent="0.15">
      <c r="B1888" s="20" t="s">
        <v>153</v>
      </c>
      <c r="C1888" s="15" t="s">
        <v>1143</v>
      </c>
      <c r="D1888" s="15" t="s">
        <v>1169</v>
      </c>
      <c r="E1888" s="15">
        <v>0</v>
      </c>
      <c r="F1888" s="15"/>
      <c r="G1888" s="16"/>
    </row>
    <row r="1889" spans="1:7" s="7" customFormat="1" x14ac:dyDescent="0.15">
      <c r="B1889" s="20" t="s">
        <v>414</v>
      </c>
      <c r="C1889" s="15" t="s">
        <v>1213</v>
      </c>
      <c r="D1889" s="15" t="s">
        <v>1169</v>
      </c>
      <c r="E1889" s="15">
        <v>0</v>
      </c>
      <c r="F1889" s="15"/>
      <c r="G1889" s="16"/>
    </row>
    <row r="1890" spans="1:7" s="7" customFormat="1" x14ac:dyDescent="0.15">
      <c r="B1890" s="20" t="s">
        <v>13</v>
      </c>
      <c r="C1890" s="15" t="s">
        <v>1205</v>
      </c>
      <c r="D1890" s="15" t="s">
        <v>1169</v>
      </c>
      <c r="E1890" s="15">
        <v>0</v>
      </c>
      <c r="F1890" s="15"/>
      <c r="G1890" s="16"/>
    </row>
    <row r="1891" spans="1:7" s="7" customFormat="1" x14ac:dyDescent="0.15">
      <c r="B1891" s="20" t="s">
        <v>14</v>
      </c>
      <c r="C1891" s="15" t="s">
        <v>1206</v>
      </c>
      <c r="D1891" s="15" t="s">
        <v>1169</v>
      </c>
      <c r="E1891" s="15">
        <v>0</v>
      </c>
      <c r="F1891" s="15"/>
      <c r="G1891" s="16"/>
    </row>
    <row r="1892" spans="1:7" s="7" customFormat="1" ht="18" thickBot="1" x14ac:dyDescent="0.2">
      <c r="B1892" s="20"/>
      <c r="C1892" s="15"/>
      <c r="D1892" s="15"/>
      <c r="E1892" s="15"/>
      <c r="F1892" s="15"/>
      <c r="G1892" s="16"/>
    </row>
    <row r="1893" spans="1:7" s="7" customFormat="1" x14ac:dyDescent="0.15">
      <c r="B1893" s="327" t="s">
        <v>15</v>
      </c>
      <c r="C1893" s="328"/>
      <c r="D1893" s="328"/>
      <c r="E1893" s="328"/>
      <c r="F1893" s="328"/>
      <c r="G1893" s="329"/>
    </row>
    <row r="1894" spans="1:7" s="7" customFormat="1" x14ac:dyDescent="0.15">
      <c r="A1894" s="7" t="s">
        <v>62</v>
      </c>
      <c r="B1894" s="20">
        <v>1</v>
      </c>
      <c r="C1894" s="21" t="s">
        <v>123</v>
      </c>
      <c r="D1894" s="21" t="s">
        <v>120</v>
      </c>
      <c r="E1894" s="21" t="s">
        <v>114</v>
      </c>
      <c r="F1894" s="21" t="s">
        <v>115</v>
      </c>
      <c r="G1894" s="29"/>
    </row>
    <row r="1895" spans="1:7" s="7" customFormat="1" x14ac:dyDescent="0.15">
      <c r="B1895" s="20">
        <v>2</v>
      </c>
      <c r="C1895" s="21" t="s">
        <v>122</v>
      </c>
      <c r="D1895" s="21" t="s">
        <v>111</v>
      </c>
      <c r="E1895" s="21"/>
      <c r="F1895" s="29"/>
      <c r="G1895" s="141"/>
    </row>
    <row r="1896" spans="1:7" s="7" customFormat="1" ht="18" thickBot="1" x14ac:dyDescent="0.2">
      <c r="B1896" s="24"/>
      <c r="C1896" s="9"/>
      <c r="D1896" s="9"/>
      <c r="E1896" s="9"/>
      <c r="F1896" s="9"/>
      <c r="G1896" s="11"/>
    </row>
    <row r="1897" spans="1:7" s="7" customFormat="1" x14ac:dyDescent="0.15"/>
    <row r="1898" spans="1:7" s="7" customFormat="1" ht="18" thickBot="1" x14ac:dyDescent="0.2"/>
    <row r="1899" spans="1:7" s="7" customFormat="1" x14ac:dyDescent="0.15">
      <c r="B1899" s="3" t="s">
        <v>563</v>
      </c>
      <c r="C1899" s="4" t="s">
        <v>661</v>
      </c>
      <c r="D1899" s="5" t="s">
        <v>515</v>
      </c>
      <c r="E1899" s="21" t="s">
        <v>584</v>
      </c>
      <c r="F1899" s="5" t="s">
        <v>567</v>
      </c>
      <c r="G1899" s="6"/>
    </row>
    <row r="1900" spans="1:7" s="7" customFormat="1" ht="18" thickBot="1" x14ac:dyDescent="0.2">
      <c r="B1900" s="34" t="s">
        <v>570</v>
      </c>
      <c r="C1900" s="18"/>
      <c r="D1900" s="35" t="s">
        <v>568</v>
      </c>
      <c r="E1900" s="18" t="s">
        <v>615</v>
      </c>
      <c r="F1900" s="35"/>
      <c r="G1900" s="19"/>
    </row>
    <row r="1901" spans="1:7" s="7" customFormat="1" x14ac:dyDescent="0.15">
      <c r="B1901" s="3" t="s">
        <v>0</v>
      </c>
      <c r="C1901" s="5" t="s">
        <v>1</v>
      </c>
      <c r="D1901" s="5" t="s">
        <v>2</v>
      </c>
      <c r="E1901" s="5"/>
      <c r="F1901" s="5" t="s">
        <v>3</v>
      </c>
      <c r="G1901" s="36" t="s">
        <v>4</v>
      </c>
    </row>
    <row r="1902" spans="1:7" s="7" customFormat="1" x14ac:dyDescent="0.15">
      <c r="B1902" s="20" t="s">
        <v>5</v>
      </c>
      <c r="C1902" s="21" t="s">
        <v>1127</v>
      </c>
      <c r="D1902" s="21" t="s">
        <v>211</v>
      </c>
      <c r="E1902" s="21" t="s">
        <v>1141</v>
      </c>
      <c r="F1902" s="21"/>
      <c r="G1902" s="22" t="s">
        <v>1162</v>
      </c>
    </row>
    <row r="1903" spans="1:7" s="7" customFormat="1" x14ac:dyDescent="0.15">
      <c r="A1903" s="2"/>
      <c r="B1903" s="20" t="s">
        <v>6</v>
      </c>
      <c r="C1903" s="21" t="s">
        <v>1163</v>
      </c>
      <c r="D1903" s="21" t="s">
        <v>211</v>
      </c>
      <c r="E1903" s="21">
        <v>0</v>
      </c>
      <c r="F1903" s="21"/>
      <c r="G1903" s="22" t="s">
        <v>1077</v>
      </c>
    </row>
    <row r="1904" spans="1:7" s="7" customFormat="1" x14ac:dyDescent="0.15">
      <c r="A1904" s="2"/>
      <c r="B1904" s="20" t="s">
        <v>111</v>
      </c>
      <c r="C1904" s="21" t="s">
        <v>1164</v>
      </c>
      <c r="D1904" s="21" t="s">
        <v>211</v>
      </c>
      <c r="E1904" s="21">
        <v>0</v>
      </c>
      <c r="F1904" s="21"/>
      <c r="G1904" s="22" t="s">
        <v>1165</v>
      </c>
    </row>
    <row r="1905" spans="1:7" s="7" customFormat="1" x14ac:dyDescent="0.15">
      <c r="A1905" s="2"/>
      <c r="B1905" s="20" t="s">
        <v>123</v>
      </c>
      <c r="C1905" s="21" t="s">
        <v>1133</v>
      </c>
      <c r="D1905" s="21" t="s">
        <v>211</v>
      </c>
      <c r="E1905" s="21">
        <v>0</v>
      </c>
      <c r="F1905" s="21"/>
      <c r="G1905" s="22" t="s">
        <v>1182</v>
      </c>
    </row>
    <row r="1906" spans="1:7" s="7" customFormat="1" x14ac:dyDescent="0.15">
      <c r="A1906" s="2"/>
      <c r="B1906" s="20" t="s">
        <v>120</v>
      </c>
      <c r="C1906" s="21" t="s">
        <v>1187</v>
      </c>
      <c r="D1906" s="21" t="s">
        <v>211</v>
      </c>
      <c r="E1906" s="21">
        <v>0</v>
      </c>
      <c r="F1906" s="21"/>
      <c r="G1906" s="22"/>
    </row>
    <row r="1907" spans="1:7" s="7" customFormat="1" x14ac:dyDescent="0.15">
      <c r="B1907" s="20" t="s">
        <v>7</v>
      </c>
      <c r="C1907" s="21" t="s">
        <v>1190</v>
      </c>
      <c r="D1907" s="21" t="s">
        <v>211</v>
      </c>
      <c r="E1907" s="21">
        <v>0</v>
      </c>
      <c r="F1907" s="21"/>
      <c r="G1907" s="22" t="s">
        <v>1081</v>
      </c>
    </row>
    <row r="1908" spans="1:7" s="7" customFormat="1" x14ac:dyDescent="0.15">
      <c r="B1908" s="20" t="s">
        <v>114</v>
      </c>
      <c r="C1908" s="21" t="s">
        <v>1155</v>
      </c>
      <c r="D1908" s="21" t="s">
        <v>211</v>
      </c>
      <c r="E1908" s="21">
        <v>0</v>
      </c>
      <c r="F1908" s="21"/>
      <c r="G1908" s="22"/>
    </row>
    <row r="1909" spans="1:7" s="7" customFormat="1" x14ac:dyDescent="0.15">
      <c r="B1909" s="20" t="s">
        <v>115</v>
      </c>
      <c r="C1909" s="21" t="s">
        <v>1188</v>
      </c>
      <c r="D1909" s="21" t="s">
        <v>211</v>
      </c>
      <c r="E1909" s="21">
        <v>0</v>
      </c>
      <c r="F1909" s="21"/>
      <c r="G1909" s="22"/>
    </row>
    <row r="1910" spans="1:7" s="7" customFormat="1" x14ac:dyDescent="0.15">
      <c r="A1910" s="2"/>
      <c r="B1910" s="20" t="s">
        <v>399</v>
      </c>
      <c r="C1910" s="21" t="s">
        <v>1193</v>
      </c>
      <c r="D1910" s="21" t="s">
        <v>1087</v>
      </c>
      <c r="E1910" s="21">
        <v>0</v>
      </c>
      <c r="F1910" s="21"/>
      <c r="G1910" s="22" t="s">
        <v>1194</v>
      </c>
    </row>
    <row r="1911" spans="1:7" s="7" customFormat="1" x14ac:dyDescent="0.15">
      <c r="A1911" s="2"/>
      <c r="B1911" s="20" t="s">
        <v>415</v>
      </c>
      <c r="C1911" s="21" t="s">
        <v>1195</v>
      </c>
      <c r="D1911" s="21" t="s">
        <v>1087</v>
      </c>
      <c r="E1911" s="21">
        <v>0</v>
      </c>
      <c r="F1911" s="21"/>
      <c r="G1911" s="22" t="s">
        <v>1196</v>
      </c>
    </row>
    <row r="1912" spans="1:7" s="7" customFormat="1" x14ac:dyDescent="0.15">
      <c r="B1912" s="20" t="s">
        <v>400</v>
      </c>
      <c r="C1912" s="21" t="s">
        <v>1197</v>
      </c>
      <c r="D1912" s="21" t="s">
        <v>1087</v>
      </c>
      <c r="E1912" s="21">
        <v>0</v>
      </c>
      <c r="F1912" s="21"/>
      <c r="G1912" s="22" t="s">
        <v>1144</v>
      </c>
    </row>
    <row r="1913" spans="1:7" s="7" customFormat="1" x14ac:dyDescent="0.15">
      <c r="B1913" s="20" t="s">
        <v>401</v>
      </c>
      <c r="C1913" s="21" t="s">
        <v>1198</v>
      </c>
      <c r="D1913" s="21" t="s">
        <v>1087</v>
      </c>
      <c r="E1913" s="21">
        <v>0</v>
      </c>
      <c r="F1913" s="21"/>
      <c r="G1913" s="22" t="s">
        <v>1080</v>
      </c>
    </row>
    <row r="1914" spans="1:7" s="7" customFormat="1" x14ac:dyDescent="0.15">
      <c r="B1914" s="20" t="s">
        <v>402</v>
      </c>
      <c r="C1914" s="21" t="s">
        <v>1083</v>
      </c>
      <c r="D1914" s="21" t="s">
        <v>1087</v>
      </c>
      <c r="E1914" s="21">
        <v>0</v>
      </c>
      <c r="F1914" s="21"/>
      <c r="G1914" s="22"/>
    </row>
    <row r="1915" spans="1:7" s="7" customFormat="1" x14ac:dyDescent="0.15">
      <c r="B1915" s="20" t="s">
        <v>403</v>
      </c>
      <c r="C1915" s="21" t="s">
        <v>1135</v>
      </c>
      <c r="D1915" s="21" t="s">
        <v>1087</v>
      </c>
      <c r="E1915" s="21">
        <v>0</v>
      </c>
      <c r="F1915" s="21"/>
      <c r="G1915" s="22"/>
    </row>
    <row r="1916" spans="1:7" s="7" customFormat="1" x14ac:dyDescent="0.15">
      <c r="B1916" s="20" t="s">
        <v>404</v>
      </c>
      <c r="C1916" s="21" t="s">
        <v>1335</v>
      </c>
      <c r="D1916" s="21" t="s">
        <v>1087</v>
      </c>
      <c r="E1916" s="21">
        <v>0</v>
      </c>
      <c r="F1916" s="21"/>
      <c r="G1916" s="22"/>
    </row>
    <row r="1917" spans="1:7" s="7" customFormat="1" x14ac:dyDescent="0.15">
      <c r="B1917" s="20" t="s">
        <v>405</v>
      </c>
      <c r="C1917" s="21" t="s">
        <v>1199</v>
      </c>
      <c r="D1917" s="21" t="s">
        <v>1087</v>
      </c>
      <c r="E1917" s="21">
        <v>0</v>
      </c>
      <c r="F1917" s="21"/>
      <c r="G1917" s="22"/>
    </row>
    <row r="1918" spans="1:7" s="7" customFormat="1" x14ac:dyDescent="0.15">
      <c r="B1918" s="20" t="s">
        <v>406</v>
      </c>
      <c r="C1918" s="21" t="s">
        <v>1145</v>
      </c>
      <c r="D1918" s="21" t="s">
        <v>1087</v>
      </c>
      <c r="E1918" s="21">
        <v>0</v>
      </c>
      <c r="F1918" s="21"/>
      <c r="G1918" s="22"/>
    </row>
    <row r="1919" spans="1:7" s="7" customFormat="1" x14ac:dyDescent="0.15">
      <c r="B1919" s="20" t="s">
        <v>407</v>
      </c>
      <c r="C1919" s="21" t="s">
        <v>1136</v>
      </c>
      <c r="D1919" s="21" t="s">
        <v>1087</v>
      </c>
      <c r="E1919" s="21">
        <v>0</v>
      </c>
      <c r="F1919" s="21"/>
      <c r="G1919" s="22"/>
    </row>
    <row r="1920" spans="1:7" s="7" customFormat="1" x14ac:dyDescent="0.15">
      <c r="B1920" s="20" t="s">
        <v>408</v>
      </c>
      <c r="C1920" s="21" t="s">
        <v>1200</v>
      </c>
      <c r="D1920" s="21" t="s">
        <v>1087</v>
      </c>
      <c r="E1920" s="21">
        <v>0</v>
      </c>
      <c r="F1920" s="21"/>
      <c r="G1920" s="22"/>
    </row>
    <row r="1921" spans="1:7" s="7" customFormat="1" x14ac:dyDescent="0.15">
      <c r="B1921" s="20" t="s">
        <v>409</v>
      </c>
      <c r="C1921" s="21" t="s">
        <v>1201</v>
      </c>
      <c r="D1921" s="21" t="s">
        <v>1087</v>
      </c>
      <c r="E1921" s="21">
        <v>0</v>
      </c>
      <c r="F1921" s="21"/>
      <c r="G1921" s="22"/>
    </row>
    <row r="1922" spans="1:7" s="7" customFormat="1" x14ac:dyDescent="0.15">
      <c r="B1922" s="20" t="s">
        <v>410</v>
      </c>
      <c r="C1922" s="21" t="s">
        <v>1137</v>
      </c>
      <c r="D1922" s="21" t="s">
        <v>1087</v>
      </c>
      <c r="E1922" s="21">
        <v>0</v>
      </c>
      <c r="F1922" s="21"/>
      <c r="G1922" s="22"/>
    </row>
    <row r="1923" spans="1:7" s="7" customFormat="1" x14ac:dyDescent="0.15">
      <c r="B1923" s="20" t="s">
        <v>411</v>
      </c>
      <c r="C1923" s="21" t="s">
        <v>1138</v>
      </c>
      <c r="D1923" s="21" t="s">
        <v>1087</v>
      </c>
      <c r="E1923" s="21">
        <v>0</v>
      </c>
      <c r="F1923" s="21"/>
      <c r="G1923" s="22"/>
    </row>
    <row r="1924" spans="1:7" s="7" customFormat="1" x14ac:dyDescent="0.15">
      <c r="B1924" s="20" t="s">
        <v>412</v>
      </c>
      <c r="C1924" s="21" t="s">
        <v>1202</v>
      </c>
      <c r="D1924" s="21" t="s">
        <v>1087</v>
      </c>
      <c r="E1924" s="21">
        <v>0</v>
      </c>
      <c r="F1924" s="21"/>
      <c r="G1924" s="22"/>
    </row>
    <row r="1925" spans="1:7" s="7" customFormat="1" x14ac:dyDescent="0.15">
      <c r="B1925" s="20" t="s">
        <v>413</v>
      </c>
      <c r="C1925" s="21" t="s">
        <v>1139</v>
      </c>
      <c r="D1925" s="21" t="s">
        <v>1087</v>
      </c>
      <c r="E1925" s="21">
        <v>0</v>
      </c>
      <c r="F1925" s="21"/>
      <c r="G1925" s="22"/>
    </row>
    <row r="1926" spans="1:7" s="7" customFormat="1" x14ac:dyDescent="0.15">
      <c r="B1926" s="20" t="s">
        <v>153</v>
      </c>
      <c r="C1926" s="15" t="s">
        <v>1143</v>
      </c>
      <c r="D1926" s="15" t="s">
        <v>1169</v>
      </c>
      <c r="E1926" s="15">
        <v>0</v>
      </c>
      <c r="F1926" s="15"/>
      <c r="G1926" s="16"/>
    </row>
    <row r="1927" spans="1:7" s="7" customFormat="1" x14ac:dyDescent="0.15">
      <c r="B1927" s="20" t="s">
        <v>414</v>
      </c>
      <c r="C1927" s="15" t="s">
        <v>1213</v>
      </c>
      <c r="D1927" s="15" t="s">
        <v>1169</v>
      </c>
      <c r="E1927" s="15">
        <v>0</v>
      </c>
      <c r="F1927" s="15"/>
      <c r="G1927" s="16"/>
    </row>
    <row r="1928" spans="1:7" s="7" customFormat="1" x14ac:dyDescent="0.15">
      <c r="B1928" s="20" t="s">
        <v>13</v>
      </c>
      <c r="C1928" s="15" t="s">
        <v>1205</v>
      </c>
      <c r="D1928" s="15" t="s">
        <v>1169</v>
      </c>
      <c r="E1928" s="15">
        <v>0</v>
      </c>
      <c r="F1928" s="15"/>
      <c r="G1928" s="16"/>
    </row>
    <row r="1929" spans="1:7" s="7" customFormat="1" x14ac:dyDescent="0.15">
      <c r="B1929" s="20" t="s">
        <v>14</v>
      </c>
      <c r="C1929" s="15" t="s">
        <v>1206</v>
      </c>
      <c r="D1929" s="15" t="s">
        <v>1169</v>
      </c>
      <c r="E1929" s="15">
        <v>0</v>
      </c>
      <c r="F1929" s="15"/>
      <c r="G1929" s="16"/>
    </row>
    <row r="1930" spans="1:7" s="7" customFormat="1" ht="18" thickBot="1" x14ac:dyDescent="0.2">
      <c r="B1930" s="14"/>
      <c r="C1930" s="15"/>
      <c r="D1930" s="15"/>
      <c r="E1930" s="15"/>
      <c r="F1930" s="15"/>
      <c r="G1930" s="16"/>
    </row>
    <row r="1931" spans="1:7" s="7" customFormat="1" x14ac:dyDescent="0.15">
      <c r="B1931" s="327" t="s">
        <v>15</v>
      </c>
      <c r="C1931" s="328"/>
      <c r="D1931" s="328"/>
      <c r="E1931" s="328"/>
      <c r="F1931" s="328"/>
      <c r="G1931" s="329"/>
    </row>
    <row r="1932" spans="1:7" s="7" customFormat="1" x14ac:dyDescent="0.15">
      <c r="A1932" s="7" t="s">
        <v>62</v>
      </c>
      <c r="B1932" s="20">
        <v>1</v>
      </c>
      <c r="C1932" s="21" t="s">
        <v>22</v>
      </c>
      <c r="D1932" s="21" t="s">
        <v>154</v>
      </c>
      <c r="E1932" s="21" t="s">
        <v>120</v>
      </c>
      <c r="F1932" s="21" t="s">
        <v>114</v>
      </c>
      <c r="G1932" s="21" t="s">
        <v>115</v>
      </c>
    </row>
    <row r="1933" spans="1:7" s="7" customFormat="1" x14ac:dyDescent="0.15">
      <c r="B1933" s="20">
        <v>2</v>
      </c>
      <c r="C1933" s="21" t="s">
        <v>22</v>
      </c>
      <c r="D1933" s="21" t="s">
        <v>16</v>
      </c>
      <c r="E1933" s="21" t="s">
        <v>111</v>
      </c>
      <c r="F1933" s="29"/>
      <c r="G1933" s="141"/>
    </row>
    <row r="1934" spans="1:7" s="7" customFormat="1" ht="18" thickBot="1" x14ac:dyDescent="0.2">
      <c r="B1934" s="24"/>
      <c r="C1934" s="9"/>
      <c r="D1934" s="9"/>
      <c r="E1934" s="9"/>
      <c r="F1934" s="9"/>
      <c r="G1934" s="11"/>
    </row>
    <row r="1935" spans="1:7" s="7" customFormat="1" x14ac:dyDescent="0.15"/>
    <row r="1936" spans="1:7" s="7" customFormat="1" ht="18" thickBot="1" x14ac:dyDescent="0.2"/>
    <row r="1937" spans="1:7" s="7" customFormat="1" x14ac:dyDescent="0.15">
      <c r="B1937" s="3" t="s">
        <v>563</v>
      </c>
      <c r="C1937" s="4" t="s">
        <v>646</v>
      </c>
      <c r="D1937" s="5" t="s">
        <v>515</v>
      </c>
      <c r="E1937" s="21" t="s">
        <v>727</v>
      </c>
      <c r="F1937" s="5" t="s">
        <v>567</v>
      </c>
      <c r="G1937" s="6"/>
    </row>
    <row r="1938" spans="1:7" s="7" customFormat="1" ht="18" thickBot="1" x14ac:dyDescent="0.2">
      <c r="B1938" s="34" t="s">
        <v>570</v>
      </c>
      <c r="C1938" s="18"/>
      <c r="D1938" s="35" t="s">
        <v>568</v>
      </c>
      <c r="E1938" s="18" t="s">
        <v>615</v>
      </c>
      <c r="F1938" s="35"/>
      <c r="G1938" s="19"/>
    </row>
    <row r="1939" spans="1:7" s="7" customFormat="1" x14ac:dyDescent="0.15">
      <c r="B1939" s="3" t="s">
        <v>0</v>
      </c>
      <c r="C1939" s="5" t="s">
        <v>1</v>
      </c>
      <c r="D1939" s="5" t="s">
        <v>2</v>
      </c>
      <c r="E1939" s="5"/>
      <c r="F1939" s="5" t="s">
        <v>3</v>
      </c>
      <c r="G1939" s="36" t="s">
        <v>4</v>
      </c>
    </row>
    <row r="1940" spans="1:7" s="7" customFormat="1" x14ac:dyDescent="0.15">
      <c r="A1940" s="2"/>
      <c r="B1940" s="20" t="s">
        <v>6</v>
      </c>
      <c r="C1940" s="21" t="s">
        <v>1163</v>
      </c>
      <c r="D1940" s="21" t="s">
        <v>211</v>
      </c>
      <c r="E1940" s="21">
        <v>0</v>
      </c>
      <c r="F1940" s="21"/>
      <c r="G1940" s="22" t="s">
        <v>1077</v>
      </c>
    </row>
    <row r="1941" spans="1:7" s="7" customFormat="1" x14ac:dyDescent="0.15">
      <c r="A1941" s="2"/>
      <c r="B1941" s="20" t="s">
        <v>111</v>
      </c>
      <c r="C1941" s="21" t="s">
        <v>1164</v>
      </c>
      <c r="D1941" s="21" t="s">
        <v>211</v>
      </c>
      <c r="E1941" s="21">
        <v>0</v>
      </c>
      <c r="F1941" s="21"/>
      <c r="G1941" s="22" t="s">
        <v>1165</v>
      </c>
    </row>
    <row r="1942" spans="1:7" s="7" customFormat="1" x14ac:dyDescent="0.15">
      <c r="A1942" s="2"/>
      <c r="B1942" s="20" t="s">
        <v>120</v>
      </c>
      <c r="C1942" s="21" t="s">
        <v>1187</v>
      </c>
      <c r="D1942" s="21" t="s">
        <v>211</v>
      </c>
      <c r="E1942" s="21">
        <v>0</v>
      </c>
      <c r="F1942" s="21"/>
      <c r="G1942" s="22"/>
    </row>
    <row r="1943" spans="1:7" s="7" customFormat="1" x14ac:dyDescent="0.15">
      <c r="B1943" s="20" t="s">
        <v>7</v>
      </c>
      <c r="C1943" s="21" t="s">
        <v>1190</v>
      </c>
      <c r="D1943" s="21" t="s">
        <v>211</v>
      </c>
      <c r="E1943" s="21">
        <v>0</v>
      </c>
      <c r="F1943" s="21"/>
      <c r="G1943" s="22" t="s">
        <v>1081</v>
      </c>
    </row>
    <row r="1944" spans="1:7" s="7" customFormat="1" x14ac:dyDescent="0.15">
      <c r="B1944" s="20" t="s">
        <v>114</v>
      </c>
      <c r="C1944" s="21" t="s">
        <v>1155</v>
      </c>
      <c r="D1944" s="21" t="s">
        <v>211</v>
      </c>
      <c r="E1944" s="21">
        <v>0</v>
      </c>
      <c r="F1944" s="21"/>
      <c r="G1944" s="22"/>
    </row>
    <row r="1945" spans="1:7" s="7" customFormat="1" x14ac:dyDescent="0.15">
      <c r="B1945" s="20" t="s">
        <v>118</v>
      </c>
      <c r="C1945" s="21" t="s">
        <v>1188</v>
      </c>
      <c r="D1945" s="21" t="s">
        <v>211</v>
      </c>
      <c r="E1945" s="21">
        <v>0</v>
      </c>
      <c r="F1945" s="21"/>
      <c r="G1945" s="22"/>
    </row>
    <row r="1946" spans="1:7" s="7" customFormat="1" x14ac:dyDescent="0.15">
      <c r="A1946" s="2"/>
      <c r="B1946" s="20" t="s">
        <v>399</v>
      </c>
      <c r="C1946" s="21" t="s">
        <v>1193</v>
      </c>
      <c r="D1946" s="21" t="s">
        <v>1087</v>
      </c>
      <c r="E1946" s="21">
        <v>0</v>
      </c>
      <c r="F1946" s="21"/>
      <c r="G1946" s="22" t="s">
        <v>1194</v>
      </c>
    </row>
    <row r="1947" spans="1:7" s="7" customFormat="1" x14ac:dyDescent="0.15">
      <c r="A1947" s="2"/>
      <c r="B1947" s="20" t="s">
        <v>156</v>
      </c>
      <c r="C1947" s="21" t="s">
        <v>1195</v>
      </c>
      <c r="D1947" s="21" t="s">
        <v>1087</v>
      </c>
      <c r="E1947" s="21">
        <v>0</v>
      </c>
      <c r="F1947" s="21"/>
      <c r="G1947" s="22" t="s">
        <v>1196</v>
      </c>
    </row>
    <row r="1948" spans="1:7" s="7" customFormat="1" x14ac:dyDescent="0.15">
      <c r="B1948" s="20" t="s">
        <v>400</v>
      </c>
      <c r="C1948" s="21" t="s">
        <v>1197</v>
      </c>
      <c r="D1948" s="21" t="s">
        <v>1087</v>
      </c>
      <c r="E1948" s="21">
        <v>0</v>
      </c>
      <c r="F1948" s="21"/>
      <c r="G1948" s="22" t="s">
        <v>1144</v>
      </c>
    </row>
    <row r="1949" spans="1:7" s="7" customFormat="1" x14ac:dyDescent="0.15">
      <c r="B1949" s="20" t="s">
        <v>401</v>
      </c>
      <c r="C1949" s="21" t="s">
        <v>1198</v>
      </c>
      <c r="D1949" s="21" t="s">
        <v>1087</v>
      </c>
      <c r="E1949" s="21">
        <v>0</v>
      </c>
      <c r="F1949" s="21"/>
      <c r="G1949" s="22" t="s">
        <v>1080</v>
      </c>
    </row>
    <row r="1950" spans="1:7" s="7" customFormat="1" x14ac:dyDescent="0.15">
      <c r="B1950" s="20" t="s">
        <v>402</v>
      </c>
      <c r="C1950" s="21" t="s">
        <v>1083</v>
      </c>
      <c r="D1950" s="21" t="s">
        <v>1087</v>
      </c>
      <c r="E1950" s="21">
        <v>0</v>
      </c>
      <c r="F1950" s="21"/>
      <c r="G1950" s="22"/>
    </row>
    <row r="1951" spans="1:7" s="7" customFormat="1" x14ac:dyDescent="0.15">
      <c r="B1951" s="20" t="s">
        <v>403</v>
      </c>
      <c r="C1951" s="21" t="s">
        <v>1135</v>
      </c>
      <c r="D1951" s="21" t="s">
        <v>1087</v>
      </c>
      <c r="E1951" s="21">
        <v>0</v>
      </c>
      <c r="F1951" s="21"/>
      <c r="G1951" s="22"/>
    </row>
    <row r="1952" spans="1:7" s="7" customFormat="1" x14ac:dyDescent="0.15">
      <c r="B1952" s="20" t="s">
        <v>404</v>
      </c>
      <c r="C1952" s="21" t="s">
        <v>1335</v>
      </c>
      <c r="D1952" s="21" t="s">
        <v>1087</v>
      </c>
      <c r="E1952" s="21">
        <v>0</v>
      </c>
      <c r="F1952" s="21"/>
      <c r="G1952" s="22"/>
    </row>
    <row r="1953" spans="1:7" s="7" customFormat="1" x14ac:dyDescent="0.15">
      <c r="B1953" s="20" t="s">
        <v>405</v>
      </c>
      <c r="C1953" s="21" t="s">
        <v>1199</v>
      </c>
      <c r="D1953" s="21" t="s">
        <v>1087</v>
      </c>
      <c r="E1953" s="21">
        <v>0</v>
      </c>
      <c r="F1953" s="21"/>
      <c r="G1953" s="22"/>
    </row>
    <row r="1954" spans="1:7" s="7" customFormat="1" x14ac:dyDescent="0.15">
      <c r="B1954" s="20" t="s">
        <v>417</v>
      </c>
      <c r="C1954" s="21" t="s">
        <v>1145</v>
      </c>
      <c r="D1954" s="21" t="s">
        <v>1087</v>
      </c>
      <c r="E1954" s="21">
        <v>0</v>
      </c>
      <c r="F1954" s="21"/>
      <c r="G1954" s="22"/>
    </row>
    <row r="1955" spans="1:7" s="7" customFormat="1" x14ac:dyDescent="0.15">
      <c r="B1955" s="20" t="s">
        <v>407</v>
      </c>
      <c r="C1955" s="21" t="s">
        <v>1136</v>
      </c>
      <c r="D1955" s="21" t="s">
        <v>1087</v>
      </c>
      <c r="E1955" s="21">
        <v>0</v>
      </c>
      <c r="F1955" s="21"/>
      <c r="G1955" s="22"/>
    </row>
    <row r="1956" spans="1:7" s="7" customFormat="1" x14ac:dyDescent="0.15">
      <c r="B1956" s="20" t="s">
        <v>408</v>
      </c>
      <c r="C1956" s="21" t="s">
        <v>1200</v>
      </c>
      <c r="D1956" s="21" t="s">
        <v>1087</v>
      </c>
      <c r="E1956" s="21">
        <v>0</v>
      </c>
      <c r="F1956" s="21"/>
      <c r="G1956" s="22"/>
    </row>
    <row r="1957" spans="1:7" s="7" customFormat="1" x14ac:dyDescent="0.15">
      <c r="B1957" s="20" t="s">
        <v>409</v>
      </c>
      <c r="C1957" s="21" t="s">
        <v>1201</v>
      </c>
      <c r="D1957" s="21" t="s">
        <v>1087</v>
      </c>
      <c r="E1957" s="21">
        <v>0</v>
      </c>
      <c r="F1957" s="21"/>
      <c r="G1957" s="22"/>
    </row>
    <row r="1958" spans="1:7" s="7" customFormat="1" x14ac:dyDescent="0.15">
      <c r="B1958" s="20" t="s">
        <v>410</v>
      </c>
      <c r="C1958" s="21" t="s">
        <v>1137</v>
      </c>
      <c r="D1958" s="21" t="s">
        <v>1087</v>
      </c>
      <c r="E1958" s="21">
        <v>0</v>
      </c>
      <c r="F1958" s="21"/>
      <c r="G1958" s="22"/>
    </row>
    <row r="1959" spans="1:7" s="7" customFormat="1" x14ac:dyDescent="0.15">
      <c r="B1959" s="20" t="s">
        <v>411</v>
      </c>
      <c r="C1959" s="21" t="s">
        <v>1138</v>
      </c>
      <c r="D1959" s="21" t="s">
        <v>1087</v>
      </c>
      <c r="E1959" s="21">
        <v>0</v>
      </c>
      <c r="F1959" s="21"/>
      <c r="G1959" s="22"/>
    </row>
    <row r="1960" spans="1:7" s="7" customFormat="1" x14ac:dyDescent="0.15">
      <c r="B1960" s="20" t="s">
        <v>412</v>
      </c>
      <c r="C1960" s="21" t="s">
        <v>1202</v>
      </c>
      <c r="D1960" s="21" t="s">
        <v>1087</v>
      </c>
      <c r="E1960" s="21">
        <v>0</v>
      </c>
      <c r="F1960" s="21"/>
      <c r="G1960" s="22"/>
    </row>
    <row r="1961" spans="1:7" s="7" customFormat="1" x14ac:dyDescent="0.15">
      <c r="B1961" s="20" t="s">
        <v>413</v>
      </c>
      <c r="C1961" s="21" t="s">
        <v>1139</v>
      </c>
      <c r="D1961" s="21" t="s">
        <v>1087</v>
      </c>
      <c r="E1961" s="21">
        <v>0</v>
      </c>
      <c r="F1961" s="21"/>
      <c r="G1961" s="22"/>
    </row>
    <row r="1962" spans="1:7" s="7" customFormat="1" x14ac:dyDescent="0.15">
      <c r="B1962" s="20" t="s">
        <v>153</v>
      </c>
      <c r="C1962" s="15" t="s">
        <v>1143</v>
      </c>
      <c r="D1962" s="15" t="s">
        <v>1169</v>
      </c>
      <c r="E1962" s="15">
        <v>0</v>
      </c>
      <c r="F1962" s="15"/>
      <c r="G1962" s="16"/>
    </row>
    <row r="1963" spans="1:7" s="7" customFormat="1" x14ac:dyDescent="0.15">
      <c r="B1963" s="20" t="s">
        <v>414</v>
      </c>
      <c r="C1963" s="15" t="s">
        <v>1213</v>
      </c>
      <c r="D1963" s="15" t="s">
        <v>1169</v>
      </c>
      <c r="E1963" s="15">
        <v>0</v>
      </c>
      <c r="F1963" s="15"/>
      <c r="G1963" s="16"/>
    </row>
    <row r="1964" spans="1:7" s="7" customFormat="1" x14ac:dyDescent="0.15">
      <c r="B1964" s="20" t="s">
        <v>13</v>
      </c>
      <c r="C1964" s="15" t="s">
        <v>1205</v>
      </c>
      <c r="D1964" s="15" t="s">
        <v>1169</v>
      </c>
      <c r="E1964" s="15">
        <v>0</v>
      </c>
      <c r="F1964" s="15"/>
      <c r="G1964" s="16"/>
    </row>
    <row r="1965" spans="1:7" s="7" customFormat="1" x14ac:dyDescent="0.15">
      <c r="B1965" s="20" t="s">
        <v>14</v>
      </c>
      <c r="C1965" s="15" t="s">
        <v>1206</v>
      </c>
      <c r="D1965" s="15" t="s">
        <v>1169</v>
      </c>
      <c r="E1965" s="15">
        <v>0</v>
      </c>
      <c r="F1965" s="15"/>
      <c r="G1965" s="16"/>
    </row>
    <row r="1966" spans="1:7" s="7" customFormat="1" ht="18" thickBot="1" x14ac:dyDescent="0.2">
      <c r="B1966" s="14"/>
      <c r="C1966" s="15"/>
      <c r="D1966" s="15"/>
      <c r="E1966" s="15"/>
      <c r="F1966" s="15"/>
      <c r="G1966" s="16"/>
    </row>
    <row r="1967" spans="1:7" s="7" customFormat="1" x14ac:dyDescent="0.15">
      <c r="B1967" s="327" t="s">
        <v>15</v>
      </c>
      <c r="C1967" s="328"/>
      <c r="D1967" s="328"/>
      <c r="E1967" s="328"/>
      <c r="F1967" s="328"/>
      <c r="G1967" s="329"/>
    </row>
    <row r="1968" spans="1:7" s="7" customFormat="1" x14ac:dyDescent="0.15">
      <c r="A1968" s="7" t="s">
        <v>62</v>
      </c>
      <c r="B1968" s="20">
        <v>1</v>
      </c>
      <c r="C1968" s="21" t="s">
        <v>121</v>
      </c>
      <c r="D1968" s="21" t="s">
        <v>114</v>
      </c>
      <c r="E1968" s="21" t="s">
        <v>118</v>
      </c>
      <c r="F1968" s="29"/>
      <c r="G1968" s="141"/>
    </row>
    <row r="1969" spans="1:7" s="7" customFormat="1" x14ac:dyDescent="0.15">
      <c r="B1969" s="20">
        <v>2</v>
      </c>
      <c r="C1969" s="21" t="s">
        <v>122</v>
      </c>
      <c r="D1969" s="21" t="s">
        <v>111</v>
      </c>
      <c r="E1969" s="21"/>
      <c r="F1969" s="29"/>
      <c r="G1969" s="141"/>
    </row>
    <row r="1970" spans="1:7" s="7" customFormat="1" ht="18" thickBot="1" x14ac:dyDescent="0.2">
      <c r="B1970" s="24"/>
      <c r="C1970" s="9"/>
      <c r="D1970" s="9"/>
      <c r="E1970" s="9"/>
      <c r="F1970" s="9"/>
      <c r="G1970" s="11"/>
    </row>
    <row r="1971" spans="1:7" s="7" customFormat="1" x14ac:dyDescent="0.15"/>
    <row r="1972" spans="1:7" s="7" customFormat="1" ht="18" thickBot="1" x14ac:dyDescent="0.2"/>
    <row r="1973" spans="1:7" s="7" customFormat="1" x14ac:dyDescent="0.15">
      <c r="B1973" s="3" t="s">
        <v>563</v>
      </c>
      <c r="C1973" s="4" t="s">
        <v>649</v>
      </c>
      <c r="D1973" s="5" t="s">
        <v>515</v>
      </c>
      <c r="E1973" s="21" t="s">
        <v>608</v>
      </c>
      <c r="F1973" s="5" t="s">
        <v>567</v>
      </c>
      <c r="G1973" s="6"/>
    </row>
    <row r="1974" spans="1:7" s="7" customFormat="1" ht="18" thickBot="1" x14ac:dyDescent="0.2">
      <c r="B1974" s="34" t="s">
        <v>570</v>
      </c>
      <c r="C1974" s="18"/>
      <c r="D1974" s="35" t="s">
        <v>568</v>
      </c>
      <c r="E1974" s="18" t="s">
        <v>615</v>
      </c>
      <c r="F1974" s="35"/>
      <c r="G1974" s="19"/>
    </row>
    <row r="1975" spans="1:7" s="7" customFormat="1" x14ac:dyDescent="0.15">
      <c r="B1975" s="3" t="s">
        <v>0</v>
      </c>
      <c r="C1975" s="5" t="s">
        <v>1</v>
      </c>
      <c r="D1975" s="5" t="s">
        <v>2</v>
      </c>
      <c r="E1975" s="5"/>
      <c r="F1975" s="5" t="s">
        <v>3</v>
      </c>
      <c r="G1975" s="36" t="s">
        <v>4</v>
      </c>
    </row>
    <row r="1976" spans="1:7" s="7" customFormat="1" x14ac:dyDescent="0.15">
      <c r="B1976" s="20" t="s">
        <v>5</v>
      </c>
      <c r="C1976" s="21" t="s">
        <v>1127</v>
      </c>
      <c r="D1976" s="21" t="s">
        <v>211</v>
      </c>
      <c r="E1976" s="21" t="s">
        <v>1141</v>
      </c>
      <c r="F1976" s="21"/>
      <c r="G1976" s="22" t="s">
        <v>1162</v>
      </c>
    </row>
    <row r="1977" spans="1:7" s="7" customFormat="1" x14ac:dyDescent="0.15">
      <c r="A1977" s="2"/>
      <c r="B1977" s="20" t="s">
        <v>6</v>
      </c>
      <c r="C1977" s="21" t="s">
        <v>1163</v>
      </c>
      <c r="D1977" s="21" t="s">
        <v>211</v>
      </c>
      <c r="E1977" s="21">
        <v>0</v>
      </c>
      <c r="F1977" s="21"/>
      <c r="G1977" s="22" t="s">
        <v>1077</v>
      </c>
    </row>
    <row r="1978" spans="1:7" s="7" customFormat="1" x14ac:dyDescent="0.15">
      <c r="A1978" s="2"/>
      <c r="B1978" s="20" t="s">
        <v>111</v>
      </c>
      <c r="C1978" s="21" t="s">
        <v>1164</v>
      </c>
      <c r="D1978" s="21" t="s">
        <v>211</v>
      </c>
      <c r="E1978" s="21">
        <v>0</v>
      </c>
      <c r="F1978" s="21"/>
      <c r="G1978" s="22" t="s">
        <v>1165</v>
      </c>
    </row>
    <row r="1979" spans="1:7" s="7" customFormat="1" x14ac:dyDescent="0.15">
      <c r="A1979" s="2"/>
      <c r="B1979" s="20" t="s">
        <v>120</v>
      </c>
      <c r="C1979" s="21" t="s">
        <v>1187</v>
      </c>
      <c r="D1979" s="21" t="s">
        <v>211</v>
      </c>
      <c r="E1979" s="21">
        <v>0</v>
      </c>
      <c r="F1979" s="21"/>
      <c r="G1979" s="22"/>
    </row>
    <row r="1980" spans="1:7" s="7" customFormat="1" x14ac:dyDescent="0.15">
      <c r="B1980" s="20" t="s">
        <v>7</v>
      </c>
      <c r="C1980" s="21" t="s">
        <v>1190</v>
      </c>
      <c r="D1980" s="21" t="s">
        <v>211</v>
      </c>
      <c r="E1980" s="21">
        <v>0</v>
      </c>
      <c r="F1980" s="21"/>
      <c r="G1980" s="22" t="s">
        <v>1081</v>
      </c>
    </row>
    <row r="1981" spans="1:7" s="7" customFormat="1" x14ac:dyDescent="0.15">
      <c r="B1981" s="20" t="s">
        <v>114</v>
      </c>
      <c r="C1981" s="21" t="s">
        <v>1155</v>
      </c>
      <c r="D1981" s="21" t="s">
        <v>211</v>
      </c>
      <c r="E1981" s="21">
        <v>0</v>
      </c>
      <c r="F1981" s="21"/>
      <c r="G1981" s="22"/>
    </row>
    <row r="1982" spans="1:7" s="7" customFormat="1" x14ac:dyDescent="0.15">
      <c r="B1982" s="20" t="s">
        <v>118</v>
      </c>
      <c r="C1982" s="21" t="s">
        <v>1188</v>
      </c>
      <c r="D1982" s="21" t="s">
        <v>211</v>
      </c>
      <c r="E1982" s="21">
        <v>0</v>
      </c>
      <c r="F1982" s="21"/>
      <c r="G1982" s="22"/>
    </row>
    <row r="1983" spans="1:7" s="7" customFormat="1" x14ac:dyDescent="0.15">
      <c r="A1983" s="2"/>
      <c r="B1983" s="20" t="s">
        <v>399</v>
      </c>
      <c r="C1983" s="21" t="s">
        <v>1193</v>
      </c>
      <c r="D1983" s="21" t="s">
        <v>1087</v>
      </c>
      <c r="E1983" s="21">
        <v>0</v>
      </c>
      <c r="F1983" s="21"/>
      <c r="G1983" s="22" t="s">
        <v>1194</v>
      </c>
    </row>
    <row r="1984" spans="1:7" s="7" customFormat="1" x14ac:dyDescent="0.15">
      <c r="A1984" s="2"/>
      <c r="B1984" s="20" t="s">
        <v>415</v>
      </c>
      <c r="C1984" s="21" t="s">
        <v>1195</v>
      </c>
      <c r="D1984" s="21" t="s">
        <v>1087</v>
      </c>
      <c r="E1984" s="21">
        <v>0</v>
      </c>
      <c r="F1984" s="21"/>
      <c r="G1984" s="22" t="s">
        <v>1196</v>
      </c>
    </row>
    <row r="1985" spans="2:7" s="7" customFormat="1" x14ac:dyDescent="0.15">
      <c r="B1985" s="20" t="s">
        <v>400</v>
      </c>
      <c r="C1985" s="21" t="s">
        <v>1197</v>
      </c>
      <c r="D1985" s="21" t="s">
        <v>1087</v>
      </c>
      <c r="E1985" s="21">
        <v>0</v>
      </c>
      <c r="F1985" s="21"/>
      <c r="G1985" s="22" t="s">
        <v>1144</v>
      </c>
    </row>
    <row r="1986" spans="2:7" s="7" customFormat="1" x14ac:dyDescent="0.15">
      <c r="B1986" s="20" t="s">
        <v>401</v>
      </c>
      <c r="C1986" s="21" t="s">
        <v>1198</v>
      </c>
      <c r="D1986" s="21" t="s">
        <v>1087</v>
      </c>
      <c r="E1986" s="21">
        <v>0</v>
      </c>
      <c r="F1986" s="21"/>
      <c r="G1986" s="22" t="s">
        <v>1080</v>
      </c>
    </row>
    <row r="1987" spans="2:7" s="7" customFormat="1" x14ac:dyDescent="0.15">
      <c r="B1987" s="20" t="s">
        <v>402</v>
      </c>
      <c r="C1987" s="21" t="s">
        <v>1083</v>
      </c>
      <c r="D1987" s="21" t="s">
        <v>1087</v>
      </c>
      <c r="E1987" s="21">
        <v>0</v>
      </c>
      <c r="F1987" s="21"/>
      <c r="G1987" s="22"/>
    </row>
    <row r="1988" spans="2:7" s="7" customFormat="1" x14ac:dyDescent="0.15">
      <c r="B1988" s="20" t="s">
        <v>418</v>
      </c>
      <c r="C1988" s="21" t="s">
        <v>1135</v>
      </c>
      <c r="D1988" s="21" t="s">
        <v>1087</v>
      </c>
      <c r="E1988" s="21">
        <v>0</v>
      </c>
      <c r="F1988" s="21"/>
      <c r="G1988" s="22"/>
    </row>
    <row r="1989" spans="2:7" s="7" customFormat="1" x14ac:dyDescent="0.15">
      <c r="B1989" s="20" t="s">
        <v>404</v>
      </c>
      <c r="C1989" s="21" t="s">
        <v>1335</v>
      </c>
      <c r="D1989" s="21" t="s">
        <v>1087</v>
      </c>
      <c r="E1989" s="21">
        <v>0</v>
      </c>
      <c r="F1989" s="21"/>
      <c r="G1989" s="22"/>
    </row>
    <row r="1990" spans="2:7" s="7" customFormat="1" x14ac:dyDescent="0.15">
      <c r="B1990" s="20" t="s">
        <v>405</v>
      </c>
      <c r="C1990" s="21" t="s">
        <v>1199</v>
      </c>
      <c r="D1990" s="21" t="s">
        <v>1087</v>
      </c>
      <c r="E1990" s="21">
        <v>0</v>
      </c>
      <c r="F1990" s="21"/>
      <c r="G1990" s="22"/>
    </row>
    <row r="1991" spans="2:7" s="7" customFormat="1" x14ac:dyDescent="0.15">
      <c r="B1991" s="20" t="s">
        <v>406</v>
      </c>
      <c r="C1991" s="21" t="s">
        <v>1145</v>
      </c>
      <c r="D1991" s="21" t="s">
        <v>1087</v>
      </c>
      <c r="E1991" s="21">
        <v>0</v>
      </c>
      <c r="F1991" s="21"/>
      <c r="G1991" s="22"/>
    </row>
    <row r="1992" spans="2:7" s="7" customFormat="1" x14ac:dyDescent="0.15">
      <c r="B1992" s="20" t="s">
        <v>407</v>
      </c>
      <c r="C1992" s="21" t="s">
        <v>1136</v>
      </c>
      <c r="D1992" s="21" t="s">
        <v>1087</v>
      </c>
      <c r="E1992" s="21">
        <v>0</v>
      </c>
      <c r="F1992" s="21"/>
      <c r="G1992" s="22"/>
    </row>
    <row r="1993" spans="2:7" s="7" customFormat="1" x14ac:dyDescent="0.15">
      <c r="B1993" s="20" t="s">
        <v>408</v>
      </c>
      <c r="C1993" s="21" t="s">
        <v>1200</v>
      </c>
      <c r="D1993" s="21" t="s">
        <v>1087</v>
      </c>
      <c r="E1993" s="21">
        <v>0</v>
      </c>
      <c r="F1993" s="21"/>
      <c r="G1993" s="22"/>
    </row>
    <row r="1994" spans="2:7" s="7" customFormat="1" x14ac:dyDescent="0.15">
      <c r="B1994" s="20" t="s">
        <v>409</v>
      </c>
      <c r="C1994" s="21" t="s">
        <v>1201</v>
      </c>
      <c r="D1994" s="21" t="s">
        <v>1087</v>
      </c>
      <c r="E1994" s="21">
        <v>0</v>
      </c>
      <c r="F1994" s="21"/>
      <c r="G1994" s="22"/>
    </row>
    <row r="1995" spans="2:7" s="7" customFormat="1" x14ac:dyDescent="0.15">
      <c r="B1995" s="20" t="s">
        <v>410</v>
      </c>
      <c r="C1995" s="21" t="s">
        <v>1137</v>
      </c>
      <c r="D1995" s="21" t="s">
        <v>1087</v>
      </c>
      <c r="E1995" s="21">
        <v>0</v>
      </c>
      <c r="F1995" s="21"/>
      <c r="G1995" s="22"/>
    </row>
    <row r="1996" spans="2:7" s="7" customFormat="1" x14ac:dyDescent="0.15">
      <c r="B1996" s="20" t="s">
        <v>411</v>
      </c>
      <c r="C1996" s="21" t="s">
        <v>1138</v>
      </c>
      <c r="D1996" s="21" t="s">
        <v>1087</v>
      </c>
      <c r="E1996" s="21">
        <v>0</v>
      </c>
      <c r="F1996" s="21"/>
      <c r="G1996" s="22"/>
    </row>
    <row r="1997" spans="2:7" s="7" customFormat="1" x14ac:dyDescent="0.15">
      <c r="B1997" s="20" t="s">
        <v>412</v>
      </c>
      <c r="C1997" s="21" t="s">
        <v>1202</v>
      </c>
      <c r="D1997" s="21" t="s">
        <v>1087</v>
      </c>
      <c r="E1997" s="21">
        <v>0</v>
      </c>
      <c r="F1997" s="21"/>
      <c r="G1997" s="22"/>
    </row>
    <row r="1998" spans="2:7" s="7" customFormat="1" x14ac:dyDescent="0.15">
      <c r="B1998" s="20" t="s">
        <v>413</v>
      </c>
      <c r="C1998" s="21" t="s">
        <v>1139</v>
      </c>
      <c r="D1998" s="21" t="s">
        <v>1087</v>
      </c>
      <c r="E1998" s="21">
        <v>0</v>
      </c>
      <c r="F1998" s="21"/>
      <c r="G1998" s="22"/>
    </row>
    <row r="1999" spans="2:7" s="7" customFormat="1" x14ac:dyDescent="0.15">
      <c r="B1999" s="20" t="s">
        <v>153</v>
      </c>
      <c r="C1999" s="15" t="s">
        <v>1143</v>
      </c>
      <c r="D1999" s="15" t="s">
        <v>1169</v>
      </c>
      <c r="E1999" s="15">
        <v>0</v>
      </c>
      <c r="F1999" s="15"/>
      <c r="G1999" s="16"/>
    </row>
    <row r="2000" spans="2:7" s="7" customFormat="1" x14ac:dyDescent="0.15">
      <c r="B2000" s="20" t="s">
        <v>419</v>
      </c>
      <c r="C2000" s="15" t="s">
        <v>1213</v>
      </c>
      <c r="D2000" s="15" t="s">
        <v>1169</v>
      </c>
      <c r="E2000" s="15">
        <v>0</v>
      </c>
      <c r="F2000" s="15"/>
      <c r="G2000" s="16"/>
    </row>
    <row r="2001" spans="1:7" s="7" customFormat="1" x14ac:dyDescent="0.15">
      <c r="B2001" s="20" t="s">
        <v>13</v>
      </c>
      <c r="C2001" s="15" t="s">
        <v>1205</v>
      </c>
      <c r="D2001" s="15" t="s">
        <v>1169</v>
      </c>
      <c r="E2001" s="15">
        <v>0</v>
      </c>
      <c r="F2001" s="15"/>
      <c r="G2001" s="16"/>
    </row>
    <row r="2002" spans="1:7" s="7" customFormat="1" x14ac:dyDescent="0.15">
      <c r="B2002" s="20" t="s">
        <v>14</v>
      </c>
      <c r="C2002" s="15" t="s">
        <v>1206</v>
      </c>
      <c r="D2002" s="15" t="s">
        <v>1169</v>
      </c>
      <c r="E2002" s="15">
        <v>0</v>
      </c>
      <c r="F2002" s="15"/>
      <c r="G2002" s="16"/>
    </row>
    <row r="2003" spans="1:7" s="7" customFormat="1" ht="18" thickBot="1" x14ac:dyDescent="0.2">
      <c r="B2003" s="14"/>
      <c r="C2003" s="15"/>
      <c r="D2003" s="15"/>
      <c r="E2003" s="15"/>
      <c r="F2003" s="15"/>
      <c r="G2003" s="16"/>
    </row>
    <row r="2004" spans="1:7" s="7" customFormat="1" x14ac:dyDescent="0.15">
      <c r="B2004" s="327" t="s">
        <v>15</v>
      </c>
      <c r="C2004" s="328"/>
      <c r="D2004" s="328"/>
      <c r="E2004" s="328"/>
      <c r="F2004" s="328"/>
      <c r="G2004" s="329"/>
    </row>
    <row r="2005" spans="1:7" s="7" customFormat="1" x14ac:dyDescent="0.15">
      <c r="A2005" s="7" t="s">
        <v>420</v>
      </c>
      <c r="B2005" s="20">
        <v>1</v>
      </c>
      <c r="C2005" s="21" t="s">
        <v>22</v>
      </c>
      <c r="D2005" s="21" t="s">
        <v>120</v>
      </c>
      <c r="E2005" s="21" t="s">
        <v>114</v>
      </c>
      <c r="F2005" s="21" t="s">
        <v>118</v>
      </c>
      <c r="G2005" s="141"/>
    </row>
    <row r="2006" spans="1:7" s="7" customFormat="1" x14ac:dyDescent="0.15">
      <c r="B2006" s="20">
        <v>2</v>
      </c>
      <c r="C2006" s="21" t="s">
        <v>16</v>
      </c>
      <c r="D2006" s="21" t="s">
        <v>111</v>
      </c>
      <c r="E2006" s="21"/>
      <c r="F2006" s="29"/>
      <c r="G2006" s="141"/>
    </row>
    <row r="2007" spans="1:7" s="7" customFormat="1" ht="18" thickBot="1" x14ac:dyDescent="0.2">
      <c r="B2007" s="24"/>
      <c r="C2007" s="9"/>
      <c r="D2007" s="9"/>
      <c r="E2007" s="9"/>
      <c r="F2007" s="9"/>
      <c r="G2007" s="11"/>
    </row>
    <row r="2008" spans="1:7" s="7" customFormat="1" x14ac:dyDescent="0.15"/>
    <row r="2009" spans="1:7" s="7" customFormat="1" ht="18" thickBot="1" x14ac:dyDescent="0.2"/>
    <row r="2010" spans="1:7" s="7" customFormat="1" x14ac:dyDescent="0.15">
      <c r="A2010" s="2"/>
      <c r="B2010" s="3" t="s">
        <v>563</v>
      </c>
      <c r="C2010" s="4" t="s">
        <v>652</v>
      </c>
      <c r="D2010" s="5" t="s">
        <v>515</v>
      </c>
      <c r="E2010" s="21" t="s">
        <v>609</v>
      </c>
      <c r="F2010" s="5" t="s">
        <v>567</v>
      </c>
      <c r="G2010" s="6"/>
    </row>
    <row r="2011" spans="1:7" s="7" customFormat="1" ht="18" thickBot="1" x14ac:dyDescent="0.2">
      <c r="A2011" s="2"/>
      <c r="B2011" s="34" t="s">
        <v>570</v>
      </c>
      <c r="C2011" s="18"/>
      <c r="D2011" s="35" t="s">
        <v>568</v>
      </c>
      <c r="E2011" s="18" t="s">
        <v>615</v>
      </c>
      <c r="F2011" s="35"/>
      <c r="G2011" s="19"/>
    </row>
    <row r="2012" spans="1:7" s="7" customFormat="1" x14ac:dyDescent="0.15">
      <c r="A2012" s="2"/>
      <c r="B2012" s="3" t="s">
        <v>0</v>
      </c>
      <c r="C2012" s="5" t="s">
        <v>1</v>
      </c>
      <c r="D2012" s="5" t="s">
        <v>2</v>
      </c>
      <c r="E2012" s="5"/>
      <c r="F2012" s="5" t="s">
        <v>3</v>
      </c>
      <c r="G2012" s="36" t="s">
        <v>4</v>
      </c>
    </row>
    <row r="2013" spans="1:7" s="7" customFormat="1" x14ac:dyDescent="0.15">
      <c r="A2013" s="2"/>
      <c r="B2013" s="20" t="s">
        <v>109</v>
      </c>
      <c r="C2013" s="21" t="s">
        <v>1163</v>
      </c>
      <c r="D2013" s="21" t="s">
        <v>211</v>
      </c>
      <c r="E2013" s="21">
        <v>0</v>
      </c>
      <c r="F2013" s="21"/>
      <c r="G2013" s="22" t="s">
        <v>1077</v>
      </c>
    </row>
    <row r="2014" spans="1:7" s="7" customFormat="1" x14ac:dyDescent="0.15">
      <c r="A2014" s="2"/>
      <c r="B2014" s="20" t="s">
        <v>111</v>
      </c>
      <c r="C2014" s="21" t="s">
        <v>1164</v>
      </c>
      <c r="D2014" s="21" t="s">
        <v>211</v>
      </c>
      <c r="E2014" s="21">
        <v>0</v>
      </c>
      <c r="F2014" s="21"/>
      <c r="G2014" s="22" t="s">
        <v>1165</v>
      </c>
    </row>
    <row r="2015" spans="1:7" s="7" customFormat="1" x14ac:dyDescent="0.15">
      <c r="A2015" s="2"/>
      <c r="B2015" s="20" t="s">
        <v>113</v>
      </c>
      <c r="C2015" s="21" t="s">
        <v>1187</v>
      </c>
      <c r="D2015" s="21" t="s">
        <v>211</v>
      </c>
      <c r="E2015" s="21">
        <v>0</v>
      </c>
      <c r="F2015" s="21"/>
      <c r="G2015" s="22"/>
    </row>
    <row r="2016" spans="1:7" s="7" customFormat="1" x14ac:dyDescent="0.15">
      <c r="A2016" s="2"/>
      <c r="B2016" s="20" t="s">
        <v>7</v>
      </c>
      <c r="C2016" s="21" t="s">
        <v>1190</v>
      </c>
      <c r="D2016" s="21" t="s">
        <v>211</v>
      </c>
      <c r="E2016" s="21">
        <v>0</v>
      </c>
      <c r="F2016" s="21"/>
      <c r="G2016" s="22" t="s">
        <v>1081</v>
      </c>
    </row>
    <row r="2017" spans="1:7" s="7" customFormat="1" x14ac:dyDescent="0.15">
      <c r="A2017" s="2"/>
      <c r="B2017" s="20" t="s">
        <v>114</v>
      </c>
      <c r="C2017" s="21" t="s">
        <v>1155</v>
      </c>
      <c r="D2017" s="21" t="s">
        <v>211</v>
      </c>
      <c r="E2017" s="21">
        <v>0</v>
      </c>
      <c r="F2017" s="21"/>
      <c r="G2017" s="22"/>
    </row>
    <row r="2018" spans="1:7" s="7" customFormat="1" x14ac:dyDescent="0.15">
      <c r="A2018" s="2"/>
      <c r="B2018" s="20" t="s">
        <v>118</v>
      </c>
      <c r="C2018" s="21" t="s">
        <v>1188</v>
      </c>
      <c r="D2018" s="21" t="s">
        <v>211</v>
      </c>
      <c r="E2018" s="21">
        <v>0</v>
      </c>
      <c r="F2018" s="21"/>
      <c r="G2018" s="22"/>
    </row>
    <row r="2019" spans="1:7" s="7" customFormat="1" x14ac:dyDescent="0.15">
      <c r="A2019" s="2"/>
      <c r="B2019" s="20" t="s">
        <v>8</v>
      </c>
      <c r="C2019" s="21" t="s">
        <v>1193</v>
      </c>
      <c r="D2019" s="21" t="s">
        <v>1087</v>
      </c>
      <c r="E2019" s="21">
        <v>0</v>
      </c>
      <c r="F2019" s="21"/>
      <c r="G2019" s="22" t="s">
        <v>1194</v>
      </c>
    </row>
    <row r="2020" spans="1:7" s="7" customFormat="1" x14ac:dyDescent="0.15">
      <c r="A2020" s="2"/>
      <c r="B2020" s="20" t="s">
        <v>9</v>
      </c>
      <c r="C2020" s="21" t="s">
        <v>1195</v>
      </c>
      <c r="D2020" s="21" t="s">
        <v>1087</v>
      </c>
      <c r="E2020" s="21">
        <v>0</v>
      </c>
      <c r="F2020" s="21"/>
      <c r="G2020" s="22" t="s">
        <v>1196</v>
      </c>
    </row>
    <row r="2021" spans="1:7" s="7" customFormat="1" x14ac:dyDescent="0.15">
      <c r="A2021" s="2"/>
      <c r="B2021" s="20" t="s">
        <v>76</v>
      </c>
      <c r="C2021" s="21" t="s">
        <v>1118</v>
      </c>
      <c r="D2021" s="21" t="s">
        <v>1087</v>
      </c>
      <c r="E2021" s="21">
        <v>0</v>
      </c>
      <c r="F2021" s="21"/>
      <c r="G2021" s="22"/>
    </row>
    <row r="2022" spans="1:7" s="7" customFormat="1" x14ac:dyDescent="0.15">
      <c r="A2022" s="2"/>
      <c r="B2022" s="20" t="s">
        <v>77</v>
      </c>
      <c r="C2022" s="21" t="s">
        <v>1336</v>
      </c>
      <c r="D2022" s="21" t="s">
        <v>1087</v>
      </c>
      <c r="E2022" s="21">
        <v>0</v>
      </c>
      <c r="F2022" s="21"/>
      <c r="G2022" s="22"/>
    </row>
    <row r="2023" spans="1:7" s="7" customFormat="1" ht="18" thickBot="1" x14ac:dyDescent="0.2">
      <c r="A2023" s="2"/>
      <c r="B2023" s="24"/>
      <c r="C2023" s="9"/>
      <c r="D2023" s="9"/>
      <c r="E2023" s="9"/>
      <c r="F2023" s="9"/>
      <c r="G2023" s="11"/>
    </row>
    <row r="2024" spans="1:7" s="7" customFormat="1" ht="18.75" customHeight="1" x14ac:dyDescent="0.15">
      <c r="A2024" s="2"/>
      <c r="B2024" s="327" t="s">
        <v>15</v>
      </c>
      <c r="C2024" s="328"/>
      <c r="D2024" s="328"/>
      <c r="E2024" s="328"/>
      <c r="F2024" s="328"/>
      <c r="G2024" s="329"/>
    </row>
    <row r="2025" spans="1:7" s="7" customFormat="1" x14ac:dyDescent="0.15">
      <c r="A2025" s="2" t="s">
        <v>62</v>
      </c>
      <c r="B2025" s="20">
        <v>1</v>
      </c>
      <c r="C2025" s="21" t="s">
        <v>113</v>
      </c>
      <c r="D2025" s="21" t="s">
        <v>114</v>
      </c>
      <c r="E2025" s="21" t="s">
        <v>115</v>
      </c>
      <c r="F2025" s="21"/>
      <c r="G2025" s="22"/>
    </row>
    <row r="2026" spans="1:7" s="7" customFormat="1" x14ac:dyDescent="0.15">
      <c r="A2026" s="2"/>
      <c r="B2026" s="20"/>
      <c r="C2026" s="23"/>
      <c r="D2026" s="21"/>
      <c r="E2026" s="21"/>
      <c r="F2026" s="21"/>
      <c r="G2026" s="22"/>
    </row>
    <row r="2027" spans="1:7" s="7" customFormat="1" x14ac:dyDescent="0.15">
      <c r="A2027" s="2"/>
    </row>
    <row r="2028" spans="1:7" s="7" customFormat="1" ht="18" thickBot="1" x14ac:dyDescent="0.2">
      <c r="A2028" s="2"/>
    </row>
    <row r="2029" spans="1:7" s="7" customFormat="1" x14ac:dyDescent="0.15">
      <c r="A2029" s="2"/>
      <c r="B2029" s="3" t="s">
        <v>563</v>
      </c>
      <c r="C2029" s="4" t="s">
        <v>653</v>
      </c>
      <c r="D2029" s="5" t="s">
        <v>515</v>
      </c>
      <c r="E2029" s="21" t="s">
        <v>728</v>
      </c>
      <c r="F2029" s="5" t="s">
        <v>567</v>
      </c>
      <c r="G2029" s="6"/>
    </row>
    <row r="2030" spans="1:7" s="7" customFormat="1" ht="18" thickBot="1" x14ac:dyDescent="0.2">
      <c r="A2030" s="2"/>
      <c r="B2030" s="8" t="s">
        <v>570</v>
      </c>
      <c r="C2030" s="9"/>
      <c r="D2030" s="10" t="s">
        <v>568</v>
      </c>
      <c r="E2030" s="9" t="s">
        <v>615</v>
      </c>
      <c r="F2030" s="10"/>
      <c r="G2030" s="11"/>
    </row>
    <row r="2031" spans="1:7" s="7" customFormat="1" x14ac:dyDescent="0.15">
      <c r="A2031" s="2"/>
      <c r="B2031" s="12" t="s">
        <v>0</v>
      </c>
      <c r="C2031" s="13" t="s">
        <v>1</v>
      </c>
      <c r="D2031" s="13" t="s">
        <v>2</v>
      </c>
      <c r="E2031" s="13"/>
      <c r="F2031" s="13" t="s">
        <v>3</v>
      </c>
      <c r="G2031" s="13" t="s">
        <v>4</v>
      </c>
    </row>
    <row r="2032" spans="1:7" s="7" customFormat="1" x14ac:dyDescent="0.15">
      <c r="A2032" s="2"/>
      <c r="B2032" s="14" t="s">
        <v>5</v>
      </c>
      <c r="C2032" s="15" t="s">
        <v>1127</v>
      </c>
      <c r="D2032" s="15" t="s">
        <v>211</v>
      </c>
      <c r="E2032" s="15" t="s">
        <v>1141</v>
      </c>
      <c r="F2032" s="15"/>
      <c r="G2032" s="16" t="s">
        <v>1162</v>
      </c>
    </row>
    <row r="2033" spans="1:7" s="7" customFormat="1" x14ac:dyDescent="0.15">
      <c r="A2033" s="2"/>
      <c r="B2033" s="20" t="s">
        <v>109</v>
      </c>
      <c r="C2033" s="21" t="s">
        <v>1163</v>
      </c>
      <c r="D2033" s="21" t="s">
        <v>211</v>
      </c>
      <c r="E2033" s="21">
        <v>0</v>
      </c>
      <c r="F2033" s="21"/>
      <c r="G2033" s="22" t="s">
        <v>1077</v>
      </c>
    </row>
    <row r="2034" spans="1:7" s="7" customFormat="1" x14ac:dyDescent="0.15">
      <c r="A2034" s="2"/>
      <c r="B2034" s="20" t="s">
        <v>111</v>
      </c>
      <c r="C2034" s="21" t="s">
        <v>1164</v>
      </c>
      <c r="D2034" s="21" t="s">
        <v>211</v>
      </c>
      <c r="E2034" s="21">
        <v>0</v>
      </c>
      <c r="F2034" s="21"/>
      <c r="G2034" s="22" t="s">
        <v>1165</v>
      </c>
    </row>
    <row r="2035" spans="1:7" s="7" customFormat="1" x14ac:dyDescent="0.15">
      <c r="A2035" s="2"/>
      <c r="B2035" s="20" t="s">
        <v>113</v>
      </c>
      <c r="C2035" s="21" t="s">
        <v>1187</v>
      </c>
      <c r="D2035" s="21" t="s">
        <v>211</v>
      </c>
      <c r="E2035" s="21">
        <v>0</v>
      </c>
      <c r="F2035" s="21"/>
      <c r="G2035" s="22"/>
    </row>
    <row r="2036" spans="1:7" s="7" customFormat="1" x14ac:dyDescent="0.15">
      <c r="A2036" s="2"/>
      <c r="B2036" s="20" t="s">
        <v>7</v>
      </c>
      <c r="C2036" s="21" t="s">
        <v>1190</v>
      </c>
      <c r="D2036" s="21" t="s">
        <v>211</v>
      </c>
      <c r="E2036" s="21">
        <v>0</v>
      </c>
      <c r="F2036" s="21"/>
      <c r="G2036" s="22" t="s">
        <v>1081</v>
      </c>
    </row>
    <row r="2037" spans="1:7" s="7" customFormat="1" x14ac:dyDescent="0.15">
      <c r="A2037" s="2"/>
      <c r="B2037" s="20" t="s">
        <v>506</v>
      </c>
      <c r="C2037" s="21" t="s">
        <v>1155</v>
      </c>
      <c r="D2037" s="21" t="s">
        <v>211</v>
      </c>
      <c r="E2037" s="21">
        <v>0</v>
      </c>
      <c r="F2037" s="21"/>
      <c r="G2037" s="22"/>
    </row>
    <row r="2038" spans="1:7" s="7" customFormat="1" x14ac:dyDescent="0.15">
      <c r="A2038" s="2"/>
      <c r="B2038" s="20" t="s">
        <v>115</v>
      </c>
      <c r="C2038" s="21" t="s">
        <v>1188</v>
      </c>
      <c r="D2038" s="21" t="s">
        <v>211</v>
      </c>
      <c r="E2038" s="21">
        <v>0</v>
      </c>
      <c r="F2038" s="21"/>
      <c r="G2038" s="22"/>
    </row>
    <row r="2039" spans="1:7" s="7" customFormat="1" x14ac:dyDescent="0.15">
      <c r="A2039" s="2"/>
      <c r="B2039" s="20" t="s">
        <v>8</v>
      </c>
      <c r="C2039" s="21" t="s">
        <v>1193</v>
      </c>
      <c r="D2039" s="21" t="s">
        <v>1087</v>
      </c>
      <c r="E2039" s="21">
        <v>0</v>
      </c>
      <c r="F2039" s="21"/>
      <c r="G2039" s="22" t="s">
        <v>1194</v>
      </c>
    </row>
    <row r="2040" spans="1:7" s="7" customFormat="1" x14ac:dyDescent="0.15">
      <c r="A2040" s="2"/>
      <c r="B2040" s="20" t="s">
        <v>9</v>
      </c>
      <c r="C2040" s="21" t="s">
        <v>1195</v>
      </c>
      <c r="D2040" s="21" t="s">
        <v>1087</v>
      </c>
      <c r="E2040" s="21">
        <v>0</v>
      </c>
      <c r="F2040" s="21"/>
      <c r="G2040" s="22" t="s">
        <v>1196</v>
      </c>
    </row>
    <row r="2041" spans="1:7" s="7" customFormat="1" x14ac:dyDescent="0.15">
      <c r="A2041" s="2"/>
      <c r="B2041" s="20" t="s">
        <v>76</v>
      </c>
      <c r="C2041" s="21" t="s">
        <v>1118</v>
      </c>
      <c r="D2041" s="21" t="s">
        <v>1087</v>
      </c>
      <c r="E2041" s="21">
        <v>0</v>
      </c>
      <c r="F2041" s="21"/>
      <c r="G2041" s="22"/>
    </row>
    <row r="2042" spans="1:7" s="7" customFormat="1" x14ac:dyDescent="0.15">
      <c r="A2042" s="2"/>
      <c r="B2042" s="20" t="s">
        <v>77</v>
      </c>
      <c r="C2042" s="21" t="s">
        <v>1336</v>
      </c>
      <c r="D2042" s="21" t="s">
        <v>1087</v>
      </c>
      <c r="E2042" s="21">
        <v>0</v>
      </c>
      <c r="F2042" s="21"/>
      <c r="G2042" s="22"/>
    </row>
    <row r="2043" spans="1:7" s="7" customFormat="1" ht="18" thickBot="1" x14ac:dyDescent="0.2">
      <c r="A2043" s="2"/>
      <c r="B2043" s="17"/>
      <c r="C2043" s="18"/>
      <c r="D2043" s="18"/>
      <c r="E2043" s="18"/>
      <c r="F2043" s="18"/>
      <c r="G2043" s="19"/>
    </row>
    <row r="2044" spans="1:7" s="7" customFormat="1" x14ac:dyDescent="0.15">
      <c r="A2044" s="2"/>
      <c r="B2044" s="327" t="s">
        <v>15</v>
      </c>
      <c r="C2044" s="328"/>
      <c r="D2044" s="328"/>
      <c r="E2044" s="328"/>
      <c r="F2044" s="328"/>
      <c r="G2044" s="329"/>
    </row>
    <row r="2045" spans="1:7" s="7" customFormat="1" x14ac:dyDescent="0.15">
      <c r="A2045" s="2" t="s">
        <v>62</v>
      </c>
      <c r="B2045" s="20">
        <v>1</v>
      </c>
      <c r="C2045" s="21" t="s">
        <v>507</v>
      </c>
      <c r="D2045" s="21" t="s">
        <v>113</v>
      </c>
      <c r="E2045" s="21" t="s">
        <v>506</v>
      </c>
      <c r="F2045" s="21" t="s">
        <v>118</v>
      </c>
      <c r="G2045" s="21"/>
    </row>
    <row r="2046" spans="1:7" s="7" customFormat="1" x14ac:dyDescent="0.15">
      <c r="A2046" s="2"/>
      <c r="B2046" s="20"/>
      <c r="C2046" s="23"/>
      <c r="D2046" s="21"/>
      <c r="E2046" s="21"/>
      <c r="F2046" s="21"/>
      <c r="G2046" s="22"/>
    </row>
    <row r="2047" spans="1:7" s="2" customFormat="1" x14ac:dyDescent="0.15"/>
    <row r="2048" spans="1:7" s="2" customFormat="1" ht="18" thickBot="1" x14ac:dyDescent="0.2"/>
    <row r="2049" spans="1:7" s="7" customFormat="1" x14ac:dyDescent="0.15">
      <c r="A2049" s="2"/>
      <c r="B2049" s="233" t="s">
        <v>563</v>
      </c>
      <c r="C2049" s="146" t="s">
        <v>550</v>
      </c>
      <c r="D2049" s="146" t="s">
        <v>648</v>
      </c>
      <c r="E2049" s="21" t="s">
        <v>729</v>
      </c>
      <c r="F2049" s="146" t="s">
        <v>567</v>
      </c>
      <c r="G2049" s="234"/>
    </row>
    <row r="2050" spans="1:7" s="7" customFormat="1" ht="18" thickBot="1" x14ac:dyDescent="0.2">
      <c r="A2050" s="2"/>
      <c r="B2050" s="8" t="s">
        <v>570</v>
      </c>
      <c r="C2050" s="9"/>
      <c r="D2050" s="10" t="s">
        <v>568</v>
      </c>
      <c r="E2050" s="9" t="s">
        <v>615</v>
      </c>
      <c r="F2050" s="10"/>
      <c r="G2050" s="11"/>
    </row>
    <row r="2051" spans="1:7" s="7" customFormat="1" x14ac:dyDescent="0.15">
      <c r="A2051" s="2"/>
      <c r="B2051" s="12" t="s">
        <v>0</v>
      </c>
      <c r="C2051" s="13" t="s">
        <v>1</v>
      </c>
      <c r="D2051" s="13" t="s">
        <v>2</v>
      </c>
      <c r="E2051" s="13"/>
      <c r="F2051" s="13" t="s">
        <v>3</v>
      </c>
      <c r="G2051" s="13" t="s">
        <v>4</v>
      </c>
    </row>
    <row r="2052" spans="1:7" s="7" customFormat="1" x14ac:dyDescent="0.15">
      <c r="A2052" s="2"/>
      <c r="B2052" s="20" t="s">
        <v>122</v>
      </c>
      <c r="C2052" s="21" t="s">
        <v>1163</v>
      </c>
      <c r="D2052" s="21" t="s">
        <v>211</v>
      </c>
      <c r="E2052" s="21">
        <v>0</v>
      </c>
      <c r="F2052" s="21"/>
      <c r="G2052" s="22" t="s">
        <v>1077</v>
      </c>
    </row>
    <row r="2053" spans="1:7" s="7" customFormat="1" x14ac:dyDescent="0.15">
      <c r="A2053" s="2"/>
      <c r="B2053" s="20" t="s">
        <v>111</v>
      </c>
      <c r="C2053" s="21" t="s">
        <v>1164</v>
      </c>
      <c r="D2053" s="21" t="s">
        <v>211</v>
      </c>
      <c r="E2053" s="21">
        <v>0</v>
      </c>
      <c r="F2053" s="21"/>
      <c r="G2053" s="22" t="s">
        <v>1165</v>
      </c>
    </row>
    <row r="2054" spans="1:7" s="7" customFormat="1" x14ac:dyDescent="0.15">
      <c r="A2054" s="2"/>
      <c r="B2054" s="20" t="s">
        <v>154</v>
      </c>
      <c r="C2054" s="21" t="s">
        <v>1133</v>
      </c>
      <c r="D2054" s="21" t="s">
        <v>211</v>
      </c>
      <c r="E2054" s="21">
        <v>0</v>
      </c>
      <c r="F2054" s="21"/>
      <c r="G2054" s="22" t="s">
        <v>1182</v>
      </c>
    </row>
    <row r="2055" spans="1:7" s="7" customFormat="1" x14ac:dyDescent="0.15">
      <c r="A2055" s="2"/>
      <c r="B2055" s="20" t="s">
        <v>121</v>
      </c>
      <c r="C2055" s="21" t="s">
        <v>1187</v>
      </c>
      <c r="D2055" s="21" t="s">
        <v>211</v>
      </c>
      <c r="E2055" s="21">
        <v>0</v>
      </c>
      <c r="F2055" s="21"/>
      <c r="G2055" s="22"/>
    </row>
    <row r="2056" spans="1:7" s="7" customFormat="1" x14ac:dyDescent="0.15">
      <c r="A2056" s="2"/>
      <c r="B2056" s="20" t="s">
        <v>7</v>
      </c>
      <c r="C2056" s="21" t="s">
        <v>1190</v>
      </c>
      <c r="D2056" s="21" t="s">
        <v>211</v>
      </c>
      <c r="E2056" s="21">
        <v>0</v>
      </c>
      <c r="F2056" s="21"/>
      <c r="G2056" s="22" t="s">
        <v>1081</v>
      </c>
    </row>
    <row r="2057" spans="1:7" s="7" customFormat="1" x14ac:dyDescent="0.15">
      <c r="A2057" s="2"/>
      <c r="B2057" s="20" t="s">
        <v>114</v>
      </c>
      <c r="C2057" s="21" t="s">
        <v>1155</v>
      </c>
      <c r="D2057" s="21" t="s">
        <v>211</v>
      </c>
      <c r="E2057" s="21">
        <v>0</v>
      </c>
      <c r="F2057" s="21"/>
      <c r="G2057" s="22"/>
    </row>
    <row r="2058" spans="1:7" s="7" customFormat="1" x14ac:dyDescent="0.15">
      <c r="A2058" s="2"/>
      <c r="B2058" s="20" t="s">
        <v>118</v>
      </c>
      <c r="C2058" s="21" t="s">
        <v>1188</v>
      </c>
      <c r="D2058" s="21" t="s">
        <v>211</v>
      </c>
      <c r="E2058" s="21">
        <v>0</v>
      </c>
      <c r="F2058" s="21"/>
      <c r="G2058" s="22"/>
    </row>
    <row r="2059" spans="1:7" s="7" customFormat="1" x14ac:dyDescent="0.15">
      <c r="A2059" s="2"/>
      <c r="B2059" s="20" t="s">
        <v>8</v>
      </c>
      <c r="C2059" s="21" t="s">
        <v>1193</v>
      </c>
      <c r="D2059" s="21" t="s">
        <v>1087</v>
      </c>
      <c r="E2059" s="21">
        <v>0</v>
      </c>
      <c r="F2059" s="21"/>
      <c r="G2059" s="22" t="s">
        <v>1194</v>
      </c>
    </row>
    <row r="2060" spans="1:7" s="7" customFormat="1" x14ac:dyDescent="0.15">
      <c r="A2060" s="2"/>
      <c r="B2060" s="20" t="s">
        <v>9</v>
      </c>
      <c r="C2060" s="21" t="s">
        <v>1195</v>
      </c>
      <c r="D2060" s="21" t="s">
        <v>1087</v>
      </c>
      <c r="E2060" s="21">
        <v>0</v>
      </c>
      <c r="F2060" s="21"/>
      <c r="G2060" s="22" t="s">
        <v>1196</v>
      </c>
    </row>
    <row r="2061" spans="1:7" s="7" customFormat="1" x14ac:dyDescent="0.15">
      <c r="A2061" s="2"/>
      <c r="B2061" s="20" t="s">
        <v>76</v>
      </c>
      <c r="C2061" s="21" t="s">
        <v>1118</v>
      </c>
      <c r="D2061" s="21" t="s">
        <v>1087</v>
      </c>
      <c r="E2061" s="21">
        <v>0</v>
      </c>
      <c r="F2061" s="21"/>
      <c r="G2061" s="22"/>
    </row>
    <row r="2062" spans="1:7" s="7" customFormat="1" x14ac:dyDescent="0.15">
      <c r="A2062" s="2"/>
      <c r="B2062" s="20" t="s">
        <v>77</v>
      </c>
      <c r="C2062" s="21" t="s">
        <v>1336</v>
      </c>
      <c r="D2062" s="21" t="s">
        <v>1087</v>
      </c>
      <c r="E2062" s="21">
        <v>0</v>
      </c>
      <c r="F2062" s="21"/>
      <c r="G2062" s="22"/>
    </row>
    <row r="2063" spans="1:7" s="7" customFormat="1" x14ac:dyDescent="0.15">
      <c r="A2063" s="2"/>
      <c r="B2063" s="20" t="s">
        <v>214</v>
      </c>
      <c r="C2063" s="21" t="s">
        <v>1339</v>
      </c>
      <c r="D2063" s="21" t="s">
        <v>211</v>
      </c>
      <c r="E2063" s="21">
        <v>0</v>
      </c>
      <c r="F2063" s="21"/>
      <c r="G2063" s="22"/>
    </row>
    <row r="2064" spans="1:7" s="7" customFormat="1" ht="18" thickBot="1" x14ac:dyDescent="0.2">
      <c r="A2064" s="2"/>
      <c r="B2064" s="17"/>
      <c r="C2064" s="18"/>
      <c r="D2064" s="18"/>
      <c r="E2064" s="18"/>
      <c r="F2064" s="18"/>
      <c r="G2064" s="19"/>
    </row>
    <row r="2065" spans="1:7" s="7" customFormat="1" ht="18.75" customHeight="1" x14ac:dyDescent="0.15">
      <c r="A2065" s="2"/>
      <c r="B2065" s="327" t="s">
        <v>15</v>
      </c>
      <c r="C2065" s="328"/>
      <c r="D2065" s="328"/>
      <c r="E2065" s="328"/>
      <c r="F2065" s="328"/>
      <c r="G2065" s="329"/>
    </row>
    <row r="2066" spans="1:7" s="7" customFormat="1" x14ac:dyDescent="0.15">
      <c r="A2066" s="2" t="s">
        <v>62</v>
      </c>
      <c r="B2066" s="20">
        <v>1</v>
      </c>
      <c r="C2066" s="20" t="s">
        <v>154</v>
      </c>
      <c r="D2066" s="21" t="s">
        <v>121</v>
      </c>
      <c r="E2066" s="21" t="s">
        <v>114</v>
      </c>
      <c r="F2066" s="21" t="s">
        <v>115</v>
      </c>
      <c r="G2066" s="22"/>
    </row>
    <row r="2067" spans="1:7" s="7" customFormat="1" x14ac:dyDescent="0.15">
      <c r="A2067" s="2"/>
      <c r="B2067" s="20">
        <v>2</v>
      </c>
      <c r="C2067" s="21" t="s">
        <v>122</v>
      </c>
      <c r="D2067" s="21" t="s">
        <v>111</v>
      </c>
      <c r="E2067" s="21"/>
      <c r="F2067" s="21"/>
      <c r="G2067" s="22"/>
    </row>
    <row r="2068" spans="1:7" s="7" customFormat="1" x14ac:dyDescent="0.15">
      <c r="A2068" s="2"/>
      <c r="B2068" s="20"/>
      <c r="C2068" s="23"/>
      <c r="D2068" s="21"/>
      <c r="E2068" s="21"/>
      <c r="F2068" s="21"/>
      <c r="G2068" s="22"/>
    </row>
    <row r="2069" spans="1:7" s="7" customFormat="1" x14ac:dyDescent="0.15">
      <c r="A2069" s="2"/>
    </row>
    <row r="2070" spans="1:7" s="7" customFormat="1" ht="18" thickBot="1" x14ac:dyDescent="0.2">
      <c r="A2070" s="2"/>
    </row>
    <row r="2071" spans="1:7" s="7" customFormat="1" x14ac:dyDescent="0.15">
      <c r="A2071" s="2"/>
      <c r="B2071" s="3" t="s">
        <v>563</v>
      </c>
      <c r="C2071" s="4" t="s">
        <v>669</v>
      </c>
      <c r="D2071" s="5" t="s">
        <v>515</v>
      </c>
      <c r="E2071" s="21" t="s">
        <v>610</v>
      </c>
      <c r="F2071" s="5" t="s">
        <v>567</v>
      </c>
      <c r="G2071" s="6"/>
    </row>
    <row r="2072" spans="1:7" s="7" customFormat="1" ht="18" thickBot="1" x14ac:dyDescent="0.2">
      <c r="A2072" s="2"/>
      <c r="B2072" s="34" t="s">
        <v>570</v>
      </c>
      <c r="C2072" s="18"/>
      <c r="D2072" s="35" t="s">
        <v>568</v>
      </c>
      <c r="E2072" s="18" t="s">
        <v>615</v>
      </c>
      <c r="F2072" s="35"/>
      <c r="G2072" s="19"/>
    </row>
    <row r="2073" spans="1:7" s="7" customFormat="1" x14ac:dyDescent="0.15">
      <c r="A2073" s="2"/>
      <c r="B2073" s="3" t="s">
        <v>0</v>
      </c>
      <c r="C2073" s="5" t="s">
        <v>1</v>
      </c>
      <c r="D2073" s="5" t="s">
        <v>2</v>
      </c>
      <c r="E2073" s="5"/>
      <c r="F2073" s="5" t="s">
        <v>3</v>
      </c>
      <c r="G2073" s="36" t="s">
        <v>4</v>
      </c>
    </row>
    <row r="2074" spans="1:7" s="7" customFormat="1" x14ac:dyDescent="0.15">
      <c r="A2074" s="2"/>
      <c r="B2074" s="20" t="s">
        <v>5</v>
      </c>
      <c r="C2074" s="21" t="s">
        <v>1127</v>
      </c>
      <c r="D2074" s="21" t="s">
        <v>211</v>
      </c>
      <c r="E2074" s="21" t="s">
        <v>1141</v>
      </c>
      <c r="F2074" s="21"/>
      <c r="G2074" s="22" t="s">
        <v>1162</v>
      </c>
    </row>
    <row r="2075" spans="1:7" s="7" customFormat="1" x14ac:dyDescent="0.15">
      <c r="A2075" s="2"/>
      <c r="B2075" s="20" t="s">
        <v>122</v>
      </c>
      <c r="C2075" s="21" t="s">
        <v>1163</v>
      </c>
      <c r="D2075" s="21" t="s">
        <v>211</v>
      </c>
      <c r="E2075" s="21">
        <v>0</v>
      </c>
      <c r="F2075" s="21"/>
      <c r="G2075" s="22" t="s">
        <v>1077</v>
      </c>
    </row>
    <row r="2076" spans="1:7" s="7" customFormat="1" x14ac:dyDescent="0.15">
      <c r="A2076" s="2"/>
      <c r="B2076" s="20" t="s">
        <v>111</v>
      </c>
      <c r="C2076" s="21" t="s">
        <v>1164</v>
      </c>
      <c r="D2076" s="21" t="s">
        <v>211</v>
      </c>
      <c r="E2076" s="21">
        <v>0</v>
      </c>
      <c r="F2076" s="21"/>
      <c r="G2076" s="22" t="s">
        <v>1165</v>
      </c>
    </row>
    <row r="2077" spans="1:7" s="7" customFormat="1" x14ac:dyDescent="0.15">
      <c r="A2077" s="2"/>
      <c r="B2077" s="20" t="s">
        <v>154</v>
      </c>
      <c r="C2077" s="21" t="s">
        <v>1133</v>
      </c>
      <c r="D2077" s="21" t="s">
        <v>211</v>
      </c>
      <c r="E2077" s="21">
        <v>0</v>
      </c>
      <c r="F2077" s="21"/>
      <c r="G2077" s="22" t="s">
        <v>1182</v>
      </c>
    </row>
    <row r="2078" spans="1:7" s="7" customFormat="1" x14ac:dyDescent="0.15">
      <c r="A2078" s="2"/>
      <c r="B2078" s="20" t="s">
        <v>121</v>
      </c>
      <c r="C2078" s="21" t="s">
        <v>1187</v>
      </c>
      <c r="D2078" s="21" t="s">
        <v>211</v>
      </c>
      <c r="E2078" s="21">
        <v>0</v>
      </c>
      <c r="F2078" s="21"/>
      <c r="G2078" s="22"/>
    </row>
    <row r="2079" spans="1:7" s="7" customFormat="1" x14ac:dyDescent="0.15">
      <c r="A2079" s="2"/>
      <c r="B2079" s="20" t="s">
        <v>7</v>
      </c>
      <c r="C2079" s="21" t="s">
        <v>1190</v>
      </c>
      <c r="D2079" s="21" t="s">
        <v>211</v>
      </c>
      <c r="E2079" s="21">
        <v>0</v>
      </c>
      <c r="F2079" s="21"/>
      <c r="G2079" s="22" t="s">
        <v>1081</v>
      </c>
    </row>
    <row r="2080" spans="1:7" s="7" customFormat="1" x14ac:dyDescent="0.15">
      <c r="A2080" s="2"/>
      <c r="B2080" s="20" t="s">
        <v>114</v>
      </c>
      <c r="C2080" s="21" t="s">
        <v>1155</v>
      </c>
      <c r="D2080" s="21" t="s">
        <v>211</v>
      </c>
      <c r="E2080" s="21">
        <v>0</v>
      </c>
      <c r="F2080" s="21"/>
      <c r="G2080" s="22"/>
    </row>
    <row r="2081" spans="1:8" s="7" customFormat="1" x14ac:dyDescent="0.15">
      <c r="A2081" s="2"/>
      <c r="B2081" s="20" t="s">
        <v>118</v>
      </c>
      <c r="C2081" s="21" t="s">
        <v>1188</v>
      </c>
      <c r="D2081" s="21" t="s">
        <v>211</v>
      </c>
      <c r="E2081" s="21">
        <v>0</v>
      </c>
      <c r="F2081" s="21"/>
      <c r="G2081" s="22"/>
    </row>
    <row r="2082" spans="1:8" s="7" customFormat="1" x14ac:dyDescent="0.15">
      <c r="A2082" s="2"/>
      <c r="B2082" s="20" t="s">
        <v>8</v>
      </c>
      <c r="C2082" s="21" t="s">
        <v>1193</v>
      </c>
      <c r="D2082" s="21" t="s">
        <v>1087</v>
      </c>
      <c r="E2082" s="21">
        <v>0</v>
      </c>
      <c r="F2082" s="21"/>
      <c r="G2082" s="22" t="s">
        <v>1194</v>
      </c>
    </row>
    <row r="2083" spans="1:8" s="7" customFormat="1" x14ac:dyDescent="0.15">
      <c r="A2083" s="2"/>
      <c r="B2083" s="20" t="s">
        <v>9</v>
      </c>
      <c r="C2083" s="21" t="s">
        <v>1195</v>
      </c>
      <c r="D2083" s="21" t="s">
        <v>1087</v>
      </c>
      <c r="E2083" s="21">
        <v>0</v>
      </c>
      <c r="F2083" s="21"/>
      <c r="G2083" s="22" t="s">
        <v>1196</v>
      </c>
    </row>
    <row r="2084" spans="1:8" s="7" customFormat="1" x14ac:dyDescent="0.15">
      <c r="A2084" s="2"/>
      <c r="B2084" s="20" t="s">
        <v>76</v>
      </c>
      <c r="C2084" s="21" t="s">
        <v>1118</v>
      </c>
      <c r="D2084" s="21" t="s">
        <v>1087</v>
      </c>
      <c r="E2084" s="21">
        <v>0</v>
      </c>
      <c r="F2084" s="21"/>
      <c r="G2084" s="22"/>
    </row>
    <row r="2085" spans="1:8" s="7" customFormat="1" x14ac:dyDescent="0.15">
      <c r="A2085" s="2"/>
      <c r="B2085" s="20" t="s">
        <v>77</v>
      </c>
      <c r="C2085" s="21" t="s">
        <v>1336</v>
      </c>
      <c r="D2085" s="21" t="s">
        <v>1087</v>
      </c>
      <c r="E2085" s="21">
        <v>0</v>
      </c>
      <c r="F2085" s="21"/>
      <c r="G2085" s="22"/>
    </row>
    <row r="2086" spans="1:8" s="7" customFormat="1" x14ac:dyDescent="0.15">
      <c r="A2086" s="2"/>
      <c r="B2086" s="20" t="s">
        <v>214</v>
      </c>
      <c r="C2086" s="21" t="s">
        <v>1339</v>
      </c>
      <c r="D2086" s="21" t="s">
        <v>211</v>
      </c>
      <c r="E2086" s="21">
        <v>0</v>
      </c>
      <c r="F2086" s="21"/>
      <c r="G2086" s="22"/>
    </row>
    <row r="2087" spans="1:8" s="7" customFormat="1" ht="18" thickBot="1" x14ac:dyDescent="0.2">
      <c r="A2087" s="2"/>
      <c r="B2087" s="24"/>
      <c r="C2087" s="9"/>
      <c r="D2087" s="9"/>
      <c r="E2087" s="9"/>
      <c r="F2087" s="9"/>
      <c r="G2087" s="11"/>
    </row>
    <row r="2088" spans="1:8" s="7" customFormat="1" x14ac:dyDescent="0.15">
      <c r="A2088" s="2"/>
      <c r="B2088" s="327" t="s">
        <v>15</v>
      </c>
      <c r="C2088" s="328"/>
      <c r="D2088" s="328"/>
      <c r="E2088" s="328"/>
      <c r="F2088" s="328"/>
      <c r="G2088" s="329"/>
    </row>
    <row r="2089" spans="1:8" s="7" customFormat="1" x14ac:dyDescent="0.15">
      <c r="A2089" s="2" t="s">
        <v>420</v>
      </c>
      <c r="B2089" s="20">
        <v>1</v>
      </c>
      <c r="C2089" s="23" t="s">
        <v>22</v>
      </c>
      <c r="D2089" s="20" t="s">
        <v>154</v>
      </c>
      <c r="E2089" s="21" t="s">
        <v>120</v>
      </c>
      <c r="F2089" s="21" t="s">
        <v>114</v>
      </c>
      <c r="G2089" s="21" t="s">
        <v>118</v>
      </c>
      <c r="H2089" s="21"/>
    </row>
    <row r="2090" spans="1:8" s="7" customFormat="1" x14ac:dyDescent="0.15">
      <c r="A2090" s="2"/>
      <c r="B2090" s="20">
        <v>2</v>
      </c>
      <c r="C2090" s="23" t="s">
        <v>22</v>
      </c>
      <c r="D2090" s="21" t="s">
        <v>122</v>
      </c>
      <c r="E2090" s="21" t="s">
        <v>111</v>
      </c>
      <c r="F2090" s="21"/>
      <c r="G2090" s="21"/>
    </row>
    <row r="2091" spans="1:8" s="7" customFormat="1" ht="18" thickBot="1" x14ac:dyDescent="0.2">
      <c r="A2091" s="2"/>
      <c r="B2091" s="24"/>
      <c r="C2091" s="9"/>
      <c r="D2091" s="9"/>
      <c r="E2091" s="9"/>
      <c r="F2091" s="9"/>
      <c r="G2091" s="11"/>
    </row>
    <row r="2092" spans="1:8" s="2" customFormat="1" x14ac:dyDescent="0.15"/>
    <row r="2093" spans="1:8" s="2" customFormat="1" ht="18" thickBot="1" x14ac:dyDescent="0.2"/>
    <row r="2094" spans="1:8" s="7" customFormat="1" x14ac:dyDescent="0.15">
      <c r="A2094" s="2"/>
      <c r="B2094" s="233" t="s">
        <v>563</v>
      </c>
      <c r="C2094" s="146" t="s">
        <v>654</v>
      </c>
      <c r="D2094" s="146" t="s">
        <v>515</v>
      </c>
      <c r="E2094" s="21" t="s">
        <v>730</v>
      </c>
      <c r="F2094" s="146" t="s">
        <v>567</v>
      </c>
      <c r="G2094" s="234"/>
    </row>
    <row r="2095" spans="1:8" s="7" customFormat="1" ht="18" thickBot="1" x14ac:dyDescent="0.2">
      <c r="A2095" s="2"/>
      <c r="B2095" s="8" t="s">
        <v>570</v>
      </c>
      <c r="C2095" s="9"/>
      <c r="D2095" s="10" t="s">
        <v>568</v>
      </c>
      <c r="E2095" s="9" t="s">
        <v>615</v>
      </c>
      <c r="F2095" s="10"/>
      <c r="G2095" s="11"/>
    </row>
    <row r="2096" spans="1:8" s="7" customFormat="1" x14ac:dyDescent="0.15">
      <c r="A2096" s="2"/>
      <c r="B2096" s="12" t="s">
        <v>0</v>
      </c>
      <c r="C2096" s="13" t="s">
        <v>1</v>
      </c>
      <c r="D2096" s="13" t="s">
        <v>2</v>
      </c>
      <c r="E2096" s="13"/>
      <c r="F2096" s="13" t="s">
        <v>3</v>
      </c>
      <c r="G2096" s="13" t="s">
        <v>4</v>
      </c>
    </row>
    <row r="2097" spans="1:7" s="7" customFormat="1" x14ac:dyDescent="0.15">
      <c r="A2097" s="2"/>
      <c r="B2097" s="20" t="s">
        <v>16</v>
      </c>
      <c r="C2097" s="21" t="s">
        <v>1163</v>
      </c>
      <c r="D2097" s="21" t="s">
        <v>211</v>
      </c>
      <c r="E2097" s="21">
        <v>0</v>
      </c>
      <c r="F2097" s="21"/>
      <c r="G2097" s="22" t="s">
        <v>1077</v>
      </c>
    </row>
    <row r="2098" spans="1:7" s="7" customFormat="1" x14ac:dyDescent="0.15">
      <c r="A2098" s="2"/>
      <c r="B2098" s="20" t="s">
        <v>111</v>
      </c>
      <c r="C2098" s="21" t="s">
        <v>1164</v>
      </c>
      <c r="D2098" s="21" t="s">
        <v>211</v>
      </c>
      <c r="E2098" s="21">
        <v>0</v>
      </c>
      <c r="F2098" s="21"/>
      <c r="G2098" s="22" t="s">
        <v>1165</v>
      </c>
    </row>
    <row r="2099" spans="1:7" s="7" customFormat="1" x14ac:dyDescent="0.15">
      <c r="A2099" s="2"/>
      <c r="B2099" s="20" t="s">
        <v>121</v>
      </c>
      <c r="C2099" s="21" t="s">
        <v>1187</v>
      </c>
      <c r="D2099" s="21" t="s">
        <v>211</v>
      </c>
      <c r="E2099" s="21">
        <v>0</v>
      </c>
      <c r="F2099" s="21"/>
      <c r="G2099" s="22"/>
    </row>
    <row r="2100" spans="1:7" s="7" customFormat="1" x14ac:dyDescent="0.15">
      <c r="A2100" s="2"/>
      <c r="B2100" s="20" t="s">
        <v>7</v>
      </c>
      <c r="C2100" s="21" t="s">
        <v>1190</v>
      </c>
      <c r="D2100" s="21" t="s">
        <v>211</v>
      </c>
      <c r="E2100" s="21">
        <v>0</v>
      </c>
      <c r="F2100" s="21"/>
      <c r="G2100" s="22" t="s">
        <v>1081</v>
      </c>
    </row>
    <row r="2101" spans="1:7" s="7" customFormat="1" x14ac:dyDescent="0.15">
      <c r="A2101" s="2"/>
      <c r="B2101" s="20" t="s">
        <v>114</v>
      </c>
      <c r="C2101" s="21" t="s">
        <v>1155</v>
      </c>
      <c r="D2101" s="21" t="s">
        <v>211</v>
      </c>
      <c r="E2101" s="21">
        <v>0</v>
      </c>
      <c r="F2101" s="21"/>
      <c r="G2101" s="22"/>
    </row>
    <row r="2102" spans="1:7" s="7" customFormat="1" x14ac:dyDescent="0.15">
      <c r="A2102" s="2"/>
      <c r="B2102" s="20" t="s">
        <v>118</v>
      </c>
      <c r="C2102" s="21" t="s">
        <v>1188</v>
      </c>
      <c r="D2102" s="21" t="s">
        <v>211</v>
      </c>
      <c r="E2102" s="21">
        <v>0</v>
      </c>
      <c r="F2102" s="21"/>
      <c r="G2102" s="22"/>
    </row>
    <row r="2103" spans="1:7" s="7" customFormat="1" x14ac:dyDescent="0.15">
      <c r="A2103" s="2"/>
      <c r="B2103" s="20" t="s">
        <v>8</v>
      </c>
      <c r="C2103" s="21" t="s">
        <v>1193</v>
      </c>
      <c r="D2103" s="21" t="s">
        <v>1087</v>
      </c>
      <c r="E2103" s="21">
        <v>0</v>
      </c>
      <c r="F2103" s="21"/>
      <c r="G2103" s="22" t="s">
        <v>1194</v>
      </c>
    </row>
    <row r="2104" spans="1:7" s="7" customFormat="1" x14ac:dyDescent="0.15">
      <c r="A2104" s="2"/>
      <c r="B2104" s="20" t="s">
        <v>9</v>
      </c>
      <c r="C2104" s="21" t="s">
        <v>1195</v>
      </c>
      <c r="D2104" s="21" t="s">
        <v>1087</v>
      </c>
      <c r="E2104" s="21">
        <v>0</v>
      </c>
      <c r="F2104" s="21"/>
      <c r="G2104" s="22" t="s">
        <v>1196</v>
      </c>
    </row>
    <row r="2105" spans="1:7" s="7" customFormat="1" x14ac:dyDescent="0.15">
      <c r="A2105" s="2"/>
      <c r="B2105" s="20" t="s">
        <v>76</v>
      </c>
      <c r="C2105" s="21" t="s">
        <v>1118</v>
      </c>
      <c r="D2105" s="21" t="s">
        <v>1087</v>
      </c>
      <c r="E2105" s="21">
        <v>0</v>
      </c>
      <c r="F2105" s="21"/>
      <c r="G2105" s="22"/>
    </row>
    <row r="2106" spans="1:7" s="7" customFormat="1" x14ac:dyDescent="0.15">
      <c r="A2106" s="2"/>
      <c r="B2106" s="20" t="s">
        <v>77</v>
      </c>
      <c r="C2106" s="21" t="s">
        <v>1336</v>
      </c>
      <c r="D2106" s="21" t="s">
        <v>1087</v>
      </c>
      <c r="E2106" s="21">
        <v>0</v>
      </c>
      <c r="F2106" s="21"/>
      <c r="G2106" s="22"/>
    </row>
    <row r="2107" spans="1:7" s="7" customFormat="1" x14ac:dyDescent="0.15">
      <c r="A2107" s="2"/>
      <c r="B2107" s="20" t="s">
        <v>214</v>
      </c>
      <c r="C2107" s="21" t="s">
        <v>1339</v>
      </c>
      <c r="D2107" s="21" t="s">
        <v>211</v>
      </c>
      <c r="E2107" s="21">
        <v>0</v>
      </c>
      <c r="F2107" s="21"/>
      <c r="G2107" s="22"/>
    </row>
    <row r="2108" spans="1:7" s="7" customFormat="1" ht="18" thickBot="1" x14ac:dyDescent="0.2">
      <c r="A2108" s="2"/>
      <c r="B2108" s="17"/>
      <c r="C2108" s="18"/>
      <c r="D2108" s="18"/>
      <c r="E2108" s="18"/>
      <c r="F2108" s="18"/>
      <c r="G2108" s="19"/>
    </row>
    <row r="2109" spans="1:7" s="7" customFormat="1" ht="18.75" customHeight="1" x14ac:dyDescent="0.15">
      <c r="A2109" s="2"/>
      <c r="B2109" s="327" t="s">
        <v>15</v>
      </c>
      <c r="C2109" s="328"/>
      <c r="D2109" s="328"/>
      <c r="E2109" s="328"/>
      <c r="F2109" s="328"/>
      <c r="G2109" s="329"/>
    </row>
    <row r="2110" spans="1:7" s="7" customFormat="1" x14ac:dyDescent="0.15">
      <c r="A2110" s="2" t="s">
        <v>62</v>
      </c>
      <c r="B2110" s="20">
        <v>1</v>
      </c>
      <c r="C2110" s="21" t="s">
        <v>120</v>
      </c>
      <c r="D2110" s="21" t="s">
        <v>114</v>
      </c>
      <c r="E2110" s="21" t="s">
        <v>118</v>
      </c>
      <c r="F2110" s="22"/>
      <c r="G2110" s="22"/>
    </row>
    <row r="2111" spans="1:7" s="7" customFormat="1" x14ac:dyDescent="0.15">
      <c r="A2111" s="2"/>
      <c r="B2111" s="20">
        <v>2</v>
      </c>
      <c r="C2111" s="21" t="s">
        <v>122</v>
      </c>
      <c r="D2111" s="21" t="s">
        <v>111</v>
      </c>
      <c r="E2111" s="21"/>
      <c r="F2111" s="21"/>
      <c r="G2111" s="22"/>
    </row>
    <row r="2112" spans="1:7" s="7" customFormat="1" x14ac:dyDescent="0.15">
      <c r="A2112" s="2"/>
      <c r="B2112" s="20"/>
      <c r="C2112" s="23"/>
      <c r="D2112" s="21"/>
      <c r="E2112" s="21"/>
      <c r="F2112" s="21"/>
      <c r="G2112" s="22"/>
    </row>
    <row r="2113" spans="1:7" s="7" customFormat="1" x14ac:dyDescent="0.15">
      <c r="A2113" s="2"/>
    </row>
    <row r="2114" spans="1:7" s="7" customFormat="1" ht="18" thickBot="1" x14ac:dyDescent="0.2">
      <c r="A2114" s="2"/>
    </row>
    <row r="2115" spans="1:7" s="7" customFormat="1" x14ac:dyDescent="0.15">
      <c r="A2115" s="2"/>
      <c r="B2115" s="3" t="s">
        <v>563</v>
      </c>
      <c r="C2115" s="4" t="s">
        <v>655</v>
      </c>
      <c r="D2115" s="5" t="s">
        <v>515</v>
      </c>
      <c r="E2115" s="21" t="s">
        <v>731</v>
      </c>
      <c r="F2115" s="5" t="s">
        <v>567</v>
      </c>
      <c r="G2115" s="6"/>
    </row>
    <row r="2116" spans="1:7" s="7" customFormat="1" ht="18" thickBot="1" x14ac:dyDescent="0.2">
      <c r="A2116" s="2"/>
      <c r="B2116" s="34" t="s">
        <v>570</v>
      </c>
      <c r="C2116" s="18"/>
      <c r="D2116" s="35" t="s">
        <v>568</v>
      </c>
      <c r="E2116" s="18" t="s">
        <v>615</v>
      </c>
      <c r="F2116" s="35"/>
      <c r="G2116" s="19"/>
    </row>
    <row r="2117" spans="1:7" s="7" customFormat="1" x14ac:dyDescent="0.15">
      <c r="A2117" s="2"/>
      <c r="B2117" s="3" t="s">
        <v>0</v>
      </c>
      <c r="C2117" s="5" t="s">
        <v>1</v>
      </c>
      <c r="D2117" s="5" t="s">
        <v>2</v>
      </c>
      <c r="E2117" s="5"/>
      <c r="F2117" s="5" t="s">
        <v>3</v>
      </c>
      <c r="G2117" s="36" t="s">
        <v>4</v>
      </c>
    </row>
    <row r="2118" spans="1:7" s="7" customFormat="1" x14ac:dyDescent="0.15">
      <c r="A2118" s="2"/>
      <c r="B2118" s="20" t="s">
        <v>5</v>
      </c>
      <c r="C2118" s="21" t="s">
        <v>1127</v>
      </c>
      <c r="D2118" s="21" t="s">
        <v>211</v>
      </c>
      <c r="E2118" s="21" t="s">
        <v>1141</v>
      </c>
      <c r="F2118" s="21"/>
      <c r="G2118" s="22" t="s">
        <v>1162</v>
      </c>
    </row>
    <row r="2119" spans="1:7" s="7" customFormat="1" x14ac:dyDescent="0.15">
      <c r="A2119" s="2"/>
      <c r="B2119" s="20" t="s">
        <v>109</v>
      </c>
      <c r="C2119" s="21" t="s">
        <v>1163</v>
      </c>
      <c r="D2119" s="21" t="s">
        <v>211</v>
      </c>
      <c r="E2119" s="21">
        <v>0</v>
      </c>
      <c r="F2119" s="21"/>
      <c r="G2119" s="22" t="s">
        <v>1077</v>
      </c>
    </row>
    <row r="2120" spans="1:7" s="7" customFormat="1" x14ac:dyDescent="0.15">
      <c r="A2120" s="2"/>
      <c r="B2120" s="20" t="s">
        <v>111</v>
      </c>
      <c r="C2120" s="21" t="s">
        <v>1164</v>
      </c>
      <c r="D2120" s="21" t="s">
        <v>211</v>
      </c>
      <c r="E2120" s="21">
        <v>0</v>
      </c>
      <c r="F2120" s="21"/>
      <c r="G2120" s="22" t="s">
        <v>1165</v>
      </c>
    </row>
    <row r="2121" spans="1:7" s="7" customFormat="1" x14ac:dyDescent="0.15">
      <c r="A2121" s="2"/>
      <c r="B2121" s="20" t="s">
        <v>121</v>
      </c>
      <c r="C2121" s="21" t="s">
        <v>1187</v>
      </c>
      <c r="D2121" s="21" t="s">
        <v>211</v>
      </c>
      <c r="E2121" s="21">
        <v>0</v>
      </c>
      <c r="F2121" s="21"/>
      <c r="G2121" s="22"/>
    </row>
    <row r="2122" spans="1:7" s="7" customFormat="1" x14ac:dyDescent="0.15">
      <c r="A2122" s="2"/>
      <c r="B2122" s="20" t="s">
        <v>7</v>
      </c>
      <c r="C2122" s="21" t="s">
        <v>1190</v>
      </c>
      <c r="D2122" s="21" t="s">
        <v>211</v>
      </c>
      <c r="E2122" s="21">
        <v>0</v>
      </c>
      <c r="F2122" s="21"/>
      <c r="G2122" s="22" t="s">
        <v>1081</v>
      </c>
    </row>
    <row r="2123" spans="1:7" s="7" customFormat="1" x14ac:dyDescent="0.15">
      <c r="A2123" s="2"/>
      <c r="B2123" s="20" t="s">
        <v>114</v>
      </c>
      <c r="C2123" s="21" t="s">
        <v>1155</v>
      </c>
      <c r="D2123" s="21" t="s">
        <v>211</v>
      </c>
      <c r="E2123" s="21">
        <v>0</v>
      </c>
      <c r="F2123" s="21"/>
      <c r="G2123" s="22"/>
    </row>
    <row r="2124" spans="1:7" s="7" customFormat="1" x14ac:dyDescent="0.15">
      <c r="A2124" s="2"/>
      <c r="B2124" s="20" t="s">
        <v>118</v>
      </c>
      <c r="C2124" s="21" t="s">
        <v>1188</v>
      </c>
      <c r="D2124" s="21" t="s">
        <v>211</v>
      </c>
      <c r="E2124" s="21">
        <v>0</v>
      </c>
      <c r="F2124" s="21"/>
      <c r="G2124" s="22"/>
    </row>
    <row r="2125" spans="1:7" s="7" customFormat="1" x14ac:dyDescent="0.15">
      <c r="A2125" s="2"/>
      <c r="B2125" s="20" t="s">
        <v>8</v>
      </c>
      <c r="C2125" s="21" t="s">
        <v>1193</v>
      </c>
      <c r="D2125" s="21" t="s">
        <v>1087</v>
      </c>
      <c r="E2125" s="21">
        <v>0</v>
      </c>
      <c r="F2125" s="21"/>
      <c r="G2125" s="22" t="s">
        <v>1194</v>
      </c>
    </row>
    <row r="2126" spans="1:7" s="7" customFormat="1" x14ac:dyDescent="0.15">
      <c r="A2126" s="2"/>
      <c r="B2126" s="20" t="s">
        <v>9</v>
      </c>
      <c r="C2126" s="21" t="s">
        <v>1195</v>
      </c>
      <c r="D2126" s="21" t="s">
        <v>1087</v>
      </c>
      <c r="E2126" s="21">
        <v>0</v>
      </c>
      <c r="F2126" s="21"/>
      <c r="G2126" s="22" t="s">
        <v>1196</v>
      </c>
    </row>
    <row r="2127" spans="1:7" s="7" customFormat="1" x14ac:dyDescent="0.15">
      <c r="A2127" s="2"/>
      <c r="B2127" s="20" t="s">
        <v>76</v>
      </c>
      <c r="C2127" s="21" t="s">
        <v>1118</v>
      </c>
      <c r="D2127" s="21" t="s">
        <v>1087</v>
      </c>
      <c r="E2127" s="21">
        <v>0</v>
      </c>
      <c r="F2127" s="21"/>
      <c r="G2127" s="22"/>
    </row>
    <row r="2128" spans="1:7" s="7" customFormat="1" x14ac:dyDescent="0.15">
      <c r="A2128" s="2"/>
      <c r="B2128" s="20" t="s">
        <v>77</v>
      </c>
      <c r="C2128" s="21" t="s">
        <v>1336</v>
      </c>
      <c r="D2128" s="21" t="s">
        <v>1087</v>
      </c>
      <c r="E2128" s="21">
        <v>0</v>
      </c>
      <c r="F2128" s="21"/>
      <c r="G2128" s="22"/>
    </row>
    <row r="2129" spans="1:8" s="7" customFormat="1" x14ac:dyDescent="0.15">
      <c r="A2129" s="2"/>
      <c r="B2129" s="20" t="s">
        <v>214</v>
      </c>
      <c r="C2129" s="21" t="s">
        <v>1339</v>
      </c>
      <c r="D2129" s="21" t="s">
        <v>211</v>
      </c>
      <c r="E2129" s="21">
        <v>0</v>
      </c>
      <c r="F2129" s="21"/>
      <c r="G2129" s="22"/>
    </row>
    <row r="2130" spans="1:8" s="7" customFormat="1" ht="18" thickBot="1" x14ac:dyDescent="0.2">
      <c r="A2130" s="2"/>
      <c r="B2130" s="24"/>
      <c r="C2130" s="9"/>
      <c r="D2130" s="9"/>
      <c r="E2130" s="9"/>
      <c r="F2130" s="9"/>
      <c r="G2130" s="11"/>
    </row>
    <row r="2131" spans="1:8" s="7" customFormat="1" x14ac:dyDescent="0.15">
      <c r="A2131" s="2"/>
      <c r="B2131" s="327" t="s">
        <v>15</v>
      </c>
      <c r="C2131" s="328"/>
      <c r="D2131" s="328"/>
      <c r="E2131" s="328"/>
      <c r="F2131" s="328"/>
      <c r="G2131" s="329"/>
    </row>
    <row r="2132" spans="1:8" s="7" customFormat="1" x14ac:dyDescent="0.15">
      <c r="A2132" s="2" t="s">
        <v>420</v>
      </c>
      <c r="B2132" s="20">
        <v>1</v>
      </c>
      <c r="C2132" s="23" t="s">
        <v>22</v>
      </c>
      <c r="D2132" s="21" t="s">
        <v>120</v>
      </c>
      <c r="E2132" s="21" t="s">
        <v>114</v>
      </c>
      <c r="F2132" s="21" t="s">
        <v>118</v>
      </c>
      <c r="G2132" s="21"/>
    </row>
    <row r="2133" spans="1:8" s="7" customFormat="1" x14ac:dyDescent="0.15">
      <c r="A2133" s="2"/>
      <c r="B2133" s="20">
        <v>2</v>
      </c>
      <c r="C2133" s="23" t="s">
        <v>22</v>
      </c>
      <c r="D2133" s="21" t="s">
        <v>122</v>
      </c>
      <c r="E2133" s="21" t="s">
        <v>111</v>
      </c>
      <c r="F2133" s="21"/>
      <c r="G2133" s="21"/>
    </row>
    <row r="2134" spans="1:8" s="7" customFormat="1" ht="18" thickBot="1" x14ac:dyDescent="0.2">
      <c r="A2134" s="2"/>
      <c r="B2134" s="24"/>
      <c r="C2134" s="9"/>
      <c r="D2134" s="9"/>
      <c r="E2134" s="9"/>
      <c r="F2134" s="9"/>
      <c r="G2134" s="11"/>
    </row>
    <row r="2135" spans="1:8" s="2" customFormat="1" ht="18" thickBot="1" x14ac:dyDescent="0.2"/>
    <row r="2136" spans="1:8" s="7" customFormat="1" x14ac:dyDescent="0.15">
      <c r="A2136" s="2"/>
      <c r="B2136" s="3" t="s">
        <v>563</v>
      </c>
      <c r="C2136" s="4" t="s">
        <v>680</v>
      </c>
      <c r="D2136" s="5" t="s">
        <v>515</v>
      </c>
      <c r="E2136" s="21" t="s">
        <v>1030</v>
      </c>
      <c r="F2136" s="5" t="s">
        <v>567</v>
      </c>
      <c r="G2136" s="6" t="s">
        <v>681</v>
      </c>
      <c r="H2136" s="6" t="str">
        <f>"create or replace view "&amp;C2136</f>
        <v>create or replace view vi_dt_pd_capit_asset</v>
      </c>
    </row>
    <row r="2137" spans="1:8" s="7" customFormat="1" ht="18" thickBot="1" x14ac:dyDescent="0.2">
      <c r="A2137" s="2"/>
      <c r="B2137" s="34" t="s">
        <v>570</v>
      </c>
      <c r="C2137" s="18"/>
      <c r="D2137" s="35" t="s">
        <v>568</v>
      </c>
      <c r="E2137" s="18" t="s">
        <v>615</v>
      </c>
      <c r="F2137" s="35"/>
      <c r="G2137" s="19"/>
      <c r="H2137" s="11" t="str">
        <f>"/* "&amp;E2136&amp;"*/  as "</f>
        <v xml:space="preserve">/* 报表_资管报表_视图-数据-产品-资金-资产*/  as </v>
      </c>
    </row>
    <row r="2138" spans="1:8" s="7" customFormat="1" x14ac:dyDescent="0.15">
      <c r="A2138" s="2"/>
      <c r="B2138" s="3" t="s">
        <v>0</v>
      </c>
      <c r="C2138" s="5" t="s">
        <v>1</v>
      </c>
      <c r="D2138" s="5" t="s">
        <v>2</v>
      </c>
      <c r="E2138" s="5"/>
      <c r="F2138" s="5" t="s">
        <v>3</v>
      </c>
      <c r="G2138" s="36" t="s">
        <v>4</v>
      </c>
      <c r="H2138" s="13" t="s">
        <v>474</v>
      </c>
    </row>
    <row r="2139" spans="1:8" s="7" customFormat="1" x14ac:dyDescent="0.15">
      <c r="A2139" s="2"/>
      <c r="B2139" s="20" t="s">
        <v>5</v>
      </c>
      <c r="C2139" s="21" t="s">
        <v>1127</v>
      </c>
      <c r="D2139" s="21" t="s">
        <v>211</v>
      </c>
      <c r="E2139" s="21" t="s">
        <v>1141</v>
      </c>
      <c r="F2139" s="21" t="s">
        <v>440</v>
      </c>
      <c r="G2139" s="22" t="s">
        <v>1162</v>
      </c>
      <c r="H2139" s="107" t="str">
        <f t="shared" ref="H2139:H2165" si="17">"ifnull("&amp;IF(I2139&lt;&gt;"",I2139,IF(F2139&lt;&gt;"",F2139,"t")&amp;"."&amp;C2139)&amp;","&amp;E2139&amp;") as "&amp;C2139&amp;",/*"&amp;B2139&amp;"*/"</f>
        <v>ifnull(t.init_date,date_format(curdate(),'%Y%m%d')) as init_date,/*初始化日期*/</v>
      </c>
    </row>
    <row r="2140" spans="1:8" s="7" customFormat="1" x14ac:dyDescent="0.15">
      <c r="A2140" s="2"/>
      <c r="B2140" s="211" t="s">
        <v>109</v>
      </c>
      <c r="C2140" s="212" t="s">
        <v>1163</v>
      </c>
      <c r="D2140" s="212" t="s">
        <v>211</v>
      </c>
      <c r="E2140" s="212">
        <v>0</v>
      </c>
      <c r="F2140" s="21" t="s">
        <v>440</v>
      </c>
      <c r="G2140" s="213" t="s">
        <v>1077</v>
      </c>
      <c r="H2140" s="107" t="str">
        <f t="shared" si="17"/>
        <v>ifnull(t.co_no,0) as co_no,/*机构编号*/</v>
      </c>
    </row>
    <row r="2141" spans="1:8" s="7" customFormat="1" x14ac:dyDescent="0.15">
      <c r="A2141" s="2"/>
      <c r="B2141" s="211" t="s">
        <v>194</v>
      </c>
      <c r="C2141" s="212" t="s">
        <v>1164</v>
      </c>
      <c r="D2141" s="212" t="s">
        <v>211</v>
      </c>
      <c r="E2141" s="212">
        <v>0</v>
      </c>
      <c r="F2141" s="21" t="s">
        <v>440</v>
      </c>
      <c r="G2141" s="213" t="s">
        <v>1165</v>
      </c>
      <c r="H2141" s="107" t="str">
        <f t="shared" si="17"/>
        <v>ifnull(t.pd_no,0) as pd_no,/*产品编号*/</v>
      </c>
    </row>
    <row r="2142" spans="1:8" s="7" customFormat="1" ht="15" customHeight="1" x14ac:dyDescent="0.15">
      <c r="A2142" s="2"/>
      <c r="B2142" s="214" t="s">
        <v>23</v>
      </c>
      <c r="C2142" s="212" t="s">
        <v>1091</v>
      </c>
      <c r="D2142" s="212" t="s">
        <v>1131</v>
      </c>
      <c r="E2142" s="212" t="s">
        <v>1074</v>
      </c>
      <c r="F2142" s="21" t="s">
        <v>440</v>
      </c>
      <c r="G2142" s="213"/>
      <c r="H2142" s="107" t="str">
        <f t="shared" si="17"/>
        <v>ifnull(t.crncy_type,"CNY") as crncy_type,/*本币币种*/</v>
      </c>
    </row>
    <row r="2143" spans="1:8" s="7" customFormat="1" ht="15" customHeight="1" x14ac:dyDescent="0.15">
      <c r="A2143" s="2"/>
      <c r="B2143" s="214" t="s">
        <v>189</v>
      </c>
      <c r="C2143" s="215" t="s">
        <v>1296</v>
      </c>
      <c r="D2143" s="215" t="s">
        <v>1169</v>
      </c>
      <c r="E2143" s="215">
        <v>0</v>
      </c>
      <c r="F2143" s="21" t="s">
        <v>440</v>
      </c>
      <c r="G2143" s="216"/>
      <c r="H2143" s="107" t="str">
        <f t="shared" si="17"/>
        <v>ifnull(t.first_asset,0) as first_asset,/*原始资产*/</v>
      </c>
    </row>
    <row r="2144" spans="1:8" s="7" customFormat="1" ht="15" customHeight="1" x14ac:dyDescent="0.15">
      <c r="A2144" s="2"/>
      <c r="B2144" s="214" t="s">
        <v>68</v>
      </c>
      <c r="C2144" s="212" t="s">
        <v>1297</v>
      </c>
      <c r="D2144" s="212" t="s">
        <v>1169</v>
      </c>
      <c r="E2144" s="212">
        <v>0</v>
      </c>
      <c r="F2144" s="21" t="s">
        <v>440</v>
      </c>
      <c r="G2144" s="213" t="s">
        <v>1298</v>
      </c>
      <c r="H2144" s="107" t="str">
        <f t="shared" si="17"/>
        <v>ifnull(t.first_amt,0) as first_amt,/*原始金额*/</v>
      </c>
    </row>
    <row r="2145" spans="1:8" s="7" customFormat="1" ht="15" customHeight="1" x14ac:dyDescent="0.15">
      <c r="A2145" s="2"/>
      <c r="B2145" s="214" t="s">
        <v>69</v>
      </c>
      <c r="C2145" s="212" t="s">
        <v>1126</v>
      </c>
      <c r="D2145" s="212" t="s">
        <v>1087</v>
      </c>
      <c r="E2145" s="212">
        <v>0</v>
      </c>
      <c r="F2145" s="21" t="s">
        <v>440</v>
      </c>
      <c r="G2145" s="213"/>
      <c r="H2145" s="107" t="str">
        <f t="shared" si="17"/>
        <v>ifnull(t.pd_all_share,0) as pd_all_share,/*产品总份额*/</v>
      </c>
    </row>
    <row r="2146" spans="1:8" s="7" customFormat="1" ht="15" customHeight="1" x14ac:dyDescent="0.15">
      <c r="A2146" s="2"/>
      <c r="B2146" s="217" t="s">
        <v>190</v>
      </c>
      <c r="C2146" s="215" t="s">
        <v>1166</v>
      </c>
      <c r="D2146" s="215" t="s">
        <v>1087</v>
      </c>
      <c r="E2146" s="215">
        <v>0</v>
      </c>
      <c r="F2146" s="21" t="s">
        <v>440</v>
      </c>
      <c r="G2146" s="216"/>
      <c r="H2146" s="107" t="str">
        <f t="shared" si="17"/>
        <v>ifnull(t.curr_share,0) as curr_share,/*当前份额*/</v>
      </c>
    </row>
    <row r="2147" spans="1:8" s="7" customFormat="1" ht="15" customHeight="1" x14ac:dyDescent="0.15">
      <c r="A2147" s="2"/>
      <c r="B2147" s="217" t="s">
        <v>191</v>
      </c>
      <c r="C2147" s="215" t="s">
        <v>1167</v>
      </c>
      <c r="D2147" s="215" t="s">
        <v>1087</v>
      </c>
      <c r="E2147" s="215">
        <v>0</v>
      </c>
      <c r="F2147" s="21" t="s">
        <v>440</v>
      </c>
      <c r="G2147" s="216"/>
      <c r="H2147" s="107" t="str">
        <f t="shared" si="17"/>
        <v>ifnull(t.pre_share,0) as pre_share,/*昨日份额*/</v>
      </c>
    </row>
    <row r="2148" spans="1:8" s="7" customFormat="1" ht="15" customHeight="1" x14ac:dyDescent="0.15">
      <c r="A2148" s="2"/>
      <c r="B2148" s="217" t="s">
        <v>192</v>
      </c>
      <c r="C2148" s="215" t="s">
        <v>1299</v>
      </c>
      <c r="D2148" s="215" t="s">
        <v>1169</v>
      </c>
      <c r="E2148" s="215">
        <v>0</v>
      </c>
      <c r="F2148" s="21" t="s">
        <v>440</v>
      </c>
      <c r="G2148" s="216"/>
      <c r="H2148" s="107" t="str">
        <f t="shared" si="17"/>
        <v>ifnull(t.his_max_per_nav,0) as his_max_per_nav,/*历史最高单位净值*/</v>
      </c>
    </row>
    <row r="2149" spans="1:8" s="7" customFormat="1" ht="15" customHeight="1" x14ac:dyDescent="0.15">
      <c r="A2149" s="2"/>
      <c r="B2149" s="211" t="s">
        <v>193</v>
      </c>
      <c r="C2149" s="212" t="s">
        <v>1171</v>
      </c>
      <c r="D2149" s="212" t="s">
        <v>1169</v>
      </c>
      <c r="E2149" s="212">
        <v>0</v>
      </c>
      <c r="F2149" s="21" t="s">
        <v>440</v>
      </c>
      <c r="G2149" s="213"/>
      <c r="H2149" s="107" t="str">
        <f t="shared" si="17"/>
        <v>ifnull(t.pre_nav,0) as pre_nav,/*昨日净值*/</v>
      </c>
    </row>
    <row r="2150" spans="1:8" s="7" customFormat="1" x14ac:dyDescent="0.15">
      <c r="A2150" s="2"/>
      <c r="B2150" s="194" t="s">
        <v>316</v>
      </c>
      <c r="C2150" s="195" t="s">
        <v>1305</v>
      </c>
      <c r="D2150" s="195" t="s">
        <v>1169</v>
      </c>
      <c r="E2150" s="195">
        <v>0</v>
      </c>
      <c r="F2150" s="21" t="s">
        <v>440</v>
      </c>
      <c r="G2150" s="196"/>
      <c r="H2150" s="107" t="str">
        <f t="shared" si="17"/>
        <v>ifnull(t.pd_dist_amt,0) as pd_dist_amt,/*产品已分配金额*/</v>
      </c>
    </row>
    <row r="2151" spans="1:8" s="7" customFormat="1" x14ac:dyDescent="0.15">
      <c r="A2151" s="2"/>
      <c r="B2151" s="194" t="s">
        <v>317</v>
      </c>
      <c r="C2151" s="195" t="s">
        <v>1306</v>
      </c>
      <c r="D2151" s="195" t="s">
        <v>1169</v>
      </c>
      <c r="E2151" s="195">
        <v>0</v>
      </c>
      <c r="F2151" s="21" t="s">
        <v>440</v>
      </c>
      <c r="G2151" s="196"/>
      <c r="H2151" s="107" t="str">
        <f t="shared" si="17"/>
        <v>ifnull(t.pd_auth_amt,0) as pd_auth_amt,/*产品已授权金额*/</v>
      </c>
    </row>
    <row r="2152" spans="1:8" s="7" customFormat="1" x14ac:dyDescent="0.15">
      <c r="B2152" s="194" t="s">
        <v>318</v>
      </c>
      <c r="C2152" s="195" t="s">
        <v>1307</v>
      </c>
      <c r="D2152" s="195" t="s">
        <v>1169</v>
      </c>
      <c r="E2152" s="195">
        <v>0</v>
      </c>
      <c r="F2152" s="21" t="s">
        <v>440</v>
      </c>
      <c r="G2152" s="196"/>
      <c r="H2152" s="107" t="str">
        <f t="shared" si="17"/>
        <v>ifnull(t.total_cash_divide,0) as total_cash_divide,/*累计派现金额*/</v>
      </c>
    </row>
    <row r="2153" spans="1:8" s="7" customFormat="1" x14ac:dyDescent="0.15">
      <c r="B2153" s="194" t="s">
        <v>319</v>
      </c>
      <c r="C2153" s="195" t="s">
        <v>1551</v>
      </c>
      <c r="D2153" s="195" t="s">
        <v>1169</v>
      </c>
      <c r="E2153" s="195">
        <v>0</v>
      </c>
      <c r="F2153" s="21" t="s">
        <v>440</v>
      </c>
      <c r="G2153" s="196"/>
      <c r="H2153" s="107" t="str">
        <f t="shared" si="17"/>
        <v>ifnull(t.total_pre_fee,0) as total_pre_fee,/*累计计提费用*/</v>
      </c>
    </row>
    <row r="2154" spans="1:8" s="7" customFormat="1" x14ac:dyDescent="0.15">
      <c r="A2154" s="2"/>
      <c r="B2154" s="197" t="s">
        <v>175</v>
      </c>
      <c r="C2154" s="218" t="s">
        <v>1129</v>
      </c>
      <c r="D2154" s="218" t="s">
        <v>1169</v>
      </c>
      <c r="E2154" s="218">
        <v>0</v>
      </c>
      <c r="F2154" s="21" t="s">
        <v>440</v>
      </c>
      <c r="G2154" s="219"/>
      <c r="H2154" s="107" t="str">
        <f t="shared" si="17"/>
        <v>ifnull(t.total_rece_amt,0) as total_rece_amt,/*累计应收金额*/</v>
      </c>
    </row>
    <row r="2155" spans="1:8" s="7" customFormat="1" x14ac:dyDescent="0.15">
      <c r="A2155" s="2"/>
      <c r="B2155" s="197" t="s">
        <v>176</v>
      </c>
      <c r="C2155" s="218" t="s">
        <v>1132</v>
      </c>
      <c r="D2155" s="218" t="s">
        <v>1169</v>
      </c>
      <c r="E2155" s="218">
        <v>0</v>
      </c>
      <c r="F2155" s="21" t="s">
        <v>440</v>
      </c>
      <c r="G2155" s="219"/>
      <c r="H2155" s="107" t="str">
        <f t="shared" si="17"/>
        <v>ifnull(t.total_payab_amt,0) as total_payab_amt,/*累计应付金额*/</v>
      </c>
    </row>
    <row r="2156" spans="1:8" s="7" customFormat="1" x14ac:dyDescent="0.15">
      <c r="B2156" s="197" t="s">
        <v>320</v>
      </c>
      <c r="C2156" s="218" t="s">
        <v>1115</v>
      </c>
      <c r="D2156" s="218" t="s">
        <v>1169</v>
      </c>
      <c r="E2156" s="218">
        <v>0</v>
      </c>
      <c r="F2156" s="21" t="s">
        <v>440</v>
      </c>
      <c r="G2156" s="219" t="s">
        <v>1308</v>
      </c>
      <c r="H2156" s="107" t="str">
        <f t="shared" si="17"/>
        <v>ifnull(t.intrst_cacl_amt,0) as intrst_cacl_amt,/*预计利息*/</v>
      </c>
    </row>
    <row r="2157" spans="1:8" s="7" customFormat="1" x14ac:dyDescent="0.15">
      <c r="B2157" s="197" t="s">
        <v>180</v>
      </c>
      <c r="C2157" s="218" t="s">
        <v>1309</v>
      </c>
      <c r="D2157" s="218" t="s">
        <v>1169</v>
      </c>
      <c r="E2157" s="218">
        <v>0</v>
      </c>
      <c r="F2157" s="21" t="s">
        <v>440</v>
      </c>
      <c r="G2157" s="219" t="s">
        <v>1310</v>
      </c>
      <c r="H2157" s="107" t="str">
        <f t="shared" si="17"/>
        <v>ifnull(t.pre_entry_intrst_amt,0) as pre_entry_intrst_amt,/*待入账利息*/</v>
      </c>
    </row>
    <row r="2158" spans="1:8" s="7" customFormat="1" x14ac:dyDescent="0.15">
      <c r="A2158" s="2"/>
      <c r="B2158" s="153" t="s">
        <v>302</v>
      </c>
      <c r="C2158" s="154" t="s">
        <v>1168</v>
      </c>
      <c r="D2158" s="154" t="s">
        <v>1169</v>
      </c>
      <c r="E2158" s="154">
        <v>0</v>
      </c>
      <c r="F2158" s="21" t="s">
        <v>440</v>
      </c>
      <c r="G2158" s="155"/>
      <c r="H2158" s="107" t="str">
        <f t="shared" si="17"/>
        <v>ifnull(t.begin_NAV,0) as begin_NAV,/*期初净资产*/</v>
      </c>
    </row>
    <row r="2159" spans="1:8" s="7" customFormat="1" x14ac:dyDescent="0.15">
      <c r="A2159" s="2"/>
      <c r="B2159" s="153" t="s">
        <v>374</v>
      </c>
      <c r="C2159" s="154" t="s">
        <v>1170</v>
      </c>
      <c r="D2159" s="154" t="s">
        <v>1169</v>
      </c>
      <c r="E2159" s="154">
        <v>0</v>
      </c>
      <c r="F2159" s="21" t="s">
        <v>440</v>
      </c>
      <c r="G2159" s="155"/>
      <c r="H2159" s="107" t="str">
        <f t="shared" si="17"/>
        <v>ifnull(t.nav_asset,0) as nav_asset,/*净资产*/</v>
      </c>
    </row>
    <row r="2160" spans="1:8" s="7" customFormat="1" x14ac:dyDescent="0.15">
      <c r="A2160" s="2"/>
      <c r="B2160" s="153" t="s">
        <v>304</v>
      </c>
      <c r="C2160" s="154" t="s">
        <v>1185</v>
      </c>
      <c r="D2160" s="154" t="s">
        <v>1169</v>
      </c>
      <c r="E2160" s="154">
        <v>0</v>
      </c>
      <c r="F2160" s="21" t="s">
        <v>440</v>
      </c>
      <c r="G2160" s="155"/>
      <c r="H2160" s="107" t="str">
        <f t="shared" si="17"/>
        <v>ifnull(t.cash_asset,0) as cash_asset,/*现金资产*/</v>
      </c>
    </row>
    <row r="2161" spans="1:8" s="7" customFormat="1" x14ac:dyDescent="0.15">
      <c r="A2161" s="2"/>
      <c r="B2161" s="153" t="s">
        <v>305</v>
      </c>
      <c r="C2161" s="154" t="s">
        <v>1181</v>
      </c>
      <c r="D2161" s="154" t="s">
        <v>1169</v>
      </c>
      <c r="E2161" s="154">
        <v>0</v>
      </c>
      <c r="F2161" s="21" t="s">
        <v>440</v>
      </c>
      <c r="G2161" s="155"/>
      <c r="H2161" s="107" t="str">
        <f t="shared" si="17"/>
        <v>ifnull(t.stock_asset,0) as stock_asset,/*股票资产*/</v>
      </c>
    </row>
    <row r="2162" spans="1:8" s="7" customFormat="1" x14ac:dyDescent="0.15">
      <c r="A2162" s="2"/>
      <c r="B2162" s="153" t="s">
        <v>306</v>
      </c>
      <c r="C2162" s="154" t="s">
        <v>1128</v>
      </c>
      <c r="D2162" s="154" t="s">
        <v>1169</v>
      </c>
      <c r="E2162" s="154">
        <v>0</v>
      </c>
      <c r="F2162" s="21" t="s">
        <v>440</v>
      </c>
      <c r="G2162" s="155"/>
      <c r="H2162" s="107" t="str">
        <f t="shared" si="17"/>
        <v>ifnull(t.fund_asset,0) as fund_asset,/*基金资产*/</v>
      </c>
    </row>
    <row r="2163" spans="1:8" s="7" customFormat="1" x14ac:dyDescent="0.15">
      <c r="A2163" s="2"/>
      <c r="B2163" s="153" t="s">
        <v>307</v>
      </c>
      <c r="C2163" s="154" t="s">
        <v>1173</v>
      </c>
      <c r="D2163" s="154" t="s">
        <v>1169</v>
      </c>
      <c r="E2163" s="154">
        <v>0</v>
      </c>
      <c r="F2163" s="21" t="s">
        <v>440</v>
      </c>
      <c r="G2163" s="155"/>
      <c r="H2163" s="107" t="str">
        <f t="shared" si="17"/>
        <v>ifnull(t.bond_asset,0) as bond_asset,/*债券资产*/</v>
      </c>
    </row>
    <row r="2164" spans="1:8" s="7" customFormat="1" x14ac:dyDescent="0.15">
      <c r="A2164" s="2"/>
      <c r="B2164" s="153" t="s">
        <v>309</v>
      </c>
      <c r="C2164" s="154" t="s">
        <v>1089</v>
      </c>
      <c r="D2164" s="154" t="s">
        <v>1169</v>
      </c>
      <c r="E2164" s="154">
        <v>0</v>
      </c>
      <c r="F2164" s="21" t="s">
        <v>440</v>
      </c>
      <c r="G2164" s="155"/>
      <c r="H2164" s="107" t="str">
        <f t="shared" si="17"/>
        <v>ifnull(t.repo_asset,0) as repo_asset,/*回购资产*/</v>
      </c>
    </row>
    <row r="2165" spans="1:8" s="7" customFormat="1" x14ac:dyDescent="0.15">
      <c r="A2165" s="2"/>
      <c r="B2165" s="153" t="s">
        <v>310</v>
      </c>
      <c r="C2165" s="154" t="s">
        <v>1174</v>
      </c>
      <c r="D2165" s="154" t="s">
        <v>1169</v>
      </c>
      <c r="E2165" s="154">
        <v>0</v>
      </c>
      <c r="F2165" s="21" t="s">
        <v>440</v>
      </c>
      <c r="G2165" s="155"/>
      <c r="H2165" s="107" t="str">
        <f t="shared" si="17"/>
        <v>ifnull(t.other_asset,0) as other_asset,/*其他资产*/</v>
      </c>
    </row>
    <row r="2166" spans="1:8" s="7" customFormat="1" ht="18" thickBot="1" x14ac:dyDescent="0.2">
      <c r="A2166" s="2"/>
      <c r="B2166" s="24"/>
      <c r="C2166" s="9"/>
      <c r="D2166" s="9"/>
      <c r="E2166" s="9"/>
      <c r="F2166" s="9"/>
      <c r="G2166" s="11"/>
    </row>
    <row r="2167" spans="1:8" s="7" customFormat="1" x14ac:dyDescent="0.15">
      <c r="A2167" s="2"/>
      <c r="B2167" s="327" t="s">
        <v>15</v>
      </c>
      <c r="C2167" s="328"/>
      <c r="D2167" s="328"/>
      <c r="E2167" s="328"/>
      <c r="F2167" s="328"/>
      <c r="G2167" s="329"/>
    </row>
    <row r="2168" spans="1:8" s="7" customFormat="1" x14ac:dyDescent="0.15">
      <c r="A2168" s="2"/>
      <c r="B2168" s="20"/>
      <c r="C2168" s="23"/>
      <c r="D2168" s="21"/>
      <c r="E2168" s="21"/>
      <c r="F2168" s="21"/>
      <c r="G2168" s="21"/>
    </row>
    <row r="2169" spans="1:8" s="7" customFormat="1" x14ac:dyDescent="0.15">
      <c r="A2169" s="2"/>
      <c r="B2169" s="20"/>
      <c r="C2169" s="23"/>
      <c r="D2169" s="21"/>
      <c r="E2169" s="21"/>
      <c r="F2169" s="21"/>
      <c r="G2169" s="21"/>
    </row>
    <row r="2170" spans="1:8" s="7" customFormat="1" ht="18" thickBot="1" x14ac:dyDescent="0.2">
      <c r="A2170" s="2"/>
      <c r="B2170" s="24"/>
      <c r="C2170" s="9"/>
      <c r="D2170" s="9"/>
      <c r="E2170" s="9"/>
      <c r="F2170" s="9"/>
      <c r="G2170" s="11"/>
    </row>
    <row r="2171" spans="1:8" s="2" customFormat="1" ht="18" thickBot="1" x14ac:dyDescent="0.2"/>
    <row r="2172" spans="1:8" s="7" customFormat="1" x14ac:dyDescent="0.15">
      <c r="A2172" s="2"/>
      <c r="B2172" s="3" t="s">
        <v>563</v>
      </c>
      <c r="C2172" s="4" t="s">
        <v>551</v>
      </c>
      <c r="D2172" s="5" t="s">
        <v>515</v>
      </c>
      <c r="E2172" s="21" t="s">
        <v>611</v>
      </c>
      <c r="F2172" s="5" t="s">
        <v>567</v>
      </c>
      <c r="G2172" s="6" t="s">
        <v>682</v>
      </c>
      <c r="H2172" s="6" t="str">
        <f>"create or replace view "&amp;C2172</f>
        <v>create or replace view vi_dt_pd_capit_asset_his</v>
      </c>
    </row>
    <row r="2173" spans="1:8" s="7" customFormat="1" ht="18" thickBot="1" x14ac:dyDescent="0.2">
      <c r="A2173" s="2"/>
      <c r="B2173" s="34" t="s">
        <v>570</v>
      </c>
      <c r="C2173" s="18"/>
      <c r="D2173" s="35" t="s">
        <v>568</v>
      </c>
      <c r="E2173" s="18" t="s">
        <v>615</v>
      </c>
      <c r="F2173" s="35"/>
      <c r="G2173" s="19"/>
      <c r="H2173" s="11" t="str">
        <f>"/* "&amp;E2172&amp;"*/  as "</f>
        <v xml:space="preserve">/* 报表_资管报表_视图-数据-产品-资金-资产-历史*/  as </v>
      </c>
    </row>
    <row r="2174" spans="1:8" s="7" customFormat="1" x14ac:dyDescent="0.15">
      <c r="A2174" s="2"/>
      <c r="B2174" s="3" t="s">
        <v>0</v>
      </c>
      <c r="C2174" s="5" t="s">
        <v>1</v>
      </c>
      <c r="D2174" s="5" t="s">
        <v>2</v>
      </c>
      <c r="E2174" s="5"/>
      <c r="F2174" s="5" t="s">
        <v>3</v>
      </c>
      <c r="G2174" s="36" t="s">
        <v>4</v>
      </c>
      <c r="H2174" s="13" t="s">
        <v>474</v>
      </c>
    </row>
    <row r="2175" spans="1:8" s="7" customFormat="1" x14ac:dyDescent="0.15">
      <c r="A2175" s="2"/>
      <c r="B2175" s="20" t="s">
        <v>5</v>
      </c>
      <c r="C2175" s="21" t="s">
        <v>1127</v>
      </c>
      <c r="D2175" s="21" t="s">
        <v>211</v>
      </c>
      <c r="E2175" s="21" t="s">
        <v>1141</v>
      </c>
      <c r="F2175" s="21" t="s">
        <v>440</v>
      </c>
      <c r="G2175" s="22" t="s">
        <v>1162</v>
      </c>
      <c r="H2175" s="107" t="str">
        <f t="shared" ref="H2175:H2201" si="18">"ifnull("&amp;IF(I2175&lt;&gt;"",I2175,IF(F2175&lt;&gt;"",F2175,"t")&amp;"."&amp;C2175)&amp;","&amp;E2175&amp;") as "&amp;C2175&amp;",/*"&amp;B2175&amp;"*/"</f>
        <v>ifnull(t.init_date,date_format(curdate(),'%Y%m%d')) as init_date,/*初始化日期*/</v>
      </c>
    </row>
    <row r="2176" spans="1:8" s="7" customFormat="1" x14ac:dyDescent="0.15">
      <c r="A2176" s="2"/>
      <c r="B2176" s="211" t="s">
        <v>109</v>
      </c>
      <c r="C2176" s="212" t="s">
        <v>1163</v>
      </c>
      <c r="D2176" s="212" t="s">
        <v>211</v>
      </c>
      <c r="E2176" s="212">
        <v>0</v>
      </c>
      <c r="F2176" s="200" t="s">
        <v>440</v>
      </c>
      <c r="G2176" s="213" t="s">
        <v>1077</v>
      </c>
      <c r="H2176" s="107" t="str">
        <f t="shared" si="18"/>
        <v>ifnull(t.co_no,0) as co_no,/*机构编号*/</v>
      </c>
    </row>
    <row r="2177" spans="1:8" s="7" customFormat="1" x14ac:dyDescent="0.15">
      <c r="A2177" s="2"/>
      <c r="B2177" s="211" t="s">
        <v>194</v>
      </c>
      <c r="C2177" s="212" t="s">
        <v>1164</v>
      </c>
      <c r="D2177" s="212" t="s">
        <v>211</v>
      </c>
      <c r="E2177" s="212">
        <v>0</v>
      </c>
      <c r="F2177" s="200" t="s">
        <v>440</v>
      </c>
      <c r="G2177" s="213" t="s">
        <v>1165</v>
      </c>
      <c r="H2177" s="107" t="str">
        <f t="shared" si="18"/>
        <v>ifnull(t.pd_no,0) as pd_no,/*产品编号*/</v>
      </c>
    </row>
    <row r="2178" spans="1:8" s="7" customFormat="1" ht="15" customHeight="1" x14ac:dyDescent="0.15">
      <c r="A2178" s="2"/>
      <c r="B2178" s="214" t="s">
        <v>23</v>
      </c>
      <c r="C2178" s="212" t="s">
        <v>1091</v>
      </c>
      <c r="D2178" s="212" t="s">
        <v>1131</v>
      </c>
      <c r="E2178" s="212" t="s">
        <v>1074</v>
      </c>
      <c r="F2178" s="200" t="s">
        <v>440</v>
      </c>
      <c r="G2178" s="213"/>
      <c r="H2178" s="107" t="str">
        <f t="shared" si="18"/>
        <v>ifnull(t.crncy_type,"CNY") as crncy_type,/*本币币种*/</v>
      </c>
    </row>
    <row r="2179" spans="1:8" s="7" customFormat="1" ht="15" customHeight="1" x14ac:dyDescent="0.15">
      <c r="A2179" s="2"/>
      <c r="B2179" s="214" t="s">
        <v>189</v>
      </c>
      <c r="C2179" s="215" t="s">
        <v>1296</v>
      </c>
      <c r="D2179" s="215" t="s">
        <v>1169</v>
      </c>
      <c r="E2179" s="215">
        <v>0</v>
      </c>
      <c r="F2179" s="200" t="s">
        <v>440</v>
      </c>
      <c r="G2179" s="216"/>
      <c r="H2179" s="107" t="str">
        <f t="shared" si="18"/>
        <v>ifnull(t.first_asset,0) as first_asset,/*原始资产*/</v>
      </c>
    </row>
    <row r="2180" spans="1:8" s="7" customFormat="1" ht="15" customHeight="1" x14ac:dyDescent="0.15">
      <c r="A2180" s="2"/>
      <c r="B2180" s="214" t="s">
        <v>68</v>
      </c>
      <c r="C2180" s="212" t="s">
        <v>1297</v>
      </c>
      <c r="D2180" s="212" t="s">
        <v>1169</v>
      </c>
      <c r="E2180" s="212">
        <v>0</v>
      </c>
      <c r="F2180" s="200" t="s">
        <v>440</v>
      </c>
      <c r="G2180" s="213" t="s">
        <v>1298</v>
      </c>
      <c r="H2180" s="107" t="str">
        <f t="shared" si="18"/>
        <v>ifnull(t.first_amt,0) as first_amt,/*原始金额*/</v>
      </c>
    </row>
    <row r="2181" spans="1:8" s="7" customFormat="1" ht="15" customHeight="1" x14ac:dyDescent="0.15">
      <c r="A2181" s="2"/>
      <c r="B2181" s="214" t="s">
        <v>69</v>
      </c>
      <c r="C2181" s="212" t="s">
        <v>1126</v>
      </c>
      <c r="D2181" s="212" t="s">
        <v>1087</v>
      </c>
      <c r="E2181" s="212">
        <v>0</v>
      </c>
      <c r="F2181" s="200" t="s">
        <v>440</v>
      </c>
      <c r="G2181" s="213"/>
      <c r="H2181" s="107" t="str">
        <f t="shared" si="18"/>
        <v>ifnull(t.pd_all_share,0) as pd_all_share,/*产品总份额*/</v>
      </c>
    </row>
    <row r="2182" spans="1:8" s="7" customFormat="1" ht="15" customHeight="1" x14ac:dyDescent="0.15">
      <c r="A2182" s="2"/>
      <c r="B2182" s="217" t="s">
        <v>190</v>
      </c>
      <c r="C2182" s="215" t="s">
        <v>1166</v>
      </c>
      <c r="D2182" s="215" t="s">
        <v>1087</v>
      </c>
      <c r="E2182" s="215">
        <v>0</v>
      </c>
      <c r="F2182" s="200" t="s">
        <v>440</v>
      </c>
      <c r="G2182" s="216"/>
      <c r="H2182" s="107" t="str">
        <f t="shared" si="18"/>
        <v>ifnull(t.curr_share,0) as curr_share,/*当前份额*/</v>
      </c>
    </row>
    <row r="2183" spans="1:8" s="7" customFormat="1" ht="15" customHeight="1" x14ac:dyDescent="0.15">
      <c r="A2183" s="2"/>
      <c r="B2183" s="217" t="s">
        <v>191</v>
      </c>
      <c r="C2183" s="215" t="s">
        <v>1167</v>
      </c>
      <c r="D2183" s="215" t="s">
        <v>1087</v>
      </c>
      <c r="E2183" s="215">
        <v>0</v>
      </c>
      <c r="F2183" s="200" t="s">
        <v>440</v>
      </c>
      <c r="G2183" s="216"/>
      <c r="H2183" s="107" t="str">
        <f t="shared" si="18"/>
        <v>ifnull(t.pre_share,0) as pre_share,/*昨日份额*/</v>
      </c>
    </row>
    <row r="2184" spans="1:8" s="7" customFormat="1" ht="15" customHeight="1" x14ac:dyDescent="0.15">
      <c r="A2184" s="2"/>
      <c r="B2184" s="217" t="s">
        <v>192</v>
      </c>
      <c r="C2184" s="215" t="s">
        <v>1299</v>
      </c>
      <c r="D2184" s="215" t="s">
        <v>1169</v>
      </c>
      <c r="E2184" s="215">
        <v>0</v>
      </c>
      <c r="F2184" s="200" t="s">
        <v>440</v>
      </c>
      <c r="G2184" s="216"/>
      <c r="H2184" s="107" t="str">
        <f t="shared" si="18"/>
        <v>ifnull(t.his_max_per_nav,0) as his_max_per_nav,/*历史最高单位净值*/</v>
      </c>
    </row>
    <row r="2185" spans="1:8" s="7" customFormat="1" ht="15" customHeight="1" x14ac:dyDescent="0.15">
      <c r="A2185" s="2"/>
      <c r="B2185" s="211" t="s">
        <v>193</v>
      </c>
      <c r="C2185" s="212" t="s">
        <v>1171</v>
      </c>
      <c r="D2185" s="212" t="s">
        <v>1169</v>
      </c>
      <c r="E2185" s="212">
        <v>0</v>
      </c>
      <c r="F2185" s="200" t="s">
        <v>440</v>
      </c>
      <c r="G2185" s="213"/>
      <c r="H2185" s="107" t="str">
        <f t="shared" si="18"/>
        <v>ifnull(t.pre_nav,0) as pre_nav,/*昨日净值*/</v>
      </c>
    </row>
    <row r="2186" spans="1:8" s="7" customFormat="1" x14ac:dyDescent="0.15">
      <c r="A2186" s="2"/>
      <c r="B2186" s="194" t="s">
        <v>316</v>
      </c>
      <c r="C2186" s="195" t="s">
        <v>1305</v>
      </c>
      <c r="D2186" s="195" t="s">
        <v>1169</v>
      </c>
      <c r="E2186" s="195">
        <v>0</v>
      </c>
      <c r="F2186" s="168" t="s">
        <v>441</v>
      </c>
      <c r="G2186" s="196"/>
      <c r="H2186" s="107" t="str">
        <f t="shared" si="18"/>
        <v>ifnull(a.pd_dist_amt,0) as pd_dist_amt,/*产品已分配金额*/</v>
      </c>
    </row>
    <row r="2187" spans="1:8" s="7" customFormat="1" x14ac:dyDescent="0.15">
      <c r="A2187" s="2"/>
      <c r="B2187" s="194" t="s">
        <v>317</v>
      </c>
      <c r="C2187" s="195" t="s">
        <v>1306</v>
      </c>
      <c r="D2187" s="195" t="s">
        <v>1169</v>
      </c>
      <c r="E2187" s="195">
        <v>0</v>
      </c>
      <c r="F2187" s="168" t="s">
        <v>441</v>
      </c>
      <c r="G2187" s="196"/>
      <c r="H2187" s="107" t="str">
        <f t="shared" si="18"/>
        <v>ifnull(a.pd_auth_amt,0) as pd_auth_amt,/*产品已授权金额*/</v>
      </c>
    </row>
    <row r="2188" spans="1:8" s="7" customFormat="1" x14ac:dyDescent="0.15">
      <c r="B2188" s="194" t="s">
        <v>318</v>
      </c>
      <c r="C2188" s="195" t="s">
        <v>1307</v>
      </c>
      <c r="D2188" s="195" t="s">
        <v>1169</v>
      </c>
      <c r="E2188" s="195">
        <v>0</v>
      </c>
      <c r="F2188" s="168" t="s">
        <v>441</v>
      </c>
      <c r="G2188" s="196"/>
      <c r="H2188" s="107" t="str">
        <f t="shared" si="18"/>
        <v>ifnull(a.total_cash_divide,0) as total_cash_divide,/*累计派现金额*/</v>
      </c>
    </row>
    <row r="2189" spans="1:8" s="7" customFormat="1" x14ac:dyDescent="0.15">
      <c r="B2189" s="194" t="s">
        <v>319</v>
      </c>
      <c r="C2189" s="195" t="s">
        <v>1551</v>
      </c>
      <c r="D2189" s="195" t="s">
        <v>1169</v>
      </c>
      <c r="E2189" s="195">
        <v>0</v>
      </c>
      <c r="F2189" s="168" t="s">
        <v>441</v>
      </c>
      <c r="G2189" s="196"/>
      <c r="H2189" s="107" t="str">
        <f t="shared" si="18"/>
        <v>ifnull(a.total_pre_fee,0) as total_pre_fee,/*累计计提费用*/</v>
      </c>
    </row>
    <row r="2190" spans="1:8" s="7" customFormat="1" x14ac:dyDescent="0.15">
      <c r="A2190" s="2"/>
      <c r="B2190" s="197" t="s">
        <v>175</v>
      </c>
      <c r="C2190" s="218" t="s">
        <v>1129</v>
      </c>
      <c r="D2190" s="218" t="s">
        <v>1169</v>
      </c>
      <c r="E2190" s="218">
        <v>0</v>
      </c>
      <c r="F2190" s="168" t="s">
        <v>441</v>
      </c>
      <c r="G2190" s="219"/>
      <c r="H2190" s="107" t="str">
        <f t="shared" si="18"/>
        <v>ifnull(a.total_rece_amt,0) as total_rece_amt,/*累计应收金额*/</v>
      </c>
    </row>
    <row r="2191" spans="1:8" s="7" customFormat="1" x14ac:dyDescent="0.15">
      <c r="A2191" s="2"/>
      <c r="B2191" s="197" t="s">
        <v>176</v>
      </c>
      <c r="C2191" s="218" t="s">
        <v>1132</v>
      </c>
      <c r="D2191" s="218" t="s">
        <v>1169</v>
      </c>
      <c r="E2191" s="218">
        <v>0</v>
      </c>
      <c r="F2191" s="168" t="s">
        <v>441</v>
      </c>
      <c r="G2191" s="219"/>
      <c r="H2191" s="107" t="str">
        <f t="shared" si="18"/>
        <v>ifnull(a.total_payab_amt,0) as total_payab_amt,/*累计应付金额*/</v>
      </c>
    </row>
    <row r="2192" spans="1:8" s="7" customFormat="1" x14ac:dyDescent="0.15">
      <c r="B2192" s="197" t="s">
        <v>320</v>
      </c>
      <c r="C2192" s="218" t="s">
        <v>1115</v>
      </c>
      <c r="D2192" s="218" t="s">
        <v>1169</v>
      </c>
      <c r="E2192" s="218">
        <v>0</v>
      </c>
      <c r="F2192" s="168" t="s">
        <v>441</v>
      </c>
      <c r="G2192" s="219" t="s">
        <v>1308</v>
      </c>
      <c r="H2192" s="107" t="str">
        <f t="shared" si="18"/>
        <v>ifnull(a.intrst_cacl_amt,0) as intrst_cacl_amt,/*预计利息*/</v>
      </c>
    </row>
    <row r="2193" spans="1:8" s="7" customFormat="1" x14ac:dyDescent="0.15">
      <c r="B2193" s="197" t="s">
        <v>180</v>
      </c>
      <c r="C2193" s="218" t="s">
        <v>1309</v>
      </c>
      <c r="D2193" s="218" t="s">
        <v>1169</v>
      </c>
      <c r="E2193" s="218">
        <v>0</v>
      </c>
      <c r="F2193" s="168" t="s">
        <v>441</v>
      </c>
      <c r="G2193" s="219" t="s">
        <v>1310</v>
      </c>
      <c r="H2193" s="107" t="str">
        <f t="shared" si="18"/>
        <v>ifnull(a.pre_entry_intrst_amt,0) as pre_entry_intrst_amt,/*待入账利息*/</v>
      </c>
    </row>
    <row r="2194" spans="1:8" s="7" customFormat="1" x14ac:dyDescent="0.15">
      <c r="A2194" s="2"/>
      <c r="B2194" s="153" t="s">
        <v>302</v>
      </c>
      <c r="C2194" s="154" t="s">
        <v>1168</v>
      </c>
      <c r="D2194" s="154" t="s">
        <v>1169</v>
      </c>
      <c r="E2194" s="154">
        <v>0</v>
      </c>
      <c r="F2194" s="154" t="s">
        <v>454</v>
      </c>
      <c r="G2194" s="155"/>
      <c r="H2194" s="107" t="str">
        <f t="shared" si="18"/>
        <v>ifnull(b.begin_NAV,0) as begin_NAV,/*期初净资产*/</v>
      </c>
    </row>
    <row r="2195" spans="1:8" s="7" customFormat="1" x14ac:dyDescent="0.15">
      <c r="A2195" s="2"/>
      <c r="B2195" s="153" t="s">
        <v>374</v>
      </c>
      <c r="C2195" s="154" t="s">
        <v>1170</v>
      </c>
      <c r="D2195" s="154" t="s">
        <v>1169</v>
      </c>
      <c r="E2195" s="154">
        <v>0</v>
      </c>
      <c r="F2195" s="154" t="s">
        <v>454</v>
      </c>
      <c r="G2195" s="155"/>
      <c r="H2195" s="107" t="str">
        <f t="shared" si="18"/>
        <v>ifnull(b.nav_asset,0) as nav_asset,/*净资产*/</v>
      </c>
    </row>
    <row r="2196" spans="1:8" s="7" customFormat="1" x14ac:dyDescent="0.15">
      <c r="A2196" s="2"/>
      <c r="B2196" s="153" t="s">
        <v>304</v>
      </c>
      <c r="C2196" s="154" t="s">
        <v>1185</v>
      </c>
      <c r="D2196" s="154" t="s">
        <v>1169</v>
      </c>
      <c r="E2196" s="154">
        <v>0</v>
      </c>
      <c r="F2196" s="154" t="s">
        <v>454</v>
      </c>
      <c r="G2196" s="155"/>
      <c r="H2196" s="107" t="str">
        <f t="shared" si="18"/>
        <v>ifnull(b.cash_asset,0) as cash_asset,/*现金资产*/</v>
      </c>
    </row>
    <row r="2197" spans="1:8" s="7" customFormat="1" x14ac:dyDescent="0.15">
      <c r="A2197" s="2"/>
      <c r="B2197" s="153" t="s">
        <v>305</v>
      </c>
      <c r="C2197" s="154" t="s">
        <v>1181</v>
      </c>
      <c r="D2197" s="154" t="s">
        <v>1169</v>
      </c>
      <c r="E2197" s="154">
        <v>0</v>
      </c>
      <c r="F2197" s="154" t="s">
        <v>454</v>
      </c>
      <c r="G2197" s="155"/>
      <c r="H2197" s="107" t="str">
        <f t="shared" si="18"/>
        <v>ifnull(b.stock_asset,0) as stock_asset,/*股票资产*/</v>
      </c>
    </row>
    <row r="2198" spans="1:8" s="7" customFormat="1" x14ac:dyDescent="0.15">
      <c r="A2198" s="2"/>
      <c r="B2198" s="153" t="s">
        <v>306</v>
      </c>
      <c r="C2198" s="154" t="s">
        <v>1128</v>
      </c>
      <c r="D2198" s="154" t="s">
        <v>1169</v>
      </c>
      <c r="E2198" s="154">
        <v>0</v>
      </c>
      <c r="F2198" s="154" t="s">
        <v>454</v>
      </c>
      <c r="G2198" s="155"/>
      <c r="H2198" s="107" t="str">
        <f t="shared" si="18"/>
        <v>ifnull(b.fund_asset,0) as fund_asset,/*基金资产*/</v>
      </c>
    </row>
    <row r="2199" spans="1:8" s="7" customFormat="1" x14ac:dyDescent="0.15">
      <c r="A2199" s="2"/>
      <c r="B2199" s="153" t="s">
        <v>307</v>
      </c>
      <c r="C2199" s="154" t="s">
        <v>1173</v>
      </c>
      <c r="D2199" s="154" t="s">
        <v>1169</v>
      </c>
      <c r="E2199" s="154">
        <v>0</v>
      </c>
      <c r="F2199" s="154" t="s">
        <v>454</v>
      </c>
      <c r="G2199" s="155"/>
      <c r="H2199" s="107" t="str">
        <f t="shared" si="18"/>
        <v>ifnull(b.bond_asset,0) as bond_asset,/*债券资产*/</v>
      </c>
    </row>
    <row r="2200" spans="1:8" s="7" customFormat="1" x14ac:dyDescent="0.15">
      <c r="A2200" s="2"/>
      <c r="B2200" s="153" t="s">
        <v>309</v>
      </c>
      <c r="C2200" s="154" t="s">
        <v>1089</v>
      </c>
      <c r="D2200" s="154" t="s">
        <v>1169</v>
      </c>
      <c r="E2200" s="154">
        <v>0</v>
      </c>
      <c r="F2200" s="154" t="s">
        <v>454</v>
      </c>
      <c r="G2200" s="155"/>
      <c r="H2200" s="107" t="str">
        <f t="shared" si="18"/>
        <v>ifnull(b.repo_asset,0) as repo_asset,/*回购资产*/</v>
      </c>
    </row>
    <row r="2201" spans="1:8" s="7" customFormat="1" x14ac:dyDescent="0.15">
      <c r="A2201" s="2"/>
      <c r="B2201" s="153" t="s">
        <v>310</v>
      </c>
      <c r="C2201" s="154" t="s">
        <v>1174</v>
      </c>
      <c r="D2201" s="154" t="s">
        <v>1169</v>
      </c>
      <c r="E2201" s="154">
        <v>0</v>
      </c>
      <c r="F2201" s="154" t="s">
        <v>454</v>
      </c>
      <c r="G2201" s="155"/>
      <c r="H2201" s="107" t="str">
        <f t="shared" si="18"/>
        <v>ifnull(b.other_asset,0) as other_asset,/*其他资产*/</v>
      </c>
    </row>
    <row r="2202" spans="1:8" s="7" customFormat="1" ht="18" thickBot="1" x14ac:dyDescent="0.2">
      <c r="A2202" s="2"/>
      <c r="B2202" s="24"/>
      <c r="C2202" s="9"/>
      <c r="D2202" s="9"/>
      <c r="E2202" s="9"/>
      <c r="F2202" s="9"/>
      <c r="G2202" s="11"/>
    </row>
    <row r="2203" spans="1:8" s="7" customFormat="1" x14ac:dyDescent="0.15">
      <c r="A2203" s="2"/>
      <c r="B2203" s="327" t="s">
        <v>15</v>
      </c>
      <c r="C2203" s="328"/>
      <c r="D2203" s="328"/>
      <c r="E2203" s="328"/>
      <c r="F2203" s="328"/>
      <c r="G2203" s="329"/>
    </row>
    <row r="2204" spans="1:8" s="7" customFormat="1" x14ac:dyDescent="0.15">
      <c r="A2204" s="2"/>
      <c r="B2204" s="20"/>
      <c r="C2204" s="23"/>
      <c r="D2204" s="21"/>
      <c r="E2204" s="21"/>
      <c r="F2204" s="21"/>
      <c r="G2204" s="21"/>
    </row>
    <row r="2205" spans="1:8" s="7" customFormat="1" x14ac:dyDescent="0.15">
      <c r="A2205" s="2"/>
      <c r="B2205" s="20"/>
      <c r="C2205" s="23"/>
      <c r="D2205" s="21"/>
      <c r="E2205" s="21"/>
      <c r="F2205" s="21"/>
      <c r="G2205" s="21"/>
    </row>
    <row r="2206" spans="1:8" s="7" customFormat="1" ht="18" thickBot="1" x14ac:dyDescent="0.2">
      <c r="A2206" s="2"/>
      <c r="B2206" s="24"/>
      <c r="C2206" s="9"/>
      <c r="D2206" s="9"/>
      <c r="E2206" s="9"/>
      <c r="F2206" s="9"/>
      <c r="G2206" s="11"/>
    </row>
    <row r="2207" spans="1:8" s="2" customFormat="1" ht="18" thickBot="1" x14ac:dyDescent="0.2"/>
    <row r="2208" spans="1:8" s="7" customFormat="1" x14ac:dyDescent="0.15">
      <c r="A2208" s="2"/>
      <c r="B2208" s="3" t="s">
        <v>563</v>
      </c>
      <c r="C2208" s="4" t="s">
        <v>687</v>
      </c>
      <c r="D2208" s="5" t="s">
        <v>648</v>
      </c>
      <c r="E2208" s="21" t="s">
        <v>732</v>
      </c>
      <c r="F2208" s="5" t="s">
        <v>567</v>
      </c>
      <c r="G2208" s="6" t="s">
        <v>688</v>
      </c>
    </row>
    <row r="2209" spans="1:14" s="7" customFormat="1" ht="18" thickBot="1" x14ac:dyDescent="0.2">
      <c r="A2209" s="2"/>
      <c r="B2209" s="34" t="s">
        <v>570</v>
      </c>
      <c r="C2209" s="18"/>
      <c r="D2209" s="35" t="s">
        <v>568</v>
      </c>
      <c r="E2209" s="18" t="s">
        <v>615</v>
      </c>
      <c r="F2209" s="35"/>
      <c r="G2209" s="19"/>
    </row>
    <row r="2210" spans="1:14" s="7" customFormat="1" x14ac:dyDescent="0.15">
      <c r="A2210" s="2"/>
      <c r="B2210" s="3" t="s">
        <v>0</v>
      </c>
      <c r="C2210" s="5" t="s">
        <v>1</v>
      </c>
      <c r="D2210" s="5" t="s">
        <v>2</v>
      </c>
      <c r="E2210" s="5"/>
      <c r="F2210" s="5" t="s">
        <v>3</v>
      </c>
      <c r="G2210" s="36" t="s">
        <v>4</v>
      </c>
    </row>
    <row r="2211" spans="1:14" s="7" customFormat="1" x14ac:dyDescent="0.15">
      <c r="A2211" s="2"/>
      <c r="B2211" s="20" t="s">
        <v>5</v>
      </c>
      <c r="C2211" s="21" t="s">
        <v>1127</v>
      </c>
      <c r="D2211" s="21" t="s">
        <v>211</v>
      </c>
      <c r="E2211" s="21" t="s">
        <v>1141</v>
      </c>
      <c r="F2211" s="21"/>
      <c r="G2211" s="22" t="s">
        <v>1162</v>
      </c>
    </row>
    <row r="2212" spans="1:14" s="7" customFormat="1" ht="18" thickBot="1" x14ac:dyDescent="0.2">
      <c r="A2212" s="2"/>
      <c r="B2212" s="24"/>
      <c r="C2212" s="9"/>
      <c r="D2212" s="9"/>
      <c r="E2212" s="9"/>
      <c r="F2212" s="9"/>
      <c r="G2212" s="11"/>
    </row>
    <row r="2213" spans="1:14" s="7" customFormat="1" x14ac:dyDescent="0.15">
      <c r="A2213" s="2"/>
      <c r="B2213" s="327" t="s">
        <v>15</v>
      </c>
      <c r="C2213" s="328"/>
      <c r="D2213" s="328"/>
      <c r="E2213" s="328"/>
      <c r="F2213" s="328"/>
      <c r="G2213" s="329"/>
    </row>
    <row r="2214" spans="1:14" s="7" customFormat="1" x14ac:dyDescent="0.15">
      <c r="A2214" s="2"/>
      <c r="B2214" s="20"/>
      <c r="C2214" s="23"/>
      <c r="D2214" s="21"/>
      <c r="E2214" s="21"/>
      <c r="F2214" s="21"/>
      <c r="G2214" s="21"/>
    </row>
    <row r="2215" spans="1:14" s="7" customFormat="1" x14ac:dyDescent="0.15">
      <c r="A2215" s="2"/>
      <c r="B2215" s="20"/>
      <c r="C2215" s="23"/>
      <c r="D2215" s="21"/>
      <c r="E2215" s="21"/>
      <c r="F2215" s="21"/>
      <c r="G2215" s="21"/>
    </row>
    <row r="2216" spans="1:14" s="7" customFormat="1" ht="18" thickBot="1" x14ac:dyDescent="0.2">
      <c r="A2216" s="2"/>
      <c r="B2216" s="24"/>
      <c r="C2216" s="9"/>
      <c r="D2216" s="9"/>
      <c r="E2216" s="9"/>
      <c r="F2216" s="9"/>
      <c r="G2216" s="11"/>
    </row>
    <row r="2217" spans="1:14" ht="18" thickBot="1" x14ac:dyDescent="0.2"/>
    <row r="2218" spans="1:14" s="7" customFormat="1" x14ac:dyDescent="0.15">
      <c r="A2218" s="2"/>
      <c r="B2218" s="3" t="s">
        <v>563</v>
      </c>
      <c r="C2218" s="4" t="s">
        <v>689</v>
      </c>
      <c r="D2218" s="5" t="s">
        <v>515</v>
      </c>
      <c r="E2218" s="21" t="s">
        <v>733</v>
      </c>
      <c r="F2218" s="5" t="s">
        <v>567</v>
      </c>
      <c r="G2218" s="6" t="s">
        <v>553</v>
      </c>
      <c r="H2218" s="6" t="str">
        <f>"create or replace view "&amp;C2218</f>
        <v>create or replace view vi_sum_co_stock_posi</v>
      </c>
    </row>
    <row r="2219" spans="1:14" s="7" customFormat="1" ht="18" thickBot="1" x14ac:dyDescent="0.2">
      <c r="A2219" s="2"/>
      <c r="B2219" s="34" t="s">
        <v>570</v>
      </c>
      <c r="C2219" s="18"/>
      <c r="D2219" s="35" t="s">
        <v>568</v>
      </c>
      <c r="E2219" s="18" t="s">
        <v>615</v>
      </c>
      <c r="F2219" s="35"/>
      <c r="G2219" s="19" t="s">
        <v>431</v>
      </c>
      <c r="H2219" s="11" t="str">
        <f>"# "&amp;E2218</f>
        <v># 报表_资管报表_视图-汇总-机构-证券-持仓</v>
      </c>
    </row>
    <row r="2220" spans="1:14" s="7" customFormat="1" x14ac:dyDescent="0.15">
      <c r="A2220" s="2"/>
      <c r="B2220" s="3" t="s">
        <v>0</v>
      </c>
      <c r="C2220" s="5" t="s">
        <v>1</v>
      </c>
      <c r="D2220" s="5" t="s">
        <v>2</v>
      </c>
      <c r="E2220" s="5"/>
      <c r="F2220" s="5" t="s">
        <v>3</v>
      </c>
      <c r="G2220" s="36" t="s">
        <v>4</v>
      </c>
      <c r="H2220" s="13" t="s">
        <v>283</v>
      </c>
    </row>
    <row r="2221" spans="1:14" x14ac:dyDescent="0.15">
      <c r="B2221" s="176" t="s">
        <v>422</v>
      </c>
      <c r="C2221" s="176" t="s">
        <v>1123</v>
      </c>
      <c r="D2221" s="176" t="s">
        <v>423</v>
      </c>
      <c r="E2221" s="176" t="s">
        <v>1141</v>
      </c>
      <c r="F2221" s="176"/>
      <c r="G2221" s="176" t="s">
        <v>1162</v>
      </c>
      <c r="H2221" s="107" t="str">
        <f t="shared" ref="H2221:H2236" si="19">IF(I2221&lt;&gt;"",I2221,"t."&amp;C2221)&amp;" as "&amp;C2221&amp;",/*"&amp;B2221&amp;"*/"</f>
        <v>t.init_date as init_date,/*初始化日期*/</v>
      </c>
      <c r="J2221" s="1" t="s">
        <v>424</v>
      </c>
      <c r="K2221" s="1" t="s">
        <v>425</v>
      </c>
      <c r="L2221" s="1" t="s">
        <v>423</v>
      </c>
      <c r="M2221" s="1" t="s">
        <v>423</v>
      </c>
      <c r="N2221" s="1">
        <v>1211</v>
      </c>
    </row>
    <row r="2222" spans="1:14" x14ac:dyDescent="0.15">
      <c r="B2222" s="176" t="s">
        <v>426</v>
      </c>
      <c r="C2222" s="176" t="s">
        <v>1093</v>
      </c>
      <c r="D2222" s="176" t="s">
        <v>423</v>
      </c>
      <c r="E2222" s="176">
        <v>0</v>
      </c>
      <c r="F2222" s="176"/>
      <c r="G2222" s="176" t="s">
        <v>1077</v>
      </c>
      <c r="H2222" s="107" t="str">
        <f t="shared" si="19"/>
        <v>t.co_no as co_no,/*机构编号*/</v>
      </c>
      <c r="J2222" s="1" t="s">
        <v>424</v>
      </c>
      <c r="K2222" s="1" t="s">
        <v>425</v>
      </c>
      <c r="L2222" s="1" t="s">
        <v>423</v>
      </c>
      <c r="M2222" s="1" t="s">
        <v>423</v>
      </c>
      <c r="N2222" s="1">
        <v>1606</v>
      </c>
    </row>
    <row r="2223" spans="1:14" x14ac:dyDescent="0.15">
      <c r="B2223" s="176" t="s">
        <v>7</v>
      </c>
      <c r="C2223" s="176" t="s">
        <v>1486</v>
      </c>
      <c r="D2223" s="176" t="s">
        <v>423</v>
      </c>
      <c r="E2223" s="176">
        <v>0</v>
      </c>
      <c r="F2223" s="176"/>
      <c r="G2223" s="176" t="s">
        <v>1081</v>
      </c>
      <c r="H2223" s="107" t="str">
        <f t="shared" si="19"/>
        <v>t.exch_no as exch_no,/*市场编号*/</v>
      </c>
      <c r="J2223" s="1" t="s">
        <v>424</v>
      </c>
      <c r="K2223" s="1" t="s">
        <v>425</v>
      </c>
      <c r="L2223" s="1" t="s">
        <v>423</v>
      </c>
      <c r="M2223" s="1" t="s">
        <v>423</v>
      </c>
      <c r="N2223" s="1">
        <v>2155</v>
      </c>
    </row>
    <row r="2224" spans="1:14" x14ac:dyDescent="0.15">
      <c r="B2224" s="176" t="s">
        <v>427</v>
      </c>
      <c r="C2224" s="176" t="s">
        <v>1487</v>
      </c>
      <c r="D2224" s="176" t="s">
        <v>423</v>
      </c>
      <c r="E2224" s="176">
        <v>0</v>
      </c>
      <c r="F2224" s="176"/>
      <c r="G2224" s="176"/>
      <c r="H2224" s="107" t="str">
        <f t="shared" si="19"/>
        <v>t.stock_code_no as stock_code_no,/*证券代码编号*/</v>
      </c>
      <c r="J2224" s="1" t="s">
        <v>424</v>
      </c>
      <c r="K2224" s="1" t="s">
        <v>425</v>
      </c>
      <c r="L2224" s="1" t="s">
        <v>423</v>
      </c>
      <c r="M2224" s="1" t="s">
        <v>423</v>
      </c>
      <c r="N2224" s="1">
        <v>2430</v>
      </c>
    </row>
    <row r="2225" spans="1:14" s="7" customFormat="1" x14ac:dyDescent="0.15">
      <c r="A2225" s="2"/>
      <c r="B2225" s="176" t="s">
        <v>93</v>
      </c>
      <c r="C2225" s="176" t="s">
        <v>1189</v>
      </c>
      <c r="D2225" s="176" t="s">
        <v>211</v>
      </c>
      <c r="E2225" s="176">
        <v>0</v>
      </c>
      <c r="F2225" s="176"/>
      <c r="G2225" s="176"/>
      <c r="H2225" s="107" t="str">
        <f t="shared" si="19"/>
        <v>t.stock_type as stock_type,/*证券类型*/</v>
      </c>
      <c r="J2225" s="7" t="s">
        <v>424</v>
      </c>
      <c r="K2225" s="7" t="s">
        <v>425</v>
      </c>
      <c r="L2225" s="7" t="s">
        <v>423</v>
      </c>
      <c r="M2225" s="7" t="s">
        <v>423</v>
      </c>
      <c r="N2225" s="7">
        <v>2433</v>
      </c>
    </row>
    <row r="2226" spans="1:14" s="7" customFormat="1" x14ac:dyDescent="0.15">
      <c r="A2226" s="2"/>
      <c r="B2226" s="176" t="s">
        <v>41</v>
      </c>
      <c r="C2226" s="176" t="s">
        <v>1258</v>
      </c>
      <c r="D2226" s="176" t="s">
        <v>211</v>
      </c>
      <c r="E2226" s="176">
        <v>0</v>
      </c>
      <c r="F2226" s="176"/>
      <c r="G2226" s="176" t="s">
        <v>1259</v>
      </c>
      <c r="H2226" s="107" t="str">
        <f t="shared" si="19"/>
        <v>t.asset_type as asset_type,/*资产类型*/</v>
      </c>
      <c r="J2226" s="7" t="s">
        <v>424</v>
      </c>
      <c r="K2226" s="7" t="s">
        <v>425</v>
      </c>
      <c r="L2226" s="7" t="s">
        <v>423</v>
      </c>
      <c r="M2226" s="7" t="s">
        <v>423</v>
      </c>
      <c r="N2226" s="7">
        <v>2528</v>
      </c>
    </row>
    <row r="2227" spans="1:14" x14ac:dyDescent="0.15">
      <c r="B2227" s="193" t="s">
        <v>439</v>
      </c>
      <c r="C2227" s="193" t="s">
        <v>1236</v>
      </c>
      <c r="D2227" s="193" t="s">
        <v>1211</v>
      </c>
      <c r="E2227" s="193">
        <v>0</v>
      </c>
      <c r="F2227" s="176"/>
      <c r="G2227" s="193"/>
      <c r="H2227" s="107" t="str">
        <f t="shared" si="19"/>
        <v>t.last_price as last_price,/*最新价*/</v>
      </c>
    </row>
    <row r="2228" spans="1:14" s="7" customFormat="1" x14ac:dyDescent="0.15">
      <c r="A2228" s="2"/>
      <c r="B2228" s="192" t="s">
        <v>8</v>
      </c>
      <c r="C2228" s="192" t="s">
        <v>1193</v>
      </c>
      <c r="D2228" s="192" t="s">
        <v>1087</v>
      </c>
      <c r="E2228" s="192">
        <v>0</v>
      </c>
      <c r="F2228" s="176"/>
      <c r="G2228" s="192" t="s">
        <v>1194</v>
      </c>
      <c r="H2228" s="107" t="str">
        <f t="shared" si="19"/>
        <v>sum(t.begin_qty) as begin_qty,/*期初数量*/</v>
      </c>
      <c r="I2228" s="7" t="str">
        <f t="shared" ref="I2228:I2233" si="20">"sum(t."&amp;C2228&amp;")"</f>
        <v>sum(t.begin_qty)</v>
      </c>
      <c r="J2228" s="7" t="s">
        <v>428</v>
      </c>
      <c r="K2228" s="7" t="s">
        <v>429</v>
      </c>
      <c r="L2228" s="7" t="s">
        <v>430</v>
      </c>
      <c r="M2228" s="7" t="s">
        <v>430</v>
      </c>
      <c r="N2228" s="7">
        <v>1986</v>
      </c>
    </row>
    <row r="2229" spans="1:14" s="7" customFormat="1" x14ac:dyDescent="0.15">
      <c r="A2229" s="2"/>
      <c r="B2229" s="192" t="s">
        <v>9</v>
      </c>
      <c r="C2229" s="192" t="s">
        <v>1195</v>
      </c>
      <c r="D2229" s="192" t="s">
        <v>1087</v>
      </c>
      <c r="E2229" s="192">
        <v>0</v>
      </c>
      <c r="F2229" s="176"/>
      <c r="G2229" s="192" t="s">
        <v>1196</v>
      </c>
      <c r="H2229" s="107" t="str">
        <f t="shared" si="19"/>
        <v>sum(t.curr_qty) as curr_qty,/*当前数量*/</v>
      </c>
      <c r="I2229" s="7" t="str">
        <f t="shared" si="20"/>
        <v>sum(t.curr_qty)</v>
      </c>
      <c r="J2229" s="7" t="s">
        <v>428</v>
      </c>
      <c r="K2229" s="7" t="s">
        <v>429</v>
      </c>
      <c r="L2229" s="7" t="s">
        <v>430</v>
      </c>
      <c r="M2229" s="7" t="s">
        <v>430</v>
      </c>
      <c r="N2229" s="7">
        <v>1262</v>
      </c>
    </row>
    <row r="2230" spans="1:14" s="7" customFormat="1" x14ac:dyDescent="0.15">
      <c r="A2230" s="2"/>
      <c r="B2230" s="192" t="s">
        <v>116</v>
      </c>
      <c r="C2230" s="192" t="s">
        <v>1213</v>
      </c>
      <c r="D2230" s="192" t="s">
        <v>1169</v>
      </c>
      <c r="E2230" s="192">
        <v>0</v>
      </c>
      <c r="F2230" s="176"/>
      <c r="G2230" s="192"/>
      <c r="H2230" s="107" t="str">
        <f t="shared" si="19"/>
        <v>sum(t.cost_amt) as cost_amt,/*成本金额*/</v>
      </c>
      <c r="I2230" s="7" t="str">
        <f t="shared" si="20"/>
        <v>sum(t.cost_amt)</v>
      </c>
      <c r="J2230" s="7" t="s">
        <v>428</v>
      </c>
      <c r="K2230" s="7" t="s">
        <v>429</v>
      </c>
      <c r="L2230" s="7" t="s">
        <v>430</v>
      </c>
      <c r="M2230" s="7" t="s">
        <v>430</v>
      </c>
      <c r="N2230" s="7">
        <v>1163</v>
      </c>
    </row>
    <row r="2231" spans="1:14" s="7" customFormat="1" x14ac:dyDescent="0.15">
      <c r="A2231" s="2"/>
      <c r="B2231" s="192" t="s">
        <v>12</v>
      </c>
      <c r="C2231" s="192" t="s">
        <v>1143</v>
      </c>
      <c r="D2231" s="192" t="s">
        <v>1169</v>
      </c>
      <c r="E2231" s="192">
        <v>0</v>
      </c>
      <c r="F2231" s="176"/>
      <c r="G2231" s="192"/>
      <c r="H2231" s="107" t="str">
        <f t="shared" si="19"/>
        <v>sum(t.realize_pandl) as realize_pandl,/*实现盈亏*/</v>
      </c>
      <c r="I2231" s="7" t="str">
        <f t="shared" si="20"/>
        <v>sum(t.realize_pandl)</v>
      </c>
      <c r="J2231" s="7" t="s">
        <v>428</v>
      </c>
      <c r="K2231" s="7" t="s">
        <v>429</v>
      </c>
      <c r="L2231" s="7" t="s">
        <v>430</v>
      </c>
      <c r="M2231" s="7" t="s">
        <v>430</v>
      </c>
      <c r="N2231" s="7">
        <v>2153</v>
      </c>
    </row>
    <row r="2232" spans="1:14" s="7" customFormat="1" x14ac:dyDescent="0.15">
      <c r="A2232" s="2"/>
      <c r="B2232" s="192" t="s">
        <v>13</v>
      </c>
      <c r="C2232" s="192" t="s">
        <v>1205</v>
      </c>
      <c r="D2232" s="192" t="s">
        <v>1169</v>
      </c>
      <c r="E2232" s="192">
        <v>0</v>
      </c>
      <c r="F2232" s="176"/>
      <c r="G2232" s="192"/>
      <c r="H2232" s="107" t="str">
        <f t="shared" si="19"/>
        <v>sum(t.intrst_cost_amt) as intrst_cost_amt,/*利息成本金额*/</v>
      </c>
      <c r="I2232" s="7" t="str">
        <f t="shared" si="20"/>
        <v>sum(t.intrst_cost_amt)</v>
      </c>
      <c r="J2232" s="7" t="s">
        <v>428</v>
      </c>
      <c r="K2232" s="7" t="s">
        <v>429</v>
      </c>
      <c r="L2232" s="7" t="s">
        <v>430</v>
      </c>
      <c r="M2232" s="7" t="s">
        <v>430</v>
      </c>
      <c r="N2232" s="7">
        <v>1852</v>
      </c>
    </row>
    <row r="2233" spans="1:14" s="7" customFormat="1" x14ac:dyDescent="0.15">
      <c r="A2233" s="2"/>
      <c r="B2233" s="192" t="s">
        <v>14</v>
      </c>
      <c r="C2233" s="192" t="s">
        <v>1206</v>
      </c>
      <c r="D2233" s="192" t="s">
        <v>1169</v>
      </c>
      <c r="E2233" s="192">
        <v>0</v>
      </c>
      <c r="F2233" s="176"/>
      <c r="G2233" s="192"/>
      <c r="H2233" s="107" t="str">
        <f t="shared" si="19"/>
        <v>sum(t.intrst_pandl) as intrst_pandl,/*利息收益*/</v>
      </c>
      <c r="I2233" s="7" t="str">
        <f t="shared" si="20"/>
        <v>sum(t.intrst_pandl)</v>
      </c>
      <c r="J2233" s="7" t="s">
        <v>428</v>
      </c>
      <c r="K2233" s="7" t="s">
        <v>429</v>
      </c>
      <c r="L2233" s="7" t="s">
        <v>430</v>
      </c>
      <c r="M2233" s="7" t="s">
        <v>430</v>
      </c>
      <c r="N2233" s="7">
        <v>1857</v>
      </c>
    </row>
    <row r="2234" spans="1:14" x14ac:dyDescent="0.15">
      <c r="B2234" s="147" t="s">
        <v>389</v>
      </c>
      <c r="C2234" s="147" t="s">
        <v>1488</v>
      </c>
      <c r="D2234" s="147" t="s">
        <v>1484</v>
      </c>
      <c r="E2234" s="147">
        <v>0</v>
      </c>
      <c r="F2234" s="147"/>
      <c r="G2234" s="147" t="s">
        <v>1478</v>
      </c>
      <c r="H2234" s="107" t="str">
        <f t="shared" si="19"/>
        <v>sum(ifnull(t.cost_amt,0))/sum(ifnull(t.curr_qty,0)) as cost_price,/*成本价*/</v>
      </c>
      <c r="I2234" s="1" t="s">
        <v>447</v>
      </c>
      <c r="J2234" s="1" t="s">
        <v>428</v>
      </c>
      <c r="K2234" s="1" t="s">
        <v>429</v>
      </c>
      <c r="L2234" s="1" t="s">
        <v>430</v>
      </c>
      <c r="M2234" s="1" t="s">
        <v>430</v>
      </c>
      <c r="N2234" s="1">
        <v>1162</v>
      </c>
    </row>
    <row r="2235" spans="1:14" x14ac:dyDescent="0.15">
      <c r="B2235" s="147" t="s">
        <v>432</v>
      </c>
      <c r="C2235" s="147" t="s">
        <v>1489</v>
      </c>
      <c r="D2235" s="147" t="s">
        <v>1331</v>
      </c>
      <c r="E2235" s="147">
        <v>0</v>
      </c>
      <c r="F2235" s="147"/>
      <c r="G2235" s="147"/>
      <c r="H2235" s="107" t="str">
        <f t="shared" si="19"/>
        <v>sum(ifnull(t.posi_market_value,0)) as posi_market_value,/*持仓市值*/</v>
      </c>
      <c r="I2235" s="1" t="s">
        <v>446</v>
      </c>
      <c r="J2235" s="1" t="s">
        <v>428</v>
      </c>
      <c r="K2235" s="1" t="s">
        <v>429</v>
      </c>
      <c r="L2235" s="1" t="s">
        <v>430</v>
      </c>
      <c r="M2235" s="1" t="s">
        <v>430</v>
      </c>
      <c r="N2235" s="1">
        <v>1202</v>
      </c>
    </row>
    <row r="2236" spans="1:14" x14ac:dyDescent="0.15">
      <c r="B2236" s="147" t="s">
        <v>445</v>
      </c>
      <c r="C2236" s="147" t="s">
        <v>1490</v>
      </c>
      <c r="D2236" s="147" t="s">
        <v>1331</v>
      </c>
      <c r="E2236" s="147">
        <v>0</v>
      </c>
      <c r="F2236" s="147"/>
      <c r="G2236" s="147"/>
      <c r="H2236" s="107" t="str">
        <f t="shared" si="19"/>
        <v>sum(ifnull(t.posi_market_value,0)-ifnull(t.cost_amt,0)) as float_pandl,/*浮动盈亏*/</v>
      </c>
      <c r="I2236" s="1" t="s">
        <v>448</v>
      </c>
      <c r="J2236" s="1" t="s">
        <v>428</v>
      </c>
      <c r="K2236" s="1" t="s">
        <v>429</v>
      </c>
      <c r="L2236" s="1" t="s">
        <v>430</v>
      </c>
      <c r="M2236" s="1" t="s">
        <v>430</v>
      </c>
      <c r="N2236" s="1">
        <v>1461</v>
      </c>
    </row>
    <row r="2237" spans="1:14" s="7" customFormat="1" ht="18" thickBot="1" x14ac:dyDescent="0.2">
      <c r="A2237" s="2"/>
      <c r="B2237" s="24"/>
      <c r="C2237" s="9"/>
      <c r="D2237" s="9"/>
      <c r="E2237" s="9"/>
      <c r="F2237" s="9"/>
      <c r="G2237" s="11"/>
      <c r="H2237" s="107">
        <v>0</v>
      </c>
    </row>
    <row r="2238" spans="1:14" s="7" customFormat="1" x14ac:dyDescent="0.15">
      <c r="A2238" s="2"/>
      <c r="B2238" s="327" t="s">
        <v>15</v>
      </c>
      <c r="C2238" s="328"/>
      <c r="D2238" s="328"/>
      <c r="E2238" s="328"/>
      <c r="F2238" s="328"/>
      <c r="G2238" s="329"/>
      <c r="H2238" s="107"/>
    </row>
    <row r="2239" spans="1:14" s="7" customFormat="1" x14ac:dyDescent="0.15">
      <c r="A2239" s="2"/>
      <c r="B2239" s="20"/>
      <c r="C2239" s="23"/>
      <c r="D2239" s="21"/>
      <c r="E2239" s="21"/>
      <c r="F2239" s="21"/>
      <c r="G2239" s="21"/>
      <c r="H2239" s="107"/>
    </row>
    <row r="2240" spans="1:14" s="7" customFormat="1" x14ac:dyDescent="0.15">
      <c r="A2240" s="2"/>
      <c r="B2240" s="20"/>
      <c r="C2240" s="23"/>
      <c r="D2240" s="21"/>
      <c r="E2240" s="21"/>
      <c r="F2240" s="21"/>
      <c r="G2240" s="21"/>
      <c r="H2240" s="107"/>
    </row>
    <row r="2241" spans="1:14" s="7" customFormat="1" ht="18" thickBot="1" x14ac:dyDescent="0.2">
      <c r="A2241" s="2"/>
      <c r="B2241" s="24"/>
      <c r="C2241" s="9"/>
      <c r="D2241" s="9"/>
      <c r="E2241" s="9"/>
      <c r="F2241" s="9"/>
      <c r="G2241" s="11"/>
    </row>
    <row r="2242" spans="1:14" ht="18" thickBot="1" x14ac:dyDescent="0.2">
      <c r="H2242" s="7"/>
    </row>
    <row r="2243" spans="1:14" s="7" customFormat="1" x14ac:dyDescent="0.15">
      <c r="A2243" s="2"/>
      <c r="B2243" s="3" t="s">
        <v>563</v>
      </c>
      <c r="C2243" s="4" t="s">
        <v>690</v>
      </c>
      <c r="D2243" s="5" t="s">
        <v>648</v>
      </c>
      <c r="E2243" s="21" t="s">
        <v>585</v>
      </c>
      <c r="F2243" s="5" t="s">
        <v>567</v>
      </c>
      <c r="G2243" s="6" t="s">
        <v>553</v>
      </c>
      <c r="H2243" s="6" t="str">
        <f>"create or replace view "&amp;C2243</f>
        <v>create or replace view vi_sum_pd_stock_posi</v>
      </c>
    </row>
    <row r="2244" spans="1:14" s="7" customFormat="1" ht="18" thickBot="1" x14ac:dyDescent="0.2">
      <c r="A2244" s="2"/>
      <c r="B2244" s="34" t="s">
        <v>570</v>
      </c>
      <c r="C2244" s="18"/>
      <c r="D2244" s="35" t="s">
        <v>568</v>
      </c>
      <c r="E2244" s="18" t="s">
        <v>615</v>
      </c>
      <c r="F2244" s="35"/>
      <c r="G2244" s="19" t="s">
        <v>431</v>
      </c>
      <c r="H2244" s="11" t="str">
        <f>"# "&amp;E2243</f>
        <v># 报表_资管报表_视图-汇总-产品-证券-持仓</v>
      </c>
    </row>
    <row r="2245" spans="1:14" s="7" customFormat="1" x14ac:dyDescent="0.15">
      <c r="A2245" s="2"/>
      <c r="B2245" s="3" t="s">
        <v>0</v>
      </c>
      <c r="C2245" s="5" t="s">
        <v>1</v>
      </c>
      <c r="D2245" s="5" t="s">
        <v>2</v>
      </c>
      <c r="E2245" s="5"/>
      <c r="F2245" s="5" t="s">
        <v>3</v>
      </c>
      <c r="G2245" s="36" t="s">
        <v>4</v>
      </c>
      <c r="H2245" s="13" t="s">
        <v>283</v>
      </c>
    </row>
    <row r="2246" spans="1:14" x14ac:dyDescent="0.15">
      <c r="B2246" s="176" t="s">
        <v>422</v>
      </c>
      <c r="C2246" s="176" t="s">
        <v>1123</v>
      </c>
      <c r="D2246" s="176" t="s">
        <v>423</v>
      </c>
      <c r="E2246" s="176" t="s">
        <v>1141</v>
      </c>
      <c r="F2246" s="176"/>
      <c r="G2246" s="176" t="s">
        <v>1162</v>
      </c>
      <c r="H2246" s="107" t="str">
        <f t="shared" ref="H2246:H2262" si="21">IF(I2246&lt;&gt;"",I2246,"t."&amp;C2246)&amp;" as "&amp;C2246&amp;",/*"&amp;B2246&amp;"*/"</f>
        <v>t.init_date as init_date,/*初始化日期*/</v>
      </c>
      <c r="J2246" s="1" t="s">
        <v>424</v>
      </c>
      <c r="K2246" s="1" t="s">
        <v>425</v>
      </c>
      <c r="L2246" s="1" t="s">
        <v>423</v>
      </c>
      <c r="M2246" s="1" t="s">
        <v>423</v>
      </c>
      <c r="N2246" s="1">
        <v>1211</v>
      </c>
    </row>
    <row r="2247" spans="1:14" x14ac:dyDescent="0.15">
      <c r="B2247" s="176" t="s">
        <v>426</v>
      </c>
      <c r="C2247" s="176" t="s">
        <v>1093</v>
      </c>
      <c r="D2247" s="176" t="s">
        <v>423</v>
      </c>
      <c r="E2247" s="176">
        <v>0</v>
      </c>
      <c r="F2247" s="176"/>
      <c r="G2247" s="176" t="s">
        <v>1077</v>
      </c>
      <c r="H2247" s="107" t="str">
        <f t="shared" si="21"/>
        <v>t.co_no as co_no,/*机构编号*/</v>
      </c>
      <c r="J2247" s="1" t="s">
        <v>424</v>
      </c>
      <c r="K2247" s="1" t="s">
        <v>425</v>
      </c>
      <c r="L2247" s="1" t="s">
        <v>423</v>
      </c>
      <c r="M2247" s="1" t="s">
        <v>423</v>
      </c>
      <c r="N2247" s="1">
        <v>1606</v>
      </c>
    </row>
    <row r="2248" spans="1:14" x14ac:dyDescent="0.15">
      <c r="B2248" s="176" t="s">
        <v>111</v>
      </c>
      <c r="C2248" s="176" t="s">
        <v>1164</v>
      </c>
      <c r="D2248" s="176" t="s">
        <v>211</v>
      </c>
      <c r="E2248" s="176">
        <v>0</v>
      </c>
      <c r="F2248" s="176"/>
      <c r="G2248" s="176" t="s">
        <v>1165</v>
      </c>
      <c r="H2248" s="107" t="str">
        <f t="shared" si="21"/>
        <v>t.pd_no as pd_no,/*产品编号*/</v>
      </c>
    </row>
    <row r="2249" spans="1:14" x14ac:dyDescent="0.15">
      <c r="B2249" s="176" t="s">
        <v>7</v>
      </c>
      <c r="C2249" s="176" t="s">
        <v>1486</v>
      </c>
      <c r="D2249" s="176" t="s">
        <v>423</v>
      </c>
      <c r="E2249" s="176">
        <v>0</v>
      </c>
      <c r="F2249" s="176"/>
      <c r="G2249" s="176" t="s">
        <v>1081</v>
      </c>
      <c r="H2249" s="107" t="str">
        <f t="shared" si="21"/>
        <v>t.exch_no as exch_no,/*市场编号*/</v>
      </c>
      <c r="J2249" s="1" t="s">
        <v>424</v>
      </c>
      <c r="K2249" s="1" t="s">
        <v>425</v>
      </c>
      <c r="L2249" s="1" t="s">
        <v>423</v>
      </c>
      <c r="M2249" s="1" t="s">
        <v>423</v>
      </c>
      <c r="N2249" s="1">
        <v>2155</v>
      </c>
    </row>
    <row r="2250" spans="1:14" x14ac:dyDescent="0.15">
      <c r="B2250" s="176" t="s">
        <v>427</v>
      </c>
      <c r="C2250" s="176" t="s">
        <v>1487</v>
      </c>
      <c r="D2250" s="176" t="s">
        <v>423</v>
      </c>
      <c r="E2250" s="176">
        <v>0</v>
      </c>
      <c r="F2250" s="176"/>
      <c r="G2250" s="176"/>
      <c r="H2250" s="107" t="str">
        <f t="shared" si="21"/>
        <v>t.stock_code_no as stock_code_no,/*证券代码编号*/</v>
      </c>
      <c r="J2250" s="1" t="s">
        <v>424</v>
      </c>
      <c r="K2250" s="1" t="s">
        <v>425</v>
      </c>
      <c r="L2250" s="1" t="s">
        <v>423</v>
      </c>
      <c r="M2250" s="1" t="s">
        <v>423</v>
      </c>
      <c r="N2250" s="1">
        <v>2430</v>
      </c>
    </row>
    <row r="2251" spans="1:14" s="7" customFormat="1" x14ac:dyDescent="0.15">
      <c r="A2251" s="2"/>
      <c r="B2251" s="176" t="s">
        <v>93</v>
      </c>
      <c r="C2251" s="176" t="s">
        <v>1189</v>
      </c>
      <c r="D2251" s="176" t="s">
        <v>211</v>
      </c>
      <c r="E2251" s="176">
        <v>0</v>
      </c>
      <c r="F2251" s="176"/>
      <c r="G2251" s="176"/>
      <c r="H2251" s="107" t="str">
        <f t="shared" si="21"/>
        <v>t.stock_type as stock_type,/*证券类型*/</v>
      </c>
      <c r="J2251" s="7" t="s">
        <v>424</v>
      </c>
      <c r="K2251" s="7" t="s">
        <v>425</v>
      </c>
      <c r="L2251" s="7" t="s">
        <v>423</v>
      </c>
      <c r="M2251" s="7" t="s">
        <v>423</v>
      </c>
      <c r="N2251" s="7">
        <v>2433</v>
      </c>
    </row>
    <row r="2252" spans="1:14" s="7" customFormat="1" x14ac:dyDescent="0.15">
      <c r="A2252" s="2"/>
      <c r="B2252" s="176" t="s">
        <v>41</v>
      </c>
      <c r="C2252" s="176" t="s">
        <v>1258</v>
      </c>
      <c r="D2252" s="176" t="s">
        <v>211</v>
      </c>
      <c r="E2252" s="176">
        <v>0</v>
      </c>
      <c r="F2252" s="176"/>
      <c r="G2252" s="176" t="s">
        <v>1259</v>
      </c>
      <c r="H2252" s="107" t="str">
        <f t="shared" si="21"/>
        <v>t.asset_type as asset_type,/*资产类型*/</v>
      </c>
      <c r="J2252" s="7" t="s">
        <v>424</v>
      </c>
      <c r="K2252" s="7" t="s">
        <v>425</v>
      </c>
      <c r="L2252" s="7" t="s">
        <v>423</v>
      </c>
      <c r="M2252" s="7" t="s">
        <v>423</v>
      </c>
      <c r="N2252" s="7">
        <v>2528</v>
      </c>
    </row>
    <row r="2253" spans="1:14" x14ac:dyDescent="0.15">
      <c r="B2253" s="193" t="s">
        <v>439</v>
      </c>
      <c r="C2253" s="193" t="s">
        <v>1236</v>
      </c>
      <c r="D2253" s="193" t="s">
        <v>1211</v>
      </c>
      <c r="E2253" s="193">
        <v>0</v>
      </c>
      <c r="F2253" s="176"/>
      <c r="G2253" s="193"/>
      <c r="H2253" s="107" t="str">
        <f t="shared" si="21"/>
        <v>t.last_price as last_price,/*最新价*/</v>
      </c>
    </row>
    <row r="2254" spans="1:14" s="7" customFormat="1" x14ac:dyDescent="0.15">
      <c r="A2254" s="2"/>
      <c r="B2254" s="192" t="s">
        <v>8</v>
      </c>
      <c r="C2254" s="192" t="s">
        <v>1193</v>
      </c>
      <c r="D2254" s="192" t="s">
        <v>1087</v>
      </c>
      <c r="E2254" s="192">
        <v>0</v>
      </c>
      <c r="F2254" s="176"/>
      <c r="G2254" s="192" t="s">
        <v>1194</v>
      </c>
      <c r="H2254" s="107" t="str">
        <f t="shared" si="21"/>
        <v>sum(t.begin_qty) as begin_qty,/*期初数量*/</v>
      </c>
      <c r="I2254" s="7" t="str">
        <f t="shared" ref="I2254:I2259" si="22">"sum(t."&amp;C2254&amp;")"</f>
        <v>sum(t.begin_qty)</v>
      </c>
      <c r="J2254" s="7" t="s">
        <v>428</v>
      </c>
      <c r="K2254" s="7" t="s">
        <v>429</v>
      </c>
      <c r="L2254" s="7" t="s">
        <v>430</v>
      </c>
      <c r="M2254" s="7" t="s">
        <v>430</v>
      </c>
      <c r="N2254" s="7">
        <v>1986</v>
      </c>
    </row>
    <row r="2255" spans="1:14" s="7" customFormat="1" x14ac:dyDescent="0.15">
      <c r="A2255" s="2"/>
      <c r="B2255" s="192" t="s">
        <v>9</v>
      </c>
      <c r="C2255" s="192" t="s">
        <v>1195</v>
      </c>
      <c r="D2255" s="192" t="s">
        <v>1087</v>
      </c>
      <c r="E2255" s="192">
        <v>0</v>
      </c>
      <c r="F2255" s="176"/>
      <c r="G2255" s="192" t="s">
        <v>1196</v>
      </c>
      <c r="H2255" s="107" t="str">
        <f t="shared" si="21"/>
        <v>sum(t.curr_qty) as curr_qty,/*当前数量*/</v>
      </c>
      <c r="I2255" s="7" t="str">
        <f t="shared" si="22"/>
        <v>sum(t.curr_qty)</v>
      </c>
      <c r="J2255" s="7" t="s">
        <v>428</v>
      </c>
      <c r="K2255" s="7" t="s">
        <v>429</v>
      </c>
      <c r="L2255" s="7" t="s">
        <v>430</v>
      </c>
      <c r="M2255" s="7" t="s">
        <v>430</v>
      </c>
      <c r="N2255" s="7">
        <v>1262</v>
      </c>
    </row>
    <row r="2256" spans="1:14" s="7" customFormat="1" x14ac:dyDescent="0.15">
      <c r="A2256" s="2"/>
      <c r="B2256" s="192" t="s">
        <v>116</v>
      </c>
      <c r="C2256" s="192" t="s">
        <v>1213</v>
      </c>
      <c r="D2256" s="192" t="s">
        <v>1169</v>
      </c>
      <c r="E2256" s="192">
        <v>0</v>
      </c>
      <c r="F2256" s="176"/>
      <c r="G2256" s="192"/>
      <c r="H2256" s="107" t="str">
        <f t="shared" si="21"/>
        <v>sum(t.cost_amt) as cost_amt,/*成本金额*/</v>
      </c>
      <c r="I2256" s="7" t="str">
        <f t="shared" si="22"/>
        <v>sum(t.cost_amt)</v>
      </c>
      <c r="J2256" s="7" t="s">
        <v>428</v>
      </c>
      <c r="K2256" s="7" t="s">
        <v>429</v>
      </c>
      <c r="L2256" s="7" t="s">
        <v>430</v>
      </c>
      <c r="M2256" s="7" t="s">
        <v>430</v>
      </c>
      <c r="N2256" s="7">
        <v>1163</v>
      </c>
    </row>
    <row r="2257" spans="1:14" s="7" customFormat="1" x14ac:dyDescent="0.15">
      <c r="A2257" s="2"/>
      <c r="B2257" s="192" t="s">
        <v>12</v>
      </c>
      <c r="C2257" s="192" t="s">
        <v>1143</v>
      </c>
      <c r="D2257" s="192" t="s">
        <v>1169</v>
      </c>
      <c r="E2257" s="192">
        <v>0</v>
      </c>
      <c r="F2257" s="176"/>
      <c r="G2257" s="192"/>
      <c r="H2257" s="107" t="str">
        <f t="shared" si="21"/>
        <v>sum(t.realize_pandl) as realize_pandl,/*实现盈亏*/</v>
      </c>
      <c r="I2257" s="7" t="str">
        <f t="shared" si="22"/>
        <v>sum(t.realize_pandl)</v>
      </c>
      <c r="J2257" s="7" t="s">
        <v>428</v>
      </c>
      <c r="K2257" s="7" t="s">
        <v>429</v>
      </c>
      <c r="L2257" s="7" t="s">
        <v>430</v>
      </c>
      <c r="M2257" s="7" t="s">
        <v>430</v>
      </c>
      <c r="N2257" s="7">
        <v>2153</v>
      </c>
    </row>
    <row r="2258" spans="1:14" s="7" customFormat="1" x14ac:dyDescent="0.15">
      <c r="A2258" s="2"/>
      <c r="B2258" s="192" t="s">
        <v>13</v>
      </c>
      <c r="C2258" s="192" t="s">
        <v>1205</v>
      </c>
      <c r="D2258" s="192" t="s">
        <v>1169</v>
      </c>
      <c r="E2258" s="192">
        <v>0</v>
      </c>
      <c r="F2258" s="176"/>
      <c r="G2258" s="192"/>
      <c r="H2258" s="107" t="str">
        <f t="shared" si="21"/>
        <v>sum(t.intrst_cost_amt) as intrst_cost_amt,/*利息成本金额*/</v>
      </c>
      <c r="I2258" s="7" t="str">
        <f t="shared" si="22"/>
        <v>sum(t.intrst_cost_amt)</v>
      </c>
      <c r="J2258" s="7" t="s">
        <v>428</v>
      </c>
      <c r="K2258" s="7" t="s">
        <v>429</v>
      </c>
      <c r="L2258" s="7" t="s">
        <v>430</v>
      </c>
      <c r="M2258" s="7" t="s">
        <v>430</v>
      </c>
      <c r="N2258" s="7">
        <v>1852</v>
      </c>
    </row>
    <row r="2259" spans="1:14" s="7" customFormat="1" x14ac:dyDescent="0.15">
      <c r="A2259" s="2"/>
      <c r="B2259" s="192" t="s">
        <v>14</v>
      </c>
      <c r="C2259" s="192" t="s">
        <v>1206</v>
      </c>
      <c r="D2259" s="192" t="s">
        <v>1169</v>
      </c>
      <c r="E2259" s="192">
        <v>0</v>
      </c>
      <c r="F2259" s="176"/>
      <c r="G2259" s="192"/>
      <c r="H2259" s="107" t="str">
        <f t="shared" si="21"/>
        <v>sum(t.intrst_pandl) as intrst_pandl,/*利息收益*/</v>
      </c>
      <c r="I2259" s="7" t="str">
        <f t="shared" si="22"/>
        <v>sum(t.intrst_pandl)</v>
      </c>
      <c r="J2259" s="7" t="s">
        <v>428</v>
      </c>
      <c r="K2259" s="7" t="s">
        <v>429</v>
      </c>
      <c r="L2259" s="7" t="s">
        <v>430</v>
      </c>
      <c r="M2259" s="7" t="s">
        <v>430</v>
      </c>
      <c r="N2259" s="7">
        <v>1857</v>
      </c>
    </row>
    <row r="2260" spans="1:14" x14ac:dyDescent="0.15">
      <c r="B2260" s="147" t="s">
        <v>389</v>
      </c>
      <c r="C2260" s="147" t="s">
        <v>1488</v>
      </c>
      <c r="D2260" s="147" t="s">
        <v>1484</v>
      </c>
      <c r="E2260" s="147">
        <v>0</v>
      </c>
      <c r="F2260" s="147"/>
      <c r="G2260" s="147" t="s">
        <v>1478</v>
      </c>
      <c r="H2260" s="107" t="str">
        <f t="shared" si="21"/>
        <v>sum(ifnull(t.cost_amt,0))/sum(ifnull(t.curr_qty,0)) as cost_price,/*成本价*/</v>
      </c>
      <c r="I2260" s="1" t="s">
        <v>447</v>
      </c>
      <c r="J2260" s="1" t="s">
        <v>428</v>
      </c>
      <c r="K2260" s="1" t="s">
        <v>429</v>
      </c>
      <c r="L2260" s="1" t="s">
        <v>430</v>
      </c>
      <c r="M2260" s="1" t="s">
        <v>430</v>
      </c>
      <c r="N2260" s="1">
        <v>1162</v>
      </c>
    </row>
    <row r="2261" spans="1:14" x14ac:dyDescent="0.15">
      <c r="B2261" s="147" t="s">
        <v>432</v>
      </c>
      <c r="C2261" s="147" t="s">
        <v>1489</v>
      </c>
      <c r="D2261" s="147" t="s">
        <v>1331</v>
      </c>
      <c r="E2261" s="147">
        <v>0</v>
      </c>
      <c r="F2261" s="147"/>
      <c r="G2261" s="147"/>
      <c r="H2261" s="107" t="str">
        <f t="shared" si="21"/>
        <v>sum(ifnull(t.posi_market_value,0)) as posi_market_value,/*持仓市值*/</v>
      </c>
      <c r="I2261" s="1" t="s">
        <v>446</v>
      </c>
      <c r="J2261" s="1" t="s">
        <v>428</v>
      </c>
      <c r="K2261" s="1" t="s">
        <v>429</v>
      </c>
      <c r="L2261" s="1" t="s">
        <v>430</v>
      </c>
      <c r="M2261" s="1" t="s">
        <v>430</v>
      </c>
      <c r="N2261" s="1">
        <v>1202</v>
      </c>
    </row>
    <row r="2262" spans="1:14" x14ac:dyDescent="0.15">
      <c r="B2262" s="147" t="s">
        <v>445</v>
      </c>
      <c r="C2262" s="147" t="s">
        <v>1490</v>
      </c>
      <c r="D2262" s="147" t="s">
        <v>1331</v>
      </c>
      <c r="E2262" s="147">
        <v>0</v>
      </c>
      <c r="F2262" s="147"/>
      <c r="G2262" s="147"/>
      <c r="H2262" s="107" t="str">
        <f t="shared" si="21"/>
        <v>sum(ifnull(t.posi_market_value,0)-ifnull(t.cost_amt,0)) as float_pandl,/*浮动盈亏*/</v>
      </c>
      <c r="I2262" s="1" t="s">
        <v>448</v>
      </c>
      <c r="J2262" s="1" t="s">
        <v>428</v>
      </c>
      <c r="K2262" s="1" t="s">
        <v>429</v>
      </c>
      <c r="L2262" s="1" t="s">
        <v>430</v>
      </c>
      <c r="M2262" s="1" t="s">
        <v>430</v>
      </c>
      <c r="N2262" s="1">
        <v>1461</v>
      </c>
    </row>
    <row r="2263" spans="1:14" s="7" customFormat="1" ht="18" thickBot="1" x14ac:dyDescent="0.2">
      <c r="A2263" s="2"/>
      <c r="B2263" s="24"/>
      <c r="C2263" s="9"/>
      <c r="D2263" s="9"/>
      <c r="E2263" s="9"/>
      <c r="F2263" s="9"/>
      <c r="G2263" s="11"/>
      <c r="H2263" s="107">
        <v>0</v>
      </c>
    </row>
    <row r="2264" spans="1:14" s="7" customFormat="1" x14ac:dyDescent="0.15">
      <c r="A2264" s="2"/>
      <c r="B2264" s="327" t="s">
        <v>15</v>
      </c>
      <c r="C2264" s="328"/>
      <c r="D2264" s="328"/>
      <c r="E2264" s="328"/>
      <c r="F2264" s="328"/>
      <c r="G2264" s="329"/>
      <c r="H2264" s="107"/>
    </row>
    <row r="2265" spans="1:14" s="7" customFormat="1" x14ac:dyDescent="0.15">
      <c r="A2265" s="2"/>
      <c r="B2265" s="20"/>
      <c r="C2265" s="23"/>
      <c r="D2265" s="21"/>
      <c r="E2265" s="21"/>
      <c r="F2265" s="21"/>
      <c r="G2265" s="21"/>
      <c r="H2265" s="107"/>
    </row>
    <row r="2266" spans="1:14" s="7" customFormat="1" x14ac:dyDescent="0.15">
      <c r="A2266" s="2"/>
      <c r="B2266" s="20"/>
      <c r="C2266" s="23"/>
      <c r="D2266" s="21"/>
      <c r="E2266" s="21"/>
      <c r="F2266" s="21"/>
      <c r="G2266" s="21"/>
      <c r="H2266" s="107"/>
    </row>
    <row r="2267" spans="1:14" s="7" customFormat="1" ht="18" thickBot="1" x14ac:dyDescent="0.2">
      <c r="A2267" s="2"/>
      <c r="B2267" s="24"/>
      <c r="C2267" s="9"/>
      <c r="D2267" s="9"/>
      <c r="E2267" s="9"/>
      <c r="F2267" s="9"/>
      <c r="G2267" s="11"/>
    </row>
    <row r="2268" spans="1:14" ht="18" thickBot="1" x14ac:dyDescent="0.2"/>
    <row r="2269" spans="1:14" s="7" customFormat="1" x14ac:dyDescent="0.15">
      <c r="A2269" s="2"/>
      <c r="B2269" s="3" t="s">
        <v>563</v>
      </c>
      <c r="C2269" s="255" t="s">
        <v>691</v>
      </c>
      <c r="D2269" s="255" t="s">
        <v>515</v>
      </c>
      <c r="E2269" s="4" t="s">
        <v>586</v>
      </c>
      <c r="F2269" s="5" t="s">
        <v>567</v>
      </c>
      <c r="G2269" s="6" t="s">
        <v>692</v>
      </c>
      <c r="H2269" s="251" t="str">
        <f>"create or replace view "&amp;C2269</f>
        <v>create or replace view vi_sum_pd_stockvalue</v>
      </c>
    </row>
    <row r="2270" spans="1:14" s="7" customFormat="1" ht="18" thickBot="1" x14ac:dyDescent="0.2">
      <c r="A2270" s="2"/>
      <c r="B2270" s="34" t="s">
        <v>570</v>
      </c>
      <c r="C2270" s="18"/>
      <c r="D2270" s="35" t="s">
        <v>568</v>
      </c>
      <c r="E2270" s="18" t="s">
        <v>615</v>
      </c>
      <c r="F2270" s="35"/>
      <c r="G2270" s="19"/>
      <c r="H2270" s="252" t="str">
        <f>"/* "&amp;E2269&amp;"*/  as "</f>
        <v xml:space="preserve">/* 报表_资管报表_视图-汇总-产品-持仓市值*/  as </v>
      </c>
    </row>
    <row r="2271" spans="1:14" s="7" customFormat="1" x14ac:dyDescent="0.15">
      <c r="A2271" s="2"/>
      <c r="B2271" s="3" t="s">
        <v>0</v>
      </c>
      <c r="C2271" s="5" t="s">
        <v>1</v>
      </c>
      <c r="D2271" s="5" t="s">
        <v>2</v>
      </c>
      <c r="E2271" s="5"/>
      <c r="F2271" s="5" t="s">
        <v>3</v>
      </c>
      <c r="G2271" s="36" t="s">
        <v>4</v>
      </c>
      <c r="H2271" s="253" t="s">
        <v>474</v>
      </c>
    </row>
    <row r="2272" spans="1:14" s="166" customFormat="1" ht="17.25" customHeight="1" x14ac:dyDescent="0.15">
      <c r="B2272" s="167" t="s">
        <v>22</v>
      </c>
      <c r="C2272" s="168" t="s">
        <v>1127</v>
      </c>
      <c r="D2272" s="168" t="s">
        <v>211</v>
      </c>
      <c r="E2272" s="168" t="s">
        <v>1141</v>
      </c>
      <c r="F2272" s="168" t="s">
        <v>440</v>
      </c>
      <c r="G2272" s="169" t="s">
        <v>1162</v>
      </c>
      <c r="H2272" s="254" t="str">
        <f t="shared" ref="H2272:H2284" si="23">"ifnull("&amp;IF(I2272&lt;&gt;"",I2272,IF(F2272&lt;&gt;"",F2272,"t")&amp;"."&amp;C2272)&amp;","&amp;E2272&amp;") as "&amp;C2272&amp;",/*"&amp;B2272&amp;"*/"</f>
        <v>ifnull(t.init_date,date_format(curdate(),'%Y%m%d')) as init_date,/*初始化日期*/</v>
      </c>
    </row>
    <row r="2273" spans="1:14" s="166" customFormat="1" ht="17.25" customHeight="1" x14ac:dyDescent="0.15">
      <c r="B2273" s="226" t="s">
        <v>109</v>
      </c>
      <c r="C2273" s="227" t="s">
        <v>1163</v>
      </c>
      <c r="D2273" s="227" t="s">
        <v>211</v>
      </c>
      <c r="E2273" s="227">
        <v>0</v>
      </c>
      <c r="F2273" s="227"/>
      <c r="G2273" s="228" t="s">
        <v>1077</v>
      </c>
      <c r="H2273" s="254" t="str">
        <f t="shared" si="23"/>
        <v>ifnull(t.co_no,0) as co_no,/*机构编号*/</v>
      </c>
    </row>
    <row r="2274" spans="1:14" s="166" customFormat="1" ht="17.25" customHeight="1" x14ac:dyDescent="0.15">
      <c r="B2274" s="167" t="s">
        <v>111</v>
      </c>
      <c r="C2274" s="168" t="s">
        <v>1164</v>
      </c>
      <c r="D2274" s="168" t="s">
        <v>211</v>
      </c>
      <c r="E2274" s="168">
        <v>0</v>
      </c>
      <c r="F2274" s="168" t="s">
        <v>440</v>
      </c>
      <c r="G2274" s="169" t="s">
        <v>1329</v>
      </c>
      <c r="H2274" s="254" t="str">
        <f t="shared" si="23"/>
        <v>ifnull(t.pd_no,0) as pd_no,/*产品编号*/</v>
      </c>
    </row>
    <row r="2275" spans="1:14" s="7" customFormat="1" x14ac:dyDescent="0.15">
      <c r="A2275" s="2"/>
      <c r="B2275" s="256" t="s">
        <v>116</v>
      </c>
      <c r="C2275" s="192" t="s">
        <v>1213</v>
      </c>
      <c r="D2275" s="192" t="s">
        <v>1169</v>
      </c>
      <c r="E2275" s="192">
        <v>0</v>
      </c>
      <c r="F2275" s="176"/>
      <c r="G2275" s="257"/>
      <c r="H2275" s="254" t="str">
        <f t="shared" si="23"/>
        <v>ifnull(sum(t.cost_amt),0) as cost_amt,/*成本金额*/</v>
      </c>
      <c r="I2275" s="7" t="str">
        <f>"sum(t."&amp;C2275&amp;")"</f>
        <v>sum(t.cost_amt)</v>
      </c>
      <c r="J2275" s="7" t="s">
        <v>428</v>
      </c>
      <c r="K2275" s="7" t="s">
        <v>429</v>
      </c>
      <c r="L2275" s="7" t="s">
        <v>430</v>
      </c>
      <c r="M2275" s="7" t="s">
        <v>430</v>
      </c>
      <c r="N2275" s="7">
        <v>1163</v>
      </c>
    </row>
    <row r="2276" spans="1:14" s="7" customFormat="1" x14ac:dyDescent="0.15">
      <c r="A2276" s="2"/>
      <c r="B2276" s="256" t="s">
        <v>12</v>
      </c>
      <c r="C2276" s="192" t="s">
        <v>1143</v>
      </c>
      <c r="D2276" s="192" t="s">
        <v>1169</v>
      </c>
      <c r="E2276" s="192">
        <v>0</v>
      </c>
      <c r="F2276" s="176"/>
      <c r="G2276" s="257"/>
      <c r="H2276" s="254" t="str">
        <f t="shared" si="23"/>
        <v>ifnull(sum(t.realize_pandl),0) as realize_pandl,/*实现盈亏*/</v>
      </c>
      <c r="I2276" s="7" t="str">
        <f>"sum(t."&amp;C2276&amp;")"</f>
        <v>sum(t.realize_pandl)</v>
      </c>
      <c r="J2276" s="7" t="s">
        <v>428</v>
      </c>
      <c r="K2276" s="7" t="s">
        <v>429</v>
      </c>
      <c r="L2276" s="7" t="s">
        <v>430</v>
      </c>
      <c r="M2276" s="7" t="s">
        <v>430</v>
      </c>
      <c r="N2276" s="7">
        <v>2153</v>
      </c>
    </row>
    <row r="2277" spans="1:14" s="7" customFormat="1" x14ac:dyDescent="0.15">
      <c r="A2277" s="2"/>
      <c r="B2277" s="256" t="s">
        <v>13</v>
      </c>
      <c r="C2277" s="192" t="s">
        <v>1205</v>
      </c>
      <c r="D2277" s="192" t="s">
        <v>1169</v>
      </c>
      <c r="E2277" s="192">
        <v>0</v>
      </c>
      <c r="F2277" s="176"/>
      <c r="G2277" s="257"/>
      <c r="H2277" s="254" t="str">
        <f t="shared" si="23"/>
        <v>ifnull(sum(t.intrst_cost_amt),0) as intrst_cost_amt,/*利息成本金额*/</v>
      </c>
      <c r="I2277" s="7" t="str">
        <f>"sum(t."&amp;C2277&amp;")"</f>
        <v>sum(t.intrst_cost_amt)</v>
      </c>
      <c r="J2277" s="7" t="s">
        <v>428</v>
      </c>
      <c r="K2277" s="7" t="s">
        <v>429</v>
      </c>
      <c r="L2277" s="7" t="s">
        <v>430</v>
      </c>
      <c r="M2277" s="7" t="s">
        <v>430</v>
      </c>
      <c r="N2277" s="7">
        <v>1852</v>
      </c>
    </row>
    <row r="2278" spans="1:14" s="7" customFormat="1" x14ac:dyDescent="0.15">
      <c r="A2278" s="2"/>
      <c r="B2278" s="256" t="s">
        <v>14</v>
      </c>
      <c r="C2278" s="192" t="s">
        <v>1206</v>
      </c>
      <c r="D2278" s="192" t="s">
        <v>1169</v>
      </c>
      <c r="E2278" s="192">
        <v>0</v>
      </c>
      <c r="F2278" s="176"/>
      <c r="G2278" s="257"/>
      <c r="H2278" s="254" t="str">
        <f t="shared" si="23"/>
        <v>ifnull(sum(t.intrst_pandl),0) as intrst_pandl,/*利息收益*/</v>
      </c>
      <c r="I2278" s="7" t="str">
        <f>"sum(t."&amp;C2278&amp;")"</f>
        <v>sum(t.intrst_pandl)</v>
      </c>
      <c r="J2278" s="7" t="s">
        <v>428</v>
      </c>
      <c r="K2278" s="7" t="s">
        <v>429</v>
      </c>
      <c r="L2278" s="7" t="s">
        <v>430</v>
      </c>
      <c r="M2278" s="7" t="s">
        <v>430</v>
      </c>
      <c r="N2278" s="7">
        <v>1857</v>
      </c>
    </row>
    <row r="2279" spans="1:14" x14ac:dyDescent="0.15">
      <c r="B2279" s="258" t="s">
        <v>432</v>
      </c>
      <c r="C2279" s="259" t="s">
        <v>1489</v>
      </c>
      <c r="D2279" s="259" t="s">
        <v>1331</v>
      </c>
      <c r="E2279" s="259">
        <v>0</v>
      </c>
      <c r="F2279" s="259"/>
      <c r="G2279" s="260"/>
      <c r="H2279" s="254" t="str">
        <f t="shared" si="23"/>
        <v>ifnull(sum(ifnull(t.posi_market_value,0)),0) as posi_market_value,/*持仓市值*/</v>
      </c>
      <c r="I2279" s="1" t="s">
        <v>446</v>
      </c>
      <c r="J2279" s="1" t="s">
        <v>428</v>
      </c>
      <c r="K2279" s="1" t="s">
        <v>429</v>
      </c>
      <c r="L2279" s="1" t="s">
        <v>430</v>
      </c>
      <c r="M2279" s="1" t="s">
        <v>430</v>
      </c>
      <c r="N2279" s="1">
        <v>1202</v>
      </c>
    </row>
    <row r="2280" spans="1:14" x14ac:dyDescent="0.15">
      <c r="B2280" s="258" t="s">
        <v>445</v>
      </c>
      <c r="C2280" s="259" t="s">
        <v>1490</v>
      </c>
      <c r="D2280" s="259" t="s">
        <v>1331</v>
      </c>
      <c r="E2280" s="259">
        <v>0</v>
      </c>
      <c r="F2280" s="259"/>
      <c r="G2280" s="260"/>
      <c r="H2280" s="254" t="str">
        <f t="shared" si="23"/>
        <v>ifnull(sum(ifnull(t.posi_market_value,0)-ifnull(t.cost_amt,0)),0) as float_pandl,/*浮动盈亏*/</v>
      </c>
      <c r="I2280" s="1" t="s">
        <v>448</v>
      </c>
      <c r="J2280" s="1" t="s">
        <v>428</v>
      </c>
      <c r="K2280" s="1" t="s">
        <v>429</v>
      </c>
      <c r="L2280" s="1" t="s">
        <v>430</v>
      </c>
      <c r="M2280" s="1" t="s">
        <v>430</v>
      </c>
      <c r="N2280" s="1">
        <v>1461</v>
      </c>
    </row>
    <row r="2281" spans="1:14" s="166" customFormat="1" ht="17.25" customHeight="1" x14ac:dyDescent="0.15">
      <c r="B2281" s="194" t="s">
        <v>538</v>
      </c>
      <c r="C2281" s="168" t="s">
        <v>1491</v>
      </c>
      <c r="D2281" s="168" t="s">
        <v>1169</v>
      </c>
      <c r="E2281" s="259">
        <v>0</v>
      </c>
      <c r="F2281" s="168"/>
      <c r="G2281" s="169" t="s">
        <v>1492</v>
      </c>
      <c r="H2281" s="254" t="str">
        <f t="shared" si="23"/>
        <v>ifnull(SUM(IF (t.exch_no = 1,t.stock_asset_value,0)),0) as market_value_sh,/*当前沪市市值*/</v>
      </c>
      <c r="I2281" s="166" t="s">
        <v>534</v>
      </c>
    </row>
    <row r="2282" spans="1:14" s="166" customFormat="1" ht="17.25" customHeight="1" x14ac:dyDescent="0.15">
      <c r="B2282" s="167" t="s">
        <v>539</v>
      </c>
      <c r="C2282" s="168" t="s">
        <v>1493</v>
      </c>
      <c r="D2282" s="168" t="s">
        <v>1169</v>
      </c>
      <c r="E2282" s="259">
        <v>0</v>
      </c>
      <c r="F2282" s="168"/>
      <c r="G2282" s="169" t="s">
        <v>1494</v>
      </c>
      <c r="H2282" s="254" t="str">
        <f t="shared" si="23"/>
        <v>ifnull(SUM(IF (t.exch_no = 2,t.stock_asset_value,0)),0) as market_value_sz,/*当前深市市值*/</v>
      </c>
      <c r="I2282" s="166" t="s">
        <v>537</v>
      </c>
    </row>
    <row r="2283" spans="1:14" s="166" customFormat="1" ht="17.25" customHeight="1" x14ac:dyDescent="0.15">
      <c r="B2283" s="167" t="s">
        <v>533</v>
      </c>
      <c r="C2283" s="168" t="s">
        <v>1495</v>
      </c>
      <c r="D2283" s="168" t="s">
        <v>1169</v>
      </c>
      <c r="E2283" s="259">
        <v>0</v>
      </c>
      <c r="F2283" s="168"/>
      <c r="G2283" s="169"/>
      <c r="H2283" s="254" t="str">
        <f t="shared" si="23"/>
        <v>ifnull(SUM(IF (t.exch_no = 1 and t.stock_type = 1,t.stock_asset_value,0)),0) as stock_market_value_sh,/*沪市股票市值*/</v>
      </c>
      <c r="I2283" s="166" t="s">
        <v>535</v>
      </c>
    </row>
    <row r="2284" spans="1:14" s="166" customFormat="1" ht="17.25" customHeight="1" thickBot="1" x14ac:dyDescent="0.2">
      <c r="B2284" s="261" t="s">
        <v>532</v>
      </c>
      <c r="C2284" s="262" t="s">
        <v>1496</v>
      </c>
      <c r="D2284" s="262" t="s">
        <v>1169</v>
      </c>
      <c r="E2284" s="263">
        <v>0</v>
      </c>
      <c r="F2284" s="262"/>
      <c r="G2284" s="264"/>
      <c r="H2284" s="254" t="str">
        <f t="shared" si="23"/>
        <v>ifnull(SUM(IF (t.exch_no = 2 and t.stock_type = 1,t.stock_asset_value,0)),0) as stock_market_value_sz,/*深市股票市值*/</v>
      </c>
      <c r="I2284" s="166" t="s">
        <v>536</v>
      </c>
    </row>
    <row r="2285" spans="1:14" x14ac:dyDescent="0.15">
      <c r="B2285" s="327" t="s">
        <v>15</v>
      </c>
      <c r="C2285" s="328"/>
      <c r="D2285" s="328"/>
      <c r="E2285" s="328"/>
      <c r="F2285" s="328"/>
      <c r="G2285" s="329"/>
    </row>
    <row r="2286" spans="1:14" x14ac:dyDescent="0.15">
      <c r="B2286" s="20"/>
      <c r="C2286" s="23"/>
      <c r="D2286" s="21"/>
      <c r="E2286" s="21"/>
      <c r="F2286" s="21"/>
      <c r="G2286" s="22"/>
    </row>
    <row r="2287" spans="1:14" x14ac:dyDescent="0.15">
      <c r="B2287" s="20"/>
      <c r="C2287" s="23"/>
      <c r="D2287" s="21"/>
      <c r="E2287" s="21"/>
      <c r="F2287" s="21"/>
      <c r="G2287" s="22"/>
    </row>
    <row r="2288" spans="1:14" ht="18" thickBot="1" x14ac:dyDescent="0.2">
      <c r="B2288" s="24"/>
      <c r="C2288" s="9"/>
      <c r="D2288" s="9"/>
      <c r="E2288" s="9"/>
      <c r="F2288" s="9"/>
      <c r="G2288" s="11"/>
    </row>
    <row r="2289" spans="1:14" ht="18" thickBot="1" x14ac:dyDescent="0.2"/>
    <row r="2290" spans="1:14" s="7" customFormat="1" x14ac:dyDescent="0.15">
      <c r="A2290" s="2"/>
      <c r="B2290" s="3" t="s">
        <v>563</v>
      </c>
      <c r="C2290" s="4" t="s">
        <v>693</v>
      </c>
      <c r="D2290" s="5" t="s">
        <v>648</v>
      </c>
      <c r="E2290" s="4" t="s">
        <v>734</v>
      </c>
      <c r="F2290" s="5" t="s">
        <v>567</v>
      </c>
      <c r="G2290" s="6" t="s">
        <v>694</v>
      </c>
      <c r="H2290" s="251" t="str">
        <f>"create or replace view "&amp;C2290</f>
        <v>create or replace view vi_sum_exgp_stockvalue</v>
      </c>
    </row>
    <row r="2291" spans="1:14" s="7" customFormat="1" ht="18" thickBot="1" x14ac:dyDescent="0.2">
      <c r="A2291" s="2"/>
      <c r="B2291" s="34" t="s">
        <v>570</v>
      </c>
      <c r="C2291" s="18"/>
      <c r="D2291" s="35" t="s">
        <v>568</v>
      </c>
      <c r="E2291" s="18" t="s">
        <v>615</v>
      </c>
      <c r="F2291" s="35"/>
      <c r="G2291" s="19" t="s">
        <v>467</v>
      </c>
      <c r="H2291" s="252" t="str">
        <f>"# "&amp;E2290</f>
        <v># 报表_资管报表_视图-汇总-交易组-持仓市值</v>
      </c>
    </row>
    <row r="2292" spans="1:14" s="7" customFormat="1" x14ac:dyDescent="0.15">
      <c r="A2292" s="2"/>
      <c r="B2292" s="3" t="s">
        <v>0</v>
      </c>
      <c r="C2292" s="5" t="s">
        <v>1</v>
      </c>
      <c r="D2292" s="5" t="s">
        <v>2</v>
      </c>
      <c r="E2292" s="5"/>
      <c r="F2292" s="5" t="s">
        <v>3</v>
      </c>
      <c r="G2292" s="36" t="s">
        <v>4</v>
      </c>
      <c r="H2292" s="253" t="s">
        <v>283</v>
      </c>
    </row>
    <row r="2293" spans="1:14" x14ac:dyDescent="0.15">
      <c r="B2293" s="265" t="s">
        <v>422</v>
      </c>
      <c r="C2293" s="176" t="s">
        <v>1123</v>
      </c>
      <c r="D2293" s="176" t="s">
        <v>423</v>
      </c>
      <c r="E2293" s="176" t="s">
        <v>1141</v>
      </c>
      <c r="F2293" s="176"/>
      <c r="G2293" s="266" t="s">
        <v>1162</v>
      </c>
      <c r="H2293" s="254" t="str">
        <f t="shared" ref="H2293:H2302" si="24">"ifnull("&amp;IF(I2293&lt;&gt;"",I2293,IF(F2293&lt;&gt;"",F2293,"t")&amp;"."&amp;C2293)&amp;","&amp;E2293&amp;") as "&amp;C2293&amp;",/*"&amp;B2293&amp;"*/"</f>
        <v>ifnull(t.init_date,date_format(curdate(),'%Y%m%d')) as init_date,/*初始化日期*/</v>
      </c>
      <c r="J2293" s="1" t="s">
        <v>424</v>
      </c>
      <c r="K2293" s="1" t="s">
        <v>425</v>
      </c>
      <c r="L2293" s="1" t="s">
        <v>423</v>
      </c>
      <c r="M2293" s="1" t="s">
        <v>423</v>
      </c>
      <c r="N2293" s="1">
        <v>1211</v>
      </c>
    </row>
    <row r="2294" spans="1:14" x14ac:dyDescent="0.15">
      <c r="B2294" s="265" t="s">
        <v>426</v>
      </c>
      <c r="C2294" s="176" t="s">
        <v>1093</v>
      </c>
      <c r="D2294" s="176" t="s">
        <v>423</v>
      </c>
      <c r="E2294" s="176">
        <v>0</v>
      </c>
      <c r="F2294" s="176"/>
      <c r="G2294" s="266" t="s">
        <v>1077</v>
      </c>
      <c r="H2294" s="254" t="str">
        <f t="shared" si="24"/>
        <v>ifnull(t.co_no,0) as co_no,/*机构编号*/</v>
      </c>
      <c r="J2294" s="1" t="s">
        <v>424</v>
      </c>
      <c r="K2294" s="1" t="s">
        <v>425</v>
      </c>
      <c r="L2294" s="1" t="s">
        <v>423</v>
      </c>
      <c r="M2294" s="1" t="s">
        <v>423</v>
      </c>
      <c r="N2294" s="1">
        <v>1606</v>
      </c>
    </row>
    <row r="2295" spans="1:14" x14ac:dyDescent="0.15">
      <c r="B2295" s="265" t="s">
        <v>111</v>
      </c>
      <c r="C2295" s="176" t="s">
        <v>1164</v>
      </c>
      <c r="D2295" s="176" t="s">
        <v>211</v>
      </c>
      <c r="E2295" s="176">
        <v>0</v>
      </c>
      <c r="F2295" s="176"/>
      <c r="G2295" s="266" t="s">
        <v>1165</v>
      </c>
      <c r="H2295" s="254" t="str">
        <f t="shared" si="24"/>
        <v>ifnull(t.pd_no,0) as pd_no,/*产品编号*/</v>
      </c>
    </row>
    <row r="2296" spans="1:14" x14ac:dyDescent="0.15">
      <c r="B2296" s="265" t="s">
        <v>154</v>
      </c>
      <c r="C2296" s="176" t="s">
        <v>1133</v>
      </c>
      <c r="D2296" s="176" t="s">
        <v>211</v>
      </c>
      <c r="E2296" s="176">
        <v>0</v>
      </c>
      <c r="F2296" s="176"/>
      <c r="G2296" s="266" t="s">
        <v>1182</v>
      </c>
      <c r="H2296" s="254" t="str">
        <f t="shared" si="24"/>
        <v>ifnull(t.exch_group_no,0) as exch_group_no,/*交易组编号*/</v>
      </c>
    </row>
    <row r="2297" spans="1:14" s="7" customFormat="1" x14ac:dyDescent="0.15">
      <c r="A2297" s="2"/>
      <c r="B2297" s="256" t="s">
        <v>116</v>
      </c>
      <c r="C2297" s="192" t="s">
        <v>1213</v>
      </c>
      <c r="D2297" s="192" t="s">
        <v>1169</v>
      </c>
      <c r="E2297" s="192">
        <v>0</v>
      </c>
      <c r="F2297" s="176"/>
      <c r="G2297" s="257"/>
      <c r="H2297" s="254" t="str">
        <f t="shared" si="24"/>
        <v>ifnull(sum(t.cost_amt),0) as cost_amt,/*成本金额*/</v>
      </c>
      <c r="I2297" s="7" t="str">
        <f>"sum(t."&amp;C2297&amp;")"</f>
        <v>sum(t.cost_amt)</v>
      </c>
      <c r="J2297" s="7" t="s">
        <v>428</v>
      </c>
      <c r="K2297" s="7" t="s">
        <v>429</v>
      </c>
      <c r="L2297" s="7" t="s">
        <v>430</v>
      </c>
      <c r="M2297" s="7" t="s">
        <v>430</v>
      </c>
      <c r="N2297" s="7">
        <v>1163</v>
      </c>
    </row>
    <row r="2298" spans="1:14" s="7" customFormat="1" x14ac:dyDescent="0.15">
      <c r="A2298" s="2"/>
      <c r="B2298" s="256" t="s">
        <v>12</v>
      </c>
      <c r="C2298" s="192" t="s">
        <v>1143</v>
      </c>
      <c r="D2298" s="192" t="s">
        <v>1169</v>
      </c>
      <c r="E2298" s="192">
        <v>0</v>
      </c>
      <c r="F2298" s="176"/>
      <c r="G2298" s="257"/>
      <c r="H2298" s="254" t="str">
        <f t="shared" si="24"/>
        <v>ifnull(sum(t.realize_pandl),0) as realize_pandl,/*实现盈亏*/</v>
      </c>
      <c r="I2298" s="7" t="str">
        <f>"sum(t."&amp;C2298&amp;")"</f>
        <v>sum(t.realize_pandl)</v>
      </c>
      <c r="J2298" s="7" t="s">
        <v>428</v>
      </c>
      <c r="K2298" s="7" t="s">
        <v>429</v>
      </c>
      <c r="L2298" s="7" t="s">
        <v>430</v>
      </c>
      <c r="M2298" s="7" t="s">
        <v>430</v>
      </c>
      <c r="N2298" s="7">
        <v>2153</v>
      </c>
    </row>
    <row r="2299" spans="1:14" s="7" customFormat="1" x14ac:dyDescent="0.15">
      <c r="A2299" s="2"/>
      <c r="B2299" s="256" t="s">
        <v>13</v>
      </c>
      <c r="C2299" s="192" t="s">
        <v>1205</v>
      </c>
      <c r="D2299" s="192" t="s">
        <v>1169</v>
      </c>
      <c r="E2299" s="192">
        <v>0</v>
      </c>
      <c r="F2299" s="176"/>
      <c r="G2299" s="257"/>
      <c r="H2299" s="254" t="str">
        <f t="shared" si="24"/>
        <v>ifnull(sum(t.intrst_cost_amt),0) as intrst_cost_amt,/*利息成本金额*/</v>
      </c>
      <c r="I2299" s="7" t="str">
        <f>"sum(t."&amp;C2299&amp;")"</f>
        <v>sum(t.intrst_cost_amt)</v>
      </c>
      <c r="J2299" s="7" t="s">
        <v>428</v>
      </c>
      <c r="K2299" s="7" t="s">
        <v>429</v>
      </c>
      <c r="L2299" s="7" t="s">
        <v>430</v>
      </c>
      <c r="M2299" s="7" t="s">
        <v>430</v>
      </c>
      <c r="N2299" s="7">
        <v>1852</v>
      </c>
    </row>
    <row r="2300" spans="1:14" s="7" customFormat="1" x14ac:dyDescent="0.15">
      <c r="A2300" s="2"/>
      <c r="B2300" s="256" t="s">
        <v>14</v>
      </c>
      <c r="C2300" s="192" t="s">
        <v>1206</v>
      </c>
      <c r="D2300" s="192" t="s">
        <v>1169</v>
      </c>
      <c r="E2300" s="192">
        <v>0</v>
      </c>
      <c r="F2300" s="176"/>
      <c r="G2300" s="257"/>
      <c r="H2300" s="254" t="str">
        <f t="shared" si="24"/>
        <v>ifnull(sum(t.intrst_pandl),0) as intrst_pandl,/*利息收益*/</v>
      </c>
      <c r="I2300" s="7" t="str">
        <f>"sum(t."&amp;C2300&amp;")"</f>
        <v>sum(t.intrst_pandl)</v>
      </c>
      <c r="J2300" s="7" t="s">
        <v>428</v>
      </c>
      <c r="K2300" s="7" t="s">
        <v>429</v>
      </c>
      <c r="L2300" s="7" t="s">
        <v>430</v>
      </c>
      <c r="M2300" s="7" t="s">
        <v>430</v>
      </c>
      <c r="N2300" s="7">
        <v>1857</v>
      </c>
    </row>
    <row r="2301" spans="1:14" x14ac:dyDescent="0.15">
      <c r="B2301" s="258" t="s">
        <v>432</v>
      </c>
      <c r="C2301" s="259" t="s">
        <v>1489</v>
      </c>
      <c r="D2301" s="259" t="s">
        <v>1331</v>
      </c>
      <c r="E2301" s="259">
        <v>0</v>
      </c>
      <c r="F2301" s="259"/>
      <c r="G2301" s="260"/>
      <c r="H2301" s="254" t="str">
        <f t="shared" si="24"/>
        <v>ifnull(sum(ifnull(t.posi_market_value,0)),0) as posi_market_value,/*持仓市值*/</v>
      </c>
      <c r="I2301" s="1" t="s">
        <v>446</v>
      </c>
      <c r="J2301" s="1" t="s">
        <v>428</v>
      </c>
      <c r="K2301" s="1" t="s">
        <v>429</v>
      </c>
      <c r="L2301" s="1" t="s">
        <v>430</v>
      </c>
      <c r="M2301" s="1" t="s">
        <v>430</v>
      </c>
      <c r="N2301" s="1">
        <v>1202</v>
      </c>
    </row>
    <row r="2302" spans="1:14" x14ac:dyDescent="0.15">
      <c r="B2302" s="258" t="s">
        <v>445</v>
      </c>
      <c r="C2302" s="259" t="s">
        <v>1490</v>
      </c>
      <c r="D2302" s="259" t="s">
        <v>1331</v>
      </c>
      <c r="E2302" s="259">
        <v>0</v>
      </c>
      <c r="F2302" s="259"/>
      <c r="G2302" s="260"/>
      <c r="H2302" s="254" t="str">
        <f t="shared" si="24"/>
        <v>ifnull(sum(ifnull(t.posi_market_value,0)-ifnull(t.cost_amt,0)),0) as float_pandl,/*浮动盈亏*/</v>
      </c>
      <c r="I2302" s="1" t="s">
        <v>448</v>
      </c>
      <c r="J2302" s="1" t="s">
        <v>428</v>
      </c>
      <c r="K2302" s="1" t="s">
        <v>429</v>
      </c>
      <c r="L2302" s="1" t="s">
        <v>430</v>
      </c>
      <c r="M2302" s="1" t="s">
        <v>430</v>
      </c>
      <c r="N2302" s="1">
        <v>1461</v>
      </c>
    </row>
    <row r="2303" spans="1:14" s="7" customFormat="1" ht="18" thickBot="1" x14ac:dyDescent="0.2">
      <c r="A2303" s="2"/>
      <c r="B2303" s="24"/>
      <c r="C2303" s="9"/>
      <c r="D2303" s="9"/>
      <c r="E2303" s="9"/>
      <c r="F2303" s="9"/>
      <c r="G2303" s="11"/>
      <c r="H2303" s="254"/>
    </row>
    <row r="2304" spans="1:14" s="7" customFormat="1" x14ac:dyDescent="0.15">
      <c r="A2304" s="2"/>
      <c r="B2304" s="327" t="s">
        <v>15</v>
      </c>
      <c r="C2304" s="328"/>
      <c r="D2304" s="328"/>
      <c r="E2304" s="328"/>
      <c r="F2304" s="328"/>
      <c r="G2304" s="329"/>
      <c r="H2304" s="254"/>
    </row>
    <row r="2305" spans="1:14" s="7" customFormat="1" x14ac:dyDescent="0.15">
      <c r="A2305" s="2"/>
      <c r="B2305" s="20"/>
      <c r="C2305" s="23"/>
      <c r="D2305" s="21"/>
      <c r="E2305" s="21"/>
      <c r="F2305" s="21"/>
      <c r="G2305" s="22"/>
      <c r="H2305" s="254"/>
    </row>
    <row r="2306" spans="1:14" s="7" customFormat="1" x14ac:dyDescent="0.15">
      <c r="A2306" s="2"/>
      <c r="B2306" s="20"/>
      <c r="C2306" s="23"/>
      <c r="D2306" s="21"/>
      <c r="E2306" s="21"/>
      <c r="F2306" s="21"/>
      <c r="G2306" s="22"/>
      <c r="H2306" s="254"/>
    </row>
    <row r="2307" spans="1:14" s="7" customFormat="1" ht="18" thickBot="1" x14ac:dyDescent="0.2">
      <c r="A2307" s="2"/>
      <c r="B2307" s="24"/>
      <c r="C2307" s="9"/>
      <c r="D2307" s="9"/>
      <c r="E2307" s="9"/>
      <c r="F2307" s="9"/>
      <c r="G2307" s="11"/>
    </row>
    <row r="2308" spans="1:14" ht="18" thickBot="1" x14ac:dyDescent="0.2">
      <c r="H2308" s="7"/>
    </row>
    <row r="2309" spans="1:14" s="7" customFormat="1" x14ac:dyDescent="0.15">
      <c r="A2309" s="2"/>
      <c r="B2309" s="3" t="s">
        <v>563</v>
      </c>
      <c r="C2309" s="4" t="s">
        <v>1069</v>
      </c>
      <c r="D2309" s="5" t="s">
        <v>515</v>
      </c>
      <c r="E2309" s="21" t="s">
        <v>1068</v>
      </c>
      <c r="F2309" s="5" t="s">
        <v>567</v>
      </c>
      <c r="G2309" s="6" t="s">
        <v>554</v>
      </c>
      <c r="H2309" s="6" t="str">
        <f>"create or replace view "&amp;C2309</f>
        <v>create or replace view vi_sum_co_stock_strike</v>
      </c>
    </row>
    <row r="2310" spans="1:14" s="7" customFormat="1" ht="18" thickBot="1" x14ac:dyDescent="0.2">
      <c r="A2310" s="2"/>
      <c r="B2310" s="34" t="s">
        <v>570</v>
      </c>
      <c r="C2310" s="18"/>
      <c r="D2310" s="35" t="s">
        <v>568</v>
      </c>
      <c r="E2310" s="18" t="s">
        <v>615</v>
      </c>
      <c r="F2310" s="35"/>
      <c r="G2310" s="147" t="s">
        <v>421</v>
      </c>
      <c r="H2310" s="11" t="str">
        <f>"/* "&amp;E2309&amp;"*/  as "</f>
        <v xml:space="preserve">/* 报表_资管报表_视图-汇总-机构-证券-成交*/  as </v>
      </c>
    </row>
    <row r="2311" spans="1:14" s="7" customFormat="1" x14ac:dyDescent="0.15">
      <c r="A2311" s="2"/>
      <c r="B2311" s="3" t="s">
        <v>0</v>
      </c>
      <c r="C2311" s="5" t="s">
        <v>1</v>
      </c>
      <c r="D2311" s="5" t="s">
        <v>2</v>
      </c>
      <c r="E2311" s="5"/>
      <c r="F2311" s="5" t="s">
        <v>3</v>
      </c>
      <c r="G2311" s="36" t="s">
        <v>4</v>
      </c>
      <c r="H2311" s="13" t="s">
        <v>474</v>
      </c>
    </row>
    <row r="2312" spans="1:14" x14ac:dyDescent="0.15">
      <c r="B2312" s="176" t="s">
        <v>422</v>
      </c>
      <c r="C2312" s="176" t="s">
        <v>1123</v>
      </c>
      <c r="D2312" s="176" t="s">
        <v>423</v>
      </c>
      <c r="E2312" s="176" t="s">
        <v>1141</v>
      </c>
      <c r="F2312" s="176"/>
      <c r="G2312" s="176" t="s">
        <v>1162</v>
      </c>
      <c r="H2312" s="107" t="str">
        <f t="shared" ref="H2312:H2333" si="25">"ifnull("&amp;IF(I2312&lt;&gt;"",I2312,IF(F2312&lt;&gt;"",F2312,"t")&amp;"."&amp;C2312)&amp;","&amp;E2312&amp;") as "&amp;C2312&amp;",/*"&amp;B2312&amp;"*/"</f>
        <v>ifnull(t.init_date,date_format(curdate(),'%Y%m%d')) as init_date,/*初始化日期*/</v>
      </c>
      <c r="J2312" s="1" t="s">
        <v>424</v>
      </c>
      <c r="K2312" s="1" t="s">
        <v>425</v>
      </c>
      <c r="L2312" s="1" t="s">
        <v>423</v>
      </c>
      <c r="M2312" s="1" t="s">
        <v>423</v>
      </c>
      <c r="N2312" s="1">
        <v>1211</v>
      </c>
    </row>
    <row r="2313" spans="1:14" x14ac:dyDescent="0.15">
      <c r="B2313" s="176" t="s">
        <v>426</v>
      </c>
      <c r="C2313" s="176" t="s">
        <v>1093</v>
      </c>
      <c r="D2313" s="176" t="s">
        <v>423</v>
      </c>
      <c r="E2313" s="176">
        <v>0</v>
      </c>
      <c r="F2313" s="176"/>
      <c r="G2313" s="176" t="s">
        <v>1077</v>
      </c>
      <c r="H2313" s="107" t="str">
        <f t="shared" si="25"/>
        <v>ifnull(t.co_no,0) as co_no,/*机构编号*/</v>
      </c>
      <c r="J2313" s="1" t="s">
        <v>424</v>
      </c>
      <c r="K2313" s="1" t="s">
        <v>425</v>
      </c>
      <c r="L2313" s="1" t="s">
        <v>423</v>
      </c>
      <c r="M2313" s="1" t="s">
        <v>423</v>
      </c>
      <c r="N2313" s="1">
        <v>1606</v>
      </c>
    </row>
    <row r="2314" spans="1:14" x14ac:dyDescent="0.15">
      <c r="B2314" s="176" t="s">
        <v>7</v>
      </c>
      <c r="C2314" s="176" t="s">
        <v>1486</v>
      </c>
      <c r="D2314" s="176" t="s">
        <v>423</v>
      </c>
      <c r="E2314" s="176">
        <v>0</v>
      </c>
      <c r="F2314" s="176"/>
      <c r="G2314" s="176" t="s">
        <v>1081</v>
      </c>
      <c r="H2314" s="107" t="str">
        <f t="shared" si="25"/>
        <v>ifnull(t.exch_no,0) as exch_no,/*市场编号*/</v>
      </c>
      <c r="J2314" s="1" t="s">
        <v>424</v>
      </c>
      <c r="K2314" s="1" t="s">
        <v>425</v>
      </c>
      <c r="L2314" s="1" t="s">
        <v>423</v>
      </c>
      <c r="M2314" s="1" t="s">
        <v>423</v>
      </c>
      <c r="N2314" s="1">
        <v>2155</v>
      </c>
    </row>
    <row r="2315" spans="1:14" x14ac:dyDescent="0.15">
      <c r="B2315" s="176" t="s">
        <v>427</v>
      </c>
      <c r="C2315" s="176" t="s">
        <v>1487</v>
      </c>
      <c r="D2315" s="176" t="s">
        <v>423</v>
      </c>
      <c r="E2315" s="176">
        <v>0</v>
      </c>
      <c r="F2315" s="176"/>
      <c r="G2315" s="176"/>
      <c r="H2315" s="107" t="str">
        <f t="shared" si="25"/>
        <v>ifnull(t.stock_code_no,0) as stock_code_no,/*证券代码编号*/</v>
      </c>
      <c r="J2315" s="1" t="s">
        <v>424</v>
      </c>
      <c r="K2315" s="1" t="s">
        <v>425</v>
      </c>
      <c r="L2315" s="1" t="s">
        <v>423</v>
      </c>
      <c r="M2315" s="1" t="s">
        <v>423</v>
      </c>
      <c r="N2315" s="1">
        <v>2430</v>
      </c>
    </row>
    <row r="2316" spans="1:14" s="7" customFormat="1" x14ac:dyDescent="0.15">
      <c r="A2316" s="2"/>
      <c r="B2316" s="176" t="s">
        <v>93</v>
      </c>
      <c r="C2316" s="176" t="s">
        <v>1189</v>
      </c>
      <c r="D2316" s="176" t="s">
        <v>211</v>
      </c>
      <c r="E2316" s="176">
        <v>0</v>
      </c>
      <c r="F2316" s="176"/>
      <c r="G2316" s="176"/>
      <c r="H2316" s="107" t="str">
        <f t="shared" si="25"/>
        <v>ifnull(t.stock_type,0) as stock_type,/*证券类型*/</v>
      </c>
      <c r="J2316" s="7" t="s">
        <v>424</v>
      </c>
      <c r="K2316" s="7" t="s">
        <v>425</v>
      </c>
      <c r="L2316" s="7" t="s">
        <v>423</v>
      </c>
      <c r="M2316" s="7" t="s">
        <v>423</v>
      </c>
      <c r="N2316" s="7">
        <v>2433</v>
      </c>
    </row>
    <row r="2317" spans="1:14" s="7" customFormat="1" x14ac:dyDescent="0.15">
      <c r="A2317" s="2"/>
      <c r="B2317" s="176" t="s">
        <v>41</v>
      </c>
      <c r="C2317" s="176" t="s">
        <v>1258</v>
      </c>
      <c r="D2317" s="176" t="s">
        <v>211</v>
      </c>
      <c r="E2317" s="176">
        <v>0</v>
      </c>
      <c r="F2317" s="176"/>
      <c r="G2317" s="176" t="s">
        <v>1259</v>
      </c>
      <c r="H2317" s="107" t="str">
        <f t="shared" si="25"/>
        <v>ifnull(t.asset_type,0) as asset_type,/*资产类型*/</v>
      </c>
      <c r="J2317" s="7" t="s">
        <v>424</v>
      </c>
      <c r="K2317" s="7" t="s">
        <v>425</v>
      </c>
      <c r="L2317" s="7" t="s">
        <v>423</v>
      </c>
      <c r="M2317" s="7" t="s">
        <v>423</v>
      </c>
      <c r="N2317" s="7">
        <v>2528</v>
      </c>
    </row>
    <row r="2318" spans="1:14" s="7" customFormat="1" x14ac:dyDescent="0.15">
      <c r="B2318" s="176" t="s">
        <v>262</v>
      </c>
      <c r="C2318" s="176" t="s">
        <v>1372</v>
      </c>
      <c r="D2318" s="176" t="s">
        <v>1211</v>
      </c>
      <c r="E2318" s="176">
        <v>0</v>
      </c>
      <c r="F2318" s="176"/>
      <c r="G2318" s="176" t="s">
        <v>1373</v>
      </c>
      <c r="H2318" s="107" t="str">
        <f t="shared" si="25"/>
        <v>ifnull(sum(t.order_price),0) as order_price,/*订单价格*/</v>
      </c>
      <c r="I2318" s="7" t="str">
        <f>"sum(t."&amp;C2318&amp;")"</f>
        <v>sum(t.order_price)</v>
      </c>
      <c r="J2318" s="7" t="s">
        <v>428</v>
      </c>
      <c r="K2318" s="7" t="s">
        <v>429</v>
      </c>
      <c r="L2318" s="7" t="s">
        <v>430</v>
      </c>
      <c r="M2318" s="7" t="s">
        <v>430</v>
      </c>
      <c r="N2318" s="7">
        <v>1306</v>
      </c>
    </row>
    <row r="2319" spans="1:14" s="7" customFormat="1" x14ac:dyDescent="0.15">
      <c r="B2319" s="176" t="s">
        <v>272</v>
      </c>
      <c r="C2319" s="176" t="s">
        <v>1374</v>
      </c>
      <c r="D2319" s="176" t="s">
        <v>1087</v>
      </c>
      <c r="E2319" s="176">
        <v>0</v>
      </c>
      <c r="F2319" s="176"/>
      <c r="G2319" s="176" t="s">
        <v>1375</v>
      </c>
      <c r="H2319" s="107" t="str">
        <f t="shared" si="25"/>
        <v>ifnull(sum(t.order_qty),0) as order_qty,/*订单数量*/</v>
      </c>
      <c r="I2319" s="7" t="str">
        <f>"sum(t."&amp;C2319&amp;")"</f>
        <v>sum(t.order_qty)</v>
      </c>
      <c r="J2319" s="7" t="s">
        <v>428</v>
      </c>
      <c r="K2319" s="7" t="s">
        <v>429</v>
      </c>
      <c r="L2319" s="7" t="s">
        <v>430</v>
      </c>
      <c r="M2319" s="7" t="s">
        <v>430</v>
      </c>
      <c r="N2319" s="7">
        <v>1310</v>
      </c>
    </row>
    <row r="2320" spans="1:14" s="7" customFormat="1" x14ac:dyDescent="0.15">
      <c r="B2320" s="176" t="s">
        <v>38</v>
      </c>
      <c r="C2320" s="176" t="s">
        <v>1241</v>
      </c>
      <c r="D2320" s="176" t="s">
        <v>1087</v>
      </c>
      <c r="E2320" s="176">
        <v>0</v>
      </c>
      <c r="F2320" s="176"/>
      <c r="G2320" s="176" t="s">
        <v>1086</v>
      </c>
      <c r="H2320" s="107" t="str">
        <f t="shared" si="25"/>
        <v>ifnull(sum(t.strike_qty),0) as strike_qty,/*成交数量*/</v>
      </c>
      <c r="I2320" s="7" t="str">
        <f>"sum(t."&amp;C2320&amp;")"</f>
        <v>sum(t.strike_qty)</v>
      </c>
      <c r="J2320" s="7" t="s">
        <v>428</v>
      </c>
      <c r="K2320" s="7" t="s">
        <v>429</v>
      </c>
      <c r="L2320" s="7" t="s">
        <v>430</v>
      </c>
      <c r="M2320" s="7" t="s">
        <v>430</v>
      </c>
      <c r="N2320" s="7">
        <v>1188</v>
      </c>
    </row>
    <row r="2321" spans="1:14" s="7" customFormat="1" x14ac:dyDescent="0.15">
      <c r="B2321" s="176" t="s">
        <v>100</v>
      </c>
      <c r="C2321" s="176" t="s">
        <v>1376</v>
      </c>
      <c r="D2321" s="176" t="s">
        <v>1211</v>
      </c>
      <c r="E2321" s="176">
        <v>0</v>
      </c>
      <c r="F2321" s="176"/>
      <c r="G2321" s="176" t="s">
        <v>1377</v>
      </c>
      <c r="H2321" s="107" t="str">
        <f t="shared" si="25"/>
        <v>ifnull(sum(t.strike_price),0) as strike_price,/*成交价格*/</v>
      </c>
      <c r="I2321" s="7" t="str">
        <f>"sum(t."&amp;C2321&amp;")"</f>
        <v>sum(t.strike_price)</v>
      </c>
      <c r="J2321" s="7" t="s">
        <v>428</v>
      </c>
      <c r="K2321" s="7" t="s">
        <v>429</v>
      </c>
      <c r="L2321" s="7" t="s">
        <v>430</v>
      </c>
      <c r="M2321" s="7" t="s">
        <v>430</v>
      </c>
      <c r="N2321" s="7">
        <v>1179</v>
      </c>
    </row>
    <row r="2322" spans="1:14" s="7" customFormat="1" x14ac:dyDescent="0.15">
      <c r="B2322" s="176" t="s">
        <v>277</v>
      </c>
      <c r="C2322" s="176" t="s">
        <v>1242</v>
      </c>
      <c r="D2322" s="176" t="s">
        <v>1169</v>
      </c>
      <c r="E2322" s="176">
        <v>0</v>
      </c>
      <c r="F2322" s="176"/>
      <c r="G2322" s="176" t="s">
        <v>1243</v>
      </c>
      <c r="H2322" s="107" t="str">
        <f t="shared" si="25"/>
        <v>ifnull(sum(t.strike_amt),0) as strike_amt,/*成交金额*/</v>
      </c>
      <c r="I2322" s="7" t="str">
        <f>"sum(t."&amp;C2322&amp;")"</f>
        <v>sum(t.strike_amt)</v>
      </c>
      <c r="J2322" s="7" t="s">
        <v>428</v>
      </c>
      <c r="K2322" s="7" t="s">
        <v>429</v>
      </c>
      <c r="L2322" s="7" t="s">
        <v>430</v>
      </c>
      <c r="M2322" s="7" t="s">
        <v>430</v>
      </c>
      <c r="N2322" s="7">
        <v>1180</v>
      </c>
    </row>
    <row r="2323" spans="1:14" x14ac:dyDescent="0.15">
      <c r="B2323" s="147" t="s">
        <v>433</v>
      </c>
      <c r="C2323" s="147" t="s">
        <v>1497</v>
      </c>
      <c r="D2323" s="147" t="s">
        <v>1498</v>
      </c>
      <c r="E2323" s="147">
        <v>0</v>
      </c>
      <c r="F2323" s="147"/>
      <c r="G2323" s="147"/>
      <c r="H2323" s="107" t="str">
        <f t="shared" si="25"/>
        <v>ifnull(sum(if(t.order_dir=1,ifnull(t.strike_qty,0),0)),0) as buy_qty,/*买入数量*/</v>
      </c>
      <c r="I2323" s="7" t="s">
        <v>449</v>
      </c>
      <c r="J2323" s="1" t="s">
        <v>428</v>
      </c>
      <c r="K2323" s="1" t="s">
        <v>429</v>
      </c>
      <c r="L2323" s="1" t="s">
        <v>430</v>
      </c>
      <c r="M2323" s="1" t="s">
        <v>430</v>
      </c>
    </row>
    <row r="2324" spans="1:14" x14ac:dyDescent="0.15">
      <c r="B2324" s="147" t="s">
        <v>434</v>
      </c>
      <c r="C2324" s="147" t="s">
        <v>1608</v>
      </c>
      <c r="D2324" s="147" t="s">
        <v>1331</v>
      </c>
      <c r="E2324" s="147">
        <v>0</v>
      </c>
      <c r="F2324" s="147"/>
      <c r="G2324" s="147"/>
      <c r="H2324" s="107" t="str">
        <f t="shared" si="25"/>
        <v>ifnull(sum(if(t.order_dir=1,ifnull(t.strike_amt,0),0)),0) as buy_amt,/*买入金额*/</v>
      </c>
      <c r="I2324" s="7" t="s">
        <v>451</v>
      </c>
      <c r="J2324" s="1" t="s">
        <v>428</v>
      </c>
      <c r="K2324" s="1" t="s">
        <v>429</v>
      </c>
      <c r="L2324" s="1" t="s">
        <v>430</v>
      </c>
      <c r="M2324" s="1" t="s">
        <v>430</v>
      </c>
    </row>
    <row r="2325" spans="1:14" x14ac:dyDescent="0.15">
      <c r="B2325" s="147" t="s">
        <v>435</v>
      </c>
      <c r="C2325" s="147" t="s">
        <v>1609</v>
      </c>
      <c r="D2325" s="147" t="s">
        <v>1484</v>
      </c>
      <c r="E2325" s="147">
        <v>0</v>
      </c>
      <c r="F2325" s="147"/>
      <c r="G2325" s="147"/>
      <c r="H2325" s="107" t="str">
        <f t="shared" si="25"/>
        <v>ifnull(sum(if(t.order_dir=1,ifnull(t.strike_amt,0),0))/sum(if(t.order_dir=1,ifnull(t.strike_amt,0),0)),0) as buy_strike_price,/*买入成交价*/</v>
      </c>
      <c r="I2325" s="7" t="s">
        <v>450</v>
      </c>
      <c r="J2325" s="1" t="s">
        <v>428</v>
      </c>
      <c r="K2325" s="1" t="s">
        <v>429</v>
      </c>
      <c r="L2325" s="1" t="s">
        <v>430</v>
      </c>
      <c r="M2325" s="1" t="s">
        <v>430</v>
      </c>
    </row>
    <row r="2326" spans="1:14" x14ac:dyDescent="0.15">
      <c r="B2326" s="147" t="s">
        <v>436</v>
      </c>
      <c r="C2326" s="147" t="s">
        <v>1420</v>
      </c>
      <c r="D2326" s="147" t="s">
        <v>1087</v>
      </c>
      <c r="E2326" s="147">
        <v>0</v>
      </c>
      <c r="F2326" s="147"/>
      <c r="H2326" s="107" t="str">
        <f t="shared" si="25"/>
        <v>ifnull(sum(if(t.order_dir=1,ifnull(t.strike_qty,0),0)),0) as sell_qty,/*卖出数量*/</v>
      </c>
      <c r="I2326" s="7" t="s">
        <v>449</v>
      </c>
      <c r="J2326" s="1" t="s">
        <v>428</v>
      </c>
      <c r="K2326" s="1" t="s">
        <v>429</v>
      </c>
      <c r="L2326" s="1" t="s">
        <v>430</v>
      </c>
      <c r="M2326" s="1" t="s">
        <v>430</v>
      </c>
      <c r="N2326" s="1">
        <v>1163</v>
      </c>
    </row>
    <row r="2327" spans="1:14" x14ac:dyDescent="0.15">
      <c r="B2327" s="105" t="s">
        <v>706</v>
      </c>
      <c r="C2327" s="147" t="s">
        <v>1421</v>
      </c>
      <c r="D2327" s="147" t="s">
        <v>1169</v>
      </c>
      <c r="E2327" s="147">
        <v>0</v>
      </c>
      <c r="F2327" s="147"/>
      <c r="H2327" s="107" t="str">
        <f t="shared" si="25"/>
        <v>ifnull(sum(if(t.order_dir=1,ifnull(t.strike_amt,0),0)),0) as sell_amt,/*销售金额*/</v>
      </c>
      <c r="I2327" s="7" t="s">
        <v>451</v>
      </c>
      <c r="J2327" s="1" t="s">
        <v>428</v>
      </c>
      <c r="K2327" s="1" t="s">
        <v>429</v>
      </c>
      <c r="L2327" s="1" t="s">
        <v>430</v>
      </c>
      <c r="M2327" s="1" t="s">
        <v>430</v>
      </c>
    </row>
    <row r="2328" spans="1:14" ht="16.5" customHeight="1" x14ac:dyDescent="0.15">
      <c r="B2328" s="147" t="s">
        <v>437</v>
      </c>
      <c r="C2328" s="147" t="s">
        <v>1499</v>
      </c>
      <c r="D2328" s="147" t="s">
        <v>1484</v>
      </c>
      <c r="E2328" s="147">
        <v>0</v>
      </c>
      <c r="F2328" s="147"/>
      <c r="H2328" s="107" t="str">
        <f t="shared" si="25"/>
        <v>ifnull(sum(if(t.order_dir=2,ifnull(t.strike_amt,0),0))/sum(if(t.order_dir=2,ifnull(t.strike_amt,0),0)),0) as sell_strike_price,/*卖出成交价*/</v>
      </c>
      <c r="I2328" s="7" t="s">
        <v>452</v>
      </c>
      <c r="J2328" s="1" t="s">
        <v>428</v>
      </c>
      <c r="K2328" s="1" t="s">
        <v>429</v>
      </c>
      <c r="L2328" s="1" t="s">
        <v>430</v>
      </c>
      <c r="M2328" s="1" t="s">
        <v>430</v>
      </c>
    </row>
    <row r="2329" spans="1:14" ht="16.5" customHeight="1" x14ac:dyDescent="0.15">
      <c r="B2329" s="147" t="s">
        <v>438</v>
      </c>
      <c r="C2329" s="147" t="s">
        <v>1500</v>
      </c>
      <c r="D2329" s="147" t="s">
        <v>1087</v>
      </c>
      <c r="E2329" s="147">
        <v>0</v>
      </c>
      <c r="F2329" s="147"/>
      <c r="H2329" s="107" t="str">
        <f t="shared" si="25"/>
        <v>ifnull(sum(if(t.order_dir=1,1,-1)*ifnull(t.strike_amt,0)),0) as diff_qty,/*数量差额*/</v>
      </c>
      <c r="I2329" s="7" t="s">
        <v>453</v>
      </c>
    </row>
    <row r="2330" spans="1:14" x14ac:dyDescent="0.15">
      <c r="B2330" s="245" t="s">
        <v>516</v>
      </c>
      <c r="C2330" s="245" t="s">
        <v>1501</v>
      </c>
      <c r="D2330" s="245" t="s">
        <v>211</v>
      </c>
      <c r="E2330" s="245" t="s">
        <v>1265</v>
      </c>
      <c r="F2330" s="245"/>
      <c r="G2330" s="245"/>
      <c r="H2330" s="107" t="str">
        <f t="shared" si="25"/>
        <v>ifnull(min(if(t.order_dir=1,t.order_time,NULL)),date_format(curtime(),'%H%i%s')) as buy_begin_time,/*买入开始时间*/</v>
      </c>
      <c r="I2330" s="7" t="s">
        <v>520</v>
      </c>
      <c r="J2330" s="1" t="s">
        <v>428</v>
      </c>
      <c r="K2330" s="1" t="s">
        <v>429</v>
      </c>
      <c r="L2330" s="1" t="s">
        <v>430</v>
      </c>
      <c r="M2330" s="1" t="s">
        <v>430</v>
      </c>
      <c r="N2330" s="1">
        <v>1163</v>
      </c>
    </row>
    <row r="2331" spans="1:14" x14ac:dyDescent="0.15">
      <c r="B2331" s="245" t="s">
        <v>517</v>
      </c>
      <c r="C2331" s="245" t="s">
        <v>1502</v>
      </c>
      <c r="D2331" s="245" t="s">
        <v>211</v>
      </c>
      <c r="E2331" s="245" t="s">
        <v>1265</v>
      </c>
      <c r="F2331" s="245"/>
      <c r="G2331" s="245"/>
      <c r="H2331" s="107" t="str">
        <f t="shared" si="25"/>
        <v>ifnull(max(if(t.order_dir=1,t.order_time,NULL)),date_format(curtime(),'%H%i%s')) as buy_end_time,/*买入结束时间*/</v>
      </c>
      <c r="I2331" s="7" t="s">
        <v>521</v>
      </c>
      <c r="J2331" s="1" t="s">
        <v>428</v>
      </c>
      <c r="K2331" s="1" t="s">
        <v>429</v>
      </c>
      <c r="L2331" s="1" t="s">
        <v>430</v>
      </c>
      <c r="M2331" s="1" t="s">
        <v>430</v>
      </c>
    </row>
    <row r="2332" spans="1:14" ht="16.5" customHeight="1" x14ac:dyDescent="0.15">
      <c r="B2332" s="245" t="s">
        <v>518</v>
      </c>
      <c r="C2332" s="245" t="s">
        <v>1503</v>
      </c>
      <c r="D2332" s="245" t="s">
        <v>211</v>
      </c>
      <c r="E2332" s="245" t="s">
        <v>1265</v>
      </c>
      <c r="F2332" s="245"/>
      <c r="G2332" s="245"/>
      <c r="H2332" s="107" t="str">
        <f t="shared" si="25"/>
        <v>ifnull(min(if(t.order_dir=2,t.order_time,NULL)),date_format(curtime(),'%H%i%s')) as sell_begin_time,/*卖出开始时间*/</v>
      </c>
      <c r="I2332" s="7" t="s">
        <v>522</v>
      </c>
      <c r="J2332" s="1" t="s">
        <v>428</v>
      </c>
      <c r="K2332" s="1" t="s">
        <v>429</v>
      </c>
      <c r="L2332" s="1" t="s">
        <v>430</v>
      </c>
      <c r="M2332" s="1" t="s">
        <v>430</v>
      </c>
    </row>
    <row r="2333" spans="1:14" ht="16.5" customHeight="1" x14ac:dyDescent="0.15">
      <c r="B2333" s="245" t="s">
        <v>519</v>
      </c>
      <c r="C2333" s="245" t="s">
        <v>1610</v>
      </c>
      <c r="D2333" s="245" t="s">
        <v>211</v>
      </c>
      <c r="E2333" s="245" t="s">
        <v>1265</v>
      </c>
      <c r="F2333" s="245"/>
      <c r="G2333" s="245"/>
      <c r="H2333" s="107" t="str">
        <f t="shared" si="25"/>
        <v>ifnull(max(if(t.order_dir=2,t.order_time,NULL)),date_format(curtime(),'%H%i%s')) as sell_end_time,/*卖出结束时间*/</v>
      </c>
      <c r="I2333" s="7" t="s">
        <v>523</v>
      </c>
    </row>
    <row r="2334" spans="1:14" s="7" customFormat="1" ht="16.5" customHeight="1" thickBot="1" x14ac:dyDescent="0.2">
      <c r="A2334" s="2"/>
      <c r="B2334" s="24"/>
      <c r="C2334" s="9"/>
      <c r="D2334" s="9"/>
      <c r="E2334" s="9"/>
      <c r="F2334" s="9"/>
      <c r="G2334" s="11"/>
      <c r="H2334" s="107"/>
    </row>
    <row r="2335" spans="1:14" s="7" customFormat="1" x14ac:dyDescent="0.15">
      <c r="A2335" s="2"/>
      <c r="B2335" s="327" t="s">
        <v>15</v>
      </c>
      <c r="C2335" s="328"/>
      <c r="D2335" s="328"/>
      <c r="E2335" s="328"/>
      <c r="F2335" s="328"/>
      <c r="G2335" s="329"/>
      <c r="H2335" s="107"/>
    </row>
    <row r="2336" spans="1:14" s="7" customFormat="1" ht="18" thickBot="1" x14ac:dyDescent="0.2">
      <c r="A2336" s="2"/>
      <c r="B2336" s="24"/>
      <c r="C2336" s="9"/>
      <c r="D2336" s="9"/>
      <c r="E2336" s="9"/>
      <c r="F2336" s="9"/>
      <c r="G2336" s="11"/>
    </row>
    <row r="2337" spans="1:14" ht="18" thickBot="1" x14ac:dyDescent="0.2"/>
    <row r="2338" spans="1:14" s="7" customFormat="1" x14ac:dyDescent="0.15">
      <c r="A2338" s="2"/>
      <c r="B2338" s="3" t="s">
        <v>563</v>
      </c>
      <c r="C2338" s="235" t="s">
        <v>746</v>
      </c>
      <c r="D2338" s="5" t="s">
        <v>515</v>
      </c>
      <c r="E2338" s="21" t="s">
        <v>745</v>
      </c>
      <c r="F2338" s="5" t="s">
        <v>567</v>
      </c>
      <c r="G2338" s="6" t="s">
        <v>747</v>
      </c>
      <c r="H2338" s="6" t="e">
        <f>"create or replace view "&amp;#REF!</f>
        <v>#REF!</v>
      </c>
    </row>
    <row r="2339" spans="1:14" s="7" customFormat="1" ht="18" thickBot="1" x14ac:dyDescent="0.2">
      <c r="A2339" s="2"/>
      <c r="B2339" s="34" t="s">
        <v>570</v>
      </c>
      <c r="C2339" s="18"/>
      <c r="D2339" s="35" t="s">
        <v>568</v>
      </c>
      <c r="E2339" s="18" t="s">
        <v>615</v>
      </c>
      <c r="F2339" s="35"/>
      <c r="G2339" s="147" t="s">
        <v>421</v>
      </c>
      <c r="H2339" s="11" t="e">
        <f>"/* "&amp;#REF!&amp;"*/  as "</f>
        <v>#REF!</v>
      </c>
    </row>
    <row r="2340" spans="1:14" s="7" customFormat="1" x14ac:dyDescent="0.15">
      <c r="A2340" s="2"/>
      <c r="B2340" s="3" t="s">
        <v>0</v>
      </c>
      <c r="C2340" s="5" t="s">
        <v>1</v>
      </c>
      <c r="D2340" s="5" t="s">
        <v>2</v>
      </c>
      <c r="E2340" s="5"/>
      <c r="F2340" s="5" t="s">
        <v>3</v>
      </c>
      <c r="G2340" s="36" t="s">
        <v>4</v>
      </c>
      <c r="H2340" s="13" t="s">
        <v>474</v>
      </c>
    </row>
    <row r="2341" spans="1:14" x14ac:dyDescent="0.15">
      <c r="B2341" s="33" t="s">
        <v>478</v>
      </c>
      <c r="C2341" s="29" t="s">
        <v>1476</v>
      </c>
      <c r="D2341" s="29" t="s">
        <v>1345</v>
      </c>
      <c r="E2341" s="29">
        <v>0</v>
      </c>
      <c r="F2341" s="29"/>
      <c r="G2341" s="176"/>
      <c r="H2341" s="107" t="str">
        <f>"ifnull("&amp;IF(I2341&lt;&gt;"",I2341,IF(F2341&lt;&gt;"",F2341,"t")&amp;"."&amp;C2341)&amp;","&amp;E2341&amp;") as "&amp;C2341&amp;",/*"&amp;B2341&amp;"*/"</f>
        <v>ifnull(t.row_id,0) as row_id,/*记录序号*/</v>
      </c>
      <c r="J2341" s="1" t="s">
        <v>424</v>
      </c>
      <c r="K2341" s="1" t="s">
        <v>425</v>
      </c>
      <c r="L2341" s="1" t="s">
        <v>423</v>
      </c>
      <c r="M2341" s="1" t="s">
        <v>423</v>
      </c>
      <c r="N2341" s="1">
        <v>1211</v>
      </c>
    </row>
    <row r="2342" spans="1:14" x14ac:dyDescent="0.15">
      <c r="B2342" s="33" t="s">
        <v>6</v>
      </c>
      <c r="C2342" s="29" t="s">
        <v>1163</v>
      </c>
      <c r="D2342" s="29" t="s">
        <v>211</v>
      </c>
      <c r="E2342" s="29">
        <v>0</v>
      </c>
      <c r="F2342" s="29"/>
      <c r="G2342" s="176" t="s">
        <v>1077</v>
      </c>
      <c r="H2342" s="107" t="str">
        <f>"ifnull("&amp;IF(I2342&lt;&gt;"",I2342,IF(F2342&lt;&gt;"",F2342,"t")&amp;"."&amp;C2342)&amp;","&amp;E2342&amp;") as "&amp;C2342&amp;",/*"&amp;B2342&amp;"*/"</f>
        <v>ifnull(t.co_no,0) as co_no,/*机构编号*/</v>
      </c>
      <c r="J2342" s="1" t="s">
        <v>424</v>
      </c>
      <c r="K2342" s="1" t="s">
        <v>425</v>
      </c>
      <c r="L2342" s="1" t="s">
        <v>423</v>
      </c>
      <c r="M2342" s="1" t="s">
        <v>423</v>
      </c>
      <c r="N2342" s="1">
        <v>1606</v>
      </c>
    </row>
    <row r="2343" spans="1:14" x14ac:dyDescent="0.15">
      <c r="B2343" s="33" t="s">
        <v>427</v>
      </c>
      <c r="C2343" s="29" t="s">
        <v>1188</v>
      </c>
      <c r="D2343" s="29" t="s">
        <v>211</v>
      </c>
      <c r="E2343" s="29">
        <v>0</v>
      </c>
      <c r="F2343" s="29"/>
      <c r="G2343" s="176"/>
      <c r="H2343" s="107" t="str">
        <f>"ifnull("&amp;IF(I2343&lt;&gt;"",I2343,IF(F2343&lt;&gt;"",F2343,"t")&amp;"."&amp;C2343)&amp;","&amp;E2343&amp;") as "&amp;C2343&amp;",/*"&amp;B2343&amp;"*/"</f>
        <v>ifnull(t.stock_code_no,0) as stock_code_no,/*证券代码编号*/</v>
      </c>
      <c r="J2343" s="1" t="s">
        <v>424</v>
      </c>
      <c r="K2343" s="1" t="s">
        <v>425</v>
      </c>
      <c r="L2343" s="1" t="s">
        <v>423</v>
      </c>
      <c r="M2343" s="1" t="s">
        <v>423</v>
      </c>
      <c r="N2343" s="1">
        <v>2155</v>
      </c>
    </row>
    <row r="2344" spans="1:14" x14ac:dyDescent="0.15">
      <c r="B2344" s="33" t="s">
        <v>7</v>
      </c>
      <c r="C2344" s="29" t="s">
        <v>1190</v>
      </c>
      <c r="D2344" s="29" t="s">
        <v>211</v>
      </c>
      <c r="E2344" s="29">
        <v>0</v>
      </c>
      <c r="F2344" s="29"/>
      <c r="G2344" s="1" t="s">
        <v>1504</v>
      </c>
      <c r="H2344" s="107" t="str">
        <f>"ifnull("&amp;IF(I2344&lt;&gt;"",I2344,IF(E2338&lt;&gt;"",E2338,"t")&amp;"."&amp;C2344)&amp;","&amp;E2344&amp;") as "&amp;C2344&amp;",/*"&amp;B2344&amp;"*/"</f>
        <v>ifnull(报表_资管报表_视图-汇总-交易组-证券-持仓.exch_no,0) as exch_no,/*市场编号*/</v>
      </c>
      <c r="J2344" s="1" t="s">
        <v>424</v>
      </c>
      <c r="K2344" s="1" t="s">
        <v>425</v>
      </c>
      <c r="L2344" s="1" t="s">
        <v>423</v>
      </c>
      <c r="M2344" s="1" t="s">
        <v>423</v>
      </c>
      <c r="N2344" s="1">
        <v>2430</v>
      </c>
    </row>
    <row r="2345" spans="1:14" s="7" customFormat="1" x14ac:dyDescent="0.15">
      <c r="A2345" s="2"/>
      <c r="B2345" s="33" t="s">
        <v>93</v>
      </c>
      <c r="C2345" s="29" t="s">
        <v>1189</v>
      </c>
      <c r="D2345" s="29" t="s">
        <v>211</v>
      </c>
      <c r="E2345" s="29">
        <v>0</v>
      </c>
      <c r="F2345" s="29"/>
      <c r="G2345" s="176"/>
      <c r="H2345" s="107" t="str">
        <f t="shared" ref="H2345:H2355" si="26">"ifnull("&amp;IF(I2345&lt;&gt;"",I2345,IF(F2345&lt;&gt;"",F2345,"t")&amp;"."&amp;C2345)&amp;","&amp;E2345&amp;") as "&amp;C2345&amp;",/*"&amp;B2345&amp;"*/"</f>
        <v>ifnull(t.stock_type,0) as stock_type,/*证券类型*/</v>
      </c>
      <c r="J2345" s="7" t="s">
        <v>424</v>
      </c>
      <c r="K2345" s="7" t="s">
        <v>425</v>
      </c>
      <c r="L2345" s="7" t="s">
        <v>423</v>
      </c>
      <c r="M2345" s="7" t="s">
        <v>423</v>
      </c>
      <c r="N2345" s="7">
        <v>2433</v>
      </c>
    </row>
    <row r="2346" spans="1:14" s="7" customFormat="1" x14ac:dyDescent="0.15">
      <c r="A2346" s="2"/>
      <c r="B2346" s="33" t="s">
        <v>162</v>
      </c>
      <c r="C2346" s="29" t="s">
        <v>1214</v>
      </c>
      <c r="D2346" s="29" t="s">
        <v>1169</v>
      </c>
      <c r="E2346" s="29">
        <v>0</v>
      </c>
      <c r="F2346" s="29"/>
      <c r="G2346" s="176"/>
      <c r="H2346" s="107" t="str">
        <f t="shared" si="26"/>
        <v>ifnull(t.posi_market_value,0) as posi_market_value,/*持仓市值*/</v>
      </c>
      <c r="J2346" s="7" t="s">
        <v>424</v>
      </c>
      <c r="K2346" s="7" t="s">
        <v>425</v>
      </c>
      <c r="L2346" s="7" t="s">
        <v>423</v>
      </c>
      <c r="M2346" s="7" t="s">
        <v>423</v>
      </c>
      <c r="N2346" s="7">
        <v>2528</v>
      </c>
    </row>
    <row r="2347" spans="1:14" s="7" customFormat="1" x14ac:dyDescent="0.15">
      <c r="B2347" s="33" t="s">
        <v>8</v>
      </c>
      <c r="C2347" s="29" t="s">
        <v>1193</v>
      </c>
      <c r="D2347" s="29" t="s">
        <v>1087</v>
      </c>
      <c r="E2347" s="29">
        <v>0</v>
      </c>
      <c r="F2347" s="29"/>
      <c r="G2347" s="176" t="s">
        <v>1194</v>
      </c>
      <c r="H2347" s="107" t="str">
        <f t="shared" si="26"/>
        <v>ifnull(sum(t.begin_qty),0) as begin_qty,/*期初数量*/</v>
      </c>
      <c r="I2347" s="7" t="str">
        <f>"sum(t."&amp;C2347&amp;")"</f>
        <v>sum(t.begin_qty)</v>
      </c>
      <c r="J2347" s="7" t="s">
        <v>428</v>
      </c>
      <c r="K2347" s="7" t="s">
        <v>429</v>
      </c>
      <c r="L2347" s="7" t="s">
        <v>430</v>
      </c>
      <c r="M2347" s="7" t="s">
        <v>430</v>
      </c>
      <c r="N2347" s="7">
        <v>1306</v>
      </c>
    </row>
    <row r="2348" spans="1:14" s="7" customFormat="1" x14ac:dyDescent="0.15">
      <c r="B2348" s="33" t="s">
        <v>9</v>
      </c>
      <c r="C2348" s="29" t="s">
        <v>1195</v>
      </c>
      <c r="D2348" s="29" t="s">
        <v>1087</v>
      </c>
      <c r="E2348" s="29">
        <v>0</v>
      </c>
      <c r="F2348" s="29"/>
      <c r="G2348" s="176" t="s">
        <v>1196</v>
      </c>
      <c r="H2348" s="107" t="str">
        <f t="shared" si="26"/>
        <v>ifnull(sum(t.curr_qty),0) as curr_qty,/*当前数量*/</v>
      </c>
      <c r="I2348" s="7" t="str">
        <f>"sum(t."&amp;C2348&amp;")"</f>
        <v>sum(t.curr_qty)</v>
      </c>
      <c r="J2348" s="7" t="s">
        <v>428</v>
      </c>
      <c r="K2348" s="7" t="s">
        <v>429</v>
      </c>
      <c r="L2348" s="7" t="s">
        <v>430</v>
      </c>
      <c r="M2348" s="7" t="s">
        <v>430</v>
      </c>
      <c r="N2348" s="7">
        <v>1310</v>
      </c>
    </row>
    <row r="2349" spans="1:14" s="7" customFormat="1" x14ac:dyDescent="0.15">
      <c r="B2349" s="33" t="s">
        <v>10</v>
      </c>
      <c r="C2349" s="29" t="s">
        <v>1197</v>
      </c>
      <c r="D2349" s="29" t="s">
        <v>1087</v>
      </c>
      <c r="E2349" s="29">
        <v>0</v>
      </c>
      <c r="F2349" s="29"/>
      <c r="G2349" s="176" t="s">
        <v>1144</v>
      </c>
      <c r="H2349" s="107" t="str">
        <f t="shared" si="26"/>
        <v>ifnull(sum(t.frozen_qty),0) as frozen_qty,/*冻结数量*/</v>
      </c>
      <c r="I2349" s="7" t="str">
        <f>"sum(t."&amp;C2349&amp;")"</f>
        <v>sum(t.frozen_qty)</v>
      </c>
      <c r="J2349" s="7" t="s">
        <v>428</v>
      </c>
      <c r="K2349" s="7" t="s">
        <v>429</v>
      </c>
      <c r="L2349" s="7" t="s">
        <v>430</v>
      </c>
      <c r="M2349" s="7" t="s">
        <v>430</v>
      </c>
      <c r="N2349" s="7">
        <v>1188</v>
      </c>
    </row>
    <row r="2350" spans="1:14" s="7" customFormat="1" x14ac:dyDescent="0.15">
      <c r="B2350" s="33" t="s">
        <v>11</v>
      </c>
      <c r="C2350" s="29" t="s">
        <v>1198</v>
      </c>
      <c r="D2350" s="29" t="s">
        <v>1087</v>
      </c>
      <c r="E2350" s="29">
        <v>0</v>
      </c>
      <c r="F2350" s="29"/>
      <c r="G2350" s="176" t="s">
        <v>1080</v>
      </c>
      <c r="H2350" s="107" t="str">
        <f t="shared" si="26"/>
        <v>ifnull(sum(t.unfroz_qty),0) as unfroz_qty,/*解冻数量*/</v>
      </c>
      <c r="I2350" s="7" t="str">
        <f>"sum(t."&amp;C2350&amp;")"</f>
        <v>sum(t.unfroz_qty)</v>
      </c>
      <c r="J2350" s="7" t="s">
        <v>428</v>
      </c>
      <c r="K2350" s="7" t="s">
        <v>429</v>
      </c>
      <c r="L2350" s="7" t="s">
        <v>430</v>
      </c>
      <c r="M2350" s="7" t="s">
        <v>430</v>
      </c>
      <c r="N2350" s="7">
        <v>1179</v>
      </c>
    </row>
    <row r="2351" spans="1:14" s="7" customFormat="1" x14ac:dyDescent="0.15">
      <c r="B2351" s="33" t="s">
        <v>404</v>
      </c>
      <c r="C2351" s="29" t="s">
        <v>1335</v>
      </c>
      <c r="D2351" s="29" t="s">
        <v>1087</v>
      </c>
      <c r="E2351" s="29">
        <v>0</v>
      </c>
      <c r="F2351" s="29"/>
      <c r="G2351" s="176"/>
      <c r="H2351" s="107" t="str">
        <f t="shared" si="26"/>
        <v>ifnull(sum(t.comm_capt_qty),0) as comm_capt_qty,/*指令占用数量*/</v>
      </c>
      <c r="I2351" s="7" t="str">
        <f>"sum(t."&amp;C2351&amp;")"</f>
        <v>sum(t.comm_capt_qty)</v>
      </c>
      <c r="J2351" s="7" t="s">
        <v>428</v>
      </c>
      <c r="K2351" s="7" t="s">
        <v>429</v>
      </c>
      <c r="L2351" s="7" t="s">
        <v>430</v>
      </c>
      <c r="M2351" s="7" t="s">
        <v>430</v>
      </c>
      <c r="N2351" s="7">
        <v>1180</v>
      </c>
    </row>
    <row r="2352" spans="1:14" x14ac:dyDescent="0.15">
      <c r="B2352" s="33" t="s">
        <v>405</v>
      </c>
      <c r="C2352" s="29" t="s">
        <v>1199</v>
      </c>
      <c r="D2352" s="29" t="s">
        <v>1087</v>
      </c>
      <c r="E2352" s="29">
        <v>0</v>
      </c>
      <c r="F2352" s="29"/>
      <c r="G2352" s="147"/>
      <c r="H2352" s="107" t="str">
        <f t="shared" si="26"/>
        <v>ifnull(sum(if(t.order_dir=1,ifnull(t.strike_qty,0),0)),0) as comm_releas_qty,/*指令释放数量*/</v>
      </c>
      <c r="I2352" s="7" t="s">
        <v>449</v>
      </c>
      <c r="J2352" s="1" t="s">
        <v>428</v>
      </c>
      <c r="K2352" s="1" t="s">
        <v>429</v>
      </c>
      <c r="L2352" s="1" t="s">
        <v>430</v>
      </c>
      <c r="M2352" s="1" t="s">
        <v>430</v>
      </c>
    </row>
    <row r="2353" spans="2:14" x14ac:dyDescent="0.15">
      <c r="B2353" s="33" t="s">
        <v>408</v>
      </c>
      <c r="C2353" s="29" t="s">
        <v>1200</v>
      </c>
      <c r="D2353" s="29" t="s">
        <v>1087</v>
      </c>
      <c r="E2353" s="29">
        <v>0</v>
      </c>
      <c r="F2353" s="29"/>
      <c r="G2353" s="147"/>
      <c r="H2353" s="107" t="str">
        <f t="shared" si="26"/>
        <v>ifnull(sum(if(t.order_dir=1,ifnull(t.strike_amt,0),0)),0) as trade_capt_qty,/*交易占用数量*/</v>
      </c>
      <c r="I2353" s="7" t="s">
        <v>451</v>
      </c>
      <c r="J2353" s="1" t="s">
        <v>428</v>
      </c>
      <c r="K2353" s="1" t="s">
        <v>429</v>
      </c>
      <c r="L2353" s="1" t="s">
        <v>430</v>
      </c>
      <c r="M2353" s="1" t="s">
        <v>430</v>
      </c>
    </row>
    <row r="2354" spans="2:14" x14ac:dyDescent="0.15">
      <c r="B2354" s="33" t="s">
        <v>409</v>
      </c>
      <c r="C2354" s="29" t="s">
        <v>1201</v>
      </c>
      <c r="D2354" s="29" t="s">
        <v>1087</v>
      </c>
      <c r="E2354" s="29">
        <v>0</v>
      </c>
      <c r="F2354" s="29"/>
      <c r="G2354" s="147"/>
      <c r="H2354" s="107" t="str">
        <f t="shared" si="26"/>
        <v>ifnull(sum(if(t.order_dir=1,ifnull(t.strike_amt,0),0))/sum(if(t.order_dir=1,ifnull(t.strike_amt,0),0)),0) as trade_releas_qty,/*交易释放数量*/</v>
      </c>
      <c r="I2354" s="7" t="s">
        <v>450</v>
      </c>
      <c r="J2354" s="1" t="s">
        <v>428</v>
      </c>
      <c r="K2354" s="1" t="s">
        <v>429</v>
      </c>
      <c r="L2354" s="1" t="s">
        <v>430</v>
      </c>
      <c r="M2354" s="1" t="s">
        <v>430</v>
      </c>
    </row>
    <row r="2355" spans="2:14" x14ac:dyDescent="0.15">
      <c r="B2355" s="33" t="s">
        <v>410</v>
      </c>
      <c r="C2355" s="29" t="s">
        <v>1137</v>
      </c>
      <c r="D2355" s="29" t="s">
        <v>1087</v>
      </c>
      <c r="E2355" s="29">
        <v>0</v>
      </c>
      <c r="F2355" s="29"/>
      <c r="H2355" s="107" t="str">
        <f t="shared" si="26"/>
        <v>ifnull(sum(if(t.order_dir=1,ifnull(t.strike_qty,0),0)),0) as strike_capt_qty,/*成交占用数量*/</v>
      </c>
      <c r="I2355" s="7" t="s">
        <v>449</v>
      </c>
      <c r="J2355" s="1" t="s">
        <v>428</v>
      </c>
      <c r="K2355" s="1" t="s">
        <v>429</v>
      </c>
      <c r="L2355" s="1" t="s">
        <v>430</v>
      </c>
      <c r="M2355" s="1" t="s">
        <v>430</v>
      </c>
      <c r="N2355" s="1">
        <v>1163</v>
      </c>
    </row>
    <row r="2356" spans="2:14" x14ac:dyDescent="0.15">
      <c r="B2356" s="33" t="s">
        <v>411</v>
      </c>
      <c r="C2356" s="29" t="s">
        <v>1138</v>
      </c>
      <c r="D2356" s="29" t="s">
        <v>1087</v>
      </c>
      <c r="E2356" s="29">
        <v>0</v>
      </c>
      <c r="F2356" s="29"/>
      <c r="H2356" s="107"/>
      <c r="I2356" s="7"/>
    </row>
    <row r="2357" spans="2:14" x14ac:dyDescent="0.15">
      <c r="B2357" s="33" t="s">
        <v>419</v>
      </c>
      <c r="C2357" s="29" t="s">
        <v>1213</v>
      </c>
      <c r="D2357" s="29" t="s">
        <v>1169</v>
      </c>
      <c r="E2357" s="29">
        <v>0</v>
      </c>
      <c r="F2357" s="29"/>
      <c r="H2357" s="107"/>
      <c r="I2357" s="7"/>
    </row>
    <row r="2358" spans="2:14" x14ac:dyDescent="0.15">
      <c r="B2358" s="33" t="s">
        <v>12</v>
      </c>
      <c r="C2358" s="29" t="s">
        <v>1143</v>
      </c>
      <c r="D2358" s="29" t="s">
        <v>1169</v>
      </c>
      <c r="E2358" s="29">
        <v>0</v>
      </c>
      <c r="F2358" s="29"/>
      <c r="H2358" s="107"/>
      <c r="I2358" s="7"/>
    </row>
    <row r="2359" spans="2:14" x14ac:dyDescent="0.15">
      <c r="B2359" s="142" t="s">
        <v>13</v>
      </c>
      <c r="C2359" s="113" t="s">
        <v>1205</v>
      </c>
      <c r="D2359" s="113" t="s">
        <v>1169</v>
      </c>
      <c r="E2359" s="113">
        <v>0</v>
      </c>
      <c r="F2359" s="113"/>
      <c r="H2359" s="107"/>
      <c r="I2359" s="7"/>
    </row>
    <row r="2360" spans="2:14" x14ac:dyDescent="0.15">
      <c r="B2360" s="142" t="s">
        <v>14</v>
      </c>
      <c r="C2360" s="113" t="s">
        <v>1206</v>
      </c>
      <c r="D2360" s="113" t="s">
        <v>1169</v>
      </c>
      <c r="E2360" s="113">
        <v>0</v>
      </c>
      <c r="F2360" s="113"/>
      <c r="H2360" s="107"/>
      <c r="I2360" s="7"/>
    </row>
    <row r="2361" spans="2:14" x14ac:dyDescent="0.15">
      <c r="B2361" s="142" t="s">
        <v>389</v>
      </c>
      <c r="C2361" s="113" t="s">
        <v>1477</v>
      </c>
      <c r="D2361" s="113" t="s">
        <v>1211</v>
      </c>
      <c r="E2361" s="113">
        <v>0</v>
      </c>
      <c r="F2361" s="113"/>
      <c r="G2361" s="1" t="s">
        <v>1505</v>
      </c>
      <c r="H2361" s="107"/>
      <c r="I2361" s="7"/>
    </row>
    <row r="2362" spans="2:14" x14ac:dyDescent="0.15">
      <c r="B2362" s="142" t="s">
        <v>439</v>
      </c>
      <c r="C2362" s="113" t="s">
        <v>1236</v>
      </c>
      <c r="D2362" s="113" t="s">
        <v>1211</v>
      </c>
      <c r="E2362" s="113">
        <v>0</v>
      </c>
      <c r="F2362" s="113"/>
      <c r="H2362" s="107"/>
      <c r="I2362" s="7"/>
    </row>
    <row r="2363" spans="2:14" x14ac:dyDescent="0.15">
      <c r="B2363" s="142" t="s">
        <v>445</v>
      </c>
      <c r="C2363" s="113" t="s">
        <v>1479</v>
      </c>
      <c r="D2363" s="113" t="s">
        <v>1169</v>
      </c>
      <c r="E2363" s="113">
        <v>0</v>
      </c>
      <c r="F2363" s="113"/>
      <c r="H2363" s="107"/>
      <c r="I2363" s="7"/>
    </row>
    <row r="2364" spans="2:14" x14ac:dyDescent="0.15">
      <c r="B2364" s="142" t="s">
        <v>484</v>
      </c>
      <c r="C2364" s="113" t="s">
        <v>1483</v>
      </c>
      <c r="D2364" s="113" t="s">
        <v>1172</v>
      </c>
      <c r="E2364" s="113">
        <v>0</v>
      </c>
      <c r="F2364" s="113"/>
      <c r="H2364" s="107"/>
      <c r="I2364" s="7"/>
    </row>
    <row r="2365" spans="2:14" x14ac:dyDescent="0.15">
      <c r="B2365" s="142" t="s">
        <v>475</v>
      </c>
      <c r="C2365" s="113" t="s">
        <v>1480</v>
      </c>
      <c r="D2365" s="113" t="s">
        <v>1087</v>
      </c>
      <c r="E2365" s="113">
        <v>0</v>
      </c>
      <c r="F2365" s="113"/>
      <c r="G2365" s="1" t="s">
        <v>1506</v>
      </c>
      <c r="H2365" s="107"/>
      <c r="I2365" s="7"/>
    </row>
    <row r="2366" spans="2:14" x14ac:dyDescent="0.15">
      <c r="B2366" s="142" t="s">
        <v>476</v>
      </c>
      <c r="C2366" s="113" t="s">
        <v>1482</v>
      </c>
      <c r="D2366" s="113" t="s">
        <v>1087</v>
      </c>
      <c r="E2366" s="113">
        <v>0</v>
      </c>
      <c r="F2366" s="113"/>
      <c r="G2366" s="1" t="s">
        <v>1506</v>
      </c>
      <c r="H2366" s="107" t="str">
        <f t="shared" ref="H2366:H2371" si="27">"ifnull("&amp;IF(I2366&lt;&gt;"",I2366,IF(F2366&lt;&gt;"",F2366,"t")&amp;"."&amp;C2366)&amp;","&amp;E2366&amp;") as "&amp;C2366&amp;",/*"&amp;B2366&amp;"*/"</f>
        <v>ifnull(sum(if(t.order_dir=1,ifnull(t.strike_amt,0),0)),0) as comm_avail_qty,/*指令端可用数量*/</v>
      </c>
      <c r="I2366" s="7" t="s">
        <v>451</v>
      </c>
      <c r="J2366" s="1" t="s">
        <v>428</v>
      </c>
      <c r="K2366" s="1" t="s">
        <v>429</v>
      </c>
      <c r="L2366" s="1" t="s">
        <v>430</v>
      </c>
      <c r="M2366" s="1" t="s">
        <v>430</v>
      </c>
    </row>
    <row r="2367" spans="2:14" ht="16.5" customHeight="1" x14ac:dyDescent="0.15">
      <c r="B2367" s="142" t="s">
        <v>490</v>
      </c>
      <c r="C2367" s="113" t="s">
        <v>1507</v>
      </c>
      <c r="D2367" s="113" t="s">
        <v>1087</v>
      </c>
      <c r="E2367" s="113">
        <v>0</v>
      </c>
      <c r="F2367" s="113"/>
      <c r="H2367" s="107" t="str">
        <f t="shared" si="27"/>
        <v>ifnull(sum(if(t.order_dir=2,ifnull(t.strike_amt,0),0))/sum(if(t.order_dir=2,ifnull(t.strike_amt,0),0)),0) as static_avail_qty,/*静态可用数量*/</v>
      </c>
      <c r="I2367" s="7" t="s">
        <v>452</v>
      </c>
      <c r="J2367" s="1" t="s">
        <v>428</v>
      </c>
      <c r="K2367" s="1" t="s">
        <v>429</v>
      </c>
      <c r="L2367" s="1" t="s">
        <v>430</v>
      </c>
      <c r="M2367" s="1" t="s">
        <v>430</v>
      </c>
    </row>
    <row r="2368" spans="2:14" ht="16.5" customHeight="1" x14ac:dyDescent="0.15">
      <c r="B2368" s="142" t="s">
        <v>480</v>
      </c>
      <c r="C2368" s="113" t="s">
        <v>1079</v>
      </c>
      <c r="D2368" s="113" t="s">
        <v>1172</v>
      </c>
      <c r="E2368" s="113">
        <v>0</v>
      </c>
      <c r="F2368" s="113"/>
      <c r="H2368" s="107" t="str">
        <f t="shared" si="27"/>
        <v>ifnull(sum(if(t.order_dir=1,1,-1)*ifnull(t.strike_amt,0)),0) as posi_nav_ratio,/*持仓净值占比*/</v>
      </c>
      <c r="I2368" s="7" t="s">
        <v>453</v>
      </c>
    </row>
    <row r="2369" spans="1:14" x14ac:dyDescent="0.15">
      <c r="B2369" s="142" t="s">
        <v>481</v>
      </c>
      <c r="C2369" s="113" t="s">
        <v>1209</v>
      </c>
      <c r="D2369" s="113" t="s">
        <v>1169</v>
      </c>
      <c r="E2369" s="113">
        <v>0</v>
      </c>
      <c r="F2369" s="113"/>
      <c r="G2369" s="245"/>
      <c r="H2369" s="107" t="str">
        <f t="shared" si="27"/>
        <v>ifnull(min(if(t.order_dir=1,t.order_time,NULL)),0) as bond_receivable_amt,/*债券应收利息*/</v>
      </c>
      <c r="I2369" s="7" t="s">
        <v>520</v>
      </c>
      <c r="J2369" s="1" t="s">
        <v>428</v>
      </c>
      <c r="K2369" s="1" t="s">
        <v>429</v>
      </c>
      <c r="L2369" s="1" t="s">
        <v>430</v>
      </c>
      <c r="M2369" s="1" t="s">
        <v>430</v>
      </c>
      <c r="N2369" s="1">
        <v>1163</v>
      </c>
    </row>
    <row r="2370" spans="1:14" x14ac:dyDescent="0.15">
      <c r="B2370" s="142" t="s">
        <v>477</v>
      </c>
      <c r="C2370" s="113" t="s">
        <v>1530</v>
      </c>
      <c r="D2370" s="113" t="s">
        <v>1169</v>
      </c>
      <c r="E2370" s="113">
        <v>0</v>
      </c>
      <c r="F2370" s="113"/>
      <c r="G2370" s="245"/>
      <c r="H2370" s="107" t="str">
        <f t="shared" si="27"/>
        <v>ifnull(max(if(t.order_dir=1,t.order_time,NULL)),0) as full_holding_amt,/*全价持仓市值*/</v>
      </c>
      <c r="I2370" s="7" t="s">
        <v>521</v>
      </c>
      <c r="J2370" s="1" t="s">
        <v>428</v>
      </c>
      <c r="K2370" s="1" t="s">
        <v>429</v>
      </c>
      <c r="L2370" s="1" t="s">
        <v>430</v>
      </c>
      <c r="M2370" s="1" t="s">
        <v>430</v>
      </c>
    </row>
    <row r="2371" spans="1:14" ht="16.5" customHeight="1" x14ac:dyDescent="0.15">
      <c r="B2371" s="142" t="s">
        <v>487</v>
      </c>
      <c r="C2371" s="113" t="s">
        <v>1208</v>
      </c>
      <c r="D2371" s="113" t="s">
        <v>1087</v>
      </c>
      <c r="E2371" s="113">
        <v>0</v>
      </c>
      <c r="F2371" s="113"/>
      <c r="G2371" s="245"/>
      <c r="H2371" s="107" t="str">
        <f t="shared" si="27"/>
        <v>ifnull(min(if(t.order_dir=2,t.order_time,NULL)),0) as impawn_qty,/*质押数量*/</v>
      </c>
      <c r="I2371" s="7" t="s">
        <v>522</v>
      </c>
      <c r="J2371" s="1" t="s">
        <v>428</v>
      </c>
      <c r="K2371" s="1" t="s">
        <v>429</v>
      </c>
      <c r="L2371" s="1" t="s">
        <v>430</v>
      </c>
      <c r="M2371" s="1" t="s">
        <v>430</v>
      </c>
    </row>
    <row r="2372" spans="1:14" s="7" customFormat="1" ht="16.5" customHeight="1" thickBot="1" x14ac:dyDescent="0.2">
      <c r="A2372" s="2"/>
      <c r="B2372" s="24"/>
      <c r="C2372" s="9"/>
      <c r="D2372" s="9"/>
      <c r="E2372" s="9"/>
      <c r="F2372" s="9"/>
      <c r="G2372" s="11"/>
      <c r="H2372" s="107"/>
    </row>
    <row r="2373" spans="1:14" s="7" customFormat="1" x14ac:dyDescent="0.15">
      <c r="A2373" s="2"/>
      <c r="B2373" s="327" t="s">
        <v>15</v>
      </c>
      <c r="C2373" s="328"/>
      <c r="D2373" s="328"/>
      <c r="E2373" s="328"/>
      <c r="F2373" s="328"/>
      <c r="G2373" s="329"/>
      <c r="H2373" s="107"/>
    </row>
    <row r="2374" spans="1:14" s="7" customFormat="1" ht="18" thickBot="1" x14ac:dyDescent="0.2">
      <c r="A2374" s="2"/>
      <c r="B2374" s="24"/>
      <c r="C2374" s="9"/>
      <c r="D2374" s="9"/>
      <c r="E2374" s="9"/>
      <c r="F2374" s="9"/>
      <c r="G2374" s="11"/>
    </row>
    <row r="2375" spans="1:14" ht="18" thickBot="1" x14ac:dyDescent="0.2"/>
    <row r="2376" spans="1:14" s="7" customFormat="1" x14ac:dyDescent="0.15">
      <c r="A2376" s="2"/>
      <c r="B2376" s="3" t="s">
        <v>563</v>
      </c>
      <c r="C2376" s="235" t="s">
        <v>748</v>
      </c>
      <c r="D2376" s="5" t="s">
        <v>515</v>
      </c>
      <c r="E2376" s="21" t="s">
        <v>1031</v>
      </c>
      <c r="F2376" s="5" t="s">
        <v>567</v>
      </c>
      <c r="G2376" s="6" t="s">
        <v>747</v>
      </c>
      <c r="H2376" s="6" t="e">
        <f>"create or replace view "&amp;#REF!</f>
        <v>#REF!</v>
      </c>
    </row>
    <row r="2377" spans="1:14" s="7" customFormat="1" ht="18" thickBot="1" x14ac:dyDescent="0.2">
      <c r="A2377" s="2"/>
      <c r="B2377" s="34" t="s">
        <v>570</v>
      </c>
      <c r="C2377" s="18"/>
      <c r="D2377" s="35" t="s">
        <v>568</v>
      </c>
      <c r="E2377" s="18" t="s">
        <v>615</v>
      </c>
      <c r="F2377" s="35"/>
      <c r="G2377" s="147" t="s">
        <v>421</v>
      </c>
      <c r="H2377" s="11" t="e">
        <f>"/* "&amp;#REF!&amp;"*/  as "</f>
        <v>#REF!</v>
      </c>
    </row>
    <row r="2378" spans="1:14" s="7" customFormat="1" x14ac:dyDescent="0.15">
      <c r="A2378" s="2"/>
      <c r="B2378" s="3" t="s">
        <v>0</v>
      </c>
      <c r="C2378" s="5" t="s">
        <v>1</v>
      </c>
      <c r="D2378" s="5" t="s">
        <v>2</v>
      </c>
      <c r="E2378" s="5"/>
      <c r="F2378" s="5" t="s">
        <v>3</v>
      </c>
      <c r="G2378" s="36" t="s">
        <v>4</v>
      </c>
      <c r="H2378" s="13" t="s">
        <v>474</v>
      </c>
    </row>
    <row r="2379" spans="1:14" x14ac:dyDescent="0.15">
      <c r="B2379" s="33" t="s">
        <v>478</v>
      </c>
      <c r="C2379" s="29" t="s">
        <v>1476</v>
      </c>
      <c r="D2379" s="29" t="s">
        <v>1345</v>
      </c>
      <c r="E2379" s="29">
        <v>0</v>
      </c>
      <c r="F2379" s="29"/>
      <c r="G2379" s="176"/>
      <c r="H2379" s="107" t="str">
        <f>"ifnull("&amp;IF(I2379&lt;&gt;"",I2379,IF(F2379&lt;&gt;"",F2379,"t")&amp;"."&amp;C2379)&amp;","&amp;E2379&amp;") as "&amp;C2379&amp;",/*"&amp;B2379&amp;"*/"</f>
        <v>ifnull(t.row_id,0) as row_id,/*记录序号*/</v>
      </c>
      <c r="J2379" s="1" t="s">
        <v>424</v>
      </c>
      <c r="K2379" s="1" t="s">
        <v>425</v>
      </c>
      <c r="L2379" s="1" t="s">
        <v>423</v>
      </c>
      <c r="M2379" s="1" t="s">
        <v>423</v>
      </c>
      <c r="N2379" s="1">
        <v>1211</v>
      </c>
    </row>
    <row r="2380" spans="1:14" x14ac:dyDescent="0.15">
      <c r="B2380" s="33" t="s">
        <v>6</v>
      </c>
      <c r="C2380" s="29" t="s">
        <v>1163</v>
      </c>
      <c r="D2380" s="29" t="s">
        <v>211</v>
      </c>
      <c r="E2380" s="29">
        <v>0</v>
      </c>
      <c r="F2380" s="29"/>
      <c r="G2380" s="176" t="s">
        <v>1077</v>
      </c>
      <c r="H2380" s="107" t="str">
        <f>"ifnull("&amp;IF(I2380&lt;&gt;"",I2380,IF(F2380&lt;&gt;"",F2380,"t")&amp;"."&amp;C2380)&amp;","&amp;E2380&amp;") as "&amp;C2380&amp;",/*"&amp;B2380&amp;"*/"</f>
        <v>ifnull(t.co_no,0) as co_no,/*机构编号*/</v>
      </c>
      <c r="J2380" s="1" t="s">
        <v>424</v>
      </c>
      <c r="K2380" s="1" t="s">
        <v>425</v>
      </c>
      <c r="L2380" s="1" t="s">
        <v>423</v>
      </c>
      <c r="M2380" s="1" t="s">
        <v>423</v>
      </c>
      <c r="N2380" s="1">
        <v>1606</v>
      </c>
    </row>
    <row r="2381" spans="1:14" x14ac:dyDescent="0.15">
      <c r="B2381" s="33" t="s">
        <v>427</v>
      </c>
      <c r="C2381" s="29" t="s">
        <v>1188</v>
      </c>
      <c r="D2381" s="29" t="s">
        <v>211</v>
      </c>
      <c r="E2381" s="29">
        <v>0</v>
      </c>
      <c r="F2381" s="29"/>
      <c r="G2381" s="176"/>
      <c r="H2381" s="107" t="str">
        <f>"ifnull("&amp;IF(I2381&lt;&gt;"",I2381,IF(F2381&lt;&gt;"",F2381,"t")&amp;"."&amp;C2381)&amp;","&amp;E2381&amp;") as "&amp;C2381&amp;",/*"&amp;B2381&amp;"*/"</f>
        <v>ifnull(t.stock_code_no,0) as stock_code_no,/*证券代码编号*/</v>
      </c>
      <c r="J2381" s="1" t="s">
        <v>424</v>
      </c>
      <c r="K2381" s="1" t="s">
        <v>425</v>
      </c>
      <c r="L2381" s="1" t="s">
        <v>423</v>
      </c>
      <c r="M2381" s="1" t="s">
        <v>423</v>
      </c>
      <c r="N2381" s="1">
        <v>2155</v>
      </c>
    </row>
    <row r="2382" spans="1:14" x14ac:dyDescent="0.15">
      <c r="B2382" s="33" t="s">
        <v>7</v>
      </c>
      <c r="C2382" s="29" t="s">
        <v>1190</v>
      </c>
      <c r="D2382" s="29" t="s">
        <v>211</v>
      </c>
      <c r="E2382" s="29">
        <v>0</v>
      </c>
      <c r="F2382" s="29"/>
      <c r="G2382" s="1" t="s">
        <v>1504</v>
      </c>
      <c r="H2382" s="107" t="str">
        <f>"ifnull("&amp;IF(I2382&lt;&gt;"",I2382,IF(E2376&lt;&gt;"",E2376,"t")&amp;"."&amp;C2382)&amp;","&amp;E2382&amp;") as "&amp;C2382&amp;",/*"&amp;B2382&amp;"*/"</f>
        <v>ifnull(报表_资管报表_视图-汇总-交易组-证券-持仓-历史.exch_no,0) as exch_no,/*市场编号*/</v>
      </c>
      <c r="J2382" s="1" t="s">
        <v>424</v>
      </c>
      <c r="K2382" s="1" t="s">
        <v>425</v>
      </c>
      <c r="L2382" s="1" t="s">
        <v>423</v>
      </c>
      <c r="M2382" s="1" t="s">
        <v>423</v>
      </c>
      <c r="N2382" s="1">
        <v>2430</v>
      </c>
    </row>
    <row r="2383" spans="1:14" s="7" customFormat="1" x14ac:dyDescent="0.15">
      <c r="A2383" s="2"/>
      <c r="B2383" s="33" t="s">
        <v>93</v>
      </c>
      <c r="C2383" s="29" t="s">
        <v>1189</v>
      </c>
      <c r="D2383" s="29" t="s">
        <v>211</v>
      </c>
      <c r="E2383" s="29">
        <v>0</v>
      </c>
      <c r="F2383" s="29"/>
      <c r="G2383" s="176"/>
      <c r="H2383" s="107" t="str">
        <f t="shared" ref="H2383:H2393" si="28">"ifnull("&amp;IF(I2383&lt;&gt;"",I2383,IF(F2383&lt;&gt;"",F2383,"t")&amp;"."&amp;C2383)&amp;","&amp;E2383&amp;") as "&amp;C2383&amp;",/*"&amp;B2383&amp;"*/"</f>
        <v>ifnull(t.stock_type,0) as stock_type,/*证券类型*/</v>
      </c>
      <c r="J2383" s="7" t="s">
        <v>424</v>
      </c>
      <c r="K2383" s="7" t="s">
        <v>425</v>
      </c>
      <c r="L2383" s="7" t="s">
        <v>423</v>
      </c>
      <c r="M2383" s="7" t="s">
        <v>423</v>
      </c>
      <c r="N2383" s="7">
        <v>2433</v>
      </c>
    </row>
    <row r="2384" spans="1:14" s="7" customFormat="1" x14ac:dyDescent="0.15">
      <c r="A2384" s="2"/>
      <c r="B2384" s="33" t="s">
        <v>162</v>
      </c>
      <c r="C2384" s="29" t="s">
        <v>1214</v>
      </c>
      <c r="D2384" s="29" t="s">
        <v>1169</v>
      </c>
      <c r="E2384" s="29">
        <v>0</v>
      </c>
      <c r="F2384" s="29"/>
      <c r="G2384" s="176"/>
      <c r="H2384" s="107" t="str">
        <f t="shared" si="28"/>
        <v>ifnull(t.posi_market_value,0) as posi_market_value,/*持仓市值*/</v>
      </c>
      <c r="J2384" s="7" t="s">
        <v>424</v>
      </c>
      <c r="K2384" s="7" t="s">
        <v>425</v>
      </c>
      <c r="L2384" s="7" t="s">
        <v>423</v>
      </c>
      <c r="M2384" s="7" t="s">
        <v>423</v>
      </c>
      <c r="N2384" s="7">
        <v>2528</v>
      </c>
    </row>
    <row r="2385" spans="2:14" s="7" customFormat="1" x14ac:dyDescent="0.15">
      <c r="B2385" s="33" t="s">
        <v>8</v>
      </c>
      <c r="C2385" s="29" t="s">
        <v>1193</v>
      </c>
      <c r="D2385" s="29" t="s">
        <v>1087</v>
      </c>
      <c r="E2385" s="29">
        <v>0</v>
      </c>
      <c r="F2385" s="29"/>
      <c r="G2385" s="176" t="s">
        <v>1194</v>
      </c>
      <c r="H2385" s="107" t="str">
        <f t="shared" si="28"/>
        <v>ifnull(sum(t.begin_qty),0) as begin_qty,/*期初数量*/</v>
      </c>
      <c r="I2385" s="7" t="str">
        <f>"sum(t."&amp;C2385&amp;")"</f>
        <v>sum(t.begin_qty)</v>
      </c>
      <c r="J2385" s="7" t="s">
        <v>428</v>
      </c>
      <c r="K2385" s="7" t="s">
        <v>429</v>
      </c>
      <c r="L2385" s="7" t="s">
        <v>430</v>
      </c>
      <c r="M2385" s="7" t="s">
        <v>430</v>
      </c>
      <c r="N2385" s="7">
        <v>1306</v>
      </c>
    </row>
    <row r="2386" spans="2:14" s="7" customFormat="1" x14ac:dyDescent="0.15">
      <c r="B2386" s="33" t="s">
        <v>9</v>
      </c>
      <c r="C2386" s="29" t="s">
        <v>1195</v>
      </c>
      <c r="D2386" s="29" t="s">
        <v>1087</v>
      </c>
      <c r="E2386" s="29">
        <v>0</v>
      </c>
      <c r="F2386" s="29"/>
      <c r="G2386" s="176" t="s">
        <v>1196</v>
      </c>
      <c r="H2386" s="107" t="str">
        <f t="shared" si="28"/>
        <v>ifnull(sum(t.curr_qty),0) as curr_qty,/*当前数量*/</v>
      </c>
      <c r="I2386" s="7" t="str">
        <f>"sum(t."&amp;C2386&amp;")"</f>
        <v>sum(t.curr_qty)</v>
      </c>
      <c r="J2386" s="7" t="s">
        <v>428</v>
      </c>
      <c r="K2386" s="7" t="s">
        <v>429</v>
      </c>
      <c r="L2386" s="7" t="s">
        <v>430</v>
      </c>
      <c r="M2386" s="7" t="s">
        <v>430</v>
      </c>
      <c r="N2386" s="7">
        <v>1310</v>
      </c>
    </row>
    <row r="2387" spans="2:14" s="7" customFormat="1" x14ac:dyDescent="0.15">
      <c r="B2387" s="33" t="s">
        <v>10</v>
      </c>
      <c r="C2387" s="29" t="s">
        <v>1197</v>
      </c>
      <c r="D2387" s="29" t="s">
        <v>1087</v>
      </c>
      <c r="E2387" s="29">
        <v>0</v>
      </c>
      <c r="F2387" s="29"/>
      <c r="G2387" s="176" t="s">
        <v>1144</v>
      </c>
      <c r="H2387" s="107" t="str">
        <f t="shared" si="28"/>
        <v>ifnull(sum(t.frozen_qty),0) as frozen_qty,/*冻结数量*/</v>
      </c>
      <c r="I2387" s="7" t="str">
        <f>"sum(t."&amp;C2387&amp;")"</f>
        <v>sum(t.frozen_qty)</v>
      </c>
      <c r="J2387" s="7" t="s">
        <v>428</v>
      </c>
      <c r="K2387" s="7" t="s">
        <v>429</v>
      </c>
      <c r="L2387" s="7" t="s">
        <v>430</v>
      </c>
      <c r="M2387" s="7" t="s">
        <v>430</v>
      </c>
      <c r="N2387" s="7">
        <v>1188</v>
      </c>
    </row>
    <row r="2388" spans="2:14" s="7" customFormat="1" x14ac:dyDescent="0.15">
      <c r="B2388" s="33" t="s">
        <v>11</v>
      </c>
      <c r="C2388" s="29" t="s">
        <v>1198</v>
      </c>
      <c r="D2388" s="29" t="s">
        <v>1087</v>
      </c>
      <c r="E2388" s="29">
        <v>0</v>
      </c>
      <c r="F2388" s="29"/>
      <c r="G2388" s="176" t="s">
        <v>1080</v>
      </c>
      <c r="H2388" s="107" t="str">
        <f t="shared" si="28"/>
        <v>ifnull(sum(t.unfroz_qty),0) as unfroz_qty,/*解冻数量*/</v>
      </c>
      <c r="I2388" s="7" t="str">
        <f>"sum(t."&amp;C2388&amp;")"</f>
        <v>sum(t.unfroz_qty)</v>
      </c>
      <c r="J2388" s="7" t="s">
        <v>428</v>
      </c>
      <c r="K2388" s="7" t="s">
        <v>429</v>
      </c>
      <c r="L2388" s="7" t="s">
        <v>430</v>
      </c>
      <c r="M2388" s="7" t="s">
        <v>430</v>
      </c>
      <c r="N2388" s="7">
        <v>1179</v>
      </c>
    </row>
    <row r="2389" spans="2:14" s="7" customFormat="1" x14ac:dyDescent="0.15">
      <c r="B2389" s="33" t="s">
        <v>404</v>
      </c>
      <c r="C2389" s="29" t="s">
        <v>1335</v>
      </c>
      <c r="D2389" s="29" t="s">
        <v>1087</v>
      </c>
      <c r="E2389" s="29">
        <v>0</v>
      </c>
      <c r="F2389" s="29"/>
      <c r="G2389" s="176"/>
      <c r="H2389" s="107" t="str">
        <f t="shared" si="28"/>
        <v>ifnull(sum(t.comm_capt_qty),0) as comm_capt_qty,/*指令占用数量*/</v>
      </c>
      <c r="I2389" s="7" t="str">
        <f>"sum(t."&amp;C2389&amp;")"</f>
        <v>sum(t.comm_capt_qty)</v>
      </c>
      <c r="J2389" s="7" t="s">
        <v>428</v>
      </c>
      <c r="K2389" s="7" t="s">
        <v>429</v>
      </c>
      <c r="L2389" s="7" t="s">
        <v>430</v>
      </c>
      <c r="M2389" s="7" t="s">
        <v>430</v>
      </c>
      <c r="N2389" s="7">
        <v>1180</v>
      </c>
    </row>
    <row r="2390" spans="2:14" x14ac:dyDescent="0.15">
      <c r="B2390" s="33" t="s">
        <v>405</v>
      </c>
      <c r="C2390" s="29" t="s">
        <v>1199</v>
      </c>
      <c r="D2390" s="29" t="s">
        <v>1087</v>
      </c>
      <c r="E2390" s="29">
        <v>0</v>
      </c>
      <c r="F2390" s="29"/>
      <c r="G2390" s="147"/>
      <c r="H2390" s="107" t="str">
        <f t="shared" si="28"/>
        <v>ifnull(sum(if(t.order_dir=1,ifnull(t.strike_qty,0),0)),0) as comm_releas_qty,/*指令释放数量*/</v>
      </c>
      <c r="I2390" s="7" t="s">
        <v>449</v>
      </c>
      <c r="J2390" s="1" t="s">
        <v>428</v>
      </c>
      <c r="K2390" s="1" t="s">
        <v>429</v>
      </c>
      <c r="L2390" s="1" t="s">
        <v>430</v>
      </c>
      <c r="M2390" s="1" t="s">
        <v>430</v>
      </c>
    </row>
    <row r="2391" spans="2:14" x14ac:dyDescent="0.15">
      <c r="B2391" s="33" t="s">
        <v>408</v>
      </c>
      <c r="C2391" s="29" t="s">
        <v>1200</v>
      </c>
      <c r="D2391" s="29" t="s">
        <v>1087</v>
      </c>
      <c r="E2391" s="29">
        <v>0</v>
      </c>
      <c r="F2391" s="29"/>
      <c r="G2391" s="147"/>
      <c r="H2391" s="107" t="str">
        <f t="shared" si="28"/>
        <v>ifnull(sum(if(t.order_dir=1,ifnull(t.strike_amt,0),0)),0) as trade_capt_qty,/*交易占用数量*/</v>
      </c>
      <c r="I2391" s="7" t="s">
        <v>451</v>
      </c>
      <c r="J2391" s="1" t="s">
        <v>428</v>
      </c>
      <c r="K2391" s="1" t="s">
        <v>429</v>
      </c>
      <c r="L2391" s="1" t="s">
        <v>430</v>
      </c>
      <c r="M2391" s="1" t="s">
        <v>430</v>
      </c>
    </row>
    <row r="2392" spans="2:14" x14ac:dyDescent="0.15">
      <c r="B2392" s="33" t="s">
        <v>409</v>
      </c>
      <c r="C2392" s="29" t="s">
        <v>1201</v>
      </c>
      <c r="D2392" s="29" t="s">
        <v>1087</v>
      </c>
      <c r="E2392" s="29">
        <v>0</v>
      </c>
      <c r="F2392" s="29"/>
      <c r="G2392" s="147"/>
      <c r="H2392" s="107" t="str">
        <f t="shared" si="28"/>
        <v>ifnull(sum(if(t.order_dir=1,ifnull(t.strike_amt,0),0))/sum(if(t.order_dir=1,ifnull(t.strike_amt,0),0)),0) as trade_releas_qty,/*交易释放数量*/</v>
      </c>
      <c r="I2392" s="7" t="s">
        <v>450</v>
      </c>
      <c r="J2392" s="1" t="s">
        <v>428</v>
      </c>
      <c r="K2392" s="1" t="s">
        <v>429</v>
      </c>
      <c r="L2392" s="1" t="s">
        <v>430</v>
      </c>
      <c r="M2392" s="1" t="s">
        <v>430</v>
      </c>
    </row>
    <row r="2393" spans="2:14" x14ac:dyDescent="0.15">
      <c r="B2393" s="33" t="s">
        <v>410</v>
      </c>
      <c r="C2393" s="29" t="s">
        <v>1137</v>
      </c>
      <c r="D2393" s="29" t="s">
        <v>1087</v>
      </c>
      <c r="E2393" s="29">
        <v>0</v>
      </c>
      <c r="F2393" s="29"/>
      <c r="H2393" s="107" t="str">
        <f t="shared" si="28"/>
        <v>ifnull(sum(if(t.order_dir=1,ifnull(t.strike_qty,0),0)),0) as strike_capt_qty,/*成交占用数量*/</v>
      </c>
      <c r="I2393" s="7" t="s">
        <v>449</v>
      </c>
      <c r="J2393" s="1" t="s">
        <v>428</v>
      </c>
      <c r="K2393" s="1" t="s">
        <v>429</v>
      </c>
      <c r="L2393" s="1" t="s">
        <v>430</v>
      </c>
      <c r="M2393" s="1" t="s">
        <v>430</v>
      </c>
      <c r="N2393" s="1">
        <v>1163</v>
      </c>
    </row>
    <row r="2394" spans="2:14" x14ac:dyDescent="0.15">
      <c r="B2394" s="33" t="s">
        <v>411</v>
      </c>
      <c r="C2394" s="29" t="s">
        <v>1138</v>
      </c>
      <c r="D2394" s="29" t="s">
        <v>1087</v>
      </c>
      <c r="E2394" s="29">
        <v>0</v>
      </c>
      <c r="F2394" s="29"/>
      <c r="H2394" s="107"/>
      <c r="I2394" s="7"/>
    </row>
    <row r="2395" spans="2:14" x14ac:dyDescent="0.15">
      <c r="B2395" s="33" t="s">
        <v>419</v>
      </c>
      <c r="C2395" s="29" t="s">
        <v>1213</v>
      </c>
      <c r="D2395" s="29" t="s">
        <v>1169</v>
      </c>
      <c r="E2395" s="29">
        <v>0</v>
      </c>
      <c r="F2395" s="29"/>
      <c r="H2395" s="107"/>
      <c r="I2395" s="7"/>
    </row>
    <row r="2396" spans="2:14" x14ac:dyDescent="0.15">
      <c r="B2396" s="33" t="s">
        <v>12</v>
      </c>
      <c r="C2396" s="29" t="s">
        <v>1143</v>
      </c>
      <c r="D2396" s="29" t="s">
        <v>1169</v>
      </c>
      <c r="E2396" s="29">
        <v>0</v>
      </c>
      <c r="F2396" s="29"/>
      <c r="H2396" s="107"/>
      <c r="I2396" s="7"/>
    </row>
    <row r="2397" spans="2:14" x14ac:dyDescent="0.15">
      <c r="B2397" s="142" t="s">
        <v>13</v>
      </c>
      <c r="C2397" s="113" t="s">
        <v>1205</v>
      </c>
      <c r="D2397" s="113" t="s">
        <v>1169</v>
      </c>
      <c r="E2397" s="113">
        <v>0</v>
      </c>
      <c r="F2397" s="113"/>
      <c r="H2397" s="107"/>
      <c r="I2397" s="7"/>
    </row>
    <row r="2398" spans="2:14" x14ac:dyDescent="0.15">
      <c r="B2398" s="142" t="s">
        <v>14</v>
      </c>
      <c r="C2398" s="113" t="s">
        <v>1206</v>
      </c>
      <c r="D2398" s="113" t="s">
        <v>1169</v>
      </c>
      <c r="E2398" s="113">
        <v>0</v>
      </c>
      <c r="F2398" s="113"/>
      <c r="H2398" s="107"/>
      <c r="I2398" s="7"/>
    </row>
    <row r="2399" spans="2:14" x14ac:dyDescent="0.15">
      <c r="B2399" s="142" t="s">
        <v>389</v>
      </c>
      <c r="C2399" s="113" t="s">
        <v>1477</v>
      </c>
      <c r="D2399" s="113" t="s">
        <v>1211</v>
      </c>
      <c r="E2399" s="113">
        <v>0</v>
      </c>
      <c r="F2399" s="113"/>
      <c r="G2399" s="1" t="s">
        <v>1505</v>
      </c>
      <c r="H2399" s="107"/>
      <c r="I2399" s="7"/>
    </row>
    <row r="2400" spans="2:14" x14ac:dyDescent="0.15">
      <c r="B2400" s="142" t="s">
        <v>439</v>
      </c>
      <c r="C2400" s="113" t="s">
        <v>1236</v>
      </c>
      <c r="D2400" s="113" t="s">
        <v>1211</v>
      </c>
      <c r="E2400" s="113">
        <v>0</v>
      </c>
      <c r="F2400" s="113"/>
      <c r="H2400" s="107"/>
      <c r="I2400" s="7"/>
    </row>
    <row r="2401" spans="1:14" x14ac:dyDescent="0.15">
      <c r="B2401" s="142" t="s">
        <v>445</v>
      </c>
      <c r="C2401" s="113" t="s">
        <v>1479</v>
      </c>
      <c r="D2401" s="113" t="s">
        <v>1169</v>
      </c>
      <c r="E2401" s="113">
        <v>0</v>
      </c>
      <c r="F2401" s="113"/>
      <c r="H2401" s="107"/>
      <c r="I2401" s="7"/>
    </row>
    <row r="2402" spans="1:14" x14ac:dyDescent="0.15">
      <c r="B2402" s="142" t="s">
        <v>484</v>
      </c>
      <c r="C2402" s="113" t="s">
        <v>1483</v>
      </c>
      <c r="D2402" s="113" t="s">
        <v>1172</v>
      </c>
      <c r="E2402" s="113">
        <v>0</v>
      </c>
      <c r="F2402" s="113"/>
      <c r="H2402" s="107"/>
      <c r="I2402" s="7"/>
    </row>
    <row r="2403" spans="1:14" x14ac:dyDescent="0.15">
      <c r="B2403" s="142" t="s">
        <v>475</v>
      </c>
      <c r="C2403" s="113" t="s">
        <v>1480</v>
      </c>
      <c r="D2403" s="113" t="s">
        <v>1087</v>
      </c>
      <c r="E2403" s="113">
        <v>0</v>
      </c>
      <c r="F2403" s="113"/>
      <c r="G2403" s="1" t="s">
        <v>1506</v>
      </c>
      <c r="H2403" s="107"/>
      <c r="I2403" s="7"/>
    </row>
    <row r="2404" spans="1:14" x14ac:dyDescent="0.15">
      <c r="B2404" s="142" t="s">
        <v>476</v>
      </c>
      <c r="C2404" s="113" t="s">
        <v>1482</v>
      </c>
      <c r="D2404" s="113" t="s">
        <v>1087</v>
      </c>
      <c r="E2404" s="113">
        <v>0</v>
      </c>
      <c r="F2404" s="113"/>
      <c r="G2404" s="1" t="s">
        <v>1506</v>
      </c>
      <c r="H2404" s="107" t="str">
        <f t="shared" ref="H2404:H2409" si="29">"ifnull("&amp;IF(I2404&lt;&gt;"",I2404,IF(F2404&lt;&gt;"",F2404,"t")&amp;"."&amp;C2404)&amp;","&amp;E2404&amp;") as "&amp;C2404&amp;",/*"&amp;B2404&amp;"*/"</f>
        <v>ifnull(sum(if(t.order_dir=1,ifnull(t.strike_amt,0),0)),0) as comm_avail_qty,/*指令端可用数量*/</v>
      </c>
      <c r="I2404" s="7" t="s">
        <v>451</v>
      </c>
      <c r="J2404" s="1" t="s">
        <v>428</v>
      </c>
      <c r="K2404" s="1" t="s">
        <v>429</v>
      </c>
      <c r="L2404" s="1" t="s">
        <v>430</v>
      </c>
      <c r="M2404" s="1" t="s">
        <v>430</v>
      </c>
    </row>
    <row r="2405" spans="1:14" ht="16.5" customHeight="1" x14ac:dyDescent="0.15">
      <c r="B2405" s="142" t="s">
        <v>490</v>
      </c>
      <c r="C2405" s="113" t="s">
        <v>1507</v>
      </c>
      <c r="D2405" s="113" t="s">
        <v>1087</v>
      </c>
      <c r="E2405" s="113">
        <v>0</v>
      </c>
      <c r="F2405" s="113"/>
      <c r="H2405" s="107" t="str">
        <f t="shared" si="29"/>
        <v>ifnull(sum(if(t.order_dir=2,ifnull(t.strike_amt,0),0))/sum(if(t.order_dir=2,ifnull(t.strike_amt,0),0)),0) as static_avail_qty,/*静态可用数量*/</v>
      </c>
      <c r="I2405" s="7" t="s">
        <v>452</v>
      </c>
      <c r="J2405" s="1" t="s">
        <v>428</v>
      </c>
      <c r="K2405" s="1" t="s">
        <v>429</v>
      </c>
      <c r="L2405" s="1" t="s">
        <v>430</v>
      </c>
      <c r="M2405" s="1" t="s">
        <v>430</v>
      </c>
    </row>
    <row r="2406" spans="1:14" ht="16.5" customHeight="1" x14ac:dyDescent="0.15">
      <c r="B2406" s="142" t="s">
        <v>480</v>
      </c>
      <c r="C2406" s="113" t="s">
        <v>1079</v>
      </c>
      <c r="D2406" s="113" t="s">
        <v>1172</v>
      </c>
      <c r="E2406" s="113">
        <v>0</v>
      </c>
      <c r="F2406" s="113"/>
      <c r="H2406" s="107" t="str">
        <f t="shared" si="29"/>
        <v>ifnull(sum(if(t.order_dir=1,1,-1)*ifnull(t.strike_amt,0)),0) as posi_nav_ratio,/*持仓净值占比*/</v>
      </c>
      <c r="I2406" s="7" t="s">
        <v>453</v>
      </c>
    </row>
    <row r="2407" spans="1:14" x14ac:dyDescent="0.15">
      <c r="B2407" s="142" t="s">
        <v>481</v>
      </c>
      <c r="C2407" s="113" t="s">
        <v>1209</v>
      </c>
      <c r="D2407" s="113" t="s">
        <v>1169</v>
      </c>
      <c r="E2407" s="113">
        <v>0</v>
      </c>
      <c r="F2407" s="113"/>
      <c r="G2407" s="245"/>
      <c r="H2407" s="107" t="str">
        <f t="shared" si="29"/>
        <v>ifnull(min(if(t.order_dir=1,t.order_time,NULL)),0) as bond_receivable_amt,/*债券应收利息*/</v>
      </c>
      <c r="I2407" s="7" t="s">
        <v>520</v>
      </c>
      <c r="J2407" s="1" t="s">
        <v>428</v>
      </c>
      <c r="K2407" s="1" t="s">
        <v>429</v>
      </c>
      <c r="L2407" s="1" t="s">
        <v>430</v>
      </c>
      <c r="M2407" s="1" t="s">
        <v>430</v>
      </c>
      <c r="N2407" s="1">
        <v>1163</v>
      </c>
    </row>
    <row r="2408" spans="1:14" x14ac:dyDescent="0.15">
      <c r="B2408" s="142" t="s">
        <v>477</v>
      </c>
      <c r="C2408" s="113" t="s">
        <v>1530</v>
      </c>
      <c r="D2408" s="113" t="s">
        <v>1169</v>
      </c>
      <c r="E2408" s="113">
        <v>0</v>
      </c>
      <c r="F2408" s="113"/>
      <c r="G2408" s="245"/>
      <c r="H2408" s="107" t="str">
        <f t="shared" si="29"/>
        <v>ifnull(max(if(t.order_dir=1,t.order_time,NULL)),0) as full_holding_amt,/*全价持仓市值*/</v>
      </c>
      <c r="I2408" s="7" t="s">
        <v>521</v>
      </c>
      <c r="J2408" s="1" t="s">
        <v>428</v>
      </c>
      <c r="K2408" s="1" t="s">
        <v>429</v>
      </c>
      <c r="L2408" s="1" t="s">
        <v>430</v>
      </c>
      <c r="M2408" s="1" t="s">
        <v>430</v>
      </c>
    </row>
    <row r="2409" spans="1:14" ht="16.5" customHeight="1" x14ac:dyDescent="0.15">
      <c r="B2409" s="142" t="s">
        <v>487</v>
      </c>
      <c r="C2409" s="113" t="s">
        <v>1208</v>
      </c>
      <c r="D2409" s="113" t="s">
        <v>1087</v>
      </c>
      <c r="E2409" s="113">
        <v>0</v>
      </c>
      <c r="F2409" s="113"/>
      <c r="G2409" s="245"/>
      <c r="H2409" s="107" t="str">
        <f t="shared" si="29"/>
        <v>ifnull(min(if(t.order_dir=2,t.order_time,NULL)),0) as impawn_qty,/*质押数量*/</v>
      </c>
      <c r="I2409" s="7" t="s">
        <v>522</v>
      </c>
      <c r="J2409" s="1" t="s">
        <v>428</v>
      </c>
      <c r="K2409" s="1" t="s">
        <v>429</v>
      </c>
      <c r="L2409" s="1" t="s">
        <v>430</v>
      </c>
      <c r="M2409" s="1" t="s">
        <v>430</v>
      </c>
    </row>
    <row r="2410" spans="1:14" s="7" customFormat="1" ht="16.5" customHeight="1" thickBot="1" x14ac:dyDescent="0.2">
      <c r="A2410" s="2"/>
      <c r="B2410" s="24"/>
      <c r="C2410" s="9"/>
      <c r="D2410" s="9"/>
      <c r="E2410" s="9"/>
      <c r="F2410" s="9"/>
      <c r="G2410" s="11"/>
      <c r="H2410" s="107"/>
    </row>
    <row r="2411" spans="1:14" s="7" customFormat="1" x14ac:dyDescent="0.15">
      <c r="A2411" s="2"/>
      <c r="B2411" s="327" t="s">
        <v>15</v>
      </c>
      <c r="C2411" s="328"/>
      <c r="D2411" s="328"/>
      <c r="E2411" s="328"/>
      <c r="F2411" s="328"/>
      <c r="G2411" s="329"/>
      <c r="H2411" s="107"/>
    </row>
    <row r="2412" spans="1:14" s="7" customFormat="1" ht="18" thickBot="1" x14ac:dyDescent="0.2">
      <c r="A2412" s="2"/>
      <c r="B2412" s="24"/>
      <c r="C2412" s="9"/>
      <c r="D2412" s="9"/>
      <c r="E2412" s="9"/>
      <c r="F2412" s="9"/>
      <c r="G2412" s="11"/>
    </row>
    <row r="2413" spans="1:14" ht="18" thickBot="1" x14ac:dyDescent="0.2"/>
    <row r="2414" spans="1:14" s="7" customFormat="1" x14ac:dyDescent="0.15">
      <c r="A2414" s="2"/>
      <c r="B2414" s="3" t="s">
        <v>563</v>
      </c>
      <c r="C2414" s="4" t="s">
        <v>555</v>
      </c>
      <c r="D2414" s="5" t="s">
        <v>515</v>
      </c>
      <c r="E2414" s="21" t="s">
        <v>587</v>
      </c>
      <c r="F2414" s="5" t="s">
        <v>567</v>
      </c>
      <c r="G2414" s="6" t="s">
        <v>554</v>
      </c>
      <c r="H2414" s="6" t="str">
        <f>"create or replace view "&amp;C2414</f>
        <v>create or replace view vi_sum_pd_stock_strike</v>
      </c>
    </row>
    <row r="2415" spans="1:14" s="7" customFormat="1" ht="18" thickBot="1" x14ac:dyDescent="0.2">
      <c r="A2415" s="2"/>
      <c r="B2415" s="34" t="s">
        <v>570</v>
      </c>
      <c r="C2415" s="18"/>
      <c r="D2415" s="35" t="s">
        <v>568</v>
      </c>
      <c r="E2415" s="18" t="s">
        <v>615</v>
      </c>
      <c r="F2415" s="35"/>
      <c r="G2415" s="147" t="s">
        <v>421</v>
      </c>
      <c r="H2415" s="11" t="str">
        <f>"/* "&amp;E2414&amp;"*/  as "</f>
        <v xml:space="preserve">/* 报表_资管报表_视图-汇总-产品-证券-成交*/  as </v>
      </c>
    </row>
    <row r="2416" spans="1:14" s="7" customFormat="1" x14ac:dyDescent="0.15">
      <c r="A2416" s="2"/>
      <c r="B2416" s="3" t="s">
        <v>0</v>
      </c>
      <c r="C2416" s="5" t="s">
        <v>1</v>
      </c>
      <c r="D2416" s="5" t="s">
        <v>2</v>
      </c>
      <c r="E2416" s="5"/>
      <c r="F2416" s="5" t="s">
        <v>3</v>
      </c>
      <c r="G2416" s="36" t="s">
        <v>4</v>
      </c>
      <c r="H2416" s="13" t="s">
        <v>474</v>
      </c>
    </row>
    <row r="2417" spans="1:14" x14ac:dyDescent="0.15">
      <c r="B2417" s="176" t="s">
        <v>422</v>
      </c>
      <c r="C2417" s="176" t="s">
        <v>1123</v>
      </c>
      <c r="D2417" s="176" t="s">
        <v>423</v>
      </c>
      <c r="E2417" s="176" t="s">
        <v>1141</v>
      </c>
      <c r="F2417" s="176"/>
      <c r="G2417" s="176" t="s">
        <v>1162</v>
      </c>
      <c r="H2417" s="107" t="str">
        <f t="shared" ref="H2417:H2439" si="30">"ifnull("&amp;IF(I2417&lt;&gt;"",I2417,IF(F2417&lt;&gt;"",F2417,"t")&amp;"."&amp;C2417)&amp;","&amp;E2417&amp;") as "&amp;C2417&amp;",/*"&amp;B2417&amp;"*/"</f>
        <v>ifnull(t.init_date,date_format(curdate(),'%Y%m%d')) as init_date,/*初始化日期*/</v>
      </c>
      <c r="J2417" s="1" t="s">
        <v>424</v>
      </c>
      <c r="K2417" s="1" t="s">
        <v>425</v>
      </c>
      <c r="L2417" s="1" t="s">
        <v>423</v>
      </c>
      <c r="M2417" s="1" t="s">
        <v>423</v>
      </c>
      <c r="N2417" s="1">
        <v>1211</v>
      </c>
    </row>
    <row r="2418" spans="1:14" x14ac:dyDescent="0.15">
      <c r="B2418" s="176" t="s">
        <v>426</v>
      </c>
      <c r="C2418" s="176" t="s">
        <v>1093</v>
      </c>
      <c r="D2418" s="176" t="s">
        <v>423</v>
      </c>
      <c r="E2418" s="176">
        <v>0</v>
      </c>
      <c r="F2418" s="176"/>
      <c r="G2418" s="176" t="s">
        <v>1077</v>
      </c>
      <c r="H2418" s="107" t="str">
        <f t="shared" si="30"/>
        <v>ifnull(t.co_no,0) as co_no,/*机构编号*/</v>
      </c>
      <c r="J2418" s="1" t="s">
        <v>424</v>
      </c>
      <c r="K2418" s="1" t="s">
        <v>425</v>
      </c>
      <c r="L2418" s="1" t="s">
        <v>423</v>
      </c>
      <c r="M2418" s="1" t="s">
        <v>423</v>
      </c>
      <c r="N2418" s="1">
        <v>1606</v>
      </c>
    </row>
    <row r="2419" spans="1:14" x14ac:dyDescent="0.15">
      <c r="B2419" s="176" t="s">
        <v>111</v>
      </c>
      <c r="C2419" s="176" t="s">
        <v>1164</v>
      </c>
      <c r="D2419" s="176" t="s">
        <v>211</v>
      </c>
      <c r="E2419" s="176">
        <v>0</v>
      </c>
      <c r="F2419" s="176"/>
      <c r="G2419" s="176" t="s">
        <v>1165</v>
      </c>
      <c r="H2419" s="107" t="str">
        <f t="shared" si="30"/>
        <v>ifnull(t.pd_no,0) as pd_no,/*产品编号*/</v>
      </c>
    </row>
    <row r="2420" spans="1:14" x14ac:dyDescent="0.15">
      <c r="B2420" s="176" t="s">
        <v>7</v>
      </c>
      <c r="C2420" s="176" t="s">
        <v>1486</v>
      </c>
      <c r="D2420" s="176" t="s">
        <v>423</v>
      </c>
      <c r="E2420" s="176">
        <v>0</v>
      </c>
      <c r="F2420" s="176"/>
      <c r="G2420" s="176" t="s">
        <v>1081</v>
      </c>
      <c r="H2420" s="107" t="str">
        <f t="shared" si="30"/>
        <v>ifnull(t.exch_no,0) as exch_no,/*市场编号*/</v>
      </c>
      <c r="J2420" s="1" t="s">
        <v>424</v>
      </c>
      <c r="K2420" s="1" t="s">
        <v>425</v>
      </c>
      <c r="L2420" s="1" t="s">
        <v>423</v>
      </c>
      <c r="M2420" s="1" t="s">
        <v>423</v>
      </c>
      <c r="N2420" s="1">
        <v>2155</v>
      </c>
    </row>
    <row r="2421" spans="1:14" x14ac:dyDescent="0.15">
      <c r="B2421" s="176" t="s">
        <v>427</v>
      </c>
      <c r="C2421" s="176" t="s">
        <v>1487</v>
      </c>
      <c r="D2421" s="176" t="s">
        <v>423</v>
      </c>
      <c r="E2421" s="176">
        <v>0</v>
      </c>
      <c r="F2421" s="176"/>
      <c r="G2421" s="176"/>
      <c r="H2421" s="107" t="str">
        <f t="shared" si="30"/>
        <v>ifnull(t.stock_code_no,0) as stock_code_no,/*证券代码编号*/</v>
      </c>
      <c r="J2421" s="1" t="s">
        <v>424</v>
      </c>
      <c r="K2421" s="1" t="s">
        <v>425</v>
      </c>
      <c r="L2421" s="1" t="s">
        <v>423</v>
      </c>
      <c r="M2421" s="1" t="s">
        <v>423</v>
      </c>
      <c r="N2421" s="1">
        <v>2430</v>
      </c>
    </row>
    <row r="2422" spans="1:14" s="7" customFormat="1" x14ac:dyDescent="0.15">
      <c r="A2422" s="2"/>
      <c r="B2422" s="176" t="s">
        <v>93</v>
      </c>
      <c r="C2422" s="176" t="s">
        <v>1189</v>
      </c>
      <c r="D2422" s="176" t="s">
        <v>211</v>
      </c>
      <c r="E2422" s="176">
        <v>0</v>
      </c>
      <c r="F2422" s="176"/>
      <c r="G2422" s="176"/>
      <c r="H2422" s="107" t="str">
        <f t="shared" si="30"/>
        <v>ifnull(t.stock_type,0) as stock_type,/*证券类型*/</v>
      </c>
      <c r="J2422" s="7" t="s">
        <v>424</v>
      </c>
      <c r="K2422" s="7" t="s">
        <v>425</v>
      </c>
      <c r="L2422" s="7" t="s">
        <v>423</v>
      </c>
      <c r="M2422" s="7" t="s">
        <v>423</v>
      </c>
      <c r="N2422" s="7">
        <v>2433</v>
      </c>
    </row>
    <row r="2423" spans="1:14" s="7" customFormat="1" x14ac:dyDescent="0.15">
      <c r="A2423" s="2"/>
      <c r="B2423" s="176" t="s">
        <v>41</v>
      </c>
      <c r="C2423" s="176" t="s">
        <v>1258</v>
      </c>
      <c r="D2423" s="176" t="s">
        <v>211</v>
      </c>
      <c r="E2423" s="176">
        <v>0</v>
      </c>
      <c r="F2423" s="176"/>
      <c r="G2423" s="176" t="s">
        <v>1259</v>
      </c>
      <c r="H2423" s="107" t="str">
        <f t="shared" si="30"/>
        <v>ifnull(t.asset_type,0) as asset_type,/*资产类型*/</v>
      </c>
      <c r="J2423" s="7" t="s">
        <v>424</v>
      </c>
      <c r="K2423" s="7" t="s">
        <v>425</v>
      </c>
      <c r="L2423" s="7" t="s">
        <v>423</v>
      </c>
      <c r="M2423" s="7" t="s">
        <v>423</v>
      </c>
      <c r="N2423" s="7">
        <v>2528</v>
      </c>
    </row>
    <row r="2424" spans="1:14" s="7" customFormat="1" x14ac:dyDescent="0.15">
      <c r="B2424" s="176" t="s">
        <v>262</v>
      </c>
      <c r="C2424" s="176" t="s">
        <v>1372</v>
      </c>
      <c r="D2424" s="176" t="s">
        <v>1211</v>
      </c>
      <c r="E2424" s="176">
        <v>0</v>
      </c>
      <c r="F2424" s="176"/>
      <c r="G2424" s="176" t="s">
        <v>1373</v>
      </c>
      <c r="H2424" s="107" t="str">
        <f t="shared" si="30"/>
        <v>ifnull(sum(t.order_price),0) as order_price,/*订单价格*/</v>
      </c>
      <c r="I2424" s="7" t="str">
        <f>"sum(t."&amp;C2424&amp;")"</f>
        <v>sum(t.order_price)</v>
      </c>
      <c r="J2424" s="7" t="s">
        <v>428</v>
      </c>
      <c r="K2424" s="7" t="s">
        <v>429</v>
      </c>
      <c r="L2424" s="7" t="s">
        <v>430</v>
      </c>
      <c r="M2424" s="7" t="s">
        <v>430</v>
      </c>
      <c r="N2424" s="7">
        <v>1306</v>
      </c>
    </row>
    <row r="2425" spans="1:14" s="7" customFormat="1" x14ac:dyDescent="0.15">
      <c r="B2425" s="176" t="s">
        <v>272</v>
      </c>
      <c r="C2425" s="176" t="s">
        <v>1374</v>
      </c>
      <c r="D2425" s="176" t="s">
        <v>1087</v>
      </c>
      <c r="E2425" s="176">
        <v>0</v>
      </c>
      <c r="F2425" s="176"/>
      <c r="G2425" s="176" t="s">
        <v>1375</v>
      </c>
      <c r="H2425" s="107" t="str">
        <f t="shared" si="30"/>
        <v>ifnull(sum(t.order_qty),0) as order_qty,/*订单数量*/</v>
      </c>
      <c r="I2425" s="7" t="str">
        <f>"sum(t."&amp;C2425&amp;")"</f>
        <v>sum(t.order_qty)</v>
      </c>
      <c r="J2425" s="7" t="s">
        <v>428</v>
      </c>
      <c r="K2425" s="7" t="s">
        <v>429</v>
      </c>
      <c r="L2425" s="7" t="s">
        <v>430</v>
      </c>
      <c r="M2425" s="7" t="s">
        <v>430</v>
      </c>
      <c r="N2425" s="7">
        <v>1310</v>
      </c>
    </row>
    <row r="2426" spans="1:14" s="7" customFormat="1" x14ac:dyDescent="0.15">
      <c r="B2426" s="176" t="s">
        <v>38</v>
      </c>
      <c r="C2426" s="176" t="s">
        <v>1241</v>
      </c>
      <c r="D2426" s="176" t="s">
        <v>1087</v>
      </c>
      <c r="E2426" s="176">
        <v>0</v>
      </c>
      <c r="F2426" s="176"/>
      <c r="G2426" s="176" t="s">
        <v>1086</v>
      </c>
      <c r="H2426" s="107" t="str">
        <f t="shared" si="30"/>
        <v>ifnull(sum(t.strike_qty),0) as strike_qty,/*成交数量*/</v>
      </c>
      <c r="I2426" s="7" t="str">
        <f>"sum(t."&amp;C2426&amp;")"</f>
        <v>sum(t.strike_qty)</v>
      </c>
      <c r="J2426" s="7" t="s">
        <v>428</v>
      </c>
      <c r="K2426" s="7" t="s">
        <v>429</v>
      </c>
      <c r="L2426" s="7" t="s">
        <v>430</v>
      </c>
      <c r="M2426" s="7" t="s">
        <v>430</v>
      </c>
      <c r="N2426" s="7">
        <v>1188</v>
      </c>
    </row>
    <row r="2427" spans="1:14" s="7" customFormat="1" x14ac:dyDescent="0.15">
      <c r="B2427" s="176" t="s">
        <v>100</v>
      </c>
      <c r="C2427" s="176" t="s">
        <v>1376</v>
      </c>
      <c r="D2427" s="176" t="s">
        <v>1211</v>
      </c>
      <c r="E2427" s="176">
        <v>0</v>
      </c>
      <c r="F2427" s="176"/>
      <c r="G2427" s="176" t="s">
        <v>1377</v>
      </c>
      <c r="H2427" s="107" t="str">
        <f t="shared" si="30"/>
        <v>ifnull(sum(t.strike_price),0) as strike_price,/*成交价格*/</v>
      </c>
      <c r="I2427" s="7" t="str">
        <f>"sum(t."&amp;C2427&amp;")"</f>
        <v>sum(t.strike_price)</v>
      </c>
      <c r="J2427" s="7" t="s">
        <v>428</v>
      </c>
      <c r="K2427" s="7" t="s">
        <v>429</v>
      </c>
      <c r="L2427" s="7" t="s">
        <v>430</v>
      </c>
      <c r="M2427" s="7" t="s">
        <v>430</v>
      </c>
      <c r="N2427" s="7">
        <v>1179</v>
      </c>
    </row>
    <row r="2428" spans="1:14" s="7" customFormat="1" x14ac:dyDescent="0.15">
      <c r="B2428" s="176" t="s">
        <v>277</v>
      </c>
      <c r="C2428" s="176" t="s">
        <v>1242</v>
      </c>
      <c r="D2428" s="176" t="s">
        <v>1169</v>
      </c>
      <c r="E2428" s="176">
        <v>0</v>
      </c>
      <c r="F2428" s="176"/>
      <c r="G2428" s="176" t="s">
        <v>1243</v>
      </c>
      <c r="H2428" s="107" t="str">
        <f t="shared" si="30"/>
        <v>ifnull(sum(t.strike_amt),0) as strike_amt,/*成交金额*/</v>
      </c>
      <c r="I2428" s="7" t="str">
        <f>"sum(t."&amp;C2428&amp;")"</f>
        <v>sum(t.strike_amt)</v>
      </c>
      <c r="J2428" s="7" t="s">
        <v>428</v>
      </c>
      <c r="K2428" s="7" t="s">
        <v>429</v>
      </c>
      <c r="L2428" s="7" t="s">
        <v>430</v>
      </c>
      <c r="M2428" s="7" t="s">
        <v>430</v>
      </c>
      <c r="N2428" s="7">
        <v>1180</v>
      </c>
    </row>
    <row r="2429" spans="1:14" x14ac:dyDescent="0.15">
      <c r="B2429" s="147" t="s">
        <v>433</v>
      </c>
      <c r="C2429" s="147" t="s">
        <v>1497</v>
      </c>
      <c r="D2429" s="147" t="s">
        <v>1498</v>
      </c>
      <c r="E2429" s="147">
        <v>0</v>
      </c>
      <c r="F2429" s="147"/>
      <c r="G2429" s="147"/>
      <c r="H2429" s="107" t="str">
        <f t="shared" si="30"/>
        <v>ifnull(sum(if(t.order_dir=1,ifnull(t.strike_qty,0),0)),0) as buy_qty,/*买入数量*/</v>
      </c>
      <c r="I2429" s="7" t="s">
        <v>449</v>
      </c>
      <c r="J2429" s="1" t="s">
        <v>428</v>
      </c>
      <c r="K2429" s="1" t="s">
        <v>429</v>
      </c>
      <c r="L2429" s="1" t="s">
        <v>430</v>
      </c>
      <c r="M2429" s="1" t="s">
        <v>430</v>
      </c>
    </row>
    <row r="2430" spans="1:14" x14ac:dyDescent="0.15">
      <c r="B2430" s="147" t="s">
        <v>434</v>
      </c>
      <c r="C2430" s="147" t="s">
        <v>1608</v>
      </c>
      <c r="D2430" s="147" t="s">
        <v>1331</v>
      </c>
      <c r="E2430" s="147">
        <v>0</v>
      </c>
      <c r="F2430" s="147"/>
      <c r="G2430" s="147"/>
      <c r="H2430" s="107" t="str">
        <f t="shared" si="30"/>
        <v>ifnull(sum(if(t.order_dir=1,ifnull(t.strike_amt,0),0)),0) as buy_amt,/*买入金额*/</v>
      </c>
      <c r="I2430" s="7" t="s">
        <v>451</v>
      </c>
      <c r="J2430" s="1" t="s">
        <v>428</v>
      </c>
      <c r="K2430" s="1" t="s">
        <v>429</v>
      </c>
      <c r="L2430" s="1" t="s">
        <v>430</v>
      </c>
      <c r="M2430" s="1" t="s">
        <v>430</v>
      </c>
    </row>
    <row r="2431" spans="1:14" x14ac:dyDescent="0.15">
      <c r="B2431" s="147" t="s">
        <v>435</v>
      </c>
      <c r="C2431" s="147" t="s">
        <v>1609</v>
      </c>
      <c r="D2431" s="147" t="s">
        <v>1484</v>
      </c>
      <c r="E2431" s="147">
        <v>0</v>
      </c>
      <c r="F2431" s="147"/>
      <c r="G2431" s="147"/>
      <c r="H2431" s="107" t="str">
        <f t="shared" si="30"/>
        <v>ifnull(sum(if(t.order_dir=1,ifnull(t.strike_amt,0),0))/sum(if(t.order_dir=1,ifnull(t.strike_amt,0),0)),0) as buy_strike_price,/*买入成交价*/</v>
      </c>
      <c r="I2431" s="7" t="s">
        <v>450</v>
      </c>
      <c r="J2431" s="1" t="s">
        <v>428</v>
      </c>
      <c r="K2431" s="1" t="s">
        <v>429</v>
      </c>
      <c r="L2431" s="1" t="s">
        <v>430</v>
      </c>
      <c r="M2431" s="1" t="s">
        <v>430</v>
      </c>
    </row>
    <row r="2432" spans="1:14" x14ac:dyDescent="0.15">
      <c r="B2432" s="147" t="s">
        <v>436</v>
      </c>
      <c r="C2432" s="147" t="s">
        <v>1420</v>
      </c>
      <c r="D2432" s="147" t="s">
        <v>1087</v>
      </c>
      <c r="E2432" s="147">
        <v>0</v>
      </c>
      <c r="F2432" s="147"/>
      <c r="H2432" s="107" t="str">
        <f t="shared" si="30"/>
        <v>ifnull(sum(if(t.order_dir=1,ifnull(t.strike_qty,0),0)),0) as sell_qty,/*卖出数量*/</v>
      </c>
      <c r="I2432" s="7" t="s">
        <v>449</v>
      </c>
      <c r="J2432" s="1" t="s">
        <v>428</v>
      </c>
      <c r="K2432" s="1" t="s">
        <v>429</v>
      </c>
      <c r="L2432" s="1" t="s">
        <v>430</v>
      </c>
      <c r="M2432" s="1" t="s">
        <v>430</v>
      </c>
      <c r="N2432" s="1">
        <v>1163</v>
      </c>
    </row>
    <row r="2433" spans="1:14" x14ac:dyDescent="0.15">
      <c r="B2433" s="105" t="s">
        <v>706</v>
      </c>
      <c r="C2433" s="147" t="s">
        <v>1421</v>
      </c>
      <c r="D2433" s="147" t="s">
        <v>1169</v>
      </c>
      <c r="E2433" s="147">
        <v>0</v>
      </c>
      <c r="F2433" s="147"/>
      <c r="H2433" s="107" t="str">
        <f t="shared" si="30"/>
        <v>ifnull(sum(if(t.order_dir=1,ifnull(t.strike_amt,0),0)),0) as sell_amt,/*销售金额*/</v>
      </c>
      <c r="I2433" s="7" t="s">
        <v>451</v>
      </c>
      <c r="J2433" s="1" t="s">
        <v>428</v>
      </c>
      <c r="K2433" s="1" t="s">
        <v>429</v>
      </c>
      <c r="L2433" s="1" t="s">
        <v>430</v>
      </c>
      <c r="M2433" s="1" t="s">
        <v>430</v>
      </c>
    </row>
    <row r="2434" spans="1:14" ht="16.5" customHeight="1" x14ac:dyDescent="0.15">
      <c r="B2434" s="147" t="s">
        <v>437</v>
      </c>
      <c r="C2434" s="147" t="s">
        <v>1499</v>
      </c>
      <c r="D2434" s="147" t="s">
        <v>1484</v>
      </c>
      <c r="E2434" s="147">
        <v>0</v>
      </c>
      <c r="F2434" s="147"/>
      <c r="H2434" s="107" t="str">
        <f t="shared" si="30"/>
        <v>ifnull(sum(if(t.order_dir=2,ifnull(t.strike_amt,0),0))/sum(if(t.order_dir=2,ifnull(t.strike_amt,0),0)),0) as sell_strike_price,/*卖出成交价*/</v>
      </c>
      <c r="I2434" s="7" t="s">
        <v>452</v>
      </c>
      <c r="J2434" s="1" t="s">
        <v>428</v>
      </c>
      <c r="K2434" s="1" t="s">
        <v>429</v>
      </c>
      <c r="L2434" s="1" t="s">
        <v>430</v>
      </c>
      <c r="M2434" s="1" t="s">
        <v>430</v>
      </c>
    </row>
    <row r="2435" spans="1:14" ht="16.5" customHeight="1" x14ac:dyDescent="0.15">
      <c r="B2435" s="147" t="s">
        <v>438</v>
      </c>
      <c r="C2435" s="147" t="s">
        <v>1500</v>
      </c>
      <c r="D2435" s="147" t="s">
        <v>1087</v>
      </c>
      <c r="E2435" s="147">
        <v>0</v>
      </c>
      <c r="F2435" s="147"/>
      <c r="H2435" s="107" t="str">
        <f t="shared" si="30"/>
        <v>ifnull(sum(if(t.order_dir=1,1,-1)*ifnull(t.strike_amt,0)),0) as diff_qty,/*数量差额*/</v>
      </c>
      <c r="I2435" s="7" t="s">
        <v>453</v>
      </c>
    </row>
    <row r="2436" spans="1:14" x14ac:dyDescent="0.15">
      <c r="B2436" s="245" t="s">
        <v>516</v>
      </c>
      <c r="C2436" s="245" t="s">
        <v>1501</v>
      </c>
      <c r="D2436" s="245" t="s">
        <v>211</v>
      </c>
      <c r="E2436" s="245" t="s">
        <v>1265</v>
      </c>
      <c r="F2436" s="245"/>
      <c r="G2436" s="245"/>
      <c r="H2436" s="107" t="str">
        <f t="shared" si="30"/>
        <v>ifnull(min(if(t.order_dir=1,t.order_time,NULL)),date_format(curtime(),'%H%i%s')) as buy_begin_time,/*买入开始时间*/</v>
      </c>
      <c r="I2436" s="7" t="s">
        <v>520</v>
      </c>
      <c r="J2436" s="1" t="s">
        <v>428</v>
      </c>
      <c r="K2436" s="1" t="s">
        <v>429</v>
      </c>
      <c r="L2436" s="1" t="s">
        <v>430</v>
      </c>
      <c r="M2436" s="1" t="s">
        <v>430</v>
      </c>
      <c r="N2436" s="1">
        <v>1163</v>
      </c>
    </row>
    <row r="2437" spans="1:14" x14ac:dyDescent="0.15">
      <c r="B2437" s="245" t="s">
        <v>517</v>
      </c>
      <c r="C2437" s="245" t="s">
        <v>1502</v>
      </c>
      <c r="D2437" s="245" t="s">
        <v>211</v>
      </c>
      <c r="E2437" s="245" t="s">
        <v>1265</v>
      </c>
      <c r="F2437" s="245"/>
      <c r="G2437" s="245"/>
      <c r="H2437" s="107" t="str">
        <f t="shared" si="30"/>
        <v>ifnull(max(if(t.order_dir=1,t.order_time,NULL)),date_format(curtime(),'%H%i%s')) as buy_end_time,/*买入结束时间*/</v>
      </c>
      <c r="I2437" s="7" t="s">
        <v>521</v>
      </c>
      <c r="J2437" s="1" t="s">
        <v>428</v>
      </c>
      <c r="K2437" s="1" t="s">
        <v>429</v>
      </c>
      <c r="L2437" s="1" t="s">
        <v>430</v>
      </c>
      <c r="M2437" s="1" t="s">
        <v>430</v>
      </c>
    </row>
    <row r="2438" spans="1:14" ht="16.5" customHeight="1" x14ac:dyDescent="0.15">
      <c r="B2438" s="245" t="s">
        <v>518</v>
      </c>
      <c r="C2438" s="245" t="s">
        <v>1503</v>
      </c>
      <c r="D2438" s="245" t="s">
        <v>211</v>
      </c>
      <c r="E2438" s="245" t="s">
        <v>1265</v>
      </c>
      <c r="F2438" s="245"/>
      <c r="G2438" s="245"/>
      <c r="H2438" s="107" t="str">
        <f t="shared" si="30"/>
        <v>ifnull(min(if(t.order_dir=2,t.order_time,NULL)),date_format(curtime(),'%H%i%s')) as sell_begin_time,/*卖出开始时间*/</v>
      </c>
      <c r="I2438" s="7" t="s">
        <v>522</v>
      </c>
      <c r="J2438" s="1" t="s">
        <v>428</v>
      </c>
      <c r="K2438" s="1" t="s">
        <v>429</v>
      </c>
      <c r="L2438" s="1" t="s">
        <v>430</v>
      </c>
      <c r="M2438" s="1" t="s">
        <v>430</v>
      </c>
    </row>
    <row r="2439" spans="1:14" ht="16.5" customHeight="1" x14ac:dyDescent="0.15">
      <c r="B2439" s="245" t="s">
        <v>519</v>
      </c>
      <c r="C2439" s="245" t="s">
        <v>1610</v>
      </c>
      <c r="D2439" s="245" t="s">
        <v>211</v>
      </c>
      <c r="E2439" s="245" t="s">
        <v>1265</v>
      </c>
      <c r="F2439" s="245"/>
      <c r="G2439" s="245"/>
      <c r="H2439" s="107" t="str">
        <f t="shared" si="30"/>
        <v>ifnull(max(if(t.order_dir=2,t.order_time,NULL)),date_format(curtime(),'%H%i%s')) as sell_end_time,/*卖出结束时间*/</v>
      </c>
      <c r="I2439" s="7" t="s">
        <v>523</v>
      </c>
    </row>
    <row r="2440" spans="1:14" s="7" customFormat="1" ht="16.5" customHeight="1" thickBot="1" x14ac:dyDescent="0.2">
      <c r="A2440" s="2"/>
      <c r="B2440" s="24"/>
      <c r="C2440" s="9"/>
      <c r="D2440" s="9"/>
      <c r="E2440" s="9"/>
      <c r="F2440" s="9"/>
      <c r="G2440" s="11"/>
      <c r="H2440" s="107"/>
    </row>
    <row r="2441" spans="1:14" s="7" customFormat="1" x14ac:dyDescent="0.15">
      <c r="A2441" s="2"/>
      <c r="B2441" s="327" t="s">
        <v>15</v>
      </c>
      <c r="C2441" s="328"/>
      <c r="D2441" s="328"/>
      <c r="E2441" s="328"/>
      <c r="F2441" s="328"/>
      <c r="G2441" s="329"/>
      <c r="H2441" s="107"/>
    </row>
    <row r="2442" spans="1:14" s="7" customFormat="1" ht="18" thickBot="1" x14ac:dyDescent="0.2">
      <c r="A2442" s="2"/>
      <c r="B2442" s="24"/>
      <c r="C2442" s="9"/>
      <c r="D2442" s="9"/>
      <c r="E2442" s="9"/>
      <c r="F2442" s="9"/>
      <c r="G2442" s="11"/>
    </row>
    <row r="2444" spans="1:14" ht="18" thickBot="1" x14ac:dyDescent="0.2"/>
    <row r="2445" spans="1:14" s="7" customFormat="1" x14ac:dyDescent="0.15">
      <c r="A2445" s="2"/>
      <c r="B2445" s="3" t="s">
        <v>563</v>
      </c>
      <c r="C2445" s="147" t="s">
        <v>552</v>
      </c>
      <c r="D2445" s="147" t="s">
        <v>515</v>
      </c>
      <c r="E2445" s="21" t="s">
        <v>735</v>
      </c>
      <c r="F2445" s="5" t="s">
        <v>567</v>
      </c>
      <c r="G2445" s="6" t="s">
        <v>684</v>
      </c>
      <c r="H2445" s="6" t="str">
        <f>"create or replace view "&amp;C2445</f>
        <v>create or replace view vi_dt_exgp_posi_value</v>
      </c>
    </row>
    <row r="2446" spans="1:14" s="7" customFormat="1" ht="18" thickBot="1" x14ac:dyDescent="0.2">
      <c r="A2446" s="2"/>
      <c r="B2446" s="34" t="s">
        <v>570</v>
      </c>
      <c r="C2446" s="18"/>
      <c r="D2446" s="35" t="s">
        <v>568</v>
      </c>
      <c r="E2446" s="18" t="s">
        <v>615</v>
      </c>
      <c r="F2446" s="35"/>
      <c r="G2446" s="19"/>
      <c r="H2446" s="11" t="str">
        <f>"/* "&amp;E2445&amp;"*/  as "</f>
        <v xml:space="preserve">/* 报表_资管报表_视图-数据-交易组-持仓*/  as </v>
      </c>
    </row>
    <row r="2447" spans="1:14" s="7" customFormat="1" x14ac:dyDescent="0.15">
      <c r="A2447" s="2"/>
      <c r="B2447" s="3" t="s">
        <v>0</v>
      </c>
      <c r="C2447" s="5" t="s">
        <v>1</v>
      </c>
      <c r="D2447" s="5" t="s">
        <v>2</v>
      </c>
      <c r="E2447" s="5"/>
      <c r="F2447" s="5" t="s">
        <v>3</v>
      </c>
      <c r="G2447" s="36" t="s">
        <v>4</v>
      </c>
      <c r="H2447" s="13" t="s">
        <v>474</v>
      </c>
    </row>
    <row r="2448" spans="1:14" s="7" customFormat="1" x14ac:dyDescent="0.15">
      <c r="A2448" s="2"/>
      <c r="B2448" s="194" t="s">
        <v>22</v>
      </c>
      <c r="C2448" s="195" t="s">
        <v>1127</v>
      </c>
      <c r="D2448" s="195" t="s">
        <v>211</v>
      </c>
      <c r="E2448" s="195" t="s">
        <v>1141</v>
      </c>
      <c r="F2448" s="195"/>
      <c r="G2448" s="196" t="s">
        <v>1162</v>
      </c>
      <c r="H2448" s="107"/>
    </row>
    <row r="2449" spans="1:8" s="7" customFormat="1" x14ac:dyDescent="0.15">
      <c r="A2449" s="2"/>
      <c r="B2449" s="194" t="s">
        <v>6</v>
      </c>
      <c r="C2449" s="195" t="s">
        <v>1163</v>
      </c>
      <c r="D2449" s="195" t="s">
        <v>211</v>
      </c>
      <c r="E2449" s="195">
        <v>0</v>
      </c>
      <c r="F2449" s="195" t="s">
        <v>440</v>
      </c>
      <c r="G2449" s="196" t="s">
        <v>1077</v>
      </c>
      <c r="H2449" s="107" t="str">
        <f t="shared" ref="H2449:H2470" si="31">"ifnull("&amp;IF(I2449&lt;&gt;"",I2449,IF(F2449&lt;&gt;"",F2449,"t")&amp;"."&amp;C2449)&amp;","&amp;E2449&amp;") as "&amp;C2449&amp;",/*"&amp;B2449&amp;"*/"</f>
        <v>ifnull(t.co_no,0) as co_no,/*机构编号*/</v>
      </c>
    </row>
    <row r="2450" spans="1:8" s="7" customFormat="1" x14ac:dyDescent="0.15">
      <c r="A2450" s="2"/>
      <c r="B2450" s="194" t="s">
        <v>111</v>
      </c>
      <c r="C2450" s="195" t="s">
        <v>1164</v>
      </c>
      <c r="D2450" s="195" t="s">
        <v>211</v>
      </c>
      <c r="E2450" s="195">
        <v>0</v>
      </c>
      <c r="F2450" s="195" t="s">
        <v>440</v>
      </c>
      <c r="G2450" s="196" t="s">
        <v>1165</v>
      </c>
      <c r="H2450" s="107" t="str">
        <f t="shared" si="31"/>
        <v>ifnull(t.pd_no,0) as pd_no,/*产品编号*/</v>
      </c>
    </row>
    <row r="2451" spans="1:8" s="7" customFormat="1" x14ac:dyDescent="0.15">
      <c r="A2451" s="2"/>
      <c r="B2451" s="194" t="s">
        <v>112</v>
      </c>
      <c r="C2451" s="195" t="s">
        <v>1133</v>
      </c>
      <c r="D2451" s="195" t="s">
        <v>211</v>
      </c>
      <c r="E2451" s="195">
        <v>0</v>
      </c>
      <c r="F2451" s="195" t="s">
        <v>440</v>
      </c>
      <c r="G2451" s="196" t="s">
        <v>1182</v>
      </c>
      <c r="H2451" s="107" t="str">
        <f t="shared" si="31"/>
        <v>ifnull(t.exch_group_no,0) as exch_group_no,/*交易组编号*/</v>
      </c>
    </row>
    <row r="2452" spans="1:8" s="7" customFormat="1" x14ac:dyDescent="0.15">
      <c r="A2452" s="2"/>
      <c r="B2452" s="194" t="s">
        <v>113</v>
      </c>
      <c r="C2452" s="195" t="s">
        <v>1187</v>
      </c>
      <c r="D2452" s="195" t="s">
        <v>211</v>
      </c>
      <c r="E2452" s="195">
        <v>0</v>
      </c>
      <c r="F2452" s="195" t="s">
        <v>440</v>
      </c>
      <c r="G2452" s="196"/>
      <c r="H2452" s="107" t="str">
        <f t="shared" si="31"/>
        <v>ifnull(t.asset_acco_no,0) as asset_acco_no,/*资产账户编号*/</v>
      </c>
    </row>
    <row r="2453" spans="1:8" s="7" customFormat="1" x14ac:dyDescent="0.15">
      <c r="A2453" s="2"/>
      <c r="B2453" s="194" t="s">
        <v>7</v>
      </c>
      <c r="C2453" s="195" t="s">
        <v>1190</v>
      </c>
      <c r="D2453" s="195" t="s">
        <v>211</v>
      </c>
      <c r="E2453" s="195">
        <v>0</v>
      </c>
      <c r="F2453" s="195" t="s">
        <v>440</v>
      </c>
      <c r="G2453" s="196" t="s">
        <v>1081</v>
      </c>
      <c r="H2453" s="107" t="str">
        <f t="shared" si="31"/>
        <v>ifnull(t.exch_no,0) as exch_no,/*市场编号*/</v>
      </c>
    </row>
    <row r="2454" spans="1:8" s="7" customFormat="1" x14ac:dyDescent="0.15">
      <c r="A2454" s="2"/>
      <c r="B2454" s="194" t="s">
        <v>114</v>
      </c>
      <c r="C2454" s="195" t="s">
        <v>1155</v>
      </c>
      <c r="D2454" s="195" t="s">
        <v>211</v>
      </c>
      <c r="E2454" s="195">
        <v>0</v>
      </c>
      <c r="F2454" s="195" t="s">
        <v>440</v>
      </c>
      <c r="G2454" s="196"/>
      <c r="H2454" s="107" t="str">
        <f t="shared" si="31"/>
        <v>ifnull(t.stock_acco_no,0) as stock_acco_no,/*股东代码编号*/</v>
      </c>
    </row>
    <row r="2455" spans="1:8" s="7" customFormat="1" x14ac:dyDescent="0.15">
      <c r="A2455" s="2"/>
      <c r="B2455" s="194" t="s">
        <v>115</v>
      </c>
      <c r="C2455" s="195" t="s">
        <v>1188</v>
      </c>
      <c r="D2455" s="195" t="s">
        <v>211</v>
      </c>
      <c r="E2455" s="195">
        <v>0</v>
      </c>
      <c r="F2455" s="195" t="s">
        <v>440</v>
      </c>
      <c r="G2455" s="196"/>
      <c r="H2455" s="107" t="str">
        <f t="shared" si="31"/>
        <v>ifnull(t.stock_code_no,0) as stock_code_no,/*证券代码编号*/</v>
      </c>
    </row>
    <row r="2456" spans="1:8" s="7" customFormat="1" x14ac:dyDescent="0.15">
      <c r="A2456" s="2"/>
      <c r="B2456" s="194" t="s">
        <v>93</v>
      </c>
      <c r="C2456" s="195" t="s">
        <v>1189</v>
      </c>
      <c r="D2456" s="195" t="s">
        <v>211</v>
      </c>
      <c r="E2456" s="195">
        <v>0</v>
      </c>
      <c r="F2456" s="195" t="s">
        <v>440</v>
      </c>
      <c r="G2456" s="196"/>
      <c r="H2456" s="107" t="str">
        <f t="shared" si="31"/>
        <v>ifnull(t.stock_type,0) as stock_type,/*证券类型*/</v>
      </c>
    </row>
    <row r="2457" spans="1:8" s="7" customFormat="1" x14ac:dyDescent="0.15">
      <c r="A2457" s="2"/>
      <c r="B2457" s="194" t="s">
        <v>41</v>
      </c>
      <c r="C2457" s="195" t="s">
        <v>1258</v>
      </c>
      <c r="D2457" s="195" t="s">
        <v>211</v>
      </c>
      <c r="E2457" s="195">
        <v>0</v>
      </c>
      <c r="F2457" s="195" t="s">
        <v>440</v>
      </c>
      <c r="G2457" s="196" t="s">
        <v>1259</v>
      </c>
      <c r="H2457" s="107" t="str">
        <f t="shared" si="31"/>
        <v>ifnull(t.asset_type,0) as asset_type,/*资产类型*/</v>
      </c>
    </row>
    <row r="2458" spans="1:8" s="7" customFormat="1" x14ac:dyDescent="0.15">
      <c r="A2458" s="2"/>
      <c r="B2458" s="194" t="s">
        <v>8</v>
      </c>
      <c r="C2458" s="195" t="s">
        <v>1193</v>
      </c>
      <c r="D2458" s="195" t="s">
        <v>1087</v>
      </c>
      <c r="E2458" s="195">
        <v>0</v>
      </c>
      <c r="F2458" s="195" t="s">
        <v>440</v>
      </c>
      <c r="G2458" s="196" t="s">
        <v>1194</v>
      </c>
      <c r="H2458" s="107" t="str">
        <f t="shared" si="31"/>
        <v>ifnull(t.begin_qty,0) as begin_qty,/*期初数量*/</v>
      </c>
    </row>
    <row r="2459" spans="1:8" s="7" customFormat="1" x14ac:dyDescent="0.15">
      <c r="A2459" s="2"/>
      <c r="B2459" s="194" t="s">
        <v>9</v>
      </c>
      <c r="C2459" s="195" t="s">
        <v>1195</v>
      </c>
      <c r="D2459" s="195" t="s">
        <v>1087</v>
      </c>
      <c r="E2459" s="195">
        <v>0</v>
      </c>
      <c r="F2459" s="195" t="s">
        <v>440</v>
      </c>
      <c r="G2459" s="196" t="s">
        <v>1196</v>
      </c>
      <c r="H2459" s="107" t="str">
        <f t="shared" si="31"/>
        <v>ifnull(t.curr_qty,0) as curr_qty,/*当前数量*/</v>
      </c>
    </row>
    <row r="2460" spans="1:8" s="7" customFormat="1" x14ac:dyDescent="0.15">
      <c r="A2460" s="2"/>
      <c r="B2460" s="194" t="s">
        <v>10</v>
      </c>
      <c r="C2460" s="195" t="s">
        <v>1197</v>
      </c>
      <c r="D2460" s="195" t="s">
        <v>1087</v>
      </c>
      <c r="E2460" s="195">
        <v>0</v>
      </c>
      <c r="F2460" s="195" t="s">
        <v>440</v>
      </c>
      <c r="G2460" s="196" t="s">
        <v>1144</v>
      </c>
      <c r="H2460" s="107" t="str">
        <f t="shared" si="31"/>
        <v>ifnull(t.frozen_qty,0) as frozen_qty,/*冻结数量*/</v>
      </c>
    </row>
    <row r="2461" spans="1:8" s="7" customFormat="1" x14ac:dyDescent="0.15">
      <c r="A2461" s="2"/>
      <c r="B2461" s="194" t="s">
        <v>11</v>
      </c>
      <c r="C2461" s="195" t="s">
        <v>1198</v>
      </c>
      <c r="D2461" s="195" t="s">
        <v>1087</v>
      </c>
      <c r="E2461" s="195">
        <v>0</v>
      </c>
      <c r="F2461" s="195" t="s">
        <v>440</v>
      </c>
      <c r="G2461" s="196" t="s">
        <v>1080</v>
      </c>
      <c r="H2461" s="107" t="str">
        <f t="shared" si="31"/>
        <v>ifnull(t.unfroz_qty,0) as unfroz_qty,/*解冻数量*/</v>
      </c>
    </row>
    <row r="2462" spans="1:8" s="7" customFormat="1" x14ac:dyDescent="0.15">
      <c r="A2462" s="2"/>
      <c r="B2462" s="194" t="s">
        <v>116</v>
      </c>
      <c r="C2462" s="195" t="s">
        <v>1213</v>
      </c>
      <c r="D2462" s="195" t="s">
        <v>1169</v>
      </c>
      <c r="E2462" s="195">
        <v>0</v>
      </c>
      <c r="F2462" s="195" t="s">
        <v>440</v>
      </c>
      <c r="G2462" s="196"/>
      <c r="H2462" s="107" t="str">
        <f t="shared" si="31"/>
        <v>ifnull(t.cost_amt,0) as cost_amt,/*成本金额*/</v>
      </c>
    </row>
    <row r="2463" spans="1:8" s="7" customFormat="1" x14ac:dyDescent="0.15">
      <c r="A2463" s="2"/>
      <c r="B2463" s="194" t="s">
        <v>12</v>
      </c>
      <c r="C2463" s="195" t="s">
        <v>1143</v>
      </c>
      <c r="D2463" s="195" t="s">
        <v>1169</v>
      </c>
      <c r="E2463" s="195">
        <v>0</v>
      </c>
      <c r="F2463" s="195" t="s">
        <v>440</v>
      </c>
      <c r="G2463" s="196"/>
      <c r="H2463" s="107" t="str">
        <f t="shared" si="31"/>
        <v>ifnull(t.realize_pandl,0) as realize_pandl,/*实现盈亏*/</v>
      </c>
    </row>
    <row r="2464" spans="1:8" s="7" customFormat="1" x14ac:dyDescent="0.15">
      <c r="A2464" s="2"/>
      <c r="B2464" s="194" t="s">
        <v>13</v>
      </c>
      <c r="C2464" s="195" t="s">
        <v>1205</v>
      </c>
      <c r="D2464" s="195" t="s">
        <v>1169</v>
      </c>
      <c r="E2464" s="195">
        <v>0</v>
      </c>
      <c r="F2464" s="195" t="s">
        <v>440</v>
      </c>
      <c r="G2464" s="196"/>
      <c r="H2464" s="107" t="str">
        <f t="shared" si="31"/>
        <v>ifnull(t.intrst_cost_amt,0) as intrst_cost_amt,/*利息成本金额*/</v>
      </c>
    </row>
    <row r="2465" spans="1:9" s="7" customFormat="1" x14ac:dyDescent="0.15">
      <c r="A2465" s="2"/>
      <c r="B2465" s="194" t="s">
        <v>14</v>
      </c>
      <c r="C2465" s="195" t="s">
        <v>1206</v>
      </c>
      <c r="D2465" s="195" t="s">
        <v>1169</v>
      </c>
      <c r="E2465" s="195">
        <v>0</v>
      </c>
      <c r="F2465" s="195" t="s">
        <v>440</v>
      </c>
      <c r="G2465" s="196"/>
      <c r="H2465" s="107" t="str">
        <f t="shared" si="31"/>
        <v>ifnull(t.intrst_pandl,0) as intrst_pandl,/*利息收益*/</v>
      </c>
    </row>
    <row r="2466" spans="1:9" s="7" customFormat="1" x14ac:dyDescent="0.15">
      <c r="A2466" s="2"/>
      <c r="B2466" s="163" t="s">
        <v>439</v>
      </c>
      <c r="C2466" s="164" t="s">
        <v>1236</v>
      </c>
      <c r="D2466" s="164" t="s">
        <v>1211</v>
      </c>
      <c r="E2466" s="164">
        <v>0</v>
      </c>
      <c r="F2466" s="164" t="s">
        <v>441</v>
      </c>
      <c r="G2466" s="107"/>
      <c r="H2466" s="107" t="str">
        <f t="shared" si="31"/>
        <v>ifnull(a.last_price,0) as last_price,/*最新价*/</v>
      </c>
    </row>
    <row r="2467" spans="1:9" s="7" customFormat="1" x14ac:dyDescent="0.15">
      <c r="A2467" s="2"/>
      <c r="B2467" s="163" t="s">
        <v>444</v>
      </c>
      <c r="C2467" s="164" t="s">
        <v>1459</v>
      </c>
      <c r="D2467" s="164" t="s">
        <v>1211</v>
      </c>
      <c r="E2467" s="164">
        <v>0</v>
      </c>
      <c r="F2467" s="164" t="s">
        <v>441</v>
      </c>
      <c r="G2467" s="107"/>
      <c r="H2467" s="107" t="str">
        <f t="shared" si="31"/>
        <v>ifnull(a.fair_price,0) as fair_price,/*公允价格*/</v>
      </c>
    </row>
    <row r="2468" spans="1:9" s="7" customFormat="1" x14ac:dyDescent="0.15">
      <c r="A2468" s="2"/>
      <c r="B2468" s="163" t="s">
        <v>259</v>
      </c>
      <c r="C2468" s="164" t="s">
        <v>1392</v>
      </c>
      <c r="D2468" s="164" t="s">
        <v>211</v>
      </c>
      <c r="E2468" s="164">
        <v>0</v>
      </c>
      <c r="F2468" s="164" t="s">
        <v>441</v>
      </c>
      <c r="G2468" s="107"/>
      <c r="H2468" s="107" t="str">
        <f t="shared" si="31"/>
        <v>ifnull(a.net_price_flag,0) as net_price_flag,/*净价标志*/</v>
      </c>
    </row>
    <row r="2469" spans="1:9" s="7" customFormat="1" x14ac:dyDescent="0.15">
      <c r="A2469" s="2"/>
      <c r="B2469" s="163" t="s">
        <v>258</v>
      </c>
      <c r="C2469" s="164" t="s">
        <v>1395</v>
      </c>
      <c r="D2469" s="164" t="s">
        <v>1172</v>
      </c>
      <c r="E2469" s="164">
        <v>0</v>
      </c>
      <c r="F2469" s="164" t="s">
        <v>441</v>
      </c>
      <c r="G2469" s="107"/>
      <c r="H2469" s="107" t="str">
        <f t="shared" si="31"/>
        <v>ifnull(a.bond_accr_intrst,0) as bond_accr_intrst,/*债券计提利息*/</v>
      </c>
    </row>
    <row r="2470" spans="1:9" s="7" customFormat="1" x14ac:dyDescent="0.15">
      <c r="A2470" s="2"/>
      <c r="B2470" s="105" t="s">
        <v>443</v>
      </c>
      <c r="C2470" s="109" t="s">
        <v>1214</v>
      </c>
      <c r="D2470" s="109" t="s">
        <v>1169</v>
      </c>
      <c r="E2470" s="109">
        <v>0</v>
      </c>
      <c r="F2470" s="109" t="s">
        <v>441</v>
      </c>
      <c r="G2470" s="110"/>
      <c r="H2470" s="107" t="str">
        <f t="shared" si="31"/>
        <v>ifnull(t.curr_qty * (
  CASE
  WHEN a.fair_price &gt; 0 THEN
   a.fair_price
  ELSE
   (
    CASE
    WHEN a.asset_type IN (43) THEN
     100
    WHEN a.asset_type IN (21, 22, 23, 24, 25)
    AND a.net_price_flag = '1' THEN
     a.last_price + a.bond_accr_intrst
    ELSE
     a.last_price
    END
   )
  END
 ),0) as posi_market_value,/*持仓市值*/</v>
      </c>
      <c r="I2470" s="220" t="s">
        <v>442</v>
      </c>
    </row>
    <row r="2471" spans="1:9" s="7" customFormat="1" ht="18" thickBot="1" x14ac:dyDescent="0.2">
      <c r="A2471" s="2"/>
      <c r="B2471" s="24"/>
      <c r="C2471" s="9"/>
      <c r="D2471" s="9"/>
      <c r="E2471" s="9"/>
      <c r="F2471" s="9"/>
      <c r="G2471" s="11"/>
    </row>
    <row r="2472" spans="1:9" s="7" customFormat="1" x14ac:dyDescent="0.15">
      <c r="A2472" s="2"/>
      <c r="B2472" s="327" t="s">
        <v>15</v>
      </c>
      <c r="C2472" s="328"/>
      <c r="D2472" s="328"/>
      <c r="E2472" s="328"/>
      <c r="F2472" s="328"/>
      <c r="G2472" s="329"/>
    </row>
    <row r="2473" spans="1:9" s="7" customFormat="1" ht="18" thickBot="1" x14ac:dyDescent="0.2">
      <c r="A2473" s="2"/>
      <c r="B2473" s="24"/>
      <c r="C2473" s="9"/>
      <c r="D2473" s="9"/>
      <c r="E2473" s="9"/>
      <c r="F2473" s="9"/>
      <c r="G2473" s="11"/>
    </row>
    <row r="2474" spans="1:9" ht="18" thickBot="1" x14ac:dyDescent="0.2"/>
    <row r="2475" spans="1:9" s="7" customFormat="1" x14ac:dyDescent="0.15">
      <c r="A2475" s="2"/>
      <c r="B2475" s="3" t="s">
        <v>563</v>
      </c>
      <c r="C2475" s="147" t="s">
        <v>569</v>
      </c>
      <c r="D2475" s="147" t="s">
        <v>515</v>
      </c>
      <c r="E2475" s="21" t="s">
        <v>736</v>
      </c>
      <c r="F2475" s="5" t="s">
        <v>567</v>
      </c>
      <c r="G2475" s="6" t="s">
        <v>684</v>
      </c>
      <c r="H2475" s="6" t="str">
        <f>"create or replace view "&amp;C2475</f>
        <v>create or replace view vi_dt_exgp_posi_value_his</v>
      </c>
    </row>
    <row r="2476" spans="1:9" s="7" customFormat="1" ht="18" thickBot="1" x14ac:dyDescent="0.2">
      <c r="A2476" s="2"/>
      <c r="B2476" s="34" t="s">
        <v>570</v>
      </c>
      <c r="C2476" s="18"/>
      <c r="D2476" s="35" t="s">
        <v>568</v>
      </c>
      <c r="E2476" s="18" t="s">
        <v>615</v>
      </c>
      <c r="F2476" s="35"/>
      <c r="G2476" s="19"/>
      <c r="H2476" s="11" t="str">
        <f>"/* "&amp;E2475&amp;"*/  as "</f>
        <v xml:space="preserve">/* 报表_资管报表_视图-数据-交易组-持仓-历史*/  as </v>
      </c>
    </row>
    <row r="2477" spans="1:9" s="7" customFormat="1" x14ac:dyDescent="0.15">
      <c r="A2477" s="2"/>
      <c r="B2477" s="3" t="s">
        <v>0</v>
      </c>
      <c r="C2477" s="5" t="s">
        <v>1</v>
      </c>
      <c r="D2477" s="5" t="s">
        <v>2</v>
      </c>
      <c r="E2477" s="5"/>
      <c r="F2477" s="5" t="s">
        <v>3</v>
      </c>
      <c r="G2477" s="36" t="s">
        <v>4</v>
      </c>
      <c r="H2477" s="13" t="s">
        <v>474</v>
      </c>
    </row>
    <row r="2478" spans="1:9" s="7" customFormat="1" x14ac:dyDescent="0.15">
      <c r="A2478" s="2"/>
      <c r="B2478" s="194" t="s">
        <v>22</v>
      </c>
      <c r="C2478" s="195" t="s">
        <v>1127</v>
      </c>
      <c r="D2478" s="195" t="s">
        <v>211</v>
      </c>
      <c r="E2478" s="195" t="s">
        <v>1141</v>
      </c>
      <c r="F2478" s="195"/>
      <c r="G2478" s="196" t="s">
        <v>1162</v>
      </c>
      <c r="H2478" s="107"/>
    </row>
    <row r="2479" spans="1:9" s="7" customFormat="1" x14ac:dyDescent="0.15">
      <c r="A2479" s="2"/>
      <c r="B2479" s="194" t="s">
        <v>6</v>
      </c>
      <c r="C2479" s="195" t="s">
        <v>1163</v>
      </c>
      <c r="D2479" s="195" t="s">
        <v>211</v>
      </c>
      <c r="E2479" s="195">
        <v>0</v>
      </c>
      <c r="F2479" s="195" t="s">
        <v>440</v>
      </c>
      <c r="G2479" s="196" t="s">
        <v>1077</v>
      </c>
      <c r="H2479" s="107" t="str">
        <f t="shared" ref="H2479:H2500" si="32">"ifnull("&amp;IF(I2479&lt;&gt;"",I2479,IF(F2479&lt;&gt;"",F2479,"t")&amp;"."&amp;C2479)&amp;","&amp;E2479&amp;") as "&amp;C2479&amp;",/*"&amp;B2479&amp;"*/"</f>
        <v>ifnull(t.co_no,0) as co_no,/*机构编号*/</v>
      </c>
    </row>
    <row r="2480" spans="1:9" s="7" customFormat="1" x14ac:dyDescent="0.15">
      <c r="A2480" s="2"/>
      <c r="B2480" s="194" t="s">
        <v>111</v>
      </c>
      <c r="C2480" s="195" t="s">
        <v>1164</v>
      </c>
      <c r="D2480" s="195" t="s">
        <v>211</v>
      </c>
      <c r="E2480" s="195">
        <v>0</v>
      </c>
      <c r="F2480" s="195" t="s">
        <v>440</v>
      </c>
      <c r="G2480" s="196" t="s">
        <v>1165</v>
      </c>
      <c r="H2480" s="107" t="str">
        <f t="shared" si="32"/>
        <v>ifnull(t.pd_no,0) as pd_no,/*产品编号*/</v>
      </c>
    </row>
    <row r="2481" spans="1:8" s="7" customFormat="1" x14ac:dyDescent="0.15">
      <c r="A2481" s="2"/>
      <c r="B2481" s="194" t="s">
        <v>112</v>
      </c>
      <c r="C2481" s="195" t="s">
        <v>1133</v>
      </c>
      <c r="D2481" s="195" t="s">
        <v>211</v>
      </c>
      <c r="E2481" s="195">
        <v>0</v>
      </c>
      <c r="F2481" s="195" t="s">
        <v>440</v>
      </c>
      <c r="G2481" s="196" t="s">
        <v>1182</v>
      </c>
      <c r="H2481" s="107" t="str">
        <f t="shared" si="32"/>
        <v>ifnull(t.exch_group_no,0) as exch_group_no,/*交易组编号*/</v>
      </c>
    </row>
    <row r="2482" spans="1:8" s="7" customFormat="1" x14ac:dyDescent="0.15">
      <c r="A2482" s="2"/>
      <c r="B2482" s="194" t="s">
        <v>113</v>
      </c>
      <c r="C2482" s="195" t="s">
        <v>1187</v>
      </c>
      <c r="D2482" s="195" t="s">
        <v>211</v>
      </c>
      <c r="E2482" s="195">
        <v>0</v>
      </c>
      <c r="F2482" s="195" t="s">
        <v>440</v>
      </c>
      <c r="G2482" s="196"/>
      <c r="H2482" s="107" t="str">
        <f t="shared" si="32"/>
        <v>ifnull(t.asset_acco_no,0) as asset_acco_no,/*资产账户编号*/</v>
      </c>
    </row>
    <row r="2483" spans="1:8" s="7" customFormat="1" x14ac:dyDescent="0.15">
      <c r="A2483" s="2"/>
      <c r="B2483" s="194" t="s">
        <v>7</v>
      </c>
      <c r="C2483" s="195" t="s">
        <v>1190</v>
      </c>
      <c r="D2483" s="195" t="s">
        <v>211</v>
      </c>
      <c r="E2483" s="195">
        <v>0</v>
      </c>
      <c r="F2483" s="195" t="s">
        <v>440</v>
      </c>
      <c r="G2483" s="196" t="s">
        <v>1081</v>
      </c>
      <c r="H2483" s="107" t="str">
        <f t="shared" si="32"/>
        <v>ifnull(t.exch_no,0) as exch_no,/*市场编号*/</v>
      </c>
    </row>
    <row r="2484" spans="1:8" s="7" customFormat="1" x14ac:dyDescent="0.15">
      <c r="A2484" s="2"/>
      <c r="B2484" s="194" t="s">
        <v>114</v>
      </c>
      <c r="C2484" s="195" t="s">
        <v>1155</v>
      </c>
      <c r="D2484" s="195" t="s">
        <v>211</v>
      </c>
      <c r="E2484" s="195">
        <v>0</v>
      </c>
      <c r="F2484" s="195" t="s">
        <v>440</v>
      </c>
      <c r="G2484" s="196"/>
      <c r="H2484" s="107" t="str">
        <f t="shared" si="32"/>
        <v>ifnull(t.stock_acco_no,0) as stock_acco_no,/*股东代码编号*/</v>
      </c>
    </row>
    <row r="2485" spans="1:8" s="7" customFormat="1" x14ac:dyDescent="0.15">
      <c r="A2485" s="2"/>
      <c r="B2485" s="194" t="s">
        <v>115</v>
      </c>
      <c r="C2485" s="195" t="s">
        <v>1188</v>
      </c>
      <c r="D2485" s="195" t="s">
        <v>211</v>
      </c>
      <c r="E2485" s="195">
        <v>0</v>
      </c>
      <c r="F2485" s="195" t="s">
        <v>440</v>
      </c>
      <c r="G2485" s="196"/>
      <c r="H2485" s="107" t="str">
        <f t="shared" si="32"/>
        <v>ifnull(t.stock_code_no,0) as stock_code_no,/*证券代码编号*/</v>
      </c>
    </row>
    <row r="2486" spans="1:8" s="7" customFormat="1" x14ac:dyDescent="0.15">
      <c r="A2486" s="2"/>
      <c r="B2486" s="194" t="s">
        <v>93</v>
      </c>
      <c r="C2486" s="195" t="s">
        <v>1189</v>
      </c>
      <c r="D2486" s="195" t="s">
        <v>211</v>
      </c>
      <c r="E2486" s="195">
        <v>0</v>
      </c>
      <c r="F2486" s="195" t="s">
        <v>440</v>
      </c>
      <c r="G2486" s="196"/>
      <c r="H2486" s="107" t="str">
        <f t="shared" si="32"/>
        <v>ifnull(t.stock_type,0) as stock_type,/*证券类型*/</v>
      </c>
    </row>
    <row r="2487" spans="1:8" s="7" customFormat="1" x14ac:dyDescent="0.15">
      <c r="A2487" s="2"/>
      <c r="B2487" s="194" t="s">
        <v>41</v>
      </c>
      <c r="C2487" s="195" t="s">
        <v>1258</v>
      </c>
      <c r="D2487" s="195" t="s">
        <v>211</v>
      </c>
      <c r="E2487" s="195">
        <v>0</v>
      </c>
      <c r="F2487" s="195" t="s">
        <v>440</v>
      </c>
      <c r="G2487" s="196" t="s">
        <v>1259</v>
      </c>
      <c r="H2487" s="107" t="str">
        <f t="shared" si="32"/>
        <v>ifnull(t.asset_type,0) as asset_type,/*资产类型*/</v>
      </c>
    </row>
    <row r="2488" spans="1:8" s="7" customFormat="1" x14ac:dyDescent="0.15">
      <c r="A2488" s="2"/>
      <c r="B2488" s="194" t="s">
        <v>8</v>
      </c>
      <c r="C2488" s="195" t="s">
        <v>1193</v>
      </c>
      <c r="D2488" s="195" t="s">
        <v>1087</v>
      </c>
      <c r="E2488" s="195">
        <v>0</v>
      </c>
      <c r="F2488" s="195" t="s">
        <v>440</v>
      </c>
      <c r="G2488" s="196" t="s">
        <v>1194</v>
      </c>
      <c r="H2488" s="107" t="str">
        <f t="shared" si="32"/>
        <v>ifnull(t.begin_qty,0) as begin_qty,/*期初数量*/</v>
      </c>
    </row>
    <row r="2489" spans="1:8" s="7" customFormat="1" x14ac:dyDescent="0.15">
      <c r="A2489" s="2"/>
      <c r="B2489" s="194" t="s">
        <v>9</v>
      </c>
      <c r="C2489" s="195" t="s">
        <v>1195</v>
      </c>
      <c r="D2489" s="195" t="s">
        <v>1087</v>
      </c>
      <c r="E2489" s="195">
        <v>0</v>
      </c>
      <c r="F2489" s="195" t="s">
        <v>440</v>
      </c>
      <c r="G2489" s="196" t="s">
        <v>1196</v>
      </c>
      <c r="H2489" s="107" t="str">
        <f t="shared" si="32"/>
        <v>ifnull(t.curr_qty,0) as curr_qty,/*当前数量*/</v>
      </c>
    </row>
    <row r="2490" spans="1:8" s="7" customFormat="1" x14ac:dyDescent="0.15">
      <c r="A2490" s="2"/>
      <c r="B2490" s="194" t="s">
        <v>10</v>
      </c>
      <c r="C2490" s="195" t="s">
        <v>1197</v>
      </c>
      <c r="D2490" s="195" t="s">
        <v>1087</v>
      </c>
      <c r="E2490" s="195">
        <v>0</v>
      </c>
      <c r="F2490" s="195" t="s">
        <v>440</v>
      </c>
      <c r="G2490" s="196" t="s">
        <v>1144</v>
      </c>
      <c r="H2490" s="107" t="str">
        <f t="shared" si="32"/>
        <v>ifnull(t.frozen_qty,0) as frozen_qty,/*冻结数量*/</v>
      </c>
    </row>
    <row r="2491" spans="1:8" s="7" customFormat="1" x14ac:dyDescent="0.15">
      <c r="A2491" s="2"/>
      <c r="B2491" s="194" t="s">
        <v>11</v>
      </c>
      <c r="C2491" s="195" t="s">
        <v>1198</v>
      </c>
      <c r="D2491" s="195" t="s">
        <v>1087</v>
      </c>
      <c r="E2491" s="195">
        <v>0</v>
      </c>
      <c r="F2491" s="195" t="s">
        <v>440</v>
      </c>
      <c r="G2491" s="196" t="s">
        <v>1080</v>
      </c>
      <c r="H2491" s="107" t="str">
        <f t="shared" si="32"/>
        <v>ifnull(t.unfroz_qty,0) as unfroz_qty,/*解冻数量*/</v>
      </c>
    </row>
    <row r="2492" spans="1:8" s="7" customFormat="1" x14ac:dyDescent="0.15">
      <c r="A2492" s="2"/>
      <c r="B2492" s="194" t="s">
        <v>116</v>
      </c>
      <c r="C2492" s="195" t="s">
        <v>1213</v>
      </c>
      <c r="D2492" s="195" t="s">
        <v>1169</v>
      </c>
      <c r="E2492" s="195">
        <v>0</v>
      </c>
      <c r="F2492" s="195" t="s">
        <v>440</v>
      </c>
      <c r="G2492" s="196"/>
      <c r="H2492" s="107" t="str">
        <f t="shared" si="32"/>
        <v>ifnull(t.cost_amt,0) as cost_amt,/*成本金额*/</v>
      </c>
    </row>
    <row r="2493" spans="1:8" s="7" customFormat="1" x14ac:dyDescent="0.15">
      <c r="A2493" s="2"/>
      <c r="B2493" s="194" t="s">
        <v>12</v>
      </c>
      <c r="C2493" s="195" t="s">
        <v>1143</v>
      </c>
      <c r="D2493" s="195" t="s">
        <v>1169</v>
      </c>
      <c r="E2493" s="195">
        <v>0</v>
      </c>
      <c r="F2493" s="195" t="s">
        <v>440</v>
      </c>
      <c r="G2493" s="196"/>
      <c r="H2493" s="107" t="str">
        <f t="shared" si="32"/>
        <v>ifnull(t.realize_pandl,0) as realize_pandl,/*实现盈亏*/</v>
      </c>
    </row>
    <row r="2494" spans="1:8" s="7" customFormat="1" x14ac:dyDescent="0.15">
      <c r="A2494" s="2"/>
      <c r="B2494" s="194" t="s">
        <v>13</v>
      </c>
      <c r="C2494" s="195" t="s">
        <v>1205</v>
      </c>
      <c r="D2494" s="195" t="s">
        <v>1169</v>
      </c>
      <c r="E2494" s="195">
        <v>0</v>
      </c>
      <c r="F2494" s="195" t="s">
        <v>440</v>
      </c>
      <c r="G2494" s="196"/>
      <c r="H2494" s="107" t="str">
        <f t="shared" si="32"/>
        <v>ifnull(t.intrst_cost_amt,0) as intrst_cost_amt,/*利息成本金额*/</v>
      </c>
    </row>
    <row r="2495" spans="1:8" s="7" customFormat="1" x14ac:dyDescent="0.15">
      <c r="A2495" s="2"/>
      <c r="B2495" s="194" t="s">
        <v>14</v>
      </c>
      <c r="C2495" s="195" t="s">
        <v>1206</v>
      </c>
      <c r="D2495" s="195" t="s">
        <v>1169</v>
      </c>
      <c r="E2495" s="195">
        <v>0</v>
      </c>
      <c r="F2495" s="195" t="s">
        <v>440</v>
      </c>
      <c r="G2495" s="196"/>
      <c r="H2495" s="107" t="str">
        <f t="shared" si="32"/>
        <v>ifnull(t.intrst_pandl,0) as intrst_pandl,/*利息收益*/</v>
      </c>
    </row>
    <row r="2496" spans="1:8" s="7" customFormat="1" x14ac:dyDescent="0.15">
      <c r="A2496" s="2"/>
      <c r="B2496" s="163" t="s">
        <v>439</v>
      </c>
      <c r="C2496" s="164" t="s">
        <v>1236</v>
      </c>
      <c r="D2496" s="164" t="s">
        <v>1211</v>
      </c>
      <c r="E2496" s="164">
        <v>0</v>
      </c>
      <c r="F2496" s="164" t="s">
        <v>441</v>
      </c>
      <c r="G2496" s="107"/>
      <c r="H2496" s="107" t="str">
        <f t="shared" si="32"/>
        <v>ifnull(a.last_price,0) as last_price,/*最新价*/</v>
      </c>
    </row>
    <row r="2497" spans="1:9" s="7" customFormat="1" x14ac:dyDescent="0.15">
      <c r="A2497" s="2"/>
      <c r="B2497" s="163" t="s">
        <v>444</v>
      </c>
      <c r="C2497" s="164" t="s">
        <v>1459</v>
      </c>
      <c r="D2497" s="164" t="s">
        <v>1211</v>
      </c>
      <c r="E2497" s="164">
        <v>0</v>
      </c>
      <c r="F2497" s="164" t="s">
        <v>441</v>
      </c>
      <c r="G2497" s="107"/>
      <c r="H2497" s="107" t="str">
        <f t="shared" si="32"/>
        <v>ifnull(a.fair_price,0) as fair_price,/*公允价格*/</v>
      </c>
    </row>
    <row r="2498" spans="1:9" s="7" customFormat="1" x14ac:dyDescent="0.15">
      <c r="A2498" s="2"/>
      <c r="B2498" s="163" t="s">
        <v>259</v>
      </c>
      <c r="C2498" s="164" t="s">
        <v>1392</v>
      </c>
      <c r="D2498" s="164" t="s">
        <v>211</v>
      </c>
      <c r="E2498" s="164">
        <v>0</v>
      </c>
      <c r="F2498" s="164" t="s">
        <v>441</v>
      </c>
      <c r="G2498" s="107"/>
      <c r="H2498" s="107" t="str">
        <f t="shared" si="32"/>
        <v>ifnull(a.net_price_flag,0) as net_price_flag,/*净价标志*/</v>
      </c>
    </row>
    <row r="2499" spans="1:9" s="7" customFormat="1" x14ac:dyDescent="0.15">
      <c r="A2499" s="2"/>
      <c r="B2499" s="163" t="s">
        <v>258</v>
      </c>
      <c r="C2499" s="164" t="s">
        <v>1395</v>
      </c>
      <c r="D2499" s="164" t="s">
        <v>1172</v>
      </c>
      <c r="E2499" s="164">
        <v>0</v>
      </c>
      <c r="F2499" s="164" t="s">
        <v>441</v>
      </c>
      <c r="G2499" s="107"/>
      <c r="H2499" s="107" t="str">
        <f t="shared" si="32"/>
        <v>ifnull(a.bond_accr_intrst,0) as bond_accr_intrst,/*债券计提利息*/</v>
      </c>
    </row>
    <row r="2500" spans="1:9" s="7" customFormat="1" x14ac:dyDescent="0.15">
      <c r="A2500" s="2"/>
      <c r="B2500" s="105" t="s">
        <v>443</v>
      </c>
      <c r="C2500" s="109" t="s">
        <v>1214</v>
      </c>
      <c r="D2500" s="109" t="s">
        <v>1169</v>
      </c>
      <c r="E2500" s="109">
        <v>0</v>
      </c>
      <c r="F2500" s="109" t="s">
        <v>441</v>
      </c>
      <c r="G2500" s="110"/>
      <c r="H2500" s="107" t="str">
        <f t="shared" si="32"/>
        <v>ifnull(t.curr_qty * (
  CASE
  WHEN a.fair_price &gt; 0 THEN
   a.fair_price
  ELSE
   (
    CASE
    WHEN a.asset_type IN (43) THEN
     100
    WHEN a.asset_type IN (21, 22, 23, 24, 25)
    AND a.net_price_flag = '1' THEN
     a.last_price + a.bond_accr_intrst
    ELSE
     a.last_price
    END
   )
  END
 ),0) as posi_market_value,/*持仓市值*/</v>
      </c>
      <c r="I2500" s="220" t="s">
        <v>442</v>
      </c>
    </row>
    <row r="2501" spans="1:9" s="7" customFormat="1" ht="18" thickBot="1" x14ac:dyDescent="0.2">
      <c r="A2501" s="2"/>
      <c r="B2501" s="24"/>
      <c r="C2501" s="9"/>
      <c r="D2501" s="9"/>
      <c r="E2501" s="9"/>
      <c r="F2501" s="9"/>
      <c r="G2501" s="11"/>
    </row>
    <row r="2502" spans="1:9" s="7" customFormat="1" x14ac:dyDescent="0.15">
      <c r="A2502" s="2"/>
      <c r="B2502" s="327" t="s">
        <v>15</v>
      </c>
      <c r="C2502" s="328"/>
      <c r="D2502" s="328"/>
      <c r="E2502" s="328"/>
      <c r="F2502" s="328"/>
      <c r="G2502" s="329"/>
    </row>
    <row r="2503" spans="1:9" s="7" customFormat="1" ht="18" thickBot="1" x14ac:dyDescent="0.2">
      <c r="A2503" s="2"/>
      <c r="B2503" s="24"/>
      <c r="C2503" s="9"/>
      <c r="D2503" s="9"/>
      <c r="E2503" s="9"/>
      <c r="F2503" s="9"/>
      <c r="G2503" s="11"/>
    </row>
    <row r="2504" spans="1:9" ht="18" thickBot="1" x14ac:dyDescent="0.2"/>
    <row r="2505" spans="1:9" s="7" customFormat="1" x14ac:dyDescent="0.15">
      <c r="A2505" s="2"/>
      <c r="B2505" s="3" t="s">
        <v>563</v>
      </c>
      <c r="C2505" s="147" t="s">
        <v>695</v>
      </c>
      <c r="D2505" s="147" t="s">
        <v>515</v>
      </c>
      <c r="E2505" s="21" t="s">
        <v>612</v>
      </c>
      <c r="F2505" s="5" t="s">
        <v>567</v>
      </c>
      <c r="G2505" s="6" t="s">
        <v>696</v>
      </c>
      <c r="H2505" s="6" t="str">
        <f>"create or replace view "&amp;C2505</f>
        <v>create or replace view vi_sum_exgp_posi_value_inter_pl</v>
      </c>
    </row>
    <row r="2506" spans="1:9" s="7" customFormat="1" ht="18" thickBot="1" x14ac:dyDescent="0.2">
      <c r="A2506" s="2"/>
      <c r="B2506" s="34" t="s">
        <v>570</v>
      </c>
      <c r="C2506" s="18"/>
      <c r="D2506" s="35" t="s">
        <v>568</v>
      </c>
      <c r="E2506" s="18" t="s">
        <v>615</v>
      </c>
      <c r="F2506" s="35"/>
      <c r="G2506" s="19"/>
      <c r="H2506" s="11" t="str">
        <f>"/* "&amp;E2505&amp;"*/  as "</f>
        <v xml:space="preserve">/* 报表_资管报表_视图-汇总-交易组-持仓-区间盈亏*/  as </v>
      </c>
    </row>
    <row r="2507" spans="1:9" s="7" customFormat="1" x14ac:dyDescent="0.15">
      <c r="A2507" s="2"/>
      <c r="B2507" s="3" t="s">
        <v>0</v>
      </c>
      <c r="C2507" s="5" t="s">
        <v>1</v>
      </c>
      <c r="D2507" s="5" t="s">
        <v>2</v>
      </c>
      <c r="E2507" s="5"/>
      <c r="F2507" s="5" t="s">
        <v>3</v>
      </c>
      <c r="G2507" s="36" t="s">
        <v>4</v>
      </c>
      <c r="H2507" s="13" t="s">
        <v>474</v>
      </c>
    </row>
    <row r="2508" spans="1:9" s="7" customFormat="1" x14ac:dyDescent="0.15">
      <c r="A2508" s="2"/>
      <c r="B2508" s="153" t="s">
        <v>540</v>
      </c>
      <c r="C2508" s="154" t="s">
        <v>1611</v>
      </c>
      <c r="D2508" s="154" t="s">
        <v>211</v>
      </c>
      <c r="E2508" s="154" t="s">
        <v>1141</v>
      </c>
      <c r="F2508" s="154"/>
      <c r="G2508" s="155"/>
      <c r="H2508" s="107" t="str">
        <f t="shared" ref="H2508:H2529" si="33">"ifnull("&amp;IF(I2508&lt;&gt;"",I2508,IF(F2508&lt;&gt;"",F2508,"t")&amp;"."&amp;C2508)&amp;","&amp;E2508&amp;") as "&amp;C2508&amp;",/*"&amp;B2508&amp;"*/"</f>
        <v>ifnull(t.begin_date,date_format(curdate(),'%Y%m%d')) as begin_date,/*开始日期*/</v>
      </c>
    </row>
    <row r="2509" spans="1:9" s="7" customFormat="1" x14ac:dyDescent="0.15">
      <c r="A2509" s="2"/>
      <c r="B2509" s="153" t="s">
        <v>541</v>
      </c>
      <c r="C2509" s="154" t="s">
        <v>1582</v>
      </c>
      <c r="D2509" s="154" t="s">
        <v>211</v>
      </c>
      <c r="E2509" s="154" t="s">
        <v>1141</v>
      </c>
      <c r="F2509" s="154"/>
      <c r="G2509" s="155"/>
      <c r="H2509" s="107" t="str">
        <f t="shared" si="33"/>
        <v>ifnull(t.end_date,date_format(curdate(),'%Y%m%d')) as end_date,/*结束日期*/</v>
      </c>
    </row>
    <row r="2510" spans="1:9" s="7" customFormat="1" x14ac:dyDescent="0.15">
      <c r="A2510" s="2"/>
      <c r="B2510" s="194" t="s">
        <v>6</v>
      </c>
      <c r="C2510" s="195" t="s">
        <v>1163</v>
      </c>
      <c r="D2510" s="195" t="s">
        <v>211</v>
      </c>
      <c r="E2510" s="195">
        <v>0</v>
      </c>
      <c r="F2510" s="195" t="s">
        <v>440</v>
      </c>
      <c r="G2510" s="196" t="s">
        <v>1077</v>
      </c>
      <c r="H2510" s="107" t="str">
        <f t="shared" si="33"/>
        <v>ifnull(t.co_no,0) as co_no,/*机构编号*/</v>
      </c>
    </row>
    <row r="2511" spans="1:9" s="7" customFormat="1" x14ac:dyDescent="0.15">
      <c r="A2511" s="2"/>
      <c r="B2511" s="194" t="s">
        <v>111</v>
      </c>
      <c r="C2511" s="195" t="s">
        <v>1164</v>
      </c>
      <c r="D2511" s="195" t="s">
        <v>211</v>
      </c>
      <c r="E2511" s="195">
        <v>0</v>
      </c>
      <c r="F2511" s="195" t="s">
        <v>440</v>
      </c>
      <c r="G2511" s="196" t="s">
        <v>1165</v>
      </c>
      <c r="H2511" s="107" t="str">
        <f t="shared" si="33"/>
        <v>ifnull(t.pd_no,0) as pd_no,/*产品编号*/</v>
      </c>
    </row>
    <row r="2512" spans="1:9" s="7" customFormat="1" x14ac:dyDescent="0.15">
      <c r="A2512" s="2"/>
      <c r="B2512" s="194" t="s">
        <v>112</v>
      </c>
      <c r="C2512" s="195" t="s">
        <v>1133</v>
      </c>
      <c r="D2512" s="195" t="s">
        <v>211</v>
      </c>
      <c r="E2512" s="195">
        <v>0</v>
      </c>
      <c r="F2512" s="195" t="s">
        <v>440</v>
      </c>
      <c r="G2512" s="196" t="s">
        <v>1182</v>
      </c>
      <c r="H2512" s="107" t="str">
        <f t="shared" si="33"/>
        <v>ifnull(t.exch_group_no,0) as exch_group_no,/*交易组编号*/</v>
      </c>
    </row>
    <row r="2513" spans="1:9" s="7" customFormat="1" x14ac:dyDescent="0.15">
      <c r="A2513" s="2"/>
      <c r="B2513" s="194" t="s">
        <v>113</v>
      </c>
      <c r="C2513" s="195" t="s">
        <v>1187</v>
      </c>
      <c r="D2513" s="195" t="s">
        <v>211</v>
      </c>
      <c r="E2513" s="195">
        <v>0</v>
      </c>
      <c r="F2513" s="195" t="s">
        <v>440</v>
      </c>
      <c r="G2513" s="196"/>
      <c r="H2513" s="107" t="str">
        <f t="shared" si="33"/>
        <v>ifnull(t.asset_acco_no,0) as asset_acco_no,/*资产账户编号*/</v>
      </c>
    </row>
    <row r="2514" spans="1:9" s="7" customFormat="1" x14ac:dyDescent="0.15">
      <c r="A2514" s="2"/>
      <c r="B2514" s="194" t="s">
        <v>7</v>
      </c>
      <c r="C2514" s="195" t="s">
        <v>1190</v>
      </c>
      <c r="D2514" s="195" t="s">
        <v>211</v>
      </c>
      <c r="E2514" s="195">
        <v>0</v>
      </c>
      <c r="F2514" s="195" t="s">
        <v>440</v>
      </c>
      <c r="G2514" s="196" t="s">
        <v>1081</v>
      </c>
      <c r="H2514" s="107" t="str">
        <f t="shared" si="33"/>
        <v>ifnull(t.exch_no,0) as exch_no,/*市场编号*/</v>
      </c>
    </row>
    <row r="2515" spans="1:9" s="7" customFormat="1" x14ac:dyDescent="0.15">
      <c r="A2515" s="2"/>
      <c r="B2515" s="194" t="s">
        <v>114</v>
      </c>
      <c r="C2515" s="195" t="s">
        <v>1155</v>
      </c>
      <c r="D2515" s="195" t="s">
        <v>211</v>
      </c>
      <c r="E2515" s="195">
        <v>0</v>
      </c>
      <c r="F2515" s="195" t="s">
        <v>440</v>
      </c>
      <c r="G2515" s="196"/>
      <c r="H2515" s="107" t="str">
        <f t="shared" si="33"/>
        <v>ifnull(t.stock_acco_no,0) as stock_acco_no,/*股东代码编号*/</v>
      </c>
    </row>
    <row r="2516" spans="1:9" s="7" customFormat="1" x14ac:dyDescent="0.15">
      <c r="A2516" s="2"/>
      <c r="B2516" s="194" t="s">
        <v>115</v>
      </c>
      <c r="C2516" s="195" t="s">
        <v>1188</v>
      </c>
      <c r="D2516" s="195" t="s">
        <v>211</v>
      </c>
      <c r="E2516" s="195">
        <v>0</v>
      </c>
      <c r="F2516" s="195" t="s">
        <v>440</v>
      </c>
      <c r="G2516" s="196"/>
      <c r="H2516" s="107" t="str">
        <f t="shared" si="33"/>
        <v>ifnull(t.stock_code_no,0) as stock_code_no,/*证券代码编号*/</v>
      </c>
    </row>
    <row r="2517" spans="1:9" s="7" customFormat="1" x14ac:dyDescent="0.15">
      <c r="A2517" s="2"/>
      <c r="B2517" s="194" t="s">
        <v>93</v>
      </c>
      <c r="C2517" s="195" t="s">
        <v>1189</v>
      </c>
      <c r="D2517" s="195" t="s">
        <v>211</v>
      </c>
      <c r="E2517" s="195">
        <v>0</v>
      </c>
      <c r="F2517" s="195" t="s">
        <v>440</v>
      </c>
      <c r="G2517" s="196"/>
      <c r="H2517" s="107" t="str">
        <f t="shared" si="33"/>
        <v>ifnull(t.stock_type,0) as stock_type,/*证券类型*/</v>
      </c>
    </row>
    <row r="2518" spans="1:9" s="7" customFormat="1" x14ac:dyDescent="0.15">
      <c r="A2518" s="2"/>
      <c r="B2518" s="194" t="s">
        <v>41</v>
      </c>
      <c r="C2518" s="195" t="s">
        <v>1258</v>
      </c>
      <c r="D2518" s="195" t="s">
        <v>211</v>
      </c>
      <c r="E2518" s="195">
        <v>0</v>
      </c>
      <c r="F2518" s="195" t="s">
        <v>440</v>
      </c>
      <c r="G2518" s="196" t="s">
        <v>1259</v>
      </c>
      <c r="H2518" s="107" t="str">
        <f t="shared" si="33"/>
        <v>ifnull(t.asset_type,0) as asset_type,/*资产类型*/</v>
      </c>
    </row>
    <row r="2519" spans="1:9" s="7" customFormat="1" x14ac:dyDescent="0.15">
      <c r="A2519" s="2"/>
      <c r="B2519" s="194" t="s">
        <v>8</v>
      </c>
      <c r="C2519" s="195" t="s">
        <v>1193</v>
      </c>
      <c r="D2519" s="195" t="s">
        <v>1087</v>
      </c>
      <c r="E2519" s="195">
        <v>0</v>
      </c>
      <c r="F2519" s="195" t="s">
        <v>440</v>
      </c>
      <c r="G2519" s="196" t="s">
        <v>1194</v>
      </c>
      <c r="H2519" s="107" t="str">
        <f t="shared" si="33"/>
        <v>ifnull(t.begin_qty,0) as begin_qty,/*期初数量*/</v>
      </c>
    </row>
    <row r="2520" spans="1:9" s="7" customFormat="1" x14ac:dyDescent="0.15">
      <c r="A2520" s="2"/>
      <c r="B2520" s="194" t="s">
        <v>9</v>
      </c>
      <c r="C2520" s="195" t="s">
        <v>1195</v>
      </c>
      <c r="D2520" s="195" t="s">
        <v>1087</v>
      </c>
      <c r="E2520" s="195">
        <v>0</v>
      </c>
      <c r="F2520" s="195" t="s">
        <v>440</v>
      </c>
      <c r="G2520" s="196" t="s">
        <v>1196</v>
      </c>
      <c r="H2520" s="107" t="str">
        <f t="shared" si="33"/>
        <v>ifnull(t.curr_qty,0) as curr_qty,/*当前数量*/</v>
      </c>
    </row>
    <row r="2521" spans="1:9" s="7" customFormat="1" x14ac:dyDescent="0.15">
      <c r="A2521" s="2"/>
      <c r="B2521" s="194" t="s">
        <v>12</v>
      </c>
      <c r="C2521" s="195" t="s">
        <v>1143</v>
      </c>
      <c r="D2521" s="195" t="s">
        <v>1169</v>
      </c>
      <c r="E2521" s="195">
        <v>0</v>
      </c>
      <c r="F2521" s="195" t="s">
        <v>440</v>
      </c>
      <c r="G2521" s="196"/>
      <c r="H2521" s="107" t="str">
        <f t="shared" si="33"/>
        <v>ifnull(t.realize_pandl,0) as realize_pandl,/*实现盈亏*/</v>
      </c>
    </row>
    <row r="2522" spans="1:9" s="7" customFormat="1" x14ac:dyDescent="0.15">
      <c r="A2522" s="2"/>
      <c r="B2522" s="194" t="s">
        <v>13</v>
      </c>
      <c r="C2522" s="195" t="s">
        <v>1205</v>
      </c>
      <c r="D2522" s="195" t="s">
        <v>1169</v>
      </c>
      <c r="E2522" s="195">
        <v>0</v>
      </c>
      <c r="F2522" s="195" t="s">
        <v>440</v>
      </c>
      <c r="G2522" s="196"/>
      <c r="H2522" s="107" t="str">
        <f t="shared" si="33"/>
        <v>ifnull(t.intrst_cost_amt,0) as intrst_cost_amt,/*利息成本金额*/</v>
      </c>
    </row>
    <row r="2523" spans="1:9" s="7" customFormat="1" x14ac:dyDescent="0.15">
      <c r="A2523" s="2"/>
      <c r="B2523" s="194" t="s">
        <v>14</v>
      </c>
      <c r="C2523" s="195" t="s">
        <v>1206</v>
      </c>
      <c r="D2523" s="195" t="s">
        <v>1169</v>
      </c>
      <c r="E2523" s="195">
        <v>0</v>
      </c>
      <c r="F2523" s="195" t="s">
        <v>440</v>
      </c>
      <c r="G2523" s="196"/>
      <c r="H2523" s="107" t="str">
        <f t="shared" si="33"/>
        <v>ifnull(t.intrst_pandl,0) as intrst_pandl,/*利息收益*/</v>
      </c>
    </row>
    <row r="2524" spans="1:9" s="7" customFormat="1" x14ac:dyDescent="0.15">
      <c r="A2524" s="2"/>
      <c r="B2524" s="163" t="s">
        <v>439</v>
      </c>
      <c r="C2524" s="164" t="s">
        <v>1236</v>
      </c>
      <c r="D2524" s="164" t="s">
        <v>1211</v>
      </c>
      <c r="E2524" s="164">
        <v>0</v>
      </c>
      <c r="F2524" s="164" t="s">
        <v>441</v>
      </c>
      <c r="G2524" s="107"/>
      <c r="H2524" s="107" t="str">
        <f t="shared" si="33"/>
        <v>ifnull(a.last_price,0) as last_price,/*最新价*/</v>
      </c>
    </row>
    <row r="2525" spans="1:9" s="7" customFormat="1" x14ac:dyDescent="0.15">
      <c r="A2525" s="2"/>
      <c r="B2525" s="163" t="s">
        <v>444</v>
      </c>
      <c r="C2525" s="164" t="s">
        <v>1459</v>
      </c>
      <c r="D2525" s="164" t="s">
        <v>1211</v>
      </c>
      <c r="E2525" s="164">
        <v>0</v>
      </c>
      <c r="F2525" s="164" t="s">
        <v>441</v>
      </c>
      <c r="G2525" s="107"/>
      <c r="H2525" s="107" t="str">
        <f t="shared" si="33"/>
        <v>ifnull(a.fair_price,0) as fair_price,/*公允价格*/</v>
      </c>
    </row>
    <row r="2526" spans="1:9" s="7" customFormat="1" x14ac:dyDescent="0.15">
      <c r="A2526" s="2"/>
      <c r="B2526" s="163" t="s">
        <v>259</v>
      </c>
      <c r="C2526" s="164" t="s">
        <v>1392</v>
      </c>
      <c r="D2526" s="164" t="s">
        <v>211</v>
      </c>
      <c r="E2526" s="164">
        <v>0</v>
      </c>
      <c r="F2526" s="164" t="s">
        <v>441</v>
      </c>
      <c r="G2526" s="107"/>
      <c r="H2526" s="107" t="str">
        <f t="shared" si="33"/>
        <v>ifnull(a.net_price_flag,0) as net_price_flag,/*净价标志*/</v>
      </c>
    </row>
    <row r="2527" spans="1:9" s="7" customFormat="1" x14ac:dyDescent="0.15">
      <c r="A2527" s="2"/>
      <c r="B2527" s="163" t="s">
        <v>258</v>
      </c>
      <c r="C2527" s="164" t="s">
        <v>1395</v>
      </c>
      <c r="D2527" s="164" t="s">
        <v>1172</v>
      </c>
      <c r="E2527" s="164">
        <v>0</v>
      </c>
      <c r="F2527" s="164" t="s">
        <v>441</v>
      </c>
      <c r="G2527" s="107"/>
      <c r="H2527" s="107" t="str">
        <f t="shared" si="33"/>
        <v>ifnull(a.bond_accr_intrst,0) as bond_accr_intrst,/*债券计提利息*/</v>
      </c>
    </row>
    <row r="2528" spans="1:9" s="7" customFormat="1" x14ac:dyDescent="0.15">
      <c r="A2528" s="2"/>
      <c r="B2528" s="105" t="s">
        <v>443</v>
      </c>
      <c r="C2528" s="109" t="s">
        <v>1214</v>
      </c>
      <c r="D2528" s="109" t="s">
        <v>1169</v>
      </c>
      <c r="E2528" s="109">
        <v>0</v>
      </c>
      <c r="F2528" s="109" t="s">
        <v>441</v>
      </c>
      <c r="G2528" s="110"/>
      <c r="H2528" s="107" t="str">
        <f t="shared" si="33"/>
        <v>ifnull(a.posi_market_value,0) as posi_market_value,/*持仓市值*/</v>
      </c>
      <c r="I2528" s="220"/>
    </row>
    <row r="2529" spans="1:9" s="7" customFormat="1" x14ac:dyDescent="0.15">
      <c r="A2529" s="2"/>
      <c r="B2529" s="105" t="s">
        <v>542</v>
      </c>
      <c r="C2529" s="109" t="s">
        <v>1612</v>
      </c>
      <c r="D2529" s="109" t="s">
        <v>1169</v>
      </c>
      <c r="E2529" s="109">
        <v>0</v>
      </c>
      <c r="F2529" s="109" t="s">
        <v>441</v>
      </c>
      <c r="G2529" s="110"/>
      <c r="H2529" s="107" t="str">
        <f t="shared" si="33"/>
        <v>ifnull(a.interval_pandl,0) as interval_pandl,/*区间盈亏*/</v>
      </c>
      <c r="I2529" s="220"/>
    </row>
    <row r="2530" spans="1:9" s="7" customFormat="1" ht="18" thickBot="1" x14ac:dyDescent="0.2">
      <c r="A2530" s="2"/>
      <c r="B2530" s="24"/>
      <c r="C2530" s="9"/>
      <c r="D2530" s="9"/>
      <c r="E2530" s="9"/>
      <c r="F2530" s="9"/>
      <c r="G2530" s="11"/>
    </row>
    <row r="2531" spans="1:9" s="7" customFormat="1" x14ac:dyDescent="0.15">
      <c r="A2531" s="2"/>
      <c r="B2531" s="327" t="s">
        <v>15</v>
      </c>
      <c r="C2531" s="328"/>
      <c r="D2531" s="328"/>
      <c r="E2531" s="328"/>
      <c r="F2531" s="328"/>
      <c r="G2531" s="329"/>
    </row>
    <row r="2532" spans="1:9" s="7" customFormat="1" x14ac:dyDescent="0.15">
      <c r="A2532" s="2"/>
      <c r="B2532" s="20"/>
      <c r="C2532" s="23"/>
      <c r="D2532" s="21"/>
      <c r="E2532" s="21"/>
      <c r="F2532" s="21"/>
      <c r="G2532" s="21"/>
    </row>
    <row r="2533" spans="1:9" s="7" customFormat="1" x14ac:dyDescent="0.15">
      <c r="A2533" s="2"/>
      <c r="B2533" s="17"/>
      <c r="C2533" s="37"/>
      <c r="D2533" s="18"/>
      <c r="E2533" s="18"/>
      <c r="F2533" s="18"/>
      <c r="G2533" s="38"/>
    </row>
    <row r="2534" spans="1:9" s="7" customFormat="1" ht="18" thickBot="1" x14ac:dyDescent="0.2">
      <c r="A2534" s="2"/>
      <c r="B2534" s="24"/>
      <c r="C2534" s="9"/>
      <c r="D2534" s="9"/>
      <c r="E2534" s="9"/>
      <c r="F2534" s="9"/>
      <c r="G2534" s="11"/>
    </row>
    <row r="2536" spans="1:9" ht="18" thickBot="1" x14ac:dyDescent="0.2"/>
    <row r="2537" spans="1:9" s="7" customFormat="1" x14ac:dyDescent="0.15">
      <c r="A2537" s="2"/>
      <c r="B2537" s="3" t="s">
        <v>563</v>
      </c>
      <c r="C2537" s="147" t="s">
        <v>685</v>
      </c>
      <c r="D2537" s="147" t="s">
        <v>515</v>
      </c>
      <c r="E2537" s="21" t="s">
        <v>588</v>
      </c>
      <c r="F2537" s="5" t="s">
        <v>567</v>
      </c>
      <c r="G2537" s="6" t="s">
        <v>686</v>
      </c>
      <c r="H2537" s="6" t="str">
        <f>"create or replace view "&amp;C2537</f>
        <v>create or replace view vi_dt_exgp_stock_strike</v>
      </c>
    </row>
    <row r="2538" spans="1:9" s="7" customFormat="1" ht="18" thickBot="1" x14ac:dyDescent="0.2">
      <c r="A2538" s="2"/>
      <c r="B2538" s="34" t="s">
        <v>570</v>
      </c>
      <c r="C2538" s="18"/>
      <c r="D2538" s="35" t="s">
        <v>568</v>
      </c>
      <c r="E2538" s="18" t="s">
        <v>615</v>
      </c>
      <c r="F2538" s="35"/>
      <c r="G2538" s="19"/>
      <c r="H2538" s="11" t="str">
        <f>"# "&amp;E2537</f>
        <v># 报表_资管报表_视图-数据-交易组-成交</v>
      </c>
    </row>
    <row r="2539" spans="1:9" s="7" customFormat="1" x14ac:dyDescent="0.15">
      <c r="A2539" s="2"/>
      <c r="B2539" s="3" t="s">
        <v>0</v>
      </c>
      <c r="C2539" s="5" t="s">
        <v>1</v>
      </c>
      <c r="D2539" s="5" t="s">
        <v>2</v>
      </c>
      <c r="E2539" s="5"/>
      <c r="F2539" s="5" t="s">
        <v>3</v>
      </c>
      <c r="G2539" s="36" t="s">
        <v>4</v>
      </c>
      <c r="H2539" s="13" t="s">
        <v>283</v>
      </c>
    </row>
    <row r="2540" spans="1:9" s="7" customFormat="1" x14ac:dyDescent="0.15">
      <c r="B2540" s="194" t="s">
        <v>21</v>
      </c>
      <c r="C2540" s="195" t="s">
        <v>1357</v>
      </c>
      <c r="D2540" s="195" t="s">
        <v>211</v>
      </c>
      <c r="E2540" s="195">
        <v>0</v>
      </c>
      <c r="F2540" s="195" t="s">
        <v>440</v>
      </c>
      <c r="G2540" s="196" t="s">
        <v>1358</v>
      </c>
      <c r="H2540" s="107" t="str">
        <f t="shared" ref="H2540:H2587" si="34">"ifnull("&amp;IF(I2540&lt;&gt;"",I2540,IF(F2540&lt;&gt;"",F2540,"t")&amp;"."&amp;C2540)&amp;","&amp;E2540&amp;") as "&amp;C2540&amp;",/*"&amp;B2540&amp;"*/"</f>
        <v>ifnull(t.opor_no,0) as opor_no,/*操作员编号*/</v>
      </c>
    </row>
    <row r="2541" spans="1:9" s="7" customFormat="1" x14ac:dyDescent="0.15">
      <c r="B2541" s="194" t="s">
        <v>149</v>
      </c>
      <c r="C2541" s="195" t="s">
        <v>1127</v>
      </c>
      <c r="D2541" s="195" t="s">
        <v>211</v>
      </c>
      <c r="E2541" s="195" t="s">
        <v>1141</v>
      </c>
      <c r="F2541" s="195" t="s">
        <v>440</v>
      </c>
      <c r="G2541" s="196" t="s">
        <v>1162</v>
      </c>
      <c r="H2541" s="107" t="str">
        <f t="shared" si="34"/>
        <v>ifnull(t.init_date,date_format(curdate(),'%Y%m%d')) as init_date,/*初始化日期*/</v>
      </c>
    </row>
    <row r="2542" spans="1:9" s="7" customFormat="1" x14ac:dyDescent="0.15">
      <c r="B2542" s="194" t="s">
        <v>6</v>
      </c>
      <c r="C2542" s="195" t="s">
        <v>1163</v>
      </c>
      <c r="D2542" s="195" t="s">
        <v>211</v>
      </c>
      <c r="E2542" s="195">
        <v>0</v>
      </c>
      <c r="F2542" s="195" t="s">
        <v>440</v>
      </c>
      <c r="G2542" s="196" t="s">
        <v>1077</v>
      </c>
      <c r="H2542" s="107" t="str">
        <f t="shared" si="34"/>
        <v>ifnull(t.co_no,0) as co_no,/*机构编号*/</v>
      </c>
    </row>
    <row r="2543" spans="1:9" s="7" customFormat="1" x14ac:dyDescent="0.15">
      <c r="B2543" s="194" t="s">
        <v>111</v>
      </c>
      <c r="C2543" s="195" t="s">
        <v>1164</v>
      </c>
      <c r="D2543" s="195" t="s">
        <v>211</v>
      </c>
      <c r="E2543" s="195">
        <v>0</v>
      </c>
      <c r="F2543" s="195" t="s">
        <v>440</v>
      </c>
      <c r="G2543" s="196" t="s">
        <v>1165</v>
      </c>
      <c r="H2543" s="107" t="str">
        <f t="shared" si="34"/>
        <v>ifnull(t.pd_no,0) as pd_no,/*产品编号*/</v>
      </c>
    </row>
    <row r="2544" spans="1:9" s="7" customFormat="1" x14ac:dyDescent="0.15">
      <c r="B2544" s="194" t="s">
        <v>123</v>
      </c>
      <c r="C2544" s="195" t="s">
        <v>1133</v>
      </c>
      <c r="D2544" s="195" t="s">
        <v>211</v>
      </c>
      <c r="E2544" s="195">
        <v>0</v>
      </c>
      <c r="F2544" s="195" t="s">
        <v>440</v>
      </c>
      <c r="G2544" s="196" t="s">
        <v>1182</v>
      </c>
      <c r="H2544" s="107" t="str">
        <f t="shared" si="34"/>
        <v>ifnull(t.exch_group_no,0) as exch_group_no,/*交易组编号*/</v>
      </c>
    </row>
    <row r="2545" spans="2:8" s="7" customFormat="1" x14ac:dyDescent="0.15">
      <c r="B2545" s="194" t="s">
        <v>113</v>
      </c>
      <c r="C2545" s="195" t="s">
        <v>1187</v>
      </c>
      <c r="D2545" s="195" t="s">
        <v>211</v>
      </c>
      <c r="E2545" s="195">
        <v>0</v>
      </c>
      <c r="F2545" s="195" t="s">
        <v>440</v>
      </c>
      <c r="G2545" s="196"/>
      <c r="H2545" s="107" t="str">
        <f t="shared" si="34"/>
        <v>ifnull(t.asset_acco_no,0) as asset_acco_no,/*资产账户编号*/</v>
      </c>
    </row>
    <row r="2546" spans="2:8" s="7" customFormat="1" x14ac:dyDescent="0.15">
      <c r="B2546" s="194" t="s">
        <v>98</v>
      </c>
      <c r="C2546" s="195" t="s">
        <v>1359</v>
      </c>
      <c r="D2546" s="195" t="s">
        <v>211</v>
      </c>
      <c r="E2546" s="195">
        <v>0</v>
      </c>
      <c r="F2546" s="195" t="s">
        <v>440</v>
      </c>
      <c r="G2546" s="196" t="s">
        <v>1562</v>
      </c>
      <c r="H2546" s="107" t="str">
        <f t="shared" si="34"/>
        <v>ifnull(t.pass_no,0) as pass_no,/*通道编号*/</v>
      </c>
    </row>
    <row r="2547" spans="2:8" s="7" customFormat="1" x14ac:dyDescent="0.15">
      <c r="B2547" s="194" t="s">
        <v>260</v>
      </c>
      <c r="C2547" s="195" t="s">
        <v>1119</v>
      </c>
      <c r="D2547" s="195" t="s">
        <v>1287</v>
      </c>
      <c r="E2547" s="195" t="s">
        <v>1072</v>
      </c>
      <c r="F2547" s="195" t="s">
        <v>440</v>
      </c>
      <c r="G2547" s="196"/>
      <c r="H2547" s="107" t="str">
        <f t="shared" si="34"/>
        <v>ifnull(t.out_acco," ") as out_acco,/*外部账号*/</v>
      </c>
    </row>
    <row r="2548" spans="2:8" s="7" customFormat="1" x14ac:dyDescent="0.15">
      <c r="B2548" s="194" t="s">
        <v>7</v>
      </c>
      <c r="C2548" s="195" t="s">
        <v>1190</v>
      </c>
      <c r="D2548" s="195" t="s">
        <v>211</v>
      </c>
      <c r="E2548" s="195">
        <v>0</v>
      </c>
      <c r="F2548" s="195" t="s">
        <v>440</v>
      </c>
      <c r="G2548" s="196" t="s">
        <v>1081</v>
      </c>
      <c r="H2548" s="107" t="str">
        <f t="shared" si="34"/>
        <v>ifnull(t.exch_no,0) as exch_no,/*市场编号*/</v>
      </c>
    </row>
    <row r="2549" spans="2:8" s="7" customFormat="1" x14ac:dyDescent="0.15">
      <c r="B2549" s="194" t="s">
        <v>114</v>
      </c>
      <c r="C2549" s="195" t="s">
        <v>1155</v>
      </c>
      <c r="D2549" s="195" t="s">
        <v>211</v>
      </c>
      <c r="E2549" s="195">
        <v>0</v>
      </c>
      <c r="F2549" s="195" t="s">
        <v>440</v>
      </c>
      <c r="G2549" s="196"/>
      <c r="H2549" s="107" t="str">
        <f t="shared" si="34"/>
        <v>ifnull(t.stock_acco_no,0) as stock_acco_no,/*股东代码编号*/</v>
      </c>
    </row>
    <row r="2550" spans="2:8" s="7" customFormat="1" x14ac:dyDescent="0.15">
      <c r="B2550" s="194" t="s">
        <v>115</v>
      </c>
      <c r="C2550" s="195" t="s">
        <v>1188</v>
      </c>
      <c r="D2550" s="195" t="s">
        <v>211</v>
      </c>
      <c r="E2550" s="195">
        <v>0</v>
      </c>
      <c r="F2550" s="195" t="s">
        <v>440</v>
      </c>
      <c r="G2550" s="196"/>
      <c r="H2550" s="107" t="str">
        <f t="shared" si="34"/>
        <v>ifnull(t.stock_code_no,0) as stock_code_no,/*证券代码编号*/</v>
      </c>
    </row>
    <row r="2551" spans="2:8" s="7" customFormat="1" x14ac:dyDescent="0.15">
      <c r="B2551" s="194" t="s">
        <v>78</v>
      </c>
      <c r="C2551" s="195" t="s">
        <v>1189</v>
      </c>
      <c r="D2551" s="195" t="s">
        <v>211</v>
      </c>
      <c r="E2551" s="195">
        <v>0</v>
      </c>
      <c r="F2551" s="195" t="s">
        <v>440</v>
      </c>
      <c r="G2551" s="196"/>
      <c r="H2551" s="107" t="str">
        <f t="shared" si="34"/>
        <v>ifnull(t.stock_type,0) as stock_type,/*证券类型*/</v>
      </c>
    </row>
    <row r="2552" spans="2:8" s="7" customFormat="1" x14ac:dyDescent="0.15">
      <c r="B2552" s="194" t="s">
        <v>41</v>
      </c>
      <c r="C2552" s="195" t="s">
        <v>1071</v>
      </c>
      <c r="D2552" s="195" t="s">
        <v>423</v>
      </c>
      <c r="E2552" s="195">
        <v>0</v>
      </c>
      <c r="F2552" s="195" t="s">
        <v>440</v>
      </c>
      <c r="G2552" s="196" t="s">
        <v>1360</v>
      </c>
      <c r="H2552" s="107" t="str">
        <f t="shared" si="34"/>
        <v>ifnull(t.asset_type,0) as asset_type,/*资产类型*/</v>
      </c>
    </row>
    <row r="2553" spans="2:8" s="7" customFormat="1" x14ac:dyDescent="0.15">
      <c r="B2553" s="194" t="s">
        <v>261</v>
      </c>
      <c r="C2553" s="195" t="s">
        <v>1355</v>
      </c>
      <c r="D2553" s="195" t="s">
        <v>1345</v>
      </c>
      <c r="E2553" s="195">
        <v>0</v>
      </c>
      <c r="F2553" s="195" t="s">
        <v>440</v>
      </c>
      <c r="G2553" s="196" t="s">
        <v>1356</v>
      </c>
      <c r="H2553" s="107" t="str">
        <f t="shared" si="34"/>
        <v>ifnull(t.comm_id,0) as comm_id,/*指令序号*/</v>
      </c>
    </row>
    <row r="2554" spans="2:8" s="7" customFormat="1" x14ac:dyDescent="0.15">
      <c r="B2554" s="194" t="s">
        <v>270</v>
      </c>
      <c r="C2554" s="195" t="s">
        <v>1361</v>
      </c>
      <c r="D2554" s="195" t="s">
        <v>211</v>
      </c>
      <c r="E2554" s="195">
        <v>0</v>
      </c>
      <c r="F2554" s="195" t="s">
        <v>440</v>
      </c>
      <c r="G2554" s="196"/>
      <c r="H2554" s="107" t="str">
        <f t="shared" si="34"/>
        <v>ifnull(t.comm_batch_no,0) as comm_batch_no,/*指令批号*/</v>
      </c>
    </row>
    <row r="2555" spans="2:8" s="7" customFormat="1" x14ac:dyDescent="0.15">
      <c r="B2555" s="194" t="s">
        <v>276</v>
      </c>
      <c r="C2555" s="195" t="s">
        <v>1362</v>
      </c>
      <c r="D2555" s="195" t="s">
        <v>211</v>
      </c>
      <c r="E2555" s="195" t="s">
        <v>1141</v>
      </c>
      <c r="F2555" s="195" t="s">
        <v>440</v>
      </c>
      <c r="G2555" s="196" t="s">
        <v>1363</v>
      </c>
      <c r="H2555" s="107" t="str">
        <f t="shared" si="34"/>
        <v>ifnull(t.strike_date,date_format(curdate(),'%Y%m%d')) as strike_date,/*成交日期*/</v>
      </c>
    </row>
    <row r="2556" spans="2:8" s="7" customFormat="1" x14ac:dyDescent="0.15">
      <c r="B2556" s="194" t="s">
        <v>275</v>
      </c>
      <c r="C2556" s="195" t="s">
        <v>1364</v>
      </c>
      <c r="D2556" s="195" t="s">
        <v>211</v>
      </c>
      <c r="E2556" s="195" t="s">
        <v>1265</v>
      </c>
      <c r="F2556" s="195" t="s">
        <v>440</v>
      </c>
      <c r="G2556" s="196" t="s">
        <v>1365</v>
      </c>
      <c r="H2556" s="107" t="str">
        <f t="shared" si="34"/>
        <v>ifnull(t.strike_time,date_format(curtime(),'%H%i%s')) as strike_time,/*成交时间*/</v>
      </c>
    </row>
    <row r="2557" spans="2:8" s="7" customFormat="1" x14ac:dyDescent="0.15">
      <c r="B2557" s="194" t="s">
        <v>20</v>
      </c>
      <c r="C2557" s="195" t="s">
        <v>1269</v>
      </c>
      <c r="D2557" s="195" t="s">
        <v>1073</v>
      </c>
      <c r="E2557" s="195" t="s">
        <v>1072</v>
      </c>
      <c r="F2557" s="195" t="s">
        <v>440</v>
      </c>
      <c r="G2557" s="196" t="s">
        <v>1270</v>
      </c>
      <c r="H2557" s="107" t="str">
        <f t="shared" si="34"/>
        <v>ifnull(t.strike_no," ") as strike_no,/*成交编号*/</v>
      </c>
    </row>
    <row r="2558" spans="2:8" s="7" customFormat="1" x14ac:dyDescent="0.15">
      <c r="B2558" s="194" t="s">
        <v>97</v>
      </c>
      <c r="C2558" s="195" t="s">
        <v>1366</v>
      </c>
      <c r="D2558" s="195" t="s">
        <v>211</v>
      </c>
      <c r="E2558" s="195" t="s">
        <v>1141</v>
      </c>
      <c r="F2558" s="195" t="s">
        <v>440</v>
      </c>
      <c r="G2558" s="196" t="s">
        <v>1367</v>
      </c>
      <c r="H2558" s="107" t="str">
        <f t="shared" si="34"/>
        <v>ifnull(t.report_date,date_format(curdate(),'%Y%m%d')) as report_date,/*申报日期*/</v>
      </c>
    </row>
    <row r="2559" spans="2:8" s="7" customFormat="1" x14ac:dyDescent="0.15">
      <c r="B2559" s="194" t="s">
        <v>99</v>
      </c>
      <c r="C2559" s="195" t="s">
        <v>1563</v>
      </c>
      <c r="D2559" s="195" t="s">
        <v>1287</v>
      </c>
      <c r="E2559" s="195" t="s">
        <v>1072</v>
      </c>
      <c r="F2559" s="195" t="s">
        <v>440</v>
      </c>
      <c r="G2559" s="196" t="s">
        <v>1368</v>
      </c>
      <c r="H2559" s="107" t="str">
        <f t="shared" si="34"/>
        <v>ifnull(t.report_no," ") as report_no,/*申报编号*/</v>
      </c>
    </row>
    <row r="2560" spans="2:8" s="7" customFormat="1" x14ac:dyDescent="0.15">
      <c r="B2560" s="194" t="s">
        <v>269</v>
      </c>
      <c r="C2560" s="195" t="s">
        <v>1369</v>
      </c>
      <c r="D2560" s="195" t="s">
        <v>211</v>
      </c>
      <c r="E2560" s="195" t="s">
        <v>1141</v>
      </c>
      <c r="F2560" s="195" t="s">
        <v>440</v>
      </c>
      <c r="G2560" s="196" t="s">
        <v>1162</v>
      </c>
      <c r="H2560" s="107" t="str">
        <f t="shared" si="34"/>
        <v>ifnull(t.order_date,date_format(curdate(),'%Y%m%d')) as order_date,/*订单日期*/</v>
      </c>
    </row>
    <row r="2561" spans="2:8" s="7" customFormat="1" x14ac:dyDescent="0.15">
      <c r="B2561" s="194" t="s">
        <v>271</v>
      </c>
      <c r="C2561" s="195" t="s">
        <v>1120</v>
      </c>
      <c r="D2561" s="195" t="s">
        <v>211</v>
      </c>
      <c r="E2561" s="195" t="s">
        <v>1265</v>
      </c>
      <c r="F2561" s="195" t="s">
        <v>440</v>
      </c>
      <c r="G2561" s="196" t="s">
        <v>1370</v>
      </c>
      <c r="H2561" s="107" t="str">
        <f t="shared" si="34"/>
        <v>ifnull(t.order_time,date_format(curtime(),'%H%i%s')) as order_time,/*订单时间*/</v>
      </c>
    </row>
    <row r="2562" spans="2:8" s="7" customFormat="1" x14ac:dyDescent="0.15">
      <c r="B2562" s="194" t="s">
        <v>173</v>
      </c>
      <c r="C2562" s="195" t="s">
        <v>1371</v>
      </c>
      <c r="D2562" s="195" t="s">
        <v>1345</v>
      </c>
      <c r="E2562" s="195">
        <v>0</v>
      </c>
      <c r="F2562" s="195" t="s">
        <v>440</v>
      </c>
      <c r="G2562" s="196"/>
      <c r="H2562" s="107" t="str">
        <f t="shared" si="34"/>
        <v>ifnull(t.order_id,0) as order_id,/*订单序号*/</v>
      </c>
    </row>
    <row r="2563" spans="2:8" s="7" customFormat="1" x14ac:dyDescent="0.15">
      <c r="B2563" s="194" t="s">
        <v>94</v>
      </c>
      <c r="C2563" s="195" t="s">
        <v>1278</v>
      </c>
      <c r="D2563" s="195" t="s">
        <v>211</v>
      </c>
      <c r="E2563" s="195">
        <v>0</v>
      </c>
      <c r="F2563" s="195" t="s">
        <v>440</v>
      </c>
      <c r="G2563" s="196" t="s">
        <v>1279</v>
      </c>
      <c r="H2563" s="107" t="str">
        <f t="shared" si="34"/>
        <v>ifnull(t.order_dir,0) as order_dir,/*订单方向*/</v>
      </c>
    </row>
    <row r="2564" spans="2:8" s="7" customFormat="1" x14ac:dyDescent="0.15">
      <c r="B2564" s="194" t="s">
        <v>262</v>
      </c>
      <c r="C2564" s="195" t="s">
        <v>1372</v>
      </c>
      <c r="D2564" s="195" t="s">
        <v>1211</v>
      </c>
      <c r="E2564" s="195">
        <v>0</v>
      </c>
      <c r="F2564" s="195" t="s">
        <v>440</v>
      </c>
      <c r="G2564" s="196" t="s">
        <v>1373</v>
      </c>
      <c r="H2564" s="107" t="str">
        <f t="shared" si="34"/>
        <v>ifnull(t.order_price,0) as order_price,/*订单价格*/</v>
      </c>
    </row>
    <row r="2565" spans="2:8" s="7" customFormat="1" x14ac:dyDescent="0.15">
      <c r="B2565" s="194" t="s">
        <v>272</v>
      </c>
      <c r="C2565" s="195" t="s">
        <v>1374</v>
      </c>
      <c r="D2565" s="195" t="s">
        <v>1087</v>
      </c>
      <c r="E2565" s="195">
        <v>0</v>
      </c>
      <c r="F2565" s="195" t="s">
        <v>440</v>
      </c>
      <c r="G2565" s="196" t="s">
        <v>1375</v>
      </c>
      <c r="H2565" s="107" t="str">
        <f t="shared" si="34"/>
        <v>ifnull(t.order_qty,0) as order_qty,/*订单数量*/</v>
      </c>
    </row>
    <row r="2566" spans="2:8" s="7" customFormat="1" x14ac:dyDescent="0.15">
      <c r="B2566" s="194" t="s">
        <v>38</v>
      </c>
      <c r="C2566" s="195" t="s">
        <v>1241</v>
      </c>
      <c r="D2566" s="195" t="s">
        <v>1087</v>
      </c>
      <c r="E2566" s="195">
        <v>0</v>
      </c>
      <c r="F2566" s="195" t="s">
        <v>440</v>
      </c>
      <c r="G2566" s="196" t="s">
        <v>1086</v>
      </c>
      <c r="H2566" s="107" t="str">
        <f t="shared" si="34"/>
        <v>ifnull(t.strike_qty,0) as strike_qty,/*成交数量*/</v>
      </c>
    </row>
    <row r="2567" spans="2:8" s="7" customFormat="1" x14ac:dyDescent="0.15">
      <c r="B2567" s="194" t="s">
        <v>100</v>
      </c>
      <c r="C2567" s="195" t="s">
        <v>1376</v>
      </c>
      <c r="D2567" s="195" t="s">
        <v>1211</v>
      </c>
      <c r="E2567" s="195">
        <v>0</v>
      </c>
      <c r="F2567" s="195" t="s">
        <v>440</v>
      </c>
      <c r="G2567" s="196" t="s">
        <v>1377</v>
      </c>
      <c r="H2567" s="107" t="str">
        <f t="shared" si="34"/>
        <v>ifnull(t.strike_price,0) as strike_price,/*成交价格*/</v>
      </c>
    </row>
    <row r="2568" spans="2:8" s="7" customFormat="1" x14ac:dyDescent="0.15">
      <c r="B2568" s="194" t="s">
        <v>277</v>
      </c>
      <c r="C2568" s="195" t="s">
        <v>1242</v>
      </c>
      <c r="D2568" s="195" t="s">
        <v>1169</v>
      </c>
      <c r="E2568" s="195">
        <v>0</v>
      </c>
      <c r="F2568" s="195" t="s">
        <v>440</v>
      </c>
      <c r="G2568" s="196" t="s">
        <v>1243</v>
      </c>
      <c r="H2568" s="107" t="str">
        <f t="shared" si="34"/>
        <v>ifnull(t.strike_amt,0) as strike_amt,/*成交金额*/</v>
      </c>
    </row>
    <row r="2569" spans="2:8" s="7" customFormat="1" x14ac:dyDescent="0.15">
      <c r="B2569" s="194" t="s">
        <v>263</v>
      </c>
      <c r="C2569" s="195" t="s">
        <v>1378</v>
      </c>
      <c r="D2569" s="195" t="s">
        <v>1169</v>
      </c>
      <c r="E2569" s="195">
        <v>0</v>
      </c>
      <c r="F2569" s="195" t="s">
        <v>440</v>
      </c>
      <c r="G2569" s="196" t="s">
        <v>1379</v>
      </c>
      <c r="H2569" s="107" t="str">
        <f t="shared" si="34"/>
        <v>ifnull(t.all_fee,0) as all_fee,/*全部费用*/</v>
      </c>
    </row>
    <row r="2570" spans="2:8" s="7" customFormat="1" x14ac:dyDescent="0.15">
      <c r="B2570" s="194" t="s">
        <v>102</v>
      </c>
      <c r="C2570" s="195" t="s">
        <v>1380</v>
      </c>
      <c r="D2570" s="195" t="s">
        <v>1169</v>
      </c>
      <c r="E2570" s="195">
        <v>0</v>
      </c>
      <c r="F2570" s="195" t="s">
        <v>440</v>
      </c>
      <c r="G2570" s="196" t="s">
        <v>1381</v>
      </c>
      <c r="H2570" s="107" t="str">
        <f t="shared" si="34"/>
        <v>ifnull(t.stamp_tax,0) as stamp_tax,/*印花税*/</v>
      </c>
    </row>
    <row r="2571" spans="2:8" s="7" customFormat="1" x14ac:dyDescent="0.15">
      <c r="B2571" s="194" t="s">
        <v>103</v>
      </c>
      <c r="C2571" s="195" t="s">
        <v>1382</v>
      </c>
      <c r="D2571" s="195" t="s">
        <v>1169</v>
      </c>
      <c r="E2571" s="195">
        <v>0</v>
      </c>
      <c r="F2571" s="195" t="s">
        <v>440</v>
      </c>
      <c r="G2571" s="196"/>
      <c r="H2571" s="107" t="str">
        <f t="shared" si="34"/>
        <v>ifnull(t.trans_fee,0) as trans_fee,/*过户费*/</v>
      </c>
    </row>
    <row r="2572" spans="2:8" s="7" customFormat="1" x14ac:dyDescent="0.15">
      <c r="B2572" s="194" t="s">
        <v>104</v>
      </c>
      <c r="C2572" s="195" t="s">
        <v>1383</v>
      </c>
      <c r="D2572" s="195" t="s">
        <v>1169</v>
      </c>
      <c r="E2572" s="195">
        <v>0</v>
      </c>
      <c r="F2572" s="195" t="s">
        <v>440</v>
      </c>
      <c r="G2572" s="196" t="s">
        <v>1384</v>
      </c>
      <c r="H2572" s="107" t="str">
        <f t="shared" si="34"/>
        <v>ifnull(t.brkage_fee,0) as brkage_fee,/*经手费*/</v>
      </c>
    </row>
    <row r="2573" spans="2:8" s="7" customFormat="1" x14ac:dyDescent="0.15">
      <c r="B2573" s="194" t="s">
        <v>105</v>
      </c>
      <c r="C2573" s="195" t="s">
        <v>1385</v>
      </c>
      <c r="D2573" s="195" t="s">
        <v>1169</v>
      </c>
      <c r="E2573" s="195">
        <v>0</v>
      </c>
      <c r="F2573" s="195" t="s">
        <v>440</v>
      </c>
      <c r="G2573" s="196" t="s">
        <v>1564</v>
      </c>
      <c r="H2573" s="107" t="str">
        <f t="shared" si="34"/>
        <v>ifnull(t.SEC_charges,0) as SEC_charges,/*证管费*/</v>
      </c>
    </row>
    <row r="2574" spans="2:8" s="7" customFormat="1" x14ac:dyDescent="0.15">
      <c r="B2574" s="194" t="s">
        <v>106</v>
      </c>
      <c r="C2574" s="195" t="s">
        <v>1386</v>
      </c>
      <c r="D2574" s="195" t="s">
        <v>1169</v>
      </c>
      <c r="E2574" s="195">
        <v>0</v>
      </c>
      <c r="F2574" s="195" t="s">
        <v>440</v>
      </c>
      <c r="G2574" s="196" t="s">
        <v>1387</v>
      </c>
      <c r="H2574" s="107" t="str">
        <f t="shared" si="34"/>
        <v>ifnull(t.other_fee,0) as other_fee,/*其他费用*/</v>
      </c>
    </row>
    <row r="2575" spans="2:8" s="7" customFormat="1" x14ac:dyDescent="0.15">
      <c r="B2575" s="194" t="s">
        <v>107</v>
      </c>
      <c r="C2575" s="195" t="s">
        <v>1388</v>
      </c>
      <c r="D2575" s="195" t="s">
        <v>1169</v>
      </c>
      <c r="E2575" s="195">
        <v>0</v>
      </c>
      <c r="F2575" s="195" t="s">
        <v>440</v>
      </c>
      <c r="G2575" s="196" t="s">
        <v>1389</v>
      </c>
      <c r="H2575" s="107" t="str">
        <f t="shared" si="34"/>
        <v>ifnull(t.trade_commis,0) as trade_commis,/*交易佣金*/</v>
      </c>
    </row>
    <row r="2576" spans="2:8" s="7" customFormat="1" x14ac:dyDescent="0.15">
      <c r="B2576" s="194" t="s">
        <v>108</v>
      </c>
      <c r="C2576" s="195" t="s">
        <v>1390</v>
      </c>
      <c r="D2576" s="195" t="s">
        <v>1169</v>
      </c>
      <c r="E2576" s="195">
        <v>0</v>
      </c>
      <c r="F2576" s="195" t="s">
        <v>440</v>
      </c>
      <c r="G2576" s="196" t="s">
        <v>1391</v>
      </c>
      <c r="H2576" s="107" t="str">
        <f t="shared" si="34"/>
        <v>ifnull(t.other_commis,0) as other_commis,/*其他佣金*/</v>
      </c>
    </row>
    <row r="2577" spans="1:8" s="7" customFormat="1" x14ac:dyDescent="0.15">
      <c r="B2577" s="194" t="s">
        <v>259</v>
      </c>
      <c r="C2577" s="195" t="s">
        <v>1392</v>
      </c>
      <c r="D2577" s="195" t="s">
        <v>211</v>
      </c>
      <c r="E2577" s="195">
        <v>0</v>
      </c>
      <c r="F2577" s="195" t="s">
        <v>440</v>
      </c>
      <c r="G2577" s="196"/>
      <c r="H2577" s="107" t="str">
        <f t="shared" si="34"/>
        <v>ifnull(t.net_price_flag,0) as net_price_flag,/*净价标志*/</v>
      </c>
    </row>
    <row r="2578" spans="1:8" s="7" customFormat="1" x14ac:dyDescent="0.15">
      <c r="B2578" s="194" t="s">
        <v>264</v>
      </c>
      <c r="C2578" s="195" t="s">
        <v>1393</v>
      </c>
      <c r="D2578" s="195" t="s">
        <v>211</v>
      </c>
      <c r="E2578" s="195">
        <v>0</v>
      </c>
      <c r="F2578" s="195" t="s">
        <v>440</v>
      </c>
      <c r="G2578" s="196"/>
      <c r="H2578" s="107" t="str">
        <f t="shared" si="34"/>
        <v>ifnull(t.intrst_days,0) as intrst_days,/*计息天数*/</v>
      </c>
    </row>
    <row r="2579" spans="1:8" s="7" customFormat="1" x14ac:dyDescent="0.15">
      <c r="B2579" s="194" t="s">
        <v>273</v>
      </c>
      <c r="C2579" s="195" t="s">
        <v>1394</v>
      </c>
      <c r="D2579" s="195" t="s">
        <v>1211</v>
      </c>
      <c r="E2579" s="195">
        <v>0</v>
      </c>
      <c r="F2579" s="195" t="s">
        <v>440</v>
      </c>
      <c r="G2579" s="196"/>
      <c r="H2579" s="107" t="str">
        <f t="shared" si="34"/>
        <v>ifnull(t.par_value,0) as par_value,/*票面面值*/</v>
      </c>
    </row>
    <row r="2580" spans="1:8" s="7" customFormat="1" x14ac:dyDescent="0.15">
      <c r="B2580" s="194" t="s">
        <v>258</v>
      </c>
      <c r="C2580" s="195" t="s">
        <v>1395</v>
      </c>
      <c r="D2580" s="195" t="s">
        <v>1172</v>
      </c>
      <c r="E2580" s="195">
        <v>0</v>
      </c>
      <c r="F2580" s="195" t="s">
        <v>440</v>
      </c>
      <c r="G2580" s="196"/>
      <c r="H2580" s="107" t="str">
        <f t="shared" si="34"/>
        <v>ifnull(t.bond_accr_intrst,0) as bond_accr_intrst,/*债券计提利息*/</v>
      </c>
    </row>
    <row r="2581" spans="1:8" s="7" customFormat="1" x14ac:dyDescent="0.15">
      <c r="B2581" s="194" t="s">
        <v>265</v>
      </c>
      <c r="C2581" s="195" t="s">
        <v>1396</v>
      </c>
      <c r="D2581" s="195" t="s">
        <v>211</v>
      </c>
      <c r="E2581" s="195">
        <v>0</v>
      </c>
      <c r="F2581" s="195" t="s">
        <v>440</v>
      </c>
      <c r="G2581" s="196"/>
      <c r="H2581" s="107" t="str">
        <f t="shared" si="34"/>
        <v>ifnull(t.bond_rate_type,0) as bond_rate_type,/*债券利率类型*/</v>
      </c>
    </row>
    <row r="2582" spans="1:8" s="7" customFormat="1" x14ac:dyDescent="0.15">
      <c r="B2582" s="194" t="s">
        <v>274</v>
      </c>
      <c r="C2582" s="195" t="s">
        <v>1565</v>
      </c>
      <c r="D2582" s="195" t="s">
        <v>1172</v>
      </c>
      <c r="E2582" s="195">
        <v>0</v>
      </c>
      <c r="F2582" s="195" t="s">
        <v>440</v>
      </c>
      <c r="G2582" s="196"/>
      <c r="H2582" s="107" t="str">
        <f t="shared" si="34"/>
        <v>ifnull(t.impawn_ratio,0) as impawn_ratio,/*质押比例*/</v>
      </c>
    </row>
    <row r="2583" spans="1:8" s="7" customFormat="1" x14ac:dyDescent="0.15">
      <c r="B2583" s="194" t="s">
        <v>174</v>
      </c>
      <c r="C2583" s="195" t="s">
        <v>1397</v>
      </c>
      <c r="D2583" s="195" t="s">
        <v>211</v>
      </c>
      <c r="E2583" s="195">
        <v>0</v>
      </c>
      <c r="F2583" s="195" t="s">
        <v>440</v>
      </c>
      <c r="G2583" s="196"/>
      <c r="H2583" s="107" t="str">
        <f t="shared" si="34"/>
        <v>ifnull(t.trade_code_no,0) as trade_code_no,/*交易代码编号*/</v>
      </c>
    </row>
    <row r="2584" spans="1:8" s="7" customFormat="1" x14ac:dyDescent="0.15">
      <c r="B2584" s="194" t="s">
        <v>214</v>
      </c>
      <c r="C2584" s="195" t="s">
        <v>1339</v>
      </c>
      <c r="D2584" s="195" t="s">
        <v>211</v>
      </c>
      <c r="E2584" s="195">
        <v>0</v>
      </c>
      <c r="F2584" s="195" t="s">
        <v>440</v>
      </c>
      <c r="G2584" s="196"/>
      <c r="H2584" s="107" t="str">
        <f t="shared" si="34"/>
        <v>ifnull(t.target_code_no,0) as target_code_no,/*标的代码编号*/</v>
      </c>
    </row>
    <row r="2585" spans="1:8" s="7" customFormat="1" x14ac:dyDescent="0.15">
      <c r="B2585" s="194" t="s">
        <v>266</v>
      </c>
      <c r="C2585" s="195" t="s">
        <v>1398</v>
      </c>
      <c r="D2585" s="195" t="s">
        <v>1403</v>
      </c>
      <c r="E2585" s="195" t="s">
        <v>1072</v>
      </c>
      <c r="F2585" s="195" t="s">
        <v>440</v>
      </c>
      <c r="G2585" s="196"/>
      <c r="H2585" s="107" t="str">
        <f t="shared" si="34"/>
        <v>ifnull(t.order_oper_way," ") as order_oper_way,/*订单操作方式*/</v>
      </c>
    </row>
    <row r="2586" spans="1:8" s="7" customFormat="1" x14ac:dyDescent="0.15">
      <c r="B2586" s="194" t="s">
        <v>267</v>
      </c>
      <c r="C2586" s="195" t="s">
        <v>1566</v>
      </c>
      <c r="D2586" s="195" t="s">
        <v>211</v>
      </c>
      <c r="E2586" s="195">
        <v>0</v>
      </c>
      <c r="F2586" s="195" t="s">
        <v>440</v>
      </c>
      <c r="G2586" s="196" t="s">
        <v>1567</v>
      </c>
      <c r="H2586" s="107" t="str">
        <f t="shared" si="34"/>
        <v>ifnull(t.exter_comm_flag,0) as exter_comm_flag,/*体外指令标志*/</v>
      </c>
    </row>
    <row r="2587" spans="1:8" s="7" customFormat="1" x14ac:dyDescent="0.15">
      <c r="B2587" s="197" t="s">
        <v>268</v>
      </c>
      <c r="C2587" s="198" t="s">
        <v>1568</v>
      </c>
      <c r="D2587" s="198" t="s">
        <v>211</v>
      </c>
      <c r="E2587" s="195">
        <v>0</v>
      </c>
      <c r="F2587" s="195" t="s">
        <v>440</v>
      </c>
      <c r="G2587" s="199" t="s">
        <v>1399</v>
      </c>
      <c r="H2587" s="107" t="str">
        <f t="shared" si="34"/>
        <v>ifnull(t.record_valid_flag,0) as record_valid_flag,/*记录有效标志*/</v>
      </c>
    </row>
    <row r="2588" spans="1:8" s="7" customFormat="1" ht="18" thickBot="1" x14ac:dyDescent="0.2">
      <c r="A2588" s="2"/>
      <c r="B2588" s="24"/>
      <c r="C2588" s="9"/>
      <c r="D2588" s="9"/>
      <c r="E2588" s="9"/>
      <c r="F2588" s="9"/>
      <c r="G2588" s="11"/>
    </row>
    <row r="2589" spans="1:8" s="7" customFormat="1" x14ac:dyDescent="0.15">
      <c r="A2589" s="2"/>
      <c r="B2589" s="327" t="s">
        <v>15</v>
      </c>
      <c r="C2589" s="328"/>
      <c r="D2589" s="328"/>
      <c r="E2589" s="328"/>
      <c r="F2589" s="328"/>
      <c r="G2589" s="329"/>
    </row>
    <row r="2590" spans="1:8" s="7" customFormat="1" x14ac:dyDescent="0.15">
      <c r="A2590" s="2"/>
      <c r="B2590" s="20"/>
      <c r="C2590" s="23"/>
      <c r="D2590" s="21"/>
      <c r="E2590" s="21"/>
      <c r="F2590" s="21"/>
      <c r="G2590" s="21"/>
    </row>
    <row r="2591" spans="1:8" s="7" customFormat="1" x14ac:dyDescent="0.15">
      <c r="A2591" s="2"/>
      <c r="B2591" s="17"/>
      <c r="C2591" s="37"/>
      <c r="D2591" s="18"/>
      <c r="E2591" s="18"/>
      <c r="F2591" s="18"/>
      <c r="G2591" s="38"/>
    </row>
    <row r="2592" spans="1:8" s="7" customFormat="1" ht="18" thickBot="1" x14ac:dyDescent="0.2">
      <c r="A2592" s="2"/>
      <c r="B2592" s="24"/>
      <c r="C2592" s="9"/>
      <c r="D2592" s="9"/>
      <c r="E2592" s="9"/>
      <c r="F2592" s="9"/>
      <c r="G2592" s="11"/>
    </row>
    <row r="2595" spans="1:8" ht="18" thickBot="1" x14ac:dyDescent="0.2"/>
    <row r="2596" spans="1:8" s="7" customFormat="1" x14ac:dyDescent="0.15">
      <c r="A2596" s="2"/>
      <c r="B2596" s="3" t="s">
        <v>563</v>
      </c>
      <c r="C2596" s="4" t="s">
        <v>683</v>
      </c>
      <c r="D2596" s="5" t="s">
        <v>515</v>
      </c>
      <c r="E2596" s="21" t="s">
        <v>1032</v>
      </c>
      <c r="F2596" s="5" t="s">
        <v>567</v>
      </c>
      <c r="G2596" s="6" t="s">
        <v>681</v>
      </c>
      <c r="H2596" s="6" t="str">
        <f>"create or replace view "&amp;C2596</f>
        <v>create or replace view vi_dt_exgp_capit_asset</v>
      </c>
    </row>
    <row r="2597" spans="1:8" s="7" customFormat="1" ht="18" thickBot="1" x14ac:dyDescent="0.2">
      <c r="A2597" s="2"/>
      <c r="B2597" s="34" t="s">
        <v>570</v>
      </c>
      <c r="C2597" s="18"/>
      <c r="D2597" s="35" t="s">
        <v>568</v>
      </c>
      <c r="E2597" s="18" t="s">
        <v>615</v>
      </c>
      <c r="F2597" s="35"/>
      <c r="G2597" s="19"/>
      <c r="H2597" s="11" t="str">
        <f>"/* "&amp;E2596&amp;"*/  as "</f>
        <v xml:space="preserve">/* 报表_资管报表_视图-数据-交易组-资金-资产*/  as </v>
      </c>
    </row>
    <row r="2598" spans="1:8" s="7" customFormat="1" x14ac:dyDescent="0.15">
      <c r="A2598" s="2"/>
      <c r="B2598" s="3" t="s">
        <v>0</v>
      </c>
      <c r="C2598" s="5" t="s">
        <v>1</v>
      </c>
      <c r="D2598" s="5" t="s">
        <v>2</v>
      </c>
      <c r="E2598" s="5"/>
      <c r="F2598" s="5" t="s">
        <v>3</v>
      </c>
      <c r="G2598" s="36" t="s">
        <v>4</v>
      </c>
      <c r="H2598" s="13" t="s">
        <v>283</v>
      </c>
    </row>
    <row r="2599" spans="1:8" s="7" customFormat="1" x14ac:dyDescent="0.15">
      <c r="A2599" s="2"/>
      <c r="B2599" s="20" t="s">
        <v>5</v>
      </c>
      <c r="C2599" s="21" t="s">
        <v>1127</v>
      </c>
      <c r="D2599" s="21" t="s">
        <v>211</v>
      </c>
      <c r="E2599" s="21" t="s">
        <v>1141</v>
      </c>
      <c r="F2599" s="21" t="s">
        <v>440</v>
      </c>
      <c r="G2599" s="22" t="s">
        <v>1162</v>
      </c>
      <c r="H2599" s="107" t="str">
        <f t="shared" ref="H2599:H2636" si="35">"ifnull("&amp;IF(I2599&lt;&gt;"",I2599,IF(F2599&lt;&gt;"",F2599,"t")&amp;"."&amp;C2599)&amp;","&amp;E2599&amp;") as "&amp;C2599&amp;",/*"&amp;B2599&amp;"*/"</f>
        <v>ifnull(t.init_date,date_format(curdate(),'%Y%m%d')) as init_date,/*初始化日期*/</v>
      </c>
    </row>
    <row r="2600" spans="1:8" s="7" customFormat="1" x14ac:dyDescent="0.15">
      <c r="B2600" s="202" t="s">
        <v>6</v>
      </c>
      <c r="C2600" s="200" t="s">
        <v>1163</v>
      </c>
      <c r="D2600" s="200" t="s">
        <v>211</v>
      </c>
      <c r="E2600" s="200">
        <v>0</v>
      </c>
      <c r="F2600" s="200" t="s">
        <v>440</v>
      </c>
      <c r="G2600" s="201" t="s">
        <v>1077</v>
      </c>
      <c r="H2600" s="107" t="str">
        <f t="shared" si="35"/>
        <v>ifnull(t.co_no,0) as co_no,/*机构编号*/</v>
      </c>
    </row>
    <row r="2601" spans="1:8" s="7" customFormat="1" x14ac:dyDescent="0.15">
      <c r="B2601" s="202" t="s">
        <v>111</v>
      </c>
      <c r="C2601" s="200" t="s">
        <v>1164</v>
      </c>
      <c r="D2601" s="200" t="s">
        <v>211</v>
      </c>
      <c r="E2601" s="200">
        <v>0</v>
      </c>
      <c r="F2601" s="200" t="s">
        <v>440</v>
      </c>
      <c r="G2601" s="201" t="s">
        <v>1165</v>
      </c>
      <c r="H2601" s="107" t="str">
        <f t="shared" si="35"/>
        <v>ifnull(t.pd_no,0) as pd_no,/*产品编号*/</v>
      </c>
    </row>
    <row r="2602" spans="1:8" s="7" customFormat="1" x14ac:dyDescent="0.15">
      <c r="B2602" s="202" t="s">
        <v>123</v>
      </c>
      <c r="C2602" s="200" t="s">
        <v>1133</v>
      </c>
      <c r="D2602" s="200" t="s">
        <v>211</v>
      </c>
      <c r="E2602" s="200">
        <v>0</v>
      </c>
      <c r="F2602" s="200" t="s">
        <v>440</v>
      </c>
      <c r="G2602" s="201" t="s">
        <v>1182</v>
      </c>
      <c r="H2602" s="107" t="str">
        <f t="shared" si="35"/>
        <v>ifnull(t.exch_group_no,0) as exch_group_no,/*交易组编号*/</v>
      </c>
    </row>
    <row r="2603" spans="1:8" s="7" customFormat="1" x14ac:dyDescent="0.15">
      <c r="B2603" s="202" t="s">
        <v>164</v>
      </c>
      <c r="C2603" s="200" t="s">
        <v>1423</v>
      </c>
      <c r="D2603" s="200" t="s">
        <v>1287</v>
      </c>
      <c r="E2603" s="200" t="s">
        <v>1072</v>
      </c>
      <c r="F2603" s="200" t="s">
        <v>440</v>
      </c>
      <c r="G2603" s="201" t="s">
        <v>1424</v>
      </c>
      <c r="H2603" s="107" t="str">
        <f t="shared" si="35"/>
        <v>ifnull(t.exch_group_code," ") as exch_group_code,/*交易组编码*/</v>
      </c>
    </row>
    <row r="2604" spans="1:8" s="7" customFormat="1" x14ac:dyDescent="0.15">
      <c r="B2604" s="202" t="s">
        <v>165</v>
      </c>
      <c r="C2604" s="200" t="s">
        <v>1425</v>
      </c>
      <c r="D2604" s="200" t="s">
        <v>1073</v>
      </c>
      <c r="E2604" s="200" t="s">
        <v>1072</v>
      </c>
      <c r="F2604" s="200" t="s">
        <v>440</v>
      </c>
      <c r="G2604" s="201"/>
      <c r="H2604" s="107" t="str">
        <f t="shared" si="35"/>
        <v>ifnull(t.exch_group_name," ") as exch_group_name,/*交易组名称*/</v>
      </c>
    </row>
    <row r="2605" spans="1:8" s="7" customFormat="1" x14ac:dyDescent="0.15">
      <c r="B2605" s="202" t="s">
        <v>166</v>
      </c>
      <c r="C2605" s="200" t="s">
        <v>1426</v>
      </c>
      <c r="D2605" s="200" t="s">
        <v>1403</v>
      </c>
      <c r="E2605" s="200" t="s">
        <v>1303</v>
      </c>
      <c r="F2605" s="200" t="s">
        <v>440</v>
      </c>
      <c r="G2605" s="201"/>
      <c r="H2605" s="107" t="str">
        <f t="shared" si="35"/>
        <v>ifnull(t.exch_group_status,"0") as exch_group_status,/*交易组状态*/</v>
      </c>
    </row>
    <row r="2606" spans="1:8" s="7" customFormat="1" x14ac:dyDescent="0.15">
      <c r="B2606" s="202" t="s">
        <v>167</v>
      </c>
      <c r="C2606" s="200" t="s">
        <v>1427</v>
      </c>
      <c r="D2606" s="200" t="s">
        <v>211</v>
      </c>
      <c r="E2606" s="200">
        <v>0</v>
      </c>
      <c r="F2606" s="200" t="s">
        <v>440</v>
      </c>
      <c r="G2606" s="201"/>
      <c r="H2606" s="107" t="str">
        <f t="shared" si="35"/>
        <v>ifnull(t.default_group_flag,0) as default_group_flag,/*默认组标志*/</v>
      </c>
    </row>
    <row r="2607" spans="1:8" s="7" customFormat="1" ht="15" customHeight="1" x14ac:dyDescent="0.15">
      <c r="A2607" s="2"/>
      <c r="B2607" s="204" t="s">
        <v>189</v>
      </c>
      <c r="C2607" s="205" t="s">
        <v>1296</v>
      </c>
      <c r="D2607" s="205" t="s">
        <v>1169</v>
      </c>
      <c r="E2607" s="205">
        <v>0</v>
      </c>
      <c r="F2607" s="200" t="s">
        <v>440</v>
      </c>
      <c r="G2607" s="206"/>
      <c r="H2607" s="107" t="str">
        <f t="shared" si="35"/>
        <v>ifnull(t.first_asset,0) as first_asset,/*原始资产*/</v>
      </c>
    </row>
    <row r="2608" spans="1:8" s="7" customFormat="1" x14ac:dyDescent="0.15">
      <c r="B2608" s="207" t="s">
        <v>168</v>
      </c>
      <c r="C2608" s="208" t="s">
        <v>1428</v>
      </c>
      <c r="D2608" s="208" t="s">
        <v>1169</v>
      </c>
      <c r="E2608" s="208">
        <v>0</v>
      </c>
      <c r="F2608" s="200" t="s">
        <v>440</v>
      </c>
      <c r="G2608" s="209"/>
      <c r="H2608" s="107" t="str">
        <f t="shared" si="35"/>
        <v>ifnull(t.exch_group_dist_pd_amt,0) as exch_group_dist_pd_amt,/*分配产品资金*/</v>
      </c>
    </row>
    <row r="2609" spans="1:8" s="7" customFormat="1" x14ac:dyDescent="0.15">
      <c r="B2609" s="207" t="s">
        <v>169</v>
      </c>
      <c r="C2609" s="208" t="s">
        <v>1435</v>
      </c>
      <c r="D2609" s="208" t="s">
        <v>1087</v>
      </c>
      <c r="E2609" s="208">
        <v>0</v>
      </c>
      <c r="F2609" s="200" t="s">
        <v>440</v>
      </c>
      <c r="G2609" s="209"/>
      <c r="H2609" s="107" t="str">
        <f t="shared" si="35"/>
        <v>ifnull(t.exch_group_pd_share,0) as exch_group_pd_share,/*交易组产品份额*/</v>
      </c>
    </row>
    <row r="2610" spans="1:8" s="7" customFormat="1" ht="15" customHeight="1" x14ac:dyDescent="0.15">
      <c r="A2610" s="2"/>
      <c r="B2610" s="210" t="s">
        <v>469</v>
      </c>
      <c r="C2610" s="205" t="s">
        <v>1429</v>
      </c>
      <c r="D2610" s="205" t="s">
        <v>1087</v>
      </c>
      <c r="E2610" s="205">
        <v>0</v>
      </c>
      <c r="F2610" s="200" t="s">
        <v>440</v>
      </c>
      <c r="G2610" s="206"/>
      <c r="H2610" s="107" t="str">
        <f t="shared" si="35"/>
        <v>ifnull(t.pre_exch_group_pd_share,0) as pre_exch_group_pd_share,/*昨日交易组产品份额*/</v>
      </c>
    </row>
    <row r="2611" spans="1:8" s="7" customFormat="1" ht="15" customHeight="1" x14ac:dyDescent="0.15">
      <c r="A2611" s="2"/>
      <c r="B2611" s="207" t="s">
        <v>193</v>
      </c>
      <c r="C2611" s="208" t="s">
        <v>1171</v>
      </c>
      <c r="D2611" s="208" t="s">
        <v>1169</v>
      </c>
      <c r="E2611" s="208">
        <v>0</v>
      </c>
      <c r="F2611" s="200" t="s">
        <v>440</v>
      </c>
      <c r="G2611" s="209"/>
      <c r="H2611" s="107" t="str">
        <f t="shared" si="35"/>
        <v>ifnull(t.pre_nav,0) as pre_nav,/*昨日净值*/</v>
      </c>
    </row>
    <row r="2612" spans="1:8" s="7" customFormat="1" x14ac:dyDescent="0.15">
      <c r="B2612" s="203" t="s">
        <v>170</v>
      </c>
      <c r="C2612" s="200" t="s">
        <v>1430</v>
      </c>
      <c r="D2612" s="200" t="s">
        <v>1073</v>
      </c>
      <c r="E2612" s="200" t="s">
        <v>1072</v>
      </c>
      <c r="F2612" s="200" t="s">
        <v>440</v>
      </c>
      <c r="G2612" s="201"/>
      <c r="H2612" s="107" t="str">
        <f t="shared" si="35"/>
        <v>ifnull(t.allow_exch," ") as allow_exch,/*允许投资市场*/</v>
      </c>
    </row>
    <row r="2613" spans="1:8" s="7" customFormat="1" x14ac:dyDescent="0.15">
      <c r="B2613" s="203" t="s">
        <v>71</v>
      </c>
      <c r="C2613" s="200" t="s">
        <v>1431</v>
      </c>
      <c r="D2613" s="200" t="s">
        <v>1432</v>
      </c>
      <c r="E2613" s="200" t="s">
        <v>1072</v>
      </c>
      <c r="F2613" s="200" t="s">
        <v>440</v>
      </c>
      <c r="G2613" s="201"/>
      <c r="H2613" s="107" t="str">
        <f t="shared" si="35"/>
        <v>ifnull(t.allow_stock_type," ") as allow_stock_type,/*允许操作证券类型*/</v>
      </c>
    </row>
    <row r="2614" spans="1:8" s="7" customFormat="1" x14ac:dyDescent="0.15">
      <c r="B2614" s="202" t="s">
        <v>171</v>
      </c>
      <c r="C2614" s="200" t="s">
        <v>1433</v>
      </c>
      <c r="D2614" s="200" t="s">
        <v>1073</v>
      </c>
      <c r="E2614" s="200" t="s">
        <v>1072</v>
      </c>
      <c r="F2614" s="200" t="s">
        <v>440</v>
      </c>
      <c r="G2614" s="201" t="s">
        <v>1434</v>
      </c>
      <c r="H2614" s="107" t="str">
        <f t="shared" si="35"/>
        <v>ifnull(t.busi_config_str," ") as busi_config_str,/*业务控制配置串*/</v>
      </c>
    </row>
    <row r="2615" spans="1:8" s="7" customFormat="1" x14ac:dyDescent="0.15">
      <c r="B2615" s="202" t="s">
        <v>172</v>
      </c>
      <c r="C2615" s="200" t="s">
        <v>1121</v>
      </c>
      <c r="D2615" s="200" t="s">
        <v>1172</v>
      </c>
      <c r="E2615" s="200">
        <v>0</v>
      </c>
      <c r="F2615" s="200" t="s">
        <v>440</v>
      </c>
      <c r="G2615" s="201"/>
      <c r="H2615" s="107" t="str">
        <f t="shared" si="35"/>
        <v>ifnull(t.market_price_ratio,0) as market_price_ratio,/*市价冻结浮动比例*/</v>
      </c>
    </row>
    <row r="2616" spans="1:8" s="7" customFormat="1" x14ac:dyDescent="0.15">
      <c r="B2616" s="202" t="s">
        <v>67</v>
      </c>
      <c r="C2616" s="200" t="s">
        <v>1406</v>
      </c>
      <c r="D2616" s="200" t="s">
        <v>1092</v>
      </c>
      <c r="E2616" s="200" t="s">
        <v>1072</v>
      </c>
      <c r="F2616" s="200" t="s">
        <v>440</v>
      </c>
      <c r="G2616" s="201" t="s">
        <v>1304</v>
      </c>
      <c r="H2616" s="107" t="str">
        <f t="shared" si="35"/>
        <v>ifnull(t.remark_info," ") as remark_info,/*备注信息*/</v>
      </c>
    </row>
    <row r="2617" spans="1:8" s="7" customFormat="1" x14ac:dyDescent="0.15">
      <c r="A2617" s="2"/>
      <c r="B2617" s="221" t="s">
        <v>120</v>
      </c>
      <c r="C2617" s="222" t="s">
        <v>1187</v>
      </c>
      <c r="D2617" s="222" t="s">
        <v>211</v>
      </c>
      <c r="E2617" s="222">
        <v>0</v>
      </c>
      <c r="F2617" s="222" t="s">
        <v>441</v>
      </c>
      <c r="G2617" s="223"/>
      <c r="H2617" s="107" t="str">
        <f t="shared" si="35"/>
        <v>ifnull(a.asset_acco_no,0) as asset_acco_no,/*资产账户编号*/</v>
      </c>
    </row>
    <row r="2618" spans="1:8" s="7" customFormat="1" x14ac:dyDescent="0.15">
      <c r="A2618" s="2"/>
      <c r="B2618" s="224" t="s">
        <v>456</v>
      </c>
      <c r="C2618" s="198" t="s">
        <v>1508</v>
      </c>
      <c r="D2618" s="198" t="s">
        <v>1169</v>
      </c>
      <c r="E2618" s="198">
        <v>0</v>
      </c>
      <c r="F2618" s="222" t="s">
        <v>441</v>
      </c>
      <c r="G2618" s="199"/>
      <c r="H2618" s="107" t="str">
        <f t="shared" si="35"/>
        <v>ifnull(a.auth_amt,0) as auth_amt,/*授权金额*/</v>
      </c>
    </row>
    <row r="2619" spans="1:8" s="7" customFormat="1" x14ac:dyDescent="0.15">
      <c r="A2619" s="2"/>
      <c r="B2619" s="197" t="s">
        <v>24</v>
      </c>
      <c r="C2619" s="218" t="s">
        <v>1151</v>
      </c>
      <c r="D2619" s="218" t="s">
        <v>1169</v>
      </c>
      <c r="E2619" s="218">
        <v>0</v>
      </c>
      <c r="F2619" s="222" t="s">
        <v>441</v>
      </c>
      <c r="G2619" s="219" t="s">
        <v>1116</v>
      </c>
      <c r="H2619" s="107" t="str">
        <f t="shared" si="35"/>
        <v>ifnull(a.begin_amt,0) as begin_amt,/*期初金额*/</v>
      </c>
    </row>
    <row r="2620" spans="1:8" s="7" customFormat="1" x14ac:dyDescent="0.15">
      <c r="A2620" s="2"/>
      <c r="B2620" s="197" t="s">
        <v>25</v>
      </c>
      <c r="C2620" s="218" t="s">
        <v>1150</v>
      </c>
      <c r="D2620" s="218" t="s">
        <v>1169</v>
      </c>
      <c r="E2620" s="218">
        <v>0</v>
      </c>
      <c r="F2620" s="222" t="s">
        <v>441</v>
      </c>
      <c r="G2620" s="219" t="s">
        <v>1312</v>
      </c>
      <c r="H2620" s="107" t="str">
        <f t="shared" si="35"/>
        <v>ifnull(a.curr_amt,0) as curr_amt,/*当前金额*/</v>
      </c>
    </row>
    <row r="2621" spans="1:8" s="7" customFormat="1" x14ac:dyDescent="0.15">
      <c r="A2621" s="2"/>
      <c r="B2621" s="194" t="s">
        <v>26</v>
      </c>
      <c r="C2621" s="195" t="s">
        <v>1152</v>
      </c>
      <c r="D2621" s="195" t="s">
        <v>1169</v>
      </c>
      <c r="E2621" s="195">
        <v>0</v>
      </c>
      <c r="F2621" s="222" t="s">
        <v>441</v>
      </c>
      <c r="G2621" s="196" t="s">
        <v>1323</v>
      </c>
      <c r="H2621" s="107" t="str">
        <f t="shared" si="35"/>
        <v>ifnull(a.frozen_amt,0) as frozen_amt,/*冻结金额*/</v>
      </c>
    </row>
    <row r="2622" spans="1:8" s="7" customFormat="1" x14ac:dyDescent="0.15">
      <c r="A2622" s="2"/>
      <c r="B2622" s="194" t="s">
        <v>27</v>
      </c>
      <c r="C2622" s="195" t="s">
        <v>1313</v>
      </c>
      <c r="D2622" s="195" t="s">
        <v>1169</v>
      </c>
      <c r="E2622" s="195">
        <v>0</v>
      </c>
      <c r="F2622" s="222" t="s">
        <v>441</v>
      </c>
      <c r="G2622" s="196" t="s">
        <v>1314</v>
      </c>
      <c r="H2622" s="107" t="str">
        <f t="shared" si="35"/>
        <v>ifnull(a.unfroz_amt,0) as unfroz_amt,/*解冻金额*/</v>
      </c>
    </row>
    <row r="2623" spans="1:8" s="7" customFormat="1" x14ac:dyDescent="0.15">
      <c r="A2623" s="2"/>
      <c r="B2623" s="197" t="s">
        <v>175</v>
      </c>
      <c r="C2623" s="218" t="s">
        <v>1129</v>
      </c>
      <c r="D2623" s="218" t="s">
        <v>1169</v>
      </c>
      <c r="E2623" s="218">
        <v>0</v>
      </c>
      <c r="F2623" s="222" t="s">
        <v>441</v>
      </c>
      <c r="G2623" s="219"/>
      <c r="H2623" s="107" t="str">
        <f t="shared" si="35"/>
        <v>ifnull(a.total_rece_amt,0) as total_rece_amt,/*累计应收金额*/</v>
      </c>
    </row>
    <row r="2624" spans="1:8" s="7" customFormat="1" x14ac:dyDescent="0.15">
      <c r="A2624" s="2"/>
      <c r="B2624" s="197" t="s">
        <v>176</v>
      </c>
      <c r="C2624" s="218" t="s">
        <v>1132</v>
      </c>
      <c r="D2624" s="218" t="s">
        <v>1169</v>
      </c>
      <c r="E2624" s="218">
        <v>0</v>
      </c>
      <c r="F2624" s="222" t="s">
        <v>441</v>
      </c>
      <c r="G2624" s="219"/>
      <c r="H2624" s="107" t="str">
        <f t="shared" si="35"/>
        <v>ifnull(a.total_payab_amt,0) as total_payab_amt,/*累计应付金额*/</v>
      </c>
    </row>
    <row r="2625" spans="1:8" s="7" customFormat="1" x14ac:dyDescent="0.15">
      <c r="B2625" s="197" t="s">
        <v>177</v>
      </c>
      <c r="C2625" s="218" t="s">
        <v>1143</v>
      </c>
      <c r="D2625" s="218" t="s">
        <v>1169</v>
      </c>
      <c r="E2625" s="218">
        <v>0</v>
      </c>
      <c r="F2625" s="222" t="s">
        <v>441</v>
      </c>
      <c r="G2625" s="219"/>
      <c r="H2625" s="107" t="str">
        <f t="shared" si="35"/>
        <v>ifnull(a.realize_pandl,0) as realize_pandl,/*实现盈亏*/</v>
      </c>
    </row>
    <row r="2626" spans="1:8" s="7" customFormat="1" x14ac:dyDescent="0.15">
      <c r="A2626" s="2"/>
      <c r="B2626" s="197" t="s">
        <v>178</v>
      </c>
      <c r="C2626" s="218" t="s">
        <v>1324</v>
      </c>
      <c r="D2626" s="218" t="s">
        <v>1172</v>
      </c>
      <c r="E2626" s="218">
        <v>0</v>
      </c>
      <c r="F2626" s="222" t="s">
        <v>441</v>
      </c>
      <c r="G2626" s="219"/>
      <c r="H2626" s="107" t="str">
        <f t="shared" si="35"/>
        <v>ifnull(a.intrst_rate,0) as intrst_rate,/*利率*/</v>
      </c>
    </row>
    <row r="2627" spans="1:8" s="7" customFormat="1" x14ac:dyDescent="0.15">
      <c r="B2627" s="197" t="s">
        <v>332</v>
      </c>
      <c r="C2627" s="218" t="s">
        <v>1325</v>
      </c>
      <c r="D2627" s="218" t="s">
        <v>1169</v>
      </c>
      <c r="E2627" s="218">
        <v>0</v>
      </c>
      <c r="F2627" s="222" t="s">
        <v>441</v>
      </c>
      <c r="G2627" s="219" t="s">
        <v>1326</v>
      </c>
      <c r="H2627" s="107" t="str">
        <f t="shared" si="35"/>
        <v>ifnull(a.intrst_base_amt,0) as intrst_base_amt,/*利息积数*/</v>
      </c>
    </row>
    <row r="2628" spans="1:8" s="7" customFormat="1" x14ac:dyDescent="0.15">
      <c r="B2628" s="197" t="s">
        <v>180</v>
      </c>
      <c r="C2628" s="218" t="s">
        <v>1309</v>
      </c>
      <c r="D2628" s="218" t="s">
        <v>1169</v>
      </c>
      <c r="E2628" s="218">
        <v>0</v>
      </c>
      <c r="F2628" s="222" t="s">
        <v>441</v>
      </c>
      <c r="G2628" s="219" t="s">
        <v>1310</v>
      </c>
      <c r="H2628" s="107" t="str">
        <f t="shared" si="35"/>
        <v>ifnull(a.pre_entry_intrst_amt,0) as pre_entry_intrst_amt,/*待入账利息*/</v>
      </c>
    </row>
    <row r="2629" spans="1:8" s="7" customFormat="1" x14ac:dyDescent="0.15">
      <c r="A2629" s="2"/>
      <c r="B2629" s="153" t="s">
        <v>312</v>
      </c>
      <c r="C2629" s="154" t="s">
        <v>1168</v>
      </c>
      <c r="D2629" s="154" t="s">
        <v>1169</v>
      </c>
      <c r="E2629" s="154">
        <v>0</v>
      </c>
      <c r="F2629" s="154" t="s">
        <v>454</v>
      </c>
      <c r="G2629" s="155"/>
      <c r="H2629" s="107" t="str">
        <f t="shared" si="35"/>
        <v>ifnull(b.begin_NAV,0) as begin_NAV,/*期初净资产*/</v>
      </c>
    </row>
    <row r="2630" spans="1:8" s="7" customFormat="1" x14ac:dyDescent="0.15">
      <c r="A2630" s="2"/>
      <c r="B2630" s="153" t="s">
        <v>303</v>
      </c>
      <c r="C2630" s="154" t="s">
        <v>1170</v>
      </c>
      <c r="D2630" s="154" t="s">
        <v>1169</v>
      </c>
      <c r="E2630" s="154">
        <v>0</v>
      </c>
      <c r="F2630" s="154" t="s">
        <v>454</v>
      </c>
      <c r="G2630" s="155"/>
      <c r="H2630" s="107" t="str">
        <f t="shared" si="35"/>
        <v>ifnull(b.nav_asset,0) as nav_asset,/*净资产*/</v>
      </c>
    </row>
    <row r="2631" spans="1:8" s="7" customFormat="1" x14ac:dyDescent="0.15">
      <c r="A2631" s="2"/>
      <c r="B2631" s="153" t="s">
        <v>304</v>
      </c>
      <c r="C2631" s="154" t="s">
        <v>1185</v>
      </c>
      <c r="D2631" s="154" t="s">
        <v>1169</v>
      </c>
      <c r="E2631" s="154">
        <v>0</v>
      </c>
      <c r="F2631" s="154" t="s">
        <v>454</v>
      </c>
      <c r="G2631" s="155"/>
      <c r="H2631" s="107" t="str">
        <f t="shared" si="35"/>
        <v>ifnull(b.cash_asset,0) as cash_asset,/*现金资产*/</v>
      </c>
    </row>
    <row r="2632" spans="1:8" s="7" customFormat="1" x14ac:dyDescent="0.15">
      <c r="A2632" s="2"/>
      <c r="B2632" s="153" t="s">
        <v>305</v>
      </c>
      <c r="C2632" s="154" t="s">
        <v>1181</v>
      </c>
      <c r="D2632" s="154" t="s">
        <v>1169</v>
      </c>
      <c r="E2632" s="154">
        <v>0</v>
      </c>
      <c r="F2632" s="154" t="s">
        <v>454</v>
      </c>
      <c r="G2632" s="155"/>
      <c r="H2632" s="107" t="str">
        <f t="shared" si="35"/>
        <v>ifnull(b.stock_asset,0) as stock_asset,/*股票资产*/</v>
      </c>
    </row>
    <row r="2633" spans="1:8" s="7" customFormat="1" x14ac:dyDescent="0.15">
      <c r="A2633" s="2"/>
      <c r="B2633" s="153" t="s">
        <v>306</v>
      </c>
      <c r="C2633" s="154" t="s">
        <v>1128</v>
      </c>
      <c r="D2633" s="154" t="s">
        <v>1169</v>
      </c>
      <c r="E2633" s="154">
        <v>0</v>
      </c>
      <c r="F2633" s="154" t="s">
        <v>454</v>
      </c>
      <c r="G2633" s="155"/>
      <c r="H2633" s="107" t="str">
        <f t="shared" si="35"/>
        <v>ifnull(b.fund_asset,0) as fund_asset,/*基金资产*/</v>
      </c>
    </row>
    <row r="2634" spans="1:8" s="7" customFormat="1" x14ac:dyDescent="0.15">
      <c r="A2634" s="2"/>
      <c r="B2634" s="153" t="s">
        <v>307</v>
      </c>
      <c r="C2634" s="154" t="s">
        <v>1173</v>
      </c>
      <c r="D2634" s="154" t="s">
        <v>1169</v>
      </c>
      <c r="E2634" s="154">
        <v>0</v>
      </c>
      <c r="F2634" s="154" t="s">
        <v>454</v>
      </c>
      <c r="G2634" s="155"/>
      <c r="H2634" s="107" t="str">
        <f t="shared" si="35"/>
        <v>ifnull(b.bond_asset,0) as bond_asset,/*债券资产*/</v>
      </c>
    </row>
    <row r="2635" spans="1:8" s="7" customFormat="1" x14ac:dyDescent="0.15">
      <c r="A2635" s="2"/>
      <c r="B2635" s="153" t="s">
        <v>309</v>
      </c>
      <c r="C2635" s="154" t="s">
        <v>1089</v>
      </c>
      <c r="D2635" s="154" t="s">
        <v>1169</v>
      </c>
      <c r="E2635" s="154">
        <v>0</v>
      </c>
      <c r="F2635" s="154" t="s">
        <v>454</v>
      </c>
      <c r="G2635" s="155"/>
      <c r="H2635" s="107" t="str">
        <f t="shared" si="35"/>
        <v>ifnull(b.repo_asset,0) as repo_asset,/*回购资产*/</v>
      </c>
    </row>
    <row r="2636" spans="1:8" s="7" customFormat="1" x14ac:dyDescent="0.15">
      <c r="A2636" s="2"/>
      <c r="B2636" s="153" t="s">
        <v>310</v>
      </c>
      <c r="C2636" s="154" t="s">
        <v>1174</v>
      </c>
      <c r="D2636" s="154" t="s">
        <v>1169</v>
      </c>
      <c r="E2636" s="154">
        <v>0</v>
      </c>
      <c r="F2636" s="154" t="s">
        <v>454</v>
      </c>
      <c r="G2636" s="155"/>
      <c r="H2636" s="107" t="str">
        <f t="shared" si="35"/>
        <v>ifnull(b.other_asset,0) as other_asset,/*其他资产*/</v>
      </c>
    </row>
    <row r="2637" spans="1:8" s="7" customFormat="1" ht="18" thickBot="1" x14ac:dyDescent="0.2">
      <c r="A2637" s="2"/>
      <c r="B2637" s="24"/>
      <c r="C2637" s="9"/>
      <c r="D2637" s="9"/>
      <c r="E2637" s="9"/>
      <c r="F2637" s="9"/>
      <c r="G2637" s="11"/>
    </row>
    <row r="2638" spans="1:8" s="7" customFormat="1" x14ac:dyDescent="0.15">
      <c r="A2638" s="2"/>
      <c r="B2638" s="327" t="s">
        <v>15</v>
      </c>
      <c r="C2638" s="328"/>
      <c r="D2638" s="328"/>
      <c r="E2638" s="328"/>
      <c r="F2638" s="328"/>
      <c r="G2638" s="329"/>
    </row>
    <row r="2639" spans="1:8" s="7" customFormat="1" x14ac:dyDescent="0.15">
      <c r="A2639" s="2"/>
      <c r="B2639" s="20"/>
      <c r="C2639" s="23"/>
      <c r="D2639" s="21"/>
      <c r="E2639" s="21"/>
      <c r="F2639" s="21"/>
      <c r="G2639" s="21"/>
    </row>
    <row r="2640" spans="1:8" s="7" customFormat="1" x14ac:dyDescent="0.15">
      <c r="A2640" s="2"/>
      <c r="B2640" s="20"/>
      <c r="C2640" s="23"/>
      <c r="D2640" s="21"/>
      <c r="E2640" s="21"/>
      <c r="F2640" s="21"/>
      <c r="G2640" s="21"/>
    </row>
    <row r="2641" spans="1:8" s="7" customFormat="1" ht="18" thickBot="1" x14ac:dyDescent="0.2">
      <c r="A2641" s="2"/>
      <c r="B2641" s="24"/>
      <c r="C2641" s="9"/>
      <c r="D2641" s="9"/>
      <c r="E2641" s="9"/>
      <c r="F2641" s="9"/>
      <c r="G2641" s="11"/>
    </row>
    <row r="2642" spans="1:8" s="2" customFormat="1" ht="18" thickBot="1" x14ac:dyDescent="0.2"/>
    <row r="2643" spans="1:8" s="7" customFormat="1" x14ac:dyDescent="0.15">
      <c r="A2643" s="2"/>
      <c r="B2643" s="3" t="s">
        <v>563</v>
      </c>
      <c r="C2643" s="4" t="s">
        <v>687</v>
      </c>
      <c r="D2643" s="5" t="s">
        <v>515</v>
      </c>
      <c r="E2643" s="21" t="s">
        <v>732</v>
      </c>
      <c r="F2643" s="5" t="s">
        <v>567</v>
      </c>
      <c r="G2643" s="191" t="s">
        <v>688</v>
      </c>
    </row>
    <row r="2644" spans="1:8" s="7" customFormat="1" ht="18" thickBot="1" x14ac:dyDescent="0.2">
      <c r="A2644" s="2"/>
      <c r="B2644" s="34" t="s">
        <v>570</v>
      </c>
      <c r="C2644" s="18"/>
      <c r="D2644" s="35" t="s">
        <v>568</v>
      </c>
      <c r="E2644" s="18" t="s">
        <v>615</v>
      </c>
      <c r="F2644" s="35"/>
      <c r="G2644" s="19" t="s">
        <v>466</v>
      </c>
    </row>
    <row r="2645" spans="1:8" s="7" customFormat="1" x14ac:dyDescent="0.15">
      <c r="A2645" s="2"/>
      <c r="B2645" s="3" t="s">
        <v>0</v>
      </c>
      <c r="C2645" s="5" t="s">
        <v>1</v>
      </c>
      <c r="D2645" s="5" t="s">
        <v>2</v>
      </c>
      <c r="E2645" s="5"/>
      <c r="F2645" s="5" t="s">
        <v>3</v>
      </c>
      <c r="G2645" s="36" t="s">
        <v>4</v>
      </c>
    </row>
    <row r="2646" spans="1:8" s="166" customFormat="1" ht="17.25" customHeight="1" x14ac:dyDescent="0.15">
      <c r="B2646" s="167" t="s">
        <v>22</v>
      </c>
      <c r="C2646" s="168" t="s">
        <v>1127</v>
      </c>
      <c r="D2646" s="168" t="s">
        <v>211</v>
      </c>
      <c r="E2646" s="168" t="s">
        <v>1141</v>
      </c>
      <c r="F2646" s="168"/>
      <c r="G2646" s="169" t="s">
        <v>1162</v>
      </c>
    </row>
    <row r="2647" spans="1:8" s="166" customFormat="1" ht="17.25" customHeight="1" x14ac:dyDescent="0.15">
      <c r="B2647" s="167" t="s">
        <v>111</v>
      </c>
      <c r="C2647" s="168" t="s">
        <v>1164</v>
      </c>
      <c r="D2647" s="168" t="s">
        <v>211</v>
      </c>
      <c r="E2647" s="168">
        <v>0</v>
      </c>
      <c r="F2647" s="168"/>
      <c r="G2647" s="169" t="s">
        <v>1329</v>
      </c>
    </row>
    <row r="2648" spans="1:8" s="166" customFormat="1" ht="17.25" customHeight="1" x14ac:dyDescent="0.15">
      <c r="B2648" s="167" t="s">
        <v>154</v>
      </c>
      <c r="C2648" s="168" t="s">
        <v>1133</v>
      </c>
      <c r="D2648" s="168" t="s">
        <v>211</v>
      </c>
      <c r="E2648" s="168">
        <v>0</v>
      </c>
      <c r="F2648" s="168"/>
      <c r="G2648" s="169" t="s">
        <v>1509</v>
      </c>
    </row>
    <row r="2649" spans="1:8" s="166" customFormat="1" ht="17.25" customHeight="1" x14ac:dyDescent="0.15">
      <c r="B2649" s="162" t="s">
        <v>303</v>
      </c>
      <c r="C2649" s="171" t="s">
        <v>1170</v>
      </c>
      <c r="D2649" s="171" t="s">
        <v>1169</v>
      </c>
      <c r="E2649" s="171">
        <v>0</v>
      </c>
      <c r="F2649" s="171"/>
      <c r="G2649" s="172"/>
    </row>
    <row r="2650" spans="1:8" s="7" customFormat="1" x14ac:dyDescent="0.15">
      <c r="A2650" s="166"/>
      <c r="B2650" s="162" t="s">
        <v>169</v>
      </c>
      <c r="C2650" s="160" t="s">
        <v>1435</v>
      </c>
      <c r="D2650" s="160" t="s">
        <v>1087</v>
      </c>
      <c r="E2650" s="160">
        <v>0</v>
      </c>
      <c r="F2650" s="160"/>
      <c r="G2650" s="161"/>
    </row>
    <row r="2651" spans="1:8" s="7" customFormat="1" ht="15" customHeight="1" x14ac:dyDescent="0.15">
      <c r="A2651" s="2"/>
      <c r="B2651" s="204" t="s">
        <v>189</v>
      </c>
      <c r="C2651" s="205" t="s">
        <v>1296</v>
      </c>
      <c r="D2651" s="205" t="s">
        <v>1169</v>
      </c>
      <c r="E2651" s="205">
        <v>0</v>
      </c>
      <c r="F2651" s="200"/>
      <c r="G2651" s="206"/>
      <c r="H2651" s="107" t="str">
        <f>"ifnull("&amp;IF(I2651&lt;&gt;"",I2651,IF(F2651&lt;&gt;"",F2651,"t")&amp;"."&amp;C2651)&amp;","&amp;E2651&amp;") as "&amp;C2651&amp;",/*"&amp;B2651&amp;"*/"</f>
        <v>ifnull(t.first_asset,0) as first_asset,/*原始资产*/</v>
      </c>
    </row>
    <row r="2652" spans="1:8" s="166" customFormat="1" ht="17.25" customHeight="1" x14ac:dyDescent="0.15">
      <c r="B2652" s="162" t="s">
        <v>363</v>
      </c>
      <c r="C2652" s="171" t="s">
        <v>1171</v>
      </c>
      <c r="D2652" s="171" t="s">
        <v>1169</v>
      </c>
      <c r="E2652" s="171">
        <v>0</v>
      </c>
      <c r="F2652" s="171"/>
      <c r="G2652" s="172"/>
    </row>
    <row r="2653" spans="1:8" s="166" customFormat="1" ht="17.25" customHeight="1" x14ac:dyDescent="0.15">
      <c r="B2653" s="162" t="s">
        <v>304</v>
      </c>
      <c r="C2653" s="171" t="s">
        <v>1185</v>
      </c>
      <c r="D2653" s="171" t="s">
        <v>1169</v>
      </c>
      <c r="E2653" s="171">
        <v>0</v>
      </c>
      <c r="F2653" s="171"/>
      <c r="G2653" s="172"/>
    </row>
    <row r="2654" spans="1:8" s="166" customFormat="1" ht="17.25" customHeight="1" x14ac:dyDescent="0.15">
      <c r="B2654" s="162" t="s">
        <v>305</v>
      </c>
      <c r="C2654" s="171" t="s">
        <v>1181</v>
      </c>
      <c r="D2654" s="171" t="s">
        <v>1169</v>
      </c>
      <c r="E2654" s="171">
        <v>0</v>
      </c>
      <c r="F2654" s="171"/>
      <c r="G2654" s="172"/>
    </row>
    <row r="2655" spans="1:8" s="166" customFormat="1" ht="17.25" customHeight="1" x14ac:dyDescent="0.15">
      <c r="B2655" s="162" t="s">
        <v>307</v>
      </c>
      <c r="C2655" s="171" t="s">
        <v>1173</v>
      </c>
      <c r="D2655" s="171" t="s">
        <v>1169</v>
      </c>
      <c r="E2655" s="171">
        <v>0</v>
      </c>
      <c r="F2655" s="171"/>
      <c r="G2655" s="172"/>
    </row>
    <row r="2656" spans="1:8" s="166" customFormat="1" ht="17.25" customHeight="1" x14ac:dyDescent="0.15">
      <c r="B2656" s="162" t="s">
        <v>306</v>
      </c>
      <c r="C2656" s="171" t="s">
        <v>1128</v>
      </c>
      <c r="D2656" s="171" t="s">
        <v>1169</v>
      </c>
      <c r="E2656" s="171">
        <v>0</v>
      </c>
      <c r="F2656" s="171"/>
      <c r="G2656" s="172"/>
    </row>
    <row r="2657" spans="1:7" s="166" customFormat="1" ht="17.25" customHeight="1" x14ac:dyDescent="0.15">
      <c r="B2657" s="162" t="s">
        <v>309</v>
      </c>
      <c r="C2657" s="171" t="s">
        <v>1089</v>
      </c>
      <c r="D2657" s="171" t="s">
        <v>1169</v>
      </c>
      <c r="E2657" s="171">
        <v>0</v>
      </c>
      <c r="F2657" s="171"/>
      <c r="G2657" s="172"/>
    </row>
    <row r="2658" spans="1:7" s="166" customFormat="1" ht="17.25" customHeight="1" x14ac:dyDescent="0.15">
      <c r="B2658" s="162" t="s">
        <v>310</v>
      </c>
      <c r="C2658" s="171" t="s">
        <v>1174</v>
      </c>
      <c r="D2658" s="171" t="s">
        <v>1169</v>
      </c>
      <c r="E2658" s="171">
        <v>0</v>
      </c>
      <c r="F2658" s="171"/>
      <c r="G2658" s="172"/>
    </row>
    <row r="2659" spans="1:7" s="166" customFormat="1" ht="17.25" customHeight="1" x14ac:dyDescent="0.15">
      <c r="B2659" s="162" t="s">
        <v>176</v>
      </c>
      <c r="C2659" s="171" t="s">
        <v>1132</v>
      </c>
      <c r="D2659" s="171" t="s">
        <v>1169</v>
      </c>
      <c r="E2659" s="171">
        <v>0</v>
      </c>
      <c r="F2659" s="171"/>
      <c r="G2659" s="172"/>
    </row>
    <row r="2660" spans="1:7" s="166" customFormat="1" ht="17.25" customHeight="1" x14ac:dyDescent="0.15">
      <c r="B2660" s="162" t="s">
        <v>175</v>
      </c>
      <c r="C2660" s="171" t="s">
        <v>1129</v>
      </c>
      <c r="D2660" s="171" t="s">
        <v>1169</v>
      </c>
      <c r="E2660" s="171">
        <v>0</v>
      </c>
      <c r="F2660" s="171"/>
      <c r="G2660" s="172"/>
    </row>
    <row r="2661" spans="1:7" s="166" customFormat="1" ht="17.25" customHeight="1" x14ac:dyDescent="0.15">
      <c r="B2661" s="162" t="s">
        <v>365</v>
      </c>
      <c r="C2661" s="171" t="s">
        <v>1130</v>
      </c>
      <c r="D2661" s="171" t="s">
        <v>1169</v>
      </c>
      <c r="E2661" s="171">
        <v>0</v>
      </c>
      <c r="F2661" s="171"/>
      <c r="G2661" s="172"/>
    </row>
    <row r="2662" spans="1:7" s="166" customFormat="1" ht="17.25" customHeight="1" x14ac:dyDescent="0.15">
      <c r="B2662" s="173" t="s">
        <v>23</v>
      </c>
      <c r="C2662" s="171" t="s">
        <v>1091</v>
      </c>
      <c r="D2662" s="171" t="s">
        <v>1131</v>
      </c>
      <c r="E2662" s="171" t="s">
        <v>1074</v>
      </c>
      <c r="F2662" s="171"/>
      <c r="G2662" s="172"/>
    </row>
    <row r="2663" spans="1:7" s="166" customFormat="1" ht="17.25" customHeight="1" x14ac:dyDescent="0.15">
      <c r="B2663" s="229" t="s">
        <v>362</v>
      </c>
      <c r="C2663" s="227" t="s">
        <v>1078</v>
      </c>
      <c r="D2663" s="227" t="s">
        <v>1169</v>
      </c>
      <c r="E2663" s="227">
        <v>0</v>
      </c>
      <c r="F2663" s="227"/>
      <c r="G2663" s="228"/>
    </row>
    <row r="2664" spans="1:7" s="166" customFormat="1" ht="17.25" customHeight="1" x14ac:dyDescent="0.15">
      <c r="B2664" s="229" t="s">
        <v>364</v>
      </c>
      <c r="C2664" s="227" t="s">
        <v>1088</v>
      </c>
      <c r="D2664" s="227" t="s">
        <v>1172</v>
      </c>
      <c r="E2664" s="227">
        <v>0</v>
      </c>
      <c r="F2664" s="227"/>
      <c r="G2664" s="228"/>
    </row>
    <row r="2665" spans="1:7" s="166" customFormat="1" ht="17.25" customHeight="1" x14ac:dyDescent="0.15">
      <c r="B2665" s="105" t="s">
        <v>367</v>
      </c>
      <c r="C2665" s="227" t="s">
        <v>1176</v>
      </c>
      <c r="D2665" s="227" t="s">
        <v>1169</v>
      </c>
      <c r="E2665" s="227">
        <v>0</v>
      </c>
      <c r="F2665" s="227"/>
      <c r="G2665" s="228"/>
    </row>
    <row r="2666" spans="1:7" s="166" customFormat="1" ht="17.25" customHeight="1" x14ac:dyDescent="0.15">
      <c r="B2666" s="105" t="s">
        <v>368</v>
      </c>
      <c r="C2666" s="227" t="s">
        <v>1177</v>
      </c>
      <c r="D2666" s="227" t="s">
        <v>1172</v>
      </c>
      <c r="E2666" s="227">
        <v>0</v>
      </c>
      <c r="F2666" s="227"/>
      <c r="G2666" s="228"/>
    </row>
    <row r="2667" spans="1:7" s="166" customFormat="1" ht="17.25" customHeight="1" x14ac:dyDescent="0.15">
      <c r="B2667" s="229" t="s">
        <v>369</v>
      </c>
      <c r="C2667" s="227" t="s">
        <v>1475</v>
      </c>
      <c r="D2667" s="227" t="s">
        <v>1169</v>
      </c>
      <c r="E2667" s="227">
        <v>0</v>
      </c>
      <c r="F2667" s="227"/>
      <c r="G2667" s="228"/>
    </row>
    <row r="2668" spans="1:7" s="166" customFormat="1" ht="17.25" customHeight="1" x14ac:dyDescent="0.15">
      <c r="B2668" s="226" t="s">
        <v>370</v>
      </c>
      <c r="C2668" s="227" t="s">
        <v>1183</v>
      </c>
      <c r="D2668" s="227" t="s">
        <v>1172</v>
      </c>
      <c r="E2668" s="227">
        <v>0</v>
      </c>
      <c r="F2668" s="227"/>
      <c r="G2668" s="228"/>
    </row>
    <row r="2669" spans="1:7" s="166" customFormat="1" ht="17.25" customHeight="1" x14ac:dyDescent="0.15">
      <c r="B2669" s="226" t="s">
        <v>371</v>
      </c>
      <c r="C2669" s="227" t="s">
        <v>1184</v>
      </c>
      <c r="D2669" s="227" t="s">
        <v>1172</v>
      </c>
      <c r="E2669" s="227">
        <v>0</v>
      </c>
      <c r="F2669" s="227"/>
      <c r="G2669" s="228"/>
    </row>
    <row r="2670" spans="1:7" s="166" customFormat="1" ht="17.25" customHeight="1" x14ac:dyDescent="0.15">
      <c r="B2670" s="226" t="s">
        <v>468</v>
      </c>
      <c r="C2670" s="227" t="s">
        <v>1180</v>
      </c>
      <c r="D2670" s="227" t="s">
        <v>1172</v>
      </c>
      <c r="E2670" s="227">
        <v>0</v>
      </c>
      <c r="F2670" s="227"/>
      <c r="G2670" s="228"/>
    </row>
    <row r="2671" spans="1:7" s="7" customFormat="1" ht="18" thickBot="1" x14ac:dyDescent="0.2">
      <c r="A2671" s="2"/>
      <c r="B2671" s="24"/>
      <c r="C2671" s="9"/>
      <c r="D2671" s="9"/>
      <c r="E2671" s="9"/>
      <c r="F2671" s="9"/>
      <c r="G2671" s="11"/>
    </row>
    <row r="2672" spans="1:7" s="7" customFormat="1" x14ac:dyDescent="0.15">
      <c r="A2672" s="2"/>
      <c r="B2672" s="327" t="s">
        <v>15</v>
      </c>
      <c r="C2672" s="328"/>
      <c r="D2672" s="328"/>
      <c r="E2672" s="328"/>
      <c r="F2672" s="328"/>
      <c r="G2672" s="329"/>
    </row>
    <row r="2673" spans="1:8" s="7" customFormat="1" x14ac:dyDescent="0.15">
      <c r="A2673" s="2"/>
      <c r="B2673" s="20"/>
      <c r="C2673" s="23"/>
      <c r="D2673" s="21"/>
      <c r="E2673" s="21"/>
      <c r="F2673" s="21"/>
      <c r="G2673" s="21"/>
    </row>
    <row r="2674" spans="1:8" s="7" customFormat="1" x14ac:dyDescent="0.15">
      <c r="A2674" s="2"/>
      <c r="B2674" s="20"/>
      <c r="C2674" s="23"/>
      <c r="D2674" s="21"/>
      <c r="E2674" s="21"/>
      <c r="F2674" s="21"/>
      <c r="G2674" s="21"/>
    </row>
    <row r="2675" spans="1:8" s="7" customFormat="1" ht="18" thickBot="1" x14ac:dyDescent="0.2">
      <c r="A2675" s="2"/>
      <c r="B2675" s="24"/>
      <c r="C2675" s="9"/>
      <c r="D2675" s="9"/>
      <c r="E2675" s="9"/>
      <c r="F2675" s="9"/>
      <c r="G2675" s="11"/>
    </row>
    <row r="2676" spans="1:8" ht="18" thickBot="1" x14ac:dyDescent="0.2"/>
    <row r="2677" spans="1:8" s="7" customFormat="1" x14ac:dyDescent="0.15">
      <c r="A2677" s="2"/>
      <c r="B2677" s="3" t="s">
        <v>563</v>
      </c>
      <c r="C2677" s="147" t="s">
        <v>697</v>
      </c>
      <c r="D2677" s="147" t="s">
        <v>515</v>
      </c>
      <c r="E2677" s="21" t="s">
        <v>1033</v>
      </c>
      <c r="F2677" s="5" t="s">
        <v>567</v>
      </c>
      <c r="G2677" s="147" t="s">
        <v>698</v>
      </c>
      <c r="H2677" s="6" t="str">
        <f>"create or replace view "&amp;C2677</f>
        <v>create or replace view vi_join_exgp_asset_stockvalue</v>
      </c>
    </row>
    <row r="2678" spans="1:8" s="7" customFormat="1" ht="18" thickBot="1" x14ac:dyDescent="0.2">
      <c r="A2678" s="2"/>
      <c r="B2678" s="34" t="s">
        <v>570</v>
      </c>
      <c r="C2678" s="18"/>
      <c r="D2678" s="35" t="s">
        <v>568</v>
      </c>
      <c r="E2678" s="18" t="s">
        <v>615</v>
      </c>
      <c r="F2678" s="35"/>
      <c r="G2678" s="19"/>
      <c r="H2678" s="11" t="str">
        <f>"# "&amp;E2677</f>
        <v># 报表_资管报表_视图-连接-交易组-资金-资产-市值</v>
      </c>
    </row>
    <row r="2679" spans="1:8" s="7" customFormat="1" x14ac:dyDescent="0.15">
      <c r="A2679" s="2"/>
      <c r="B2679" s="3" t="s">
        <v>0</v>
      </c>
      <c r="C2679" s="5" t="s">
        <v>1</v>
      </c>
      <c r="D2679" s="5" t="s">
        <v>2</v>
      </c>
      <c r="E2679" s="5"/>
      <c r="F2679" s="5" t="s">
        <v>3</v>
      </c>
      <c r="G2679" s="36" t="s">
        <v>4</v>
      </c>
      <c r="H2679" s="13" t="s">
        <v>283</v>
      </c>
    </row>
    <row r="2680" spans="1:8" s="166" customFormat="1" ht="17.25" customHeight="1" x14ac:dyDescent="0.15">
      <c r="B2680" s="226" t="s">
        <v>22</v>
      </c>
      <c r="C2680" s="227" t="s">
        <v>1127</v>
      </c>
      <c r="D2680" s="227" t="s">
        <v>211</v>
      </c>
      <c r="E2680" s="227" t="s">
        <v>1141</v>
      </c>
      <c r="F2680" s="227" t="s">
        <v>440</v>
      </c>
      <c r="G2680" s="228" t="s">
        <v>1162</v>
      </c>
      <c r="H2680" s="107" t="str">
        <f t="shared" ref="H2680:H2708" si="36">"ifnull("&amp;IF(I2680&lt;&gt;"",I2680,IF(F2680&lt;&gt;"",F2680,"t")&amp;"."&amp;C2680)&amp;","&amp;E2680&amp;") as "&amp;C2680&amp;",/*"&amp;B2680&amp;"*/"</f>
        <v>ifnull(t.init_date,date_format(curdate(),'%Y%m%d')) as init_date,/*初始化日期*/</v>
      </c>
    </row>
    <row r="2681" spans="1:8" s="166" customFormat="1" ht="17.25" customHeight="1" x14ac:dyDescent="0.15">
      <c r="B2681" s="226" t="s">
        <v>109</v>
      </c>
      <c r="C2681" s="227" t="s">
        <v>1163</v>
      </c>
      <c r="D2681" s="227" t="s">
        <v>211</v>
      </c>
      <c r="E2681" s="227">
        <v>0</v>
      </c>
      <c r="F2681" s="227"/>
      <c r="G2681" s="228" t="s">
        <v>1077</v>
      </c>
      <c r="H2681" s="107" t="str">
        <f t="shared" si="36"/>
        <v>ifnull(t.co_no,0) as co_no,/*机构编号*/</v>
      </c>
    </row>
    <row r="2682" spans="1:8" s="166" customFormat="1" ht="17.25" customHeight="1" x14ac:dyDescent="0.15">
      <c r="B2682" s="226" t="s">
        <v>111</v>
      </c>
      <c r="C2682" s="227" t="s">
        <v>1164</v>
      </c>
      <c r="D2682" s="227" t="s">
        <v>211</v>
      </c>
      <c r="E2682" s="227">
        <v>0</v>
      </c>
      <c r="F2682" s="227" t="s">
        <v>440</v>
      </c>
      <c r="G2682" s="228" t="s">
        <v>1329</v>
      </c>
      <c r="H2682" s="107" t="str">
        <f t="shared" si="36"/>
        <v>ifnull(t.pd_no,0) as pd_no,/*产品编号*/</v>
      </c>
    </row>
    <row r="2683" spans="1:8" s="166" customFormat="1" ht="17.25" customHeight="1" x14ac:dyDescent="0.15">
      <c r="B2683" s="226" t="s">
        <v>154</v>
      </c>
      <c r="C2683" s="227" t="s">
        <v>1133</v>
      </c>
      <c r="D2683" s="227" t="s">
        <v>211</v>
      </c>
      <c r="E2683" s="227">
        <v>0</v>
      </c>
      <c r="F2683" s="227" t="s">
        <v>440</v>
      </c>
      <c r="G2683" s="228" t="s">
        <v>1509</v>
      </c>
      <c r="H2683" s="107" t="str">
        <f t="shared" si="36"/>
        <v>ifnull(t.exch_group_no,0) as exch_group_no,/*交易组编号*/</v>
      </c>
    </row>
    <row r="2684" spans="1:8" s="7" customFormat="1" ht="15" customHeight="1" x14ac:dyDescent="0.15">
      <c r="A2684" s="2"/>
      <c r="B2684" s="204" t="s">
        <v>189</v>
      </c>
      <c r="C2684" s="205" t="s">
        <v>1296</v>
      </c>
      <c r="D2684" s="205" t="s">
        <v>1169</v>
      </c>
      <c r="E2684" s="205">
        <v>0</v>
      </c>
      <c r="F2684" s="200" t="s">
        <v>440</v>
      </c>
      <c r="G2684" s="206"/>
      <c r="H2684" s="107" t="str">
        <f t="shared" si="36"/>
        <v>ifnull(t.first_asset,0) as first_asset,/*原始资产*/</v>
      </c>
    </row>
    <row r="2685" spans="1:8" s="166" customFormat="1" ht="17.25" customHeight="1" x14ac:dyDescent="0.15">
      <c r="B2685" s="229" t="s">
        <v>303</v>
      </c>
      <c r="C2685" s="227" t="s">
        <v>1170</v>
      </c>
      <c r="D2685" s="227" t="s">
        <v>1169</v>
      </c>
      <c r="E2685" s="227">
        <v>0</v>
      </c>
      <c r="F2685" s="227" t="s">
        <v>440</v>
      </c>
      <c r="G2685" s="228"/>
      <c r="H2685" s="107" t="str">
        <f t="shared" si="36"/>
        <v>ifnull(t.nav_asset,0) as nav_asset,/*净资产*/</v>
      </c>
    </row>
    <row r="2686" spans="1:8" s="7" customFormat="1" x14ac:dyDescent="0.15">
      <c r="A2686" s="166"/>
      <c r="B2686" s="229" t="s">
        <v>169</v>
      </c>
      <c r="C2686" s="230" t="s">
        <v>1435</v>
      </c>
      <c r="D2686" s="230" t="s">
        <v>1087</v>
      </c>
      <c r="E2686" s="230">
        <v>0</v>
      </c>
      <c r="F2686" s="227" t="s">
        <v>440</v>
      </c>
      <c r="G2686" s="231"/>
      <c r="H2686" s="107" t="str">
        <f t="shared" si="36"/>
        <v>ifnull(t.exch_group_pd_share,0) as exch_group_pd_share,/*交易组产品份额*/</v>
      </c>
    </row>
    <row r="2687" spans="1:8" s="166" customFormat="1" ht="17.25" customHeight="1" x14ac:dyDescent="0.15">
      <c r="B2687" s="229" t="s">
        <v>362</v>
      </c>
      <c r="C2687" s="227" t="s">
        <v>1078</v>
      </c>
      <c r="D2687" s="227" t="s">
        <v>1169</v>
      </c>
      <c r="E2687" s="227">
        <v>0</v>
      </c>
      <c r="F2687" s="227" t="s">
        <v>440</v>
      </c>
      <c r="G2687" s="228"/>
      <c r="H2687" s="107" t="str">
        <f t="shared" si="36"/>
        <v>ifnull(t.unit_nav,0) as unit_nav,/*单位净值*/</v>
      </c>
    </row>
    <row r="2688" spans="1:8" s="166" customFormat="1" ht="17.25" customHeight="1" x14ac:dyDescent="0.15">
      <c r="B2688" s="229" t="s">
        <v>363</v>
      </c>
      <c r="C2688" s="227" t="s">
        <v>1171</v>
      </c>
      <c r="D2688" s="227" t="s">
        <v>1169</v>
      </c>
      <c r="E2688" s="227">
        <v>0</v>
      </c>
      <c r="F2688" s="227" t="s">
        <v>440</v>
      </c>
      <c r="G2688" s="228"/>
      <c r="H2688" s="107" t="str">
        <f t="shared" si="36"/>
        <v>ifnull(t.pre_nav,0) as pre_nav,/*昨日净值*/</v>
      </c>
    </row>
    <row r="2689" spans="2:8" s="166" customFormat="1" ht="17.25" customHeight="1" x14ac:dyDescent="0.15">
      <c r="B2689" s="229" t="s">
        <v>364</v>
      </c>
      <c r="C2689" s="227" t="s">
        <v>1088</v>
      </c>
      <c r="D2689" s="227" t="s">
        <v>1172</v>
      </c>
      <c r="E2689" s="227">
        <v>0</v>
      </c>
      <c r="F2689" s="227" t="s">
        <v>440</v>
      </c>
      <c r="G2689" s="228"/>
      <c r="H2689" s="107" t="str">
        <f t="shared" si="36"/>
        <v>ifnull(t.nav_fluct,0) as nav_fluct,/*净值波动*/</v>
      </c>
    </row>
    <row r="2690" spans="2:8" s="166" customFormat="1" ht="17.25" customHeight="1" x14ac:dyDescent="0.15">
      <c r="B2690" s="229" t="s">
        <v>313</v>
      </c>
      <c r="C2690" s="227" t="s">
        <v>1185</v>
      </c>
      <c r="D2690" s="227" t="s">
        <v>1169</v>
      </c>
      <c r="E2690" s="227">
        <v>0</v>
      </c>
      <c r="F2690" s="227" t="s">
        <v>440</v>
      </c>
      <c r="G2690" s="228"/>
      <c r="H2690" s="107" t="str">
        <f t="shared" si="36"/>
        <v>ifnull(t.cash_asset,0) as cash_asset,/*现金资产*/</v>
      </c>
    </row>
    <row r="2691" spans="2:8" s="166" customFormat="1" ht="17.25" customHeight="1" x14ac:dyDescent="0.15">
      <c r="B2691" s="229" t="s">
        <v>305</v>
      </c>
      <c r="C2691" s="227" t="s">
        <v>1181</v>
      </c>
      <c r="D2691" s="227" t="s">
        <v>1169</v>
      </c>
      <c r="E2691" s="227">
        <v>0</v>
      </c>
      <c r="F2691" s="227" t="s">
        <v>440</v>
      </c>
      <c r="G2691" s="228"/>
      <c r="H2691" s="107" t="str">
        <f t="shared" si="36"/>
        <v>ifnull(t.stock_asset,0) as stock_asset,/*股票资产*/</v>
      </c>
    </row>
    <row r="2692" spans="2:8" s="166" customFormat="1" ht="17.25" customHeight="1" x14ac:dyDescent="0.15">
      <c r="B2692" s="229" t="s">
        <v>307</v>
      </c>
      <c r="C2692" s="227" t="s">
        <v>1173</v>
      </c>
      <c r="D2692" s="227" t="s">
        <v>1169</v>
      </c>
      <c r="E2692" s="227">
        <v>0</v>
      </c>
      <c r="F2692" s="227" t="s">
        <v>440</v>
      </c>
      <c r="G2692" s="228"/>
      <c r="H2692" s="107" t="str">
        <f t="shared" si="36"/>
        <v>ifnull(t.bond_asset,0) as bond_asset,/*债券资产*/</v>
      </c>
    </row>
    <row r="2693" spans="2:8" s="166" customFormat="1" ht="17.25" customHeight="1" x14ac:dyDescent="0.15">
      <c r="B2693" s="229" t="s">
        <v>306</v>
      </c>
      <c r="C2693" s="227" t="s">
        <v>1128</v>
      </c>
      <c r="D2693" s="227" t="s">
        <v>1169</v>
      </c>
      <c r="E2693" s="227">
        <v>0</v>
      </c>
      <c r="F2693" s="227" t="s">
        <v>440</v>
      </c>
      <c r="G2693" s="228"/>
      <c r="H2693" s="107" t="str">
        <f t="shared" si="36"/>
        <v>ifnull(t.fund_asset,0) as fund_asset,/*基金资产*/</v>
      </c>
    </row>
    <row r="2694" spans="2:8" s="166" customFormat="1" ht="17.25" customHeight="1" x14ac:dyDescent="0.15">
      <c r="B2694" s="229" t="s">
        <v>309</v>
      </c>
      <c r="C2694" s="227" t="s">
        <v>1089</v>
      </c>
      <c r="D2694" s="227" t="s">
        <v>1169</v>
      </c>
      <c r="E2694" s="227">
        <v>0</v>
      </c>
      <c r="F2694" s="227" t="s">
        <v>440</v>
      </c>
      <c r="G2694" s="228"/>
      <c r="H2694" s="107" t="str">
        <f t="shared" si="36"/>
        <v>ifnull(t.repo_asset,0) as repo_asset,/*回购资产*/</v>
      </c>
    </row>
    <row r="2695" spans="2:8" s="166" customFormat="1" ht="17.25" customHeight="1" x14ac:dyDescent="0.15">
      <c r="B2695" s="229" t="s">
        <v>310</v>
      </c>
      <c r="C2695" s="227" t="s">
        <v>1174</v>
      </c>
      <c r="D2695" s="227" t="s">
        <v>1169</v>
      </c>
      <c r="E2695" s="227">
        <v>0</v>
      </c>
      <c r="F2695" s="227" t="s">
        <v>440</v>
      </c>
      <c r="G2695" s="228"/>
      <c r="H2695" s="107" t="str">
        <f t="shared" si="36"/>
        <v>ifnull(t.other_asset,0) as other_asset,/*其他资产*/</v>
      </c>
    </row>
    <row r="2696" spans="2:8" s="166" customFormat="1" ht="17.25" customHeight="1" x14ac:dyDescent="0.15">
      <c r="B2696" s="229" t="s">
        <v>176</v>
      </c>
      <c r="C2696" s="227" t="s">
        <v>1132</v>
      </c>
      <c r="D2696" s="227" t="s">
        <v>1169</v>
      </c>
      <c r="E2696" s="227">
        <v>0</v>
      </c>
      <c r="F2696" s="227" t="s">
        <v>440</v>
      </c>
      <c r="G2696" s="228"/>
      <c r="H2696" s="107" t="str">
        <f t="shared" si="36"/>
        <v>ifnull(t.total_payab_amt,0) as total_payab_amt,/*累计应付金额*/</v>
      </c>
    </row>
    <row r="2697" spans="2:8" s="166" customFormat="1" ht="17.25" customHeight="1" x14ac:dyDescent="0.15">
      <c r="B2697" s="229" t="s">
        <v>175</v>
      </c>
      <c r="C2697" s="227" t="s">
        <v>1129</v>
      </c>
      <c r="D2697" s="227" t="s">
        <v>1169</v>
      </c>
      <c r="E2697" s="227">
        <v>0</v>
      </c>
      <c r="F2697" s="227" t="s">
        <v>440</v>
      </c>
      <c r="G2697" s="228"/>
      <c r="H2697" s="107" t="str">
        <f t="shared" si="36"/>
        <v>ifnull(t.total_rece_amt,0) as total_rece_amt,/*累计应收金额*/</v>
      </c>
    </row>
    <row r="2698" spans="2:8" s="166" customFormat="1" ht="17.25" customHeight="1" x14ac:dyDescent="0.15">
      <c r="B2698" s="229" t="s">
        <v>365</v>
      </c>
      <c r="C2698" s="227" t="s">
        <v>1130</v>
      </c>
      <c r="D2698" s="227" t="s">
        <v>1169</v>
      </c>
      <c r="E2698" s="227">
        <v>0</v>
      </c>
      <c r="F2698" s="227" t="s">
        <v>440</v>
      </c>
      <c r="G2698" s="228"/>
      <c r="H2698" s="107" t="str">
        <f t="shared" si="36"/>
        <v>ifnull(t.assign_avail_amt,0) as assign_avail_amt,/*可分配金额*/</v>
      </c>
    </row>
    <row r="2699" spans="2:8" s="166" customFormat="1" ht="17.25" customHeight="1" x14ac:dyDescent="0.15">
      <c r="B2699" s="105" t="s">
        <v>23</v>
      </c>
      <c r="C2699" s="227" t="s">
        <v>1091</v>
      </c>
      <c r="D2699" s="227" t="s">
        <v>1131</v>
      </c>
      <c r="E2699" s="227" t="s">
        <v>1074</v>
      </c>
      <c r="F2699" s="227" t="s">
        <v>440</v>
      </c>
      <c r="G2699" s="228"/>
      <c r="H2699" s="107" t="str">
        <f t="shared" si="36"/>
        <v>ifnull(t.crncy_type,"CNY") as crncy_type,/*本币币种*/</v>
      </c>
    </row>
    <row r="2700" spans="2:8" s="166" customFormat="1" ht="17.25" customHeight="1" x14ac:dyDescent="0.15">
      <c r="B2700" s="105" t="s">
        <v>367</v>
      </c>
      <c r="C2700" s="227" t="s">
        <v>1176</v>
      </c>
      <c r="D2700" s="227" t="s">
        <v>1169</v>
      </c>
      <c r="E2700" s="227">
        <v>0</v>
      </c>
      <c r="F2700" s="227" t="s">
        <v>440</v>
      </c>
      <c r="G2700" s="228"/>
      <c r="H2700" s="107" t="str">
        <f t="shared" si="36"/>
        <v>ifnull(t.today_pandl,0) as today_pandl,/*当日盈亏*/</v>
      </c>
    </row>
    <row r="2701" spans="2:8" s="166" customFormat="1" ht="17.25" customHeight="1" x14ac:dyDescent="0.15">
      <c r="B2701" s="105" t="s">
        <v>368</v>
      </c>
      <c r="C2701" s="227" t="s">
        <v>1177</v>
      </c>
      <c r="D2701" s="227" t="s">
        <v>1172</v>
      </c>
      <c r="E2701" s="227">
        <v>0</v>
      </c>
      <c r="F2701" s="227" t="s">
        <v>440</v>
      </c>
      <c r="G2701" s="228"/>
      <c r="H2701" s="107" t="str">
        <f t="shared" si="36"/>
        <v>ifnull(t.daily_pandl_ratio,0) as daily_pandl_ratio,/*当日收益率*/</v>
      </c>
    </row>
    <row r="2702" spans="2:8" s="166" customFormat="1" ht="17.25" customHeight="1" x14ac:dyDescent="0.15">
      <c r="B2702" s="229" t="s">
        <v>369</v>
      </c>
      <c r="C2702" s="227" t="s">
        <v>1475</v>
      </c>
      <c r="D2702" s="227" t="s">
        <v>1169</v>
      </c>
      <c r="E2702" s="227">
        <v>0</v>
      </c>
      <c r="F2702" s="227" t="s">
        <v>440</v>
      </c>
      <c r="G2702" s="228"/>
      <c r="H2702" s="107" t="str">
        <f t="shared" si="36"/>
        <v>ifnull(t.total_realiz_pandl,0) as total_realiz_pandl,/*累计实现收益*/</v>
      </c>
    </row>
    <row r="2703" spans="2:8" s="166" customFormat="1" ht="17.25" customHeight="1" x14ac:dyDescent="0.15">
      <c r="B2703" s="226" t="s">
        <v>370</v>
      </c>
      <c r="C2703" s="227" t="s">
        <v>1183</v>
      </c>
      <c r="D2703" s="227" t="s">
        <v>1172</v>
      </c>
      <c r="E2703" s="227">
        <v>0</v>
      </c>
      <c r="F2703" s="227" t="s">
        <v>440</v>
      </c>
      <c r="G2703" s="228"/>
      <c r="H2703" s="107" t="str">
        <f t="shared" si="36"/>
        <v>ifnull(t.total_realiz_pandl_ratio,0) as total_realiz_pandl_ratio,/*累计收益率*/</v>
      </c>
    </row>
    <row r="2704" spans="2:8" s="166" customFormat="1" ht="17.25" customHeight="1" x14ac:dyDescent="0.15">
      <c r="B2704" s="226" t="s">
        <v>371</v>
      </c>
      <c r="C2704" s="227" t="s">
        <v>1184</v>
      </c>
      <c r="D2704" s="227" t="s">
        <v>1172</v>
      </c>
      <c r="E2704" s="227">
        <v>0</v>
      </c>
      <c r="F2704" s="227" t="s">
        <v>440</v>
      </c>
      <c r="G2704" s="228"/>
      <c r="H2704" s="107" t="str">
        <f t="shared" si="36"/>
        <v>ifnull(t.posi_ratio,0) as posi_ratio,/*持股比例*/</v>
      </c>
    </row>
    <row r="2705" spans="1:8" s="166" customFormat="1" ht="17.25" customHeight="1" x14ac:dyDescent="0.15">
      <c r="B2705" s="226" t="s">
        <v>468</v>
      </c>
      <c r="C2705" s="227" t="s">
        <v>1180</v>
      </c>
      <c r="D2705" s="227" t="s">
        <v>1172</v>
      </c>
      <c r="E2705" s="227">
        <v>0</v>
      </c>
      <c r="F2705" s="227"/>
      <c r="G2705" s="228"/>
      <c r="H2705" s="107" t="str">
        <f t="shared" si="36"/>
        <v>ifnull(t.securities_ratio,0) as securities_ratio,/*证券占比*/</v>
      </c>
    </row>
    <row r="2706" spans="1:8" s="7" customFormat="1" x14ac:dyDescent="0.15">
      <c r="A2706" s="2"/>
      <c r="B2706" s="176" t="s">
        <v>12</v>
      </c>
      <c r="C2706" s="176" t="s">
        <v>1143</v>
      </c>
      <c r="D2706" s="176" t="s">
        <v>1169</v>
      </c>
      <c r="E2706" s="176">
        <v>0</v>
      </c>
      <c r="F2706" s="176" t="s">
        <v>441</v>
      </c>
      <c r="G2706" s="176"/>
      <c r="H2706" s="107" t="str">
        <f t="shared" si="36"/>
        <v>ifnull(a.realize_pandl,0) as realize_pandl,/*实现盈亏*/</v>
      </c>
    </row>
    <row r="2707" spans="1:8" x14ac:dyDescent="0.15">
      <c r="B2707" s="176" t="s">
        <v>432</v>
      </c>
      <c r="C2707" s="176" t="s">
        <v>1489</v>
      </c>
      <c r="D2707" s="176" t="s">
        <v>1331</v>
      </c>
      <c r="E2707" s="176">
        <v>0</v>
      </c>
      <c r="F2707" s="176" t="s">
        <v>441</v>
      </c>
      <c r="G2707" s="176"/>
      <c r="H2707" s="107" t="str">
        <f t="shared" si="36"/>
        <v>ifnull(a.posi_market_value,0) as posi_market_value,/*持仓市值*/</v>
      </c>
    </row>
    <row r="2708" spans="1:8" x14ac:dyDescent="0.15">
      <c r="B2708" s="176" t="s">
        <v>445</v>
      </c>
      <c r="C2708" s="176" t="s">
        <v>1490</v>
      </c>
      <c r="D2708" s="176" t="s">
        <v>1331</v>
      </c>
      <c r="E2708" s="176">
        <v>0</v>
      </c>
      <c r="F2708" s="176" t="s">
        <v>441</v>
      </c>
      <c r="G2708" s="176"/>
      <c r="H2708" s="107" t="str">
        <f t="shared" si="36"/>
        <v>ifnull(a.float_pandl,0) as float_pandl,/*浮动盈亏*/</v>
      </c>
    </row>
    <row r="2709" spans="1:8" s="7" customFormat="1" ht="18" thickBot="1" x14ac:dyDescent="0.2">
      <c r="A2709" s="2"/>
      <c r="B2709" s="24"/>
      <c r="C2709" s="9"/>
      <c r="D2709" s="9"/>
      <c r="E2709" s="9"/>
      <c r="F2709" s="9"/>
      <c r="G2709" s="11"/>
    </row>
    <row r="2710" spans="1:8" s="7" customFormat="1" x14ac:dyDescent="0.15">
      <c r="A2710" s="2"/>
      <c r="B2710" s="327" t="s">
        <v>15</v>
      </c>
      <c r="C2710" s="328"/>
      <c r="D2710" s="328"/>
      <c r="E2710" s="328"/>
      <c r="F2710" s="328"/>
      <c r="G2710" s="329"/>
    </row>
    <row r="2711" spans="1:8" s="7" customFormat="1" x14ac:dyDescent="0.15">
      <c r="A2711" s="2"/>
      <c r="B2711" s="20"/>
      <c r="C2711" s="23"/>
      <c r="D2711" s="21"/>
      <c r="E2711" s="21"/>
      <c r="F2711" s="21"/>
      <c r="G2711" s="21"/>
    </row>
    <row r="2712" spans="1:8" s="7" customFormat="1" x14ac:dyDescent="0.15">
      <c r="A2712" s="2"/>
      <c r="B2712" s="17"/>
      <c r="C2712" s="37"/>
      <c r="D2712" s="18"/>
      <c r="E2712" s="18"/>
      <c r="F2712" s="18"/>
      <c r="G2712" s="38"/>
    </row>
    <row r="2713" spans="1:8" s="7" customFormat="1" ht="18" thickBot="1" x14ac:dyDescent="0.2">
      <c r="A2713" s="2"/>
      <c r="B2713" s="24"/>
      <c r="C2713" s="9"/>
      <c r="D2713" s="9"/>
      <c r="E2713" s="9"/>
      <c r="F2713" s="9"/>
      <c r="G2713" s="11"/>
    </row>
    <row r="2714" spans="1:8" ht="18" thickBot="1" x14ac:dyDescent="0.2"/>
    <row r="2715" spans="1:8" s="7" customFormat="1" x14ac:dyDescent="0.15">
      <c r="A2715" s="2"/>
      <c r="B2715" s="3" t="s">
        <v>563</v>
      </c>
      <c r="C2715" s="147" t="s">
        <v>699</v>
      </c>
      <c r="D2715" s="147" t="s">
        <v>515</v>
      </c>
      <c r="E2715" s="21" t="s">
        <v>737</v>
      </c>
      <c r="F2715" s="5" t="s">
        <v>567</v>
      </c>
      <c r="G2715" s="6" t="s">
        <v>700</v>
      </c>
      <c r="H2715" s="6" t="str">
        <f>"create or replace view "&amp;C2715</f>
        <v>create or replace view vi_logic_exgp_asset_other</v>
      </c>
    </row>
    <row r="2716" spans="1:8" s="7" customFormat="1" ht="18" thickBot="1" x14ac:dyDescent="0.2">
      <c r="A2716" s="2"/>
      <c r="B2716" s="34" t="s">
        <v>570</v>
      </c>
      <c r="C2716" s="18"/>
      <c r="D2716" s="35" t="s">
        <v>568</v>
      </c>
      <c r="E2716" s="18" t="s">
        <v>615</v>
      </c>
      <c r="F2716" s="35"/>
      <c r="G2716" s="19"/>
      <c r="H2716" s="11" t="str">
        <f>"# "&amp;E2715</f>
        <v># 报表_资管报表_视图-逻辑-交易组-资产-附加信息</v>
      </c>
    </row>
    <row r="2717" spans="1:8" s="7" customFormat="1" x14ac:dyDescent="0.15">
      <c r="A2717" s="2"/>
      <c r="B2717" s="3" t="s">
        <v>0</v>
      </c>
      <c r="C2717" s="5" t="s">
        <v>1</v>
      </c>
      <c r="D2717" s="5" t="s">
        <v>2</v>
      </c>
      <c r="E2717" s="5"/>
      <c r="F2717" s="5" t="s">
        <v>3</v>
      </c>
      <c r="G2717" s="36" t="s">
        <v>4</v>
      </c>
      <c r="H2717" s="13" t="s">
        <v>283</v>
      </c>
    </row>
    <row r="2718" spans="1:8" s="166" customFormat="1" ht="17.25" customHeight="1" x14ac:dyDescent="0.15">
      <c r="B2718" s="167" t="s">
        <v>22</v>
      </c>
      <c r="C2718" s="168" t="s">
        <v>1127</v>
      </c>
      <c r="D2718" s="168" t="s">
        <v>211</v>
      </c>
      <c r="E2718" s="168" t="s">
        <v>1141</v>
      </c>
      <c r="F2718" s="168" t="s">
        <v>440</v>
      </c>
      <c r="G2718" s="169" t="s">
        <v>1162</v>
      </c>
      <c r="H2718" s="107" t="str">
        <f t="shared" ref="H2718:H2749" si="37">"ifnull("&amp;IF(I2718&lt;&gt;"",I2718,IF(F2718&lt;&gt;"",F2718,"t")&amp;"."&amp;C2718)&amp;","&amp;E2718&amp;") as "&amp;C2718&amp;",/*"&amp;B2718&amp;"*/"</f>
        <v>ifnull(t.init_date,date_format(curdate(),'%Y%m%d')) as init_date,/*初始化日期*/</v>
      </c>
    </row>
    <row r="2719" spans="1:8" s="166" customFormat="1" ht="17.25" customHeight="1" x14ac:dyDescent="0.15">
      <c r="B2719" s="226" t="s">
        <v>109</v>
      </c>
      <c r="C2719" s="227" t="s">
        <v>1163</v>
      </c>
      <c r="D2719" s="227" t="s">
        <v>211</v>
      </c>
      <c r="E2719" s="227">
        <v>0</v>
      </c>
      <c r="F2719" s="227"/>
      <c r="G2719" s="228" t="s">
        <v>1077</v>
      </c>
      <c r="H2719" s="107" t="str">
        <f t="shared" si="37"/>
        <v>ifnull(t.co_no,0) as co_no,/*机构编号*/</v>
      </c>
    </row>
    <row r="2720" spans="1:8" s="166" customFormat="1" ht="17.25" customHeight="1" x14ac:dyDescent="0.15">
      <c r="B2720" s="167" t="s">
        <v>111</v>
      </c>
      <c r="C2720" s="168" t="s">
        <v>1164</v>
      </c>
      <c r="D2720" s="168" t="s">
        <v>211</v>
      </c>
      <c r="E2720" s="168">
        <v>0</v>
      </c>
      <c r="F2720" s="168" t="s">
        <v>440</v>
      </c>
      <c r="G2720" s="169" t="s">
        <v>1329</v>
      </c>
      <c r="H2720" s="107" t="str">
        <f t="shared" si="37"/>
        <v>ifnull(t.pd_no,0) as pd_no,/*产品编号*/</v>
      </c>
    </row>
    <row r="2721" spans="1:8" s="166" customFormat="1" ht="17.25" customHeight="1" x14ac:dyDescent="0.15">
      <c r="B2721" s="167" t="s">
        <v>154</v>
      </c>
      <c r="C2721" s="168" t="s">
        <v>1133</v>
      </c>
      <c r="D2721" s="168" t="s">
        <v>211</v>
      </c>
      <c r="E2721" s="168">
        <v>0</v>
      </c>
      <c r="F2721" s="168" t="s">
        <v>440</v>
      </c>
      <c r="G2721" s="169" t="s">
        <v>1509</v>
      </c>
      <c r="H2721" s="107" t="str">
        <f t="shared" si="37"/>
        <v>ifnull(t.exch_group_no,0) as exch_group_no,/*交易组编号*/</v>
      </c>
    </row>
    <row r="2722" spans="1:8" s="166" customFormat="1" ht="17.25" customHeight="1" x14ac:dyDescent="0.15">
      <c r="B2722" s="194" t="s">
        <v>303</v>
      </c>
      <c r="C2722" s="168" t="s">
        <v>1170</v>
      </c>
      <c r="D2722" s="168" t="s">
        <v>1169</v>
      </c>
      <c r="E2722" s="168">
        <v>0</v>
      </c>
      <c r="F2722" s="168" t="s">
        <v>440</v>
      </c>
      <c r="G2722" s="169"/>
      <c r="H2722" s="107" t="str">
        <f t="shared" si="37"/>
        <v>ifnull(t.nav_asset,0) as nav_asset,/*净资产*/</v>
      </c>
    </row>
    <row r="2723" spans="1:8" s="7" customFormat="1" ht="15" customHeight="1" x14ac:dyDescent="0.15">
      <c r="A2723" s="2"/>
      <c r="B2723" s="204" t="s">
        <v>189</v>
      </c>
      <c r="C2723" s="205" t="s">
        <v>1296</v>
      </c>
      <c r="D2723" s="205" t="s">
        <v>1169</v>
      </c>
      <c r="E2723" s="205">
        <v>0</v>
      </c>
      <c r="F2723" s="200" t="s">
        <v>440</v>
      </c>
      <c r="G2723" s="206"/>
      <c r="H2723" s="107" t="str">
        <f t="shared" si="37"/>
        <v>ifnull(t.first_asset,0) as first_asset,/*原始资产*/</v>
      </c>
    </row>
    <row r="2724" spans="1:8" s="7" customFormat="1" x14ac:dyDescent="0.15">
      <c r="A2724" s="166"/>
      <c r="B2724" s="194" t="s">
        <v>169</v>
      </c>
      <c r="C2724" s="195" t="s">
        <v>1435</v>
      </c>
      <c r="D2724" s="195" t="s">
        <v>1087</v>
      </c>
      <c r="E2724" s="195">
        <v>0</v>
      </c>
      <c r="F2724" s="168" t="s">
        <v>440</v>
      </c>
      <c r="G2724" s="196"/>
      <c r="H2724" s="107" t="str">
        <f t="shared" si="37"/>
        <v>ifnull(t.exch_group_pd_share,0) as exch_group_pd_share,/*交易组产品份额*/</v>
      </c>
    </row>
    <row r="2725" spans="1:8" s="166" customFormat="1" ht="17.25" customHeight="1" x14ac:dyDescent="0.15">
      <c r="B2725" s="194" t="s">
        <v>362</v>
      </c>
      <c r="C2725" s="168" t="s">
        <v>1078</v>
      </c>
      <c r="D2725" s="168" t="s">
        <v>1169</v>
      </c>
      <c r="E2725" s="168">
        <v>0</v>
      </c>
      <c r="F2725" s="168" t="s">
        <v>440</v>
      </c>
      <c r="G2725" s="169"/>
      <c r="H2725" s="107" t="str">
        <f t="shared" si="37"/>
        <v>ifnull(t.unit_nav,0) as unit_nav,/*单位净值*/</v>
      </c>
    </row>
    <row r="2726" spans="1:8" s="166" customFormat="1" ht="17.25" customHeight="1" x14ac:dyDescent="0.15">
      <c r="B2726" s="194" t="s">
        <v>363</v>
      </c>
      <c r="C2726" s="168" t="s">
        <v>1171</v>
      </c>
      <c r="D2726" s="168" t="s">
        <v>1169</v>
      </c>
      <c r="E2726" s="168">
        <v>0</v>
      </c>
      <c r="F2726" s="168" t="s">
        <v>440</v>
      </c>
      <c r="G2726" s="169"/>
      <c r="H2726" s="107" t="str">
        <f t="shared" si="37"/>
        <v>ifnull(t.pre_nav,0) as pre_nav,/*昨日净值*/</v>
      </c>
    </row>
    <row r="2727" spans="1:8" s="166" customFormat="1" ht="17.25" customHeight="1" x14ac:dyDescent="0.15">
      <c r="B2727" s="194" t="s">
        <v>364</v>
      </c>
      <c r="C2727" s="168" t="s">
        <v>1088</v>
      </c>
      <c r="D2727" s="168" t="s">
        <v>1172</v>
      </c>
      <c r="E2727" s="168">
        <v>0</v>
      </c>
      <c r="F2727" s="168" t="s">
        <v>440</v>
      </c>
      <c r="G2727" s="169"/>
      <c r="H2727" s="107" t="str">
        <f t="shared" si="37"/>
        <v>ifnull(t.nav_fluct,0) as nav_fluct,/*净值波动*/</v>
      </c>
    </row>
    <row r="2728" spans="1:8" s="166" customFormat="1" ht="17.25" customHeight="1" x14ac:dyDescent="0.15">
      <c r="B2728" s="194" t="s">
        <v>304</v>
      </c>
      <c r="C2728" s="168" t="s">
        <v>1185</v>
      </c>
      <c r="D2728" s="168" t="s">
        <v>1169</v>
      </c>
      <c r="E2728" s="168">
        <v>0</v>
      </c>
      <c r="F2728" s="168" t="s">
        <v>440</v>
      </c>
      <c r="G2728" s="169"/>
      <c r="H2728" s="107" t="str">
        <f t="shared" si="37"/>
        <v>ifnull(t.cash_asset,0) as cash_asset,/*现金资产*/</v>
      </c>
    </row>
    <row r="2729" spans="1:8" s="166" customFormat="1" ht="17.25" customHeight="1" x14ac:dyDescent="0.15">
      <c r="B2729" s="194" t="s">
        <v>305</v>
      </c>
      <c r="C2729" s="168" t="s">
        <v>1181</v>
      </c>
      <c r="D2729" s="168" t="s">
        <v>1169</v>
      </c>
      <c r="E2729" s="168">
        <v>0</v>
      </c>
      <c r="F2729" s="168" t="s">
        <v>440</v>
      </c>
      <c r="G2729" s="169"/>
      <c r="H2729" s="107" t="str">
        <f t="shared" si="37"/>
        <v>ifnull(t.stock_asset,0) as stock_asset,/*股票资产*/</v>
      </c>
    </row>
    <row r="2730" spans="1:8" s="166" customFormat="1" ht="17.25" customHeight="1" x14ac:dyDescent="0.15">
      <c r="B2730" s="194" t="s">
        <v>307</v>
      </c>
      <c r="C2730" s="168" t="s">
        <v>1173</v>
      </c>
      <c r="D2730" s="168" t="s">
        <v>1169</v>
      </c>
      <c r="E2730" s="168">
        <v>0</v>
      </c>
      <c r="F2730" s="168" t="s">
        <v>440</v>
      </c>
      <c r="G2730" s="169"/>
      <c r="H2730" s="107" t="str">
        <f t="shared" si="37"/>
        <v>ifnull(t.bond_asset,0) as bond_asset,/*债券资产*/</v>
      </c>
    </row>
    <row r="2731" spans="1:8" s="166" customFormat="1" ht="17.25" customHeight="1" x14ac:dyDescent="0.15">
      <c r="B2731" s="194" t="s">
        <v>306</v>
      </c>
      <c r="C2731" s="168" t="s">
        <v>1128</v>
      </c>
      <c r="D2731" s="168" t="s">
        <v>1169</v>
      </c>
      <c r="E2731" s="168">
        <v>0</v>
      </c>
      <c r="F2731" s="168" t="s">
        <v>440</v>
      </c>
      <c r="G2731" s="169"/>
      <c r="H2731" s="107" t="str">
        <f t="shared" si="37"/>
        <v>ifnull(t.fund_asset,0) as fund_asset,/*基金资产*/</v>
      </c>
    </row>
    <row r="2732" spans="1:8" s="166" customFormat="1" ht="17.25" customHeight="1" x14ac:dyDescent="0.15">
      <c r="B2732" s="194" t="s">
        <v>309</v>
      </c>
      <c r="C2732" s="168" t="s">
        <v>1089</v>
      </c>
      <c r="D2732" s="168" t="s">
        <v>1169</v>
      </c>
      <c r="E2732" s="168">
        <v>0</v>
      </c>
      <c r="F2732" s="168" t="s">
        <v>440</v>
      </c>
      <c r="G2732" s="169"/>
      <c r="H2732" s="107" t="str">
        <f t="shared" si="37"/>
        <v>ifnull(t.repo_asset,0) as repo_asset,/*回购资产*/</v>
      </c>
    </row>
    <row r="2733" spans="1:8" s="166" customFormat="1" ht="17.25" customHeight="1" x14ac:dyDescent="0.15">
      <c r="B2733" s="194" t="s">
        <v>310</v>
      </c>
      <c r="C2733" s="168" t="s">
        <v>1174</v>
      </c>
      <c r="D2733" s="168" t="s">
        <v>1169</v>
      </c>
      <c r="E2733" s="168">
        <v>0</v>
      </c>
      <c r="F2733" s="168" t="s">
        <v>440</v>
      </c>
      <c r="G2733" s="169"/>
      <c r="H2733" s="107" t="str">
        <f t="shared" si="37"/>
        <v>ifnull(t.other_asset,0) as other_asset,/*其他资产*/</v>
      </c>
    </row>
    <row r="2734" spans="1:8" s="166" customFormat="1" ht="17.25" customHeight="1" x14ac:dyDescent="0.15">
      <c r="B2734" s="194" t="s">
        <v>176</v>
      </c>
      <c r="C2734" s="168" t="s">
        <v>1132</v>
      </c>
      <c r="D2734" s="168" t="s">
        <v>1169</v>
      </c>
      <c r="E2734" s="168">
        <v>0</v>
      </c>
      <c r="F2734" s="168" t="s">
        <v>440</v>
      </c>
      <c r="G2734" s="169"/>
      <c r="H2734" s="107" t="str">
        <f t="shared" si="37"/>
        <v>ifnull(t.total_payab_amt,0) as total_payab_amt,/*累计应付金额*/</v>
      </c>
    </row>
    <row r="2735" spans="1:8" s="166" customFormat="1" ht="17.25" customHeight="1" x14ac:dyDescent="0.15">
      <c r="B2735" s="194" t="s">
        <v>175</v>
      </c>
      <c r="C2735" s="168" t="s">
        <v>1129</v>
      </c>
      <c r="D2735" s="168" t="s">
        <v>1169</v>
      </c>
      <c r="E2735" s="168">
        <v>0</v>
      </c>
      <c r="F2735" s="168" t="s">
        <v>440</v>
      </c>
      <c r="G2735" s="169"/>
      <c r="H2735" s="107" t="str">
        <f t="shared" si="37"/>
        <v>ifnull(t.total_rece_amt,0) as total_rece_amt,/*累计应收金额*/</v>
      </c>
    </row>
    <row r="2736" spans="1:8" s="166" customFormat="1" ht="17.25" customHeight="1" x14ac:dyDescent="0.15">
      <c r="B2736" s="194" t="s">
        <v>365</v>
      </c>
      <c r="C2736" s="168" t="s">
        <v>1130</v>
      </c>
      <c r="D2736" s="168" t="s">
        <v>1169</v>
      </c>
      <c r="E2736" s="168">
        <v>0</v>
      </c>
      <c r="F2736" s="168" t="s">
        <v>440</v>
      </c>
      <c r="G2736" s="169"/>
      <c r="H2736" s="107" t="str">
        <f t="shared" si="37"/>
        <v>ifnull(t.assign_avail_amt,0) as assign_avail_amt,/*可分配金额*/</v>
      </c>
    </row>
    <row r="2737" spans="1:9" s="166" customFormat="1" ht="17.25" customHeight="1" x14ac:dyDescent="0.15">
      <c r="B2737" s="197" t="s">
        <v>23</v>
      </c>
      <c r="C2737" s="168" t="s">
        <v>1091</v>
      </c>
      <c r="D2737" s="168" t="s">
        <v>1131</v>
      </c>
      <c r="E2737" s="168" t="s">
        <v>1074</v>
      </c>
      <c r="F2737" s="168" t="s">
        <v>440</v>
      </c>
      <c r="G2737" s="169"/>
      <c r="H2737" s="107" t="str">
        <f t="shared" si="37"/>
        <v>ifnull(t.crncy_type,"CNY") as crncy_type,/*本币币种*/</v>
      </c>
    </row>
    <row r="2738" spans="1:9" s="166" customFormat="1" ht="17.25" customHeight="1" x14ac:dyDescent="0.15">
      <c r="B2738" s="197" t="s">
        <v>367</v>
      </c>
      <c r="C2738" s="168" t="s">
        <v>1176</v>
      </c>
      <c r="D2738" s="168" t="s">
        <v>1169</v>
      </c>
      <c r="E2738" s="168">
        <v>0</v>
      </c>
      <c r="F2738" s="168" t="s">
        <v>440</v>
      </c>
      <c r="G2738" s="169"/>
      <c r="H2738" s="107" t="str">
        <f t="shared" si="37"/>
        <v>ifnull(t.today_pandl,0) as today_pandl,/*当日盈亏*/</v>
      </c>
    </row>
    <row r="2739" spans="1:9" s="166" customFormat="1" ht="17.25" customHeight="1" x14ac:dyDescent="0.15">
      <c r="B2739" s="197" t="s">
        <v>368</v>
      </c>
      <c r="C2739" s="168" t="s">
        <v>1177</v>
      </c>
      <c r="D2739" s="168" t="s">
        <v>1172</v>
      </c>
      <c r="E2739" s="168">
        <v>0</v>
      </c>
      <c r="F2739" s="168" t="s">
        <v>440</v>
      </c>
      <c r="G2739" s="169"/>
      <c r="H2739" s="107" t="str">
        <f t="shared" si="37"/>
        <v>ifnull(t.daily_pandl_ratio,0) as daily_pandl_ratio,/*当日收益率*/</v>
      </c>
    </row>
    <row r="2740" spans="1:9" s="166" customFormat="1" ht="17.25" customHeight="1" x14ac:dyDescent="0.15">
      <c r="B2740" s="194" t="s">
        <v>369</v>
      </c>
      <c r="C2740" s="168" t="s">
        <v>1475</v>
      </c>
      <c r="D2740" s="168" t="s">
        <v>1169</v>
      </c>
      <c r="E2740" s="168">
        <v>0</v>
      </c>
      <c r="F2740" s="168" t="s">
        <v>440</v>
      </c>
      <c r="G2740" s="169"/>
      <c r="H2740" s="107" t="str">
        <f t="shared" si="37"/>
        <v>ifnull(t.total_realiz_pandl,0) as total_realiz_pandl,/*累计实现收益*/</v>
      </c>
    </row>
    <row r="2741" spans="1:9" s="166" customFormat="1" ht="17.25" customHeight="1" x14ac:dyDescent="0.15">
      <c r="B2741" s="167" t="s">
        <v>370</v>
      </c>
      <c r="C2741" s="168" t="s">
        <v>1183</v>
      </c>
      <c r="D2741" s="168" t="s">
        <v>1172</v>
      </c>
      <c r="E2741" s="168">
        <v>0</v>
      </c>
      <c r="F2741" s="168" t="s">
        <v>440</v>
      </c>
      <c r="G2741" s="169"/>
      <c r="H2741" s="107" t="str">
        <f t="shared" si="37"/>
        <v>ifnull(t.total_realiz_pandl_ratio,0) as total_realiz_pandl_ratio,/*累计收益率*/</v>
      </c>
    </row>
    <row r="2742" spans="1:9" s="166" customFormat="1" ht="17.25" customHeight="1" x14ac:dyDescent="0.15">
      <c r="B2742" s="167" t="s">
        <v>371</v>
      </c>
      <c r="C2742" s="168" t="s">
        <v>1184</v>
      </c>
      <c r="D2742" s="168" t="s">
        <v>1172</v>
      </c>
      <c r="E2742" s="168">
        <v>0</v>
      </c>
      <c r="F2742" s="168" t="s">
        <v>440</v>
      </c>
      <c r="G2742" s="169"/>
      <c r="H2742" s="107" t="str">
        <f t="shared" si="37"/>
        <v>ifnull(t.posi_ratio,0) as posi_ratio,/*持股比例*/</v>
      </c>
    </row>
    <row r="2743" spans="1:9" s="166" customFormat="1" ht="17.25" customHeight="1" x14ac:dyDescent="0.15">
      <c r="B2743" s="167" t="s">
        <v>468</v>
      </c>
      <c r="C2743" s="168" t="s">
        <v>1180</v>
      </c>
      <c r="D2743" s="168" t="s">
        <v>1172</v>
      </c>
      <c r="E2743" s="168">
        <v>0</v>
      </c>
      <c r="F2743" s="168" t="s">
        <v>440</v>
      </c>
      <c r="G2743" s="169"/>
      <c r="H2743" s="107" t="str">
        <f t="shared" si="37"/>
        <v>ifnull(t.securities_ratio,0) as securities_ratio,/*证券占比*/</v>
      </c>
    </row>
    <row r="2744" spans="1:9" s="7" customFormat="1" x14ac:dyDescent="0.15">
      <c r="A2744" s="2"/>
      <c r="B2744" s="176" t="s">
        <v>12</v>
      </c>
      <c r="C2744" s="176" t="s">
        <v>1143</v>
      </c>
      <c r="D2744" s="176" t="s">
        <v>1169</v>
      </c>
      <c r="E2744" s="176">
        <v>0</v>
      </c>
      <c r="F2744" s="168" t="s">
        <v>440</v>
      </c>
      <c r="G2744" s="176"/>
      <c r="H2744" s="107" t="str">
        <f t="shared" si="37"/>
        <v>ifnull(t.realize_pandl,0) as realize_pandl,/*实现盈亏*/</v>
      </c>
    </row>
    <row r="2745" spans="1:9" x14ac:dyDescent="0.15">
      <c r="B2745" s="176" t="s">
        <v>432</v>
      </c>
      <c r="C2745" s="176" t="s">
        <v>1489</v>
      </c>
      <c r="D2745" s="176" t="s">
        <v>1331</v>
      </c>
      <c r="E2745" s="176">
        <v>0</v>
      </c>
      <c r="F2745" s="168" t="s">
        <v>440</v>
      </c>
      <c r="G2745" s="176"/>
      <c r="H2745" s="107" t="str">
        <f t="shared" si="37"/>
        <v>ifnull(t.posi_market_value,0) as posi_market_value,/*持仓市值*/</v>
      </c>
    </row>
    <row r="2746" spans="1:9" x14ac:dyDescent="0.15">
      <c r="B2746" s="176" t="s">
        <v>445</v>
      </c>
      <c r="C2746" s="176" t="s">
        <v>1490</v>
      </c>
      <c r="D2746" s="176" t="s">
        <v>1331</v>
      </c>
      <c r="E2746" s="176">
        <v>0</v>
      </c>
      <c r="F2746" s="168" t="s">
        <v>440</v>
      </c>
      <c r="G2746" s="176"/>
      <c r="H2746" s="107" t="str">
        <f t="shared" si="37"/>
        <v>ifnull(t.float_pandl,0) as float_pandl,/*浮动盈亏*/</v>
      </c>
    </row>
    <row r="2747" spans="1:9" s="7" customFormat="1" x14ac:dyDescent="0.15">
      <c r="A2747" s="2"/>
      <c r="B2747" s="170" t="s">
        <v>462</v>
      </c>
      <c r="C2747" s="164" t="s">
        <v>1613</v>
      </c>
      <c r="D2747" s="164" t="s">
        <v>211</v>
      </c>
      <c r="E2747" s="164">
        <v>0</v>
      </c>
      <c r="F2747" s="164" t="s">
        <v>441</v>
      </c>
      <c r="G2747" s="107"/>
      <c r="H2747" s="107" t="str">
        <f t="shared" si="37"/>
        <v>ifnull(a.strategy_type,0) as strategy_type,/*策略类型*/</v>
      </c>
      <c r="I2747" s="19"/>
    </row>
    <row r="2748" spans="1:9" s="7" customFormat="1" x14ac:dyDescent="0.15">
      <c r="A2748" s="2"/>
      <c r="B2748" s="170" t="s">
        <v>463</v>
      </c>
      <c r="C2748" s="164" t="s">
        <v>1551</v>
      </c>
      <c r="D2748" s="164" t="s">
        <v>1169</v>
      </c>
      <c r="E2748" s="164">
        <v>0</v>
      </c>
      <c r="F2748" s="164" t="s">
        <v>441</v>
      </c>
      <c r="G2748" s="107"/>
      <c r="H2748" s="107" t="str">
        <f t="shared" si="37"/>
        <v>ifnull(a.total_pre_fee,0) as total_pre_fee,/*累计计提费用*/</v>
      </c>
      <c r="I2748" s="219"/>
    </row>
    <row r="2749" spans="1:9" s="7" customFormat="1" x14ac:dyDescent="0.15">
      <c r="A2749" s="2"/>
      <c r="B2749" s="225" t="s">
        <v>459</v>
      </c>
      <c r="C2749" s="225" t="s">
        <v>1614</v>
      </c>
      <c r="D2749" s="225" t="s">
        <v>1169</v>
      </c>
      <c r="E2749" s="225">
        <v>0</v>
      </c>
      <c r="F2749" s="225" t="s">
        <v>454</v>
      </c>
      <c r="G2749" s="225"/>
      <c r="H2749" s="107" t="str">
        <f t="shared" si="37"/>
        <v>ifnull(b.total_divi_amt,0) as total_divi_amt,/*累计分红金额*/</v>
      </c>
      <c r="I2749" s="225"/>
    </row>
    <row r="2750" spans="1:9" s="7" customFormat="1" ht="18" thickBot="1" x14ac:dyDescent="0.2">
      <c r="A2750" s="2"/>
      <c r="B2750" s="24"/>
      <c r="C2750" s="9"/>
      <c r="D2750" s="9"/>
      <c r="E2750" s="9"/>
      <c r="F2750" s="9"/>
      <c r="G2750" s="11"/>
    </row>
    <row r="2751" spans="1:9" s="7" customFormat="1" x14ac:dyDescent="0.15">
      <c r="A2751" s="2"/>
      <c r="B2751" s="327" t="s">
        <v>15</v>
      </c>
      <c r="C2751" s="328"/>
      <c r="D2751" s="328"/>
      <c r="E2751" s="328"/>
      <c r="F2751" s="328"/>
      <c r="G2751" s="329"/>
    </row>
    <row r="2752" spans="1:9" s="7" customFormat="1" x14ac:dyDescent="0.15">
      <c r="A2752" s="2"/>
      <c r="B2752" s="20"/>
      <c r="C2752" s="23"/>
      <c r="D2752" s="21"/>
      <c r="E2752" s="21"/>
      <c r="F2752" s="21"/>
      <c r="G2752" s="21"/>
    </row>
    <row r="2753" spans="1:9" s="7" customFormat="1" x14ac:dyDescent="0.15">
      <c r="A2753" s="2"/>
      <c r="B2753" s="17"/>
      <c r="C2753" s="37"/>
      <c r="D2753" s="18"/>
      <c r="E2753" s="18"/>
      <c r="F2753" s="18"/>
      <c r="G2753" s="38"/>
    </row>
    <row r="2754" spans="1:9" s="7" customFormat="1" ht="18" thickBot="1" x14ac:dyDescent="0.2">
      <c r="A2754" s="2"/>
      <c r="B2754" s="24"/>
      <c r="C2754" s="9"/>
      <c r="D2754" s="9"/>
      <c r="E2754" s="9"/>
      <c r="F2754" s="9"/>
      <c r="G2754" s="11"/>
    </row>
    <row r="2756" spans="1:9" ht="18" thickBot="1" x14ac:dyDescent="0.2"/>
    <row r="2757" spans="1:9" s="7" customFormat="1" x14ac:dyDescent="0.15">
      <c r="B2757" s="117" t="s">
        <v>563</v>
      </c>
      <c r="C2757" s="21" t="s">
        <v>635</v>
      </c>
      <c r="D2757" s="118" t="s">
        <v>515</v>
      </c>
      <c r="E2757" s="21" t="s">
        <v>589</v>
      </c>
      <c r="F2757" s="118" t="s">
        <v>567</v>
      </c>
      <c r="G2757" s="119" t="s">
        <v>636</v>
      </c>
      <c r="H2757" s="147" t="str">
        <f>"create or replace view "&amp;C2757</f>
        <v>create or replace view vi_user_opor_allow_co</v>
      </c>
      <c r="I2757" s="119"/>
    </row>
    <row r="2758" spans="1:9" s="7" customFormat="1" ht="18" thickBot="1" x14ac:dyDescent="0.2">
      <c r="B2758" s="120" t="s">
        <v>570</v>
      </c>
      <c r="C2758" s="121"/>
      <c r="D2758" s="122" t="s">
        <v>568</v>
      </c>
      <c r="E2758" s="121" t="s">
        <v>615</v>
      </c>
      <c r="F2758" s="122"/>
      <c r="G2758" s="123"/>
      <c r="H2758" s="147" t="str">
        <f>"# "&amp;E2757</f>
        <v># 报表_资管报表_视图-公共-用户-操作员可操作机构表</v>
      </c>
      <c r="I2758" s="123"/>
    </row>
    <row r="2759" spans="1:9" s="7" customFormat="1" x14ac:dyDescent="0.15">
      <c r="B2759" s="124" t="s">
        <v>0</v>
      </c>
      <c r="C2759" s="125" t="s">
        <v>1</v>
      </c>
      <c r="D2759" s="125" t="s">
        <v>2</v>
      </c>
      <c r="E2759" s="125"/>
      <c r="F2759" s="125" t="s">
        <v>3</v>
      </c>
      <c r="G2759" s="125" t="s">
        <v>4</v>
      </c>
      <c r="H2759" s="125" t="s">
        <v>283</v>
      </c>
      <c r="I2759" s="125"/>
    </row>
    <row r="2760" spans="1:9" s="7" customFormat="1" x14ac:dyDescent="0.15">
      <c r="B2760" s="126" t="s">
        <v>135</v>
      </c>
      <c r="C2760" s="29" t="s">
        <v>1357</v>
      </c>
      <c r="D2760" s="115" t="s">
        <v>211</v>
      </c>
      <c r="E2760" s="115">
        <v>0</v>
      </c>
      <c r="F2760" s="115" t="s">
        <v>28</v>
      </c>
      <c r="G2760" s="116" t="s">
        <v>1358</v>
      </c>
      <c r="H2760" s="116" t="str">
        <f>""&amp;C2760&amp;",/*"&amp;B2760&amp;"*/"</f>
        <v>opor_no,/*操作员编号*/</v>
      </c>
      <c r="I2760" s="116"/>
    </row>
    <row r="2761" spans="1:9" s="7" customFormat="1" x14ac:dyDescent="0.15">
      <c r="B2761" s="126" t="s">
        <v>6</v>
      </c>
      <c r="C2761" s="29" t="s">
        <v>1163</v>
      </c>
      <c r="D2761" s="115" t="s">
        <v>211</v>
      </c>
      <c r="E2761" s="115">
        <v>0</v>
      </c>
      <c r="F2761" s="115" t="s">
        <v>28</v>
      </c>
      <c r="G2761" s="116" t="s">
        <v>1077</v>
      </c>
      <c r="H2761" s="116" t="str">
        <f>""&amp;C2761&amp;",/*"&amp;B2761&amp;"*/"</f>
        <v>co_no,/*机构编号*/</v>
      </c>
      <c r="I2761" s="116"/>
    </row>
    <row r="2762" spans="1:9" s="7" customFormat="1" x14ac:dyDescent="0.15">
      <c r="B2762" s="126" t="s">
        <v>290</v>
      </c>
      <c r="C2762" s="127" t="s">
        <v>1437</v>
      </c>
      <c r="D2762" s="115" t="s">
        <v>211</v>
      </c>
      <c r="E2762" s="115">
        <v>0</v>
      </c>
      <c r="F2762" s="115"/>
      <c r="G2762" s="116"/>
      <c r="H2762" s="116" t="str">
        <f>""&amp;C2762&amp;",/*"&amp;B2762&amp;"*/"</f>
        <v>oper_rights,/*操作权限*/</v>
      </c>
      <c r="I2762" s="116"/>
    </row>
    <row r="2763" spans="1:9" s="7" customFormat="1" ht="18" thickBot="1" x14ac:dyDescent="0.2">
      <c r="B2763" s="126"/>
      <c r="C2763" s="115"/>
      <c r="D2763" s="115"/>
      <c r="E2763" s="115"/>
      <c r="F2763" s="115"/>
      <c r="G2763" s="116"/>
      <c r="H2763" s="116"/>
      <c r="I2763" s="116"/>
    </row>
    <row r="2764" spans="1:9" s="7" customFormat="1" x14ac:dyDescent="0.15">
      <c r="B2764" s="333" t="s">
        <v>15</v>
      </c>
      <c r="C2764" s="334"/>
      <c r="D2764" s="334"/>
      <c r="E2764" s="334"/>
      <c r="F2764" s="334"/>
      <c r="G2764" s="335"/>
    </row>
    <row r="2765" spans="1:9" s="7" customFormat="1" x14ac:dyDescent="0.15">
      <c r="A2765" s="7" t="s">
        <v>298</v>
      </c>
      <c r="B2765" s="126">
        <v>1</v>
      </c>
      <c r="C2765" s="115" t="s">
        <v>135</v>
      </c>
      <c r="D2765" s="115" t="s">
        <v>6</v>
      </c>
      <c r="E2765" s="115"/>
      <c r="F2765" s="115"/>
      <c r="G2765" s="116"/>
      <c r="H2765" s="116"/>
      <c r="I2765" s="116"/>
    </row>
    <row r="2766" spans="1:9" s="7" customFormat="1" ht="18" thickBot="1" x14ac:dyDescent="0.2">
      <c r="B2766" s="128"/>
      <c r="C2766" s="121"/>
      <c r="D2766" s="121"/>
      <c r="E2766" s="121"/>
      <c r="F2766" s="121"/>
      <c r="G2766" s="123"/>
      <c r="H2766" s="123"/>
      <c r="I2766" s="123"/>
    </row>
    <row r="2767" spans="1:9" s="7" customFormat="1" x14ac:dyDescent="0.15"/>
    <row r="2768" spans="1:9" s="7" customFormat="1" ht="18" thickBot="1" x14ac:dyDescent="0.2"/>
    <row r="2769" spans="1:9" s="7" customFormat="1" x14ac:dyDescent="0.15">
      <c r="B2769" s="117" t="s">
        <v>563</v>
      </c>
      <c r="C2769" s="21" t="s">
        <v>637</v>
      </c>
      <c r="D2769" s="118" t="s">
        <v>515</v>
      </c>
      <c r="E2769" s="21" t="s">
        <v>590</v>
      </c>
      <c r="F2769" s="118" t="s">
        <v>567</v>
      </c>
      <c r="G2769" s="119" t="s">
        <v>559</v>
      </c>
      <c r="H2769" s="119" t="str">
        <f>"create or replace view "&amp;C2769</f>
        <v>create or replace view vi_user_opor_allow_prod</v>
      </c>
      <c r="I2769" s="119"/>
    </row>
    <row r="2770" spans="1:9" s="7" customFormat="1" ht="18" thickBot="1" x14ac:dyDescent="0.2">
      <c r="B2770" s="120" t="s">
        <v>570</v>
      </c>
      <c r="C2770" s="121"/>
      <c r="D2770" s="122" t="s">
        <v>568</v>
      </c>
      <c r="E2770" s="121" t="s">
        <v>615</v>
      </c>
      <c r="F2770" s="122"/>
      <c r="G2770" s="123"/>
      <c r="H2770" s="123" t="str">
        <f>"# "&amp;E2769</f>
        <v># 报表_资管报表_视图-公共-用户-操作员可操作产品表</v>
      </c>
      <c r="I2770" s="123"/>
    </row>
    <row r="2771" spans="1:9" s="7" customFormat="1" x14ac:dyDescent="0.15">
      <c r="B2771" s="124" t="s">
        <v>0</v>
      </c>
      <c r="C2771" s="125" t="s">
        <v>1</v>
      </c>
      <c r="D2771" s="125" t="s">
        <v>2</v>
      </c>
      <c r="E2771" s="125"/>
      <c r="F2771" s="125" t="s">
        <v>3</v>
      </c>
      <c r="G2771" s="125" t="s">
        <v>4</v>
      </c>
      <c r="H2771" s="125" t="s">
        <v>283</v>
      </c>
      <c r="I2771" s="125"/>
    </row>
    <row r="2772" spans="1:9" s="7" customFormat="1" x14ac:dyDescent="0.15">
      <c r="B2772" s="126" t="s">
        <v>135</v>
      </c>
      <c r="C2772" s="29" t="s">
        <v>1357</v>
      </c>
      <c r="D2772" s="115" t="s">
        <v>211</v>
      </c>
      <c r="E2772" s="115">
        <v>0</v>
      </c>
      <c r="F2772" s="115" t="s">
        <v>28</v>
      </c>
      <c r="G2772" s="116" t="s">
        <v>1358</v>
      </c>
      <c r="H2772" s="116" t="str">
        <f>""&amp;C2772&amp;",/*"&amp;B2772&amp;"*/"</f>
        <v>opor_no,/*操作员编号*/</v>
      </c>
      <c r="I2772" s="116"/>
    </row>
    <row r="2773" spans="1:9" s="7" customFormat="1" x14ac:dyDescent="0.15">
      <c r="B2773" s="126" t="s">
        <v>109</v>
      </c>
      <c r="C2773" s="127" t="s">
        <v>1163</v>
      </c>
      <c r="D2773" s="115" t="s">
        <v>211</v>
      </c>
      <c r="E2773" s="115">
        <v>0</v>
      </c>
      <c r="F2773" s="115"/>
      <c r="G2773" s="116" t="s">
        <v>1077</v>
      </c>
      <c r="H2773" s="116" t="str">
        <f>""&amp;C2773&amp;",/*"&amp;B2773&amp;"*/"</f>
        <v>co_no,/*机构编号*/</v>
      </c>
      <c r="I2773" s="116"/>
    </row>
    <row r="2774" spans="1:9" s="7" customFormat="1" x14ac:dyDescent="0.15">
      <c r="B2774" s="126" t="s">
        <v>111</v>
      </c>
      <c r="C2774" s="127" t="s">
        <v>1164</v>
      </c>
      <c r="D2774" s="115" t="s">
        <v>211</v>
      </c>
      <c r="E2774" s="115">
        <v>0</v>
      </c>
      <c r="F2774" s="115"/>
      <c r="G2774" s="116" t="s">
        <v>1165</v>
      </c>
      <c r="H2774" s="116" t="str">
        <f>""&amp;C2774&amp;",/*"&amp;B2774&amp;"*/"</f>
        <v>pd_no,/*产品编号*/</v>
      </c>
      <c r="I2774" s="116"/>
    </row>
    <row r="2775" spans="1:9" s="7" customFormat="1" x14ac:dyDescent="0.15">
      <c r="B2775" s="126" t="s">
        <v>290</v>
      </c>
      <c r="C2775" s="127" t="s">
        <v>1437</v>
      </c>
      <c r="D2775" s="115" t="s">
        <v>211</v>
      </c>
      <c r="E2775" s="115">
        <v>0</v>
      </c>
      <c r="F2775" s="115"/>
      <c r="G2775" s="116"/>
      <c r="H2775" s="116" t="str">
        <f>""&amp;C2775&amp;",/*"&amp;B2775&amp;"*/"</f>
        <v>oper_rights,/*操作权限*/</v>
      </c>
      <c r="I2775" s="116"/>
    </row>
    <row r="2776" spans="1:9" s="7" customFormat="1" ht="18" thickBot="1" x14ac:dyDescent="0.2">
      <c r="B2776" s="126"/>
      <c r="C2776" s="115"/>
      <c r="D2776" s="115"/>
      <c r="E2776" s="115"/>
      <c r="F2776" s="115"/>
      <c r="G2776" s="116"/>
      <c r="H2776" s="116"/>
      <c r="I2776" s="116"/>
    </row>
    <row r="2777" spans="1:9" s="7" customFormat="1" x14ac:dyDescent="0.15">
      <c r="B2777" s="333" t="s">
        <v>15</v>
      </c>
      <c r="C2777" s="334"/>
      <c r="D2777" s="334"/>
      <c r="E2777" s="334"/>
      <c r="F2777" s="334"/>
      <c r="G2777" s="335"/>
    </row>
    <row r="2778" spans="1:9" s="7" customFormat="1" x14ac:dyDescent="0.15">
      <c r="A2778" s="7" t="s">
        <v>298</v>
      </c>
      <c r="B2778" s="126">
        <v>1</v>
      </c>
      <c r="C2778" s="115" t="s">
        <v>21</v>
      </c>
      <c r="D2778" s="115" t="s">
        <v>111</v>
      </c>
      <c r="E2778" s="115"/>
      <c r="F2778" s="115"/>
      <c r="G2778" s="116"/>
      <c r="H2778" s="116"/>
      <c r="I2778" s="116"/>
    </row>
    <row r="2779" spans="1:9" s="7" customFormat="1" x14ac:dyDescent="0.15">
      <c r="B2779" s="126">
        <v>2</v>
      </c>
      <c r="C2779" s="115" t="s">
        <v>109</v>
      </c>
      <c r="D2779" s="115" t="s">
        <v>21</v>
      </c>
      <c r="E2779" s="115" t="s">
        <v>111</v>
      </c>
      <c r="F2779" s="115"/>
      <c r="G2779" s="116"/>
      <c r="H2779" s="116"/>
      <c r="I2779" s="116"/>
    </row>
    <row r="2780" spans="1:9" s="7" customFormat="1" ht="18" thickBot="1" x14ac:dyDescent="0.2">
      <c r="B2780" s="128"/>
      <c r="C2780" s="121"/>
      <c r="D2780" s="121"/>
      <c r="E2780" s="121"/>
      <c r="F2780" s="121"/>
      <c r="G2780" s="123"/>
      <c r="H2780" s="123"/>
      <c r="I2780" s="123"/>
    </row>
    <row r="2781" spans="1:9" s="7" customFormat="1" x14ac:dyDescent="0.15"/>
    <row r="2782" spans="1:9" s="7" customFormat="1" ht="18" thickBot="1" x14ac:dyDescent="0.2"/>
    <row r="2783" spans="1:9" s="7" customFormat="1" x14ac:dyDescent="0.15">
      <c r="B2783" s="3" t="s">
        <v>563</v>
      </c>
      <c r="C2783" s="4" t="s">
        <v>632</v>
      </c>
      <c r="D2783" s="5" t="s">
        <v>515</v>
      </c>
      <c r="E2783" s="21" t="s">
        <v>591</v>
      </c>
      <c r="F2783" s="5" t="s">
        <v>567</v>
      </c>
      <c r="G2783" s="6" t="s">
        <v>679</v>
      </c>
      <c r="H2783" s="6" t="str">
        <f>"create or replace view "&amp;C2783</f>
        <v>create or replace view vi_user_exch_group_info</v>
      </c>
      <c r="I2783" s="6"/>
    </row>
    <row r="2784" spans="1:9" s="7" customFormat="1" ht="18" thickBot="1" x14ac:dyDescent="0.2">
      <c r="B2784" s="34" t="s">
        <v>570</v>
      </c>
      <c r="C2784" s="18"/>
      <c r="D2784" s="35" t="s">
        <v>568</v>
      </c>
      <c r="E2784" s="18" t="s">
        <v>615</v>
      </c>
      <c r="F2784" s="35"/>
      <c r="G2784" s="19"/>
      <c r="H2784" s="19" t="str">
        <f>"# "&amp;E2783</f>
        <v># 报表_资管报表_视图-公共-用户-交易组信息表</v>
      </c>
      <c r="I2784" s="19"/>
    </row>
    <row r="2785" spans="2:9" s="7" customFormat="1" x14ac:dyDescent="0.15">
      <c r="B2785" s="3" t="s">
        <v>0</v>
      </c>
      <c r="C2785" s="5" t="s">
        <v>1</v>
      </c>
      <c r="D2785" s="5" t="s">
        <v>2</v>
      </c>
      <c r="E2785" s="5"/>
      <c r="F2785" s="5" t="s">
        <v>3</v>
      </c>
      <c r="G2785" s="36" t="s">
        <v>4</v>
      </c>
      <c r="H2785" s="36" t="s">
        <v>283</v>
      </c>
      <c r="I2785" s="36"/>
    </row>
    <row r="2786" spans="2:9" s="7" customFormat="1" x14ac:dyDescent="0.15">
      <c r="B2786" s="20" t="s">
        <v>154</v>
      </c>
      <c r="C2786" s="21" t="s">
        <v>1133</v>
      </c>
      <c r="D2786" s="21" t="s">
        <v>211</v>
      </c>
      <c r="E2786" s="21">
        <v>0</v>
      </c>
      <c r="F2786" s="21"/>
      <c r="G2786" s="22" t="s">
        <v>1182</v>
      </c>
      <c r="H2786" s="22" t="str">
        <f t="shared" ref="H2786:H2799" si="38">""&amp;C2786&amp;",/*"&amp;B2786&amp;"*/"</f>
        <v>exch_group_no,/*交易组编号*/</v>
      </c>
      <c r="I2786" s="22"/>
    </row>
    <row r="2787" spans="2:9" s="7" customFormat="1" x14ac:dyDescent="0.15">
      <c r="B2787" s="20" t="s">
        <v>6</v>
      </c>
      <c r="C2787" s="21" t="s">
        <v>1163</v>
      </c>
      <c r="D2787" s="21" t="s">
        <v>211</v>
      </c>
      <c r="E2787" s="21">
        <v>0</v>
      </c>
      <c r="F2787" s="21"/>
      <c r="G2787" s="22" t="s">
        <v>1077</v>
      </c>
      <c r="H2787" s="22" t="str">
        <f t="shared" si="38"/>
        <v>co_no,/*机构编号*/</v>
      </c>
      <c r="I2787" s="22"/>
    </row>
    <row r="2788" spans="2:9" s="7" customFormat="1" x14ac:dyDescent="0.15">
      <c r="B2788" s="33" t="s">
        <v>164</v>
      </c>
      <c r="C2788" s="21" t="s">
        <v>1423</v>
      </c>
      <c r="D2788" s="21" t="s">
        <v>1287</v>
      </c>
      <c r="E2788" s="21" t="s">
        <v>1072</v>
      </c>
      <c r="F2788" s="21"/>
      <c r="G2788" s="22" t="s">
        <v>1424</v>
      </c>
      <c r="H2788" s="22" t="str">
        <f t="shared" si="38"/>
        <v>exch_group_code,/*交易组编码*/</v>
      </c>
      <c r="I2788" s="22"/>
    </row>
    <row r="2789" spans="2:9" s="7" customFormat="1" x14ac:dyDescent="0.15">
      <c r="B2789" s="33" t="s">
        <v>461</v>
      </c>
      <c r="C2789" s="21" t="s">
        <v>1425</v>
      </c>
      <c r="D2789" s="21" t="s">
        <v>1073</v>
      </c>
      <c r="E2789" s="21" t="s">
        <v>1072</v>
      </c>
      <c r="F2789" s="21"/>
      <c r="G2789" s="22"/>
      <c r="H2789" s="22" t="str">
        <f t="shared" si="38"/>
        <v>exch_group_name,/*交易组名称*/</v>
      </c>
      <c r="I2789" s="22"/>
    </row>
    <row r="2790" spans="2:9" s="7" customFormat="1" x14ac:dyDescent="0.15">
      <c r="B2790" s="33" t="s">
        <v>166</v>
      </c>
      <c r="C2790" s="21" t="s">
        <v>1426</v>
      </c>
      <c r="D2790" s="21" t="s">
        <v>1403</v>
      </c>
      <c r="E2790" s="21" t="s">
        <v>1303</v>
      </c>
      <c r="F2790" s="21"/>
      <c r="G2790" s="22"/>
      <c r="H2790" s="22" t="str">
        <f t="shared" si="38"/>
        <v>exch_group_status,/*交易组状态*/</v>
      </c>
      <c r="I2790" s="22"/>
    </row>
    <row r="2791" spans="2:9" s="7" customFormat="1" x14ac:dyDescent="0.15">
      <c r="B2791" s="33" t="s">
        <v>167</v>
      </c>
      <c r="C2791" s="21" t="s">
        <v>1427</v>
      </c>
      <c r="D2791" s="21" t="s">
        <v>211</v>
      </c>
      <c r="E2791" s="21">
        <v>0</v>
      </c>
      <c r="F2791" s="21"/>
      <c r="G2791" s="22"/>
      <c r="H2791" s="22" t="str">
        <f t="shared" si="38"/>
        <v>default_group_flag,/*默认组标志*/</v>
      </c>
      <c r="I2791" s="22"/>
    </row>
    <row r="2792" spans="2:9" s="7" customFormat="1" x14ac:dyDescent="0.15">
      <c r="B2792" s="33" t="s">
        <v>111</v>
      </c>
      <c r="C2792" s="21" t="s">
        <v>1164</v>
      </c>
      <c r="D2792" s="21" t="s">
        <v>211</v>
      </c>
      <c r="E2792" s="21">
        <v>0</v>
      </c>
      <c r="F2792" s="21"/>
      <c r="G2792" s="22" t="s">
        <v>1165</v>
      </c>
      <c r="H2792" s="22" t="str">
        <f t="shared" si="38"/>
        <v>pd_no,/*产品编号*/</v>
      </c>
      <c r="I2792" s="22"/>
    </row>
    <row r="2793" spans="2:9" s="7" customFormat="1" x14ac:dyDescent="0.15">
      <c r="B2793" s="33" t="s">
        <v>460</v>
      </c>
      <c r="C2793" s="21" t="s">
        <v>1428</v>
      </c>
      <c r="D2793" s="21" t="s">
        <v>1169</v>
      </c>
      <c r="E2793" s="21">
        <v>0</v>
      </c>
      <c r="F2793" s="21"/>
      <c r="G2793" s="22"/>
      <c r="H2793" s="22" t="str">
        <f t="shared" si="38"/>
        <v>exch_group_dist_pd_amt,/*分配产品资金*/</v>
      </c>
      <c r="I2793" s="22"/>
    </row>
    <row r="2794" spans="2:9" s="7" customFormat="1" x14ac:dyDescent="0.15">
      <c r="B2794" s="33" t="s">
        <v>169</v>
      </c>
      <c r="C2794" s="21" t="s">
        <v>1435</v>
      </c>
      <c r="D2794" s="21" t="s">
        <v>1087</v>
      </c>
      <c r="E2794" s="21">
        <v>0</v>
      </c>
      <c r="F2794" s="21"/>
      <c r="G2794" s="22"/>
      <c r="H2794" s="22" t="str">
        <f t="shared" si="38"/>
        <v>exch_group_pd_share,/*交易组产品份额*/</v>
      </c>
      <c r="I2794" s="22"/>
    </row>
    <row r="2795" spans="2:9" s="7" customFormat="1" x14ac:dyDescent="0.15">
      <c r="B2795" s="31" t="s">
        <v>170</v>
      </c>
      <c r="C2795" s="21" t="s">
        <v>1430</v>
      </c>
      <c r="D2795" s="21" t="s">
        <v>1073</v>
      </c>
      <c r="E2795" s="21" t="s">
        <v>1072</v>
      </c>
      <c r="F2795" s="21"/>
      <c r="G2795" s="22"/>
      <c r="H2795" s="22" t="str">
        <f t="shared" si="38"/>
        <v>allow_exch,/*允许投资市场*/</v>
      </c>
      <c r="I2795" s="22"/>
    </row>
    <row r="2796" spans="2:9" s="7" customFormat="1" x14ac:dyDescent="0.15">
      <c r="B2796" s="31" t="s">
        <v>71</v>
      </c>
      <c r="C2796" s="21" t="s">
        <v>1431</v>
      </c>
      <c r="D2796" s="21" t="s">
        <v>1432</v>
      </c>
      <c r="E2796" s="21" t="s">
        <v>1072</v>
      </c>
      <c r="F2796" s="21"/>
      <c r="G2796" s="22"/>
      <c r="H2796" s="22" t="str">
        <f t="shared" si="38"/>
        <v>allow_stock_type,/*允许操作证券类型*/</v>
      </c>
      <c r="I2796" s="22"/>
    </row>
    <row r="2797" spans="2:9" s="7" customFormat="1" x14ac:dyDescent="0.15">
      <c r="B2797" s="20" t="s">
        <v>171</v>
      </c>
      <c r="C2797" s="29" t="s">
        <v>1433</v>
      </c>
      <c r="D2797" s="21" t="s">
        <v>1073</v>
      </c>
      <c r="E2797" s="21" t="s">
        <v>1072</v>
      </c>
      <c r="F2797" s="21"/>
      <c r="G2797" s="22" t="s">
        <v>1434</v>
      </c>
      <c r="H2797" s="22" t="str">
        <f t="shared" si="38"/>
        <v>busi_config_str,/*业务控制配置串*/</v>
      </c>
      <c r="I2797" s="22"/>
    </row>
    <row r="2798" spans="2:9" s="7" customFormat="1" x14ac:dyDescent="0.15">
      <c r="B2798" s="20" t="s">
        <v>198</v>
      </c>
      <c r="C2798" s="21" t="s">
        <v>1121</v>
      </c>
      <c r="D2798" s="21" t="s">
        <v>1172</v>
      </c>
      <c r="E2798" s="21">
        <v>0</v>
      </c>
      <c r="F2798" s="21"/>
      <c r="G2798" s="22"/>
      <c r="H2798" s="22" t="str">
        <f t="shared" si="38"/>
        <v>market_price_ratio,/*市价冻结浮动比例*/</v>
      </c>
      <c r="I2798" s="22"/>
    </row>
    <row r="2799" spans="2:9" s="7" customFormat="1" x14ac:dyDescent="0.15">
      <c r="B2799" s="33" t="s">
        <v>67</v>
      </c>
      <c r="C2799" s="21" t="s">
        <v>1406</v>
      </c>
      <c r="D2799" s="21" t="s">
        <v>1092</v>
      </c>
      <c r="E2799" s="21" t="s">
        <v>1072</v>
      </c>
      <c r="F2799" s="21"/>
      <c r="G2799" s="22" t="s">
        <v>1304</v>
      </c>
      <c r="H2799" s="22" t="str">
        <f t="shared" si="38"/>
        <v>remark_info,/*备注信息*/</v>
      </c>
      <c r="I2799" s="22"/>
    </row>
    <row r="2800" spans="2:9" s="7" customFormat="1" ht="18" thickBot="1" x14ac:dyDescent="0.2">
      <c r="B2800" s="24"/>
      <c r="C2800" s="9"/>
      <c r="D2800" s="9"/>
      <c r="E2800" s="9"/>
      <c r="F2800" s="9"/>
      <c r="G2800" s="11"/>
      <c r="H2800" s="11"/>
      <c r="I2800" s="11"/>
    </row>
    <row r="2801" spans="1:9" s="7" customFormat="1" x14ac:dyDescent="0.15">
      <c r="B2801" s="327" t="s">
        <v>15</v>
      </c>
      <c r="C2801" s="328"/>
      <c r="D2801" s="328"/>
      <c r="E2801" s="328"/>
      <c r="F2801" s="328"/>
      <c r="G2801" s="329"/>
    </row>
    <row r="2802" spans="1:9" s="7" customFormat="1" x14ac:dyDescent="0.15">
      <c r="A2802" s="7" t="s">
        <v>62</v>
      </c>
      <c r="B2802" s="20">
        <v>1</v>
      </c>
      <c r="C2802" s="21" t="s">
        <v>109</v>
      </c>
      <c r="D2802" s="21" t="s">
        <v>164</v>
      </c>
      <c r="E2802" s="21"/>
      <c r="F2802" s="21"/>
      <c r="G2802" s="22"/>
      <c r="H2802" s="22"/>
      <c r="I2802" s="22"/>
    </row>
    <row r="2803" spans="1:9" s="7" customFormat="1" x14ac:dyDescent="0.15">
      <c r="B2803" s="20">
        <v>2</v>
      </c>
      <c r="C2803" s="21" t="s">
        <v>154</v>
      </c>
      <c r="D2803" s="21"/>
      <c r="E2803" s="21"/>
      <c r="F2803" s="21"/>
      <c r="G2803" s="22"/>
      <c r="H2803" s="22"/>
      <c r="I2803" s="22"/>
    </row>
    <row r="2804" spans="1:9" s="7" customFormat="1" x14ac:dyDescent="0.15">
      <c r="B2804" s="20">
        <v>3</v>
      </c>
      <c r="C2804" s="21" t="s">
        <v>111</v>
      </c>
      <c r="D2804" s="21"/>
      <c r="E2804" s="21"/>
      <c r="F2804" s="21"/>
      <c r="G2804" s="22"/>
      <c r="H2804" s="22"/>
      <c r="I2804" s="22"/>
    </row>
    <row r="2805" spans="1:9" s="7" customFormat="1" ht="18" thickBot="1" x14ac:dyDescent="0.2">
      <c r="B2805" s="24"/>
      <c r="C2805" s="9"/>
      <c r="D2805" s="9"/>
      <c r="E2805" s="9"/>
      <c r="F2805" s="9"/>
      <c r="G2805" s="11"/>
      <c r="H2805" s="11"/>
      <c r="I2805" s="11"/>
    </row>
    <row r="2806" spans="1:9" s="7" customFormat="1" x14ac:dyDescent="0.15"/>
    <row r="2807" spans="1:9" s="7" customFormat="1" ht="18" thickBot="1" x14ac:dyDescent="0.2"/>
    <row r="2808" spans="1:9" s="7" customFormat="1" x14ac:dyDescent="0.15">
      <c r="B2808" s="117" t="s">
        <v>563</v>
      </c>
      <c r="C2808" s="21" t="s">
        <v>632</v>
      </c>
      <c r="D2808" s="118" t="s">
        <v>515</v>
      </c>
      <c r="E2808" s="21" t="s">
        <v>591</v>
      </c>
      <c r="F2808" s="118" t="s">
        <v>567</v>
      </c>
      <c r="G2808" s="119" t="s">
        <v>679</v>
      </c>
      <c r="H2808" s="119" t="str">
        <f>"create or replace view "&amp;C2808</f>
        <v>create or replace view vi_user_exch_group_info</v>
      </c>
      <c r="I2808" s="119"/>
    </row>
    <row r="2809" spans="1:9" s="7" customFormat="1" ht="18" thickBot="1" x14ac:dyDescent="0.2">
      <c r="B2809" s="120" t="s">
        <v>570</v>
      </c>
      <c r="C2809" s="121"/>
      <c r="D2809" s="122" t="s">
        <v>568</v>
      </c>
      <c r="E2809" s="121" t="s">
        <v>615</v>
      </c>
      <c r="F2809" s="122"/>
      <c r="G2809" s="123"/>
      <c r="H2809" s="123" t="str">
        <f>"# "&amp;E2808</f>
        <v># 报表_资管报表_视图-公共-用户-交易组信息表</v>
      </c>
      <c r="I2809" s="123"/>
    </row>
    <row r="2810" spans="1:9" s="7" customFormat="1" x14ac:dyDescent="0.15">
      <c r="B2810" s="124" t="s">
        <v>0</v>
      </c>
      <c r="C2810" s="125" t="s">
        <v>1</v>
      </c>
      <c r="D2810" s="125" t="s">
        <v>2</v>
      </c>
      <c r="E2810" s="125"/>
      <c r="F2810" s="125" t="s">
        <v>3</v>
      </c>
      <c r="G2810" s="125" t="s">
        <v>4</v>
      </c>
      <c r="H2810" s="125" t="s">
        <v>283</v>
      </c>
      <c r="I2810" s="125"/>
    </row>
    <row r="2811" spans="1:9" s="7" customFormat="1" x14ac:dyDescent="0.15">
      <c r="B2811" s="126" t="s">
        <v>135</v>
      </c>
      <c r="C2811" s="29" t="s">
        <v>1357</v>
      </c>
      <c r="D2811" s="115" t="s">
        <v>211</v>
      </c>
      <c r="E2811" s="115">
        <v>0</v>
      </c>
      <c r="F2811" s="115" t="s">
        <v>28</v>
      </c>
      <c r="G2811" s="116" t="s">
        <v>1358</v>
      </c>
      <c r="H2811" s="116" t="str">
        <f>""&amp;C2811&amp;",/*"&amp;B2811&amp;"*/"</f>
        <v>opor_no,/*操作员编号*/</v>
      </c>
      <c r="I2811" s="116"/>
    </row>
    <row r="2812" spans="1:9" s="7" customFormat="1" x14ac:dyDescent="0.15">
      <c r="B2812" s="126" t="s">
        <v>109</v>
      </c>
      <c r="C2812" s="29" t="s">
        <v>1163</v>
      </c>
      <c r="D2812" s="115" t="s">
        <v>211</v>
      </c>
      <c r="E2812" s="115">
        <v>0</v>
      </c>
      <c r="F2812" s="115"/>
      <c r="G2812" s="116" t="s">
        <v>1077</v>
      </c>
      <c r="H2812" s="116" t="str">
        <f>""&amp;C2812&amp;",/*"&amp;B2812&amp;"*/"</f>
        <v>co_no,/*机构编号*/</v>
      </c>
      <c r="I2812" s="116"/>
    </row>
    <row r="2813" spans="1:9" s="7" customFormat="1" x14ac:dyDescent="0.15">
      <c r="B2813" s="126" t="s">
        <v>111</v>
      </c>
      <c r="C2813" s="29" t="s">
        <v>1164</v>
      </c>
      <c r="D2813" s="115" t="s">
        <v>211</v>
      </c>
      <c r="E2813" s="115">
        <v>0</v>
      </c>
      <c r="F2813" s="115"/>
      <c r="G2813" s="116" t="s">
        <v>1165</v>
      </c>
      <c r="H2813" s="116" t="str">
        <f>""&amp;C2813&amp;",/*"&amp;B2813&amp;"*/"</f>
        <v>pd_no,/*产品编号*/</v>
      </c>
      <c r="I2813" s="116"/>
    </row>
    <row r="2814" spans="1:9" s="7" customFormat="1" x14ac:dyDescent="0.15">
      <c r="B2814" s="126" t="s">
        <v>154</v>
      </c>
      <c r="C2814" s="29" t="s">
        <v>1133</v>
      </c>
      <c r="D2814" s="115" t="s">
        <v>211</v>
      </c>
      <c r="E2814" s="115">
        <v>0</v>
      </c>
      <c r="F2814" s="115"/>
      <c r="G2814" s="116" t="s">
        <v>1182</v>
      </c>
      <c r="H2814" s="116" t="str">
        <f>""&amp;C2814&amp;",/*"&amp;B2814&amp;"*/"</f>
        <v>exch_group_no,/*交易组编号*/</v>
      </c>
      <c r="I2814" s="116"/>
    </row>
    <row r="2815" spans="1:9" s="7" customFormat="1" x14ac:dyDescent="0.15">
      <c r="B2815" s="126" t="s">
        <v>290</v>
      </c>
      <c r="C2815" s="127" t="s">
        <v>1437</v>
      </c>
      <c r="D2815" s="115" t="s">
        <v>211</v>
      </c>
      <c r="E2815" s="115">
        <v>0</v>
      </c>
      <c r="F2815" s="115"/>
      <c r="G2815" s="116"/>
      <c r="H2815" s="116" t="str">
        <f>""&amp;C2815&amp;",/*"&amp;B2815&amp;"*/"</f>
        <v>oper_rights,/*操作权限*/</v>
      </c>
      <c r="I2815" s="116"/>
    </row>
    <row r="2816" spans="1:9" s="7" customFormat="1" ht="18" thickBot="1" x14ac:dyDescent="0.2">
      <c r="B2816" s="126"/>
      <c r="C2816" s="115"/>
      <c r="D2816" s="115"/>
      <c r="E2816" s="115"/>
      <c r="F2816" s="115"/>
      <c r="G2816" s="116"/>
      <c r="H2816" s="116"/>
      <c r="I2816" s="116"/>
    </row>
    <row r="2817" spans="1:9" s="7" customFormat="1" x14ac:dyDescent="0.15">
      <c r="B2817" s="333" t="s">
        <v>15</v>
      </c>
      <c r="C2817" s="334"/>
      <c r="D2817" s="334"/>
      <c r="E2817" s="334"/>
      <c r="F2817" s="334"/>
      <c r="G2817" s="335"/>
    </row>
    <row r="2818" spans="1:9" s="7" customFormat="1" x14ac:dyDescent="0.15">
      <c r="A2818" s="7" t="s">
        <v>298</v>
      </c>
      <c r="B2818" s="126">
        <v>1</v>
      </c>
      <c r="C2818" s="115" t="s">
        <v>135</v>
      </c>
      <c r="D2818" s="115" t="s">
        <v>154</v>
      </c>
      <c r="E2818" s="115"/>
      <c r="F2818" s="115"/>
      <c r="G2818" s="116"/>
      <c r="H2818" s="116"/>
      <c r="I2818" s="116"/>
    </row>
    <row r="2819" spans="1:9" s="7" customFormat="1" x14ac:dyDescent="0.15">
      <c r="B2819" s="126">
        <v>2</v>
      </c>
      <c r="C2819" s="115" t="s">
        <v>6</v>
      </c>
      <c r="D2819" s="115" t="s">
        <v>21</v>
      </c>
      <c r="E2819" s="115" t="s">
        <v>111</v>
      </c>
      <c r="F2819" s="115" t="s">
        <v>154</v>
      </c>
      <c r="G2819" s="116"/>
      <c r="H2819" s="116"/>
      <c r="I2819" s="116"/>
    </row>
    <row r="2820" spans="1:9" s="7" customFormat="1" ht="18" thickBot="1" x14ac:dyDescent="0.2">
      <c r="B2820" s="128"/>
      <c r="C2820" s="121"/>
      <c r="D2820" s="121"/>
      <c r="E2820" s="121"/>
      <c r="F2820" s="121"/>
      <c r="G2820" s="123"/>
      <c r="H2820" s="123"/>
      <c r="I2820" s="123"/>
    </row>
    <row r="2821" spans="1:9" s="7" customFormat="1" x14ac:dyDescent="0.15"/>
    <row r="2822" spans="1:9" ht="18" thickBot="1" x14ac:dyDescent="0.2"/>
    <row r="2823" spans="1:9" s="7" customFormat="1" x14ac:dyDescent="0.15">
      <c r="A2823" s="2"/>
      <c r="B2823" s="3" t="s">
        <v>563</v>
      </c>
      <c r="C2823" s="4" t="s">
        <v>701</v>
      </c>
      <c r="D2823" s="5" t="s">
        <v>515</v>
      </c>
      <c r="E2823" s="21" t="s">
        <v>738</v>
      </c>
      <c r="F2823" s="5" t="s">
        <v>567</v>
      </c>
      <c r="G2823" s="6" t="s">
        <v>702</v>
      </c>
      <c r="H2823" s="119" t="str">
        <f>"create or replace view "&amp;C2823</f>
        <v>create or replace view vi_sum_exgp_posi_divi_total</v>
      </c>
      <c r="I2823" s="6"/>
    </row>
    <row r="2824" spans="1:9" s="7" customFormat="1" ht="18" thickBot="1" x14ac:dyDescent="0.2">
      <c r="A2824" s="2"/>
      <c r="B2824" s="8" t="s">
        <v>570</v>
      </c>
      <c r="C2824" s="9"/>
      <c r="D2824" s="10" t="s">
        <v>568</v>
      </c>
      <c r="E2824" s="9" t="s">
        <v>615</v>
      </c>
      <c r="F2824" s="10"/>
      <c r="G2824" s="11" t="s">
        <v>464</v>
      </c>
      <c r="H2824" s="123" t="str">
        <f>"# "&amp;E2823</f>
        <v># 报表_资管报表_视图-汇总-交易组-红利红股</v>
      </c>
      <c r="I2824" s="11"/>
    </row>
    <row r="2825" spans="1:9" s="7" customFormat="1" x14ac:dyDescent="0.15">
      <c r="A2825" s="2"/>
      <c r="B2825" s="12" t="s">
        <v>0</v>
      </c>
      <c r="C2825" s="13" t="s">
        <v>1</v>
      </c>
      <c r="D2825" s="13" t="s">
        <v>2</v>
      </c>
      <c r="E2825" s="13"/>
      <c r="F2825" s="13" t="s">
        <v>3</v>
      </c>
      <c r="G2825" s="13" t="s">
        <v>4</v>
      </c>
      <c r="H2825" s="125" t="s">
        <v>283</v>
      </c>
      <c r="I2825" s="13"/>
    </row>
    <row r="2826" spans="1:9" s="7" customFormat="1" x14ac:dyDescent="0.15">
      <c r="A2826" s="2"/>
      <c r="B2826" s="167" t="s">
        <v>22</v>
      </c>
      <c r="C2826" s="168" t="s">
        <v>1127</v>
      </c>
      <c r="D2826" s="168" t="s">
        <v>211</v>
      </c>
      <c r="E2826" s="168" t="s">
        <v>1141</v>
      </c>
      <c r="F2826" s="168"/>
      <c r="G2826" s="169" t="s">
        <v>1162</v>
      </c>
      <c r="H2826" s="107" t="str">
        <f>"ifnull("&amp;IF(I2826&lt;&gt;"",I2826,IF(F2826&lt;&gt;"",F2826,"t")&amp;"."&amp;C2826)&amp;","&amp;E2826&amp;") as "&amp;C2826&amp;",/*"&amp;B2826&amp;"*/"</f>
        <v>ifnull(t.init_date,date_format(curdate(),'%Y%m%d')) as init_date,/*初始化日期*/</v>
      </c>
      <c r="I2826" s="169"/>
    </row>
    <row r="2827" spans="1:9" s="7" customFormat="1" x14ac:dyDescent="0.15">
      <c r="A2827" s="2"/>
      <c r="B2827" s="167" t="s">
        <v>111</v>
      </c>
      <c r="C2827" s="168" t="s">
        <v>1164</v>
      </c>
      <c r="D2827" s="168" t="s">
        <v>211</v>
      </c>
      <c r="E2827" s="168">
        <v>0</v>
      </c>
      <c r="F2827" s="168"/>
      <c r="G2827" s="169" t="s">
        <v>1165</v>
      </c>
      <c r="H2827" s="107" t="str">
        <f>"ifnull("&amp;IF(I2827&lt;&gt;"",I2827,IF(F2827&lt;&gt;"",F2827,"t")&amp;"."&amp;C2827)&amp;","&amp;E2827&amp;") as "&amp;C2827&amp;",/*"&amp;B2827&amp;"*/"</f>
        <v>ifnull(t.pd_no,0) as pd_no,/*产品编号*/</v>
      </c>
      <c r="I2827" s="169"/>
    </row>
    <row r="2828" spans="1:9" s="7" customFormat="1" x14ac:dyDescent="0.15">
      <c r="A2828" s="2"/>
      <c r="B2828" s="14" t="s">
        <v>109</v>
      </c>
      <c r="C2828" s="15" t="s">
        <v>1163</v>
      </c>
      <c r="D2828" s="15" t="s">
        <v>211</v>
      </c>
      <c r="E2828" s="15">
        <v>0</v>
      </c>
      <c r="F2828" s="15"/>
      <c r="G2828" s="16" t="s">
        <v>1077</v>
      </c>
      <c r="H2828" s="107" t="str">
        <f>"ifnull("&amp;IF(I2828&lt;&gt;"",I2828,IF(F2828&lt;&gt;"",F2828,"t")&amp;"."&amp;C2828)&amp;","&amp;E2828&amp;") as "&amp;C2828&amp;",/*"&amp;B2828&amp;"*/"</f>
        <v>ifnull(t.co_no,0) as co_no,/*机构编号*/</v>
      </c>
      <c r="I2828" s="16"/>
    </row>
    <row r="2829" spans="1:9" s="7" customFormat="1" x14ac:dyDescent="0.15">
      <c r="A2829" s="2"/>
      <c r="B2829" s="14" t="s">
        <v>458</v>
      </c>
      <c r="C2829" s="15" t="s">
        <v>1085</v>
      </c>
      <c r="D2829" s="15" t="s">
        <v>423</v>
      </c>
      <c r="E2829" s="15">
        <v>0</v>
      </c>
      <c r="F2829" s="15"/>
      <c r="G2829" s="16" t="s">
        <v>1509</v>
      </c>
      <c r="H2829" s="107" t="str">
        <f>"ifnull("&amp;IF(I2829&lt;&gt;"",I2829,IF(F2829&lt;&gt;"",F2829,"t")&amp;"."&amp;C2829)&amp;","&amp;E2829&amp;") as "&amp;C2829&amp;",/*"&amp;B2829&amp;"*/"</f>
        <v>ifnull(t.exch_group_no,0) as exch_group_no,/*交易组编号*/</v>
      </c>
      <c r="I2829" s="16"/>
    </row>
    <row r="2830" spans="1:9" s="7" customFormat="1" x14ac:dyDescent="0.15">
      <c r="A2830" s="2"/>
      <c r="B2830" s="225" t="s">
        <v>459</v>
      </c>
      <c r="C2830" s="225" t="s">
        <v>1614</v>
      </c>
      <c r="D2830" s="225" t="s">
        <v>1169</v>
      </c>
      <c r="E2830" s="225">
        <v>0</v>
      </c>
      <c r="F2830" s="225"/>
      <c r="G2830" s="225"/>
      <c r="H2830" s="107" t="str">
        <f>"ifnull("&amp;IF(I2830&lt;&gt;"",I2830,IF(F2830&lt;&gt;"",F2830,"t")&amp;"."&amp;C2830)&amp;","&amp;E2830&amp;") as "&amp;C2830&amp;",/*"&amp;B2830&amp;"*/"</f>
        <v>ifnull(sum(ifnull(-1*t.occur_amt,0)),0) as total_divi_amt,/*累计分红金额*/</v>
      </c>
      <c r="I2830" s="225" t="s">
        <v>465</v>
      </c>
    </row>
    <row r="2831" spans="1:9" s="7" customFormat="1" ht="18" thickBot="1" x14ac:dyDescent="0.2">
      <c r="A2831" s="2"/>
      <c r="B2831" s="17"/>
      <c r="C2831" s="18"/>
      <c r="D2831" s="18"/>
      <c r="E2831" s="18"/>
      <c r="F2831" s="18"/>
      <c r="G2831" s="19"/>
      <c r="H2831" s="19"/>
      <c r="I2831" s="19"/>
    </row>
    <row r="2832" spans="1:9" s="7" customFormat="1" x14ac:dyDescent="0.15">
      <c r="A2832" s="2"/>
      <c r="B2832" s="327" t="s">
        <v>15</v>
      </c>
      <c r="C2832" s="328"/>
      <c r="D2832" s="328"/>
      <c r="E2832" s="328"/>
      <c r="F2832" s="328"/>
      <c r="G2832" s="329"/>
    </row>
    <row r="2833" spans="1:14" s="7" customFormat="1" x14ac:dyDescent="0.15">
      <c r="A2833" s="2"/>
      <c r="B2833" s="20"/>
      <c r="C2833" s="21"/>
      <c r="D2833" s="14"/>
      <c r="E2833" s="21"/>
      <c r="F2833" s="21"/>
      <c r="G2833" s="22"/>
      <c r="H2833" s="22"/>
      <c r="I2833" s="22"/>
    </row>
    <row r="2834" spans="1:14" s="7" customFormat="1" x14ac:dyDescent="0.15">
      <c r="A2834" s="2"/>
      <c r="B2834" s="17"/>
      <c r="C2834" s="18"/>
      <c r="D2834" s="18"/>
      <c r="E2834" s="18"/>
      <c r="F2834" s="18"/>
      <c r="G2834" s="19"/>
      <c r="H2834" s="19"/>
      <c r="I2834" s="19"/>
    </row>
    <row r="2835" spans="1:14" s="7" customFormat="1" ht="18" thickBot="1" x14ac:dyDescent="0.2">
      <c r="A2835" s="2"/>
      <c r="B2835" s="24"/>
      <c r="C2835" s="9"/>
      <c r="D2835" s="9"/>
      <c r="E2835" s="9"/>
      <c r="F2835" s="9"/>
      <c r="G2835" s="11"/>
      <c r="H2835" s="11"/>
      <c r="I2835" s="11"/>
    </row>
    <row r="2836" spans="1:14" s="7" customFormat="1" x14ac:dyDescent="0.15">
      <c r="A2836" s="2"/>
      <c r="B2836" s="3" t="s">
        <v>563</v>
      </c>
      <c r="C2836" s="4" t="s">
        <v>703</v>
      </c>
      <c r="D2836" s="5" t="s">
        <v>648</v>
      </c>
      <c r="E2836" s="21" t="s">
        <v>739</v>
      </c>
      <c r="F2836" s="5" t="s">
        <v>567</v>
      </c>
      <c r="G2836" s="6" t="s">
        <v>702</v>
      </c>
      <c r="H2836" s="6" t="str">
        <f>"create or replace view "&amp;C2836</f>
        <v>create or replace view vi_logic_rptasset_sum_stock_value_co</v>
      </c>
      <c r="I2836" s="6"/>
    </row>
    <row r="2837" spans="1:14" s="7" customFormat="1" ht="18" thickBot="1" x14ac:dyDescent="0.2">
      <c r="A2837" s="2"/>
      <c r="B2837" s="8" t="s">
        <v>570</v>
      </c>
      <c r="C2837" s="9"/>
      <c r="D2837" s="10" t="s">
        <v>568</v>
      </c>
      <c r="E2837" s="9" t="s">
        <v>615</v>
      </c>
      <c r="F2837" s="10"/>
      <c r="G2837" s="11" t="s">
        <v>464</v>
      </c>
      <c r="H2837" s="11" t="str">
        <f>"/* "&amp;E2836&amp;"*/  as "</f>
        <v xml:space="preserve">/* 报表_资管报表_视图-证券持仓汇总查询*/  as </v>
      </c>
      <c r="I2837" s="11"/>
    </row>
    <row r="2838" spans="1:14" s="7" customFormat="1" x14ac:dyDescent="0.15">
      <c r="A2838" s="2"/>
      <c r="B2838" s="12" t="s">
        <v>0</v>
      </c>
      <c r="C2838" s="13" t="s">
        <v>1</v>
      </c>
      <c r="D2838" s="13" t="s">
        <v>2</v>
      </c>
      <c r="E2838" s="13"/>
      <c r="F2838" s="13" t="s">
        <v>3</v>
      </c>
      <c r="G2838" s="13" t="s">
        <v>4</v>
      </c>
      <c r="H2838" s="13" t="s">
        <v>474</v>
      </c>
      <c r="I2838" s="13"/>
    </row>
    <row r="2839" spans="1:14" s="166" customFormat="1" ht="17.25" customHeight="1" x14ac:dyDescent="0.15">
      <c r="B2839" s="194" t="s">
        <v>478</v>
      </c>
      <c r="C2839" s="195" t="s">
        <v>1476</v>
      </c>
      <c r="D2839" s="195" t="s">
        <v>1345</v>
      </c>
      <c r="E2839" s="195">
        <v>0</v>
      </c>
      <c r="F2839" s="195"/>
      <c r="G2839" s="196"/>
      <c r="H2839" s="107" t="str">
        <f t="shared" ref="H2839:H2869" si="39">"ifnull("&amp;IF(I2839&lt;&gt;"",I2839,IF(F2839&lt;&gt;"",F2839,"t")&amp;"."&amp;C2839)&amp;","&amp;E2839&amp;") as "&amp;C2839&amp;",/*"&amp;B2839&amp;"*/"</f>
        <v>ifnull(t.row_id,0) as row_id,/*记录序号*/</v>
      </c>
      <c r="J2839" s="166" t="s">
        <v>358</v>
      </c>
      <c r="K2839" s="166" t="s">
        <v>359</v>
      </c>
      <c r="L2839" s="166" t="s">
        <v>360</v>
      </c>
      <c r="M2839" s="166" t="s">
        <v>361</v>
      </c>
      <c r="N2839" s="166">
        <v>1629</v>
      </c>
    </row>
    <row r="2840" spans="1:14" s="166" customFormat="1" ht="17.25" customHeight="1" x14ac:dyDescent="0.15">
      <c r="B2840" s="194" t="s">
        <v>6</v>
      </c>
      <c r="C2840" s="195" t="s">
        <v>1163</v>
      </c>
      <c r="D2840" s="195" t="s">
        <v>211</v>
      </c>
      <c r="E2840" s="195">
        <v>0</v>
      </c>
      <c r="F2840" s="195"/>
      <c r="G2840" s="196" t="s">
        <v>1077</v>
      </c>
      <c r="H2840" s="107" t="str">
        <f t="shared" si="39"/>
        <v>ifnull(t.co_no,0) as co_no,/*机构编号*/</v>
      </c>
      <c r="J2840" s="166" t="s">
        <v>237</v>
      </c>
      <c r="K2840" s="166" t="s">
        <v>238</v>
      </c>
      <c r="L2840" s="166" t="s">
        <v>211</v>
      </c>
      <c r="M2840" s="166" t="s">
        <v>211</v>
      </c>
      <c r="N2840" s="166">
        <v>1606</v>
      </c>
    </row>
    <row r="2841" spans="1:14" s="166" customFormat="1" ht="17.25" customHeight="1" x14ac:dyDescent="0.15">
      <c r="B2841" s="194" t="s">
        <v>427</v>
      </c>
      <c r="C2841" s="195" t="s">
        <v>1188</v>
      </c>
      <c r="D2841" s="195" t="s">
        <v>211</v>
      </c>
      <c r="E2841" s="195">
        <v>0</v>
      </c>
      <c r="F2841" s="195"/>
      <c r="G2841" s="196"/>
      <c r="H2841" s="107" t="str">
        <f t="shared" si="39"/>
        <v>ifnull(t.stock_code_no,0) as stock_code_no,/*证券代码编号*/</v>
      </c>
      <c r="J2841" s="166" t="s">
        <v>237</v>
      </c>
      <c r="K2841" s="166" t="s">
        <v>238</v>
      </c>
      <c r="L2841" s="166" t="s">
        <v>211</v>
      </c>
      <c r="M2841" s="166" t="s">
        <v>211</v>
      </c>
      <c r="N2841" s="166">
        <v>2430</v>
      </c>
    </row>
    <row r="2842" spans="1:14" s="166" customFormat="1" ht="17.25" customHeight="1" x14ac:dyDescent="0.15">
      <c r="B2842" s="194" t="s">
        <v>7</v>
      </c>
      <c r="C2842" s="195" t="s">
        <v>1190</v>
      </c>
      <c r="D2842" s="195" t="s">
        <v>211</v>
      </c>
      <c r="E2842" s="195">
        <v>0</v>
      </c>
      <c r="F2842" s="195"/>
      <c r="G2842" s="196" t="s">
        <v>1081</v>
      </c>
      <c r="H2842" s="107" t="str">
        <f t="shared" si="39"/>
        <v>ifnull(t.exch_no,0) as exch_no,/*市场编号*/</v>
      </c>
      <c r="J2842" s="166" t="s">
        <v>237</v>
      </c>
      <c r="K2842" s="166" t="s">
        <v>238</v>
      </c>
      <c r="L2842" s="166" t="s">
        <v>211</v>
      </c>
      <c r="M2842" s="166" t="s">
        <v>211</v>
      </c>
      <c r="N2842" s="166">
        <v>2155</v>
      </c>
    </row>
    <row r="2843" spans="1:14" s="166" customFormat="1" ht="17.25" customHeight="1" x14ac:dyDescent="0.15">
      <c r="B2843" s="194" t="s">
        <v>186</v>
      </c>
      <c r="C2843" s="195" t="s">
        <v>1189</v>
      </c>
      <c r="D2843" s="195" t="s">
        <v>211</v>
      </c>
      <c r="E2843" s="195">
        <v>0</v>
      </c>
      <c r="F2843" s="195"/>
      <c r="G2843" s="196"/>
      <c r="H2843" s="107" t="str">
        <f t="shared" si="39"/>
        <v>ifnull(t.stock_type,0) as stock_type,/*证券类型*/</v>
      </c>
      <c r="J2843" s="166" t="s">
        <v>237</v>
      </c>
      <c r="K2843" s="166" t="s">
        <v>238</v>
      </c>
      <c r="L2843" s="166" t="s">
        <v>211</v>
      </c>
      <c r="M2843" s="166" t="s">
        <v>211</v>
      </c>
      <c r="N2843" s="166">
        <v>2433</v>
      </c>
    </row>
    <row r="2844" spans="1:14" s="166" customFormat="1" ht="17.25" customHeight="1" x14ac:dyDescent="0.15">
      <c r="B2844" s="194" t="s">
        <v>162</v>
      </c>
      <c r="C2844" s="195" t="s">
        <v>1214</v>
      </c>
      <c r="D2844" s="195" t="s">
        <v>1169</v>
      </c>
      <c r="E2844" s="195">
        <v>0</v>
      </c>
      <c r="F2844" s="195"/>
      <c r="G2844" s="196"/>
      <c r="H2844" s="107" t="str">
        <f t="shared" si="39"/>
        <v>ifnull(t.posi_market_value,0) as posi_market_value,/*持仓市值*/</v>
      </c>
      <c r="J2844" s="166" t="s">
        <v>352</v>
      </c>
      <c r="K2844" s="166" t="s">
        <v>351</v>
      </c>
      <c r="L2844" s="166" t="s">
        <v>349</v>
      </c>
      <c r="M2844" s="166" t="s">
        <v>349</v>
      </c>
      <c r="N2844" s="166">
        <v>1202</v>
      </c>
    </row>
    <row r="2845" spans="1:14" s="166" customFormat="1" ht="17.25" customHeight="1" x14ac:dyDescent="0.15">
      <c r="B2845" s="194" t="s">
        <v>8</v>
      </c>
      <c r="C2845" s="195" t="s">
        <v>1193</v>
      </c>
      <c r="D2845" s="195" t="s">
        <v>1087</v>
      </c>
      <c r="E2845" s="195">
        <v>0</v>
      </c>
      <c r="F2845" s="195"/>
      <c r="G2845" s="196" t="s">
        <v>1194</v>
      </c>
      <c r="H2845" s="107" t="str">
        <f t="shared" si="39"/>
        <v>ifnull(t.begin_qty,0) as begin_qty,/*期初数量*/</v>
      </c>
      <c r="J2845" s="166" t="s">
        <v>352</v>
      </c>
      <c r="K2845" s="166" t="s">
        <v>351</v>
      </c>
      <c r="L2845" s="166" t="s">
        <v>349</v>
      </c>
      <c r="M2845" s="166" t="s">
        <v>349</v>
      </c>
      <c r="N2845" s="166">
        <v>1986</v>
      </c>
    </row>
    <row r="2846" spans="1:14" s="166" customFormat="1" ht="17.25" customHeight="1" x14ac:dyDescent="0.15">
      <c r="B2846" s="194" t="s">
        <v>9</v>
      </c>
      <c r="C2846" s="195" t="s">
        <v>1195</v>
      </c>
      <c r="D2846" s="195" t="s">
        <v>1087</v>
      </c>
      <c r="E2846" s="195">
        <v>0</v>
      </c>
      <c r="F2846" s="195"/>
      <c r="G2846" s="196" t="s">
        <v>1196</v>
      </c>
      <c r="H2846" s="107" t="str">
        <f t="shared" si="39"/>
        <v>ifnull(t.curr_qty,0) as curr_qty,/*当前数量*/</v>
      </c>
      <c r="J2846" s="166" t="s">
        <v>352</v>
      </c>
      <c r="K2846" s="166" t="s">
        <v>351</v>
      </c>
      <c r="L2846" s="166" t="s">
        <v>349</v>
      </c>
      <c r="M2846" s="166" t="s">
        <v>349</v>
      </c>
      <c r="N2846" s="166">
        <v>1262</v>
      </c>
    </row>
    <row r="2847" spans="1:14" s="166" customFormat="1" ht="17.25" customHeight="1" x14ac:dyDescent="0.15">
      <c r="B2847" s="194" t="s">
        <v>10</v>
      </c>
      <c r="C2847" s="195" t="s">
        <v>1197</v>
      </c>
      <c r="D2847" s="195" t="s">
        <v>1087</v>
      </c>
      <c r="E2847" s="195">
        <v>0</v>
      </c>
      <c r="F2847" s="195"/>
      <c r="G2847" s="196" t="s">
        <v>1144</v>
      </c>
      <c r="H2847" s="107" t="str">
        <f t="shared" si="39"/>
        <v>ifnull(t.frozen_qty,0) as frozen_qty,/*冻结数量*/</v>
      </c>
      <c r="J2847" s="166" t="s">
        <v>352</v>
      </c>
      <c r="K2847" s="166" t="s">
        <v>351</v>
      </c>
      <c r="L2847" s="166" t="s">
        <v>349</v>
      </c>
      <c r="M2847" s="166" t="s">
        <v>349</v>
      </c>
      <c r="N2847" s="166">
        <v>1317</v>
      </c>
    </row>
    <row r="2848" spans="1:14" s="166" customFormat="1" ht="17.25" customHeight="1" x14ac:dyDescent="0.15">
      <c r="B2848" s="194" t="s">
        <v>11</v>
      </c>
      <c r="C2848" s="195" t="s">
        <v>1198</v>
      </c>
      <c r="D2848" s="195" t="s">
        <v>1087</v>
      </c>
      <c r="E2848" s="195">
        <v>0</v>
      </c>
      <c r="F2848" s="195"/>
      <c r="G2848" s="196" t="s">
        <v>1080</v>
      </c>
      <c r="H2848" s="107" t="str">
        <f t="shared" si="39"/>
        <v>ifnull(t.unfroz_qty,0) as unfroz_qty,/*解冻数量*/</v>
      </c>
      <c r="J2848" s="166" t="s">
        <v>352</v>
      </c>
      <c r="K2848" s="166" t="s">
        <v>351</v>
      </c>
      <c r="L2848" s="166" t="s">
        <v>349</v>
      </c>
      <c r="M2848" s="166" t="s">
        <v>349</v>
      </c>
      <c r="N2848" s="166">
        <v>1721</v>
      </c>
    </row>
    <row r="2849" spans="2:14" s="166" customFormat="1" ht="17.25" customHeight="1" x14ac:dyDescent="0.15">
      <c r="B2849" s="194" t="s">
        <v>404</v>
      </c>
      <c r="C2849" s="195" t="s">
        <v>1335</v>
      </c>
      <c r="D2849" s="195" t="s">
        <v>1087</v>
      </c>
      <c r="E2849" s="195">
        <v>0</v>
      </c>
      <c r="F2849" s="195"/>
      <c r="G2849" s="196"/>
      <c r="H2849" s="107" t="str">
        <f t="shared" si="39"/>
        <v>ifnull(t.comm_capt_qty,0) as comm_capt_qty,/*指令占用数量*/</v>
      </c>
      <c r="J2849" s="166" t="s">
        <v>352</v>
      </c>
      <c r="K2849" s="166" t="s">
        <v>351</v>
      </c>
      <c r="L2849" s="166" t="s">
        <v>349</v>
      </c>
      <c r="M2849" s="166" t="s">
        <v>349</v>
      </c>
      <c r="N2849" s="166">
        <v>2498</v>
      </c>
    </row>
    <row r="2850" spans="2:14" s="166" customFormat="1" ht="17.25" customHeight="1" x14ac:dyDescent="0.15">
      <c r="B2850" s="194" t="s">
        <v>405</v>
      </c>
      <c r="C2850" s="195" t="s">
        <v>1199</v>
      </c>
      <c r="D2850" s="195" t="s">
        <v>1087</v>
      </c>
      <c r="E2850" s="195">
        <v>0</v>
      </c>
      <c r="F2850" s="195"/>
      <c r="G2850" s="196"/>
      <c r="H2850" s="107" t="str">
        <f t="shared" si="39"/>
        <v>ifnull(t.comm_releas_qty,0) as comm_releas_qty,/*指令释放数量*/</v>
      </c>
      <c r="J2850" s="166" t="s">
        <v>352</v>
      </c>
      <c r="K2850" s="166" t="s">
        <v>351</v>
      </c>
      <c r="L2850" s="166" t="s">
        <v>349</v>
      </c>
      <c r="M2850" s="166" t="s">
        <v>349</v>
      </c>
      <c r="N2850" s="166">
        <v>2486</v>
      </c>
    </row>
    <row r="2851" spans="2:14" s="166" customFormat="1" ht="17.25" customHeight="1" x14ac:dyDescent="0.15">
      <c r="B2851" s="194" t="s">
        <v>408</v>
      </c>
      <c r="C2851" s="195" t="s">
        <v>1200</v>
      </c>
      <c r="D2851" s="195" t="s">
        <v>1087</v>
      </c>
      <c r="E2851" s="195">
        <v>0</v>
      </c>
      <c r="F2851" s="195"/>
      <c r="G2851" s="196"/>
      <c r="H2851" s="107" t="str">
        <f t="shared" si="39"/>
        <v>ifnull(t.trade_capt_qty,0) as trade_capt_qty,/*交易占用数量*/</v>
      </c>
      <c r="J2851" s="166" t="s">
        <v>352</v>
      </c>
      <c r="K2851" s="166" t="s">
        <v>351</v>
      </c>
      <c r="L2851" s="166" t="s">
        <v>349</v>
      </c>
      <c r="M2851" s="166" t="s">
        <v>349</v>
      </c>
      <c r="N2851" s="166">
        <v>1699</v>
      </c>
    </row>
    <row r="2852" spans="2:14" s="166" customFormat="1" ht="17.25" customHeight="1" x14ac:dyDescent="0.15">
      <c r="B2852" s="194" t="s">
        <v>409</v>
      </c>
      <c r="C2852" s="195" t="s">
        <v>1201</v>
      </c>
      <c r="D2852" s="195" t="s">
        <v>1087</v>
      </c>
      <c r="E2852" s="195">
        <v>0</v>
      </c>
      <c r="F2852" s="195"/>
      <c r="G2852" s="196"/>
      <c r="H2852" s="107" t="str">
        <f t="shared" si="39"/>
        <v>ifnull(t.trade_releas_qty,0) as trade_releas_qty,/*交易释放数量*/</v>
      </c>
      <c r="J2852" s="166" t="s">
        <v>352</v>
      </c>
      <c r="K2852" s="166" t="s">
        <v>351</v>
      </c>
      <c r="L2852" s="166" t="s">
        <v>349</v>
      </c>
      <c r="M2852" s="166" t="s">
        <v>349</v>
      </c>
      <c r="N2852" s="166">
        <v>1688</v>
      </c>
    </row>
    <row r="2853" spans="2:14" s="166" customFormat="1" ht="17.25" customHeight="1" x14ac:dyDescent="0.15">
      <c r="B2853" s="194" t="s">
        <v>410</v>
      </c>
      <c r="C2853" s="195" t="s">
        <v>1137</v>
      </c>
      <c r="D2853" s="195" t="s">
        <v>1087</v>
      </c>
      <c r="E2853" s="195">
        <v>0</v>
      </c>
      <c r="F2853" s="195"/>
      <c r="G2853" s="196"/>
      <c r="H2853" s="107" t="str">
        <f t="shared" si="39"/>
        <v>ifnull(t.strike_capt_qty,0) as strike_capt_qty,/*成交占用数量*/</v>
      </c>
      <c r="J2853" s="166" t="s">
        <v>352</v>
      </c>
      <c r="K2853" s="166" t="s">
        <v>351</v>
      </c>
      <c r="L2853" s="166" t="s">
        <v>349</v>
      </c>
      <c r="M2853" s="166" t="s">
        <v>349</v>
      </c>
      <c r="N2853" s="166">
        <v>1191</v>
      </c>
    </row>
    <row r="2854" spans="2:14" s="166" customFormat="1" ht="17.25" customHeight="1" x14ac:dyDescent="0.15">
      <c r="B2854" s="194" t="s">
        <v>411</v>
      </c>
      <c r="C2854" s="195" t="s">
        <v>1138</v>
      </c>
      <c r="D2854" s="195" t="s">
        <v>1087</v>
      </c>
      <c r="E2854" s="195">
        <v>0</v>
      </c>
      <c r="F2854" s="195"/>
      <c r="G2854" s="196"/>
      <c r="H2854" s="107" t="str">
        <f t="shared" si="39"/>
        <v>ifnull(t.strike_releas_qty,0) as strike_releas_qty,/*成交释放数量*/</v>
      </c>
      <c r="J2854" s="166" t="s">
        <v>352</v>
      </c>
      <c r="K2854" s="166" t="s">
        <v>351</v>
      </c>
      <c r="L2854" s="166" t="s">
        <v>349</v>
      </c>
      <c r="M2854" s="166" t="s">
        <v>349</v>
      </c>
      <c r="N2854" s="166">
        <v>1187</v>
      </c>
    </row>
    <row r="2855" spans="2:14" s="166" customFormat="1" ht="17.25" customHeight="1" x14ac:dyDescent="0.15">
      <c r="B2855" s="194" t="s">
        <v>116</v>
      </c>
      <c r="C2855" s="195" t="s">
        <v>1213</v>
      </c>
      <c r="D2855" s="195" t="s">
        <v>1169</v>
      </c>
      <c r="E2855" s="195">
        <v>0</v>
      </c>
      <c r="F2855" s="195"/>
      <c r="G2855" s="196"/>
      <c r="H2855" s="107" t="str">
        <f t="shared" si="39"/>
        <v>ifnull(t.cost_amt,0) as cost_amt,/*成本金额*/</v>
      </c>
      <c r="J2855" s="166" t="s">
        <v>352</v>
      </c>
      <c r="K2855" s="166" t="s">
        <v>351</v>
      </c>
      <c r="L2855" s="166" t="s">
        <v>349</v>
      </c>
      <c r="M2855" s="166" t="s">
        <v>349</v>
      </c>
      <c r="N2855" s="166">
        <v>1163</v>
      </c>
    </row>
    <row r="2856" spans="2:14" s="166" customFormat="1" ht="17.25" customHeight="1" x14ac:dyDescent="0.15">
      <c r="B2856" s="194" t="s">
        <v>12</v>
      </c>
      <c r="C2856" s="195" t="s">
        <v>1143</v>
      </c>
      <c r="D2856" s="195" t="s">
        <v>1169</v>
      </c>
      <c r="E2856" s="195">
        <v>0</v>
      </c>
      <c r="F2856" s="195"/>
      <c r="G2856" s="196"/>
      <c r="H2856" s="107" t="str">
        <f t="shared" si="39"/>
        <v>ifnull(t.realize_pandl,0) as realize_pandl,/*实现盈亏*/</v>
      </c>
      <c r="J2856" s="166" t="s">
        <v>352</v>
      </c>
      <c r="K2856" s="166" t="s">
        <v>351</v>
      </c>
      <c r="L2856" s="166" t="s">
        <v>349</v>
      </c>
      <c r="M2856" s="166" t="s">
        <v>349</v>
      </c>
      <c r="N2856" s="166">
        <v>2153</v>
      </c>
    </row>
    <row r="2857" spans="2:14" s="166" customFormat="1" ht="17.25" customHeight="1" x14ac:dyDescent="0.15">
      <c r="B2857" s="197" t="s">
        <v>13</v>
      </c>
      <c r="C2857" s="218" t="s">
        <v>1205</v>
      </c>
      <c r="D2857" s="218" t="s">
        <v>1169</v>
      </c>
      <c r="E2857" s="218">
        <v>0</v>
      </c>
      <c r="F2857" s="218"/>
      <c r="G2857" s="219"/>
      <c r="H2857" s="107" t="str">
        <f t="shared" si="39"/>
        <v>ifnull(t.intrst_cost_amt,0) as intrst_cost_amt,/*利息成本金额*/</v>
      </c>
      <c r="J2857" s="166" t="s">
        <v>352</v>
      </c>
      <c r="K2857" s="166" t="s">
        <v>351</v>
      </c>
      <c r="L2857" s="166" t="s">
        <v>349</v>
      </c>
      <c r="M2857" s="166" t="s">
        <v>349</v>
      </c>
      <c r="N2857" s="166">
        <v>1852</v>
      </c>
    </row>
    <row r="2858" spans="2:14" s="166" customFormat="1" ht="17.25" customHeight="1" x14ac:dyDescent="0.15">
      <c r="B2858" s="197" t="s">
        <v>14</v>
      </c>
      <c r="C2858" s="218" t="s">
        <v>1206</v>
      </c>
      <c r="D2858" s="218" t="s">
        <v>1169</v>
      </c>
      <c r="E2858" s="218">
        <v>0</v>
      </c>
      <c r="F2858" s="218"/>
      <c r="G2858" s="219"/>
      <c r="H2858" s="107" t="str">
        <f t="shared" si="39"/>
        <v>ifnull(t.intrst_pandl,0) as intrst_pandl,/*利息收益*/</v>
      </c>
      <c r="J2858" s="166" t="s">
        <v>352</v>
      </c>
      <c r="K2858" s="166" t="s">
        <v>351</v>
      </c>
      <c r="L2858" s="166" t="s">
        <v>349</v>
      </c>
      <c r="M2858" s="166" t="s">
        <v>349</v>
      </c>
      <c r="N2858" s="166">
        <v>1857</v>
      </c>
    </row>
    <row r="2859" spans="2:14" s="166" customFormat="1" ht="17.25" customHeight="1" x14ac:dyDescent="0.15">
      <c r="B2859" s="197" t="s">
        <v>389</v>
      </c>
      <c r="C2859" s="218" t="s">
        <v>1477</v>
      </c>
      <c r="D2859" s="218" t="s">
        <v>1211</v>
      </c>
      <c r="E2859" s="218">
        <v>0</v>
      </c>
      <c r="F2859" s="218"/>
      <c r="G2859" s="219" t="s">
        <v>1478</v>
      </c>
      <c r="H2859" s="107" t="str">
        <f t="shared" si="39"/>
        <v>ifnull(t.cost_price,0) as cost_price,/*成本价*/</v>
      </c>
      <c r="J2859" s="166" t="s">
        <v>352</v>
      </c>
      <c r="K2859" s="166" t="s">
        <v>351</v>
      </c>
      <c r="L2859" s="166" t="s">
        <v>349</v>
      </c>
      <c r="M2859" s="166" t="s">
        <v>349</v>
      </c>
      <c r="N2859" s="166">
        <v>1162</v>
      </c>
    </row>
    <row r="2860" spans="2:14" s="166" customFormat="1" ht="17.25" customHeight="1" x14ac:dyDescent="0.15">
      <c r="B2860" s="197" t="s">
        <v>439</v>
      </c>
      <c r="C2860" s="218" t="s">
        <v>1236</v>
      </c>
      <c r="D2860" s="218" t="s">
        <v>1211</v>
      </c>
      <c r="E2860" s="218">
        <v>0</v>
      </c>
      <c r="F2860" s="218"/>
      <c r="G2860" s="219"/>
      <c r="H2860" s="107" t="str">
        <f t="shared" si="39"/>
        <v>ifnull(t.last_price,0) as last_price,/*最新价*/</v>
      </c>
      <c r="J2860" s="166" t="s">
        <v>352</v>
      </c>
      <c r="K2860" s="166" t="s">
        <v>351</v>
      </c>
      <c r="L2860" s="166" t="s">
        <v>349</v>
      </c>
      <c r="M2860" s="166" t="s">
        <v>349</v>
      </c>
      <c r="N2860" s="166">
        <v>2586</v>
      </c>
    </row>
    <row r="2861" spans="2:14" s="166" customFormat="1" ht="17.25" customHeight="1" x14ac:dyDescent="0.15">
      <c r="B2861" s="197" t="s">
        <v>445</v>
      </c>
      <c r="C2861" s="218" t="s">
        <v>1479</v>
      </c>
      <c r="D2861" s="218" t="s">
        <v>1169</v>
      </c>
      <c r="E2861" s="218">
        <v>0</v>
      </c>
      <c r="F2861" s="218"/>
      <c r="G2861" s="219"/>
      <c r="H2861" s="107" t="str">
        <f t="shared" si="39"/>
        <v>ifnull(t.float_pandl,0) as float_pandl,/*浮动盈亏*/</v>
      </c>
      <c r="J2861" s="166" t="s">
        <v>352</v>
      </c>
      <c r="K2861" s="166" t="s">
        <v>351</v>
      </c>
      <c r="L2861" s="166" t="s">
        <v>349</v>
      </c>
      <c r="M2861" s="166" t="s">
        <v>349</v>
      </c>
      <c r="N2861" s="166">
        <v>1461</v>
      </c>
    </row>
    <row r="2862" spans="2:14" s="166" customFormat="1" ht="17.25" customHeight="1" x14ac:dyDescent="0.15">
      <c r="B2862" s="197" t="s">
        <v>484</v>
      </c>
      <c r="C2862" s="218" t="s">
        <v>1483</v>
      </c>
      <c r="D2862" s="218" t="s">
        <v>1172</v>
      </c>
      <c r="E2862" s="218">
        <v>0</v>
      </c>
      <c r="F2862" s="218"/>
      <c r="G2862" s="219"/>
      <c r="H2862" s="107" t="str">
        <f t="shared" si="39"/>
        <v>ifnull(t.pandl_ratio,0) as pandl_ratio,/*盈亏比例*/</v>
      </c>
      <c r="J2862" s="166" t="s">
        <v>352</v>
      </c>
      <c r="K2862" s="166" t="s">
        <v>351</v>
      </c>
      <c r="L2862" s="166" t="s">
        <v>349</v>
      </c>
      <c r="M2862" s="166" t="s">
        <v>349</v>
      </c>
      <c r="N2862" s="166">
        <v>2346</v>
      </c>
    </row>
    <row r="2863" spans="2:14" s="166" customFormat="1" ht="17.25" customHeight="1" x14ac:dyDescent="0.15">
      <c r="B2863" s="197" t="s">
        <v>475</v>
      </c>
      <c r="C2863" s="218" t="s">
        <v>1480</v>
      </c>
      <c r="D2863" s="218" t="s">
        <v>1087</v>
      </c>
      <c r="E2863" s="218">
        <v>0</v>
      </c>
      <c r="F2863" s="218"/>
      <c r="G2863" s="219" t="s">
        <v>1481</v>
      </c>
      <c r="H2863" s="107" t="str">
        <f t="shared" si="39"/>
        <v>ifnull(t.trade_avail_qty,0) as trade_avail_qty,/*交易端可用数量*/</v>
      </c>
      <c r="J2863" s="166" t="s">
        <v>352</v>
      </c>
      <c r="K2863" s="166" t="s">
        <v>351</v>
      </c>
      <c r="L2863" s="166" t="s">
        <v>349</v>
      </c>
      <c r="M2863" s="166" t="s">
        <v>349</v>
      </c>
      <c r="N2863" s="166">
        <v>1677</v>
      </c>
    </row>
    <row r="2864" spans="2:14" s="166" customFormat="1" ht="17.25" customHeight="1" x14ac:dyDescent="0.15">
      <c r="B2864" s="197" t="s">
        <v>476</v>
      </c>
      <c r="C2864" s="218" t="s">
        <v>1482</v>
      </c>
      <c r="D2864" s="218" t="s">
        <v>1087</v>
      </c>
      <c r="E2864" s="218">
        <v>0</v>
      </c>
      <c r="F2864" s="218"/>
      <c r="G2864" s="219" t="s">
        <v>1481</v>
      </c>
      <c r="H2864" s="107" t="str">
        <f t="shared" si="39"/>
        <v>ifnull(t.comm_avail_qty,0) as comm_avail_qty,/*指令端可用数量*/</v>
      </c>
      <c r="J2864" s="166" t="s">
        <v>352</v>
      </c>
      <c r="K2864" s="166" t="s">
        <v>351</v>
      </c>
      <c r="L2864" s="166" t="s">
        <v>349</v>
      </c>
      <c r="M2864" s="166" t="s">
        <v>349</v>
      </c>
      <c r="N2864" s="166">
        <v>2459</v>
      </c>
    </row>
    <row r="2865" spans="1:14" s="166" customFormat="1" ht="17.25" customHeight="1" x14ac:dyDescent="0.15">
      <c r="B2865" s="197" t="s">
        <v>490</v>
      </c>
      <c r="C2865" s="218" t="s">
        <v>1507</v>
      </c>
      <c r="D2865" s="218" t="s">
        <v>1087</v>
      </c>
      <c r="E2865" s="218">
        <v>0</v>
      </c>
      <c r="F2865" s="218"/>
      <c r="G2865" s="219"/>
      <c r="H2865" s="107" t="str">
        <f t="shared" si="39"/>
        <v>ifnull(t.static_avail_qty,0) as static_avail_qty,/*静态可用数量*/</v>
      </c>
      <c r="J2865" s="166" t="s">
        <v>352</v>
      </c>
      <c r="K2865" s="166" t="s">
        <v>351</v>
      </c>
      <c r="L2865" s="166" t="s">
        <v>349</v>
      </c>
      <c r="M2865" s="166" t="s">
        <v>349</v>
      </c>
      <c r="N2865" s="166">
        <v>1744</v>
      </c>
    </row>
    <row r="2866" spans="1:14" s="166" customFormat="1" ht="17.25" customHeight="1" x14ac:dyDescent="0.15">
      <c r="B2866" s="197" t="s">
        <v>480</v>
      </c>
      <c r="C2866" s="218" t="s">
        <v>1079</v>
      </c>
      <c r="D2866" s="218" t="s">
        <v>1172</v>
      </c>
      <c r="E2866" s="218">
        <v>0</v>
      </c>
      <c r="F2866" s="218"/>
      <c r="G2866" s="219"/>
      <c r="H2866" s="107" t="str">
        <f t="shared" si="39"/>
        <v>ifnull(t.posi_nav_ratio,0) as posi_nav_ratio,/*持仓净值占比*/</v>
      </c>
      <c r="J2866" s="166" t="s">
        <v>352</v>
      </c>
      <c r="K2866" s="166" t="s">
        <v>351</v>
      </c>
      <c r="L2866" s="166" t="s">
        <v>349</v>
      </c>
      <c r="M2866" s="166" t="s">
        <v>349</v>
      </c>
      <c r="N2866" s="166">
        <v>1197</v>
      </c>
    </row>
    <row r="2867" spans="1:14" s="166" customFormat="1" ht="17.25" customHeight="1" x14ac:dyDescent="0.15">
      <c r="B2867" s="197" t="s">
        <v>481</v>
      </c>
      <c r="C2867" s="218" t="s">
        <v>1209</v>
      </c>
      <c r="D2867" s="218" t="s">
        <v>1169</v>
      </c>
      <c r="E2867" s="218">
        <v>0</v>
      </c>
      <c r="F2867" s="218"/>
      <c r="G2867" s="219"/>
      <c r="H2867" s="107" t="str">
        <f t="shared" si="39"/>
        <v>ifnull(t.bond_receivable_amt,0) as bond_receivable_amt,/*债券应收利息*/</v>
      </c>
      <c r="J2867" s="166" t="s">
        <v>352</v>
      </c>
      <c r="K2867" s="166" t="s">
        <v>351</v>
      </c>
      <c r="L2867" s="166" t="s">
        <v>349</v>
      </c>
      <c r="M2867" s="166" t="s">
        <v>349</v>
      </c>
    </row>
    <row r="2868" spans="1:14" s="166" customFormat="1" ht="17.25" customHeight="1" x14ac:dyDescent="0.15">
      <c r="B2868" s="197" t="s">
        <v>477</v>
      </c>
      <c r="C2868" s="218" t="s">
        <v>1530</v>
      </c>
      <c r="D2868" s="218" t="s">
        <v>1169</v>
      </c>
      <c r="E2868" s="218">
        <v>0</v>
      </c>
      <c r="F2868" s="218"/>
      <c r="G2868" s="219"/>
      <c r="H2868" s="107" t="str">
        <f t="shared" si="39"/>
        <v>ifnull(t.full_holding_amt,0) as full_holding_amt,/*全价持仓市值*/</v>
      </c>
      <c r="J2868" s="166" t="s">
        <v>352</v>
      </c>
      <c r="K2868" s="166" t="s">
        <v>351</v>
      </c>
      <c r="L2868" s="166" t="s">
        <v>349</v>
      </c>
      <c r="M2868" s="166" t="s">
        <v>349</v>
      </c>
    </row>
    <row r="2869" spans="1:14" s="166" customFormat="1" ht="17.25" customHeight="1" x14ac:dyDescent="0.15">
      <c r="B2869" s="197" t="s">
        <v>487</v>
      </c>
      <c r="C2869" s="218" t="s">
        <v>1208</v>
      </c>
      <c r="D2869" s="218" t="s">
        <v>1087</v>
      </c>
      <c r="E2869" s="218">
        <v>0</v>
      </c>
      <c r="F2869" s="218"/>
      <c r="G2869" s="219"/>
      <c r="H2869" s="107" t="str">
        <f t="shared" si="39"/>
        <v>ifnull(t.impawn_qty,0) as impawn_qty,/*质押数量*/</v>
      </c>
      <c r="J2869" s="166" t="s">
        <v>352</v>
      </c>
      <c r="K2869" s="166" t="s">
        <v>351</v>
      </c>
      <c r="L2869" s="166" t="s">
        <v>349</v>
      </c>
      <c r="M2869" s="166" t="s">
        <v>349</v>
      </c>
      <c r="N2869" s="166">
        <v>2511</v>
      </c>
    </row>
    <row r="2870" spans="1:14" s="7" customFormat="1" ht="18" thickBot="1" x14ac:dyDescent="0.2">
      <c r="A2870" s="2"/>
      <c r="B2870" s="17"/>
      <c r="C2870" s="18"/>
      <c r="D2870" s="18"/>
      <c r="E2870" s="18"/>
      <c r="F2870" s="18"/>
      <c r="G2870" s="19"/>
      <c r="H2870" s="19"/>
      <c r="I2870" s="19"/>
    </row>
    <row r="2871" spans="1:14" s="7" customFormat="1" x14ac:dyDescent="0.15">
      <c r="A2871" s="2"/>
      <c r="B2871" s="327" t="s">
        <v>15</v>
      </c>
      <c r="C2871" s="328"/>
      <c r="D2871" s="328"/>
      <c r="E2871" s="328"/>
      <c r="F2871" s="328"/>
      <c r="G2871" s="329"/>
    </row>
    <row r="2872" spans="1:14" s="7" customFormat="1" x14ac:dyDescent="0.15">
      <c r="A2872" s="2"/>
      <c r="B2872" s="20"/>
      <c r="C2872" s="21"/>
      <c r="D2872" s="14"/>
      <c r="E2872" s="21"/>
      <c r="F2872" s="21"/>
      <c r="G2872" s="22"/>
      <c r="H2872" s="22"/>
      <c r="I2872" s="22"/>
    </row>
    <row r="2873" spans="1:14" s="7" customFormat="1" x14ac:dyDescent="0.15">
      <c r="A2873" s="2"/>
      <c r="B2873" s="17"/>
      <c r="C2873" s="18"/>
      <c r="D2873" s="18"/>
      <c r="E2873" s="18"/>
      <c r="F2873" s="18"/>
      <c r="G2873" s="19"/>
      <c r="H2873" s="19"/>
      <c r="I2873" s="19"/>
    </row>
    <row r="2874" spans="1:14" s="7" customFormat="1" ht="18" thickBot="1" x14ac:dyDescent="0.2">
      <c r="A2874" s="2"/>
      <c r="B2874" s="24"/>
      <c r="C2874" s="9"/>
      <c r="D2874" s="9"/>
      <c r="E2874" s="9"/>
      <c r="F2874" s="9"/>
      <c r="G2874" s="11"/>
      <c r="H2874" s="11"/>
      <c r="I2874" s="11"/>
    </row>
    <row r="2875" spans="1:14" ht="18" thickBot="1" x14ac:dyDescent="0.2"/>
    <row r="2876" spans="1:14" s="7" customFormat="1" x14ac:dyDescent="0.15">
      <c r="A2876" s="2"/>
      <c r="B2876" s="3" t="s">
        <v>563</v>
      </c>
      <c r="C2876" s="4" t="s">
        <v>549</v>
      </c>
      <c r="D2876" s="5" t="s">
        <v>515</v>
      </c>
      <c r="E2876" s="21" t="s">
        <v>1034</v>
      </c>
      <c r="F2876" s="5" t="s">
        <v>567</v>
      </c>
      <c r="G2876" s="6" t="s">
        <v>547</v>
      </c>
    </row>
    <row r="2877" spans="1:14" s="7" customFormat="1" ht="18" thickBot="1" x14ac:dyDescent="0.2">
      <c r="A2877" s="2"/>
      <c r="B2877" s="34" t="s">
        <v>570</v>
      </c>
      <c r="C2877" s="18"/>
      <c r="D2877" s="35" t="s">
        <v>568</v>
      </c>
      <c r="E2877" s="18" t="s">
        <v>615</v>
      </c>
      <c r="F2877" s="35"/>
      <c r="G2877" s="19"/>
    </row>
    <row r="2878" spans="1:14" s="7" customFormat="1" x14ac:dyDescent="0.15">
      <c r="A2878" s="2"/>
      <c r="B2878" s="3" t="s">
        <v>0</v>
      </c>
      <c r="C2878" s="5" t="s">
        <v>1</v>
      </c>
      <c r="D2878" s="5" t="s">
        <v>2</v>
      </c>
      <c r="E2878" s="5"/>
      <c r="F2878" s="5" t="s">
        <v>3</v>
      </c>
      <c r="G2878" s="36" t="s">
        <v>4</v>
      </c>
    </row>
    <row r="2879" spans="1:14" s="7" customFormat="1" x14ac:dyDescent="0.15">
      <c r="A2879" s="2"/>
      <c r="B2879" s="20" t="s">
        <v>6</v>
      </c>
      <c r="C2879" s="21" t="s">
        <v>1163</v>
      </c>
      <c r="D2879" s="21" t="s">
        <v>211</v>
      </c>
      <c r="E2879" s="21">
        <v>0</v>
      </c>
      <c r="F2879" s="21"/>
      <c r="G2879" s="22" t="s">
        <v>1077</v>
      </c>
    </row>
    <row r="2880" spans="1:14" s="7" customFormat="1" x14ac:dyDescent="0.15">
      <c r="A2880" s="2"/>
      <c r="B2880" s="20" t="s">
        <v>111</v>
      </c>
      <c r="C2880" s="21" t="s">
        <v>1164</v>
      </c>
      <c r="D2880" s="21" t="s">
        <v>211</v>
      </c>
      <c r="E2880" s="21">
        <v>0</v>
      </c>
      <c r="F2880" s="21"/>
      <c r="G2880" s="22" t="s">
        <v>1165</v>
      </c>
    </row>
    <row r="2881" spans="1:7" s="7" customFormat="1" x14ac:dyDescent="0.15">
      <c r="A2881" s="2"/>
      <c r="B2881" s="20" t="s">
        <v>113</v>
      </c>
      <c r="C2881" s="21" t="s">
        <v>1187</v>
      </c>
      <c r="D2881" s="21" t="s">
        <v>211</v>
      </c>
      <c r="E2881" s="21">
        <v>0</v>
      </c>
      <c r="F2881" s="21"/>
      <c r="G2881" s="22"/>
    </row>
    <row r="2882" spans="1:7" s="7" customFormat="1" x14ac:dyDescent="0.15">
      <c r="A2882" s="2"/>
      <c r="B2882" s="20" t="s">
        <v>23</v>
      </c>
      <c r="C2882" s="21" t="s">
        <v>1091</v>
      </c>
      <c r="D2882" s="21" t="s">
        <v>1131</v>
      </c>
      <c r="E2882" s="21" t="s">
        <v>1074</v>
      </c>
      <c r="F2882" s="21"/>
      <c r="G2882" s="22"/>
    </row>
    <row r="2883" spans="1:7" s="7" customFormat="1" x14ac:dyDescent="0.15">
      <c r="A2883" s="2"/>
      <c r="B2883" s="17" t="s">
        <v>312</v>
      </c>
      <c r="C2883" s="18" t="s">
        <v>1168</v>
      </c>
      <c r="D2883" s="18" t="s">
        <v>1169</v>
      </c>
      <c r="E2883" s="18">
        <v>0</v>
      </c>
      <c r="F2883" s="18"/>
      <c r="G2883" s="19"/>
    </row>
    <row r="2884" spans="1:7" s="7" customFormat="1" x14ac:dyDescent="0.15">
      <c r="A2884" s="2"/>
      <c r="B2884" s="17" t="s">
        <v>303</v>
      </c>
      <c r="C2884" s="18" t="s">
        <v>1170</v>
      </c>
      <c r="D2884" s="18" t="s">
        <v>1169</v>
      </c>
      <c r="E2884" s="18">
        <v>0</v>
      </c>
      <c r="F2884" s="18"/>
      <c r="G2884" s="19"/>
    </row>
    <row r="2885" spans="1:7" s="7" customFormat="1" x14ac:dyDescent="0.15">
      <c r="A2885" s="2"/>
      <c r="B2885" s="20" t="s">
        <v>313</v>
      </c>
      <c r="C2885" s="21" t="s">
        <v>1185</v>
      </c>
      <c r="D2885" s="21" t="s">
        <v>1169</v>
      </c>
      <c r="E2885" s="21">
        <v>0</v>
      </c>
      <c r="F2885" s="21"/>
      <c r="G2885" s="22"/>
    </row>
    <row r="2886" spans="1:7" s="7" customFormat="1" x14ac:dyDescent="0.15">
      <c r="A2886" s="2"/>
      <c r="B2886" s="20" t="s">
        <v>305</v>
      </c>
      <c r="C2886" s="21" t="s">
        <v>1181</v>
      </c>
      <c r="D2886" s="21" t="s">
        <v>1169</v>
      </c>
      <c r="E2886" s="21">
        <v>0</v>
      </c>
      <c r="F2886" s="21"/>
      <c r="G2886" s="22"/>
    </row>
    <row r="2887" spans="1:7" s="7" customFormat="1" x14ac:dyDescent="0.15">
      <c r="A2887" s="2"/>
      <c r="B2887" s="20" t="s">
        <v>306</v>
      </c>
      <c r="C2887" s="21" t="s">
        <v>1128</v>
      </c>
      <c r="D2887" s="21" t="s">
        <v>1169</v>
      </c>
      <c r="E2887" s="21">
        <v>0</v>
      </c>
      <c r="F2887" s="21"/>
      <c r="G2887" s="22"/>
    </row>
    <row r="2888" spans="1:7" s="7" customFormat="1" x14ac:dyDescent="0.15">
      <c r="A2888" s="2"/>
      <c r="B2888" s="17" t="s">
        <v>307</v>
      </c>
      <c r="C2888" s="18" t="s">
        <v>1173</v>
      </c>
      <c r="D2888" s="18" t="s">
        <v>1169</v>
      </c>
      <c r="E2888" s="18">
        <v>0</v>
      </c>
      <c r="F2888" s="18"/>
      <c r="G2888" s="19"/>
    </row>
    <row r="2889" spans="1:7" s="7" customFormat="1" x14ac:dyDescent="0.15">
      <c r="A2889" s="2"/>
      <c r="B2889" s="17" t="s">
        <v>308</v>
      </c>
      <c r="C2889" s="18" t="s">
        <v>1175</v>
      </c>
      <c r="D2889" s="18" t="s">
        <v>1169</v>
      </c>
      <c r="E2889" s="18">
        <v>0</v>
      </c>
      <c r="F2889" s="18"/>
      <c r="G2889" s="19"/>
    </row>
    <row r="2890" spans="1:7" s="7" customFormat="1" x14ac:dyDescent="0.15">
      <c r="A2890" s="2"/>
      <c r="B2890" s="17" t="s">
        <v>314</v>
      </c>
      <c r="C2890" s="18" t="s">
        <v>1089</v>
      </c>
      <c r="D2890" s="18" t="s">
        <v>1169</v>
      </c>
      <c r="E2890" s="18">
        <v>0</v>
      </c>
      <c r="F2890" s="18"/>
      <c r="G2890" s="19"/>
    </row>
    <row r="2891" spans="1:7" s="7" customFormat="1" x14ac:dyDescent="0.15">
      <c r="A2891" s="2"/>
      <c r="B2891" s="17" t="s">
        <v>310</v>
      </c>
      <c r="C2891" s="18" t="s">
        <v>1174</v>
      </c>
      <c r="D2891" s="18" t="s">
        <v>1169</v>
      </c>
      <c r="E2891" s="18">
        <v>0</v>
      </c>
      <c r="F2891" s="18"/>
      <c r="G2891" s="19"/>
    </row>
    <row r="2892" spans="1:7" s="7" customFormat="1" ht="18" thickBot="1" x14ac:dyDescent="0.2">
      <c r="A2892" s="2"/>
      <c r="B2892" s="24"/>
      <c r="C2892" s="9"/>
      <c r="D2892" s="9"/>
      <c r="E2892" s="9"/>
      <c r="F2892" s="9"/>
      <c r="G2892" s="11"/>
    </row>
    <row r="2893" spans="1:7" s="7" customFormat="1" x14ac:dyDescent="0.15">
      <c r="A2893" s="2"/>
      <c r="B2893" s="327" t="s">
        <v>15</v>
      </c>
      <c r="C2893" s="328"/>
      <c r="D2893" s="328"/>
      <c r="E2893" s="328"/>
      <c r="F2893" s="328"/>
      <c r="G2893" s="329"/>
    </row>
    <row r="2894" spans="1:7" s="7" customFormat="1" x14ac:dyDescent="0.15">
      <c r="A2894" s="2" t="s">
        <v>62</v>
      </c>
      <c r="B2894" s="20">
        <v>1</v>
      </c>
      <c r="C2894" s="21" t="s">
        <v>120</v>
      </c>
      <c r="D2894" s="21" t="s">
        <v>110</v>
      </c>
      <c r="E2894" s="21"/>
      <c r="F2894" s="21"/>
      <c r="G2894" s="22"/>
    </row>
    <row r="2895" spans="1:7" s="7" customFormat="1" ht="18" thickBot="1" x14ac:dyDescent="0.2">
      <c r="A2895" s="2"/>
      <c r="B2895" s="24"/>
      <c r="C2895" s="9"/>
      <c r="D2895" s="9"/>
      <c r="E2895" s="9"/>
      <c r="F2895" s="9"/>
      <c r="G2895" s="11"/>
    </row>
    <row r="2896" spans="1:7" s="7" customFormat="1" x14ac:dyDescent="0.15">
      <c r="A2896" s="2"/>
    </row>
    <row r="2897" spans="1:7" s="7" customFormat="1" ht="18" thickBot="1" x14ac:dyDescent="0.2">
      <c r="A2897" s="2"/>
    </row>
    <row r="2898" spans="1:7" s="7" customFormat="1" x14ac:dyDescent="0.15">
      <c r="A2898" s="2"/>
      <c r="B2898" s="3" t="s">
        <v>563</v>
      </c>
      <c r="C2898" s="4" t="s">
        <v>651</v>
      </c>
      <c r="D2898" s="5" t="s">
        <v>515</v>
      </c>
      <c r="E2898" s="21" t="s">
        <v>613</v>
      </c>
      <c r="F2898" s="5" t="s">
        <v>567</v>
      </c>
      <c r="G2898" s="6" t="s">
        <v>547</v>
      </c>
    </row>
    <row r="2899" spans="1:7" s="7" customFormat="1" ht="18" thickBot="1" x14ac:dyDescent="0.2">
      <c r="A2899" s="2"/>
      <c r="B2899" s="34" t="s">
        <v>570</v>
      </c>
      <c r="C2899" s="18"/>
      <c r="D2899" s="35" t="s">
        <v>568</v>
      </c>
      <c r="E2899" s="18" t="s">
        <v>615</v>
      </c>
      <c r="F2899" s="35"/>
      <c r="G2899" s="19"/>
    </row>
    <row r="2900" spans="1:7" s="7" customFormat="1" x14ac:dyDescent="0.15">
      <c r="A2900" s="2"/>
      <c r="B2900" s="3" t="s">
        <v>0</v>
      </c>
      <c r="C2900" s="5" t="s">
        <v>1</v>
      </c>
      <c r="D2900" s="5" t="s">
        <v>2</v>
      </c>
      <c r="E2900" s="5"/>
      <c r="F2900" s="5" t="s">
        <v>3</v>
      </c>
      <c r="G2900" s="36" t="s">
        <v>4</v>
      </c>
    </row>
    <row r="2901" spans="1:7" s="7" customFormat="1" x14ac:dyDescent="0.15">
      <c r="B2901" s="14" t="s">
        <v>22</v>
      </c>
      <c r="C2901" s="15" t="s">
        <v>1127</v>
      </c>
      <c r="D2901" s="15" t="s">
        <v>211</v>
      </c>
      <c r="E2901" s="15" t="s">
        <v>1141</v>
      </c>
      <c r="F2901" s="15"/>
      <c r="G2901" s="16" t="s">
        <v>1162</v>
      </c>
    </row>
    <row r="2902" spans="1:7" s="7" customFormat="1" x14ac:dyDescent="0.15">
      <c r="A2902" s="2"/>
      <c r="B2902" s="20" t="s">
        <v>6</v>
      </c>
      <c r="C2902" s="21" t="s">
        <v>1163</v>
      </c>
      <c r="D2902" s="21" t="s">
        <v>211</v>
      </c>
      <c r="E2902" s="21">
        <v>0</v>
      </c>
      <c r="F2902" s="21"/>
      <c r="G2902" s="22" t="s">
        <v>1077</v>
      </c>
    </row>
    <row r="2903" spans="1:7" s="7" customFormat="1" x14ac:dyDescent="0.15">
      <c r="A2903" s="2"/>
      <c r="B2903" s="20" t="s">
        <v>111</v>
      </c>
      <c r="C2903" s="21" t="s">
        <v>1164</v>
      </c>
      <c r="D2903" s="21" t="s">
        <v>211</v>
      </c>
      <c r="E2903" s="21">
        <v>0</v>
      </c>
      <c r="F2903" s="21"/>
      <c r="G2903" s="22" t="s">
        <v>1165</v>
      </c>
    </row>
    <row r="2904" spans="1:7" s="7" customFormat="1" x14ac:dyDescent="0.15">
      <c r="A2904" s="2"/>
      <c r="B2904" s="20" t="s">
        <v>113</v>
      </c>
      <c r="C2904" s="21" t="s">
        <v>1187</v>
      </c>
      <c r="D2904" s="21" t="s">
        <v>211</v>
      </c>
      <c r="E2904" s="21">
        <v>0</v>
      </c>
      <c r="F2904" s="21"/>
      <c r="G2904" s="22"/>
    </row>
    <row r="2905" spans="1:7" s="7" customFormat="1" x14ac:dyDescent="0.15">
      <c r="A2905" s="2"/>
      <c r="B2905" s="20" t="s">
        <v>23</v>
      </c>
      <c r="C2905" s="21" t="s">
        <v>1091</v>
      </c>
      <c r="D2905" s="21" t="s">
        <v>1131</v>
      </c>
      <c r="E2905" s="21" t="s">
        <v>1074</v>
      </c>
      <c r="F2905" s="21"/>
      <c r="G2905" s="22"/>
    </row>
    <row r="2906" spans="1:7" s="7" customFormat="1" x14ac:dyDescent="0.15">
      <c r="A2906" s="2"/>
      <c r="B2906" s="17" t="s">
        <v>312</v>
      </c>
      <c r="C2906" s="18" t="s">
        <v>1168</v>
      </c>
      <c r="D2906" s="18" t="s">
        <v>1169</v>
      </c>
      <c r="E2906" s="18">
        <v>0</v>
      </c>
      <c r="F2906" s="18"/>
      <c r="G2906" s="19"/>
    </row>
    <row r="2907" spans="1:7" s="7" customFormat="1" x14ac:dyDescent="0.15">
      <c r="A2907" s="2"/>
      <c r="B2907" s="17" t="s">
        <v>303</v>
      </c>
      <c r="C2907" s="18" t="s">
        <v>1170</v>
      </c>
      <c r="D2907" s="18" t="s">
        <v>1169</v>
      </c>
      <c r="E2907" s="18">
        <v>0</v>
      </c>
      <c r="F2907" s="18"/>
      <c r="G2907" s="19"/>
    </row>
    <row r="2908" spans="1:7" s="7" customFormat="1" x14ac:dyDescent="0.15">
      <c r="A2908" s="2"/>
      <c r="B2908" s="20" t="s">
        <v>313</v>
      </c>
      <c r="C2908" s="21" t="s">
        <v>1185</v>
      </c>
      <c r="D2908" s="21" t="s">
        <v>1169</v>
      </c>
      <c r="E2908" s="21">
        <v>0</v>
      </c>
      <c r="F2908" s="21"/>
      <c r="G2908" s="22"/>
    </row>
    <row r="2909" spans="1:7" s="7" customFormat="1" x14ac:dyDescent="0.15">
      <c r="A2909" s="2"/>
      <c r="B2909" s="20" t="s">
        <v>305</v>
      </c>
      <c r="C2909" s="21" t="s">
        <v>1181</v>
      </c>
      <c r="D2909" s="21" t="s">
        <v>1169</v>
      </c>
      <c r="E2909" s="21">
        <v>0</v>
      </c>
      <c r="F2909" s="21"/>
      <c r="G2909" s="22"/>
    </row>
    <row r="2910" spans="1:7" s="7" customFormat="1" x14ac:dyDescent="0.15">
      <c r="A2910" s="2"/>
      <c r="B2910" s="20" t="s">
        <v>306</v>
      </c>
      <c r="C2910" s="21" t="s">
        <v>1128</v>
      </c>
      <c r="D2910" s="21" t="s">
        <v>1169</v>
      </c>
      <c r="E2910" s="21">
        <v>0</v>
      </c>
      <c r="F2910" s="21"/>
      <c r="G2910" s="22"/>
    </row>
    <row r="2911" spans="1:7" s="7" customFormat="1" x14ac:dyDescent="0.15">
      <c r="A2911" s="2"/>
      <c r="B2911" s="17" t="s">
        <v>307</v>
      </c>
      <c r="C2911" s="18" t="s">
        <v>1173</v>
      </c>
      <c r="D2911" s="18" t="s">
        <v>1169</v>
      </c>
      <c r="E2911" s="18">
        <v>0</v>
      </c>
      <c r="F2911" s="18"/>
      <c r="G2911" s="19"/>
    </row>
    <row r="2912" spans="1:7" s="7" customFormat="1" x14ac:dyDescent="0.15">
      <c r="A2912" s="2"/>
      <c r="B2912" s="17" t="s">
        <v>308</v>
      </c>
      <c r="C2912" s="18" t="s">
        <v>1175</v>
      </c>
      <c r="D2912" s="18" t="s">
        <v>1169</v>
      </c>
      <c r="E2912" s="18">
        <v>0</v>
      </c>
      <c r="F2912" s="18"/>
      <c r="G2912" s="19"/>
    </row>
    <row r="2913" spans="1:7" s="7" customFormat="1" x14ac:dyDescent="0.15">
      <c r="A2913" s="2"/>
      <c r="B2913" s="17" t="s">
        <v>314</v>
      </c>
      <c r="C2913" s="18" t="s">
        <v>1089</v>
      </c>
      <c r="D2913" s="18" t="s">
        <v>1169</v>
      </c>
      <c r="E2913" s="18">
        <v>0</v>
      </c>
      <c r="F2913" s="18"/>
      <c r="G2913" s="19"/>
    </row>
    <row r="2914" spans="1:7" s="7" customFormat="1" x14ac:dyDescent="0.15">
      <c r="A2914" s="2"/>
      <c r="B2914" s="17" t="s">
        <v>310</v>
      </c>
      <c r="C2914" s="18" t="s">
        <v>1174</v>
      </c>
      <c r="D2914" s="18" t="s">
        <v>1169</v>
      </c>
      <c r="E2914" s="18">
        <v>0</v>
      </c>
      <c r="F2914" s="18"/>
      <c r="G2914" s="19"/>
    </row>
    <row r="2915" spans="1:7" s="7" customFormat="1" ht="18" thickBot="1" x14ac:dyDescent="0.2">
      <c r="A2915" s="2"/>
      <c r="B2915" s="24"/>
      <c r="C2915" s="9"/>
      <c r="D2915" s="9"/>
      <c r="E2915" s="9"/>
      <c r="F2915" s="9"/>
      <c r="G2915" s="11"/>
    </row>
    <row r="2916" spans="1:7" s="7" customFormat="1" x14ac:dyDescent="0.15">
      <c r="A2916" s="2"/>
      <c r="B2916" s="327" t="s">
        <v>15</v>
      </c>
      <c r="C2916" s="328"/>
      <c r="D2916" s="328"/>
      <c r="E2916" s="328"/>
      <c r="F2916" s="328"/>
      <c r="G2916" s="329"/>
    </row>
    <row r="2917" spans="1:7" s="7" customFormat="1" x14ac:dyDescent="0.15">
      <c r="A2917" s="2" t="s">
        <v>62</v>
      </c>
      <c r="B2917" s="20">
        <v>1</v>
      </c>
      <c r="C2917" s="21" t="s">
        <v>22</v>
      </c>
      <c r="D2917" s="21" t="s">
        <v>113</v>
      </c>
      <c r="E2917" s="21" t="s">
        <v>182</v>
      </c>
      <c r="F2917" s="21"/>
      <c r="G2917" s="22"/>
    </row>
    <row r="2918" spans="1:7" s="7" customFormat="1" ht="18" thickBot="1" x14ac:dyDescent="0.2">
      <c r="A2918" s="2"/>
      <c r="B2918" s="24"/>
      <c r="C2918" s="9"/>
      <c r="D2918" s="9"/>
      <c r="E2918" s="9"/>
      <c r="F2918" s="9"/>
      <c r="G2918" s="11"/>
    </row>
    <row r="2919" spans="1:7" s="7" customFormat="1" x14ac:dyDescent="0.15">
      <c r="A2919" s="2"/>
    </row>
    <row r="2920" spans="1:7" ht="18" thickBot="1" x14ac:dyDescent="0.2"/>
    <row r="2921" spans="1:7" s="7" customFormat="1" x14ac:dyDescent="0.15">
      <c r="A2921" s="2"/>
      <c r="B2921" s="3" t="s">
        <v>563</v>
      </c>
      <c r="C2921" s="4" t="s">
        <v>657</v>
      </c>
      <c r="D2921" s="5" t="s">
        <v>515</v>
      </c>
      <c r="E2921" s="21" t="s">
        <v>614</v>
      </c>
      <c r="F2921" s="5" t="s">
        <v>567</v>
      </c>
      <c r="G2921" s="6"/>
    </row>
    <row r="2922" spans="1:7" s="7" customFormat="1" ht="18" thickBot="1" x14ac:dyDescent="0.2">
      <c r="A2922" s="2"/>
      <c r="B2922" s="34" t="s">
        <v>570</v>
      </c>
      <c r="C2922" s="18"/>
      <c r="D2922" s="35" t="s">
        <v>568</v>
      </c>
      <c r="E2922" s="18" t="s">
        <v>615</v>
      </c>
      <c r="F2922" s="35"/>
      <c r="G2922" s="19"/>
    </row>
    <row r="2923" spans="1:7" s="7" customFormat="1" x14ac:dyDescent="0.15">
      <c r="A2923" s="2"/>
      <c r="B2923" s="3" t="s">
        <v>0</v>
      </c>
      <c r="C2923" s="5" t="s">
        <v>1</v>
      </c>
      <c r="D2923" s="5" t="s">
        <v>2</v>
      </c>
      <c r="E2923" s="5"/>
      <c r="F2923" s="5" t="s">
        <v>3</v>
      </c>
      <c r="G2923" s="36" t="s">
        <v>4</v>
      </c>
    </row>
    <row r="2924" spans="1:7" s="7" customFormat="1" x14ac:dyDescent="0.15">
      <c r="A2924" s="2"/>
      <c r="B2924" s="20" t="s">
        <v>22</v>
      </c>
      <c r="C2924" s="21" t="s">
        <v>1127</v>
      </c>
      <c r="D2924" s="21" t="s">
        <v>211</v>
      </c>
      <c r="E2924" s="21" t="s">
        <v>1141</v>
      </c>
      <c r="F2924" s="21"/>
      <c r="G2924" s="22" t="s">
        <v>1162</v>
      </c>
    </row>
    <row r="2925" spans="1:7" s="7" customFormat="1" x14ac:dyDescent="0.15">
      <c r="A2925" s="2"/>
      <c r="B2925" s="20" t="s">
        <v>6</v>
      </c>
      <c r="C2925" s="21" t="s">
        <v>1163</v>
      </c>
      <c r="D2925" s="21" t="s">
        <v>211</v>
      </c>
      <c r="E2925" s="21">
        <v>0</v>
      </c>
      <c r="F2925" s="21"/>
      <c r="G2925" s="22" t="s">
        <v>1077</v>
      </c>
    </row>
    <row r="2926" spans="1:7" s="7" customFormat="1" x14ac:dyDescent="0.15">
      <c r="A2926" s="2"/>
      <c r="B2926" s="20" t="s">
        <v>111</v>
      </c>
      <c r="C2926" s="21" t="s">
        <v>1164</v>
      </c>
      <c r="D2926" s="21" t="s">
        <v>211</v>
      </c>
      <c r="E2926" s="21">
        <v>0</v>
      </c>
      <c r="F2926" s="21"/>
      <c r="G2926" s="22" t="s">
        <v>1165</v>
      </c>
    </row>
    <row r="2927" spans="1:7" s="7" customFormat="1" x14ac:dyDescent="0.15">
      <c r="A2927" s="2"/>
      <c r="B2927" s="20" t="s">
        <v>154</v>
      </c>
      <c r="C2927" s="21" t="s">
        <v>1133</v>
      </c>
      <c r="D2927" s="21" t="s">
        <v>211</v>
      </c>
      <c r="E2927" s="21">
        <v>0</v>
      </c>
      <c r="F2927" s="21"/>
      <c r="G2927" s="22" t="s">
        <v>1182</v>
      </c>
    </row>
    <row r="2928" spans="1:7" s="7" customFormat="1" x14ac:dyDescent="0.15">
      <c r="A2928" s="2"/>
      <c r="B2928" s="20" t="s">
        <v>113</v>
      </c>
      <c r="C2928" s="21" t="s">
        <v>1187</v>
      </c>
      <c r="D2928" s="21" t="s">
        <v>211</v>
      </c>
      <c r="E2928" s="21">
        <v>0</v>
      </c>
      <c r="F2928" s="21"/>
      <c r="G2928" s="22"/>
    </row>
    <row r="2929" spans="1:7" s="7" customFormat="1" x14ac:dyDescent="0.15">
      <c r="A2929" s="2"/>
      <c r="B2929" s="20" t="s">
        <v>7</v>
      </c>
      <c r="C2929" s="21" t="s">
        <v>1190</v>
      </c>
      <c r="D2929" s="21" t="s">
        <v>211</v>
      </c>
      <c r="E2929" s="21">
        <v>0</v>
      </c>
      <c r="F2929" s="21"/>
      <c r="G2929" s="22" t="s">
        <v>1081</v>
      </c>
    </row>
    <row r="2930" spans="1:7" s="7" customFormat="1" x14ac:dyDescent="0.15">
      <c r="A2930" s="2"/>
      <c r="B2930" s="20" t="s">
        <v>114</v>
      </c>
      <c r="C2930" s="21" t="s">
        <v>1155</v>
      </c>
      <c r="D2930" s="21" t="s">
        <v>211</v>
      </c>
      <c r="E2930" s="21">
        <v>0</v>
      </c>
      <c r="F2930" s="21"/>
      <c r="G2930" s="22"/>
    </row>
    <row r="2931" spans="1:7" s="7" customFormat="1" x14ac:dyDescent="0.15">
      <c r="A2931" s="2"/>
      <c r="B2931" s="20" t="s">
        <v>115</v>
      </c>
      <c r="C2931" s="21" t="s">
        <v>1188</v>
      </c>
      <c r="D2931" s="21" t="s">
        <v>211</v>
      </c>
      <c r="E2931" s="21">
        <v>0</v>
      </c>
      <c r="F2931" s="21"/>
      <c r="G2931" s="22"/>
    </row>
    <row r="2932" spans="1:7" s="7" customFormat="1" x14ac:dyDescent="0.15">
      <c r="A2932" s="2"/>
      <c r="B2932" s="20" t="s">
        <v>19</v>
      </c>
      <c r="C2932" s="21" t="s">
        <v>1337</v>
      </c>
      <c r="D2932" s="21" t="s">
        <v>1219</v>
      </c>
      <c r="E2932" s="21" t="s">
        <v>1072</v>
      </c>
      <c r="F2932" s="21"/>
      <c r="G2932" s="22" t="s">
        <v>1338</v>
      </c>
    </row>
    <row r="2933" spans="1:7" s="7" customFormat="1" x14ac:dyDescent="0.15">
      <c r="A2933" s="2"/>
      <c r="B2933" s="20" t="s">
        <v>214</v>
      </c>
      <c r="C2933" s="21" t="s">
        <v>1339</v>
      </c>
      <c r="D2933" s="21" t="s">
        <v>211</v>
      </c>
      <c r="E2933" s="21">
        <v>0</v>
      </c>
      <c r="F2933" s="21"/>
      <c r="G2933" s="22"/>
    </row>
    <row r="2934" spans="1:7" s="7" customFormat="1" x14ac:dyDescent="0.15">
      <c r="A2934" s="2"/>
      <c r="B2934" s="20" t="s">
        <v>213</v>
      </c>
      <c r="C2934" s="21" t="s">
        <v>1340</v>
      </c>
      <c r="D2934" s="21" t="s">
        <v>1219</v>
      </c>
      <c r="E2934" s="21" t="s">
        <v>1072</v>
      </c>
      <c r="F2934" s="21"/>
      <c r="G2934" s="22"/>
    </row>
    <row r="2935" spans="1:7" s="7" customFormat="1" x14ac:dyDescent="0.15">
      <c r="A2935" s="2"/>
      <c r="B2935" s="20" t="s">
        <v>94</v>
      </c>
      <c r="C2935" s="21" t="s">
        <v>1278</v>
      </c>
      <c r="D2935" s="21" t="s">
        <v>211</v>
      </c>
      <c r="E2935" s="21">
        <v>0</v>
      </c>
      <c r="F2935" s="21"/>
      <c r="G2935" s="22" t="s">
        <v>1279</v>
      </c>
    </row>
    <row r="2936" spans="1:7" s="7" customFormat="1" x14ac:dyDescent="0.15">
      <c r="A2936" s="2"/>
      <c r="B2936" s="20" t="s">
        <v>333</v>
      </c>
      <c r="C2936" s="21" t="s">
        <v>1341</v>
      </c>
      <c r="D2936" s="21" t="s">
        <v>1087</v>
      </c>
      <c r="E2936" s="21">
        <v>0</v>
      </c>
      <c r="F2936" s="21"/>
      <c r="G2936" s="22"/>
    </row>
    <row r="2937" spans="1:7" s="7" customFormat="1" x14ac:dyDescent="0.15">
      <c r="A2937" s="2"/>
      <c r="B2937" s="20" t="s">
        <v>334</v>
      </c>
      <c r="C2937" s="21" t="s">
        <v>1342</v>
      </c>
      <c r="D2937" s="21" t="s">
        <v>1169</v>
      </c>
      <c r="E2937" s="21">
        <v>0</v>
      </c>
      <c r="F2937" s="21"/>
      <c r="G2937" s="22"/>
    </row>
    <row r="2938" spans="1:7" s="7" customFormat="1" x14ac:dyDescent="0.15">
      <c r="A2938" s="2"/>
      <c r="B2938" s="20" t="s">
        <v>335</v>
      </c>
      <c r="C2938" s="21" t="s">
        <v>1560</v>
      </c>
      <c r="D2938" s="21" t="s">
        <v>1172</v>
      </c>
      <c r="E2938" s="21">
        <v>0</v>
      </c>
      <c r="F2938" s="21"/>
      <c r="G2938" s="22"/>
    </row>
    <row r="2939" spans="1:7" s="7" customFormat="1" x14ac:dyDescent="0.15">
      <c r="A2939" s="2"/>
      <c r="B2939" s="20" t="s">
        <v>336</v>
      </c>
      <c r="C2939" s="21" t="s">
        <v>1343</v>
      </c>
      <c r="D2939" s="21" t="s">
        <v>211</v>
      </c>
      <c r="E2939" s="21" t="s">
        <v>1141</v>
      </c>
      <c r="F2939" s="21"/>
      <c r="G2939" s="22"/>
    </row>
    <row r="2940" spans="1:7" s="7" customFormat="1" x14ac:dyDescent="0.15">
      <c r="A2940" s="2"/>
      <c r="B2940" s="20" t="s">
        <v>337</v>
      </c>
      <c r="C2940" s="21" t="s">
        <v>1344</v>
      </c>
      <c r="D2940" s="21" t="s">
        <v>1345</v>
      </c>
      <c r="E2940" s="21">
        <v>0</v>
      </c>
      <c r="F2940" s="21"/>
      <c r="G2940" s="22"/>
    </row>
    <row r="2941" spans="1:7" s="7" customFormat="1" x14ac:dyDescent="0.15">
      <c r="A2941" s="2"/>
      <c r="B2941" s="20" t="s">
        <v>338</v>
      </c>
      <c r="C2941" s="21" t="s">
        <v>1346</v>
      </c>
      <c r="D2941" s="21" t="s">
        <v>1345</v>
      </c>
      <c r="E2941" s="21">
        <v>0</v>
      </c>
      <c r="F2941" s="21"/>
      <c r="G2941" s="22"/>
    </row>
    <row r="2942" spans="1:7" s="7" customFormat="1" x14ac:dyDescent="0.15">
      <c r="A2942" s="2"/>
      <c r="B2942" s="20" t="s">
        <v>339</v>
      </c>
      <c r="C2942" s="21" t="s">
        <v>1347</v>
      </c>
      <c r="D2942" s="21" t="s">
        <v>211</v>
      </c>
      <c r="E2942" s="21">
        <v>0</v>
      </c>
      <c r="F2942" s="21"/>
      <c r="G2942" s="22"/>
    </row>
    <row r="2943" spans="1:7" s="7" customFormat="1" x14ac:dyDescent="0.15">
      <c r="A2943" s="2"/>
      <c r="B2943" s="20" t="s">
        <v>340</v>
      </c>
      <c r="C2943" s="21" t="s">
        <v>1348</v>
      </c>
      <c r="D2943" s="21" t="s">
        <v>211</v>
      </c>
      <c r="E2943" s="21">
        <v>0</v>
      </c>
      <c r="F2943" s="21"/>
      <c r="G2943" s="22"/>
    </row>
    <row r="2944" spans="1:7" s="7" customFormat="1" x14ac:dyDescent="0.15">
      <c r="A2944" s="2"/>
      <c r="B2944" s="20" t="s">
        <v>341</v>
      </c>
      <c r="C2944" s="21" t="s">
        <v>1349</v>
      </c>
      <c r="D2944" s="21" t="s">
        <v>211</v>
      </c>
      <c r="E2944" s="21">
        <v>0</v>
      </c>
      <c r="F2944" s="21"/>
      <c r="G2944" s="22"/>
    </row>
    <row r="2945" spans="1:7" s="7" customFormat="1" x14ac:dyDescent="0.15">
      <c r="A2945" s="2"/>
      <c r="B2945" s="20" t="s">
        <v>342</v>
      </c>
      <c r="C2945" s="21" t="s">
        <v>1350</v>
      </c>
      <c r="D2945" s="21" t="s">
        <v>1169</v>
      </c>
      <c r="E2945" s="21">
        <v>0</v>
      </c>
      <c r="F2945" s="21"/>
      <c r="G2945" s="22"/>
    </row>
    <row r="2946" spans="1:7" s="7" customFormat="1" x14ac:dyDescent="0.15">
      <c r="A2946" s="2"/>
      <c r="B2946" s="20" t="s">
        <v>343</v>
      </c>
      <c r="C2946" s="21" t="s">
        <v>1351</v>
      </c>
      <c r="D2946" s="21" t="s">
        <v>1169</v>
      </c>
      <c r="E2946" s="21">
        <v>0</v>
      </c>
      <c r="F2946" s="21"/>
      <c r="G2946" s="22"/>
    </row>
    <row r="2947" spans="1:7" s="7" customFormat="1" x14ac:dyDescent="0.15">
      <c r="A2947" s="2"/>
      <c r="B2947" s="20" t="s">
        <v>344</v>
      </c>
      <c r="C2947" s="21" t="s">
        <v>1352</v>
      </c>
      <c r="D2947" s="21" t="s">
        <v>211</v>
      </c>
      <c r="E2947" s="21">
        <v>0</v>
      </c>
      <c r="F2947" s="21"/>
      <c r="G2947" s="22"/>
    </row>
    <row r="2948" spans="1:7" s="7" customFormat="1" x14ac:dyDescent="0.15">
      <c r="A2948" s="2"/>
      <c r="B2948" s="20" t="s">
        <v>345</v>
      </c>
      <c r="C2948" s="21" t="s">
        <v>1353</v>
      </c>
      <c r="D2948" s="21" t="s">
        <v>1403</v>
      </c>
      <c r="E2948" s="21" t="s">
        <v>1303</v>
      </c>
      <c r="F2948" s="21"/>
      <c r="G2948" s="22" t="s">
        <v>1354</v>
      </c>
    </row>
    <row r="2949" spans="1:7" s="7" customFormat="1" ht="18" thickBot="1" x14ac:dyDescent="0.2">
      <c r="A2949" s="2"/>
      <c r="B2949" s="24"/>
      <c r="C2949" s="9"/>
      <c r="D2949" s="9"/>
      <c r="E2949" s="9"/>
      <c r="F2949" s="9"/>
      <c r="G2949" s="11"/>
    </row>
    <row r="2950" spans="1:7" s="7" customFormat="1" x14ac:dyDescent="0.15">
      <c r="A2950" s="2"/>
      <c r="B2950" s="327" t="s">
        <v>15</v>
      </c>
      <c r="C2950" s="328"/>
      <c r="D2950" s="328"/>
      <c r="E2950" s="328"/>
      <c r="F2950" s="328"/>
      <c r="G2950" s="329"/>
    </row>
    <row r="2951" spans="1:7" s="7" customFormat="1" x14ac:dyDescent="0.15">
      <c r="A2951" s="2"/>
      <c r="B2951" s="20">
        <v>1</v>
      </c>
      <c r="C2951" s="21" t="s">
        <v>22</v>
      </c>
      <c r="D2951" s="21" t="s">
        <v>113</v>
      </c>
      <c r="E2951" s="21" t="s">
        <v>114</v>
      </c>
      <c r="F2951" s="21" t="s">
        <v>115</v>
      </c>
      <c r="G2951" s="22" t="s">
        <v>94</v>
      </c>
    </row>
    <row r="2952" spans="1:7" s="7" customFormat="1" x14ac:dyDescent="0.15">
      <c r="A2952" s="2"/>
      <c r="B2952" s="20">
        <v>2</v>
      </c>
      <c r="C2952" s="21" t="s">
        <v>22</v>
      </c>
      <c r="D2952" s="21" t="s">
        <v>109</v>
      </c>
      <c r="E2952" s="21" t="s">
        <v>111</v>
      </c>
      <c r="F2952" s="21" t="s">
        <v>154</v>
      </c>
      <c r="G2952" s="21"/>
    </row>
    <row r="2953" spans="1:7" s="7" customFormat="1" x14ac:dyDescent="0.15">
      <c r="A2953" s="2"/>
      <c r="B2953" s="17">
        <v>3</v>
      </c>
      <c r="C2953" s="18" t="s">
        <v>344</v>
      </c>
      <c r="D2953" s="18" t="s">
        <v>508</v>
      </c>
      <c r="E2953" s="18"/>
      <c r="F2953" s="18"/>
      <c r="G2953" s="18"/>
    </row>
    <row r="2954" spans="1:7" s="7" customFormat="1" ht="18" thickBot="1" x14ac:dyDescent="0.2">
      <c r="A2954" s="2"/>
      <c r="B2954" s="24"/>
      <c r="C2954" s="9"/>
      <c r="D2954" s="9"/>
      <c r="E2954" s="9"/>
      <c r="F2954" s="9"/>
      <c r="G2954" s="11"/>
    </row>
    <row r="2955" spans="1:7" s="7" customFormat="1" x14ac:dyDescent="0.15">
      <c r="A2955" s="2"/>
    </row>
    <row r="2956" spans="1:7" ht="18" thickBot="1" x14ac:dyDescent="0.2"/>
    <row r="2957" spans="1:7" s="7" customFormat="1" x14ac:dyDescent="0.15">
      <c r="A2957" s="2"/>
      <c r="B2957" s="3" t="s">
        <v>563</v>
      </c>
      <c r="C2957" s="4" t="s">
        <v>659</v>
      </c>
      <c r="D2957" s="5" t="s">
        <v>515</v>
      </c>
      <c r="E2957" s="21" t="s">
        <v>740</v>
      </c>
      <c r="F2957" s="5" t="s">
        <v>567</v>
      </c>
      <c r="G2957" s="6"/>
    </row>
    <row r="2958" spans="1:7" s="7" customFormat="1" ht="18" thickBot="1" x14ac:dyDescent="0.2">
      <c r="A2958" s="2"/>
      <c r="B2958" s="8" t="s">
        <v>570</v>
      </c>
      <c r="C2958" s="9"/>
      <c r="D2958" s="10" t="s">
        <v>568</v>
      </c>
      <c r="E2958" s="9" t="s">
        <v>615</v>
      </c>
      <c r="F2958" s="10"/>
      <c r="G2958" s="11"/>
    </row>
    <row r="2959" spans="1:7" s="7" customFormat="1" x14ac:dyDescent="0.15">
      <c r="A2959" s="2"/>
      <c r="B2959" s="12" t="s">
        <v>0</v>
      </c>
      <c r="C2959" s="13" t="s">
        <v>1</v>
      </c>
      <c r="D2959" s="13" t="s">
        <v>2</v>
      </c>
      <c r="E2959" s="13"/>
      <c r="F2959" s="13" t="s">
        <v>3</v>
      </c>
      <c r="G2959" s="13" t="s">
        <v>4</v>
      </c>
    </row>
    <row r="2960" spans="1:7" s="7" customFormat="1" x14ac:dyDescent="0.15">
      <c r="A2960" s="2"/>
      <c r="B2960" s="14" t="s">
        <v>5</v>
      </c>
      <c r="C2960" s="15" t="s">
        <v>1127</v>
      </c>
      <c r="D2960" s="15" t="s">
        <v>211</v>
      </c>
      <c r="E2960" s="15" t="s">
        <v>1141</v>
      </c>
      <c r="F2960" s="15"/>
      <c r="G2960" s="16" t="s">
        <v>1162</v>
      </c>
    </row>
    <row r="2961" spans="1:7" s="7" customFormat="1" x14ac:dyDescent="0.15">
      <c r="A2961" s="2"/>
      <c r="B2961" s="14" t="s">
        <v>6</v>
      </c>
      <c r="C2961" s="15" t="s">
        <v>1163</v>
      </c>
      <c r="D2961" s="15" t="s">
        <v>211</v>
      </c>
      <c r="E2961" s="15">
        <v>0</v>
      </c>
      <c r="F2961" s="15"/>
      <c r="G2961" s="16" t="s">
        <v>1077</v>
      </c>
    </row>
    <row r="2962" spans="1:7" s="7" customFormat="1" x14ac:dyDescent="0.15">
      <c r="A2962" s="2"/>
      <c r="B2962" s="14" t="s">
        <v>111</v>
      </c>
      <c r="C2962" s="15" t="s">
        <v>1164</v>
      </c>
      <c r="D2962" s="15" t="s">
        <v>211</v>
      </c>
      <c r="E2962" s="15">
        <v>0</v>
      </c>
      <c r="F2962" s="15"/>
      <c r="G2962" s="16" t="s">
        <v>1165</v>
      </c>
    </row>
    <row r="2963" spans="1:7" s="7" customFormat="1" x14ac:dyDescent="0.15">
      <c r="A2963" s="2"/>
      <c r="B2963" s="14" t="s">
        <v>121</v>
      </c>
      <c r="C2963" s="15" t="s">
        <v>1187</v>
      </c>
      <c r="D2963" s="15" t="s">
        <v>211</v>
      </c>
      <c r="E2963" s="15">
        <v>0</v>
      </c>
      <c r="F2963" s="15"/>
      <c r="G2963" s="16"/>
    </row>
    <row r="2964" spans="1:7" s="7" customFormat="1" x14ac:dyDescent="0.15">
      <c r="A2964" s="2"/>
      <c r="B2964" s="14" t="s">
        <v>154</v>
      </c>
      <c r="C2964" s="15" t="s">
        <v>1133</v>
      </c>
      <c r="D2964" s="15" t="s">
        <v>211</v>
      </c>
      <c r="E2964" s="15">
        <v>0</v>
      </c>
      <c r="F2964" s="15"/>
      <c r="G2964" s="16" t="s">
        <v>1182</v>
      </c>
    </row>
    <row r="2965" spans="1:7" s="7" customFormat="1" x14ac:dyDescent="0.15">
      <c r="A2965" s="2"/>
      <c r="B2965" s="14" t="s">
        <v>23</v>
      </c>
      <c r="C2965" s="15" t="s">
        <v>1091</v>
      </c>
      <c r="D2965" s="15" t="s">
        <v>1131</v>
      </c>
      <c r="E2965" s="15" t="s">
        <v>1074</v>
      </c>
      <c r="F2965" s="15"/>
      <c r="G2965" s="16"/>
    </row>
    <row r="2966" spans="1:7" s="7" customFormat="1" x14ac:dyDescent="0.15">
      <c r="A2966" s="2"/>
      <c r="B2966" s="17" t="s">
        <v>24</v>
      </c>
      <c r="C2966" s="18" t="s">
        <v>1151</v>
      </c>
      <c r="D2966" s="18" t="s">
        <v>1169</v>
      </c>
      <c r="E2966" s="18">
        <v>0</v>
      </c>
      <c r="F2966" s="18"/>
      <c r="G2966" s="19" t="s">
        <v>1116</v>
      </c>
    </row>
    <row r="2967" spans="1:7" s="7" customFormat="1" x14ac:dyDescent="0.15">
      <c r="A2967" s="2"/>
      <c r="B2967" s="25" t="s">
        <v>456</v>
      </c>
      <c r="C2967" s="26" t="s">
        <v>1508</v>
      </c>
      <c r="D2967" s="26" t="s">
        <v>1169</v>
      </c>
      <c r="E2967" s="26">
        <v>0</v>
      </c>
      <c r="F2967" s="26"/>
      <c r="G2967" s="27"/>
    </row>
    <row r="2968" spans="1:7" s="7" customFormat="1" x14ac:dyDescent="0.15">
      <c r="A2968" s="2"/>
      <c r="B2968" s="17" t="s">
        <v>25</v>
      </c>
      <c r="C2968" s="18" t="s">
        <v>1150</v>
      </c>
      <c r="D2968" s="18" t="s">
        <v>1169</v>
      </c>
      <c r="E2968" s="18">
        <v>0</v>
      </c>
      <c r="F2968" s="18"/>
      <c r="G2968" s="19" t="s">
        <v>1312</v>
      </c>
    </row>
    <row r="2969" spans="1:7" s="7" customFormat="1" x14ac:dyDescent="0.15">
      <c r="A2969" s="2"/>
      <c r="B2969" s="20" t="s">
        <v>26</v>
      </c>
      <c r="C2969" s="21" t="s">
        <v>1152</v>
      </c>
      <c r="D2969" s="21" t="s">
        <v>1169</v>
      </c>
      <c r="E2969" s="21">
        <v>0</v>
      </c>
      <c r="F2969" s="21"/>
      <c r="G2969" s="22" t="s">
        <v>1323</v>
      </c>
    </row>
    <row r="2970" spans="1:7" s="7" customFormat="1" x14ac:dyDescent="0.15">
      <c r="A2970" s="2"/>
      <c r="B2970" s="20" t="s">
        <v>27</v>
      </c>
      <c r="C2970" s="21" t="s">
        <v>1313</v>
      </c>
      <c r="D2970" s="21" t="s">
        <v>1169</v>
      </c>
      <c r="E2970" s="21">
        <v>0</v>
      </c>
      <c r="F2970" s="21"/>
      <c r="G2970" s="22" t="s">
        <v>1314</v>
      </c>
    </row>
    <row r="2971" spans="1:7" s="7" customFormat="1" x14ac:dyDescent="0.15">
      <c r="A2971" s="2"/>
      <c r="B2971" s="17" t="s">
        <v>175</v>
      </c>
      <c r="C2971" s="18" t="s">
        <v>1129</v>
      </c>
      <c r="D2971" s="18" t="s">
        <v>1169</v>
      </c>
      <c r="E2971" s="18">
        <v>0</v>
      </c>
      <c r="F2971" s="18"/>
      <c r="G2971" s="19"/>
    </row>
    <row r="2972" spans="1:7" s="7" customFormat="1" x14ac:dyDescent="0.15">
      <c r="A2972" s="2"/>
      <c r="B2972" s="17" t="s">
        <v>176</v>
      </c>
      <c r="C2972" s="18" t="s">
        <v>1132</v>
      </c>
      <c r="D2972" s="18" t="s">
        <v>1169</v>
      </c>
      <c r="E2972" s="18">
        <v>0</v>
      </c>
      <c r="F2972" s="18"/>
      <c r="G2972" s="19"/>
    </row>
    <row r="2973" spans="1:7" s="7" customFormat="1" x14ac:dyDescent="0.15">
      <c r="B2973" s="17" t="s">
        <v>177</v>
      </c>
      <c r="C2973" s="18" t="s">
        <v>1143</v>
      </c>
      <c r="D2973" s="18" t="s">
        <v>1169</v>
      </c>
      <c r="E2973" s="18">
        <v>0</v>
      </c>
      <c r="F2973" s="18"/>
      <c r="G2973" s="19"/>
    </row>
    <row r="2974" spans="1:7" s="7" customFormat="1" x14ac:dyDescent="0.15">
      <c r="A2974" s="2"/>
      <c r="B2974" s="17" t="s">
        <v>178</v>
      </c>
      <c r="C2974" s="18" t="s">
        <v>1324</v>
      </c>
      <c r="D2974" s="18" t="s">
        <v>1172</v>
      </c>
      <c r="E2974" s="18">
        <v>0</v>
      </c>
      <c r="F2974" s="18"/>
      <c r="G2974" s="19"/>
    </row>
    <row r="2975" spans="1:7" s="7" customFormat="1" x14ac:dyDescent="0.15">
      <c r="B2975" s="17" t="s">
        <v>332</v>
      </c>
      <c r="C2975" s="18" t="s">
        <v>1325</v>
      </c>
      <c r="D2975" s="18" t="s">
        <v>1169</v>
      </c>
      <c r="E2975" s="18">
        <v>0</v>
      </c>
      <c r="F2975" s="18"/>
      <c r="G2975" s="19" t="s">
        <v>1326</v>
      </c>
    </row>
    <row r="2976" spans="1:7" s="7" customFormat="1" x14ac:dyDescent="0.15">
      <c r="B2976" s="17" t="s">
        <v>180</v>
      </c>
      <c r="C2976" s="18" t="s">
        <v>1309</v>
      </c>
      <c r="D2976" s="18" t="s">
        <v>1169</v>
      </c>
      <c r="E2976" s="18">
        <v>0</v>
      </c>
      <c r="F2976" s="18"/>
      <c r="G2976" s="19" t="s">
        <v>1310</v>
      </c>
    </row>
    <row r="2977" spans="1:7" s="7" customFormat="1" ht="18" thickBot="1" x14ac:dyDescent="0.2">
      <c r="A2977" s="2"/>
      <c r="B2977" s="17"/>
      <c r="C2977" s="18"/>
      <c r="D2977" s="18"/>
      <c r="E2977" s="18"/>
      <c r="F2977" s="18"/>
      <c r="G2977" s="19"/>
    </row>
    <row r="2978" spans="1:7" s="7" customFormat="1" x14ac:dyDescent="0.15">
      <c r="A2978" s="2"/>
      <c r="B2978" s="327" t="s">
        <v>15</v>
      </c>
      <c r="C2978" s="328"/>
      <c r="D2978" s="328"/>
      <c r="E2978" s="328"/>
      <c r="F2978" s="328"/>
      <c r="G2978" s="329"/>
    </row>
    <row r="2979" spans="1:7" s="7" customFormat="1" x14ac:dyDescent="0.15">
      <c r="A2979" s="2" t="s">
        <v>62</v>
      </c>
      <c r="B2979" s="20">
        <v>1</v>
      </c>
      <c r="C2979" s="21" t="s">
        <v>22</v>
      </c>
      <c r="D2979" s="21" t="s">
        <v>121</v>
      </c>
      <c r="E2979" s="21" t="s">
        <v>112</v>
      </c>
      <c r="F2979" s="21" t="s">
        <v>110</v>
      </c>
      <c r="G2979" s="22"/>
    </row>
    <row r="2980" spans="1:7" s="7" customFormat="1" x14ac:dyDescent="0.15">
      <c r="A2980" s="2"/>
      <c r="B2980" s="20">
        <v>2</v>
      </c>
      <c r="C2980" s="21" t="s">
        <v>22</v>
      </c>
      <c r="D2980" s="21" t="s">
        <v>16</v>
      </c>
      <c r="E2980" s="21" t="s">
        <v>111</v>
      </c>
      <c r="F2980" s="21" t="s">
        <v>110</v>
      </c>
      <c r="G2980" s="22"/>
    </row>
    <row r="2981" spans="1:7" s="7" customFormat="1" ht="18" thickBot="1" x14ac:dyDescent="0.2">
      <c r="A2981" s="2"/>
      <c r="B2981" s="24"/>
      <c r="C2981" s="9"/>
      <c r="D2981" s="9"/>
      <c r="E2981" s="9"/>
      <c r="F2981" s="9"/>
      <c r="G2981" s="11"/>
    </row>
    <row r="2982" spans="1:7" s="7" customFormat="1" x14ac:dyDescent="0.15">
      <c r="A2982" s="2"/>
    </row>
    <row r="2983" spans="1:7" ht="18" thickBot="1" x14ac:dyDescent="0.2"/>
    <row r="2984" spans="1:7" s="7" customFormat="1" x14ac:dyDescent="0.15">
      <c r="A2984" s="2"/>
      <c r="B2984" s="3" t="s">
        <v>563</v>
      </c>
      <c r="C2984" s="4" t="s">
        <v>665</v>
      </c>
      <c r="D2984" s="5" t="s">
        <v>515</v>
      </c>
      <c r="E2984" s="21" t="s">
        <v>592</v>
      </c>
      <c r="F2984" s="5" t="s">
        <v>567</v>
      </c>
      <c r="G2984" s="6" t="s">
        <v>666</v>
      </c>
    </row>
    <row r="2985" spans="1:7" s="7" customFormat="1" ht="18" thickBot="1" x14ac:dyDescent="0.2">
      <c r="A2985" s="2"/>
      <c r="B2985" s="34" t="s">
        <v>570</v>
      </c>
      <c r="C2985" s="18"/>
      <c r="D2985" s="35" t="s">
        <v>568</v>
      </c>
      <c r="E2985" s="18" t="s">
        <v>615</v>
      </c>
      <c r="F2985" s="35"/>
      <c r="G2985" s="19"/>
    </row>
    <row r="2986" spans="1:7" s="7" customFormat="1" x14ac:dyDescent="0.15">
      <c r="A2986" s="2"/>
      <c r="B2986" s="3" t="s">
        <v>0</v>
      </c>
      <c r="C2986" s="5" t="s">
        <v>1</v>
      </c>
      <c r="D2986" s="5" t="s">
        <v>2</v>
      </c>
      <c r="E2986" s="5"/>
      <c r="F2986" s="5" t="s">
        <v>3</v>
      </c>
      <c r="G2986" s="36" t="s">
        <v>4</v>
      </c>
    </row>
    <row r="2987" spans="1:7" s="7" customFormat="1" x14ac:dyDescent="0.15">
      <c r="B2987" s="14" t="s">
        <v>22</v>
      </c>
      <c r="C2987" s="15" t="s">
        <v>1127</v>
      </c>
      <c r="D2987" s="15" t="s">
        <v>211</v>
      </c>
      <c r="E2987" s="15" t="s">
        <v>1141</v>
      </c>
      <c r="F2987" s="15"/>
      <c r="G2987" s="16" t="s">
        <v>1162</v>
      </c>
    </row>
    <row r="2988" spans="1:7" s="7" customFormat="1" x14ac:dyDescent="0.15">
      <c r="A2988" s="2"/>
      <c r="B2988" s="20" t="s">
        <v>6</v>
      </c>
      <c r="C2988" s="21" t="s">
        <v>1163</v>
      </c>
      <c r="D2988" s="21" t="s">
        <v>211</v>
      </c>
      <c r="E2988" s="21">
        <v>0</v>
      </c>
      <c r="F2988" s="21"/>
      <c r="G2988" s="22" t="s">
        <v>1077</v>
      </c>
    </row>
    <row r="2989" spans="1:7" s="7" customFormat="1" x14ac:dyDescent="0.15">
      <c r="A2989" s="2"/>
      <c r="B2989" s="20" t="s">
        <v>111</v>
      </c>
      <c r="C2989" s="21" t="s">
        <v>1164</v>
      </c>
      <c r="D2989" s="21" t="s">
        <v>211</v>
      </c>
      <c r="E2989" s="21">
        <v>0</v>
      </c>
      <c r="F2989" s="21"/>
      <c r="G2989" s="22" t="s">
        <v>1165</v>
      </c>
    </row>
    <row r="2990" spans="1:7" s="7" customFormat="1" x14ac:dyDescent="0.15">
      <c r="A2990" s="2"/>
      <c r="B2990" s="20" t="s">
        <v>154</v>
      </c>
      <c r="C2990" s="21" t="s">
        <v>1133</v>
      </c>
      <c r="D2990" s="21" t="s">
        <v>211</v>
      </c>
      <c r="E2990" s="21">
        <v>0</v>
      </c>
      <c r="F2990" s="21"/>
      <c r="G2990" s="22" t="s">
        <v>1182</v>
      </c>
    </row>
    <row r="2991" spans="1:7" s="7" customFormat="1" x14ac:dyDescent="0.15">
      <c r="A2991" s="2"/>
      <c r="B2991" s="20" t="s">
        <v>23</v>
      </c>
      <c r="C2991" s="21" t="s">
        <v>1091</v>
      </c>
      <c r="D2991" s="21" t="s">
        <v>1131</v>
      </c>
      <c r="E2991" s="21" t="s">
        <v>1074</v>
      </c>
      <c r="F2991" s="21"/>
      <c r="G2991" s="22"/>
    </row>
    <row r="2992" spans="1:7" s="7" customFormat="1" x14ac:dyDescent="0.15">
      <c r="A2992" s="2"/>
      <c r="B2992" s="17" t="s">
        <v>312</v>
      </c>
      <c r="C2992" s="18" t="s">
        <v>1168</v>
      </c>
      <c r="D2992" s="18" t="s">
        <v>1169</v>
      </c>
      <c r="E2992" s="18">
        <v>0</v>
      </c>
      <c r="F2992" s="18"/>
      <c r="G2992" s="19"/>
    </row>
    <row r="2993" spans="1:7" s="7" customFormat="1" x14ac:dyDescent="0.15">
      <c r="A2993" s="2"/>
      <c r="B2993" s="17" t="s">
        <v>303</v>
      </c>
      <c r="C2993" s="18" t="s">
        <v>1170</v>
      </c>
      <c r="D2993" s="18" t="s">
        <v>1169</v>
      </c>
      <c r="E2993" s="18">
        <v>0</v>
      </c>
      <c r="F2993" s="18"/>
      <c r="G2993" s="19"/>
    </row>
    <row r="2994" spans="1:7" s="7" customFormat="1" x14ac:dyDescent="0.15">
      <c r="A2994" s="2"/>
      <c r="B2994" s="20" t="s">
        <v>313</v>
      </c>
      <c r="C2994" s="21" t="s">
        <v>1185</v>
      </c>
      <c r="D2994" s="21" t="s">
        <v>1169</v>
      </c>
      <c r="E2994" s="21">
        <v>0</v>
      </c>
      <c r="F2994" s="21"/>
      <c r="G2994" s="22"/>
    </row>
    <row r="2995" spans="1:7" s="7" customFormat="1" x14ac:dyDescent="0.15">
      <c r="A2995" s="2"/>
      <c r="B2995" s="20" t="s">
        <v>305</v>
      </c>
      <c r="C2995" s="21" t="s">
        <v>1181</v>
      </c>
      <c r="D2995" s="21" t="s">
        <v>1169</v>
      </c>
      <c r="E2995" s="21">
        <v>0</v>
      </c>
      <c r="F2995" s="21"/>
      <c r="G2995" s="22"/>
    </row>
    <row r="2996" spans="1:7" s="7" customFormat="1" x14ac:dyDescent="0.15">
      <c r="A2996" s="2"/>
      <c r="B2996" s="20" t="s">
        <v>306</v>
      </c>
      <c r="C2996" s="21" t="s">
        <v>1128</v>
      </c>
      <c r="D2996" s="21" t="s">
        <v>1169</v>
      </c>
      <c r="E2996" s="21">
        <v>0</v>
      </c>
      <c r="F2996" s="21"/>
      <c r="G2996" s="22"/>
    </row>
    <row r="2997" spans="1:7" s="7" customFormat="1" x14ac:dyDescent="0.15">
      <c r="A2997" s="2"/>
      <c r="B2997" s="17" t="s">
        <v>307</v>
      </c>
      <c r="C2997" s="18" t="s">
        <v>1173</v>
      </c>
      <c r="D2997" s="18" t="s">
        <v>1169</v>
      </c>
      <c r="E2997" s="18">
        <v>0</v>
      </c>
      <c r="F2997" s="18"/>
      <c r="G2997" s="19"/>
    </row>
    <row r="2998" spans="1:7" s="7" customFormat="1" x14ac:dyDescent="0.15">
      <c r="A2998" s="2"/>
      <c r="B2998" s="17" t="s">
        <v>308</v>
      </c>
      <c r="C2998" s="18" t="s">
        <v>1175</v>
      </c>
      <c r="D2998" s="18" t="s">
        <v>1169</v>
      </c>
      <c r="E2998" s="18">
        <v>0</v>
      </c>
      <c r="F2998" s="18"/>
      <c r="G2998" s="19"/>
    </row>
    <row r="2999" spans="1:7" s="7" customFormat="1" x14ac:dyDescent="0.15">
      <c r="A2999" s="2"/>
      <c r="B2999" s="17" t="s">
        <v>314</v>
      </c>
      <c r="C2999" s="18" t="s">
        <v>1089</v>
      </c>
      <c r="D2999" s="18" t="s">
        <v>1169</v>
      </c>
      <c r="E2999" s="18">
        <v>0</v>
      </c>
      <c r="F2999" s="18"/>
      <c r="G2999" s="19"/>
    </row>
    <row r="3000" spans="1:7" s="7" customFormat="1" x14ac:dyDescent="0.15">
      <c r="A3000" s="2"/>
      <c r="B3000" s="17" t="s">
        <v>310</v>
      </c>
      <c r="C3000" s="18" t="s">
        <v>1174</v>
      </c>
      <c r="D3000" s="18" t="s">
        <v>1169</v>
      </c>
      <c r="E3000" s="18">
        <v>0</v>
      </c>
      <c r="F3000" s="18"/>
      <c r="G3000" s="19"/>
    </row>
    <row r="3001" spans="1:7" s="7" customFormat="1" x14ac:dyDescent="0.15">
      <c r="A3001" s="2"/>
      <c r="B3001" s="17" t="s">
        <v>509</v>
      </c>
      <c r="C3001" s="18" t="s">
        <v>1186</v>
      </c>
      <c r="D3001" s="18" t="s">
        <v>1169</v>
      </c>
      <c r="E3001" s="18">
        <v>0</v>
      </c>
      <c r="F3001" s="18"/>
      <c r="G3001" s="19"/>
    </row>
    <row r="3002" spans="1:7" s="7" customFormat="1" ht="18" thickBot="1" x14ac:dyDescent="0.2">
      <c r="A3002" s="2"/>
      <c r="B3002" s="24"/>
      <c r="C3002" s="9"/>
      <c r="D3002" s="9"/>
      <c r="E3002" s="9"/>
      <c r="F3002" s="9"/>
      <c r="G3002" s="11"/>
    </row>
    <row r="3003" spans="1:7" s="7" customFormat="1" x14ac:dyDescent="0.15">
      <c r="A3003" s="2"/>
      <c r="B3003" s="327" t="s">
        <v>15</v>
      </c>
      <c r="C3003" s="328"/>
      <c r="D3003" s="328"/>
      <c r="E3003" s="328"/>
      <c r="F3003" s="328"/>
      <c r="G3003" s="329"/>
    </row>
    <row r="3004" spans="1:7" s="7" customFormat="1" x14ac:dyDescent="0.15">
      <c r="A3004" s="2" t="s">
        <v>62</v>
      </c>
      <c r="B3004" s="20">
        <v>1</v>
      </c>
      <c r="C3004" s="21" t="s">
        <v>22</v>
      </c>
      <c r="D3004" s="21" t="s">
        <v>154</v>
      </c>
      <c r="E3004" s="21" t="s">
        <v>182</v>
      </c>
      <c r="F3004" s="21"/>
      <c r="G3004" s="22"/>
    </row>
    <row r="3005" spans="1:7" s="7" customFormat="1" ht="18" thickBot="1" x14ac:dyDescent="0.2">
      <c r="A3005" s="2"/>
      <c r="B3005" s="24"/>
      <c r="C3005" s="9"/>
      <c r="D3005" s="9"/>
      <c r="E3005" s="9"/>
      <c r="F3005" s="9"/>
      <c r="G3005" s="11"/>
    </row>
    <row r="3006" spans="1:7" s="7" customFormat="1" ht="18" thickBot="1" x14ac:dyDescent="0.2">
      <c r="A3006" s="2"/>
    </row>
    <row r="3007" spans="1:7" s="7" customFormat="1" x14ac:dyDescent="0.15">
      <c r="A3007" s="2"/>
      <c r="B3007" s="3" t="s">
        <v>563</v>
      </c>
      <c r="C3007" s="4" t="s">
        <v>564</v>
      </c>
      <c r="D3007" s="5" t="s">
        <v>515</v>
      </c>
      <c r="E3007" s="21" t="s">
        <v>595</v>
      </c>
      <c r="F3007" s="5" t="s">
        <v>567</v>
      </c>
      <c r="G3007" s="6"/>
    </row>
    <row r="3008" spans="1:7" s="7" customFormat="1" ht="18" thickBot="1" x14ac:dyDescent="0.2">
      <c r="A3008" s="2"/>
      <c r="B3008" s="8" t="s">
        <v>570</v>
      </c>
      <c r="C3008" s="9"/>
      <c r="D3008" s="10" t="s">
        <v>568</v>
      </c>
      <c r="E3008" s="9" t="s">
        <v>615</v>
      </c>
      <c r="F3008" s="10"/>
      <c r="G3008" s="11"/>
    </row>
    <row r="3009" spans="1:7" s="7" customFormat="1" x14ac:dyDescent="0.15">
      <c r="A3009" s="2"/>
      <c r="B3009" s="12" t="s">
        <v>0</v>
      </c>
      <c r="C3009" s="13" t="s">
        <v>1</v>
      </c>
      <c r="D3009" s="13" t="s">
        <v>2</v>
      </c>
      <c r="E3009" s="13"/>
      <c r="F3009" s="13" t="s">
        <v>3</v>
      </c>
      <c r="G3009" s="13" t="s">
        <v>4</v>
      </c>
    </row>
    <row r="3010" spans="1:7" s="7" customFormat="1" x14ac:dyDescent="0.15">
      <c r="A3010" s="2"/>
      <c r="B3010" s="14" t="s">
        <v>5</v>
      </c>
      <c r="C3010" s="15" t="s">
        <v>1127</v>
      </c>
      <c r="D3010" s="15" t="s">
        <v>211</v>
      </c>
      <c r="E3010" s="15" t="s">
        <v>1141</v>
      </c>
      <c r="F3010" s="15"/>
      <c r="G3010" s="16" t="s">
        <v>1162</v>
      </c>
    </row>
    <row r="3011" spans="1:7" s="7" customFormat="1" x14ac:dyDescent="0.15">
      <c r="A3011" s="2"/>
      <c r="B3011" s="14" t="s">
        <v>6</v>
      </c>
      <c r="C3011" s="15" t="s">
        <v>1163</v>
      </c>
      <c r="D3011" s="15" t="s">
        <v>211</v>
      </c>
      <c r="E3011" s="15">
        <v>0</v>
      </c>
      <c r="F3011" s="15"/>
      <c r="G3011" s="16" t="s">
        <v>1077</v>
      </c>
    </row>
    <row r="3012" spans="1:7" s="7" customFormat="1" x14ac:dyDescent="0.15">
      <c r="A3012" s="2"/>
      <c r="B3012" s="14" t="s">
        <v>111</v>
      </c>
      <c r="C3012" s="15" t="s">
        <v>1164</v>
      </c>
      <c r="D3012" s="15" t="s">
        <v>211</v>
      </c>
      <c r="E3012" s="15">
        <v>0</v>
      </c>
      <c r="F3012" s="15"/>
      <c r="G3012" s="16" t="s">
        <v>1165</v>
      </c>
    </row>
    <row r="3013" spans="1:7" s="7" customFormat="1" x14ac:dyDescent="0.15">
      <c r="A3013" s="2"/>
      <c r="B3013" s="14" t="s">
        <v>154</v>
      </c>
      <c r="C3013" s="15" t="s">
        <v>1133</v>
      </c>
      <c r="D3013" s="15" t="s">
        <v>211</v>
      </c>
      <c r="E3013" s="15">
        <v>0</v>
      </c>
      <c r="F3013" s="15"/>
      <c r="G3013" s="16" t="s">
        <v>1182</v>
      </c>
    </row>
    <row r="3014" spans="1:7" s="7" customFormat="1" x14ac:dyDescent="0.15">
      <c r="A3014" s="2"/>
      <c r="B3014" s="14" t="s">
        <v>121</v>
      </c>
      <c r="C3014" s="15" t="s">
        <v>1187</v>
      </c>
      <c r="D3014" s="15" t="s">
        <v>211</v>
      </c>
      <c r="E3014" s="15">
        <v>0</v>
      </c>
      <c r="F3014" s="15"/>
      <c r="G3014" s="16"/>
    </row>
    <row r="3015" spans="1:7" s="7" customFormat="1" x14ac:dyDescent="0.15">
      <c r="A3015" s="2"/>
      <c r="B3015" s="14" t="s">
        <v>243</v>
      </c>
      <c r="C3015" s="15" t="s">
        <v>1450</v>
      </c>
      <c r="D3015" s="15" t="s">
        <v>1131</v>
      </c>
      <c r="E3015" s="15" t="s">
        <v>1074</v>
      </c>
      <c r="F3015" s="15"/>
      <c r="G3015" s="16"/>
    </row>
    <row r="3016" spans="1:7" s="7" customFormat="1" x14ac:dyDescent="0.15">
      <c r="A3016" s="2"/>
      <c r="B3016" s="14" t="s">
        <v>510</v>
      </c>
      <c r="C3016" s="15" t="s">
        <v>1151</v>
      </c>
      <c r="D3016" s="15" t="s">
        <v>1169</v>
      </c>
      <c r="E3016" s="15">
        <v>0</v>
      </c>
      <c r="F3016" s="15"/>
      <c r="G3016" s="16" t="s">
        <v>1116</v>
      </c>
    </row>
    <row r="3017" spans="1:7" s="7" customFormat="1" x14ac:dyDescent="0.15">
      <c r="A3017" s="2"/>
      <c r="B3017" s="17" t="s">
        <v>25</v>
      </c>
      <c r="C3017" s="18" t="s">
        <v>1150</v>
      </c>
      <c r="D3017" s="18" t="s">
        <v>1169</v>
      </c>
      <c r="E3017" s="18">
        <v>0</v>
      </c>
      <c r="F3017" s="18"/>
      <c r="G3017" s="19" t="s">
        <v>1312</v>
      </c>
    </row>
    <row r="3018" spans="1:7" s="7" customFormat="1" x14ac:dyDescent="0.15">
      <c r="A3018" s="2"/>
      <c r="B3018" s="17" t="s">
        <v>26</v>
      </c>
      <c r="C3018" s="18" t="s">
        <v>1152</v>
      </c>
      <c r="D3018" s="18" t="s">
        <v>1169</v>
      </c>
      <c r="E3018" s="18">
        <v>0</v>
      </c>
      <c r="F3018" s="18"/>
      <c r="G3018" s="19" t="s">
        <v>1323</v>
      </c>
    </row>
    <row r="3019" spans="1:7" s="7" customFormat="1" x14ac:dyDescent="0.15">
      <c r="A3019" s="2"/>
      <c r="B3019" s="20" t="s">
        <v>27</v>
      </c>
      <c r="C3019" s="21" t="s">
        <v>1313</v>
      </c>
      <c r="D3019" s="21" t="s">
        <v>1169</v>
      </c>
      <c r="E3019" s="21">
        <v>0</v>
      </c>
      <c r="F3019" s="21"/>
      <c r="G3019" s="22" t="s">
        <v>1314</v>
      </c>
    </row>
    <row r="3020" spans="1:7" s="7" customFormat="1" x14ac:dyDescent="0.15">
      <c r="A3020" s="2"/>
      <c r="B3020" s="20" t="s">
        <v>493</v>
      </c>
      <c r="C3020" s="21" t="s">
        <v>1117</v>
      </c>
      <c r="D3020" s="21" t="s">
        <v>1169</v>
      </c>
      <c r="E3020" s="21">
        <v>0</v>
      </c>
      <c r="F3020" s="21"/>
      <c r="G3020" s="22"/>
    </row>
    <row r="3021" spans="1:7" s="7" customFormat="1" x14ac:dyDescent="0.15">
      <c r="A3021" s="2"/>
      <c r="B3021" s="20" t="s">
        <v>511</v>
      </c>
      <c r="C3021" s="21" t="s">
        <v>1315</v>
      </c>
      <c r="D3021" s="21" t="s">
        <v>1169</v>
      </c>
      <c r="E3021" s="21">
        <v>0</v>
      </c>
      <c r="F3021" s="21"/>
      <c r="G3021" s="22"/>
    </row>
    <row r="3022" spans="1:7" s="7" customFormat="1" x14ac:dyDescent="0.15">
      <c r="A3022" s="2"/>
      <c r="B3022" s="20" t="s">
        <v>321</v>
      </c>
      <c r="C3022" s="21" t="s">
        <v>1316</v>
      </c>
      <c r="D3022" s="21" t="s">
        <v>1169</v>
      </c>
      <c r="E3022" s="21">
        <v>0</v>
      </c>
      <c r="F3022" s="21"/>
      <c r="G3022" s="22"/>
    </row>
    <row r="3023" spans="1:7" s="7" customFormat="1" x14ac:dyDescent="0.15">
      <c r="A3023" s="2"/>
      <c r="B3023" s="20" t="s">
        <v>322</v>
      </c>
      <c r="C3023" s="21" t="s">
        <v>1317</v>
      </c>
      <c r="D3023" s="21" t="s">
        <v>1169</v>
      </c>
      <c r="E3023" s="21">
        <v>0</v>
      </c>
      <c r="F3023" s="21"/>
      <c r="G3023" s="22"/>
    </row>
    <row r="3024" spans="1:7" s="7" customFormat="1" x14ac:dyDescent="0.15">
      <c r="A3024" s="2"/>
      <c r="B3024" s="20" t="s">
        <v>330</v>
      </c>
      <c r="C3024" s="21" t="s">
        <v>1318</v>
      </c>
      <c r="D3024" s="21" t="s">
        <v>1169</v>
      </c>
      <c r="E3024" s="21">
        <v>0</v>
      </c>
      <c r="F3024" s="21"/>
      <c r="G3024" s="22"/>
    </row>
    <row r="3025" spans="1:8" s="7" customFormat="1" x14ac:dyDescent="0.15">
      <c r="A3025" s="2"/>
      <c r="B3025" s="20" t="s">
        <v>495</v>
      </c>
      <c r="C3025" s="21" t="s">
        <v>1153</v>
      </c>
      <c r="D3025" s="21" t="s">
        <v>1169</v>
      </c>
      <c r="E3025" s="21">
        <v>0</v>
      </c>
      <c r="F3025" s="21"/>
      <c r="G3025" s="22"/>
    </row>
    <row r="3026" spans="1:8" s="7" customFormat="1" x14ac:dyDescent="0.15">
      <c r="A3026" s="2"/>
      <c r="B3026" s="20" t="s">
        <v>323</v>
      </c>
      <c r="C3026" s="21" t="s">
        <v>1319</v>
      </c>
      <c r="D3026" s="21" t="s">
        <v>1169</v>
      </c>
      <c r="E3026" s="21">
        <v>0</v>
      </c>
      <c r="F3026" s="21"/>
      <c r="G3026" s="22"/>
    </row>
    <row r="3027" spans="1:8" s="7" customFormat="1" x14ac:dyDescent="0.15">
      <c r="A3027" s="2"/>
      <c r="B3027" s="20" t="s">
        <v>324</v>
      </c>
      <c r="C3027" s="21" t="s">
        <v>1320</v>
      </c>
      <c r="D3027" s="21" t="s">
        <v>1169</v>
      </c>
      <c r="E3027" s="21">
        <v>0</v>
      </c>
      <c r="F3027" s="21"/>
      <c r="G3027" s="22"/>
    </row>
    <row r="3028" spans="1:8" s="7" customFormat="1" x14ac:dyDescent="0.15">
      <c r="A3028" s="2"/>
      <c r="B3028" s="20" t="s">
        <v>325</v>
      </c>
      <c r="C3028" s="21" t="s">
        <v>1154</v>
      </c>
      <c r="D3028" s="21" t="s">
        <v>1169</v>
      </c>
      <c r="E3028" s="21">
        <v>0</v>
      </c>
      <c r="F3028" s="21"/>
      <c r="G3028" s="22"/>
    </row>
    <row r="3029" spans="1:8" s="7" customFormat="1" x14ac:dyDescent="0.15">
      <c r="A3029" s="2"/>
      <c r="B3029" s="20" t="s">
        <v>326</v>
      </c>
      <c r="C3029" s="21" t="s">
        <v>1321</v>
      </c>
      <c r="D3029" s="21" t="s">
        <v>1169</v>
      </c>
      <c r="E3029" s="21">
        <v>0</v>
      </c>
      <c r="F3029" s="21"/>
      <c r="G3029" s="22"/>
    </row>
    <row r="3030" spans="1:8" s="7" customFormat="1" ht="18" thickBot="1" x14ac:dyDescent="0.2">
      <c r="A3030" s="2"/>
      <c r="B3030" s="20"/>
      <c r="C3030" s="21"/>
      <c r="D3030" s="21"/>
      <c r="E3030" s="21"/>
      <c r="F3030" s="21"/>
      <c r="G3030" s="22"/>
    </row>
    <row r="3031" spans="1:8" s="7" customFormat="1" x14ac:dyDescent="0.15">
      <c r="A3031" s="2"/>
      <c r="B3031" s="327" t="s">
        <v>15</v>
      </c>
      <c r="C3031" s="328"/>
      <c r="D3031" s="328"/>
      <c r="E3031" s="328"/>
      <c r="F3031" s="328"/>
      <c r="G3031" s="329"/>
    </row>
    <row r="3032" spans="1:8" s="7" customFormat="1" x14ac:dyDescent="0.15">
      <c r="A3032" s="2" t="s">
        <v>62</v>
      </c>
      <c r="B3032" s="20">
        <v>1</v>
      </c>
      <c r="C3032" s="21" t="s">
        <v>154</v>
      </c>
      <c r="D3032" s="21" t="s">
        <v>121</v>
      </c>
      <c r="E3032" s="21" t="s">
        <v>243</v>
      </c>
      <c r="F3032" s="21"/>
      <c r="G3032" s="22"/>
    </row>
    <row r="3033" spans="1:8" s="7" customFormat="1" x14ac:dyDescent="0.15">
      <c r="A3033" s="2"/>
      <c r="B3033" s="20">
        <v>2</v>
      </c>
      <c r="C3033" s="18" t="s">
        <v>22</v>
      </c>
      <c r="D3033" s="21" t="s">
        <v>16</v>
      </c>
      <c r="E3033" s="21" t="s">
        <v>111</v>
      </c>
      <c r="F3033" s="21" t="s">
        <v>328</v>
      </c>
      <c r="G3033" s="21"/>
    </row>
    <row r="3034" spans="1:8" s="7" customFormat="1" ht="18" thickBot="1" x14ac:dyDescent="0.2">
      <c r="A3034" s="2"/>
      <c r="B3034" s="24"/>
      <c r="C3034" s="9"/>
      <c r="D3034" s="9"/>
      <c r="E3034" s="9"/>
      <c r="F3034" s="9"/>
      <c r="G3034" s="11"/>
    </row>
    <row r="3035" spans="1:8" s="7" customFormat="1" x14ac:dyDescent="0.15">
      <c r="A3035" s="2"/>
    </row>
    <row r="3036" spans="1:8" ht="18" thickBot="1" x14ac:dyDescent="0.2"/>
    <row r="3037" spans="1:8" s="7" customFormat="1" x14ac:dyDescent="0.15">
      <c r="A3037" s="2"/>
      <c r="B3037" s="3" t="s">
        <v>563</v>
      </c>
      <c r="C3037" s="4" t="s">
        <v>704</v>
      </c>
      <c r="D3037" s="5" t="s">
        <v>515</v>
      </c>
      <c r="E3037" s="176" t="s">
        <v>741</v>
      </c>
      <c r="F3037" s="5" t="s">
        <v>567</v>
      </c>
      <c r="G3037" s="6" t="s">
        <v>705</v>
      </c>
      <c r="H3037" s="6" t="str">
        <f>"create or replace view "&amp;C3037</f>
        <v>create or replace view vi_logic_rptasset_ReportProductPositionTradeQuery</v>
      </c>
    </row>
    <row r="3038" spans="1:8" s="7" customFormat="1" ht="18" thickBot="1" x14ac:dyDescent="0.2">
      <c r="A3038" s="2"/>
      <c r="B3038" s="34" t="s">
        <v>570</v>
      </c>
      <c r="C3038" s="18"/>
      <c r="D3038" s="35" t="s">
        <v>568</v>
      </c>
      <c r="E3038" s="18" t="s">
        <v>615</v>
      </c>
      <c r="F3038" s="35"/>
      <c r="G3038" s="19"/>
      <c r="H3038" s="11" t="str">
        <f>"/* "&amp;E3037&amp;"*/  as "</f>
        <v xml:space="preserve">/* 报表_资管报表_视图-报表产品持仓交易汇总查询*/  as </v>
      </c>
    </row>
    <row r="3039" spans="1:8" s="7" customFormat="1" x14ac:dyDescent="0.15">
      <c r="A3039" s="2"/>
      <c r="B3039" s="3" t="s">
        <v>0</v>
      </c>
      <c r="C3039" s="5" t="s">
        <v>1</v>
      </c>
      <c r="D3039" s="5" t="s">
        <v>2</v>
      </c>
      <c r="E3039" s="5"/>
      <c r="F3039" s="5" t="s">
        <v>3</v>
      </c>
      <c r="G3039" s="36" t="s">
        <v>4</v>
      </c>
      <c r="H3039" s="13" t="s">
        <v>474</v>
      </c>
    </row>
    <row r="3040" spans="1:8" s="7" customFormat="1" x14ac:dyDescent="0.15">
      <c r="A3040" s="2"/>
      <c r="B3040" s="176" t="s">
        <v>422</v>
      </c>
      <c r="C3040" s="246" t="s">
        <v>1127</v>
      </c>
      <c r="D3040" s="246" t="s">
        <v>211</v>
      </c>
      <c r="E3040" s="246" t="s">
        <v>1141</v>
      </c>
      <c r="F3040" s="246"/>
      <c r="G3040" s="246" t="s">
        <v>1162</v>
      </c>
      <c r="H3040" s="247"/>
    </row>
    <row r="3041" spans="1:16" s="7" customFormat="1" x14ac:dyDescent="0.15">
      <c r="A3041" s="2"/>
      <c r="B3041" s="176" t="s">
        <v>426</v>
      </c>
      <c r="C3041" s="246" t="s">
        <v>1163</v>
      </c>
      <c r="D3041" s="246" t="s">
        <v>211</v>
      </c>
      <c r="E3041" s="246">
        <v>0</v>
      </c>
      <c r="F3041" s="246"/>
      <c r="G3041" s="246" t="s">
        <v>1077</v>
      </c>
      <c r="H3041" s="247"/>
    </row>
    <row r="3042" spans="1:16" s="7" customFormat="1" ht="17.25" customHeight="1" x14ac:dyDescent="0.15">
      <c r="A3042" s="175"/>
      <c r="B3042" s="176" t="s">
        <v>111</v>
      </c>
      <c r="C3042" s="176" t="s">
        <v>1164</v>
      </c>
      <c r="D3042" s="176" t="s">
        <v>211</v>
      </c>
      <c r="E3042" s="176">
        <v>0</v>
      </c>
      <c r="F3042" s="176" t="s">
        <v>440</v>
      </c>
      <c r="G3042" s="176" t="s">
        <v>1165</v>
      </c>
      <c r="H3042" s="107" t="str">
        <f t="shared" ref="H3042:H3047" si="40">"ifnull("&amp;IF(I3042&lt;&gt;"",I3042,IF(F3042&lt;&gt;"",F3042,"t")&amp;"."&amp;C3042)&amp;","&amp;E3042&amp;") as "&amp;C3042&amp;",/*"&amp;B3042&amp;"*/"</f>
        <v>ifnull(t.pd_no,0) as pd_no,/*产品编号*/</v>
      </c>
      <c r="P3042" s="176" t="s">
        <v>111</v>
      </c>
    </row>
    <row r="3043" spans="1:16" s="7" customFormat="1" ht="17.25" customHeight="1" x14ac:dyDescent="0.15">
      <c r="A3043" s="175"/>
      <c r="B3043" s="176" t="s">
        <v>18</v>
      </c>
      <c r="C3043" s="176" t="s">
        <v>1190</v>
      </c>
      <c r="D3043" s="176" t="s">
        <v>211</v>
      </c>
      <c r="E3043" s="176">
        <v>0</v>
      </c>
      <c r="F3043" s="176" t="s">
        <v>440</v>
      </c>
      <c r="G3043" s="176" t="s">
        <v>1081</v>
      </c>
      <c r="H3043" s="107" t="str">
        <f t="shared" si="40"/>
        <v>ifnull(t.exch_no,0) as exch_no,/*市场编号*/</v>
      </c>
      <c r="P3043" s="176" t="s">
        <v>18</v>
      </c>
    </row>
    <row r="3044" spans="1:16" s="7" customFormat="1" ht="17.25" customHeight="1" x14ac:dyDescent="0.15">
      <c r="A3044" s="175"/>
      <c r="B3044" s="176" t="s">
        <v>118</v>
      </c>
      <c r="C3044" s="176" t="s">
        <v>1188</v>
      </c>
      <c r="D3044" s="176" t="s">
        <v>211</v>
      </c>
      <c r="E3044" s="176">
        <v>0</v>
      </c>
      <c r="F3044" s="176" t="s">
        <v>440</v>
      </c>
      <c r="G3044" s="176"/>
      <c r="H3044" s="107" t="str">
        <f t="shared" si="40"/>
        <v>ifnull(t.stock_code_no,0) as stock_code_no,/*证券代码编号*/</v>
      </c>
      <c r="P3044" s="176" t="s">
        <v>118</v>
      </c>
    </row>
    <row r="3045" spans="1:16" s="7" customFormat="1" ht="17.25" customHeight="1" x14ac:dyDescent="0.15">
      <c r="A3045" s="175"/>
      <c r="B3045" s="176" t="s">
        <v>93</v>
      </c>
      <c r="C3045" s="176" t="s">
        <v>1189</v>
      </c>
      <c r="D3045" s="176" t="s">
        <v>211</v>
      </c>
      <c r="E3045" s="176">
        <v>0</v>
      </c>
      <c r="F3045" s="176" t="s">
        <v>440</v>
      </c>
      <c r="G3045" s="176"/>
      <c r="H3045" s="107" t="str">
        <f t="shared" si="40"/>
        <v>ifnull(t.stock_type,0) as stock_type,/*证券类型*/</v>
      </c>
      <c r="P3045" s="176" t="s">
        <v>93</v>
      </c>
    </row>
    <row r="3046" spans="1:16" s="7" customFormat="1" ht="17.25" customHeight="1" x14ac:dyDescent="0.15">
      <c r="A3046" s="175"/>
      <c r="B3046" s="176" t="s">
        <v>524</v>
      </c>
      <c r="C3046" s="176" t="s">
        <v>1510</v>
      </c>
      <c r="D3046" s="176" t="s">
        <v>1087</v>
      </c>
      <c r="E3046" s="192">
        <v>0</v>
      </c>
      <c r="F3046" s="176" t="s">
        <v>440</v>
      </c>
      <c r="G3046" s="176"/>
      <c r="H3046" s="107" t="str">
        <f t="shared" si="40"/>
        <v>ifnull(t.pre_holding_qty,0) as pre_holding_qty,/*昨日持仓数量*/</v>
      </c>
      <c r="P3046" s="192" t="s">
        <v>8</v>
      </c>
    </row>
    <row r="3047" spans="1:16" s="7" customFormat="1" ht="17.25" customHeight="1" x14ac:dyDescent="0.15">
      <c r="A3047" s="175"/>
      <c r="B3047" s="176" t="s">
        <v>150</v>
      </c>
      <c r="C3047" s="176" t="s">
        <v>1417</v>
      </c>
      <c r="D3047" s="176" t="s">
        <v>1087</v>
      </c>
      <c r="E3047" s="192">
        <v>0</v>
      </c>
      <c r="F3047" s="176" t="s">
        <v>440</v>
      </c>
      <c r="G3047" s="176"/>
      <c r="H3047" s="107" t="str">
        <f t="shared" si="40"/>
        <v>ifnull(t.posi_qty,0) as posi_qty,/*持仓数量*/</v>
      </c>
      <c r="P3047" s="192" t="s">
        <v>9</v>
      </c>
    </row>
    <row r="3048" spans="1:16" s="7" customFormat="1" ht="17.25" customHeight="1" x14ac:dyDescent="0.15">
      <c r="A3048" s="175"/>
      <c r="B3048" s="176" t="s">
        <v>531</v>
      </c>
      <c r="C3048" s="176" t="s">
        <v>1113</v>
      </c>
      <c r="D3048" s="176" t="s">
        <v>1211</v>
      </c>
      <c r="E3048" s="193">
        <v>0</v>
      </c>
      <c r="F3048" s="176" t="s">
        <v>440</v>
      </c>
      <c r="G3048" s="176"/>
      <c r="H3048" s="107" t="str">
        <f>"ifnull("&amp;IF(I3048&lt;&gt;"",I3048,IF(F3048&lt;&gt;"",F3048,"t")&amp;"."&amp;C3048)&amp;","&amp;E3050&amp;") as "&amp;C3048&amp;",/*"&amp;B3048&amp;"*/"</f>
        <v>ifnull(t.today_close_price,0) as today_close_price,/*今收盘价*/</v>
      </c>
      <c r="P3048" s="193" t="s">
        <v>439</v>
      </c>
    </row>
    <row r="3049" spans="1:16" s="7" customFormat="1" ht="17.25" customHeight="1" x14ac:dyDescent="0.15">
      <c r="A3049" s="175"/>
      <c r="B3049" s="176" t="s">
        <v>443</v>
      </c>
      <c r="C3049" s="176" t="s">
        <v>1214</v>
      </c>
      <c r="D3049" s="176" t="s">
        <v>1169</v>
      </c>
      <c r="E3049" s="147">
        <v>0</v>
      </c>
      <c r="F3049" s="176" t="s">
        <v>440</v>
      </c>
      <c r="G3049" s="176"/>
      <c r="H3049" s="107" t="str">
        <f>"ifnull("&amp;IF(I3049&lt;&gt;"",I3049,IF(F3049&lt;&gt;"",F3049,"t")&amp;"."&amp;C3049)&amp;","&amp;E3051&amp;") as "&amp;C3049&amp;",/*"&amp;B3049&amp;"*/"</f>
        <v>ifnull(t.posi_market_value,0) as posi_market_value,/*持仓市值*/</v>
      </c>
      <c r="P3049" s="147" t="s">
        <v>432</v>
      </c>
    </row>
    <row r="3050" spans="1:16" s="7" customFormat="1" ht="17.25" customHeight="1" x14ac:dyDescent="0.15">
      <c r="A3050" s="175"/>
      <c r="B3050" s="245" t="s">
        <v>525</v>
      </c>
      <c r="C3050" s="245" t="s">
        <v>1511</v>
      </c>
      <c r="D3050" s="245" t="s">
        <v>1087</v>
      </c>
      <c r="E3050" s="147">
        <v>0</v>
      </c>
      <c r="F3050" s="245" t="s">
        <v>441</v>
      </c>
      <c r="G3050" s="176"/>
      <c r="H3050" s="107" t="str">
        <f>"ifnull("&amp;IF(I3050&lt;&gt;"",I3050,IF(F3050&lt;&gt;"",F3050,"t")&amp;"."&amp;C3050)&amp;","&amp;E3052&amp;") as "&amp;C3050&amp;",/*"&amp;B3050&amp;"*/"</f>
        <v>ifnull(a.today_buy_qty,0) as today_buy_qty,/*当日买入数量*/</v>
      </c>
      <c r="P3050" s="147" t="s">
        <v>433</v>
      </c>
    </row>
    <row r="3051" spans="1:16" s="7" customFormat="1" ht="17.25" customHeight="1" x14ac:dyDescent="0.15">
      <c r="A3051" s="175"/>
      <c r="B3051" s="245" t="s">
        <v>526</v>
      </c>
      <c r="C3051" s="245" t="s">
        <v>1512</v>
      </c>
      <c r="D3051" s="245" t="s">
        <v>1169</v>
      </c>
      <c r="E3051" s="147">
        <v>0</v>
      </c>
      <c r="F3051" s="245" t="s">
        <v>441</v>
      </c>
      <c r="G3051" s="176"/>
      <c r="H3051" s="107" t="str">
        <f>"ifnull("&amp;IF(I3051&lt;&gt;"",I3051,IF(F3051&lt;&gt;"",F3051,"t")&amp;"."&amp;C3051)&amp;","&amp;G3055&amp;") as "&amp;C3051&amp;",/*"&amp;B3051&amp;"*/"</f>
        <v>ifnull(a.today_buy_amt,) as today_buy_amt,/*当日买入金额*/</v>
      </c>
      <c r="P3051" s="147" t="s">
        <v>434</v>
      </c>
    </row>
    <row r="3052" spans="1:16" s="7" customFormat="1" ht="17.25" customHeight="1" x14ac:dyDescent="0.15">
      <c r="A3052" s="175"/>
      <c r="B3052" s="245" t="s">
        <v>527</v>
      </c>
      <c r="C3052" s="245" t="s">
        <v>1615</v>
      </c>
      <c r="D3052" s="245" t="s">
        <v>1211</v>
      </c>
      <c r="E3052" s="147">
        <v>0</v>
      </c>
      <c r="F3052" s="245" t="s">
        <v>441</v>
      </c>
      <c r="G3052" s="176"/>
      <c r="H3052" s="107" t="str">
        <f>"ifnull("&amp;IF(I3052&lt;&gt;"",I3052,IF(F3052&lt;&gt;"",F3052,"t")&amp;"."&amp;C3052)&amp;","&amp;G3056&amp;") as "&amp;C3052&amp;",/*"&amp;B3052&amp;"*/"</f>
        <v>ifnull(a.today_buy_price,) as today_buy_price,/*当日买入价格*/</v>
      </c>
      <c r="P3052" s="147" t="s">
        <v>435</v>
      </c>
    </row>
    <row r="3053" spans="1:16" s="7" customFormat="1" ht="17.25" customHeight="1" x14ac:dyDescent="0.15">
      <c r="A3053" s="175"/>
      <c r="B3053" s="245" t="s">
        <v>516</v>
      </c>
      <c r="C3053" s="245" t="s">
        <v>1501</v>
      </c>
      <c r="D3053" s="245" t="s">
        <v>211</v>
      </c>
      <c r="E3053" s="245" t="s">
        <v>1265</v>
      </c>
      <c r="F3053" s="245" t="s">
        <v>441</v>
      </c>
      <c r="G3053" s="176"/>
      <c r="H3053" s="107" t="str">
        <f>"ifnull("&amp;IF(I3053&lt;&gt;"",I3053,IF(F3053&lt;&gt;"",F3053,"t")&amp;"."&amp;C3053)&amp;","&amp;G3057&amp;") as "&amp;C3053&amp;",/*"&amp;B3053&amp;"*/"</f>
        <v>ifnull(a.buy_begin_time,) as buy_begin_time,/*买入开始时间*/</v>
      </c>
      <c r="P3053" s="245" t="s">
        <v>516</v>
      </c>
    </row>
    <row r="3054" spans="1:16" s="7" customFormat="1" ht="17.25" customHeight="1" x14ac:dyDescent="0.15">
      <c r="A3054" s="175"/>
      <c r="B3054" s="245" t="s">
        <v>517</v>
      </c>
      <c r="C3054" s="245" t="s">
        <v>1502</v>
      </c>
      <c r="D3054" s="245" t="s">
        <v>211</v>
      </c>
      <c r="E3054" s="245" t="s">
        <v>1265</v>
      </c>
      <c r="F3054" s="245" t="s">
        <v>441</v>
      </c>
      <c r="G3054" s="176"/>
      <c r="H3054" s="107" t="str">
        <f>"ifnull("&amp;IF(I3054&lt;&gt;"",I3054,IF(F3054&lt;&gt;"",F3054,"t")&amp;"."&amp;C3054)&amp;","&amp;G3058&amp;") as "&amp;C3054&amp;",/*"&amp;B3054&amp;"*/"</f>
        <v>ifnull(a.buy_end_time,) as buy_end_time,/*买入结束时间*/</v>
      </c>
      <c r="P3054" s="245" t="s">
        <v>517</v>
      </c>
    </row>
    <row r="3055" spans="1:16" s="7" customFormat="1" ht="17.25" customHeight="1" x14ac:dyDescent="0.15">
      <c r="A3055" s="175"/>
      <c r="B3055" s="245" t="s">
        <v>528</v>
      </c>
      <c r="C3055" s="245" t="s">
        <v>1513</v>
      </c>
      <c r="D3055" s="245" t="s">
        <v>1087</v>
      </c>
      <c r="E3055" s="147">
        <v>0</v>
      </c>
      <c r="F3055" s="245" t="s">
        <v>441</v>
      </c>
      <c r="G3055" s="176"/>
      <c r="H3055" s="107" t="str">
        <f>"ifnull("&amp;IF(I3055&lt;&gt;"",I3055,IF(F3055&lt;&gt;"",F3055,"t")&amp;"."&amp;C3055)&amp;","&amp;E3053&amp;") as "&amp;C3055&amp;",/*"&amp;B3055&amp;"*/"</f>
        <v>ifnull(a.today_sell_qty,date_format(curtime(),'%H%i%s')) as today_sell_qty,/*当日卖出数量*/</v>
      </c>
      <c r="P3055" s="147" t="s">
        <v>436</v>
      </c>
    </row>
    <row r="3056" spans="1:16" s="7" customFormat="1" ht="17.25" customHeight="1" x14ac:dyDescent="0.15">
      <c r="A3056" s="175"/>
      <c r="B3056" s="245" t="s">
        <v>529</v>
      </c>
      <c r="C3056" s="245" t="s">
        <v>1514</v>
      </c>
      <c r="D3056" s="245" t="s">
        <v>1169</v>
      </c>
      <c r="E3056" s="147">
        <v>0</v>
      </c>
      <c r="F3056" s="245" t="s">
        <v>441</v>
      </c>
      <c r="G3056" s="176"/>
      <c r="H3056" s="107" t="str">
        <f>"ifnull("&amp;IF(I3056&lt;&gt;"",I3056,IF(F3056&lt;&gt;"",F3056,"t")&amp;"."&amp;C3056)&amp;","&amp;E3054&amp;") as "&amp;C3056&amp;",/*"&amp;B3056&amp;"*/"</f>
        <v>ifnull(a.today_sell_amt,date_format(curtime(),'%H%i%s')) as today_sell_amt,/*当日卖出金额*/</v>
      </c>
      <c r="P3056" s="105" t="s">
        <v>706</v>
      </c>
    </row>
    <row r="3057" spans="1:16" s="7" customFormat="1" ht="17.25" customHeight="1" x14ac:dyDescent="0.15">
      <c r="A3057" s="175"/>
      <c r="B3057" s="245" t="s">
        <v>530</v>
      </c>
      <c r="C3057" s="245" t="s">
        <v>1515</v>
      </c>
      <c r="D3057" s="245" t="s">
        <v>1211</v>
      </c>
      <c r="E3057" s="147">
        <v>0</v>
      </c>
      <c r="F3057" s="245" t="s">
        <v>441</v>
      </c>
      <c r="G3057" s="176"/>
      <c r="H3057" s="107" t="str">
        <f>"ifnull("&amp;IF(I3057&lt;&gt;"",I3057,IF(F3057&lt;&gt;"",F3057,"t")&amp;"."&amp;C3057)&amp;","&amp;E3058&amp;") as "&amp;C3057&amp;",/*"&amp;B3057&amp;"*/"</f>
        <v>ifnull(a.today_sell_price,date_format(curtime(),'%H%i%s')) as today_sell_price,/*当日卖出价格*/</v>
      </c>
      <c r="P3057" s="147" t="s">
        <v>437</v>
      </c>
    </row>
    <row r="3058" spans="1:16" s="7" customFormat="1" ht="17.25" customHeight="1" x14ac:dyDescent="0.15">
      <c r="A3058" s="175"/>
      <c r="B3058" s="245" t="s">
        <v>518</v>
      </c>
      <c r="C3058" s="245" t="s">
        <v>1503</v>
      </c>
      <c r="D3058" s="245" t="s">
        <v>211</v>
      </c>
      <c r="E3058" s="245" t="s">
        <v>1265</v>
      </c>
      <c r="F3058" s="245" t="s">
        <v>441</v>
      </c>
      <c r="G3058" s="176"/>
      <c r="H3058" s="107" t="str">
        <f>"ifnull("&amp;IF(I3058&lt;&gt;"",I3058,IF(F3058&lt;&gt;"",F3058,"t")&amp;"."&amp;C3058)&amp;","&amp;E3059&amp;") as "&amp;C3058&amp;",/*"&amp;B3058&amp;"*/"</f>
        <v>ifnull(a.sell_begin_time,date_format(curtime(),'%H%i%s')) as sell_begin_time,/*卖出开始时间*/</v>
      </c>
      <c r="P3058" s="245" t="s">
        <v>518</v>
      </c>
    </row>
    <row r="3059" spans="1:16" s="7" customFormat="1" ht="17.25" customHeight="1" x14ac:dyDescent="0.15">
      <c r="A3059" s="175"/>
      <c r="B3059" s="245" t="s">
        <v>519</v>
      </c>
      <c r="C3059" s="245" t="s">
        <v>1610</v>
      </c>
      <c r="D3059" s="245" t="s">
        <v>211</v>
      </c>
      <c r="E3059" s="245" t="s">
        <v>1265</v>
      </c>
      <c r="F3059" s="245" t="s">
        <v>441</v>
      </c>
      <c r="G3059" s="176"/>
      <c r="H3059" s="107" t="str">
        <f>"ifnull("&amp;IF(I3059&lt;&gt;"",I3059,IF(F3059&lt;&gt;"",F3059,"t")&amp;"."&amp;C3059)&amp;","&amp;E3060&amp;") as "&amp;C3059&amp;",/*"&amp;B3059&amp;"*/"</f>
        <v>ifnull(a.sell_end_time,) as sell_end_time,/*卖出结束时间*/</v>
      </c>
      <c r="P3059" s="245" t="s">
        <v>519</v>
      </c>
    </row>
    <row r="3060" spans="1:16" s="7" customFormat="1" ht="17.25" customHeight="1" thickBot="1" x14ac:dyDescent="0.2">
      <c r="A3060" s="2"/>
      <c r="B3060" s="24"/>
      <c r="C3060" s="9"/>
      <c r="D3060" s="9"/>
      <c r="F3060" s="9"/>
      <c r="G3060" s="11"/>
    </row>
    <row r="3061" spans="1:16" s="7" customFormat="1" x14ac:dyDescent="0.15">
      <c r="A3061" s="2"/>
      <c r="B3061" s="327" t="s">
        <v>15</v>
      </c>
      <c r="C3061" s="328"/>
      <c r="D3061" s="328"/>
      <c r="E3061" s="328"/>
      <c r="F3061" s="328"/>
      <c r="G3061" s="329"/>
    </row>
    <row r="3062" spans="1:16" s="7" customFormat="1" ht="17.25" customHeight="1" thickBot="1" x14ac:dyDescent="0.2">
      <c r="A3062" s="2"/>
      <c r="B3062" s="24"/>
      <c r="C3062" s="9"/>
      <c r="D3062" s="9"/>
      <c r="E3062" s="9"/>
      <c r="F3062" s="9"/>
      <c r="G3062" s="11"/>
    </row>
    <row r="3063" spans="1:16" ht="17.25" customHeight="1" thickBot="1" x14ac:dyDescent="0.2"/>
    <row r="3064" spans="1:16" s="7" customFormat="1" x14ac:dyDescent="0.15">
      <c r="B3064" s="3" t="s">
        <v>563</v>
      </c>
      <c r="C3064" s="4" t="s">
        <v>994</v>
      </c>
      <c r="D3064" s="5" t="s">
        <v>515</v>
      </c>
      <c r="E3064" s="21" t="s">
        <v>993</v>
      </c>
      <c r="F3064" s="5" t="s">
        <v>567</v>
      </c>
      <c r="G3064" s="21" t="s">
        <v>993</v>
      </c>
    </row>
    <row r="3065" spans="1:16" s="7" customFormat="1" ht="18" thickBot="1" x14ac:dyDescent="0.2">
      <c r="B3065" s="34" t="s">
        <v>570</v>
      </c>
      <c r="C3065" s="18"/>
      <c r="D3065" s="35" t="s">
        <v>568</v>
      </c>
      <c r="E3065" s="18" t="s">
        <v>615</v>
      </c>
      <c r="F3065" s="35"/>
      <c r="G3065" s="19"/>
    </row>
    <row r="3066" spans="1:16" s="7" customFormat="1" x14ac:dyDescent="0.15">
      <c r="B3066" s="3" t="s">
        <v>0</v>
      </c>
      <c r="C3066" s="5" t="s">
        <v>1</v>
      </c>
      <c r="D3066" s="5" t="s">
        <v>2</v>
      </c>
      <c r="E3066" s="5"/>
      <c r="F3066" s="5" t="s">
        <v>3</v>
      </c>
      <c r="G3066" s="36" t="s">
        <v>4</v>
      </c>
    </row>
    <row r="3067" spans="1:16" s="7" customFormat="1" x14ac:dyDescent="0.15">
      <c r="B3067" s="20" t="s">
        <v>16</v>
      </c>
      <c r="C3067" s="21" t="s">
        <v>1163</v>
      </c>
      <c r="D3067" s="21" t="s">
        <v>211</v>
      </c>
      <c r="E3067" s="21">
        <v>0</v>
      </c>
      <c r="F3067" s="21"/>
      <c r="G3067" s="22" t="s">
        <v>1077</v>
      </c>
    </row>
    <row r="3068" spans="1:16" s="7" customFormat="1" x14ac:dyDescent="0.15">
      <c r="B3068" s="20" t="s">
        <v>111</v>
      </c>
      <c r="C3068" s="21" t="s">
        <v>1164</v>
      </c>
      <c r="D3068" s="21" t="s">
        <v>211</v>
      </c>
      <c r="E3068" s="21">
        <v>0</v>
      </c>
      <c r="F3068" s="21"/>
      <c r="G3068" s="22" t="s">
        <v>1165</v>
      </c>
    </row>
    <row r="3069" spans="1:16" s="7" customFormat="1" x14ac:dyDescent="0.15">
      <c r="B3069" s="20" t="s">
        <v>18</v>
      </c>
      <c r="C3069" s="21" t="s">
        <v>1190</v>
      </c>
      <c r="D3069" s="21" t="s">
        <v>211</v>
      </c>
      <c r="E3069" s="21">
        <v>0</v>
      </c>
      <c r="F3069" s="21"/>
      <c r="G3069" s="22" t="s">
        <v>1081</v>
      </c>
    </row>
    <row r="3070" spans="1:16" s="7" customFormat="1" x14ac:dyDescent="0.15">
      <c r="B3070" s="20" t="s">
        <v>760</v>
      </c>
      <c r="C3070" s="21" t="s">
        <v>1147</v>
      </c>
      <c r="D3070" s="21" t="s">
        <v>211</v>
      </c>
      <c r="E3070" s="21">
        <v>0</v>
      </c>
      <c r="F3070" s="21"/>
      <c r="G3070" s="22"/>
    </row>
    <row r="3071" spans="1:16" s="7" customFormat="1" x14ac:dyDescent="0.15">
      <c r="B3071" s="20" t="s">
        <v>761</v>
      </c>
      <c r="C3071" s="21" t="s">
        <v>1110</v>
      </c>
      <c r="D3071" s="21" t="s">
        <v>211</v>
      </c>
      <c r="E3071" s="21">
        <v>0</v>
      </c>
      <c r="F3071" s="21"/>
      <c r="G3071" s="22"/>
    </row>
    <row r="3072" spans="1:16" s="7" customFormat="1" x14ac:dyDescent="0.15">
      <c r="B3072" s="20" t="s">
        <v>764</v>
      </c>
      <c r="C3072" s="21" t="s">
        <v>1216</v>
      </c>
      <c r="D3072" s="21" t="s">
        <v>211</v>
      </c>
      <c r="E3072" s="21">
        <v>0</v>
      </c>
      <c r="F3072" s="21"/>
      <c r="G3072" s="22"/>
    </row>
    <row r="3073" spans="1:14" s="7" customFormat="1" x14ac:dyDescent="0.15">
      <c r="B3073" s="20" t="s">
        <v>415</v>
      </c>
      <c r="C3073" s="21" t="s">
        <v>1195</v>
      </c>
      <c r="D3073" s="21" t="s">
        <v>1087</v>
      </c>
      <c r="E3073" s="21">
        <v>0</v>
      </c>
      <c r="F3073" s="21"/>
      <c r="G3073" s="22" t="s">
        <v>1196</v>
      </c>
    </row>
    <row r="3074" spans="1:14" s="7" customFormat="1" x14ac:dyDescent="0.15">
      <c r="A3074" s="2"/>
      <c r="B3074" s="17" t="s">
        <v>127</v>
      </c>
      <c r="C3074" s="18" t="s">
        <v>1266</v>
      </c>
      <c r="D3074" s="18" t="s">
        <v>1211</v>
      </c>
      <c r="E3074" s="18">
        <v>0</v>
      </c>
      <c r="F3074" s="18"/>
      <c r="G3074" s="19"/>
    </row>
    <row r="3075" spans="1:14" s="7" customFormat="1" x14ac:dyDescent="0.15">
      <c r="A3075" s="2"/>
      <c r="B3075" s="17" t="s">
        <v>973</v>
      </c>
      <c r="C3075" s="18" t="s">
        <v>1272</v>
      </c>
      <c r="D3075" s="18" t="s">
        <v>1169</v>
      </c>
      <c r="E3075" s="18">
        <v>0</v>
      </c>
      <c r="F3075" s="18"/>
      <c r="G3075" s="19"/>
    </row>
    <row r="3076" spans="1:14" s="7" customFormat="1" x14ac:dyDescent="0.15">
      <c r="B3076" s="20" t="s">
        <v>775</v>
      </c>
      <c r="C3076" s="21" t="s">
        <v>1224</v>
      </c>
      <c r="D3076" s="21" t="s">
        <v>1169</v>
      </c>
      <c r="E3076" s="21">
        <v>0</v>
      </c>
      <c r="F3076" s="21"/>
      <c r="G3076" s="22" t="s">
        <v>1111</v>
      </c>
    </row>
    <row r="3077" spans="1:14" s="7" customFormat="1" x14ac:dyDescent="0.15">
      <c r="B3077" s="20" t="s">
        <v>411</v>
      </c>
      <c r="C3077" s="21" t="s">
        <v>1138</v>
      </c>
      <c r="D3077" s="21" t="s">
        <v>1087</v>
      </c>
      <c r="E3077" s="21">
        <v>0</v>
      </c>
      <c r="F3077" s="21"/>
      <c r="G3077" s="22"/>
    </row>
    <row r="3078" spans="1:14" s="7" customFormat="1" x14ac:dyDescent="0.15">
      <c r="B3078" s="20" t="s">
        <v>864</v>
      </c>
      <c r="C3078" s="21" t="s">
        <v>1229</v>
      </c>
      <c r="D3078" s="21" t="s">
        <v>1087</v>
      </c>
      <c r="E3078" s="21">
        <v>0</v>
      </c>
      <c r="F3078" s="21"/>
      <c r="G3078" s="22"/>
    </row>
    <row r="3079" spans="1:14" s="7" customFormat="1" x14ac:dyDescent="0.15">
      <c r="B3079" s="20" t="s">
        <v>443</v>
      </c>
      <c r="C3079" s="21" t="s">
        <v>1214</v>
      </c>
      <c r="D3079" s="18" t="s">
        <v>1169</v>
      </c>
      <c r="E3079" s="21">
        <v>0</v>
      </c>
      <c r="F3079" s="21"/>
      <c r="G3079" s="22"/>
    </row>
    <row r="3080" spans="1:14" s="7" customFormat="1" ht="18" thickBot="1" x14ac:dyDescent="0.2">
      <c r="B3080" s="20" t="s">
        <v>480</v>
      </c>
      <c r="C3080" s="21" t="s">
        <v>1079</v>
      </c>
      <c r="D3080" s="21" t="s">
        <v>1172</v>
      </c>
      <c r="E3080" s="21">
        <v>0</v>
      </c>
      <c r="F3080" s="21"/>
      <c r="G3080" s="22"/>
      <c r="H3080" s="7" t="str">
        <f>"ifnull("&amp;IF(I3080&lt;&gt;"",I3080,IF(F3080&lt;&gt;"",F3080,"t")&amp;"."&amp;C3080)&amp;","&amp;E3080&amp;") as "&amp;C3080&amp;",/*"&amp;B3080&amp;"*/"</f>
        <v>ifnull(t.posi_nav_ratio,0) as posi_nav_ratio,/*持仓净值占比*/</v>
      </c>
      <c r="J3080" s="7" t="s">
        <v>352</v>
      </c>
      <c r="K3080" s="7" t="s">
        <v>348</v>
      </c>
      <c r="L3080" s="7" t="s">
        <v>349</v>
      </c>
      <c r="M3080" s="7" t="s">
        <v>349</v>
      </c>
      <c r="N3080" s="7">
        <v>1197</v>
      </c>
    </row>
    <row r="3081" spans="1:14" s="7" customFormat="1" x14ac:dyDescent="0.15">
      <c r="A3081" s="2"/>
      <c r="B3081" s="327" t="s">
        <v>15</v>
      </c>
      <c r="C3081" s="328"/>
      <c r="D3081" s="328"/>
      <c r="E3081" s="328"/>
      <c r="F3081" s="328"/>
      <c r="G3081" s="329"/>
    </row>
    <row r="3082" spans="1:14" s="7" customFormat="1" ht="17.25" customHeight="1" thickBot="1" x14ac:dyDescent="0.2">
      <c r="A3082" s="2"/>
      <c r="B3082" s="24"/>
      <c r="C3082" s="9"/>
      <c r="D3082" s="9"/>
      <c r="E3082" s="9"/>
      <c r="F3082" s="9"/>
      <c r="G3082" s="11"/>
    </row>
    <row r="3083" spans="1:14" ht="17.25" customHeight="1" thickBot="1" x14ac:dyDescent="0.2"/>
    <row r="3084" spans="1:14" s="7" customFormat="1" ht="20.25" customHeight="1" x14ac:dyDescent="0.15">
      <c r="B3084" s="3" t="s">
        <v>563</v>
      </c>
      <c r="C3084" s="4" t="s">
        <v>995</v>
      </c>
      <c r="D3084" s="5" t="s">
        <v>515</v>
      </c>
      <c r="E3084" s="21" t="s">
        <v>996</v>
      </c>
      <c r="F3084" s="5" t="s">
        <v>567</v>
      </c>
      <c r="G3084" s="21" t="s">
        <v>993</v>
      </c>
    </row>
    <row r="3085" spans="1:14" s="7" customFormat="1" ht="18" thickBot="1" x14ac:dyDescent="0.2">
      <c r="B3085" s="34" t="s">
        <v>570</v>
      </c>
      <c r="C3085" s="18"/>
      <c r="D3085" s="35" t="s">
        <v>568</v>
      </c>
      <c r="E3085" s="18" t="s">
        <v>615</v>
      </c>
      <c r="F3085" s="35"/>
      <c r="G3085" s="19"/>
    </row>
    <row r="3086" spans="1:14" s="7" customFormat="1" x14ac:dyDescent="0.15">
      <c r="B3086" s="3" t="s">
        <v>0</v>
      </c>
      <c r="C3086" s="5" t="s">
        <v>1</v>
      </c>
      <c r="D3086" s="5" t="s">
        <v>2</v>
      </c>
      <c r="E3086" s="5"/>
      <c r="F3086" s="5" t="s">
        <v>3</v>
      </c>
      <c r="G3086" s="36" t="s">
        <v>4</v>
      </c>
    </row>
    <row r="3087" spans="1:14" s="7" customFormat="1" x14ac:dyDescent="0.15">
      <c r="B3087" s="20" t="s">
        <v>16</v>
      </c>
      <c r="C3087" s="21" t="s">
        <v>1163</v>
      </c>
      <c r="D3087" s="21" t="s">
        <v>211</v>
      </c>
      <c r="E3087" s="21">
        <v>0</v>
      </c>
      <c r="F3087" s="21"/>
      <c r="G3087" s="22" t="s">
        <v>1077</v>
      </c>
    </row>
    <row r="3088" spans="1:14" s="7" customFormat="1" x14ac:dyDescent="0.15">
      <c r="B3088" s="20" t="s">
        <v>111</v>
      </c>
      <c r="C3088" s="21" t="s">
        <v>1164</v>
      </c>
      <c r="D3088" s="21" t="s">
        <v>211</v>
      </c>
      <c r="E3088" s="21">
        <v>0</v>
      </c>
      <c r="F3088" s="21"/>
      <c r="G3088" s="22" t="s">
        <v>1165</v>
      </c>
    </row>
    <row r="3089" spans="1:14" x14ac:dyDescent="0.15">
      <c r="B3089" s="33" t="s">
        <v>112</v>
      </c>
      <c r="C3089" s="29" t="s">
        <v>1085</v>
      </c>
      <c r="D3089" s="29" t="s">
        <v>423</v>
      </c>
      <c r="E3089" s="132">
        <v>0</v>
      </c>
      <c r="F3089" s="29"/>
      <c r="G3089" s="141" t="s">
        <v>1509</v>
      </c>
    </row>
    <row r="3090" spans="1:14" s="7" customFormat="1" x14ac:dyDescent="0.15">
      <c r="B3090" s="20" t="s">
        <v>18</v>
      </c>
      <c r="C3090" s="21" t="s">
        <v>1190</v>
      </c>
      <c r="D3090" s="21" t="s">
        <v>211</v>
      </c>
      <c r="E3090" s="21">
        <v>0</v>
      </c>
      <c r="F3090" s="21"/>
      <c r="G3090" s="22" t="s">
        <v>1081</v>
      </c>
    </row>
    <row r="3091" spans="1:14" s="7" customFormat="1" x14ac:dyDescent="0.15">
      <c r="B3091" s="20" t="s">
        <v>760</v>
      </c>
      <c r="C3091" s="21" t="s">
        <v>1147</v>
      </c>
      <c r="D3091" s="21" t="s">
        <v>211</v>
      </c>
      <c r="E3091" s="21">
        <v>0</v>
      </c>
      <c r="F3091" s="21"/>
      <c r="G3091" s="22"/>
    </row>
    <row r="3092" spans="1:14" s="7" customFormat="1" x14ac:dyDescent="0.15">
      <c r="B3092" s="20" t="s">
        <v>761</v>
      </c>
      <c r="C3092" s="21" t="s">
        <v>1110</v>
      </c>
      <c r="D3092" s="21" t="s">
        <v>211</v>
      </c>
      <c r="E3092" s="21">
        <v>0</v>
      </c>
      <c r="F3092" s="21"/>
      <c r="G3092" s="22"/>
    </row>
    <row r="3093" spans="1:14" s="7" customFormat="1" x14ac:dyDescent="0.15">
      <c r="B3093" s="20" t="s">
        <v>764</v>
      </c>
      <c r="C3093" s="21" t="s">
        <v>1216</v>
      </c>
      <c r="D3093" s="21" t="s">
        <v>211</v>
      </c>
      <c r="E3093" s="21">
        <v>0</v>
      </c>
      <c r="F3093" s="21"/>
      <c r="G3093" s="22"/>
    </row>
    <row r="3094" spans="1:14" s="7" customFormat="1" x14ac:dyDescent="0.15">
      <c r="B3094" s="20" t="s">
        <v>415</v>
      </c>
      <c r="C3094" s="21" t="s">
        <v>1195</v>
      </c>
      <c r="D3094" s="21" t="s">
        <v>1087</v>
      </c>
      <c r="E3094" s="21">
        <v>0</v>
      </c>
      <c r="F3094" s="21"/>
      <c r="G3094" s="22" t="s">
        <v>1196</v>
      </c>
    </row>
    <row r="3095" spans="1:14" s="7" customFormat="1" x14ac:dyDescent="0.15">
      <c r="A3095" s="2"/>
      <c r="B3095" s="17" t="s">
        <v>127</v>
      </c>
      <c r="C3095" s="18" t="s">
        <v>1266</v>
      </c>
      <c r="D3095" s="18" t="s">
        <v>1211</v>
      </c>
      <c r="E3095" s="18">
        <v>0</v>
      </c>
      <c r="F3095" s="18"/>
      <c r="G3095" s="19"/>
    </row>
    <row r="3096" spans="1:14" s="7" customFormat="1" x14ac:dyDescent="0.15">
      <c r="A3096" s="2"/>
      <c r="B3096" s="17" t="s">
        <v>973</v>
      </c>
      <c r="C3096" s="18" t="s">
        <v>1272</v>
      </c>
      <c r="D3096" s="18" t="s">
        <v>1169</v>
      </c>
      <c r="E3096" s="18">
        <v>0</v>
      </c>
      <c r="F3096" s="18"/>
      <c r="G3096" s="19"/>
    </row>
    <row r="3097" spans="1:14" s="7" customFormat="1" x14ac:dyDescent="0.15">
      <c r="B3097" s="20" t="s">
        <v>775</v>
      </c>
      <c r="C3097" s="21" t="s">
        <v>1224</v>
      </c>
      <c r="D3097" s="21" t="s">
        <v>1169</v>
      </c>
      <c r="E3097" s="21">
        <v>0</v>
      </c>
      <c r="F3097" s="21"/>
      <c r="G3097" s="22" t="s">
        <v>1111</v>
      </c>
    </row>
    <row r="3098" spans="1:14" s="7" customFormat="1" x14ac:dyDescent="0.15">
      <c r="B3098" s="20" t="s">
        <v>411</v>
      </c>
      <c r="C3098" s="21" t="s">
        <v>1138</v>
      </c>
      <c r="D3098" s="21" t="s">
        <v>1087</v>
      </c>
      <c r="E3098" s="21">
        <v>0</v>
      </c>
      <c r="F3098" s="21"/>
      <c r="G3098" s="22"/>
    </row>
    <row r="3099" spans="1:14" s="7" customFormat="1" x14ac:dyDescent="0.15">
      <c r="B3099" s="20" t="s">
        <v>864</v>
      </c>
      <c r="C3099" s="21" t="s">
        <v>1229</v>
      </c>
      <c r="D3099" s="21" t="s">
        <v>1087</v>
      </c>
      <c r="E3099" s="21">
        <v>0</v>
      </c>
      <c r="F3099" s="21"/>
      <c r="G3099" s="22"/>
    </row>
    <row r="3100" spans="1:14" s="7" customFormat="1" x14ac:dyDescent="0.15">
      <c r="B3100" s="20" t="s">
        <v>443</v>
      </c>
      <c r="C3100" s="21" t="s">
        <v>1214</v>
      </c>
      <c r="D3100" s="18" t="s">
        <v>1169</v>
      </c>
      <c r="E3100" s="21">
        <v>0</v>
      </c>
      <c r="F3100" s="21"/>
      <c r="G3100" s="22"/>
    </row>
    <row r="3101" spans="1:14" s="7" customFormat="1" ht="18" thickBot="1" x14ac:dyDescent="0.2">
      <c r="B3101" s="20" t="s">
        <v>480</v>
      </c>
      <c r="C3101" s="21" t="s">
        <v>1079</v>
      </c>
      <c r="D3101" s="21" t="s">
        <v>1172</v>
      </c>
      <c r="E3101" s="21">
        <v>0</v>
      </c>
      <c r="F3101" s="21"/>
      <c r="G3101" s="22"/>
      <c r="H3101" s="7" t="str">
        <f>"ifnull("&amp;IF(I3101&lt;&gt;"",I3101,IF(F3101&lt;&gt;"",F3101,"t")&amp;"."&amp;C3101)&amp;","&amp;E3101&amp;") as "&amp;C3101&amp;",/*"&amp;B3101&amp;"*/"</f>
        <v>ifnull(t.posi_nav_ratio,0) as posi_nav_ratio,/*持仓净值占比*/</v>
      </c>
      <c r="J3101" s="7" t="s">
        <v>352</v>
      </c>
      <c r="K3101" s="7" t="s">
        <v>348</v>
      </c>
      <c r="L3101" s="7" t="s">
        <v>349</v>
      </c>
      <c r="M3101" s="7" t="s">
        <v>349</v>
      </c>
      <c r="N3101" s="7">
        <v>1197</v>
      </c>
    </row>
    <row r="3102" spans="1:14" s="7" customFormat="1" x14ac:dyDescent="0.15">
      <c r="A3102" s="2"/>
      <c r="B3102" s="327" t="s">
        <v>15</v>
      </c>
      <c r="C3102" s="328"/>
      <c r="D3102" s="328"/>
      <c r="E3102" s="328"/>
      <c r="F3102" s="328"/>
      <c r="G3102" s="329"/>
    </row>
    <row r="3103" spans="1:14" s="7" customFormat="1" ht="17.25" customHeight="1" thickBot="1" x14ac:dyDescent="0.2">
      <c r="A3103" s="2"/>
      <c r="B3103" s="24"/>
      <c r="C3103" s="9"/>
      <c r="D3103" s="9"/>
      <c r="E3103" s="9"/>
      <c r="F3103" s="9"/>
      <c r="G3103" s="11"/>
    </row>
    <row r="3104" spans="1:14" ht="17.25" customHeight="1" thickBot="1" x14ac:dyDescent="0.2"/>
    <row r="3105" spans="1:7" s="7" customFormat="1" x14ac:dyDescent="0.15">
      <c r="B3105" s="3" t="s">
        <v>563</v>
      </c>
      <c r="C3105" s="4" t="s">
        <v>1000</v>
      </c>
      <c r="D3105" s="5" t="s">
        <v>515</v>
      </c>
      <c r="E3105" s="21" t="s">
        <v>999</v>
      </c>
      <c r="F3105" s="5" t="s">
        <v>567</v>
      </c>
      <c r="G3105" s="21" t="s">
        <v>993</v>
      </c>
    </row>
    <row r="3106" spans="1:7" s="7" customFormat="1" ht="18" thickBot="1" x14ac:dyDescent="0.2">
      <c r="B3106" s="34" t="s">
        <v>570</v>
      </c>
      <c r="C3106" s="18"/>
      <c r="D3106" s="35" t="s">
        <v>568</v>
      </c>
      <c r="E3106" s="18" t="s">
        <v>615</v>
      </c>
      <c r="F3106" s="35"/>
      <c r="G3106" s="19"/>
    </row>
    <row r="3107" spans="1:7" s="7" customFormat="1" x14ac:dyDescent="0.15">
      <c r="B3107" s="3" t="s">
        <v>0</v>
      </c>
      <c r="C3107" s="5" t="s">
        <v>1</v>
      </c>
      <c r="D3107" s="5" t="s">
        <v>2</v>
      </c>
      <c r="E3107" s="5"/>
      <c r="F3107" s="5" t="s">
        <v>3</v>
      </c>
      <c r="G3107" s="36" t="s">
        <v>4</v>
      </c>
    </row>
    <row r="3108" spans="1:7" s="7" customFormat="1" x14ac:dyDescent="0.15">
      <c r="B3108" s="20" t="s">
        <v>22</v>
      </c>
      <c r="C3108" s="21" t="s">
        <v>1127</v>
      </c>
      <c r="D3108" s="21" t="s">
        <v>423</v>
      </c>
      <c r="E3108" s="21" t="s">
        <v>1096</v>
      </c>
      <c r="F3108" s="21"/>
      <c r="G3108" s="22" t="s">
        <v>1334</v>
      </c>
    </row>
    <row r="3109" spans="1:7" s="7" customFormat="1" x14ac:dyDescent="0.15">
      <c r="B3109" s="20" t="s">
        <v>16</v>
      </c>
      <c r="C3109" s="21" t="s">
        <v>1163</v>
      </c>
      <c r="D3109" s="21" t="s">
        <v>211</v>
      </c>
      <c r="E3109" s="21">
        <v>0</v>
      </c>
      <c r="F3109" s="21"/>
      <c r="G3109" s="22" t="s">
        <v>1077</v>
      </c>
    </row>
    <row r="3110" spans="1:7" s="7" customFormat="1" x14ac:dyDescent="0.15">
      <c r="B3110" s="20" t="s">
        <v>111</v>
      </c>
      <c r="C3110" s="21" t="s">
        <v>1164</v>
      </c>
      <c r="D3110" s="21" t="s">
        <v>211</v>
      </c>
      <c r="E3110" s="21">
        <v>0</v>
      </c>
      <c r="F3110" s="21"/>
      <c r="G3110" s="22" t="s">
        <v>1165</v>
      </c>
    </row>
    <row r="3111" spans="1:7" s="7" customFormat="1" x14ac:dyDescent="0.15">
      <c r="B3111" s="20" t="s">
        <v>18</v>
      </c>
      <c r="C3111" s="21" t="s">
        <v>1190</v>
      </c>
      <c r="D3111" s="21" t="s">
        <v>211</v>
      </c>
      <c r="E3111" s="21">
        <v>0</v>
      </c>
      <c r="F3111" s="21"/>
      <c r="G3111" s="22" t="s">
        <v>1081</v>
      </c>
    </row>
    <row r="3112" spans="1:7" s="7" customFormat="1" x14ac:dyDescent="0.15">
      <c r="B3112" s="20" t="s">
        <v>760</v>
      </c>
      <c r="C3112" s="21" t="s">
        <v>1147</v>
      </c>
      <c r="D3112" s="21" t="s">
        <v>211</v>
      </c>
      <c r="E3112" s="21">
        <v>0</v>
      </c>
      <c r="F3112" s="21"/>
      <c r="G3112" s="22"/>
    </row>
    <row r="3113" spans="1:7" s="7" customFormat="1" x14ac:dyDescent="0.15">
      <c r="B3113" s="20" t="s">
        <v>761</v>
      </c>
      <c r="C3113" s="21" t="s">
        <v>1110</v>
      </c>
      <c r="D3113" s="21" t="s">
        <v>211</v>
      </c>
      <c r="E3113" s="21">
        <v>0</v>
      </c>
      <c r="F3113" s="21"/>
      <c r="G3113" s="22"/>
    </row>
    <row r="3114" spans="1:7" s="7" customFormat="1" x14ac:dyDescent="0.15">
      <c r="B3114" s="20" t="s">
        <v>764</v>
      </c>
      <c r="C3114" s="21" t="s">
        <v>1216</v>
      </c>
      <c r="D3114" s="21" t="s">
        <v>211</v>
      </c>
      <c r="E3114" s="21">
        <v>0</v>
      </c>
      <c r="F3114" s="21"/>
      <c r="G3114" s="22"/>
    </row>
    <row r="3115" spans="1:7" s="7" customFormat="1" x14ac:dyDescent="0.15">
      <c r="B3115" s="20" t="s">
        <v>415</v>
      </c>
      <c r="C3115" s="21" t="s">
        <v>1195</v>
      </c>
      <c r="D3115" s="21" t="s">
        <v>1087</v>
      </c>
      <c r="E3115" s="21">
        <v>0</v>
      </c>
      <c r="F3115" s="21"/>
      <c r="G3115" s="22" t="s">
        <v>1196</v>
      </c>
    </row>
    <row r="3116" spans="1:7" s="7" customFormat="1" x14ac:dyDescent="0.15">
      <c r="A3116" s="2"/>
      <c r="B3116" s="17" t="s">
        <v>127</v>
      </c>
      <c r="C3116" s="18" t="s">
        <v>1266</v>
      </c>
      <c r="D3116" s="18" t="s">
        <v>1211</v>
      </c>
      <c r="E3116" s="18">
        <v>0</v>
      </c>
      <c r="F3116" s="18"/>
      <c r="G3116" s="19"/>
    </row>
    <row r="3117" spans="1:7" s="7" customFormat="1" x14ac:dyDescent="0.15">
      <c r="A3117" s="2"/>
      <c r="B3117" s="17" t="s">
        <v>973</v>
      </c>
      <c r="C3117" s="18" t="s">
        <v>1272</v>
      </c>
      <c r="D3117" s="18" t="s">
        <v>1169</v>
      </c>
      <c r="E3117" s="18">
        <v>0</v>
      </c>
      <c r="F3117" s="18"/>
      <c r="G3117" s="19"/>
    </row>
    <row r="3118" spans="1:7" s="7" customFormat="1" x14ac:dyDescent="0.15">
      <c r="B3118" s="20" t="s">
        <v>775</v>
      </c>
      <c r="C3118" s="21" t="s">
        <v>1224</v>
      </c>
      <c r="D3118" s="21" t="s">
        <v>1169</v>
      </c>
      <c r="E3118" s="21">
        <v>0</v>
      </c>
      <c r="F3118" s="21"/>
      <c r="G3118" s="22" t="s">
        <v>1111</v>
      </c>
    </row>
    <row r="3119" spans="1:7" s="7" customFormat="1" x14ac:dyDescent="0.15">
      <c r="B3119" s="20" t="s">
        <v>411</v>
      </c>
      <c r="C3119" s="21" t="s">
        <v>1138</v>
      </c>
      <c r="D3119" s="21" t="s">
        <v>1087</v>
      </c>
      <c r="E3119" s="21">
        <v>0</v>
      </c>
      <c r="F3119" s="21"/>
      <c r="G3119" s="22"/>
    </row>
    <row r="3120" spans="1:7" s="7" customFormat="1" x14ac:dyDescent="0.15">
      <c r="B3120" s="20" t="s">
        <v>864</v>
      </c>
      <c r="C3120" s="21" t="s">
        <v>1229</v>
      </c>
      <c r="D3120" s="21" t="s">
        <v>1087</v>
      </c>
      <c r="E3120" s="21">
        <v>0</v>
      </c>
      <c r="F3120" s="21"/>
      <c r="G3120" s="22"/>
    </row>
    <row r="3121" spans="1:14" s="7" customFormat="1" x14ac:dyDescent="0.15">
      <c r="B3121" s="20" t="s">
        <v>443</v>
      </c>
      <c r="C3121" s="21" t="s">
        <v>1214</v>
      </c>
      <c r="D3121" s="18" t="s">
        <v>1169</v>
      </c>
      <c r="E3121" s="21">
        <v>0</v>
      </c>
      <c r="F3121" s="21"/>
      <c r="G3121" s="22"/>
    </row>
    <row r="3122" spans="1:14" s="7" customFormat="1" ht="18" thickBot="1" x14ac:dyDescent="0.2">
      <c r="B3122" s="20" t="s">
        <v>480</v>
      </c>
      <c r="C3122" s="21" t="s">
        <v>1079</v>
      </c>
      <c r="D3122" s="21" t="s">
        <v>1172</v>
      </c>
      <c r="E3122" s="21">
        <v>0</v>
      </c>
      <c r="F3122" s="21"/>
      <c r="G3122" s="22"/>
      <c r="H3122" s="7" t="str">
        <f>"ifnull("&amp;IF(I3122&lt;&gt;"",I3122,IF(F3122&lt;&gt;"",F3122,"t")&amp;"."&amp;C3122)&amp;","&amp;E3122&amp;") as "&amp;C3122&amp;",/*"&amp;B3122&amp;"*/"</f>
        <v>ifnull(t.posi_nav_ratio,0) as posi_nav_ratio,/*持仓净值占比*/</v>
      </c>
      <c r="J3122" s="7" t="s">
        <v>352</v>
      </c>
      <c r="K3122" s="7" t="s">
        <v>348</v>
      </c>
      <c r="L3122" s="7" t="s">
        <v>349</v>
      </c>
      <c r="M3122" s="7" t="s">
        <v>349</v>
      </c>
      <c r="N3122" s="7">
        <v>1197</v>
      </c>
    </row>
    <row r="3123" spans="1:14" s="7" customFormat="1" x14ac:dyDescent="0.15">
      <c r="A3123" s="2"/>
      <c r="B3123" s="327" t="s">
        <v>15</v>
      </c>
      <c r="C3123" s="328"/>
      <c r="D3123" s="328"/>
      <c r="E3123" s="328"/>
      <c r="F3123" s="328"/>
      <c r="G3123" s="329"/>
    </row>
    <row r="3124" spans="1:14" s="7" customFormat="1" ht="17.25" customHeight="1" thickBot="1" x14ac:dyDescent="0.2">
      <c r="A3124" s="2"/>
      <c r="B3124" s="24"/>
      <c r="C3124" s="9"/>
      <c r="D3124" s="9"/>
      <c r="E3124" s="9"/>
      <c r="F3124" s="9"/>
      <c r="G3124" s="11"/>
    </row>
    <row r="3125" spans="1:14" ht="17.25" customHeight="1" thickBot="1" x14ac:dyDescent="0.2"/>
    <row r="3126" spans="1:14" s="7" customFormat="1" ht="20.25" customHeight="1" x14ac:dyDescent="0.15">
      <c r="B3126" s="3" t="s">
        <v>563</v>
      </c>
      <c r="C3126" s="4" t="s">
        <v>998</v>
      </c>
      <c r="D3126" s="5" t="s">
        <v>515</v>
      </c>
      <c r="E3126" s="21" t="s">
        <v>997</v>
      </c>
      <c r="F3126" s="5" t="s">
        <v>567</v>
      </c>
      <c r="G3126" s="21" t="s">
        <v>997</v>
      </c>
    </row>
    <row r="3127" spans="1:14" s="7" customFormat="1" ht="18" thickBot="1" x14ac:dyDescent="0.2">
      <c r="B3127" s="34" t="s">
        <v>570</v>
      </c>
      <c r="C3127" s="18"/>
      <c r="D3127" s="35" t="s">
        <v>568</v>
      </c>
      <c r="E3127" s="18" t="s">
        <v>615</v>
      </c>
      <c r="F3127" s="35"/>
      <c r="G3127" s="19"/>
    </row>
    <row r="3128" spans="1:14" s="7" customFormat="1" x14ac:dyDescent="0.15">
      <c r="B3128" s="3" t="s">
        <v>0</v>
      </c>
      <c r="C3128" s="5" t="s">
        <v>1</v>
      </c>
      <c r="D3128" s="5" t="s">
        <v>2</v>
      </c>
      <c r="E3128" s="5"/>
      <c r="F3128" s="5" t="s">
        <v>3</v>
      </c>
      <c r="G3128" s="36" t="s">
        <v>4</v>
      </c>
    </row>
    <row r="3129" spans="1:14" s="7" customFormat="1" x14ac:dyDescent="0.15">
      <c r="B3129" s="20" t="s">
        <v>22</v>
      </c>
      <c r="C3129" s="21" t="s">
        <v>1127</v>
      </c>
      <c r="D3129" s="21" t="s">
        <v>423</v>
      </c>
      <c r="E3129" s="21" t="s">
        <v>1096</v>
      </c>
      <c r="F3129" s="21"/>
      <c r="G3129" s="22" t="s">
        <v>1334</v>
      </c>
    </row>
    <row r="3130" spans="1:14" s="7" customFormat="1" x14ac:dyDescent="0.15">
      <c r="B3130" s="20" t="s">
        <v>16</v>
      </c>
      <c r="C3130" s="21" t="s">
        <v>1163</v>
      </c>
      <c r="D3130" s="21" t="s">
        <v>211</v>
      </c>
      <c r="E3130" s="21">
        <v>0</v>
      </c>
      <c r="F3130" s="21"/>
      <c r="G3130" s="22" t="s">
        <v>1077</v>
      </c>
    </row>
    <row r="3131" spans="1:14" s="7" customFormat="1" x14ac:dyDescent="0.15">
      <c r="B3131" s="20" t="s">
        <v>111</v>
      </c>
      <c r="C3131" s="21" t="s">
        <v>1164</v>
      </c>
      <c r="D3131" s="21" t="s">
        <v>211</v>
      </c>
      <c r="E3131" s="21">
        <v>0</v>
      </c>
      <c r="F3131" s="21"/>
      <c r="G3131" s="22" t="s">
        <v>1165</v>
      </c>
    </row>
    <row r="3132" spans="1:14" x14ac:dyDescent="0.15">
      <c r="B3132" s="33" t="s">
        <v>112</v>
      </c>
      <c r="C3132" s="29" t="s">
        <v>1085</v>
      </c>
      <c r="D3132" s="29" t="s">
        <v>423</v>
      </c>
      <c r="E3132" s="132">
        <v>0</v>
      </c>
      <c r="F3132" s="29"/>
      <c r="G3132" s="141" t="s">
        <v>1509</v>
      </c>
    </row>
    <row r="3133" spans="1:14" s="7" customFormat="1" x14ac:dyDescent="0.15">
      <c r="B3133" s="20" t="s">
        <v>18</v>
      </c>
      <c r="C3133" s="21" t="s">
        <v>1190</v>
      </c>
      <c r="D3133" s="21" t="s">
        <v>211</v>
      </c>
      <c r="E3133" s="21">
        <v>0</v>
      </c>
      <c r="F3133" s="21"/>
      <c r="G3133" s="22" t="s">
        <v>1081</v>
      </c>
    </row>
    <row r="3134" spans="1:14" s="7" customFormat="1" x14ac:dyDescent="0.15">
      <c r="B3134" s="20" t="s">
        <v>760</v>
      </c>
      <c r="C3134" s="21" t="s">
        <v>1147</v>
      </c>
      <c r="D3134" s="21" t="s">
        <v>211</v>
      </c>
      <c r="E3134" s="21">
        <v>0</v>
      </c>
      <c r="F3134" s="21"/>
      <c r="G3134" s="22"/>
    </row>
    <row r="3135" spans="1:14" s="7" customFormat="1" x14ac:dyDescent="0.15">
      <c r="B3135" s="20" t="s">
        <v>761</v>
      </c>
      <c r="C3135" s="21" t="s">
        <v>1110</v>
      </c>
      <c r="D3135" s="21" t="s">
        <v>211</v>
      </c>
      <c r="E3135" s="21">
        <v>0</v>
      </c>
      <c r="F3135" s="21"/>
      <c r="G3135" s="22"/>
    </row>
    <row r="3136" spans="1:14" s="7" customFormat="1" x14ac:dyDescent="0.15">
      <c r="B3136" s="20" t="s">
        <v>764</v>
      </c>
      <c r="C3136" s="21" t="s">
        <v>1216</v>
      </c>
      <c r="D3136" s="21" t="s">
        <v>211</v>
      </c>
      <c r="E3136" s="21">
        <v>0</v>
      </c>
      <c r="F3136" s="21"/>
      <c r="G3136" s="22"/>
    </row>
    <row r="3137" spans="1:14" s="7" customFormat="1" x14ac:dyDescent="0.15">
      <c r="B3137" s="20" t="s">
        <v>415</v>
      </c>
      <c r="C3137" s="21" t="s">
        <v>1195</v>
      </c>
      <c r="D3137" s="21" t="s">
        <v>1087</v>
      </c>
      <c r="E3137" s="21">
        <v>0</v>
      </c>
      <c r="F3137" s="21"/>
      <c r="G3137" s="22" t="s">
        <v>1196</v>
      </c>
    </row>
    <row r="3138" spans="1:14" s="7" customFormat="1" x14ac:dyDescent="0.15">
      <c r="A3138" s="2"/>
      <c r="B3138" s="17" t="s">
        <v>127</v>
      </c>
      <c r="C3138" s="18" t="s">
        <v>1266</v>
      </c>
      <c r="D3138" s="18" t="s">
        <v>1211</v>
      </c>
      <c r="E3138" s="18">
        <v>0</v>
      </c>
      <c r="F3138" s="18"/>
      <c r="G3138" s="19"/>
    </row>
    <row r="3139" spans="1:14" s="7" customFormat="1" x14ac:dyDescent="0.15">
      <c r="A3139" s="2"/>
      <c r="B3139" s="17" t="s">
        <v>973</v>
      </c>
      <c r="C3139" s="18" t="s">
        <v>1272</v>
      </c>
      <c r="D3139" s="18" t="s">
        <v>1169</v>
      </c>
      <c r="E3139" s="18">
        <v>0</v>
      </c>
      <c r="F3139" s="18"/>
      <c r="G3139" s="19"/>
    </row>
    <row r="3140" spans="1:14" s="7" customFormat="1" x14ac:dyDescent="0.15">
      <c r="B3140" s="20" t="s">
        <v>775</v>
      </c>
      <c r="C3140" s="21" t="s">
        <v>1224</v>
      </c>
      <c r="D3140" s="21" t="s">
        <v>1169</v>
      </c>
      <c r="E3140" s="21">
        <v>0</v>
      </c>
      <c r="F3140" s="21"/>
      <c r="G3140" s="22" t="s">
        <v>1111</v>
      </c>
    </row>
    <row r="3141" spans="1:14" s="7" customFormat="1" x14ac:dyDescent="0.15">
      <c r="B3141" s="20" t="s">
        <v>411</v>
      </c>
      <c r="C3141" s="21" t="s">
        <v>1138</v>
      </c>
      <c r="D3141" s="21" t="s">
        <v>1087</v>
      </c>
      <c r="E3141" s="21">
        <v>0</v>
      </c>
      <c r="F3141" s="21"/>
      <c r="G3141" s="22"/>
    </row>
    <row r="3142" spans="1:14" s="7" customFormat="1" x14ac:dyDescent="0.15">
      <c r="B3142" s="20" t="s">
        <v>864</v>
      </c>
      <c r="C3142" s="21" t="s">
        <v>1229</v>
      </c>
      <c r="D3142" s="21" t="s">
        <v>1087</v>
      </c>
      <c r="E3142" s="21">
        <v>0</v>
      </c>
      <c r="F3142" s="21"/>
      <c r="G3142" s="22"/>
    </row>
    <row r="3143" spans="1:14" s="7" customFormat="1" x14ac:dyDescent="0.15">
      <c r="B3143" s="20" t="s">
        <v>443</v>
      </c>
      <c r="C3143" s="21" t="s">
        <v>1214</v>
      </c>
      <c r="D3143" s="18" t="s">
        <v>1169</v>
      </c>
      <c r="E3143" s="21">
        <v>0</v>
      </c>
      <c r="F3143" s="21"/>
      <c r="G3143" s="22"/>
    </row>
    <row r="3144" spans="1:14" s="7" customFormat="1" ht="18" thickBot="1" x14ac:dyDescent="0.2">
      <c r="B3144" s="20" t="s">
        <v>480</v>
      </c>
      <c r="C3144" s="21" t="s">
        <v>1079</v>
      </c>
      <c r="D3144" s="21" t="s">
        <v>1172</v>
      </c>
      <c r="E3144" s="21">
        <v>0</v>
      </c>
      <c r="F3144" s="21"/>
      <c r="G3144" s="22"/>
      <c r="H3144" s="7" t="str">
        <f>"ifnull("&amp;IF(I3144&lt;&gt;"",I3144,IF(F3144&lt;&gt;"",F3144,"t")&amp;"."&amp;C3144)&amp;","&amp;E3144&amp;") as "&amp;C3144&amp;",/*"&amp;B3144&amp;"*/"</f>
        <v>ifnull(t.posi_nav_ratio,0) as posi_nav_ratio,/*持仓净值占比*/</v>
      </c>
      <c r="J3144" s="7" t="s">
        <v>352</v>
      </c>
      <c r="K3144" s="7" t="s">
        <v>348</v>
      </c>
      <c r="L3144" s="7" t="s">
        <v>349</v>
      </c>
      <c r="M3144" s="7" t="s">
        <v>349</v>
      </c>
      <c r="N3144" s="7">
        <v>1197</v>
      </c>
    </row>
    <row r="3145" spans="1:14" s="7" customFormat="1" x14ac:dyDescent="0.15">
      <c r="A3145" s="2"/>
      <c r="B3145" s="327" t="s">
        <v>15</v>
      </c>
      <c r="C3145" s="328"/>
      <c r="D3145" s="328"/>
      <c r="E3145" s="328"/>
      <c r="F3145" s="328"/>
      <c r="G3145" s="329"/>
    </row>
    <row r="3146" spans="1:14" s="7" customFormat="1" ht="17.25" customHeight="1" thickBot="1" x14ac:dyDescent="0.2">
      <c r="A3146" s="2"/>
      <c r="B3146" s="24"/>
      <c r="C3146" s="9"/>
      <c r="D3146" s="9"/>
      <c r="E3146" s="9"/>
      <c r="F3146" s="9"/>
      <c r="G3146" s="11"/>
    </row>
    <row r="3147" spans="1:14" ht="17.25" customHeight="1" thickBot="1" x14ac:dyDescent="0.2"/>
    <row r="3148" spans="1:14" s="7" customFormat="1" ht="20.25" customHeight="1" x14ac:dyDescent="0.15">
      <c r="B3148" s="3" t="s">
        <v>563</v>
      </c>
      <c r="C3148" s="4" t="s">
        <v>1002</v>
      </c>
      <c r="D3148" s="5" t="s">
        <v>515</v>
      </c>
      <c r="E3148" s="21" t="s">
        <v>1001</v>
      </c>
      <c r="F3148" s="5" t="s">
        <v>567</v>
      </c>
      <c r="G3148" s="21" t="s">
        <v>1001</v>
      </c>
    </row>
    <row r="3149" spans="1:14" s="7" customFormat="1" ht="18" thickBot="1" x14ac:dyDescent="0.2">
      <c r="B3149" s="34" t="s">
        <v>570</v>
      </c>
      <c r="C3149" s="18"/>
      <c r="D3149" s="35" t="s">
        <v>568</v>
      </c>
      <c r="E3149" s="18" t="s">
        <v>615</v>
      </c>
      <c r="F3149" s="35"/>
      <c r="G3149" s="19"/>
    </row>
    <row r="3150" spans="1:14" s="7" customFormat="1" x14ac:dyDescent="0.15">
      <c r="B3150" s="3" t="s">
        <v>0</v>
      </c>
      <c r="C3150" s="5" t="s">
        <v>1</v>
      </c>
      <c r="D3150" s="5" t="s">
        <v>2</v>
      </c>
      <c r="E3150" s="5"/>
      <c r="F3150" s="5" t="s">
        <v>3</v>
      </c>
      <c r="G3150" s="36" t="s">
        <v>4</v>
      </c>
    </row>
    <row r="3151" spans="1:14" s="7" customFormat="1" x14ac:dyDescent="0.15">
      <c r="B3151" s="20" t="s">
        <v>16</v>
      </c>
      <c r="C3151" s="21" t="s">
        <v>1163</v>
      </c>
      <c r="D3151" s="21" t="s">
        <v>211</v>
      </c>
      <c r="E3151" s="21">
        <v>0</v>
      </c>
      <c r="F3151" s="21"/>
      <c r="G3151" s="22" t="s">
        <v>1077</v>
      </c>
    </row>
    <row r="3152" spans="1:14" s="7" customFormat="1" x14ac:dyDescent="0.15">
      <c r="B3152" s="20" t="s">
        <v>111</v>
      </c>
      <c r="C3152" s="21" t="s">
        <v>1164</v>
      </c>
      <c r="D3152" s="21" t="s">
        <v>211</v>
      </c>
      <c r="E3152" s="21">
        <v>0</v>
      </c>
      <c r="F3152" s="21"/>
      <c r="G3152" s="22" t="s">
        <v>1165</v>
      </c>
    </row>
    <row r="3153" spans="1:7" x14ac:dyDescent="0.15">
      <c r="B3153" s="33" t="s">
        <v>112</v>
      </c>
      <c r="C3153" s="29" t="s">
        <v>1085</v>
      </c>
      <c r="D3153" s="29" t="s">
        <v>423</v>
      </c>
      <c r="E3153" s="132">
        <v>0</v>
      </c>
      <c r="F3153" s="29"/>
      <c r="G3153" s="141" t="s">
        <v>1509</v>
      </c>
    </row>
    <row r="3154" spans="1:7" s="7" customFormat="1" x14ac:dyDescent="0.15">
      <c r="B3154" s="20" t="s">
        <v>18</v>
      </c>
      <c r="C3154" s="21" t="s">
        <v>1190</v>
      </c>
      <c r="D3154" s="21" t="s">
        <v>211</v>
      </c>
      <c r="E3154" s="21">
        <v>0</v>
      </c>
      <c r="F3154" s="21"/>
      <c r="G3154" s="22" t="s">
        <v>1081</v>
      </c>
    </row>
    <row r="3155" spans="1:7" s="7" customFormat="1" x14ac:dyDescent="0.15">
      <c r="B3155" s="20" t="s">
        <v>760</v>
      </c>
      <c r="C3155" s="21" t="s">
        <v>1147</v>
      </c>
      <c r="D3155" s="21" t="s">
        <v>211</v>
      </c>
      <c r="E3155" s="21">
        <v>0</v>
      </c>
      <c r="F3155" s="21"/>
      <c r="G3155" s="22"/>
    </row>
    <row r="3156" spans="1:7" s="7" customFormat="1" x14ac:dyDescent="0.15">
      <c r="B3156" s="20" t="s">
        <v>761</v>
      </c>
      <c r="C3156" s="21" t="s">
        <v>1110</v>
      </c>
      <c r="D3156" s="21" t="s">
        <v>211</v>
      </c>
      <c r="E3156" s="21">
        <v>0</v>
      </c>
      <c r="F3156" s="21"/>
      <c r="G3156" s="22"/>
    </row>
    <row r="3157" spans="1:7" s="7" customFormat="1" x14ac:dyDescent="0.15">
      <c r="B3157" s="20" t="s">
        <v>764</v>
      </c>
      <c r="C3157" s="21" t="s">
        <v>1216</v>
      </c>
      <c r="D3157" s="21" t="s">
        <v>211</v>
      </c>
      <c r="E3157" s="21">
        <v>0</v>
      </c>
      <c r="F3157" s="21"/>
      <c r="G3157" s="22"/>
    </row>
    <row r="3158" spans="1:7" s="7" customFormat="1" x14ac:dyDescent="0.15">
      <c r="B3158" s="20" t="s">
        <v>415</v>
      </c>
      <c r="C3158" s="21" t="s">
        <v>1195</v>
      </c>
      <c r="D3158" s="21" t="s">
        <v>1087</v>
      </c>
      <c r="E3158" s="21">
        <v>0</v>
      </c>
      <c r="F3158" s="21"/>
      <c r="G3158" s="22" t="s">
        <v>1196</v>
      </c>
    </row>
    <row r="3159" spans="1:7" s="7" customFormat="1" x14ac:dyDescent="0.15">
      <c r="A3159" s="2"/>
      <c r="B3159" s="17" t="s">
        <v>127</v>
      </c>
      <c r="C3159" s="18" t="s">
        <v>1266</v>
      </c>
      <c r="D3159" s="18" t="s">
        <v>1211</v>
      </c>
      <c r="E3159" s="18">
        <v>0</v>
      </c>
      <c r="F3159" s="18"/>
      <c r="G3159" s="19"/>
    </row>
    <row r="3160" spans="1:7" s="7" customFormat="1" x14ac:dyDescent="0.15">
      <c r="A3160" s="2"/>
      <c r="B3160" s="17" t="s">
        <v>965</v>
      </c>
      <c r="C3160" s="18" t="s">
        <v>1516</v>
      </c>
      <c r="D3160" s="21" t="s">
        <v>211</v>
      </c>
      <c r="E3160" s="18" t="s">
        <v>1096</v>
      </c>
      <c r="F3160" s="18"/>
      <c r="G3160" s="19"/>
    </row>
    <row r="3161" spans="1:7" s="7" customFormat="1" x14ac:dyDescent="0.15">
      <c r="A3161" s="2"/>
      <c r="B3161" s="17" t="s">
        <v>1003</v>
      </c>
      <c r="C3161" s="18" t="s">
        <v>1616</v>
      </c>
      <c r="D3161" s="21" t="s">
        <v>211</v>
      </c>
      <c r="E3161" s="18" t="s">
        <v>1617</v>
      </c>
      <c r="F3161" s="18"/>
      <c r="G3161" s="19"/>
    </row>
    <row r="3162" spans="1:7" s="7" customFormat="1" x14ac:dyDescent="0.15">
      <c r="A3162" s="2"/>
      <c r="B3162" s="17" t="s">
        <v>973</v>
      </c>
      <c r="C3162" s="18" t="s">
        <v>1272</v>
      </c>
      <c r="D3162" s="18" t="s">
        <v>1169</v>
      </c>
      <c r="E3162" s="18">
        <v>0</v>
      </c>
      <c r="F3162" s="18"/>
      <c r="G3162" s="19"/>
    </row>
    <row r="3163" spans="1:7" s="7" customFormat="1" ht="18" thickBot="1" x14ac:dyDescent="0.2">
      <c r="B3163" s="20" t="s">
        <v>775</v>
      </c>
      <c r="C3163" s="21" t="s">
        <v>1224</v>
      </c>
      <c r="D3163" s="21" t="s">
        <v>1169</v>
      </c>
      <c r="E3163" s="21">
        <v>0</v>
      </c>
      <c r="F3163" s="21"/>
      <c r="G3163" s="22" t="s">
        <v>1111</v>
      </c>
    </row>
    <row r="3164" spans="1:7" s="7" customFormat="1" x14ac:dyDescent="0.15">
      <c r="A3164" s="2"/>
      <c r="B3164" s="327" t="s">
        <v>15</v>
      </c>
      <c r="C3164" s="328"/>
      <c r="D3164" s="328"/>
      <c r="E3164" s="328"/>
      <c r="F3164" s="328"/>
      <c r="G3164" s="329"/>
    </row>
    <row r="3165" spans="1:7" s="7" customFormat="1" ht="17.25" customHeight="1" thickBot="1" x14ac:dyDescent="0.2">
      <c r="A3165" s="2"/>
      <c r="B3165" s="24"/>
      <c r="C3165" s="9"/>
      <c r="D3165" s="9"/>
      <c r="E3165" s="9"/>
      <c r="F3165" s="9"/>
      <c r="G3165" s="11"/>
    </row>
    <row r="3166" spans="1:7" ht="17.25" customHeight="1" thickBot="1" x14ac:dyDescent="0.2"/>
    <row r="3167" spans="1:7" s="7" customFormat="1" ht="20.25" customHeight="1" x14ac:dyDescent="0.15">
      <c r="B3167" s="3" t="s">
        <v>563</v>
      </c>
      <c r="C3167" s="4" t="s">
        <v>1004</v>
      </c>
      <c r="D3167" s="5" t="s">
        <v>515</v>
      </c>
      <c r="E3167" s="21" t="s">
        <v>1005</v>
      </c>
      <c r="F3167" s="5" t="s">
        <v>567</v>
      </c>
      <c r="G3167" s="21" t="s">
        <v>1005</v>
      </c>
    </row>
    <row r="3168" spans="1:7" s="7" customFormat="1" ht="18" thickBot="1" x14ac:dyDescent="0.2">
      <c r="B3168" s="34" t="s">
        <v>570</v>
      </c>
      <c r="C3168" s="18"/>
      <c r="D3168" s="35" t="s">
        <v>568</v>
      </c>
      <c r="E3168" s="18" t="s">
        <v>615</v>
      </c>
      <c r="F3168" s="35"/>
      <c r="G3168" s="19"/>
    </row>
    <row r="3169" spans="1:7" s="7" customFormat="1" x14ac:dyDescent="0.15">
      <c r="B3169" s="3" t="s">
        <v>0</v>
      </c>
      <c r="C3169" s="5" t="s">
        <v>1</v>
      </c>
      <c r="D3169" s="5" t="s">
        <v>2</v>
      </c>
      <c r="E3169" s="5"/>
      <c r="F3169" s="5" t="s">
        <v>3</v>
      </c>
      <c r="G3169" s="36" t="s">
        <v>4</v>
      </c>
    </row>
    <row r="3170" spans="1:7" s="7" customFormat="1" x14ac:dyDescent="0.15">
      <c r="B3170" s="20" t="s">
        <v>16</v>
      </c>
      <c r="C3170" s="21" t="s">
        <v>1163</v>
      </c>
      <c r="D3170" s="21" t="s">
        <v>211</v>
      </c>
      <c r="E3170" s="21">
        <v>0</v>
      </c>
      <c r="F3170" s="21"/>
      <c r="G3170" s="22" t="s">
        <v>1077</v>
      </c>
    </row>
    <row r="3171" spans="1:7" s="7" customFormat="1" ht="18" thickBot="1" x14ac:dyDescent="0.2">
      <c r="A3171" s="2"/>
      <c r="B3171" s="17" t="s">
        <v>303</v>
      </c>
      <c r="C3171" s="18" t="s">
        <v>1170</v>
      </c>
      <c r="D3171" s="18" t="s">
        <v>1169</v>
      </c>
      <c r="E3171" s="18">
        <v>0</v>
      </c>
      <c r="F3171" s="18"/>
      <c r="G3171" s="19"/>
    </row>
    <row r="3172" spans="1:7" s="7" customFormat="1" x14ac:dyDescent="0.15">
      <c r="A3172" s="2"/>
      <c r="B3172" s="327" t="s">
        <v>15</v>
      </c>
      <c r="C3172" s="328"/>
      <c r="D3172" s="328"/>
      <c r="E3172" s="328"/>
      <c r="F3172" s="328"/>
      <c r="G3172" s="329"/>
    </row>
    <row r="3173" spans="1:7" s="7" customFormat="1" ht="17.25" customHeight="1" thickBot="1" x14ac:dyDescent="0.2">
      <c r="A3173" s="2"/>
      <c r="B3173" s="24"/>
      <c r="C3173" s="9"/>
      <c r="D3173" s="9"/>
      <c r="E3173" s="9"/>
      <c r="F3173" s="9"/>
      <c r="G3173" s="11"/>
    </row>
    <row r="3174" spans="1:7" ht="17.25" customHeight="1" thickBot="1" x14ac:dyDescent="0.2"/>
    <row r="3175" spans="1:7" s="7" customFormat="1" ht="20.25" customHeight="1" x14ac:dyDescent="0.15">
      <c r="B3175" s="3" t="s">
        <v>563</v>
      </c>
      <c r="C3175" s="4" t="s">
        <v>1006</v>
      </c>
      <c r="D3175" s="5" t="s">
        <v>515</v>
      </c>
      <c r="E3175" s="21" t="s">
        <v>1007</v>
      </c>
      <c r="F3175" s="5" t="s">
        <v>567</v>
      </c>
      <c r="G3175" s="21" t="s">
        <v>1007</v>
      </c>
    </row>
    <row r="3176" spans="1:7" s="7" customFormat="1" ht="18" thickBot="1" x14ac:dyDescent="0.2">
      <c r="B3176" s="34" t="s">
        <v>570</v>
      </c>
      <c r="C3176" s="18"/>
      <c r="D3176" s="35" t="s">
        <v>568</v>
      </c>
      <c r="E3176" s="18" t="s">
        <v>615</v>
      </c>
      <c r="F3176" s="35"/>
      <c r="G3176" s="19"/>
    </row>
    <row r="3177" spans="1:7" s="7" customFormat="1" x14ac:dyDescent="0.15">
      <c r="B3177" s="3" t="s">
        <v>0</v>
      </c>
      <c r="C3177" s="5" t="s">
        <v>1</v>
      </c>
      <c r="D3177" s="5" t="s">
        <v>2</v>
      </c>
      <c r="E3177" s="5"/>
      <c r="F3177" s="5" t="s">
        <v>3</v>
      </c>
      <c r="G3177" s="36" t="s">
        <v>4</v>
      </c>
    </row>
    <row r="3178" spans="1:7" s="7" customFormat="1" x14ac:dyDescent="0.15">
      <c r="A3178" s="2"/>
      <c r="B3178" s="33" t="s">
        <v>22</v>
      </c>
      <c r="C3178" s="18" t="s">
        <v>1127</v>
      </c>
      <c r="D3178" s="18" t="s">
        <v>211</v>
      </c>
      <c r="E3178" s="18" t="s">
        <v>1141</v>
      </c>
      <c r="F3178" s="18"/>
      <c r="G3178" s="19" t="s">
        <v>1162</v>
      </c>
    </row>
    <row r="3179" spans="1:7" s="7" customFormat="1" x14ac:dyDescent="0.15">
      <c r="B3179" s="20" t="s">
        <v>16</v>
      </c>
      <c r="C3179" s="21" t="s">
        <v>1163</v>
      </c>
      <c r="D3179" s="21" t="s">
        <v>211</v>
      </c>
      <c r="E3179" s="21">
        <v>0</v>
      </c>
      <c r="F3179" s="21"/>
      <c r="G3179" s="22" t="s">
        <v>1077</v>
      </c>
    </row>
    <row r="3180" spans="1:7" s="7" customFormat="1" ht="18" thickBot="1" x14ac:dyDescent="0.2">
      <c r="A3180" s="2"/>
      <c r="B3180" s="17" t="s">
        <v>303</v>
      </c>
      <c r="C3180" s="18" t="s">
        <v>1170</v>
      </c>
      <c r="D3180" s="18" t="s">
        <v>1169</v>
      </c>
      <c r="E3180" s="18">
        <v>0</v>
      </c>
      <c r="F3180" s="18"/>
      <c r="G3180" s="19"/>
    </row>
    <row r="3181" spans="1:7" s="7" customFormat="1" x14ac:dyDescent="0.15">
      <c r="A3181" s="2"/>
      <c r="B3181" s="327" t="s">
        <v>15</v>
      </c>
      <c r="C3181" s="328"/>
      <c r="D3181" s="328"/>
      <c r="E3181" s="328"/>
      <c r="F3181" s="328"/>
      <c r="G3181" s="329"/>
    </row>
    <row r="3182" spans="1:7" s="7" customFormat="1" ht="17.25" customHeight="1" thickBot="1" x14ac:dyDescent="0.2">
      <c r="A3182" s="2"/>
      <c r="B3182" s="24"/>
      <c r="C3182" s="9"/>
      <c r="D3182" s="9"/>
      <c r="E3182" s="9"/>
      <c r="F3182" s="9"/>
      <c r="G3182" s="11"/>
    </row>
  </sheetData>
  <mergeCells count="111">
    <mergeCell ref="B3181:G3181"/>
    <mergeCell ref="B3081:G3081"/>
    <mergeCell ref="B3102:G3102"/>
    <mergeCell ref="B3123:G3123"/>
    <mergeCell ref="B3145:G3145"/>
    <mergeCell ref="B3164:G3164"/>
    <mergeCell ref="B3172:G3172"/>
    <mergeCell ref="B2916:G2916"/>
    <mergeCell ref="B2950:G2950"/>
    <mergeCell ref="B2978:G2978"/>
    <mergeCell ref="B3003:G3003"/>
    <mergeCell ref="B3031:G3031"/>
    <mergeCell ref="B3061:G3061"/>
    <mergeCell ref="B2777:G2777"/>
    <mergeCell ref="B2801:G2801"/>
    <mergeCell ref="B2817:G2817"/>
    <mergeCell ref="B2832:G2832"/>
    <mergeCell ref="B2871:G2871"/>
    <mergeCell ref="B2893:G2893"/>
    <mergeCell ref="B2589:G2589"/>
    <mergeCell ref="B2638:G2638"/>
    <mergeCell ref="B2672:G2672"/>
    <mergeCell ref="B2710:G2710"/>
    <mergeCell ref="B2751:G2751"/>
    <mergeCell ref="B2764:G2764"/>
    <mergeCell ref="B2373:G2373"/>
    <mergeCell ref="B2411:G2411"/>
    <mergeCell ref="B2441:G2441"/>
    <mergeCell ref="B2472:G2472"/>
    <mergeCell ref="B2502:G2502"/>
    <mergeCell ref="B2531:G2531"/>
    <mergeCell ref="B2213:G2213"/>
    <mergeCell ref="B2238:G2238"/>
    <mergeCell ref="B2264:G2264"/>
    <mergeCell ref="B2285:G2285"/>
    <mergeCell ref="B2304:G2304"/>
    <mergeCell ref="B2335:G2335"/>
    <mergeCell ref="B2065:G2065"/>
    <mergeCell ref="B2088:G2088"/>
    <mergeCell ref="B2109:G2109"/>
    <mergeCell ref="B2131:G2131"/>
    <mergeCell ref="B2167:G2167"/>
    <mergeCell ref="B2203:G2203"/>
    <mergeCell ref="B1893:G1893"/>
    <mergeCell ref="B1931:G1931"/>
    <mergeCell ref="B1967:G1967"/>
    <mergeCell ref="B2004:G2004"/>
    <mergeCell ref="B2024:G2024"/>
    <mergeCell ref="B2044:G2044"/>
    <mergeCell ref="B1729:G1729"/>
    <mergeCell ref="B1763:G1763"/>
    <mergeCell ref="B1804:G1804"/>
    <mergeCell ref="B1822:G1822"/>
    <mergeCell ref="B1839:G1839"/>
    <mergeCell ref="B1856:G1856"/>
    <mergeCell ref="B1556:G1556"/>
    <mergeCell ref="B1593:G1593"/>
    <mergeCell ref="B1628:G1628"/>
    <mergeCell ref="B1665:G1665"/>
    <mergeCell ref="B1683:G1683"/>
    <mergeCell ref="B1704:G1704"/>
    <mergeCell ref="B1370:G1370"/>
    <mergeCell ref="B1403:G1403"/>
    <mergeCell ref="B1433:G1433"/>
    <mergeCell ref="B1462:G1462"/>
    <mergeCell ref="B1493:G1493"/>
    <mergeCell ref="B1523:G1523"/>
    <mergeCell ref="B1102:G1102"/>
    <mergeCell ref="B1117:G1117"/>
    <mergeCell ref="B1157:G1157"/>
    <mergeCell ref="B1197:G1197"/>
    <mergeCell ref="B1290:G1290"/>
    <mergeCell ref="B1342:G1342"/>
    <mergeCell ref="B987:G987"/>
    <mergeCell ref="B1013:G1013"/>
    <mergeCell ref="B1042:G1042"/>
    <mergeCell ref="B1062:G1062"/>
    <mergeCell ref="B1076:G1076"/>
    <mergeCell ref="B1089:G1089"/>
    <mergeCell ref="B818:G818"/>
    <mergeCell ref="B851:G851"/>
    <mergeCell ref="B885:G885"/>
    <mergeCell ref="B909:G909"/>
    <mergeCell ref="B931:G931"/>
    <mergeCell ref="B956:G956"/>
    <mergeCell ref="B566:G566"/>
    <mergeCell ref="B598:G598"/>
    <mergeCell ref="B635:G635"/>
    <mergeCell ref="B693:G693"/>
    <mergeCell ref="B751:G751"/>
    <mergeCell ref="B785:G785"/>
    <mergeCell ref="B410:G410"/>
    <mergeCell ref="B436:G436"/>
    <mergeCell ref="B462:G462"/>
    <mergeCell ref="B498:G498"/>
    <mergeCell ref="B526:G526"/>
    <mergeCell ref="B546:G546"/>
    <mergeCell ref="B11:G11"/>
    <mergeCell ref="B71:G71"/>
    <mergeCell ref="B248:G248"/>
    <mergeCell ref="B273:G273"/>
    <mergeCell ref="B297:G297"/>
    <mergeCell ref="B320:G320"/>
    <mergeCell ref="B348:G348"/>
    <mergeCell ref="B374:G374"/>
    <mergeCell ref="B105:G105"/>
    <mergeCell ref="B127:G127"/>
    <mergeCell ref="B151:G151"/>
    <mergeCell ref="B180:G180"/>
    <mergeCell ref="B204:G204"/>
    <mergeCell ref="B225:G225"/>
  </mergeCells>
  <phoneticPr fontId="3" type="noConversion"/>
  <conditionalFormatting sqref="C584:C585">
    <cfRule type="duplicateValues" dxfId="201" priority="184"/>
  </conditionalFormatting>
  <conditionalFormatting sqref="C586">
    <cfRule type="duplicateValues" dxfId="200" priority="183"/>
  </conditionalFormatting>
  <conditionalFormatting sqref="C591:C592">
    <cfRule type="duplicateValues" dxfId="199" priority="182"/>
  </conditionalFormatting>
  <conditionalFormatting sqref="C593:C595">
    <cfRule type="duplicateValues" dxfId="198" priority="181"/>
  </conditionalFormatting>
  <conditionalFormatting sqref="C588">
    <cfRule type="duplicateValues" dxfId="197" priority="180"/>
  </conditionalFormatting>
  <conditionalFormatting sqref="C587 C589:C590">
    <cfRule type="duplicateValues" dxfId="196" priority="185"/>
  </conditionalFormatting>
  <conditionalFormatting sqref="B592:B593">
    <cfRule type="duplicateValues" dxfId="195" priority="179"/>
  </conditionalFormatting>
  <conditionalFormatting sqref="B594:B596">
    <cfRule type="duplicateValues" dxfId="194" priority="178"/>
  </conditionalFormatting>
  <conditionalFormatting sqref="A594:A595">
    <cfRule type="duplicateValues" dxfId="193" priority="177"/>
  </conditionalFormatting>
  <conditionalFormatting sqref="A596:A598">
    <cfRule type="duplicateValues" dxfId="192" priority="176"/>
  </conditionalFormatting>
  <conditionalFormatting sqref="A1402:A1403">
    <cfRule type="duplicateValues" dxfId="191" priority="186"/>
  </conditionalFormatting>
  <conditionalFormatting sqref="A1432:A1433">
    <cfRule type="duplicateValues" dxfId="190" priority="175"/>
  </conditionalFormatting>
  <conditionalFormatting sqref="A1461:A1462">
    <cfRule type="duplicateValues" dxfId="189" priority="174"/>
  </conditionalFormatting>
  <conditionalFormatting sqref="A1492:A1493">
    <cfRule type="duplicateValues" dxfId="188" priority="173"/>
  </conditionalFormatting>
  <conditionalFormatting sqref="A1556">
    <cfRule type="duplicateValues" dxfId="187" priority="172"/>
  </conditionalFormatting>
  <conditionalFormatting sqref="A1593">
    <cfRule type="duplicateValues" dxfId="186" priority="171"/>
  </conditionalFormatting>
  <conditionalFormatting sqref="A1627:A1628">
    <cfRule type="duplicateValues" dxfId="185" priority="170"/>
  </conditionalFormatting>
  <conditionalFormatting sqref="E1377">
    <cfRule type="duplicateValues" dxfId="184" priority="169"/>
  </conditionalFormatting>
  <conditionalFormatting sqref="E1406">
    <cfRule type="duplicateValues" dxfId="183" priority="168"/>
  </conditionalFormatting>
  <conditionalFormatting sqref="E1436">
    <cfRule type="duplicateValues" dxfId="182" priority="167"/>
  </conditionalFormatting>
  <conditionalFormatting sqref="E1465">
    <cfRule type="duplicateValues" dxfId="181" priority="166"/>
  </conditionalFormatting>
  <conditionalFormatting sqref="E1526">
    <cfRule type="duplicateValues" dxfId="180" priority="165"/>
  </conditionalFormatting>
  <conditionalFormatting sqref="E1559">
    <cfRule type="duplicateValues" dxfId="179" priority="164"/>
  </conditionalFormatting>
  <conditionalFormatting sqref="E1596">
    <cfRule type="duplicateValues" dxfId="178" priority="163"/>
  </conditionalFormatting>
  <conditionalFormatting sqref="E1631">
    <cfRule type="duplicateValues" dxfId="177" priority="162"/>
  </conditionalFormatting>
  <conditionalFormatting sqref="B1430:B1431">
    <cfRule type="duplicateValues" dxfId="176" priority="161"/>
  </conditionalFormatting>
  <conditionalFormatting sqref="B1429">
    <cfRule type="duplicateValues" dxfId="175" priority="160"/>
  </conditionalFormatting>
  <conditionalFormatting sqref="B1490:B1491">
    <cfRule type="duplicateValues" dxfId="174" priority="159"/>
  </conditionalFormatting>
  <conditionalFormatting sqref="B1489">
    <cfRule type="duplicateValues" dxfId="173" priority="158"/>
  </conditionalFormatting>
  <conditionalFormatting sqref="B1625:B1626">
    <cfRule type="duplicateValues" dxfId="172" priority="187"/>
  </conditionalFormatting>
  <conditionalFormatting sqref="A1664:A1665">
    <cfRule type="duplicateValues" dxfId="171" priority="157"/>
  </conditionalFormatting>
  <conditionalFormatting sqref="B2224">
    <cfRule type="duplicateValues" dxfId="170" priority="155"/>
    <cfRule type="duplicateValues" dxfId="169" priority="156"/>
  </conditionalFormatting>
  <conditionalFormatting sqref="B2223">
    <cfRule type="duplicateValues" dxfId="168" priority="153"/>
    <cfRule type="duplicateValues" dxfId="167" priority="154"/>
  </conditionalFormatting>
  <conditionalFormatting sqref="B2221:B2222">
    <cfRule type="duplicateValues" dxfId="166" priority="151"/>
    <cfRule type="duplicateValues" dxfId="165" priority="152"/>
  </conditionalFormatting>
  <conditionalFormatting sqref="B2315">
    <cfRule type="duplicateValues" dxfId="164" priority="149"/>
    <cfRule type="duplicateValues" dxfId="163" priority="150"/>
  </conditionalFormatting>
  <conditionalFormatting sqref="B2314">
    <cfRule type="duplicateValues" dxfId="162" priority="147"/>
    <cfRule type="duplicateValues" dxfId="161" priority="148"/>
  </conditionalFormatting>
  <conditionalFormatting sqref="B2312:B2313">
    <cfRule type="duplicateValues" dxfId="160" priority="145"/>
    <cfRule type="duplicateValues" dxfId="159" priority="146"/>
  </conditionalFormatting>
  <conditionalFormatting sqref="B2235 B2227">
    <cfRule type="duplicateValues" dxfId="158" priority="141"/>
    <cfRule type="duplicateValues" dxfId="157" priority="142"/>
  </conditionalFormatting>
  <conditionalFormatting sqref="B2234 B2236">
    <cfRule type="duplicateValues" dxfId="156" priority="143"/>
    <cfRule type="duplicateValues" dxfId="155" priority="144"/>
  </conditionalFormatting>
  <conditionalFormatting sqref="B2323:B2324">
    <cfRule type="duplicateValues" dxfId="154" priority="139"/>
    <cfRule type="duplicateValues" dxfId="153" priority="140"/>
  </conditionalFormatting>
  <conditionalFormatting sqref="B2325:B2326 B2328:B2329">
    <cfRule type="duplicateValues" dxfId="152" priority="137"/>
    <cfRule type="duplicateValues" dxfId="151" priority="138"/>
  </conditionalFormatting>
  <conditionalFormatting sqref="B2470">
    <cfRule type="duplicateValues" dxfId="150" priority="135"/>
    <cfRule type="duplicateValues" dxfId="149" priority="136"/>
  </conditionalFormatting>
  <conditionalFormatting sqref="B2139:B2165">
    <cfRule type="duplicateValues" dxfId="148" priority="134"/>
  </conditionalFormatting>
  <conditionalFormatting sqref="C2139:C2165">
    <cfRule type="duplicateValues" dxfId="147" priority="133"/>
  </conditionalFormatting>
  <conditionalFormatting sqref="B2830">
    <cfRule type="duplicateValues" dxfId="146" priority="132"/>
  </conditionalFormatting>
  <conditionalFormatting sqref="B2749">
    <cfRule type="duplicateValues" dxfId="145" priority="131"/>
  </conditionalFormatting>
  <conditionalFormatting sqref="B2668:B2669">
    <cfRule type="duplicateValues" dxfId="144" priority="130"/>
  </conditionalFormatting>
  <conditionalFormatting sqref="B2667">
    <cfRule type="duplicateValues" dxfId="143" priority="129"/>
  </conditionalFormatting>
  <conditionalFormatting sqref="B2293:B2295">
    <cfRule type="duplicateValues" dxfId="142" priority="127"/>
    <cfRule type="duplicateValues" dxfId="141" priority="128"/>
  </conditionalFormatting>
  <conditionalFormatting sqref="B2301">
    <cfRule type="duplicateValues" dxfId="140" priority="123"/>
    <cfRule type="duplicateValues" dxfId="139" priority="124"/>
  </conditionalFormatting>
  <conditionalFormatting sqref="B2302">
    <cfRule type="duplicateValues" dxfId="138" priority="125"/>
    <cfRule type="duplicateValues" dxfId="137" priority="126"/>
  </conditionalFormatting>
  <conditionalFormatting sqref="B2296">
    <cfRule type="duplicateValues" dxfId="136" priority="121"/>
    <cfRule type="duplicateValues" dxfId="135" priority="122"/>
  </conditionalFormatting>
  <conditionalFormatting sqref="B2745">
    <cfRule type="duplicateValues" dxfId="134" priority="117"/>
    <cfRule type="duplicateValues" dxfId="133" priority="118"/>
  </conditionalFormatting>
  <conditionalFormatting sqref="B2746">
    <cfRule type="duplicateValues" dxfId="132" priority="119"/>
    <cfRule type="duplicateValues" dxfId="131" priority="120"/>
  </conditionalFormatting>
  <conditionalFormatting sqref="B2741:B2742">
    <cfRule type="duplicateValues" dxfId="130" priority="116"/>
  </conditionalFormatting>
  <conditionalFormatting sqref="B2740">
    <cfRule type="duplicateValues" dxfId="129" priority="115"/>
  </conditionalFormatting>
  <conditionalFormatting sqref="B2707">
    <cfRule type="duplicateValues" dxfId="128" priority="111"/>
    <cfRule type="duplicateValues" dxfId="127" priority="112"/>
  </conditionalFormatting>
  <conditionalFormatting sqref="B2708">
    <cfRule type="duplicateValues" dxfId="126" priority="113"/>
    <cfRule type="duplicateValues" dxfId="125" priority="114"/>
  </conditionalFormatting>
  <conditionalFormatting sqref="B2703:B2704">
    <cfRule type="duplicateValues" dxfId="124" priority="110"/>
  </conditionalFormatting>
  <conditionalFormatting sqref="B2702">
    <cfRule type="duplicateValues" dxfId="123" priority="109"/>
  </conditionalFormatting>
  <conditionalFormatting sqref="B2670">
    <cfRule type="duplicateValues" dxfId="122" priority="108"/>
  </conditionalFormatting>
  <conditionalFormatting sqref="B2705">
    <cfRule type="duplicateValues" dxfId="121" priority="107"/>
  </conditionalFormatting>
  <conditionalFormatting sqref="B2743">
    <cfRule type="duplicateValues" dxfId="120" priority="106"/>
  </conditionalFormatting>
  <conditionalFormatting sqref="B1529:B1555">
    <cfRule type="duplicateValues" dxfId="119" priority="105"/>
  </conditionalFormatting>
  <conditionalFormatting sqref="B1599:B1624">
    <cfRule type="duplicateValues" dxfId="118" priority="104"/>
  </conditionalFormatting>
  <conditionalFormatting sqref="B1562:B1565 B1567:B1592">
    <cfRule type="duplicateValues" dxfId="117" priority="103"/>
  </conditionalFormatting>
  <conditionalFormatting sqref="B1566">
    <cfRule type="duplicateValues" dxfId="116" priority="102"/>
  </conditionalFormatting>
  <conditionalFormatting sqref="B1634:B1637 B1639:B1663">
    <cfRule type="duplicateValues" dxfId="115" priority="101"/>
  </conditionalFormatting>
  <conditionalFormatting sqref="B1638">
    <cfRule type="duplicateValues" dxfId="114" priority="100"/>
  </conditionalFormatting>
  <conditionalFormatting sqref="C621:C622">
    <cfRule type="duplicateValues" dxfId="113" priority="98"/>
  </conditionalFormatting>
  <conditionalFormatting sqref="C623">
    <cfRule type="duplicateValues" dxfId="112" priority="97"/>
  </conditionalFormatting>
  <conditionalFormatting sqref="C628:C629">
    <cfRule type="duplicateValues" dxfId="111" priority="96"/>
  </conditionalFormatting>
  <conditionalFormatting sqref="C630:C632">
    <cfRule type="duplicateValues" dxfId="110" priority="95"/>
  </conditionalFormatting>
  <conditionalFormatting sqref="C625">
    <cfRule type="duplicateValues" dxfId="109" priority="94"/>
  </conditionalFormatting>
  <conditionalFormatting sqref="C624 C626:C627">
    <cfRule type="duplicateValues" dxfId="108" priority="99"/>
  </conditionalFormatting>
  <conditionalFormatting sqref="B629:B630">
    <cfRule type="duplicateValues" dxfId="107" priority="93"/>
  </conditionalFormatting>
  <conditionalFormatting sqref="B631:B633">
    <cfRule type="duplicateValues" dxfId="106" priority="92"/>
  </conditionalFormatting>
  <conditionalFormatting sqref="B330">
    <cfRule type="duplicateValues" dxfId="105" priority="90"/>
  </conditionalFormatting>
  <conditionalFormatting sqref="C330">
    <cfRule type="duplicateValues" dxfId="104" priority="91"/>
  </conditionalFormatting>
  <conditionalFormatting sqref="B331:B332">
    <cfRule type="duplicateValues" dxfId="103" priority="88"/>
  </conditionalFormatting>
  <conditionalFormatting sqref="C331:C332">
    <cfRule type="duplicateValues" dxfId="102" priority="89"/>
  </conditionalFormatting>
  <conditionalFormatting sqref="B163">
    <cfRule type="duplicateValues" dxfId="101" priority="86"/>
  </conditionalFormatting>
  <conditionalFormatting sqref="C163">
    <cfRule type="duplicateValues" dxfId="100" priority="87"/>
  </conditionalFormatting>
  <conditionalFormatting sqref="B1206:B1287">
    <cfRule type="duplicateValues" dxfId="99" priority="188"/>
  </conditionalFormatting>
  <conditionalFormatting sqref="C2936:C2937">
    <cfRule type="duplicateValues" dxfId="98" priority="84"/>
  </conditionalFormatting>
  <conditionalFormatting sqref="C2938">
    <cfRule type="duplicateValues" dxfId="97" priority="83"/>
  </conditionalFormatting>
  <conditionalFormatting sqref="C2943:C2944">
    <cfRule type="duplicateValues" dxfId="96" priority="82"/>
  </conditionalFormatting>
  <conditionalFormatting sqref="C2945:C2947">
    <cfRule type="duplicateValues" dxfId="95" priority="81"/>
  </conditionalFormatting>
  <conditionalFormatting sqref="C2940">
    <cfRule type="duplicateValues" dxfId="94" priority="80"/>
  </conditionalFormatting>
  <conditionalFormatting sqref="C2939 C2941:C2942">
    <cfRule type="duplicateValues" dxfId="93" priority="85"/>
  </conditionalFormatting>
  <conditionalFormatting sqref="B2944:B2945">
    <cfRule type="duplicateValues" dxfId="92" priority="79"/>
  </conditionalFormatting>
  <conditionalFormatting sqref="B2946:B2948">
    <cfRule type="duplicateValues" dxfId="91" priority="78"/>
  </conditionalFormatting>
  <conditionalFormatting sqref="A2946:A2947">
    <cfRule type="duplicateValues" dxfId="90" priority="77"/>
  </conditionalFormatting>
  <conditionalFormatting sqref="A2948:A2950">
    <cfRule type="duplicateValues" dxfId="89" priority="76"/>
  </conditionalFormatting>
  <conditionalFormatting sqref="B2175:B2201">
    <cfRule type="duplicateValues" dxfId="88" priority="75"/>
  </conditionalFormatting>
  <conditionalFormatting sqref="C2175:C2201">
    <cfRule type="duplicateValues" dxfId="87" priority="74"/>
  </conditionalFormatting>
  <conditionalFormatting sqref="E3037">
    <cfRule type="duplicateValues" dxfId="86" priority="73"/>
  </conditionalFormatting>
  <conditionalFormatting sqref="A3060:A3061">
    <cfRule type="duplicateValues" dxfId="85" priority="72"/>
  </conditionalFormatting>
  <conditionalFormatting sqref="E3050:E3051">
    <cfRule type="duplicateValues" dxfId="84" priority="70"/>
    <cfRule type="duplicateValues" dxfId="83" priority="71"/>
  </conditionalFormatting>
  <conditionalFormatting sqref="E3052">
    <cfRule type="duplicateValues" dxfId="82" priority="68"/>
    <cfRule type="duplicateValues" dxfId="81" priority="69"/>
  </conditionalFormatting>
  <conditionalFormatting sqref="E3056">
    <cfRule type="duplicateValues" dxfId="80" priority="66"/>
    <cfRule type="duplicateValues" dxfId="79" priority="67"/>
  </conditionalFormatting>
  <conditionalFormatting sqref="E3057 E3055">
    <cfRule type="duplicateValues" dxfId="78" priority="64"/>
    <cfRule type="duplicateValues" dxfId="77" priority="65"/>
  </conditionalFormatting>
  <conditionalFormatting sqref="G3042:G3059">
    <cfRule type="duplicateValues" dxfId="76" priority="62"/>
    <cfRule type="duplicateValues" dxfId="75" priority="63"/>
  </conditionalFormatting>
  <conditionalFormatting sqref="B3040">
    <cfRule type="duplicateValues" dxfId="74" priority="60"/>
    <cfRule type="duplicateValues" dxfId="73" priority="61"/>
  </conditionalFormatting>
  <conditionalFormatting sqref="B3041">
    <cfRule type="duplicateValues" dxfId="72" priority="58"/>
    <cfRule type="duplicateValues" dxfId="71" priority="59"/>
  </conditionalFormatting>
  <conditionalFormatting sqref="E3048">
    <cfRule type="duplicateValues" dxfId="70" priority="56"/>
    <cfRule type="duplicateValues" dxfId="69" priority="57"/>
  </conditionalFormatting>
  <conditionalFormatting sqref="E3049">
    <cfRule type="duplicateValues" dxfId="68" priority="54"/>
    <cfRule type="duplicateValues" dxfId="67" priority="55"/>
  </conditionalFormatting>
  <conditionalFormatting sqref="P3050:P3051">
    <cfRule type="duplicateValues" dxfId="66" priority="52"/>
    <cfRule type="duplicateValues" dxfId="65" priority="53"/>
  </conditionalFormatting>
  <conditionalFormatting sqref="P3052">
    <cfRule type="duplicateValues" dxfId="64" priority="50"/>
    <cfRule type="duplicateValues" dxfId="63" priority="51"/>
  </conditionalFormatting>
  <conditionalFormatting sqref="P3057 P3055">
    <cfRule type="duplicateValues" dxfId="62" priority="48"/>
    <cfRule type="duplicateValues" dxfId="61" priority="49"/>
  </conditionalFormatting>
  <conditionalFormatting sqref="P3048">
    <cfRule type="duplicateValues" dxfId="60" priority="46"/>
    <cfRule type="duplicateValues" dxfId="59" priority="47"/>
  </conditionalFormatting>
  <conditionalFormatting sqref="P3049">
    <cfRule type="duplicateValues" dxfId="58" priority="44"/>
    <cfRule type="duplicateValues" dxfId="57" priority="45"/>
  </conditionalFormatting>
  <conditionalFormatting sqref="B2250">
    <cfRule type="duplicateValues" dxfId="56" priority="42"/>
    <cfRule type="duplicateValues" dxfId="55" priority="43"/>
  </conditionalFormatting>
  <conditionalFormatting sqref="B2249">
    <cfRule type="duplicateValues" dxfId="54" priority="40"/>
    <cfRule type="duplicateValues" dxfId="53" priority="41"/>
  </conditionalFormatting>
  <conditionalFormatting sqref="B2246:B2248">
    <cfRule type="duplicateValues" dxfId="52" priority="38"/>
    <cfRule type="duplicateValues" dxfId="51" priority="39"/>
  </conditionalFormatting>
  <conditionalFormatting sqref="B2261 B2253">
    <cfRule type="duplicateValues" dxfId="50" priority="34"/>
    <cfRule type="duplicateValues" dxfId="49" priority="35"/>
  </conditionalFormatting>
  <conditionalFormatting sqref="B2260 B2262">
    <cfRule type="duplicateValues" dxfId="48" priority="36"/>
    <cfRule type="duplicateValues" dxfId="47" priority="37"/>
  </conditionalFormatting>
  <conditionalFormatting sqref="B2421">
    <cfRule type="duplicateValues" dxfId="46" priority="32"/>
    <cfRule type="duplicateValues" dxfId="45" priority="33"/>
  </conditionalFormatting>
  <conditionalFormatting sqref="B2420">
    <cfRule type="duplicateValues" dxfId="44" priority="30"/>
    <cfRule type="duplicateValues" dxfId="43" priority="31"/>
  </conditionalFormatting>
  <conditionalFormatting sqref="B2417:B2418">
    <cfRule type="duplicateValues" dxfId="42" priority="28"/>
    <cfRule type="duplicateValues" dxfId="41" priority="29"/>
  </conditionalFormatting>
  <conditionalFormatting sqref="B2429:B2430">
    <cfRule type="duplicateValues" dxfId="40" priority="26"/>
    <cfRule type="duplicateValues" dxfId="39" priority="27"/>
  </conditionalFormatting>
  <conditionalFormatting sqref="B2431:B2432 B2434:B2435">
    <cfRule type="duplicateValues" dxfId="38" priority="24"/>
    <cfRule type="duplicateValues" dxfId="37" priority="25"/>
  </conditionalFormatting>
  <conditionalFormatting sqref="B2419">
    <cfRule type="duplicateValues" dxfId="36" priority="22"/>
    <cfRule type="duplicateValues" dxfId="35" priority="23"/>
  </conditionalFormatting>
  <conditionalFormatting sqref="B2528">
    <cfRule type="duplicateValues" dxfId="34" priority="20"/>
    <cfRule type="duplicateValues" dxfId="33" priority="21"/>
  </conditionalFormatting>
  <conditionalFormatting sqref="B2529">
    <cfRule type="duplicateValues" dxfId="32" priority="18"/>
    <cfRule type="duplicateValues" dxfId="31" priority="19"/>
  </conditionalFormatting>
  <conditionalFormatting sqref="B2500">
    <cfRule type="duplicateValues" dxfId="30" priority="16"/>
    <cfRule type="duplicateValues" dxfId="29" priority="17"/>
  </conditionalFormatting>
  <conditionalFormatting sqref="B2280">
    <cfRule type="duplicateValues" dxfId="28" priority="14"/>
    <cfRule type="duplicateValues" dxfId="27" priority="15"/>
  </conditionalFormatting>
  <conditionalFormatting sqref="B2279">
    <cfRule type="duplicateValues" dxfId="26" priority="12"/>
    <cfRule type="duplicateValues" dxfId="25" priority="13"/>
  </conditionalFormatting>
  <conditionalFormatting sqref="A1522:A1523">
    <cfRule type="duplicateValues" dxfId="24" priority="11"/>
  </conditionalFormatting>
  <conditionalFormatting sqref="E1496">
    <cfRule type="duplicateValues" dxfId="23" priority="10"/>
  </conditionalFormatting>
  <conditionalFormatting sqref="B1520:B1521">
    <cfRule type="duplicateValues" dxfId="22" priority="9"/>
  </conditionalFormatting>
  <conditionalFormatting sqref="B1519">
    <cfRule type="duplicateValues" dxfId="21" priority="8"/>
  </conditionalFormatting>
  <conditionalFormatting sqref="A3081">
    <cfRule type="duplicateValues" dxfId="20" priority="7"/>
  </conditionalFormatting>
  <conditionalFormatting sqref="A3102">
    <cfRule type="duplicateValues" dxfId="19" priority="6"/>
  </conditionalFormatting>
  <conditionalFormatting sqref="A3123">
    <cfRule type="duplicateValues" dxfId="18" priority="5"/>
  </conditionalFormatting>
  <conditionalFormatting sqref="A3145">
    <cfRule type="duplicateValues" dxfId="17" priority="4"/>
  </conditionalFormatting>
  <conditionalFormatting sqref="A3164">
    <cfRule type="duplicateValues" dxfId="16" priority="3"/>
  </conditionalFormatting>
  <conditionalFormatting sqref="A3172">
    <cfRule type="duplicateValues" dxfId="15" priority="2"/>
  </conditionalFormatting>
  <conditionalFormatting sqref="A3181">
    <cfRule type="duplicateValues" dxfId="14" priority="1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数据表-报表-资管报表</vt:lpstr>
      <vt:lpstr>Sheet1</vt:lpstr>
      <vt:lpstr>期货相关表</vt:lpstr>
      <vt:lpstr>视图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2016-03-10T12:25:00Z</dcterms:created>
  <dcterms:modified xsi:type="dcterms:W3CDTF">2019-03-07T02:15:59Z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